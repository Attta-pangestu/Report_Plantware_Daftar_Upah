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codeName="ThisWorkbook" defaultThemeVersion="124226"/>
  <xr:revisionPtr revIDLastSave="0" documentId="13_ncr:1_{02B31072-7EBF-4CE3-A9A0-6168F1FEE0B9}" xr6:coauthVersionLast="47" xr6:coauthVersionMax="47" xr10:uidLastSave="{00000000-0000-0000-0000-000000000000}"/>
  <bookViews>
    <workbookView xWindow="-120" yWindow="-120" windowWidth="29040" windowHeight="18240" tabRatio="925" firstSheet="1" activeTab="10" xr2:uid="{00000000-000D-0000-FFFF-FFFF00000000}"/>
  </bookViews>
  <sheets>
    <sheet name="MASA KERJA AB" sheetId="180" state="hidden" r:id="rId1"/>
    <sheet name="PENGAJUAN PRUNING MEI 2025" sheetId="182" r:id="rId2"/>
    <sheet name="INSETIF MEI'25" sheetId="174" r:id="rId3"/>
    <sheet name="MONITORING " sheetId="150" r:id="rId4"/>
    <sheet name="HK PANEN" sheetId="151" r:id="rId5"/>
    <sheet name="HK UP KEEP, OP " sheetId="147" r:id="rId6"/>
    <sheet name="ABSEN" sheetId="163" r:id="rId7"/>
    <sheet name="LEMBUR DAN PREMI UPKEEP" sheetId="148" r:id="rId8"/>
    <sheet name="PREMI ALAT" sheetId="153" r:id="rId9"/>
    <sheet name="SLIP GAJI" sheetId="181" r:id="rId10"/>
    <sheet name="DAFTAR UPAH MEI 2025" sheetId="140" r:id="rId11"/>
    <sheet name="BRI MEI 2025" sheetId="175" r:id="rId12"/>
    <sheet name="REKON GAJI MANUAL VS PLANTW  AB" sheetId="178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6" hidden="1">ABSEN!$A$1:$AE$128</definedName>
    <definedName name="_xlnm._FilterDatabase" localSheetId="11" hidden="1">'BRI MEI 2025'!#REF!</definedName>
    <definedName name="_xlnm._FilterDatabase" localSheetId="10" hidden="1">'DAFTAR UPAH MEI 2025'!$AC$1:$AC$159</definedName>
    <definedName name="_xlnm._FilterDatabase" localSheetId="4" hidden="1">'HK PANEN'!$A$4:$AR$29</definedName>
    <definedName name="_xlnm._FilterDatabase" localSheetId="2" hidden="1">'INSETIF MEI''25'!$G$1:$N$57</definedName>
    <definedName name="_xlnm._FilterDatabase" localSheetId="0" hidden="1">'MASA KERJA AB'!$A$1:$K$77</definedName>
    <definedName name="_xlnm._FilterDatabase" localSheetId="3" hidden="1">'MONITORING '!$B$1:$AI$626</definedName>
    <definedName name="_xlnm._FilterDatabase" localSheetId="9" hidden="1">'SLIP GAJI'!$AC$1:$AC$702</definedName>
    <definedName name="_Order1" hidden="1">255</definedName>
    <definedName name="A" localSheetId="11">#REF!</definedName>
    <definedName name="A" localSheetId="2">#REF!</definedName>
    <definedName name="A" localSheetId="0">#REF!</definedName>
    <definedName name="A" localSheetId="9">#REF!</definedName>
    <definedName name="A">#REF!</definedName>
    <definedName name="AAAA" localSheetId="11">#REF!</definedName>
    <definedName name="AAAA" localSheetId="2">#REF!</definedName>
    <definedName name="AAAA" localSheetId="0">#REF!</definedName>
    <definedName name="AAAA" localSheetId="9">#REF!</definedName>
    <definedName name="AAAA">#REF!</definedName>
    <definedName name="AG" localSheetId="11">#REF!</definedName>
    <definedName name="AG" localSheetId="2">#REF!</definedName>
    <definedName name="AG" localSheetId="0">#REF!</definedName>
    <definedName name="AG" localSheetId="9">#REF!</definedName>
    <definedName name="AG">#REF!</definedName>
    <definedName name="b" localSheetId="11">#REF!</definedName>
    <definedName name="b" localSheetId="2">#REF!</definedName>
    <definedName name="b" localSheetId="0">#REF!</definedName>
    <definedName name="b" localSheetId="9">#REF!</definedName>
    <definedName name="b">#REF!</definedName>
    <definedName name="BANTU" localSheetId="11">#REF!</definedName>
    <definedName name="BANTU" localSheetId="2">#REF!</definedName>
    <definedName name="BANTU" localSheetId="0">#REF!</definedName>
    <definedName name="BANTU" localSheetId="9">#REF!</definedName>
    <definedName name="BANTU">#REF!</definedName>
    <definedName name="barat" localSheetId="11">#REF!</definedName>
    <definedName name="barat" localSheetId="2">#REF!</definedName>
    <definedName name="barat" localSheetId="0">#REF!</definedName>
    <definedName name="barat" localSheetId="9">#REF!</definedName>
    <definedName name="barat">#REF!</definedName>
    <definedName name="d" localSheetId="11">#REF!</definedName>
    <definedName name="d" localSheetId="2">#REF!</definedName>
    <definedName name="d" localSheetId="0">#REF!</definedName>
    <definedName name="d" localSheetId="9">#REF!</definedName>
    <definedName name="d">#REF!</definedName>
    <definedName name="DAN" localSheetId="11">#REF!</definedName>
    <definedName name="DAN" localSheetId="2">#REF!</definedName>
    <definedName name="DAN" localSheetId="0">#REF!</definedName>
    <definedName name="DAN" localSheetId="9">#REF!</definedName>
    <definedName name="DAN">#REF!</definedName>
    <definedName name="DS" localSheetId="11">#REF!</definedName>
    <definedName name="DS" localSheetId="2">#REF!</definedName>
    <definedName name="DS" localSheetId="0">#REF!</definedName>
    <definedName name="DS" localSheetId="9">#REF!</definedName>
    <definedName name="DS">#REF!</definedName>
    <definedName name="e" localSheetId="11">#REF!</definedName>
    <definedName name="e" localSheetId="2">#REF!</definedName>
    <definedName name="e" localSheetId="0">#REF!</definedName>
    <definedName name="e" localSheetId="9">#REF!</definedName>
    <definedName name="e">#REF!</definedName>
    <definedName name="GHNJFG" localSheetId="11">#REF!</definedName>
    <definedName name="GHNJFG" localSheetId="2">#REF!</definedName>
    <definedName name="GHNJFG" localSheetId="0">#REF!</definedName>
    <definedName name="GHNJFG" localSheetId="9">#REF!</definedName>
    <definedName name="GHNJFG">#REF!</definedName>
    <definedName name="lubis" localSheetId="11">#REF!</definedName>
    <definedName name="lubis" localSheetId="2">#REF!</definedName>
    <definedName name="lubis" localSheetId="0">#REF!</definedName>
    <definedName name="lubis" localSheetId="9">#REF!</definedName>
    <definedName name="lubis">#REF!</definedName>
    <definedName name="MUSLIHUN">[1]Sheet1!$S$579</definedName>
    <definedName name="NOV" localSheetId="0">#REF!</definedName>
    <definedName name="NOV" localSheetId="9">#REF!</definedName>
    <definedName name="NOV">#REF!</definedName>
    <definedName name="P" localSheetId="11">#REF!</definedName>
    <definedName name="P" localSheetId="2">#REF!</definedName>
    <definedName name="P" localSheetId="0">#REF!</definedName>
    <definedName name="P" localSheetId="9">#REF!</definedName>
    <definedName name="P">#REF!</definedName>
    <definedName name="PH" localSheetId="11">#REF!</definedName>
    <definedName name="PH" localSheetId="2">#REF!</definedName>
    <definedName name="PH" localSheetId="0">#REF!</definedName>
    <definedName name="PH" localSheetId="9">#REF!</definedName>
    <definedName name="PH">#REF!</definedName>
    <definedName name="PRINT" localSheetId="11">#REF!</definedName>
    <definedName name="PRINT" localSheetId="2">#REF!</definedName>
    <definedName name="PRINT" localSheetId="0">#REF!</definedName>
    <definedName name="PRINT" localSheetId="9">#REF!</definedName>
    <definedName name="PRINT">#REF!</definedName>
    <definedName name="_xlnm.Print_Area" localSheetId="11">'BRI MEI 2025'!$A$1:$F$88</definedName>
    <definedName name="_xlnm.Print_Area" localSheetId="10">'DAFTAR UPAH MEI 2025'!$A$5:$U$42</definedName>
    <definedName name="_xlnm.Print_Area" localSheetId="4">'HK PANEN'!$A$1:$AR$75</definedName>
    <definedName name="_xlnm.Print_Area" localSheetId="5">'HK UP KEEP, OP '!$A$1:$AT$81</definedName>
    <definedName name="_xlnm.Print_Area" localSheetId="2">'INSETIF MEI''25'!$A$1:$M$57</definedName>
    <definedName name="_xlnm.Print_Area" localSheetId="7">'LEMBUR DAN PREMI UPKEEP'!$AM$137</definedName>
    <definedName name="_xlnm.Print_Area" localSheetId="0">#REF!</definedName>
    <definedName name="_xlnm.Print_Area" localSheetId="3">'MONITORING '!$A$1:$AK$523</definedName>
    <definedName name="_xlnm.Print_Area" localSheetId="1">'PENGAJUAN PRUNING MEI 2025'!$A$1:$P$53</definedName>
    <definedName name="_xlnm.Print_Area" localSheetId="8">'PREMI ALAT'!$A$1:$AL$280</definedName>
    <definedName name="_xlnm.Print_Area" localSheetId="12">'REKON GAJI MANUAL VS PLANTW  AB'!$A$1:$AE$96</definedName>
    <definedName name="_xlnm.Print_Area" localSheetId="9">'SLIP GAJI'!$A$601:$BE$680</definedName>
    <definedName name="_xlnm.Print_Area">#REF!</definedName>
    <definedName name="_xlnm.Print_Titles" localSheetId="11">'BRI MEI 2025'!$5:$5</definedName>
    <definedName name="_xlnm.Print_Titles" localSheetId="3">'MONITORING '!$1:$6</definedName>
    <definedName name="_xlnm.Print_Titles" localSheetId="12">'REKON GAJI MANUAL VS PLANTW  AB'!$6:$8</definedName>
    <definedName name="PTKP" localSheetId="11">#REF!</definedName>
    <definedName name="PTKP" localSheetId="2">#REF!</definedName>
    <definedName name="PTKP" localSheetId="0">#REF!</definedName>
    <definedName name="PTKP" localSheetId="9">#REF!</definedName>
    <definedName name="PTKP">#REF!</definedName>
    <definedName name="SAPBEXdnldView" hidden="1">"473HST68VGLI9323VYACFULS1"</definedName>
    <definedName name="SAPBEXsysID" hidden="1">"BW2"</definedName>
    <definedName name="t" localSheetId="11">#REF!</definedName>
    <definedName name="t" localSheetId="2">#REF!</definedName>
    <definedName name="t" localSheetId="0">#REF!</definedName>
    <definedName name="t" localSheetId="9">#REF!</definedName>
    <definedName name="t">#REF!</definedName>
    <definedName name="Ter_A" localSheetId="11">#REF!</definedName>
    <definedName name="Ter_A" localSheetId="2">#REF!</definedName>
    <definedName name="Ter_A" localSheetId="0">#REF!</definedName>
    <definedName name="Ter_A" localSheetId="9">#REF!</definedName>
    <definedName name="Ter_A">#REF!</definedName>
    <definedName name="Ter_B" localSheetId="11">#REF!</definedName>
    <definedName name="Ter_B" localSheetId="2">#REF!</definedName>
    <definedName name="Ter_B" localSheetId="0">#REF!</definedName>
    <definedName name="Ter_B" localSheetId="9">#REF!</definedName>
    <definedName name="Ter_B">#REF!</definedName>
    <definedName name="Ter_C" localSheetId="11">#REF!</definedName>
    <definedName name="Ter_C" localSheetId="2">#REF!</definedName>
    <definedName name="Ter_C" localSheetId="0">#REF!</definedName>
    <definedName name="Ter_C" localSheetId="9">#REF!</definedName>
    <definedName name="Ter_C">#REF!</definedName>
    <definedName name="TIMUR" localSheetId="11">#REF!</definedName>
    <definedName name="TIMUR" localSheetId="2">#REF!</definedName>
    <definedName name="TIMUR" localSheetId="0">#REF!</definedName>
    <definedName name="TIMUR" localSheetId="9">#REF!</definedName>
    <definedName name="TIMUR">#REF!</definedName>
    <definedName name="TOTAL" localSheetId="11">#REF!</definedName>
    <definedName name="TOTAL" localSheetId="2">#REF!</definedName>
    <definedName name="TOTAL" localSheetId="0">#REF!</definedName>
    <definedName name="TOTAL" localSheetId="9">#REF!</definedName>
    <definedName name="TOTAL">#REF!</definedName>
    <definedName name="TRI" localSheetId="11">#REF!</definedName>
    <definedName name="TRI" localSheetId="2">#REF!</definedName>
    <definedName name="TRI" localSheetId="0">#REF!</definedName>
    <definedName name="TRI" localSheetId="9">#REF!</definedName>
    <definedName name="TRI">#REF!</definedName>
    <definedName name="V" localSheetId="11">#REF!</definedName>
    <definedName name="V" localSheetId="2">#REF!</definedName>
    <definedName name="V" localSheetId="0">#REF!</definedName>
    <definedName name="V" localSheetId="9">#REF!</definedName>
    <definedName name="V">#REF!</definedName>
    <definedName name="Y" localSheetId="11">#REF!</definedName>
    <definedName name="Y" localSheetId="2">#REF!</definedName>
    <definedName name="Y" localSheetId="0">#REF!</definedName>
    <definedName name="Y" localSheetId="9">#REF!</definedName>
    <definedName name="Y">#REF!</definedName>
  </definedNames>
  <calcPr calcId="191029"/>
  <fileRecoveryPr autoRecover="0"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7" i="182" l="1"/>
  <c r="L36" i="182"/>
  <c r="E44" i="182" s="1"/>
  <c r="H36" i="182"/>
  <c r="E43" i="182" s="1"/>
  <c r="D36" i="182"/>
  <c r="D38" i="182" s="1"/>
  <c r="N35" i="182"/>
  <c r="J35" i="182"/>
  <c r="O35" i="182" s="1"/>
  <c r="P35" i="182" s="1"/>
  <c r="F35" i="182"/>
  <c r="N34" i="182"/>
  <c r="J34" i="182"/>
  <c r="F34" i="182"/>
  <c r="N33" i="182"/>
  <c r="J33" i="182"/>
  <c r="F33" i="182"/>
  <c r="O32" i="182"/>
  <c r="N32" i="182"/>
  <c r="J32" i="182"/>
  <c r="F32" i="182"/>
  <c r="O31" i="182"/>
  <c r="N31" i="182"/>
  <c r="J31" i="182"/>
  <c r="F31" i="182"/>
  <c r="O30" i="182"/>
  <c r="N30" i="182"/>
  <c r="J30" i="182"/>
  <c r="F30" i="182"/>
  <c r="O29" i="182"/>
  <c r="N29" i="182"/>
  <c r="J29" i="182"/>
  <c r="F29" i="182"/>
  <c r="O28" i="182"/>
  <c r="N28" i="182"/>
  <c r="J28" i="182"/>
  <c r="F28" i="182"/>
  <c r="O27" i="182"/>
  <c r="N27" i="182"/>
  <c r="J27" i="182"/>
  <c r="F27" i="182"/>
  <c r="O26" i="182"/>
  <c r="N26" i="182"/>
  <c r="J26" i="182"/>
  <c r="F26" i="182"/>
  <c r="O25" i="182"/>
  <c r="N25" i="182"/>
  <c r="J25" i="182"/>
  <c r="F25" i="182"/>
  <c r="O24" i="182"/>
  <c r="N24" i="182"/>
  <c r="J24" i="182"/>
  <c r="F24" i="182"/>
  <c r="O23" i="182"/>
  <c r="N23" i="182"/>
  <c r="J23" i="182"/>
  <c r="F23" i="182"/>
  <c r="O22" i="182"/>
  <c r="N22" i="182"/>
  <c r="J22" i="182"/>
  <c r="F22" i="182"/>
  <c r="O21" i="182"/>
  <c r="N21" i="182"/>
  <c r="J21" i="182"/>
  <c r="F21" i="182"/>
  <c r="O20" i="182"/>
  <c r="N20" i="182"/>
  <c r="J20" i="182"/>
  <c r="F20" i="182"/>
  <c r="O19" i="182"/>
  <c r="N19" i="182"/>
  <c r="J19" i="182"/>
  <c r="F19" i="182"/>
  <c r="O18" i="182"/>
  <c r="N18" i="182"/>
  <c r="J18" i="182"/>
  <c r="F18" i="182"/>
  <c r="O17" i="182"/>
  <c r="N17" i="182"/>
  <c r="J17" i="182"/>
  <c r="F17" i="182"/>
  <c r="O16" i="182"/>
  <c r="N16" i="182"/>
  <c r="J16" i="182"/>
  <c r="F16" i="182"/>
  <c r="O15" i="182"/>
  <c r="N15" i="182"/>
  <c r="J15" i="182"/>
  <c r="F15" i="182"/>
  <c r="O14" i="182"/>
  <c r="N14" i="182"/>
  <c r="J14" i="182"/>
  <c r="F14" i="182"/>
  <c r="O13" i="182"/>
  <c r="N13" i="182"/>
  <c r="J13" i="182"/>
  <c r="F13" i="182"/>
  <c r="P13" i="182" s="1"/>
  <c r="O12" i="182"/>
  <c r="N12" i="182"/>
  <c r="J12" i="182"/>
  <c r="F12" i="182"/>
  <c r="P12" i="182" s="1"/>
  <c r="O11" i="182"/>
  <c r="N11" i="182"/>
  <c r="J11" i="182"/>
  <c r="F11" i="182"/>
  <c r="O10" i="182"/>
  <c r="N10" i="182"/>
  <c r="J10" i="182"/>
  <c r="F10" i="182"/>
  <c r="P10" i="182" s="1"/>
  <c r="O9" i="182"/>
  <c r="N9" i="182"/>
  <c r="J9" i="182"/>
  <c r="F9" i="182"/>
  <c r="P11" i="182" l="1"/>
  <c r="P14" i="182"/>
  <c r="F36" i="182"/>
  <c r="J36" i="182"/>
  <c r="O33" i="182"/>
  <c r="P33" i="182" s="1"/>
  <c r="L38" i="182"/>
  <c r="N36" i="182"/>
  <c r="E42" i="182"/>
  <c r="C42" i="182" s="1"/>
  <c r="P15" i="182"/>
  <c r="P16" i="182"/>
  <c r="P17" i="182"/>
  <c r="P18" i="182"/>
  <c r="P19" i="182"/>
  <c r="P20" i="182"/>
  <c r="P21" i="182"/>
  <c r="P22" i="182"/>
  <c r="P23" i="182"/>
  <c r="P24" i="182"/>
  <c r="P25" i="182"/>
  <c r="P26" i="182"/>
  <c r="P27" i="182"/>
  <c r="P28" i="182"/>
  <c r="P29" i="182"/>
  <c r="P30" i="182"/>
  <c r="P31" i="182"/>
  <c r="P32" i="182"/>
  <c r="O34" i="182"/>
  <c r="P34" i="182" s="1"/>
  <c r="P47" i="182" s="1"/>
  <c r="G44" i="182"/>
  <c r="C44" i="182"/>
  <c r="G43" i="182"/>
  <c r="C43" i="182"/>
  <c r="O37" i="182"/>
  <c r="H38" i="182"/>
  <c r="P9" i="182"/>
  <c r="AQ675" i="181"/>
  <c r="AS674" i="181"/>
  <c r="AR674" i="181"/>
  <c r="AQ674" i="181"/>
  <c r="AS31" i="181"/>
  <c r="AQ31" i="181"/>
  <c r="AS30" i="181"/>
  <c r="AR30" i="181"/>
  <c r="AQ30" i="181"/>
  <c r="AQ665" i="181"/>
  <c r="AS664" i="181"/>
  <c r="AR664" i="181"/>
  <c r="AQ664" i="181"/>
  <c r="AQ655" i="181"/>
  <c r="AS654" i="181"/>
  <c r="AR654" i="181"/>
  <c r="AQ654" i="181"/>
  <c r="AQ645" i="181"/>
  <c r="AS644" i="181"/>
  <c r="AR644" i="181"/>
  <c r="AQ644" i="181"/>
  <c r="AQ635" i="181"/>
  <c r="AS634" i="181"/>
  <c r="AR634" i="181"/>
  <c r="AQ634" i="181"/>
  <c r="AQ625" i="181"/>
  <c r="AS624" i="181"/>
  <c r="AR624" i="181"/>
  <c r="AQ624" i="181"/>
  <c r="AQ615" i="181"/>
  <c r="AS614" i="181"/>
  <c r="AR614" i="181"/>
  <c r="AQ614" i="181"/>
  <c r="AQ584" i="181"/>
  <c r="AS583" i="181"/>
  <c r="AR583" i="181"/>
  <c r="AQ583" i="181"/>
  <c r="AQ575" i="181"/>
  <c r="AS574" i="181"/>
  <c r="AR574" i="181"/>
  <c r="AQ574" i="181"/>
  <c r="AQ566" i="181"/>
  <c r="AS565" i="181"/>
  <c r="AR565" i="181"/>
  <c r="AQ565" i="181"/>
  <c r="AQ557" i="181"/>
  <c r="AS556" i="181"/>
  <c r="AR556" i="181"/>
  <c r="AQ556" i="181"/>
  <c r="AQ548" i="181"/>
  <c r="AS547" i="181"/>
  <c r="AR547" i="181"/>
  <c r="AQ547" i="181"/>
  <c r="AQ539" i="181"/>
  <c r="AS538" i="181"/>
  <c r="AR538" i="181"/>
  <c r="AQ538" i="181"/>
  <c r="AQ530" i="181"/>
  <c r="AS529" i="181"/>
  <c r="AR529" i="181"/>
  <c r="AQ529" i="181"/>
  <c r="AQ521" i="181"/>
  <c r="AS520" i="181"/>
  <c r="AR520" i="181"/>
  <c r="AQ520" i="181"/>
  <c r="AQ512" i="181"/>
  <c r="AS511" i="181"/>
  <c r="AR511" i="181"/>
  <c r="AQ511" i="181"/>
  <c r="AQ503" i="181"/>
  <c r="AS502" i="181"/>
  <c r="AR502" i="181"/>
  <c r="AQ502" i="181"/>
  <c r="AQ494" i="181"/>
  <c r="AS493" i="181"/>
  <c r="AR493" i="181"/>
  <c r="AQ493" i="181"/>
  <c r="AQ485" i="181"/>
  <c r="AS484" i="181"/>
  <c r="AR484" i="181"/>
  <c r="AQ484" i="181"/>
  <c r="AQ476" i="181"/>
  <c r="AS475" i="181"/>
  <c r="AR475" i="181"/>
  <c r="AQ475" i="181"/>
  <c r="AQ467" i="181"/>
  <c r="AS466" i="181"/>
  <c r="AR466" i="181"/>
  <c r="AQ466" i="181"/>
  <c r="AQ458" i="181"/>
  <c r="AS457" i="181"/>
  <c r="AR457" i="181"/>
  <c r="AQ457" i="181"/>
  <c r="AQ449" i="181"/>
  <c r="AS448" i="181"/>
  <c r="AR448" i="181"/>
  <c r="AQ448" i="181"/>
  <c r="AQ440" i="181"/>
  <c r="AS439" i="181"/>
  <c r="AR439" i="181"/>
  <c r="AQ439" i="181"/>
  <c r="AQ431" i="181"/>
  <c r="AS430" i="181"/>
  <c r="AR430" i="181"/>
  <c r="AQ430" i="181"/>
  <c r="AQ422" i="181"/>
  <c r="AS421" i="181"/>
  <c r="AR421" i="181"/>
  <c r="AQ421" i="181"/>
  <c r="AQ413" i="181"/>
  <c r="AS412" i="181"/>
  <c r="AR412" i="181"/>
  <c r="AQ412" i="181"/>
  <c r="AQ404" i="181"/>
  <c r="AS403" i="181"/>
  <c r="AR403" i="181"/>
  <c r="AQ403" i="181"/>
  <c r="AQ375" i="181"/>
  <c r="AQ374" i="181"/>
  <c r="AQ366" i="181"/>
  <c r="AQ365" i="181"/>
  <c r="AQ357" i="181"/>
  <c r="AQ356" i="181"/>
  <c r="AQ348" i="181"/>
  <c r="AQ347" i="181"/>
  <c r="AQ339" i="181"/>
  <c r="AQ338" i="181"/>
  <c r="AQ330" i="181"/>
  <c r="AQ329" i="181"/>
  <c r="AQ321" i="181"/>
  <c r="AQ320" i="181"/>
  <c r="AS292" i="181"/>
  <c r="AQ292" i="181"/>
  <c r="AS291" i="181"/>
  <c r="AR291" i="181"/>
  <c r="AQ291" i="181"/>
  <c r="AS283" i="181"/>
  <c r="AQ283" i="181"/>
  <c r="AS282" i="181"/>
  <c r="AR282" i="181"/>
  <c r="AQ282" i="181"/>
  <c r="AS274" i="181"/>
  <c r="AQ274" i="181"/>
  <c r="AS273" i="181"/>
  <c r="AR273" i="181"/>
  <c r="AQ273" i="181"/>
  <c r="AS265" i="181"/>
  <c r="AQ265" i="181"/>
  <c r="AS264" i="181"/>
  <c r="AR264" i="181"/>
  <c r="AQ264" i="181"/>
  <c r="AS256" i="181"/>
  <c r="AQ256" i="181"/>
  <c r="AS255" i="181"/>
  <c r="AR255" i="181"/>
  <c r="AQ255" i="181"/>
  <c r="AS247" i="181"/>
  <c r="AQ247" i="181"/>
  <c r="AS246" i="181"/>
  <c r="AR246" i="181"/>
  <c r="AQ246" i="181"/>
  <c r="AS238" i="181"/>
  <c r="AQ238" i="181"/>
  <c r="AS237" i="181"/>
  <c r="AR237" i="181"/>
  <c r="AQ237" i="181"/>
  <c r="AS229" i="181"/>
  <c r="AQ229" i="181"/>
  <c r="AS228" i="181"/>
  <c r="AR228" i="181"/>
  <c r="AQ228" i="181"/>
  <c r="AS220" i="181"/>
  <c r="AQ220" i="181"/>
  <c r="AS219" i="181"/>
  <c r="AR219" i="181"/>
  <c r="AQ219" i="181"/>
  <c r="AS211" i="181"/>
  <c r="AQ211" i="181"/>
  <c r="AS210" i="181"/>
  <c r="AR210" i="181"/>
  <c r="AQ210" i="181"/>
  <c r="AS202" i="181"/>
  <c r="AQ202" i="181"/>
  <c r="AS201" i="181"/>
  <c r="AR201" i="181"/>
  <c r="AQ201" i="181"/>
  <c r="AS193" i="181"/>
  <c r="AQ193" i="181"/>
  <c r="AS192" i="181"/>
  <c r="AR192" i="181"/>
  <c r="AQ192" i="181"/>
  <c r="AS184" i="181"/>
  <c r="AQ184" i="181"/>
  <c r="AS183" i="181"/>
  <c r="AR183" i="181"/>
  <c r="AQ183" i="181"/>
  <c r="AS175" i="181"/>
  <c r="AQ175" i="181"/>
  <c r="AS174" i="181"/>
  <c r="AR174" i="181"/>
  <c r="AQ174" i="181"/>
  <c r="AS166" i="181"/>
  <c r="AQ166" i="181"/>
  <c r="AS165" i="181"/>
  <c r="AR165" i="181"/>
  <c r="AQ165" i="181"/>
  <c r="AS157" i="181"/>
  <c r="AQ157" i="181"/>
  <c r="AS156" i="181"/>
  <c r="AR156" i="181"/>
  <c r="AQ156" i="181"/>
  <c r="AS148" i="181"/>
  <c r="AQ148" i="181"/>
  <c r="AS147" i="181"/>
  <c r="AR147" i="181"/>
  <c r="AQ147" i="181"/>
  <c r="AS139" i="181"/>
  <c r="AQ139" i="181"/>
  <c r="AS138" i="181"/>
  <c r="AR138" i="181"/>
  <c r="AQ138" i="181"/>
  <c r="AS130" i="181"/>
  <c r="AQ130" i="181"/>
  <c r="AS129" i="181"/>
  <c r="AR129" i="181"/>
  <c r="AQ129" i="181"/>
  <c r="AS121" i="181"/>
  <c r="AQ121" i="181"/>
  <c r="AS120" i="181"/>
  <c r="AR120" i="181"/>
  <c r="AQ120" i="181"/>
  <c r="AS112" i="181"/>
  <c r="AQ112" i="181"/>
  <c r="AS111" i="181"/>
  <c r="AR111" i="181"/>
  <c r="AQ111" i="181"/>
  <c r="AS103" i="181"/>
  <c r="AQ103" i="181"/>
  <c r="AS102" i="181"/>
  <c r="AR102" i="181"/>
  <c r="AQ102" i="181"/>
  <c r="AS94" i="181"/>
  <c r="AQ94" i="181"/>
  <c r="AS93" i="181"/>
  <c r="AR93" i="181"/>
  <c r="AQ93" i="181"/>
  <c r="AS85" i="181"/>
  <c r="AQ85" i="181"/>
  <c r="AS84" i="181"/>
  <c r="AR84" i="181"/>
  <c r="AQ84" i="181"/>
  <c r="AS76" i="181"/>
  <c r="AQ76" i="181"/>
  <c r="AS75" i="181"/>
  <c r="AR75" i="181"/>
  <c r="AQ75" i="181"/>
  <c r="AS67" i="181"/>
  <c r="AQ67" i="181"/>
  <c r="AS66" i="181"/>
  <c r="AR66" i="181"/>
  <c r="AQ66" i="181"/>
  <c r="AS58" i="181"/>
  <c r="AQ58" i="181"/>
  <c r="AS57" i="181"/>
  <c r="AR57" i="181"/>
  <c r="AQ57" i="181"/>
  <c r="AS49" i="181"/>
  <c r="AQ49" i="181"/>
  <c r="AS48" i="181"/>
  <c r="AR48" i="181"/>
  <c r="AQ48" i="181"/>
  <c r="AS40" i="181"/>
  <c r="AQ40" i="181"/>
  <c r="AS39" i="181"/>
  <c r="AR39" i="181"/>
  <c r="AQ39" i="181"/>
  <c r="AS22" i="181"/>
  <c r="AQ22" i="181"/>
  <c r="AS21" i="181"/>
  <c r="AR21" i="181"/>
  <c r="AQ21" i="181"/>
  <c r="AS13" i="181"/>
  <c r="AQ13" i="181"/>
  <c r="AS12" i="181"/>
  <c r="AR12" i="181"/>
  <c r="AQ12" i="181"/>
  <c r="V698" i="181"/>
  <c r="AH697" i="181"/>
  <c r="AH700" i="181" s="1"/>
  <c r="V697" i="181"/>
  <c r="BX696" i="181"/>
  <c r="A696" i="181"/>
  <c r="AE684" i="181"/>
  <c r="V684" i="181"/>
  <c r="P682" i="181"/>
  <c r="N682" i="181"/>
  <c r="J682" i="181"/>
  <c r="H682" i="181"/>
  <c r="E682" i="181"/>
  <c r="BB681" i="181"/>
  <c r="BA681" i="181"/>
  <c r="AY681" i="181"/>
  <c r="AX681" i="181"/>
  <c r="AM681" i="181"/>
  <c r="AL681" i="181"/>
  <c r="AK681" i="181"/>
  <c r="AJ681" i="181"/>
  <c r="AH681" i="181"/>
  <c r="AE681" i="181"/>
  <c r="AC681" i="181"/>
  <c r="AB681" i="181"/>
  <c r="Z681" i="181"/>
  <c r="Y681" i="181"/>
  <c r="X681" i="181"/>
  <c r="W681" i="181"/>
  <c r="R681" i="181"/>
  <c r="L681" i="181"/>
  <c r="F681" i="181"/>
  <c r="AZ680" i="181"/>
  <c r="AV680" i="181"/>
  <c r="AU680" i="181"/>
  <c r="AQ680" i="181"/>
  <c r="AP680" i="181"/>
  <c r="AD680" i="181"/>
  <c r="AA680" i="181"/>
  <c r="T680" i="181"/>
  <c r="U680" i="181" s="1"/>
  <c r="M680" i="181"/>
  <c r="AZ670" i="181"/>
  <c r="AV670" i="181"/>
  <c r="AU670" i="181"/>
  <c r="AQ670" i="181"/>
  <c r="AP670" i="181"/>
  <c r="AD670" i="181"/>
  <c r="AS670" i="181" s="1"/>
  <c r="AA670" i="181"/>
  <c r="T670" i="181"/>
  <c r="U670" i="181" s="1"/>
  <c r="M670" i="181"/>
  <c r="AZ660" i="181"/>
  <c r="AV660" i="181"/>
  <c r="AU660" i="181"/>
  <c r="AQ660" i="181"/>
  <c r="AP660" i="181"/>
  <c r="AD660" i="181"/>
  <c r="AS660" i="181" s="1"/>
  <c r="AA660" i="181"/>
  <c r="T660" i="181"/>
  <c r="U660" i="181" s="1"/>
  <c r="M660" i="181"/>
  <c r="AZ650" i="181"/>
  <c r="AV650" i="181"/>
  <c r="AU650" i="181"/>
  <c r="AQ650" i="181"/>
  <c r="AP650" i="181"/>
  <c r="AD650" i="181"/>
  <c r="AS650" i="181" s="1"/>
  <c r="AA650" i="181"/>
  <c r="T650" i="181"/>
  <c r="U650" i="181" s="1"/>
  <c r="M650" i="181"/>
  <c r="AZ640" i="181"/>
  <c r="AV640" i="181"/>
  <c r="AU640" i="181"/>
  <c r="AQ640" i="181"/>
  <c r="AP640" i="181"/>
  <c r="AD640" i="181"/>
  <c r="AS640" i="181" s="1"/>
  <c r="AA640" i="181"/>
  <c r="T640" i="181"/>
  <c r="U640" i="181" s="1"/>
  <c r="M640" i="181"/>
  <c r="AZ630" i="181"/>
  <c r="AV630" i="181"/>
  <c r="AU630" i="181"/>
  <c r="AQ630" i="181"/>
  <c r="AP630" i="181"/>
  <c r="AD630" i="181"/>
  <c r="AT630" i="181" s="1"/>
  <c r="AA630" i="181"/>
  <c r="T630" i="181"/>
  <c r="U630" i="181" s="1"/>
  <c r="M630" i="181"/>
  <c r="AZ620" i="181"/>
  <c r="AV620" i="181"/>
  <c r="AU620" i="181"/>
  <c r="AQ620" i="181"/>
  <c r="AP620" i="181"/>
  <c r="AD620" i="181"/>
  <c r="AT620" i="181" s="1"/>
  <c r="AA620" i="181"/>
  <c r="T620" i="181"/>
  <c r="M620" i="181"/>
  <c r="AZ610" i="181"/>
  <c r="AV610" i="181"/>
  <c r="AU610" i="181"/>
  <c r="AQ610" i="181"/>
  <c r="AP610" i="181"/>
  <c r="AD610" i="181"/>
  <c r="AS610" i="181" s="1"/>
  <c r="AA610" i="181"/>
  <c r="T610" i="181"/>
  <c r="M610" i="181"/>
  <c r="AQ605" i="181"/>
  <c r="AS604" i="181"/>
  <c r="AR604" i="181"/>
  <c r="AQ604" i="181"/>
  <c r="BW590" i="181"/>
  <c r="BW696" i="181" s="1"/>
  <c r="BV590" i="181"/>
  <c r="BV696" i="181" s="1"/>
  <c r="BU590" i="181"/>
  <c r="BU696" i="181" s="1"/>
  <c r="BS590" i="181"/>
  <c r="BS696" i="181" s="1"/>
  <c r="BR590" i="181"/>
  <c r="BR696" i="181" s="1"/>
  <c r="BP590" i="181"/>
  <c r="BP696" i="181" s="1"/>
  <c r="BN590" i="181"/>
  <c r="BN681" i="181" s="1"/>
  <c r="BL590" i="181"/>
  <c r="BL681" i="181" s="1"/>
  <c r="BB590" i="181"/>
  <c r="BA590" i="181"/>
  <c r="AY590" i="181"/>
  <c r="AX590" i="181"/>
  <c r="AM590" i="181"/>
  <c r="AL590" i="181"/>
  <c r="AK590" i="181"/>
  <c r="AK592" i="181" s="1"/>
  <c r="AJ590" i="181"/>
  <c r="AH590" i="181"/>
  <c r="AB590" i="181"/>
  <c r="Y590" i="181"/>
  <c r="W590" i="181"/>
  <c r="F590" i="181"/>
  <c r="AZ589" i="181"/>
  <c r="AV589" i="181"/>
  <c r="AU589" i="181"/>
  <c r="AQ589" i="181"/>
  <c r="AP589" i="181"/>
  <c r="AD589" i="181"/>
  <c r="AT589" i="181" s="1"/>
  <c r="BO589" i="181" s="1"/>
  <c r="AC589" i="181"/>
  <c r="AA589" i="181"/>
  <c r="AZ580" i="181"/>
  <c r="AV580" i="181"/>
  <c r="AU580" i="181"/>
  <c r="AQ580" i="181"/>
  <c r="AP580" i="181"/>
  <c r="AD580" i="181"/>
  <c r="AS580" i="181" s="1"/>
  <c r="AC580" i="181"/>
  <c r="AA580" i="181"/>
  <c r="AZ571" i="181"/>
  <c r="AV571" i="181"/>
  <c r="AU571" i="181"/>
  <c r="AQ571" i="181"/>
  <c r="AP571" i="181"/>
  <c r="AD571" i="181"/>
  <c r="AT571" i="181" s="1"/>
  <c r="BO571" i="181" s="1"/>
  <c r="AC571" i="181"/>
  <c r="AA571" i="181"/>
  <c r="AZ562" i="181"/>
  <c r="AV562" i="181"/>
  <c r="AU562" i="181"/>
  <c r="AQ562" i="181"/>
  <c r="AP562" i="181"/>
  <c r="AD562" i="181"/>
  <c r="AT562" i="181" s="1"/>
  <c r="BO562" i="181" s="1"/>
  <c r="AC562" i="181"/>
  <c r="AA562" i="181"/>
  <c r="AZ553" i="181"/>
  <c r="AV553" i="181"/>
  <c r="AU553" i="181"/>
  <c r="AQ553" i="181"/>
  <c r="AP553" i="181"/>
  <c r="AD553" i="181"/>
  <c r="AC553" i="181"/>
  <c r="AA553" i="181"/>
  <c r="AZ544" i="181"/>
  <c r="AV544" i="181"/>
  <c r="AU544" i="181"/>
  <c r="AQ544" i="181"/>
  <c r="AP544" i="181"/>
  <c r="AE544" i="181"/>
  <c r="AD544" i="181"/>
  <c r="AS544" i="181" s="1"/>
  <c r="AC544" i="181"/>
  <c r="AA544" i="181"/>
  <c r="AZ535" i="181"/>
  <c r="AV535" i="181"/>
  <c r="AU535" i="181"/>
  <c r="AQ535" i="181"/>
  <c r="AP535" i="181"/>
  <c r="AD535" i="181"/>
  <c r="AT535" i="181" s="1"/>
  <c r="BO535" i="181" s="1"/>
  <c r="AC535" i="181"/>
  <c r="AA535" i="181"/>
  <c r="AZ526" i="181"/>
  <c r="AV526" i="181"/>
  <c r="AU526" i="181"/>
  <c r="AQ526" i="181"/>
  <c r="AP526" i="181"/>
  <c r="AD526" i="181"/>
  <c r="AT526" i="181" s="1"/>
  <c r="BO526" i="181" s="1"/>
  <c r="AC526" i="181"/>
  <c r="AA526" i="181"/>
  <c r="AZ517" i="181"/>
  <c r="AV517" i="181"/>
  <c r="AU517" i="181"/>
  <c r="AQ517" i="181"/>
  <c r="AP517" i="181"/>
  <c r="AD517" i="181"/>
  <c r="AC517" i="181"/>
  <c r="AA517" i="181"/>
  <c r="AZ508" i="181"/>
  <c r="AV508" i="181"/>
  <c r="AU508" i="181"/>
  <c r="AQ508" i="181"/>
  <c r="AP508" i="181"/>
  <c r="AD508" i="181"/>
  <c r="AT508" i="181" s="1"/>
  <c r="BO508" i="181" s="1"/>
  <c r="AC508" i="181"/>
  <c r="AA508" i="181"/>
  <c r="AZ499" i="181"/>
  <c r="AV499" i="181"/>
  <c r="AU499" i="181"/>
  <c r="AQ499" i="181"/>
  <c r="AP499" i="181"/>
  <c r="AD499" i="181"/>
  <c r="AT499" i="181" s="1"/>
  <c r="BO499" i="181" s="1"/>
  <c r="AC499" i="181"/>
  <c r="AA499" i="181"/>
  <c r="AZ490" i="181"/>
  <c r="AV490" i="181"/>
  <c r="AU490" i="181"/>
  <c r="AQ490" i="181"/>
  <c r="AP490" i="181"/>
  <c r="AD490" i="181"/>
  <c r="AT490" i="181" s="1"/>
  <c r="BO490" i="181" s="1"/>
  <c r="AC490" i="181"/>
  <c r="AA490" i="181"/>
  <c r="AZ481" i="181"/>
  <c r="AV481" i="181"/>
  <c r="AU481" i="181"/>
  <c r="AQ481" i="181"/>
  <c r="AP481" i="181"/>
  <c r="AD481" i="181"/>
  <c r="AT481" i="181" s="1"/>
  <c r="BO481" i="181" s="1"/>
  <c r="AC481" i="181"/>
  <c r="AA481" i="181"/>
  <c r="AZ472" i="181"/>
  <c r="AV472" i="181"/>
  <c r="AU472" i="181"/>
  <c r="AQ472" i="181"/>
  <c r="AP472" i="181"/>
  <c r="AD472" i="181"/>
  <c r="AS472" i="181" s="1"/>
  <c r="AC472" i="181"/>
  <c r="AA472" i="181"/>
  <c r="AZ463" i="181"/>
  <c r="AV463" i="181"/>
  <c r="AU463" i="181"/>
  <c r="AQ463" i="181"/>
  <c r="AP463" i="181"/>
  <c r="AD463" i="181"/>
  <c r="AT463" i="181" s="1"/>
  <c r="BO463" i="181" s="1"/>
  <c r="AC463" i="181"/>
  <c r="AA463" i="181"/>
  <c r="AZ454" i="181"/>
  <c r="AV454" i="181"/>
  <c r="AU454" i="181"/>
  <c r="AQ454" i="181"/>
  <c r="AP454" i="181"/>
  <c r="AD454" i="181"/>
  <c r="AT454" i="181" s="1"/>
  <c r="BO454" i="181" s="1"/>
  <c r="AC454" i="181"/>
  <c r="AA454" i="181"/>
  <c r="AZ445" i="181"/>
  <c r="AV445" i="181"/>
  <c r="AU445" i="181"/>
  <c r="AQ445" i="181"/>
  <c r="AP445" i="181"/>
  <c r="AC445" i="181"/>
  <c r="AA445" i="181"/>
  <c r="AZ436" i="181"/>
  <c r="AV436" i="181"/>
  <c r="AU436" i="181"/>
  <c r="AQ436" i="181"/>
  <c r="AP436" i="181"/>
  <c r="AC436" i="181"/>
  <c r="AA436" i="181"/>
  <c r="AZ427" i="181"/>
  <c r="AV427" i="181"/>
  <c r="AU427" i="181"/>
  <c r="AQ427" i="181"/>
  <c r="AP427" i="181"/>
  <c r="AD427" i="181"/>
  <c r="AT427" i="181" s="1"/>
  <c r="BO427" i="181" s="1"/>
  <c r="AC427" i="181"/>
  <c r="AA427" i="181"/>
  <c r="BQ418" i="181"/>
  <c r="AZ418" i="181"/>
  <c r="AV418" i="181"/>
  <c r="AU418" i="181"/>
  <c r="AQ418" i="181"/>
  <c r="AP418" i="181"/>
  <c r="AD418" i="181"/>
  <c r="AS418" i="181" s="1"/>
  <c r="AC418" i="181"/>
  <c r="BQ409" i="181"/>
  <c r="AZ409" i="181"/>
  <c r="AV409" i="181"/>
  <c r="AU409" i="181"/>
  <c r="AQ409" i="181"/>
  <c r="AP409" i="181"/>
  <c r="AD409" i="181"/>
  <c r="AS409" i="181" s="1"/>
  <c r="AC409" i="181"/>
  <c r="BQ400" i="181"/>
  <c r="AZ400" i="181"/>
  <c r="AV400" i="181"/>
  <c r="AU400" i="181"/>
  <c r="AQ400" i="181"/>
  <c r="AP400" i="181"/>
  <c r="AD400" i="181"/>
  <c r="AC400" i="181"/>
  <c r="AQ395" i="181"/>
  <c r="AS394" i="181"/>
  <c r="AR394" i="181"/>
  <c r="AQ394" i="181"/>
  <c r="AM382" i="181"/>
  <c r="V382" i="181"/>
  <c r="BN381" i="181"/>
  <c r="BL381" i="181"/>
  <c r="BB381" i="181"/>
  <c r="BA381" i="181"/>
  <c r="AY381" i="181"/>
  <c r="AX381" i="181"/>
  <c r="AN381" i="181"/>
  <c r="AM381" i="181"/>
  <c r="AL381" i="181"/>
  <c r="AL696" i="181" s="1"/>
  <c r="AK381" i="181"/>
  <c r="AB381" i="181"/>
  <c r="Y381" i="181"/>
  <c r="W381" i="181"/>
  <c r="R381" i="181"/>
  <c r="L381" i="181"/>
  <c r="F381" i="181"/>
  <c r="AZ380" i="181"/>
  <c r="AV380" i="181"/>
  <c r="AU380" i="181"/>
  <c r="AQ380" i="181"/>
  <c r="AP380" i="181"/>
  <c r="AD380" i="181"/>
  <c r="AC380" i="181"/>
  <c r="S380" i="181"/>
  <c r="M380" i="181"/>
  <c r="AZ371" i="181"/>
  <c r="AV371" i="181"/>
  <c r="AU371" i="181"/>
  <c r="AQ371" i="181"/>
  <c r="AP371" i="181"/>
  <c r="AD371" i="181"/>
  <c r="AC371" i="181"/>
  <c r="S371" i="181"/>
  <c r="M371" i="181"/>
  <c r="AZ362" i="181"/>
  <c r="AV362" i="181"/>
  <c r="AU362" i="181"/>
  <c r="AQ362" i="181"/>
  <c r="AP362" i="181"/>
  <c r="AD362" i="181"/>
  <c r="AS362" i="181" s="1"/>
  <c r="AC362" i="181"/>
  <c r="S362" i="181"/>
  <c r="M362" i="181"/>
  <c r="AZ353" i="181"/>
  <c r="AV353" i="181"/>
  <c r="AU353" i="181"/>
  <c r="AQ353" i="181"/>
  <c r="AP353" i="181"/>
  <c r="AD353" i="181"/>
  <c r="AC353" i="181"/>
  <c r="S353" i="181"/>
  <c r="M353" i="181"/>
  <c r="AZ344" i="181"/>
  <c r="AV344" i="181"/>
  <c r="AU344" i="181"/>
  <c r="AQ344" i="181"/>
  <c r="AP344" i="181"/>
  <c r="AD344" i="181"/>
  <c r="AC344" i="181"/>
  <c r="S344" i="181"/>
  <c r="M344" i="181"/>
  <c r="AZ335" i="181"/>
  <c r="AV335" i="181"/>
  <c r="AU335" i="181"/>
  <c r="AQ335" i="181"/>
  <c r="AP335" i="181"/>
  <c r="AD335" i="181"/>
  <c r="AC335" i="181"/>
  <c r="S335" i="181"/>
  <c r="M335" i="181"/>
  <c r="AZ326" i="181"/>
  <c r="AV326" i="181"/>
  <c r="AU326" i="181"/>
  <c r="AQ326" i="181"/>
  <c r="AP326" i="181"/>
  <c r="AD326" i="181"/>
  <c r="AC326" i="181"/>
  <c r="S326" i="181"/>
  <c r="M326" i="181"/>
  <c r="AZ317" i="181"/>
  <c r="AV317" i="181"/>
  <c r="AU317" i="181"/>
  <c r="AQ317" i="181"/>
  <c r="AP317" i="181"/>
  <c r="AD317" i="181"/>
  <c r="AT317" i="181" s="1"/>
  <c r="AC317" i="181"/>
  <c r="S317" i="181"/>
  <c r="M317" i="181"/>
  <c r="AQ312" i="181"/>
  <c r="AQ311" i="181"/>
  <c r="V299" i="181"/>
  <c r="BN298" i="181"/>
  <c r="BB298" i="181"/>
  <c r="BA298" i="181"/>
  <c r="BA696" i="181" s="1"/>
  <c r="AY298" i="181"/>
  <c r="AX298" i="181"/>
  <c r="AM298" i="181"/>
  <c r="AL298" i="181"/>
  <c r="AK298" i="181"/>
  <c r="AK696" i="181" s="1"/>
  <c r="AI298" i="181"/>
  <c r="AH298" i="181"/>
  <c r="AB298" i="181"/>
  <c r="AB696" i="181" s="1"/>
  <c r="Y298" i="181"/>
  <c r="W298" i="181"/>
  <c r="F298" i="181"/>
  <c r="AZ297" i="181"/>
  <c r="AV297" i="181"/>
  <c r="AU297" i="181"/>
  <c r="AQ297" i="181"/>
  <c r="AP297" i="181"/>
  <c r="AD297" i="181"/>
  <c r="AT297" i="181" s="1"/>
  <c r="AC297" i="181"/>
  <c r="AA297" i="181"/>
  <c r="AZ288" i="181"/>
  <c r="AV288" i="181"/>
  <c r="AU288" i="181"/>
  <c r="AQ288" i="181"/>
  <c r="AP288" i="181"/>
  <c r="AD288" i="181"/>
  <c r="AT288" i="181" s="1"/>
  <c r="AC288" i="181"/>
  <c r="AA288" i="181"/>
  <c r="AZ279" i="181"/>
  <c r="AV279" i="181"/>
  <c r="AU279" i="181"/>
  <c r="AQ279" i="181"/>
  <c r="AP279" i="181"/>
  <c r="AD279" i="181"/>
  <c r="AC279" i="181"/>
  <c r="AA279" i="181"/>
  <c r="AZ270" i="181"/>
  <c r="AV270" i="181"/>
  <c r="AU270" i="181"/>
  <c r="AQ270" i="181"/>
  <c r="AP270" i="181"/>
  <c r="AD270" i="181"/>
  <c r="AS270" i="181" s="1"/>
  <c r="AC270" i="181"/>
  <c r="AA270" i="181"/>
  <c r="AZ261" i="181"/>
  <c r="AV261" i="181"/>
  <c r="AU261" i="181"/>
  <c r="AQ261" i="181"/>
  <c r="AP261" i="181"/>
  <c r="AD261" i="181"/>
  <c r="AT261" i="181" s="1"/>
  <c r="AC261" i="181"/>
  <c r="AA261" i="181"/>
  <c r="AZ252" i="181"/>
  <c r="AV252" i="181"/>
  <c r="AU252" i="181"/>
  <c r="AQ252" i="181"/>
  <c r="AP252" i="181"/>
  <c r="AD252" i="181"/>
  <c r="AT252" i="181" s="1"/>
  <c r="AC252" i="181"/>
  <c r="AA252" i="181"/>
  <c r="AZ243" i="181"/>
  <c r="AV243" i="181"/>
  <c r="AU243" i="181"/>
  <c r="AQ243" i="181"/>
  <c r="AP243" i="181"/>
  <c r="AD243" i="181"/>
  <c r="AT243" i="181" s="1"/>
  <c r="AC243" i="181"/>
  <c r="AA243" i="181"/>
  <c r="AZ234" i="181"/>
  <c r="AV234" i="181"/>
  <c r="AU234" i="181"/>
  <c r="AQ234" i="181"/>
  <c r="AP234" i="181"/>
  <c r="AD234" i="181"/>
  <c r="AS234" i="181" s="1"/>
  <c r="AC234" i="181"/>
  <c r="AA234" i="181"/>
  <c r="AZ225" i="181"/>
  <c r="AV225" i="181"/>
  <c r="AU225" i="181"/>
  <c r="AQ225" i="181"/>
  <c r="AP225" i="181"/>
  <c r="AD225" i="181"/>
  <c r="AC225" i="181"/>
  <c r="AA225" i="181"/>
  <c r="AZ216" i="181"/>
  <c r="AV216" i="181"/>
  <c r="AU216" i="181"/>
  <c r="AQ216" i="181"/>
  <c r="AP216" i="181"/>
  <c r="AD216" i="181"/>
  <c r="AT216" i="181" s="1"/>
  <c r="AC216" i="181"/>
  <c r="AA216" i="181"/>
  <c r="AZ207" i="181"/>
  <c r="AV207" i="181"/>
  <c r="AU207" i="181"/>
  <c r="AQ207" i="181"/>
  <c r="AP207" i="181"/>
  <c r="AD207" i="181"/>
  <c r="AT207" i="181" s="1"/>
  <c r="AC207" i="181"/>
  <c r="AA207" i="181"/>
  <c r="AZ198" i="181"/>
  <c r="AV198" i="181"/>
  <c r="AU198" i="181"/>
  <c r="AQ198" i="181"/>
  <c r="AP198" i="181"/>
  <c r="AD198" i="181"/>
  <c r="AC198" i="181"/>
  <c r="AA198" i="181"/>
  <c r="AZ189" i="181"/>
  <c r="AV189" i="181"/>
  <c r="AU189" i="181"/>
  <c r="AQ189" i="181"/>
  <c r="AP189" i="181"/>
  <c r="AD189" i="181"/>
  <c r="AT189" i="181" s="1"/>
  <c r="AC189" i="181"/>
  <c r="AA189" i="181"/>
  <c r="AZ180" i="181"/>
  <c r="AV180" i="181"/>
  <c r="AU180" i="181"/>
  <c r="AQ180" i="181"/>
  <c r="AP180" i="181"/>
  <c r="AD180" i="181"/>
  <c r="AS180" i="181" s="1"/>
  <c r="AC180" i="181"/>
  <c r="AA180" i="181"/>
  <c r="AZ171" i="181"/>
  <c r="AV171" i="181"/>
  <c r="AU171" i="181"/>
  <c r="AQ171" i="181"/>
  <c r="AP171" i="181"/>
  <c r="AD171" i="181"/>
  <c r="AT171" i="181" s="1"/>
  <c r="AC171" i="181"/>
  <c r="AA171" i="181"/>
  <c r="AZ162" i="181"/>
  <c r="AV162" i="181"/>
  <c r="AU162" i="181"/>
  <c r="AQ162" i="181"/>
  <c r="AP162" i="181"/>
  <c r="AD162" i="181"/>
  <c r="AT162" i="181" s="1"/>
  <c r="AC162" i="181"/>
  <c r="AA162" i="181"/>
  <c r="AZ153" i="181"/>
  <c r="AV153" i="181"/>
  <c r="AU153" i="181"/>
  <c r="AQ153" i="181"/>
  <c r="AP153" i="181"/>
  <c r="AD153" i="181"/>
  <c r="AT153" i="181" s="1"/>
  <c r="AC153" i="181"/>
  <c r="AA153" i="181"/>
  <c r="AZ144" i="181"/>
  <c r="AV144" i="181"/>
  <c r="AU144" i="181"/>
  <c r="AQ144" i="181"/>
  <c r="AP144" i="181"/>
  <c r="AD144" i="181"/>
  <c r="AC144" i="181"/>
  <c r="AA144" i="181"/>
  <c r="AZ135" i="181"/>
  <c r="AV135" i="181"/>
  <c r="AU135" i="181"/>
  <c r="AQ135" i="181"/>
  <c r="AP135" i="181"/>
  <c r="AD135" i="181"/>
  <c r="AT135" i="181" s="1"/>
  <c r="AC135" i="181"/>
  <c r="AA135" i="181"/>
  <c r="AZ126" i="181"/>
  <c r="AV126" i="181"/>
  <c r="AU126" i="181"/>
  <c r="AQ126" i="181"/>
  <c r="AP126" i="181"/>
  <c r="AD126" i="181"/>
  <c r="AS126" i="181" s="1"/>
  <c r="AC126" i="181"/>
  <c r="AA126" i="181"/>
  <c r="AZ117" i="181"/>
  <c r="AV117" i="181"/>
  <c r="AU117" i="181"/>
  <c r="AQ117" i="181"/>
  <c r="AP117" i="181"/>
  <c r="AD117" i="181"/>
  <c r="AC117" i="181"/>
  <c r="AA117" i="181"/>
  <c r="AZ108" i="181"/>
  <c r="AV108" i="181"/>
  <c r="AU108" i="181"/>
  <c r="AQ108" i="181"/>
  <c r="AP108" i="181"/>
  <c r="AD108" i="181"/>
  <c r="AT108" i="181" s="1"/>
  <c r="AC108" i="181"/>
  <c r="AA108" i="181"/>
  <c r="AZ99" i="181"/>
  <c r="AV99" i="181"/>
  <c r="AU99" i="181"/>
  <c r="AQ99" i="181"/>
  <c r="AP99" i="181"/>
  <c r="AD99" i="181"/>
  <c r="AT99" i="181" s="1"/>
  <c r="AC99" i="181"/>
  <c r="AA99" i="181"/>
  <c r="AZ90" i="181"/>
  <c r="AV90" i="181"/>
  <c r="AU90" i="181"/>
  <c r="AQ90" i="181"/>
  <c r="AP90" i="181"/>
  <c r="AD90" i="181"/>
  <c r="AT90" i="181" s="1"/>
  <c r="AC90" i="181"/>
  <c r="AA90" i="181"/>
  <c r="AZ81" i="181"/>
  <c r="AV81" i="181"/>
  <c r="AU81" i="181"/>
  <c r="AQ81" i="181"/>
  <c r="AP81" i="181"/>
  <c r="AD81" i="181"/>
  <c r="AC81" i="181"/>
  <c r="AA81" i="181"/>
  <c r="AZ72" i="181"/>
  <c r="AV72" i="181"/>
  <c r="AU72" i="181"/>
  <c r="AQ72" i="181"/>
  <c r="AP72" i="181"/>
  <c r="AD72" i="181"/>
  <c r="AT72" i="181" s="1"/>
  <c r="AC72" i="181"/>
  <c r="AA72" i="181"/>
  <c r="AZ63" i="181"/>
  <c r="AV63" i="181"/>
  <c r="AU63" i="181"/>
  <c r="AQ63" i="181"/>
  <c r="AP63" i="181"/>
  <c r="AD63" i="181"/>
  <c r="AS63" i="181" s="1"/>
  <c r="AC63" i="181"/>
  <c r="AA63" i="181"/>
  <c r="AZ54" i="181"/>
  <c r="AV54" i="181"/>
  <c r="AU54" i="181"/>
  <c r="AQ54" i="181"/>
  <c r="AP54" i="181"/>
  <c r="AD54" i="181"/>
  <c r="AC54" i="181"/>
  <c r="AA54" i="181"/>
  <c r="AZ45" i="181"/>
  <c r="AV45" i="181"/>
  <c r="AU45" i="181"/>
  <c r="AQ45" i="181"/>
  <c r="AP45" i="181"/>
  <c r="AD45" i="181"/>
  <c r="AT45" i="181" s="1"/>
  <c r="AC45" i="181"/>
  <c r="AZ36" i="181"/>
  <c r="AV36" i="181"/>
  <c r="AU36" i="181"/>
  <c r="AQ36" i="181"/>
  <c r="AP36" i="181"/>
  <c r="AD36" i="181"/>
  <c r="AC36" i="181"/>
  <c r="AZ27" i="181"/>
  <c r="AV27" i="181"/>
  <c r="AU27" i="181"/>
  <c r="AQ27" i="181"/>
  <c r="AP27" i="181"/>
  <c r="AD27" i="181"/>
  <c r="AS27" i="181" s="1"/>
  <c r="AC27" i="181"/>
  <c r="AZ18" i="181"/>
  <c r="AV18" i="181"/>
  <c r="AU18" i="181"/>
  <c r="AQ18" i="181"/>
  <c r="AP18" i="181"/>
  <c r="AD18" i="181"/>
  <c r="AT18" i="181" s="1"/>
  <c r="AC18" i="181"/>
  <c r="AZ9" i="181"/>
  <c r="AV9" i="181"/>
  <c r="AU9" i="181"/>
  <c r="AQ9" i="181"/>
  <c r="AP9" i="181"/>
  <c r="AD9" i="181"/>
  <c r="AC9" i="181"/>
  <c r="AS4" i="181"/>
  <c r="AQ4" i="181"/>
  <c r="AS3" i="181"/>
  <c r="AR3" i="181"/>
  <c r="AQ3" i="181"/>
  <c r="AH696" i="181" l="1"/>
  <c r="AM383" i="181"/>
  <c r="Y696" i="181"/>
  <c r="G42" i="182"/>
  <c r="G45" i="182" s="1"/>
  <c r="O36" i="182"/>
  <c r="P36" i="182"/>
  <c r="E45" i="182"/>
  <c r="O38" i="182"/>
  <c r="J46" i="182"/>
  <c r="AY683" i="181"/>
  <c r="AT650" i="181"/>
  <c r="AW650" i="181" s="1"/>
  <c r="AT640" i="181"/>
  <c r="AW640" i="181" s="1"/>
  <c r="AT660" i="181"/>
  <c r="AW660" i="181" s="1"/>
  <c r="AD681" i="181"/>
  <c r="AS620" i="181"/>
  <c r="AT670" i="181"/>
  <c r="AW670" i="181" s="1"/>
  <c r="AS630" i="181"/>
  <c r="AW630" i="181" s="1"/>
  <c r="AA681" i="181"/>
  <c r="AW680" i="181"/>
  <c r="AR580" i="181"/>
  <c r="AV681" i="181"/>
  <c r="AR670" i="181"/>
  <c r="AJ696" i="181"/>
  <c r="AJ698" i="181" s="1"/>
  <c r="AR481" i="181"/>
  <c r="AR660" i="181"/>
  <c r="AR454" i="181"/>
  <c r="AR680" i="181"/>
  <c r="AR630" i="181"/>
  <c r="AR472" i="181"/>
  <c r="AR562" i="181"/>
  <c r="AR436" i="181"/>
  <c r="AR490" i="181"/>
  <c r="AZ590" i="181"/>
  <c r="AR409" i="181"/>
  <c r="AQ681" i="181"/>
  <c r="AR427" i="181"/>
  <c r="AR526" i="181"/>
  <c r="AR571" i="181"/>
  <c r="AR445" i="181"/>
  <c r="AR508" i="181"/>
  <c r="AR589" i="181"/>
  <c r="AU681" i="181"/>
  <c r="AR650" i="181"/>
  <c r="AR499" i="181"/>
  <c r="AR517" i="181"/>
  <c r="AR553" i="181"/>
  <c r="AR610" i="181"/>
  <c r="AR620" i="181"/>
  <c r="AR640" i="181"/>
  <c r="AR335" i="181"/>
  <c r="AR317" i="181"/>
  <c r="AR362" i="181"/>
  <c r="BN696" i="181"/>
  <c r="AR344" i="181"/>
  <c r="AR371" i="181"/>
  <c r="AR353" i="181"/>
  <c r="AU381" i="181"/>
  <c r="M381" i="181"/>
  <c r="AP381" i="181"/>
  <c r="AR261" i="181"/>
  <c r="AR297" i="181"/>
  <c r="AS589" i="181"/>
  <c r="AW589" i="181" s="1"/>
  <c r="AR279" i="181"/>
  <c r="AR108" i="181"/>
  <c r="AR54" i="181"/>
  <c r="AR171" i="181"/>
  <c r="AS508" i="181"/>
  <c r="AW508" i="181" s="1"/>
  <c r="AR270" i="181"/>
  <c r="AR36" i="181"/>
  <c r="AS90" i="181"/>
  <c r="BO90" i="181" s="1"/>
  <c r="AR135" i="181"/>
  <c r="AR198" i="181"/>
  <c r="AT270" i="181"/>
  <c r="BO270" i="181" s="1"/>
  <c r="AR288" i="181"/>
  <c r="AH698" i="181"/>
  <c r="AR45" i="181"/>
  <c r="AR72" i="181"/>
  <c r="AR81" i="181"/>
  <c r="AT580" i="181"/>
  <c r="BO580" i="181" s="1"/>
  <c r="AT234" i="181"/>
  <c r="AW234" i="181" s="1"/>
  <c r="AR243" i="181"/>
  <c r="AS499" i="181"/>
  <c r="AW499" i="181" s="1"/>
  <c r="AS526" i="181"/>
  <c r="AW526" i="181" s="1"/>
  <c r="AS45" i="181"/>
  <c r="AW45" i="181" s="1"/>
  <c r="AT126" i="181"/>
  <c r="AW126" i="181" s="1"/>
  <c r="AS317" i="181"/>
  <c r="AW317" i="181" s="1"/>
  <c r="AT63" i="181"/>
  <c r="AW63" i="181" s="1"/>
  <c r="AR189" i="181"/>
  <c r="AS99" i="181"/>
  <c r="AW99" i="181" s="1"/>
  <c r="AR144" i="181"/>
  <c r="AS153" i="181"/>
  <c r="BO153" i="181" s="1"/>
  <c r="AS243" i="181"/>
  <c r="AW243" i="181" s="1"/>
  <c r="AS297" i="181"/>
  <c r="BO297" i="181" s="1"/>
  <c r="AT335" i="181"/>
  <c r="BO335" i="181" s="1"/>
  <c r="AS335" i="181"/>
  <c r="AS18" i="181"/>
  <c r="AW18" i="181" s="1"/>
  <c r="AR27" i="181"/>
  <c r="AS162" i="181"/>
  <c r="AW162" i="181" s="1"/>
  <c r="AS207" i="181"/>
  <c r="AW207" i="181" s="1"/>
  <c r="AS252" i="181"/>
  <c r="AW252" i="181" s="1"/>
  <c r="AS326" i="181"/>
  <c r="AT326" i="181"/>
  <c r="BO326" i="181" s="1"/>
  <c r="AU298" i="181"/>
  <c r="AS189" i="181"/>
  <c r="BO189" i="181" s="1"/>
  <c r="AS216" i="181"/>
  <c r="AW216" i="181" s="1"/>
  <c r="AR234" i="181"/>
  <c r="AT362" i="181"/>
  <c r="BO362" i="181" s="1"/>
  <c r="AS261" i="181"/>
  <c r="AW261" i="181" s="1"/>
  <c r="AT353" i="181"/>
  <c r="BO353" i="181" s="1"/>
  <c r="AS353" i="181"/>
  <c r="AT371" i="181"/>
  <c r="BO371" i="181" s="1"/>
  <c r="AS371" i="181"/>
  <c r="AS380" i="181"/>
  <c r="AT380" i="181"/>
  <c r="BO380" i="181" s="1"/>
  <c r="AS481" i="181"/>
  <c r="AW481" i="181" s="1"/>
  <c r="AS535" i="181"/>
  <c r="AW535" i="181" s="1"/>
  <c r="AS571" i="181"/>
  <c r="AW571" i="181" s="1"/>
  <c r="T681" i="181"/>
  <c r="U620" i="181"/>
  <c r="AS427" i="181"/>
  <c r="AW427" i="181" s="1"/>
  <c r="AS562" i="181"/>
  <c r="AW562" i="181" s="1"/>
  <c r="U610" i="181"/>
  <c r="AP298" i="181"/>
  <c r="AR63" i="181"/>
  <c r="AT279" i="181"/>
  <c r="AS279" i="181"/>
  <c r="AC298" i="181"/>
  <c r="AR90" i="181"/>
  <c r="AS108" i="181"/>
  <c r="AR117" i="181"/>
  <c r="AR162" i="181"/>
  <c r="AR216" i="181"/>
  <c r="AS454" i="181"/>
  <c r="AW454" i="181" s="1"/>
  <c r="AQ298" i="181"/>
  <c r="AT27" i="181"/>
  <c r="BO27" i="181" s="1"/>
  <c r="AR126" i="181"/>
  <c r="AR225" i="181"/>
  <c r="AZ298" i="181"/>
  <c r="AR18" i="181"/>
  <c r="AT117" i="181"/>
  <c r="AS117" i="181"/>
  <c r="AR207" i="181"/>
  <c r="AT54" i="181"/>
  <c r="AS54" i="181"/>
  <c r="AT144" i="181"/>
  <c r="AS144" i="181"/>
  <c r="AT198" i="181"/>
  <c r="AS198" i="181"/>
  <c r="AS344" i="181"/>
  <c r="AT344" i="181"/>
  <c r="BO344" i="181" s="1"/>
  <c r="AD381" i="181"/>
  <c r="AV298" i="181"/>
  <c r="AT225" i="181"/>
  <c r="AS225" i="181"/>
  <c r="AC590" i="181"/>
  <c r="AQ590" i="181"/>
  <c r="AR400" i="181"/>
  <c r="AD298" i="181"/>
  <c r="AS9" i="181"/>
  <c r="AR9" i="181"/>
  <c r="AS72" i="181"/>
  <c r="AR153" i="181"/>
  <c r="AS171" i="181"/>
  <c r="AR180" i="181"/>
  <c r="AR252" i="181"/>
  <c r="AV381" i="181"/>
  <c r="BO317" i="181"/>
  <c r="AS400" i="181"/>
  <c r="AT400" i="181"/>
  <c r="AT409" i="181"/>
  <c r="BO409" i="181" s="1"/>
  <c r="AT9" i="181"/>
  <c r="AT36" i="181"/>
  <c r="AS36" i="181"/>
  <c r="AT81" i="181"/>
  <c r="AS81" i="181"/>
  <c r="AR99" i="181"/>
  <c r="AS135" i="181"/>
  <c r="AT180" i="181"/>
  <c r="BO180" i="181" s="1"/>
  <c r="S381" i="181"/>
  <c r="AR326" i="181"/>
  <c r="AR380" i="181"/>
  <c r="AQ381" i="181"/>
  <c r="AU590" i="181"/>
  <c r="AR418" i="181"/>
  <c r="AR463" i="181"/>
  <c r="AT472" i="181"/>
  <c r="BO472" i="181" s="1"/>
  <c r="AW620" i="181"/>
  <c r="AY682" i="181"/>
  <c r="AC381" i="181"/>
  <c r="AZ381" i="181"/>
  <c r="AP590" i="181"/>
  <c r="AT418" i="181"/>
  <c r="BO418" i="181" s="1"/>
  <c r="AS288" i="181"/>
  <c r="AW288" i="181" s="1"/>
  <c r="F696" i="181"/>
  <c r="AX696" i="181"/>
  <c r="AX698" i="181" s="1"/>
  <c r="BB696" i="181"/>
  <c r="AX300" i="181"/>
  <c r="AV590" i="181"/>
  <c r="AS463" i="181"/>
  <c r="AW463" i="181" s="1"/>
  <c r="W696" i="181"/>
  <c r="AM696" i="181"/>
  <c r="AY696" i="181"/>
  <c r="AS490" i="181"/>
  <c r="AW490" i="181" s="1"/>
  <c r="AT517" i="181"/>
  <c r="BO517" i="181" s="1"/>
  <c r="AS517" i="181"/>
  <c r="AT544" i="181"/>
  <c r="BO544" i="181" s="1"/>
  <c r="M681" i="181"/>
  <c r="AR535" i="181"/>
  <c r="AR544" i="181"/>
  <c r="AT553" i="181"/>
  <c r="BO553" i="181" s="1"/>
  <c r="AS553" i="181"/>
  <c r="AP681" i="181"/>
  <c r="AZ681" i="181"/>
  <c r="AT610" i="181"/>
  <c r="AT681" i="181" s="1"/>
  <c r="G68" i="175"/>
  <c r="G52" i="175"/>
  <c r="E46" i="182" l="1"/>
  <c r="E47" i="182" s="1"/>
  <c r="G46" i="182"/>
  <c r="L46" i="182"/>
  <c r="AS681" i="181"/>
  <c r="AW610" i="181"/>
  <c r="AW681" i="181" s="1"/>
  <c r="AR681" i="181"/>
  <c r="AR381" i="181"/>
  <c r="AW297" i="181"/>
  <c r="BO252" i="181"/>
  <c r="BO45" i="181"/>
  <c r="AW580" i="181"/>
  <c r="AW326" i="181"/>
  <c r="AU696" i="181"/>
  <c r="BO117" i="181"/>
  <c r="BO216" i="181"/>
  <c r="AW270" i="181"/>
  <c r="AW517" i="181"/>
  <c r="AW90" i="181"/>
  <c r="BO261" i="181"/>
  <c r="BO207" i="181"/>
  <c r="AW409" i="181"/>
  <c r="AT381" i="181"/>
  <c r="AW380" i="181"/>
  <c r="BO234" i="181"/>
  <c r="AW371" i="181"/>
  <c r="BO63" i="181"/>
  <c r="BO9" i="181"/>
  <c r="AW153" i="181"/>
  <c r="AS381" i="181"/>
  <c r="BO243" i="181"/>
  <c r="BO162" i="181"/>
  <c r="AW362" i="181"/>
  <c r="BO126" i="181"/>
  <c r="U681" i="181"/>
  <c r="AW544" i="181"/>
  <c r="BO99" i="181"/>
  <c r="AW225" i="181"/>
  <c r="BO225" i="181"/>
  <c r="AW189" i="181"/>
  <c r="AW335" i="181"/>
  <c r="BO18" i="181"/>
  <c r="AW353" i="181"/>
  <c r="AW180" i="181"/>
  <c r="AW135" i="181"/>
  <c r="BO135" i="181"/>
  <c r="AW81" i="181"/>
  <c r="BO81" i="181"/>
  <c r="AT298" i="181"/>
  <c r="AS298" i="181"/>
  <c r="AW9" i="181"/>
  <c r="AV696" i="181"/>
  <c r="AW344" i="181"/>
  <c r="AW144" i="181"/>
  <c r="BO144" i="181"/>
  <c r="AW54" i="181"/>
  <c r="BO54" i="181"/>
  <c r="AZ696" i="181"/>
  <c r="AW27" i="181"/>
  <c r="AP696" i="181"/>
  <c r="AW36" i="181"/>
  <c r="BO36" i="181"/>
  <c r="AW400" i="181"/>
  <c r="BO171" i="181"/>
  <c r="AW171" i="181"/>
  <c r="AR298" i="181"/>
  <c r="AW553" i="181"/>
  <c r="AW418" i="181"/>
  <c r="AW472" i="181"/>
  <c r="BO381" i="181"/>
  <c r="BO72" i="181"/>
  <c r="AW72" i="181"/>
  <c r="AD300" i="181"/>
  <c r="AW198" i="181"/>
  <c r="BO198" i="181"/>
  <c r="AW117" i="181"/>
  <c r="AQ696" i="181"/>
  <c r="AW279" i="181"/>
  <c r="BO279" i="181"/>
  <c r="BO400" i="181"/>
  <c r="BO288" i="181"/>
  <c r="AR590" i="181"/>
  <c r="BO108" i="181"/>
  <c r="AW108" i="181"/>
  <c r="AC696" i="181"/>
  <c r="G48" i="175"/>
  <c r="G71" i="175"/>
  <c r="G80" i="175"/>
  <c r="AW381" i="181" l="1"/>
  <c r="BO298" i="181"/>
  <c r="AW298" i="181"/>
  <c r="AR696" i="181"/>
  <c r="U86" i="178" l="1"/>
  <c r="R59" i="178"/>
  <c r="R57" i="178"/>
  <c r="R58" i="178"/>
  <c r="R60" i="178"/>
  <c r="B84" i="178"/>
  <c r="C84" i="178"/>
  <c r="I84" i="178"/>
  <c r="L84" i="178"/>
  <c r="O84" i="178"/>
  <c r="R84" i="178"/>
  <c r="U84" i="178"/>
  <c r="X84" i="178"/>
  <c r="AA84" i="178"/>
  <c r="AD84" i="178"/>
  <c r="B85" i="178"/>
  <c r="C85" i="178"/>
  <c r="L85" i="178"/>
  <c r="O85" i="178"/>
  <c r="R85" i="178"/>
  <c r="U85" i="178"/>
  <c r="X85" i="178"/>
  <c r="AA85" i="178"/>
  <c r="AD85" i="178"/>
  <c r="B86" i="178"/>
  <c r="C86" i="178"/>
  <c r="I86" i="178"/>
  <c r="L86" i="178"/>
  <c r="O86" i="178"/>
  <c r="R86" i="178"/>
  <c r="AD86" i="178"/>
  <c r="B80" i="178"/>
  <c r="B81" i="178"/>
  <c r="B82" i="178"/>
  <c r="B83" i="178"/>
  <c r="B79" i="178"/>
  <c r="C80" i="178"/>
  <c r="C81" i="178"/>
  <c r="C82" i="178"/>
  <c r="C83" i="178"/>
  <c r="C79" i="178"/>
  <c r="AE84" i="178" l="1"/>
  <c r="C57" i="178" l="1"/>
  <c r="C58" i="178"/>
  <c r="C59" i="178"/>
  <c r="C60" i="178"/>
  <c r="C61" i="178"/>
  <c r="C62" i="178"/>
  <c r="C63" i="178"/>
  <c r="C64" i="178"/>
  <c r="C65" i="178"/>
  <c r="C66" i="178"/>
  <c r="C67" i="178"/>
  <c r="C68" i="178"/>
  <c r="C69" i="178"/>
  <c r="C70" i="178"/>
  <c r="C71" i="178"/>
  <c r="C72" i="178"/>
  <c r="C73" i="178"/>
  <c r="C74" i="178"/>
  <c r="C75" i="178"/>
  <c r="C76" i="178"/>
  <c r="B76" i="178"/>
  <c r="I76" i="178"/>
  <c r="L76" i="178"/>
  <c r="O76" i="178"/>
  <c r="R76" i="178"/>
  <c r="U76" i="178"/>
  <c r="X76" i="178"/>
  <c r="AA76" i="178"/>
  <c r="AD76" i="178"/>
  <c r="B75" i="178"/>
  <c r="I75" i="178"/>
  <c r="L75" i="178"/>
  <c r="O75" i="178"/>
  <c r="R75" i="178"/>
  <c r="U75" i="178"/>
  <c r="X75" i="178"/>
  <c r="AA75" i="178"/>
  <c r="AD75" i="178"/>
  <c r="B72" i="178"/>
  <c r="I72" i="178"/>
  <c r="L72" i="178"/>
  <c r="O72" i="178"/>
  <c r="R72" i="178"/>
  <c r="U72" i="178"/>
  <c r="X72" i="178"/>
  <c r="AA72" i="178"/>
  <c r="AD72" i="178"/>
  <c r="B73" i="178"/>
  <c r="I73" i="178"/>
  <c r="L73" i="178"/>
  <c r="O73" i="178"/>
  <c r="R73" i="178"/>
  <c r="U73" i="178"/>
  <c r="X73" i="178"/>
  <c r="AA73" i="178"/>
  <c r="AD73" i="178"/>
  <c r="B74" i="178"/>
  <c r="I74" i="178"/>
  <c r="L74" i="178"/>
  <c r="R74" i="178"/>
  <c r="U74" i="178"/>
  <c r="X74" i="178"/>
  <c r="AA74" i="178"/>
  <c r="AD74" i="178"/>
  <c r="AE72" i="178" l="1"/>
  <c r="AE75" i="178"/>
  <c r="AE76" i="178"/>
  <c r="AE73" i="178"/>
  <c r="BA69" i="140" l="1"/>
  <c r="BB69" i="140" l="1"/>
  <c r="F138" i="140" l="1"/>
  <c r="L138" i="140"/>
  <c r="R138" i="140"/>
  <c r="W138" i="140"/>
  <c r="X138" i="140"/>
  <c r="Y138" i="140"/>
  <c r="Z138" i="140"/>
  <c r="AB138" i="140"/>
  <c r="AC138" i="140"/>
  <c r="AE138" i="140"/>
  <c r="AH138" i="140"/>
  <c r="AJ138" i="140"/>
  <c r="AK138" i="140"/>
  <c r="AL138" i="140"/>
  <c r="AM138" i="140"/>
  <c r="AX138" i="140"/>
  <c r="AY138" i="140"/>
  <c r="BA138" i="140"/>
  <c r="BB138" i="140"/>
  <c r="J78" i="175" l="1"/>
  <c r="J79" i="175"/>
  <c r="J77" i="175"/>
  <c r="J80" i="175"/>
  <c r="J76" i="175"/>
  <c r="AI214" i="153" l="1"/>
  <c r="AH214" i="153"/>
  <c r="AF214" i="153"/>
  <c r="AD214" i="153"/>
  <c r="AA214" i="153"/>
  <c r="Z214" i="153"/>
  <c r="Y214" i="153"/>
  <c r="AK79" i="148" l="1"/>
  <c r="AR522" i="150" l="1"/>
  <c r="AR515" i="150"/>
  <c r="AU523" i="150" s="1"/>
  <c r="AI75" i="153"/>
  <c r="AH271" i="150"/>
  <c r="AH128" i="150"/>
  <c r="AH154" i="150"/>
  <c r="AH245" i="150"/>
  <c r="AH76" i="150"/>
  <c r="AH349" i="150"/>
  <c r="AH115" i="150"/>
  <c r="AH102" i="150"/>
  <c r="AH193" i="150"/>
  <c r="AH194" i="150" s="1"/>
  <c r="AH323" i="150"/>
  <c r="AH310" i="150"/>
  <c r="AH180" i="150"/>
  <c r="AH181" i="150" s="1"/>
  <c r="AH167" i="150"/>
  <c r="AH258" i="150"/>
  <c r="AI206" i="153"/>
  <c r="AH75" i="153"/>
  <c r="AF75" i="153"/>
  <c r="AE75" i="153"/>
  <c r="AA75" i="153"/>
  <c r="AD105" i="140" l="1"/>
  <c r="AD106" i="140"/>
  <c r="AD107" i="140"/>
  <c r="AD108" i="140"/>
  <c r="AD109" i="140"/>
  <c r="AC105" i="140"/>
  <c r="AC106" i="140"/>
  <c r="AC107" i="140"/>
  <c r="AC108" i="140"/>
  <c r="AC109" i="140"/>
  <c r="BL110" i="140"/>
  <c r="BN110" i="140"/>
  <c r="BP110" i="140"/>
  <c r="BR110" i="140"/>
  <c r="BS110" i="140"/>
  <c r="F110" i="140"/>
  <c r="W110" i="140"/>
  <c r="Y110" i="140"/>
  <c r="AB110" i="140"/>
  <c r="AH110" i="140"/>
  <c r="AJ110" i="140"/>
  <c r="AK110" i="140"/>
  <c r="AL110" i="140"/>
  <c r="AM110" i="140"/>
  <c r="AX110" i="140"/>
  <c r="AY110" i="140"/>
  <c r="BA110" i="140"/>
  <c r="BB110" i="140"/>
  <c r="AA107" i="140"/>
  <c r="AA108" i="140"/>
  <c r="AA109" i="140"/>
  <c r="C56" i="151"/>
  <c r="C29" i="151"/>
  <c r="BA28" i="151"/>
  <c r="AG28" i="151"/>
  <c r="AF28" i="151"/>
  <c r="AD28" i="151"/>
  <c r="AC28" i="151"/>
  <c r="AB28" i="151"/>
  <c r="Z28" i="151"/>
  <c r="Y28" i="151"/>
  <c r="X28" i="151"/>
  <c r="W28" i="151"/>
  <c r="V28" i="151"/>
  <c r="U28" i="151"/>
  <c r="S28" i="151"/>
  <c r="R28" i="151"/>
  <c r="Q28" i="151"/>
  <c r="P28" i="151"/>
  <c r="O28" i="151"/>
  <c r="L28" i="151"/>
  <c r="K28" i="151"/>
  <c r="J28" i="151"/>
  <c r="I28" i="151"/>
  <c r="H28" i="151"/>
  <c r="G28" i="151"/>
  <c r="E28" i="151"/>
  <c r="D28" i="151"/>
  <c r="BA27" i="151"/>
  <c r="AG27" i="151"/>
  <c r="AF27" i="151"/>
  <c r="AD27" i="151"/>
  <c r="AC27" i="151"/>
  <c r="AB27" i="151"/>
  <c r="Z27" i="151"/>
  <c r="Y27" i="151"/>
  <c r="X27" i="151"/>
  <c r="W27" i="151"/>
  <c r="V27" i="151"/>
  <c r="U27" i="151"/>
  <c r="S27" i="151"/>
  <c r="R27" i="151"/>
  <c r="Q27" i="151"/>
  <c r="P27" i="151"/>
  <c r="O27" i="151"/>
  <c r="L27" i="151"/>
  <c r="K27" i="151"/>
  <c r="J27" i="151"/>
  <c r="I27" i="151"/>
  <c r="H27" i="151"/>
  <c r="G27" i="151"/>
  <c r="E27" i="151"/>
  <c r="D27" i="151"/>
  <c r="AG26" i="151"/>
  <c r="AF26" i="151"/>
  <c r="AD26" i="151"/>
  <c r="AC26" i="151"/>
  <c r="AB26" i="151"/>
  <c r="Z26" i="151"/>
  <c r="Y26" i="151"/>
  <c r="X26" i="151"/>
  <c r="W26" i="151"/>
  <c r="V26" i="151"/>
  <c r="U26" i="151"/>
  <c r="S26" i="151"/>
  <c r="R26" i="151"/>
  <c r="Q26" i="151"/>
  <c r="P26" i="151"/>
  <c r="O26" i="151"/>
  <c r="L26" i="151"/>
  <c r="K26" i="151"/>
  <c r="J26" i="151"/>
  <c r="I26" i="151"/>
  <c r="H26" i="151"/>
  <c r="G26" i="151"/>
  <c r="E26" i="151"/>
  <c r="D26" i="151"/>
  <c r="AX25" i="151"/>
  <c r="AY25" i="151" s="1"/>
  <c r="AZ25" i="151" s="1"/>
  <c r="AG25" i="151"/>
  <c r="AF25" i="151"/>
  <c r="AD25" i="151"/>
  <c r="AC25" i="151"/>
  <c r="AB25" i="151"/>
  <c r="Z25" i="151"/>
  <c r="Y25" i="151"/>
  <c r="U25" i="151"/>
  <c r="S25" i="151"/>
  <c r="R25" i="151"/>
  <c r="Q25" i="151"/>
  <c r="O25" i="151"/>
  <c r="L25" i="151"/>
  <c r="K25" i="151"/>
  <c r="J25" i="151"/>
  <c r="I25" i="151"/>
  <c r="H25" i="151"/>
  <c r="G25" i="151"/>
  <c r="E25" i="151"/>
  <c r="D25" i="151"/>
  <c r="AR26" i="151" l="1"/>
  <c r="BE571" i="181" s="1"/>
  <c r="BI571" i="181" s="1"/>
  <c r="AL26" i="151"/>
  <c r="AQ27" i="151"/>
  <c r="BD580" i="181" s="1"/>
  <c r="BH580" i="181" s="1"/>
  <c r="AL28" i="151"/>
  <c r="AI26" i="151"/>
  <c r="AM26" i="151"/>
  <c r="AQ26" i="151"/>
  <c r="BD571" i="181" s="1"/>
  <c r="BH571" i="181" s="1"/>
  <c r="BJ571" i="181" s="1"/>
  <c r="AJ27" i="151"/>
  <c r="AN27" i="151"/>
  <c r="AR27" i="151"/>
  <c r="BE580" i="181" s="1"/>
  <c r="BI580" i="181" s="1"/>
  <c r="AI28" i="151"/>
  <c r="AM28" i="151"/>
  <c r="AQ28" i="151"/>
  <c r="BD589" i="181" s="1"/>
  <c r="BH589" i="181" s="1"/>
  <c r="AJ26" i="151"/>
  <c r="AN26" i="151"/>
  <c r="AK27" i="151"/>
  <c r="AO27" i="151"/>
  <c r="AJ28" i="151"/>
  <c r="AN28" i="151"/>
  <c r="AR28" i="151"/>
  <c r="BE589" i="181" s="1"/>
  <c r="BI589" i="181" s="1"/>
  <c r="AK26" i="151"/>
  <c r="AO26" i="151"/>
  <c r="AH27" i="151"/>
  <c r="E580" i="181" s="1"/>
  <c r="G580" i="181" s="1"/>
  <c r="AL27" i="151"/>
  <c r="AK28" i="151"/>
  <c r="AO28" i="151"/>
  <c r="AH26" i="151"/>
  <c r="E571" i="181" s="1"/>
  <c r="G571" i="181" s="1"/>
  <c r="AI27" i="151"/>
  <c r="AM27" i="151"/>
  <c r="AH28" i="151"/>
  <c r="AR25" i="151"/>
  <c r="AI25" i="151"/>
  <c r="AM25" i="151"/>
  <c r="AQ25" i="151"/>
  <c r="AK25" i="151"/>
  <c r="AO25" i="151"/>
  <c r="AH25" i="151"/>
  <c r="AL25" i="151"/>
  <c r="AJ25" i="151"/>
  <c r="AN25" i="151"/>
  <c r="N108" i="140" l="1"/>
  <c r="N580" i="181"/>
  <c r="O580" i="181" s="1"/>
  <c r="H109" i="140"/>
  <c r="H589" i="181"/>
  <c r="I589" i="181" s="1"/>
  <c r="T107" i="140"/>
  <c r="U107" i="140" s="1"/>
  <c r="T571" i="181"/>
  <c r="P106" i="140"/>
  <c r="P562" i="181"/>
  <c r="Q562" i="181" s="1"/>
  <c r="L107" i="140"/>
  <c r="L571" i="181"/>
  <c r="M571" i="181" s="1"/>
  <c r="H106" i="140"/>
  <c r="H562" i="181"/>
  <c r="I562" i="181" s="1"/>
  <c r="J108" i="140"/>
  <c r="J580" i="181"/>
  <c r="K580" i="181" s="1"/>
  <c r="J109" i="140"/>
  <c r="J589" i="181"/>
  <c r="K589" i="181" s="1"/>
  <c r="P108" i="140"/>
  <c r="Q108" i="140" s="1"/>
  <c r="P580" i="181"/>
  <c r="Q580" i="181" s="1"/>
  <c r="H107" i="140"/>
  <c r="H571" i="181"/>
  <c r="I571" i="181" s="1"/>
  <c r="L108" i="140"/>
  <c r="L580" i="181"/>
  <c r="M580" i="181" s="1"/>
  <c r="J106" i="140"/>
  <c r="J562" i="181"/>
  <c r="K562" i="181" s="1"/>
  <c r="BJ580" i="181"/>
  <c r="N106" i="140"/>
  <c r="N562" i="181"/>
  <c r="O562" i="181" s="1"/>
  <c r="T109" i="140"/>
  <c r="T589" i="181"/>
  <c r="J107" i="140"/>
  <c r="J571" i="181"/>
  <c r="K571" i="181" s="1"/>
  <c r="N107" i="140"/>
  <c r="N571" i="181"/>
  <c r="O571" i="181" s="1"/>
  <c r="T106" i="140"/>
  <c r="U106" i="140" s="1"/>
  <c r="T562" i="181"/>
  <c r="P109" i="140"/>
  <c r="Q109" i="140" s="1"/>
  <c r="P589" i="181"/>
  <c r="Q589" i="181" s="1"/>
  <c r="L106" i="140"/>
  <c r="L562" i="181"/>
  <c r="M562" i="181" s="1"/>
  <c r="BD106" i="140"/>
  <c r="BD562" i="181"/>
  <c r="BH562" i="181" s="1"/>
  <c r="R108" i="140"/>
  <c r="S108" i="140" s="1"/>
  <c r="R580" i="181"/>
  <c r="S580" i="181" s="1"/>
  <c r="BE106" i="140"/>
  <c r="BE562" i="181"/>
  <c r="BI562" i="181" s="1"/>
  <c r="R109" i="140"/>
  <c r="S109" i="140" s="1"/>
  <c r="R589" i="181"/>
  <c r="S589" i="181" s="1"/>
  <c r="E109" i="140"/>
  <c r="E589" i="181"/>
  <c r="G589" i="181" s="1"/>
  <c r="P107" i="140"/>
  <c r="Q107" i="140" s="1"/>
  <c r="P571" i="181"/>
  <c r="Q571" i="181" s="1"/>
  <c r="T108" i="140"/>
  <c r="T580" i="181"/>
  <c r="R106" i="140"/>
  <c r="S106" i="140" s="1"/>
  <c r="R562" i="181"/>
  <c r="S562" i="181" s="1"/>
  <c r="H108" i="140"/>
  <c r="H580" i="181"/>
  <c r="I580" i="181" s="1"/>
  <c r="N109" i="140"/>
  <c r="N589" i="181"/>
  <c r="O589" i="181" s="1"/>
  <c r="R107" i="140"/>
  <c r="S107" i="140" s="1"/>
  <c r="R571" i="181"/>
  <c r="S571" i="181" s="1"/>
  <c r="E106" i="140"/>
  <c r="E562" i="181"/>
  <c r="G562" i="181" s="1"/>
  <c r="L109" i="140"/>
  <c r="L589" i="181"/>
  <c r="M589" i="181" s="1"/>
  <c r="BJ589" i="181"/>
  <c r="BE109" i="140"/>
  <c r="BI109" i="140" s="1"/>
  <c r="BD107" i="140"/>
  <c r="BH107" i="140" s="1"/>
  <c r="BD108" i="140"/>
  <c r="BH108" i="140" s="1"/>
  <c r="BE108" i="140"/>
  <c r="BI108" i="140" s="1"/>
  <c r="BD109" i="140"/>
  <c r="BH109" i="140" s="1"/>
  <c r="BE107" i="140"/>
  <c r="BI107" i="140" s="1"/>
  <c r="U109" i="140"/>
  <c r="V109" i="140"/>
  <c r="U108" i="140"/>
  <c r="AP26" i="151"/>
  <c r="E107" i="140"/>
  <c r="AP27" i="151"/>
  <c r="AT27" i="151" s="1"/>
  <c r="E108" i="140"/>
  <c r="AP28" i="151"/>
  <c r="AT28" i="151" s="1"/>
  <c r="AP25" i="151"/>
  <c r="AT25" i="151" s="1"/>
  <c r="AG50" i="150"/>
  <c r="AG525" i="150"/>
  <c r="AG284" i="150"/>
  <c r="AG287" i="150" s="1"/>
  <c r="AG271" i="150"/>
  <c r="AG128" i="150"/>
  <c r="AG131" i="150" s="1"/>
  <c r="AG297" i="150"/>
  <c r="AG299" i="150" s="1"/>
  <c r="AG89" i="150"/>
  <c r="AG90" i="150" s="1"/>
  <c r="AG63" i="150"/>
  <c r="AG76" i="150"/>
  <c r="AG79" i="150" s="1"/>
  <c r="AG141" i="150"/>
  <c r="AG142" i="150" s="1"/>
  <c r="AG349" i="150"/>
  <c r="AG118" i="150"/>
  <c r="AG11" i="150"/>
  <c r="AG14" i="150" s="1"/>
  <c r="AG102" i="150"/>
  <c r="AG104" i="150" s="1"/>
  <c r="AG326" i="150"/>
  <c r="AG310" i="150"/>
  <c r="AG232" i="150"/>
  <c r="AG170" i="150"/>
  <c r="AG258" i="150"/>
  <c r="U562" i="181" l="1"/>
  <c r="V562" i="181"/>
  <c r="V108" i="140"/>
  <c r="V107" i="140"/>
  <c r="V571" i="181"/>
  <c r="U571" i="181"/>
  <c r="U580" i="181"/>
  <c r="V580" i="181"/>
  <c r="BJ562" i="181"/>
  <c r="U589" i="181"/>
  <c r="V589" i="181"/>
  <c r="BJ109" i="140"/>
  <c r="BJ108" i="140"/>
  <c r="BJ107" i="140"/>
  <c r="BG108" i="140"/>
  <c r="BK108" i="140" s="1"/>
  <c r="X108" i="140"/>
  <c r="BG107" i="140"/>
  <c r="BK107" i="140" s="1"/>
  <c r="X107" i="140"/>
  <c r="M74" i="178" s="1"/>
  <c r="O74" i="178" s="1"/>
  <c r="AE74" i="178" s="1"/>
  <c r="X109" i="140"/>
  <c r="BG109" i="140"/>
  <c r="BK109" i="140" s="1"/>
  <c r="X61" i="153"/>
  <c r="X30" i="153"/>
  <c r="X7" i="153"/>
  <c r="X571" i="181" l="1"/>
  <c r="BG571" i="181"/>
  <c r="BK571" i="181" s="1"/>
  <c r="X589" i="181"/>
  <c r="BG589" i="181"/>
  <c r="BK589" i="181" s="1"/>
  <c r="BG580" i="181"/>
  <c r="BK580" i="181" s="1"/>
  <c r="X580" i="181"/>
  <c r="X562" i="181"/>
  <c r="BG562" i="181"/>
  <c r="BK562" i="181" s="1"/>
  <c r="AE14" i="150"/>
  <c r="AE128" i="150"/>
  <c r="AE154" i="150"/>
  <c r="AE157" i="150" s="1"/>
  <c r="AE297" i="150"/>
  <c r="AE89" i="150"/>
  <c r="AE63" i="150" l="1"/>
  <c r="AE76" i="150"/>
  <c r="AE349" i="150"/>
  <c r="AE284" i="150"/>
  <c r="AE115" i="150"/>
  <c r="AE50" i="150"/>
  <c r="AE102" i="150"/>
  <c r="AE37" i="150"/>
  <c r="AE193" i="150"/>
  <c r="AE323" i="150"/>
  <c r="AE310" i="150"/>
  <c r="AE180" i="150"/>
  <c r="AE167" i="150"/>
  <c r="AE258" i="150"/>
  <c r="AC65" i="147"/>
  <c r="AD65" i="147"/>
  <c r="W214" i="153" l="1"/>
  <c r="U214" i="153"/>
  <c r="T214" i="153"/>
  <c r="S214" i="153"/>
  <c r="Q278" i="153"/>
  <c r="Q276" i="153"/>
  <c r="Q267" i="153"/>
  <c r="Q246" i="153"/>
  <c r="Q244" i="153"/>
  <c r="Q240" i="153"/>
  <c r="Q235" i="153"/>
  <c r="Q216" i="153"/>
  <c r="R214" i="153"/>
  <c r="R216" i="153"/>
  <c r="R235" i="153"/>
  <c r="R240" i="153"/>
  <c r="R244" i="153"/>
  <c r="R246" i="153"/>
  <c r="R267" i="153"/>
  <c r="R276" i="153"/>
  <c r="J214" i="153"/>
  <c r="I214" i="153"/>
  <c r="Z75" i="153"/>
  <c r="Y75" i="153"/>
  <c r="X75" i="153"/>
  <c r="W75" i="153"/>
  <c r="U75" i="153"/>
  <c r="T75" i="153"/>
  <c r="S75" i="153"/>
  <c r="Q75" i="153"/>
  <c r="R75" i="153"/>
  <c r="O75" i="153"/>
  <c r="M75" i="153"/>
  <c r="J75" i="153"/>
  <c r="I75" i="153"/>
  <c r="G75" i="153"/>
  <c r="F75" i="153"/>
  <c r="AH154" i="140" l="1"/>
  <c r="AD525" i="150" l="1"/>
  <c r="AD271" i="150"/>
  <c r="AD89" i="150"/>
  <c r="AD63" i="150"/>
  <c r="AD141" i="150"/>
  <c r="AD349" i="150"/>
  <c r="AD11" i="150"/>
  <c r="AD37" i="150"/>
  <c r="AD24" i="150"/>
  <c r="AD219" i="150"/>
  <c r="AD310" i="150"/>
  <c r="AD180" i="150"/>
  <c r="AD258" i="150"/>
  <c r="AN515" i="150" l="1"/>
  <c r="AN522" i="150"/>
  <c r="AC525" i="150" l="1"/>
  <c r="AC76" i="150"/>
  <c r="AC141" i="150"/>
  <c r="AC284" i="150"/>
  <c r="AC11" i="150"/>
  <c r="AA525" i="150" l="1"/>
  <c r="AA154" i="150"/>
  <c r="AA245" i="150"/>
  <c r="AA63" i="150"/>
  <c r="AA76" i="150"/>
  <c r="AA349" i="150"/>
  <c r="AA115" i="150"/>
  <c r="AA11" i="150"/>
  <c r="AA50" i="150"/>
  <c r="AA102" i="150"/>
  <c r="AA167" i="150"/>
  <c r="X55" i="151" l="1"/>
  <c r="Y55" i="151"/>
  <c r="Z55" i="151"/>
  <c r="AB55" i="151"/>
  <c r="AC55" i="151"/>
  <c r="AD55" i="151"/>
  <c r="AF55" i="151"/>
  <c r="AG55" i="151"/>
  <c r="W55" i="151"/>
  <c r="Z128" i="150" l="1"/>
  <c r="Z297" i="150"/>
  <c r="Z525" i="150"/>
  <c r="Z245" i="150"/>
  <c r="Z50" i="150"/>
  <c r="Z102" i="150"/>
  <c r="Z310" i="150"/>
  <c r="Y11" i="147" l="1"/>
  <c r="Y525" i="150" l="1"/>
  <c r="Y271" i="150"/>
  <c r="Y128" i="150"/>
  <c r="Y154" i="150"/>
  <c r="Y156" i="150" s="1"/>
  <c r="Y245" i="150"/>
  <c r="Y78" i="150"/>
  <c r="Y141" i="150"/>
  <c r="Y115" i="150"/>
  <c r="Y11" i="150"/>
  <c r="Y50" i="150"/>
  <c r="Y102" i="150"/>
  <c r="Y24" i="150"/>
  <c r="BU110" i="140" l="1"/>
  <c r="BV110" i="140"/>
  <c r="BW110" i="140"/>
  <c r="BL138" i="140"/>
  <c r="BN138" i="140"/>
  <c r="D9" i="180"/>
  <c r="D10" i="180"/>
  <c r="D11" i="180"/>
  <c r="D12" i="180"/>
  <c r="D13" i="180"/>
  <c r="D14" i="180"/>
  <c r="D15" i="180"/>
  <c r="D16" i="180"/>
  <c r="D17" i="180"/>
  <c r="D18" i="180"/>
  <c r="D19" i="180"/>
  <c r="D20" i="180"/>
  <c r="D21" i="180"/>
  <c r="D22" i="180"/>
  <c r="D23" i="180"/>
  <c r="D24" i="180"/>
  <c r="D25" i="180"/>
  <c r="D26" i="180"/>
  <c r="D27" i="180"/>
  <c r="D28" i="180"/>
  <c r="D29" i="180"/>
  <c r="D30" i="180"/>
  <c r="D31" i="180"/>
  <c r="D32" i="180"/>
  <c r="D33" i="180"/>
  <c r="D34" i="180"/>
  <c r="D35" i="180"/>
  <c r="D36" i="180"/>
  <c r="D37" i="180"/>
  <c r="D38" i="180"/>
  <c r="D39" i="180"/>
  <c r="D40" i="180"/>
  <c r="E38" i="174"/>
  <c r="G38" i="174" s="1"/>
  <c r="E40" i="174"/>
  <c r="G40" i="174" s="1"/>
  <c r="E41" i="174"/>
  <c r="G41" i="174" s="1"/>
  <c r="AI370" i="150"/>
  <c r="AK370" i="150" s="1"/>
  <c r="AN288" i="181" s="1"/>
  <c r="AI369" i="150"/>
  <c r="AK369" i="150" s="1"/>
  <c r="AI368" i="150"/>
  <c r="AI367" i="150"/>
  <c r="AK367" i="150" s="1"/>
  <c r="F366" i="150"/>
  <c r="AI366" i="150" s="1"/>
  <c r="AK366" i="150" s="1"/>
  <c r="E366" i="150"/>
  <c r="K365" i="150"/>
  <c r="AI365" i="150" s="1"/>
  <c r="AK365" i="150" s="1"/>
  <c r="I364" i="150"/>
  <c r="AI364" i="150" s="1"/>
  <c r="AK364" i="150" s="1"/>
  <c r="AI363" i="150"/>
  <c r="AK363" i="150" s="1"/>
  <c r="S362" i="150"/>
  <c r="AI362" i="150" s="1"/>
  <c r="AI361" i="150"/>
  <c r="AI358" i="150"/>
  <c r="AD11" i="140"/>
  <c r="AD12" i="140"/>
  <c r="AD13" i="140"/>
  <c r="AD14" i="140"/>
  <c r="AD15" i="140"/>
  <c r="AD16" i="140"/>
  <c r="AD17" i="140"/>
  <c r="AD18" i="140"/>
  <c r="AD19" i="140"/>
  <c r="AD20" i="140"/>
  <c r="AD21" i="140"/>
  <c r="AD22" i="140"/>
  <c r="AD23" i="140"/>
  <c r="AD24" i="140"/>
  <c r="AD25" i="140"/>
  <c r="AD26" i="140"/>
  <c r="AD27" i="140"/>
  <c r="AD28" i="140"/>
  <c r="AD29" i="140"/>
  <c r="AD30" i="140"/>
  <c r="AD31" i="140"/>
  <c r="AD32" i="140"/>
  <c r="AD33" i="140"/>
  <c r="AD34" i="140"/>
  <c r="AD35" i="140"/>
  <c r="AD36" i="140"/>
  <c r="AD37" i="140"/>
  <c r="AD38" i="140"/>
  <c r="AD39" i="140"/>
  <c r="AD40" i="140"/>
  <c r="AD41" i="140"/>
  <c r="AD90" i="140"/>
  <c r="AD91" i="140"/>
  <c r="AD94" i="140"/>
  <c r="AD95" i="140"/>
  <c r="AD96" i="140"/>
  <c r="AD97" i="140"/>
  <c r="AD98" i="140"/>
  <c r="AD99" i="140"/>
  <c r="AD100" i="140"/>
  <c r="AD101" i="140"/>
  <c r="AD102" i="140"/>
  <c r="AD103" i="140"/>
  <c r="AD104" i="140"/>
  <c r="F78" i="180"/>
  <c r="F79" i="180"/>
  <c r="F80" i="180"/>
  <c r="F81" i="180"/>
  <c r="F82" i="180"/>
  <c r="F83" i="180"/>
  <c r="F84" i="180"/>
  <c r="F85" i="180"/>
  <c r="D79" i="180"/>
  <c r="D80" i="180"/>
  <c r="D81" i="180"/>
  <c r="D82" i="180"/>
  <c r="D83" i="180"/>
  <c r="D84" i="180"/>
  <c r="D85" i="180"/>
  <c r="N75" i="180"/>
  <c r="AG40" i="140" l="1"/>
  <c r="AG288" i="181"/>
  <c r="AK368" i="150"/>
  <c r="M134" i="140"/>
  <c r="T134" i="140"/>
  <c r="U134" i="140" s="1"/>
  <c r="AA134" i="140"/>
  <c r="AD134" i="140"/>
  <c r="AP134" i="140"/>
  <c r="AQ134" i="140"/>
  <c r="AU134" i="140"/>
  <c r="AV134" i="140"/>
  <c r="AZ134" i="140"/>
  <c r="M135" i="140"/>
  <c r="T135" i="140"/>
  <c r="U135" i="140" s="1"/>
  <c r="AA135" i="140"/>
  <c r="AD135" i="140"/>
  <c r="AP135" i="140"/>
  <c r="AQ135" i="140"/>
  <c r="AU135" i="140"/>
  <c r="AV135" i="140"/>
  <c r="AZ135" i="140"/>
  <c r="M136" i="140"/>
  <c r="T136" i="140"/>
  <c r="U136" i="140" s="1"/>
  <c r="AA136" i="140"/>
  <c r="AD136" i="140"/>
  <c r="AP136" i="140"/>
  <c r="AQ136" i="140"/>
  <c r="AU136" i="140"/>
  <c r="AV136" i="140"/>
  <c r="AZ136" i="140"/>
  <c r="M137" i="140"/>
  <c r="T137" i="140"/>
  <c r="AA137" i="140"/>
  <c r="AD137" i="140"/>
  <c r="AP137" i="140"/>
  <c r="AQ137" i="140"/>
  <c r="AU137" i="140"/>
  <c r="AV137" i="140"/>
  <c r="AZ137" i="140"/>
  <c r="E55" i="151"/>
  <c r="G55" i="151"/>
  <c r="H55" i="151"/>
  <c r="I55" i="151"/>
  <c r="J55" i="151"/>
  <c r="K55" i="151"/>
  <c r="L55" i="151"/>
  <c r="O55" i="151"/>
  <c r="P55" i="151"/>
  <c r="Q55" i="151"/>
  <c r="R55" i="151"/>
  <c r="S55" i="151"/>
  <c r="U55" i="151"/>
  <c r="V55" i="151"/>
  <c r="D55" i="151"/>
  <c r="BA54" i="151"/>
  <c r="AG54" i="151"/>
  <c r="AF54" i="151"/>
  <c r="AD54" i="151"/>
  <c r="AC54" i="151"/>
  <c r="AB54" i="151"/>
  <c r="Z54" i="151"/>
  <c r="Y54" i="151"/>
  <c r="X54" i="151"/>
  <c r="W54" i="151"/>
  <c r="V54" i="151"/>
  <c r="U54" i="151"/>
  <c r="R54" i="151"/>
  <c r="Q54" i="151"/>
  <c r="P54" i="151"/>
  <c r="L54" i="151"/>
  <c r="K54" i="151"/>
  <c r="J54" i="151"/>
  <c r="I54" i="151"/>
  <c r="H54" i="151"/>
  <c r="G54" i="151"/>
  <c r="E54" i="151"/>
  <c r="D54" i="151"/>
  <c r="AF40" i="140" l="1"/>
  <c r="AF288" i="181"/>
  <c r="AR137" i="140"/>
  <c r="AR136" i="140"/>
  <c r="AS136" i="140"/>
  <c r="AT136" i="140"/>
  <c r="AS135" i="140"/>
  <c r="AT135" i="140"/>
  <c r="AW137" i="140"/>
  <c r="AS134" i="140"/>
  <c r="AT134" i="140"/>
  <c r="AL54" i="151"/>
  <c r="AR134" i="140"/>
  <c r="AR135" i="140"/>
  <c r="U137" i="140"/>
  <c r="AI54" i="151"/>
  <c r="AM54" i="151"/>
  <c r="AQ54" i="151"/>
  <c r="BD670" i="181" s="1"/>
  <c r="BH670" i="181" s="1"/>
  <c r="BJ670" i="181" s="1"/>
  <c r="AJ54" i="151"/>
  <c r="AN54" i="151"/>
  <c r="AR54" i="151"/>
  <c r="BE670" i="181" s="1"/>
  <c r="BI670" i="181" s="1"/>
  <c r="AO54" i="151"/>
  <c r="AK54" i="151"/>
  <c r="AH54" i="151"/>
  <c r="E670" i="181" s="1"/>
  <c r="G670" i="181" s="1"/>
  <c r="X128" i="150"/>
  <c r="X154" i="150"/>
  <c r="X157" i="150" s="1"/>
  <c r="X297" i="150"/>
  <c r="X89" i="150"/>
  <c r="X245" i="150"/>
  <c r="X76" i="150"/>
  <c r="X141" i="150"/>
  <c r="X115" i="150"/>
  <c r="X118" i="150" s="1"/>
  <c r="X11" i="150"/>
  <c r="X105" i="150"/>
  <c r="X37" i="150"/>
  <c r="X40" i="150" s="1"/>
  <c r="X323" i="150"/>
  <c r="X310" i="150"/>
  <c r="X232" i="150"/>
  <c r="X258" i="150"/>
  <c r="J136" i="140" l="1"/>
  <c r="K136" i="140" s="1"/>
  <c r="J670" i="181"/>
  <c r="K670" i="181" s="1"/>
  <c r="N136" i="140"/>
  <c r="O136" i="140" s="1"/>
  <c r="N670" i="181"/>
  <c r="O670" i="181" s="1"/>
  <c r="P136" i="140"/>
  <c r="Q136" i="140" s="1"/>
  <c r="P670" i="181"/>
  <c r="H136" i="140"/>
  <c r="I136" i="140" s="1"/>
  <c r="H670" i="181"/>
  <c r="BD136" i="140"/>
  <c r="BH136" i="140" s="1"/>
  <c r="E136" i="140"/>
  <c r="G136" i="140" s="1"/>
  <c r="BE136" i="140"/>
  <c r="BI136" i="140" s="1"/>
  <c r="AW134" i="140"/>
  <c r="AW135" i="140"/>
  <c r="AW136" i="140"/>
  <c r="AP54" i="151"/>
  <c r="AT54" i="151" s="1"/>
  <c r="Q143" i="150"/>
  <c r="V298" i="150"/>
  <c r="V273" i="150"/>
  <c r="V207" i="150"/>
  <c r="V194" i="150"/>
  <c r="V155" i="150"/>
  <c r="V142" i="150"/>
  <c r="V129" i="150"/>
  <c r="V103" i="150"/>
  <c r="V90" i="150"/>
  <c r="V77" i="150"/>
  <c r="V64" i="150"/>
  <c r="V38" i="150"/>
  <c r="V12" i="150"/>
  <c r="S670" i="181" l="1"/>
  <c r="I670" i="181"/>
  <c r="Q670" i="181"/>
  <c r="V670" i="181"/>
  <c r="BG670" i="181" s="1"/>
  <c r="BK670" i="181" s="1"/>
  <c r="S136" i="140"/>
  <c r="BJ136" i="140"/>
  <c r="V136" i="140"/>
  <c r="BG136" i="140" s="1"/>
  <c r="BK136" i="140" s="1"/>
  <c r="G85" i="178" s="1"/>
  <c r="I85" i="178" s="1"/>
  <c r="AE85" i="178" s="1"/>
  <c r="AQ516" i="150"/>
  <c r="AQ517" i="150"/>
  <c r="AQ518" i="150"/>
  <c r="AQ519" i="150"/>
  <c r="AQ520" i="150"/>
  <c r="AQ521" i="150"/>
  <c r="V528" i="150"/>
  <c r="V525" i="150"/>
  <c r="V25" i="150"/>
  <c r="W323" i="150"/>
  <c r="V323" i="150"/>
  <c r="V325" i="150" s="1"/>
  <c r="V310" i="150" l="1"/>
  <c r="V312" i="150" s="1"/>
  <c r="V182" i="150"/>
  <c r="W232" i="150"/>
  <c r="V232" i="150"/>
  <c r="V169" i="150"/>
  <c r="W258" i="150"/>
  <c r="V258" i="150"/>
  <c r="V260" i="150" s="1"/>
  <c r="T50" i="150" l="1"/>
  <c r="T310" i="150"/>
  <c r="T89" i="150" l="1"/>
  <c r="T91" i="150" s="1"/>
  <c r="T525" i="150"/>
  <c r="T271" i="150"/>
  <c r="T154" i="150"/>
  <c r="T156" i="150" s="1"/>
  <c r="T63" i="150"/>
  <c r="T78" i="150"/>
  <c r="T141" i="150"/>
  <c r="T143" i="150" s="1"/>
  <c r="T284" i="150"/>
  <c r="T11" i="150"/>
  <c r="T104" i="150"/>
  <c r="T102" i="150"/>
  <c r="T195" i="150"/>
  <c r="T311" i="150"/>
  <c r="T180" i="150"/>
  <c r="T182" i="150" s="1"/>
  <c r="S50" i="150" l="1"/>
  <c r="S525" i="150"/>
  <c r="R522" i="150"/>
  <c r="S522" i="150"/>
  <c r="R515" i="150"/>
  <c r="R516" i="150"/>
  <c r="S518" i="150"/>
  <c r="R519" i="150"/>
  <c r="S519" i="150"/>
  <c r="R520" i="150"/>
  <c r="S520" i="150"/>
  <c r="R521" i="150"/>
  <c r="S521" i="150"/>
  <c r="S323" i="150"/>
  <c r="S128" i="150"/>
  <c r="S271" i="150"/>
  <c r="S297" i="150"/>
  <c r="S206" i="150"/>
  <c r="S208" i="150" s="1"/>
  <c r="S89" i="150"/>
  <c r="S91" i="150" s="1"/>
  <c r="S245" i="150"/>
  <c r="S76" i="150"/>
  <c r="S78" i="150" s="1"/>
  <c r="S141" i="150"/>
  <c r="S284" i="150"/>
  <c r="S115" i="150"/>
  <c r="S11" i="150"/>
  <c r="S13" i="150" s="1"/>
  <c r="S104" i="150"/>
  <c r="S37" i="150"/>
  <c r="S38" i="150" s="1"/>
  <c r="S516" i="150" s="1"/>
  <c r="S193" i="150"/>
  <c r="S310" i="150"/>
  <c r="S312" i="150" s="1"/>
  <c r="S180" i="150"/>
  <c r="S167" i="150"/>
  <c r="S169" i="150" s="1"/>
  <c r="Q300" i="150"/>
  <c r="R299" i="150"/>
  <c r="S515" i="150" l="1"/>
  <c r="S517" i="150"/>
  <c r="H273" i="150"/>
  <c r="E247" i="150"/>
  <c r="H247" i="150"/>
  <c r="Q248" i="150"/>
  <c r="R209" i="150" l="1"/>
  <c r="I209" i="150"/>
  <c r="H208" i="150"/>
  <c r="E207" i="150"/>
  <c r="E156" i="150"/>
  <c r="H156" i="150"/>
  <c r="I156" i="150"/>
  <c r="K156" i="150"/>
  <c r="Q157" i="150"/>
  <c r="R157" i="150"/>
  <c r="R143" i="150"/>
  <c r="I143" i="150"/>
  <c r="H143" i="150"/>
  <c r="H129" i="150"/>
  <c r="I129" i="150"/>
  <c r="Q131" i="150"/>
  <c r="R131" i="150"/>
  <c r="Q92" i="150"/>
  <c r="J91" i="150"/>
  <c r="I91" i="150"/>
  <c r="H91" i="150"/>
  <c r="E91" i="150"/>
  <c r="E65" i="150"/>
  <c r="H65" i="150"/>
  <c r="Q66" i="150"/>
  <c r="Q79" i="150"/>
  <c r="H79" i="150"/>
  <c r="H285" i="150"/>
  <c r="J286" i="150"/>
  <c r="E286" i="150"/>
  <c r="R117" i="150"/>
  <c r="I117" i="150"/>
  <c r="H117" i="150" l="1"/>
  <c r="E12" i="150"/>
  <c r="H13" i="150"/>
  <c r="P52" i="150"/>
  <c r="Q53" i="150"/>
  <c r="R105" i="150"/>
  <c r="R518" i="150" s="1"/>
  <c r="I104" i="150"/>
  <c r="H104" i="150"/>
  <c r="E104" i="150"/>
  <c r="F103" i="150"/>
  <c r="E38" i="150"/>
  <c r="H38" i="150"/>
  <c r="I40" i="150"/>
  <c r="J39" i="150"/>
  <c r="Q40" i="150"/>
  <c r="R39" i="150"/>
  <c r="I195" i="150"/>
  <c r="Q196" i="150"/>
  <c r="R26" i="150"/>
  <c r="Q27" i="150"/>
  <c r="J26" i="150"/>
  <c r="I26" i="150"/>
  <c r="E26" i="150"/>
  <c r="Q222" i="150"/>
  <c r="R182" i="150"/>
  <c r="Q183" i="150"/>
  <c r="J182" i="150"/>
  <c r="H182" i="150"/>
  <c r="H234" i="150"/>
  <c r="I235" i="150"/>
  <c r="P235" i="150"/>
  <c r="R234" i="150"/>
  <c r="Q170" i="150"/>
  <c r="J169" i="150"/>
  <c r="Q261" i="150"/>
  <c r="H260" i="150"/>
  <c r="M528" i="150"/>
  <c r="K528" i="150"/>
  <c r="F528" i="150"/>
  <c r="E528" i="150"/>
  <c r="R528" i="150"/>
  <c r="R525" i="150"/>
  <c r="M525" i="150"/>
  <c r="K525" i="150"/>
  <c r="F525" i="150"/>
  <c r="E525" i="150"/>
  <c r="R517" i="150" l="1"/>
  <c r="Q19" i="147"/>
  <c r="D522" i="150"/>
  <c r="H49" i="151"/>
  <c r="I49" i="151"/>
  <c r="J49" i="151"/>
  <c r="K49" i="151"/>
  <c r="L49" i="151"/>
  <c r="Q26" i="147" l="1"/>
  <c r="R26" i="147"/>
  <c r="S26" i="147"/>
  <c r="Q27" i="147"/>
  <c r="R27" i="147"/>
  <c r="R19" i="147"/>
  <c r="S19" i="147"/>
  <c r="Q20" i="147"/>
  <c r="R20" i="147"/>
  <c r="S20" i="147"/>
  <c r="Q21" i="147"/>
  <c r="R21" i="147"/>
  <c r="S21" i="147"/>
  <c r="Q22" i="147"/>
  <c r="R22" i="147"/>
  <c r="S22" i="147"/>
  <c r="R23" i="147"/>
  <c r="S23" i="147"/>
  <c r="AG52" i="151"/>
  <c r="AF52" i="151"/>
  <c r="AD52" i="151"/>
  <c r="AC52" i="151"/>
  <c r="AB52" i="151"/>
  <c r="Z52" i="151"/>
  <c r="Y52" i="151"/>
  <c r="X52" i="151"/>
  <c r="W52" i="151"/>
  <c r="V52" i="151"/>
  <c r="U52" i="151"/>
  <c r="P52" i="151"/>
  <c r="Q52" i="151"/>
  <c r="R52" i="151"/>
  <c r="S52" i="151"/>
  <c r="O52" i="151"/>
  <c r="AG53" i="151"/>
  <c r="AF53" i="151"/>
  <c r="AD53" i="151"/>
  <c r="AC53" i="151"/>
  <c r="AB53" i="151"/>
  <c r="Z53" i="151"/>
  <c r="Y53" i="151"/>
  <c r="X53" i="151"/>
  <c r="W53" i="151"/>
  <c r="V53" i="151"/>
  <c r="U53" i="151"/>
  <c r="S53" i="151"/>
  <c r="R53" i="151"/>
  <c r="Q53" i="151"/>
  <c r="P53" i="151"/>
  <c r="O53" i="151"/>
  <c r="L53" i="151"/>
  <c r="D33" i="147" l="1"/>
  <c r="G33" i="147"/>
  <c r="H33" i="147"/>
  <c r="I33" i="147"/>
  <c r="J33" i="147"/>
  <c r="K33" i="147"/>
  <c r="L33" i="147"/>
  <c r="O33" i="147"/>
  <c r="S33" i="147"/>
  <c r="U33" i="147"/>
  <c r="V33" i="147"/>
  <c r="W33" i="147"/>
  <c r="X33" i="147"/>
  <c r="Y33" i="147"/>
  <c r="Z33" i="147"/>
  <c r="AB33" i="147"/>
  <c r="AC33" i="147"/>
  <c r="AD33" i="147"/>
  <c r="AF33" i="147"/>
  <c r="AG33" i="147"/>
  <c r="AQ33" i="147" l="1"/>
  <c r="AH33" i="147"/>
  <c r="AJ33" i="147"/>
  <c r="J243" i="181" s="1"/>
  <c r="K243" i="181" s="1"/>
  <c r="AN33" i="147"/>
  <c r="R243" i="181" s="1"/>
  <c r="S243" i="181" s="1"/>
  <c r="AK33" i="147"/>
  <c r="L243" i="181" s="1"/>
  <c r="M243" i="181" s="1"/>
  <c r="AO33" i="147"/>
  <c r="AL33" i="147"/>
  <c r="N243" i="181" s="1"/>
  <c r="O243" i="181" s="1"/>
  <c r="AP33" i="147"/>
  <c r="AI33" i="147"/>
  <c r="H243" i="181" s="1"/>
  <c r="I243" i="181" s="1"/>
  <c r="AM33" i="147"/>
  <c r="P243" i="181" s="1"/>
  <c r="Q243" i="181" s="1"/>
  <c r="AT33" i="147"/>
  <c r="AS33" i="147"/>
  <c r="BD35" i="140" l="1"/>
  <c r="BD243" i="181"/>
  <c r="BH243" i="181" s="1"/>
  <c r="T243" i="181"/>
  <c r="U243" i="181" s="1"/>
  <c r="BE35" i="140"/>
  <c r="BE243" i="181"/>
  <c r="BI243" i="181" s="1"/>
  <c r="E35" i="140"/>
  <c r="E243" i="181"/>
  <c r="AR33" i="147"/>
  <c r="L52" i="151"/>
  <c r="G243" i="181" l="1"/>
  <c r="V243" i="181"/>
  <c r="BJ243" i="181"/>
  <c r="S48" i="151"/>
  <c r="S49" i="151"/>
  <c r="S50" i="151"/>
  <c r="S51" i="151"/>
  <c r="F57" i="151"/>
  <c r="M57" i="151"/>
  <c r="N57" i="151"/>
  <c r="T57" i="151"/>
  <c r="AA57" i="151"/>
  <c r="AE57" i="151"/>
  <c r="F58" i="151"/>
  <c r="M58" i="151"/>
  <c r="N58" i="151"/>
  <c r="T58" i="151"/>
  <c r="AA58" i="151"/>
  <c r="AE58" i="151"/>
  <c r="F59" i="151"/>
  <c r="M59" i="151"/>
  <c r="N59" i="151"/>
  <c r="T59" i="151"/>
  <c r="AA59" i="151"/>
  <c r="AE59" i="151"/>
  <c r="F60" i="151"/>
  <c r="M60" i="151"/>
  <c r="N60" i="151"/>
  <c r="T60" i="151"/>
  <c r="AA60" i="151"/>
  <c r="AE60" i="151"/>
  <c r="F61" i="151"/>
  <c r="M61" i="151"/>
  <c r="N61" i="151"/>
  <c r="T61" i="151"/>
  <c r="AA61" i="151"/>
  <c r="AE61" i="151"/>
  <c r="F62" i="151"/>
  <c r="M62" i="151"/>
  <c r="N62" i="151"/>
  <c r="T62" i="151"/>
  <c r="AA62" i="151"/>
  <c r="AE62" i="151"/>
  <c r="F63" i="151"/>
  <c r="M63" i="151"/>
  <c r="N63" i="151"/>
  <c r="T63" i="151"/>
  <c r="AA63" i="151"/>
  <c r="AE63" i="151"/>
  <c r="F64" i="151"/>
  <c r="M64" i="151"/>
  <c r="N64" i="151"/>
  <c r="T64" i="151"/>
  <c r="AA64" i="151"/>
  <c r="AE64" i="151"/>
  <c r="F65" i="151"/>
  <c r="M65" i="151"/>
  <c r="N65" i="151"/>
  <c r="T65" i="151"/>
  <c r="AA65" i="151"/>
  <c r="AE65" i="151"/>
  <c r="X243" i="181" l="1"/>
  <c r="BM243" i="181" s="1"/>
  <c r="BG243" i="181"/>
  <c r="BK243" i="181" s="1"/>
  <c r="AO243" i="181"/>
  <c r="BC243" i="181" s="1"/>
  <c r="S58" i="151"/>
  <c r="S61" i="151"/>
  <c r="S65" i="151"/>
  <c r="S63" i="151"/>
  <c r="S59" i="151"/>
  <c r="S57" i="151"/>
  <c r="S64" i="151"/>
  <c r="S62" i="151"/>
  <c r="S60" i="151"/>
  <c r="E53" i="151" l="1"/>
  <c r="G53" i="151"/>
  <c r="H53" i="151"/>
  <c r="I53" i="151"/>
  <c r="J53" i="151"/>
  <c r="K53" i="151"/>
  <c r="D53" i="151"/>
  <c r="E52" i="151"/>
  <c r="G52" i="151"/>
  <c r="H52" i="151"/>
  <c r="I52" i="151"/>
  <c r="J52" i="151"/>
  <c r="K52" i="151"/>
  <c r="D52" i="151"/>
  <c r="AH52" i="151" l="1"/>
  <c r="E650" i="181" s="1"/>
  <c r="G650" i="181" s="1"/>
  <c r="AH53" i="151"/>
  <c r="E660" i="181" s="1"/>
  <c r="G660" i="181" s="1"/>
  <c r="AH55" i="151"/>
  <c r="E680" i="181" s="1"/>
  <c r="G680" i="181" s="1"/>
  <c r="E135" i="140" l="1"/>
  <c r="G135" i="140" s="1"/>
  <c r="E137" i="140"/>
  <c r="G137" i="140" s="1"/>
  <c r="E134" i="140"/>
  <c r="G134" i="140" s="1"/>
  <c r="D48" i="151"/>
  <c r="E48" i="151"/>
  <c r="G48" i="151"/>
  <c r="H48" i="151"/>
  <c r="I48" i="151"/>
  <c r="J48" i="151"/>
  <c r="K48" i="151"/>
  <c r="L48" i="151"/>
  <c r="O48" i="151"/>
  <c r="P48" i="151"/>
  <c r="Q48" i="151"/>
  <c r="R48" i="151"/>
  <c r="U48" i="151"/>
  <c r="V48" i="151"/>
  <c r="W48" i="151"/>
  <c r="X48" i="151"/>
  <c r="Y48" i="151"/>
  <c r="Z48" i="151"/>
  <c r="AB48" i="151"/>
  <c r="AC48" i="151"/>
  <c r="AD48" i="151"/>
  <c r="AF48" i="151"/>
  <c r="D49" i="151"/>
  <c r="E49" i="151"/>
  <c r="G49" i="151"/>
  <c r="O49" i="151"/>
  <c r="P49" i="151"/>
  <c r="Q49" i="151"/>
  <c r="R49" i="151"/>
  <c r="U49" i="151"/>
  <c r="V49" i="151"/>
  <c r="W49" i="151"/>
  <c r="X49" i="151"/>
  <c r="Y49" i="151"/>
  <c r="Z49" i="151"/>
  <c r="AB49" i="151"/>
  <c r="AC49" i="151"/>
  <c r="AD49" i="151"/>
  <c r="AF49" i="151"/>
  <c r="D50" i="151"/>
  <c r="E50" i="151"/>
  <c r="G50" i="151"/>
  <c r="H50" i="151"/>
  <c r="I50" i="151"/>
  <c r="J50" i="151"/>
  <c r="K50" i="151"/>
  <c r="L50" i="151"/>
  <c r="O50" i="151"/>
  <c r="P50" i="151"/>
  <c r="Q50" i="151"/>
  <c r="R50" i="151"/>
  <c r="U50" i="151"/>
  <c r="V50" i="151"/>
  <c r="Y50" i="151"/>
  <c r="Z50" i="151"/>
  <c r="AB50" i="151"/>
  <c r="AC50" i="151"/>
  <c r="AD50" i="151"/>
  <c r="AF50" i="151"/>
  <c r="D51" i="151"/>
  <c r="E51" i="151"/>
  <c r="G51" i="151"/>
  <c r="H51" i="151"/>
  <c r="I51" i="151"/>
  <c r="J51" i="151"/>
  <c r="K51" i="151"/>
  <c r="L51" i="151"/>
  <c r="O51" i="151"/>
  <c r="P51" i="151"/>
  <c r="Q51" i="151"/>
  <c r="R51" i="151"/>
  <c r="U51" i="151"/>
  <c r="V51" i="151"/>
  <c r="W51" i="151"/>
  <c r="X51" i="151"/>
  <c r="Y51" i="151"/>
  <c r="Z51" i="151"/>
  <c r="AB51" i="151"/>
  <c r="AC51" i="151"/>
  <c r="AD51" i="151"/>
  <c r="AF51" i="151"/>
  <c r="W59" i="151" l="1"/>
  <c r="W63" i="151"/>
  <c r="W65" i="151"/>
  <c r="W60" i="151"/>
  <c r="W64" i="151"/>
  <c r="W57" i="151"/>
  <c r="W61" i="151"/>
  <c r="W62" i="151"/>
  <c r="W58" i="151"/>
  <c r="Y57" i="151"/>
  <c r="Y61" i="151"/>
  <c r="Y65" i="151"/>
  <c r="Y59" i="151"/>
  <c r="Y58" i="151"/>
  <c r="Y62" i="151"/>
  <c r="Y63" i="151"/>
  <c r="Y64" i="151"/>
  <c r="Y60" i="151"/>
  <c r="O58" i="151"/>
  <c r="O62" i="151"/>
  <c r="O64" i="151"/>
  <c r="O59" i="151"/>
  <c r="O63" i="151"/>
  <c r="O60" i="151"/>
  <c r="O61" i="151"/>
  <c r="O65" i="151"/>
  <c r="O57" i="151"/>
  <c r="AC57" i="151"/>
  <c r="AC61" i="151"/>
  <c r="AC65" i="151"/>
  <c r="AC63" i="151"/>
  <c r="AC58" i="151"/>
  <c r="AC62" i="151"/>
  <c r="AC59" i="151"/>
  <c r="AC60" i="151"/>
  <c r="AC64" i="151"/>
  <c r="X58" i="151"/>
  <c r="X62" i="151"/>
  <c r="X60" i="151"/>
  <c r="X59" i="151"/>
  <c r="X63" i="151"/>
  <c r="X64" i="151"/>
  <c r="X65" i="151"/>
  <c r="X61" i="151"/>
  <c r="X57" i="151"/>
  <c r="R59" i="151"/>
  <c r="R63" i="151"/>
  <c r="R57" i="151"/>
  <c r="R61" i="151"/>
  <c r="R60" i="151"/>
  <c r="R64" i="151"/>
  <c r="R65" i="151"/>
  <c r="R58" i="151"/>
  <c r="R62" i="151"/>
  <c r="L57" i="151"/>
  <c r="L61" i="151"/>
  <c r="L65" i="151"/>
  <c r="L63" i="151"/>
  <c r="L58" i="151"/>
  <c r="L62" i="151"/>
  <c r="L59" i="151"/>
  <c r="L60" i="151"/>
  <c r="L64" i="151"/>
  <c r="H57" i="151"/>
  <c r="H61" i="151"/>
  <c r="H65" i="151"/>
  <c r="H59" i="151"/>
  <c r="H58" i="151"/>
  <c r="H62" i="151"/>
  <c r="H63" i="151"/>
  <c r="H60" i="151"/>
  <c r="H64" i="151"/>
  <c r="Q60" i="151"/>
  <c r="Q64" i="151"/>
  <c r="Q58" i="151"/>
  <c r="Q62" i="151"/>
  <c r="Q57" i="151"/>
  <c r="Q61" i="151"/>
  <c r="Q65" i="151"/>
  <c r="Q63" i="151"/>
  <c r="Q59" i="151"/>
  <c r="K58" i="151"/>
  <c r="K62" i="151"/>
  <c r="K60" i="151"/>
  <c r="K59" i="151"/>
  <c r="K63" i="151"/>
  <c r="K64" i="151"/>
  <c r="K65" i="151"/>
  <c r="K61" i="151"/>
  <c r="K57" i="151"/>
  <c r="G58" i="151"/>
  <c r="G62" i="151"/>
  <c r="G64" i="151"/>
  <c r="G59" i="151"/>
  <c r="G63" i="151"/>
  <c r="G60" i="151"/>
  <c r="G61" i="151"/>
  <c r="G57" i="151"/>
  <c r="G65" i="151"/>
  <c r="AF58" i="151"/>
  <c r="AF62" i="151"/>
  <c r="AF60" i="151"/>
  <c r="AF59" i="151"/>
  <c r="AF63" i="151"/>
  <c r="AF64" i="151"/>
  <c r="AF65" i="151"/>
  <c r="AF57" i="151"/>
  <c r="AF61" i="151"/>
  <c r="Z60" i="151"/>
  <c r="Z64" i="151"/>
  <c r="Z58" i="151"/>
  <c r="Z62" i="151"/>
  <c r="Z57" i="151"/>
  <c r="Z61" i="151"/>
  <c r="Z65" i="151"/>
  <c r="Z63" i="151"/>
  <c r="Z59" i="151"/>
  <c r="V60" i="151"/>
  <c r="V64" i="151"/>
  <c r="V57" i="151"/>
  <c r="V61" i="151"/>
  <c r="V65" i="151"/>
  <c r="V58" i="151"/>
  <c r="V62" i="151"/>
  <c r="V59" i="151"/>
  <c r="V63" i="151"/>
  <c r="P57" i="151"/>
  <c r="P61" i="151"/>
  <c r="P65" i="151"/>
  <c r="P59" i="151"/>
  <c r="P58" i="151"/>
  <c r="P62" i="151"/>
  <c r="P63" i="151"/>
  <c r="P64" i="151"/>
  <c r="P60" i="151"/>
  <c r="J59" i="151"/>
  <c r="J63" i="151"/>
  <c r="J57" i="151"/>
  <c r="J65" i="151"/>
  <c r="J60" i="151"/>
  <c r="J64" i="151"/>
  <c r="J61" i="151"/>
  <c r="J62" i="151"/>
  <c r="J58" i="151"/>
  <c r="E60" i="151"/>
  <c r="E64" i="151"/>
  <c r="E58" i="151"/>
  <c r="E62" i="151"/>
  <c r="E57" i="151"/>
  <c r="E61" i="151"/>
  <c r="E65" i="151"/>
  <c r="E63" i="151"/>
  <c r="E59" i="151"/>
  <c r="AB58" i="151"/>
  <c r="AB62" i="151"/>
  <c r="AB64" i="151"/>
  <c r="AB59" i="151"/>
  <c r="AB63" i="151"/>
  <c r="AB60" i="151"/>
  <c r="AB61" i="151"/>
  <c r="AB57" i="151"/>
  <c r="AB65" i="151"/>
  <c r="AD60" i="151"/>
  <c r="AD64" i="151"/>
  <c r="AD57" i="151"/>
  <c r="AD61" i="151"/>
  <c r="AD65" i="151"/>
  <c r="AD58" i="151"/>
  <c r="AD62" i="151"/>
  <c r="AD59" i="151"/>
  <c r="AD63" i="151"/>
  <c r="U57" i="151"/>
  <c r="U61" i="151"/>
  <c r="U65" i="151"/>
  <c r="U63" i="151"/>
  <c r="U58" i="151"/>
  <c r="U62" i="151"/>
  <c r="U59" i="151"/>
  <c r="U64" i="151"/>
  <c r="U60" i="151"/>
  <c r="I60" i="151"/>
  <c r="I64" i="151"/>
  <c r="I57" i="151"/>
  <c r="I61" i="151"/>
  <c r="I65" i="151"/>
  <c r="I58" i="151"/>
  <c r="I62" i="151"/>
  <c r="I63" i="151"/>
  <c r="I59" i="151"/>
  <c r="D57" i="151"/>
  <c r="D61" i="151"/>
  <c r="D65" i="151"/>
  <c r="D63" i="151"/>
  <c r="D58" i="151"/>
  <c r="D62" i="151"/>
  <c r="D59" i="151"/>
  <c r="D64" i="151"/>
  <c r="D60" i="151"/>
  <c r="D63" i="147"/>
  <c r="E63" i="147"/>
  <c r="G63" i="147"/>
  <c r="H63" i="147"/>
  <c r="I63" i="147"/>
  <c r="J63" i="147"/>
  <c r="K63" i="147"/>
  <c r="L63" i="147"/>
  <c r="P63" i="147"/>
  <c r="Q63" i="147"/>
  <c r="R63" i="147"/>
  <c r="S63" i="147"/>
  <c r="U63" i="147"/>
  <c r="V63" i="147"/>
  <c r="W63" i="147"/>
  <c r="X63" i="147"/>
  <c r="Y63" i="147"/>
  <c r="Z63" i="147"/>
  <c r="AB63" i="147"/>
  <c r="AC63" i="147"/>
  <c r="AD63" i="147"/>
  <c r="AF63" i="147"/>
  <c r="D64" i="147"/>
  <c r="E64" i="147"/>
  <c r="G64" i="147"/>
  <c r="H64" i="147"/>
  <c r="I64" i="147"/>
  <c r="K64" i="147"/>
  <c r="L64" i="147"/>
  <c r="O64" i="147"/>
  <c r="P64" i="147"/>
  <c r="Q64" i="147"/>
  <c r="R64" i="147"/>
  <c r="S64" i="147"/>
  <c r="U64" i="147"/>
  <c r="V64" i="147"/>
  <c r="W64" i="147"/>
  <c r="X64" i="147"/>
  <c r="Y64" i="147"/>
  <c r="Z64" i="147"/>
  <c r="AB64" i="147"/>
  <c r="AC64" i="147"/>
  <c r="AD64" i="147"/>
  <c r="AF64" i="147"/>
  <c r="D65" i="147"/>
  <c r="G65" i="147"/>
  <c r="H65" i="147"/>
  <c r="I65" i="147"/>
  <c r="J65" i="147"/>
  <c r="K65" i="147"/>
  <c r="L65" i="147"/>
  <c r="P65" i="147"/>
  <c r="Q65" i="147"/>
  <c r="R65" i="147"/>
  <c r="S65" i="147"/>
  <c r="U65" i="147"/>
  <c r="V65" i="147"/>
  <c r="W65" i="147"/>
  <c r="X65" i="147"/>
  <c r="Y65" i="147"/>
  <c r="Z65" i="147"/>
  <c r="AB65" i="147"/>
  <c r="AF65" i="147"/>
  <c r="D66" i="147"/>
  <c r="E66" i="147"/>
  <c r="G66" i="147"/>
  <c r="H66" i="147"/>
  <c r="I66" i="147"/>
  <c r="J66" i="147"/>
  <c r="K66" i="147"/>
  <c r="L66" i="147"/>
  <c r="O66" i="147"/>
  <c r="P66" i="147"/>
  <c r="Q66" i="147"/>
  <c r="R66" i="147"/>
  <c r="S66" i="147"/>
  <c r="V66" i="147"/>
  <c r="W66" i="147"/>
  <c r="X66" i="147"/>
  <c r="Y66" i="147"/>
  <c r="Z66" i="147"/>
  <c r="AB66" i="147"/>
  <c r="AC66" i="147"/>
  <c r="AD66" i="147"/>
  <c r="AF66" i="147"/>
  <c r="D67" i="147"/>
  <c r="G67" i="147"/>
  <c r="H67" i="147"/>
  <c r="I67" i="147"/>
  <c r="J67" i="147"/>
  <c r="K67" i="147"/>
  <c r="L67" i="147"/>
  <c r="O67" i="147"/>
  <c r="P67" i="147"/>
  <c r="Q67" i="147"/>
  <c r="R67" i="147"/>
  <c r="S67" i="147"/>
  <c r="U67" i="147"/>
  <c r="V67" i="147"/>
  <c r="W67" i="147"/>
  <c r="X67" i="147"/>
  <c r="Y67" i="147"/>
  <c r="Z67" i="147"/>
  <c r="AB67" i="147"/>
  <c r="AC67" i="147"/>
  <c r="AD67" i="147"/>
  <c r="D68" i="147"/>
  <c r="E68" i="147"/>
  <c r="G68" i="147"/>
  <c r="H68" i="147"/>
  <c r="I68" i="147"/>
  <c r="J68" i="147"/>
  <c r="K68" i="147"/>
  <c r="L68" i="147"/>
  <c r="O68" i="147"/>
  <c r="P68" i="147"/>
  <c r="Q68" i="147"/>
  <c r="R68" i="147"/>
  <c r="S68" i="147"/>
  <c r="U68" i="147"/>
  <c r="V68" i="147"/>
  <c r="W68" i="147"/>
  <c r="X68" i="147"/>
  <c r="Y68" i="147"/>
  <c r="Z68" i="147"/>
  <c r="AB68" i="147"/>
  <c r="AC68" i="147"/>
  <c r="AD68" i="147"/>
  <c r="AF68" i="147"/>
  <c r="D69" i="147"/>
  <c r="E69" i="147"/>
  <c r="G69" i="147"/>
  <c r="H69" i="147"/>
  <c r="I69" i="147"/>
  <c r="J69" i="147"/>
  <c r="K69" i="147"/>
  <c r="L69" i="147"/>
  <c r="O69" i="147"/>
  <c r="P69" i="147"/>
  <c r="Q69" i="147"/>
  <c r="U69" i="147"/>
  <c r="V69" i="147"/>
  <c r="W69" i="147"/>
  <c r="X69" i="147"/>
  <c r="Y69" i="147"/>
  <c r="AB69" i="147"/>
  <c r="AC69" i="147"/>
  <c r="AD69" i="147"/>
  <c r="AF69" i="147"/>
  <c r="E70" i="147"/>
  <c r="G70" i="147"/>
  <c r="H70" i="147"/>
  <c r="I70" i="147"/>
  <c r="J70" i="147"/>
  <c r="K70" i="147"/>
  <c r="L70" i="147"/>
  <c r="O70" i="147"/>
  <c r="P70" i="147"/>
  <c r="Q70" i="147"/>
  <c r="R70" i="147"/>
  <c r="S70" i="147"/>
  <c r="V70" i="147"/>
  <c r="W70" i="147"/>
  <c r="X70" i="147"/>
  <c r="Y70" i="147"/>
  <c r="Z70" i="147"/>
  <c r="AB70" i="147"/>
  <c r="AC70" i="147"/>
  <c r="AD70" i="147"/>
  <c r="AF70" i="147"/>
  <c r="G7" i="147"/>
  <c r="H7" i="147"/>
  <c r="I7" i="147"/>
  <c r="J7" i="147"/>
  <c r="K7" i="147"/>
  <c r="L7" i="147"/>
  <c r="O7" i="147"/>
  <c r="P7" i="147"/>
  <c r="Q7" i="147"/>
  <c r="S7" i="147"/>
  <c r="U7" i="147"/>
  <c r="V7" i="147"/>
  <c r="W7" i="147"/>
  <c r="AB7" i="147"/>
  <c r="AC7" i="147"/>
  <c r="AD7" i="147"/>
  <c r="D8" i="147"/>
  <c r="E8" i="147"/>
  <c r="G8" i="147"/>
  <c r="H8" i="147"/>
  <c r="I8" i="147"/>
  <c r="J8" i="147"/>
  <c r="L8" i="147"/>
  <c r="R8" i="147"/>
  <c r="S8" i="147"/>
  <c r="U8" i="147"/>
  <c r="V8" i="147"/>
  <c r="AB8" i="147"/>
  <c r="AC8" i="147"/>
  <c r="AD8" i="147"/>
  <c r="AF8" i="147"/>
  <c r="D9" i="147"/>
  <c r="E9" i="147"/>
  <c r="G9" i="147"/>
  <c r="H9" i="147"/>
  <c r="I9" i="147"/>
  <c r="J9" i="147"/>
  <c r="K9" i="147"/>
  <c r="L9" i="147"/>
  <c r="O9" i="147"/>
  <c r="P9" i="147"/>
  <c r="Q9" i="147"/>
  <c r="R9" i="147"/>
  <c r="S9" i="147"/>
  <c r="U9" i="147"/>
  <c r="V9" i="147"/>
  <c r="W9" i="147"/>
  <c r="X9" i="147"/>
  <c r="Y9" i="147"/>
  <c r="Z9" i="147"/>
  <c r="AB9" i="147"/>
  <c r="AC9" i="147"/>
  <c r="AD9" i="147"/>
  <c r="AF9" i="147"/>
  <c r="D10" i="147"/>
  <c r="E10" i="147"/>
  <c r="G10" i="147"/>
  <c r="H10" i="147"/>
  <c r="I10" i="147"/>
  <c r="J10" i="147"/>
  <c r="K10" i="147"/>
  <c r="L10" i="147"/>
  <c r="O10" i="147"/>
  <c r="P10" i="147"/>
  <c r="Q10" i="147"/>
  <c r="R10" i="147"/>
  <c r="S10" i="147"/>
  <c r="U10" i="147"/>
  <c r="V10" i="147"/>
  <c r="W10" i="147"/>
  <c r="X10" i="147"/>
  <c r="Y10" i="147"/>
  <c r="Z10" i="147"/>
  <c r="AB10" i="147"/>
  <c r="AC10" i="147"/>
  <c r="AD10" i="147"/>
  <c r="AF10" i="147"/>
  <c r="D11" i="147"/>
  <c r="G11" i="147"/>
  <c r="H11" i="147"/>
  <c r="J11" i="147"/>
  <c r="K11" i="147"/>
  <c r="O11" i="147"/>
  <c r="Q11" i="147"/>
  <c r="R11" i="147"/>
  <c r="U11" i="147"/>
  <c r="X11" i="147"/>
  <c r="AB11" i="147"/>
  <c r="AC11" i="147"/>
  <c r="D12" i="147"/>
  <c r="E12" i="147"/>
  <c r="G12" i="147"/>
  <c r="H12" i="147"/>
  <c r="I12" i="147"/>
  <c r="J12" i="147"/>
  <c r="K12" i="147"/>
  <c r="L12" i="147"/>
  <c r="O12" i="147"/>
  <c r="P12" i="147"/>
  <c r="Q12" i="147"/>
  <c r="R12" i="147"/>
  <c r="S12" i="147"/>
  <c r="U12" i="147"/>
  <c r="V12" i="147"/>
  <c r="W12" i="147"/>
  <c r="X12" i="147"/>
  <c r="Y12" i="147"/>
  <c r="Z12" i="147"/>
  <c r="AB12" i="147"/>
  <c r="AC12" i="147"/>
  <c r="AD12" i="147"/>
  <c r="AF12" i="147"/>
  <c r="D13" i="147"/>
  <c r="E13" i="147"/>
  <c r="H13" i="147"/>
  <c r="I13" i="147"/>
  <c r="J13" i="147"/>
  <c r="L13" i="147"/>
  <c r="O13" i="147"/>
  <c r="P13" i="147"/>
  <c r="Q13" i="147"/>
  <c r="R13" i="147"/>
  <c r="S13" i="147"/>
  <c r="U13" i="147"/>
  <c r="V13" i="147"/>
  <c r="W13" i="147"/>
  <c r="X13" i="147"/>
  <c r="Y13" i="147"/>
  <c r="Z13" i="147"/>
  <c r="AD13" i="147"/>
  <c r="AF13" i="147"/>
  <c r="D14" i="147"/>
  <c r="G14" i="147"/>
  <c r="H14" i="147"/>
  <c r="I14" i="147"/>
  <c r="J14" i="147"/>
  <c r="K14" i="147"/>
  <c r="L14" i="147"/>
  <c r="O14" i="147"/>
  <c r="P14" i="147"/>
  <c r="Q14" i="147"/>
  <c r="R14" i="147"/>
  <c r="U14" i="147"/>
  <c r="V14" i="147"/>
  <c r="W14" i="147"/>
  <c r="X14" i="147"/>
  <c r="Y14" i="147"/>
  <c r="Z14" i="147"/>
  <c r="AB14" i="147"/>
  <c r="AC14" i="147"/>
  <c r="AF14" i="147"/>
  <c r="D15" i="147"/>
  <c r="E15" i="147"/>
  <c r="G15" i="147"/>
  <c r="H15" i="147"/>
  <c r="I15" i="147"/>
  <c r="J15" i="147"/>
  <c r="O15" i="147"/>
  <c r="P15" i="147"/>
  <c r="Q15" i="147"/>
  <c r="R15" i="147"/>
  <c r="S15" i="147"/>
  <c r="U15" i="147"/>
  <c r="V15" i="147"/>
  <c r="W15" i="147"/>
  <c r="AB15" i="147"/>
  <c r="AC15" i="147"/>
  <c r="AD15" i="147"/>
  <c r="AF15" i="147"/>
  <c r="D16" i="147"/>
  <c r="E16" i="147"/>
  <c r="G16" i="147"/>
  <c r="H16" i="147"/>
  <c r="I16" i="147"/>
  <c r="J16" i="147"/>
  <c r="K16" i="147"/>
  <c r="L16" i="147"/>
  <c r="O16" i="147"/>
  <c r="P16" i="147"/>
  <c r="Q16" i="147"/>
  <c r="R16" i="147"/>
  <c r="S16" i="147"/>
  <c r="U16" i="147"/>
  <c r="V16" i="147"/>
  <c r="W16" i="147"/>
  <c r="X16" i="147"/>
  <c r="Y16" i="147"/>
  <c r="Z16" i="147"/>
  <c r="AF16" i="147"/>
  <c r="D17" i="147"/>
  <c r="E17" i="147"/>
  <c r="G17" i="147"/>
  <c r="H17" i="147"/>
  <c r="J17" i="147"/>
  <c r="K17" i="147"/>
  <c r="L17" i="147"/>
  <c r="P17" i="147"/>
  <c r="Q17" i="147"/>
  <c r="R17" i="147"/>
  <c r="S17" i="147"/>
  <c r="U17" i="147"/>
  <c r="V17" i="147"/>
  <c r="W17" i="147"/>
  <c r="X17" i="147"/>
  <c r="AB17" i="147"/>
  <c r="AC17" i="147"/>
  <c r="AD17" i="147"/>
  <c r="AF17" i="147"/>
  <c r="D18" i="147"/>
  <c r="E18" i="147"/>
  <c r="G18" i="147"/>
  <c r="J18" i="147"/>
  <c r="K18" i="147"/>
  <c r="L18" i="147"/>
  <c r="O18" i="147"/>
  <c r="P18" i="147"/>
  <c r="Q18" i="147"/>
  <c r="R18" i="147"/>
  <c r="S18" i="147"/>
  <c r="U18" i="147"/>
  <c r="V18" i="147"/>
  <c r="W18" i="147"/>
  <c r="X18" i="147"/>
  <c r="Y18" i="147"/>
  <c r="Z18" i="147"/>
  <c r="AC18" i="147"/>
  <c r="AD18" i="147"/>
  <c r="AF18" i="147"/>
  <c r="D19" i="147"/>
  <c r="E19" i="147"/>
  <c r="G19" i="147"/>
  <c r="H19" i="147"/>
  <c r="I19" i="147"/>
  <c r="J19" i="147"/>
  <c r="O19" i="147"/>
  <c r="V19" i="147"/>
  <c r="W19" i="147"/>
  <c r="X19" i="147"/>
  <c r="Y19" i="147"/>
  <c r="AB19" i="147"/>
  <c r="AC19" i="147"/>
  <c r="AD19" i="147"/>
  <c r="AF19" i="147"/>
  <c r="D20" i="147"/>
  <c r="G20" i="147"/>
  <c r="H20" i="147"/>
  <c r="I20" i="147"/>
  <c r="J20" i="147"/>
  <c r="K20" i="147"/>
  <c r="O20" i="147"/>
  <c r="U20" i="147"/>
  <c r="V20" i="147"/>
  <c r="W20" i="147"/>
  <c r="X20" i="147"/>
  <c r="Y20" i="147"/>
  <c r="Z20" i="147"/>
  <c r="AB20" i="147"/>
  <c r="AC20" i="147"/>
  <c r="AD20" i="147"/>
  <c r="D21" i="147"/>
  <c r="G21" i="147"/>
  <c r="H21" i="147"/>
  <c r="L21" i="147"/>
  <c r="O21" i="147"/>
  <c r="U21" i="147"/>
  <c r="W21" i="147"/>
  <c r="X21" i="147"/>
  <c r="Y21" i="147"/>
  <c r="Z21" i="147"/>
  <c r="AB21" i="147"/>
  <c r="AC21" i="147"/>
  <c r="AF21" i="147"/>
  <c r="D22" i="147"/>
  <c r="E22" i="147"/>
  <c r="G22" i="147"/>
  <c r="H22" i="147"/>
  <c r="I22" i="147"/>
  <c r="J22" i="147"/>
  <c r="K22" i="147"/>
  <c r="L22" i="147"/>
  <c r="O22" i="147"/>
  <c r="U22" i="147"/>
  <c r="V22" i="147"/>
  <c r="W22" i="147"/>
  <c r="X22" i="147"/>
  <c r="Y22" i="147"/>
  <c r="Z22" i="147"/>
  <c r="AB22" i="147"/>
  <c r="AC22" i="147"/>
  <c r="AD22" i="147"/>
  <c r="AF22" i="147"/>
  <c r="D23" i="147"/>
  <c r="E23" i="147"/>
  <c r="G23" i="147"/>
  <c r="I23" i="147"/>
  <c r="J23" i="147"/>
  <c r="K23" i="147"/>
  <c r="O23" i="147"/>
  <c r="V23" i="147"/>
  <c r="W23" i="147"/>
  <c r="X23" i="147"/>
  <c r="Y23" i="147"/>
  <c r="Z23" i="147"/>
  <c r="AB23" i="147"/>
  <c r="AC23" i="147"/>
  <c r="AD23" i="147"/>
  <c r="AF23" i="147"/>
  <c r="D24" i="147"/>
  <c r="E24" i="147"/>
  <c r="G24" i="147"/>
  <c r="H24" i="147"/>
  <c r="I24" i="147"/>
  <c r="J24" i="147"/>
  <c r="K24" i="147"/>
  <c r="L24" i="147"/>
  <c r="O24" i="147"/>
  <c r="P24" i="147"/>
  <c r="Q24" i="147"/>
  <c r="R24" i="147"/>
  <c r="S24" i="147"/>
  <c r="U24" i="147"/>
  <c r="V24" i="147"/>
  <c r="W24" i="147"/>
  <c r="X24" i="147"/>
  <c r="Y24" i="147"/>
  <c r="Z24" i="147"/>
  <c r="AB24" i="147"/>
  <c r="AC24" i="147"/>
  <c r="AD24" i="147"/>
  <c r="AF24" i="147"/>
  <c r="D25" i="147"/>
  <c r="E25" i="147"/>
  <c r="G25" i="147"/>
  <c r="H25" i="147"/>
  <c r="I25" i="147"/>
  <c r="J25" i="147"/>
  <c r="K25" i="147"/>
  <c r="L25" i="147"/>
  <c r="O25" i="147"/>
  <c r="P25" i="147"/>
  <c r="Q25" i="147"/>
  <c r="R25" i="147"/>
  <c r="S25" i="147"/>
  <c r="U25" i="147"/>
  <c r="V25" i="147"/>
  <c r="W25" i="147"/>
  <c r="X25" i="147"/>
  <c r="Y25" i="147"/>
  <c r="Z25" i="147"/>
  <c r="AB25" i="147"/>
  <c r="AC25" i="147"/>
  <c r="AD25" i="147"/>
  <c r="AF25" i="147"/>
  <c r="D26" i="147"/>
  <c r="G26" i="147"/>
  <c r="H26" i="147"/>
  <c r="I26" i="147"/>
  <c r="J26" i="147"/>
  <c r="K26" i="147"/>
  <c r="L26" i="147"/>
  <c r="O26" i="147"/>
  <c r="U26" i="147"/>
  <c r="V26" i="147"/>
  <c r="W26" i="147"/>
  <c r="X26" i="147"/>
  <c r="Y26" i="147"/>
  <c r="AB26" i="147"/>
  <c r="AC26" i="147"/>
  <c r="AD26" i="147"/>
  <c r="AF26" i="147"/>
  <c r="D27" i="147"/>
  <c r="E27" i="147"/>
  <c r="H27" i="147"/>
  <c r="J27" i="147"/>
  <c r="L27" i="147"/>
  <c r="O27" i="147"/>
  <c r="U27" i="147"/>
  <c r="W27" i="147"/>
  <c r="X27" i="147"/>
  <c r="Y27" i="147"/>
  <c r="AB27" i="147"/>
  <c r="AC27" i="147"/>
  <c r="AF27" i="147"/>
  <c r="D28" i="147"/>
  <c r="E28" i="147"/>
  <c r="G28" i="147"/>
  <c r="H28" i="147"/>
  <c r="I28" i="147"/>
  <c r="J28" i="147"/>
  <c r="K28" i="147"/>
  <c r="O28" i="147"/>
  <c r="P28" i="147"/>
  <c r="Q28" i="147"/>
  <c r="R28" i="147"/>
  <c r="S28" i="147"/>
  <c r="U28" i="147"/>
  <c r="V28" i="147"/>
  <c r="W28" i="147"/>
  <c r="X28" i="147"/>
  <c r="Y28" i="147"/>
  <c r="AB28" i="147"/>
  <c r="AC28" i="147"/>
  <c r="AD28" i="147"/>
  <c r="D29" i="147"/>
  <c r="E29" i="147"/>
  <c r="G29" i="147"/>
  <c r="H29" i="147"/>
  <c r="I29" i="147"/>
  <c r="J29" i="147"/>
  <c r="K29" i="147"/>
  <c r="O29" i="147"/>
  <c r="P29" i="147"/>
  <c r="Q29" i="147"/>
  <c r="R29" i="147"/>
  <c r="S29" i="147"/>
  <c r="U29" i="147"/>
  <c r="V29" i="147"/>
  <c r="W29" i="147"/>
  <c r="X29" i="147"/>
  <c r="Y29" i="147"/>
  <c r="AB29" i="147"/>
  <c r="AC29" i="147"/>
  <c r="AD29" i="147"/>
  <c r="AF29" i="147"/>
  <c r="D30" i="147"/>
  <c r="E30" i="147"/>
  <c r="G30" i="147"/>
  <c r="H30" i="147"/>
  <c r="I30" i="147"/>
  <c r="J30" i="147"/>
  <c r="K30" i="147"/>
  <c r="L30" i="147"/>
  <c r="O30" i="147"/>
  <c r="P30" i="147"/>
  <c r="Q30" i="147"/>
  <c r="R30" i="147"/>
  <c r="S30" i="147"/>
  <c r="U30" i="147"/>
  <c r="V30" i="147"/>
  <c r="Y30" i="147"/>
  <c r="Z30" i="147"/>
  <c r="AB30" i="147"/>
  <c r="AC30" i="147"/>
  <c r="AF30" i="147"/>
  <c r="D31" i="147"/>
  <c r="E31" i="147"/>
  <c r="G31" i="147"/>
  <c r="H31" i="147"/>
  <c r="I31" i="147"/>
  <c r="J31" i="147"/>
  <c r="K31" i="147"/>
  <c r="L31" i="147"/>
  <c r="O31" i="147"/>
  <c r="P31" i="147"/>
  <c r="Q31" i="147"/>
  <c r="R31" i="147"/>
  <c r="S31" i="147"/>
  <c r="U31" i="147"/>
  <c r="V31" i="147"/>
  <c r="W31" i="147"/>
  <c r="X31" i="147"/>
  <c r="Y31" i="147"/>
  <c r="Z31" i="147"/>
  <c r="AB31" i="147"/>
  <c r="AC31" i="147"/>
  <c r="AD31" i="147"/>
  <c r="AF31" i="147"/>
  <c r="D32" i="147"/>
  <c r="E32" i="147"/>
  <c r="G32" i="147"/>
  <c r="H32" i="147"/>
  <c r="I32" i="147"/>
  <c r="J32" i="147"/>
  <c r="K32" i="147"/>
  <c r="L32" i="147"/>
  <c r="O32" i="147"/>
  <c r="P32" i="147"/>
  <c r="Q32" i="147"/>
  <c r="R32" i="147"/>
  <c r="S32" i="147"/>
  <c r="U32" i="147"/>
  <c r="V32" i="147"/>
  <c r="W32" i="147"/>
  <c r="X32" i="147"/>
  <c r="Y32" i="147"/>
  <c r="Z32" i="147"/>
  <c r="AB32" i="147"/>
  <c r="AC32" i="147"/>
  <c r="AD32" i="147"/>
  <c r="AF32" i="147"/>
  <c r="D34" i="147"/>
  <c r="E34" i="147"/>
  <c r="G34" i="147"/>
  <c r="H34" i="147"/>
  <c r="I34" i="147"/>
  <c r="O34" i="147"/>
  <c r="P34" i="147"/>
  <c r="Q34" i="147"/>
  <c r="R34" i="147"/>
  <c r="S34" i="147"/>
  <c r="U34" i="147"/>
  <c r="V34" i="147"/>
  <c r="W34" i="147"/>
  <c r="X34" i="147"/>
  <c r="Y34" i="147"/>
  <c r="Z34" i="147"/>
  <c r="AB34" i="147"/>
  <c r="AC34" i="147"/>
  <c r="AD34" i="147"/>
  <c r="AF34" i="147"/>
  <c r="D35" i="147"/>
  <c r="E35" i="147"/>
  <c r="G35" i="147"/>
  <c r="H35" i="147"/>
  <c r="I35" i="147"/>
  <c r="J35" i="147"/>
  <c r="L35" i="147"/>
  <c r="O35" i="147"/>
  <c r="R35" i="147"/>
  <c r="S35" i="147"/>
  <c r="U35" i="147"/>
  <c r="V35" i="147"/>
  <c r="W35" i="147"/>
  <c r="X35" i="147"/>
  <c r="Y35" i="147"/>
  <c r="AB35" i="147"/>
  <c r="AC35" i="147"/>
  <c r="AD35" i="147"/>
  <c r="AF35" i="147"/>
  <c r="D36" i="147"/>
  <c r="H36" i="147"/>
  <c r="I36" i="147"/>
  <c r="J36" i="147"/>
  <c r="L36" i="147"/>
  <c r="O36" i="147"/>
  <c r="Q36" i="147"/>
  <c r="R36" i="147"/>
  <c r="S36" i="147"/>
  <c r="U36" i="147"/>
  <c r="V36" i="147"/>
  <c r="W36" i="147"/>
  <c r="Y36" i="147"/>
  <c r="Z36" i="147"/>
  <c r="AB36" i="147"/>
  <c r="AC36" i="147"/>
  <c r="AD36" i="147"/>
  <c r="D37" i="147"/>
  <c r="E37" i="147"/>
  <c r="G37" i="147"/>
  <c r="H37" i="147"/>
  <c r="I37" i="147"/>
  <c r="J37" i="147"/>
  <c r="K37" i="147"/>
  <c r="L37" i="147"/>
  <c r="O37" i="147"/>
  <c r="P37" i="147"/>
  <c r="Q37" i="147"/>
  <c r="R37" i="147"/>
  <c r="S37" i="147"/>
  <c r="U37" i="147"/>
  <c r="V37" i="147"/>
  <c r="W37" i="147"/>
  <c r="X37" i="147"/>
  <c r="Y37" i="147"/>
  <c r="Z37" i="147"/>
  <c r="AB37" i="147"/>
  <c r="AC37" i="147"/>
  <c r="AD37" i="147"/>
  <c r="AF37" i="147"/>
  <c r="D38" i="147"/>
  <c r="E38" i="147"/>
  <c r="G38" i="147"/>
  <c r="H38" i="147"/>
  <c r="I38" i="147"/>
  <c r="J38" i="147"/>
  <c r="K38" i="147"/>
  <c r="L38" i="147"/>
  <c r="O38" i="147"/>
  <c r="P38" i="147"/>
  <c r="Q38" i="147"/>
  <c r="R38" i="147"/>
  <c r="S38" i="147"/>
  <c r="V38" i="147"/>
  <c r="W38" i="147"/>
  <c r="X38" i="147"/>
  <c r="Y38" i="147"/>
  <c r="Z38" i="147"/>
  <c r="AB38" i="147"/>
  <c r="AC38" i="147"/>
  <c r="AD38" i="147"/>
  <c r="AF38" i="147"/>
  <c r="D39" i="147"/>
  <c r="E39" i="147"/>
  <c r="G39" i="147"/>
  <c r="I39" i="147"/>
  <c r="J39" i="147"/>
  <c r="K39" i="147"/>
  <c r="L39" i="147"/>
  <c r="O39" i="147"/>
  <c r="P39" i="147"/>
  <c r="Q39" i="147"/>
  <c r="R39" i="147"/>
  <c r="S39" i="147"/>
  <c r="U39" i="147"/>
  <c r="V39" i="147"/>
  <c r="W39" i="147"/>
  <c r="Z39" i="147"/>
  <c r="AB39" i="147"/>
  <c r="AC39" i="147"/>
  <c r="AD39" i="147"/>
  <c r="AF39" i="147"/>
  <c r="AF24" i="151"/>
  <c r="AD24" i="151"/>
  <c r="AB24" i="151"/>
  <c r="Z24" i="151"/>
  <c r="Y24" i="151"/>
  <c r="W24" i="151"/>
  <c r="V24" i="151"/>
  <c r="U24" i="151"/>
  <c r="S24" i="151"/>
  <c r="R24" i="151"/>
  <c r="Q24" i="151"/>
  <c r="P24" i="151"/>
  <c r="O24" i="151"/>
  <c r="L24" i="151"/>
  <c r="K24" i="151"/>
  <c r="I24" i="151"/>
  <c r="H24" i="151"/>
  <c r="G24" i="151"/>
  <c r="E24" i="151"/>
  <c r="AF23" i="151"/>
  <c r="AD23" i="151"/>
  <c r="AC23" i="151"/>
  <c r="AB23" i="151"/>
  <c r="Z23" i="151"/>
  <c r="Y23" i="151"/>
  <c r="X23" i="151"/>
  <c r="W23" i="151"/>
  <c r="V23" i="151"/>
  <c r="U23" i="151"/>
  <c r="S23" i="151"/>
  <c r="R23" i="151"/>
  <c r="Q23" i="151"/>
  <c r="P23" i="151"/>
  <c r="O23" i="151"/>
  <c r="L23" i="151"/>
  <c r="K23" i="151"/>
  <c r="J23" i="151"/>
  <c r="I23" i="151"/>
  <c r="H23" i="151"/>
  <c r="G23" i="151"/>
  <c r="E23" i="151"/>
  <c r="D23" i="151"/>
  <c r="AF22" i="151"/>
  <c r="AD22" i="151"/>
  <c r="AC22" i="151"/>
  <c r="AB22" i="151"/>
  <c r="Z22" i="151"/>
  <c r="Y22" i="151"/>
  <c r="X22" i="151"/>
  <c r="W22" i="151"/>
  <c r="V22" i="151"/>
  <c r="U22" i="151"/>
  <c r="S22" i="151"/>
  <c r="R22" i="151"/>
  <c r="Q22" i="151"/>
  <c r="P22" i="151"/>
  <c r="O22" i="151"/>
  <c r="L22" i="151"/>
  <c r="K22" i="151"/>
  <c r="J22" i="151"/>
  <c r="I22" i="151"/>
  <c r="H22" i="151"/>
  <c r="G22" i="151"/>
  <c r="E22" i="151"/>
  <c r="D22" i="151"/>
  <c r="AF21" i="151"/>
  <c r="AD21" i="151"/>
  <c r="AC21" i="151"/>
  <c r="AB21" i="151"/>
  <c r="Z21" i="151"/>
  <c r="Y21" i="151"/>
  <c r="X21" i="151"/>
  <c r="W21" i="151"/>
  <c r="V21" i="151"/>
  <c r="U21" i="151"/>
  <c r="S21" i="151"/>
  <c r="R21" i="151"/>
  <c r="Q21" i="151"/>
  <c r="P21" i="151"/>
  <c r="O21" i="151"/>
  <c r="L21" i="151"/>
  <c r="K21" i="151"/>
  <c r="J21" i="151"/>
  <c r="I21" i="151"/>
  <c r="H21" i="151"/>
  <c r="G21" i="151"/>
  <c r="D21" i="151"/>
  <c r="AF20" i="151"/>
  <c r="AD20" i="151"/>
  <c r="AC20" i="151"/>
  <c r="AB20" i="151"/>
  <c r="Z20" i="151"/>
  <c r="Y20" i="151"/>
  <c r="X20" i="151"/>
  <c r="W20" i="151"/>
  <c r="V20" i="151"/>
  <c r="U20" i="151"/>
  <c r="S20" i="151"/>
  <c r="R20" i="151"/>
  <c r="Q20" i="151"/>
  <c r="P20" i="151"/>
  <c r="O20" i="151"/>
  <c r="H20" i="151"/>
  <c r="G20" i="151"/>
  <c r="E20" i="151"/>
  <c r="AF19" i="151"/>
  <c r="AD19" i="151"/>
  <c r="AC19" i="151"/>
  <c r="AB19" i="151"/>
  <c r="Z19" i="151"/>
  <c r="Y19" i="151"/>
  <c r="X19" i="151"/>
  <c r="W19" i="151"/>
  <c r="V19" i="151"/>
  <c r="U19" i="151"/>
  <c r="S19" i="151"/>
  <c r="R19" i="151"/>
  <c r="Q19" i="151"/>
  <c r="P19" i="151"/>
  <c r="O19" i="151"/>
  <c r="L19" i="151"/>
  <c r="K19" i="151"/>
  <c r="J19" i="151"/>
  <c r="I19" i="151"/>
  <c r="H19" i="151"/>
  <c r="G19" i="151"/>
  <c r="E19" i="151"/>
  <c r="D19" i="151"/>
  <c r="AF18" i="151"/>
  <c r="AD18" i="151"/>
  <c r="AC18" i="151"/>
  <c r="AB18" i="151"/>
  <c r="Z18" i="151"/>
  <c r="Y18" i="151"/>
  <c r="X18" i="151"/>
  <c r="W18" i="151"/>
  <c r="V18" i="151"/>
  <c r="U18" i="151"/>
  <c r="S18" i="151"/>
  <c r="R18" i="151"/>
  <c r="Q18" i="151"/>
  <c r="P18" i="151"/>
  <c r="O18" i="151"/>
  <c r="L18" i="151"/>
  <c r="K18" i="151"/>
  <c r="J18" i="151"/>
  <c r="I18" i="151"/>
  <c r="H18" i="151"/>
  <c r="G18" i="151"/>
  <c r="E18" i="151"/>
  <c r="D18" i="151"/>
  <c r="AF17" i="151"/>
  <c r="AD17" i="151"/>
  <c r="AC17" i="151"/>
  <c r="AB17" i="151"/>
  <c r="Z17" i="151"/>
  <c r="Y17" i="151"/>
  <c r="X17" i="151"/>
  <c r="W17" i="151"/>
  <c r="V17" i="151"/>
  <c r="U17" i="151"/>
  <c r="S17" i="151"/>
  <c r="R17" i="151"/>
  <c r="Q17" i="151"/>
  <c r="P17" i="151"/>
  <c r="O17" i="151"/>
  <c r="L17" i="151"/>
  <c r="K17" i="151"/>
  <c r="J17" i="151"/>
  <c r="I17" i="151"/>
  <c r="H17" i="151"/>
  <c r="G17" i="151"/>
  <c r="E17" i="151"/>
  <c r="D17" i="151"/>
  <c r="AF16" i="151"/>
  <c r="AD16" i="151"/>
  <c r="AC16" i="151"/>
  <c r="AB16" i="151"/>
  <c r="Z16" i="151"/>
  <c r="Y16" i="151"/>
  <c r="X16" i="151"/>
  <c r="W16" i="151"/>
  <c r="V16" i="151"/>
  <c r="U16" i="151"/>
  <c r="S16" i="151"/>
  <c r="R16" i="151"/>
  <c r="Q16" i="151"/>
  <c r="P16" i="151"/>
  <c r="O16" i="151"/>
  <c r="L16" i="151"/>
  <c r="K16" i="151"/>
  <c r="J16" i="151"/>
  <c r="I16" i="151"/>
  <c r="H16" i="151"/>
  <c r="G16" i="151"/>
  <c r="E16" i="151"/>
  <c r="D16" i="151"/>
  <c r="AF15" i="151"/>
  <c r="AD15" i="151"/>
  <c r="AC15" i="151"/>
  <c r="AB15" i="151"/>
  <c r="Z15" i="151"/>
  <c r="Y15" i="151"/>
  <c r="X15" i="151"/>
  <c r="W15" i="151"/>
  <c r="V15" i="151"/>
  <c r="U15" i="151"/>
  <c r="S15" i="151"/>
  <c r="R15" i="151"/>
  <c r="Q15" i="151"/>
  <c r="P15" i="151"/>
  <c r="O15" i="151"/>
  <c r="L15" i="151"/>
  <c r="K15" i="151"/>
  <c r="J15" i="151"/>
  <c r="I15" i="151"/>
  <c r="H15" i="151"/>
  <c r="G15" i="151"/>
  <c r="E15" i="151"/>
  <c r="D15" i="151"/>
  <c r="AF14" i="151"/>
  <c r="AD14" i="151"/>
  <c r="AC14" i="151"/>
  <c r="AB14" i="151"/>
  <c r="Z14" i="151"/>
  <c r="Y14" i="151"/>
  <c r="X14" i="151"/>
  <c r="W14" i="151"/>
  <c r="V14" i="151"/>
  <c r="U14" i="151"/>
  <c r="S14" i="151"/>
  <c r="R14" i="151"/>
  <c r="Q14" i="151"/>
  <c r="P14" i="151"/>
  <c r="O14" i="151"/>
  <c r="L14" i="151"/>
  <c r="K14" i="151"/>
  <c r="J14" i="151"/>
  <c r="I14" i="151"/>
  <c r="H14" i="151"/>
  <c r="G14" i="151"/>
  <c r="E14" i="151"/>
  <c r="D14" i="151"/>
  <c r="AF13" i="151"/>
  <c r="AD13" i="151"/>
  <c r="AC13" i="151"/>
  <c r="AB13" i="151"/>
  <c r="Z13" i="151"/>
  <c r="Y13" i="151"/>
  <c r="X13" i="151"/>
  <c r="W13" i="151"/>
  <c r="V13" i="151"/>
  <c r="U13" i="151"/>
  <c r="S13" i="151"/>
  <c r="R13" i="151"/>
  <c r="Q13" i="151"/>
  <c r="P13" i="151"/>
  <c r="O13" i="151"/>
  <c r="L13" i="151"/>
  <c r="K13" i="151"/>
  <c r="J13" i="151"/>
  <c r="I13" i="151"/>
  <c r="H13" i="151"/>
  <c r="G13" i="151"/>
  <c r="E13" i="151"/>
  <c r="D13" i="151"/>
  <c r="AF12" i="151"/>
  <c r="AD12" i="151"/>
  <c r="AC12" i="151"/>
  <c r="AB12" i="151"/>
  <c r="Z12" i="151"/>
  <c r="Y12" i="151"/>
  <c r="X12" i="151"/>
  <c r="W12" i="151"/>
  <c r="V12" i="151"/>
  <c r="U12" i="151"/>
  <c r="S12" i="151"/>
  <c r="R12" i="151"/>
  <c r="Q12" i="151"/>
  <c r="P12" i="151"/>
  <c r="O12" i="151"/>
  <c r="L12" i="151"/>
  <c r="K12" i="151"/>
  <c r="J12" i="151"/>
  <c r="I12" i="151"/>
  <c r="H12" i="151"/>
  <c r="G12" i="151"/>
  <c r="E12" i="151"/>
  <c r="D12" i="151"/>
  <c r="AF11" i="151"/>
  <c r="AD11" i="151"/>
  <c r="AC11" i="151"/>
  <c r="AB11" i="151"/>
  <c r="Z11" i="151"/>
  <c r="Y11" i="151"/>
  <c r="X11" i="151"/>
  <c r="W11" i="151"/>
  <c r="V11" i="151"/>
  <c r="U11" i="151"/>
  <c r="S11" i="151"/>
  <c r="R11" i="151"/>
  <c r="Q11" i="151"/>
  <c r="P11" i="151"/>
  <c r="O11" i="151"/>
  <c r="L11" i="151"/>
  <c r="K11" i="151"/>
  <c r="J11" i="151"/>
  <c r="I11" i="151"/>
  <c r="H11" i="151"/>
  <c r="G11" i="151"/>
  <c r="E11" i="151"/>
  <c r="D11" i="151"/>
  <c r="AF10" i="151"/>
  <c r="AD10" i="151"/>
  <c r="AC10" i="151"/>
  <c r="AB10" i="151"/>
  <c r="Z10" i="151"/>
  <c r="Y10" i="151"/>
  <c r="X10" i="151"/>
  <c r="W10" i="151"/>
  <c r="V10" i="151"/>
  <c r="U10" i="151"/>
  <c r="S10" i="151"/>
  <c r="R10" i="151"/>
  <c r="Q10" i="151"/>
  <c r="P10" i="151"/>
  <c r="O10" i="151"/>
  <c r="L10" i="151"/>
  <c r="K10" i="151"/>
  <c r="J10" i="151"/>
  <c r="I10" i="151"/>
  <c r="G10" i="151"/>
  <c r="E10" i="151"/>
  <c r="D10" i="151"/>
  <c r="AD9" i="151"/>
  <c r="AC9" i="151"/>
  <c r="AB9" i="151"/>
  <c r="Z9" i="151"/>
  <c r="Y9" i="151"/>
  <c r="X9" i="151"/>
  <c r="W9" i="151"/>
  <c r="S9" i="151"/>
  <c r="R9" i="151"/>
  <c r="Q9" i="151"/>
  <c r="P9" i="151"/>
  <c r="O9" i="151"/>
  <c r="J9" i="151"/>
  <c r="I9" i="151"/>
  <c r="H9" i="151"/>
  <c r="G9" i="151"/>
  <c r="E9" i="151"/>
  <c r="D9" i="151"/>
  <c r="AF8" i="151"/>
  <c r="AB8" i="151"/>
  <c r="Z8" i="151"/>
  <c r="Y8" i="151"/>
  <c r="X8" i="151"/>
  <c r="W8" i="151"/>
  <c r="V8" i="151"/>
  <c r="U8" i="151"/>
  <c r="S8" i="151"/>
  <c r="R8" i="151"/>
  <c r="P8" i="151"/>
  <c r="O8" i="151"/>
  <c r="L8" i="151"/>
  <c r="K8" i="151"/>
  <c r="J8" i="151"/>
  <c r="I8" i="151"/>
  <c r="H8" i="151"/>
  <c r="G8" i="151"/>
  <c r="E8" i="151"/>
  <c r="D8" i="151"/>
  <c r="AF7" i="151"/>
  <c r="AD7" i="151"/>
  <c r="AC7" i="151"/>
  <c r="Z7" i="151"/>
  <c r="Y7" i="151"/>
  <c r="X7" i="151"/>
  <c r="W7" i="151"/>
  <c r="V7" i="151"/>
  <c r="U7" i="151"/>
  <c r="S7" i="151"/>
  <c r="L7" i="151"/>
  <c r="J7" i="151"/>
  <c r="H7" i="151"/>
  <c r="G7" i="151"/>
  <c r="E7" i="151"/>
  <c r="D7" i="151"/>
  <c r="AG37" i="147"/>
  <c r="AG24" i="151"/>
  <c r="AG23" i="151"/>
  <c r="AG22" i="151"/>
  <c r="D29" i="151" l="1"/>
  <c r="AI37" i="147"/>
  <c r="H279" i="181" s="1"/>
  <c r="I279" i="181" s="1"/>
  <c r="AS37" i="147"/>
  <c r="AK37" i="147"/>
  <c r="L279" i="181" s="1"/>
  <c r="M279" i="181" s="1"/>
  <c r="AM37" i="147"/>
  <c r="P279" i="181" s="1"/>
  <c r="Q279" i="181" s="1"/>
  <c r="AK24" i="151"/>
  <c r="AO37" i="147"/>
  <c r="AJ37" i="147"/>
  <c r="J279" i="181" s="1"/>
  <c r="K279" i="181" s="1"/>
  <c r="AN37" i="147"/>
  <c r="R279" i="181" s="1"/>
  <c r="S279" i="181" s="1"/>
  <c r="AH37" i="147"/>
  <c r="AQ37" i="147"/>
  <c r="AT37" i="147"/>
  <c r="AP37" i="147"/>
  <c r="AL37" i="147"/>
  <c r="N279" i="181" s="1"/>
  <c r="O279" i="181" s="1"/>
  <c r="AQ22" i="151"/>
  <c r="AR23" i="151"/>
  <c r="AR22" i="151"/>
  <c r="AR24" i="151"/>
  <c r="AO23" i="151"/>
  <c r="AH24" i="151"/>
  <c r="AL24" i="151"/>
  <c r="AO24" i="151"/>
  <c r="AI24" i="151"/>
  <c r="AM24" i="151"/>
  <c r="AQ24" i="151"/>
  <c r="AJ24" i="151"/>
  <c r="AN24" i="151"/>
  <c r="AK22" i="151"/>
  <c r="AO22" i="151"/>
  <c r="AH23" i="151"/>
  <c r="AL23" i="151"/>
  <c r="AH22" i="151"/>
  <c r="AL22" i="151"/>
  <c r="AI23" i="151"/>
  <c r="AM23" i="151"/>
  <c r="AQ23" i="151"/>
  <c r="AJ23" i="151"/>
  <c r="AN23" i="151"/>
  <c r="AI22" i="151"/>
  <c r="AM22" i="151"/>
  <c r="AJ22" i="151"/>
  <c r="AN22" i="151"/>
  <c r="AK23" i="151"/>
  <c r="E103" i="140" l="1"/>
  <c r="E535" i="181"/>
  <c r="G535" i="181" s="1"/>
  <c r="E105" i="140"/>
  <c r="E553" i="181"/>
  <c r="G553" i="181" s="1"/>
  <c r="P105" i="140"/>
  <c r="P553" i="181"/>
  <c r="Q553" i="181" s="1"/>
  <c r="P104" i="140"/>
  <c r="P544" i="181"/>
  <c r="Q544" i="181" s="1"/>
  <c r="H104" i="140"/>
  <c r="H544" i="181"/>
  <c r="I544" i="181" s="1"/>
  <c r="N103" i="140"/>
  <c r="N535" i="181"/>
  <c r="O535" i="181" s="1"/>
  <c r="L104" i="140"/>
  <c r="L544" i="181"/>
  <c r="M544" i="181" s="1"/>
  <c r="T279" i="181"/>
  <c r="U279" i="181" s="1"/>
  <c r="E104" i="140"/>
  <c r="E544" i="181"/>
  <c r="G544" i="181" s="1"/>
  <c r="BE105" i="140"/>
  <c r="BE553" i="181"/>
  <c r="BI553" i="181" s="1"/>
  <c r="L105" i="140"/>
  <c r="L553" i="181"/>
  <c r="M553" i="181" s="1"/>
  <c r="J103" i="140"/>
  <c r="J535" i="181"/>
  <c r="K535" i="181" s="1"/>
  <c r="T103" i="140"/>
  <c r="U103" i="140" s="1"/>
  <c r="T535" i="181"/>
  <c r="BE103" i="140"/>
  <c r="BE535" i="181"/>
  <c r="BI535" i="181" s="1"/>
  <c r="P103" i="140"/>
  <c r="P535" i="181"/>
  <c r="Q535" i="181" s="1"/>
  <c r="L103" i="140"/>
  <c r="L535" i="181"/>
  <c r="M535" i="181" s="1"/>
  <c r="BE104" i="140"/>
  <c r="BE544" i="181"/>
  <c r="BI544" i="181" s="1"/>
  <c r="H105" i="140"/>
  <c r="H553" i="181"/>
  <c r="I553" i="181" s="1"/>
  <c r="N105" i="140"/>
  <c r="N553" i="181"/>
  <c r="O553" i="181" s="1"/>
  <c r="N104" i="140"/>
  <c r="N544" i="181"/>
  <c r="O544" i="181" s="1"/>
  <c r="R103" i="140"/>
  <c r="S103" i="140" s="1"/>
  <c r="R535" i="181"/>
  <c r="S535" i="181" s="1"/>
  <c r="H103" i="140"/>
  <c r="H535" i="181"/>
  <c r="I535" i="181" s="1"/>
  <c r="R105" i="140"/>
  <c r="S105" i="140" s="1"/>
  <c r="R553" i="181"/>
  <c r="S553" i="181" s="1"/>
  <c r="BD103" i="140"/>
  <c r="BD535" i="181"/>
  <c r="BH535" i="181" s="1"/>
  <c r="BJ535" i="181" s="1"/>
  <c r="BD39" i="140"/>
  <c r="BD279" i="181"/>
  <c r="BH279" i="181" s="1"/>
  <c r="BD104" i="140"/>
  <c r="BD544" i="181"/>
  <c r="BH544" i="181" s="1"/>
  <c r="T105" i="140"/>
  <c r="U105" i="140" s="1"/>
  <c r="T553" i="181"/>
  <c r="R104" i="140"/>
  <c r="S104" i="140" s="1"/>
  <c r="R544" i="181"/>
  <c r="S544" i="181" s="1"/>
  <c r="BE39" i="140"/>
  <c r="BE279" i="181"/>
  <c r="BI279" i="181" s="1"/>
  <c r="E39" i="140"/>
  <c r="E279" i="181"/>
  <c r="T104" i="140"/>
  <c r="U104" i="140" s="1"/>
  <c r="T544" i="181"/>
  <c r="J105" i="140"/>
  <c r="J553" i="181"/>
  <c r="K553" i="181" s="1"/>
  <c r="J104" i="140"/>
  <c r="J544" i="181"/>
  <c r="K544" i="181" s="1"/>
  <c r="BD105" i="140"/>
  <c r="BD553" i="181"/>
  <c r="BH553" i="181" s="1"/>
  <c r="BJ553" i="181" s="1"/>
  <c r="AR37" i="147"/>
  <c r="AP24" i="151"/>
  <c r="AT24" i="151" s="1"/>
  <c r="AP22" i="151"/>
  <c r="AT22" i="151" s="1"/>
  <c r="AP23" i="151"/>
  <c r="AT23" i="151" s="1"/>
  <c r="U553" i="181" l="1"/>
  <c r="V553" i="181"/>
  <c r="BJ544" i="181"/>
  <c r="G279" i="181"/>
  <c r="V279" i="181"/>
  <c r="U544" i="181"/>
  <c r="V544" i="181"/>
  <c r="BJ279" i="181"/>
  <c r="U535" i="181"/>
  <c r="V535" i="181"/>
  <c r="G87" i="175"/>
  <c r="K6" i="175"/>
  <c r="X544" i="181" l="1"/>
  <c r="BG544" i="181"/>
  <c r="BK544" i="181" s="1"/>
  <c r="BG279" i="181"/>
  <c r="BK279" i="181" s="1"/>
  <c r="X279" i="181"/>
  <c r="BM279" i="181" s="1"/>
  <c r="X535" i="181"/>
  <c r="BG535" i="181"/>
  <c r="BK535" i="181" s="1"/>
  <c r="BG553" i="181"/>
  <c r="BK553" i="181" s="1"/>
  <c r="X553" i="181"/>
  <c r="AO279" i="181"/>
  <c r="BC279" i="181" s="1"/>
  <c r="G39" i="175"/>
  <c r="G81" i="175" s="1"/>
  <c r="K28" i="175" l="1"/>
  <c r="K29" i="175"/>
  <c r="K30" i="175"/>
  <c r="X9" i="175" l="1"/>
  <c r="X11" i="175" s="1"/>
  <c r="Z9" i="175" l="1"/>
  <c r="K9" i="175" l="1"/>
  <c r="K7" i="175"/>
  <c r="K8" i="175"/>
  <c r="K10" i="175"/>
  <c r="K11" i="175"/>
  <c r="K12" i="175"/>
  <c r="K13" i="175"/>
  <c r="K14" i="175"/>
  <c r="K15" i="175"/>
  <c r="K16" i="175"/>
  <c r="K17" i="175"/>
  <c r="K18" i="175"/>
  <c r="K19" i="175"/>
  <c r="K20" i="175"/>
  <c r="K21" i="175"/>
  <c r="K22" i="175"/>
  <c r="K23" i="175"/>
  <c r="K24" i="175"/>
  <c r="K25" i="175"/>
  <c r="K26" i="175"/>
  <c r="K27" i="175"/>
  <c r="K31" i="175"/>
  <c r="K32" i="175"/>
  <c r="K33" i="175"/>
  <c r="K34" i="175"/>
  <c r="K35" i="175"/>
  <c r="K36" i="175"/>
  <c r="K37" i="175"/>
  <c r="K38" i="175"/>
  <c r="K39" i="175"/>
  <c r="K40" i="175"/>
  <c r="K41" i="175"/>
  <c r="K42" i="175"/>
  <c r="K43" i="175"/>
  <c r="K44" i="175"/>
  <c r="K45" i="175"/>
  <c r="K46" i="175"/>
  <c r="K47" i="175"/>
  <c r="K48" i="175"/>
  <c r="K49" i="175"/>
  <c r="K50" i="175"/>
  <c r="K51" i="175"/>
  <c r="K52" i="175"/>
  <c r="K53" i="175"/>
  <c r="K54" i="175"/>
  <c r="K55" i="175"/>
  <c r="K56" i="175"/>
  <c r="K57" i="175"/>
  <c r="K58" i="175"/>
  <c r="K59" i="175"/>
  <c r="K60" i="175"/>
  <c r="K61" i="175"/>
  <c r="K62" i="175"/>
  <c r="K63" i="175"/>
  <c r="K64" i="175"/>
  <c r="K65" i="175"/>
  <c r="K71" i="175"/>
  <c r="K66" i="175"/>
  <c r="K67" i="175"/>
  <c r="K68" i="175"/>
  <c r="K69" i="175"/>
  <c r="K70" i="175"/>
  <c r="K72" i="175"/>
  <c r="K73" i="175"/>
  <c r="K74" i="175"/>
  <c r="K75" i="175"/>
  <c r="L66" i="178" l="1"/>
  <c r="L67" i="178"/>
  <c r="L68" i="178"/>
  <c r="O63" i="178"/>
  <c r="O64" i="178"/>
  <c r="L63" i="178"/>
  <c r="L64" i="178"/>
  <c r="W87" i="178"/>
  <c r="X83" i="178"/>
  <c r="X82" i="178"/>
  <c r="X81" i="178"/>
  <c r="X80" i="178"/>
  <c r="X79" i="178"/>
  <c r="W77" i="178"/>
  <c r="X71" i="178"/>
  <c r="X70" i="178"/>
  <c r="X69" i="178"/>
  <c r="X68" i="178"/>
  <c r="X67" i="178"/>
  <c r="X66" i="178"/>
  <c r="X65" i="178"/>
  <c r="X64" i="178"/>
  <c r="X63" i="178"/>
  <c r="X62" i="178"/>
  <c r="X61" i="178"/>
  <c r="X60" i="178"/>
  <c r="X59" i="178"/>
  <c r="X58" i="178"/>
  <c r="X57" i="178"/>
  <c r="X56" i="178"/>
  <c r="X55" i="178"/>
  <c r="W53" i="178"/>
  <c r="V53" i="178"/>
  <c r="X52" i="178"/>
  <c r="X51" i="178"/>
  <c r="X50" i="178"/>
  <c r="X49" i="178"/>
  <c r="X48" i="178"/>
  <c r="X47" i="178"/>
  <c r="X46" i="178"/>
  <c r="X45" i="178"/>
  <c r="W43" i="178"/>
  <c r="V43" i="178"/>
  <c r="X42" i="178"/>
  <c r="X41" i="178"/>
  <c r="X40" i="178"/>
  <c r="X39" i="178"/>
  <c r="X38" i="178"/>
  <c r="X37" i="178"/>
  <c r="X36" i="178"/>
  <c r="X35" i="178"/>
  <c r="X34" i="178"/>
  <c r="X33" i="178"/>
  <c r="X32" i="178"/>
  <c r="X31" i="178"/>
  <c r="X30" i="178"/>
  <c r="X29" i="178"/>
  <c r="X28" i="178"/>
  <c r="X27" i="178"/>
  <c r="X26" i="178"/>
  <c r="X25" i="178"/>
  <c r="X24" i="178"/>
  <c r="X23" i="178"/>
  <c r="X22" i="178"/>
  <c r="X21" i="178"/>
  <c r="X20" i="178"/>
  <c r="X19" i="178"/>
  <c r="X18" i="178"/>
  <c r="X17" i="178"/>
  <c r="X16" i="178"/>
  <c r="X15" i="178"/>
  <c r="X14" i="178"/>
  <c r="X13" i="178"/>
  <c r="X12" i="178"/>
  <c r="X11" i="178"/>
  <c r="X10" i="178"/>
  <c r="AZ91" i="140"/>
  <c r="R61" i="178"/>
  <c r="R62" i="178"/>
  <c r="R64" i="178"/>
  <c r="R65" i="178"/>
  <c r="R66" i="178"/>
  <c r="R67" i="178"/>
  <c r="R68" i="178"/>
  <c r="R69" i="178"/>
  <c r="R70" i="178"/>
  <c r="R71" i="178"/>
  <c r="AA60" i="178"/>
  <c r="AA59" i="178"/>
  <c r="S56" i="178"/>
  <c r="S57" i="178"/>
  <c r="S55" i="178"/>
  <c r="H53" i="178"/>
  <c r="O45" i="178"/>
  <c r="R45" i="178"/>
  <c r="R49" i="178"/>
  <c r="O40" i="178"/>
  <c r="O41" i="178"/>
  <c r="R11" i="178"/>
  <c r="R12" i="178"/>
  <c r="R15" i="178"/>
  <c r="R16" i="178"/>
  <c r="R19" i="178"/>
  <c r="R20" i="178"/>
  <c r="R24" i="178"/>
  <c r="Q87" i="178"/>
  <c r="P87" i="178"/>
  <c r="R83" i="178"/>
  <c r="R82" i="178"/>
  <c r="R81" i="178"/>
  <c r="R80" i="178"/>
  <c r="R79" i="178"/>
  <c r="Q77" i="178"/>
  <c r="R63" i="178"/>
  <c r="R56" i="178"/>
  <c r="R55" i="178"/>
  <c r="Q53" i="178"/>
  <c r="R52" i="178"/>
  <c r="R51" i="178"/>
  <c r="R50" i="178"/>
  <c r="R48" i="178"/>
  <c r="R47" i="178"/>
  <c r="R46" i="178"/>
  <c r="R42" i="178"/>
  <c r="R40" i="178"/>
  <c r="R39" i="178"/>
  <c r="R38" i="178"/>
  <c r="R37" i="178"/>
  <c r="R36" i="178"/>
  <c r="R35" i="178"/>
  <c r="R34" i="178"/>
  <c r="R33" i="178"/>
  <c r="R32" i="178"/>
  <c r="R31" i="178"/>
  <c r="R30" i="178"/>
  <c r="R29" i="178"/>
  <c r="R28" i="178"/>
  <c r="R27" i="178"/>
  <c r="R26" i="178"/>
  <c r="R23" i="178"/>
  <c r="R21" i="178"/>
  <c r="R18" i="178"/>
  <c r="R17" i="178"/>
  <c r="R14" i="178"/>
  <c r="R13" i="178"/>
  <c r="O22" i="178"/>
  <c r="O23" i="178"/>
  <c r="O24" i="178"/>
  <c r="O15" i="178"/>
  <c r="O16" i="178"/>
  <c r="R87" i="178" l="1"/>
  <c r="W88" i="178"/>
  <c r="X53" i="178"/>
  <c r="X43" i="178"/>
  <c r="X87" i="178"/>
  <c r="X77" i="178"/>
  <c r="V87" i="178"/>
  <c r="V77" i="178"/>
  <c r="V88" i="178" s="1"/>
  <c r="R77" i="178"/>
  <c r="P53" i="178"/>
  <c r="Q43" i="178"/>
  <c r="Q88" i="178" s="1"/>
  <c r="R53" i="178"/>
  <c r="P77" i="178"/>
  <c r="X88" i="178" l="1"/>
  <c r="J11" i="178" l="1"/>
  <c r="E43" i="178" l="1"/>
  <c r="F69" i="140" l="1"/>
  <c r="L69" i="140"/>
  <c r="R69" i="140"/>
  <c r="W69" i="140"/>
  <c r="Y69" i="140"/>
  <c r="AB69" i="140"/>
  <c r="AK69" i="140"/>
  <c r="AL69" i="140"/>
  <c r="AM69" i="140"/>
  <c r="AN69" i="140"/>
  <c r="AX69" i="140"/>
  <c r="AY69" i="140"/>
  <c r="F42" i="140"/>
  <c r="W42" i="140"/>
  <c r="Y42" i="140"/>
  <c r="AB42" i="140"/>
  <c r="AH42" i="140"/>
  <c r="AI42" i="140"/>
  <c r="AL42" i="140"/>
  <c r="AM42" i="140"/>
  <c r="AX42" i="140"/>
  <c r="AY42" i="140"/>
  <c r="BA42" i="140"/>
  <c r="BB42" i="140"/>
  <c r="D73" i="180" l="1"/>
  <c r="D74" i="180"/>
  <c r="D77" i="180"/>
  <c r="D78" i="180"/>
  <c r="F72" i="180"/>
  <c r="F73" i="180"/>
  <c r="F74" i="180"/>
  <c r="F77" i="180"/>
  <c r="AA41" i="174" l="1"/>
  <c r="D43" i="174"/>
  <c r="AG134" i="153" l="1"/>
  <c r="AD134" i="153"/>
  <c r="Y522" i="150" l="1"/>
  <c r="Y518" i="150"/>
  <c r="Y519" i="150"/>
  <c r="Y520" i="150"/>
  <c r="Y521" i="150"/>
  <c r="Y514" i="150"/>
  <c r="Y523" i="150"/>
  <c r="AC105" i="153" l="1"/>
  <c r="AD105" i="153"/>
  <c r="AE105" i="153"/>
  <c r="AF105" i="153"/>
  <c r="AG105" i="153"/>
  <c r="V29" i="151" l="1"/>
  <c r="AM70" i="140" l="1"/>
  <c r="AG49" i="151" l="1"/>
  <c r="AH49" i="151" s="1"/>
  <c r="AG48" i="151"/>
  <c r="AH48" i="151" s="1"/>
  <c r="AI52" i="151"/>
  <c r="AJ52" i="151"/>
  <c r="AK52" i="151"/>
  <c r="AL52" i="151"/>
  <c r="AM52" i="151"/>
  <c r="AN52" i="151"/>
  <c r="AO52" i="151"/>
  <c r="AQ52" i="151"/>
  <c r="BD650" i="181" s="1"/>
  <c r="BH650" i="181" s="1"/>
  <c r="AR52" i="151"/>
  <c r="BE650" i="181" s="1"/>
  <c r="BI650" i="181" s="1"/>
  <c r="AI53" i="151"/>
  <c r="AJ53" i="151"/>
  <c r="AK53" i="151"/>
  <c r="AL53" i="151"/>
  <c r="AM53" i="151"/>
  <c r="AN53" i="151"/>
  <c r="AO53" i="151"/>
  <c r="AQ53" i="151"/>
  <c r="BD660" i="181" s="1"/>
  <c r="BH660" i="181" s="1"/>
  <c r="AR53" i="151"/>
  <c r="BE660" i="181" s="1"/>
  <c r="BI660" i="181" s="1"/>
  <c r="AG51" i="151"/>
  <c r="AH51" i="151" s="1"/>
  <c r="AH50" i="151"/>
  <c r="AF515" i="150"/>
  <c r="AG515" i="150"/>
  <c r="AH515" i="150"/>
  <c r="AF516" i="150"/>
  <c r="AG516" i="150"/>
  <c r="AH516" i="150"/>
  <c r="AF517" i="150"/>
  <c r="AG517" i="150"/>
  <c r="AH517" i="150"/>
  <c r="AF518" i="150"/>
  <c r="AG518" i="150"/>
  <c r="AH518" i="150"/>
  <c r="AF519" i="150"/>
  <c r="AG519" i="150"/>
  <c r="AH519" i="150"/>
  <c r="AE516" i="150"/>
  <c r="AE517" i="150"/>
  <c r="AE518" i="150"/>
  <c r="AE519" i="150"/>
  <c r="AD516" i="150"/>
  <c r="AD517" i="150"/>
  <c r="AD518" i="150"/>
  <c r="AD519" i="150"/>
  <c r="AC515" i="150"/>
  <c r="AA516" i="150"/>
  <c r="AB516" i="150"/>
  <c r="AC516" i="150"/>
  <c r="Z517" i="150"/>
  <c r="AB517" i="150"/>
  <c r="AC517" i="150"/>
  <c r="Z518" i="150"/>
  <c r="AA518" i="150"/>
  <c r="AC518" i="150"/>
  <c r="Z519" i="150"/>
  <c r="AA519" i="150"/>
  <c r="AB519" i="150"/>
  <c r="AC519" i="150"/>
  <c r="Z520" i="150"/>
  <c r="AA520" i="150"/>
  <c r="AB520" i="150"/>
  <c r="AC520" i="150"/>
  <c r="X518" i="150"/>
  <c r="X519" i="150"/>
  <c r="X520" i="150"/>
  <c r="W516" i="150"/>
  <c r="W517" i="150"/>
  <c r="W518" i="150"/>
  <c r="W519" i="150"/>
  <c r="V516" i="150"/>
  <c r="V518" i="150"/>
  <c r="V519" i="150"/>
  <c r="U516" i="150"/>
  <c r="U517" i="150"/>
  <c r="U518" i="150"/>
  <c r="U519" i="150"/>
  <c r="T519" i="150"/>
  <c r="Q519" i="150"/>
  <c r="P516" i="150"/>
  <c r="P517" i="150"/>
  <c r="P518" i="150"/>
  <c r="P519" i="150"/>
  <c r="P520" i="150"/>
  <c r="L516" i="150"/>
  <c r="K518" i="150"/>
  <c r="M518" i="150"/>
  <c r="N518" i="150"/>
  <c r="O518" i="150"/>
  <c r="K519" i="150"/>
  <c r="L519" i="150"/>
  <c r="M519" i="150"/>
  <c r="N519" i="150"/>
  <c r="O519" i="150"/>
  <c r="K520" i="150"/>
  <c r="L520" i="150"/>
  <c r="M520" i="150"/>
  <c r="N520" i="150"/>
  <c r="O520" i="150"/>
  <c r="J519" i="150"/>
  <c r="J520" i="150"/>
  <c r="I516" i="150"/>
  <c r="I517" i="150"/>
  <c r="I518" i="150"/>
  <c r="I519" i="150"/>
  <c r="I520" i="150"/>
  <c r="F516" i="150"/>
  <c r="G516" i="150"/>
  <c r="H516" i="150"/>
  <c r="H517" i="150"/>
  <c r="F518" i="150"/>
  <c r="F519" i="150"/>
  <c r="H519" i="150"/>
  <c r="F520" i="150"/>
  <c r="G520" i="150"/>
  <c r="H520" i="150"/>
  <c r="F521" i="150"/>
  <c r="G521" i="150"/>
  <c r="H521" i="150"/>
  <c r="E516" i="150"/>
  <c r="E517" i="150"/>
  <c r="E518" i="150"/>
  <c r="E519" i="150"/>
  <c r="E520" i="150"/>
  <c r="E521" i="150"/>
  <c r="D516" i="150"/>
  <c r="D517" i="150"/>
  <c r="D518" i="150"/>
  <c r="D519" i="150"/>
  <c r="D520" i="150"/>
  <c r="T130" i="140"/>
  <c r="T131" i="140"/>
  <c r="U131" i="140" s="1"/>
  <c r="T132" i="140"/>
  <c r="T133" i="140"/>
  <c r="U133" i="140" s="1"/>
  <c r="M130" i="140"/>
  <c r="AA130" i="140"/>
  <c r="AD130" i="140"/>
  <c r="AP130" i="140"/>
  <c r="AQ130" i="140"/>
  <c r="AU130" i="140"/>
  <c r="AV130" i="140"/>
  <c r="AZ130" i="140"/>
  <c r="M131" i="140"/>
  <c r="AA131" i="140"/>
  <c r="AD131" i="140"/>
  <c r="AP131" i="140"/>
  <c r="AQ131" i="140"/>
  <c r="AU131" i="140"/>
  <c r="AV131" i="140"/>
  <c r="AZ131" i="140"/>
  <c r="M132" i="140"/>
  <c r="AA132" i="140"/>
  <c r="AD132" i="140"/>
  <c r="AP132" i="140"/>
  <c r="AQ132" i="140"/>
  <c r="AU132" i="140"/>
  <c r="AV132" i="140"/>
  <c r="AZ132" i="140"/>
  <c r="M133" i="140"/>
  <c r="AA133" i="140"/>
  <c r="AD133" i="140"/>
  <c r="AP133" i="140"/>
  <c r="AQ133" i="140"/>
  <c r="AU133" i="140"/>
  <c r="AV133" i="140"/>
  <c r="AZ133" i="140"/>
  <c r="BJ650" i="181" l="1"/>
  <c r="P134" i="140"/>
  <c r="P650" i="181"/>
  <c r="N134" i="140"/>
  <c r="O134" i="140" s="1"/>
  <c r="N650" i="181"/>
  <c r="O650" i="181" s="1"/>
  <c r="P135" i="140"/>
  <c r="Q135" i="140" s="1"/>
  <c r="P660" i="181"/>
  <c r="J134" i="140"/>
  <c r="K134" i="140" s="1"/>
  <c r="J650" i="181"/>
  <c r="K650" i="181" s="1"/>
  <c r="H135" i="140"/>
  <c r="S135" i="140" s="1"/>
  <c r="H660" i="181"/>
  <c r="E133" i="140"/>
  <c r="E640" i="181"/>
  <c r="G640" i="181" s="1"/>
  <c r="BJ660" i="181"/>
  <c r="N135" i="140"/>
  <c r="O135" i="140" s="1"/>
  <c r="N660" i="181"/>
  <c r="O660" i="181" s="1"/>
  <c r="H134" i="140"/>
  <c r="H650" i="181"/>
  <c r="E130" i="140"/>
  <c r="E610" i="181"/>
  <c r="E132" i="140"/>
  <c r="E630" i="181"/>
  <c r="G630" i="181" s="1"/>
  <c r="J135" i="140"/>
  <c r="K135" i="140" s="1"/>
  <c r="J660" i="181"/>
  <c r="K660" i="181" s="1"/>
  <c r="E131" i="140"/>
  <c r="E620" i="181"/>
  <c r="G620" i="181" s="1"/>
  <c r="AQ138" i="140"/>
  <c r="M138" i="140"/>
  <c r="T138" i="140"/>
  <c r="AV138" i="140"/>
  <c r="AD138" i="140"/>
  <c r="AU138" i="140"/>
  <c r="AA138" i="140"/>
  <c r="AZ138" i="140"/>
  <c r="AP138" i="140"/>
  <c r="E138" i="140"/>
  <c r="U130" i="140"/>
  <c r="BE135" i="140"/>
  <c r="BI135" i="140" s="1"/>
  <c r="BD135" i="140"/>
  <c r="BH135" i="140" s="1"/>
  <c r="BE134" i="140"/>
  <c r="BI134" i="140" s="1"/>
  <c r="BD134" i="140"/>
  <c r="BH134" i="140" s="1"/>
  <c r="AS133" i="140"/>
  <c r="AW133" i="140" s="1"/>
  <c r="AT133" i="140"/>
  <c r="AS132" i="140"/>
  <c r="AT132" i="140"/>
  <c r="AS131" i="140"/>
  <c r="AT131" i="140"/>
  <c r="AS130" i="140"/>
  <c r="AT130" i="140"/>
  <c r="Q134" i="140"/>
  <c r="V134" i="140"/>
  <c r="BG134" i="140" s="1"/>
  <c r="I134" i="140"/>
  <c r="S134" i="140"/>
  <c r="AR132" i="140"/>
  <c r="AR131" i="140"/>
  <c r="AR130" i="140"/>
  <c r="AR133" i="140"/>
  <c r="AP53" i="151"/>
  <c r="AP52" i="151"/>
  <c r="U132" i="140"/>
  <c r="Q660" i="181" l="1"/>
  <c r="V660" i="181"/>
  <c r="BG660" i="181" s="1"/>
  <c r="BK660" i="181" s="1"/>
  <c r="I135" i="140"/>
  <c r="S660" i="181"/>
  <c r="I660" i="181"/>
  <c r="S650" i="181"/>
  <c r="I650" i="181"/>
  <c r="V135" i="140"/>
  <c r="BG135" i="140" s="1"/>
  <c r="Q650" i="181"/>
  <c r="V650" i="181"/>
  <c r="BG650" i="181" s="1"/>
  <c r="BK650" i="181" s="1"/>
  <c r="G610" i="181"/>
  <c r="G681" i="181" s="1"/>
  <c r="E681" i="181"/>
  <c r="E683" i="181" s="1"/>
  <c r="AT138" i="140"/>
  <c r="AS138" i="140"/>
  <c r="AW131" i="140"/>
  <c r="U138" i="140"/>
  <c r="AR138" i="140"/>
  <c r="BJ134" i="140"/>
  <c r="BK134" i="140"/>
  <c r="BJ135" i="140"/>
  <c r="BK135" i="140"/>
  <c r="AW130" i="140"/>
  <c r="AW132" i="140"/>
  <c r="AB515" i="150"/>
  <c r="AB518" i="150"/>
  <c r="AI383" i="150"/>
  <c r="AK383" i="150" s="1"/>
  <c r="AN297" i="181" s="1"/>
  <c r="AN298" i="181" s="1"/>
  <c r="AI382" i="150"/>
  <c r="AK382" i="150" s="1"/>
  <c r="AG234" i="181" s="1"/>
  <c r="AG298" i="181" s="1"/>
  <c r="AI381" i="150"/>
  <c r="AI380" i="150"/>
  <c r="AK380" i="150" s="1"/>
  <c r="AI379" i="150"/>
  <c r="AK379" i="150" s="1"/>
  <c r="AI378" i="150"/>
  <c r="AK378" i="150" s="1"/>
  <c r="AI377" i="150"/>
  <c r="AK377" i="150" s="1"/>
  <c r="AI376" i="150"/>
  <c r="AK376" i="150" s="1"/>
  <c r="AI375" i="150"/>
  <c r="AI374" i="150"/>
  <c r="AI371" i="150"/>
  <c r="G519" i="150"/>
  <c r="AM50" i="151"/>
  <c r="AJ50" i="151"/>
  <c r="AN50" i="151"/>
  <c r="AI51" i="151"/>
  <c r="AJ51" i="151"/>
  <c r="AK51" i="151"/>
  <c r="AL51" i="151"/>
  <c r="AM51" i="151"/>
  <c r="AN51" i="151"/>
  <c r="AO51" i="151"/>
  <c r="AQ51" i="151"/>
  <c r="AR51" i="151"/>
  <c r="AC89" i="140"/>
  <c r="AD89" i="140"/>
  <c r="AC90" i="140"/>
  <c r="AC91" i="140"/>
  <c r="AC92" i="140"/>
  <c r="AC93" i="140"/>
  <c r="AC94" i="140"/>
  <c r="AC95" i="140"/>
  <c r="AC96" i="140"/>
  <c r="AC97" i="140"/>
  <c r="AC98" i="140"/>
  <c r="AC99" i="140"/>
  <c r="AC100" i="140"/>
  <c r="AC101" i="140"/>
  <c r="AC102" i="140"/>
  <c r="AC103" i="140"/>
  <c r="AC104" i="140"/>
  <c r="AD88" i="140"/>
  <c r="AC88" i="140"/>
  <c r="AC62" i="140"/>
  <c r="AD62" i="140"/>
  <c r="AC63" i="140"/>
  <c r="AD63" i="140"/>
  <c r="AC64" i="140"/>
  <c r="AD64" i="140"/>
  <c r="AC65" i="140"/>
  <c r="AD65" i="140"/>
  <c r="AC66" i="140"/>
  <c r="AD66" i="140"/>
  <c r="AC67" i="140"/>
  <c r="AD67" i="140"/>
  <c r="AC68" i="140"/>
  <c r="AD68" i="140"/>
  <c r="AD61" i="140"/>
  <c r="AC61" i="140"/>
  <c r="AC10" i="140"/>
  <c r="AD10" i="140"/>
  <c r="AC11" i="140"/>
  <c r="AC12" i="140"/>
  <c r="AC13" i="140"/>
  <c r="AC14" i="140"/>
  <c r="AC15" i="140"/>
  <c r="AC16" i="140"/>
  <c r="AC17" i="140"/>
  <c r="AC18" i="140"/>
  <c r="AC19" i="140"/>
  <c r="AC20" i="140"/>
  <c r="AC21" i="140"/>
  <c r="R22" i="178"/>
  <c r="AC22" i="140"/>
  <c r="AC23" i="140"/>
  <c r="AC24" i="140"/>
  <c r="R25" i="178"/>
  <c r="AC25" i="140"/>
  <c r="AC26" i="140"/>
  <c r="AC27" i="140"/>
  <c r="AC28" i="140"/>
  <c r="AC29" i="140"/>
  <c r="AC30" i="140"/>
  <c r="AC31" i="140"/>
  <c r="AC32" i="140"/>
  <c r="AC33" i="140"/>
  <c r="AC34" i="140"/>
  <c r="AC35" i="140"/>
  <c r="AC36" i="140"/>
  <c r="AC37" i="140"/>
  <c r="AC38" i="140"/>
  <c r="AC39" i="140"/>
  <c r="AC40" i="140"/>
  <c r="AC41" i="140"/>
  <c r="AD9" i="140"/>
  <c r="AC9" i="140"/>
  <c r="N133" i="140" l="1"/>
  <c r="N640" i="181"/>
  <c r="O640" i="181" s="1"/>
  <c r="J133" i="140"/>
  <c r="J640" i="181"/>
  <c r="K640" i="181" s="1"/>
  <c r="H133" i="140"/>
  <c r="H640" i="181"/>
  <c r="J132" i="140"/>
  <c r="K132" i="140" s="1"/>
  <c r="J630" i="181"/>
  <c r="K630" i="181" s="1"/>
  <c r="BD133" i="140"/>
  <c r="BH133" i="140" s="1"/>
  <c r="BD640" i="181"/>
  <c r="BH640" i="181" s="1"/>
  <c r="BJ640" i="181" s="1"/>
  <c r="P133" i="140"/>
  <c r="Q133" i="140" s="1"/>
  <c r="P640" i="181"/>
  <c r="P132" i="140"/>
  <c r="P630" i="181"/>
  <c r="BE133" i="140"/>
  <c r="BI133" i="140" s="1"/>
  <c r="BE640" i="181"/>
  <c r="BI640" i="181" s="1"/>
  <c r="AW138" i="140"/>
  <c r="AC110" i="140"/>
  <c r="AC42" i="140"/>
  <c r="R10" i="178"/>
  <c r="AC69" i="140"/>
  <c r="AG34" i="140"/>
  <c r="K133" i="140"/>
  <c r="S133" i="140"/>
  <c r="Q132" i="140"/>
  <c r="O133" i="140"/>
  <c r="G133" i="140"/>
  <c r="AD42" i="140"/>
  <c r="AD69" i="140"/>
  <c r="AA515" i="150"/>
  <c r="AA517" i="150"/>
  <c r="AK381" i="150"/>
  <c r="AF234" i="181" s="1"/>
  <c r="AF298" i="181" s="1"/>
  <c r="O35" i="174"/>
  <c r="AI49" i="151"/>
  <c r="AK49" i="151"/>
  <c r="AM48" i="151"/>
  <c r="AL49" i="151"/>
  <c r="AK48" i="151"/>
  <c r="AJ48" i="151"/>
  <c r="AN48" i="151"/>
  <c r="AQ49" i="151"/>
  <c r="AO49" i="151"/>
  <c r="AR48" i="151"/>
  <c r="AI48" i="151"/>
  <c r="AR50" i="151"/>
  <c r="AI50" i="151"/>
  <c r="AQ50" i="151"/>
  <c r="AL50" i="151"/>
  <c r="AN49" i="151"/>
  <c r="AJ49" i="151"/>
  <c r="AQ48" i="151"/>
  <c r="AL48" i="151"/>
  <c r="AP51" i="151"/>
  <c r="AO50" i="151"/>
  <c r="AK50" i="151"/>
  <c r="AR49" i="151"/>
  <c r="AM49" i="151"/>
  <c r="AO48" i="151"/>
  <c r="N130" i="140" l="1"/>
  <c r="N610" i="181"/>
  <c r="J130" i="140"/>
  <c r="J610" i="181"/>
  <c r="J131" i="140"/>
  <c r="J620" i="181"/>
  <c r="K620" i="181" s="1"/>
  <c r="N132" i="140"/>
  <c r="O132" i="140" s="1"/>
  <c r="N630" i="181"/>
  <c r="O630" i="181" s="1"/>
  <c r="P130" i="140"/>
  <c r="P610" i="181"/>
  <c r="I640" i="181"/>
  <c r="S640" i="181"/>
  <c r="BD132" i="140"/>
  <c r="BD630" i="181"/>
  <c r="BH630" i="181" s="1"/>
  <c r="H132" i="140"/>
  <c r="H630" i="181"/>
  <c r="H131" i="140"/>
  <c r="H620" i="181"/>
  <c r="BD130" i="140"/>
  <c r="BD610" i="181"/>
  <c r="BE132" i="140"/>
  <c r="BE630" i="181"/>
  <c r="BI630" i="181" s="1"/>
  <c r="Q630" i="181"/>
  <c r="V630" i="181"/>
  <c r="BG630" i="181" s="1"/>
  <c r="BK630" i="181" s="1"/>
  <c r="BD131" i="140"/>
  <c r="BD620" i="181"/>
  <c r="BH620" i="181" s="1"/>
  <c r="P131" i="140"/>
  <c r="P620" i="181"/>
  <c r="BE131" i="140"/>
  <c r="BE620" i="181"/>
  <c r="BI620" i="181" s="1"/>
  <c r="H130" i="140"/>
  <c r="H610" i="181"/>
  <c r="N131" i="140"/>
  <c r="O131" i="140" s="1"/>
  <c r="N620" i="181"/>
  <c r="O620" i="181" s="1"/>
  <c r="BE130" i="140"/>
  <c r="BE610" i="181"/>
  <c r="Q640" i="181"/>
  <c r="V640" i="181"/>
  <c r="BG640" i="181" s="1"/>
  <c r="BK640" i="181" s="1"/>
  <c r="BJ133" i="140"/>
  <c r="AG42" i="140"/>
  <c r="AF34" i="140"/>
  <c r="I133" i="140"/>
  <c r="O130" i="140"/>
  <c r="G132" i="140"/>
  <c r="BI132" i="140"/>
  <c r="I131" i="140"/>
  <c r="BH130" i="140"/>
  <c r="G131" i="140"/>
  <c r="BH131" i="140"/>
  <c r="Q131" i="140"/>
  <c r="K131" i="140"/>
  <c r="BH132" i="140"/>
  <c r="I130" i="140"/>
  <c r="BI131" i="140"/>
  <c r="G130" i="140"/>
  <c r="S132" i="140"/>
  <c r="BI130" i="140"/>
  <c r="K130" i="140"/>
  <c r="V133" i="140"/>
  <c r="BG133" i="140" s="1"/>
  <c r="BK133" i="140" s="1"/>
  <c r="AP50" i="151"/>
  <c r="AP49" i="151"/>
  <c r="AP48" i="151"/>
  <c r="Q620" i="181" l="1"/>
  <c r="V620" i="181"/>
  <c r="BG620" i="181" s="1"/>
  <c r="BK620" i="181" s="1"/>
  <c r="I630" i="181"/>
  <c r="S630" i="181"/>
  <c r="K610" i="181"/>
  <c r="BH610" i="181"/>
  <c r="Q610" i="181"/>
  <c r="V610" i="181"/>
  <c r="I610" i="181"/>
  <c r="S610" i="181"/>
  <c r="I620" i="181"/>
  <c r="S620" i="181"/>
  <c r="BJ620" i="181"/>
  <c r="BJ630" i="181"/>
  <c r="O610" i="181"/>
  <c r="BI610" i="181"/>
  <c r="G138" i="140"/>
  <c r="AF42" i="140"/>
  <c r="BJ130" i="140"/>
  <c r="BJ131" i="140"/>
  <c r="Y41" i="178"/>
  <c r="BJ132" i="140"/>
  <c r="V131" i="140"/>
  <c r="S131" i="140"/>
  <c r="I132" i="140"/>
  <c r="S130" i="140"/>
  <c r="V130" i="140"/>
  <c r="Q130" i="140"/>
  <c r="V132" i="140"/>
  <c r="BG132" i="140" s="1"/>
  <c r="Z515" i="150"/>
  <c r="BJ610" i="181" l="1"/>
  <c r="BG610" i="181"/>
  <c r="BG130" i="140"/>
  <c r="BG131" i="140"/>
  <c r="BK131" i="140" s="1"/>
  <c r="BK132" i="140"/>
  <c r="Z516" i="150"/>
  <c r="BK610" i="181" l="1"/>
  <c r="BK130" i="140"/>
  <c r="Y517" i="150"/>
  <c r="Y515" i="150"/>
  <c r="Y516" i="150"/>
  <c r="X516" i="150"/>
  <c r="X517" i="150" l="1"/>
  <c r="V517" i="150"/>
  <c r="AH76" i="148" l="1"/>
  <c r="AH75" i="148"/>
  <c r="T516" i="150" l="1"/>
  <c r="T517" i="150" l="1"/>
  <c r="T518" i="150"/>
  <c r="T515" i="150"/>
  <c r="Q518" i="150"/>
  <c r="Q516" i="150" l="1"/>
  <c r="O517" i="150"/>
  <c r="O516" i="150"/>
  <c r="Q517" i="150"/>
  <c r="O515" i="150"/>
  <c r="M516" i="150" l="1"/>
  <c r="N517" i="150"/>
  <c r="M517" i="150"/>
  <c r="M515" i="150"/>
  <c r="N516" i="150" l="1"/>
  <c r="N515" i="150"/>
  <c r="L518" i="150"/>
  <c r="L515" i="150" l="1"/>
  <c r="K516" i="150"/>
  <c r="K517" i="150"/>
  <c r="L517" i="150"/>
  <c r="K515" i="150"/>
  <c r="J518" i="150" l="1"/>
  <c r="AI11" i="150"/>
  <c r="O8" i="174" s="1"/>
  <c r="C8" i="174" s="1"/>
  <c r="J517" i="150"/>
  <c r="H515" i="150"/>
  <c r="J516" i="150"/>
  <c r="H518" i="150"/>
  <c r="AI169" i="150"/>
  <c r="AK169" i="150" s="1"/>
  <c r="AI525" i="150"/>
  <c r="AI143" i="150"/>
  <c r="AK143" i="150" s="1"/>
  <c r="AI146" i="150"/>
  <c r="AK146" i="150" s="1"/>
  <c r="AI145" i="150"/>
  <c r="AK145" i="150" s="1"/>
  <c r="AI144" i="150"/>
  <c r="AK144" i="150" s="1"/>
  <c r="AI142" i="150"/>
  <c r="AK142" i="150" s="1"/>
  <c r="AI180" i="150"/>
  <c r="AI182" i="150"/>
  <c r="AK182" i="150" s="1"/>
  <c r="AI167" i="150"/>
  <c r="AM167" i="150" s="1"/>
  <c r="AI300" i="150"/>
  <c r="AK300" i="150" s="1"/>
  <c r="AI299" i="150"/>
  <c r="AK299" i="150" s="1"/>
  <c r="AI163" i="150"/>
  <c r="AI166" i="150"/>
  <c r="AI168" i="150"/>
  <c r="AK168" i="150" s="1"/>
  <c r="AI170" i="150"/>
  <c r="AK170" i="150" s="1"/>
  <c r="AI171" i="150"/>
  <c r="AK171" i="150" s="1"/>
  <c r="AI172" i="150"/>
  <c r="AK172" i="150" s="1"/>
  <c r="AI173" i="150"/>
  <c r="AI174" i="150"/>
  <c r="AK174" i="150" s="1"/>
  <c r="AI175" i="150"/>
  <c r="AK175" i="150" s="1"/>
  <c r="AI176" i="150"/>
  <c r="AI179" i="150"/>
  <c r="AI181" i="150"/>
  <c r="AK181" i="150" s="1"/>
  <c r="AI184" i="150"/>
  <c r="AK184" i="150" s="1"/>
  <c r="AI185" i="150"/>
  <c r="AK185" i="150" s="1"/>
  <c r="AI186" i="150"/>
  <c r="AI187" i="150"/>
  <c r="AK187" i="150" s="1"/>
  <c r="AI188" i="150"/>
  <c r="AK188" i="150" s="1"/>
  <c r="AI189" i="150"/>
  <c r="AI192" i="150"/>
  <c r="AI193" i="150"/>
  <c r="AI194" i="150"/>
  <c r="AK194" i="150" s="1"/>
  <c r="AI195" i="150"/>
  <c r="AK195" i="150" s="1"/>
  <c r="AI196" i="150"/>
  <c r="AK196" i="150" s="1"/>
  <c r="AI197" i="150"/>
  <c r="AK197" i="150" s="1"/>
  <c r="AI198" i="150"/>
  <c r="AK198" i="150" s="1"/>
  <c r="AI199" i="150"/>
  <c r="AI200" i="150"/>
  <c r="AK200" i="150" s="1"/>
  <c r="AI201" i="150"/>
  <c r="AK201" i="150" s="1"/>
  <c r="AI202" i="150"/>
  <c r="AI205" i="150"/>
  <c r="AI206" i="150"/>
  <c r="AI207" i="150"/>
  <c r="AK207" i="150" s="1"/>
  <c r="AI208" i="150"/>
  <c r="AK208" i="150" s="1"/>
  <c r="AI209" i="150"/>
  <c r="AK209" i="150" s="1"/>
  <c r="AI210" i="150"/>
  <c r="AK210" i="150" s="1"/>
  <c r="AI211" i="150"/>
  <c r="AK211" i="150" s="1"/>
  <c r="AI212" i="150"/>
  <c r="AI213" i="150"/>
  <c r="AK213" i="150" s="1"/>
  <c r="AI214" i="150"/>
  <c r="AK214" i="150" s="1"/>
  <c r="AI215" i="150"/>
  <c r="AI218" i="150"/>
  <c r="AI221" i="150"/>
  <c r="AK221" i="150" s="1"/>
  <c r="AI220" i="150"/>
  <c r="AK220" i="150" s="1"/>
  <c r="AI222" i="150"/>
  <c r="AK222" i="150" s="1"/>
  <c r="AI223" i="150"/>
  <c r="AK223" i="150" s="1"/>
  <c r="AI224" i="150"/>
  <c r="AK224" i="150" s="1"/>
  <c r="AI225" i="150"/>
  <c r="AI226" i="150"/>
  <c r="AK226" i="150" s="1"/>
  <c r="AI227" i="150"/>
  <c r="AK227" i="150" s="1"/>
  <c r="AI228" i="150"/>
  <c r="AI231" i="150"/>
  <c r="AI232" i="150"/>
  <c r="AI233" i="150"/>
  <c r="AK233" i="150" s="1"/>
  <c r="G517" i="150"/>
  <c r="AI234" i="150"/>
  <c r="AK234" i="150" s="1"/>
  <c r="AI235" i="150"/>
  <c r="AK235" i="150" s="1"/>
  <c r="AI236" i="150"/>
  <c r="AK236" i="150" s="1"/>
  <c r="AI237" i="150"/>
  <c r="AK237" i="150" s="1"/>
  <c r="AI238" i="150"/>
  <c r="AI239" i="150"/>
  <c r="AK239" i="150" s="1"/>
  <c r="AI240" i="150"/>
  <c r="AK240" i="150" s="1"/>
  <c r="AI241" i="150"/>
  <c r="AI244" i="150"/>
  <c r="AI245" i="150"/>
  <c r="AI246" i="150"/>
  <c r="AK246" i="150" s="1"/>
  <c r="AI247" i="150"/>
  <c r="AK247" i="150" s="1"/>
  <c r="AI248" i="150"/>
  <c r="AK248" i="150" s="1"/>
  <c r="AI249" i="150"/>
  <c r="AK249" i="150" s="1"/>
  <c r="AI250" i="150"/>
  <c r="AK250" i="150" s="1"/>
  <c r="AI251" i="150"/>
  <c r="AI252" i="150"/>
  <c r="AK252" i="150" s="1"/>
  <c r="AI253" i="150"/>
  <c r="AK253" i="150" s="1"/>
  <c r="AI254" i="150"/>
  <c r="AI257" i="150"/>
  <c r="AI258" i="150"/>
  <c r="AI259" i="150"/>
  <c r="AK259" i="150" s="1"/>
  <c r="AI260" i="150"/>
  <c r="AK260" i="150" s="1"/>
  <c r="AI261" i="150"/>
  <c r="AK261" i="150" s="1"/>
  <c r="AI262" i="150"/>
  <c r="AK262" i="150" s="1"/>
  <c r="AI263" i="150"/>
  <c r="AK263" i="150" s="1"/>
  <c r="AI264" i="150"/>
  <c r="AI265" i="150"/>
  <c r="AK265" i="150" s="1"/>
  <c r="AI266" i="150"/>
  <c r="AK266" i="150" s="1"/>
  <c r="AI267" i="150"/>
  <c r="AI270" i="150"/>
  <c r="AI271" i="150"/>
  <c r="AI272" i="150"/>
  <c r="AK272" i="150" s="1"/>
  <c r="AI273" i="150"/>
  <c r="AK273" i="150" s="1"/>
  <c r="AI274" i="150"/>
  <c r="AK274" i="150" s="1"/>
  <c r="AI275" i="150"/>
  <c r="AK275" i="150" s="1"/>
  <c r="AI276" i="150"/>
  <c r="AK276" i="150" s="1"/>
  <c r="AI277" i="150"/>
  <c r="AI278" i="150"/>
  <c r="AK278" i="150" s="1"/>
  <c r="AI279" i="150"/>
  <c r="AK279" i="150" s="1"/>
  <c r="AI280" i="150"/>
  <c r="AI283" i="150"/>
  <c r="AI284" i="150"/>
  <c r="AI285" i="150"/>
  <c r="AK285" i="150" s="1"/>
  <c r="AI287" i="150"/>
  <c r="AK287" i="150" s="1"/>
  <c r="AI288" i="150"/>
  <c r="AK288" i="150" s="1"/>
  <c r="AI289" i="150"/>
  <c r="AK289" i="150" s="1"/>
  <c r="AI290" i="150"/>
  <c r="AI291" i="150"/>
  <c r="AK291" i="150" s="1"/>
  <c r="AI292" i="150"/>
  <c r="AK292" i="150" s="1"/>
  <c r="AI293" i="150"/>
  <c r="AI296" i="150"/>
  <c r="AI297" i="150"/>
  <c r="AI298" i="150"/>
  <c r="AK298" i="150" s="1"/>
  <c r="AI301" i="150"/>
  <c r="AK301" i="150" s="1"/>
  <c r="AI302" i="150"/>
  <c r="AK302" i="150" s="1"/>
  <c r="AI303" i="150"/>
  <c r="AI304" i="150"/>
  <c r="AK304" i="150" s="1"/>
  <c r="AI305" i="150"/>
  <c r="AK305" i="150" s="1"/>
  <c r="AI306" i="150"/>
  <c r="AI309" i="150"/>
  <c r="AI310" i="150"/>
  <c r="AI311" i="150"/>
  <c r="AK311" i="150" s="1"/>
  <c r="AI312" i="150"/>
  <c r="AK312" i="150" s="1"/>
  <c r="AI313" i="150"/>
  <c r="AK313" i="150" s="1"/>
  <c r="AI314" i="150"/>
  <c r="AK314" i="150" s="1"/>
  <c r="AI315" i="150"/>
  <c r="AK315" i="150" s="1"/>
  <c r="AI316" i="150"/>
  <c r="AI317" i="150"/>
  <c r="AK317" i="150" s="1"/>
  <c r="AI318" i="150"/>
  <c r="AK318" i="150" s="1"/>
  <c r="AI319" i="150"/>
  <c r="AI322" i="150"/>
  <c r="AI323" i="150"/>
  <c r="AI324" i="150"/>
  <c r="AK324" i="150" s="1"/>
  <c r="AI325" i="150"/>
  <c r="AK325" i="150" s="1"/>
  <c r="AI326" i="150"/>
  <c r="AK326" i="150" s="1"/>
  <c r="AI327" i="150"/>
  <c r="AK327" i="150" s="1"/>
  <c r="AI328" i="150"/>
  <c r="AK328" i="150" s="1"/>
  <c r="AI329" i="150"/>
  <c r="AI330" i="150"/>
  <c r="AK330" i="150" s="1"/>
  <c r="AI331" i="150"/>
  <c r="AK331" i="150" s="1"/>
  <c r="AI332" i="150"/>
  <c r="AI335" i="150"/>
  <c r="AI336" i="150"/>
  <c r="AI337" i="150"/>
  <c r="AK337" i="150" s="1"/>
  <c r="AI338" i="150"/>
  <c r="AK338" i="150" s="1"/>
  <c r="AI339" i="150"/>
  <c r="AK339" i="150" s="1"/>
  <c r="AI340" i="150"/>
  <c r="AK340" i="150" s="1"/>
  <c r="AI341" i="150"/>
  <c r="AK341" i="150" s="1"/>
  <c r="AI342" i="150"/>
  <c r="AI343" i="150"/>
  <c r="AK343" i="150" s="1"/>
  <c r="AI344" i="150"/>
  <c r="AK344" i="150" s="1"/>
  <c r="AI345" i="150"/>
  <c r="AI348" i="150"/>
  <c r="AI349" i="150"/>
  <c r="AI350" i="150"/>
  <c r="AK350" i="150" s="1"/>
  <c r="AI351" i="150"/>
  <c r="AK351" i="150" s="1"/>
  <c r="AI352" i="150"/>
  <c r="AK352" i="150" s="1"/>
  <c r="AI353" i="150"/>
  <c r="AK353" i="150" s="1"/>
  <c r="AI354" i="150"/>
  <c r="AK354" i="150" s="1"/>
  <c r="AI355" i="150"/>
  <c r="AI356" i="150"/>
  <c r="AK356" i="150" s="1"/>
  <c r="AG680" i="181" s="1"/>
  <c r="AI357" i="150"/>
  <c r="AK357" i="150" s="1"/>
  <c r="AN134" i="140" l="1"/>
  <c r="AN650" i="181"/>
  <c r="AG134" i="140"/>
  <c r="AG650" i="181"/>
  <c r="AG135" i="140"/>
  <c r="AG660" i="181"/>
  <c r="AG136" i="140"/>
  <c r="AG670" i="181"/>
  <c r="AN107" i="140"/>
  <c r="AN571" i="181"/>
  <c r="AN109" i="140"/>
  <c r="AN589" i="181"/>
  <c r="AG107" i="140"/>
  <c r="AG571" i="181"/>
  <c r="AN130" i="140"/>
  <c r="AN610" i="181"/>
  <c r="AG109" i="140"/>
  <c r="AG589" i="181"/>
  <c r="AN131" i="140"/>
  <c r="AN620" i="181"/>
  <c r="AG130" i="140"/>
  <c r="AG610" i="181"/>
  <c r="AG681" i="181" s="1"/>
  <c r="AN133" i="140"/>
  <c r="AN138" i="140" s="1"/>
  <c r="AN640" i="181"/>
  <c r="AN104" i="140"/>
  <c r="AN544" i="181"/>
  <c r="AN105" i="140"/>
  <c r="AN553" i="181"/>
  <c r="AN135" i="140"/>
  <c r="AN660" i="181"/>
  <c r="AG105" i="140"/>
  <c r="AG553" i="181"/>
  <c r="AN136" i="140"/>
  <c r="AN670" i="181"/>
  <c r="AG106" i="140"/>
  <c r="AG562" i="181"/>
  <c r="AN137" i="140"/>
  <c r="AN680" i="181"/>
  <c r="AG108" i="140"/>
  <c r="AG580" i="181"/>
  <c r="AG131" i="140"/>
  <c r="AG620" i="181"/>
  <c r="AN103" i="140"/>
  <c r="AN535" i="181"/>
  <c r="AG104" i="140"/>
  <c r="AG544" i="181"/>
  <c r="AN132" i="140"/>
  <c r="AN630" i="181"/>
  <c r="AG103" i="140"/>
  <c r="AG535" i="181"/>
  <c r="AG133" i="140"/>
  <c r="AG640" i="181"/>
  <c r="AN106" i="140"/>
  <c r="AN562" i="181"/>
  <c r="AN108" i="140"/>
  <c r="AN580" i="181"/>
  <c r="AG132" i="140"/>
  <c r="AG630" i="181"/>
  <c r="AG137" i="140"/>
  <c r="AG138" i="140" s="1"/>
  <c r="AI219" i="150"/>
  <c r="AK355" i="150"/>
  <c r="AK342" i="150"/>
  <c r="AI183" i="150"/>
  <c r="AK183" i="150" s="1"/>
  <c r="AK186" i="150" s="1"/>
  <c r="AI286" i="150"/>
  <c r="AK286" i="150" s="1"/>
  <c r="AK290" i="150" s="1"/>
  <c r="G515" i="150"/>
  <c r="AK329" i="150"/>
  <c r="AK316" i="150"/>
  <c r="AK225" i="150"/>
  <c r="AK199" i="150"/>
  <c r="AK277" i="150"/>
  <c r="AK212" i="150"/>
  <c r="AK264" i="150"/>
  <c r="AM174" i="150"/>
  <c r="AK238" i="150"/>
  <c r="AK251" i="150"/>
  <c r="AK173" i="150"/>
  <c r="AK303" i="150"/>
  <c r="AF131" i="140" l="1"/>
  <c r="AF620" i="181"/>
  <c r="BT620" i="181" s="1"/>
  <c r="AF105" i="140"/>
  <c r="BQ105" i="140" s="1"/>
  <c r="AF553" i="181"/>
  <c r="AF135" i="140"/>
  <c r="BT135" i="140" s="1"/>
  <c r="AF660" i="181"/>
  <c r="BT660" i="181" s="1"/>
  <c r="AF103" i="140"/>
  <c r="AF535" i="181"/>
  <c r="AN681" i="181"/>
  <c r="AF107" i="140"/>
  <c r="BQ107" i="140" s="1"/>
  <c r="AF571" i="181"/>
  <c r="AF132" i="140"/>
  <c r="BT132" i="140" s="1"/>
  <c r="AF630" i="181"/>
  <c r="BT630" i="181" s="1"/>
  <c r="AF109" i="140"/>
  <c r="BQ109" i="140" s="1"/>
  <c r="AF589" i="181"/>
  <c r="AF108" i="140"/>
  <c r="BQ108" i="140" s="1"/>
  <c r="AF580" i="181"/>
  <c r="AF137" i="140"/>
  <c r="Y86" i="178" s="1"/>
  <c r="AA86" i="178" s="1"/>
  <c r="AE86" i="178" s="1"/>
  <c r="AF680" i="181"/>
  <c r="BT680" i="181" s="1"/>
  <c r="AF106" i="140"/>
  <c r="BQ106" i="140" s="1"/>
  <c r="AF562" i="181"/>
  <c r="AF134" i="140"/>
  <c r="BT134" i="140" s="1"/>
  <c r="AF650" i="181"/>
  <c r="BT650" i="181" s="1"/>
  <c r="AF133" i="140"/>
  <c r="BT133" i="140" s="1"/>
  <c r="AF640" i="181"/>
  <c r="AF104" i="140"/>
  <c r="AF544" i="181"/>
  <c r="AF136" i="140"/>
  <c r="BT136" i="140" s="1"/>
  <c r="AF670" i="181"/>
  <c r="BT670" i="181" s="1"/>
  <c r="AF130" i="140"/>
  <c r="AF610" i="181"/>
  <c r="BQ104" i="140"/>
  <c r="BT137" i="140"/>
  <c r="BT130" i="140"/>
  <c r="BT131" i="140"/>
  <c r="AI409" i="150"/>
  <c r="AK409" i="150" s="1"/>
  <c r="AI408" i="150"/>
  <c r="AK408" i="150" s="1"/>
  <c r="AI407" i="150"/>
  <c r="AI406" i="150"/>
  <c r="AK406" i="150" s="1"/>
  <c r="AI405" i="150"/>
  <c r="AK405" i="150" s="1"/>
  <c r="AI404" i="150"/>
  <c r="AK404" i="150" s="1"/>
  <c r="AI403" i="150"/>
  <c r="AK403" i="150" s="1"/>
  <c r="AI402" i="150"/>
  <c r="AK402" i="150" s="1"/>
  <c r="AI401" i="150"/>
  <c r="AI400" i="150"/>
  <c r="AI397" i="150"/>
  <c r="AI396" i="150"/>
  <c r="AK396" i="150" s="1"/>
  <c r="AI395" i="150"/>
  <c r="AK395" i="150" s="1"/>
  <c r="AI394" i="150"/>
  <c r="AI393" i="150"/>
  <c r="AK393" i="150" s="1"/>
  <c r="AI392" i="150"/>
  <c r="AK392" i="150" s="1"/>
  <c r="AI391" i="150"/>
  <c r="AK391" i="150" s="1"/>
  <c r="AI390" i="150"/>
  <c r="AK390" i="150" s="1"/>
  <c r="AI389" i="150"/>
  <c r="AK389" i="150" s="1"/>
  <c r="AI388" i="150"/>
  <c r="AI387" i="150"/>
  <c r="AI384" i="150"/>
  <c r="AI162" i="150"/>
  <c r="AK162" i="150" s="1"/>
  <c r="AI161" i="150"/>
  <c r="AM161" i="150" s="1"/>
  <c r="AI160" i="150"/>
  <c r="AI159" i="150"/>
  <c r="AK159" i="150" s="1"/>
  <c r="AI158" i="150"/>
  <c r="AK158" i="150" s="1"/>
  <c r="AI157" i="150"/>
  <c r="AK157" i="150" s="1"/>
  <c r="AI156" i="150"/>
  <c r="AK156" i="150" s="1"/>
  <c r="AI155" i="150"/>
  <c r="AK155" i="150" s="1"/>
  <c r="AI154" i="150"/>
  <c r="AM154" i="150" s="1"/>
  <c r="AI153" i="150"/>
  <c r="AI150" i="150"/>
  <c r="AI149" i="150"/>
  <c r="AK149" i="150" s="1"/>
  <c r="AI148" i="150"/>
  <c r="AK148" i="150" s="1"/>
  <c r="AI147" i="150"/>
  <c r="AI141" i="150"/>
  <c r="AI140" i="150"/>
  <c r="AN138" i="150"/>
  <c r="AI137" i="150"/>
  <c r="G518" i="150"/>
  <c r="F515" i="150"/>
  <c r="F514" i="150"/>
  <c r="G514" i="150"/>
  <c r="G526" i="150"/>
  <c r="F522" i="150"/>
  <c r="F529" i="150" s="1"/>
  <c r="G522" i="150"/>
  <c r="G529" i="150" s="1"/>
  <c r="F523" i="150"/>
  <c r="G523" i="150"/>
  <c r="J77" i="148"/>
  <c r="K77" i="148"/>
  <c r="L77" i="148"/>
  <c r="M77" i="148"/>
  <c r="N77" i="148"/>
  <c r="G15" i="148"/>
  <c r="M50" i="148"/>
  <c r="AF681" i="181" l="1"/>
  <c r="BT610" i="181"/>
  <c r="BT580" i="181"/>
  <c r="BQ580" i="181"/>
  <c r="AO580" i="181"/>
  <c r="BC580" i="181" s="1"/>
  <c r="BM580" i="181"/>
  <c r="BQ553" i="181"/>
  <c r="BT553" i="181"/>
  <c r="AN101" i="140"/>
  <c r="AN517" i="181"/>
  <c r="BQ571" i="181"/>
  <c r="BT571" i="181"/>
  <c r="BT681" i="181" s="1"/>
  <c r="BT562" i="181"/>
  <c r="BQ562" i="181"/>
  <c r="AF138" i="140"/>
  <c r="BQ544" i="181"/>
  <c r="BT544" i="181"/>
  <c r="BT589" i="181"/>
  <c r="BQ589" i="181"/>
  <c r="AO589" i="181"/>
  <c r="BC589" i="181" s="1"/>
  <c r="BM589" i="181"/>
  <c r="BQ535" i="181"/>
  <c r="BT535" i="181"/>
  <c r="AG101" i="140"/>
  <c r="AG517" i="181"/>
  <c r="AN102" i="140"/>
  <c r="AN526" i="181"/>
  <c r="BT640" i="181"/>
  <c r="AO640" i="181"/>
  <c r="BC640" i="181" s="1"/>
  <c r="AK407" i="150"/>
  <c r="AK394" i="150"/>
  <c r="F517" i="150"/>
  <c r="AK161" i="150"/>
  <c r="AK160" i="150"/>
  <c r="AK147" i="150"/>
  <c r="F526" i="150"/>
  <c r="AF101" i="140" l="1"/>
  <c r="AF517" i="181"/>
  <c r="AF102" i="140"/>
  <c r="AF526" i="181"/>
  <c r="AG102" i="140"/>
  <c r="AG526" i="181"/>
  <c r="O30" i="151"/>
  <c r="BT526" i="181" l="1"/>
  <c r="BQ526" i="181"/>
  <c r="BQ517" i="181"/>
  <c r="BT517" i="181"/>
  <c r="AG8" i="147"/>
  <c r="AG9" i="147"/>
  <c r="AI9" i="147" s="1"/>
  <c r="H27" i="181" s="1"/>
  <c r="I27" i="181" s="1"/>
  <c r="AG10" i="147"/>
  <c r="AI10" i="147" s="1"/>
  <c r="H36" i="181" s="1"/>
  <c r="I36" i="181" s="1"/>
  <c r="AI11" i="147"/>
  <c r="H45" i="181" s="1"/>
  <c r="I45" i="181" s="1"/>
  <c r="AG12" i="147"/>
  <c r="AI12" i="147" s="1"/>
  <c r="H54" i="181" s="1"/>
  <c r="I54" i="181" s="1"/>
  <c r="AG13" i="147"/>
  <c r="AI13" i="147" s="1"/>
  <c r="H63" i="181" s="1"/>
  <c r="I63" i="181" s="1"/>
  <c r="AG14" i="147"/>
  <c r="AI14" i="147" s="1"/>
  <c r="H72" i="181" s="1"/>
  <c r="I72" i="181" s="1"/>
  <c r="AG15" i="147"/>
  <c r="AI15" i="147" s="1"/>
  <c r="H81" i="181" s="1"/>
  <c r="I81" i="181" s="1"/>
  <c r="AG16" i="147"/>
  <c r="AI16" i="147" s="1"/>
  <c r="H90" i="181" s="1"/>
  <c r="I90" i="181" s="1"/>
  <c r="AI17" i="147"/>
  <c r="H99" i="181" s="1"/>
  <c r="I99" i="181" s="1"/>
  <c r="AG18" i="147"/>
  <c r="AI18" i="147" s="1"/>
  <c r="H108" i="181" s="1"/>
  <c r="I108" i="181" s="1"/>
  <c r="AG19" i="147"/>
  <c r="AI19" i="147" s="1"/>
  <c r="H117" i="181" s="1"/>
  <c r="I117" i="181" s="1"/>
  <c r="AG20" i="147"/>
  <c r="AI20" i="147" s="1"/>
  <c r="H126" i="181" s="1"/>
  <c r="I126" i="181" s="1"/>
  <c r="AG21" i="147"/>
  <c r="AI21" i="147" s="1"/>
  <c r="H135" i="181" s="1"/>
  <c r="I135" i="181" s="1"/>
  <c r="AG22" i="147"/>
  <c r="AI22" i="147" s="1"/>
  <c r="H144" i="181" s="1"/>
  <c r="I144" i="181" s="1"/>
  <c r="AG23" i="147"/>
  <c r="AI23" i="147" s="1"/>
  <c r="H153" i="181" s="1"/>
  <c r="I153" i="181" s="1"/>
  <c r="AG24" i="147"/>
  <c r="AI24" i="147" s="1"/>
  <c r="H162" i="181" s="1"/>
  <c r="I162" i="181" s="1"/>
  <c r="AG25" i="147"/>
  <c r="AI25" i="147" s="1"/>
  <c r="H171" i="181" s="1"/>
  <c r="I171" i="181" s="1"/>
  <c r="AG26" i="147"/>
  <c r="AI26" i="147" s="1"/>
  <c r="H180" i="181" s="1"/>
  <c r="I180" i="181" s="1"/>
  <c r="AG27" i="147"/>
  <c r="AI27" i="147" s="1"/>
  <c r="H189" i="181" s="1"/>
  <c r="I189" i="181" s="1"/>
  <c r="AG28" i="147"/>
  <c r="AI28" i="147" s="1"/>
  <c r="H198" i="181" s="1"/>
  <c r="I198" i="181" s="1"/>
  <c r="AG29" i="147"/>
  <c r="AI29" i="147" s="1"/>
  <c r="H207" i="181" s="1"/>
  <c r="I207" i="181" s="1"/>
  <c r="AG30" i="147"/>
  <c r="AI30" i="147" s="1"/>
  <c r="H216" i="181" s="1"/>
  <c r="I216" i="181" s="1"/>
  <c r="AG31" i="147"/>
  <c r="AI31" i="147" s="1"/>
  <c r="H225" i="181" s="1"/>
  <c r="I225" i="181" s="1"/>
  <c r="AG32" i="147"/>
  <c r="AI32" i="147" s="1"/>
  <c r="H234" i="181" s="1"/>
  <c r="I234" i="181" s="1"/>
  <c r="AG34" i="147"/>
  <c r="AI34" i="147" s="1"/>
  <c r="H252" i="181" s="1"/>
  <c r="I252" i="181" s="1"/>
  <c r="AG35" i="147"/>
  <c r="AI35" i="147" s="1"/>
  <c r="H261" i="181" s="1"/>
  <c r="I261" i="181" s="1"/>
  <c r="AG36" i="147"/>
  <c r="AI36" i="147" s="1"/>
  <c r="H270" i="181" s="1"/>
  <c r="I270" i="181" s="1"/>
  <c r="AG38" i="147"/>
  <c r="AI38" i="147" s="1"/>
  <c r="H288" i="181" s="1"/>
  <c r="I288" i="181" s="1"/>
  <c r="AG39" i="147"/>
  <c r="AI39" i="147" s="1"/>
  <c r="H297" i="181" s="1"/>
  <c r="I297" i="181" s="1"/>
  <c r="AG63" i="147"/>
  <c r="AG64" i="147"/>
  <c r="AG65" i="147"/>
  <c r="AG66" i="147"/>
  <c r="AG67" i="147"/>
  <c r="AG68" i="147"/>
  <c r="AG69" i="147"/>
  <c r="AG70" i="147"/>
  <c r="AG7" i="151"/>
  <c r="AG8" i="151"/>
  <c r="AG9" i="151"/>
  <c r="AG10" i="151"/>
  <c r="AG11" i="151"/>
  <c r="AG12" i="151"/>
  <c r="AG13" i="151"/>
  <c r="AG14" i="151"/>
  <c r="AG15" i="151"/>
  <c r="AG16" i="151"/>
  <c r="AG17" i="151"/>
  <c r="AG18" i="151"/>
  <c r="AG19" i="151"/>
  <c r="AG20" i="151"/>
  <c r="AG21" i="151"/>
  <c r="AI519" i="150"/>
  <c r="AK519" i="150" s="1"/>
  <c r="AI518" i="150"/>
  <c r="AK518" i="150" s="1"/>
  <c r="AI517" i="150"/>
  <c r="AK517" i="150" s="1"/>
  <c r="AI516" i="150"/>
  <c r="AK516" i="150" s="1"/>
  <c r="AI509" i="150"/>
  <c r="AK509" i="150" s="1"/>
  <c r="AI508" i="150"/>
  <c r="AK508" i="150" s="1"/>
  <c r="AI507" i="150"/>
  <c r="AK507" i="150" s="1"/>
  <c r="AI506" i="150"/>
  <c r="AK506" i="150" s="1"/>
  <c r="AI496" i="150"/>
  <c r="AK496" i="150" s="1"/>
  <c r="AI495" i="150"/>
  <c r="AK495" i="150" s="1"/>
  <c r="AI494" i="150"/>
  <c r="AK494" i="150" s="1"/>
  <c r="AI493" i="150"/>
  <c r="AK493" i="150" s="1"/>
  <c r="AI483" i="150"/>
  <c r="AK483" i="150" s="1"/>
  <c r="AI482" i="150"/>
  <c r="AK482" i="150" s="1"/>
  <c r="AI481" i="150"/>
  <c r="AK481" i="150" s="1"/>
  <c r="AI480" i="150"/>
  <c r="AK480" i="150" s="1"/>
  <c r="AI470" i="150"/>
  <c r="AK470" i="150" s="1"/>
  <c r="AI469" i="150"/>
  <c r="AK469" i="150" s="1"/>
  <c r="AI468" i="150"/>
  <c r="AK468" i="150" s="1"/>
  <c r="AI467" i="150"/>
  <c r="AK467" i="150" s="1"/>
  <c r="AI457" i="150"/>
  <c r="AK457" i="150" s="1"/>
  <c r="AI456" i="150"/>
  <c r="AK456" i="150" s="1"/>
  <c r="AI455" i="150"/>
  <c r="AK455" i="150" s="1"/>
  <c r="AI454" i="150"/>
  <c r="AK454" i="150" s="1"/>
  <c r="AI444" i="150"/>
  <c r="AK444" i="150" s="1"/>
  <c r="AI443" i="150"/>
  <c r="AK443" i="150" s="1"/>
  <c r="AI442" i="150"/>
  <c r="AK442" i="150" s="1"/>
  <c r="AI441" i="150"/>
  <c r="AK441" i="150" s="1"/>
  <c r="AI431" i="150"/>
  <c r="AK431" i="150" s="1"/>
  <c r="AI430" i="150"/>
  <c r="AK430" i="150" s="1"/>
  <c r="AI429" i="150"/>
  <c r="AK429" i="150" s="1"/>
  <c r="AI428" i="150"/>
  <c r="AK428" i="150" s="1"/>
  <c r="AI418" i="150"/>
  <c r="AK418" i="150" s="1"/>
  <c r="AI417" i="150"/>
  <c r="AK417" i="150" s="1"/>
  <c r="AI416" i="150"/>
  <c r="AK416" i="150" s="1"/>
  <c r="AI415" i="150"/>
  <c r="AK415" i="150" s="1"/>
  <c r="AI132" i="150"/>
  <c r="AK132" i="150" s="1"/>
  <c r="AI131" i="150"/>
  <c r="AK131" i="150" s="1"/>
  <c r="AI130" i="150"/>
  <c r="AK130" i="150" s="1"/>
  <c r="AI129" i="150"/>
  <c r="AK129" i="150" s="1"/>
  <c r="AI119" i="150"/>
  <c r="AK119" i="150" s="1"/>
  <c r="AI118" i="150"/>
  <c r="AK118" i="150" s="1"/>
  <c r="AI117" i="150"/>
  <c r="AK117" i="150" s="1"/>
  <c r="AI116" i="150"/>
  <c r="AK116" i="150" s="1"/>
  <c r="AI106" i="150"/>
  <c r="AK106" i="150" s="1"/>
  <c r="AI105" i="150"/>
  <c r="AK105" i="150" s="1"/>
  <c r="AI104" i="150"/>
  <c r="AK104" i="150" s="1"/>
  <c r="AI103" i="150"/>
  <c r="AK103" i="150" s="1"/>
  <c r="AI93" i="150"/>
  <c r="AK93" i="150" s="1"/>
  <c r="AI92" i="150"/>
  <c r="AK92" i="150" s="1"/>
  <c r="AI91" i="150"/>
  <c r="AK91" i="150" s="1"/>
  <c r="AI90" i="150"/>
  <c r="AK90" i="150" s="1"/>
  <c r="AI80" i="150"/>
  <c r="AK80" i="150" s="1"/>
  <c r="AI79" i="150"/>
  <c r="AK79" i="150" s="1"/>
  <c r="AI78" i="150"/>
  <c r="AK78" i="150" s="1"/>
  <c r="AI77" i="150"/>
  <c r="AK77" i="150" s="1"/>
  <c r="AI67" i="150"/>
  <c r="AK67" i="150" s="1"/>
  <c r="AI66" i="150"/>
  <c r="AK66" i="150" s="1"/>
  <c r="AI65" i="150"/>
  <c r="AK65" i="150" s="1"/>
  <c r="AI64" i="150"/>
  <c r="AK64" i="150" s="1"/>
  <c r="AI54" i="150"/>
  <c r="AK54" i="150" s="1"/>
  <c r="AI53" i="150"/>
  <c r="AK53" i="150" s="1"/>
  <c r="AI52" i="150"/>
  <c r="AK52" i="150" s="1"/>
  <c r="AI51" i="150"/>
  <c r="AK51" i="150" s="1"/>
  <c r="AI41" i="150"/>
  <c r="AK41" i="150" s="1"/>
  <c r="AI40" i="150"/>
  <c r="AK40" i="150" s="1"/>
  <c r="AI39" i="150"/>
  <c r="AK39" i="150" s="1"/>
  <c r="AI38" i="150"/>
  <c r="AK38" i="150" s="1"/>
  <c r="AI28" i="150"/>
  <c r="AK28" i="150" s="1"/>
  <c r="AI27" i="150"/>
  <c r="AK27" i="150" s="1"/>
  <c r="AI26" i="150"/>
  <c r="AK26" i="150" s="1"/>
  <c r="AI25" i="150"/>
  <c r="AK25" i="150" s="1"/>
  <c r="AG57" i="151" l="1"/>
  <c r="AG61" i="151"/>
  <c r="AG65" i="151"/>
  <c r="AG59" i="151"/>
  <c r="AG58" i="151"/>
  <c r="AG62" i="151"/>
  <c r="AG63" i="151"/>
  <c r="AG64" i="151"/>
  <c r="AG60" i="151"/>
  <c r="AI7" i="151"/>
  <c r="H400" i="181" s="1"/>
  <c r="AM7" i="151"/>
  <c r="P400" i="181" s="1"/>
  <c r="AL7" i="151"/>
  <c r="N400" i="181" s="1"/>
  <c r="AH7" i="151"/>
  <c r="E400" i="181" s="1"/>
  <c r="AP63" i="147"/>
  <c r="I400" i="181" l="1"/>
  <c r="Q400" i="181"/>
  <c r="O400" i="181"/>
  <c r="G400" i="181"/>
  <c r="Z400" i="181"/>
  <c r="AA91" i="140"/>
  <c r="AP91" i="140"/>
  <c r="AQ91" i="140"/>
  <c r="AS91" i="140"/>
  <c r="AT91" i="140"/>
  <c r="AU91" i="140"/>
  <c r="AV91" i="140"/>
  <c r="AA400" i="181" l="1"/>
  <c r="AR91" i="140"/>
  <c r="AW91" i="140"/>
  <c r="BO91" i="140"/>
  <c r="AN7" i="153" l="1"/>
  <c r="AI68" i="147" l="1"/>
  <c r="H362" i="181" s="1"/>
  <c r="I362" i="181" s="1"/>
  <c r="AJ68" i="147"/>
  <c r="J362" i="181" s="1"/>
  <c r="K362" i="181" s="1"/>
  <c r="AK68" i="147"/>
  <c r="AL68" i="147"/>
  <c r="N362" i="181" s="1"/>
  <c r="O362" i="181" s="1"/>
  <c r="AM68" i="147"/>
  <c r="P362" i="181" s="1"/>
  <c r="Q362" i="181" s="1"/>
  <c r="AN68" i="147"/>
  <c r="AO68" i="147"/>
  <c r="T362" i="181" s="1"/>
  <c r="U362" i="181" s="1"/>
  <c r="AP68" i="147"/>
  <c r="AQ68" i="147"/>
  <c r="AI69" i="147"/>
  <c r="H371" i="181" s="1"/>
  <c r="I371" i="181" s="1"/>
  <c r="AJ69" i="147"/>
  <c r="J371" i="181" s="1"/>
  <c r="K371" i="181" s="1"/>
  <c r="AK69" i="147"/>
  <c r="AL69" i="147"/>
  <c r="N371" i="181" s="1"/>
  <c r="O371" i="181" s="1"/>
  <c r="AM69" i="147"/>
  <c r="P371" i="181" s="1"/>
  <c r="Q371" i="181" s="1"/>
  <c r="AN69" i="147"/>
  <c r="AO69" i="147"/>
  <c r="AP69" i="147"/>
  <c r="AQ69" i="147"/>
  <c r="AZ90" i="140"/>
  <c r="AZ92" i="140"/>
  <c r="AZ93" i="140"/>
  <c r="AZ94" i="140"/>
  <c r="AZ95" i="140"/>
  <c r="AZ96" i="140"/>
  <c r="AZ97" i="140"/>
  <c r="AZ98" i="140"/>
  <c r="AZ99" i="140"/>
  <c r="AZ100" i="140"/>
  <c r="AZ101" i="140"/>
  <c r="AZ102" i="140"/>
  <c r="AZ103" i="140"/>
  <c r="AZ104" i="140"/>
  <c r="AZ89" i="140"/>
  <c r="AZ88" i="140"/>
  <c r="AZ105" i="140"/>
  <c r="AZ106" i="140"/>
  <c r="AZ107" i="140"/>
  <c r="AZ108" i="140"/>
  <c r="AZ109" i="140"/>
  <c r="T371" i="181" l="1"/>
  <c r="U371" i="181" s="1"/>
  <c r="AZ110" i="140"/>
  <c r="BP153" i="140"/>
  <c r="BR153" i="140"/>
  <c r="BS153" i="140"/>
  <c r="BU153" i="140"/>
  <c r="BV153" i="140"/>
  <c r="BW153" i="140"/>
  <c r="BX153" i="140"/>
  <c r="V155" i="140" l="1"/>
  <c r="V154" i="140"/>
  <c r="AT515" i="150"/>
  <c r="AT522" i="150"/>
  <c r="V9" i="153" l="1"/>
  <c r="W9" i="153"/>
  <c r="X9" i="153"/>
  <c r="Y9" i="153"/>
  <c r="Z9" i="153"/>
  <c r="U9" i="153"/>
  <c r="Q63" i="153"/>
  <c r="P63" i="153"/>
  <c r="P9" i="153"/>
  <c r="Q9" i="153"/>
  <c r="J63" i="153"/>
  <c r="Y101" i="153" l="1"/>
  <c r="Q134" i="153"/>
  <c r="AH157" i="140" l="1"/>
  <c r="AL8" i="148" l="1"/>
  <c r="AL9" i="148"/>
  <c r="AL7" i="148"/>
  <c r="L134" i="153" l="1"/>
  <c r="H134" i="153"/>
  <c r="G134" i="153"/>
  <c r="E134" i="153"/>
  <c r="Q67" i="148" l="1"/>
  <c r="Y50" i="148" l="1"/>
  <c r="Z50" i="148"/>
  <c r="AA50" i="148"/>
  <c r="AB50" i="148"/>
  <c r="E80" i="148"/>
  <c r="F80" i="148"/>
  <c r="G80" i="148"/>
  <c r="H80" i="148"/>
  <c r="I80" i="148"/>
  <c r="J80" i="148"/>
  <c r="K80" i="148"/>
  <c r="AH58" i="148"/>
  <c r="AH59" i="148"/>
  <c r="N9" i="180" l="1"/>
  <c r="N10" i="180"/>
  <c r="N11" i="180"/>
  <c r="N12" i="180"/>
  <c r="N13" i="180"/>
  <c r="N14" i="180"/>
  <c r="N15" i="180"/>
  <c r="N16" i="180"/>
  <c r="N17" i="180"/>
  <c r="N18" i="180"/>
  <c r="N19" i="180"/>
  <c r="N20" i="180"/>
  <c r="N21" i="180"/>
  <c r="N22" i="180"/>
  <c r="N23" i="180"/>
  <c r="N24" i="180"/>
  <c r="N25" i="180"/>
  <c r="N26" i="180"/>
  <c r="N27" i="180"/>
  <c r="N28" i="180"/>
  <c r="N29" i="180"/>
  <c r="N30" i="180"/>
  <c r="N31" i="180"/>
  <c r="N32" i="180"/>
  <c r="N33" i="180"/>
  <c r="N34" i="180"/>
  <c r="N35" i="180"/>
  <c r="N36" i="180"/>
  <c r="N37" i="180"/>
  <c r="N38" i="180"/>
  <c r="N39" i="180"/>
  <c r="N40" i="180"/>
  <c r="N41" i="180"/>
  <c r="N42" i="180"/>
  <c r="N43" i="180"/>
  <c r="N44" i="180"/>
  <c r="N45" i="180"/>
  <c r="N46" i="180"/>
  <c r="N47" i="180"/>
  <c r="N48" i="180"/>
  <c r="N49" i="180"/>
  <c r="N50" i="180"/>
  <c r="N51" i="180"/>
  <c r="N52" i="180"/>
  <c r="N53" i="180"/>
  <c r="N54" i="180"/>
  <c r="N55" i="180"/>
  <c r="N56" i="180"/>
  <c r="N57" i="180"/>
  <c r="N58" i="180"/>
  <c r="N59" i="180"/>
  <c r="N60" i="180"/>
  <c r="N61" i="180"/>
  <c r="N62" i="180"/>
  <c r="N92" i="180"/>
  <c r="N63" i="180"/>
  <c r="N64" i="180"/>
  <c r="N93" i="180"/>
  <c r="N65" i="180"/>
  <c r="N66" i="180"/>
  <c r="N94" i="180"/>
  <c r="N95" i="180"/>
  <c r="N67" i="180"/>
  <c r="N68" i="180"/>
  <c r="N69" i="180"/>
  <c r="N76" i="180"/>
  <c r="N96" i="180"/>
  <c r="N91" i="180"/>
  <c r="N70" i="180"/>
  <c r="N71" i="180"/>
  <c r="N72" i="180"/>
  <c r="N73" i="180"/>
  <c r="N74" i="180"/>
  <c r="N77" i="180"/>
  <c r="N8" i="180"/>
  <c r="AK67" i="147" l="1"/>
  <c r="AO67" i="147"/>
  <c r="AL67" i="147"/>
  <c r="N353" i="181" s="1"/>
  <c r="O353" i="181" s="1"/>
  <c r="AP67" i="147"/>
  <c r="AM67" i="147"/>
  <c r="P353" i="181" s="1"/>
  <c r="Q353" i="181" s="1"/>
  <c r="AJ67" i="147"/>
  <c r="J353" i="181" s="1"/>
  <c r="K353" i="181" s="1"/>
  <c r="AN67" i="147"/>
  <c r="AI67" i="147"/>
  <c r="H353" i="181" s="1"/>
  <c r="I353" i="181" s="1"/>
  <c r="AQ67" i="147"/>
  <c r="AL70" i="147"/>
  <c r="N380" i="181" s="1"/>
  <c r="O380" i="181" s="1"/>
  <c r="AP70" i="147"/>
  <c r="AM70" i="147"/>
  <c r="P380" i="181" s="1"/>
  <c r="Q380" i="181" s="1"/>
  <c r="AJ70" i="147"/>
  <c r="J380" i="181" s="1"/>
  <c r="K380" i="181" s="1"/>
  <c r="AK70" i="147"/>
  <c r="AO70" i="147"/>
  <c r="AI70" i="147"/>
  <c r="H380" i="181" s="1"/>
  <c r="I380" i="181" s="1"/>
  <c r="AQ70" i="147"/>
  <c r="AN70" i="147"/>
  <c r="U82" i="178"/>
  <c r="I81" i="178"/>
  <c r="L81" i="178"/>
  <c r="O81" i="178"/>
  <c r="U81" i="178"/>
  <c r="AD81" i="178"/>
  <c r="I82" i="178"/>
  <c r="L82" i="178"/>
  <c r="O82" i="178"/>
  <c r="AD82" i="178"/>
  <c r="I83" i="178"/>
  <c r="L83" i="178"/>
  <c r="O83" i="178"/>
  <c r="U83" i="178"/>
  <c r="AD83" i="178"/>
  <c r="T380" i="181" l="1"/>
  <c r="U380" i="181" s="1"/>
  <c r="T353" i="181"/>
  <c r="U353" i="181" s="1"/>
  <c r="D72" i="180"/>
  <c r="AD9" i="153" l="1"/>
  <c r="AE9" i="153"/>
  <c r="AF9" i="153"/>
  <c r="AG9" i="153"/>
  <c r="AH9" i="153"/>
  <c r="AI9" i="153"/>
  <c r="V70" i="140" l="1"/>
  <c r="V43" i="140"/>
  <c r="AA105" i="140"/>
  <c r="AS105" i="140"/>
  <c r="AP105" i="140"/>
  <c r="AQ105" i="140"/>
  <c r="AU105" i="140"/>
  <c r="AV105" i="140"/>
  <c r="AA106" i="140"/>
  <c r="AS106" i="140"/>
  <c r="AP106" i="140"/>
  <c r="AQ106" i="140"/>
  <c r="AU106" i="140"/>
  <c r="AV106" i="140"/>
  <c r="AP107" i="140"/>
  <c r="AQ107" i="140"/>
  <c r="AU107" i="140"/>
  <c r="AV107" i="140"/>
  <c r="AT108" i="140"/>
  <c r="BO108" i="140" s="1"/>
  <c r="AP108" i="140"/>
  <c r="AQ108" i="140"/>
  <c r="AU108" i="140"/>
  <c r="AV108" i="140"/>
  <c r="AT109" i="140"/>
  <c r="BO109" i="140" s="1"/>
  <c r="AP109" i="140"/>
  <c r="AQ109" i="140"/>
  <c r="AU109" i="140"/>
  <c r="AV109" i="140"/>
  <c r="AS107" i="140" l="1"/>
  <c r="AR109" i="140"/>
  <c r="AR108" i="140"/>
  <c r="AR107" i="140"/>
  <c r="AR106" i="140"/>
  <c r="AR105" i="140"/>
  <c r="AT107" i="140"/>
  <c r="BO107" i="140" s="1"/>
  <c r="AT106" i="140"/>
  <c r="AT105" i="140"/>
  <c r="AS109" i="140"/>
  <c r="AW109" i="140" s="1"/>
  <c r="AS108" i="140"/>
  <c r="AW108" i="140" s="1"/>
  <c r="AW106" i="140" l="1"/>
  <c r="BO106" i="140"/>
  <c r="AW105" i="140"/>
  <c r="BO105" i="140"/>
  <c r="AW107" i="140"/>
  <c r="I9" i="153"/>
  <c r="K134" i="153" l="1"/>
  <c r="I134" i="153"/>
  <c r="E101" i="153"/>
  <c r="T202" i="153" l="1"/>
  <c r="S202" i="153"/>
  <c r="R202" i="153"/>
  <c r="Q202" i="153"/>
  <c r="P202" i="153"/>
  <c r="O202" i="153"/>
  <c r="N202" i="153"/>
  <c r="M202" i="153"/>
  <c r="L202" i="153"/>
  <c r="K202" i="153"/>
  <c r="J202" i="153"/>
  <c r="I202" i="153"/>
  <c r="H202" i="153"/>
  <c r="AY56" i="151" l="1"/>
  <c r="AZ56" i="151"/>
  <c r="AX56" i="151"/>
  <c r="BA55" i="151"/>
  <c r="G107" i="140" l="1"/>
  <c r="BA56" i="151"/>
  <c r="BA57" i="151" s="1"/>
  <c r="O107" i="140"/>
  <c r="M107" i="140"/>
  <c r="K107" i="140" l="1"/>
  <c r="I107" i="140"/>
  <c r="G106" i="140" l="1"/>
  <c r="I108" i="140"/>
  <c r="K108" i="140"/>
  <c r="O108" i="140"/>
  <c r="I106" i="140"/>
  <c r="V106" i="140"/>
  <c r="O106" i="140"/>
  <c r="G108" i="140"/>
  <c r="BI106" i="140"/>
  <c r="BH106" i="140"/>
  <c r="Q106" i="140"/>
  <c r="M108" i="140"/>
  <c r="M106" i="140"/>
  <c r="X106" i="140" l="1"/>
  <c r="K106" i="140"/>
  <c r="BJ106" i="140"/>
  <c r="BG106" i="140"/>
  <c r="BK106" i="140" l="1"/>
  <c r="AJ172" i="153"/>
  <c r="AJ173" i="153"/>
  <c r="AJ174" i="153"/>
  <c r="AB18" i="148"/>
  <c r="AC18" i="148"/>
  <c r="AD18" i="148"/>
  <c r="AE18" i="148"/>
  <c r="AF18" i="148"/>
  <c r="AG18" i="148"/>
  <c r="AB15" i="148"/>
  <c r="AC15" i="148"/>
  <c r="AD15" i="148"/>
  <c r="AE15" i="148"/>
  <c r="AF15" i="148"/>
  <c r="AG15" i="148"/>
  <c r="AC12" i="148"/>
  <c r="AD12" i="148"/>
  <c r="AE12" i="148"/>
  <c r="AF12" i="148"/>
  <c r="AG12" i="148"/>
  <c r="AD9" i="148"/>
  <c r="AE9" i="148"/>
  <c r="AF9" i="148"/>
  <c r="AG9" i="148"/>
  <c r="AC6" i="148"/>
  <c r="AD6" i="148"/>
  <c r="AE6" i="148"/>
  <c r="AF6" i="148"/>
  <c r="AG6" i="148"/>
  <c r="AL66" i="147" l="1"/>
  <c r="N344" i="181" s="1"/>
  <c r="O344" i="181" s="1"/>
  <c r="AP66" i="147"/>
  <c r="AM66" i="147"/>
  <c r="P344" i="181" s="1"/>
  <c r="Q344" i="181" s="1"/>
  <c r="AN66" i="147"/>
  <c r="AK66" i="147"/>
  <c r="AO66" i="147"/>
  <c r="AI66" i="147"/>
  <c r="H344" i="181" s="1"/>
  <c r="I344" i="181" s="1"/>
  <c r="AQ66" i="147"/>
  <c r="AJ66" i="147"/>
  <c r="J344" i="181" s="1"/>
  <c r="K344" i="181" s="1"/>
  <c r="AI65" i="147"/>
  <c r="H335" i="181" s="1"/>
  <c r="I335" i="181" s="1"/>
  <c r="AM65" i="147"/>
  <c r="P335" i="181" s="1"/>
  <c r="Q335" i="181" s="1"/>
  <c r="AQ65" i="147"/>
  <c r="AN65" i="147"/>
  <c r="AO65" i="147"/>
  <c r="AL65" i="147"/>
  <c r="N335" i="181" s="1"/>
  <c r="O335" i="181" s="1"/>
  <c r="AP65" i="147"/>
  <c r="AJ65" i="147"/>
  <c r="J335" i="181" s="1"/>
  <c r="K335" i="181" s="1"/>
  <c r="AK65" i="147"/>
  <c r="AH65" i="147"/>
  <c r="E335" i="181" s="1"/>
  <c r="T344" i="181" l="1"/>
  <c r="U344" i="181" s="1"/>
  <c r="T335" i="181"/>
  <c r="U335" i="181" s="1"/>
  <c r="V335" i="181"/>
  <c r="Z335" i="181"/>
  <c r="AA335" i="181" s="1"/>
  <c r="G335" i="181"/>
  <c r="E63" i="140"/>
  <c r="H63" i="140"/>
  <c r="J63" i="140"/>
  <c r="T63" i="140"/>
  <c r="N43" i="178"/>
  <c r="BG335" i="181" l="1"/>
  <c r="X335" i="181"/>
  <c r="H43" i="178"/>
  <c r="U68" i="178" l="1"/>
  <c r="U57" i="178"/>
  <c r="BQ89" i="140"/>
  <c r="BQ90" i="140"/>
  <c r="BQ88" i="140"/>
  <c r="U39" i="178"/>
  <c r="U40" i="178"/>
  <c r="U41" i="178"/>
  <c r="U42" i="178"/>
  <c r="U36" i="178" l="1"/>
  <c r="U35" i="178"/>
  <c r="AT10" i="140" l="1"/>
  <c r="AT9" i="140"/>
  <c r="O13" i="178" l="1"/>
  <c r="O14" i="178"/>
  <c r="E87" i="178" l="1"/>
  <c r="G87" i="178"/>
  <c r="H87" i="178"/>
  <c r="J87" i="178"/>
  <c r="K87" i="178"/>
  <c r="M87" i="178"/>
  <c r="N87" i="178"/>
  <c r="T87" i="178"/>
  <c r="Z87" i="178"/>
  <c r="AB87" i="178"/>
  <c r="AC87" i="178"/>
  <c r="I79" i="178"/>
  <c r="L79" i="178"/>
  <c r="O79" i="178"/>
  <c r="AD79" i="178"/>
  <c r="I80" i="178"/>
  <c r="L80" i="178"/>
  <c r="O80" i="178"/>
  <c r="AD80" i="178"/>
  <c r="I69" i="178"/>
  <c r="L69" i="178"/>
  <c r="O69" i="178"/>
  <c r="U69" i="178"/>
  <c r="AA69" i="178"/>
  <c r="AD69" i="178"/>
  <c r="I70" i="178"/>
  <c r="L70" i="178"/>
  <c r="O70" i="178"/>
  <c r="U70" i="178"/>
  <c r="AA70" i="178"/>
  <c r="AD70" i="178"/>
  <c r="I71" i="178"/>
  <c r="L71" i="178"/>
  <c r="U71" i="178"/>
  <c r="AA71" i="178"/>
  <c r="AD71" i="178"/>
  <c r="B56" i="178"/>
  <c r="C56" i="178"/>
  <c r="B57" i="178"/>
  <c r="B58" i="178"/>
  <c r="B59" i="178"/>
  <c r="B60" i="178"/>
  <c r="B61" i="178"/>
  <c r="B62" i="178"/>
  <c r="B63" i="178"/>
  <c r="B64" i="178"/>
  <c r="B65" i="178"/>
  <c r="B66" i="178"/>
  <c r="B67" i="178"/>
  <c r="B68" i="178"/>
  <c r="B69" i="178"/>
  <c r="B70" i="178"/>
  <c r="B71" i="178"/>
  <c r="C55" i="178"/>
  <c r="B55" i="178"/>
  <c r="B46" i="178"/>
  <c r="C46" i="178"/>
  <c r="B47" i="178"/>
  <c r="C47" i="178"/>
  <c r="B48" i="178"/>
  <c r="C48" i="178"/>
  <c r="B49" i="178"/>
  <c r="C49" i="178"/>
  <c r="B50" i="178"/>
  <c r="C50" i="178"/>
  <c r="B51" i="178"/>
  <c r="C51" i="178"/>
  <c r="B52" i="178"/>
  <c r="C52" i="178"/>
  <c r="C45" i="178"/>
  <c r="B45" i="178"/>
  <c r="B11" i="178"/>
  <c r="C11" i="178"/>
  <c r="B12" i="178"/>
  <c r="C12" i="178"/>
  <c r="B13" i="178"/>
  <c r="C13" i="178"/>
  <c r="B14" i="178"/>
  <c r="C14" i="178"/>
  <c r="B15" i="178"/>
  <c r="C15" i="178"/>
  <c r="B16" i="178"/>
  <c r="C16" i="178"/>
  <c r="B17" i="178"/>
  <c r="C17" i="178"/>
  <c r="B18" i="178"/>
  <c r="C18" i="178"/>
  <c r="B19" i="178"/>
  <c r="C19" i="178"/>
  <c r="B20" i="178"/>
  <c r="C20" i="178"/>
  <c r="B21" i="178"/>
  <c r="C21" i="178"/>
  <c r="B22" i="178"/>
  <c r="C22" i="178"/>
  <c r="B23" i="178"/>
  <c r="C23" i="178"/>
  <c r="B24" i="178"/>
  <c r="C24" i="178"/>
  <c r="B25" i="178"/>
  <c r="C25" i="178"/>
  <c r="B26" i="178"/>
  <c r="C26" i="178"/>
  <c r="B27" i="178"/>
  <c r="C27" i="178"/>
  <c r="B28" i="178"/>
  <c r="C28" i="178"/>
  <c r="B29" i="178"/>
  <c r="C29" i="178"/>
  <c r="B30" i="178"/>
  <c r="C30" i="178"/>
  <c r="B31" i="178"/>
  <c r="C31" i="178"/>
  <c r="B32" i="178"/>
  <c r="C32" i="178"/>
  <c r="B33" i="178"/>
  <c r="C33" i="178"/>
  <c r="B34" i="178"/>
  <c r="C34" i="178"/>
  <c r="B35" i="178"/>
  <c r="C35" i="178"/>
  <c r="B36" i="178"/>
  <c r="C36" i="178"/>
  <c r="B37" i="178"/>
  <c r="C37" i="178"/>
  <c r="B38" i="178"/>
  <c r="C38" i="178"/>
  <c r="B39" i="178"/>
  <c r="C39" i="178"/>
  <c r="B40" i="178"/>
  <c r="C40" i="178"/>
  <c r="B41" i="178"/>
  <c r="C41" i="178"/>
  <c r="B42" i="178"/>
  <c r="C42" i="178"/>
  <c r="B10" i="178"/>
  <c r="C10" i="178"/>
  <c r="AE70" i="178" l="1"/>
  <c r="AE69" i="178"/>
  <c r="AZ11" i="140" l="1"/>
  <c r="AZ12" i="140"/>
  <c r="AZ13" i="140"/>
  <c r="AZ14" i="140"/>
  <c r="AZ15" i="140"/>
  <c r="AZ16" i="140"/>
  <c r="AZ17" i="140"/>
  <c r="AZ18" i="140"/>
  <c r="AZ19" i="140"/>
  <c r="AZ20" i="140"/>
  <c r="AZ21" i="140"/>
  <c r="AZ22" i="140"/>
  <c r="AZ23" i="140"/>
  <c r="AZ24" i="140"/>
  <c r="AZ25" i="140"/>
  <c r="AZ26" i="140"/>
  <c r="AZ27" i="140"/>
  <c r="AZ28" i="140"/>
  <c r="AZ29" i="140"/>
  <c r="AZ30" i="140"/>
  <c r="AZ31" i="140"/>
  <c r="AZ32" i="140"/>
  <c r="AZ33" i="140"/>
  <c r="AZ34" i="140"/>
  <c r="AZ35" i="140"/>
  <c r="AZ36" i="140"/>
  <c r="AZ37" i="140"/>
  <c r="AZ38" i="140"/>
  <c r="AZ39" i="140"/>
  <c r="AZ40" i="140"/>
  <c r="AZ41" i="140"/>
  <c r="M9" i="153" l="1"/>
  <c r="AB9" i="153"/>
  <c r="AC9" i="153"/>
  <c r="AA9" i="153"/>
  <c r="T9" i="153"/>
  <c r="S9" i="153"/>
  <c r="R9" i="153"/>
  <c r="N9" i="153"/>
  <c r="O9" i="153"/>
  <c r="L9" i="153"/>
  <c r="K9" i="153"/>
  <c r="J9" i="153"/>
  <c r="G9" i="153"/>
  <c r="H9" i="153"/>
  <c r="F9" i="153"/>
  <c r="F14" i="153" s="1"/>
  <c r="AH63" i="153" l="1"/>
  <c r="AL37" i="150" l="1"/>
  <c r="J35" i="174" l="1"/>
  <c r="J36" i="174"/>
  <c r="J37" i="174"/>
  <c r="J38" i="174"/>
  <c r="J39" i="174"/>
  <c r="J40" i="174"/>
  <c r="K40" i="174" s="1"/>
  <c r="L40" i="174" s="1"/>
  <c r="J41" i="174"/>
  <c r="K41" i="174" s="1"/>
  <c r="L41" i="174" s="1"/>
  <c r="B42" i="174"/>
  <c r="B41" i="174"/>
  <c r="B40" i="174"/>
  <c r="B39" i="174"/>
  <c r="B38" i="174"/>
  <c r="B37" i="174"/>
  <c r="B36" i="174"/>
  <c r="B35" i="174"/>
  <c r="B34" i="174"/>
  <c r="B33" i="174"/>
  <c r="B32" i="174"/>
  <c r="B31" i="174"/>
  <c r="B30" i="174"/>
  <c r="B29" i="174"/>
  <c r="B28" i="174"/>
  <c r="B27" i="174"/>
  <c r="B26" i="174"/>
  <c r="B25" i="174"/>
  <c r="B24" i="174"/>
  <c r="B23" i="174"/>
  <c r="B22" i="174"/>
  <c r="J34" i="174"/>
  <c r="J42" i="174"/>
  <c r="B21" i="174"/>
  <c r="B20" i="174"/>
  <c r="B19" i="174"/>
  <c r="B18" i="174"/>
  <c r="B17" i="174"/>
  <c r="B16" i="174"/>
  <c r="B15" i="174"/>
  <c r="B14" i="174"/>
  <c r="B13" i="174"/>
  <c r="B12" i="174"/>
  <c r="B11" i="174"/>
  <c r="B10" i="174"/>
  <c r="B9" i="174"/>
  <c r="B8" i="174"/>
  <c r="K38" i="174" l="1"/>
  <c r="L38" i="174" s="1"/>
  <c r="D96" i="180"/>
  <c r="F96" i="180"/>
  <c r="D91" i="180"/>
  <c r="F91" i="180"/>
  <c r="D70" i="180"/>
  <c r="F70" i="180"/>
  <c r="D71" i="180"/>
  <c r="F71" i="180"/>
  <c r="AK112" i="140"/>
  <c r="AY140" i="140"/>
  <c r="AP90" i="140"/>
  <c r="AQ90" i="140"/>
  <c r="AS90" i="140"/>
  <c r="AT90" i="140"/>
  <c r="AU90" i="140"/>
  <c r="AV90" i="140"/>
  <c r="AP92" i="140"/>
  <c r="AQ92" i="140"/>
  <c r="AU92" i="140"/>
  <c r="AV92" i="140"/>
  <c r="AP93" i="140"/>
  <c r="AQ93" i="140"/>
  <c r="AU93" i="140"/>
  <c r="AV93" i="140"/>
  <c r="AP94" i="140"/>
  <c r="AQ94" i="140"/>
  <c r="AS94" i="140"/>
  <c r="AT94" i="140"/>
  <c r="AU94" i="140"/>
  <c r="AV94" i="140"/>
  <c r="AP95" i="140"/>
  <c r="AQ95" i="140"/>
  <c r="AS95" i="140"/>
  <c r="AT95" i="140"/>
  <c r="AU95" i="140"/>
  <c r="AV95" i="140"/>
  <c r="AP96" i="140"/>
  <c r="AQ96" i="140"/>
  <c r="AU96" i="140"/>
  <c r="AV96" i="140"/>
  <c r="AP97" i="140"/>
  <c r="AQ97" i="140"/>
  <c r="AU97" i="140"/>
  <c r="AV97" i="140"/>
  <c r="AP98" i="140"/>
  <c r="AQ98" i="140"/>
  <c r="AU98" i="140"/>
  <c r="AV98" i="140"/>
  <c r="AP99" i="140"/>
  <c r="AQ99" i="140"/>
  <c r="AU99" i="140"/>
  <c r="AV99" i="140"/>
  <c r="AP100" i="140"/>
  <c r="AQ100" i="140"/>
  <c r="AU100" i="140"/>
  <c r="AV100" i="140"/>
  <c r="AP101" i="140"/>
  <c r="AQ101" i="140"/>
  <c r="AU101" i="140"/>
  <c r="AV101" i="140"/>
  <c r="AP102" i="140"/>
  <c r="AQ102" i="140"/>
  <c r="AU102" i="140"/>
  <c r="AV102" i="140"/>
  <c r="AP103" i="140"/>
  <c r="AQ103" i="140"/>
  <c r="AU103" i="140"/>
  <c r="AV103" i="140"/>
  <c r="AP104" i="140"/>
  <c r="AQ104" i="140"/>
  <c r="AU104" i="140"/>
  <c r="AV104" i="140"/>
  <c r="BL69" i="140"/>
  <c r="BN69" i="140"/>
  <c r="M63" i="140"/>
  <c r="S63" i="140"/>
  <c r="M64" i="140"/>
  <c r="S64" i="140"/>
  <c r="M65" i="140"/>
  <c r="S65" i="140"/>
  <c r="M66" i="140"/>
  <c r="S66" i="140"/>
  <c r="M67" i="140"/>
  <c r="S67" i="140"/>
  <c r="M68" i="140"/>
  <c r="S68" i="140"/>
  <c r="AD44" i="140"/>
  <c r="AX44" i="140"/>
  <c r="BN42" i="140"/>
  <c r="AP11" i="140"/>
  <c r="AQ11" i="140"/>
  <c r="AS11" i="140"/>
  <c r="AT11" i="140"/>
  <c r="AU11" i="140"/>
  <c r="AV11" i="140"/>
  <c r="AP12" i="140"/>
  <c r="AQ12" i="140"/>
  <c r="AS12" i="140"/>
  <c r="AT12" i="140"/>
  <c r="AU12" i="140"/>
  <c r="AV12" i="140"/>
  <c r="AP13" i="140"/>
  <c r="AQ13" i="140"/>
  <c r="AS13" i="140"/>
  <c r="AT13" i="140"/>
  <c r="AU13" i="140"/>
  <c r="AV13" i="140"/>
  <c r="AP14" i="140"/>
  <c r="AQ14" i="140"/>
  <c r="AS14" i="140"/>
  <c r="AT14" i="140"/>
  <c r="AU14" i="140"/>
  <c r="AV14" i="140"/>
  <c r="AP15" i="140"/>
  <c r="AQ15" i="140"/>
  <c r="AS15" i="140"/>
  <c r="AT15" i="140"/>
  <c r="AU15" i="140"/>
  <c r="AV15" i="140"/>
  <c r="AP16" i="140"/>
  <c r="AQ16" i="140"/>
  <c r="AS16" i="140"/>
  <c r="AT16" i="140"/>
  <c r="AU16" i="140"/>
  <c r="AV16" i="140"/>
  <c r="AP17" i="140"/>
  <c r="AQ17" i="140"/>
  <c r="AS17" i="140"/>
  <c r="AT17" i="140"/>
  <c r="AU17" i="140"/>
  <c r="AV17" i="140"/>
  <c r="AP18" i="140"/>
  <c r="AQ18" i="140"/>
  <c r="AS18" i="140"/>
  <c r="AT18" i="140"/>
  <c r="AU18" i="140"/>
  <c r="AV18" i="140"/>
  <c r="AP19" i="140"/>
  <c r="AQ19" i="140"/>
  <c r="AS19" i="140"/>
  <c r="AT19" i="140"/>
  <c r="AU19" i="140"/>
  <c r="AV19" i="140"/>
  <c r="AP20" i="140"/>
  <c r="AQ20" i="140"/>
  <c r="AS20" i="140"/>
  <c r="AT20" i="140"/>
  <c r="AU20" i="140"/>
  <c r="AV20" i="140"/>
  <c r="AP21" i="140"/>
  <c r="AQ21" i="140"/>
  <c r="AS21" i="140"/>
  <c r="AT21" i="140"/>
  <c r="AU21" i="140"/>
  <c r="AV21" i="140"/>
  <c r="AP22" i="140"/>
  <c r="AQ22" i="140"/>
  <c r="AS22" i="140"/>
  <c r="AT22" i="140"/>
  <c r="AU22" i="140"/>
  <c r="AV22" i="140"/>
  <c r="AP23" i="140"/>
  <c r="AQ23" i="140"/>
  <c r="AS23" i="140"/>
  <c r="AT23" i="140"/>
  <c r="AU23" i="140"/>
  <c r="AV23" i="140"/>
  <c r="AP24" i="140"/>
  <c r="AQ24" i="140"/>
  <c r="AS24" i="140"/>
  <c r="AT24" i="140"/>
  <c r="AU24" i="140"/>
  <c r="AV24" i="140"/>
  <c r="AP25" i="140"/>
  <c r="AQ25" i="140"/>
  <c r="AS25" i="140"/>
  <c r="AT25" i="140"/>
  <c r="AU25" i="140"/>
  <c r="AV25" i="140"/>
  <c r="AP26" i="140"/>
  <c r="AQ26" i="140"/>
  <c r="AS26" i="140"/>
  <c r="AT26" i="140"/>
  <c r="AU26" i="140"/>
  <c r="AV26" i="140"/>
  <c r="AP27" i="140"/>
  <c r="AQ27" i="140"/>
  <c r="AS27" i="140"/>
  <c r="AT27" i="140"/>
  <c r="AU27" i="140"/>
  <c r="AV27" i="140"/>
  <c r="AP28" i="140"/>
  <c r="AQ28" i="140"/>
  <c r="AS28" i="140"/>
  <c r="AT28" i="140"/>
  <c r="AU28" i="140"/>
  <c r="AV28" i="140"/>
  <c r="AP29" i="140"/>
  <c r="AQ29" i="140"/>
  <c r="AS29" i="140"/>
  <c r="AT29" i="140"/>
  <c r="AU29" i="140"/>
  <c r="AV29" i="140"/>
  <c r="AP30" i="140"/>
  <c r="AQ30" i="140"/>
  <c r="AS30" i="140"/>
  <c r="AT30" i="140"/>
  <c r="AU30" i="140"/>
  <c r="AV30" i="140"/>
  <c r="AP31" i="140"/>
  <c r="AQ31" i="140"/>
  <c r="AS31" i="140"/>
  <c r="AT31" i="140"/>
  <c r="AU31" i="140"/>
  <c r="AV31" i="140"/>
  <c r="AP32" i="140"/>
  <c r="AQ32" i="140"/>
  <c r="AS32" i="140"/>
  <c r="AT32" i="140"/>
  <c r="AU32" i="140"/>
  <c r="AV32" i="140"/>
  <c r="AP33" i="140"/>
  <c r="AQ33" i="140"/>
  <c r="AS33" i="140"/>
  <c r="AT33" i="140"/>
  <c r="AU33" i="140"/>
  <c r="AV33" i="140"/>
  <c r="AP34" i="140"/>
  <c r="AQ34" i="140"/>
  <c r="AS34" i="140"/>
  <c r="AT34" i="140"/>
  <c r="AU34" i="140"/>
  <c r="AV34" i="140"/>
  <c r="AP35" i="140"/>
  <c r="AQ35" i="140"/>
  <c r="AS35" i="140"/>
  <c r="AT35" i="140"/>
  <c r="AU35" i="140"/>
  <c r="AV35" i="140"/>
  <c r="AP36" i="140"/>
  <c r="AQ36" i="140"/>
  <c r="AS36" i="140"/>
  <c r="AT36" i="140"/>
  <c r="AU36" i="140"/>
  <c r="AV36" i="140"/>
  <c r="AP37" i="140"/>
  <c r="AQ37" i="140"/>
  <c r="AS37" i="140"/>
  <c r="AT37" i="140"/>
  <c r="AU37" i="140"/>
  <c r="AV37" i="140"/>
  <c r="AP38" i="140"/>
  <c r="AQ38" i="140"/>
  <c r="AS38" i="140"/>
  <c r="AT38" i="140"/>
  <c r="AU38" i="140"/>
  <c r="AV38" i="140"/>
  <c r="AP39" i="140"/>
  <c r="AQ39" i="140"/>
  <c r="AS39" i="140"/>
  <c r="AT39" i="140"/>
  <c r="AU39" i="140"/>
  <c r="AV39" i="140"/>
  <c r="AP40" i="140"/>
  <c r="AQ40" i="140"/>
  <c r="AS40" i="140"/>
  <c r="AT40" i="140"/>
  <c r="AU40" i="140"/>
  <c r="AV40" i="140"/>
  <c r="AP41" i="140"/>
  <c r="AQ41" i="140"/>
  <c r="AS41" i="140"/>
  <c r="AT41" i="140"/>
  <c r="AU41" i="140"/>
  <c r="AV41" i="140"/>
  <c r="AT42" i="140" l="1"/>
  <c r="BA153" i="140"/>
  <c r="BO40" i="140"/>
  <c r="BO38" i="140"/>
  <c r="BO36" i="140"/>
  <c r="BO34" i="140"/>
  <c r="BO32" i="140"/>
  <c r="BO30" i="140"/>
  <c r="BO28" i="140"/>
  <c r="BO26" i="140"/>
  <c r="BO24" i="140"/>
  <c r="BO22" i="140"/>
  <c r="BO20" i="140"/>
  <c r="BO18" i="140"/>
  <c r="BO16" i="140"/>
  <c r="BO14" i="140"/>
  <c r="BO12" i="140"/>
  <c r="BO41" i="140"/>
  <c r="BO39" i="140"/>
  <c r="BO37" i="140"/>
  <c r="BO35" i="140"/>
  <c r="BO33" i="140"/>
  <c r="BO31" i="140"/>
  <c r="BO29" i="140"/>
  <c r="BO27" i="140"/>
  <c r="BO25" i="140"/>
  <c r="BO23" i="140"/>
  <c r="BO21" i="140"/>
  <c r="BO19" i="140"/>
  <c r="BO17" i="140"/>
  <c r="BO15" i="140"/>
  <c r="BO13" i="140"/>
  <c r="BO11" i="140"/>
  <c r="AR104" i="140"/>
  <c r="AR103" i="140"/>
  <c r="AR18" i="140"/>
  <c r="AR101" i="140"/>
  <c r="AR99" i="140"/>
  <c r="AR97" i="140"/>
  <c r="AR96" i="140"/>
  <c r="AR92" i="140"/>
  <c r="AR37" i="140"/>
  <c r="AR35" i="140"/>
  <c r="AR33" i="140"/>
  <c r="AR17" i="140"/>
  <c r="AR13" i="140"/>
  <c r="AR11" i="140"/>
  <c r="AR31" i="140"/>
  <c r="AR41" i="140"/>
  <c r="AR29" i="140"/>
  <c r="AR16" i="140"/>
  <c r="AR26" i="140"/>
  <c r="AW25" i="140"/>
  <c r="AR22" i="140"/>
  <c r="AW21" i="140"/>
  <c r="AR40" i="140"/>
  <c r="AR34" i="140"/>
  <c r="AW33" i="140"/>
  <c r="AR30" i="140"/>
  <c r="AR27" i="140"/>
  <c r="AW15" i="140"/>
  <c r="AW34" i="140"/>
  <c r="AR24" i="140"/>
  <c r="AW37" i="140"/>
  <c r="AR98" i="140"/>
  <c r="AW95" i="140"/>
  <c r="AW94" i="140"/>
  <c r="AR93" i="140"/>
  <c r="AW36" i="140"/>
  <c r="AW32" i="140"/>
  <c r="AW12" i="140"/>
  <c r="AW41" i="140"/>
  <c r="AW17" i="140"/>
  <c r="AR38" i="140"/>
  <c r="AR25" i="140"/>
  <c r="AR21" i="140"/>
  <c r="AW20" i="140"/>
  <c r="AR19" i="140"/>
  <c r="AR14" i="140"/>
  <c r="AR102" i="140"/>
  <c r="AR100" i="140"/>
  <c r="AW90" i="140"/>
  <c r="AW13" i="140"/>
  <c r="AW31" i="140"/>
  <c r="AW28" i="140"/>
  <c r="AW26" i="140"/>
  <c r="AW19" i="140"/>
  <c r="AR39" i="140"/>
  <c r="AW38" i="140"/>
  <c r="AR32" i="140"/>
  <c r="AW23" i="140"/>
  <c r="AR20" i="140"/>
  <c r="AW16" i="140"/>
  <c r="AR15" i="140"/>
  <c r="AW14" i="140"/>
  <c r="AW40" i="140"/>
  <c r="AW35" i="140"/>
  <c r="AW30" i="140"/>
  <c r="AW29" i="140"/>
  <c r="AW27" i="140"/>
  <c r="AW18" i="140"/>
  <c r="AW11" i="140"/>
  <c r="AR95" i="140"/>
  <c r="AR90" i="140"/>
  <c r="AW39" i="140"/>
  <c r="AR36" i="140"/>
  <c r="AR28" i="140"/>
  <c r="AW24" i="140"/>
  <c r="AR23" i="140"/>
  <c r="AW22" i="140"/>
  <c r="AR12" i="140"/>
  <c r="AR94" i="140"/>
  <c r="AI9" i="151" l="1"/>
  <c r="AL9" i="151"/>
  <c r="AO9" i="151"/>
  <c r="AK9" i="151"/>
  <c r="AQ9" i="151"/>
  <c r="AN9" i="151"/>
  <c r="AJ9" i="151"/>
  <c r="AR9" i="151"/>
  <c r="AM9" i="151"/>
  <c r="AS9" i="151"/>
  <c r="AH9" i="151"/>
  <c r="AE104" i="140"/>
  <c r="AA104" i="140"/>
  <c r="E90" i="140" l="1"/>
  <c r="E418" i="181"/>
  <c r="P90" i="140"/>
  <c r="P418" i="181"/>
  <c r="Q418" i="181" s="1"/>
  <c r="J90" i="140"/>
  <c r="K90" i="140" s="1"/>
  <c r="J418" i="181"/>
  <c r="K418" i="181" s="1"/>
  <c r="BD90" i="140"/>
  <c r="BD418" i="181"/>
  <c r="BH418" i="181" s="1"/>
  <c r="BJ418" i="181" s="1"/>
  <c r="L90" i="140"/>
  <c r="L418" i="181"/>
  <c r="M418" i="181" s="1"/>
  <c r="N90" i="140"/>
  <c r="N418" i="181"/>
  <c r="O418" i="181" s="1"/>
  <c r="BE90" i="140"/>
  <c r="BE418" i="181"/>
  <c r="BI418" i="181" s="1"/>
  <c r="R90" i="140"/>
  <c r="S90" i="140" s="1"/>
  <c r="R418" i="181"/>
  <c r="S418" i="181" s="1"/>
  <c r="T90" i="140"/>
  <c r="U90" i="140" s="1"/>
  <c r="T418" i="181"/>
  <c r="U418" i="181" s="1"/>
  <c r="H90" i="140"/>
  <c r="H418" i="181"/>
  <c r="I418" i="181" s="1"/>
  <c r="Q90" i="140"/>
  <c r="I90" i="140"/>
  <c r="M90" i="140"/>
  <c r="O90" i="140"/>
  <c r="AS104" i="140"/>
  <c r="AT104" i="140"/>
  <c r="BO104" i="140" s="1"/>
  <c r="AP9" i="151"/>
  <c r="AT9" i="151" s="1"/>
  <c r="Z418" i="181" l="1"/>
  <c r="AA418" i="181" s="1"/>
  <c r="V418" i="181"/>
  <c r="G418" i="181"/>
  <c r="V90" i="140"/>
  <c r="Z90" i="140"/>
  <c r="G90" i="140"/>
  <c r="AW104" i="140"/>
  <c r="BG418" i="181" l="1"/>
  <c r="BK418" i="181" s="1"/>
  <c r="X418" i="181"/>
  <c r="Q521" i="150"/>
  <c r="AI528" i="150" l="1"/>
  <c r="AH523" i="150"/>
  <c r="AG523" i="150"/>
  <c r="AF523" i="150"/>
  <c r="AE523" i="150"/>
  <c r="AD523" i="150"/>
  <c r="AC523" i="150"/>
  <c r="AB523" i="150"/>
  <c r="AA523" i="150"/>
  <c r="Z523" i="150"/>
  <c r="X523" i="150"/>
  <c r="W523" i="150"/>
  <c r="V523" i="150"/>
  <c r="U523" i="150"/>
  <c r="T523" i="150"/>
  <c r="S523" i="150"/>
  <c r="R523" i="150"/>
  <c r="Q523" i="150"/>
  <c r="P523" i="150"/>
  <c r="O523" i="150"/>
  <c r="N523" i="150"/>
  <c r="M523" i="150"/>
  <c r="L523" i="150"/>
  <c r="K523" i="150"/>
  <c r="J523" i="150"/>
  <c r="I523" i="150"/>
  <c r="H523" i="150"/>
  <c r="E523" i="150"/>
  <c r="D523" i="150"/>
  <c r="AH522" i="150"/>
  <c r="AG522" i="150"/>
  <c r="AF522" i="150"/>
  <c r="AE522" i="150"/>
  <c r="AD522" i="150"/>
  <c r="AC522" i="150"/>
  <c r="AB522" i="150"/>
  <c r="AA522" i="150"/>
  <c r="Z522" i="150"/>
  <c r="X522" i="150"/>
  <c r="W522" i="150"/>
  <c r="V522" i="150"/>
  <c r="U522" i="150"/>
  <c r="T522" i="150"/>
  <c r="Q522" i="150"/>
  <c r="P522" i="150"/>
  <c r="O522" i="150"/>
  <c r="N522" i="150"/>
  <c r="M522" i="150"/>
  <c r="L522" i="150"/>
  <c r="K522" i="150"/>
  <c r="J522" i="150"/>
  <c r="I522" i="150"/>
  <c r="H522" i="150"/>
  <c r="E522" i="150"/>
  <c r="AH521" i="150"/>
  <c r="AG521" i="150"/>
  <c r="AF521" i="150"/>
  <c r="AE521" i="150"/>
  <c r="AD521" i="150"/>
  <c r="AC521" i="150"/>
  <c r="AB521" i="150"/>
  <c r="AA521" i="150"/>
  <c r="Z521" i="150"/>
  <c r="X521" i="150"/>
  <c r="W521" i="150"/>
  <c r="V521" i="150"/>
  <c r="U521" i="150"/>
  <c r="T521" i="150"/>
  <c r="P521" i="150"/>
  <c r="O521" i="150"/>
  <c r="N521" i="150"/>
  <c r="M521" i="150"/>
  <c r="L521" i="150"/>
  <c r="K521" i="150"/>
  <c r="J521" i="150"/>
  <c r="I521" i="150"/>
  <c r="D521" i="150"/>
  <c r="AH520" i="150"/>
  <c r="AG520" i="150"/>
  <c r="AF520" i="150"/>
  <c r="AE520" i="150"/>
  <c r="AD520" i="150"/>
  <c r="W520" i="150"/>
  <c r="V520" i="150"/>
  <c r="U520" i="150"/>
  <c r="T520" i="150"/>
  <c r="Q520" i="150"/>
  <c r="AH526" i="150"/>
  <c r="AE515" i="150"/>
  <c r="AE526" i="150" s="1"/>
  <c r="AD515" i="150"/>
  <c r="AA526" i="150"/>
  <c r="X515" i="150"/>
  <c r="W515" i="150"/>
  <c r="V515" i="150"/>
  <c r="U515" i="150"/>
  <c r="D515" i="150"/>
  <c r="AH514" i="150"/>
  <c r="AG514" i="150"/>
  <c r="AF514" i="150"/>
  <c r="AE514" i="150"/>
  <c r="AD514" i="150"/>
  <c r="AC514" i="150"/>
  <c r="AB514" i="150"/>
  <c r="AA514" i="150"/>
  <c r="Z514" i="150"/>
  <c r="X514" i="150"/>
  <c r="W514" i="150"/>
  <c r="V514" i="150"/>
  <c r="U514" i="150"/>
  <c r="T514" i="150"/>
  <c r="S514" i="150"/>
  <c r="R514" i="150"/>
  <c r="Q514" i="150"/>
  <c r="P514" i="150"/>
  <c r="O514" i="150"/>
  <c r="N514" i="150"/>
  <c r="M514" i="150"/>
  <c r="L514" i="150"/>
  <c r="K514" i="150"/>
  <c r="J514" i="150"/>
  <c r="I514" i="150"/>
  <c r="H514" i="150"/>
  <c r="E514" i="150"/>
  <c r="D514" i="150"/>
  <c r="Y526" i="150" l="1"/>
  <c r="AI520" i="150"/>
  <c r="AK520" i="150" s="1"/>
  <c r="AK521" i="150" s="1"/>
  <c r="AI514" i="150"/>
  <c r="AI523" i="150"/>
  <c r="AI522" i="150"/>
  <c r="AI521" i="150"/>
  <c r="AF154" i="140" l="1"/>
  <c r="AF697" i="181"/>
  <c r="C32" i="151"/>
  <c r="AW33" i="151" l="1"/>
  <c r="L56" i="151" l="1"/>
  <c r="P515" i="150" l="1"/>
  <c r="Q515" i="150"/>
  <c r="C65" i="151"/>
  <c r="C64" i="151"/>
  <c r="C63" i="151"/>
  <c r="C62" i="151"/>
  <c r="C61" i="151"/>
  <c r="C60" i="151"/>
  <c r="C59" i="151"/>
  <c r="C58" i="151"/>
  <c r="C57" i="151"/>
  <c r="D56" i="151"/>
  <c r="E56" i="151"/>
  <c r="F56" i="151"/>
  <c r="G56" i="151"/>
  <c r="H56" i="151"/>
  <c r="I56" i="151"/>
  <c r="J56" i="151"/>
  <c r="K56" i="151"/>
  <c r="M56" i="151"/>
  <c r="N56" i="151"/>
  <c r="O56" i="151"/>
  <c r="P56" i="151"/>
  <c r="Q56" i="151"/>
  <c r="R56" i="151"/>
  <c r="S56" i="151"/>
  <c r="T56" i="151"/>
  <c r="U56" i="151"/>
  <c r="V56" i="151"/>
  <c r="W56" i="151"/>
  <c r="X56" i="151"/>
  <c r="Y56" i="151"/>
  <c r="Z56" i="151"/>
  <c r="AA56" i="151"/>
  <c r="AB56" i="151"/>
  <c r="AC56" i="151"/>
  <c r="AD56" i="151"/>
  <c r="AE56" i="151"/>
  <c r="AF56" i="151"/>
  <c r="AG56" i="151"/>
  <c r="AI510" i="150"/>
  <c r="AK510" i="150" s="1"/>
  <c r="AI497" i="150"/>
  <c r="AK497" i="150" s="1"/>
  <c r="AI484" i="150"/>
  <c r="AK484" i="150" s="1"/>
  <c r="AI471" i="150"/>
  <c r="AK471" i="150" s="1"/>
  <c r="AI458" i="150"/>
  <c r="AK458" i="150" s="1"/>
  <c r="AI445" i="150"/>
  <c r="AK445" i="150" s="1"/>
  <c r="AI432" i="150"/>
  <c r="AK432" i="150" s="1"/>
  <c r="AI419" i="150"/>
  <c r="AK419" i="150" s="1"/>
  <c r="AI133" i="150"/>
  <c r="AK133" i="150" s="1"/>
  <c r="AI120" i="150"/>
  <c r="AK120" i="150" s="1"/>
  <c r="AI107" i="150"/>
  <c r="AK107" i="150" s="1"/>
  <c r="AI94" i="150"/>
  <c r="AK94" i="150" s="1"/>
  <c r="AI81" i="150"/>
  <c r="AK81" i="150" s="1"/>
  <c r="AI68" i="150"/>
  <c r="AK68" i="150" s="1"/>
  <c r="AI55" i="150"/>
  <c r="AK55" i="150" s="1"/>
  <c r="AI42" i="150"/>
  <c r="AK42" i="150" s="1"/>
  <c r="AI29" i="150"/>
  <c r="AK29" i="150" s="1"/>
  <c r="G105" i="140" l="1"/>
  <c r="O105" i="140"/>
  <c r="BH105" i="140"/>
  <c r="I105" i="140"/>
  <c r="Q105" i="140"/>
  <c r="BI105" i="140"/>
  <c r="K105" i="140"/>
  <c r="M105" i="140"/>
  <c r="E515" i="150"/>
  <c r="I515" i="150"/>
  <c r="J515" i="150"/>
  <c r="C66" i="151"/>
  <c r="F12" i="180"/>
  <c r="V105" i="140" l="1"/>
  <c r="AI515" i="150"/>
  <c r="O44" i="174" s="1"/>
  <c r="BJ105" i="140"/>
  <c r="BG105" i="140" l="1"/>
  <c r="X105" i="140"/>
  <c r="AL515" i="150"/>
  <c r="BK105" i="140" l="1"/>
  <c r="AK525" i="150"/>
  <c r="AT39" i="147"/>
  <c r="AM39" i="147"/>
  <c r="P297" i="181" s="1"/>
  <c r="Q297" i="181" s="1"/>
  <c r="AQ39" i="147"/>
  <c r="AJ39" i="147"/>
  <c r="J297" i="181" s="1"/>
  <c r="K297" i="181" s="1"/>
  <c r="AN39" i="147"/>
  <c r="R297" i="181" s="1"/>
  <c r="S297" i="181" s="1"/>
  <c r="AK39" i="147"/>
  <c r="L297" i="181" s="1"/>
  <c r="M297" i="181" s="1"/>
  <c r="AO39" i="147"/>
  <c r="T297" i="181" s="1"/>
  <c r="U297" i="181" s="1"/>
  <c r="AS39" i="147"/>
  <c r="AH39" i="147"/>
  <c r="AL39" i="147"/>
  <c r="N297" i="181" s="1"/>
  <c r="O297" i="181" s="1"/>
  <c r="AP39" i="147"/>
  <c r="BD41" i="140" l="1"/>
  <c r="BD297" i="181"/>
  <c r="BH297" i="181" s="1"/>
  <c r="BJ297" i="181" s="1"/>
  <c r="BE41" i="140"/>
  <c r="BE297" i="181"/>
  <c r="BI297" i="181" s="1"/>
  <c r="E41" i="140"/>
  <c r="E297" i="181"/>
  <c r="G41" i="140"/>
  <c r="N41" i="140"/>
  <c r="O41" i="140" s="1"/>
  <c r="L41" i="140"/>
  <c r="M41" i="140" s="1"/>
  <c r="H41" i="140"/>
  <c r="I41" i="140" s="1"/>
  <c r="R41" i="140"/>
  <c r="S41" i="140" s="1"/>
  <c r="P41" i="140"/>
  <c r="Q41" i="140" s="1"/>
  <c r="BH41" i="140"/>
  <c r="J41" i="140"/>
  <c r="K41" i="140" s="1"/>
  <c r="BI41" i="140"/>
  <c r="T41" i="140"/>
  <c r="U41" i="140" s="1"/>
  <c r="AR39" i="147"/>
  <c r="G297" i="181" l="1"/>
  <c r="V297" i="181"/>
  <c r="BJ41" i="140"/>
  <c r="V41" i="140"/>
  <c r="BG41" i="140" s="1"/>
  <c r="BK41" i="140" s="1"/>
  <c r="X297" i="181" l="1"/>
  <c r="BG297" i="181"/>
  <c r="BK297" i="181" s="1"/>
  <c r="AI10" i="151"/>
  <c r="AJ10" i="151"/>
  <c r="AN10" i="151"/>
  <c r="AK10" i="151"/>
  <c r="AO10" i="151"/>
  <c r="AM10" i="151"/>
  <c r="AL10" i="151"/>
  <c r="AQ10" i="151"/>
  <c r="AR10" i="151"/>
  <c r="AK11" i="151"/>
  <c r="AO11" i="151"/>
  <c r="AQ11" i="151"/>
  <c r="AJ11" i="151"/>
  <c r="AL11" i="151"/>
  <c r="AR11" i="151"/>
  <c r="AI11" i="151"/>
  <c r="AM11" i="151"/>
  <c r="AN11" i="151"/>
  <c r="BD91" i="140" l="1"/>
  <c r="BD427" i="181"/>
  <c r="BH427" i="181" s="1"/>
  <c r="R92" i="140"/>
  <c r="S92" i="140" s="1"/>
  <c r="R436" i="181"/>
  <c r="S436" i="181" s="1"/>
  <c r="T91" i="140"/>
  <c r="U91" i="140" s="1"/>
  <c r="T427" i="181"/>
  <c r="L91" i="140"/>
  <c r="M91" i="140" s="1"/>
  <c r="L427" i="181"/>
  <c r="M427" i="181" s="1"/>
  <c r="R91" i="140"/>
  <c r="S91" i="140" s="1"/>
  <c r="R427" i="181"/>
  <c r="S427" i="181" s="1"/>
  <c r="J91" i="140"/>
  <c r="K91" i="140" s="1"/>
  <c r="J427" i="181"/>
  <c r="K427" i="181" s="1"/>
  <c r="J92" i="140"/>
  <c r="J436" i="181"/>
  <c r="K436" i="181" s="1"/>
  <c r="BD92" i="140"/>
  <c r="BD436" i="181"/>
  <c r="BH436" i="181" s="1"/>
  <c r="T92" i="140"/>
  <c r="U92" i="140" s="1"/>
  <c r="T436" i="181"/>
  <c r="BE91" i="140"/>
  <c r="BE427" i="181"/>
  <c r="BI427" i="181" s="1"/>
  <c r="N91" i="140"/>
  <c r="O91" i="140" s="1"/>
  <c r="N427" i="181"/>
  <c r="O427" i="181" s="1"/>
  <c r="P91" i="140"/>
  <c r="Q91" i="140" s="1"/>
  <c r="P427" i="181"/>
  <c r="Q427" i="181" s="1"/>
  <c r="P92" i="140"/>
  <c r="P436" i="181"/>
  <c r="Q436" i="181" s="1"/>
  <c r="H92" i="140"/>
  <c r="H436" i="181"/>
  <c r="I436" i="181" s="1"/>
  <c r="BE92" i="140"/>
  <c r="BE436" i="181"/>
  <c r="BI436" i="181" s="1"/>
  <c r="N92" i="140"/>
  <c r="O92" i="140" s="1"/>
  <c r="N436" i="181"/>
  <c r="O436" i="181" s="1"/>
  <c r="H91" i="140"/>
  <c r="I91" i="140" s="1"/>
  <c r="H427" i="181"/>
  <c r="I427" i="181" s="1"/>
  <c r="L92" i="140"/>
  <c r="M92" i="140" s="1"/>
  <c r="L436" i="181"/>
  <c r="M436" i="181" s="1"/>
  <c r="BH91" i="140"/>
  <c r="BI91" i="140"/>
  <c r="I104" i="140"/>
  <c r="O104" i="140"/>
  <c r="K92" i="140"/>
  <c r="M104" i="140"/>
  <c r="G104" i="140"/>
  <c r="I92" i="140"/>
  <c r="K104" i="140"/>
  <c r="Q92" i="140"/>
  <c r="Q104" i="140"/>
  <c r="U436" i="181" l="1"/>
  <c r="BJ436" i="181"/>
  <c r="BJ427" i="181"/>
  <c r="U427" i="181"/>
  <c r="BJ91" i="140"/>
  <c r="V104" i="140"/>
  <c r="BG104" i="140" s="1"/>
  <c r="X104" i="140" l="1"/>
  <c r="O71" i="178" l="1"/>
  <c r="AE71" i="178" s="1"/>
  <c r="AE216" i="153"/>
  <c r="AA216" i="153"/>
  <c r="G148" i="153" l="1"/>
  <c r="H148" i="153"/>
  <c r="I148" i="153"/>
  <c r="J148" i="153"/>
  <c r="K148" i="153"/>
  <c r="L148" i="153"/>
  <c r="M148" i="153"/>
  <c r="N148" i="153"/>
  <c r="O148" i="153"/>
  <c r="P148" i="153"/>
  <c r="Q148" i="153"/>
  <c r="R148" i="153"/>
  <c r="S148" i="153"/>
  <c r="T148" i="153"/>
  <c r="U148" i="153"/>
  <c r="V148" i="153"/>
  <c r="W148" i="153"/>
  <c r="X148" i="153"/>
  <c r="Y148" i="153"/>
  <c r="Z148" i="153"/>
  <c r="AA148" i="153"/>
  <c r="AB148" i="153"/>
  <c r="AC148" i="153"/>
  <c r="AD148" i="153"/>
  <c r="AE148" i="153"/>
  <c r="AF148" i="153"/>
  <c r="AG148" i="153"/>
  <c r="AH148" i="153"/>
  <c r="AI148" i="153"/>
  <c r="E77" i="148" l="1"/>
  <c r="AG27" i="148"/>
  <c r="AF27" i="148"/>
  <c r="AE27" i="148"/>
  <c r="AD27" i="148"/>
  <c r="AC27" i="148"/>
  <c r="AB27" i="148"/>
  <c r="AA27" i="148"/>
  <c r="Z27" i="148"/>
  <c r="Y27" i="148"/>
  <c r="X27" i="148"/>
  <c r="W27" i="148"/>
  <c r="V27" i="148"/>
  <c r="U27" i="148"/>
  <c r="T27" i="148"/>
  <c r="S27" i="148"/>
  <c r="R27" i="148"/>
  <c r="Q27" i="148"/>
  <c r="P27" i="148"/>
  <c r="O27" i="148"/>
  <c r="N27" i="148"/>
  <c r="M27" i="148"/>
  <c r="L27" i="148"/>
  <c r="K27" i="148"/>
  <c r="J27" i="148"/>
  <c r="I27" i="148"/>
  <c r="H27" i="148"/>
  <c r="G27" i="148"/>
  <c r="F27" i="148"/>
  <c r="E27" i="148"/>
  <c r="D27" i="148"/>
  <c r="C27" i="148"/>
  <c r="C15" i="148"/>
  <c r="D15" i="148"/>
  <c r="E15" i="148"/>
  <c r="F15" i="148"/>
  <c r="H15" i="148"/>
  <c r="I15" i="148"/>
  <c r="J15" i="148"/>
  <c r="K15" i="148"/>
  <c r="L15" i="148"/>
  <c r="M15" i="148"/>
  <c r="N15" i="148"/>
  <c r="O15" i="148"/>
  <c r="P15" i="148"/>
  <c r="Q15" i="148"/>
  <c r="R15" i="148"/>
  <c r="S15" i="148"/>
  <c r="T15" i="148"/>
  <c r="U15" i="148"/>
  <c r="V15" i="148"/>
  <c r="W15" i="148"/>
  <c r="X15" i="148"/>
  <c r="Y15" i="148"/>
  <c r="Z15" i="148"/>
  <c r="AA15" i="148"/>
  <c r="AJ13" i="151" l="1"/>
  <c r="AL13" i="151"/>
  <c r="AM13" i="151"/>
  <c r="AN13" i="151"/>
  <c r="AO13" i="151"/>
  <c r="AI13" i="151"/>
  <c r="AK13" i="151"/>
  <c r="AL12" i="151"/>
  <c r="AM12" i="151"/>
  <c r="AQ12" i="151"/>
  <c r="AN12" i="151"/>
  <c r="AO12" i="151"/>
  <c r="AK12" i="151"/>
  <c r="AI12" i="151"/>
  <c r="AR12" i="151"/>
  <c r="AJ12" i="151"/>
  <c r="F69" i="180"/>
  <c r="D69" i="180"/>
  <c r="F68" i="180"/>
  <c r="D68" i="180"/>
  <c r="F67" i="180"/>
  <c r="D67" i="180"/>
  <c r="F95" i="180"/>
  <c r="D95" i="180"/>
  <c r="F94" i="180"/>
  <c r="D94" i="180"/>
  <c r="F66" i="180"/>
  <c r="D66" i="180"/>
  <c r="F65" i="180"/>
  <c r="D65" i="180"/>
  <c r="F93" i="180"/>
  <c r="D93" i="180"/>
  <c r="F64" i="180"/>
  <c r="D64" i="180"/>
  <c r="F63" i="180"/>
  <c r="D63" i="180"/>
  <c r="F92" i="180"/>
  <c r="D92" i="180"/>
  <c r="F90" i="180"/>
  <c r="D90" i="180"/>
  <c r="F87" i="180"/>
  <c r="D87" i="180"/>
  <c r="F62" i="180"/>
  <c r="D62" i="180"/>
  <c r="F61" i="180"/>
  <c r="D61" i="180"/>
  <c r="F60" i="180"/>
  <c r="D60" i="180"/>
  <c r="M89" i="180"/>
  <c r="F89" i="180"/>
  <c r="D89" i="180"/>
  <c r="F59" i="180"/>
  <c r="D59" i="180"/>
  <c r="I58" i="180"/>
  <c r="F58" i="180"/>
  <c r="D58" i="180"/>
  <c r="I57" i="180"/>
  <c r="F57" i="180"/>
  <c r="D57" i="180"/>
  <c r="M88" i="180"/>
  <c r="F88" i="180"/>
  <c r="D88" i="180"/>
  <c r="F56" i="180"/>
  <c r="D56" i="180"/>
  <c r="F54" i="180"/>
  <c r="D54" i="180"/>
  <c r="F53" i="180"/>
  <c r="D53" i="180"/>
  <c r="F50" i="180"/>
  <c r="D50" i="180"/>
  <c r="F49" i="180"/>
  <c r="D49" i="180"/>
  <c r="F48" i="180"/>
  <c r="D48" i="180"/>
  <c r="F47" i="180"/>
  <c r="D47" i="180"/>
  <c r="F46" i="180"/>
  <c r="D46" i="180"/>
  <c r="F45" i="180"/>
  <c r="D45" i="180"/>
  <c r="F44" i="180"/>
  <c r="D44" i="180"/>
  <c r="F43" i="180"/>
  <c r="D43" i="180"/>
  <c r="F40" i="180"/>
  <c r="F39" i="180"/>
  <c r="F14" i="180"/>
  <c r="F38" i="180"/>
  <c r="F37" i="180"/>
  <c r="F36" i="180"/>
  <c r="F35" i="180"/>
  <c r="F34" i="180"/>
  <c r="F33" i="180"/>
  <c r="F32" i="180"/>
  <c r="F31" i="180"/>
  <c r="F30" i="180"/>
  <c r="F29" i="180"/>
  <c r="F55" i="180"/>
  <c r="D55" i="180"/>
  <c r="F28" i="180"/>
  <c r="F27" i="180"/>
  <c r="F26" i="180"/>
  <c r="F25" i="180"/>
  <c r="F24" i="180"/>
  <c r="F23" i="180"/>
  <c r="F22" i="180"/>
  <c r="F21" i="180"/>
  <c r="F20" i="180"/>
  <c r="F19" i="180"/>
  <c r="F18" i="180"/>
  <c r="F17" i="180"/>
  <c r="F16" i="180"/>
  <c r="F15" i="180"/>
  <c r="F13" i="180"/>
  <c r="F11" i="180"/>
  <c r="F10" i="180"/>
  <c r="F9" i="180"/>
  <c r="F8" i="180"/>
  <c r="D8" i="180"/>
  <c r="N93" i="140" l="1"/>
  <c r="N445" i="181"/>
  <c r="O445" i="181" s="1"/>
  <c r="T94" i="140"/>
  <c r="U94" i="140" s="1"/>
  <c r="T454" i="181"/>
  <c r="BE93" i="140"/>
  <c r="BE445" i="181"/>
  <c r="BI445" i="181" s="1"/>
  <c r="P94" i="140"/>
  <c r="Q94" i="140" s="1"/>
  <c r="P454" i="181"/>
  <c r="Q454" i="181" s="1"/>
  <c r="T93" i="140"/>
  <c r="U93" i="140" s="1"/>
  <c r="T445" i="181"/>
  <c r="BD93" i="140"/>
  <c r="BD445" i="181"/>
  <c r="BH445" i="181" s="1"/>
  <c r="BJ445" i="181" s="1"/>
  <c r="P93" i="140"/>
  <c r="P445" i="181"/>
  <c r="Q445" i="181" s="1"/>
  <c r="AD93" i="140"/>
  <c r="AD110" i="140" s="1"/>
  <c r="AD445" i="181"/>
  <c r="R94" i="140"/>
  <c r="S94" i="140" s="1"/>
  <c r="R454" i="181"/>
  <c r="S454" i="181" s="1"/>
  <c r="H93" i="140"/>
  <c r="I93" i="140" s="1"/>
  <c r="H445" i="181"/>
  <c r="I445" i="181" s="1"/>
  <c r="N94" i="140"/>
  <c r="N454" i="181"/>
  <c r="O454" i="181" s="1"/>
  <c r="R93" i="140"/>
  <c r="S93" i="140" s="1"/>
  <c r="R445" i="181"/>
  <c r="S445" i="181" s="1"/>
  <c r="AD92" i="140"/>
  <c r="AD436" i="181"/>
  <c r="L94" i="140"/>
  <c r="L454" i="181"/>
  <c r="M454" i="181" s="1"/>
  <c r="H94" i="140"/>
  <c r="H454" i="181"/>
  <c r="I454" i="181" s="1"/>
  <c r="J93" i="140"/>
  <c r="J445" i="181"/>
  <c r="K445" i="181" s="1"/>
  <c r="L93" i="140"/>
  <c r="M93" i="140" s="1"/>
  <c r="L445" i="181"/>
  <c r="M445" i="181" s="1"/>
  <c r="J94" i="140"/>
  <c r="K94" i="140" s="1"/>
  <c r="J454" i="181"/>
  <c r="K454" i="181" s="1"/>
  <c r="AS93" i="140"/>
  <c r="AT92" i="140"/>
  <c r="AS92" i="140"/>
  <c r="I94" i="140"/>
  <c r="O94" i="140"/>
  <c r="K93" i="140"/>
  <c r="O93" i="140"/>
  <c r="M94" i="140"/>
  <c r="Q93" i="140"/>
  <c r="E77" i="178"/>
  <c r="G77" i="178"/>
  <c r="H77" i="178"/>
  <c r="K77" i="178"/>
  <c r="N77" i="178"/>
  <c r="T77" i="178"/>
  <c r="Y77" i="178"/>
  <c r="Z77" i="178"/>
  <c r="AB77" i="178"/>
  <c r="AC77" i="178"/>
  <c r="E53" i="178"/>
  <c r="K53" i="178"/>
  <c r="N53" i="178"/>
  <c r="S53" i="178"/>
  <c r="T53" i="178"/>
  <c r="Y53" i="178"/>
  <c r="Z53" i="178"/>
  <c r="AB53" i="178"/>
  <c r="AC53" i="178"/>
  <c r="K43" i="178"/>
  <c r="S43" i="178"/>
  <c r="T43" i="178"/>
  <c r="Y43" i="178"/>
  <c r="Z43" i="178"/>
  <c r="AB43" i="178"/>
  <c r="AC43" i="178"/>
  <c r="U445" i="181" l="1"/>
  <c r="AS445" i="181"/>
  <c r="AW445" i="181" s="1"/>
  <c r="AT445" i="181"/>
  <c r="BO445" i="181" s="1"/>
  <c r="U454" i="181"/>
  <c r="AT93" i="140"/>
  <c r="AT436" i="181"/>
  <c r="AD590" i="181"/>
  <c r="AD696" i="181" s="1"/>
  <c r="AD698" i="181" s="1"/>
  <c r="AS436" i="181"/>
  <c r="AW93" i="140"/>
  <c r="AW92" i="140"/>
  <c r="BU96" i="178"/>
  <c r="BT96" i="178"/>
  <c r="BU95" i="178"/>
  <c r="BT95" i="178"/>
  <c r="BU94" i="178"/>
  <c r="BT94" i="178"/>
  <c r="BU93" i="178"/>
  <c r="BT93" i="178"/>
  <c r="BU92" i="178"/>
  <c r="BT92" i="178"/>
  <c r="BU91" i="178"/>
  <c r="BT91" i="178"/>
  <c r="BO436" i="181" l="1"/>
  <c r="BO590" i="181" s="1"/>
  <c r="AT590" i="181"/>
  <c r="AT696" i="181" s="1"/>
  <c r="AW436" i="181"/>
  <c r="AW590" i="181" s="1"/>
  <c r="AW696" i="181" s="1"/>
  <c r="AS590" i="181"/>
  <c r="AS696" i="181" s="1"/>
  <c r="AF9" i="178"/>
  <c r="AG9" i="178"/>
  <c r="AF54" i="178"/>
  <c r="AG54" i="178"/>
  <c r="AF78" i="178"/>
  <c r="AG78" i="178"/>
  <c r="BO681" i="181" l="1"/>
  <c r="BO696" i="181"/>
  <c r="L37" i="178"/>
  <c r="L38" i="178"/>
  <c r="E88" i="178" l="1"/>
  <c r="Z88" i="178"/>
  <c r="T88" i="178"/>
  <c r="AB88" i="178"/>
  <c r="AC88" i="178"/>
  <c r="K88" i="178"/>
  <c r="N88" i="178"/>
  <c r="O49" i="178" l="1"/>
  <c r="U49" i="178"/>
  <c r="AA49" i="178"/>
  <c r="AD49" i="178"/>
  <c r="O50" i="178"/>
  <c r="U50" i="178"/>
  <c r="AA50" i="178"/>
  <c r="AD50" i="178"/>
  <c r="U51" i="178"/>
  <c r="AA51" i="178"/>
  <c r="AD51" i="178"/>
  <c r="O52" i="178"/>
  <c r="U52" i="178"/>
  <c r="AA52" i="178"/>
  <c r="AD52" i="178"/>
  <c r="I29" i="178"/>
  <c r="O29" i="178"/>
  <c r="U29" i="178"/>
  <c r="AA29" i="178"/>
  <c r="AD29" i="178"/>
  <c r="I30" i="178"/>
  <c r="O30" i="178"/>
  <c r="U30" i="178"/>
  <c r="AA30" i="178"/>
  <c r="AD30" i="178"/>
  <c r="I31" i="178"/>
  <c r="L31" i="178"/>
  <c r="O31" i="178"/>
  <c r="U31" i="178"/>
  <c r="AA31" i="178"/>
  <c r="AD31" i="178"/>
  <c r="I32" i="178"/>
  <c r="L32" i="178"/>
  <c r="O32" i="178"/>
  <c r="U32" i="178"/>
  <c r="AA32" i="178"/>
  <c r="AD32" i="178"/>
  <c r="I33" i="178"/>
  <c r="L33" i="178"/>
  <c r="O33" i="178"/>
  <c r="U33" i="178"/>
  <c r="AA33" i="178"/>
  <c r="AD33" i="178"/>
  <c r="I34" i="178"/>
  <c r="L34" i="178"/>
  <c r="O34" i="178"/>
  <c r="U34" i="178"/>
  <c r="AA34" i="178"/>
  <c r="AD34" i="178"/>
  <c r="I35" i="178"/>
  <c r="O35" i="178"/>
  <c r="AA35" i="178"/>
  <c r="AD35" i="178"/>
  <c r="I36" i="178"/>
  <c r="L36" i="178"/>
  <c r="O36" i="178"/>
  <c r="AA36" i="178"/>
  <c r="AD36" i="178"/>
  <c r="I37" i="178"/>
  <c r="O37" i="178"/>
  <c r="U37" i="178"/>
  <c r="AA37" i="178"/>
  <c r="AD37" i="178"/>
  <c r="I38" i="178"/>
  <c r="O38" i="178"/>
  <c r="U38" i="178"/>
  <c r="AA38" i="178"/>
  <c r="AD38" i="178"/>
  <c r="I39" i="178"/>
  <c r="L39" i="178"/>
  <c r="O39" i="178"/>
  <c r="AA39" i="178"/>
  <c r="AD39" i="178"/>
  <c r="I40" i="178"/>
  <c r="L40" i="178"/>
  <c r="AA40" i="178"/>
  <c r="AD40" i="178"/>
  <c r="I41" i="178"/>
  <c r="L41" i="178"/>
  <c r="AA41" i="178"/>
  <c r="AD41" i="178"/>
  <c r="I42" i="178"/>
  <c r="AA42" i="178"/>
  <c r="AD42" i="178"/>
  <c r="AD87" i="178"/>
  <c r="O87" i="178"/>
  <c r="L87" i="178"/>
  <c r="I87" i="178"/>
  <c r="AD68" i="178"/>
  <c r="AA68" i="178"/>
  <c r="O68" i="178"/>
  <c r="I68" i="178"/>
  <c r="AD67" i="178"/>
  <c r="AA67" i="178"/>
  <c r="O67" i="178"/>
  <c r="I67" i="178"/>
  <c r="AD66" i="178"/>
  <c r="AA66" i="178"/>
  <c r="O66" i="178"/>
  <c r="I66" i="178"/>
  <c r="AD65" i="178"/>
  <c r="AA65" i="178"/>
  <c r="O65" i="178"/>
  <c r="L65" i="178"/>
  <c r="I65" i="178"/>
  <c r="AD64" i="178"/>
  <c r="AA64" i="178"/>
  <c r="I64" i="178"/>
  <c r="AD63" i="178"/>
  <c r="AA63" i="178"/>
  <c r="I63" i="178"/>
  <c r="AD62" i="178"/>
  <c r="AA62" i="178"/>
  <c r="L62" i="178"/>
  <c r="I62" i="178"/>
  <c r="AD61" i="178"/>
  <c r="AA61" i="178"/>
  <c r="O61" i="178"/>
  <c r="L61" i="178"/>
  <c r="I61" i="178"/>
  <c r="AD60" i="178"/>
  <c r="O60" i="178"/>
  <c r="L60" i="178"/>
  <c r="I60" i="178"/>
  <c r="AD59" i="178"/>
  <c r="L59" i="178"/>
  <c r="I59" i="178"/>
  <c r="AD58" i="178"/>
  <c r="AA58" i="178"/>
  <c r="L58" i="178"/>
  <c r="I58" i="178"/>
  <c r="AD57" i="178"/>
  <c r="AA57" i="178"/>
  <c r="O57" i="178"/>
  <c r="I57" i="178"/>
  <c r="AD56" i="178"/>
  <c r="AA56" i="178"/>
  <c r="U56" i="178"/>
  <c r="O56" i="178"/>
  <c r="I56" i="178"/>
  <c r="AD55" i="178"/>
  <c r="AA55" i="178"/>
  <c r="U55" i="178"/>
  <c r="I55" i="178"/>
  <c r="AD28" i="178"/>
  <c r="AA28" i="178"/>
  <c r="U28" i="178"/>
  <c r="O28" i="178"/>
  <c r="L28" i="178"/>
  <c r="I28" i="178"/>
  <c r="AD27" i="178"/>
  <c r="AA27" i="178"/>
  <c r="U27" i="178"/>
  <c r="O27" i="178"/>
  <c r="L27" i="178"/>
  <c r="I27" i="178"/>
  <c r="AD26" i="178"/>
  <c r="AA26" i="178"/>
  <c r="U26" i="178"/>
  <c r="O26" i="178"/>
  <c r="L26" i="178"/>
  <c r="I26" i="178"/>
  <c r="AD25" i="178"/>
  <c r="AA25" i="178"/>
  <c r="U25" i="178"/>
  <c r="O25" i="178"/>
  <c r="L25" i="178"/>
  <c r="I25" i="178"/>
  <c r="AD24" i="178"/>
  <c r="AA24" i="178"/>
  <c r="U24" i="178"/>
  <c r="L24" i="178"/>
  <c r="I24" i="178"/>
  <c r="AD23" i="178"/>
  <c r="AA23" i="178"/>
  <c r="U23" i="178"/>
  <c r="L23" i="178"/>
  <c r="I23" i="178"/>
  <c r="AD22" i="178"/>
  <c r="AA22" i="178"/>
  <c r="U22" i="178"/>
  <c r="L22" i="178"/>
  <c r="AD21" i="178"/>
  <c r="AA21" i="178"/>
  <c r="U21" i="178"/>
  <c r="O21" i="178"/>
  <c r="L21" i="178"/>
  <c r="I21" i="178"/>
  <c r="AD20" i="178"/>
  <c r="AA20" i="178"/>
  <c r="U20" i="178"/>
  <c r="O20" i="178"/>
  <c r="L20" i="178"/>
  <c r="I20" i="178"/>
  <c r="AD19" i="178"/>
  <c r="AA19" i="178"/>
  <c r="U19" i="178"/>
  <c r="O19" i="178"/>
  <c r="L19" i="178"/>
  <c r="I19" i="178"/>
  <c r="AD18" i="178"/>
  <c r="AA18" i="178"/>
  <c r="U18" i="178"/>
  <c r="O18" i="178"/>
  <c r="L18" i="178"/>
  <c r="I18" i="178"/>
  <c r="AD17" i="178"/>
  <c r="AA17" i="178"/>
  <c r="U17" i="178"/>
  <c r="O17" i="178"/>
  <c r="L17" i="178"/>
  <c r="I17" i="178"/>
  <c r="AD16" i="178"/>
  <c r="AA16" i="178"/>
  <c r="U16" i="178"/>
  <c r="I16" i="178"/>
  <c r="AD15" i="178"/>
  <c r="AA15" i="178"/>
  <c r="U15" i="178"/>
  <c r="AD14" i="178"/>
  <c r="AA14" i="178"/>
  <c r="U14" i="178"/>
  <c r="I14" i="178"/>
  <c r="AD13" i="178"/>
  <c r="AA13" i="178"/>
  <c r="U13" i="178"/>
  <c r="I13" i="178"/>
  <c r="AD12" i="178"/>
  <c r="AA12" i="178"/>
  <c r="U12" i="178"/>
  <c r="O12" i="178"/>
  <c r="I12" i="178"/>
  <c r="AD11" i="178"/>
  <c r="AA11" i="178"/>
  <c r="U11" i="178"/>
  <c r="O11" i="178"/>
  <c r="L11" i="178"/>
  <c r="I11" i="178"/>
  <c r="AD10" i="178"/>
  <c r="AA10" i="178"/>
  <c r="U10" i="178"/>
  <c r="AD48" i="178"/>
  <c r="AA48" i="178"/>
  <c r="U48" i="178"/>
  <c r="O48" i="178"/>
  <c r="AD47" i="178"/>
  <c r="AA47" i="178"/>
  <c r="U47" i="178"/>
  <c r="O47" i="178"/>
  <c r="AD46" i="178"/>
  <c r="AA46" i="178"/>
  <c r="U46" i="178"/>
  <c r="AD45" i="178"/>
  <c r="AA45" i="178"/>
  <c r="U45" i="178"/>
  <c r="AD43" i="178" l="1"/>
  <c r="AD53" i="178"/>
  <c r="AA77" i="178"/>
  <c r="AA53" i="178"/>
  <c r="AA43" i="178"/>
  <c r="U53" i="178"/>
  <c r="U43" i="178"/>
  <c r="AD77" i="178"/>
  <c r="AE68" i="178"/>
  <c r="AE36" i="178"/>
  <c r="AE40" i="178"/>
  <c r="AE37" i="178"/>
  <c r="AE39" i="178"/>
  <c r="AE33" i="178"/>
  <c r="AE38" i="178"/>
  <c r="AE34" i="178"/>
  <c r="AE32" i="178"/>
  <c r="AE31" i="178"/>
  <c r="AE41" i="178"/>
  <c r="AE18" i="178"/>
  <c r="AE21" i="178"/>
  <c r="AE25" i="178"/>
  <c r="AE17" i="178"/>
  <c r="AE19" i="178"/>
  <c r="AE20" i="178"/>
  <c r="AE23" i="178"/>
  <c r="AE24" i="178"/>
  <c r="AE27" i="178"/>
  <c r="AE28" i="178"/>
  <c r="AE11" i="178"/>
  <c r="AE26" i="178"/>
  <c r="AD88" i="178" l="1"/>
  <c r="BO93" i="140" l="1"/>
  <c r="BO94" i="140"/>
  <c r="BO95" i="140"/>
  <c r="BN153" i="140" l="1"/>
  <c r="AL153" i="140" l="1"/>
  <c r="V206" i="153" l="1"/>
  <c r="W206" i="153"/>
  <c r="X206" i="153"/>
  <c r="Y206" i="153"/>
  <c r="Z206" i="153"/>
  <c r="AA206" i="153"/>
  <c r="AB206" i="153"/>
  <c r="AC206" i="153"/>
  <c r="AD206" i="153"/>
  <c r="AE206" i="153"/>
  <c r="AF206" i="153"/>
  <c r="AG206" i="153"/>
  <c r="AH206" i="153"/>
  <c r="E32" i="151" l="1"/>
  <c r="J216" i="153" l="1"/>
  <c r="AV23" i="147" l="1"/>
  <c r="AV25" i="147" s="1"/>
  <c r="O529" i="150" l="1"/>
  <c r="D526" i="150"/>
  <c r="R40" i="147" l="1"/>
  <c r="N40" i="147"/>
  <c r="AL7" i="147"/>
  <c r="N9" i="181" s="1"/>
  <c r="Q42" i="147"/>
  <c r="Q40" i="147"/>
  <c r="AL8" i="147"/>
  <c r="N18" i="181" s="1"/>
  <c r="O18" i="181" s="1"/>
  <c r="P41" i="147"/>
  <c r="P40" i="147"/>
  <c r="O40" i="147"/>
  <c r="L30" i="151"/>
  <c r="H30" i="151"/>
  <c r="AE30" i="151"/>
  <c r="AA30" i="151"/>
  <c r="W30" i="151"/>
  <c r="S30" i="151"/>
  <c r="K30" i="151"/>
  <c r="G30" i="151"/>
  <c r="AD31" i="151"/>
  <c r="Z31" i="151"/>
  <c r="V31" i="151"/>
  <c r="R31" i="151"/>
  <c r="J31" i="151"/>
  <c r="F31" i="151"/>
  <c r="AG31" i="151"/>
  <c r="AC31" i="151"/>
  <c r="Y31" i="151"/>
  <c r="U31" i="151"/>
  <c r="Q31" i="151"/>
  <c r="M31" i="151"/>
  <c r="I31" i="151"/>
  <c r="E31" i="151"/>
  <c r="AF30" i="151"/>
  <c r="AB30" i="151"/>
  <c r="X30" i="151"/>
  <c r="T30" i="151"/>
  <c r="P30" i="151"/>
  <c r="D30" i="151"/>
  <c r="AD38" i="151"/>
  <c r="Z38" i="151"/>
  <c r="V38" i="151"/>
  <c r="R38" i="151"/>
  <c r="J38" i="151"/>
  <c r="F38" i="151"/>
  <c r="AF37" i="151"/>
  <c r="AB37" i="151"/>
  <c r="X37" i="151"/>
  <c r="T37" i="151"/>
  <c r="P37" i="151"/>
  <c r="L37" i="151"/>
  <c r="H37" i="151"/>
  <c r="D37" i="151"/>
  <c r="AD36" i="151"/>
  <c r="Z36" i="151"/>
  <c r="V36" i="151"/>
  <c r="R36" i="151"/>
  <c r="J36" i="151"/>
  <c r="F36" i="151"/>
  <c r="AF35" i="151"/>
  <c r="AB35" i="151"/>
  <c r="X35" i="151"/>
  <c r="T35" i="151"/>
  <c r="P35" i="151"/>
  <c r="L35" i="151"/>
  <c r="H35" i="151"/>
  <c r="D35" i="151"/>
  <c r="AD34" i="151"/>
  <c r="Z34" i="151"/>
  <c r="V34" i="151"/>
  <c r="R34" i="151"/>
  <c r="J34" i="151"/>
  <c r="F34" i="151"/>
  <c r="AF33" i="151"/>
  <c r="AB33" i="151"/>
  <c r="X33" i="151"/>
  <c r="T33" i="151"/>
  <c r="P33" i="151"/>
  <c r="L33" i="151"/>
  <c r="H33" i="151"/>
  <c r="D33" i="151"/>
  <c r="AD32" i="151"/>
  <c r="Z32" i="151"/>
  <c r="V32" i="151"/>
  <c r="R32" i="151"/>
  <c r="J32" i="151"/>
  <c r="F32" i="151"/>
  <c r="AF31" i="151"/>
  <c r="AB31" i="151"/>
  <c r="X31" i="151"/>
  <c r="T31" i="151"/>
  <c r="P31" i="151"/>
  <c r="L31" i="151"/>
  <c r="H31" i="151"/>
  <c r="D31" i="151"/>
  <c r="AD30" i="151"/>
  <c r="Z30" i="151"/>
  <c r="V30" i="151"/>
  <c r="R30" i="151"/>
  <c r="J30" i="151"/>
  <c r="F30" i="151"/>
  <c r="AG38" i="151"/>
  <c r="AC38" i="151"/>
  <c r="Y38" i="151"/>
  <c r="U38" i="151"/>
  <c r="Q38" i="151"/>
  <c r="M38" i="151"/>
  <c r="I38" i="151"/>
  <c r="E38" i="151"/>
  <c r="AE37" i="151"/>
  <c r="AA37" i="151"/>
  <c r="W37" i="151"/>
  <c r="S37" i="151"/>
  <c r="O37" i="151"/>
  <c r="K37" i="151"/>
  <c r="G37" i="151"/>
  <c r="AG36" i="151"/>
  <c r="AC36" i="151"/>
  <c r="Y36" i="151"/>
  <c r="U36" i="151"/>
  <c r="Q36" i="151"/>
  <c r="M36" i="151"/>
  <c r="I36" i="151"/>
  <c r="E36" i="151"/>
  <c r="AE35" i="151"/>
  <c r="AA35" i="151"/>
  <c r="W35" i="151"/>
  <c r="S35" i="151"/>
  <c r="O35" i="151"/>
  <c r="K35" i="151"/>
  <c r="G35" i="151"/>
  <c r="AG34" i="151"/>
  <c r="AC34" i="151"/>
  <c r="Y34" i="151"/>
  <c r="U34" i="151"/>
  <c r="Q34" i="151"/>
  <c r="M34" i="151"/>
  <c r="I34" i="151"/>
  <c r="E34" i="151"/>
  <c r="AE33" i="151"/>
  <c r="AA33" i="151"/>
  <c r="W33" i="151"/>
  <c r="S33" i="151"/>
  <c r="O33" i="151"/>
  <c r="K33" i="151"/>
  <c r="G33" i="151"/>
  <c r="AG32" i="151"/>
  <c r="AC32" i="151"/>
  <c r="Y32" i="151"/>
  <c r="U32" i="151"/>
  <c r="Q32" i="151"/>
  <c r="M32" i="151"/>
  <c r="I32" i="151"/>
  <c r="AE31" i="151"/>
  <c r="AA31" i="151"/>
  <c r="W31" i="151"/>
  <c r="S31" i="151"/>
  <c r="O31" i="151"/>
  <c r="K31" i="151"/>
  <c r="G31" i="151"/>
  <c r="AG30" i="151"/>
  <c r="AC30" i="151"/>
  <c r="Y30" i="151"/>
  <c r="U30" i="151"/>
  <c r="Q30" i="151"/>
  <c r="M30" i="151"/>
  <c r="I30" i="151"/>
  <c r="E30" i="151"/>
  <c r="AF38" i="151"/>
  <c r="AB38" i="151"/>
  <c r="X38" i="151"/>
  <c r="T38" i="151"/>
  <c r="P38" i="151"/>
  <c r="L38" i="151"/>
  <c r="H38" i="151"/>
  <c r="D38" i="151"/>
  <c r="AD37" i="151"/>
  <c r="Z37" i="151"/>
  <c r="V37" i="151"/>
  <c r="R37" i="151"/>
  <c r="J37" i="151"/>
  <c r="F37" i="151"/>
  <c r="AF36" i="151"/>
  <c r="AB36" i="151"/>
  <c r="X36" i="151"/>
  <c r="T36" i="151"/>
  <c r="P36" i="151"/>
  <c r="L36" i="151"/>
  <c r="H36" i="151"/>
  <c r="D36" i="151"/>
  <c r="AD35" i="151"/>
  <c r="Z35" i="151"/>
  <c r="V35" i="151"/>
  <c r="R35" i="151"/>
  <c r="J35" i="151"/>
  <c r="F35" i="151"/>
  <c r="AF34" i="151"/>
  <c r="AB34" i="151"/>
  <c r="X34" i="151"/>
  <c r="T34" i="151"/>
  <c r="P34" i="151"/>
  <c r="L34" i="151"/>
  <c r="H34" i="151"/>
  <c r="D34" i="151"/>
  <c r="AD33" i="151"/>
  <c r="Z33" i="151"/>
  <c r="V33" i="151"/>
  <c r="R33" i="151"/>
  <c r="J33" i="151"/>
  <c r="F33" i="151"/>
  <c r="AF32" i="151"/>
  <c r="AB32" i="151"/>
  <c r="X32" i="151"/>
  <c r="T32" i="151"/>
  <c r="P32" i="151"/>
  <c r="L32" i="151"/>
  <c r="H32" i="151"/>
  <c r="D32" i="151"/>
  <c r="AE38" i="151"/>
  <c r="AA38" i="151"/>
  <c r="W38" i="151"/>
  <c r="S38" i="151"/>
  <c r="O38" i="151"/>
  <c r="K38" i="151"/>
  <c r="G38" i="151"/>
  <c r="AG37" i="151"/>
  <c r="AC37" i="151"/>
  <c r="Y37" i="151"/>
  <c r="U37" i="151"/>
  <c r="Q37" i="151"/>
  <c r="M37" i="151"/>
  <c r="I37" i="151"/>
  <c r="E37" i="151"/>
  <c r="AE36" i="151"/>
  <c r="AA36" i="151"/>
  <c r="W36" i="151"/>
  <c r="S36" i="151"/>
  <c r="O36" i="151"/>
  <c r="K36" i="151"/>
  <c r="G36" i="151"/>
  <c r="AG35" i="151"/>
  <c r="AC35" i="151"/>
  <c r="Y35" i="151"/>
  <c r="U35" i="151"/>
  <c r="Q35" i="151"/>
  <c r="M35" i="151"/>
  <c r="I35" i="151"/>
  <c r="E35" i="151"/>
  <c r="AE34" i="151"/>
  <c r="AA34" i="151"/>
  <c r="W34" i="151"/>
  <c r="S34" i="151"/>
  <c r="O34" i="151"/>
  <c r="K34" i="151"/>
  <c r="G34" i="151"/>
  <c r="AG33" i="151"/>
  <c r="AC33" i="151"/>
  <c r="Y33" i="151"/>
  <c r="U33" i="151"/>
  <c r="Q33" i="151"/>
  <c r="M33" i="151"/>
  <c r="I33" i="151"/>
  <c r="E33" i="151"/>
  <c r="AE32" i="151"/>
  <c r="AA32" i="151"/>
  <c r="W32" i="151"/>
  <c r="S32" i="151"/>
  <c r="O32" i="151"/>
  <c r="K32" i="151"/>
  <c r="G32" i="151"/>
  <c r="O9" i="181" l="1"/>
  <c r="H43" i="174"/>
  <c r="I43" i="174"/>
  <c r="J32" i="174"/>
  <c r="J33" i="174"/>
  <c r="J31" i="174" l="1"/>
  <c r="J30" i="174"/>
  <c r="J29" i="174"/>
  <c r="J28" i="174"/>
  <c r="J27" i="174"/>
  <c r="J26" i="174"/>
  <c r="J25" i="174"/>
  <c r="J24" i="174"/>
  <c r="J23" i="174"/>
  <c r="J22" i="174"/>
  <c r="J21" i="174"/>
  <c r="J20" i="174"/>
  <c r="J19" i="174"/>
  <c r="J18" i="174"/>
  <c r="J17" i="174"/>
  <c r="J16" i="174"/>
  <c r="J15" i="174"/>
  <c r="J14" i="174"/>
  <c r="J13" i="174"/>
  <c r="J12" i="174"/>
  <c r="J11" i="174"/>
  <c r="J10" i="174"/>
  <c r="J9" i="174"/>
  <c r="J8" i="174"/>
  <c r="J43" i="174" l="1"/>
  <c r="AM71" i="140" l="1"/>
  <c r="AZ67" i="140"/>
  <c r="AG216" i="153" l="1"/>
  <c r="AH216" i="153"/>
  <c r="AI216" i="153"/>
  <c r="AF240" i="153"/>
  <c r="AF216" i="153"/>
  <c r="AF235" i="153" s="1"/>
  <c r="AD216" i="153"/>
  <c r="AC216" i="153"/>
  <c r="AB216" i="153"/>
  <c r="Z216" i="153"/>
  <c r="AJ99" i="153"/>
  <c r="AL99" i="153" s="1"/>
  <c r="AJ132" i="153"/>
  <c r="AL132" i="153" s="1"/>
  <c r="AH132" i="148" l="1"/>
  <c r="AJ132" i="148" s="1"/>
  <c r="AH133" i="148"/>
  <c r="AJ133" i="148" s="1"/>
  <c r="AH134" i="148"/>
  <c r="AJ134" i="148" s="1"/>
  <c r="AH135" i="148"/>
  <c r="AJ135" i="148" s="1"/>
  <c r="AH121" i="148"/>
  <c r="AJ121" i="148" s="1"/>
  <c r="AH122" i="148"/>
  <c r="AJ122" i="148" s="1"/>
  <c r="AH123" i="148"/>
  <c r="AJ123" i="148" s="1"/>
  <c r="AH124" i="148"/>
  <c r="AJ124" i="148" s="1"/>
  <c r="AK123" i="148" l="1"/>
  <c r="AK122" i="148"/>
  <c r="AK121" i="148"/>
  <c r="AK124" i="148"/>
  <c r="AK42" i="140" s="1"/>
  <c r="AI136" i="148"/>
  <c r="AG136" i="148"/>
  <c r="AF136" i="148"/>
  <c r="AE136" i="148"/>
  <c r="AD136" i="148"/>
  <c r="AC136" i="148"/>
  <c r="AB136" i="148"/>
  <c r="AA136" i="148"/>
  <c r="Z136" i="148"/>
  <c r="Y136" i="148"/>
  <c r="X136" i="148"/>
  <c r="W136" i="148"/>
  <c r="V136" i="148"/>
  <c r="U136" i="148"/>
  <c r="T136" i="148"/>
  <c r="S136" i="148"/>
  <c r="R136" i="148"/>
  <c r="Q136" i="148"/>
  <c r="P136" i="148"/>
  <c r="O136" i="148"/>
  <c r="N136" i="148"/>
  <c r="M136" i="148"/>
  <c r="L136" i="148"/>
  <c r="K136" i="148"/>
  <c r="J136" i="148"/>
  <c r="I136" i="148"/>
  <c r="H136" i="148"/>
  <c r="G136" i="148"/>
  <c r="F136" i="148"/>
  <c r="E136" i="148"/>
  <c r="D136" i="148"/>
  <c r="C136" i="148"/>
  <c r="AH131" i="148"/>
  <c r="AJ131" i="148" s="1"/>
  <c r="AH130" i="148"/>
  <c r="AJ130" i="148" s="1"/>
  <c r="AI125" i="148"/>
  <c r="AG125" i="148"/>
  <c r="AF125" i="148"/>
  <c r="AE125" i="148"/>
  <c r="AD125" i="148"/>
  <c r="AC125" i="148"/>
  <c r="AB125" i="148"/>
  <c r="AA125" i="148"/>
  <c r="Z125" i="148"/>
  <c r="Y125" i="148"/>
  <c r="X125" i="148"/>
  <c r="W125" i="148"/>
  <c r="V125" i="148"/>
  <c r="U125" i="148"/>
  <c r="T125" i="148"/>
  <c r="S125" i="148"/>
  <c r="R125" i="148"/>
  <c r="Q125" i="148"/>
  <c r="P125" i="148"/>
  <c r="O125" i="148"/>
  <c r="N125" i="148"/>
  <c r="M125" i="148"/>
  <c r="L125" i="148"/>
  <c r="K125" i="148"/>
  <c r="J125" i="148"/>
  <c r="I125" i="148"/>
  <c r="H125" i="148"/>
  <c r="G125" i="148"/>
  <c r="F125" i="148"/>
  <c r="E125" i="148"/>
  <c r="D125" i="148"/>
  <c r="C125" i="148"/>
  <c r="AH120" i="148"/>
  <c r="AJ120" i="148" s="1"/>
  <c r="AH119" i="148"/>
  <c r="AJ119" i="148" s="1"/>
  <c r="AK119" i="148" l="1"/>
  <c r="AK120" i="148"/>
  <c r="AH136" i="148"/>
  <c r="AH125" i="148"/>
  <c r="AJ136" i="148"/>
  <c r="AJ125" i="148"/>
  <c r="AH14" i="148"/>
  <c r="AH13" i="148"/>
  <c r="AK125" i="148" l="1"/>
  <c r="AJ138" i="148"/>
  <c r="AH15" i="148"/>
  <c r="AK154" i="140" l="1"/>
  <c r="AK299" i="181"/>
  <c r="AK300" i="181" s="1"/>
  <c r="AK697" i="181"/>
  <c r="AK698" i="181" s="1"/>
  <c r="AK43" i="140"/>
  <c r="AJ139" i="148"/>
  <c r="D80" i="148"/>
  <c r="C80" i="148"/>
  <c r="AE77" i="148"/>
  <c r="AF77" i="148"/>
  <c r="AG77" i="148"/>
  <c r="AD77" i="148"/>
  <c r="AC77" i="148"/>
  <c r="X77" i="148"/>
  <c r="Y77" i="148"/>
  <c r="Z77" i="148"/>
  <c r="AA77" i="148"/>
  <c r="AB77" i="148"/>
  <c r="W77" i="148"/>
  <c r="V77" i="148"/>
  <c r="Q77" i="148"/>
  <c r="R77" i="148"/>
  <c r="S77" i="148"/>
  <c r="T77" i="148"/>
  <c r="U77" i="148"/>
  <c r="P77" i="148"/>
  <c r="O77" i="148"/>
  <c r="I77" i="148"/>
  <c r="H77" i="148"/>
  <c r="D77" i="148"/>
  <c r="F77" i="148"/>
  <c r="G77" i="148"/>
  <c r="C77" i="148"/>
  <c r="AK153" i="140" l="1"/>
  <c r="AK155" i="140" s="1"/>
  <c r="AK44" i="140"/>
  <c r="V40" i="147"/>
  <c r="O216" i="153" l="1"/>
  <c r="M216" i="153"/>
  <c r="N216" i="153"/>
  <c r="L216" i="153"/>
  <c r="K216" i="153"/>
  <c r="V141" i="140" l="1"/>
  <c r="AS29" i="151" l="1"/>
  <c r="AS59" i="151" l="1"/>
  <c r="G216" i="153" l="1"/>
  <c r="H216" i="153"/>
  <c r="I216" i="153"/>
  <c r="E216" i="153"/>
  <c r="C37" i="151" l="1"/>
  <c r="C31" i="151"/>
  <c r="C38" i="151"/>
  <c r="C35" i="151"/>
  <c r="C36" i="151"/>
  <c r="C33" i="151"/>
  <c r="C30" i="151"/>
  <c r="C34" i="151"/>
  <c r="AH13" i="151"/>
  <c r="AH11" i="151"/>
  <c r="AH10" i="151"/>
  <c r="AH12" i="151"/>
  <c r="E91" i="140" l="1"/>
  <c r="E427" i="181"/>
  <c r="E94" i="140"/>
  <c r="E454" i="181"/>
  <c r="E93" i="140"/>
  <c r="E445" i="181"/>
  <c r="E92" i="140"/>
  <c r="E436" i="181"/>
  <c r="V91" i="140"/>
  <c r="G93" i="140"/>
  <c r="G92" i="140"/>
  <c r="G94" i="140"/>
  <c r="G91" i="140"/>
  <c r="AP10" i="151"/>
  <c r="AT10" i="151" s="1"/>
  <c r="AP11" i="151"/>
  <c r="AT11" i="151" s="1"/>
  <c r="AP12" i="151"/>
  <c r="AT12" i="151" s="1"/>
  <c r="C39" i="151"/>
  <c r="O28" i="174"/>
  <c r="O23" i="174"/>
  <c r="O24" i="174"/>
  <c r="G436" i="181" l="1"/>
  <c r="V436" i="181"/>
  <c r="G427" i="181"/>
  <c r="V427" i="181"/>
  <c r="G445" i="181"/>
  <c r="V445" i="181"/>
  <c r="G454" i="181"/>
  <c r="V454" i="181"/>
  <c r="BG91" i="140"/>
  <c r="BK91" i="140" s="1"/>
  <c r="X91" i="140"/>
  <c r="M58" i="178" s="1"/>
  <c r="O21" i="174"/>
  <c r="C24" i="174"/>
  <c r="E24" i="174" s="1"/>
  <c r="G24" i="174" s="1"/>
  <c r="K24" i="174" s="1"/>
  <c r="L24" i="174" s="1"/>
  <c r="BT106" i="140"/>
  <c r="BT102" i="140"/>
  <c r="BT103" i="140"/>
  <c r="BG427" i="181" l="1"/>
  <c r="BK427" i="181" s="1"/>
  <c r="X427" i="181"/>
  <c r="X454" i="181"/>
  <c r="BG454" i="181"/>
  <c r="BG445" i="181"/>
  <c r="BK445" i="181" s="1"/>
  <c r="X445" i="181"/>
  <c r="X436" i="181"/>
  <c r="BG436" i="181"/>
  <c r="BK436" i="181" s="1"/>
  <c r="AI107" i="140"/>
  <c r="AI571" i="181"/>
  <c r="AH20" i="151"/>
  <c r="AI20" i="151"/>
  <c r="AJ20" i="151"/>
  <c r="AK20" i="151"/>
  <c r="AL20" i="151"/>
  <c r="AM20" i="151"/>
  <c r="AN20" i="151"/>
  <c r="AO20" i="151"/>
  <c r="AQ20" i="151"/>
  <c r="AR20" i="151"/>
  <c r="AI513" i="150"/>
  <c r="AK513" i="150" s="1"/>
  <c r="AI512" i="150"/>
  <c r="AK512" i="150" s="1"/>
  <c r="AI511" i="150"/>
  <c r="AL505" i="150"/>
  <c r="AI505" i="150"/>
  <c r="AI504" i="150"/>
  <c r="AI500" i="150"/>
  <c r="AK500" i="150" s="1"/>
  <c r="AI499" i="150"/>
  <c r="AK499" i="150" s="1"/>
  <c r="AI498" i="150"/>
  <c r="AL492" i="150"/>
  <c r="AI492" i="150"/>
  <c r="AI491" i="150"/>
  <c r="AI487" i="150"/>
  <c r="AK487" i="150" s="1"/>
  <c r="AI486" i="150"/>
  <c r="AK486" i="150" s="1"/>
  <c r="AI485" i="150"/>
  <c r="AL479" i="150"/>
  <c r="AI479" i="150"/>
  <c r="AI478" i="150"/>
  <c r="AI474" i="150"/>
  <c r="AK474" i="150" s="1"/>
  <c r="AI473" i="150"/>
  <c r="AK473" i="150" s="1"/>
  <c r="AI472" i="150"/>
  <c r="AL466" i="150"/>
  <c r="AI466" i="150"/>
  <c r="AI465" i="150"/>
  <c r="AI448" i="150"/>
  <c r="AK448" i="150" s="1"/>
  <c r="AI447" i="150"/>
  <c r="AK447" i="150" s="1"/>
  <c r="AI446" i="150"/>
  <c r="AL440" i="150"/>
  <c r="AI440" i="150"/>
  <c r="O41" i="174" s="1"/>
  <c r="AI439" i="150"/>
  <c r="AI435" i="150"/>
  <c r="AK435" i="150" s="1"/>
  <c r="AI434" i="150"/>
  <c r="AK434" i="150" s="1"/>
  <c r="AI433" i="150"/>
  <c r="AI427" i="150"/>
  <c r="O40" i="174" s="1"/>
  <c r="AI426" i="150"/>
  <c r="AI422" i="150"/>
  <c r="AK422" i="150" s="1"/>
  <c r="AI421" i="150"/>
  <c r="AK421" i="150" s="1"/>
  <c r="AI420" i="150"/>
  <c r="AI414" i="150"/>
  <c r="O39" i="174" s="1"/>
  <c r="AI413" i="150"/>
  <c r="O38" i="174"/>
  <c r="O37" i="174"/>
  <c r="O34" i="174"/>
  <c r="O30" i="174"/>
  <c r="O26" i="174"/>
  <c r="O25" i="174"/>
  <c r="O22" i="174"/>
  <c r="O19" i="174"/>
  <c r="O18" i="174"/>
  <c r="AI136" i="150"/>
  <c r="AK136" i="150" s="1"/>
  <c r="AI135" i="150"/>
  <c r="AK135" i="150" s="1"/>
  <c r="AI134" i="150"/>
  <c r="AI128" i="150"/>
  <c r="O17" i="174" s="1"/>
  <c r="AI127" i="150"/>
  <c r="AI123" i="150"/>
  <c r="AK123" i="150" s="1"/>
  <c r="AI122" i="150"/>
  <c r="AK122" i="150" s="1"/>
  <c r="AI121" i="150"/>
  <c r="AI115" i="150"/>
  <c r="O16" i="174" s="1"/>
  <c r="AI114" i="150"/>
  <c r="O29" i="174"/>
  <c r="AI110" i="150"/>
  <c r="AK110" i="150" s="1"/>
  <c r="AI109" i="150"/>
  <c r="AK109" i="150" s="1"/>
  <c r="AI108" i="150"/>
  <c r="AI102" i="150"/>
  <c r="O15" i="174" s="1"/>
  <c r="AI101" i="150"/>
  <c r="AI97" i="150"/>
  <c r="AK97" i="150" s="1"/>
  <c r="AI96" i="150"/>
  <c r="AK96" i="150" s="1"/>
  <c r="AI95" i="150"/>
  <c r="AI89" i="150"/>
  <c r="AI88" i="150"/>
  <c r="AI84" i="150"/>
  <c r="AK84" i="150" s="1"/>
  <c r="AI83" i="150"/>
  <c r="AK83" i="150" s="1"/>
  <c r="AI82" i="150"/>
  <c r="AI76" i="150"/>
  <c r="O13" i="174" s="1"/>
  <c r="AI75" i="150"/>
  <c r="AI71" i="150"/>
  <c r="AK71" i="150" s="1"/>
  <c r="AI70" i="150"/>
  <c r="AK70" i="150" s="1"/>
  <c r="AI69" i="150"/>
  <c r="AI63" i="150"/>
  <c r="O12" i="174" s="1"/>
  <c r="C12" i="174" s="1"/>
  <c r="AI62" i="150"/>
  <c r="AI58" i="150"/>
  <c r="AK58" i="150" s="1"/>
  <c r="AI57" i="150"/>
  <c r="AK57" i="150" s="1"/>
  <c r="AI56" i="150"/>
  <c r="AI50" i="150"/>
  <c r="O11" i="174" s="1"/>
  <c r="C11" i="174" s="1"/>
  <c r="AI49" i="150"/>
  <c r="AI45" i="150"/>
  <c r="AK45" i="150" s="1"/>
  <c r="AI44" i="150"/>
  <c r="AI43" i="150"/>
  <c r="AI37" i="150"/>
  <c r="AI36" i="150"/>
  <c r="AI32" i="150"/>
  <c r="AK32" i="150" s="1"/>
  <c r="AI31" i="150"/>
  <c r="AI30" i="150"/>
  <c r="AI24" i="150"/>
  <c r="AI23" i="150"/>
  <c r="O27" i="174"/>
  <c r="AC64" i="148"/>
  <c r="AD64" i="148"/>
  <c r="AE64" i="148"/>
  <c r="AF64" i="148"/>
  <c r="AG100" i="140" l="1"/>
  <c r="U67" i="178" s="1"/>
  <c r="AE67" i="178" s="1"/>
  <c r="AG508" i="181"/>
  <c r="BE101" i="140"/>
  <c r="BI101" i="140" s="1"/>
  <c r="BE517" i="181"/>
  <c r="BI517" i="181" s="1"/>
  <c r="AN96" i="140"/>
  <c r="AN472" i="181"/>
  <c r="AG94" i="140"/>
  <c r="AG454" i="181"/>
  <c r="R101" i="140"/>
  <c r="S101" i="140" s="1"/>
  <c r="R517" i="181"/>
  <c r="S517" i="181" s="1"/>
  <c r="P101" i="140"/>
  <c r="Q101" i="140" s="1"/>
  <c r="P517" i="181"/>
  <c r="Q517" i="181" s="1"/>
  <c r="AN92" i="140"/>
  <c r="AN436" i="181"/>
  <c r="AG97" i="140"/>
  <c r="AG481" i="181"/>
  <c r="AN99" i="140"/>
  <c r="AN499" i="181"/>
  <c r="N101" i="140"/>
  <c r="N517" i="181"/>
  <c r="O517" i="181" s="1"/>
  <c r="T101" i="140"/>
  <c r="U101" i="140" s="1"/>
  <c r="T517" i="181"/>
  <c r="AN97" i="140"/>
  <c r="AN481" i="181"/>
  <c r="L101" i="140"/>
  <c r="L517" i="181"/>
  <c r="M517" i="181" s="1"/>
  <c r="J101" i="140"/>
  <c r="J517" i="181"/>
  <c r="K517" i="181" s="1"/>
  <c r="E101" i="140"/>
  <c r="E517" i="181"/>
  <c r="G517" i="181" s="1"/>
  <c r="AN93" i="140"/>
  <c r="AN445" i="181"/>
  <c r="AG98" i="140"/>
  <c r="AG490" i="181"/>
  <c r="AN100" i="140"/>
  <c r="AN508" i="181"/>
  <c r="AN98" i="140"/>
  <c r="AN490" i="181"/>
  <c r="AG96" i="140"/>
  <c r="AG472" i="181"/>
  <c r="BD101" i="140"/>
  <c r="BH101" i="140" s="1"/>
  <c r="BD517" i="181"/>
  <c r="BH517" i="181" s="1"/>
  <c r="BJ517" i="181" s="1"/>
  <c r="AN94" i="140"/>
  <c r="AN454" i="181"/>
  <c r="AG99" i="140"/>
  <c r="AG499" i="181"/>
  <c r="AG95" i="140"/>
  <c r="AG463" i="181"/>
  <c r="AN95" i="140"/>
  <c r="AN463" i="181"/>
  <c r="H101" i="140"/>
  <c r="I101" i="140" s="1"/>
  <c r="H517" i="181"/>
  <c r="I517" i="181" s="1"/>
  <c r="BM571" i="181"/>
  <c r="AO571" i="181"/>
  <c r="BC571" i="181" s="1"/>
  <c r="G101" i="140"/>
  <c r="U79" i="178"/>
  <c r="U80" i="178"/>
  <c r="AN40" i="140"/>
  <c r="K101" i="140"/>
  <c r="AN41" i="140"/>
  <c r="O101" i="140"/>
  <c r="M101" i="140"/>
  <c r="C26" i="174"/>
  <c r="E26" i="174" s="1"/>
  <c r="G26" i="174" s="1"/>
  <c r="K26" i="174" s="1"/>
  <c r="L26" i="174" s="1"/>
  <c r="AM24" i="150"/>
  <c r="O9" i="174"/>
  <c r="C9" i="174" s="1"/>
  <c r="C13" i="174"/>
  <c r="E13" i="174" s="1"/>
  <c r="G13" i="174" s="1"/>
  <c r="K13" i="174" s="1"/>
  <c r="L13" i="174" s="1"/>
  <c r="C35" i="174"/>
  <c r="E35" i="174" s="1"/>
  <c r="G35" i="174" s="1"/>
  <c r="K35" i="174" s="1"/>
  <c r="L35" i="174" s="1"/>
  <c r="C39" i="174"/>
  <c r="E39" i="174" s="1"/>
  <c r="G39" i="174" s="1"/>
  <c r="K39" i="174" s="1"/>
  <c r="L39" i="174" s="1"/>
  <c r="O36" i="174"/>
  <c r="C37" i="174"/>
  <c r="E37" i="174" s="1"/>
  <c r="G37" i="174" s="1"/>
  <c r="K37" i="174" s="1"/>
  <c r="L37" i="174" s="1"/>
  <c r="C27" i="174"/>
  <c r="E27" i="174" s="1"/>
  <c r="G27" i="174" s="1"/>
  <c r="K27" i="174" s="1"/>
  <c r="L27" i="174" s="1"/>
  <c r="C34" i="174"/>
  <c r="E34" i="174" s="1"/>
  <c r="G34" i="174" s="1"/>
  <c r="K34" i="174" s="1"/>
  <c r="L34" i="174" s="1"/>
  <c r="O14" i="174"/>
  <c r="AM89" i="150"/>
  <c r="AK44" i="150"/>
  <c r="AM44" i="150"/>
  <c r="O10" i="174"/>
  <c r="C10" i="174" s="1"/>
  <c r="AM37" i="150"/>
  <c r="AK31" i="150"/>
  <c r="AM31" i="150"/>
  <c r="O32" i="174"/>
  <c r="O33" i="174"/>
  <c r="O31" i="174"/>
  <c r="C18" i="174"/>
  <c r="E18" i="174" s="1"/>
  <c r="G18" i="174" s="1"/>
  <c r="K18" i="174" s="1"/>
  <c r="L18" i="174" s="1"/>
  <c r="C28" i="174"/>
  <c r="E28" i="174" s="1"/>
  <c r="G28" i="174" s="1"/>
  <c r="K28" i="174" s="1"/>
  <c r="L28" i="174" s="1"/>
  <c r="C17" i="174"/>
  <c r="E17" i="174" s="1"/>
  <c r="C30" i="174"/>
  <c r="E30" i="174" s="1"/>
  <c r="G30" i="174" s="1"/>
  <c r="K30" i="174" s="1"/>
  <c r="L30" i="174" s="1"/>
  <c r="C15" i="174"/>
  <c r="E15" i="174" s="1"/>
  <c r="G15" i="174" s="1"/>
  <c r="K15" i="174" s="1"/>
  <c r="L15" i="174" s="1"/>
  <c r="C25" i="174"/>
  <c r="E25" i="174" s="1"/>
  <c r="G25" i="174" s="1"/>
  <c r="K25" i="174" s="1"/>
  <c r="L25" i="174" s="1"/>
  <c r="C22" i="174"/>
  <c r="E22" i="174" s="1"/>
  <c r="G22" i="174" s="1"/>
  <c r="K22" i="174" s="1"/>
  <c r="L22" i="174" s="1"/>
  <c r="C19" i="174"/>
  <c r="E19" i="174" s="1"/>
  <c r="G19" i="174" s="1"/>
  <c r="K19" i="174" s="1"/>
  <c r="L19" i="174" s="1"/>
  <c r="E12" i="174"/>
  <c r="G12" i="174" s="1"/>
  <c r="K12" i="174" s="1"/>
  <c r="L12" i="174" s="1"/>
  <c r="C21" i="174"/>
  <c r="E21" i="174" s="1"/>
  <c r="G21" i="174" s="1"/>
  <c r="K21" i="174" s="1"/>
  <c r="L21" i="174" s="1"/>
  <c r="E11" i="174"/>
  <c r="G11" i="174" s="1"/>
  <c r="K11" i="174" s="1"/>
  <c r="L11" i="174" s="1"/>
  <c r="C16" i="174"/>
  <c r="E16" i="174" s="1"/>
  <c r="G16" i="174" s="1"/>
  <c r="K16" i="174" s="1"/>
  <c r="L16" i="174" s="1"/>
  <c r="C29" i="174"/>
  <c r="E29" i="174" s="1"/>
  <c r="G29" i="174" s="1"/>
  <c r="K29" i="174" s="1"/>
  <c r="L29" i="174" s="1"/>
  <c r="N31" i="151"/>
  <c r="N33" i="151"/>
  <c r="N35" i="151"/>
  <c r="N37" i="151"/>
  <c r="N30" i="151"/>
  <c r="N32" i="151"/>
  <c r="N34" i="151"/>
  <c r="N36" i="151"/>
  <c r="N38" i="151"/>
  <c r="AP20" i="151"/>
  <c r="AT20" i="151" s="1"/>
  <c r="BT104" i="140"/>
  <c r="BT109" i="140"/>
  <c r="AK420" i="150"/>
  <c r="AK69" i="150"/>
  <c r="AK108" i="150"/>
  <c r="AK485" i="150"/>
  <c r="AK30" i="150"/>
  <c r="AK95" i="150"/>
  <c r="AK121" i="150"/>
  <c r="BT101" i="140"/>
  <c r="AK446" i="150"/>
  <c r="AK498" i="150"/>
  <c r="AK43" i="150"/>
  <c r="AK82" i="150"/>
  <c r="BT107" i="140"/>
  <c r="AK433" i="150"/>
  <c r="BT105" i="140"/>
  <c r="AK56" i="150"/>
  <c r="AK134" i="150"/>
  <c r="BT108" i="140"/>
  <c r="AK472" i="150"/>
  <c r="AK511" i="150"/>
  <c r="AF100" i="140" l="1"/>
  <c r="BT100" i="140" s="1"/>
  <c r="AF508" i="181"/>
  <c r="AF92" i="140"/>
  <c r="AF436" i="181"/>
  <c r="U517" i="181"/>
  <c r="V517" i="181"/>
  <c r="AF94" i="140"/>
  <c r="AF454" i="181"/>
  <c r="AG93" i="140"/>
  <c r="AG445" i="181"/>
  <c r="AF96" i="140"/>
  <c r="AF472" i="181"/>
  <c r="AF93" i="140"/>
  <c r="AF445" i="181"/>
  <c r="AF98" i="140"/>
  <c r="AF490" i="181"/>
  <c r="AF95" i="140"/>
  <c r="AF463" i="181"/>
  <c r="L17" i="174"/>
  <c r="G17" i="174"/>
  <c r="K17" i="174" s="1"/>
  <c r="AF99" i="140"/>
  <c r="AF499" i="181"/>
  <c r="AG92" i="140"/>
  <c r="AG436" i="181"/>
  <c r="AF97" i="140"/>
  <c r="AF481" i="181"/>
  <c r="AI104" i="140"/>
  <c r="BM104" i="140" s="1"/>
  <c r="AI544" i="181"/>
  <c r="AI131" i="140"/>
  <c r="AI620" i="181"/>
  <c r="AO620" i="181" s="1"/>
  <c r="BC620" i="181" s="1"/>
  <c r="AI101" i="140"/>
  <c r="AI517" i="181"/>
  <c r="AI137" i="140"/>
  <c r="AI680" i="181"/>
  <c r="AI99" i="140"/>
  <c r="AI499" i="181"/>
  <c r="AI130" i="140"/>
  <c r="AI610" i="181"/>
  <c r="AI132" i="140"/>
  <c r="AI630" i="181"/>
  <c r="AO630" i="181" s="1"/>
  <c r="BC630" i="181" s="1"/>
  <c r="AI98" i="140"/>
  <c r="AI490" i="181"/>
  <c r="AI105" i="140"/>
  <c r="BM105" i="140" s="1"/>
  <c r="AI553" i="181"/>
  <c r="AN42" i="140"/>
  <c r="C36" i="174"/>
  <c r="E36" i="174" s="1"/>
  <c r="U65" i="178"/>
  <c r="AE65" i="178" s="1"/>
  <c r="U63" i="178"/>
  <c r="U62" i="178"/>
  <c r="U66" i="178"/>
  <c r="AE66" i="178" s="1"/>
  <c r="U64" i="178"/>
  <c r="AE64" i="178" s="1"/>
  <c r="S87" i="178"/>
  <c r="U87" i="178"/>
  <c r="BT138" i="140"/>
  <c r="V101" i="140"/>
  <c r="C32" i="174"/>
  <c r="E32" i="174" s="1"/>
  <c r="G32" i="174" s="1"/>
  <c r="K32" i="174" s="1"/>
  <c r="L32" i="174" s="1"/>
  <c r="C31" i="174"/>
  <c r="E31" i="174" s="1"/>
  <c r="G31" i="174" s="1"/>
  <c r="K31" i="174" s="1"/>
  <c r="L31" i="174" s="1"/>
  <c r="C14" i="174"/>
  <c r="E14" i="174" s="1"/>
  <c r="G14" i="174" s="1"/>
  <c r="K14" i="174" s="1"/>
  <c r="L14" i="174" s="1"/>
  <c r="C33" i="174"/>
  <c r="E33" i="174" s="1"/>
  <c r="G33" i="174" s="1"/>
  <c r="K33" i="174" s="1"/>
  <c r="L33" i="174" s="1"/>
  <c r="E10" i="174"/>
  <c r="G10" i="174" s="1"/>
  <c r="K10" i="174" s="1"/>
  <c r="L10" i="174" s="1"/>
  <c r="E9" i="174"/>
  <c r="G9" i="174" s="1"/>
  <c r="BJ101" i="140"/>
  <c r="J40" i="147"/>
  <c r="K40" i="147"/>
  <c r="L40" i="147"/>
  <c r="AT14" i="147"/>
  <c r="AJ14" i="147"/>
  <c r="J72" i="181" s="1"/>
  <c r="K72" i="181" s="1"/>
  <c r="AL14" i="147"/>
  <c r="N72" i="181" s="1"/>
  <c r="O72" i="181" s="1"/>
  <c r="AN14" i="147"/>
  <c r="R72" i="181" s="1"/>
  <c r="S72" i="181" s="1"/>
  <c r="AP14" i="147"/>
  <c r="AS14" i="147"/>
  <c r="AK14" i="147"/>
  <c r="L72" i="181" s="1"/>
  <c r="M72" i="181" s="1"/>
  <c r="AM14" i="147"/>
  <c r="P72" i="181" s="1"/>
  <c r="Q72" i="181" s="1"/>
  <c r="AO14" i="147"/>
  <c r="AQ14" i="147"/>
  <c r="AT12" i="147"/>
  <c r="AK12" i="147"/>
  <c r="L54" i="181" s="1"/>
  <c r="M54" i="181" s="1"/>
  <c r="AM12" i="147"/>
  <c r="P54" i="181" s="1"/>
  <c r="Q54" i="181" s="1"/>
  <c r="AO12" i="147"/>
  <c r="AQ12" i="147"/>
  <c r="AS12" i="147"/>
  <c r="AJ12" i="147"/>
  <c r="J54" i="181" s="1"/>
  <c r="K54" i="181" s="1"/>
  <c r="AL12" i="147"/>
  <c r="N54" i="181" s="1"/>
  <c r="O54" i="181" s="1"/>
  <c r="AN12" i="147"/>
  <c r="R54" i="181" s="1"/>
  <c r="S54" i="181" s="1"/>
  <c r="AP12" i="147"/>
  <c r="AT10" i="147"/>
  <c r="AK10" i="147"/>
  <c r="L36" i="181" s="1"/>
  <c r="M36" i="181" s="1"/>
  <c r="AM10" i="147"/>
  <c r="P36" i="181" s="1"/>
  <c r="Q36" i="181" s="1"/>
  <c r="AO10" i="147"/>
  <c r="AQ10" i="147"/>
  <c r="AS10" i="147"/>
  <c r="AJ10" i="147"/>
  <c r="J36" i="181" s="1"/>
  <c r="K36" i="181" s="1"/>
  <c r="AL10" i="147"/>
  <c r="N36" i="181" s="1"/>
  <c r="O36" i="181" s="1"/>
  <c r="AN10" i="147"/>
  <c r="R36" i="181" s="1"/>
  <c r="S36" i="181" s="1"/>
  <c r="AP10" i="147"/>
  <c r="AT15" i="147"/>
  <c r="AK15" i="147"/>
  <c r="L81" i="181" s="1"/>
  <c r="M81" i="181" s="1"/>
  <c r="AM15" i="147"/>
  <c r="P81" i="181" s="1"/>
  <c r="Q81" i="181" s="1"/>
  <c r="AO15" i="147"/>
  <c r="AQ15" i="147"/>
  <c r="AS15" i="147"/>
  <c r="AJ15" i="147"/>
  <c r="J81" i="181" s="1"/>
  <c r="K81" i="181" s="1"/>
  <c r="AL15" i="147"/>
  <c r="N81" i="181" s="1"/>
  <c r="O81" i="181" s="1"/>
  <c r="AN15" i="147"/>
  <c r="R81" i="181" s="1"/>
  <c r="S81" i="181" s="1"/>
  <c r="AP15" i="147"/>
  <c r="AT18" i="147"/>
  <c r="AS18" i="147"/>
  <c r="AJ18" i="147"/>
  <c r="J108" i="181" s="1"/>
  <c r="K108" i="181" s="1"/>
  <c r="AL18" i="147"/>
  <c r="N108" i="181" s="1"/>
  <c r="O108" i="181" s="1"/>
  <c r="AN18" i="147"/>
  <c r="R108" i="181" s="1"/>
  <c r="S108" i="181" s="1"/>
  <c r="AP18" i="147"/>
  <c r="AK18" i="147"/>
  <c r="L108" i="181" s="1"/>
  <c r="M108" i="181" s="1"/>
  <c r="AM18" i="147"/>
  <c r="P108" i="181" s="1"/>
  <c r="Q108" i="181" s="1"/>
  <c r="AO18" i="147"/>
  <c r="AQ18" i="147"/>
  <c r="AT23" i="147"/>
  <c r="AS23" i="147"/>
  <c r="AK23" i="147"/>
  <c r="L153" i="181" s="1"/>
  <c r="M153" i="181" s="1"/>
  <c r="AM23" i="147"/>
  <c r="P153" i="181" s="1"/>
  <c r="Q153" i="181" s="1"/>
  <c r="AO23" i="147"/>
  <c r="AQ23" i="147"/>
  <c r="AJ23" i="147"/>
  <c r="J153" i="181" s="1"/>
  <c r="K153" i="181" s="1"/>
  <c r="AL23" i="147"/>
  <c r="N153" i="181" s="1"/>
  <c r="O153" i="181" s="1"/>
  <c r="AN23" i="147"/>
  <c r="R153" i="181" s="1"/>
  <c r="S153" i="181" s="1"/>
  <c r="AP23" i="147"/>
  <c r="AT27" i="147"/>
  <c r="AS27" i="147"/>
  <c r="AK27" i="147"/>
  <c r="L189" i="181" s="1"/>
  <c r="M189" i="181" s="1"/>
  <c r="AM27" i="147"/>
  <c r="P189" i="181" s="1"/>
  <c r="Q189" i="181" s="1"/>
  <c r="AO27" i="147"/>
  <c r="AQ27" i="147"/>
  <c r="AJ27" i="147"/>
  <c r="J189" i="181" s="1"/>
  <c r="K189" i="181" s="1"/>
  <c r="AL27" i="147"/>
  <c r="N189" i="181" s="1"/>
  <c r="O189" i="181" s="1"/>
  <c r="AN27" i="147"/>
  <c r="R189" i="181" s="1"/>
  <c r="S189" i="181" s="1"/>
  <c r="AP27" i="147"/>
  <c r="AT34" i="147"/>
  <c r="AS34" i="147"/>
  <c r="AJ34" i="147"/>
  <c r="J252" i="181" s="1"/>
  <c r="K252" i="181" s="1"/>
  <c r="AL34" i="147"/>
  <c r="N252" i="181" s="1"/>
  <c r="O252" i="181" s="1"/>
  <c r="AN34" i="147"/>
  <c r="R252" i="181" s="1"/>
  <c r="S252" i="181" s="1"/>
  <c r="AP34" i="147"/>
  <c r="AK34" i="147"/>
  <c r="L252" i="181" s="1"/>
  <c r="M252" i="181" s="1"/>
  <c r="AM34" i="147"/>
  <c r="P252" i="181" s="1"/>
  <c r="Q252" i="181" s="1"/>
  <c r="AO34" i="147"/>
  <c r="AQ34" i="147"/>
  <c r="AT29" i="147"/>
  <c r="AS29" i="147"/>
  <c r="AJ29" i="147"/>
  <c r="J207" i="181" s="1"/>
  <c r="K207" i="181" s="1"/>
  <c r="AL29" i="147"/>
  <c r="N207" i="181" s="1"/>
  <c r="O207" i="181" s="1"/>
  <c r="AN29" i="147"/>
  <c r="R207" i="181" s="1"/>
  <c r="S207" i="181" s="1"/>
  <c r="AP29" i="147"/>
  <c r="AK29" i="147"/>
  <c r="L207" i="181" s="1"/>
  <c r="M207" i="181" s="1"/>
  <c r="AM29" i="147"/>
  <c r="P207" i="181" s="1"/>
  <c r="Q207" i="181" s="1"/>
  <c r="AO29" i="147"/>
  <c r="AQ29" i="147"/>
  <c r="AT38" i="147"/>
  <c r="AS38" i="147"/>
  <c r="AJ38" i="147"/>
  <c r="J288" i="181" s="1"/>
  <c r="K288" i="181" s="1"/>
  <c r="AL38" i="147"/>
  <c r="N288" i="181" s="1"/>
  <c r="O288" i="181" s="1"/>
  <c r="AN38" i="147"/>
  <c r="R288" i="181" s="1"/>
  <c r="S288" i="181" s="1"/>
  <c r="AP38" i="147"/>
  <c r="AK38" i="147"/>
  <c r="L288" i="181" s="1"/>
  <c r="M288" i="181" s="1"/>
  <c r="AM38" i="147"/>
  <c r="P288" i="181" s="1"/>
  <c r="Q288" i="181" s="1"/>
  <c r="AO38" i="147"/>
  <c r="AQ38" i="147"/>
  <c r="AT26" i="147"/>
  <c r="AS26" i="147"/>
  <c r="AJ26" i="147"/>
  <c r="J180" i="181" s="1"/>
  <c r="K180" i="181" s="1"/>
  <c r="AL26" i="147"/>
  <c r="N180" i="181" s="1"/>
  <c r="O180" i="181" s="1"/>
  <c r="AN26" i="147"/>
  <c r="R180" i="181" s="1"/>
  <c r="S180" i="181" s="1"/>
  <c r="AP26" i="147"/>
  <c r="AK26" i="147"/>
  <c r="L180" i="181" s="1"/>
  <c r="M180" i="181" s="1"/>
  <c r="AM26" i="147"/>
  <c r="P180" i="181" s="1"/>
  <c r="Q180" i="181" s="1"/>
  <c r="AO26" i="147"/>
  <c r="AQ26" i="147"/>
  <c r="AT25" i="147"/>
  <c r="AS25" i="147"/>
  <c r="AK25" i="147"/>
  <c r="L171" i="181" s="1"/>
  <c r="M171" i="181" s="1"/>
  <c r="AM25" i="147"/>
  <c r="P171" i="181" s="1"/>
  <c r="Q171" i="181" s="1"/>
  <c r="AO25" i="147"/>
  <c r="AQ25" i="147"/>
  <c r="AJ25" i="147"/>
  <c r="J171" i="181" s="1"/>
  <c r="K171" i="181" s="1"/>
  <c r="AL25" i="147"/>
  <c r="N171" i="181" s="1"/>
  <c r="O171" i="181" s="1"/>
  <c r="AN25" i="147"/>
  <c r="R171" i="181" s="1"/>
  <c r="S171" i="181" s="1"/>
  <c r="AP25" i="147"/>
  <c r="AT21" i="147"/>
  <c r="AS21" i="147"/>
  <c r="AK21" i="147"/>
  <c r="L135" i="181" s="1"/>
  <c r="M135" i="181" s="1"/>
  <c r="AM21" i="147"/>
  <c r="P135" i="181" s="1"/>
  <c r="Q135" i="181" s="1"/>
  <c r="AO21" i="147"/>
  <c r="AQ21" i="147"/>
  <c r="AJ21" i="147"/>
  <c r="J135" i="181" s="1"/>
  <c r="K135" i="181" s="1"/>
  <c r="AL21" i="147"/>
  <c r="N135" i="181" s="1"/>
  <c r="O135" i="181" s="1"/>
  <c r="AN21" i="147"/>
  <c r="R135" i="181" s="1"/>
  <c r="S135" i="181" s="1"/>
  <c r="AP21" i="147"/>
  <c r="AT20" i="147"/>
  <c r="AS20" i="147"/>
  <c r="AJ20" i="147"/>
  <c r="J126" i="181" s="1"/>
  <c r="K126" i="181" s="1"/>
  <c r="AL20" i="147"/>
  <c r="N126" i="181" s="1"/>
  <c r="O126" i="181" s="1"/>
  <c r="AN20" i="147"/>
  <c r="R126" i="181" s="1"/>
  <c r="S126" i="181" s="1"/>
  <c r="AP20" i="147"/>
  <c r="AK20" i="147"/>
  <c r="L126" i="181" s="1"/>
  <c r="M126" i="181" s="1"/>
  <c r="AM20" i="147"/>
  <c r="P126" i="181" s="1"/>
  <c r="Q126" i="181" s="1"/>
  <c r="AO20" i="147"/>
  <c r="AQ20" i="147"/>
  <c r="AT8" i="147"/>
  <c r="BE18" i="181" s="1"/>
  <c r="BI18" i="181" s="1"/>
  <c r="AI8" i="147"/>
  <c r="H18" i="181" s="1"/>
  <c r="I18" i="181" s="1"/>
  <c r="AK8" i="147"/>
  <c r="L18" i="181" s="1"/>
  <c r="M18" i="181" s="1"/>
  <c r="AM8" i="147"/>
  <c r="P18" i="181" s="1"/>
  <c r="Q18" i="181" s="1"/>
  <c r="AO8" i="147"/>
  <c r="AQ8" i="147"/>
  <c r="AS8" i="147"/>
  <c r="BD18" i="181" s="1"/>
  <c r="BH18" i="181" s="1"/>
  <c r="BJ18" i="181" s="1"/>
  <c r="AJ8" i="147"/>
  <c r="J18" i="181" s="1"/>
  <c r="K18" i="181" s="1"/>
  <c r="AN8" i="147"/>
  <c r="R18" i="181" s="1"/>
  <c r="S18" i="181" s="1"/>
  <c r="AP8" i="147"/>
  <c r="AT11" i="147"/>
  <c r="AJ11" i="147"/>
  <c r="J45" i="181" s="1"/>
  <c r="K45" i="181" s="1"/>
  <c r="AL11" i="147"/>
  <c r="N45" i="181" s="1"/>
  <c r="O45" i="181" s="1"/>
  <c r="AN11" i="147"/>
  <c r="R45" i="181" s="1"/>
  <c r="S45" i="181" s="1"/>
  <c r="AP11" i="147"/>
  <c r="AS11" i="147"/>
  <c r="AK11" i="147"/>
  <c r="L45" i="181" s="1"/>
  <c r="M45" i="181" s="1"/>
  <c r="AM11" i="147"/>
  <c r="P45" i="181" s="1"/>
  <c r="Q45" i="181" s="1"/>
  <c r="AO11" i="147"/>
  <c r="AQ11" i="147"/>
  <c r="AT9" i="147"/>
  <c r="AJ9" i="147"/>
  <c r="J27" i="181" s="1"/>
  <c r="K27" i="181" s="1"/>
  <c r="AL9" i="147"/>
  <c r="N27" i="181" s="1"/>
  <c r="AN9" i="147"/>
  <c r="R27" i="181" s="1"/>
  <c r="S27" i="181" s="1"/>
  <c r="AP9" i="147"/>
  <c r="AS9" i="147"/>
  <c r="AK9" i="147"/>
  <c r="L27" i="181" s="1"/>
  <c r="M27" i="181" s="1"/>
  <c r="AM9" i="147"/>
  <c r="P27" i="181" s="1"/>
  <c r="Q27" i="181" s="1"/>
  <c r="AO9" i="147"/>
  <c r="T27" i="181" s="1"/>
  <c r="U27" i="181" s="1"/>
  <c r="AQ9" i="147"/>
  <c r="AT16" i="147"/>
  <c r="AK16" i="147"/>
  <c r="L90" i="181" s="1"/>
  <c r="M90" i="181" s="1"/>
  <c r="AM16" i="147"/>
  <c r="P90" i="181" s="1"/>
  <c r="Q90" i="181" s="1"/>
  <c r="AO16" i="147"/>
  <c r="T90" i="181" s="1"/>
  <c r="U90" i="181" s="1"/>
  <c r="AQ16" i="147"/>
  <c r="AS16" i="147"/>
  <c r="AJ16" i="147"/>
  <c r="J90" i="181" s="1"/>
  <c r="K90" i="181" s="1"/>
  <c r="AL16" i="147"/>
  <c r="N90" i="181" s="1"/>
  <c r="O90" i="181" s="1"/>
  <c r="AN16" i="147"/>
  <c r="R90" i="181" s="1"/>
  <c r="S90" i="181" s="1"/>
  <c r="AP16" i="147"/>
  <c r="AT19" i="147"/>
  <c r="AS19" i="147"/>
  <c r="AK19" i="147"/>
  <c r="L117" i="181" s="1"/>
  <c r="M117" i="181" s="1"/>
  <c r="AM19" i="147"/>
  <c r="P117" i="181" s="1"/>
  <c r="Q117" i="181" s="1"/>
  <c r="AO19" i="147"/>
  <c r="AQ19" i="147"/>
  <c r="AJ19" i="147"/>
  <c r="J117" i="181" s="1"/>
  <c r="K117" i="181" s="1"/>
  <c r="AL19" i="147"/>
  <c r="N117" i="181" s="1"/>
  <c r="O117" i="181" s="1"/>
  <c r="AN19" i="147"/>
  <c r="R117" i="181" s="1"/>
  <c r="S117" i="181" s="1"/>
  <c r="AP19" i="147"/>
  <c r="AT17" i="147"/>
  <c r="AS17" i="147"/>
  <c r="AK17" i="147"/>
  <c r="L99" i="181" s="1"/>
  <c r="M99" i="181" s="1"/>
  <c r="AM17" i="147"/>
  <c r="P99" i="181" s="1"/>
  <c r="Q99" i="181" s="1"/>
  <c r="AO17" i="147"/>
  <c r="AQ17" i="147"/>
  <c r="AJ17" i="147"/>
  <c r="J99" i="181" s="1"/>
  <c r="K99" i="181" s="1"/>
  <c r="AL17" i="147"/>
  <c r="N99" i="181" s="1"/>
  <c r="O99" i="181" s="1"/>
  <c r="AN17" i="147"/>
  <c r="R99" i="181" s="1"/>
  <c r="S99" i="181" s="1"/>
  <c r="AP17" i="147"/>
  <c r="AT22" i="147"/>
  <c r="AS22" i="147"/>
  <c r="AJ22" i="147"/>
  <c r="J144" i="181" s="1"/>
  <c r="K144" i="181" s="1"/>
  <c r="AL22" i="147"/>
  <c r="N144" i="181" s="1"/>
  <c r="O144" i="181" s="1"/>
  <c r="AN22" i="147"/>
  <c r="R144" i="181" s="1"/>
  <c r="S144" i="181" s="1"/>
  <c r="AP22" i="147"/>
  <c r="AK22" i="147"/>
  <c r="L144" i="181" s="1"/>
  <c r="M144" i="181" s="1"/>
  <c r="AM22" i="147"/>
  <c r="P144" i="181" s="1"/>
  <c r="Q144" i="181" s="1"/>
  <c r="AO22" i="147"/>
  <c r="AQ22" i="147"/>
  <c r="AT32" i="147"/>
  <c r="AS32" i="147"/>
  <c r="AK32" i="147"/>
  <c r="L234" i="181" s="1"/>
  <c r="M234" i="181" s="1"/>
  <c r="AM32" i="147"/>
  <c r="P234" i="181" s="1"/>
  <c r="Q234" i="181" s="1"/>
  <c r="AO32" i="147"/>
  <c r="AQ32" i="147"/>
  <c r="AJ32" i="147"/>
  <c r="J234" i="181" s="1"/>
  <c r="K234" i="181" s="1"/>
  <c r="AL32" i="147"/>
  <c r="N234" i="181" s="1"/>
  <c r="O234" i="181" s="1"/>
  <c r="AN32" i="147"/>
  <c r="R234" i="181" s="1"/>
  <c r="S234" i="181" s="1"/>
  <c r="AP32" i="147"/>
  <c r="AT28" i="147"/>
  <c r="AS28" i="147"/>
  <c r="AK28" i="147"/>
  <c r="L198" i="181" s="1"/>
  <c r="M198" i="181" s="1"/>
  <c r="AM28" i="147"/>
  <c r="P198" i="181" s="1"/>
  <c r="Q198" i="181" s="1"/>
  <c r="AO28" i="147"/>
  <c r="AQ28" i="147"/>
  <c r="AJ28" i="147"/>
  <c r="J198" i="181" s="1"/>
  <c r="K198" i="181" s="1"/>
  <c r="AL28" i="147"/>
  <c r="N198" i="181" s="1"/>
  <c r="O198" i="181" s="1"/>
  <c r="AN28" i="147"/>
  <c r="R198" i="181" s="1"/>
  <c r="S198" i="181" s="1"/>
  <c r="AP28" i="147"/>
  <c r="AT13" i="147"/>
  <c r="AS13" i="147"/>
  <c r="AK13" i="147"/>
  <c r="L63" i="181" s="1"/>
  <c r="M63" i="181" s="1"/>
  <c r="AM13" i="147"/>
  <c r="P63" i="181" s="1"/>
  <c r="Q63" i="181" s="1"/>
  <c r="AO13" i="147"/>
  <c r="AQ13" i="147"/>
  <c r="AJ13" i="147"/>
  <c r="J63" i="181" s="1"/>
  <c r="K63" i="181" s="1"/>
  <c r="AL13" i="147"/>
  <c r="N63" i="181" s="1"/>
  <c r="O63" i="181" s="1"/>
  <c r="AN13" i="147"/>
  <c r="R63" i="181" s="1"/>
  <c r="S63" i="181" s="1"/>
  <c r="AP13" i="147"/>
  <c r="AT36" i="147"/>
  <c r="AS36" i="147"/>
  <c r="AK36" i="147"/>
  <c r="L270" i="181" s="1"/>
  <c r="M270" i="181" s="1"/>
  <c r="AM36" i="147"/>
  <c r="P270" i="181" s="1"/>
  <c r="Q270" i="181" s="1"/>
  <c r="AO36" i="147"/>
  <c r="AQ36" i="147"/>
  <c r="AJ36" i="147"/>
  <c r="J270" i="181" s="1"/>
  <c r="K270" i="181" s="1"/>
  <c r="AL36" i="147"/>
  <c r="N270" i="181" s="1"/>
  <c r="O270" i="181" s="1"/>
  <c r="AN36" i="147"/>
  <c r="R270" i="181" s="1"/>
  <c r="S270" i="181" s="1"/>
  <c r="AP36" i="147"/>
  <c r="AT35" i="147"/>
  <c r="AS35" i="147"/>
  <c r="AK35" i="147"/>
  <c r="L261" i="181" s="1"/>
  <c r="M261" i="181" s="1"/>
  <c r="AM35" i="147"/>
  <c r="P261" i="181" s="1"/>
  <c r="Q261" i="181" s="1"/>
  <c r="AO35" i="147"/>
  <c r="AQ35" i="147"/>
  <c r="AJ35" i="147"/>
  <c r="J261" i="181" s="1"/>
  <c r="K261" i="181" s="1"/>
  <c r="AL35" i="147"/>
  <c r="N261" i="181" s="1"/>
  <c r="O261" i="181" s="1"/>
  <c r="AN35" i="147"/>
  <c r="R261" i="181" s="1"/>
  <c r="S261" i="181" s="1"/>
  <c r="AP35" i="147"/>
  <c r="AT31" i="147"/>
  <c r="AS31" i="147"/>
  <c r="AJ31" i="147"/>
  <c r="J225" i="181" s="1"/>
  <c r="K225" i="181" s="1"/>
  <c r="AL31" i="147"/>
  <c r="N225" i="181" s="1"/>
  <c r="O225" i="181" s="1"/>
  <c r="AN31" i="147"/>
  <c r="R225" i="181" s="1"/>
  <c r="S225" i="181" s="1"/>
  <c r="AP31" i="147"/>
  <c r="AK31" i="147"/>
  <c r="L225" i="181" s="1"/>
  <c r="M225" i="181" s="1"/>
  <c r="AM31" i="147"/>
  <c r="P225" i="181" s="1"/>
  <c r="Q225" i="181" s="1"/>
  <c r="AO31" i="147"/>
  <c r="AQ31" i="147"/>
  <c r="AT30" i="147"/>
  <c r="AS30" i="147"/>
  <c r="AK30" i="147"/>
  <c r="L216" i="181" s="1"/>
  <c r="M216" i="181" s="1"/>
  <c r="AM30" i="147"/>
  <c r="P216" i="181" s="1"/>
  <c r="Q216" i="181" s="1"/>
  <c r="AO30" i="147"/>
  <c r="AQ30" i="147"/>
  <c r="AJ30" i="147"/>
  <c r="J216" i="181" s="1"/>
  <c r="K216" i="181" s="1"/>
  <c r="AL30" i="147"/>
  <c r="N216" i="181" s="1"/>
  <c r="O216" i="181" s="1"/>
  <c r="AN30" i="147"/>
  <c r="R216" i="181" s="1"/>
  <c r="S216" i="181" s="1"/>
  <c r="AP30" i="147"/>
  <c r="AT24" i="147"/>
  <c r="AS24" i="147"/>
  <c r="AJ24" i="147"/>
  <c r="J162" i="181" s="1"/>
  <c r="K162" i="181" s="1"/>
  <c r="AL24" i="147"/>
  <c r="N162" i="181" s="1"/>
  <c r="O162" i="181" s="1"/>
  <c r="AN24" i="147"/>
  <c r="R162" i="181" s="1"/>
  <c r="S162" i="181" s="1"/>
  <c r="AP24" i="147"/>
  <c r="AK24" i="147"/>
  <c r="L162" i="181" s="1"/>
  <c r="M162" i="181" s="1"/>
  <c r="AM24" i="147"/>
  <c r="P162" i="181" s="1"/>
  <c r="Q162" i="181" s="1"/>
  <c r="AO24" i="147"/>
  <c r="AQ24" i="147"/>
  <c r="AH19" i="147"/>
  <c r="AH11" i="147"/>
  <c r="AH16" i="147"/>
  <c r="AH26" i="147"/>
  <c r="AH23" i="147"/>
  <c r="AH31" i="147"/>
  <c r="AH21" i="147"/>
  <c r="AH13" i="147"/>
  <c r="AH24" i="147"/>
  <c r="AH20" i="147"/>
  <c r="AH10" i="147"/>
  <c r="AH22" i="147"/>
  <c r="AH15" i="147"/>
  <c r="AH14" i="147"/>
  <c r="AH18" i="147"/>
  <c r="AH9" i="147"/>
  <c r="AH17" i="147"/>
  <c r="AH34" i="147"/>
  <c r="AH12" i="147"/>
  <c r="AH29" i="147"/>
  <c r="AH27" i="147"/>
  <c r="AH25" i="147"/>
  <c r="AH35" i="147"/>
  <c r="AH32" i="147"/>
  <c r="AH30" i="147"/>
  <c r="AH28" i="147"/>
  <c r="AH36" i="147"/>
  <c r="AH38" i="147"/>
  <c r="BD26" i="140" l="1"/>
  <c r="BD162" i="181"/>
  <c r="BH162" i="181" s="1"/>
  <c r="BD30" i="140"/>
  <c r="BD198" i="181"/>
  <c r="BH198" i="181" s="1"/>
  <c r="E38" i="140"/>
  <c r="E270" i="181"/>
  <c r="BE26" i="140"/>
  <c r="BE162" i="181"/>
  <c r="BI162" i="181" s="1"/>
  <c r="T144" i="181"/>
  <c r="U144" i="181" s="1"/>
  <c r="T117" i="181"/>
  <c r="U117" i="181" s="1"/>
  <c r="T135" i="181"/>
  <c r="U135" i="181" s="1"/>
  <c r="BE28" i="140"/>
  <c r="BI28" i="140" s="1"/>
  <c r="BE180" i="181"/>
  <c r="BI180" i="181" s="1"/>
  <c r="BQ472" i="181"/>
  <c r="BT472" i="181"/>
  <c r="E16" i="140"/>
  <c r="E72" i="181"/>
  <c r="E13" i="140"/>
  <c r="E45" i="181"/>
  <c r="BD15" i="140"/>
  <c r="BH15" i="140" s="1"/>
  <c r="BD63" i="181"/>
  <c r="BH63" i="181" s="1"/>
  <c r="BJ63" i="181" s="1"/>
  <c r="BD27" i="140"/>
  <c r="BD171" i="181"/>
  <c r="BH171" i="181" s="1"/>
  <c r="BD25" i="140"/>
  <c r="BH25" i="140" s="1"/>
  <c r="BD153" i="181"/>
  <c r="BH153" i="181" s="1"/>
  <c r="E32" i="140"/>
  <c r="E216" i="181"/>
  <c r="E21" i="140"/>
  <c r="E117" i="181"/>
  <c r="T99" i="181"/>
  <c r="U99" i="181" s="1"/>
  <c r="BE18" i="140"/>
  <c r="BE90" i="181"/>
  <c r="BI90" i="181" s="1"/>
  <c r="T45" i="181"/>
  <c r="U45" i="181" s="1"/>
  <c r="BE27" i="140"/>
  <c r="BI27" i="140" s="1"/>
  <c r="BE171" i="181"/>
  <c r="BI171" i="181" s="1"/>
  <c r="BE25" i="140"/>
  <c r="BI25" i="140" s="1"/>
  <c r="BE153" i="181"/>
  <c r="BI153" i="181" s="1"/>
  <c r="BT499" i="181"/>
  <c r="BQ499" i="181"/>
  <c r="E34" i="140"/>
  <c r="G34" i="140" s="1"/>
  <c r="E234" i="181"/>
  <c r="E24" i="140"/>
  <c r="E144" i="181"/>
  <c r="BD38" i="140"/>
  <c r="BH38" i="140" s="1"/>
  <c r="BD270" i="181"/>
  <c r="BH270" i="181" s="1"/>
  <c r="BJ270" i="181" s="1"/>
  <c r="BD21" i="140"/>
  <c r="BD117" i="181"/>
  <c r="BH117" i="181" s="1"/>
  <c r="BJ117" i="181" s="1"/>
  <c r="BD23" i="140"/>
  <c r="BD135" i="181"/>
  <c r="BH135" i="181" s="1"/>
  <c r="BD29" i="140"/>
  <c r="BD189" i="181"/>
  <c r="BH189" i="181" s="1"/>
  <c r="BJ189" i="181" s="1"/>
  <c r="BD12" i="140"/>
  <c r="BD36" i="181"/>
  <c r="BH36" i="181" s="1"/>
  <c r="T54" i="181"/>
  <c r="U54" i="181" s="1"/>
  <c r="E11" i="140"/>
  <c r="G11" i="140" s="1"/>
  <c r="E27" i="181"/>
  <c r="BD28" i="140"/>
  <c r="BH28" i="140" s="1"/>
  <c r="BD180" i="181"/>
  <c r="BH180" i="181" s="1"/>
  <c r="BJ180" i="181" s="1"/>
  <c r="E20" i="140"/>
  <c r="G20" i="140" s="1"/>
  <c r="E108" i="181"/>
  <c r="E18" i="140"/>
  <c r="E90" i="181"/>
  <c r="T270" i="181"/>
  <c r="U270" i="181" s="1"/>
  <c r="BE30" i="140"/>
  <c r="BE198" i="181"/>
  <c r="BI198" i="181" s="1"/>
  <c r="BE11" i="140"/>
  <c r="BE27" i="181"/>
  <c r="BI27" i="181" s="1"/>
  <c r="T207" i="181"/>
  <c r="U207" i="181" s="1"/>
  <c r="T189" i="181"/>
  <c r="U189" i="181" s="1"/>
  <c r="BE20" i="140"/>
  <c r="BI20" i="140" s="1"/>
  <c r="BE108" i="181"/>
  <c r="BI108" i="181" s="1"/>
  <c r="E30" i="140"/>
  <c r="E198" i="181"/>
  <c r="BD14" i="140"/>
  <c r="BD54" i="181"/>
  <c r="BH54" i="181" s="1"/>
  <c r="E17" i="140"/>
  <c r="E81" i="181"/>
  <c r="T261" i="181"/>
  <c r="U261" i="181" s="1"/>
  <c r="BE15" i="140"/>
  <c r="BI15" i="140" s="1"/>
  <c r="BE63" i="181"/>
  <c r="BI63" i="181" s="1"/>
  <c r="T288" i="181"/>
  <c r="U288" i="181" s="1"/>
  <c r="E37" i="140"/>
  <c r="G37" i="140" s="1"/>
  <c r="E261" i="181"/>
  <c r="E12" i="140"/>
  <c r="E36" i="181"/>
  <c r="T162" i="181"/>
  <c r="U162" i="181" s="1"/>
  <c r="BE38" i="140"/>
  <c r="BE270" i="181"/>
  <c r="BI270" i="181" s="1"/>
  <c r="BE21" i="140"/>
  <c r="BI21" i="140" s="1"/>
  <c r="BE117" i="181"/>
  <c r="BI117" i="181" s="1"/>
  <c r="T18" i="181"/>
  <c r="U18" i="181" s="1"/>
  <c r="BE23" i="140"/>
  <c r="BI23" i="140" s="1"/>
  <c r="BE135" i="181"/>
  <c r="BI135" i="181" s="1"/>
  <c r="T180" i="181"/>
  <c r="U180" i="181" s="1"/>
  <c r="BE29" i="140"/>
  <c r="BE189" i="181"/>
  <c r="BI189" i="181" s="1"/>
  <c r="T108" i="181"/>
  <c r="U108" i="181" s="1"/>
  <c r="BE16" i="140"/>
  <c r="BE72" i="181"/>
  <c r="BI72" i="181" s="1"/>
  <c r="BT454" i="181"/>
  <c r="BQ454" i="181"/>
  <c r="AO454" i="181"/>
  <c r="BC454" i="181" s="1"/>
  <c r="BM454" i="181"/>
  <c r="E28" i="140"/>
  <c r="G28" i="140" s="1"/>
  <c r="E180" i="181"/>
  <c r="T225" i="181"/>
  <c r="U225" i="181" s="1"/>
  <c r="BD19" i="140"/>
  <c r="BD99" i="181"/>
  <c r="BH99" i="181" s="1"/>
  <c r="BD13" i="140"/>
  <c r="BD45" i="181"/>
  <c r="BH45" i="181" s="1"/>
  <c r="BJ45" i="181" s="1"/>
  <c r="BD36" i="140"/>
  <c r="BD252" i="181"/>
  <c r="BH252" i="181" s="1"/>
  <c r="BJ252" i="181" s="1"/>
  <c r="BD17" i="140"/>
  <c r="BD81" i="181"/>
  <c r="BH81" i="181" s="1"/>
  <c r="T36" i="181"/>
  <c r="U36" i="181" s="1"/>
  <c r="E26" i="140"/>
  <c r="G26" i="140" s="1"/>
  <c r="E162" i="181"/>
  <c r="T216" i="181"/>
  <c r="U216" i="181" s="1"/>
  <c r="BE37" i="140"/>
  <c r="BE261" i="181"/>
  <c r="BI261" i="181" s="1"/>
  <c r="BE36" i="140"/>
  <c r="BE252" i="181"/>
  <c r="BI252" i="181" s="1"/>
  <c r="BE14" i="140"/>
  <c r="BI14" i="140" s="1"/>
  <c r="BE54" i="181"/>
  <c r="BI54" i="181" s="1"/>
  <c r="BQ463" i="181"/>
  <c r="BT463" i="181"/>
  <c r="BG517" i="181"/>
  <c r="BK517" i="181" s="1"/>
  <c r="X517" i="181"/>
  <c r="BM517" i="181" s="1"/>
  <c r="E31" i="140"/>
  <c r="E207" i="181"/>
  <c r="E15" i="140"/>
  <c r="E63" i="181"/>
  <c r="BD33" i="140"/>
  <c r="BD225" i="181"/>
  <c r="BH225" i="181" s="1"/>
  <c r="BD24" i="140"/>
  <c r="BD144" i="181"/>
  <c r="BH144" i="181" s="1"/>
  <c r="BD11" i="140"/>
  <c r="BD27" i="181"/>
  <c r="BH27" i="181" s="1"/>
  <c r="BJ27" i="181" s="1"/>
  <c r="BD31" i="140"/>
  <c r="BD207" i="181"/>
  <c r="BH207" i="181" s="1"/>
  <c r="BJ207" i="181" s="1"/>
  <c r="T81" i="181"/>
  <c r="U81" i="181" s="1"/>
  <c r="E14" i="140"/>
  <c r="G14" i="140" s="1"/>
  <c r="E54" i="181"/>
  <c r="E23" i="140"/>
  <c r="E135" i="181"/>
  <c r="BE33" i="140"/>
  <c r="BE225" i="181"/>
  <c r="BI225" i="181" s="1"/>
  <c r="T198" i="181"/>
  <c r="U198" i="181" s="1"/>
  <c r="BE24" i="140"/>
  <c r="BE144" i="181"/>
  <c r="BI144" i="181" s="1"/>
  <c r="BE31" i="140"/>
  <c r="BE207" i="181"/>
  <c r="BI207" i="181" s="1"/>
  <c r="BE12" i="140"/>
  <c r="BI12" i="140" s="1"/>
  <c r="BE36" i="181"/>
  <c r="BI36" i="181" s="1"/>
  <c r="T72" i="181"/>
  <c r="U72" i="181" s="1"/>
  <c r="BT490" i="181"/>
  <c r="BQ490" i="181"/>
  <c r="BT436" i="181"/>
  <c r="BQ436" i="181"/>
  <c r="E40" i="140"/>
  <c r="E288" i="181"/>
  <c r="BD20" i="140"/>
  <c r="BD108" i="181"/>
  <c r="BH108" i="181" s="1"/>
  <c r="E27" i="140"/>
  <c r="G27" i="140" s="1"/>
  <c r="E171" i="181"/>
  <c r="E22" i="140"/>
  <c r="E126" i="181"/>
  <c r="BD37" i="140"/>
  <c r="BD261" i="181"/>
  <c r="BH261" i="181" s="1"/>
  <c r="BJ261" i="181" s="1"/>
  <c r="BD22" i="140"/>
  <c r="BD126" i="181"/>
  <c r="BH126" i="181" s="1"/>
  <c r="E29" i="140"/>
  <c r="G29" i="140" s="1"/>
  <c r="E189" i="181"/>
  <c r="T234" i="181"/>
  <c r="U234" i="181" s="1"/>
  <c r="BE19" i="140"/>
  <c r="BI19" i="140" s="1"/>
  <c r="BE99" i="181"/>
  <c r="BI99" i="181" s="1"/>
  <c r="BE22" i="140"/>
  <c r="BI22" i="140" s="1"/>
  <c r="BE126" i="181"/>
  <c r="BI126" i="181" s="1"/>
  <c r="E36" i="140"/>
  <c r="E252" i="181"/>
  <c r="E33" i="140"/>
  <c r="E225" i="181"/>
  <c r="BD32" i="140"/>
  <c r="BD216" i="181"/>
  <c r="BH216" i="181" s="1"/>
  <c r="BJ216" i="181" s="1"/>
  <c r="BD34" i="140"/>
  <c r="BH34" i="140" s="1"/>
  <c r="BD234" i="181"/>
  <c r="BH234" i="181" s="1"/>
  <c r="BD18" i="140"/>
  <c r="BH18" i="140" s="1"/>
  <c r="BD90" i="181"/>
  <c r="BH90" i="181" s="1"/>
  <c r="BJ90" i="181" s="1"/>
  <c r="BD40" i="140"/>
  <c r="BH40" i="140" s="1"/>
  <c r="BD288" i="181"/>
  <c r="BH288" i="181" s="1"/>
  <c r="BJ288" i="181" s="1"/>
  <c r="E19" i="140"/>
  <c r="E99" i="181"/>
  <c r="E25" i="140"/>
  <c r="E153" i="181"/>
  <c r="BE32" i="140"/>
  <c r="BI32" i="140" s="1"/>
  <c r="BE216" i="181"/>
  <c r="BI216" i="181" s="1"/>
  <c r="T63" i="181"/>
  <c r="U63" i="181" s="1"/>
  <c r="BE34" i="140"/>
  <c r="BE234" i="181"/>
  <c r="BI234" i="181" s="1"/>
  <c r="O27" i="181"/>
  <c r="O298" i="181" s="1"/>
  <c r="N298" i="181"/>
  <c r="BE13" i="140"/>
  <c r="BI13" i="140" s="1"/>
  <c r="BE45" i="181"/>
  <c r="BI45" i="181" s="1"/>
  <c r="T126" i="181"/>
  <c r="U126" i="181" s="1"/>
  <c r="T171" i="181"/>
  <c r="U171" i="181" s="1"/>
  <c r="BE40" i="140"/>
  <c r="BE288" i="181"/>
  <c r="BI288" i="181" s="1"/>
  <c r="T252" i="181"/>
  <c r="U252" i="181" s="1"/>
  <c r="T153" i="181"/>
  <c r="U153" i="181" s="1"/>
  <c r="BE17" i="140"/>
  <c r="BE81" i="181"/>
  <c r="BI81" i="181" s="1"/>
  <c r="BT481" i="181"/>
  <c r="BQ481" i="181"/>
  <c r="BT445" i="181"/>
  <c r="BQ445" i="181"/>
  <c r="BQ508" i="181"/>
  <c r="BT508" i="181"/>
  <c r="BD16" i="140"/>
  <c r="BD72" i="181"/>
  <c r="BH72" i="181" s="1"/>
  <c r="BJ72" i="181" s="1"/>
  <c r="AI93" i="140"/>
  <c r="AI445" i="181"/>
  <c r="AI135" i="140"/>
  <c r="AO135" i="140" s="1"/>
  <c r="BC135" i="140" s="1"/>
  <c r="AI660" i="181"/>
  <c r="AO660" i="181" s="1"/>
  <c r="BC660" i="181" s="1"/>
  <c r="AO610" i="181"/>
  <c r="AI136" i="140"/>
  <c r="AO136" i="140" s="1"/>
  <c r="BC136" i="140" s="1"/>
  <c r="AI670" i="181"/>
  <c r="AO670" i="181" s="1"/>
  <c r="BC670" i="181" s="1"/>
  <c r="AI97" i="140"/>
  <c r="AI481" i="181"/>
  <c r="AO553" i="181"/>
  <c r="BC553" i="181" s="1"/>
  <c r="BM553" i="181"/>
  <c r="AO517" i="181"/>
  <c r="BC517" i="181" s="1"/>
  <c r="BM544" i="181"/>
  <c r="AO544" i="181"/>
  <c r="BC544" i="181" s="1"/>
  <c r="AI134" i="140"/>
  <c r="AO134" i="140" s="1"/>
  <c r="BC134" i="140" s="1"/>
  <c r="AI650" i="181"/>
  <c r="AO650" i="181" s="1"/>
  <c r="BC650" i="181" s="1"/>
  <c r="G36" i="174"/>
  <c r="K36" i="174" s="1"/>
  <c r="L36" i="174" s="1"/>
  <c r="U60" i="178"/>
  <c r="AE60" i="178" s="1"/>
  <c r="U59" i="178"/>
  <c r="G23" i="140"/>
  <c r="G30" i="140"/>
  <c r="G32" i="140"/>
  <c r="G36" i="140"/>
  <c r="G22" i="140"/>
  <c r="G33" i="140"/>
  <c r="G18" i="140"/>
  <c r="G19" i="140"/>
  <c r="G40" i="140"/>
  <c r="G38" i="140"/>
  <c r="G35" i="140"/>
  <c r="G31" i="140"/>
  <c r="G24" i="140"/>
  <c r="G25" i="140"/>
  <c r="G21" i="140"/>
  <c r="BM108" i="140"/>
  <c r="BM107" i="140"/>
  <c r="BM109" i="140"/>
  <c r="AO133" i="140"/>
  <c r="BC133" i="140" s="1"/>
  <c r="BT96" i="140"/>
  <c r="BT98" i="140"/>
  <c r="BT99" i="140"/>
  <c r="BT95" i="140"/>
  <c r="BT92" i="140"/>
  <c r="BT94" i="140"/>
  <c r="BT93" i="140"/>
  <c r="BT97" i="140"/>
  <c r="AA81" i="178"/>
  <c r="AE81" i="178" s="1"/>
  <c r="AA79" i="178"/>
  <c r="AE79" i="178" s="1"/>
  <c r="G39" i="140"/>
  <c r="G13" i="140"/>
  <c r="BI26" i="140"/>
  <c r="R37" i="140"/>
  <c r="S37" i="140" s="1"/>
  <c r="N38" i="140"/>
  <c r="O38" i="140" s="1"/>
  <c r="L39" i="140"/>
  <c r="M39" i="140" s="1"/>
  <c r="H15" i="140"/>
  <c r="I15" i="140" s="1"/>
  <c r="P34" i="140"/>
  <c r="Q34" i="140" s="1"/>
  <c r="L35" i="140"/>
  <c r="M35" i="140" s="1"/>
  <c r="P21" i="140"/>
  <c r="Q21" i="140" s="1"/>
  <c r="J18" i="140"/>
  <c r="K18" i="140" s="1"/>
  <c r="H11" i="140"/>
  <c r="I11" i="140" s="1"/>
  <c r="BH13" i="140"/>
  <c r="J22" i="140"/>
  <c r="K22" i="140" s="1"/>
  <c r="BH23" i="140"/>
  <c r="J40" i="140"/>
  <c r="K40" i="140" s="1"/>
  <c r="R36" i="140"/>
  <c r="S36" i="140" s="1"/>
  <c r="L29" i="140"/>
  <c r="M29" i="140" s="1"/>
  <c r="P12" i="140"/>
  <c r="Q12" i="140" s="1"/>
  <c r="L14" i="140"/>
  <c r="M14" i="140" s="1"/>
  <c r="J16" i="140"/>
  <c r="K16" i="140" s="1"/>
  <c r="G15" i="140"/>
  <c r="L26" i="140"/>
  <c r="M26" i="140" s="1"/>
  <c r="N26" i="140"/>
  <c r="O26" i="140" s="1"/>
  <c r="H32" i="140"/>
  <c r="I32" i="140" s="1"/>
  <c r="BH33" i="140"/>
  <c r="N37" i="140"/>
  <c r="O37" i="140" s="1"/>
  <c r="P37" i="140"/>
  <c r="Q37" i="140" s="1"/>
  <c r="BI37" i="140"/>
  <c r="J38" i="140"/>
  <c r="K38" i="140" s="1"/>
  <c r="L38" i="140"/>
  <c r="M38" i="140" s="1"/>
  <c r="H39" i="140"/>
  <c r="I39" i="140" s="1"/>
  <c r="J39" i="140"/>
  <c r="K39" i="140" s="1"/>
  <c r="R15" i="140"/>
  <c r="S15" i="140" s="1"/>
  <c r="N30" i="140"/>
  <c r="O30" i="140" s="1"/>
  <c r="P30" i="140"/>
  <c r="Q30" i="140" s="1"/>
  <c r="BI30" i="140"/>
  <c r="J34" i="140"/>
  <c r="K34" i="140" s="1"/>
  <c r="L34" i="140"/>
  <c r="M34" i="140" s="1"/>
  <c r="H35" i="140"/>
  <c r="I35" i="140" s="1"/>
  <c r="BH24" i="140"/>
  <c r="N19" i="140"/>
  <c r="O19" i="140" s="1"/>
  <c r="P19" i="140"/>
  <c r="Q19" i="140" s="1"/>
  <c r="J21" i="140"/>
  <c r="K21" i="140" s="1"/>
  <c r="L21" i="140"/>
  <c r="M21" i="140" s="1"/>
  <c r="L18" i="140"/>
  <c r="M18" i="140" s="1"/>
  <c r="BH11" i="140"/>
  <c r="J11" i="140"/>
  <c r="K11" i="140" s="1"/>
  <c r="P13" i="140"/>
  <c r="Q13" i="140" s="1"/>
  <c r="BD10" i="140"/>
  <c r="BH10" i="140" s="1"/>
  <c r="BH22" i="140"/>
  <c r="N23" i="140"/>
  <c r="O23" i="140" s="1"/>
  <c r="P23" i="140"/>
  <c r="Q23" i="140" s="1"/>
  <c r="J27" i="140"/>
  <c r="K27" i="140" s="1"/>
  <c r="L27" i="140"/>
  <c r="M27" i="140" s="1"/>
  <c r="H28" i="140"/>
  <c r="I28" i="140" s="1"/>
  <c r="J28" i="140"/>
  <c r="K28" i="140" s="1"/>
  <c r="P31" i="140"/>
  <c r="Q31" i="140" s="1"/>
  <c r="R31" i="140"/>
  <c r="S31" i="140" s="1"/>
  <c r="BI31" i="140"/>
  <c r="L36" i="140"/>
  <c r="M36" i="140" s="1"/>
  <c r="N36" i="140"/>
  <c r="O36" i="140" s="1"/>
  <c r="H29" i="140"/>
  <c r="I29" i="140" s="1"/>
  <c r="R25" i="140"/>
  <c r="S25" i="140" s="1"/>
  <c r="P20" i="140"/>
  <c r="Q20" i="140" s="1"/>
  <c r="R20" i="140"/>
  <c r="S20" i="140" s="1"/>
  <c r="J17" i="140"/>
  <c r="K17" i="140" s="1"/>
  <c r="P17" i="140"/>
  <c r="Q17" i="140" s="1"/>
  <c r="BH12" i="140"/>
  <c r="L12" i="140"/>
  <c r="M12" i="140" s="1"/>
  <c r="R14" i="140"/>
  <c r="S14" i="140" s="1"/>
  <c r="H14" i="140"/>
  <c r="I14" i="140" s="1"/>
  <c r="P16" i="140"/>
  <c r="Q16" i="140" s="1"/>
  <c r="BI16" i="140"/>
  <c r="BQ103" i="140"/>
  <c r="AO104" i="140"/>
  <c r="BC104" i="140" s="1"/>
  <c r="BQ94" i="140"/>
  <c r="R26" i="140"/>
  <c r="S26" i="140" s="1"/>
  <c r="L32" i="140"/>
  <c r="M32" i="140" s="1"/>
  <c r="P38" i="140"/>
  <c r="Q38" i="140" s="1"/>
  <c r="N39" i="140"/>
  <c r="O39" i="140" s="1"/>
  <c r="BH30" i="140"/>
  <c r="BI34" i="140"/>
  <c r="J24" i="140"/>
  <c r="K24" i="140" s="1"/>
  <c r="BH19" i="140"/>
  <c r="N11" i="140"/>
  <c r="O11" i="140" s="1"/>
  <c r="J13" i="140"/>
  <c r="K13" i="140" s="1"/>
  <c r="P27" i="140"/>
  <c r="Q27" i="140" s="1"/>
  <c r="N28" i="140"/>
  <c r="O28" i="140" s="1"/>
  <c r="BH31" i="140"/>
  <c r="BI36" i="140"/>
  <c r="H25" i="140"/>
  <c r="I25" i="140" s="1"/>
  <c r="BH20" i="140"/>
  <c r="BI17" i="140"/>
  <c r="G12" i="140"/>
  <c r="H26" i="140"/>
  <c r="I26" i="140" s="1"/>
  <c r="J26" i="140"/>
  <c r="K26" i="140" s="1"/>
  <c r="R32" i="140"/>
  <c r="S32" i="140" s="1"/>
  <c r="BH32" i="140"/>
  <c r="P33" i="140"/>
  <c r="Q33" i="140" s="1"/>
  <c r="R33" i="140"/>
  <c r="S33" i="140" s="1"/>
  <c r="BI33" i="140"/>
  <c r="J37" i="140"/>
  <c r="K37" i="140" s="1"/>
  <c r="L37" i="140"/>
  <c r="M37" i="140" s="1"/>
  <c r="H38" i="140"/>
  <c r="I38" i="140" s="1"/>
  <c r="BH39" i="140"/>
  <c r="N15" i="140"/>
  <c r="O15" i="140" s="1"/>
  <c r="P15" i="140"/>
  <c r="Q15" i="140" s="1"/>
  <c r="J30" i="140"/>
  <c r="K30" i="140" s="1"/>
  <c r="L30" i="140"/>
  <c r="M30" i="140" s="1"/>
  <c r="H34" i="140"/>
  <c r="I34" i="140" s="1"/>
  <c r="R35" i="140"/>
  <c r="S35" i="140" s="1"/>
  <c r="BH35" i="140"/>
  <c r="P24" i="140"/>
  <c r="Q24" i="140" s="1"/>
  <c r="R24" i="140"/>
  <c r="S24" i="140" s="1"/>
  <c r="BI24" i="140"/>
  <c r="J19" i="140"/>
  <c r="K19" i="140" s="1"/>
  <c r="L19" i="140"/>
  <c r="M19" i="140" s="1"/>
  <c r="H21" i="140"/>
  <c r="I21" i="140" s="1"/>
  <c r="R18" i="140"/>
  <c r="S18" i="140" s="1"/>
  <c r="H18" i="140"/>
  <c r="I18" i="140" s="1"/>
  <c r="P11" i="140"/>
  <c r="Q11" i="140" s="1"/>
  <c r="BI11" i="140"/>
  <c r="L13" i="140"/>
  <c r="M13" i="140" s="1"/>
  <c r="R13" i="140"/>
  <c r="S13" i="140" s="1"/>
  <c r="H10" i="140"/>
  <c r="P22" i="140"/>
  <c r="Q22" i="140" s="1"/>
  <c r="R22" i="140"/>
  <c r="S22" i="140" s="1"/>
  <c r="J23" i="140"/>
  <c r="K23" i="140" s="1"/>
  <c r="L23" i="140"/>
  <c r="M23" i="140" s="1"/>
  <c r="H27" i="140"/>
  <c r="I27" i="140" s="1"/>
  <c r="P40" i="140"/>
  <c r="Q40" i="140" s="1"/>
  <c r="R40" i="140"/>
  <c r="S40" i="140" s="1"/>
  <c r="BI40" i="140"/>
  <c r="L31" i="140"/>
  <c r="M31" i="140" s="1"/>
  <c r="N31" i="140"/>
  <c r="O31" i="140" s="1"/>
  <c r="H36" i="140"/>
  <c r="I36" i="140" s="1"/>
  <c r="J36" i="140"/>
  <c r="K36" i="140" s="1"/>
  <c r="R29" i="140"/>
  <c r="S29" i="140" s="1"/>
  <c r="BH29" i="140"/>
  <c r="N25" i="140"/>
  <c r="O25" i="140" s="1"/>
  <c r="P25" i="140"/>
  <c r="Q25" i="140" s="1"/>
  <c r="L20" i="140"/>
  <c r="M20" i="140" s="1"/>
  <c r="N20" i="140"/>
  <c r="O20" i="140" s="1"/>
  <c r="BH17" i="140"/>
  <c r="L17" i="140"/>
  <c r="M17" i="140" s="1"/>
  <c r="R12" i="140"/>
  <c r="S12" i="140" s="1"/>
  <c r="H12" i="140"/>
  <c r="I12" i="140" s="1"/>
  <c r="N14" i="140"/>
  <c r="O14" i="140" s="1"/>
  <c r="L16" i="140"/>
  <c r="M16" i="140" s="1"/>
  <c r="R16" i="140"/>
  <c r="S16" i="140" s="1"/>
  <c r="BQ99" i="140"/>
  <c r="G17" i="140"/>
  <c r="P26" i="140"/>
  <c r="Q26" i="140" s="1"/>
  <c r="J32" i="140"/>
  <c r="K32" i="140" s="1"/>
  <c r="H33" i="140"/>
  <c r="I33" i="140" s="1"/>
  <c r="J33" i="140"/>
  <c r="K33" i="140" s="1"/>
  <c r="BH37" i="140"/>
  <c r="BI38" i="140"/>
  <c r="R30" i="140"/>
  <c r="S30" i="140" s="1"/>
  <c r="N34" i="140"/>
  <c r="O34" i="140" s="1"/>
  <c r="J35" i="140"/>
  <c r="K35" i="140" s="1"/>
  <c r="H24" i="140"/>
  <c r="I24" i="140" s="1"/>
  <c r="R19" i="140"/>
  <c r="S19" i="140" s="1"/>
  <c r="N21" i="140"/>
  <c r="O21" i="140" s="1"/>
  <c r="P18" i="140"/>
  <c r="Q18" i="140" s="1"/>
  <c r="J10" i="140"/>
  <c r="H22" i="140"/>
  <c r="I22" i="140" s="1"/>
  <c r="R23" i="140"/>
  <c r="S23" i="140" s="1"/>
  <c r="N27" i="140"/>
  <c r="O27" i="140" s="1"/>
  <c r="L28" i="140"/>
  <c r="M28" i="140" s="1"/>
  <c r="H40" i="140"/>
  <c r="I40" i="140" s="1"/>
  <c r="P36" i="140"/>
  <c r="Q36" i="140" s="1"/>
  <c r="J29" i="140"/>
  <c r="K29" i="140" s="1"/>
  <c r="N17" i="140"/>
  <c r="O17" i="140" s="1"/>
  <c r="J12" i="140"/>
  <c r="K12" i="140" s="1"/>
  <c r="BH14" i="140"/>
  <c r="BH16" i="140"/>
  <c r="BQ96" i="140"/>
  <c r="G16" i="140"/>
  <c r="BH26" i="140"/>
  <c r="N32" i="140"/>
  <c r="O32" i="140" s="1"/>
  <c r="P32" i="140"/>
  <c r="Q32" i="140" s="1"/>
  <c r="L33" i="140"/>
  <c r="M33" i="140" s="1"/>
  <c r="N33" i="140"/>
  <c r="O33" i="140" s="1"/>
  <c r="H37" i="140"/>
  <c r="I37" i="140" s="1"/>
  <c r="R38" i="140"/>
  <c r="S38" i="140" s="1"/>
  <c r="P39" i="140"/>
  <c r="Q39" i="140" s="1"/>
  <c r="R39" i="140"/>
  <c r="S39" i="140" s="1"/>
  <c r="BI39" i="140"/>
  <c r="J15" i="140"/>
  <c r="K15" i="140" s="1"/>
  <c r="L15" i="140"/>
  <c r="M15" i="140" s="1"/>
  <c r="H30" i="140"/>
  <c r="I30" i="140" s="1"/>
  <c r="R34" i="140"/>
  <c r="S34" i="140" s="1"/>
  <c r="N35" i="140"/>
  <c r="O35" i="140" s="1"/>
  <c r="P35" i="140"/>
  <c r="Q35" i="140" s="1"/>
  <c r="BI35" i="140"/>
  <c r="L24" i="140"/>
  <c r="M24" i="140" s="1"/>
  <c r="N24" i="140"/>
  <c r="O24" i="140" s="1"/>
  <c r="H19" i="140"/>
  <c r="I19" i="140" s="1"/>
  <c r="R21" i="140"/>
  <c r="S21" i="140" s="1"/>
  <c r="BH21" i="140"/>
  <c r="N18" i="140"/>
  <c r="O18" i="140" s="1"/>
  <c r="BI18" i="140"/>
  <c r="L11" i="140"/>
  <c r="M11" i="140" s="1"/>
  <c r="R11" i="140"/>
  <c r="S11" i="140" s="1"/>
  <c r="H13" i="140"/>
  <c r="I13" i="140" s="1"/>
  <c r="N13" i="140"/>
  <c r="O13" i="140" s="1"/>
  <c r="BE10" i="140"/>
  <c r="BI10" i="140" s="1"/>
  <c r="L22" i="140"/>
  <c r="M22" i="140" s="1"/>
  <c r="N22" i="140"/>
  <c r="O22" i="140" s="1"/>
  <c r="H23" i="140"/>
  <c r="I23" i="140" s="1"/>
  <c r="R27" i="140"/>
  <c r="S27" i="140" s="1"/>
  <c r="BH27" i="140"/>
  <c r="P28" i="140"/>
  <c r="Q28" i="140" s="1"/>
  <c r="R28" i="140"/>
  <c r="S28" i="140" s="1"/>
  <c r="L40" i="140"/>
  <c r="M40" i="140" s="1"/>
  <c r="N40" i="140"/>
  <c r="O40" i="140" s="1"/>
  <c r="H31" i="140"/>
  <c r="I31" i="140" s="1"/>
  <c r="J31" i="140"/>
  <c r="K31" i="140" s="1"/>
  <c r="BH36" i="140"/>
  <c r="N29" i="140"/>
  <c r="O29" i="140" s="1"/>
  <c r="P29" i="140"/>
  <c r="Q29" i="140" s="1"/>
  <c r="BI29" i="140"/>
  <c r="J25" i="140"/>
  <c r="K25" i="140" s="1"/>
  <c r="L25" i="140"/>
  <c r="M25" i="140" s="1"/>
  <c r="H20" i="140"/>
  <c r="I20" i="140" s="1"/>
  <c r="J20" i="140"/>
  <c r="K20" i="140" s="1"/>
  <c r="R17" i="140"/>
  <c r="S17" i="140" s="1"/>
  <c r="H17" i="140"/>
  <c r="I17" i="140" s="1"/>
  <c r="N12" i="140"/>
  <c r="O12" i="140" s="1"/>
  <c r="J14" i="140"/>
  <c r="K14" i="140" s="1"/>
  <c r="P14" i="140"/>
  <c r="Q14" i="140" s="1"/>
  <c r="H16" i="140"/>
  <c r="I16" i="140" s="1"/>
  <c r="N16" i="140"/>
  <c r="O16" i="140" s="1"/>
  <c r="BQ98" i="140"/>
  <c r="BQ95" i="140"/>
  <c r="T22" i="140"/>
  <c r="U22" i="140" s="1"/>
  <c r="T15" i="140"/>
  <c r="U15" i="140" s="1"/>
  <c r="T32" i="140"/>
  <c r="U32" i="140" s="1"/>
  <c r="T39" i="140"/>
  <c r="U39" i="140" s="1"/>
  <c r="T35" i="140"/>
  <c r="U35" i="140" s="1"/>
  <c r="T28" i="140"/>
  <c r="U28" i="140" s="1"/>
  <c r="T29" i="140"/>
  <c r="U29" i="140" s="1"/>
  <c r="T33" i="140"/>
  <c r="U33" i="140" s="1"/>
  <c r="T24" i="140"/>
  <c r="U24" i="140" s="1"/>
  <c r="T14" i="140"/>
  <c r="U14" i="140" s="1"/>
  <c r="T26" i="140"/>
  <c r="U26" i="140" s="1"/>
  <c r="T38" i="140"/>
  <c r="U38" i="140" s="1"/>
  <c r="T34" i="140"/>
  <c r="U34" i="140" s="1"/>
  <c r="T21" i="140"/>
  <c r="U21" i="140" s="1"/>
  <c r="T18" i="140"/>
  <c r="U18" i="140" s="1"/>
  <c r="T27" i="140"/>
  <c r="U27" i="140" s="1"/>
  <c r="T36" i="140"/>
  <c r="U36" i="140" s="1"/>
  <c r="T12" i="140"/>
  <c r="U12" i="140" s="1"/>
  <c r="T37" i="140"/>
  <c r="U37" i="140" s="1"/>
  <c r="T30" i="140"/>
  <c r="U30" i="140" s="1"/>
  <c r="T19" i="140"/>
  <c r="U19" i="140" s="1"/>
  <c r="T13" i="140"/>
  <c r="U13" i="140" s="1"/>
  <c r="T23" i="140"/>
  <c r="U23" i="140" s="1"/>
  <c r="T31" i="140"/>
  <c r="U31" i="140" s="1"/>
  <c r="T20" i="140"/>
  <c r="U20" i="140" s="1"/>
  <c r="T17" i="140"/>
  <c r="U17" i="140" s="1"/>
  <c r="T16" i="140"/>
  <c r="U16" i="140" s="1"/>
  <c r="T11" i="140"/>
  <c r="U11" i="140" s="1"/>
  <c r="T40" i="140"/>
  <c r="U40" i="140" s="1"/>
  <c r="T25" i="140"/>
  <c r="U25" i="140" s="1"/>
  <c r="AR28" i="147"/>
  <c r="AR35" i="147"/>
  <c r="AR9" i="147"/>
  <c r="AR22" i="147"/>
  <c r="AR23" i="147"/>
  <c r="AR19" i="147"/>
  <c r="AR13" i="147"/>
  <c r="AR30" i="147"/>
  <c r="AR25" i="147"/>
  <c r="AR18" i="147"/>
  <c r="AR21" i="147"/>
  <c r="AR32" i="147"/>
  <c r="AR27" i="147"/>
  <c r="AR34" i="147"/>
  <c r="AR14" i="147"/>
  <c r="AR20" i="147"/>
  <c r="AR31" i="147"/>
  <c r="AR16" i="147"/>
  <c r="AR38" i="147"/>
  <c r="AR36" i="147"/>
  <c r="AR29" i="147"/>
  <c r="AR17" i="147"/>
  <c r="AR10" i="147"/>
  <c r="AR24" i="147"/>
  <c r="AR11" i="147"/>
  <c r="AR15" i="147"/>
  <c r="AR26" i="147"/>
  <c r="AR12" i="147"/>
  <c r="G207" i="181" l="1"/>
  <c r="V207" i="181"/>
  <c r="G261" i="181"/>
  <c r="V261" i="181"/>
  <c r="G171" i="181"/>
  <c r="V171" i="181"/>
  <c r="G162" i="181"/>
  <c r="V162" i="181"/>
  <c r="G180" i="181"/>
  <c r="V180" i="181"/>
  <c r="Z27" i="181"/>
  <c r="AA27" i="181" s="1"/>
  <c r="G27" i="181"/>
  <c r="V27" i="181"/>
  <c r="BJ234" i="181"/>
  <c r="G144" i="181"/>
  <c r="V144" i="181"/>
  <c r="BJ126" i="181"/>
  <c r="G153" i="181"/>
  <c r="V153" i="181"/>
  <c r="G225" i="181"/>
  <c r="V225" i="181"/>
  <c r="BJ225" i="181"/>
  <c r="BJ54" i="181"/>
  <c r="BJ198" i="181"/>
  <c r="BJ171" i="181"/>
  <c r="BJ108" i="181"/>
  <c r="G288" i="181"/>
  <c r="V288" i="181"/>
  <c r="G81" i="181"/>
  <c r="V81" i="181"/>
  <c r="G117" i="181"/>
  <c r="V117" i="181"/>
  <c r="G135" i="181"/>
  <c r="V135" i="181"/>
  <c r="G90" i="181"/>
  <c r="V90" i="181"/>
  <c r="G216" i="181"/>
  <c r="V216" i="181"/>
  <c r="BJ81" i="181"/>
  <c r="G189" i="181"/>
  <c r="V189" i="181"/>
  <c r="G45" i="181"/>
  <c r="Z45" i="181"/>
  <c r="AA45" i="181" s="1"/>
  <c r="V45" i="181"/>
  <c r="BJ144" i="181"/>
  <c r="BJ36" i="181"/>
  <c r="G234" i="181"/>
  <c r="V234" i="181"/>
  <c r="V270" i="181"/>
  <c r="G270" i="181"/>
  <c r="G72" i="181"/>
  <c r="V72" i="181"/>
  <c r="G99" i="181"/>
  <c r="V99" i="181"/>
  <c r="G252" i="181"/>
  <c r="V252" i="181"/>
  <c r="G63" i="181"/>
  <c r="V63" i="181"/>
  <c r="BJ99" i="181"/>
  <c r="G36" i="181"/>
  <c r="V36" i="181"/>
  <c r="Z36" i="181"/>
  <c r="AA36" i="181" s="1"/>
  <c r="G198" i="181"/>
  <c r="V198" i="181"/>
  <c r="BJ135" i="181"/>
  <c r="BJ162" i="181"/>
  <c r="G126" i="181"/>
  <c r="V126" i="181"/>
  <c r="G54" i="181"/>
  <c r="V54" i="181"/>
  <c r="G108" i="181"/>
  <c r="V108" i="181"/>
  <c r="BJ153" i="181"/>
  <c r="C75" i="175"/>
  <c r="D82" i="178"/>
  <c r="C77" i="175"/>
  <c r="D84" i="178"/>
  <c r="F84" i="178" s="1"/>
  <c r="BC610" i="181"/>
  <c r="AI138" i="140"/>
  <c r="AI681" i="181"/>
  <c r="C65" i="175"/>
  <c r="D71" i="178"/>
  <c r="AO445" i="181"/>
  <c r="BC445" i="181" s="1"/>
  <c r="BM445" i="181"/>
  <c r="C76" i="175"/>
  <c r="H76" i="175" s="1"/>
  <c r="D83" i="178"/>
  <c r="C78" i="175"/>
  <c r="H78" i="175" s="1"/>
  <c r="D85" i="178"/>
  <c r="F85" i="178" s="1"/>
  <c r="H77" i="175"/>
  <c r="H75" i="175"/>
  <c r="AO132" i="140"/>
  <c r="BC132" i="140" s="1"/>
  <c r="BJ37" i="140"/>
  <c r="BJ21" i="140"/>
  <c r="BJ34" i="140"/>
  <c r="BJ26" i="140"/>
  <c r="BJ14" i="140"/>
  <c r="BJ17" i="140"/>
  <c r="BJ19" i="140"/>
  <c r="BJ38" i="140"/>
  <c r="BJ35" i="140"/>
  <c r="BQ93" i="140"/>
  <c r="BJ29" i="140"/>
  <c r="BJ32" i="140"/>
  <c r="BJ31" i="140"/>
  <c r="BJ12" i="140"/>
  <c r="BJ25" i="140"/>
  <c r="BJ33" i="140"/>
  <c r="BJ16" i="140"/>
  <c r="BJ36" i="140"/>
  <c r="BJ40" i="140"/>
  <c r="BJ10" i="140"/>
  <c r="BJ11" i="140"/>
  <c r="BJ15" i="140"/>
  <c r="BJ23" i="140"/>
  <c r="BJ13" i="140"/>
  <c r="BJ28" i="140"/>
  <c r="BJ27" i="140"/>
  <c r="BJ39" i="140"/>
  <c r="BJ20" i="140"/>
  <c r="BJ30" i="140"/>
  <c r="BJ22" i="140"/>
  <c r="BJ18" i="140"/>
  <c r="BJ24" i="140"/>
  <c r="K9" i="174"/>
  <c r="L9" i="174" s="1"/>
  <c r="V24" i="140"/>
  <c r="BG24" i="140" s="1"/>
  <c r="BK24" i="140" s="1"/>
  <c r="V20" i="140"/>
  <c r="BG20" i="140" s="1"/>
  <c r="BK20" i="140" s="1"/>
  <c r="V31" i="140"/>
  <c r="BG31" i="140" s="1"/>
  <c r="BK31" i="140" s="1"/>
  <c r="V22" i="140"/>
  <c r="BG22" i="140" s="1"/>
  <c r="BK22" i="140" s="1"/>
  <c r="V39" i="140"/>
  <c r="BG39" i="140" s="1"/>
  <c r="BK39" i="140" s="1"/>
  <c r="V21" i="140"/>
  <c r="BG21" i="140" s="1"/>
  <c r="BK21" i="140" s="1"/>
  <c r="V27" i="140"/>
  <c r="BG27" i="140" s="1"/>
  <c r="BK27" i="140" s="1"/>
  <c r="V33" i="140"/>
  <c r="BG33" i="140" s="1"/>
  <c r="BK33" i="140" s="1"/>
  <c r="V38" i="140"/>
  <c r="BG38" i="140" s="1"/>
  <c r="BK38" i="140" s="1"/>
  <c r="V36" i="140"/>
  <c r="BG36" i="140" s="1"/>
  <c r="BK36" i="140" s="1"/>
  <c r="V35" i="140"/>
  <c r="BG35" i="140" s="1"/>
  <c r="BK35" i="140" s="1"/>
  <c r="V34" i="140"/>
  <c r="BG34" i="140" s="1"/>
  <c r="BK34" i="140" s="1"/>
  <c r="V11" i="140"/>
  <c r="BG11" i="140" s="1"/>
  <c r="BK11" i="140" s="1"/>
  <c r="V23" i="140"/>
  <c r="BG23" i="140" s="1"/>
  <c r="BK23" i="140" s="1"/>
  <c r="V29" i="140"/>
  <c r="BG29" i="140" s="1"/>
  <c r="BK29" i="140" s="1"/>
  <c r="V16" i="140"/>
  <c r="BG16" i="140" s="1"/>
  <c r="BK16" i="140" s="1"/>
  <c r="V19" i="140"/>
  <c r="BG19" i="140" s="1"/>
  <c r="BK19" i="140" s="1"/>
  <c r="V30" i="140"/>
  <c r="BG30" i="140" s="1"/>
  <c r="BK30" i="140" s="1"/>
  <c r="V32" i="140"/>
  <c r="BG32" i="140" s="1"/>
  <c r="BK32" i="140" s="1"/>
  <c r="V18" i="140"/>
  <c r="BG18" i="140" s="1"/>
  <c r="BK18" i="140" s="1"/>
  <c r="V26" i="140"/>
  <c r="BG26" i="140" s="1"/>
  <c r="BK26" i="140" s="1"/>
  <c r="V37" i="140"/>
  <c r="BG37" i="140" s="1"/>
  <c r="BK37" i="140" s="1"/>
  <c r="V28" i="140"/>
  <c r="BG28" i="140" s="1"/>
  <c r="BK28" i="140" s="1"/>
  <c r="V17" i="140"/>
  <c r="BG17" i="140" s="1"/>
  <c r="BK17" i="140" s="1"/>
  <c r="V25" i="140"/>
  <c r="BG25" i="140" s="1"/>
  <c r="BK25" i="140" s="1"/>
  <c r="V40" i="140"/>
  <c r="BG40" i="140" s="1"/>
  <c r="BK40" i="140" s="1"/>
  <c r="V13" i="140"/>
  <c r="V14" i="140"/>
  <c r="BG14" i="140" s="1"/>
  <c r="BK14" i="140" s="1"/>
  <c r="V15" i="140"/>
  <c r="BG15" i="140" s="1"/>
  <c r="BK15" i="140" s="1"/>
  <c r="V12" i="140"/>
  <c r="BG12" i="140" s="1"/>
  <c r="BK12" i="140" s="1"/>
  <c r="Z13" i="140"/>
  <c r="AA13" i="140" s="1"/>
  <c r="BG135" i="181" l="1"/>
  <c r="BK135" i="181" s="1"/>
  <c r="X135" i="181"/>
  <c r="BM135" i="181" s="1"/>
  <c r="X180" i="181"/>
  <c r="BG180" i="181"/>
  <c r="BK180" i="181" s="1"/>
  <c r="X126" i="181"/>
  <c r="BG126" i="181"/>
  <c r="BK126" i="181" s="1"/>
  <c r="X45" i="181"/>
  <c r="BG45" i="181"/>
  <c r="BK45" i="181" s="1"/>
  <c r="BG225" i="181"/>
  <c r="BK225" i="181" s="1"/>
  <c r="X225" i="181"/>
  <c r="X162" i="181"/>
  <c r="BM162" i="181" s="1"/>
  <c r="BG162" i="181"/>
  <c r="BK162" i="181" s="1"/>
  <c r="X99" i="181"/>
  <c r="BM99" i="181" s="1"/>
  <c r="BG99" i="181"/>
  <c r="BK99" i="181" s="1"/>
  <c r="AO162" i="181"/>
  <c r="BC162" i="181" s="1"/>
  <c r="AO99" i="181"/>
  <c r="BC99" i="181" s="1"/>
  <c r="BG81" i="181"/>
  <c r="BK81" i="181" s="1"/>
  <c r="X81" i="181"/>
  <c r="BM81" i="181" s="1"/>
  <c r="BG171" i="181"/>
  <c r="BK171" i="181" s="1"/>
  <c r="X171" i="181"/>
  <c r="BM171" i="181" s="1"/>
  <c r="BG72" i="181"/>
  <c r="BK72" i="181" s="1"/>
  <c r="X72" i="181"/>
  <c r="BM72" i="181" s="1"/>
  <c r="BG288" i="181"/>
  <c r="BK288" i="181" s="1"/>
  <c r="X288" i="181"/>
  <c r="BM288" i="181" s="1"/>
  <c r="BG36" i="181"/>
  <c r="BK36" i="181" s="1"/>
  <c r="X36" i="181"/>
  <c r="X270" i="181"/>
  <c r="BG270" i="181"/>
  <c r="BK270" i="181" s="1"/>
  <c r="X216" i="181"/>
  <c r="BM216" i="181" s="1"/>
  <c r="BG216" i="181"/>
  <c r="BK216" i="181" s="1"/>
  <c r="X261" i="181"/>
  <c r="BM261" i="181" s="1"/>
  <c r="BG261" i="181"/>
  <c r="BK261" i="181" s="1"/>
  <c r="BG252" i="181"/>
  <c r="BK252" i="181" s="1"/>
  <c r="X252" i="181"/>
  <c r="BM252" i="181" s="1"/>
  <c r="AO135" i="181"/>
  <c r="BC135" i="181" s="1"/>
  <c r="AO252" i="181"/>
  <c r="BC252" i="181" s="1"/>
  <c r="AO117" i="181"/>
  <c r="BC117" i="181" s="1"/>
  <c r="AO153" i="181"/>
  <c r="BC153" i="181" s="1"/>
  <c r="X198" i="181"/>
  <c r="BM198" i="181" s="1"/>
  <c r="BG198" i="181"/>
  <c r="BK198" i="181" s="1"/>
  <c r="BG144" i="181"/>
  <c r="BK144" i="181" s="1"/>
  <c r="X144" i="181"/>
  <c r="BM144" i="181" s="1"/>
  <c r="AO144" i="181"/>
  <c r="BC144" i="181" s="1"/>
  <c r="BG27" i="181"/>
  <c r="BK27" i="181" s="1"/>
  <c r="X27" i="181"/>
  <c r="AO108" i="181"/>
  <c r="BC108" i="181" s="1"/>
  <c r="X90" i="181"/>
  <c r="BM90" i="181" s="1"/>
  <c r="BG90" i="181"/>
  <c r="BK90" i="181" s="1"/>
  <c r="X207" i="181"/>
  <c r="BM207" i="181" s="1"/>
  <c r="BG207" i="181"/>
  <c r="BK207" i="181" s="1"/>
  <c r="BG117" i="181"/>
  <c r="BK117" i="181" s="1"/>
  <c r="X117" i="181"/>
  <c r="BM117" i="181" s="1"/>
  <c r="X153" i="181"/>
  <c r="BM153" i="181" s="1"/>
  <c r="BG153" i="181"/>
  <c r="BK153" i="181" s="1"/>
  <c r="BG189" i="181"/>
  <c r="BK189" i="181" s="1"/>
  <c r="X189" i="181"/>
  <c r="AO81" i="181"/>
  <c r="BC81" i="181" s="1"/>
  <c r="AO72" i="181"/>
  <c r="BC72" i="181" s="1"/>
  <c r="AO288" i="181"/>
  <c r="BC288" i="181" s="1"/>
  <c r="X108" i="181"/>
  <c r="BM108" i="181" s="1"/>
  <c r="BG108" i="181"/>
  <c r="BK108" i="181" s="1"/>
  <c r="BG234" i="181"/>
  <c r="BK234" i="181" s="1"/>
  <c r="X234" i="181"/>
  <c r="BG54" i="181"/>
  <c r="BK54" i="181" s="1"/>
  <c r="X54" i="181"/>
  <c r="X63" i="181"/>
  <c r="BG63" i="181"/>
  <c r="BK63" i="181" s="1"/>
  <c r="AO90" i="181"/>
  <c r="BC90" i="181" s="1"/>
  <c r="AO207" i="181"/>
  <c r="BC207" i="181" s="1"/>
  <c r="AI92" i="140"/>
  <c r="AI436" i="181"/>
  <c r="AF85" i="178"/>
  <c r="AG85" i="178"/>
  <c r="C74" i="175"/>
  <c r="D81" i="178"/>
  <c r="AG84" i="178"/>
  <c r="AF84" i="178"/>
  <c r="H74" i="175"/>
  <c r="I22" i="178"/>
  <c r="AE22" i="178" s="1"/>
  <c r="I15" i="178"/>
  <c r="AO131" i="140"/>
  <c r="F71" i="178"/>
  <c r="AA82" i="178"/>
  <c r="AE82" i="178" s="1"/>
  <c r="AA83" i="178"/>
  <c r="AE83" i="178" s="1"/>
  <c r="BQ92" i="140"/>
  <c r="BQ97" i="140"/>
  <c r="X13" i="140"/>
  <c r="BG13" i="140"/>
  <c r="BK13" i="140" s="1"/>
  <c r="AO171" i="181" l="1"/>
  <c r="BC171" i="181" s="1"/>
  <c r="AO261" i="181"/>
  <c r="BC261" i="181" s="1"/>
  <c r="AO216" i="181"/>
  <c r="BC216" i="181" s="1"/>
  <c r="AO198" i="181"/>
  <c r="BC198" i="181" s="1"/>
  <c r="BM436" i="181"/>
  <c r="AO436" i="181"/>
  <c r="BC436" i="181" s="1"/>
  <c r="BC131" i="140"/>
  <c r="D80" i="178" s="1"/>
  <c r="AO130" i="140"/>
  <c r="H65" i="175"/>
  <c r="AG71" i="178"/>
  <c r="AF71" i="178"/>
  <c r="AZ62" i="140"/>
  <c r="AZ63" i="140"/>
  <c r="AZ64" i="140"/>
  <c r="AZ65" i="140"/>
  <c r="AZ66" i="140"/>
  <c r="AZ68" i="140"/>
  <c r="BC130" i="140" l="1"/>
  <c r="D79" i="178" s="1"/>
  <c r="C73" i="175"/>
  <c r="C72" i="175" l="1"/>
  <c r="H73" i="175"/>
  <c r="AD101" i="153"/>
  <c r="AE138" i="153"/>
  <c r="AD138" i="153"/>
  <c r="AC138" i="153"/>
  <c r="AC101" i="153"/>
  <c r="AJ270" i="153"/>
  <c r="AL270" i="153" s="1"/>
  <c r="AJ238" i="153"/>
  <c r="AL238" i="153" s="1"/>
  <c r="H72" i="175" l="1"/>
  <c r="AH5" i="148"/>
  <c r="AH4" i="148"/>
  <c r="AH6" i="148" l="1"/>
  <c r="AQ17" i="151" l="1"/>
  <c r="AR17" i="151"/>
  <c r="AQ16" i="151"/>
  <c r="AR16" i="151"/>
  <c r="AR15" i="151"/>
  <c r="AQ15" i="151"/>
  <c r="AR13" i="151"/>
  <c r="AQ13" i="151"/>
  <c r="AQ19" i="151"/>
  <c r="AR19" i="151"/>
  <c r="AQ18" i="151"/>
  <c r="AR18" i="151"/>
  <c r="AR14" i="151"/>
  <c r="AQ14" i="151"/>
  <c r="BD94" i="140" l="1"/>
  <c r="BD454" i="181"/>
  <c r="BH454" i="181" s="1"/>
  <c r="BE94" i="140"/>
  <c r="BE454" i="181"/>
  <c r="BI454" i="181" s="1"/>
  <c r="BD97" i="140"/>
  <c r="BH97" i="140" s="1"/>
  <c r="BD481" i="181"/>
  <c r="BH481" i="181" s="1"/>
  <c r="BD100" i="140"/>
  <c r="BD508" i="181"/>
  <c r="BH508" i="181" s="1"/>
  <c r="BJ508" i="181" s="1"/>
  <c r="BE98" i="140"/>
  <c r="BE490" i="181"/>
  <c r="BI490" i="181" s="1"/>
  <c r="BE99" i="140"/>
  <c r="BI99" i="140" s="1"/>
  <c r="BE499" i="181"/>
  <c r="BI499" i="181" s="1"/>
  <c r="BD99" i="140"/>
  <c r="BD499" i="181"/>
  <c r="BH499" i="181" s="1"/>
  <c r="BE100" i="140"/>
  <c r="BE508" i="181"/>
  <c r="BI508" i="181" s="1"/>
  <c r="BD96" i="140"/>
  <c r="BD472" i="181"/>
  <c r="BH472" i="181" s="1"/>
  <c r="BE96" i="140"/>
  <c r="BE472" i="181"/>
  <c r="BI472" i="181" s="1"/>
  <c r="BE97" i="140"/>
  <c r="BE481" i="181"/>
  <c r="BI481" i="181" s="1"/>
  <c r="BD95" i="140"/>
  <c r="BH95" i="140" s="1"/>
  <c r="BD463" i="181"/>
  <c r="BH463" i="181" s="1"/>
  <c r="BJ463" i="181" s="1"/>
  <c r="BE95" i="140"/>
  <c r="BE463" i="181"/>
  <c r="BI463" i="181" s="1"/>
  <c r="BD98" i="140"/>
  <c r="BD490" i="181"/>
  <c r="BH490" i="181" s="1"/>
  <c r="BH99" i="140"/>
  <c r="BH94" i="140"/>
  <c r="BI95" i="140"/>
  <c r="BH96" i="140"/>
  <c r="BH100" i="140"/>
  <c r="BI97" i="140"/>
  <c r="BI98" i="140"/>
  <c r="BI94" i="140"/>
  <c r="BH98" i="140"/>
  <c r="BI100" i="140"/>
  <c r="BI96" i="140"/>
  <c r="BH104" i="140"/>
  <c r="BI104" i="140"/>
  <c r="BH92" i="140"/>
  <c r="BI93" i="140"/>
  <c r="BI92" i="140"/>
  <c r="BH93" i="140"/>
  <c r="BJ472" i="181" l="1"/>
  <c r="BJ481" i="181"/>
  <c r="BJ499" i="181"/>
  <c r="BJ454" i="181"/>
  <c r="BK454" i="181"/>
  <c r="BJ490" i="181"/>
  <c r="BK104" i="140"/>
  <c r="BJ104" i="140"/>
  <c r="BJ100" i="140"/>
  <c r="BJ99" i="140"/>
  <c r="BJ96" i="140"/>
  <c r="BJ94" i="140"/>
  <c r="BJ93" i="140"/>
  <c r="BJ98" i="140"/>
  <c r="BJ92" i="140"/>
  <c r="BJ97" i="140"/>
  <c r="BJ95" i="140"/>
  <c r="E54" i="148"/>
  <c r="F54" i="148"/>
  <c r="G54" i="148"/>
  <c r="H54" i="148"/>
  <c r="I54" i="148"/>
  <c r="J54" i="148"/>
  <c r="K54" i="148"/>
  <c r="L54" i="148"/>
  <c r="AH77" i="148" l="1"/>
  <c r="Y71" i="147" l="1"/>
  <c r="P71" i="147"/>
  <c r="AB71" i="147"/>
  <c r="AC71" i="147"/>
  <c r="N71" i="147"/>
  <c r="AD71" i="147"/>
  <c r="L71" i="147"/>
  <c r="Z71" i="147"/>
  <c r="AA71" i="147"/>
  <c r="K71" i="147"/>
  <c r="O71" i="147"/>
  <c r="G71" i="147"/>
  <c r="M71" i="147"/>
  <c r="E71" i="147"/>
  <c r="I71" i="147"/>
  <c r="F71" i="147"/>
  <c r="H71" i="147"/>
  <c r="AI501" i="150" l="1"/>
  <c r="AI488" i="150"/>
  <c r="Z12" i="140" l="1"/>
  <c r="AA12" i="140" s="1"/>
  <c r="X12" i="140" l="1"/>
  <c r="AH93" i="148" l="1"/>
  <c r="AH94" i="148"/>
  <c r="AG92" i="148" l="1"/>
  <c r="AF92" i="148"/>
  <c r="AE92" i="148"/>
  <c r="AD92" i="148"/>
  <c r="AC92" i="148"/>
  <c r="AB92" i="148"/>
  <c r="AA92" i="148"/>
  <c r="Z92" i="148"/>
  <c r="Y92" i="148"/>
  <c r="X92" i="148"/>
  <c r="W92" i="148"/>
  <c r="V92" i="148"/>
  <c r="U92" i="148"/>
  <c r="T92" i="148"/>
  <c r="S92" i="148"/>
  <c r="R92" i="148"/>
  <c r="Q92" i="148"/>
  <c r="P92" i="148"/>
  <c r="O92" i="148"/>
  <c r="N92" i="148"/>
  <c r="M92" i="148"/>
  <c r="L92" i="148"/>
  <c r="K92" i="148"/>
  <c r="J92" i="148"/>
  <c r="I92" i="148"/>
  <c r="H92" i="148"/>
  <c r="G92" i="148"/>
  <c r="F92" i="148"/>
  <c r="E92" i="148"/>
  <c r="D92" i="148"/>
  <c r="C92" i="148"/>
  <c r="AH91" i="148"/>
  <c r="AH90" i="148"/>
  <c r="AJ90" i="148" s="1"/>
  <c r="AH92" i="148" l="1"/>
  <c r="AJ91" i="148"/>
  <c r="AJ92" i="148" s="1"/>
  <c r="AE508" i="181" s="1"/>
  <c r="AE100" i="140" l="1"/>
  <c r="AG83" i="148"/>
  <c r="AF83" i="148"/>
  <c r="AE83" i="148"/>
  <c r="AD83" i="148"/>
  <c r="AC83" i="148"/>
  <c r="AB83" i="148"/>
  <c r="AA83" i="148"/>
  <c r="Z83" i="148"/>
  <c r="Y83" i="148"/>
  <c r="X83" i="148"/>
  <c r="W83" i="148"/>
  <c r="V83" i="148"/>
  <c r="U83" i="148"/>
  <c r="T83" i="148"/>
  <c r="S83" i="148"/>
  <c r="R83" i="148"/>
  <c r="Q83" i="148"/>
  <c r="P83" i="148"/>
  <c r="O83" i="148"/>
  <c r="N83" i="148"/>
  <c r="M83" i="148"/>
  <c r="L83" i="148"/>
  <c r="K83" i="148"/>
  <c r="J83" i="148"/>
  <c r="I83" i="148"/>
  <c r="H83" i="148"/>
  <c r="G83" i="148"/>
  <c r="F83" i="148"/>
  <c r="E83" i="148"/>
  <c r="D83" i="148"/>
  <c r="C83" i="148"/>
  <c r="AH82" i="148"/>
  <c r="AJ82" i="148" s="1"/>
  <c r="AH81" i="148"/>
  <c r="AH83" i="148" l="1"/>
  <c r="AJ81" i="148"/>
  <c r="AJ83" i="148" s="1"/>
  <c r="AE418" i="181" s="1"/>
  <c r="BM418" i="181" l="1"/>
  <c r="AO418" i="181"/>
  <c r="BC418" i="181" s="1"/>
  <c r="AE90" i="140"/>
  <c r="AH108" i="148"/>
  <c r="D113" i="148"/>
  <c r="E113" i="148"/>
  <c r="F113" i="148"/>
  <c r="G113" i="148"/>
  <c r="H113" i="148"/>
  <c r="I113" i="148"/>
  <c r="J113" i="148"/>
  <c r="K113" i="148"/>
  <c r="L113" i="148"/>
  <c r="M113" i="148"/>
  <c r="N113" i="148"/>
  <c r="O113" i="148"/>
  <c r="P113" i="148"/>
  <c r="Q113" i="148"/>
  <c r="R113" i="148"/>
  <c r="S113" i="148"/>
  <c r="T113" i="148"/>
  <c r="U113" i="148"/>
  <c r="V113" i="148"/>
  <c r="W113" i="148"/>
  <c r="X113" i="148"/>
  <c r="Y113" i="148"/>
  <c r="Z113" i="148"/>
  <c r="AA113" i="148"/>
  <c r="AB113" i="148"/>
  <c r="AC113" i="148"/>
  <c r="AD113" i="148"/>
  <c r="AE113" i="148"/>
  <c r="AF113" i="148"/>
  <c r="AG113" i="148"/>
  <c r="AI113" i="148"/>
  <c r="C113" i="148"/>
  <c r="L57" i="178" l="1"/>
  <c r="AE57" i="178" s="1"/>
  <c r="AH112" i="148"/>
  <c r="AJ112" i="148" s="1"/>
  <c r="AI55" i="151" l="1"/>
  <c r="AM55" i="151"/>
  <c r="AR55" i="151"/>
  <c r="AJ55" i="151"/>
  <c r="AN55" i="151"/>
  <c r="AN56" i="151" s="1"/>
  <c r="AK55" i="151"/>
  <c r="AK56" i="151" s="1"/>
  <c r="AO55" i="151"/>
  <c r="AL55" i="151"/>
  <c r="N680" i="181" s="1"/>
  <c r="AQ55" i="151"/>
  <c r="BD137" i="140" l="1"/>
  <c r="BD138" i="140" s="1"/>
  <c r="BD680" i="181"/>
  <c r="O680" i="181"/>
  <c r="O681" i="181" s="1"/>
  <c r="N681" i="181"/>
  <c r="N683" i="181" s="1"/>
  <c r="J137" i="140"/>
  <c r="J138" i="140" s="1"/>
  <c r="J680" i="181"/>
  <c r="BE137" i="140"/>
  <c r="BE138" i="140" s="1"/>
  <c r="BE680" i="181"/>
  <c r="P137" i="140"/>
  <c r="P138" i="140" s="1"/>
  <c r="P680" i="181"/>
  <c r="H137" i="140"/>
  <c r="H138" i="140" s="1"/>
  <c r="H680" i="181"/>
  <c r="AL56" i="151"/>
  <c r="N137" i="140"/>
  <c r="N138" i="140" s="1"/>
  <c r="BH137" i="140"/>
  <c r="BH138" i="140" s="1"/>
  <c r="S137" i="140"/>
  <c r="S138" i="140" s="1"/>
  <c r="O109" i="140"/>
  <c r="I109" i="140"/>
  <c r="AO56" i="151"/>
  <c r="AR56" i="151"/>
  <c r="AJ56" i="151"/>
  <c r="AM56" i="151"/>
  <c r="AQ56" i="151"/>
  <c r="AI56" i="151"/>
  <c r="AG86" i="148"/>
  <c r="AF86" i="148"/>
  <c r="AE86" i="148"/>
  <c r="AD86" i="148"/>
  <c r="AC86" i="148"/>
  <c r="AB86" i="148"/>
  <c r="AA86" i="148"/>
  <c r="Z86" i="148"/>
  <c r="Y86" i="148"/>
  <c r="X86" i="148"/>
  <c r="W86" i="148"/>
  <c r="V86" i="148"/>
  <c r="U86" i="148"/>
  <c r="T86" i="148"/>
  <c r="S86" i="148"/>
  <c r="R86" i="148"/>
  <c r="Q86" i="148"/>
  <c r="P86" i="148"/>
  <c r="O86" i="148"/>
  <c r="N86" i="148"/>
  <c r="M86" i="148"/>
  <c r="L86" i="148"/>
  <c r="K86" i="148"/>
  <c r="J86" i="148"/>
  <c r="I86" i="148"/>
  <c r="H86" i="148"/>
  <c r="G86" i="148"/>
  <c r="F86" i="148"/>
  <c r="E86" i="148"/>
  <c r="D86" i="148"/>
  <c r="C86" i="148"/>
  <c r="AH85" i="148"/>
  <c r="AJ85" i="148" s="1"/>
  <c r="AH84" i="148"/>
  <c r="BI137" i="140" l="1"/>
  <c r="BI138" i="140" s="1"/>
  <c r="Q680" i="181"/>
  <c r="Q681" i="181" s="1"/>
  <c r="V680" i="181"/>
  <c r="P681" i="181"/>
  <c r="P683" i="181" s="1"/>
  <c r="BI680" i="181"/>
  <c r="BI681" i="181" s="1"/>
  <c r="BE681" i="181"/>
  <c r="K137" i="140"/>
  <c r="K138" i="140" s="1"/>
  <c r="V137" i="140"/>
  <c r="V138" i="140" s="1"/>
  <c r="Q137" i="140"/>
  <c r="Q138" i="140" s="1"/>
  <c r="BH680" i="181"/>
  <c r="BD681" i="181"/>
  <c r="S680" i="181"/>
  <c r="S681" i="181" s="1"/>
  <c r="I680" i="181"/>
  <c r="H681" i="181"/>
  <c r="H683" i="181" s="1"/>
  <c r="I137" i="140"/>
  <c r="I138" i="140" s="1"/>
  <c r="K680" i="181"/>
  <c r="K681" i="181" s="1"/>
  <c r="J681" i="181"/>
  <c r="J683" i="181" s="1"/>
  <c r="BJ137" i="140"/>
  <c r="BJ138" i="140" s="1"/>
  <c r="O137" i="140"/>
  <c r="O138" i="140" s="1"/>
  <c r="M109" i="140"/>
  <c r="K109" i="140"/>
  <c r="AH86" i="148"/>
  <c r="AJ84" i="148"/>
  <c r="AJ86" i="148" s="1"/>
  <c r="BG680" i="181" l="1"/>
  <c r="V681" i="181"/>
  <c r="BJ680" i="181"/>
  <c r="BJ681" i="181" s="1"/>
  <c r="BH681" i="181"/>
  <c r="BG137" i="140"/>
  <c r="I681" i="181"/>
  <c r="AO680" i="181"/>
  <c r="BK137" i="140"/>
  <c r="BK138" i="140" s="1"/>
  <c r="BG138" i="140"/>
  <c r="AO137" i="140"/>
  <c r="F29" i="151"/>
  <c r="BC680" i="181" l="1"/>
  <c r="BC681" i="181" s="1"/>
  <c r="AO681" i="181"/>
  <c r="BK680" i="181"/>
  <c r="BK681" i="181" s="1"/>
  <c r="BG681" i="181"/>
  <c r="BC137" i="140"/>
  <c r="D86" i="178" s="1"/>
  <c r="F86" i="178" s="1"/>
  <c r="AO138" i="140"/>
  <c r="AO107" i="140"/>
  <c r="BC107" i="140" s="1"/>
  <c r="AA102" i="140"/>
  <c r="AA103" i="140"/>
  <c r="C68" i="175" l="1"/>
  <c r="D74" i="178"/>
  <c r="F74" i="178" s="1"/>
  <c r="X86" i="178"/>
  <c r="AG86" i="178"/>
  <c r="AF86" i="178"/>
  <c r="C79" i="175"/>
  <c r="C80" i="175" s="1"/>
  <c r="BC138" i="140"/>
  <c r="H79" i="175"/>
  <c r="H80" i="175" s="1"/>
  <c r="F81" i="178"/>
  <c r="AF81" i="178" s="1"/>
  <c r="AS102" i="140"/>
  <c r="AT102" i="140"/>
  <c r="AS103" i="140"/>
  <c r="AT103" i="140"/>
  <c r="BO103" i="140" s="1"/>
  <c r="AF74" i="178" l="1"/>
  <c r="AG74" i="178"/>
  <c r="AG81" i="178"/>
  <c r="H68" i="175"/>
  <c r="AW102" i="140"/>
  <c r="AW103" i="140"/>
  <c r="BO102" i="140"/>
  <c r="BG101" i="140" l="1"/>
  <c r="BK101" i="140" s="1"/>
  <c r="AJ14" i="151"/>
  <c r="AL14" i="151"/>
  <c r="AN14" i="151"/>
  <c r="AH14" i="151"/>
  <c r="AI14" i="151"/>
  <c r="AK14" i="151"/>
  <c r="AM14" i="151"/>
  <c r="AO14" i="151"/>
  <c r="AJ16" i="151"/>
  <c r="AL16" i="151"/>
  <c r="AN16" i="151"/>
  <c r="AH16" i="151"/>
  <c r="AI16" i="151"/>
  <c r="AK16" i="151"/>
  <c r="AM16" i="151"/>
  <c r="AO16" i="151"/>
  <c r="AH17" i="151"/>
  <c r="AI17" i="151"/>
  <c r="AK17" i="151"/>
  <c r="AM17" i="151"/>
  <c r="AO17" i="151"/>
  <c r="AJ17" i="151"/>
  <c r="AL17" i="151"/>
  <c r="AN17" i="151"/>
  <c r="AG29" i="151"/>
  <c r="AE29" i="151"/>
  <c r="AC29" i="151"/>
  <c r="AA29" i="151"/>
  <c r="Y29" i="151"/>
  <c r="W29" i="151"/>
  <c r="U29" i="151"/>
  <c r="S29" i="151"/>
  <c r="Q29" i="151"/>
  <c r="O29" i="151"/>
  <c r="M29" i="151"/>
  <c r="K29" i="151"/>
  <c r="I29" i="151"/>
  <c r="G29" i="151"/>
  <c r="AH15" i="151"/>
  <c r="AI15" i="151"/>
  <c r="AK15" i="151"/>
  <c r="AM15" i="151"/>
  <c r="AO15" i="151"/>
  <c r="AJ15" i="151"/>
  <c r="AL15" i="151"/>
  <c r="AN15" i="151"/>
  <c r="AH18" i="151"/>
  <c r="AJ18" i="151"/>
  <c r="AL18" i="151"/>
  <c r="AN18" i="151"/>
  <c r="AI18" i="151"/>
  <c r="AK18" i="151"/>
  <c r="AM18" i="151"/>
  <c r="AO18" i="151"/>
  <c r="AH19" i="151"/>
  <c r="AJ19" i="151"/>
  <c r="AL19" i="151"/>
  <c r="AN19" i="151"/>
  <c r="AI19" i="151"/>
  <c r="AK19" i="151"/>
  <c r="AM19" i="151"/>
  <c r="AO19" i="151"/>
  <c r="AF29" i="151"/>
  <c r="AD29" i="151"/>
  <c r="AB29" i="151"/>
  <c r="Z29" i="151"/>
  <c r="X29" i="151"/>
  <c r="T29" i="151"/>
  <c r="R29" i="151"/>
  <c r="P29" i="151"/>
  <c r="N29" i="151"/>
  <c r="L29" i="151"/>
  <c r="J29" i="151"/>
  <c r="H29" i="151"/>
  <c r="E29" i="151"/>
  <c r="H100" i="140" l="1"/>
  <c r="H508" i="181"/>
  <c r="I508" i="181" s="1"/>
  <c r="R100" i="140"/>
  <c r="S100" i="140" s="1"/>
  <c r="R508" i="181"/>
  <c r="S508" i="181" s="1"/>
  <c r="N100" i="140"/>
  <c r="N508" i="181"/>
  <c r="O508" i="181" s="1"/>
  <c r="J96" i="140"/>
  <c r="J472" i="181"/>
  <c r="K472" i="181" s="1"/>
  <c r="T95" i="140"/>
  <c r="U95" i="140" s="1"/>
  <c r="T463" i="181"/>
  <c r="E100" i="140"/>
  <c r="G100" i="140" s="1"/>
  <c r="E508" i="181"/>
  <c r="G508" i="181" s="1"/>
  <c r="T96" i="140"/>
  <c r="U96" i="140" s="1"/>
  <c r="T472" i="181"/>
  <c r="L98" i="140"/>
  <c r="L490" i="181"/>
  <c r="M490" i="181" s="1"/>
  <c r="P95" i="140"/>
  <c r="P463" i="181"/>
  <c r="Q463" i="181" s="1"/>
  <c r="R96" i="140"/>
  <c r="S96" i="140" s="1"/>
  <c r="R472" i="181"/>
  <c r="S472" i="181" s="1"/>
  <c r="T98" i="140"/>
  <c r="U98" i="140" s="1"/>
  <c r="T490" i="181"/>
  <c r="L95" i="140"/>
  <c r="M95" i="140" s="1"/>
  <c r="L463" i="181"/>
  <c r="M463" i="181" s="1"/>
  <c r="H96" i="140"/>
  <c r="H472" i="181"/>
  <c r="I472" i="181" s="1"/>
  <c r="E95" i="140"/>
  <c r="E463" i="181"/>
  <c r="G463" i="181" s="1"/>
  <c r="E96" i="140"/>
  <c r="G96" i="140" s="1"/>
  <c r="E472" i="181"/>
  <c r="G472" i="181" s="1"/>
  <c r="T100" i="140"/>
  <c r="U100" i="140" s="1"/>
  <c r="T508" i="181"/>
  <c r="L97" i="140"/>
  <c r="M97" i="140" s="1"/>
  <c r="L481" i="181"/>
  <c r="M481" i="181" s="1"/>
  <c r="N95" i="140"/>
  <c r="O95" i="140" s="1"/>
  <c r="N463" i="181"/>
  <c r="O463" i="181" s="1"/>
  <c r="N98" i="140"/>
  <c r="N490" i="181"/>
  <c r="O490" i="181" s="1"/>
  <c r="J98" i="140"/>
  <c r="J490" i="181"/>
  <c r="K490" i="181" s="1"/>
  <c r="J97" i="140"/>
  <c r="K97" i="140" s="1"/>
  <c r="J481" i="181"/>
  <c r="K481" i="181" s="1"/>
  <c r="T99" i="140"/>
  <c r="U99" i="140" s="1"/>
  <c r="T499" i="181"/>
  <c r="L96" i="140"/>
  <c r="M96" i="140" s="1"/>
  <c r="L472" i="181"/>
  <c r="M472" i="181" s="1"/>
  <c r="L99" i="140"/>
  <c r="L499" i="181"/>
  <c r="M499" i="181" s="1"/>
  <c r="R95" i="140"/>
  <c r="S95" i="140" s="1"/>
  <c r="R463" i="181"/>
  <c r="S463" i="181" s="1"/>
  <c r="P100" i="140"/>
  <c r="P508" i="181"/>
  <c r="Q508" i="181" s="1"/>
  <c r="H97" i="140"/>
  <c r="I97" i="140" s="1"/>
  <c r="H481" i="181"/>
  <c r="I481" i="181" s="1"/>
  <c r="J95" i="140"/>
  <c r="K95" i="140" s="1"/>
  <c r="J463" i="181"/>
  <c r="K463" i="181" s="1"/>
  <c r="E99" i="140"/>
  <c r="G99" i="140" s="1"/>
  <c r="E499" i="181"/>
  <c r="G499" i="181" s="1"/>
  <c r="R97" i="140"/>
  <c r="S97" i="140" s="1"/>
  <c r="R481" i="181"/>
  <c r="S481" i="181" s="1"/>
  <c r="N97" i="140"/>
  <c r="N481" i="181"/>
  <c r="O481" i="181" s="1"/>
  <c r="N96" i="140"/>
  <c r="N472" i="181"/>
  <c r="O472" i="181" s="1"/>
  <c r="J100" i="140"/>
  <c r="J508" i="181"/>
  <c r="K508" i="181" s="1"/>
  <c r="P98" i="140"/>
  <c r="Q98" i="140" s="1"/>
  <c r="P490" i="181"/>
  <c r="Q490" i="181" s="1"/>
  <c r="P96" i="140"/>
  <c r="Q96" i="140" s="1"/>
  <c r="P472" i="181"/>
  <c r="Q472" i="181" s="1"/>
  <c r="H98" i="140"/>
  <c r="I98" i="140" s="1"/>
  <c r="H490" i="181"/>
  <c r="I490" i="181" s="1"/>
  <c r="P99" i="140"/>
  <c r="P499" i="181"/>
  <c r="Q499" i="181" s="1"/>
  <c r="E98" i="140"/>
  <c r="E490" i="181"/>
  <c r="G490" i="181" s="1"/>
  <c r="H95" i="140"/>
  <c r="H463" i="181"/>
  <c r="I463" i="181" s="1"/>
  <c r="T97" i="140"/>
  <c r="U97" i="140" s="1"/>
  <c r="T481" i="181"/>
  <c r="H99" i="140"/>
  <c r="I99" i="140" s="1"/>
  <c r="H499" i="181"/>
  <c r="I499" i="181" s="1"/>
  <c r="P97" i="140"/>
  <c r="P481" i="181"/>
  <c r="Q481" i="181" s="1"/>
  <c r="R99" i="140"/>
  <c r="S99" i="140" s="1"/>
  <c r="R499" i="181"/>
  <c r="S499" i="181" s="1"/>
  <c r="N99" i="140"/>
  <c r="N499" i="181"/>
  <c r="O499" i="181" s="1"/>
  <c r="L100" i="140"/>
  <c r="L508" i="181"/>
  <c r="M508" i="181" s="1"/>
  <c r="J99" i="140"/>
  <c r="J499" i="181"/>
  <c r="K499" i="181" s="1"/>
  <c r="R98" i="140"/>
  <c r="S98" i="140" s="1"/>
  <c r="R490" i="181"/>
  <c r="S490" i="181" s="1"/>
  <c r="E97" i="140"/>
  <c r="G97" i="140" s="1"/>
  <c r="E481" i="181"/>
  <c r="G481" i="181" s="1"/>
  <c r="G98" i="140"/>
  <c r="G95" i="140"/>
  <c r="K98" i="140"/>
  <c r="Q100" i="140"/>
  <c r="O100" i="140"/>
  <c r="Q99" i="140"/>
  <c r="O99" i="140"/>
  <c r="O96" i="140"/>
  <c r="I95" i="140"/>
  <c r="O97" i="140"/>
  <c r="M100" i="140"/>
  <c r="K100" i="140"/>
  <c r="M99" i="140"/>
  <c r="K99" i="140"/>
  <c r="K96" i="140"/>
  <c r="I96" i="140"/>
  <c r="I100" i="140"/>
  <c r="O98" i="140"/>
  <c r="M98" i="140"/>
  <c r="Q97" i="140"/>
  <c r="Q95" i="140"/>
  <c r="V93" i="140"/>
  <c r="V92" i="140"/>
  <c r="V94" i="140"/>
  <c r="AP17" i="151"/>
  <c r="AT17" i="151" s="1"/>
  <c r="AP16" i="151"/>
  <c r="AT16" i="151" s="1"/>
  <c r="AP14" i="151"/>
  <c r="AT14" i="151" s="1"/>
  <c r="AP13" i="151"/>
  <c r="AT13" i="151" s="1"/>
  <c r="AP19" i="151"/>
  <c r="AT19" i="151" s="1"/>
  <c r="AP18" i="151"/>
  <c r="AT18" i="151" s="1"/>
  <c r="AP15" i="151"/>
  <c r="AT15" i="151" s="1"/>
  <c r="U490" i="181" l="1"/>
  <c r="V490" i="181"/>
  <c r="U508" i="181"/>
  <c r="V508" i="181"/>
  <c r="U481" i="181"/>
  <c r="V481" i="181"/>
  <c r="U463" i="181"/>
  <c r="V463" i="181"/>
  <c r="U472" i="181"/>
  <c r="V472" i="181"/>
  <c r="V499" i="181"/>
  <c r="U499" i="181"/>
  <c r="V97" i="140"/>
  <c r="BG97" i="140" s="1"/>
  <c r="BK97" i="140" s="1"/>
  <c r="V96" i="140"/>
  <c r="BG96" i="140" s="1"/>
  <c r="BK96" i="140" s="1"/>
  <c r="V98" i="140"/>
  <c r="BG98" i="140" s="1"/>
  <c r="BK98" i="140" s="1"/>
  <c r="V99" i="140"/>
  <c r="BG99" i="140" s="1"/>
  <c r="BK99" i="140" s="1"/>
  <c r="V100" i="140"/>
  <c r="BG100" i="140" s="1"/>
  <c r="BK100" i="140" s="1"/>
  <c r="V95" i="140"/>
  <c r="BG95" i="140" s="1"/>
  <c r="BK95" i="140" s="1"/>
  <c r="BG94" i="140"/>
  <c r="BG93" i="140"/>
  <c r="BK93" i="140" s="1"/>
  <c r="BG92" i="140"/>
  <c r="BK92" i="140" s="1"/>
  <c r="AJ60" i="153"/>
  <c r="X499" i="181" l="1"/>
  <c r="BG499" i="181"/>
  <c r="BK499" i="181" s="1"/>
  <c r="BG481" i="181"/>
  <c r="BK481" i="181" s="1"/>
  <c r="X481" i="181"/>
  <c r="X472" i="181"/>
  <c r="BG472" i="181"/>
  <c r="BK472" i="181" s="1"/>
  <c r="X490" i="181"/>
  <c r="BG490" i="181"/>
  <c r="BK490" i="181" s="1"/>
  <c r="X508" i="181"/>
  <c r="BM508" i="181" s="1"/>
  <c r="BG508" i="181"/>
  <c r="BK508" i="181" s="1"/>
  <c r="X463" i="181"/>
  <c r="BM463" i="181" s="1"/>
  <c r="BG463" i="181"/>
  <c r="BK463" i="181" s="1"/>
  <c r="BK94" i="140"/>
  <c r="X99" i="140"/>
  <c r="X94" i="140"/>
  <c r="X95" i="140"/>
  <c r="O62" i="178" s="1"/>
  <c r="AE62" i="178" s="1"/>
  <c r="X97" i="140"/>
  <c r="X98" i="140"/>
  <c r="X96" i="140"/>
  <c r="BM481" i="181" l="1"/>
  <c r="AO481" i="181"/>
  <c r="BC481" i="181" s="1"/>
  <c r="BM499" i="181"/>
  <c r="AO499" i="181"/>
  <c r="BC499" i="181" s="1"/>
  <c r="AO508" i="181"/>
  <c r="BC508" i="181" s="1"/>
  <c r="BM490" i="181"/>
  <c r="AO490" i="181"/>
  <c r="BC490" i="181" s="1"/>
  <c r="AO463" i="181"/>
  <c r="BC463" i="181" s="1"/>
  <c r="AE63" i="178"/>
  <c r="AG46" i="148"/>
  <c r="AH111" i="148" l="1"/>
  <c r="AJ111" i="148" l="1"/>
  <c r="AH110" i="148"/>
  <c r="AH109" i="148"/>
  <c r="AJ109" i="148" s="1"/>
  <c r="AJ225" i="181" s="1"/>
  <c r="AJ108" i="148"/>
  <c r="AJ126" i="181" s="1"/>
  <c r="BM126" i="181" l="1"/>
  <c r="AO126" i="181"/>
  <c r="BC126" i="181" s="1"/>
  <c r="BM225" i="181"/>
  <c r="AO225" i="181"/>
  <c r="BC225" i="181" s="1"/>
  <c r="AJ22" i="140"/>
  <c r="AJ33" i="140"/>
  <c r="AJ110" i="148"/>
  <c r="AH113" i="148"/>
  <c r="AJ38" i="140" l="1"/>
  <c r="AJ270" i="181"/>
  <c r="AJ42" i="140"/>
  <c r="AJ113" i="148"/>
  <c r="AJ299" i="181" s="1"/>
  <c r="AH153" i="140"/>
  <c r="BM270" i="181" l="1"/>
  <c r="AO270" i="181"/>
  <c r="BC270" i="181" s="1"/>
  <c r="AJ298" i="181"/>
  <c r="AJ300" i="181" s="1"/>
  <c r="AJ43" i="140"/>
  <c r="AJ44" i="140" s="1"/>
  <c r="AZ9" i="140"/>
  <c r="AP10" i="140"/>
  <c r="AQ10" i="140"/>
  <c r="AS10" i="140"/>
  <c r="AU10" i="140"/>
  <c r="AV10" i="140"/>
  <c r="AZ10" i="140"/>
  <c r="AZ42" i="140" l="1"/>
  <c r="G109" i="140"/>
  <c r="AP55" i="151"/>
  <c r="AP56" i="151" s="1"/>
  <c r="V682" i="181" s="1"/>
  <c r="BO10" i="140"/>
  <c r="AH56" i="151"/>
  <c r="AR10" i="140"/>
  <c r="AW10" i="140"/>
  <c r="AK21" i="151"/>
  <c r="AL21" i="151"/>
  <c r="AO21" i="151"/>
  <c r="AQ21" i="151"/>
  <c r="AJ21" i="151"/>
  <c r="AI21" i="151"/>
  <c r="AR21" i="151"/>
  <c r="AM21" i="151"/>
  <c r="AN21" i="151"/>
  <c r="AH21" i="151"/>
  <c r="J102" i="140" l="1"/>
  <c r="J526" i="181"/>
  <c r="K526" i="181" s="1"/>
  <c r="L102" i="140"/>
  <c r="L526" i="181"/>
  <c r="M526" i="181" s="1"/>
  <c r="R102" i="140"/>
  <c r="S102" i="140" s="1"/>
  <c r="R526" i="181"/>
  <c r="S526" i="181" s="1"/>
  <c r="BD102" i="140"/>
  <c r="BD526" i="181"/>
  <c r="BH526" i="181" s="1"/>
  <c r="BJ526" i="181" s="1"/>
  <c r="P102" i="140"/>
  <c r="Q102" i="140" s="1"/>
  <c r="P526" i="181"/>
  <c r="Q526" i="181" s="1"/>
  <c r="N102" i="140"/>
  <c r="O102" i="140" s="1"/>
  <c r="N526" i="181"/>
  <c r="O526" i="181" s="1"/>
  <c r="E102" i="140"/>
  <c r="E526" i="181"/>
  <c r="G526" i="181" s="1"/>
  <c r="BE102" i="140"/>
  <c r="BE526" i="181"/>
  <c r="BI526" i="181" s="1"/>
  <c r="T102" i="140"/>
  <c r="U102" i="140" s="1"/>
  <c r="T526" i="181"/>
  <c r="H102" i="140"/>
  <c r="H526" i="181"/>
  <c r="I526" i="181" s="1"/>
  <c r="V139" i="140"/>
  <c r="G103" i="140"/>
  <c r="G102" i="140"/>
  <c r="K103" i="140"/>
  <c r="Q103" i="140"/>
  <c r="M103" i="140"/>
  <c r="K102" i="140"/>
  <c r="M102" i="140"/>
  <c r="BI103" i="140"/>
  <c r="BH102" i="140"/>
  <c r="BH103" i="140"/>
  <c r="I102" i="140"/>
  <c r="O103" i="140"/>
  <c r="BI102" i="140"/>
  <c r="I103" i="140"/>
  <c r="AT55" i="151"/>
  <c r="AP21" i="151"/>
  <c r="U526" i="181" l="1"/>
  <c r="V526" i="181"/>
  <c r="V102" i="140"/>
  <c r="V103" i="140"/>
  <c r="BJ103" i="140"/>
  <c r="BJ102" i="140"/>
  <c r="AT21" i="151"/>
  <c r="BG526" i="181" l="1"/>
  <c r="BK526" i="181" s="1"/>
  <c r="X526" i="181"/>
  <c r="X102" i="140"/>
  <c r="X103" i="140"/>
  <c r="BG102" i="140"/>
  <c r="BG103" i="140"/>
  <c r="BK103" i="140" s="1"/>
  <c r="AA99" i="140"/>
  <c r="AA98" i="140"/>
  <c r="BM98" i="140" s="1"/>
  <c r="BM526" i="181" l="1"/>
  <c r="AO526" i="181"/>
  <c r="BC526" i="181" s="1"/>
  <c r="BK102" i="140"/>
  <c r="AO99" i="140"/>
  <c r="AO98" i="140"/>
  <c r="AS99" i="140"/>
  <c r="AT99" i="140"/>
  <c r="AS98" i="140"/>
  <c r="AT98" i="140"/>
  <c r="BO98" i="140" s="1"/>
  <c r="BM99" i="140"/>
  <c r="BC99" i="140" l="1"/>
  <c r="BC98" i="140"/>
  <c r="AW99" i="140"/>
  <c r="BO99" i="140"/>
  <c r="AW98" i="140"/>
  <c r="C60" i="175" l="1"/>
  <c r="D66" i="178"/>
  <c r="F66" i="178" s="1"/>
  <c r="C59" i="175"/>
  <c r="H59" i="175" s="1"/>
  <c r="D65" i="178"/>
  <c r="F65" i="178" s="1"/>
  <c r="H60" i="175" l="1"/>
  <c r="AA100" i="140"/>
  <c r="AS100" i="140" l="1"/>
  <c r="AT100" i="140"/>
  <c r="BO100" i="140" s="1"/>
  <c r="AW100" i="140" l="1"/>
  <c r="X100" i="140"/>
  <c r="AA15" i="140"/>
  <c r="AA97" i="140" l="1"/>
  <c r="AA96" i="140"/>
  <c r="BM97" i="140" l="1"/>
  <c r="AO97" i="140"/>
  <c r="AT97" i="140"/>
  <c r="AS97" i="140"/>
  <c r="AT96" i="140"/>
  <c r="AS96" i="140"/>
  <c r="BO96" i="140" l="1"/>
  <c r="BC97" i="140"/>
  <c r="AW97" i="140"/>
  <c r="AW96" i="140"/>
  <c r="BO97" i="140"/>
  <c r="C40" i="147"/>
  <c r="C58" i="175" l="1"/>
  <c r="H58" i="175" s="1"/>
  <c r="D64" i="178"/>
  <c r="F64" i="178" s="1"/>
  <c r="AJ243" i="153"/>
  <c r="AL243" i="153" s="1"/>
  <c r="AH66" i="148" l="1"/>
  <c r="AH65" i="148"/>
  <c r="AH63" i="148"/>
  <c r="AH62" i="148"/>
  <c r="AJ268" i="153" l="1"/>
  <c r="AL268" i="153" s="1"/>
  <c r="AJ236" i="153"/>
  <c r="AL236" i="153" s="1"/>
  <c r="AJ199" i="153"/>
  <c r="AL199" i="153" s="1"/>
  <c r="AJ168" i="153"/>
  <c r="AL168" i="153" s="1"/>
  <c r="AJ130" i="153"/>
  <c r="AL130" i="153" s="1"/>
  <c r="AJ97" i="153"/>
  <c r="AL97" i="153" s="1"/>
  <c r="AL60" i="153"/>
  <c r="AJ29" i="153"/>
  <c r="AL29" i="153" s="1"/>
  <c r="AZ61" i="140"/>
  <c r="AZ69" i="140" s="1"/>
  <c r="AF40" i="147" l="1"/>
  <c r="D41" i="147"/>
  <c r="K41" i="147"/>
  <c r="R41" i="147"/>
  <c r="S41" i="147"/>
  <c r="Y41" i="147"/>
  <c r="AF41" i="147"/>
  <c r="D42" i="147"/>
  <c r="K42" i="147"/>
  <c r="R42" i="147"/>
  <c r="S42" i="147"/>
  <c r="Y42" i="147"/>
  <c r="AF42" i="147"/>
  <c r="D43" i="147"/>
  <c r="K43" i="147"/>
  <c r="R43" i="147"/>
  <c r="S43" i="147"/>
  <c r="Y43" i="147"/>
  <c r="AF43" i="147"/>
  <c r="D44" i="147"/>
  <c r="K44" i="147"/>
  <c r="R44" i="147"/>
  <c r="S44" i="147"/>
  <c r="Y44" i="147"/>
  <c r="AF44" i="147"/>
  <c r="D45" i="147"/>
  <c r="K45" i="147"/>
  <c r="R45" i="147"/>
  <c r="S45" i="147"/>
  <c r="Y45" i="147"/>
  <c r="AF45" i="147"/>
  <c r="D46" i="147"/>
  <c r="K46" i="147"/>
  <c r="R46" i="147"/>
  <c r="S46" i="147"/>
  <c r="Y46" i="147"/>
  <c r="AF46" i="147"/>
  <c r="D47" i="147"/>
  <c r="K47" i="147"/>
  <c r="R47" i="147"/>
  <c r="S47" i="147"/>
  <c r="Y47" i="147"/>
  <c r="AF47" i="147"/>
  <c r="D48" i="147"/>
  <c r="K48" i="147"/>
  <c r="R48" i="147"/>
  <c r="S48" i="147"/>
  <c r="Y48" i="147"/>
  <c r="AF48" i="147"/>
  <c r="D49" i="147"/>
  <c r="K49" i="147"/>
  <c r="R49" i="147"/>
  <c r="S49" i="147"/>
  <c r="Y49" i="147"/>
  <c r="AF49" i="147"/>
  <c r="D50" i="147"/>
  <c r="K50" i="147"/>
  <c r="R50" i="147"/>
  <c r="S50" i="147"/>
  <c r="Y50" i="147"/>
  <c r="AF50" i="147"/>
  <c r="D51" i="147"/>
  <c r="K51" i="147"/>
  <c r="R51" i="147"/>
  <c r="S51" i="147"/>
  <c r="Y51" i="147"/>
  <c r="AF51" i="147"/>
  <c r="C51" i="147"/>
  <c r="C50" i="147"/>
  <c r="C49" i="147"/>
  <c r="C48" i="147"/>
  <c r="C47" i="147"/>
  <c r="C46" i="147"/>
  <c r="C45" i="147"/>
  <c r="C44" i="147"/>
  <c r="C43" i="147"/>
  <c r="C42" i="147"/>
  <c r="C41" i="147"/>
  <c r="D40" i="147"/>
  <c r="S40" i="147"/>
  <c r="Y40" i="147"/>
  <c r="BO90" i="140"/>
  <c r="R52" i="147" l="1"/>
  <c r="C52" i="147"/>
  <c r="AQ9" i="140"/>
  <c r="AQ42" i="140" s="1"/>
  <c r="AV9" i="140"/>
  <c r="AV42" i="140" s="1"/>
  <c r="AP9" i="140"/>
  <c r="AP42" i="140" s="1"/>
  <c r="AS9" i="140"/>
  <c r="AS42" i="140" s="1"/>
  <c r="AU9" i="140"/>
  <c r="AU42" i="140" s="1"/>
  <c r="BO9" i="140" l="1"/>
  <c r="BH90" i="140"/>
  <c r="BI90" i="140"/>
  <c r="BG90" i="140"/>
  <c r="AW9" i="140"/>
  <c r="AW42" i="140" s="1"/>
  <c r="AR9" i="140"/>
  <c r="AR42" i="140" s="1"/>
  <c r="BK90" i="140" l="1"/>
  <c r="BJ90" i="140"/>
  <c r="Y52" i="147"/>
  <c r="D52" i="147"/>
  <c r="AF52" i="147"/>
  <c r="S52" i="147" l="1"/>
  <c r="K52" i="147"/>
  <c r="AH79" i="148" l="1"/>
  <c r="AH78" i="148"/>
  <c r="AA39" i="140" l="1"/>
  <c r="AA38" i="140"/>
  <c r="AT7" i="147" l="1"/>
  <c r="BE9" i="181" s="1"/>
  <c r="AO7" i="147"/>
  <c r="AK7" i="147"/>
  <c r="L9" i="181" s="1"/>
  <c r="AN7" i="147"/>
  <c r="R9" i="181" s="1"/>
  <c r="AI7" i="147"/>
  <c r="H9" i="181" s="1"/>
  <c r="AS7" i="147"/>
  <c r="BD9" i="181" s="1"/>
  <c r="AM7" i="147"/>
  <c r="P9" i="181" s="1"/>
  <c r="AJ7" i="147"/>
  <c r="J9" i="181" s="1"/>
  <c r="AQ7" i="147"/>
  <c r="AP7" i="147"/>
  <c r="P298" i="181" l="1"/>
  <c r="Q9" i="181"/>
  <c r="Q298" i="181" s="1"/>
  <c r="S9" i="181"/>
  <c r="S298" i="181" s="1"/>
  <c r="R298" i="181"/>
  <c r="J298" i="181"/>
  <c r="K9" i="181"/>
  <c r="K298" i="181" s="1"/>
  <c r="M9" i="181"/>
  <c r="M298" i="181" s="1"/>
  <c r="L298" i="181"/>
  <c r="BH9" i="181"/>
  <c r="BD298" i="181"/>
  <c r="T9" i="181"/>
  <c r="H298" i="181"/>
  <c r="I9" i="181"/>
  <c r="I298" i="181" s="1"/>
  <c r="BI9" i="181"/>
  <c r="BI298" i="181" s="1"/>
  <c r="BE298" i="181"/>
  <c r="BE9" i="140"/>
  <c r="BE42" i="140" s="1"/>
  <c r="BD9" i="140"/>
  <c r="P9" i="140"/>
  <c r="L9" i="140"/>
  <c r="N9" i="140"/>
  <c r="J9" i="140"/>
  <c r="J42" i="140" s="1"/>
  <c r="R9" i="140"/>
  <c r="H9" i="140"/>
  <c r="H42" i="140" s="1"/>
  <c r="AI40" i="147"/>
  <c r="H299" i="181" s="1"/>
  <c r="AS40" i="147"/>
  <c r="BD299" i="181" s="1"/>
  <c r="T9" i="140"/>
  <c r="AH7" i="147"/>
  <c r="E9" i="181" s="1"/>
  <c r="BD300" i="181" l="1"/>
  <c r="BH298" i="181"/>
  <c r="BJ9" i="181"/>
  <c r="BJ298" i="181" s="1"/>
  <c r="G9" i="181"/>
  <c r="Z9" i="181"/>
  <c r="V9" i="181"/>
  <c r="H300" i="181"/>
  <c r="U9" i="181"/>
  <c r="U298" i="181" s="1"/>
  <c r="T298" i="181"/>
  <c r="BH9" i="140"/>
  <c r="BD42" i="140"/>
  <c r="BI9" i="140"/>
  <c r="AR7" i="147"/>
  <c r="O9" i="140"/>
  <c r="I9" i="140"/>
  <c r="S9" i="140"/>
  <c r="M9" i="140"/>
  <c r="K9" i="140"/>
  <c r="Q9" i="140"/>
  <c r="E9" i="140"/>
  <c r="U9" i="140"/>
  <c r="J46" i="147"/>
  <c r="J42" i="147"/>
  <c r="J49" i="147"/>
  <c r="J41" i="147"/>
  <c r="J47" i="147"/>
  <c r="J44" i="147"/>
  <c r="J45" i="147"/>
  <c r="J43" i="147"/>
  <c r="J48" i="147"/>
  <c r="J50" i="147"/>
  <c r="J51" i="147"/>
  <c r="P45" i="147"/>
  <c r="P51" i="147"/>
  <c r="P44" i="147"/>
  <c r="P42" i="147"/>
  <c r="P46" i="147"/>
  <c r="P48" i="147"/>
  <c r="P50" i="147"/>
  <c r="P43" i="147"/>
  <c r="P49" i="147"/>
  <c r="P47" i="147"/>
  <c r="N41" i="147"/>
  <c r="N46" i="147"/>
  <c r="N50" i="147"/>
  <c r="N44" i="147"/>
  <c r="N43" i="147"/>
  <c r="N47" i="147"/>
  <c r="N51" i="147"/>
  <c r="N45" i="147"/>
  <c r="N48" i="147"/>
  <c r="N42" i="147"/>
  <c r="N49" i="147"/>
  <c r="AE41" i="147"/>
  <c r="AE46" i="147"/>
  <c r="AE44" i="147"/>
  <c r="AE51" i="147"/>
  <c r="AE43" i="147"/>
  <c r="AE40" i="147"/>
  <c r="AE48" i="147"/>
  <c r="AE42" i="147"/>
  <c r="AE50" i="147"/>
  <c r="AE45" i="147"/>
  <c r="AE47" i="147"/>
  <c r="AE49" i="147"/>
  <c r="AA41" i="147"/>
  <c r="AA45" i="147"/>
  <c r="AA49" i="147"/>
  <c r="AA44" i="147"/>
  <c r="AA40" i="147"/>
  <c r="AA42" i="147"/>
  <c r="AA46" i="147"/>
  <c r="AA50" i="147"/>
  <c r="AA48" i="147"/>
  <c r="AA43" i="147"/>
  <c r="AA47" i="147"/>
  <c r="AA51" i="147"/>
  <c r="V46" i="147"/>
  <c r="V47" i="147"/>
  <c r="V48" i="147"/>
  <c r="V49" i="147"/>
  <c r="V50" i="147"/>
  <c r="V51" i="147"/>
  <c r="V41" i="147"/>
  <c r="V43" i="147"/>
  <c r="V45" i="147"/>
  <c r="V42" i="147"/>
  <c r="V44" i="147"/>
  <c r="I41" i="147"/>
  <c r="I43" i="147"/>
  <c r="I45" i="147"/>
  <c r="I46" i="147"/>
  <c r="I47" i="147"/>
  <c r="I48" i="147"/>
  <c r="I49" i="147"/>
  <c r="I50" i="147"/>
  <c r="I51" i="147"/>
  <c r="I40" i="147"/>
  <c r="I42" i="147"/>
  <c r="I44" i="147"/>
  <c r="AG50" i="147"/>
  <c r="AG51" i="147"/>
  <c r="AG47" i="147"/>
  <c r="AG48" i="147"/>
  <c r="AG49" i="147"/>
  <c r="AG43" i="147"/>
  <c r="AG44" i="147"/>
  <c r="AG42" i="147"/>
  <c r="AG45" i="147"/>
  <c r="AG46" i="147"/>
  <c r="AG40" i="147"/>
  <c r="AG41" i="147"/>
  <c r="AB41" i="147"/>
  <c r="AB45" i="147"/>
  <c r="AB49" i="147"/>
  <c r="AB44" i="147"/>
  <c r="AB42" i="147"/>
  <c r="AB46" i="147"/>
  <c r="AB50" i="147"/>
  <c r="AB43" i="147"/>
  <c r="AB47" i="147"/>
  <c r="AB51" i="147"/>
  <c r="AB48" i="147"/>
  <c r="AB40" i="147"/>
  <c r="E42" i="147"/>
  <c r="E47" i="147"/>
  <c r="E43" i="147"/>
  <c r="E44" i="147"/>
  <c r="E48" i="147"/>
  <c r="E45" i="147"/>
  <c r="E40" i="147"/>
  <c r="E49" i="147"/>
  <c r="E50" i="147"/>
  <c r="E46" i="147"/>
  <c r="E41" i="147"/>
  <c r="E51" i="147"/>
  <c r="M46" i="147"/>
  <c r="M50" i="147"/>
  <c r="M41" i="147"/>
  <c r="M49" i="147"/>
  <c r="M47" i="147"/>
  <c r="M51" i="147"/>
  <c r="M43" i="147"/>
  <c r="M40" i="147"/>
  <c r="M48" i="147"/>
  <c r="M42" i="147"/>
  <c r="M45" i="147"/>
  <c r="M44" i="147"/>
  <c r="G41" i="147"/>
  <c r="G45" i="147"/>
  <c r="G49" i="147"/>
  <c r="G40" i="147"/>
  <c r="G42" i="147"/>
  <c r="G46" i="147"/>
  <c r="G50" i="147"/>
  <c r="G44" i="147"/>
  <c r="G43" i="147"/>
  <c r="G47" i="147"/>
  <c r="G51" i="147"/>
  <c r="G48" i="147"/>
  <c r="AD41" i="147"/>
  <c r="AD46" i="147"/>
  <c r="AD42" i="147"/>
  <c r="AD50" i="147"/>
  <c r="AD43" i="147"/>
  <c r="AD47" i="147"/>
  <c r="AD44" i="147"/>
  <c r="AD45" i="147"/>
  <c r="AD40" i="147"/>
  <c r="AD48" i="147"/>
  <c r="AD49" i="147"/>
  <c r="AD51" i="147"/>
  <c r="Z42" i="147"/>
  <c r="Z45" i="147"/>
  <c r="Z51" i="147"/>
  <c r="Z50" i="147"/>
  <c r="Z44" i="147"/>
  <c r="Z48" i="147"/>
  <c r="Z47" i="147"/>
  <c r="Z43" i="147"/>
  <c r="Z41" i="147"/>
  <c r="Z49" i="147"/>
  <c r="Z40" i="147"/>
  <c r="Z46" i="147"/>
  <c r="U41" i="147"/>
  <c r="U46" i="147"/>
  <c r="U50" i="147"/>
  <c r="U40" i="147"/>
  <c r="U43" i="147"/>
  <c r="U42" i="147"/>
  <c r="U51" i="147"/>
  <c r="U49" i="147"/>
  <c r="U45" i="147"/>
  <c r="U44" i="147"/>
  <c r="U48" i="147"/>
  <c r="U47" i="147"/>
  <c r="H41" i="147"/>
  <c r="H45" i="147"/>
  <c r="H46" i="147"/>
  <c r="H51" i="147"/>
  <c r="H42" i="147"/>
  <c r="H47" i="147"/>
  <c r="H40" i="147"/>
  <c r="H43" i="147"/>
  <c r="H50" i="147"/>
  <c r="H49" i="147"/>
  <c r="H44" i="147"/>
  <c r="H48" i="147"/>
  <c r="O41" i="147"/>
  <c r="O45" i="147"/>
  <c r="O49" i="147"/>
  <c r="O48" i="147"/>
  <c r="O42" i="147"/>
  <c r="O46" i="147"/>
  <c r="O50" i="147"/>
  <c r="O43" i="147"/>
  <c r="O47" i="147"/>
  <c r="O51" i="147"/>
  <c r="O44" i="147"/>
  <c r="W41" i="147"/>
  <c r="W42" i="147"/>
  <c r="W43" i="147"/>
  <c r="W44" i="147"/>
  <c r="W45" i="147"/>
  <c r="W46" i="147"/>
  <c r="W47" i="147"/>
  <c r="W48" i="147"/>
  <c r="W49" i="147"/>
  <c r="W50" i="147"/>
  <c r="W51" i="147"/>
  <c r="W40" i="147"/>
  <c r="Q41" i="147"/>
  <c r="Q48" i="147"/>
  <c r="Q50" i="147"/>
  <c r="Q43" i="147"/>
  <c r="Q47" i="147"/>
  <c r="Q51" i="147"/>
  <c r="Q49" i="147"/>
  <c r="Q45" i="147"/>
  <c r="Q46" i="147"/>
  <c r="Q44" i="147"/>
  <c r="L41" i="147"/>
  <c r="L42" i="147"/>
  <c r="L43" i="147"/>
  <c r="L44" i="147"/>
  <c r="L45" i="147"/>
  <c r="L46" i="147"/>
  <c r="L50" i="147"/>
  <c r="L51" i="147"/>
  <c r="L49" i="147"/>
  <c r="L48" i="147"/>
  <c r="L47" i="147"/>
  <c r="X41" i="147"/>
  <c r="X45" i="147"/>
  <c r="X48" i="147"/>
  <c r="X42" i="147"/>
  <c r="X40" i="147"/>
  <c r="X49" i="147"/>
  <c r="X43" i="147"/>
  <c r="X46" i="147"/>
  <c r="X50" i="147"/>
  <c r="X44" i="147"/>
  <c r="X47" i="147"/>
  <c r="X51" i="147"/>
  <c r="T41" i="147"/>
  <c r="T45" i="147"/>
  <c r="T50" i="147"/>
  <c r="T49" i="147"/>
  <c r="T42" i="147"/>
  <c r="T47" i="147"/>
  <c r="T51" i="147"/>
  <c r="T43" i="147"/>
  <c r="T46" i="147"/>
  <c r="T48" i="147"/>
  <c r="T44" i="147"/>
  <c r="T40" i="147"/>
  <c r="F42" i="147"/>
  <c r="F49" i="147"/>
  <c r="F48" i="147"/>
  <c r="F44" i="147"/>
  <c r="F41" i="147"/>
  <c r="F47" i="147"/>
  <c r="F40" i="147"/>
  <c r="F45" i="147"/>
  <c r="F46" i="147"/>
  <c r="F43" i="147"/>
  <c r="F50" i="147"/>
  <c r="F51" i="147"/>
  <c r="AC44" i="147"/>
  <c r="AC45" i="147"/>
  <c r="AC50" i="147"/>
  <c r="AC48" i="147"/>
  <c r="AC49" i="147"/>
  <c r="AC43" i="147"/>
  <c r="AC47" i="147"/>
  <c r="AC40" i="147"/>
  <c r="AC42" i="147"/>
  <c r="AC51" i="147"/>
  <c r="AC41" i="147"/>
  <c r="AC46" i="147"/>
  <c r="AA40" i="140"/>
  <c r="X9" i="181" l="1"/>
  <c r="BG9" i="181"/>
  <c r="AA9" i="181"/>
  <c r="AA298" i="181" s="1"/>
  <c r="Z298" i="181"/>
  <c r="R41" i="178"/>
  <c r="R43" i="178" s="1"/>
  <c r="R88" i="178" s="1"/>
  <c r="P43" i="178"/>
  <c r="P88" i="178" s="1"/>
  <c r="BJ9" i="140"/>
  <c r="V9" i="140"/>
  <c r="BG9" i="140" s="1"/>
  <c r="BK9" i="140" s="1"/>
  <c r="G9" i="140"/>
  <c r="O52" i="147"/>
  <c r="Q52" i="147"/>
  <c r="N52" i="147"/>
  <c r="P52" i="147"/>
  <c r="Z9" i="140"/>
  <c r="AH46" i="147"/>
  <c r="AH48" i="147"/>
  <c r="AH50" i="147"/>
  <c r="AH41" i="147"/>
  <c r="AH51" i="147"/>
  <c r="AH43" i="147"/>
  <c r="AH45" i="147"/>
  <c r="AH47" i="147"/>
  <c r="AH42" i="147"/>
  <c r="AH49" i="147"/>
  <c r="AH44" i="147"/>
  <c r="V52" i="147"/>
  <c r="T52" i="147"/>
  <c r="X52" i="147"/>
  <c r="AB52" i="147"/>
  <c r="H52" i="147"/>
  <c r="Z52" i="147"/>
  <c r="AD52" i="147"/>
  <c r="J52" i="147"/>
  <c r="W52" i="147"/>
  <c r="G52" i="147"/>
  <c r="AG52" i="147"/>
  <c r="F52" i="147"/>
  <c r="AC52" i="147"/>
  <c r="E52" i="147"/>
  <c r="U52" i="147"/>
  <c r="L52" i="147"/>
  <c r="I52" i="147"/>
  <c r="AA52" i="147"/>
  <c r="AE52" i="147"/>
  <c r="M52" i="147"/>
  <c r="BK9" i="181" l="1"/>
  <c r="X9" i="140"/>
  <c r="AA9" i="140"/>
  <c r="X29" i="140"/>
  <c r="X39" i="140"/>
  <c r="AO39" i="140" s="1"/>
  <c r="BC39" i="140" s="1"/>
  <c r="C36" i="175" s="1"/>
  <c r="BL9" i="181" l="1"/>
  <c r="O10" i="178"/>
  <c r="G43" i="178"/>
  <c r="I10" i="178"/>
  <c r="I43" i="178" s="1"/>
  <c r="H36" i="175"/>
  <c r="BM39" i="140"/>
  <c r="AE57" i="148"/>
  <c r="D40" i="178" l="1"/>
  <c r="F40" i="178" s="1"/>
  <c r="AG40" i="178" s="1"/>
  <c r="BL9" i="140"/>
  <c r="AJ79" i="148"/>
  <c r="AJ59" i="148"/>
  <c r="AH52" i="148"/>
  <c r="AJ52" i="148" s="1"/>
  <c r="AH48" i="148"/>
  <c r="AJ48" i="148" s="1"/>
  <c r="AF40" i="178" l="1"/>
  <c r="G72" i="147"/>
  <c r="K72" i="147"/>
  <c r="N72" i="147"/>
  <c r="U72" i="147"/>
  <c r="Y72" i="147"/>
  <c r="AB72" i="147"/>
  <c r="G73" i="147"/>
  <c r="K73" i="147"/>
  <c r="N73" i="147"/>
  <c r="U73" i="147"/>
  <c r="Y73" i="147"/>
  <c r="AB73" i="147"/>
  <c r="G74" i="147"/>
  <c r="K74" i="147"/>
  <c r="N74" i="147"/>
  <c r="U74" i="147"/>
  <c r="Y74" i="147"/>
  <c r="AB74" i="147"/>
  <c r="G75" i="147"/>
  <c r="K75" i="147"/>
  <c r="N75" i="147"/>
  <c r="U75" i="147"/>
  <c r="Y75" i="147"/>
  <c r="AB75" i="147"/>
  <c r="G76" i="147"/>
  <c r="K76" i="147"/>
  <c r="N76" i="147"/>
  <c r="U76" i="147"/>
  <c r="Y76" i="147"/>
  <c r="AB76" i="147"/>
  <c r="G77" i="147"/>
  <c r="K77" i="147"/>
  <c r="N77" i="147"/>
  <c r="U77" i="147"/>
  <c r="Y77" i="147"/>
  <c r="AB77" i="147"/>
  <c r="G78" i="147"/>
  <c r="K78" i="147"/>
  <c r="N78" i="147"/>
  <c r="U78" i="147"/>
  <c r="Y78" i="147"/>
  <c r="AB78" i="147"/>
  <c r="G79" i="147"/>
  <c r="K79" i="147"/>
  <c r="N79" i="147"/>
  <c r="U79" i="147"/>
  <c r="Y79" i="147"/>
  <c r="AB79" i="147"/>
  <c r="G80" i="147"/>
  <c r="K80" i="147"/>
  <c r="N80" i="147"/>
  <c r="U80" i="147"/>
  <c r="Y80" i="147"/>
  <c r="AB80" i="147"/>
  <c r="C80" i="147"/>
  <c r="C79" i="147"/>
  <c r="C78" i="147"/>
  <c r="C77" i="147"/>
  <c r="C76" i="147"/>
  <c r="C75" i="147"/>
  <c r="C74" i="147"/>
  <c r="C73" i="147"/>
  <c r="C72" i="147"/>
  <c r="AB39" i="151" l="1"/>
  <c r="U39" i="151"/>
  <c r="K39" i="151"/>
  <c r="Y39" i="151"/>
  <c r="N39" i="151"/>
  <c r="G39" i="151"/>
  <c r="Z101" i="153"/>
  <c r="AA101" i="153"/>
  <c r="AB101" i="153"/>
  <c r="AE101" i="153"/>
  <c r="AF101" i="153"/>
  <c r="AG101" i="153"/>
  <c r="AH101" i="153"/>
  <c r="F43" i="148" l="1"/>
  <c r="AA39" i="151" l="1"/>
  <c r="I39" i="151"/>
  <c r="O39" i="151"/>
  <c r="AD39" i="151"/>
  <c r="T39" i="151"/>
  <c r="Z39" i="151"/>
  <c r="F39" i="151"/>
  <c r="L39" i="151"/>
  <c r="D39" i="151"/>
  <c r="S39" i="151"/>
  <c r="X39" i="151"/>
  <c r="E39" i="151"/>
  <c r="J39" i="151"/>
  <c r="P39" i="151"/>
  <c r="AE39" i="151"/>
  <c r="Q39" i="151"/>
  <c r="V39" i="151"/>
  <c r="M39" i="151"/>
  <c r="R39" i="151"/>
  <c r="AG39" i="151"/>
  <c r="AF39" i="151"/>
  <c r="H39" i="151"/>
  <c r="W39" i="151"/>
  <c r="AC39" i="151"/>
  <c r="AI475" i="150" l="1"/>
  <c r="AA36" i="140" l="1"/>
  <c r="AA37" i="140"/>
  <c r="R72" i="147" l="1"/>
  <c r="R73" i="147"/>
  <c r="R74" i="147"/>
  <c r="R75" i="147"/>
  <c r="R79" i="147"/>
  <c r="R76" i="147"/>
  <c r="R80" i="147"/>
  <c r="R77" i="147"/>
  <c r="R78" i="147"/>
  <c r="AF72" i="147"/>
  <c r="AF73" i="147"/>
  <c r="AF74" i="147"/>
  <c r="AF78" i="147"/>
  <c r="AF75" i="147"/>
  <c r="AF79" i="147"/>
  <c r="AF76" i="147"/>
  <c r="AF80" i="147"/>
  <c r="AF77" i="147"/>
  <c r="AA76" i="147"/>
  <c r="AA80" i="147"/>
  <c r="AA77" i="147"/>
  <c r="AA73" i="147"/>
  <c r="AA74" i="147"/>
  <c r="AA78" i="147"/>
  <c r="AA72" i="147"/>
  <c r="AA75" i="147"/>
  <c r="AA79" i="147"/>
  <c r="V72" i="147"/>
  <c r="V73" i="147"/>
  <c r="V74" i="147"/>
  <c r="V76" i="147"/>
  <c r="V80" i="147"/>
  <c r="V77" i="147"/>
  <c r="V78" i="147"/>
  <c r="V75" i="147"/>
  <c r="V79" i="147"/>
  <c r="Q74" i="147"/>
  <c r="Q77" i="147"/>
  <c r="Q80" i="147"/>
  <c r="Q72" i="147"/>
  <c r="Q73" i="147"/>
  <c r="Q75" i="147"/>
  <c r="Q76" i="147"/>
  <c r="Q78" i="147"/>
  <c r="Q79" i="147"/>
  <c r="L72" i="147"/>
  <c r="L73" i="147"/>
  <c r="L74" i="147"/>
  <c r="L75" i="147"/>
  <c r="L76" i="147"/>
  <c r="L77" i="147"/>
  <c r="L78" i="147"/>
  <c r="L79" i="147"/>
  <c r="L80" i="147"/>
  <c r="F72" i="147"/>
  <c r="F73" i="147"/>
  <c r="F74" i="147"/>
  <c r="F77" i="147"/>
  <c r="F78" i="147"/>
  <c r="F75" i="147"/>
  <c r="F79" i="147"/>
  <c r="F76" i="147"/>
  <c r="F80" i="147"/>
  <c r="W73" i="147"/>
  <c r="W75" i="147"/>
  <c r="W79" i="147"/>
  <c r="W72" i="147"/>
  <c r="W76" i="147"/>
  <c r="W80" i="147"/>
  <c r="W77" i="147"/>
  <c r="W74" i="147"/>
  <c r="W78" i="147"/>
  <c r="H72" i="147"/>
  <c r="H73" i="147"/>
  <c r="H74" i="147"/>
  <c r="H75" i="147"/>
  <c r="H76" i="147"/>
  <c r="H77" i="147"/>
  <c r="H78" i="147"/>
  <c r="H79" i="147"/>
  <c r="H80" i="147"/>
  <c r="AE72" i="147"/>
  <c r="AE73" i="147"/>
  <c r="AE75" i="147"/>
  <c r="AE76" i="147"/>
  <c r="AE78" i="147"/>
  <c r="AE79" i="147"/>
  <c r="AE74" i="147"/>
  <c r="AE77" i="147"/>
  <c r="AE80" i="147"/>
  <c r="Z72" i="147"/>
  <c r="Z73" i="147"/>
  <c r="Z77" i="147"/>
  <c r="Z74" i="147"/>
  <c r="Z78" i="147"/>
  <c r="Z75" i="147"/>
  <c r="Z79" i="147"/>
  <c r="Z76" i="147"/>
  <c r="Z80" i="147"/>
  <c r="T72" i="147"/>
  <c r="T73" i="147"/>
  <c r="T74" i="147"/>
  <c r="T75" i="147"/>
  <c r="T76" i="147"/>
  <c r="T77" i="147"/>
  <c r="T78" i="147"/>
  <c r="T79" i="147"/>
  <c r="T80" i="147"/>
  <c r="P72" i="147"/>
  <c r="P73" i="147"/>
  <c r="P74" i="147"/>
  <c r="P75" i="147"/>
  <c r="P76" i="147"/>
  <c r="P77" i="147"/>
  <c r="P78" i="147"/>
  <c r="P79" i="147"/>
  <c r="P80" i="147"/>
  <c r="J72" i="147"/>
  <c r="J73" i="147"/>
  <c r="J74" i="147"/>
  <c r="J75" i="147"/>
  <c r="J79" i="147"/>
  <c r="J76" i="147"/>
  <c r="J80" i="147"/>
  <c r="J77" i="147"/>
  <c r="J78" i="147"/>
  <c r="E72" i="147"/>
  <c r="E75" i="147"/>
  <c r="E78" i="147"/>
  <c r="E73" i="147"/>
  <c r="E74" i="147"/>
  <c r="E76" i="147"/>
  <c r="E77" i="147"/>
  <c r="E79" i="147"/>
  <c r="E80" i="147"/>
  <c r="M72" i="147"/>
  <c r="M75" i="147"/>
  <c r="M78" i="147"/>
  <c r="M73" i="147"/>
  <c r="M74" i="147"/>
  <c r="M76" i="147"/>
  <c r="M77" i="147"/>
  <c r="M79" i="147"/>
  <c r="M80" i="147"/>
  <c r="X72" i="147"/>
  <c r="X73" i="147"/>
  <c r="X74" i="147"/>
  <c r="X75" i="147"/>
  <c r="X76" i="147"/>
  <c r="X77" i="147"/>
  <c r="X78" i="147"/>
  <c r="X79" i="147"/>
  <c r="X80" i="147"/>
  <c r="S78" i="147"/>
  <c r="S74" i="147"/>
  <c r="S75" i="147"/>
  <c r="S79" i="147"/>
  <c r="S73" i="147"/>
  <c r="S76" i="147"/>
  <c r="S80" i="147"/>
  <c r="S72" i="147"/>
  <c r="S77" i="147"/>
  <c r="O74" i="147"/>
  <c r="O76" i="147"/>
  <c r="O80" i="147"/>
  <c r="O73" i="147"/>
  <c r="O77" i="147"/>
  <c r="O72" i="147"/>
  <c r="O78" i="147"/>
  <c r="O75" i="147"/>
  <c r="O79" i="147"/>
  <c r="I73" i="147"/>
  <c r="I74" i="147"/>
  <c r="I76" i="147"/>
  <c r="I77" i="147"/>
  <c r="I79" i="147"/>
  <c r="I80" i="147"/>
  <c r="I72" i="147"/>
  <c r="I75" i="147"/>
  <c r="I78" i="147"/>
  <c r="D72" i="147"/>
  <c r="D73" i="147"/>
  <c r="D74" i="147"/>
  <c r="D75" i="147"/>
  <c r="D76" i="147"/>
  <c r="D77" i="147"/>
  <c r="D78" i="147"/>
  <c r="D79" i="147"/>
  <c r="D80" i="147"/>
  <c r="AD74" i="147"/>
  <c r="AD78" i="147"/>
  <c r="AD75" i="147"/>
  <c r="AD79" i="147"/>
  <c r="AD72" i="147"/>
  <c r="AD76" i="147"/>
  <c r="AD80" i="147"/>
  <c r="AD73" i="147"/>
  <c r="AD77" i="147"/>
  <c r="AC74" i="147"/>
  <c r="AC75" i="147"/>
  <c r="AC77" i="147"/>
  <c r="AC72" i="147"/>
  <c r="AC76" i="147"/>
  <c r="AC78" i="147"/>
  <c r="AC80" i="147"/>
  <c r="AC73" i="147"/>
  <c r="AC79" i="147"/>
  <c r="X31" i="140" l="1"/>
  <c r="X101" i="140" l="1"/>
  <c r="S32" i="153" l="1"/>
  <c r="T32" i="153"/>
  <c r="G32" i="153"/>
  <c r="AG73" i="147" l="1"/>
  <c r="AG77" i="147"/>
  <c r="AG72" i="147"/>
  <c r="AG74" i="147"/>
  <c r="AG78" i="147"/>
  <c r="AG75" i="147"/>
  <c r="AG79" i="147"/>
  <c r="AG76" i="147"/>
  <c r="AG80" i="147"/>
  <c r="Y134" i="153" l="1"/>
  <c r="Z134" i="153"/>
  <c r="AA134" i="153"/>
  <c r="AB134" i="153"/>
  <c r="AC134" i="153"/>
  <c r="AE134" i="153"/>
  <c r="AF134" i="153"/>
  <c r="AH134" i="153"/>
  <c r="U134" i="153"/>
  <c r="V134" i="153"/>
  <c r="W134" i="153"/>
  <c r="X134" i="153"/>
  <c r="S71" i="147" l="1"/>
  <c r="AE71" i="147"/>
  <c r="AG71" i="147"/>
  <c r="R77" i="153" l="1"/>
  <c r="J107" i="153" l="1"/>
  <c r="K107" i="153"/>
  <c r="L107" i="153"/>
  <c r="U71" i="147" l="1"/>
  <c r="X71" i="147"/>
  <c r="T71" i="147"/>
  <c r="D71" i="147"/>
  <c r="W71" i="147"/>
  <c r="R71" i="147"/>
  <c r="AF71" i="147"/>
  <c r="V71" i="147"/>
  <c r="Q71" i="147"/>
  <c r="J71" i="147"/>
  <c r="Z46" i="148" l="1"/>
  <c r="Z43" i="148"/>
  <c r="Y67" i="148"/>
  <c r="Z67" i="148"/>
  <c r="E36" i="153" l="1"/>
  <c r="F36" i="153"/>
  <c r="G36" i="153"/>
  <c r="H36" i="153"/>
  <c r="I36" i="153"/>
  <c r="J36" i="153"/>
  <c r="K36" i="153"/>
  <c r="L36" i="153"/>
  <c r="M36" i="153"/>
  <c r="N36" i="153"/>
  <c r="O36" i="153"/>
  <c r="P36" i="153"/>
  <c r="Q36" i="153"/>
  <c r="R36" i="153"/>
  <c r="S36" i="153"/>
  <c r="T36" i="153"/>
  <c r="U36" i="153"/>
  <c r="V36" i="153"/>
  <c r="W36" i="153"/>
  <c r="X36" i="153"/>
  <c r="Y36" i="153"/>
  <c r="Z36" i="153"/>
  <c r="AA36" i="153"/>
  <c r="AB36" i="153"/>
  <c r="AC36" i="153"/>
  <c r="AD36" i="153"/>
  <c r="AE36" i="153"/>
  <c r="AF36" i="153"/>
  <c r="AG36" i="153"/>
  <c r="AH36" i="153"/>
  <c r="AI36" i="153"/>
  <c r="AJ36" i="153" l="1"/>
  <c r="AI536" i="150" l="1"/>
  <c r="AP515" i="150" s="1"/>
  <c r="AQ515" i="150" s="1"/>
  <c r="AI537" i="150"/>
  <c r="AI538" i="150"/>
  <c r="AI539" i="150"/>
  <c r="AI540" i="150"/>
  <c r="AI541" i="150"/>
  <c r="AI542" i="150"/>
  <c r="AI543" i="150"/>
  <c r="AI544" i="150"/>
  <c r="AI545" i="150"/>
  <c r="AS515" i="150" l="1"/>
  <c r="K105" i="153"/>
  <c r="C71" i="147" l="1"/>
  <c r="AO63" i="147"/>
  <c r="AP40" i="147"/>
  <c r="T299" i="181" s="1"/>
  <c r="T300" i="181" s="1"/>
  <c r="AP64" i="147"/>
  <c r="AO64" i="147"/>
  <c r="T43" i="140" l="1"/>
  <c r="AO40" i="147"/>
  <c r="T10" i="140"/>
  <c r="T42" i="140" s="1"/>
  <c r="AQ40" i="147"/>
  <c r="AH30" i="151"/>
  <c r="AO71" i="147"/>
  <c r="AP71" i="147"/>
  <c r="AU88" i="140" l="1"/>
  <c r="U10" i="140"/>
  <c r="U42" i="140" s="1"/>
  <c r="AV88" i="140"/>
  <c r="AP88" i="140"/>
  <c r="AQ88" i="140"/>
  <c r="AR88" i="140" l="1"/>
  <c r="AQ3" i="140" l="1"/>
  <c r="AS3" i="140" l="1"/>
  <c r="AR3" i="140"/>
  <c r="AH80" i="148" l="1"/>
  <c r="AR82" i="140"/>
  <c r="AS4" i="140" l="1"/>
  <c r="P77" i="153" l="1"/>
  <c r="AI531" i="150" l="1"/>
  <c r="K526" i="150"/>
  <c r="AI524" i="150" l="1"/>
  <c r="AA101" i="140"/>
  <c r="AH19" i="148"/>
  <c r="AH20" i="148"/>
  <c r="AS101" i="140" l="1"/>
  <c r="AT101" i="140"/>
  <c r="BO101" i="140" l="1"/>
  <c r="AW101" i="140"/>
  <c r="I6" i="148"/>
  <c r="AH51" i="148"/>
  <c r="AH53" i="148"/>
  <c r="AH54" i="148" l="1"/>
  <c r="AH42" i="148"/>
  <c r="AH41" i="148"/>
  <c r="AH43" i="148" l="1"/>
  <c r="AA95" i="140"/>
  <c r="AO95" i="140" s="1"/>
  <c r="BC95" i="140" s="1"/>
  <c r="C56" i="175" l="1"/>
  <c r="D62" i="178"/>
  <c r="H56" i="175"/>
  <c r="BM95" i="140"/>
  <c r="I77" i="153"/>
  <c r="F62" i="178" l="1"/>
  <c r="S216" i="153"/>
  <c r="P216" i="153"/>
  <c r="AI546" i="150" l="1"/>
  <c r="AI547" i="150"/>
  <c r="AI548" i="150"/>
  <c r="AI549" i="150"/>
  <c r="AI534" i="150"/>
  <c r="AI535" i="150"/>
  <c r="AQ8" i="151" l="1"/>
  <c r="AR8" i="151"/>
  <c r="AI8" i="151"/>
  <c r="H409" i="181" s="1"/>
  <c r="AJ8" i="151"/>
  <c r="J409" i="181" s="1"/>
  <c r="K409" i="181" s="1"/>
  <c r="AK8" i="151"/>
  <c r="L409" i="181" s="1"/>
  <c r="M409" i="181" s="1"/>
  <c r="AL8" i="151"/>
  <c r="N409" i="181" s="1"/>
  <c r="AM8" i="151"/>
  <c r="P409" i="181" s="1"/>
  <c r="AN8" i="151"/>
  <c r="R409" i="181" s="1"/>
  <c r="S409" i="181" s="1"/>
  <c r="AO8" i="151"/>
  <c r="T409" i="181" s="1"/>
  <c r="AJ7" i="151"/>
  <c r="J400" i="181" s="1"/>
  <c r="AK7" i="151"/>
  <c r="L400" i="181" s="1"/>
  <c r="AN7" i="151"/>
  <c r="R400" i="181" s="1"/>
  <c r="AO7" i="151"/>
  <c r="T400" i="181" s="1"/>
  <c r="U409" i="181" l="1"/>
  <c r="O409" i="181"/>
  <c r="O590" i="181" s="1"/>
  <c r="N590" i="181"/>
  <c r="M400" i="181"/>
  <c r="M590" i="181" s="1"/>
  <c r="M696" i="181" s="1"/>
  <c r="L590" i="181"/>
  <c r="L696" i="181" s="1"/>
  <c r="Q409" i="181"/>
  <c r="Q590" i="181" s="1"/>
  <c r="P590" i="181"/>
  <c r="I409" i="181"/>
  <c r="I590" i="181" s="1"/>
  <c r="H590" i="181"/>
  <c r="S400" i="181"/>
  <c r="S590" i="181" s="1"/>
  <c r="S696" i="181" s="1"/>
  <c r="R590" i="181"/>
  <c r="R696" i="181" s="1"/>
  <c r="K400" i="181"/>
  <c r="J590" i="181"/>
  <c r="BE89" i="140"/>
  <c r="BE409" i="181"/>
  <c r="BI409" i="181" s="1"/>
  <c r="U400" i="181"/>
  <c r="U590" i="181" s="1"/>
  <c r="T590" i="181"/>
  <c r="V400" i="181"/>
  <c r="BD89" i="140"/>
  <c r="BH89" i="140" s="1"/>
  <c r="BD409" i="181"/>
  <c r="BH409" i="181" s="1"/>
  <c r="BJ409" i="181" s="1"/>
  <c r="AP7" i="151"/>
  <c r="R89" i="140"/>
  <c r="S89" i="140" s="1"/>
  <c r="P89" i="140"/>
  <c r="Q89" i="140" s="1"/>
  <c r="N89" i="140"/>
  <c r="O89" i="140" s="1"/>
  <c r="J89" i="140"/>
  <c r="K89" i="140" s="1"/>
  <c r="H89" i="140"/>
  <c r="I89" i="140" s="1"/>
  <c r="T89" i="140"/>
  <c r="U89" i="140" s="1"/>
  <c r="L89" i="140"/>
  <c r="M89" i="140" s="1"/>
  <c r="BI89" i="140"/>
  <c r="N88" i="140"/>
  <c r="T88" i="140"/>
  <c r="L88" i="140"/>
  <c r="R88" i="140"/>
  <c r="R110" i="140" s="1"/>
  <c r="J88" i="140"/>
  <c r="J110" i="140" s="1"/>
  <c r="AM29" i="151"/>
  <c r="P591" i="181" s="1"/>
  <c r="P88" i="140"/>
  <c r="AI29" i="151"/>
  <c r="H591" i="181" s="1"/>
  <c r="H88" i="140"/>
  <c r="H110" i="140" s="1"/>
  <c r="AO29" i="151"/>
  <c r="AK29" i="151"/>
  <c r="AL29" i="151"/>
  <c r="N591" i="181" s="1"/>
  <c r="AN29" i="151"/>
  <c r="AJ29" i="151"/>
  <c r="J591" i="181" s="1"/>
  <c r="X400" i="181" l="1"/>
  <c r="BG400" i="181"/>
  <c r="K590" i="181"/>
  <c r="T110" i="140"/>
  <c r="N110" i="140"/>
  <c r="P110" i="140"/>
  <c r="L110" i="140"/>
  <c r="BJ89" i="140"/>
  <c r="H111" i="140"/>
  <c r="W529" i="150" l="1"/>
  <c r="AK523" i="150" l="1"/>
  <c r="AN697" i="181" s="1"/>
  <c r="AI462" i="150"/>
  <c r="AI461" i="150"/>
  <c r="AK461" i="150" s="1"/>
  <c r="AI460" i="150"/>
  <c r="AK460" i="150" s="1"/>
  <c r="AI459" i="150"/>
  <c r="AI453" i="150"/>
  <c r="O42" i="174" s="1"/>
  <c r="AI452" i="150"/>
  <c r="AI449" i="150"/>
  <c r="AI436" i="150"/>
  <c r="AI423" i="150"/>
  <c r="AI410" i="150"/>
  <c r="AI124" i="150"/>
  <c r="AI111" i="150"/>
  <c r="AI98" i="150"/>
  <c r="AI85" i="150"/>
  <c r="AI72" i="150"/>
  <c r="AI59" i="150"/>
  <c r="AI46" i="150"/>
  <c r="AI33" i="150"/>
  <c r="AI20" i="150"/>
  <c r="AN154" i="140" l="1"/>
  <c r="C42" i="174"/>
  <c r="E42" i="174" s="1"/>
  <c r="G42" i="174" s="1"/>
  <c r="K42" i="174" s="1"/>
  <c r="L42" i="174" s="1"/>
  <c r="AK459" i="150"/>
  <c r="AH11" i="148" l="1"/>
  <c r="AH10" i="148"/>
  <c r="AG66" i="178" l="1"/>
  <c r="AG62" i="178"/>
  <c r="AG65" i="178"/>
  <c r="AH12" i="148"/>
  <c r="AJ8" i="153"/>
  <c r="AJ7" i="153"/>
  <c r="E276" i="153"/>
  <c r="F276" i="153"/>
  <c r="G276" i="153"/>
  <c r="H276" i="153"/>
  <c r="I276" i="153"/>
  <c r="J276" i="153"/>
  <c r="K276" i="153"/>
  <c r="L276" i="153"/>
  <c r="M276" i="153"/>
  <c r="N276" i="153"/>
  <c r="O276" i="153"/>
  <c r="P276" i="153"/>
  <c r="S276" i="153"/>
  <c r="T276" i="153"/>
  <c r="U276" i="153"/>
  <c r="V276" i="153"/>
  <c r="W276" i="153"/>
  <c r="X276" i="153"/>
  <c r="Y276" i="153"/>
  <c r="Z276" i="153"/>
  <c r="AA276" i="153"/>
  <c r="AB276" i="153"/>
  <c r="AC276" i="153"/>
  <c r="AD276" i="153"/>
  <c r="AE276" i="153"/>
  <c r="AF276" i="153"/>
  <c r="AG276" i="153"/>
  <c r="AH276" i="153"/>
  <c r="AF66" i="178" l="1"/>
  <c r="AF65" i="178"/>
  <c r="AF62" i="178"/>
  <c r="AK9" i="153"/>
  <c r="AG77" i="153" l="1"/>
  <c r="Z77" i="153"/>
  <c r="P111" i="140" l="1"/>
  <c r="N111" i="140"/>
  <c r="J111" i="140"/>
  <c r="X40" i="140" l="1"/>
  <c r="W6" i="148"/>
  <c r="BM40" i="140" l="1"/>
  <c r="AO40" i="140"/>
  <c r="BC40" i="140" s="1"/>
  <c r="C37" i="175" s="1"/>
  <c r="H37" i="175" l="1"/>
  <c r="T77" i="153"/>
  <c r="S77" i="153"/>
  <c r="Q77" i="153"/>
  <c r="O77" i="153"/>
  <c r="N77" i="153"/>
  <c r="M77" i="153"/>
  <c r="L77" i="153"/>
  <c r="K77" i="153"/>
  <c r="J77" i="153"/>
  <c r="D41" i="178" l="1"/>
  <c r="F41" i="178" s="1"/>
  <c r="G77" i="153"/>
  <c r="H77" i="153"/>
  <c r="E77" i="153"/>
  <c r="E9" i="153" l="1"/>
  <c r="AJ58" i="153"/>
  <c r="AL58" i="153" s="1"/>
  <c r="AJ52" i="153"/>
  <c r="AL52" i="153" s="1"/>
  <c r="AJ53" i="153"/>
  <c r="AL53" i="153" s="1"/>
  <c r="AJ54" i="153"/>
  <c r="AL54" i="153" s="1"/>
  <c r="AJ46" i="153"/>
  <c r="AL46" i="153" s="1"/>
  <c r="AJ47" i="153"/>
  <c r="AL47" i="153" s="1"/>
  <c r="AJ48" i="153"/>
  <c r="AL48" i="153" s="1"/>
  <c r="AJ41" i="153"/>
  <c r="AL41" i="153" s="1"/>
  <c r="AJ42" i="153"/>
  <c r="AL42" i="153" s="1"/>
  <c r="AJ27" i="153"/>
  <c r="AL27" i="153" s="1"/>
  <c r="AJ21" i="153"/>
  <c r="AL21" i="153" s="1"/>
  <c r="AJ22" i="153"/>
  <c r="AL22" i="153" s="1"/>
  <c r="AJ23" i="153"/>
  <c r="AL23" i="153" s="1"/>
  <c r="AJ15" i="153"/>
  <c r="AL15" i="153" s="1"/>
  <c r="AJ16" i="153"/>
  <c r="AL16" i="153" s="1"/>
  <c r="AJ17" i="153"/>
  <c r="AL17" i="153" s="1"/>
  <c r="AJ10" i="153"/>
  <c r="AL10" i="153" s="1"/>
  <c r="AJ11" i="153"/>
  <c r="AL11" i="153" s="1"/>
  <c r="AQ125" i="140" l="1"/>
  <c r="P139" i="140"/>
  <c r="N139" i="140"/>
  <c r="J139" i="140"/>
  <c r="H139" i="140"/>
  <c r="E139" i="140"/>
  <c r="AR124" i="140" l="1"/>
  <c r="AQ124" i="140"/>
  <c r="AS124" i="140"/>
  <c r="AH8" i="151" l="1"/>
  <c r="E409" i="181" s="1"/>
  <c r="G409" i="181" l="1"/>
  <c r="Z409" i="181"/>
  <c r="E590" i="181"/>
  <c r="V409" i="181"/>
  <c r="E89" i="140"/>
  <c r="G89" i="140" s="1"/>
  <c r="AH29" i="151"/>
  <c r="E591" i="181" s="1"/>
  <c r="E88" i="140"/>
  <c r="E110" i="140" s="1"/>
  <c r="AP8" i="151"/>
  <c r="AT8" i="151" s="1"/>
  <c r="BG409" i="181" l="1"/>
  <c r="X409" i="181"/>
  <c r="V590" i="181"/>
  <c r="V683" i="181" s="1"/>
  <c r="V685" i="181" s="1"/>
  <c r="AA409" i="181"/>
  <c r="AA590" i="181" s="1"/>
  <c r="Z590" i="181"/>
  <c r="G590" i="181"/>
  <c r="AP29" i="151"/>
  <c r="V89" i="140"/>
  <c r="BG89" i="140" s="1"/>
  <c r="BK89" i="140" s="1"/>
  <c r="E8" i="174"/>
  <c r="G8" i="174" s="1"/>
  <c r="K8" i="174" s="1"/>
  <c r="AM11" i="150"/>
  <c r="E111" i="140"/>
  <c r="AT7" i="151"/>
  <c r="AT29" i="151" s="1"/>
  <c r="G88" i="140"/>
  <c r="G110" i="140" s="1"/>
  <c r="AP59" i="151" l="1"/>
  <c r="V591" i="181"/>
  <c r="X590" i="181"/>
  <c r="BK409" i="181"/>
  <c r="BG590" i="181"/>
  <c r="AP63" i="151"/>
  <c r="AT56" i="151"/>
  <c r="AT59" i="151" s="1"/>
  <c r="V111" i="140"/>
  <c r="AF77" i="153"/>
  <c r="AJ75" i="153"/>
  <c r="AI77" i="153"/>
  <c r="AH77" i="153"/>
  <c r="AE77" i="153"/>
  <c r="AD77" i="153"/>
  <c r="L8" i="174" l="1"/>
  <c r="AI427" i="181" s="1"/>
  <c r="T216" i="153"/>
  <c r="AI91" i="140" l="1"/>
  <c r="AH72" i="147"/>
  <c r="X15" i="140" l="1"/>
  <c r="X38" i="140" l="1"/>
  <c r="X37" i="140"/>
  <c r="X36" i="140"/>
  <c r="AI107" i="153"/>
  <c r="AH107" i="153"/>
  <c r="AG107" i="153"/>
  <c r="AF107" i="153"/>
  <c r="AE107" i="153"/>
  <c r="AD107" i="153"/>
  <c r="AC107" i="153"/>
  <c r="AB107" i="153"/>
  <c r="AA107" i="153"/>
  <c r="Z107" i="153"/>
  <c r="Y107" i="153"/>
  <c r="X107" i="153"/>
  <c r="W107" i="153"/>
  <c r="V107" i="153"/>
  <c r="U107" i="153"/>
  <c r="T107" i="153"/>
  <c r="S107" i="153"/>
  <c r="R107" i="153"/>
  <c r="Q107" i="153"/>
  <c r="P107" i="153"/>
  <c r="O107" i="153"/>
  <c r="N107" i="153"/>
  <c r="M107" i="153"/>
  <c r="G107" i="153"/>
  <c r="H107" i="153"/>
  <c r="I107" i="153"/>
  <c r="F107" i="153"/>
  <c r="E107" i="153"/>
  <c r="AI105" i="153"/>
  <c r="AH105" i="153"/>
  <c r="AB105" i="153"/>
  <c r="AA105" i="153"/>
  <c r="Z105" i="153"/>
  <c r="Y105" i="153"/>
  <c r="X105" i="153"/>
  <c r="W105" i="153"/>
  <c r="V105" i="153"/>
  <c r="U105" i="153"/>
  <c r="T105" i="153"/>
  <c r="S105" i="153"/>
  <c r="R105" i="153"/>
  <c r="Q105" i="153"/>
  <c r="P105" i="153"/>
  <c r="O105" i="153"/>
  <c r="N105" i="153"/>
  <c r="M105" i="153"/>
  <c r="L105" i="153"/>
  <c r="G105" i="153"/>
  <c r="H105" i="153"/>
  <c r="I105" i="153"/>
  <c r="J105" i="153"/>
  <c r="F105" i="153"/>
  <c r="E105" i="153"/>
  <c r="AI101" i="153"/>
  <c r="X101" i="153"/>
  <c r="W101" i="153"/>
  <c r="V101" i="153"/>
  <c r="U101" i="153"/>
  <c r="T101" i="153"/>
  <c r="S101" i="153"/>
  <c r="R101" i="153"/>
  <c r="Q101" i="153"/>
  <c r="P101" i="153"/>
  <c r="O101" i="153"/>
  <c r="N101" i="153"/>
  <c r="M101" i="153"/>
  <c r="L101" i="153"/>
  <c r="G101" i="153"/>
  <c r="H101" i="153"/>
  <c r="I101" i="153"/>
  <c r="J101" i="153"/>
  <c r="K101" i="153"/>
  <c r="F101" i="153"/>
  <c r="AI96" i="153"/>
  <c r="AH96" i="153"/>
  <c r="AG96" i="153"/>
  <c r="AF96" i="153"/>
  <c r="AE96" i="153"/>
  <c r="AD96" i="153"/>
  <c r="AC96" i="153"/>
  <c r="AB96" i="153"/>
  <c r="AA96" i="153"/>
  <c r="Z96" i="153"/>
  <c r="Y96" i="153"/>
  <c r="X96" i="153"/>
  <c r="W96" i="153"/>
  <c r="V96" i="153"/>
  <c r="U96" i="153"/>
  <c r="T96" i="153"/>
  <c r="S96" i="153"/>
  <c r="R96" i="153"/>
  <c r="Q96" i="153"/>
  <c r="P96" i="153"/>
  <c r="O96" i="153"/>
  <c r="N96" i="153"/>
  <c r="M96" i="153"/>
  <c r="L96" i="153"/>
  <c r="G96" i="153"/>
  <c r="H96" i="153"/>
  <c r="I96" i="153"/>
  <c r="J96" i="153"/>
  <c r="K96" i="153"/>
  <c r="F96" i="153"/>
  <c r="E96" i="153"/>
  <c r="BM36" i="140" l="1"/>
  <c r="AO36" i="140"/>
  <c r="BC36" i="140" s="1"/>
  <c r="C33" i="175" s="1"/>
  <c r="BM37" i="140"/>
  <c r="AO37" i="140"/>
  <c r="BC37" i="140" s="1"/>
  <c r="C34" i="175" s="1"/>
  <c r="BM38" i="140"/>
  <c r="AO38" i="140"/>
  <c r="BC38" i="140" s="1"/>
  <c r="C35" i="175" s="1"/>
  <c r="AI278" i="153"/>
  <c r="AH278" i="153"/>
  <c r="AG278" i="153"/>
  <c r="AF278" i="153"/>
  <c r="AE278" i="153"/>
  <c r="AD278" i="153"/>
  <c r="AC278" i="153"/>
  <c r="AB278" i="153"/>
  <c r="AA278" i="153"/>
  <c r="Z278" i="153"/>
  <c r="Y278" i="153"/>
  <c r="X278" i="153"/>
  <c r="W278" i="153"/>
  <c r="V278" i="153"/>
  <c r="U278" i="153"/>
  <c r="T278" i="153"/>
  <c r="S278" i="153"/>
  <c r="R278" i="153"/>
  <c r="P278" i="153"/>
  <c r="O278" i="153"/>
  <c r="N278" i="153"/>
  <c r="M278" i="153"/>
  <c r="L278" i="153"/>
  <c r="K278" i="153"/>
  <c r="J278" i="153"/>
  <c r="I278" i="153"/>
  <c r="H278" i="153"/>
  <c r="G278" i="153"/>
  <c r="F278" i="153"/>
  <c r="E278" i="153"/>
  <c r="AI246" i="153"/>
  <c r="AH246" i="153"/>
  <c r="AG246" i="153"/>
  <c r="AF246" i="153"/>
  <c r="AE246" i="153"/>
  <c r="AD246" i="153"/>
  <c r="AC246" i="153"/>
  <c r="AB246" i="153"/>
  <c r="AA246" i="153"/>
  <c r="Z246" i="153"/>
  <c r="Y246" i="153"/>
  <c r="X246" i="153"/>
  <c r="W246" i="153"/>
  <c r="V246" i="153"/>
  <c r="U246" i="153"/>
  <c r="T246" i="153"/>
  <c r="S246" i="153"/>
  <c r="P246" i="153"/>
  <c r="O246" i="153"/>
  <c r="N246" i="153"/>
  <c r="M246" i="153"/>
  <c r="L246" i="153"/>
  <c r="K246" i="153"/>
  <c r="J246" i="153"/>
  <c r="I246" i="153"/>
  <c r="H246" i="153"/>
  <c r="G246" i="153"/>
  <c r="F246" i="153"/>
  <c r="E246" i="153"/>
  <c r="AI208" i="153"/>
  <c r="AH208" i="153"/>
  <c r="AG208" i="153"/>
  <c r="AF208" i="153"/>
  <c r="AE208" i="153"/>
  <c r="AD208" i="153"/>
  <c r="AC208" i="153"/>
  <c r="AB208" i="153"/>
  <c r="AA208" i="153"/>
  <c r="Z208" i="153"/>
  <c r="Y208" i="153"/>
  <c r="X208" i="153"/>
  <c r="W208" i="153"/>
  <c r="V208" i="153"/>
  <c r="U208" i="153"/>
  <c r="T208" i="153"/>
  <c r="S208" i="153"/>
  <c r="R208" i="153"/>
  <c r="Q208" i="153"/>
  <c r="P208" i="153"/>
  <c r="O208" i="153"/>
  <c r="N208" i="153"/>
  <c r="M208" i="153"/>
  <c r="L208" i="153"/>
  <c r="K208" i="153"/>
  <c r="J208" i="153"/>
  <c r="I208" i="153"/>
  <c r="H208" i="153"/>
  <c r="G208" i="153"/>
  <c r="F208" i="153"/>
  <c r="E208" i="153"/>
  <c r="AI177" i="153"/>
  <c r="AH177" i="153"/>
  <c r="AG177" i="153"/>
  <c r="AF177" i="153"/>
  <c r="AE177" i="153"/>
  <c r="AD177" i="153"/>
  <c r="AC177" i="153"/>
  <c r="AB177" i="153"/>
  <c r="AA177" i="153"/>
  <c r="Z177" i="153"/>
  <c r="Y177" i="153"/>
  <c r="X177" i="153"/>
  <c r="W177" i="153"/>
  <c r="V177" i="153"/>
  <c r="U177" i="153"/>
  <c r="T177" i="153"/>
  <c r="S177" i="153"/>
  <c r="R177" i="153"/>
  <c r="Q177" i="153"/>
  <c r="P177" i="153"/>
  <c r="O177" i="153"/>
  <c r="N177" i="153"/>
  <c r="M177" i="153"/>
  <c r="L177" i="153"/>
  <c r="K177" i="153"/>
  <c r="J177" i="153"/>
  <c r="I177" i="153"/>
  <c r="H177" i="153"/>
  <c r="G177" i="153"/>
  <c r="F177" i="153"/>
  <c r="E177" i="153"/>
  <c r="AI140" i="153"/>
  <c r="AH140" i="153"/>
  <c r="AG140" i="153"/>
  <c r="AF140" i="153"/>
  <c r="AE140" i="153"/>
  <c r="AD140" i="153"/>
  <c r="AC140" i="153"/>
  <c r="AB140" i="153"/>
  <c r="AA140" i="153"/>
  <c r="Z140" i="153"/>
  <c r="Y140" i="153"/>
  <c r="X140" i="153"/>
  <c r="W140" i="153"/>
  <c r="V140" i="153"/>
  <c r="U140" i="153"/>
  <c r="T140" i="153"/>
  <c r="S140" i="153"/>
  <c r="R140" i="153"/>
  <c r="Q140" i="153"/>
  <c r="P140" i="153"/>
  <c r="O140" i="153"/>
  <c r="N140" i="153"/>
  <c r="M140" i="153"/>
  <c r="L140" i="153"/>
  <c r="K140" i="153"/>
  <c r="J140" i="153"/>
  <c r="I140" i="153"/>
  <c r="H140" i="153"/>
  <c r="G140" i="153"/>
  <c r="F140" i="153"/>
  <c r="E140" i="153"/>
  <c r="AI69" i="153"/>
  <c r="AH69" i="153"/>
  <c r="AG69" i="153"/>
  <c r="AF69" i="153"/>
  <c r="AE69" i="153"/>
  <c r="AD69" i="153"/>
  <c r="AC69" i="153"/>
  <c r="AB69" i="153"/>
  <c r="AA69" i="153"/>
  <c r="Z69" i="153"/>
  <c r="Y69" i="153"/>
  <c r="X69" i="153"/>
  <c r="W69" i="153"/>
  <c r="V69" i="153"/>
  <c r="U69" i="153"/>
  <c r="T69" i="153"/>
  <c r="S69" i="153"/>
  <c r="R69" i="153"/>
  <c r="Q69" i="153"/>
  <c r="P69" i="153"/>
  <c r="O69" i="153"/>
  <c r="N69" i="153"/>
  <c r="M69" i="153"/>
  <c r="L69" i="153"/>
  <c r="K69" i="153"/>
  <c r="J69" i="153"/>
  <c r="I69" i="153"/>
  <c r="H69" i="153"/>
  <c r="G69" i="153"/>
  <c r="F69" i="153"/>
  <c r="E69" i="153"/>
  <c r="AI276" i="153"/>
  <c r="AI244" i="153"/>
  <c r="AH244" i="153"/>
  <c r="AF244" i="153"/>
  <c r="AE244" i="153"/>
  <c r="AD244" i="153"/>
  <c r="AC244" i="153"/>
  <c r="AB244" i="153"/>
  <c r="AA244" i="153"/>
  <c r="Z244" i="153"/>
  <c r="Y244" i="153"/>
  <c r="X244" i="153"/>
  <c r="W244" i="153"/>
  <c r="V244" i="153"/>
  <c r="U244" i="153"/>
  <c r="T244" i="153"/>
  <c r="S244" i="153"/>
  <c r="P244" i="153"/>
  <c r="O244" i="153"/>
  <c r="N244" i="153"/>
  <c r="M244" i="153"/>
  <c r="L244" i="153"/>
  <c r="K244" i="153"/>
  <c r="J244" i="153"/>
  <c r="I244" i="153"/>
  <c r="H244" i="153"/>
  <c r="G244" i="153"/>
  <c r="F244" i="153"/>
  <c r="E244" i="153"/>
  <c r="U206" i="153"/>
  <c r="T206" i="153"/>
  <c r="S206" i="153"/>
  <c r="R206" i="153"/>
  <c r="Q206" i="153"/>
  <c r="P206" i="153"/>
  <c r="O206" i="153"/>
  <c r="N206" i="153"/>
  <c r="M206" i="153"/>
  <c r="L206" i="153"/>
  <c r="K206" i="153"/>
  <c r="J206" i="153"/>
  <c r="I206" i="153"/>
  <c r="H206" i="153"/>
  <c r="G206" i="153"/>
  <c r="F206" i="153"/>
  <c r="E206" i="153"/>
  <c r="AI175" i="153"/>
  <c r="AH175" i="153"/>
  <c r="AF175" i="153"/>
  <c r="AE175" i="153"/>
  <c r="AD175" i="153"/>
  <c r="AC175" i="153"/>
  <c r="AB175" i="153"/>
  <c r="AA175" i="153"/>
  <c r="Z175" i="153"/>
  <c r="Y175" i="153"/>
  <c r="X175" i="153"/>
  <c r="W175" i="153"/>
  <c r="V175" i="153"/>
  <c r="U175" i="153"/>
  <c r="T175" i="153"/>
  <c r="S175" i="153"/>
  <c r="R175" i="153"/>
  <c r="Q175" i="153"/>
  <c r="P175" i="153"/>
  <c r="O175" i="153"/>
  <c r="N175" i="153"/>
  <c r="M175" i="153"/>
  <c r="L175" i="153"/>
  <c r="K175" i="153"/>
  <c r="J175" i="153"/>
  <c r="I175" i="153"/>
  <c r="H175" i="153"/>
  <c r="G175" i="153"/>
  <c r="F175" i="153"/>
  <c r="E175" i="153"/>
  <c r="AI138" i="153"/>
  <c r="AH138" i="153"/>
  <c r="AG138" i="153"/>
  <c r="AF138" i="153"/>
  <c r="AB138" i="153"/>
  <c r="AA138" i="153"/>
  <c r="Z138" i="153"/>
  <c r="Y138" i="153"/>
  <c r="X138" i="153"/>
  <c r="W138" i="153"/>
  <c r="V138" i="153"/>
  <c r="U138" i="153"/>
  <c r="T138" i="153"/>
  <c r="S138" i="153"/>
  <c r="R138" i="153"/>
  <c r="Q138" i="153"/>
  <c r="P138" i="153"/>
  <c r="O138" i="153"/>
  <c r="N138" i="153"/>
  <c r="M138" i="153"/>
  <c r="L138" i="153"/>
  <c r="K138" i="153"/>
  <c r="J138" i="153"/>
  <c r="I138" i="153"/>
  <c r="H138" i="153"/>
  <c r="G138" i="153"/>
  <c r="F138" i="153"/>
  <c r="E138" i="153"/>
  <c r="AI67" i="153"/>
  <c r="AH67" i="153"/>
  <c r="AG67" i="153"/>
  <c r="AF67" i="153"/>
  <c r="AE67" i="153"/>
  <c r="AD67" i="153"/>
  <c r="AC67" i="153"/>
  <c r="AB67" i="153"/>
  <c r="AA67" i="153"/>
  <c r="Z67" i="153"/>
  <c r="Y67" i="153"/>
  <c r="X67" i="153"/>
  <c r="W67" i="153"/>
  <c r="V67" i="153"/>
  <c r="U67" i="153"/>
  <c r="T67" i="153"/>
  <c r="S67" i="153"/>
  <c r="R67" i="153"/>
  <c r="Q67" i="153"/>
  <c r="P67" i="153"/>
  <c r="O67" i="153"/>
  <c r="N67" i="153"/>
  <c r="M67" i="153"/>
  <c r="L67" i="153"/>
  <c r="K67" i="153"/>
  <c r="J67" i="153"/>
  <c r="I67" i="153"/>
  <c r="H67" i="153"/>
  <c r="G67" i="153"/>
  <c r="F67" i="153"/>
  <c r="E67" i="153"/>
  <c r="AI240" i="153"/>
  <c r="AH240" i="153"/>
  <c r="AG240" i="153"/>
  <c r="AE240" i="153"/>
  <c r="AD240" i="153"/>
  <c r="AC240" i="153"/>
  <c r="AB240" i="153"/>
  <c r="AA240" i="153"/>
  <c r="Z240" i="153"/>
  <c r="Y240" i="153"/>
  <c r="X240" i="153"/>
  <c r="W240" i="153"/>
  <c r="V240" i="153"/>
  <c r="U240" i="153"/>
  <c r="T240" i="153"/>
  <c r="S240" i="153"/>
  <c r="P240" i="153"/>
  <c r="O240" i="153"/>
  <c r="N240" i="153"/>
  <c r="M240" i="153"/>
  <c r="L240" i="153"/>
  <c r="K240" i="153"/>
  <c r="J240" i="153"/>
  <c r="I240" i="153"/>
  <c r="H240" i="153"/>
  <c r="G240" i="153"/>
  <c r="F240" i="153"/>
  <c r="E240" i="153"/>
  <c r="AI202" i="153"/>
  <c r="AH202" i="153"/>
  <c r="AG202" i="153"/>
  <c r="AF202" i="153"/>
  <c r="AE202" i="153"/>
  <c r="AD202" i="153"/>
  <c r="AC202" i="153"/>
  <c r="AB202" i="153"/>
  <c r="AA202" i="153"/>
  <c r="Z202" i="153"/>
  <c r="Y202" i="153"/>
  <c r="X202" i="153"/>
  <c r="W202" i="153"/>
  <c r="V202" i="153"/>
  <c r="U202" i="153"/>
  <c r="G202" i="153"/>
  <c r="F202" i="153"/>
  <c r="E202" i="153"/>
  <c r="AI171" i="153"/>
  <c r="AH171" i="153"/>
  <c r="AG171" i="153"/>
  <c r="AF171" i="153"/>
  <c r="AE171" i="153"/>
  <c r="AD171" i="153"/>
  <c r="AC171" i="153"/>
  <c r="AB171" i="153"/>
  <c r="AA171" i="153"/>
  <c r="Z171" i="153"/>
  <c r="Y171" i="153"/>
  <c r="X171" i="153"/>
  <c r="W171" i="153"/>
  <c r="V171" i="153"/>
  <c r="U171" i="153"/>
  <c r="T171" i="153"/>
  <c r="S171" i="153"/>
  <c r="R171" i="153"/>
  <c r="Q171" i="153"/>
  <c r="P171" i="153"/>
  <c r="O171" i="153"/>
  <c r="N171" i="153"/>
  <c r="M171" i="153"/>
  <c r="L171" i="153"/>
  <c r="K171" i="153"/>
  <c r="J171" i="153"/>
  <c r="I171" i="153"/>
  <c r="H171" i="153"/>
  <c r="G171" i="153"/>
  <c r="F171" i="153"/>
  <c r="E171" i="153"/>
  <c r="AI134" i="153"/>
  <c r="T134" i="153"/>
  <c r="S134" i="153"/>
  <c r="R134" i="153"/>
  <c r="P134" i="153"/>
  <c r="O134" i="153"/>
  <c r="N134" i="153"/>
  <c r="M134" i="153"/>
  <c r="J134" i="153"/>
  <c r="F134" i="153"/>
  <c r="AI63" i="153"/>
  <c r="AG63" i="153"/>
  <c r="AF63" i="153"/>
  <c r="AE63" i="153"/>
  <c r="AD63" i="153"/>
  <c r="AC63" i="153"/>
  <c r="AB63" i="153"/>
  <c r="AA63" i="153"/>
  <c r="Z63" i="153"/>
  <c r="Y63" i="153"/>
  <c r="X63" i="153"/>
  <c r="W63" i="153"/>
  <c r="V63" i="153"/>
  <c r="U63" i="153"/>
  <c r="T63" i="153"/>
  <c r="S63" i="153"/>
  <c r="R63" i="153"/>
  <c r="O63" i="153"/>
  <c r="N63" i="153"/>
  <c r="M63" i="153"/>
  <c r="L63" i="153"/>
  <c r="K63" i="153"/>
  <c r="I63" i="153"/>
  <c r="H63" i="153"/>
  <c r="G63" i="153"/>
  <c r="F63" i="153"/>
  <c r="E63" i="153"/>
  <c r="AI267" i="153"/>
  <c r="AH267" i="153"/>
  <c r="AG267" i="153"/>
  <c r="AF267" i="153"/>
  <c r="AE267" i="153"/>
  <c r="AD267" i="153"/>
  <c r="AC267" i="153"/>
  <c r="AB267" i="153"/>
  <c r="AA267" i="153"/>
  <c r="Z267" i="153"/>
  <c r="Y267" i="153"/>
  <c r="X267" i="153"/>
  <c r="W267" i="153"/>
  <c r="V267" i="153"/>
  <c r="U267" i="153"/>
  <c r="T267" i="153"/>
  <c r="S267" i="153"/>
  <c r="P267" i="153"/>
  <c r="O267" i="153"/>
  <c r="N267" i="153"/>
  <c r="M267" i="153"/>
  <c r="L267" i="153"/>
  <c r="K267" i="153"/>
  <c r="J267" i="153"/>
  <c r="I267" i="153"/>
  <c r="H267" i="153"/>
  <c r="G267" i="153"/>
  <c r="F267" i="153"/>
  <c r="E267" i="153"/>
  <c r="AI235" i="153"/>
  <c r="AH235" i="153"/>
  <c r="AG235" i="153"/>
  <c r="AE235" i="153"/>
  <c r="AD235" i="153"/>
  <c r="AC235" i="153"/>
  <c r="AB235" i="153"/>
  <c r="AA235" i="153"/>
  <c r="Z235" i="153"/>
  <c r="Y235" i="153"/>
  <c r="X235" i="153"/>
  <c r="W235" i="153"/>
  <c r="V235" i="153"/>
  <c r="U235" i="153"/>
  <c r="T235" i="153"/>
  <c r="S235" i="153"/>
  <c r="P235" i="153"/>
  <c r="O235" i="153"/>
  <c r="N235" i="153"/>
  <c r="M235" i="153"/>
  <c r="L235" i="153"/>
  <c r="K235" i="153"/>
  <c r="J235" i="153"/>
  <c r="I235" i="153"/>
  <c r="H235" i="153"/>
  <c r="G235" i="153"/>
  <c r="F235" i="153"/>
  <c r="E235" i="153"/>
  <c r="AI198" i="153"/>
  <c r="AH198" i="153"/>
  <c r="AG198" i="153"/>
  <c r="AF198" i="153"/>
  <c r="AE198" i="153"/>
  <c r="AD198" i="153"/>
  <c r="AC198" i="153"/>
  <c r="AB198" i="153"/>
  <c r="AA198" i="153"/>
  <c r="Z198" i="153"/>
  <c r="Y198" i="153"/>
  <c r="X198" i="153"/>
  <c r="W198" i="153"/>
  <c r="V198" i="153"/>
  <c r="U198" i="153"/>
  <c r="T198" i="153"/>
  <c r="S198" i="153"/>
  <c r="R198" i="153"/>
  <c r="Q198" i="153"/>
  <c r="P198" i="153"/>
  <c r="O198" i="153"/>
  <c r="N198" i="153"/>
  <c r="M198" i="153"/>
  <c r="L198" i="153"/>
  <c r="K198" i="153"/>
  <c r="J198" i="153"/>
  <c r="I198" i="153"/>
  <c r="H198" i="153"/>
  <c r="G198" i="153"/>
  <c r="F198" i="153"/>
  <c r="E198" i="153"/>
  <c r="AI167" i="153"/>
  <c r="AH167" i="153"/>
  <c r="AG167" i="153"/>
  <c r="AF167" i="153"/>
  <c r="AE167" i="153"/>
  <c r="AD167" i="153"/>
  <c r="AC167" i="153"/>
  <c r="AB167" i="153"/>
  <c r="AA167" i="153"/>
  <c r="Z167" i="153"/>
  <c r="Y167" i="153"/>
  <c r="X167" i="153"/>
  <c r="W167" i="153"/>
  <c r="V167" i="153"/>
  <c r="U167" i="153"/>
  <c r="T167" i="153"/>
  <c r="S167" i="153"/>
  <c r="R167" i="153"/>
  <c r="Q167" i="153"/>
  <c r="P167" i="153"/>
  <c r="O167" i="153"/>
  <c r="N167" i="153"/>
  <c r="M167" i="153"/>
  <c r="L167" i="153"/>
  <c r="K167" i="153"/>
  <c r="J167" i="153"/>
  <c r="I167" i="153"/>
  <c r="H167" i="153"/>
  <c r="G167" i="153"/>
  <c r="F167" i="153"/>
  <c r="E167" i="153"/>
  <c r="AI129" i="153"/>
  <c r="AH129" i="153"/>
  <c r="AG129" i="153"/>
  <c r="AF129" i="153"/>
  <c r="AE129" i="153"/>
  <c r="AD129" i="153"/>
  <c r="AC129" i="153"/>
  <c r="AB129" i="153"/>
  <c r="AA129" i="153"/>
  <c r="Z129" i="153"/>
  <c r="Y129" i="153"/>
  <c r="X129" i="153"/>
  <c r="W129" i="153"/>
  <c r="V129" i="153"/>
  <c r="U129" i="153"/>
  <c r="T129" i="153"/>
  <c r="S129" i="153"/>
  <c r="R129" i="153"/>
  <c r="Q129" i="153"/>
  <c r="P129" i="153"/>
  <c r="O129" i="153"/>
  <c r="N129" i="153"/>
  <c r="M129" i="153"/>
  <c r="L129" i="153"/>
  <c r="K129" i="153"/>
  <c r="J129" i="153"/>
  <c r="I129" i="153"/>
  <c r="H129" i="153"/>
  <c r="G129" i="153"/>
  <c r="F129" i="153"/>
  <c r="E129" i="153"/>
  <c r="AI59" i="153"/>
  <c r="AH59" i="153"/>
  <c r="AG59" i="153"/>
  <c r="AF59" i="153"/>
  <c r="AE59" i="153"/>
  <c r="AD59" i="153"/>
  <c r="AC59" i="153"/>
  <c r="AB59" i="153"/>
  <c r="AA59" i="153"/>
  <c r="Z59" i="153"/>
  <c r="Y59" i="153"/>
  <c r="X59" i="153"/>
  <c r="W59" i="153"/>
  <c r="V59" i="153"/>
  <c r="U59" i="153"/>
  <c r="T59" i="153"/>
  <c r="S59" i="153"/>
  <c r="R59" i="153"/>
  <c r="Q59" i="153"/>
  <c r="P59" i="153"/>
  <c r="O59" i="153"/>
  <c r="N59" i="153"/>
  <c r="M59" i="153"/>
  <c r="L59" i="153"/>
  <c r="K59" i="153"/>
  <c r="J59" i="153"/>
  <c r="I59" i="153"/>
  <c r="H59" i="153"/>
  <c r="G59" i="153"/>
  <c r="E59" i="153"/>
  <c r="E38" i="153"/>
  <c r="AI32" i="153"/>
  <c r="AH32" i="153"/>
  <c r="AG32" i="153"/>
  <c r="AF32" i="153"/>
  <c r="AE32" i="153"/>
  <c r="AD32" i="153"/>
  <c r="AC32" i="153"/>
  <c r="AB32" i="153"/>
  <c r="AA32" i="153"/>
  <c r="Z32" i="153"/>
  <c r="Y32" i="153"/>
  <c r="X32" i="153"/>
  <c r="W32" i="153"/>
  <c r="V32" i="153"/>
  <c r="U32" i="153"/>
  <c r="R32" i="153"/>
  <c r="Q32" i="153"/>
  <c r="P32" i="153"/>
  <c r="O32" i="153"/>
  <c r="N32" i="153"/>
  <c r="M32" i="153"/>
  <c r="L32" i="153"/>
  <c r="F32" i="153"/>
  <c r="E32" i="153"/>
  <c r="H32" i="153"/>
  <c r="I32" i="153"/>
  <c r="J32" i="153"/>
  <c r="K32" i="153"/>
  <c r="AI38" i="153"/>
  <c r="AH38" i="153"/>
  <c r="AF38" i="153"/>
  <c r="AE38" i="153"/>
  <c r="AD38" i="153"/>
  <c r="AC38" i="153"/>
  <c r="AB38" i="153"/>
  <c r="AA38" i="153"/>
  <c r="Y38" i="153"/>
  <c r="X38" i="153"/>
  <c r="W38" i="153"/>
  <c r="V38" i="153"/>
  <c r="U38" i="153"/>
  <c r="T38" i="153"/>
  <c r="R38" i="153"/>
  <c r="Q38" i="153"/>
  <c r="P38" i="153"/>
  <c r="O38" i="153"/>
  <c r="N38" i="153"/>
  <c r="M38" i="153"/>
  <c r="G38" i="153"/>
  <c r="H38" i="153"/>
  <c r="I38" i="153"/>
  <c r="J38" i="153"/>
  <c r="K38" i="153"/>
  <c r="F38" i="153"/>
  <c r="AG38" i="153"/>
  <c r="Z38" i="153"/>
  <c r="S38" i="153"/>
  <c r="L38" i="153"/>
  <c r="AJ279" i="153"/>
  <c r="AL279" i="153" s="1"/>
  <c r="AJ380" i="181" s="1"/>
  <c r="AJ277" i="153"/>
  <c r="AL277" i="153" s="1"/>
  <c r="AI380" i="181" s="1"/>
  <c r="AJ275" i="153"/>
  <c r="AL275" i="153" s="1"/>
  <c r="AJ274" i="153"/>
  <c r="AL274" i="153" s="1"/>
  <c r="AJ273" i="153"/>
  <c r="AL273" i="153" s="1"/>
  <c r="AJ271" i="153"/>
  <c r="AL271" i="153" s="1"/>
  <c r="AJ269" i="153"/>
  <c r="AL269" i="153" s="1"/>
  <c r="AJ266" i="153"/>
  <c r="AL266" i="153" s="1"/>
  <c r="AJ265" i="153"/>
  <c r="AL265" i="153" s="1"/>
  <c r="AJ264" i="153"/>
  <c r="AL264" i="153" s="1"/>
  <c r="AJ263" i="153"/>
  <c r="AL263" i="153" s="1"/>
  <c r="AJ262" i="153"/>
  <c r="AL262" i="153" s="1"/>
  <c r="AJ261" i="153"/>
  <c r="AJ260" i="153"/>
  <c r="AL260" i="153" s="1"/>
  <c r="AJ259" i="153"/>
  <c r="AL259" i="153" s="1"/>
  <c r="AJ258" i="153"/>
  <c r="AL258" i="153" s="1"/>
  <c r="AJ257" i="153"/>
  <c r="AL257" i="153" s="1"/>
  <c r="AJ256" i="153"/>
  <c r="AL256" i="153" s="1"/>
  <c r="AJ255" i="153"/>
  <c r="AL255" i="153" s="1"/>
  <c r="AJ254" i="153"/>
  <c r="AL254" i="153" s="1"/>
  <c r="AJ253" i="153"/>
  <c r="AL253" i="153" s="1"/>
  <c r="AJ252" i="153"/>
  <c r="AL252" i="153" s="1"/>
  <c r="AJ251" i="153"/>
  <c r="AL251" i="153" s="1"/>
  <c r="AJ250" i="153"/>
  <c r="AL250" i="153" s="1"/>
  <c r="AJ249" i="153"/>
  <c r="AJ247" i="153"/>
  <c r="AL247" i="153" s="1"/>
  <c r="AJ371" i="181" s="1"/>
  <c r="AJ245" i="153"/>
  <c r="AL245" i="153" s="1"/>
  <c r="AI371" i="181" s="1"/>
  <c r="AJ242" i="153"/>
  <c r="AL242" i="153" s="1"/>
  <c r="AJ241" i="153"/>
  <c r="AL241" i="153" s="1"/>
  <c r="AJ239" i="153"/>
  <c r="AL239" i="153" s="1"/>
  <c r="AJ237" i="153"/>
  <c r="AL237" i="153" s="1"/>
  <c r="AJ234" i="153"/>
  <c r="AL234" i="153" s="1"/>
  <c r="AJ233" i="153"/>
  <c r="AL233" i="153" s="1"/>
  <c r="AJ232" i="153"/>
  <c r="AL232" i="153" s="1"/>
  <c r="AJ231" i="153"/>
  <c r="AL231" i="153" s="1"/>
  <c r="AJ230" i="153"/>
  <c r="AL230" i="153" s="1"/>
  <c r="AJ229" i="153"/>
  <c r="AL229" i="153" s="1"/>
  <c r="AJ228" i="153"/>
  <c r="AL228" i="153" s="1"/>
  <c r="AJ227" i="153"/>
  <c r="AL227" i="153" s="1"/>
  <c r="AJ226" i="153"/>
  <c r="AL226" i="153" s="1"/>
  <c r="AJ225" i="153"/>
  <c r="AL225" i="153" s="1"/>
  <c r="AJ224" i="153"/>
  <c r="AL224" i="153" s="1"/>
  <c r="AJ223" i="153"/>
  <c r="AL223" i="153" s="1"/>
  <c r="AJ222" i="153"/>
  <c r="AL222" i="153" s="1"/>
  <c r="AJ221" i="153"/>
  <c r="AL221" i="153" s="1"/>
  <c r="AJ220" i="153"/>
  <c r="AL220" i="153" s="1"/>
  <c r="AJ219" i="153"/>
  <c r="AL219" i="153" s="1"/>
  <c r="AJ218" i="153"/>
  <c r="AL218" i="153" s="1"/>
  <c r="AJ217" i="153"/>
  <c r="Y216" i="153"/>
  <c r="X216" i="153"/>
  <c r="W216" i="153"/>
  <c r="V216" i="153"/>
  <c r="U216" i="153"/>
  <c r="F216" i="153"/>
  <c r="AJ215" i="153"/>
  <c r="AJ209" i="153"/>
  <c r="AL209" i="153" s="1"/>
  <c r="AJ362" i="181" s="1"/>
  <c r="AJ207" i="153"/>
  <c r="AL207" i="153" s="1"/>
  <c r="AI362" i="181" s="1"/>
  <c r="AJ205" i="153"/>
  <c r="AL205" i="153" s="1"/>
  <c r="AJ204" i="153"/>
  <c r="AL204" i="153" s="1"/>
  <c r="AJ203" i="153"/>
  <c r="AL203" i="153" s="1"/>
  <c r="AJ201" i="153"/>
  <c r="AL201" i="153" s="1"/>
  <c r="AJ200" i="153"/>
  <c r="AL200" i="153" s="1"/>
  <c r="AJ197" i="153"/>
  <c r="AL197" i="153" s="1"/>
  <c r="AJ196" i="153"/>
  <c r="AL196" i="153" s="1"/>
  <c r="AJ195" i="153"/>
  <c r="AL195" i="153" s="1"/>
  <c r="AJ194" i="153"/>
  <c r="AL194" i="153" s="1"/>
  <c r="AJ193" i="153"/>
  <c r="AL193" i="153" s="1"/>
  <c r="AJ192" i="153"/>
  <c r="AJ191" i="153"/>
  <c r="AL191" i="153" s="1"/>
  <c r="AJ190" i="153"/>
  <c r="AL190" i="153" s="1"/>
  <c r="AJ189" i="153"/>
  <c r="AL189" i="153" s="1"/>
  <c r="AJ188" i="153"/>
  <c r="AL188" i="153" s="1"/>
  <c r="AJ187" i="153"/>
  <c r="AL187" i="153" s="1"/>
  <c r="AJ186" i="153"/>
  <c r="AL186" i="153" s="1"/>
  <c r="AJ185" i="153"/>
  <c r="AL185" i="153" s="1"/>
  <c r="AJ184" i="153"/>
  <c r="AL184" i="153" s="1"/>
  <c r="AJ183" i="153"/>
  <c r="AL183" i="153" s="1"/>
  <c r="AJ182" i="153"/>
  <c r="AL182" i="153" s="1"/>
  <c r="AJ181" i="153"/>
  <c r="AL181" i="153" s="1"/>
  <c r="AJ180" i="153"/>
  <c r="AJ178" i="153"/>
  <c r="AL178" i="153" s="1"/>
  <c r="AJ353" i="181" s="1"/>
  <c r="AJ176" i="153"/>
  <c r="AL176" i="153" s="1"/>
  <c r="AI353" i="181" s="1"/>
  <c r="AL173" i="153"/>
  <c r="AL172" i="153"/>
  <c r="AJ170" i="153"/>
  <c r="AL170" i="153" s="1"/>
  <c r="AJ169" i="153"/>
  <c r="AL169" i="153" s="1"/>
  <c r="AJ166" i="153"/>
  <c r="AL166" i="153" s="1"/>
  <c r="AJ165" i="153"/>
  <c r="AL165" i="153" s="1"/>
  <c r="AJ164" i="153"/>
  <c r="AL164" i="153" s="1"/>
  <c r="AJ163" i="153"/>
  <c r="AL163" i="153" s="1"/>
  <c r="AJ162" i="153"/>
  <c r="AL162" i="153" s="1"/>
  <c r="AJ161" i="153"/>
  <c r="AL161" i="153" s="1"/>
  <c r="AJ160" i="153"/>
  <c r="AL160" i="153" s="1"/>
  <c r="AJ159" i="153"/>
  <c r="AL159" i="153" s="1"/>
  <c r="AJ158" i="153"/>
  <c r="AL158" i="153" s="1"/>
  <c r="AJ157" i="153"/>
  <c r="AL157" i="153" s="1"/>
  <c r="AJ156" i="153"/>
  <c r="AL156" i="153" s="1"/>
  <c r="AJ155" i="153"/>
  <c r="AL155" i="153" s="1"/>
  <c r="AJ154" i="153"/>
  <c r="AL154" i="153" s="1"/>
  <c r="AJ153" i="153"/>
  <c r="AL153" i="153" s="1"/>
  <c r="AJ152" i="153"/>
  <c r="AL152" i="153" s="1"/>
  <c r="AJ151" i="153"/>
  <c r="AL151" i="153" s="1"/>
  <c r="AJ150" i="153"/>
  <c r="AL150" i="153" s="1"/>
  <c r="AJ149" i="153"/>
  <c r="F148" i="153"/>
  <c r="AJ147" i="153"/>
  <c r="V77" i="153"/>
  <c r="Y77" i="153"/>
  <c r="AA77" i="153"/>
  <c r="AC77" i="153"/>
  <c r="AJ76" i="153"/>
  <c r="F77" i="153"/>
  <c r="U77" i="153"/>
  <c r="W77" i="153"/>
  <c r="X77" i="153"/>
  <c r="AB77" i="153"/>
  <c r="AJ78" i="153"/>
  <c r="AL78" i="153" s="1"/>
  <c r="AJ79" i="153"/>
  <c r="AL79" i="153" s="1"/>
  <c r="AJ80" i="153"/>
  <c r="AL80" i="153" s="1"/>
  <c r="AJ81" i="153"/>
  <c r="AL81" i="153" s="1"/>
  <c r="AJ82" i="153"/>
  <c r="AL82" i="153" s="1"/>
  <c r="AJ83" i="153"/>
  <c r="AL83" i="153" s="1"/>
  <c r="AJ84" i="153"/>
  <c r="AL84" i="153" s="1"/>
  <c r="AJ85" i="153"/>
  <c r="AL85" i="153" s="1"/>
  <c r="AJ86" i="153"/>
  <c r="AL86" i="153" s="1"/>
  <c r="AJ87" i="153"/>
  <c r="AL87" i="153" s="1"/>
  <c r="AJ88" i="153"/>
  <c r="AL88" i="153" s="1"/>
  <c r="AJ89" i="153"/>
  <c r="AL89" i="153" s="1"/>
  <c r="AJ90" i="153"/>
  <c r="AL90" i="153" s="1"/>
  <c r="AJ91" i="153"/>
  <c r="AL91" i="153" s="1"/>
  <c r="AJ92" i="153"/>
  <c r="AL92" i="153" s="1"/>
  <c r="AJ93" i="153"/>
  <c r="AL93" i="153" s="1"/>
  <c r="AJ94" i="153"/>
  <c r="AL94" i="153" s="1"/>
  <c r="AJ95" i="153"/>
  <c r="AL95" i="153" s="1"/>
  <c r="AJ98" i="153"/>
  <c r="AL98" i="153" s="1"/>
  <c r="AJ100" i="153"/>
  <c r="AL100" i="153" s="1"/>
  <c r="AJ102" i="153"/>
  <c r="AL102" i="153" s="1"/>
  <c r="AJ103" i="153"/>
  <c r="AL103" i="153" s="1"/>
  <c r="AJ106" i="153"/>
  <c r="AL106" i="153" s="1"/>
  <c r="AI335" i="181" s="1"/>
  <c r="AJ108" i="153"/>
  <c r="AL108" i="153" s="1"/>
  <c r="AJ335" i="181" s="1"/>
  <c r="AJ111" i="153"/>
  <c r="AL111" i="153" s="1"/>
  <c r="AJ112" i="153"/>
  <c r="AL112" i="153" s="1"/>
  <c r="AJ113" i="153"/>
  <c r="AL113" i="153" s="1"/>
  <c r="AJ114" i="153"/>
  <c r="AL114" i="153" s="1"/>
  <c r="AJ115" i="153"/>
  <c r="AL115" i="153" s="1"/>
  <c r="AJ116" i="153"/>
  <c r="AL116" i="153" s="1"/>
  <c r="AJ117" i="153"/>
  <c r="AL117" i="153" s="1"/>
  <c r="AJ118" i="153"/>
  <c r="AL118" i="153" s="1"/>
  <c r="AJ119" i="153"/>
  <c r="AL119" i="153" s="1"/>
  <c r="AJ120" i="153"/>
  <c r="AL120" i="153" s="1"/>
  <c r="AJ121" i="153"/>
  <c r="AL121" i="153" s="1"/>
  <c r="AJ122" i="153"/>
  <c r="AL122" i="153" s="1"/>
  <c r="AJ123" i="153"/>
  <c r="AL123" i="153" s="1"/>
  <c r="AJ124" i="153"/>
  <c r="AL124" i="153" s="1"/>
  <c r="AJ125" i="153"/>
  <c r="AL125" i="153" s="1"/>
  <c r="AJ126" i="153"/>
  <c r="AL126" i="153" s="1"/>
  <c r="AJ127" i="153"/>
  <c r="AL127" i="153" s="1"/>
  <c r="AJ128" i="153"/>
  <c r="AL128" i="153" s="1"/>
  <c r="AJ131" i="153"/>
  <c r="AL131" i="153" s="1"/>
  <c r="AJ133" i="153"/>
  <c r="AL133" i="153" s="1"/>
  <c r="AJ135" i="153"/>
  <c r="AL135" i="153" s="1"/>
  <c r="AJ136" i="153"/>
  <c r="AL136" i="153" s="1"/>
  <c r="AJ137" i="153"/>
  <c r="AL137" i="153" s="1"/>
  <c r="AJ139" i="153"/>
  <c r="AL139" i="153" s="1"/>
  <c r="AI344" i="181" s="1"/>
  <c r="AJ141" i="153"/>
  <c r="AL141" i="153" s="1"/>
  <c r="AJ344" i="181" s="1"/>
  <c r="F59" i="153"/>
  <c r="AJ70" i="153"/>
  <c r="AL70" i="153" s="1"/>
  <c r="AJ326" i="181" s="1"/>
  <c r="AJ68" i="153"/>
  <c r="AL68" i="153" s="1"/>
  <c r="AI326" i="181" s="1"/>
  <c r="AJ66" i="153"/>
  <c r="AL66" i="153" s="1"/>
  <c r="AJ65" i="153"/>
  <c r="AL65" i="153" s="1"/>
  <c r="AJ64" i="153"/>
  <c r="AL64" i="153" s="1"/>
  <c r="AJ62" i="153"/>
  <c r="AL62" i="153" s="1"/>
  <c r="AJ61" i="153"/>
  <c r="AL61" i="153" s="1"/>
  <c r="AJ57" i="153"/>
  <c r="AL57" i="153" s="1"/>
  <c r="AJ56" i="153"/>
  <c r="AL56" i="153" s="1"/>
  <c r="AJ55" i="153"/>
  <c r="AL55" i="153" s="1"/>
  <c r="AJ51" i="153"/>
  <c r="AL51" i="153" s="1"/>
  <c r="AJ50" i="153"/>
  <c r="AL50" i="153" s="1"/>
  <c r="AJ49" i="153"/>
  <c r="AL49" i="153" s="1"/>
  <c r="AJ45" i="153"/>
  <c r="AL45" i="153" s="1"/>
  <c r="AJ44" i="153"/>
  <c r="AL44" i="153" s="1"/>
  <c r="AJ43" i="153"/>
  <c r="AL43" i="153" s="1"/>
  <c r="AJ39" i="153"/>
  <c r="AL39" i="153" s="1"/>
  <c r="AJ317" i="181" s="1"/>
  <c r="AJ381" i="181" s="1"/>
  <c r="AJ37" i="153"/>
  <c r="AL37" i="153" s="1"/>
  <c r="AI317" i="181" s="1"/>
  <c r="AI381" i="181" s="1"/>
  <c r="AJ34" i="153"/>
  <c r="AL34" i="153" s="1"/>
  <c r="AJ33" i="153"/>
  <c r="AL33" i="153" s="1"/>
  <c r="AJ31" i="153"/>
  <c r="AL31" i="153" s="1"/>
  <c r="AJ30" i="153"/>
  <c r="AL30" i="153" s="1"/>
  <c r="AJ26" i="153"/>
  <c r="AL26" i="153" s="1"/>
  <c r="AJ25" i="153"/>
  <c r="AL25" i="153" s="1"/>
  <c r="AJ24" i="153"/>
  <c r="AL24" i="153" s="1"/>
  <c r="AJ20" i="153"/>
  <c r="AL20" i="153" s="1"/>
  <c r="AJ19" i="153"/>
  <c r="AL19" i="153" s="1"/>
  <c r="AJ18" i="153"/>
  <c r="AL18" i="153" s="1"/>
  <c r="AJ14" i="153"/>
  <c r="AL14" i="153" s="1"/>
  <c r="AJ13" i="153"/>
  <c r="AL13" i="153" s="1"/>
  <c r="AJ12" i="153"/>
  <c r="AL12" i="153" s="1"/>
  <c r="H34" i="175" l="1"/>
  <c r="H33" i="175"/>
  <c r="AI61" i="140"/>
  <c r="AJ64" i="140"/>
  <c r="AI63" i="140"/>
  <c r="AI65" i="140"/>
  <c r="AI67" i="140"/>
  <c r="AI62" i="140"/>
  <c r="AJ65" i="140"/>
  <c r="AI66" i="140"/>
  <c r="AJ67" i="140"/>
  <c r="AI68" i="140"/>
  <c r="AJ61" i="140"/>
  <c r="AJ62" i="140"/>
  <c r="AI64" i="140"/>
  <c r="AJ63" i="140"/>
  <c r="AJ66" i="140"/>
  <c r="AJ68" i="140"/>
  <c r="AL134" i="153"/>
  <c r="AG344" i="181" s="1"/>
  <c r="AL272" i="153"/>
  <c r="AG380" i="181" s="1"/>
  <c r="AL278" i="153"/>
  <c r="AL240" i="153"/>
  <c r="AG371" i="181" s="1"/>
  <c r="AL202" i="153"/>
  <c r="AG362" i="181" s="1"/>
  <c r="AL171" i="153"/>
  <c r="AG353" i="181" s="1"/>
  <c r="AL101" i="153"/>
  <c r="AG335" i="181" s="1"/>
  <c r="AL32" i="153"/>
  <c r="AG317" i="181" s="1"/>
  <c r="AL63" i="153"/>
  <c r="AG326" i="181" s="1"/>
  <c r="AL246" i="153"/>
  <c r="AL276" i="153"/>
  <c r="AH380" i="181" s="1"/>
  <c r="AL244" i="153"/>
  <c r="AH371" i="181" s="1"/>
  <c r="AL177" i="153"/>
  <c r="AL129" i="153"/>
  <c r="AF344" i="181" s="1"/>
  <c r="AL96" i="153"/>
  <c r="AF335" i="181" s="1"/>
  <c r="AL69" i="153"/>
  <c r="AL38" i="153"/>
  <c r="AJ9" i="153"/>
  <c r="AL140" i="153"/>
  <c r="AL107" i="153"/>
  <c r="AL138" i="153"/>
  <c r="AH344" i="181" s="1"/>
  <c r="AJ104" i="153"/>
  <c r="AL104" i="153" s="1"/>
  <c r="AL105" i="153" s="1"/>
  <c r="AH335" i="181" s="1"/>
  <c r="AJ105" i="153"/>
  <c r="AJ267" i="153"/>
  <c r="AL67" i="153"/>
  <c r="AH326" i="181" s="1"/>
  <c r="AJ77" i="153"/>
  <c r="AL208" i="153"/>
  <c r="AL206" i="153"/>
  <c r="AH362" i="181" s="1"/>
  <c r="AJ59" i="153"/>
  <c r="AJ278" i="153"/>
  <c r="AJ246" i="153"/>
  <c r="AJ208" i="153"/>
  <c r="AJ177" i="153"/>
  <c r="AJ140" i="153"/>
  <c r="AJ107" i="153"/>
  <c r="AJ69" i="153"/>
  <c r="AJ198" i="153"/>
  <c r="AJ67" i="153"/>
  <c r="AJ138" i="153"/>
  <c r="AJ206" i="153"/>
  <c r="AJ276" i="153"/>
  <c r="AJ38" i="153"/>
  <c r="AG175" i="153"/>
  <c r="AG244" i="153"/>
  <c r="AJ96" i="153"/>
  <c r="AJ129" i="153"/>
  <c r="AJ167" i="153"/>
  <c r="AJ235" i="153"/>
  <c r="AL174" i="153"/>
  <c r="AL175" i="153" s="1"/>
  <c r="AH353" i="181" s="1"/>
  <c r="AJ216" i="153"/>
  <c r="AL249" i="153"/>
  <c r="AL261" i="153"/>
  <c r="AL217" i="153"/>
  <c r="AL235" i="153" s="1"/>
  <c r="AF371" i="181" s="1"/>
  <c r="AJ148" i="153"/>
  <c r="AL180" i="153"/>
  <c r="AL192" i="153"/>
  <c r="AL149" i="153"/>
  <c r="AL167" i="153" s="1"/>
  <c r="AF353" i="181" s="1"/>
  <c r="AJ28" i="153"/>
  <c r="AL59" i="153"/>
  <c r="AF326" i="181" s="1"/>
  <c r="AL28" i="153"/>
  <c r="AF317" i="181" s="1"/>
  <c r="AJ35" i="153"/>
  <c r="AL35" i="153" s="1"/>
  <c r="AL36" i="153" s="1"/>
  <c r="AH317" i="181" s="1"/>
  <c r="AH381" i="181" l="1"/>
  <c r="AG381" i="181"/>
  <c r="H35" i="175"/>
  <c r="AJ69" i="140"/>
  <c r="AI69" i="140"/>
  <c r="AG64" i="140"/>
  <c r="D37" i="178"/>
  <c r="F37" i="178" s="1"/>
  <c r="AG37" i="178" s="1"/>
  <c r="D39" i="178"/>
  <c r="F39" i="178" s="1"/>
  <c r="D38" i="178"/>
  <c r="AG66" i="140"/>
  <c r="AF65" i="140"/>
  <c r="AG65" i="140"/>
  <c r="AG68" i="140"/>
  <c r="AG67" i="140"/>
  <c r="AH66" i="140"/>
  <c r="AH65" i="140"/>
  <c r="AH64" i="140"/>
  <c r="AF64" i="140"/>
  <c r="AH63" i="140"/>
  <c r="AG63" i="140"/>
  <c r="AF63" i="140"/>
  <c r="AH62" i="140"/>
  <c r="AG62" i="140"/>
  <c r="AF62" i="140"/>
  <c r="AH61" i="140"/>
  <c r="AG61" i="140"/>
  <c r="AF61" i="140"/>
  <c r="AL280" i="153"/>
  <c r="AH68" i="140"/>
  <c r="AF67" i="140"/>
  <c r="AL248" i="153"/>
  <c r="AH67" i="140"/>
  <c r="AL179" i="153"/>
  <c r="AL40" i="153"/>
  <c r="AL267" i="153"/>
  <c r="AF380" i="181" s="1"/>
  <c r="AL210" i="153"/>
  <c r="AL71" i="153"/>
  <c r="AJ175" i="153"/>
  <c r="AJ244" i="153"/>
  <c r="AL198" i="153"/>
  <c r="AF362" i="181" s="1"/>
  <c r="AF381" i="181" s="1"/>
  <c r="AG382" i="181" l="1"/>
  <c r="AF384" i="181"/>
  <c r="AG69" i="140"/>
  <c r="AH69" i="140"/>
  <c r="F38" i="178"/>
  <c r="AG38" i="178" s="1"/>
  <c r="AF39" i="178"/>
  <c r="AG39" i="178"/>
  <c r="AF37" i="178"/>
  <c r="AF66" i="140"/>
  <c r="AF68" i="140"/>
  <c r="AG64" i="148"/>
  <c r="AB64" i="148"/>
  <c r="AA64" i="148"/>
  <c r="Z64" i="148"/>
  <c r="Y64" i="148"/>
  <c r="X64" i="148"/>
  <c r="W64" i="148"/>
  <c r="V64" i="148"/>
  <c r="U64" i="148"/>
  <c r="T64" i="148"/>
  <c r="S64" i="148"/>
  <c r="R64" i="148"/>
  <c r="Q64" i="148"/>
  <c r="P64" i="148"/>
  <c r="O64" i="148"/>
  <c r="N64" i="148"/>
  <c r="M64" i="148"/>
  <c r="L64" i="148"/>
  <c r="K64" i="148"/>
  <c r="J64" i="148"/>
  <c r="I64" i="148"/>
  <c r="H64" i="148"/>
  <c r="G64" i="148"/>
  <c r="F64" i="148"/>
  <c r="E64" i="148"/>
  <c r="D64" i="148"/>
  <c r="C64" i="148"/>
  <c r="AF69" i="140" l="1"/>
  <c r="AF72" i="140" s="1"/>
  <c r="AF38" i="178"/>
  <c r="AH60" i="148"/>
  <c r="AH61" i="148" s="1"/>
  <c r="AG70" i="140" l="1"/>
  <c r="AB43" i="148"/>
  <c r="AC43" i="148"/>
  <c r="AI19" i="150" l="1"/>
  <c r="AB6" i="148" l="1"/>
  <c r="AA6" i="148"/>
  <c r="Z6" i="148"/>
  <c r="Y6" i="148"/>
  <c r="X6" i="148"/>
  <c r="V6" i="148"/>
  <c r="U6" i="148"/>
  <c r="T6" i="148"/>
  <c r="S6" i="148"/>
  <c r="R6" i="148"/>
  <c r="Q6" i="148"/>
  <c r="P6" i="148"/>
  <c r="O6" i="148"/>
  <c r="N6" i="148"/>
  <c r="M6" i="148"/>
  <c r="L6" i="148"/>
  <c r="K6" i="148"/>
  <c r="J6" i="148"/>
  <c r="H6" i="148"/>
  <c r="G6" i="148"/>
  <c r="F6" i="148"/>
  <c r="E6" i="148"/>
  <c r="D6" i="148"/>
  <c r="C6" i="148"/>
  <c r="V526" i="150" l="1"/>
  <c r="AI10" i="150" l="1"/>
  <c r="AI12" i="150"/>
  <c r="AI14" i="150"/>
  <c r="AI15" i="150"/>
  <c r="AI16" i="150"/>
  <c r="AI17" i="150"/>
  <c r="AI18" i="150"/>
  <c r="AM18" i="150" s="1"/>
  <c r="AI7" i="150"/>
  <c r="AT89" i="140" l="1"/>
  <c r="BO89" i="140" s="1"/>
  <c r="AS89" i="140"/>
  <c r="AS64" i="140"/>
  <c r="AT64" i="140"/>
  <c r="BO64" i="140" s="1"/>
  <c r="AQ4" i="140"/>
  <c r="BO42" i="140" l="1"/>
  <c r="Z89" i="140"/>
  <c r="AI13" i="150" l="1"/>
  <c r="E526" i="150" l="1"/>
  <c r="H526" i="150"/>
  <c r="I526" i="150"/>
  <c r="L526" i="150"/>
  <c r="M526" i="150"/>
  <c r="N526" i="150"/>
  <c r="O526" i="150"/>
  <c r="Q526" i="150"/>
  <c r="R526" i="150"/>
  <c r="S526" i="150"/>
  <c r="U526" i="150"/>
  <c r="T526" i="150"/>
  <c r="W526" i="150"/>
  <c r="X526" i="150"/>
  <c r="Z526" i="150"/>
  <c r="AB526" i="150"/>
  <c r="AC526" i="150"/>
  <c r="AD526" i="150"/>
  <c r="AF526" i="150"/>
  <c r="AG526" i="150"/>
  <c r="E529" i="150"/>
  <c r="H529" i="150"/>
  <c r="I529" i="150"/>
  <c r="J529" i="150"/>
  <c r="K529" i="150"/>
  <c r="L529" i="150"/>
  <c r="AI533" i="150" s="1"/>
  <c r="M529" i="150"/>
  <c r="P529" i="150"/>
  <c r="Q529" i="150"/>
  <c r="R529" i="150"/>
  <c r="S529" i="150"/>
  <c r="U529" i="150"/>
  <c r="V529" i="150"/>
  <c r="Y529" i="150"/>
  <c r="X529" i="150"/>
  <c r="Z529" i="150"/>
  <c r="AA529" i="150"/>
  <c r="AB529" i="150"/>
  <c r="AC529" i="150"/>
  <c r="AD529" i="150"/>
  <c r="AE529" i="150"/>
  <c r="AF529" i="150"/>
  <c r="AG529" i="150"/>
  <c r="AH529" i="150"/>
  <c r="D529" i="150"/>
  <c r="AI532" i="150" l="1"/>
  <c r="T529" i="150"/>
  <c r="AI529" i="150" s="1"/>
  <c r="AL522" i="150"/>
  <c r="AQ522" i="150" s="1"/>
  <c r="J526" i="150"/>
  <c r="AK19" i="150"/>
  <c r="AK16" i="150"/>
  <c r="AN91" i="140" l="1"/>
  <c r="AN110" i="140" s="1"/>
  <c r="AN427" i="181"/>
  <c r="AN590" i="181" s="1"/>
  <c r="AN696" i="181" s="1"/>
  <c r="AN698" i="181" s="1"/>
  <c r="AK522" i="150"/>
  <c r="AG697" i="181" s="1"/>
  <c r="AG154" i="140" l="1"/>
  <c r="AN153" i="140"/>
  <c r="AN155" i="140" l="1"/>
  <c r="AI527" i="150"/>
  <c r="AI530" i="150"/>
  <c r="AM153" i="140" l="1"/>
  <c r="Y153" i="140" l="1"/>
  <c r="AB153" i="140"/>
  <c r="AC153" i="140"/>
  <c r="AH155" i="140" l="1"/>
  <c r="AP62" i="140"/>
  <c r="AQ62" i="140"/>
  <c r="AU62" i="140"/>
  <c r="AV62" i="140"/>
  <c r="AP63" i="140"/>
  <c r="AQ63" i="140"/>
  <c r="AU63" i="140"/>
  <c r="AV63" i="140"/>
  <c r="AP64" i="140"/>
  <c r="AQ64" i="140"/>
  <c r="AU64" i="140"/>
  <c r="AV64" i="140"/>
  <c r="AP65" i="140"/>
  <c r="AQ65" i="140"/>
  <c r="AU65" i="140"/>
  <c r="AV65" i="140"/>
  <c r="AP66" i="140"/>
  <c r="AQ66" i="140"/>
  <c r="AU66" i="140"/>
  <c r="AV66" i="140"/>
  <c r="AP67" i="140"/>
  <c r="AQ67" i="140"/>
  <c r="AU67" i="140"/>
  <c r="AV67" i="140"/>
  <c r="AP68" i="140"/>
  <c r="AQ68" i="140"/>
  <c r="AU68" i="140"/>
  <c r="AV68" i="140"/>
  <c r="AR67" i="140" l="1"/>
  <c r="AR63" i="140"/>
  <c r="AR65" i="140"/>
  <c r="AR68" i="140"/>
  <c r="AR66" i="140"/>
  <c r="AW64" i="140"/>
  <c r="AR64" i="140"/>
  <c r="AR62" i="140"/>
  <c r="AS65" i="147"/>
  <c r="AT65" i="147"/>
  <c r="AH66" i="147"/>
  <c r="E344" i="181" s="1"/>
  <c r="H64" i="140"/>
  <c r="J64" i="140"/>
  <c r="T64" i="140"/>
  <c r="AS66" i="147"/>
  <c r="AT66" i="147"/>
  <c r="AH67" i="147"/>
  <c r="E353" i="181" s="1"/>
  <c r="H65" i="140"/>
  <c r="J65" i="140"/>
  <c r="T65" i="140"/>
  <c r="AS67" i="147"/>
  <c r="AT67" i="147"/>
  <c r="AH68" i="147"/>
  <c r="E362" i="181" s="1"/>
  <c r="H66" i="140"/>
  <c r="J66" i="140"/>
  <c r="T66" i="140"/>
  <c r="AS68" i="147"/>
  <c r="AT68" i="147"/>
  <c r="AH69" i="147"/>
  <c r="E371" i="181" s="1"/>
  <c r="H67" i="140"/>
  <c r="J67" i="140"/>
  <c r="T67" i="140"/>
  <c r="AS69" i="147"/>
  <c r="AT69" i="147"/>
  <c r="G344" i="181" l="1"/>
  <c r="V344" i="181"/>
  <c r="Z344" i="181"/>
  <c r="AA344" i="181" s="1"/>
  <c r="BE65" i="140"/>
  <c r="BE353" i="181"/>
  <c r="BI353" i="181" s="1"/>
  <c r="BE63" i="140"/>
  <c r="BE335" i="181"/>
  <c r="BI335" i="181" s="1"/>
  <c r="BD63" i="140"/>
  <c r="BD335" i="181"/>
  <c r="BH335" i="181" s="1"/>
  <c r="Z353" i="181"/>
  <c r="AA353" i="181" s="1"/>
  <c r="V353" i="181"/>
  <c r="G353" i="181"/>
  <c r="BE66" i="140"/>
  <c r="BE362" i="181"/>
  <c r="BI362" i="181" s="1"/>
  <c r="BD67" i="140"/>
  <c r="BD371" i="181"/>
  <c r="BH371" i="181" s="1"/>
  <c r="BD64" i="140"/>
  <c r="BD344" i="181"/>
  <c r="BH344" i="181" s="1"/>
  <c r="BE67" i="140"/>
  <c r="BI67" i="140" s="1"/>
  <c r="BE371" i="181"/>
  <c r="BI371" i="181" s="1"/>
  <c r="BD65" i="140"/>
  <c r="BH65" i="140" s="1"/>
  <c r="BD353" i="181"/>
  <c r="BH353" i="181" s="1"/>
  <c r="BJ353" i="181" s="1"/>
  <c r="BE64" i="140"/>
  <c r="BI64" i="140" s="1"/>
  <c r="BE344" i="181"/>
  <c r="BI344" i="181" s="1"/>
  <c r="V362" i="181"/>
  <c r="G362" i="181"/>
  <c r="Z362" i="181"/>
  <c r="AA362" i="181" s="1"/>
  <c r="Z371" i="181"/>
  <c r="AA371" i="181" s="1"/>
  <c r="G371" i="181"/>
  <c r="V371" i="181"/>
  <c r="BD66" i="140"/>
  <c r="BH66" i="140" s="1"/>
  <c r="BD362" i="181"/>
  <c r="BH362" i="181" s="1"/>
  <c r="BJ362" i="181" s="1"/>
  <c r="E66" i="140"/>
  <c r="G66" i="140" s="1"/>
  <c r="E64" i="140"/>
  <c r="G64" i="140" s="1"/>
  <c r="E67" i="140"/>
  <c r="G67" i="140" s="1"/>
  <c r="E65" i="140"/>
  <c r="G65" i="140" s="1"/>
  <c r="I66" i="140"/>
  <c r="K65" i="140"/>
  <c r="BI66" i="140"/>
  <c r="U65" i="140"/>
  <c r="P64" i="140"/>
  <c r="Q64" i="140" s="1"/>
  <c r="U63" i="140"/>
  <c r="K67" i="140"/>
  <c r="N66" i="140"/>
  <c r="O66" i="140" s="1"/>
  <c r="BH64" i="140"/>
  <c r="K63" i="140"/>
  <c r="P67" i="140"/>
  <c r="Q67" i="140" s="1"/>
  <c r="I67" i="140"/>
  <c r="U66" i="140"/>
  <c r="BI65" i="140"/>
  <c r="P65" i="140"/>
  <c r="Q65" i="140" s="1"/>
  <c r="I65" i="140"/>
  <c r="U64" i="140"/>
  <c r="BI63" i="140"/>
  <c r="P63" i="140"/>
  <c r="Q63" i="140" s="1"/>
  <c r="I63" i="140"/>
  <c r="U67" i="140"/>
  <c r="P66" i="140"/>
  <c r="Q66" i="140" s="1"/>
  <c r="I64" i="140"/>
  <c r="N64" i="140"/>
  <c r="O64" i="140" s="1"/>
  <c r="BH67" i="140"/>
  <c r="N67" i="140"/>
  <c r="O67" i="140" s="1"/>
  <c r="K66" i="140"/>
  <c r="N65" i="140"/>
  <c r="O65" i="140" s="1"/>
  <c r="K64" i="140"/>
  <c r="BH63" i="140"/>
  <c r="N63" i="140"/>
  <c r="O63" i="140" s="1"/>
  <c r="G63" i="140"/>
  <c r="AR68" i="147"/>
  <c r="AR66" i="147"/>
  <c r="AR69" i="147"/>
  <c r="AR67" i="147"/>
  <c r="AR65" i="147"/>
  <c r="BG371" i="181" l="1"/>
  <c r="BK371" i="181" s="1"/>
  <c r="X371" i="181"/>
  <c r="BJ371" i="181"/>
  <c r="X353" i="181"/>
  <c r="BG353" i="181"/>
  <c r="BK353" i="181" s="1"/>
  <c r="BJ344" i="181"/>
  <c r="X344" i="181"/>
  <c r="BG344" i="181"/>
  <c r="BK344" i="181" s="1"/>
  <c r="BJ335" i="181"/>
  <c r="BK335" i="181"/>
  <c r="X362" i="181"/>
  <c r="BG362" i="181"/>
  <c r="BK362" i="181" s="1"/>
  <c r="BJ66" i="140"/>
  <c r="BJ65" i="140"/>
  <c r="BJ64" i="140"/>
  <c r="BJ63" i="140"/>
  <c r="BJ67" i="140"/>
  <c r="V67" i="140"/>
  <c r="V64" i="140"/>
  <c r="V65" i="140"/>
  <c r="V63" i="140"/>
  <c r="Z66" i="140"/>
  <c r="AA66" i="140" s="1"/>
  <c r="BG64" i="140" l="1"/>
  <c r="BK64" i="140" s="1"/>
  <c r="BG67" i="140"/>
  <c r="BK67" i="140" s="1"/>
  <c r="BG65" i="140"/>
  <c r="BK65" i="140" s="1"/>
  <c r="BG63" i="140"/>
  <c r="BK63" i="140" s="1"/>
  <c r="X63" i="140"/>
  <c r="X65" i="140"/>
  <c r="X64" i="140"/>
  <c r="X67" i="140"/>
  <c r="O51" i="178" s="1"/>
  <c r="O9" i="148"/>
  <c r="AH37" i="151" l="1"/>
  <c r="AA80" i="148" l="1"/>
  <c r="Q18" i="148" l="1"/>
  <c r="R18" i="148"/>
  <c r="BB153" i="140" l="1"/>
  <c r="AK12" i="150"/>
  <c r="AK13" i="150"/>
  <c r="AK14" i="150"/>
  <c r="AK15" i="150"/>
  <c r="AK18" i="150"/>
  <c r="AG91" i="140" l="1"/>
  <c r="AG427" i="181"/>
  <c r="AG590" i="181" s="1"/>
  <c r="AG696" i="181" s="1"/>
  <c r="AG698" i="181" s="1"/>
  <c r="AG110" i="140"/>
  <c r="S58" i="178"/>
  <c r="AK17" i="150"/>
  <c r="AF91" i="140" l="1"/>
  <c r="AF427" i="181"/>
  <c r="AF110" i="140"/>
  <c r="AF153" i="140" s="1"/>
  <c r="BQ91" i="140"/>
  <c r="U58" i="178"/>
  <c r="U61" i="178"/>
  <c r="AE61" i="178" s="1"/>
  <c r="BM91" i="140"/>
  <c r="AO91" i="140"/>
  <c r="BC91" i="140" s="1"/>
  <c r="AG153" i="140"/>
  <c r="AF590" i="181" l="1"/>
  <c r="AF696" i="181" s="1"/>
  <c r="AF698" i="181" s="1"/>
  <c r="BT427" i="181"/>
  <c r="BT590" i="181" s="1"/>
  <c r="BT696" i="181" s="1"/>
  <c r="BQ427" i="181"/>
  <c r="BQ590" i="181" s="1"/>
  <c r="BQ696" i="181" s="1"/>
  <c r="BM427" i="181"/>
  <c r="AO427" i="181"/>
  <c r="BC427" i="181" s="1"/>
  <c r="C52" i="175"/>
  <c r="H52" i="175" s="1"/>
  <c r="D58" i="178"/>
  <c r="BT91" i="140"/>
  <c r="BT110" i="140" s="1"/>
  <c r="S77" i="178"/>
  <c r="S88" i="178" s="1"/>
  <c r="U77" i="178"/>
  <c r="U88" i="178" s="1"/>
  <c r="AA94" i="140"/>
  <c r="AO94" i="140" s="1"/>
  <c r="BC94" i="140" s="1"/>
  <c r="C55" i="175" l="1"/>
  <c r="D61" i="178"/>
  <c r="BT153" i="140"/>
  <c r="H55" i="175"/>
  <c r="AF155" i="140"/>
  <c r="BM94" i="140"/>
  <c r="A153" i="140"/>
  <c r="F61" i="178" l="1"/>
  <c r="AA93" i="140"/>
  <c r="AA92" i="140"/>
  <c r="AA41" i="140"/>
  <c r="BO92" i="140" l="1"/>
  <c r="AS66" i="140"/>
  <c r="AT66" i="140"/>
  <c r="BO66" i="140" s="1"/>
  <c r="AW66" i="140" l="1"/>
  <c r="AT63" i="140" l="1"/>
  <c r="BO63" i="140" s="1"/>
  <c r="AS63" i="140"/>
  <c r="AT65" i="140"/>
  <c r="BO65" i="140" s="1"/>
  <c r="AS65" i="140"/>
  <c r="AW65" i="140" l="1"/>
  <c r="AW63" i="140"/>
  <c r="AT61" i="140" l="1"/>
  <c r="AS61" i="140"/>
  <c r="BO61" i="140" l="1"/>
  <c r="AS522" i="150"/>
  <c r="AU61" i="140" l="1"/>
  <c r="AU69" i="140" s="1"/>
  <c r="AQ61" i="140"/>
  <c r="AQ69" i="140" s="1"/>
  <c r="AP61" i="140"/>
  <c r="AP69" i="140" s="1"/>
  <c r="AV89" i="140"/>
  <c r="AV110" i="140" s="1"/>
  <c r="AU89" i="140"/>
  <c r="AU110" i="140" s="1"/>
  <c r="AQ89" i="140"/>
  <c r="AQ110" i="140" s="1"/>
  <c r="AP89" i="140"/>
  <c r="AP110" i="140" s="1"/>
  <c r="L10" i="140" l="1"/>
  <c r="L42" i="140" s="1"/>
  <c r="AU153" i="140" l="1"/>
  <c r="M10" i="140"/>
  <c r="M42" i="140" s="1"/>
  <c r="AK40" i="147"/>
  <c r="L299" i="181" s="1"/>
  <c r="L300" i="181" s="1"/>
  <c r="AV61" i="140" l="1"/>
  <c r="AV69" i="140" l="1"/>
  <c r="AV153" i="140" s="1"/>
  <c r="AR61" i="140"/>
  <c r="AR69" i="140" s="1"/>
  <c r="AQ83" i="140"/>
  <c r="AE80" i="148" l="1"/>
  <c r="AF80" i="148"/>
  <c r="C24" i="148" l="1"/>
  <c r="D24" i="148"/>
  <c r="E24" i="148"/>
  <c r="F24" i="148"/>
  <c r="G24" i="148"/>
  <c r="H24" i="148"/>
  <c r="I24" i="148"/>
  <c r="J24" i="148"/>
  <c r="K24" i="148"/>
  <c r="L24" i="148"/>
  <c r="M24" i="148"/>
  <c r="N24" i="148"/>
  <c r="O24" i="148"/>
  <c r="P24" i="148"/>
  <c r="Q24" i="148"/>
  <c r="R24" i="148"/>
  <c r="S24" i="148"/>
  <c r="T24" i="148"/>
  <c r="U24" i="148"/>
  <c r="V24" i="148"/>
  <c r="W24" i="148"/>
  <c r="X24" i="148"/>
  <c r="Y24" i="148"/>
  <c r="Z24" i="148"/>
  <c r="AA24" i="148"/>
  <c r="AB24" i="148"/>
  <c r="AC24" i="148"/>
  <c r="AD24" i="148"/>
  <c r="AE24" i="148"/>
  <c r="AF24" i="148"/>
  <c r="AG24" i="148"/>
  <c r="I10" i="140" l="1"/>
  <c r="I42" i="140" s="1"/>
  <c r="H43" i="140" l="1"/>
  <c r="AJ66" i="148"/>
  <c r="AJ65" i="148"/>
  <c r="AJ67" i="148" l="1"/>
  <c r="AE380" i="181" s="1"/>
  <c r="H44" i="140"/>
  <c r="AE68" i="140" l="1"/>
  <c r="L52" i="178" l="1"/>
  <c r="AE52" i="178" s="1"/>
  <c r="AI35" i="148"/>
  <c r="AG30" i="148"/>
  <c r="AF30" i="148"/>
  <c r="AE30" i="148"/>
  <c r="AD30" i="148"/>
  <c r="AC30" i="148"/>
  <c r="AB30" i="148"/>
  <c r="AA30" i="148"/>
  <c r="Z30" i="148"/>
  <c r="Y30" i="148"/>
  <c r="X30" i="148"/>
  <c r="W30" i="148"/>
  <c r="V30" i="148"/>
  <c r="U30" i="148"/>
  <c r="T30" i="148"/>
  <c r="S30" i="148"/>
  <c r="R30" i="148"/>
  <c r="Q30" i="148"/>
  <c r="P30" i="148"/>
  <c r="O30" i="148"/>
  <c r="N30" i="148"/>
  <c r="M30" i="148"/>
  <c r="L30" i="148"/>
  <c r="K30" i="148"/>
  <c r="J30" i="148"/>
  <c r="I30" i="148"/>
  <c r="H30" i="148"/>
  <c r="G30" i="148"/>
  <c r="F30" i="148"/>
  <c r="E30" i="148"/>
  <c r="D30" i="148"/>
  <c r="C30" i="148"/>
  <c r="AH29" i="148"/>
  <c r="AJ29" i="148" s="1"/>
  <c r="AH28" i="148"/>
  <c r="AJ28" i="148" s="1"/>
  <c r="AH26" i="148"/>
  <c r="AJ26" i="148" s="1"/>
  <c r="AH25" i="148"/>
  <c r="AH27" i="148" l="1"/>
  <c r="AH30" i="148"/>
  <c r="AJ30" i="148"/>
  <c r="AE180" i="181" s="1"/>
  <c r="AJ25" i="148"/>
  <c r="AO180" i="181" l="1"/>
  <c r="BC180" i="181" s="1"/>
  <c r="BM180" i="181"/>
  <c r="AE28" i="140"/>
  <c r="AJ27" i="148"/>
  <c r="AE189" i="181" s="1"/>
  <c r="J67" i="148"/>
  <c r="J61" i="148"/>
  <c r="J57" i="148"/>
  <c r="J50" i="148"/>
  <c r="J46" i="148"/>
  <c r="J43" i="148"/>
  <c r="AO189" i="181" l="1"/>
  <c r="BC189" i="181" s="1"/>
  <c r="BM189" i="181"/>
  <c r="L29" i="178"/>
  <c r="AE29" i="178" s="1"/>
  <c r="AE29" i="140"/>
  <c r="J69" i="148"/>
  <c r="AS62" i="140" l="1"/>
  <c r="AT62" i="140"/>
  <c r="G12" i="148"/>
  <c r="BO62" i="140" l="1"/>
  <c r="AW62" i="140"/>
  <c r="AH44" i="148" l="1"/>
  <c r="D18" i="148" l="1"/>
  <c r="AG155" i="140" l="1"/>
  <c r="AH80" i="147" l="1"/>
  <c r="AG95" i="148"/>
  <c r="AF95" i="148"/>
  <c r="AE95" i="148"/>
  <c r="AD95" i="148"/>
  <c r="AC95" i="148"/>
  <c r="AB95" i="148"/>
  <c r="AA95" i="148"/>
  <c r="Z95" i="148"/>
  <c r="Y95" i="148"/>
  <c r="X95" i="148"/>
  <c r="W95" i="148"/>
  <c r="V95" i="148"/>
  <c r="U95" i="148"/>
  <c r="T95" i="148"/>
  <c r="S95" i="148"/>
  <c r="R95" i="148"/>
  <c r="Q95" i="148"/>
  <c r="P95" i="148"/>
  <c r="O95" i="148"/>
  <c r="N95" i="148"/>
  <c r="M95" i="148"/>
  <c r="L95" i="148"/>
  <c r="K95" i="148"/>
  <c r="J95" i="148"/>
  <c r="I95" i="148"/>
  <c r="H95" i="148"/>
  <c r="G95" i="148"/>
  <c r="F95" i="148"/>
  <c r="E95" i="148"/>
  <c r="D95" i="148"/>
  <c r="C95" i="148"/>
  <c r="AJ94" i="148"/>
  <c r="AO105" i="140" s="1"/>
  <c r="AG89" i="148"/>
  <c r="AF89" i="148"/>
  <c r="AE89" i="148"/>
  <c r="AD89" i="148"/>
  <c r="AC89" i="148"/>
  <c r="AB89" i="148"/>
  <c r="AA89" i="148"/>
  <c r="Z89" i="148"/>
  <c r="Y89" i="148"/>
  <c r="X89" i="148"/>
  <c r="W89" i="148"/>
  <c r="V89" i="148"/>
  <c r="U89" i="148"/>
  <c r="T89" i="148"/>
  <c r="S89" i="148"/>
  <c r="R89" i="148"/>
  <c r="Q89" i="148"/>
  <c r="P89" i="148"/>
  <c r="O89" i="148"/>
  <c r="N89" i="148"/>
  <c r="M89" i="148"/>
  <c r="L89" i="148"/>
  <c r="K89" i="148"/>
  <c r="J89" i="148"/>
  <c r="I89" i="148"/>
  <c r="H89" i="148"/>
  <c r="G89" i="148"/>
  <c r="F89" i="148"/>
  <c r="E89" i="148"/>
  <c r="D89" i="148"/>
  <c r="C89" i="148"/>
  <c r="AH88" i="148"/>
  <c r="AJ88" i="148" s="1"/>
  <c r="AH87" i="148"/>
  <c r="AG80" i="148"/>
  <c r="AD80" i="148"/>
  <c r="AC80" i="148"/>
  <c r="AB80" i="148"/>
  <c r="Z80" i="148"/>
  <c r="Y80" i="148"/>
  <c r="X80" i="148"/>
  <c r="W80" i="148"/>
  <c r="V80" i="148"/>
  <c r="U80" i="148"/>
  <c r="T80" i="148"/>
  <c r="S80" i="148"/>
  <c r="R80" i="148"/>
  <c r="Q80" i="148"/>
  <c r="P80" i="148"/>
  <c r="O80" i="148"/>
  <c r="N80" i="148"/>
  <c r="M80" i="148"/>
  <c r="L80" i="148"/>
  <c r="AR7" i="151"/>
  <c r="AQ7" i="151"/>
  <c r="BD400" i="181" s="1"/>
  <c r="BE88" i="140" l="1"/>
  <c r="BE110" i="140" s="1"/>
  <c r="BE400" i="181"/>
  <c r="BH400" i="181"/>
  <c r="BD590" i="181"/>
  <c r="BC105" i="140"/>
  <c r="AQ29" i="151"/>
  <c r="BD88" i="140"/>
  <c r="BD110" i="140" s="1"/>
  <c r="AR29" i="151"/>
  <c r="U88" i="140"/>
  <c r="U110" i="140" s="1"/>
  <c r="Z88" i="140"/>
  <c r="Z110" i="140" s="1"/>
  <c r="AJ76" i="148"/>
  <c r="P97" i="148"/>
  <c r="AB97" i="148"/>
  <c r="L97" i="148"/>
  <c r="G97" i="148"/>
  <c r="K97" i="148"/>
  <c r="AH95" i="148"/>
  <c r="F97" i="148"/>
  <c r="J97" i="148"/>
  <c r="R97" i="148"/>
  <c r="V97" i="148"/>
  <c r="Z97" i="148"/>
  <c r="O97" i="148"/>
  <c r="H97" i="148"/>
  <c r="D97" i="148"/>
  <c r="M97" i="148"/>
  <c r="AF97" i="148"/>
  <c r="AA97" i="148"/>
  <c r="T97" i="148"/>
  <c r="U97" i="148"/>
  <c r="Y97" i="148"/>
  <c r="S97" i="148"/>
  <c r="N97" i="148"/>
  <c r="C97" i="148"/>
  <c r="AG97" i="148"/>
  <c r="AD97" i="148"/>
  <c r="AC97" i="148"/>
  <c r="AE97" i="148"/>
  <c r="Q97" i="148"/>
  <c r="W97" i="148"/>
  <c r="X97" i="148"/>
  <c r="I97" i="148"/>
  <c r="E97" i="148"/>
  <c r="AJ75" i="148"/>
  <c r="AH89" i="148"/>
  <c r="AH97" i="148" s="1"/>
  <c r="AH100" i="148" s="1"/>
  <c r="AJ87" i="148"/>
  <c r="AJ89" i="148" s="1"/>
  <c r="AJ78" i="148"/>
  <c r="AJ80" i="148" s="1"/>
  <c r="AE409" i="181" s="1"/>
  <c r="AJ93" i="148"/>
  <c r="AO409" i="181" l="1"/>
  <c r="BC409" i="181" s="1"/>
  <c r="BM409" i="181"/>
  <c r="BH590" i="181"/>
  <c r="BI400" i="181"/>
  <c r="BI590" i="181" s="1"/>
  <c r="BE590" i="181"/>
  <c r="C66" i="175"/>
  <c r="D72" i="178"/>
  <c r="F72" i="178" s="1"/>
  <c r="F79" i="178"/>
  <c r="AG79" i="178" s="1"/>
  <c r="AE89" i="140"/>
  <c r="AJ95" i="148"/>
  <c r="AE472" i="181" s="1"/>
  <c r="BH88" i="140"/>
  <c r="BH110" i="140" s="1"/>
  <c r="BI88" i="140"/>
  <c r="BI110" i="140" s="1"/>
  <c r="V88" i="140"/>
  <c r="V110" i="140" s="1"/>
  <c r="AA88" i="140"/>
  <c r="AJ77" i="148"/>
  <c r="AE400" i="181" s="1"/>
  <c r="AH31" i="151"/>
  <c r="AH32" i="151"/>
  <c r="AH38" i="151"/>
  <c r="AH33" i="151"/>
  <c r="AH35" i="151"/>
  <c r="AH34" i="151"/>
  <c r="AH36" i="151"/>
  <c r="AE590" i="181" l="1"/>
  <c r="AO400" i="181"/>
  <c r="BC400" i="181" s="1"/>
  <c r="BM400" i="181"/>
  <c r="BJ400" i="181"/>
  <c r="BJ590" i="181" s="1"/>
  <c r="AO472" i="181"/>
  <c r="BC472" i="181" s="1"/>
  <c r="BM472" i="181"/>
  <c r="BK400" i="181"/>
  <c r="BK590" i="181" s="1"/>
  <c r="AF72" i="178"/>
  <c r="AG72" i="178"/>
  <c r="H66" i="175"/>
  <c r="AE96" i="140"/>
  <c r="AO96" i="140" s="1"/>
  <c r="BC96" i="140" s="1"/>
  <c r="AO109" i="140"/>
  <c r="BC109" i="140" s="1"/>
  <c r="L56" i="178"/>
  <c r="AE56" i="178" s="1"/>
  <c r="AF79" i="178"/>
  <c r="AE88" i="140"/>
  <c r="AJ97" i="148"/>
  <c r="AE591" i="181" s="1"/>
  <c r="AH39" i="151"/>
  <c r="BJ88" i="140"/>
  <c r="BJ110" i="140" s="1"/>
  <c r="BG88" i="140"/>
  <c r="BG110" i="140" s="1"/>
  <c r="X93" i="140"/>
  <c r="X41" i="140"/>
  <c r="X92" i="140"/>
  <c r="M59" i="178" s="1"/>
  <c r="O59" i="178" s="1"/>
  <c r="AE59" i="178" s="1"/>
  <c r="V66" i="140"/>
  <c r="AE592" i="181" l="1"/>
  <c r="C57" i="175"/>
  <c r="D63" i="178"/>
  <c r="C70" i="175"/>
  <c r="D76" i="178"/>
  <c r="F76" i="178" s="1"/>
  <c r="AE110" i="140"/>
  <c r="BG66" i="140"/>
  <c r="BK66" i="140" s="1"/>
  <c r="BM96" i="140"/>
  <c r="AE111" i="140"/>
  <c r="H57" i="175"/>
  <c r="F63" i="178"/>
  <c r="AO108" i="140"/>
  <c r="BC108" i="140" s="1"/>
  <c r="AO93" i="140"/>
  <c r="BC93" i="140" s="1"/>
  <c r="AO92" i="140"/>
  <c r="BC92" i="140" s="1"/>
  <c r="AF64" i="178"/>
  <c r="BM92" i="140"/>
  <c r="BM93" i="140"/>
  <c r="BK88" i="140"/>
  <c r="BK110" i="140" s="1"/>
  <c r="X66" i="140"/>
  <c r="O58" i="178"/>
  <c r="AE58" i="178" s="1"/>
  <c r="AG76" i="178" l="1"/>
  <c r="AF76" i="178"/>
  <c r="C69" i="175"/>
  <c r="D75" i="178"/>
  <c r="F75" i="178" s="1"/>
  <c r="C54" i="175"/>
  <c r="H54" i="175" s="1"/>
  <c r="D60" i="178"/>
  <c r="C53" i="175"/>
  <c r="D59" i="178"/>
  <c r="F59" i="178" s="1"/>
  <c r="F83" i="178"/>
  <c r="AF83" i="178" s="1"/>
  <c r="H70" i="175"/>
  <c r="AG63" i="178"/>
  <c r="AF63" i="178"/>
  <c r="J77" i="178"/>
  <c r="L55" i="178"/>
  <c r="L77" i="178" s="1"/>
  <c r="O42" i="178"/>
  <c r="M43" i="178"/>
  <c r="AG64" i="178"/>
  <c r="AG61" i="178"/>
  <c r="AF61" i="178"/>
  <c r="AE112" i="140"/>
  <c r="AI69" i="148"/>
  <c r="AG67" i="148"/>
  <c r="AF67" i="148"/>
  <c r="AE67" i="148"/>
  <c r="AD67" i="148"/>
  <c r="AC67" i="148"/>
  <c r="AB67" i="148"/>
  <c r="AA67" i="148"/>
  <c r="X67" i="148"/>
  <c r="W67" i="148"/>
  <c r="V67" i="148"/>
  <c r="U67" i="148"/>
  <c r="T67" i="148"/>
  <c r="S67" i="148"/>
  <c r="R67" i="148"/>
  <c r="P67" i="148"/>
  <c r="O67" i="148"/>
  <c r="N67" i="148"/>
  <c r="M67" i="148"/>
  <c r="L67" i="148"/>
  <c r="K67" i="148"/>
  <c r="I67" i="148"/>
  <c r="H67" i="148"/>
  <c r="G67" i="148"/>
  <c r="F67" i="148"/>
  <c r="E67" i="148"/>
  <c r="D67" i="148"/>
  <c r="C67" i="148"/>
  <c r="AJ63" i="148"/>
  <c r="AG54" i="148"/>
  <c r="AF54" i="148"/>
  <c r="AE54" i="148"/>
  <c r="AD54" i="148"/>
  <c r="AC54" i="148"/>
  <c r="AB54" i="148"/>
  <c r="AA54" i="148"/>
  <c r="Z54" i="148"/>
  <c r="Y54" i="148"/>
  <c r="X54" i="148"/>
  <c r="W54" i="148"/>
  <c r="V54" i="148"/>
  <c r="U54" i="148"/>
  <c r="T54" i="148"/>
  <c r="S54" i="148"/>
  <c r="R54" i="148"/>
  <c r="Q54" i="148"/>
  <c r="P54" i="148"/>
  <c r="O54" i="148"/>
  <c r="N54" i="148"/>
  <c r="M54" i="148"/>
  <c r="D54" i="148"/>
  <c r="C54" i="148"/>
  <c r="AJ53" i="148"/>
  <c r="AG50" i="148"/>
  <c r="AF50" i="148"/>
  <c r="AE50" i="148"/>
  <c r="AD50" i="148"/>
  <c r="AC50" i="148"/>
  <c r="X50" i="148"/>
  <c r="W50" i="148"/>
  <c r="V50" i="148"/>
  <c r="U50" i="148"/>
  <c r="T50" i="148"/>
  <c r="S50" i="148"/>
  <c r="R50" i="148"/>
  <c r="Q50" i="148"/>
  <c r="P50" i="148"/>
  <c r="O50" i="148"/>
  <c r="N50" i="148"/>
  <c r="L50" i="148"/>
  <c r="K50" i="148"/>
  <c r="I50" i="148"/>
  <c r="H50" i="148"/>
  <c r="G50" i="148"/>
  <c r="F50" i="148"/>
  <c r="E50" i="148"/>
  <c r="D50" i="148"/>
  <c r="C50" i="148"/>
  <c r="AH49" i="148"/>
  <c r="AJ49" i="148" s="1"/>
  <c r="AH47" i="148"/>
  <c r="AG61" i="148"/>
  <c r="AF61" i="148"/>
  <c r="AE61" i="148"/>
  <c r="AD61" i="148"/>
  <c r="AC61" i="148"/>
  <c r="AB61" i="148"/>
  <c r="AA61" i="148"/>
  <c r="Z61" i="148"/>
  <c r="Y61" i="148"/>
  <c r="X61" i="148"/>
  <c r="W61" i="148"/>
  <c r="V61" i="148"/>
  <c r="U61" i="148"/>
  <c r="T61" i="148"/>
  <c r="S61" i="148"/>
  <c r="R61" i="148"/>
  <c r="Q61" i="148"/>
  <c r="P61" i="148"/>
  <c r="O61" i="148"/>
  <c r="N61" i="148"/>
  <c r="M61" i="148"/>
  <c r="L61" i="148"/>
  <c r="K61" i="148"/>
  <c r="I61" i="148"/>
  <c r="H61" i="148"/>
  <c r="G61" i="148"/>
  <c r="F61" i="148"/>
  <c r="E61" i="148"/>
  <c r="D61" i="148"/>
  <c r="C61" i="148"/>
  <c r="AJ60" i="148"/>
  <c r="AG57" i="148"/>
  <c r="AF57" i="148"/>
  <c r="AD57" i="148"/>
  <c r="AC57" i="148"/>
  <c r="AB57" i="148"/>
  <c r="AA57" i="148"/>
  <c r="Z57" i="148"/>
  <c r="Y57" i="148"/>
  <c r="X57" i="148"/>
  <c r="W57" i="148"/>
  <c r="V57" i="148"/>
  <c r="U57" i="148"/>
  <c r="T57" i="148"/>
  <c r="S57" i="148"/>
  <c r="R57" i="148"/>
  <c r="Q57" i="148"/>
  <c r="P57" i="148"/>
  <c r="O57" i="148"/>
  <c r="N57" i="148"/>
  <c r="M57" i="148"/>
  <c r="L57" i="148"/>
  <c r="K57" i="148"/>
  <c r="I57" i="148"/>
  <c r="H57" i="148"/>
  <c r="G57" i="148"/>
  <c r="F57" i="148"/>
  <c r="E57" i="148"/>
  <c r="D57" i="148"/>
  <c r="C57" i="148"/>
  <c r="AH56" i="148"/>
  <c r="AJ56" i="148" s="1"/>
  <c r="AH55" i="148"/>
  <c r="AF46" i="148"/>
  <c r="AE46" i="148"/>
  <c r="AD46" i="148"/>
  <c r="AC46" i="148"/>
  <c r="AB46" i="148"/>
  <c r="AA46" i="148"/>
  <c r="Y46" i="148"/>
  <c r="X46" i="148"/>
  <c r="W46" i="148"/>
  <c r="V46" i="148"/>
  <c r="U46" i="148"/>
  <c r="T46" i="148"/>
  <c r="S46" i="148"/>
  <c r="R46" i="148"/>
  <c r="Q46" i="148"/>
  <c r="P46" i="148"/>
  <c r="O46" i="148"/>
  <c r="N46" i="148"/>
  <c r="M46" i="148"/>
  <c r="L46" i="148"/>
  <c r="K46" i="148"/>
  <c r="I46" i="148"/>
  <c r="H46" i="148"/>
  <c r="G46" i="148"/>
  <c r="F46" i="148"/>
  <c r="E46" i="148"/>
  <c r="D46" i="148"/>
  <c r="C46" i="148"/>
  <c r="AH45" i="148"/>
  <c r="AG43" i="148"/>
  <c r="AF43" i="148"/>
  <c r="AE43" i="148"/>
  <c r="AD43" i="148"/>
  <c r="AA43" i="148"/>
  <c r="Y43" i="148"/>
  <c r="X43" i="148"/>
  <c r="W43" i="148"/>
  <c r="V43" i="148"/>
  <c r="U43" i="148"/>
  <c r="T43" i="148"/>
  <c r="S43" i="148"/>
  <c r="R43" i="148"/>
  <c r="Q43" i="148"/>
  <c r="P43" i="148"/>
  <c r="O43" i="148"/>
  <c r="N43" i="148"/>
  <c r="M43" i="148"/>
  <c r="L43" i="148"/>
  <c r="K43" i="148"/>
  <c r="I43" i="148"/>
  <c r="H43" i="148"/>
  <c r="G43" i="148"/>
  <c r="E43" i="148"/>
  <c r="D43" i="148"/>
  <c r="C43" i="148"/>
  <c r="AJ42" i="148"/>
  <c r="AT70" i="147"/>
  <c r="AS70" i="147"/>
  <c r="T68" i="140"/>
  <c r="J68" i="140"/>
  <c r="H68" i="140"/>
  <c r="AH70" i="147"/>
  <c r="E380" i="181" s="1"/>
  <c r="AT64" i="147"/>
  <c r="BE326" i="181" s="1"/>
  <c r="BI326" i="181" s="1"/>
  <c r="AS64" i="147"/>
  <c r="BD326" i="181" s="1"/>
  <c r="BH326" i="181" s="1"/>
  <c r="BJ326" i="181" s="1"/>
  <c r="AQ64" i="147"/>
  <c r="T326" i="181" s="1"/>
  <c r="U326" i="181" s="1"/>
  <c r="AN64" i="147"/>
  <c r="AM64" i="147"/>
  <c r="P326" i="181" s="1"/>
  <c r="Q326" i="181" s="1"/>
  <c r="AL64" i="147"/>
  <c r="N326" i="181" s="1"/>
  <c r="O326" i="181" s="1"/>
  <c r="AK64" i="147"/>
  <c r="AJ64" i="147"/>
  <c r="J326" i="181" s="1"/>
  <c r="K326" i="181" s="1"/>
  <c r="AI64" i="147"/>
  <c r="H326" i="181" s="1"/>
  <c r="I326" i="181" s="1"/>
  <c r="AH64" i="147"/>
  <c r="E326" i="181" s="1"/>
  <c r="AT63" i="147"/>
  <c r="BE317" i="181" s="1"/>
  <c r="AS63" i="147"/>
  <c r="BD317" i="181" s="1"/>
  <c r="AQ63" i="147"/>
  <c r="T317" i="181" s="1"/>
  <c r="AN63" i="147"/>
  <c r="AM63" i="147"/>
  <c r="P317" i="181" s="1"/>
  <c r="AL63" i="147"/>
  <c r="N317" i="181" s="1"/>
  <c r="AK63" i="147"/>
  <c r="AJ63" i="147"/>
  <c r="J317" i="181" s="1"/>
  <c r="AI63" i="147"/>
  <c r="H317" i="181" s="1"/>
  <c r="AH63" i="147"/>
  <c r="E317" i="181" s="1"/>
  <c r="O317" i="181" l="1"/>
  <c r="O381" i="181" s="1"/>
  <c r="O696" i="181" s="1"/>
  <c r="N381" i="181"/>
  <c r="N696" i="181" s="1"/>
  <c r="U317" i="181"/>
  <c r="U381" i="181" s="1"/>
  <c r="U696" i="181" s="1"/>
  <c r="T381" i="181"/>
  <c r="T696" i="181" s="1"/>
  <c r="BH317" i="181"/>
  <c r="V380" i="181"/>
  <c r="Z380" i="181"/>
  <c r="AA380" i="181" s="1"/>
  <c r="G380" i="181"/>
  <c r="BI317" i="181"/>
  <c r="BI381" i="181" s="1"/>
  <c r="BI696" i="181" s="1"/>
  <c r="BE381" i="181"/>
  <c r="BE696" i="181" s="1"/>
  <c r="G317" i="181"/>
  <c r="V317" i="181"/>
  <c r="E381" i="181"/>
  <c r="Z317" i="181"/>
  <c r="BE68" i="140"/>
  <c r="BE380" i="181"/>
  <c r="BI380" i="181" s="1"/>
  <c r="Q317" i="181"/>
  <c r="Q381" i="181" s="1"/>
  <c r="Q696" i="181" s="1"/>
  <c r="P381" i="181"/>
  <c r="P696" i="181" s="1"/>
  <c r="Z326" i="181"/>
  <c r="AA326" i="181" s="1"/>
  <c r="V326" i="181"/>
  <c r="G326" i="181"/>
  <c r="BD68" i="140"/>
  <c r="BH68" i="140" s="1"/>
  <c r="BD380" i="181"/>
  <c r="BH380" i="181" s="1"/>
  <c r="BJ380" i="181" s="1"/>
  <c r="I317" i="181"/>
  <c r="I381" i="181" s="1"/>
  <c r="I696" i="181" s="1"/>
  <c r="H381" i="181"/>
  <c r="H696" i="181" s="1"/>
  <c r="K317" i="181"/>
  <c r="K381" i="181" s="1"/>
  <c r="K696" i="181" s="1"/>
  <c r="J381" i="181"/>
  <c r="J696" i="181" s="1"/>
  <c r="AF75" i="178"/>
  <c r="AG75" i="178"/>
  <c r="AG83" i="178"/>
  <c r="F82" i="178"/>
  <c r="AG82" i="178" s="1"/>
  <c r="H69" i="175"/>
  <c r="H53" i="175"/>
  <c r="E62" i="140"/>
  <c r="T61" i="140"/>
  <c r="J62" i="140"/>
  <c r="E68" i="140"/>
  <c r="G68" i="140" s="1"/>
  <c r="T62" i="140"/>
  <c r="AH50" i="148"/>
  <c r="Y69" i="148"/>
  <c r="AI71" i="147"/>
  <c r="AB69" i="148"/>
  <c r="AA69" i="148"/>
  <c r="Z69" i="148"/>
  <c r="AH57" i="148"/>
  <c r="AJ45" i="148"/>
  <c r="AH46" i="148"/>
  <c r="O43" i="178"/>
  <c r="I68" i="140"/>
  <c r="P68" i="140"/>
  <c r="Q68" i="140" s="1"/>
  <c r="BI68" i="140"/>
  <c r="N62" i="140"/>
  <c r="BD62" i="140"/>
  <c r="BH62" i="140" s="1"/>
  <c r="K68" i="140"/>
  <c r="H62" i="140"/>
  <c r="P62" i="140"/>
  <c r="BE62" i="140"/>
  <c r="BI62" i="140" s="1"/>
  <c r="U68" i="140"/>
  <c r="N68" i="140"/>
  <c r="O68" i="140" s="1"/>
  <c r="F60" i="178"/>
  <c r="AF60" i="178" s="1"/>
  <c r="F58" i="178"/>
  <c r="AF59" i="178"/>
  <c r="AE141" i="140"/>
  <c r="BE61" i="140"/>
  <c r="AH71" i="147"/>
  <c r="X69" i="148"/>
  <c r="AH75" i="147"/>
  <c r="AR70" i="147"/>
  <c r="AR64" i="147"/>
  <c r="E61" i="140"/>
  <c r="AR63" i="147"/>
  <c r="H140" i="140"/>
  <c r="AC69" i="148"/>
  <c r="G69" i="148"/>
  <c r="N69" i="148"/>
  <c r="AD69" i="148"/>
  <c r="J140" i="140"/>
  <c r="R69" i="148"/>
  <c r="V69" i="148"/>
  <c r="P69" i="148"/>
  <c r="L69" i="148"/>
  <c r="C69" i="148"/>
  <c r="E69" i="148"/>
  <c r="I69" i="148"/>
  <c r="D69" i="148"/>
  <c r="F69" i="148"/>
  <c r="H69" i="148"/>
  <c r="K69" i="148"/>
  <c r="O69" i="148"/>
  <c r="Q69" i="148"/>
  <c r="W69" i="148"/>
  <c r="AE69" i="148"/>
  <c r="T69" i="148"/>
  <c r="M69" i="148"/>
  <c r="U69" i="148"/>
  <c r="S69" i="148"/>
  <c r="AG69" i="148"/>
  <c r="AF69" i="148"/>
  <c r="H61" i="140"/>
  <c r="AH64" i="148"/>
  <c r="Z67" i="140"/>
  <c r="AA67" i="140" s="1"/>
  <c r="Z65" i="140"/>
  <c r="AA65" i="140" s="1"/>
  <c r="Z64" i="140"/>
  <c r="AA64" i="140" s="1"/>
  <c r="AJ58" i="148"/>
  <c r="AJ61" i="148" s="1"/>
  <c r="AE362" i="181" s="1"/>
  <c r="AH67" i="148"/>
  <c r="AH78" i="147"/>
  <c r="AL71" i="147"/>
  <c r="AS71" i="147"/>
  <c r="C81" i="147"/>
  <c r="G81" i="147"/>
  <c r="K81" i="147"/>
  <c r="O81" i="147"/>
  <c r="S81" i="147"/>
  <c r="W81" i="147"/>
  <c r="AA81" i="147"/>
  <c r="AE81" i="147"/>
  <c r="AM71" i="147"/>
  <c r="AT71" i="147"/>
  <c r="AJ71" i="147"/>
  <c r="AN71" i="147"/>
  <c r="E81" i="147"/>
  <c r="I81" i="147"/>
  <c r="M81" i="147"/>
  <c r="Q81" i="147"/>
  <c r="U81" i="147"/>
  <c r="Y81" i="147"/>
  <c r="AC81" i="147"/>
  <c r="AG81" i="147"/>
  <c r="AH79" i="147"/>
  <c r="J61" i="140"/>
  <c r="P61" i="140"/>
  <c r="BD61" i="140"/>
  <c r="AK71" i="147"/>
  <c r="AQ71" i="147"/>
  <c r="F81" i="147"/>
  <c r="J81" i="147"/>
  <c r="N81" i="147"/>
  <c r="R81" i="147"/>
  <c r="V81" i="147"/>
  <c r="Z81" i="147"/>
  <c r="AD81" i="147"/>
  <c r="N61" i="140"/>
  <c r="D81" i="147"/>
  <c r="H81" i="147"/>
  <c r="L81" i="147"/>
  <c r="P81" i="147"/>
  <c r="T81" i="147"/>
  <c r="X81" i="147"/>
  <c r="AB81" i="147"/>
  <c r="AF81" i="147"/>
  <c r="AJ51" i="148"/>
  <c r="AJ54" i="148" s="1"/>
  <c r="AE344" i="181" s="1"/>
  <c r="AJ44" i="148"/>
  <c r="AJ41" i="148"/>
  <c r="AJ43" i="148" s="1"/>
  <c r="AE317" i="181" s="1"/>
  <c r="AJ55" i="148"/>
  <c r="AJ57" i="148" s="1"/>
  <c r="AE353" i="181" s="1"/>
  <c r="AJ47" i="148"/>
  <c r="AJ50" i="148" s="1"/>
  <c r="AE335" i="181" s="1"/>
  <c r="AJ62" i="148"/>
  <c r="AH77" i="147"/>
  <c r="AH73" i="147"/>
  <c r="AH74" i="147"/>
  <c r="AH76" i="147"/>
  <c r="G381" i="181" l="1"/>
  <c r="BD381" i="181"/>
  <c r="BD696" i="181" s="1"/>
  <c r="AO362" i="181"/>
  <c r="BC362" i="181" s="1"/>
  <c r="BM362" i="181"/>
  <c r="AO344" i="181"/>
  <c r="BC344" i="181" s="1"/>
  <c r="BM344" i="181"/>
  <c r="X380" i="181"/>
  <c r="BM380" i="181" s="1"/>
  <c r="BG380" i="181"/>
  <c r="BK380" i="181" s="1"/>
  <c r="Z381" i="181"/>
  <c r="Z696" i="181" s="1"/>
  <c r="AA317" i="181"/>
  <c r="AA381" i="181" s="1"/>
  <c r="AA696" i="181" s="1"/>
  <c r="AA698" i="181" s="1"/>
  <c r="BM353" i="181"/>
  <c r="AO353" i="181"/>
  <c r="BC353" i="181" s="1"/>
  <c r="BG326" i="181"/>
  <c r="BK326" i="181" s="1"/>
  <c r="X326" i="181"/>
  <c r="BH381" i="181"/>
  <c r="BH696" i="181" s="1"/>
  <c r="BJ317" i="181"/>
  <c r="BJ381" i="181" s="1"/>
  <c r="BJ696" i="181" s="1"/>
  <c r="AO335" i="181"/>
  <c r="BC335" i="181" s="1"/>
  <c r="BM335" i="181"/>
  <c r="X317" i="181"/>
  <c r="V381" i="181"/>
  <c r="V383" i="181" s="1"/>
  <c r="BG317" i="181"/>
  <c r="AF82" i="178"/>
  <c r="J69" i="140"/>
  <c r="E69" i="140"/>
  <c r="N69" i="140"/>
  <c r="H69" i="140"/>
  <c r="H153" i="140" s="1"/>
  <c r="P69" i="140"/>
  <c r="T69" i="140"/>
  <c r="BD69" i="140"/>
  <c r="BE69" i="140"/>
  <c r="AJ46" i="148"/>
  <c r="AE326" i="181" s="1"/>
  <c r="AE381" i="181" s="1"/>
  <c r="AH69" i="148"/>
  <c r="AH72" i="148" s="1"/>
  <c r="AG60" i="178"/>
  <c r="AR71" i="147"/>
  <c r="AR74" i="147" s="1"/>
  <c r="AG58" i="178"/>
  <c r="AG59" i="178"/>
  <c r="AE63" i="140"/>
  <c r="AE64" i="140"/>
  <c r="AE66" i="140"/>
  <c r="AE65" i="140"/>
  <c r="AE61" i="140"/>
  <c r="BI61" i="140"/>
  <c r="BI69" i="140" s="1"/>
  <c r="BH61" i="140"/>
  <c r="BH69" i="140" s="1"/>
  <c r="AH81" i="147"/>
  <c r="BJ62" i="140"/>
  <c r="BJ68" i="140"/>
  <c r="P140" i="140"/>
  <c r="N140" i="140"/>
  <c r="V62" i="140"/>
  <c r="V68" i="140"/>
  <c r="AJ64" i="148"/>
  <c r="AE371" i="181" s="1"/>
  <c r="BM317" i="181" l="1"/>
  <c r="X381" i="181"/>
  <c r="BM326" i="181"/>
  <c r="AO380" i="181"/>
  <c r="BC380" i="181" s="1"/>
  <c r="AO326" i="181"/>
  <c r="BC326" i="181" s="1"/>
  <c r="AO317" i="181"/>
  <c r="AO371" i="181"/>
  <c r="BC371" i="181" s="1"/>
  <c r="BM371" i="181"/>
  <c r="BK317" i="181"/>
  <c r="BK381" i="181" s="1"/>
  <c r="BG381" i="181"/>
  <c r="BG62" i="140"/>
  <c r="BK62" i="140" s="1"/>
  <c r="BG68" i="140"/>
  <c r="BK68" i="140" s="1"/>
  <c r="L50" i="178"/>
  <c r="AE50" i="178" s="1"/>
  <c r="L49" i="178"/>
  <c r="AE49" i="178" s="1"/>
  <c r="J48" i="178"/>
  <c r="L48" i="178" s="1"/>
  <c r="AE48" i="178" s="1"/>
  <c r="L47" i="178"/>
  <c r="AE47" i="178" s="1"/>
  <c r="AE62" i="140"/>
  <c r="L45" i="178"/>
  <c r="BM65" i="140"/>
  <c r="BM64" i="140"/>
  <c r="AF58" i="178"/>
  <c r="AO66" i="140"/>
  <c r="BC66" i="140" s="1"/>
  <c r="C45" i="175" s="1"/>
  <c r="BM66" i="140"/>
  <c r="AE67" i="140"/>
  <c r="E140" i="140"/>
  <c r="BJ61" i="140"/>
  <c r="BJ69" i="140" s="1"/>
  <c r="X68" i="140"/>
  <c r="X62" i="140"/>
  <c r="AJ69" i="148"/>
  <c r="AE382" i="181" s="1"/>
  <c r="AE383" i="181" s="1"/>
  <c r="AG33" i="148"/>
  <c r="AF33" i="148"/>
  <c r="AE33" i="148"/>
  <c r="AD33" i="148"/>
  <c r="AC33" i="148"/>
  <c r="AB33" i="148"/>
  <c r="AA33" i="148"/>
  <c r="Z33" i="148"/>
  <c r="Y33" i="148"/>
  <c r="X33" i="148"/>
  <c r="W33" i="148"/>
  <c r="V33" i="148"/>
  <c r="U33" i="148"/>
  <c r="T33" i="148"/>
  <c r="S33" i="148"/>
  <c r="R33" i="148"/>
  <c r="Q33" i="148"/>
  <c r="P33" i="148"/>
  <c r="O33" i="148"/>
  <c r="N33" i="148"/>
  <c r="M33" i="148"/>
  <c r="L33" i="148"/>
  <c r="K33" i="148"/>
  <c r="J33" i="148"/>
  <c r="I33" i="148"/>
  <c r="H33" i="148"/>
  <c r="G33" i="148"/>
  <c r="F33" i="148"/>
  <c r="E33" i="148"/>
  <c r="D33" i="148"/>
  <c r="C33" i="148"/>
  <c r="AH32" i="148"/>
  <c r="AJ32" i="148" s="1"/>
  <c r="AH31" i="148"/>
  <c r="AH23" i="148"/>
  <c r="AJ23" i="148" s="1"/>
  <c r="AH22" i="148"/>
  <c r="AG21" i="148"/>
  <c r="AF21" i="148"/>
  <c r="AE21" i="148"/>
  <c r="AD21" i="148"/>
  <c r="AC21" i="148"/>
  <c r="AB21" i="148"/>
  <c r="AA21" i="148"/>
  <c r="Z21" i="148"/>
  <c r="Y21" i="148"/>
  <c r="X21" i="148"/>
  <c r="W21" i="148"/>
  <c r="V21" i="148"/>
  <c r="U21" i="148"/>
  <c r="T21" i="148"/>
  <c r="S21" i="148"/>
  <c r="R21" i="148"/>
  <c r="Q21" i="148"/>
  <c r="P21" i="148"/>
  <c r="O21" i="148"/>
  <c r="N21" i="148"/>
  <c r="M21" i="148"/>
  <c r="L21" i="148"/>
  <c r="K21" i="148"/>
  <c r="J21" i="148"/>
  <c r="I21" i="148"/>
  <c r="H21" i="148"/>
  <c r="G21" i="148"/>
  <c r="F21" i="148"/>
  <c r="E21" i="148"/>
  <c r="D21" i="148"/>
  <c r="C21" i="148"/>
  <c r="AJ20" i="148"/>
  <c r="AA18" i="148"/>
  <c r="Z18" i="148"/>
  <c r="Y18" i="148"/>
  <c r="X18" i="148"/>
  <c r="W18" i="148"/>
  <c r="V18" i="148"/>
  <c r="U18" i="148"/>
  <c r="T18" i="148"/>
  <c r="S18" i="148"/>
  <c r="P18" i="148"/>
  <c r="O18" i="148"/>
  <c r="N18" i="148"/>
  <c r="M18" i="148"/>
  <c r="L18" i="148"/>
  <c r="K18" i="148"/>
  <c r="J18" i="148"/>
  <c r="I18" i="148"/>
  <c r="H18" i="148"/>
  <c r="G18" i="148"/>
  <c r="F18" i="148"/>
  <c r="E18" i="148"/>
  <c r="C18" i="148"/>
  <c r="AH17" i="148"/>
  <c r="AJ17" i="148" s="1"/>
  <c r="AH16" i="148"/>
  <c r="AJ14" i="148"/>
  <c r="AB12" i="148"/>
  <c r="AA12" i="148"/>
  <c r="Z12" i="148"/>
  <c r="Y12" i="148"/>
  <c r="X12" i="148"/>
  <c r="W12" i="148"/>
  <c r="V12" i="148"/>
  <c r="U12" i="148"/>
  <c r="T12" i="148"/>
  <c r="S12" i="148"/>
  <c r="R12" i="148"/>
  <c r="Q12" i="148"/>
  <c r="P12" i="148"/>
  <c r="O12" i="148"/>
  <c r="N12" i="148"/>
  <c r="M12" i="148"/>
  <c r="L12" i="148"/>
  <c r="K12" i="148"/>
  <c r="J12" i="148"/>
  <c r="I12" i="148"/>
  <c r="H12" i="148"/>
  <c r="F12" i="148"/>
  <c r="E12" i="148"/>
  <c r="D12" i="148"/>
  <c r="C12" i="148"/>
  <c r="AJ11" i="148"/>
  <c r="AC9" i="148"/>
  <c r="AB9" i="148"/>
  <c r="AA9" i="148"/>
  <c r="Z9" i="148"/>
  <c r="Y9" i="148"/>
  <c r="X9" i="148"/>
  <c r="W9" i="148"/>
  <c r="V9" i="148"/>
  <c r="U9" i="148"/>
  <c r="T9" i="148"/>
  <c r="S9" i="148"/>
  <c r="R9" i="148"/>
  <c r="Q9" i="148"/>
  <c r="P9" i="148"/>
  <c r="N9" i="148"/>
  <c r="M9" i="148"/>
  <c r="L9" i="148"/>
  <c r="K9" i="148"/>
  <c r="J9" i="148"/>
  <c r="I9" i="148"/>
  <c r="H9" i="148"/>
  <c r="G9" i="148"/>
  <c r="F9" i="148"/>
  <c r="E9" i="148"/>
  <c r="D9" i="148"/>
  <c r="C9" i="148"/>
  <c r="AH8" i="148"/>
  <c r="AJ8" i="148" s="1"/>
  <c r="AH7" i="148"/>
  <c r="AJ5" i="148"/>
  <c r="BC317" i="181" l="1"/>
  <c r="BC381" i="181" s="1"/>
  <c r="AO381" i="181"/>
  <c r="BM383" i="181" s="1"/>
  <c r="BM381" i="181"/>
  <c r="BM382" i="181"/>
  <c r="BM384" i="181" s="1"/>
  <c r="AF35" i="148"/>
  <c r="AF101" i="148" s="1"/>
  <c r="L46" i="178"/>
  <c r="AE69" i="140"/>
  <c r="AG35" i="148"/>
  <c r="AG101" i="148" s="1"/>
  <c r="M53" i="178"/>
  <c r="O46" i="178"/>
  <c r="BM67" i="140"/>
  <c r="AE70" i="140"/>
  <c r="C35" i="148"/>
  <c r="C101" i="148" s="1"/>
  <c r="E35" i="148"/>
  <c r="E101" i="148" s="1"/>
  <c r="F35" i="148"/>
  <c r="F101" i="148" s="1"/>
  <c r="AC35" i="148"/>
  <c r="AC101" i="148" s="1"/>
  <c r="R35" i="148"/>
  <c r="R101" i="148" s="1"/>
  <c r="AB35" i="148"/>
  <c r="AB101" i="148" s="1"/>
  <c r="X35" i="148"/>
  <c r="X101" i="148" s="1"/>
  <c r="AH24" i="148"/>
  <c r="K35" i="148"/>
  <c r="K101" i="148" s="1"/>
  <c r="O35" i="148"/>
  <c r="O101" i="148" s="1"/>
  <c r="D35" i="148"/>
  <c r="D101" i="148" s="1"/>
  <c r="H35" i="148"/>
  <c r="H101" i="148" s="1"/>
  <c r="L35" i="148"/>
  <c r="L101" i="148" s="1"/>
  <c r="I35" i="148"/>
  <c r="I101" i="148" s="1"/>
  <c r="M35" i="148"/>
  <c r="M101" i="148" s="1"/>
  <c r="U35" i="148"/>
  <c r="U101" i="148" s="1"/>
  <c r="G35" i="148"/>
  <c r="G101" i="148" s="1"/>
  <c r="S35" i="148"/>
  <c r="S101" i="148" s="1"/>
  <c r="J35" i="148"/>
  <c r="J101" i="148" s="1"/>
  <c r="V35" i="148"/>
  <c r="V101" i="148" s="1"/>
  <c r="Z35" i="148"/>
  <c r="Z101" i="148" s="1"/>
  <c r="Q35" i="148"/>
  <c r="Q101" i="148" s="1"/>
  <c r="AE35" i="148"/>
  <c r="AE101" i="148" s="1"/>
  <c r="AD35" i="148"/>
  <c r="AD101" i="148" s="1"/>
  <c r="AA35" i="148"/>
  <c r="AA101" i="148" s="1"/>
  <c r="T35" i="148"/>
  <c r="T101" i="148" s="1"/>
  <c r="W35" i="148"/>
  <c r="W101" i="148" s="1"/>
  <c r="Y35" i="148"/>
  <c r="Y101" i="148" s="1"/>
  <c r="P35" i="148"/>
  <c r="P101" i="148" s="1"/>
  <c r="N35" i="148"/>
  <c r="N101" i="148" s="1"/>
  <c r="AH33" i="148"/>
  <c r="AH9" i="148"/>
  <c r="AH18" i="148"/>
  <c r="AJ13" i="148"/>
  <c r="AH21" i="148"/>
  <c r="AJ19" i="148"/>
  <c r="AJ21" i="148" s="1"/>
  <c r="AE9" i="181" s="1"/>
  <c r="AJ16" i="148"/>
  <c r="AJ18" i="148" s="1"/>
  <c r="AE63" i="181" s="1"/>
  <c r="AJ7" i="148"/>
  <c r="AJ31" i="148"/>
  <c r="AJ33" i="148" s="1"/>
  <c r="AJ4" i="148"/>
  <c r="AJ6" i="148" s="1"/>
  <c r="AE27" i="181" s="1"/>
  <c r="AJ10" i="148"/>
  <c r="AJ12" i="148" s="1"/>
  <c r="AE45" i="181" s="1"/>
  <c r="AO45" i="181" s="1"/>
  <c r="BC45" i="181" s="1"/>
  <c r="AJ22" i="148"/>
  <c r="AJ24" i="148" s="1"/>
  <c r="AE234" i="181" s="1"/>
  <c r="AE41" i="140" l="1"/>
  <c r="AE297" i="181"/>
  <c r="BM27" i="181"/>
  <c r="AO27" i="181"/>
  <c r="BC27" i="181" s="1"/>
  <c r="AO63" i="181"/>
  <c r="BC63" i="181" s="1"/>
  <c r="BM63" i="181"/>
  <c r="AO234" i="181"/>
  <c r="BC234" i="181" s="1"/>
  <c r="BM234" i="181"/>
  <c r="AE298" i="181"/>
  <c r="AO9" i="181"/>
  <c r="BM9" i="181"/>
  <c r="H45" i="175"/>
  <c r="AH35" i="148"/>
  <c r="AH38" i="148" s="1"/>
  <c r="L42" i="178"/>
  <c r="AE42" i="178" s="1"/>
  <c r="BM41" i="140"/>
  <c r="AO41" i="140"/>
  <c r="BC41" i="140" s="1"/>
  <c r="C38" i="175" s="1"/>
  <c r="L30" i="178"/>
  <c r="AE30" i="178" s="1"/>
  <c r="AE34" i="140"/>
  <c r="L51" i="178"/>
  <c r="J53" i="178"/>
  <c r="O53" i="178"/>
  <c r="AE46" i="178"/>
  <c r="AE11" i="140"/>
  <c r="J12" i="178" s="1"/>
  <c r="AE9" i="140"/>
  <c r="AE15" i="140"/>
  <c r="L16" i="178" s="1"/>
  <c r="AE16" i="178" s="1"/>
  <c r="AE13" i="140"/>
  <c r="L14" i="178" s="1"/>
  <c r="AE14" i="178" s="1"/>
  <c r="AE71" i="140"/>
  <c r="AJ9" i="148"/>
  <c r="AE36" i="181" s="1"/>
  <c r="AJ15" i="148"/>
  <c r="AE54" i="181" s="1"/>
  <c r="BC9" i="181" l="1"/>
  <c r="AO54" i="181"/>
  <c r="BC54" i="181" s="1"/>
  <c r="BM54" i="181"/>
  <c r="AO36" i="181"/>
  <c r="BC36" i="181" s="1"/>
  <c r="BM36" i="181"/>
  <c r="AO297" i="181"/>
  <c r="BC297" i="181" s="1"/>
  <c r="BM297" i="181"/>
  <c r="AE696" i="181"/>
  <c r="H38" i="175"/>
  <c r="L35" i="178"/>
  <c r="AE35" i="178" s="1"/>
  <c r="L10" i="178"/>
  <c r="AE10" i="178" s="1"/>
  <c r="L12" i="178"/>
  <c r="D42" i="178"/>
  <c r="F42" i="178" s="1"/>
  <c r="AE51" i="178"/>
  <c r="L53" i="178"/>
  <c r="AO9" i="140"/>
  <c r="BM9" i="140"/>
  <c r="AE14" i="140"/>
  <c r="J15" i="178" s="1"/>
  <c r="AE12" i="140"/>
  <c r="J13" i="178" s="1"/>
  <c r="AO13" i="140"/>
  <c r="BC13" i="140" s="1"/>
  <c r="C10" i="175" s="1"/>
  <c r="AO15" i="140"/>
  <c r="BC15" i="140" s="1"/>
  <c r="C12" i="175" s="1"/>
  <c r="BM15" i="140"/>
  <c r="AJ35" i="148"/>
  <c r="AH101" i="148"/>
  <c r="AE697" i="181" l="1"/>
  <c r="AE698" i="181" s="1"/>
  <c r="AE299" i="181"/>
  <c r="AE300" i="181" s="1"/>
  <c r="L15" i="178"/>
  <c r="AE15" i="178" s="1"/>
  <c r="AE42" i="140"/>
  <c r="AE153" i="140" s="1"/>
  <c r="AE154" i="140"/>
  <c r="AG42" i="178"/>
  <c r="AF42" i="178"/>
  <c r="BC9" i="140"/>
  <c r="AO12" i="140"/>
  <c r="BC12" i="140" s="1"/>
  <c r="C9" i="175" s="1"/>
  <c r="AE12" i="178"/>
  <c r="BM12" i="140"/>
  <c r="D14" i="178"/>
  <c r="F14" i="178" s="1"/>
  <c r="AF14" i="178" s="1"/>
  <c r="D16" i="178"/>
  <c r="AE43" i="140"/>
  <c r="AG41" i="178"/>
  <c r="R10" i="140"/>
  <c r="R42" i="140" s="1"/>
  <c r="P10" i="140"/>
  <c r="P42" i="140" s="1"/>
  <c r="N10" i="140"/>
  <c r="N42" i="140" s="1"/>
  <c r="AH8" i="147"/>
  <c r="E18" i="181" s="1"/>
  <c r="V18" i="181" l="1"/>
  <c r="G18" i="181"/>
  <c r="E298" i="181"/>
  <c r="E10" i="140"/>
  <c r="E42" i="140" s="1"/>
  <c r="H12" i="175"/>
  <c r="H10" i="175"/>
  <c r="H9" i="175"/>
  <c r="D10" i="178"/>
  <c r="F10" i="178" s="1"/>
  <c r="AF10" i="178" s="1"/>
  <c r="C6" i="175"/>
  <c r="H6" i="175" s="1"/>
  <c r="D13" i="178"/>
  <c r="F13" i="178" s="1"/>
  <c r="L13" i="178"/>
  <c r="J43" i="178"/>
  <c r="J88" i="178" s="1"/>
  <c r="AE44" i="140"/>
  <c r="AG14" i="178"/>
  <c r="AF41" i="178"/>
  <c r="AR8" i="147"/>
  <c r="AR40" i="147" s="1"/>
  <c r="AR42" i="147" s="1"/>
  <c r="AH40" i="147"/>
  <c r="E299" i="181" s="1"/>
  <c r="AE155" i="140"/>
  <c r="S10" i="140"/>
  <c r="S42" i="140" s="1"/>
  <c r="BH42" i="140"/>
  <c r="K10" i="140"/>
  <c r="K42" i="140" s="1"/>
  <c r="BI42" i="140"/>
  <c r="O10" i="140"/>
  <c r="O42" i="140" s="1"/>
  <c r="Q10" i="140"/>
  <c r="Q42" i="140" s="1"/>
  <c r="AM40" i="147"/>
  <c r="P299" i="181" s="1"/>
  <c r="P300" i="181" s="1"/>
  <c r="AN40" i="147"/>
  <c r="R299" i="181" s="1"/>
  <c r="R300" i="181" s="1"/>
  <c r="AJ40" i="147"/>
  <c r="J299" i="181" s="1"/>
  <c r="J300" i="181" s="1"/>
  <c r="AL40" i="147"/>
  <c r="N299" i="181" s="1"/>
  <c r="N300" i="181" s="1"/>
  <c r="AT40" i="147"/>
  <c r="BE299" i="181" s="1"/>
  <c r="BE300" i="181" s="1"/>
  <c r="L153" i="140"/>
  <c r="E696" i="181" l="1"/>
  <c r="E300" i="181"/>
  <c r="G298" i="181"/>
  <c r="G696" i="181" s="1"/>
  <c r="G699" i="181" s="1"/>
  <c r="BG18" i="181"/>
  <c r="X18" i="181"/>
  <c r="V298" i="181"/>
  <c r="AG10" i="178"/>
  <c r="AE13" i="178"/>
  <c r="L43" i="178"/>
  <c r="L88" i="178" s="1"/>
  <c r="V10" i="140"/>
  <c r="V42" i="140" s="1"/>
  <c r="G10" i="140"/>
  <c r="G42" i="140" s="1"/>
  <c r="BH153" i="140"/>
  <c r="BI153" i="140"/>
  <c r="BJ42" i="140"/>
  <c r="AR45" i="147"/>
  <c r="BE153" i="140"/>
  <c r="R153" i="140"/>
  <c r="E43" i="140"/>
  <c r="E44" i="140" s="1"/>
  <c r="T153" i="140"/>
  <c r="L43" i="140"/>
  <c r="J43" i="140"/>
  <c r="R43" i="140"/>
  <c r="N43" i="140"/>
  <c r="P43" i="140"/>
  <c r="BE43" i="140"/>
  <c r="BD43" i="140"/>
  <c r="BM18" i="181" l="1"/>
  <c r="BM298" i="181" s="1"/>
  <c r="X298" i="181"/>
  <c r="X696" i="181" s="1"/>
  <c r="AO18" i="181"/>
  <c r="BK18" i="181"/>
  <c r="BG298" i="181"/>
  <c r="BG696" i="181" s="1"/>
  <c r="V300" i="181"/>
  <c r="V696" i="181"/>
  <c r="V699" i="181" s="1"/>
  <c r="V44" i="140"/>
  <c r="AE43" i="178"/>
  <c r="AG13" i="178"/>
  <c r="AF13" i="178"/>
  <c r="X10" i="140"/>
  <c r="BJ153" i="140"/>
  <c r="J153" i="140"/>
  <c r="P153" i="140"/>
  <c r="BG10" i="140"/>
  <c r="N153" i="140"/>
  <c r="E153" i="140"/>
  <c r="AH52" i="147"/>
  <c r="BL18" i="181" l="1"/>
  <c r="BL298" i="181" s="1"/>
  <c r="BL696" i="181" s="1"/>
  <c r="BK298" i="181"/>
  <c r="BK696" i="181" s="1"/>
  <c r="BC18" i="181"/>
  <c r="BC298" i="181" s="1"/>
  <c r="AO298" i="181"/>
  <c r="BG42" i="140"/>
  <c r="BK10" i="140"/>
  <c r="BM10" i="140"/>
  <c r="AO10" i="140"/>
  <c r="BC10" i="140" l="1"/>
  <c r="C7" i="175" s="1"/>
  <c r="BL10" i="140"/>
  <c r="BL42" i="140" s="1"/>
  <c r="BL153" i="140" s="1"/>
  <c r="BK42" i="140"/>
  <c r="AS68" i="140"/>
  <c r="AT68" i="140"/>
  <c r="BO68" i="140" s="1"/>
  <c r="Z63" i="140"/>
  <c r="D11" i="178" l="1"/>
  <c r="F11" i="178" s="1"/>
  <c r="AW68" i="140"/>
  <c r="AA63" i="140"/>
  <c r="BM63" i="140" s="1"/>
  <c r="H7" i="175" l="1"/>
  <c r="AF11" i="178"/>
  <c r="AG11" i="178"/>
  <c r="BD44" i="140"/>
  <c r="BE44" i="140"/>
  <c r="AT67" i="140" l="1"/>
  <c r="AT69" i="140" s="1"/>
  <c r="AS67" i="140"/>
  <c r="AS69" i="140" s="1"/>
  <c r="AS88" i="140"/>
  <c r="AT88" i="140"/>
  <c r="AQ82" i="140"/>
  <c r="AS82" i="140"/>
  <c r="AQ55" i="140"/>
  <c r="AQ56" i="140"/>
  <c r="AT110" i="140" l="1"/>
  <c r="AS110" i="140"/>
  <c r="BO67" i="140"/>
  <c r="BO69" i="140" s="1"/>
  <c r="BO88" i="140"/>
  <c r="AW88" i="140"/>
  <c r="AW67" i="140"/>
  <c r="I88" i="140"/>
  <c r="I110" i="140" s="1"/>
  <c r="M88" i="140"/>
  <c r="M110" i="140" s="1"/>
  <c r="K88" i="140"/>
  <c r="K110" i="140" s="1"/>
  <c r="O88" i="140"/>
  <c r="O110" i="140" s="1"/>
  <c r="AQ153" i="140"/>
  <c r="AD153" i="140"/>
  <c r="AR89" i="140"/>
  <c r="AR110" i="140" s="1"/>
  <c r="AW89" i="140"/>
  <c r="AW61" i="140"/>
  <c r="X17" i="140"/>
  <c r="X18" i="140"/>
  <c r="X16" i="140"/>
  <c r="X14" i="140"/>
  <c r="X88" i="140"/>
  <c r="J44" i="140"/>
  <c r="L44" i="140"/>
  <c r="N44" i="140"/>
  <c r="P44" i="140"/>
  <c r="R44" i="140"/>
  <c r="T44" i="140"/>
  <c r="AW69" i="140" l="1"/>
  <c r="AS153" i="140"/>
  <c r="AT153" i="140"/>
  <c r="BO110" i="140"/>
  <c r="BO138" i="140" s="1"/>
  <c r="AW110" i="140"/>
  <c r="AD155" i="140"/>
  <c r="M77" i="178"/>
  <c r="M88" i="178" s="1"/>
  <c r="O55" i="178"/>
  <c r="BM88" i="140"/>
  <c r="BO153" i="140" l="1"/>
  <c r="O77" i="178"/>
  <c r="O88" i="178" s="1"/>
  <c r="AE55" i="178"/>
  <c r="AR153" i="140"/>
  <c r="AW153" i="140"/>
  <c r="AO64" i="140"/>
  <c r="BC64" i="140" s="1"/>
  <c r="C43" i="175" s="1"/>
  <c r="AO63" i="140"/>
  <c r="BC63" i="140" s="1"/>
  <c r="C42" i="175" s="1"/>
  <c r="H43" i="175" l="1"/>
  <c r="H42" i="175"/>
  <c r="AX153" i="140"/>
  <c r="AX155" i="140" s="1"/>
  <c r="D50" i="178"/>
  <c r="D48" i="178"/>
  <c r="F48" i="178" s="1"/>
  <c r="D47" i="178"/>
  <c r="F47" i="178" l="1"/>
  <c r="F50" i="178"/>
  <c r="Z68" i="140"/>
  <c r="Z62" i="140"/>
  <c r="Z61" i="140"/>
  <c r="V61" i="140"/>
  <c r="S88" i="140"/>
  <c r="S110" i="140" s="1"/>
  <c r="Q88" i="140"/>
  <c r="Q110" i="140" s="1"/>
  <c r="AA35" i="140"/>
  <c r="X35" i="140"/>
  <c r="AA34" i="140"/>
  <c r="X34" i="140"/>
  <c r="AA14" i="140"/>
  <c r="AO14" i="140" s="1"/>
  <c r="BC14" i="140" s="1"/>
  <c r="C11" i="175" s="1"/>
  <c r="AA16" i="140"/>
  <c r="AO16" i="140" s="1"/>
  <c r="BC16" i="140" s="1"/>
  <c r="C13" i="175" s="1"/>
  <c r="AA33" i="140"/>
  <c r="X33" i="140"/>
  <c r="AA32" i="140"/>
  <c r="X32" i="140"/>
  <c r="AA31" i="140"/>
  <c r="AA30" i="140"/>
  <c r="X30" i="140"/>
  <c r="AA90" i="140"/>
  <c r="X90" i="140"/>
  <c r="AA29" i="140"/>
  <c r="AA28" i="140"/>
  <c r="X28" i="140"/>
  <c r="AA27" i="140"/>
  <c r="X27" i="140"/>
  <c r="AA26" i="140"/>
  <c r="X26" i="140"/>
  <c r="AA25" i="140"/>
  <c r="X25" i="140"/>
  <c r="AA24" i="140"/>
  <c r="X24" i="140"/>
  <c r="AA23" i="140"/>
  <c r="X23" i="140"/>
  <c r="AA22" i="140"/>
  <c r="X22" i="140"/>
  <c r="AA21" i="140"/>
  <c r="X21" i="140"/>
  <c r="AA20" i="140"/>
  <c r="X20" i="140"/>
  <c r="AA19" i="140"/>
  <c r="X19" i="140"/>
  <c r="AA18" i="140"/>
  <c r="AA17" i="140"/>
  <c r="AO17" i="140" s="1"/>
  <c r="Z11" i="140"/>
  <c r="Z42" i="140" s="1"/>
  <c r="X11" i="140"/>
  <c r="AO20" i="140" l="1"/>
  <c r="BC20" i="140" s="1"/>
  <c r="AO22" i="140"/>
  <c r="BC22" i="140" s="1"/>
  <c r="AO24" i="140"/>
  <c r="BC24" i="140" s="1"/>
  <c r="C21" i="175" s="1"/>
  <c r="AO26" i="140"/>
  <c r="BC26" i="140" s="1"/>
  <c r="C23" i="175" s="1"/>
  <c r="AO35" i="140"/>
  <c r="BC35" i="140" s="1"/>
  <c r="H13" i="175"/>
  <c r="V69" i="140"/>
  <c r="V153" i="140" s="1"/>
  <c r="V156" i="140" s="1"/>
  <c r="H11" i="175"/>
  <c r="Z69" i="140"/>
  <c r="X42" i="140"/>
  <c r="BC17" i="140"/>
  <c r="C14" i="175" s="1"/>
  <c r="AO30" i="140"/>
  <c r="BC30" i="140" s="1"/>
  <c r="C27" i="175" s="1"/>
  <c r="AO90" i="140"/>
  <c r="AO88" i="140"/>
  <c r="AO28" i="140"/>
  <c r="BC28" i="140" s="1"/>
  <c r="C25" i="175" s="1"/>
  <c r="AO32" i="140"/>
  <c r="BC32" i="140" s="1"/>
  <c r="C29" i="175" s="1"/>
  <c r="AO19" i="140"/>
  <c r="BC19" i="140" s="1"/>
  <c r="C16" i="175" s="1"/>
  <c r="BM31" i="140"/>
  <c r="AO31" i="140"/>
  <c r="BC31" i="140" s="1"/>
  <c r="C28" i="175" s="1"/>
  <c r="BM16" i="140"/>
  <c r="BM17" i="140"/>
  <c r="BM18" i="140"/>
  <c r="AO18" i="140"/>
  <c r="BC18" i="140" s="1"/>
  <c r="C15" i="175" s="1"/>
  <c r="AO21" i="140"/>
  <c r="BC21" i="140" s="1"/>
  <c r="C18" i="175" s="1"/>
  <c r="AO23" i="140"/>
  <c r="BC23" i="140" s="1"/>
  <c r="C20" i="175" s="1"/>
  <c r="AO25" i="140"/>
  <c r="BC25" i="140" s="1"/>
  <c r="C22" i="175" s="1"/>
  <c r="AO27" i="140"/>
  <c r="BC27" i="140" s="1"/>
  <c r="C24" i="175" s="1"/>
  <c r="BM29" i="140"/>
  <c r="AO29" i="140"/>
  <c r="BC29" i="140" s="1"/>
  <c r="C26" i="175" s="1"/>
  <c r="AO33" i="140"/>
  <c r="BC33" i="140" s="1"/>
  <c r="C30" i="175" s="1"/>
  <c r="AO34" i="140"/>
  <c r="BC34" i="140" s="1"/>
  <c r="C31" i="175" s="1"/>
  <c r="BM30" i="140"/>
  <c r="BM20" i="140"/>
  <c r="BM22" i="140"/>
  <c r="BM24" i="140"/>
  <c r="BM26" i="140"/>
  <c r="BM28" i="140"/>
  <c r="BM32" i="140"/>
  <c r="BM35" i="140"/>
  <c r="BM90" i="140"/>
  <c r="BM14" i="140"/>
  <c r="BM19" i="140"/>
  <c r="BM21" i="140"/>
  <c r="BM23" i="140"/>
  <c r="BM25" i="140"/>
  <c r="BM27" i="140"/>
  <c r="BM33" i="140"/>
  <c r="BM34" i="140"/>
  <c r="AG48" i="178"/>
  <c r="AF48" i="178"/>
  <c r="AG47" i="178"/>
  <c r="AF47" i="178"/>
  <c r="AG50" i="178"/>
  <c r="AF50" i="178"/>
  <c r="AA11" i="140"/>
  <c r="AA42" i="140" s="1"/>
  <c r="BG61" i="140"/>
  <c r="BG69" i="140" s="1"/>
  <c r="AA89" i="140"/>
  <c r="AA110" i="140" s="1"/>
  <c r="AA62" i="140"/>
  <c r="BM62" i="140" s="1"/>
  <c r="AA68" i="140"/>
  <c r="BM68" i="140" s="1"/>
  <c r="X89" i="140"/>
  <c r="X110" i="140" s="1"/>
  <c r="X61" i="140"/>
  <c r="X69" i="140" s="1"/>
  <c r="AA61" i="140"/>
  <c r="G62" i="140"/>
  <c r="C19" i="175" l="1"/>
  <c r="C32" i="175"/>
  <c r="H32" i="175" s="1"/>
  <c r="C17" i="175"/>
  <c r="H17" i="175" s="1"/>
  <c r="H19" i="175"/>
  <c r="BC90" i="140"/>
  <c r="H21" i="175"/>
  <c r="H23" i="175"/>
  <c r="AA69" i="140"/>
  <c r="AA153" i="140" s="1"/>
  <c r="H20" i="175"/>
  <c r="H18" i="175"/>
  <c r="H29" i="175"/>
  <c r="G53" i="178"/>
  <c r="G88" i="178" s="1"/>
  <c r="H28" i="175"/>
  <c r="H27" i="175"/>
  <c r="H30" i="175"/>
  <c r="H22" i="175"/>
  <c r="H14" i="175"/>
  <c r="H26" i="175"/>
  <c r="H31" i="175"/>
  <c r="D18" i="178"/>
  <c r="BC88" i="140"/>
  <c r="D36" i="178"/>
  <c r="F36" i="178" s="1"/>
  <c r="D23" i="178"/>
  <c r="F23" i="178" s="1"/>
  <c r="D20" i="178"/>
  <c r="F20" i="178" s="1"/>
  <c r="D22" i="178"/>
  <c r="F22" i="178" s="1"/>
  <c r="D15" i="178"/>
  <c r="D25" i="178"/>
  <c r="F25" i="178" s="1"/>
  <c r="D35" i="178"/>
  <c r="F35" i="178" s="1"/>
  <c r="D28" i="178"/>
  <c r="F28" i="178" s="1"/>
  <c r="D34" i="178"/>
  <c r="F34" i="178" s="1"/>
  <c r="D26" i="178"/>
  <c r="F26" i="178" s="1"/>
  <c r="D32" i="178"/>
  <c r="F32" i="178" s="1"/>
  <c r="D33" i="178"/>
  <c r="F33" i="178" s="1"/>
  <c r="D31" i="178"/>
  <c r="F31" i="178" s="1"/>
  <c r="D21" i="178"/>
  <c r="F21" i="178" s="1"/>
  <c r="D27" i="178"/>
  <c r="F27" i="178" s="1"/>
  <c r="D24" i="178"/>
  <c r="F24" i="178" s="1"/>
  <c r="D30" i="178"/>
  <c r="F30" i="178" s="1"/>
  <c r="D29" i="178"/>
  <c r="F29" i="178" s="1"/>
  <c r="AO89" i="140"/>
  <c r="BC89" i="140" s="1"/>
  <c r="AO11" i="140"/>
  <c r="AO42" i="140" s="1"/>
  <c r="V71" i="140"/>
  <c r="BM11" i="140"/>
  <c r="BM42" i="140" s="1"/>
  <c r="BM61" i="140"/>
  <c r="BM89" i="140"/>
  <c r="BG153" i="140"/>
  <c r="BK61" i="140"/>
  <c r="BK69" i="140" s="1"/>
  <c r="BK153" i="140" s="1"/>
  <c r="V140" i="140"/>
  <c r="V142" i="140" s="1"/>
  <c r="W153" i="140"/>
  <c r="Z153" i="140"/>
  <c r="F153" i="140"/>
  <c r="G61" i="140"/>
  <c r="G69" i="140" s="1"/>
  <c r="U62" i="140"/>
  <c r="Q62" i="140"/>
  <c r="M62" i="140"/>
  <c r="I62" i="140"/>
  <c r="S62" i="140"/>
  <c r="O62" i="140"/>
  <c r="K62" i="140"/>
  <c r="U61" i="140"/>
  <c r="Q61" i="140"/>
  <c r="M61" i="140"/>
  <c r="I61" i="140"/>
  <c r="S61" i="140"/>
  <c r="O61" i="140"/>
  <c r="K61" i="140"/>
  <c r="C51" i="175" l="1"/>
  <c r="D57" i="178"/>
  <c r="F57" i="178" s="1"/>
  <c r="AG57" i="178" s="1"/>
  <c r="AH57" i="178" s="1"/>
  <c r="S69" i="140"/>
  <c r="H15" i="175"/>
  <c r="H25" i="175"/>
  <c r="H16" i="175"/>
  <c r="H24" i="175"/>
  <c r="H51" i="175"/>
  <c r="O69" i="140"/>
  <c r="O153" i="140" s="1"/>
  <c r="U69" i="140"/>
  <c r="Q69" i="140"/>
  <c r="I53" i="178"/>
  <c r="AE45" i="178"/>
  <c r="AE53" i="178" s="1"/>
  <c r="D55" i="178"/>
  <c r="F55" i="178" s="1"/>
  <c r="C50" i="175"/>
  <c r="I69" i="140"/>
  <c r="K69" i="140"/>
  <c r="M69" i="140"/>
  <c r="BC11" i="140"/>
  <c r="C8" i="175" s="1"/>
  <c r="D19" i="178"/>
  <c r="F19" i="178" s="1"/>
  <c r="AG19" i="178" s="1"/>
  <c r="D17" i="178"/>
  <c r="F17" i="178" s="1"/>
  <c r="AF17" i="178" s="1"/>
  <c r="F18" i="178"/>
  <c r="AF18" i="178" s="1"/>
  <c r="F16" i="178"/>
  <c r="AG16" i="178" s="1"/>
  <c r="G153" i="140"/>
  <c r="AO61" i="140"/>
  <c r="BM69" i="140"/>
  <c r="BM70" i="140" s="1"/>
  <c r="C49" i="175"/>
  <c r="F15" i="178"/>
  <c r="AG15" i="178" s="1"/>
  <c r="AG27" i="178"/>
  <c r="AF27" i="178"/>
  <c r="AG29" i="178"/>
  <c r="AF29" i="178"/>
  <c r="AG36" i="178"/>
  <c r="AF36" i="178"/>
  <c r="AG33" i="178"/>
  <c r="AF33" i="178"/>
  <c r="AG31" i="178"/>
  <c r="AF31" i="178"/>
  <c r="AG32" i="178"/>
  <c r="AF32" i="178"/>
  <c r="AG22" i="178"/>
  <c r="AF22" i="178"/>
  <c r="AG26" i="178"/>
  <c r="AF26" i="178"/>
  <c r="AG34" i="178"/>
  <c r="AF34" i="178"/>
  <c r="AG21" i="178"/>
  <c r="AF21" i="178"/>
  <c r="AG25" i="178"/>
  <c r="AF25" i="178"/>
  <c r="AG28" i="178"/>
  <c r="AF28" i="178"/>
  <c r="AG35" i="178"/>
  <c r="AF35" i="178"/>
  <c r="AG20" i="178"/>
  <c r="AF20" i="178"/>
  <c r="AG24" i="178"/>
  <c r="AF24" i="178"/>
  <c r="AG30" i="178"/>
  <c r="AF30" i="178"/>
  <c r="AG23" i="178"/>
  <c r="AF23" i="178"/>
  <c r="X153" i="140"/>
  <c r="AO68" i="140"/>
  <c r="BC68" i="140" s="1"/>
  <c r="C47" i="175" s="1"/>
  <c r="AO65" i="140"/>
  <c r="BC65" i="140" s="1"/>
  <c r="C44" i="175" s="1"/>
  <c r="AO62" i="140"/>
  <c r="BC62" i="140" s="1"/>
  <c r="C41" i="175" s="1"/>
  <c r="H50" i="175" l="1"/>
  <c r="AF57" i="178"/>
  <c r="H44" i="175"/>
  <c r="H41" i="175"/>
  <c r="H49" i="175"/>
  <c r="BC61" i="140"/>
  <c r="BC42" i="140"/>
  <c r="AA155" i="140"/>
  <c r="D12" i="178"/>
  <c r="F12" i="178" s="1"/>
  <c r="AG18" i="178"/>
  <c r="AG17" i="178"/>
  <c r="AF16" i="178"/>
  <c r="D56" i="178"/>
  <c r="F56" i="178" s="1"/>
  <c r="AF56" i="178" s="1"/>
  <c r="AF15" i="178"/>
  <c r="AF19" i="178"/>
  <c r="AG55" i="178"/>
  <c r="AF55" i="178"/>
  <c r="Q153" i="140"/>
  <c r="K153" i="140"/>
  <c r="U153" i="140"/>
  <c r="I153" i="140"/>
  <c r="M153" i="140"/>
  <c r="S153" i="140"/>
  <c r="D49" i="178"/>
  <c r="AO67" i="140"/>
  <c r="AO69" i="140" s="1"/>
  <c r="H47" i="175" l="1"/>
  <c r="H8" i="175"/>
  <c r="C39" i="175"/>
  <c r="H39" i="175" s="1"/>
  <c r="BM71" i="140"/>
  <c r="BM72" i="140" s="1"/>
  <c r="BC67" i="140"/>
  <c r="C46" i="175" s="1"/>
  <c r="AG56" i="178"/>
  <c r="F49" i="178"/>
  <c r="D43" i="178"/>
  <c r="G156" i="140"/>
  <c r="D46" i="178"/>
  <c r="BC69" i="140" l="1"/>
  <c r="D51" i="178"/>
  <c r="F46" i="178"/>
  <c r="AG49" i="178"/>
  <c r="AF49" i="178"/>
  <c r="AF12" i="178"/>
  <c r="AG12" i="178"/>
  <c r="F43" i="178"/>
  <c r="AY153" i="140"/>
  <c r="AP153" i="140"/>
  <c r="D52" i="178"/>
  <c r="H46" i="175" l="1"/>
  <c r="F52" i="178"/>
  <c r="AG43" i="178"/>
  <c r="AF43" i="178"/>
  <c r="AG46" i="178"/>
  <c r="AF46" i="178"/>
  <c r="F51" i="178" l="1"/>
  <c r="AG52" i="178"/>
  <c r="AF52" i="178"/>
  <c r="AG51" i="178" l="1"/>
  <c r="AF51" i="178"/>
  <c r="F39" i="175" l="1"/>
  <c r="D45" i="178"/>
  <c r="F45" i="178" s="1"/>
  <c r="D53" i="178" l="1"/>
  <c r="C40" i="175"/>
  <c r="C48" i="175" s="1"/>
  <c r="AZ153" i="140"/>
  <c r="H40" i="175" l="1"/>
  <c r="H48" i="175" s="1"/>
  <c r="AG45" i="178"/>
  <c r="F48" i="175" l="1"/>
  <c r="F53" i="178"/>
  <c r="AG53" i="178" s="1"/>
  <c r="AF45" i="178"/>
  <c r="BD153" i="140"/>
  <c r="AF53" i="178" l="1"/>
  <c r="AY139" i="140"/>
  <c r="H88" i="178" l="1"/>
  <c r="I77" i="178" l="1"/>
  <c r="I88" i="178" s="1"/>
  <c r="AE77" i="178" l="1"/>
  <c r="O20" i="174" l="1"/>
  <c r="C23" i="174"/>
  <c r="E23" i="174" s="1"/>
  <c r="G23" i="174" s="1"/>
  <c r="K23" i="174" s="1"/>
  <c r="L23" i="174" s="1"/>
  <c r="P526" i="150"/>
  <c r="AI526" i="150" s="1"/>
  <c r="AI106" i="140" l="1"/>
  <c r="AI562" i="181"/>
  <c r="N20" i="174"/>
  <c r="N35" i="174"/>
  <c r="N21" i="174"/>
  <c r="N17" i="174"/>
  <c r="N13" i="174"/>
  <c r="N22" i="174"/>
  <c r="N32" i="174"/>
  <c r="N14" i="174"/>
  <c r="N36" i="174"/>
  <c r="N24" i="174"/>
  <c r="N34" i="174"/>
  <c r="N29" i="174"/>
  <c r="N25" i="174"/>
  <c r="N16" i="174"/>
  <c r="N23" i="174"/>
  <c r="N15" i="174"/>
  <c r="N30" i="174"/>
  <c r="N18" i="174"/>
  <c r="N26" i="174"/>
  <c r="N10" i="174"/>
  <c r="N31" i="174"/>
  <c r="N33" i="174"/>
  <c r="N28" i="174"/>
  <c r="N19" i="174"/>
  <c r="N12" i="174"/>
  <c r="N27" i="174"/>
  <c r="N11" i="174"/>
  <c r="N9" i="174"/>
  <c r="N8" i="174"/>
  <c r="N41" i="174"/>
  <c r="N37" i="174"/>
  <c r="N40" i="174"/>
  <c r="N38" i="174"/>
  <c r="N42" i="174"/>
  <c r="N39" i="174"/>
  <c r="C20" i="174"/>
  <c r="E20" i="174" s="1"/>
  <c r="G20" i="174" s="1"/>
  <c r="K20" i="174" s="1"/>
  <c r="L20" i="174" s="1"/>
  <c r="O43" i="174"/>
  <c r="E44" i="174" s="1"/>
  <c r="AI103" i="140" l="1"/>
  <c r="AI535" i="181"/>
  <c r="BM562" i="181"/>
  <c r="AO562" i="181"/>
  <c r="BC562" i="181" s="1"/>
  <c r="E43" i="174"/>
  <c r="W43" i="174" s="1"/>
  <c r="W45" i="174" s="1"/>
  <c r="G43" i="174"/>
  <c r="G45" i="174" s="1"/>
  <c r="C43" i="174"/>
  <c r="O45" i="174"/>
  <c r="BM535" i="181" l="1"/>
  <c r="BM590" i="181" s="1"/>
  <c r="AO535" i="181"/>
  <c r="AI590" i="181"/>
  <c r="E45" i="174"/>
  <c r="K43" i="174"/>
  <c r="W47" i="174" s="1"/>
  <c r="BM106" i="140"/>
  <c r="BM681" i="181" l="1"/>
  <c r="BM696" i="181" s="1"/>
  <c r="AI696" i="181"/>
  <c r="AO591" i="181"/>
  <c r="AO592" i="181" s="1"/>
  <c r="AF704" i="181"/>
  <c r="BC535" i="181"/>
  <c r="BC590" i="181" s="1"/>
  <c r="BC696" i="181" s="1"/>
  <c r="AO590" i="181"/>
  <c r="AO696" i="181" s="1"/>
  <c r="AO106" i="140"/>
  <c r="BQ102" i="140"/>
  <c r="AO102" i="140"/>
  <c r="BC102" i="140" s="1"/>
  <c r="BM102" i="140"/>
  <c r="C63" i="175" l="1"/>
  <c r="D69" i="178"/>
  <c r="AF702" i="181"/>
  <c r="BM103" i="140"/>
  <c r="AI110" i="140"/>
  <c r="AF161" i="140" s="1"/>
  <c r="BC106" i="140"/>
  <c r="AO103" i="140"/>
  <c r="AA80" i="178"/>
  <c r="Y87" i="178"/>
  <c r="Y88" i="178" s="1"/>
  <c r="H63" i="175"/>
  <c r="BQ101" i="140"/>
  <c r="AO101" i="140"/>
  <c r="BC101" i="140" s="1"/>
  <c r="BM101" i="140"/>
  <c r="F69" i="178"/>
  <c r="L43" i="174"/>
  <c r="BM100" i="140"/>
  <c r="C62" i="175" l="1"/>
  <c r="D68" i="178"/>
  <c r="AI154" i="140"/>
  <c r="AF157" i="140" s="1"/>
  <c r="AI697" i="181"/>
  <c r="C67" i="175"/>
  <c r="H67" i="175" s="1"/>
  <c r="D73" i="178"/>
  <c r="F73" i="178" s="1"/>
  <c r="BM110" i="140"/>
  <c r="BC103" i="140"/>
  <c r="D70" i="178" s="1"/>
  <c r="AE80" i="178"/>
  <c r="AE87" i="178" s="1"/>
  <c r="AE88" i="178" s="1"/>
  <c r="AA87" i="178"/>
  <c r="AA88" i="178" s="1"/>
  <c r="AI153" i="140"/>
  <c r="AG69" i="178"/>
  <c r="AF69" i="178"/>
  <c r="F68" i="178"/>
  <c r="AO100" i="140"/>
  <c r="AO110" i="140" s="1"/>
  <c r="BQ100" i="140"/>
  <c r="AJ153" i="140"/>
  <c r="AF700" i="181" l="1"/>
  <c r="AI698" i="181"/>
  <c r="AF73" i="178"/>
  <c r="AG73" i="178"/>
  <c r="F80" i="178"/>
  <c r="F87" i="178" s="1"/>
  <c r="D87" i="178"/>
  <c r="F70" i="178"/>
  <c r="AG70" i="178" s="1"/>
  <c r="C64" i="175"/>
  <c r="H64" i="175" s="1"/>
  <c r="AF159" i="140"/>
  <c r="BQ110" i="140"/>
  <c r="BQ153" i="140" s="1"/>
  <c r="BM138" i="140"/>
  <c r="BM153" i="140" s="1"/>
  <c r="BC100" i="140"/>
  <c r="D67" i="178" s="1"/>
  <c r="H62" i="175"/>
  <c r="AI155" i="140"/>
  <c r="AO111" i="140"/>
  <c r="AO112" i="140" s="1"/>
  <c r="AJ155" i="140"/>
  <c r="AG68" i="178"/>
  <c r="Y66" i="151"/>
  <c r="AF66" i="151"/>
  <c r="S66" i="151"/>
  <c r="T66" i="151"/>
  <c r="X66" i="151"/>
  <c r="U66" i="151"/>
  <c r="AD66" i="151"/>
  <c r="N66" i="151"/>
  <c r="AB66" i="151"/>
  <c r="Q66" i="151"/>
  <c r="V66" i="151"/>
  <c r="AG66" i="151"/>
  <c r="AA66" i="151"/>
  <c r="F66" i="151"/>
  <c r="G66" i="151"/>
  <c r="AH59" i="151"/>
  <c r="M66" i="151"/>
  <c r="P66" i="151"/>
  <c r="R66" i="151"/>
  <c r="L66" i="151"/>
  <c r="E66" i="151"/>
  <c r="AH63" i="151"/>
  <c r="H66" i="151"/>
  <c r="D66" i="151"/>
  <c r="AH60" i="151"/>
  <c r="AH64" i="151"/>
  <c r="K66" i="151"/>
  <c r="W66" i="151"/>
  <c r="J66" i="151"/>
  <c r="Z66" i="151"/>
  <c r="AC66" i="151"/>
  <c r="AH62" i="151"/>
  <c r="I66" i="151"/>
  <c r="AH58" i="151"/>
  <c r="O66" i="151"/>
  <c r="AE66" i="151"/>
  <c r="AH61" i="151"/>
  <c r="AH65" i="151"/>
  <c r="AH57" i="151"/>
  <c r="AF70" i="178" l="1"/>
  <c r="AG80" i="178"/>
  <c r="AF87" i="178"/>
  <c r="AG87" i="178"/>
  <c r="AF80" i="178"/>
  <c r="BC110" i="140"/>
  <c r="C61" i="175"/>
  <c r="C71" i="175" s="1"/>
  <c r="AO153" i="140"/>
  <c r="AF68" i="178"/>
  <c r="AH66" i="151"/>
  <c r="BC153" i="140" l="1"/>
  <c r="C82" i="175" s="1"/>
  <c r="H61" i="175"/>
  <c r="H71" i="175" s="1"/>
  <c r="H81" i="175" s="1"/>
  <c r="F67" i="178"/>
  <c r="D77" i="178"/>
  <c r="D88" i="178" s="1"/>
  <c r="F71" i="175" l="1"/>
  <c r="C81" i="175"/>
  <c r="D89" i="178"/>
  <c r="D90" i="178" s="1"/>
  <c r="AF67" i="178"/>
  <c r="AG67" i="178"/>
  <c r="F77" i="178"/>
  <c r="G86" i="175" l="1"/>
  <c r="G88" i="175" s="1"/>
  <c r="BC697" i="181"/>
  <c r="BC698" i="181" s="1"/>
  <c r="J88" i="175"/>
  <c r="J89" i="175"/>
  <c r="BC154" i="140"/>
  <c r="BC155" i="140" s="1"/>
  <c r="T6" i="175"/>
  <c r="T8" i="175" s="1"/>
  <c r="V8" i="175" s="1"/>
  <c r="E82" i="175"/>
  <c r="AF77" i="178"/>
  <c r="AG77" i="178"/>
  <c r="F88" i="178"/>
  <c r="V6" i="175" l="1"/>
  <c r="AG88" i="178"/>
  <c r="AF88" i="178"/>
  <c r="AY697" i="181" l="1"/>
  <c r="AY698" i="181" s="1"/>
  <c r="AY154" i="140"/>
  <c r="AY155" i="140" s="1"/>
  <c r="BA697" i="181" l="1"/>
  <c r="BA698" i="181" s="1"/>
  <c r="BA154" i="140"/>
  <c r="BA155" i="1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 ANGKAT 17 AGUSTUS 2024</t>
        </r>
      </text>
    </comment>
    <comment ref="C26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feb5 2025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P3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4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12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13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2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22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30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3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39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40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48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49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57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58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66" authorId="0" shapeId="0" xr:uid="{00000000-0006-0000-09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67" authorId="0" shapeId="0" xr:uid="{00000000-0006-0000-09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75" authorId="0" shapeId="0" xr:uid="{00000000-0006-0000-09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76" authorId="0" shapeId="0" xr:uid="{00000000-0006-0000-09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84" authorId="0" shapeId="0" xr:uid="{00000000-0006-0000-09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85" authorId="0" shapeId="0" xr:uid="{00000000-0006-0000-09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93" authorId="0" shapeId="0" xr:uid="{00000000-0006-0000-0900-00001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94" authorId="0" shapeId="0" xr:uid="{00000000-0006-0000-0900-00001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102" authorId="0" shapeId="0" xr:uid="{00000000-0006-0000-0900-00001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103" authorId="0" shapeId="0" xr:uid="{00000000-0006-0000-0900-00001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111" authorId="0" shapeId="0" xr:uid="{00000000-0006-0000-0900-00001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112" authorId="0" shapeId="0" xr:uid="{00000000-0006-0000-0900-00001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120" authorId="0" shapeId="0" xr:uid="{00000000-0006-0000-0900-00001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121" authorId="0" shapeId="0" xr:uid="{00000000-0006-0000-0900-00001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129" authorId="0" shapeId="0" xr:uid="{00000000-0006-0000-0900-00001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130" authorId="0" shapeId="0" xr:uid="{00000000-0006-0000-0900-00001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D135" authorId="0" shapeId="0" xr:uid="{00000000-0006-0000-0900-00001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tgl lahir 04-09-1970
tahun 2025 umur 55 thn</t>
        </r>
      </text>
    </comment>
    <comment ref="AP138" authorId="0" shapeId="0" xr:uid="{00000000-0006-0000-0900-00002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139" authorId="0" shapeId="0" xr:uid="{00000000-0006-0000-0900-00002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147" authorId="0" shapeId="0" xr:uid="{00000000-0006-0000-0900-00002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148" authorId="0" shapeId="0" xr:uid="{00000000-0006-0000-0900-00002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156" authorId="0" shapeId="0" xr:uid="{00000000-0006-0000-0900-00002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157" authorId="0" shapeId="0" xr:uid="{00000000-0006-0000-09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165" authorId="0" shapeId="0" xr:uid="{00000000-0006-0000-0900-00002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166" authorId="0" shapeId="0" xr:uid="{00000000-0006-0000-0900-00002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174" authorId="0" shapeId="0" xr:uid="{00000000-0006-0000-0900-00002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175" authorId="0" shapeId="0" xr:uid="{00000000-0006-0000-0900-00002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183" authorId="0" shapeId="0" xr:uid="{00000000-0006-0000-0900-00002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184" authorId="0" shapeId="0" xr:uid="{00000000-0006-0000-0900-00002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192" authorId="0" shapeId="0" xr:uid="{00000000-0006-0000-0900-00002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193" authorId="0" shapeId="0" xr:uid="{00000000-0006-0000-0900-00002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201" authorId="0" shapeId="0" xr:uid="{00000000-0006-0000-09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202" authorId="0" shapeId="0" xr:uid="{00000000-0006-0000-09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210" authorId="0" shapeId="0" xr:uid="{00000000-0006-0000-09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211" authorId="0" shapeId="0" xr:uid="{00000000-0006-0000-0900-00003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219" authorId="0" shapeId="0" xr:uid="{00000000-0006-0000-0900-00003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220" authorId="0" shapeId="0" xr:uid="{00000000-0006-0000-0900-00003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228" authorId="0" shapeId="0" xr:uid="{00000000-0006-0000-0900-00003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229" authorId="0" shapeId="0" xr:uid="{00000000-0006-0000-0900-00003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237" authorId="0" shapeId="0" xr:uid="{00000000-0006-0000-0900-00003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238" authorId="0" shapeId="0" xr:uid="{00000000-0006-0000-0900-00003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246" authorId="0" shapeId="0" xr:uid="{00000000-0006-0000-0900-00003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247" authorId="0" shapeId="0" xr:uid="{00000000-0006-0000-0900-00003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255" authorId="0" shapeId="0" xr:uid="{00000000-0006-0000-0900-00003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256" authorId="0" shapeId="0" xr:uid="{00000000-0006-0000-0900-00003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264" authorId="0" shapeId="0" xr:uid="{00000000-0006-0000-0900-00003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265" authorId="0" shapeId="0" xr:uid="{00000000-0006-0000-0900-00003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273" authorId="0" shapeId="0" xr:uid="{00000000-0006-0000-0900-00003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274" authorId="0" shapeId="0" xr:uid="{00000000-0006-0000-0900-00003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282" authorId="0" shapeId="0" xr:uid="{00000000-0006-0000-0900-00004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283" authorId="0" shapeId="0" xr:uid="{00000000-0006-0000-0900-00004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291" authorId="0" shapeId="0" xr:uid="{00000000-0006-0000-0900-00004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292" authorId="0" shapeId="0" xr:uid="{00000000-0006-0000-0900-00004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311" authorId="0" shapeId="0" xr:uid="{00000000-0006-0000-0900-00004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312" authorId="0" shapeId="0" xr:uid="{00000000-0006-0000-0900-00004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320" authorId="0" shapeId="0" xr:uid="{00000000-0006-0000-0900-00004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321" authorId="0" shapeId="0" xr:uid="{00000000-0006-0000-0900-00004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329" authorId="0" shapeId="0" xr:uid="{00000000-0006-0000-0900-00004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330" authorId="0" shapeId="0" xr:uid="{00000000-0006-0000-0900-00004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338" authorId="0" shapeId="0" xr:uid="{00000000-0006-0000-0900-00004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339" authorId="0" shapeId="0" xr:uid="{00000000-0006-0000-0900-00004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347" authorId="0" shapeId="0" xr:uid="{00000000-0006-0000-0900-00004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348" authorId="0" shapeId="0" xr:uid="{00000000-0006-0000-0900-00004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356" authorId="0" shapeId="0" xr:uid="{00000000-0006-0000-0900-00004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357" authorId="0" shapeId="0" xr:uid="{00000000-0006-0000-0900-00004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365" authorId="0" shapeId="0" xr:uid="{00000000-0006-0000-0900-00005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366" authorId="0" shapeId="0" xr:uid="{00000000-0006-0000-0900-00005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374" authorId="0" shapeId="0" xr:uid="{00000000-0006-0000-0900-00005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375" authorId="0" shapeId="0" xr:uid="{00000000-0006-0000-0900-00005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393" authorId="0" shapeId="0" xr:uid="{00000000-0006-0000-0900-00005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UPKEEP</t>
        </r>
      </text>
    </comment>
    <comment ref="AP394" authorId="0" shapeId="0" xr:uid="{00000000-0006-0000-0900-00005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394" authorId="0" shapeId="0" xr:uid="{00000000-0006-0000-0900-00005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395" authorId="0" shapeId="0" xr:uid="{00000000-0006-0000-0900-00005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402" authorId="0" shapeId="0" xr:uid="{00000000-0006-0000-0900-00005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UPKEEP</t>
        </r>
      </text>
    </comment>
    <comment ref="AP403" authorId="0" shapeId="0" xr:uid="{00000000-0006-0000-0900-00005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403" authorId="0" shapeId="0" xr:uid="{00000000-0006-0000-0900-00005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404" authorId="0" shapeId="0" xr:uid="{00000000-0006-0000-0900-00005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411" authorId="0" shapeId="0" xr:uid="{00000000-0006-0000-0900-00005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UPKEEP</t>
        </r>
      </text>
    </comment>
    <comment ref="AP412" authorId="0" shapeId="0" xr:uid="{00000000-0006-0000-0900-00005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412" authorId="0" shapeId="0" xr:uid="{00000000-0006-0000-0900-00005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413" authorId="0" shapeId="0" xr:uid="{00000000-0006-0000-0900-00005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420" authorId="0" shapeId="0" xr:uid="{00000000-0006-0000-0900-00006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UPKEEP</t>
        </r>
      </text>
    </comment>
    <comment ref="AP421" authorId="0" shapeId="0" xr:uid="{00000000-0006-0000-0900-00006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421" authorId="0" shapeId="0" xr:uid="{00000000-0006-0000-0900-00006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422" authorId="0" shapeId="0" xr:uid="{00000000-0006-0000-0900-00006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429" authorId="0" shapeId="0" xr:uid="{00000000-0006-0000-0900-00006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UPKEEP</t>
        </r>
      </text>
    </comment>
    <comment ref="AP430" authorId="0" shapeId="0" xr:uid="{00000000-0006-0000-0900-00006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430" authorId="0" shapeId="0" xr:uid="{00000000-0006-0000-0900-00006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431" authorId="0" shapeId="0" xr:uid="{00000000-0006-0000-0900-00006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438" authorId="0" shapeId="0" xr:uid="{00000000-0006-0000-0900-00006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UPKEEP</t>
        </r>
      </text>
    </comment>
    <comment ref="AP439" authorId="0" shapeId="0" xr:uid="{00000000-0006-0000-0900-00006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439" authorId="0" shapeId="0" xr:uid="{00000000-0006-0000-0900-00006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440" authorId="0" shapeId="0" xr:uid="{00000000-0006-0000-0900-00006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447" authorId="0" shapeId="0" xr:uid="{00000000-0006-0000-0900-00006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UPKEEP</t>
        </r>
      </text>
    </comment>
    <comment ref="AP448" authorId="0" shapeId="0" xr:uid="{00000000-0006-0000-0900-00006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448" authorId="0" shapeId="0" xr:uid="{00000000-0006-0000-0900-00006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449" authorId="0" shapeId="0" xr:uid="{00000000-0006-0000-0900-00006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456" authorId="0" shapeId="0" xr:uid="{00000000-0006-0000-0900-00007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UPKEEP</t>
        </r>
      </text>
    </comment>
    <comment ref="AP457" authorId="0" shapeId="0" xr:uid="{00000000-0006-0000-0900-00007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457" authorId="0" shapeId="0" xr:uid="{00000000-0006-0000-0900-00007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458" authorId="0" shapeId="0" xr:uid="{00000000-0006-0000-0900-00007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465" authorId="0" shapeId="0" xr:uid="{00000000-0006-0000-0900-00007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UPKEEP</t>
        </r>
      </text>
    </comment>
    <comment ref="AP466" authorId="0" shapeId="0" xr:uid="{00000000-0006-0000-0900-00007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466" authorId="0" shapeId="0" xr:uid="{00000000-0006-0000-0900-00007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467" authorId="0" shapeId="0" xr:uid="{00000000-0006-0000-0900-00007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474" authorId="0" shapeId="0" xr:uid="{00000000-0006-0000-0900-00007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UPKEEP</t>
        </r>
      </text>
    </comment>
    <comment ref="AP475" authorId="0" shapeId="0" xr:uid="{00000000-0006-0000-0900-00007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475" authorId="0" shapeId="0" xr:uid="{00000000-0006-0000-0900-00007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476" authorId="0" shapeId="0" xr:uid="{00000000-0006-0000-0900-00007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483" authorId="0" shapeId="0" xr:uid="{00000000-0006-0000-0900-00007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UPKEEP</t>
        </r>
      </text>
    </comment>
    <comment ref="AP484" authorId="0" shapeId="0" xr:uid="{00000000-0006-0000-0900-00007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484" authorId="0" shapeId="0" xr:uid="{00000000-0006-0000-0900-00007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485" authorId="0" shapeId="0" xr:uid="{00000000-0006-0000-0900-00007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492" authorId="0" shapeId="0" xr:uid="{00000000-0006-0000-0900-00008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UPKEEP</t>
        </r>
      </text>
    </comment>
    <comment ref="AP493" authorId="0" shapeId="0" xr:uid="{00000000-0006-0000-0900-00008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493" authorId="0" shapeId="0" xr:uid="{00000000-0006-0000-0900-00008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494" authorId="0" shapeId="0" xr:uid="{00000000-0006-0000-0900-00008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501" authorId="0" shapeId="0" xr:uid="{00000000-0006-0000-0900-00008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UPKEEP</t>
        </r>
      </text>
    </comment>
    <comment ref="AP502" authorId="0" shapeId="0" xr:uid="{00000000-0006-0000-0900-00008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502" authorId="0" shapeId="0" xr:uid="{00000000-0006-0000-0900-00008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503" authorId="0" shapeId="0" xr:uid="{00000000-0006-0000-0900-00008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510" authorId="0" shapeId="0" xr:uid="{00000000-0006-0000-0900-00008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UPKEEP</t>
        </r>
      </text>
    </comment>
    <comment ref="AP511" authorId="0" shapeId="0" xr:uid="{00000000-0006-0000-0900-00008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511" authorId="0" shapeId="0" xr:uid="{00000000-0006-0000-0900-00008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512" authorId="0" shapeId="0" xr:uid="{00000000-0006-0000-0900-00008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519" authorId="0" shapeId="0" xr:uid="{00000000-0006-0000-0900-00008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UPKEEP</t>
        </r>
      </text>
    </comment>
    <comment ref="AP520" authorId="0" shapeId="0" xr:uid="{00000000-0006-0000-0900-00008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520" authorId="0" shapeId="0" xr:uid="{00000000-0006-0000-0900-00008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521" authorId="0" shapeId="0" xr:uid="{00000000-0006-0000-0900-00008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528" authorId="0" shapeId="0" xr:uid="{00000000-0006-0000-0900-00009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UPKEEP</t>
        </r>
      </text>
    </comment>
    <comment ref="AP529" authorId="0" shapeId="0" xr:uid="{00000000-0006-0000-0900-00009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529" authorId="0" shapeId="0" xr:uid="{00000000-0006-0000-0900-00009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530" authorId="0" shapeId="0" xr:uid="{00000000-0006-0000-0900-00009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537" authorId="0" shapeId="0" xr:uid="{00000000-0006-0000-0900-00009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UPKEEP</t>
        </r>
      </text>
    </comment>
    <comment ref="AP538" authorId="0" shapeId="0" xr:uid="{00000000-0006-0000-0900-00009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538" authorId="0" shapeId="0" xr:uid="{00000000-0006-0000-0900-00009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539" authorId="0" shapeId="0" xr:uid="{00000000-0006-0000-0900-00009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546" authorId="0" shapeId="0" xr:uid="{00000000-0006-0000-0900-00009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UPKEEP</t>
        </r>
      </text>
    </comment>
    <comment ref="AP547" authorId="0" shapeId="0" xr:uid="{00000000-0006-0000-0900-00009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547" authorId="0" shapeId="0" xr:uid="{00000000-0006-0000-0900-00009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548" authorId="0" shapeId="0" xr:uid="{00000000-0006-0000-0900-00009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555" authorId="0" shapeId="0" xr:uid="{00000000-0006-0000-0900-00009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UPKEEP</t>
        </r>
      </text>
    </comment>
    <comment ref="AP556" authorId="0" shapeId="0" xr:uid="{00000000-0006-0000-0900-00009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556" authorId="0" shapeId="0" xr:uid="{00000000-0006-0000-0900-00009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557" authorId="0" shapeId="0" xr:uid="{00000000-0006-0000-0900-00009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564" authorId="0" shapeId="0" xr:uid="{00000000-0006-0000-0900-0000A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UPKEEP</t>
        </r>
      </text>
    </comment>
    <comment ref="AP565" authorId="0" shapeId="0" xr:uid="{00000000-0006-0000-0900-0000A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565" authorId="0" shapeId="0" xr:uid="{00000000-0006-0000-0900-0000A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566" authorId="0" shapeId="0" xr:uid="{00000000-0006-0000-0900-0000A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573" authorId="0" shapeId="0" xr:uid="{00000000-0006-0000-0900-0000A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UPKEEP</t>
        </r>
      </text>
    </comment>
    <comment ref="AP574" authorId="0" shapeId="0" xr:uid="{00000000-0006-0000-0900-0000A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574" authorId="0" shapeId="0" xr:uid="{00000000-0006-0000-0900-0000A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575" authorId="0" shapeId="0" xr:uid="{00000000-0006-0000-0900-0000A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582" authorId="0" shapeId="0" xr:uid="{00000000-0006-0000-0900-0000A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UPKEEP</t>
        </r>
      </text>
    </comment>
    <comment ref="AP583" authorId="0" shapeId="0" xr:uid="{00000000-0006-0000-0900-0000A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583" authorId="0" shapeId="0" xr:uid="{00000000-0006-0000-0900-0000A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584" authorId="0" shapeId="0" xr:uid="{00000000-0006-0000-0900-0000A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604" authorId="0" shapeId="0" xr:uid="{00000000-0006-0000-0900-0000A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604" authorId="0" shapeId="0" xr:uid="{00000000-0006-0000-0900-0000A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605" authorId="0" shapeId="0" xr:uid="{00000000-0006-0000-0900-0000A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614" authorId="0" shapeId="0" xr:uid="{00000000-0006-0000-0900-0000A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614" authorId="0" shapeId="0" xr:uid="{00000000-0006-0000-0900-0000B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615" authorId="0" shapeId="0" xr:uid="{00000000-0006-0000-0900-0000B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624" authorId="0" shapeId="0" xr:uid="{00000000-0006-0000-0900-0000B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624" authorId="0" shapeId="0" xr:uid="{00000000-0006-0000-0900-0000B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625" authorId="0" shapeId="0" xr:uid="{00000000-0006-0000-0900-0000B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634" authorId="0" shapeId="0" xr:uid="{00000000-0006-0000-0900-0000B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634" authorId="0" shapeId="0" xr:uid="{00000000-0006-0000-0900-0000B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635" authorId="0" shapeId="0" xr:uid="{00000000-0006-0000-0900-0000B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644" authorId="0" shapeId="0" xr:uid="{00000000-0006-0000-0900-0000B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644" authorId="0" shapeId="0" xr:uid="{00000000-0006-0000-0900-0000B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645" authorId="0" shapeId="0" xr:uid="{00000000-0006-0000-0900-0000B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654" authorId="0" shapeId="0" xr:uid="{00000000-0006-0000-0900-0000B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654" authorId="0" shapeId="0" xr:uid="{00000000-0006-0000-0900-0000B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655" authorId="0" shapeId="0" xr:uid="{00000000-0006-0000-0900-0000B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664" authorId="0" shapeId="0" xr:uid="{00000000-0006-0000-0900-0000B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664" authorId="0" shapeId="0" xr:uid="{00000000-0006-0000-0900-0000B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665" authorId="0" shapeId="0" xr:uid="{00000000-0006-0000-0900-0000C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674" authorId="0" shapeId="0" xr:uid="{00000000-0006-0000-0900-0000C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674" authorId="0" shapeId="0" xr:uid="{00000000-0006-0000-0900-0000C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675" authorId="0" shapeId="0" xr:uid="{00000000-0006-0000-0900-0000C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BA698" authorId="0" shapeId="0" xr:uid="{00000000-0006-0000-0900-0000C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JUMIDIN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P3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4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D23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tgl lahir 04-09-1970
tahun 2025 umur 55 thn</t>
        </r>
      </text>
    </comment>
    <comment ref="AP55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P56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8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UPKEEP</t>
        </r>
      </text>
    </comment>
    <comment ref="AP82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82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83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AP124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R124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lembur</t>
        </r>
      </text>
    </comment>
    <comment ref="AP125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  <comment ref="BA155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JUMIDIN</t>
        </r>
      </text>
    </comment>
  </commentList>
</comments>
</file>

<file path=xl/sharedStrings.xml><?xml version="1.0" encoding="utf-8"?>
<sst xmlns="http://schemas.openxmlformats.org/spreadsheetml/2006/main" count="16935" uniqueCount="1079">
  <si>
    <t>PT.REBINMAS JAYA</t>
  </si>
  <si>
    <t xml:space="preserve">DAFTAR UPAH </t>
  </si>
  <si>
    <t>CUTI / LIBUR</t>
  </si>
  <si>
    <t>TUNJANGAN / PREMI</t>
  </si>
  <si>
    <t>JUMLAH</t>
  </si>
  <si>
    <t>NO.</t>
  </si>
  <si>
    <t>L/P</t>
  </si>
  <si>
    <t>NAMA</t>
  </si>
  <si>
    <t>HARI</t>
  </si>
  <si>
    <t>UPAH</t>
  </si>
  <si>
    <t>TAHUN</t>
  </si>
  <si>
    <t>SAKIT</t>
  </si>
  <si>
    <t>HAID</t>
  </si>
  <si>
    <t>MINGGU</t>
  </si>
  <si>
    <t>NASIONAL</t>
  </si>
  <si>
    <t>HA. / MELAH.</t>
  </si>
  <si>
    <t>IZIN</t>
  </si>
  <si>
    <t>BERAS</t>
  </si>
  <si>
    <t>JABATAN</t>
  </si>
  <si>
    <t>MASA KERJA</t>
  </si>
  <si>
    <t xml:space="preserve">CARUMAN ASTEK </t>
  </si>
  <si>
    <t>IURAN</t>
  </si>
  <si>
    <t>KARYAWAN</t>
  </si>
  <si>
    <t>KERJA</t>
  </si>
  <si>
    <t>DASAR</t>
  </si>
  <si>
    <t>POKOK</t>
  </si>
  <si>
    <t>HK</t>
  </si>
  <si>
    <t>(Rp)/</t>
  </si>
  <si>
    <t>Jumlah</t>
  </si>
  <si>
    <t>KOTOR</t>
  </si>
  <si>
    <t>PEKERJA</t>
  </si>
  <si>
    <t>MAJIKAN</t>
  </si>
  <si>
    <t>SPSI</t>
  </si>
  <si>
    <t>BERSIH</t>
  </si>
  <si>
    <t>(Rp)</t>
  </si>
  <si>
    <t>THN</t>
  </si>
  <si>
    <t>L</t>
  </si>
  <si>
    <t>P</t>
  </si>
  <si>
    <t>TOTAL</t>
  </si>
  <si>
    <t>Di buat oleh,</t>
  </si>
  <si>
    <t>Di periksa oleh,</t>
  </si>
  <si>
    <t>TIDAK HADIR</t>
  </si>
  <si>
    <t>CTH</t>
  </si>
  <si>
    <t>ALPA</t>
  </si>
  <si>
    <t>KOREKSI</t>
  </si>
  <si>
    <t xml:space="preserve">JUMLAH LEMBUR </t>
  </si>
  <si>
    <t xml:space="preserve"> JUMLAH PREMI</t>
  </si>
  <si>
    <t>PT. REBINMAS JAYA</t>
  </si>
  <si>
    <t>ACCOUNT</t>
  </si>
  <si>
    <t>NAME</t>
  </si>
  <si>
    <t>GRAND TOTAL</t>
  </si>
  <si>
    <t>ALAMAT</t>
  </si>
  <si>
    <t>NIK</t>
  </si>
  <si>
    <t>2</t>
  </si>
  <si>
    <t>POT. BPJS</t>
  </si>
  <si>
    <t>DIVISI :</t>
  </si>
  <si>
    <t>JANJANG</t>
  </si>
  <si>
    <t>BRONDOL</t>
  </si>
  <si>
    <t>KESEHATAN</t>
  </si>
  <si>
    <t>PENSIUN</t>
  </si>
  <si>
    <t>PRUNING</t>
  </si>
  <si>
    <t>Di setujui oleh,</t>
  </si>
  <si>
    <t>Yang tidak dipotong BPJS Kesehatan: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</si>
  <si>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</si>
  <si>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</si>
  <si>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</si>
  <si>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</si>
  <si>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</si>
  <si>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</si>
  <si>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</si>
  <si>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</si>
  <si>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</si>
  <si>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</si>
  <si>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</si>
  <si>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</si>
  <si>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</si>
  <si>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</si>
  <si>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</si>
  <si>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</si>
  <si>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</si>
  <si>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</si>
  <si>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</si>
  <si>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</si>
  <si>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</si>
  <si>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</si>
  <si>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</si>
  <si>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</si>
  <si>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Note :</t>
  </si>
  <si>
    <t>Upah Dasar Yang Digunakan :</t>
  </si>
  <si>
    <t xml:space="preserve">PPH 21 </t>
  </si>
  <si>
    <t>PPH 21</t>
  </si>
  <si>
    <t>26</t>
  </si>
  <si>
    <t>27</t>
  </si>
  <si>
    <t>28</t>
  </si>
  <si>
    <t>29</t>
  </si>
  <si>
    <t>30</t>
  </si>
  <si>
    <t>31</t>
  </si>
  <si>
    <t>PREMI KONTANAN</t>
  </si>
  <si>
    <t>PENGHASILAN LAIN</t>
  </si>
  <si>
    <t>ELDI</t>
  </si>
  <si>
    <t>Diperiksa oleh,</t>
  </si>
  <si>
    <t xml:space="preserve">SARINA </t>
  </si>
  <si>
    <t>NELLY MARLINA</t>
  </si>
  <si>
    <t>IISNAWATI</t>
  </si>
  <si>
    <t>DEWI KOMALASARI</t>
  </si>
  <si>
    <t>KUSMIATI</t>
  </si>
  <si>
    <t>YUSNI</t>
  </si>
  <si>
    <t>RODIATI</t>
  </si>
  <si>
    <t>ERNAWATI</t>
  </si>
  <si>
    <t>SUNITA</t>
  </si>
  <si>
    <t>MAMAN</t>
  </si>
  <si>
    <t>SAZELA</t>
  </si>
  <si>
    <t>AGUSTINI</t>
  </si>
  <si>
    <t>DEVI NATALIA</t>
  </si>
  <si>
    <t>HERLINDA</t>
  </si>
  <si>
    <t>ASERI</t>
  </si>
  <si>
    <t>H0092</t>
  </si>
  <si>
    <t>H0080</t>
  </si>
  <si>
    <t>H0088</t>
  </si>
  <si>
    <t>H0091</t>
  </si>
  <si>
    <t>H0095</t>
  </si>
  <si>
    <t>H0096</t>
  </si>
  <si>
    <t>H0099</t>
  </si>
  <si>
    <t>H0100</t>
  </si>
  <si>
    <t>H0101</t>
  </si>
  <si>
    <t>H0103</t>
  </si>
  <si>
    <t>H0105</t>
  </si>
  <si>
    <t>H0108</t>
  </si>
  <si>
    <t>H0109</t>
  </si>
  <si>
    <t>H0159</t>
  </si>
  <si>
    <t>H0019</t>
  </si>
  <si>
    <t>H0018</t>
  </si>
  <si>
    <t>H0017</t>
  </si>
  <si>
    <t>H0042</t>
  </si>
  <si>
    <t>Field Conductor ARE B2</t>
  </si>
  <si>
    <t>Asst. Manager ARE B2</t>
  </si>
  <si>
    <t>ROZI SUSANTO</t>
  </si>
  <si>
    <t xml:space="preserve">ADI SUSANTO </t>
  </si>
  <si>
    <t xml:space="preserve">JUMIN </t>
  </si>
  <si>
    <t xml:space="preserve">MARSUDI </t>
  </si>
  <si>
    <t>SAHRUL</t>
  </si>
  <si>
    <t>HENDRI SUSILO</t>
  </si>
  <si>
    <t>HERMANSYAH</t>
  </si>
  <si>
    <t>ARDIANSYAH PUTERA</t>
  </si>
  <si>
    <t>H0110</t>
  </si>
  <si>
    <t>H0130</t>
  </si>
  <si>
    <t>H0123</t>
  </si>
  <si>
    <t>H0121</t>
  </si>
  <si>
    <t>H0202</t>
  </si>
  <si>
    <t>H0200</t>
  </si>
  <si>
    <t>H0117</t>
  </si>
  <si>
    <t>Kerani Divisi ARE B2</t>
  </si>
  <si>
    <t>AIR RUAK B2 UPKEEP ( AIK BANGEK )</t>
  </si>
  <si>
    <t>JUNAIDI</t>
  </si>
  <si>
    <t>DARWIN</t>
  </si>
  <si>
    <t>H0252</t>
  </si>
  <si>
    <t>PT REBINMAS JAYA</t>
  </si>
  <si>
    <t>DAFTAR GAJI KARYAWAN DIVISI ARE B2 ( AIR BANGEK ) KE BANK BRI</t>
  </si>
  <si>
    <t>NO</t>
  </si>
  <si>
    <t>BRI CAB. TANJUNG PANDAN</t>
  </si>
  <si>
    <t>013101020973507</t>
  </si>
  <si>
    <t>013101021143503</t>
  </si>
  <si>
    <t>013101020943502</t>
  </si>
  <si>
    <t>013101023595502</t>
  </si>
  <si>
    <t>013101020687504</t>
  </si>
  <si>
    <t>013101021053504</t>
  </si>
  <si>
    <t>013101020968502</t>
  </si>
  <si>
    <t>013101011803537</t>
  </si>
  <si>
    <t>013101021131506</t>
  </si>
  <si>
    <t>013101024443504</t>
  </si>
  <si>
    <t>013101021063509</t>
  </si>
  <si>
    <t>013101020641508</t>
  </si>
  <si>
    <t>013101020644506</t>
  </si>
  <si>
    <t>013101030794503</t>
  </si>
  <si>
    <t>013101021137502</t>
  </si>
  <si>
    <t>013101020609506</t>
  </si>
  <si>
    <t>013101020607504</t>
  </si>
  <si>
    <t>013101020688500</t>
  </si>
  <si>
    <t>013101020724500</t>
  </si>
  <si>
    <t>013101028453501</t>
  </si>
  <si>
    <t>013101026839507</t>
  </si>
  <si>
    <t>013101023076508</t>
  </si>
  <si>
    <t>013101021147507</t>
  </si>
  <si>
    <t>013101026824502</t>
  </si>
  <si>
    <t xml:space="preserve">Dibuat oleh, </t>
  </si>
  <si>
    <t>ERLANDI EDI SUYANTO</t>
  </si>
  <si>
    <t>H0093</t>
  </si>
  <si>
    <t>SUPRIYANI</t>
  </si>
  <si>
    <t>BLOCK</t>
  </si>
  <si>
    <t>RP</t>
  </si>
  <si>
    <t>CUTI TAHUN</t>
  </si>
  <si>
    <t>K/1</t>
  </si>
  <si>
    <t>K/2</t>
  </si>
  <si>
    <t>Supriyani</t>
  </si>
  <si>
    <t>ANDRISTIO 
BUDIMAN</t>
  </si>
  <si>
    <t>AIR RUAK B.2 AIR BANGEK ( TRANSPORT )</t>
  </si>
  <si>
    <t>H0025</t>
  </si>
  <si>
    <t>BADIK BAGUS 
PRIBADI</t>
  </si>
  <si>
    <t>HENDRI</t>
  </si>
  <si>
    <t>H0277</t>
  </si>
  <si>
    <t>013101025475504</t>
  </si>
  <si>
    <t>013101029720503</t>
  </si>
  <si>
    <t xml:space="preserve">CUCI UNIT </t>
  </si>
  <si>
    <t>Nurhuda Bima Sakti</t>
  </si>
  <si>
    <t>013101023605501</t>
  </si>
  <si>
    <t>013101020747508</t>
  </si>
  <si>
    <t>013101035282501</t>
  </si>
  <si>
    <t>013101035281505</t>
  </si>
  <si>
    <t>Kerani Divisi</t>
  </si>
  <si>
    <t>SANUSI ( ROYANI )</t>
  </si>
  <si>
    <t>POTONGAN ALAT PANEN</t>
  </si>
  <si>
    <t>H0020</t>
  </si>
  <si>
    <t>ANSITA</t>
  </si>
  <si>
    <t>013101021050506</t>
  </si>
  <si>
    <t xml:space="preserve"> </t>
  </si>
  <si>
    <t>POTONGAN PINJAMAN UANG</t>
  </si>
  <si>
    <t>H0219</t>
  </si>
  <si>
    <t>H0220</t>
  </si>
  <si>
    <t>PREMI BLOWER</t>
  </si>
  <si>
    <t>H0064</t>
  </si>
  <si>
    <t xml:space="preserve">CANDRA WIJAYA </t>
  </si>
  <si>
    <t>013101040574503</t>
  </si>
  <si>
    <t>HENNI FRIANTI</t>
  </si>
  <si>
    <t>H0317</t>
  </si>
  <si>
    <t>SURIANTO</t>
  </si>
  <si>
    <t>013101041337506</t>
  </si>
  <si>
    <t>SANUSI (ROYANI)</t>
  </si>
  <si>
    <t>013101042097507</t>
  </si>
  <si>
    <t xml:space="preserve">AMOUNT </t>
  </si>
  <si>
    <t>013101042423504</t>
  </si>
  <si>
    <t>ITEM</t>
  </si>
  <si>
    <t>SELISIH</t>
  </si>
  <si>
    <t xml:space="preserve">ABSENSI </t>
  </si>
  <si>
    <t>KARYAWAN UPKEEP AIR BANGEK</t>
  </si>
  <si>
    <t>TANGGAL</t>
  </si>
  <si>
    <t>TOTAL 
HK</t>
  </si>
  <si>
    <t>JUMLAH CUTI/LIBUR</t>
  </si>
  <si>
    <t>SKT</t>
  </si>
  <si>
    <t>MG</t>
  </si>
  <si>
    <t>NAS</t>
  </si>
  <si>
    <t>H/M</t>
  </si>
  <si>
    <t>P2</t>
  </si>
  <si>
    <t>BADIK BAGUS PRIBADI</t>
  </si>
  <si>
    <t>MELAHIRKAN</t>
  </si>
  <si>
    <t>P1</t>
  </si>
  <si>
    <t>P3</t>
  </si>
  <si>
    <t xml:space="preserve">ALPA </t>
  </si>
  <si>
    <t>JAM</t>
  </si>
  <si>
    <t>RP/ JAM</t>
  </si>
  <si>
    <t>TOTAL :</t>
  </si>
  <si>
    <t>AFRIWANTONI</t>
  </si>
  <si>
    <t>CANDRA WIJAYA</t>
  </si>
  <si>
    <t>GRAND TOTAL :</t>
  </si>
  <si>
    <t>LEMBUR UPKEEP</t>
  </si>
  <si>
    <t>LEMBUR TRASPORTASI</t>
  </si>
  <si>
    <t>AIR RUAK ESTATE B2</t>
  </si>
  <si>
    <t>MONITORING HASIL PANEN</t>
  </si>
  <si>
    <t>T A N G G A L</t>
  </si>
  <si>
    <t>HARGA PREMI</t>
  </si>
  <si>
    <t>TOTAL PREMI</t>
  </si>
  <si>
    <t>BASIC</t>
  </si>
  <si>
    <t>CUTI IZIN P1</t>
  </si>
  <si>
    <t>CUTI IZIN P2</t>
  </si>
  <si>
    <t>CUTI IZIN P3</t>
  </si>
  <si>
    <t>LEMBUR HARVESTING</t>
  </si>
  <si>
    <t>JEMPUT KARYAWAN</t>
  </si>
  <si>
    <t>DEKAT</t>
  </si>
  <si>
    <t>SEDANG</t>
  </si>
  <si>
    <t>JAUH</t>
  </si>
  <si>
    <t>TR.77</t>
  </si>
  <si>
    <t>ARDIANSYAH PUTRA</t>
  </si>
  <si>
    <t>PREMI BAG</t>
  </si>
  <si>
    <t>IFES</t>
  </si>
  <si>
    <t>TOTAL LEMBUR</t>
  </si>
  <si>
    <t>Baharu Lumban Toruan</t>
  </si>
  <si>
    <t>selisih</t>
  </si>
  <si>
    <t>JUMADIL AWAL</t>
  </si>
  <si>
    <t>H0402</t>
  </si>
  <si>
    <t>PREMI JAGA GENSET</t>
  </si>
  <si>
    <t>013101046760500</t>
  </si>
  <si>
    <t>SELISH</t>
  </si>
  <si>
    <t>ANCAK</t>
  </si>
  <si>
    <t>SURANTO</t>
  </si>
  <si>
    <t>H0408</t>
  </si>
  <si>
    <t>PAYROOL</t>
  </si>
  <si>
    <t>JJG IFES</t>
  </si>
  <si>
    <t>JUMLAH HK</t>
  </si>
  <si>
    <t>BJR</t>
  </si>
  <si>
    <t>INVCENTIVE 
PANEN</t>
  </si>
  <si>
    <t>BATUK ARE B1</t>
  </si>
  <si>
    <t>NAMA PEMANEN</t>
  </si>
  <si>
    <t>013101047801503</t>
  </si>
  <si>
    <t>TON</t>
  </si>
  <si>
    <t>JJG</t>
  </si>
  <si>
    <t>ARE B2 (AIR BANGEK)</t>
  </si>
  <si>
    <t>PANEN</t>
  </si>
  <si>
    <t>KET</t>
  </si>
  <si>
    <t>DAFTAR PREMI INSENTIVE PANEN ARE B2 (AIR BANGEK)</t>
  </si>
  <si>
    <t>( 0.00 S/D 10.00 )
( I  )</t>
  </si>
  <si>
    <t>JARAK
 ( 10.01 - 15.0 )</t>
  </si>
  <si>
    <t>( 10.01 S/D 15.00 )
( II  )</t>
  </si>
  <si>
    <t>JARAK
 ( 15.01 - 20.0 )</t>
  </si>
  <si>
    <t>( &gt; 15.01 )
(  III )</t>
  </si>
  <si>
    <t>JARAK
 ( 20.01 - 25.0 )</t>
  </si>
  <si>
    <t>HARGA</t>
  </si>
  <si>
    <t>PREMI TRANSPORT</t>
  </si>
  <si>
    <t>ANGKUT TBS (TON)</t>
  </si>
  <si>
    <t>ANGKUT PC (TON)</t>
  </si>
  <si>
    <t>ANGKUT TBK (TON)</t>
  </si>
  <si>
    <t xml:space="preserve">UNIT </t>
  </si>
  <si>
    <t>TOTAL PREMI :</t>
  </si>
  <si>
    <t>PREMI ANGKUT TANAH PURU</t>
  </si>
  <si>
    <t>JARAK
 ( 0 - 5.0 )</t>
  </si>
  <si>
    <t>JARAK
 ( &gt;25.0 )</t>
  </si>
  <si>
    <t>JARAK
 (5.01 - 10.0 )</t>
  </si>
  <si>
    <t>CANDRA</t>
  </si>
  <si>
    <t>TOTAL PREMI RETASE :</t>
  </si>
  <si>
    <t>BASIS</t>
  </si>
  <si>
    <t>TOTAL PC + TBK :</t>
  </si>
  <si>
    <t>DT.104</t>
  </si>
  <si>
    <t>PREMI JARAK RETASE
 DEKAT</t>
  </si>
  <si>
    <t>TOTAL PREMI BAG + KARYAWAN :</t>
  </si>
  <si>
    <t>GRAND TOTAL PC + TBK :</t>
  </si>
  <si>
    <t>GRAND TOTAL PREMI TBS :</t>
  </si>
  <si>
    <t>PREMI RETASE 
DEKAT</t>
  </si>
  <si>
    <t>PREMI JARAK
DEKAT</t>
  </si>
  <si>
    <t>PREMI JARAK 
DEKAT</t>
  </si>
  <si>
    <t xml:space="preserve">CANDRA 
WIJAYA </t>
  </si>
  <si>
    <t>DEVI 
NATALIA</t>
  </si>
  <si>
    <t>AIR RUAK AIR BANGEK ( HARVESTING ) BHL</t>
  </si>
  <si>
    <t>KARYAWAN PANEN BHT AIR BANGEK</t>
  </si>
  <si>
    <t>KARYAWAN PANEN BHL AIR BANGEK</t>
  </si>
  <si>
    <t>TOTAL IFES :</t>
  </si>
  <si>
    <t>TOTAL HK BHT+ BHL :</t>
  </si>
  <si>
    <t>SELISISH :</t>
  </si>
  <si>
    <t>AIR RUAK AIR BANGEK ( HARVESTING ) BHT</t>
  </si>
  <si>
    <t>BRONDOL IFES ARE AK BANTU</t>
  </si>
  <si>
    <t>H0330</t>
  </si>
  <si>
    <t>H0126</t>
  </si>
  <si>
    <t>NASRUDIN (INAK DENI)</t>
  </si>
  <si>
    <t>NASRUDIN (SAHNUN)</t>
  </si>
  <si>
    <t>HK DI ARE B1 :</t>
  </si>
  <si>
    <t>JANJANG IFES BANTU ARE B1</t>
  </si>
  <si>
    <t>ARE B1</t>
  </si>
  <si>
    <t>- BHT/BHL Rp. 121.333,33</t>
  </si>
  <si>
    <t>013101049569505</t>
  </si>
  <si>
    <t>SUDIRMAN</t>
  </si>
  <si>
    <t>HERMANSAH</t>
  </si>
  <si>
    <t>IZIN 
P1</t>
  </si>
  <si>
    <t>IZIN
P2</t>
  </si>
  <si>
    <t>IZIN
P3</t>
  </si>
  <si>
    <t>H0446</t>
  </si>
  <si>
    <t>Masa Kerja</t>
  </si>
  <si>
    <t>UPAH POKOK</t>
  </si>
  <si>
    <t>TOTAL ALPA+CTH</t>
  </si>
  <si>
    <t>KLEM TIKET</t>
  </si>
  <si>
    <t>PREMI ANGKUT TBS</t>
  </si>
  <si>
    <t>TOTAL PREMI RETASE  
PREMI BAG + ANTAR JEMPUT KARYAWAN+ TANAH PURUH:</t>
  </si>
  <si>
    <t>UPAH POKOK -ALPA CTH</t>
  </si>
  <si>
    <t>BANTU C</t>
  </si>
  <si>
    <t>23-09-2019</t>
  </si>
  <si>
    <t>POTONG ALAT PANEN</t>
  </si>
  <si>
    <t>POTONGAN PINJAMAN UANG+ ALAT PANEN</t>
  </si>
  <si>
    <t>013101028450503</t>
  </si>
  <si>
    <t>32</t>
  </si>
  <si>
    <t>33</t>
  </si>
  <si>
    <t>PREMI (BASIS 114)</t>
  </si>
  <si>
    <t>PREMI (BASIS )</t>
  </si>
  <si>
    <t>PREMI JARAK RETASE DEKAT
 DEKAT</t>
  </si>
  <si>
    <t>FAHROZI</t>
  </si>
  <si>
    <t>JAYA KUSUMA</t>
  </si>
  <si>
    <t>JANJANG IFES BANTU ARE c</t>
  </si>
  <si>
    <t xml:space="preserve">MUHAMMAD ALIMUDIN
</t>
  </si>
  <si>
    <t>HK DI ARE C :</t>
  </si>
  <si>
    <t>JUNAIDI ABD JAELANI</t>
  </si>
  <si>
    <t>ASNAWATI</t>
  </si>
  <si>
    <t>HATINAH</t>
  </si>
  <si>
    <t>JUANDI</t>
  </si>
  <si>
    <t>ALI SADIKIN</t>
  </si>
  <si>
    <t xml:space="preserve">HENNI FRIANTI
</t>
  </si>
  <si>
    <t>ANDRISTO BUDIMAN</t>
  </si>
  <si>
    <t>HATINA</t>
  </si>
  <si>
    <t>CANDARA WIJAYA</t>
  </si>
  <si>
    <t>MASA KERJA KARYAWAN</t>
  </si>
  <si>
    <t>Tanggal</t>
  </si>
  <si>
    <t>PERAWATAN</t>
  </si>
  <si>
    <t>No</t>
  </si>
  <si>
    <t>Nama</t>
  </si>
  <si>
    <t>Tgl Masuk</t>
  </si>
  <si>
    <t>TRANSPORT</t>
  </si>
  <si>
    <t>Status</t>
  </si>
  <si>
    <t>013101038467508</t>
  </si>
  <si>
    <t>013101021035506</t>
  </si>
  <si>
    <t>013101023611502</t>
  </si>
  <si>
    <t>013101020976505</t>
  </si>
  <si>
    <t>H0453</t>
  </si>
  <si>
    <t>H0455</t>
  </si>
  <si>
    <t>AFRIWATONI</t>
  </si>
  <si>
    <t>10-06-2015</t>
  </si>
  <si>
    <t>08-12-2014</t>
  </si>
  <si>
    <t>01-06-2015</t>
  </si>
  <si>
    <t>01-04-2013</t>
  </si>
  <si>
    <t>11-05-2023</t>
  </si>
  <si>
    <t xml:space="preserve">PANEN BHT </t>
  </si>
  <si>
    <t>013101050510507</t>
  </si>
  <si>
    <t>LALU HERI 
ISKANDAR</t>
  </si>
  <si>
    <t>013101050914507</t>
  </si>
  <si>
    <t>013101050910503</t>
  </si>
  <si>
    <t>SUHAEMI</t>
  </si>
  <si>
    <t>ZAINAL</t>
  </si>
  <si>
    <t>Tgl Lahir</t>
  </si>
  <si>
    <t>Umur</t>
  </si>
  <si>
    <t>Tahun
Kerja</t>
  </si>
  <si>
    <t xml:space="preserve">Rp.Masa Kerja  </t>
  </si>
  <si>
    <t>Rp.Tunjangan 
Beras</t>
  </si>
  <si>
    <t>11/11/1994</t>
  </si>
  <si>
    <t>06/05/1969</t>
  </si>
  <si>
    <t>01/01/1985</t>
  </si>
  <si>
    <t>01-07-1979</t>
  </si>
  <si>
    <t>H0459</t>
  </si>
  <si>
    <t>H0461</t>
  </si>
  <si>
    <t>H0643</t>
  </si>
  <si>
    <t>H0644</t>
  </si>
  <si>
    <t>H0468</t>
  </si>
  <si>
    <t>SELESIH</t>
  </si>
  <si>
    <t>013101050992505</t>
  </si>
  <si>
    <t>01-07-2008</t>
  </si>
  <si>
    <t>02-05-2015</t>
  </si>
  <si>
    <t>11-07-2017</t>
  </si>
  <si>
    <t>01-03-2015</t>
  </si>
  <si>
    <t>04-08-2008</t>
  </si>
  <si>
    <t>01-08-2008</t>
  </si>
  <si>
    <t>01-04-2008</t>
  </si>
  <si>
    <t>01-09-2008</t>
  </si>
  <si>
    <t>01-01-2009</t>
  </si>
  <si>
    <t>01-11-2008</t>
  </si>
  <si>
    <t>02-10-2009</t>
  </si>
  <si>
    <t>01-11-2009</t>
  </si>
  <si>
    <t>KARYADI</t>
  </si>
  <si>
    <t xml:space="preserve">SOLIKAN </t>
  </si>
  <si>
    <t>01-03-2013</t>
  </si>
  <si>
    <t>01-03-2008</t>
  </si>
  <si>
    <t>Tgl
 Masuk</t>
  </si>
  <si>
    <t>01-11-2015</t>
  </si>
  <si>
    <t>HERIYANTO</t>
  </si>
  <si>
    <t xml:space="preserve">SUKIRMAN </t>
  </si>
  <si>
    <t>H0128</t>
  </si>
  <si>
    <t>17-09-2019</t>
  </si>
  <si>
    <t>13-11-2008</t>
  </si>
  <si>
    <t>03-01-2024</t>
  </si>
  <si>
    <t>SOLIKAN</t>
  </si>
  <si>
    <t>H0033</t>
  </si>
  <si>
    <t>H0183</t>
  </si>
  <si>
    <t>ERLANDI EDI 
SUYANTO</t>
  </si>
  <si>
    <t>013101021118508</t>
  </si>
  <si>
    <t xml:space="preserve">KARYADI </t>
  </si>
  <si>
    <t>013101023601507</t>
  </si>
  <si>
    <t>013101025762503</t>
  </si>
  <si>
    <t>ANTAR JEMPUT KARYAWAN</t>
  </si>
  <si>
    <t>ANGKUT PURU</t>
  </si>
  <si>
    <t>PREMI RETASE</t>
  </si>
  <si>
    <t>ANGKUT/PC/TBK/ MUAT PUPUK</t>
  </si>
  <si>
    <t>ANGKUTBIBIT</t>
  </si>
  <si>
    <t>BANTUK C3</t>
  </si>
  <si>
    <t>MUHAMMAD TAHIR</t>
  </si>
  <si>
    <t>RIPA'I</t>
  </si>
  <si>
    <t>YOSRI</t>
  </si>
  <si>
    <t>H0472</t>
  </si>
  <si>
    <t>ADI SUSANTO</t>
  </si>
  <si>
    <t>TATO</t>
  </si>
  <si>
    <t>H0474</t>
  </si>
  <si>
    <t xml:space="preserve">MISBLOWER </t>
  </si>
  <si>
    <t>BANTUK ARE B1 TIMUR</t>
  </si>
  <si>
    <t>AIR RUAK ESTATE B2 AIR BANGEK</t>
  </si>
  <si>
    <t>AGUS SURYADI</t>
  </si>
  <si>
    <t>H0476</t>
  </si>
  <si>
    <t>DEWI 
KOMALASARI</t>
  </si>
  <si>
    <t>013101051246509</t>
  </si>
  <si>
    <t>013101051364501</t>
  </si>
  <si>
    <t>HELMIADI</t>
  </si>
  <si>
    <t>HELMIYADI</t>
  </si>
  <si>
    <t>H0484</t>
  </si>
  <si>
    <t>WORKERNAME</t>
  </si>
  <si>
    <t>FITRIANI ( ASMINI )</t>
  </si>
  <si>
    <t>SARDEWI ( SOHATI )</t>
  </si>
  <si>
    <t>SUDIN ( SAMSINA )</t>
  </si>
  <si>
    <t>SUANDI (ZAUNA)</t>
  </si>
  <si>
    <t>HAMID ( SUWIYAH )</t>
  </si>
  <si>
    <t>HERI WIJAYA ( SUNIATI )</t>
  </si>
  <si>
    <t>AZAMZUKRI (Inaq Ripa'i)</t>
  </si>
  <si>
    <t>RUHIN ( Inaq Rohon )</t>
  </si>
  <si>
    <t>SABIRIN (Sahnun)</t>
  </si>
  <si>
    <t>PARDI (SIPON)</t>
  </si>
  <si>
    <t>SANDRA ( SUNAINI )</t>
  </si>
  <si>
    <t>LALU MUH. YUSUF (Baiq Saklah)</t>
  </si>
  <si>
    <t>ARMANTO ( BAKDIA )</t>
  </si>
  <si>
    <t>JAYA HARJO ( REBIA )</t>
  </si>
  <si>
    <t>ATENG ( JANA )</t>
  </si>
  <si>
    <t>SAIRIN ( HANIA )</t>
  </si>
  <si>
    <t>DIRAL IBNU MALIK ( HENNI SUTIANA )</t>
  </si>
  <si>
    <t>RIO ( APNA )</t>
  </si>
  <si>
    <t>SUPRIYANI ( SUMIATI )</t>
  </si>
  <si>
    <t>HENDRI ( UNAYAH )</t>
  </si>
  <si>
    <t>HELMIADI ( HAYATI )</t>
  </si>
  <si>
    <t>JOHAN  ( JEMA )</t>
  </si>
  <si>
    <t>ANDRI ( Zaliha )</t>
  </si>
  <si>
    <t>JAMIL JAPAR ( SETINA )</t>
  </si>
  <si>
    <t>RIDUAN ( JUMIATI )</t>
  </si>
  <si>
    <t>SUSANTO ( ROSDIARTI )</t>
  </si>
  <si>
    <t>HERAWATI ( HAREMI )</t>
  </si>
  <si>
    <t>OKTOYO SAHRIAL ( ZANIA )</t>
  </si>
  <si>
    <t>MELLY (  SAILAN )</t>
  </si>
  <si>
    <t>MULYADI ( SUTINI )</t>
  </si>
  <si>
    <t>SARINA ( WATI )</t>
  </si>
  <si>
    <t>JUNAIDA ( SERIMA )</t>
  </si>
  <si>
    <t>ASNIAR ( ROSNI )</t>
  </si>
  <si>
    <t>KUSMIATI ( ROSINI )</t>
  </si>
  <si>
    <t>SAZELA ( MASTINA )</t>
  </si>
  <si>
    <t>DEVI NATALIA ( ZAHIA )</t>
  </si>
  <si>
    <t>AGUSTINI ( HAMIMA )</t>
  </si>
  <si>
    <t>ADI SUSANTO ( ROHIDA )</t>
  </si>
  <si>
    <t>HERIYANTO ( SENUNI )</t>
  </si>
  <si>
    <t>DEWI KOMALASARI ( MORHANI )</t>
  </si>
  <si>
    <t>ANSITA ( SUMIATI )</t>
  </si>
  <si>
    <t>NELLY MARLINA ( HAZENA )</t>
  </si>
  <si>
    <t>HERLINDA ( MORHANA )</t>
  </si>
  <si>
    <t>ERNAWATI ( MARINI )</t>
  </si>
  <si>
    <t>SUSIYAH ( JAHINA )</t>
  </si>
  <si>
    <t>ASNAWATI ( JERIMA )</t>
  </si>
  <si>
    <t>SURYANI ( HAMIA )</t>
  </si>
  <si>
    <t>HENNI FRIANTI ( BASNATI )</t>
  </si>
  <si>
    <t>ALI SADIKIN ( RAHMA )</t>
  </si>
  <si>
    <t>AFRIWANTONI ( Yusna Yetti )</t>
  </si>
  <si>
    <t>ROZI SUSANTO ( SARMINAH )</t>
  </si>
  <si>
    <t>JAYA KUSUMA (Masi'ah)</t>
  </si>
  <si>
    <t>HERMANSYAH ( SINARAH )</t>
  </si>
  <si>
    <t>MUHAMMAD TAHIR (Sahmin)</t>
  </si>
  <si>
    <t>SUDIRMAN (Inaq Muhibin)</t>
  </si>
  <si>
    <t>NASRUDIN (Sahnun)</t>
  </si>
  <si>
    <t>AGUS SURYADI (HAINI)</t>
  </si>
  <si>
    <t>ZAINAL (Mahnun)</t>
  </si>
  <si>
    <t>JUMADIL AWAL (Diasih)</t>
  </si>
  <si>
    <t>NASRUDIN (Inak Deni)</t>
  </si>
  <si>
    <t>LALU HERI ISKANDAR (Sri Harwati)</t>
  </si>
  <si>
    <t>DARWIN ( MARYATI )</t>
  </si>
  <si>
    <t>CANDRA WIJAYA ( SUYATI )</t>
  </si>
  <si>
    <t>ELDI ( USPIA )</t>
  </si>
  <si>
    <t>DODI (Sapia)</t>
  </si>
  <si>
    <t>IWAN ADINATA (Suniati)</t>
  </si>
  <si>
    <t>SUNITA ( SAIMI )</t>
  </si>
  <si>
    <t>JANJANG IFES AK BANTU B1</t>
  </si>
  <si>
    <t>DIBANTUK 
AK</t>
  </si>
  <si>
    <t>BANTU 
B1</t>
  </si>
  <si>
    <t>Askep ARE B2</t>
  </si>
  <si>
    <t xml:space="preserve">Diketahui, </t>
  </si>
  <si>
    <t>ALMAN</t>
  </si>
  <si>
    <t>AHMAD KHOTIM ( Misriyah )</t>
  </si>
  <si>
    <t>ANGKUT TBK (TON) C</t>
  </si>
  <si>
    <t>013101051428509</t>
  </si>
  <si>
    <t xml:space="preserve">Askep ARE  B2 </t>
  </si>
  <si>
    <t xml:space="preserve">RIO </t>
  </si>
  <si>
    <t>DASRI</t>
  </si>
  <si>
    <t>RIO</t>
  </si>
  <si>
    <t>DT.128</t>
  </si>
  <si>
    <t>Bulan
Kerja</t>
  </si>
  <si>
    <t>17-7-2023</t>
  </si>
  <si>
    <t>013101020720506</t>
  </si>
  <si>
    <t>013101023073500</t>
  </si>
  <si>
    <t xml:space="preserve">POKOK </t>
  </si>
  <si>
    <t>SANUSI</t>
  </si>
  <si>
    <t>KUSMIAT</t>
  </si>
  <si>
    <t>ANGKUT PC (TON) ARE C</t>
  </si>
  <si>
    <t>PREMI TABUR PUPUK</t>
  </si>
  <si>
    <t>013101051582507</t>
  </si>
  <si>
    <t>INSENTIVE 
PREMI</t>
  </si>
  <si>
    <t>TOTAL 
TON</t>
  </si>
  <si>
    <t>Diketahui Oleh,</t>
  </si>
  <si>
    <t>LALU HERI ISKANDAR</t>
  </si>
  <si>
    <t>PREMI PANEN</t>
  </si>
  <si>
    <t>BERONDOL</t>
  </si>
  <si>
    <t>ROSYIDIN (SAHRI)</t>
  </si>
  <si>
    <t>ARE C2</t>
  </si>
  <si>
    <t>BANTU
ARE B1 TIMUR</t>
  </si>
  <si>
    <t>TOTAL BAG 25+20</t>
  </si>
  <si>
    <t>H0488</t>
  </si>
  <si>
    <t xml:space="preserve">Senior Manager </t>
  </si>
  <si>
    <t>Chandra Dinata Pribadi</t>
  </si>
  <si>
    <t>Senior Manager ARE</t>
  </si>
  <si>
    <t>GAJI MANUAL</t>
  </si>
  <si>
    <t>REKONSILIASI GAJI MANUAL DENGAN PLANTWARE</t>
  </si>
  <si>
    <t>CODE</t>
  </si>
  <si>
    <t>GAJI PLANTWARE</t>
  </si>
  <si>
    <t>URAIAN</t>
  </si>
  <si>
    <t>TOTAL SELISIH</t>
  </si>
  <si>
    <t>OT</t>
  </si>
  <si>
    <t xml:space="preserve">BPJS </t>
  </si>
  <si>
    <t>Manual</t>
  </si>
  <si>
    <t>Plantware</t>
  </si>
  <si>
    <t>(+/-)</t>
  </si>
  <si>
    <t>BAGIAN : OPERATOR &amp; HELPER</t>
  </si>
  <si>
    <t xml:space="preserve">BAGIAN : MAINTENANCE </t>
  </si>
  <si>
    <t>BAGIAN : HARVESTING</t>
  </si>
  <si>
    <t>BAGIAN : HARVESTING  BHL</t>
  </si>
  <si>
    <t>DIVISI AIR BANGEK</t>
  </si>
  <si>
    <t>H0489</t>
  </si>
  <si>
    <t>H0490</t>
  </si>
  <si>
    <r>
      <t xml:space="preserve">INSENTIVE </t>
    </r>
    <r>
      <rPr>
        <sz val="10"/>
        <color rgb="FFFF0000"/>
        <rFont val="Calibri"/>
        <family val="2"/>
      </rPr>
      <t>→</t>
    </r>
    <r>
      <rPr>
        <sz val="10"/>
        <color rgb="FFFF0000"/>
        <rFont val="Cambria"/>
        <family val="1"/>
      </rPr>
      <t xml:space="preserve"> 25,00-30,00 TON : Rp 150.000,-</t>
    </r>
  </si>
  <si>
    <r>
      <t xml:space="preserve">INSENTIVE </t>
    </r>
    <r>
      <rPr>
        <sz val="10"/>
        <color rgb="FFFF0000"/>
        <rFont val="Calibri"/>
        <family val="2"/>
      </rPr>
      <t>→</t>
    </r>
    <r>
      <rPr>
        <sz val="10"/>
        <color rgb="FFFF0000"/>
        <rFont val="Cambria"/>
        <family val="1"/>
      </rPr>
      <t xml:space="preserve"> 30,01-45,00 TON : Rp 300.000,-</t>
    </r>
  </si>
  <si>
    <r>
      <t xml:space="preserve">INSENTIVE </t>
    </r>
    <r>
      <rPr>
        <sz val="10"/>
        <color rgb="FFFF0000"/>
        <rFont val="Calibri"/>
        <family val="2"/>
      </rPr>
      <t>→</t>
    </r>
    <r>
      <rPr>
        <sz val="10"/>
        <color rgb="FFFF0000"/>
        <rFont val="Cambria"/>
        <family val="1"/>
      </rPr>
      <t xml:space="preserve"> 45,01-55,00 TON : Rp 750.000,-</t>
    </r>
  </si>
  <si>
    <r>
      <t xml:space="preserve">INSENTIVE </t>
    </r>
    <r>
      <rPr>
        <sz val="10"/>
        <color rgb="FFFF0000"/>
        <rFont val="Calibri"/>
        <family val="2"/>
      </rPr>
      <t>→</t>
    </r>
    <r>
      <rPr>
        <sz val="10"/>
        <color rgb="FFFF0000"/>
        <rFont val="Cambria"/>
        <family val="1"/>
      </rPr>
      <t xml:space="preserve"> 55,01-65,00 TON : Rp 950.000,-</t>
    </r>
  </si>
  <si>
    <t>FATAHIYANSYAH ( NYI ONIH )</t>
  </si>
  <si>
    <t>KASNA ( SAIDA )</t>
  </si>
  <si>
    <t>RODIATI ( SERINI )</t>
  </si>
  <si>
    <t>BADIK BAGUS PRIBADI ( NINUK )</t>
  </si>
  <si>
    <t>SUHARDI ( SAINAP )</t>
  </si>
  <si>
    <t>ERLANDI EDI SUYANTO ( ASMA )</t>
  </si>
  <si>
    <t>IRHAM ( DIANA )</t>
  </si>
  <si>
    <t>JUNAIDI ( SITI )</t>
  </si>
  <si>
    <t>RHIZA KURNIA ( LISDA )</t>
  </si>
  <si>
    <t>NUR AHMAD JAENURI, S.Pd</t>
  </si>
  <si>
    <t>43</t>
  </si>
  <si>
    <r>
      <t xml:space="preserve">INSENTIVE </t>
    </r>
    <r>
      <rPr>
        <sz val="10"/>
        <color rgb="FFFF0000"/>
        <rFont val="Calibri"/>
        <family val="2"/>
      </rPr>
      <t>→</t>
    </r>
    <r>
      <rPr>
        <sz val="10"/>
        <color rgb="FFFF0000"/>
        <rFont val="Cambria"/>
        <family val="1"/>
      </rPr>
      <t xml:space="preserve"> 65,01-75 TON : Rp1.150.000</t>
    </r>
  </si>
  <si>
    <t>Fedian Syahfutra</t>
  </si>
  <si>
    <t>Manager ARE A/ B1/B2</t>
  </si>
  <si>
    <t>Disetujui Oleh,</t>
  </si>
  <si>
    <t>tunjang beras-penghasilan lain</t>
  </si>
  <si>
    <t>Astek Ins (0,84%)</t>
  </si>
  <si>
    <t xml:space="preserve">Astek Ins (0,84%)+ majikan </t>
  </si>
  <si>
    <t>RHIZA KURNIA</t>
  </si>
  <si>
    <t>YUSNI ( ZAINA )</t>
  </si>
  <si>
    <t>ANDRISTIO BUDIMAN ( ISMUNIAR )</t>
  </si>
  <si>
    <t>RIMA MELATI ( SERAWATI )</t>
  </si>
  <si>
    <t>MAMAN ( JUMIATI )</t>
  </si>
  <si>
    <t>SAHRUL (ZAINA)</t>
  </si>
  <si>
    <t>DARLIANA ( SAUDAH )</t>
  </si>
  <si>
    <t>HENDRI SUSILO ( PARTINI )</t>
  </si>
  <si>
    <t>ALMAN ( Inaq Alman )</t>
  </si>
  <si>
    <t>03/11/2009</t>
  </si>
  <si>
    <t>TIOPAN LEONARDO SIHOMBING ( ELITA SIHITE )</t>
  </si>
  <si>
    <t>H0272</t>
  </si>
  <si>
    <t>013101020430509</t>
  </si>
  <si>
    <t>BADIK</t>
  </si>
  <si>
    <t>PREMI (BASIS 90)</t>
  </si>
  <si>
    <t>PREMI (BASIS 154)</t>
  </si>
  <si>
    <t>KAKHOLIK</t>
  </si>
  <si>
    <t>ITA</t>
  </si>
  <si>
    <t>SUPRIYONO</t>
  </si>
  <si>
    <t>HERI SUTANTO</t>
  </si>
  <si>
    <t>TGL MASUK KERJA</t>
  </si>
  <si>
    <t>FIKRI (SUHAINI)</t>
  </si>
  <si>
    <t>HERI SUTANTO (MUSRI)</t>
  </si>
  <si>
    <t>SUPRIYONO (TURAH)</t>
  </si>
  <si>
    <t>Ferdian Syahfutra</t>
  </si>
  <si>
    <t>Estate Manger ARE A/B/B2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</si>
  <si>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</si>
  <si>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</si>
  <si>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</si>
  <si>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</si>
  <si>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</si>
  <si>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</si>
  <si>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</si>
  <si>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</si>
  <si>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</si>
  <si>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</si>
  <si>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</si>
  <si>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</si>
  <si>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</si>
  <si>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</si>
  <si>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</si>
  <si>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</si>
  <si>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</si>
  <si>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PANEN BHL</t>
  </si>
  <si>
    <t>- BHT/BHL Rp. 129.220</t>
  </si>
  <si>
    <t>TK/0</t>
  </si>
  <si>
    <t>K/0</t>
  </si>
  <si>
    <t>PREMI 25 BAG PUPUK BUAMAX /HIKAY ( 15.000 ) ( 1.5-2 KG )</t>
  </si>
  <si>
    <t>PREMI 20 BAG PUPUK BUAMAX /HIKAY ( 3.000 ) (2.5)</t>
  </si>
  <si>
    <t>DT.142</t>
  </si>
  <si>
    <t xml:space="preserve">25,00-30,00 </t>
  </si>
  <si>
    <t xml:space="preserve"> 30,01-45,00 </t>
  </si>
  <si>
    <t xml:space="preserve"> 45,01-55,00 </t>
  </si>
  <si>
    <t xml:space="preserve"> 55,01-65,00</t>
  </si>
  <si>
    <t xml:space="preserve">65,01-75 TON </t>
  </si>
  <si>
    <t>RANK</t>
  </si>
  <si>
    <t>RUMUS</t>
  </si>
  <si>
    <t>PREMI</t>
  </si>
  <si>
    <t>DIVISI ESTATE B2</t>
  </si>
  <si>
    <t>AWALUDIN (INUN)</t>
  </si>
  <si>
    <t>AWALUDIN</t>
  </si>
  <si>
    <t>PAUZIWADI (SAHNUN)</t>
  </si>
  <si>
    <t>AHYAR RASIDI (NURHAENI)</t>
  </si>
  <si>
    <t>AHYAR RASIDI</t>
  </si>
  <si>
    <t>PAUZIWADI</t>
  </si>
  <si>
    <t>TIKET POTONG GAJI</t>
  </si>
  <si>
    <t>MASYUDI (NERISA)</t>
  </si>
  <si>
    <t>BATUK ARE A</t>
  </si>
  <si>
    <t>HK BANTUK A</t>
  </si>
  <si>
    <t>42</t>
  </si>
  <si>
    <t>H0502</t>
  </si>
  <si>
    <t>H0501</t>
  </si>
  <si>
    <t>H0497</t>
  </si>
  <si>
    <t>H0498</t>
  </si>
  <si>
    <t>H0499</t>
  </si>
  <si>
    <t>K/3</t>
  </si>
  <si>
    <t>013101052329504</t>
  </si>
  <si>
    <t>013101052343508</t>
  </si>
  <si>
    <t>TK/1</t>
  </si>
  <si>
    <t>TK/2</t>
  </si>
  <si>
    <t>FEB'25</t>
  </si>
  <si>
    <t>MAR'24</t>
  </si>
  <si>
    <t>SAMSUL WIRO (SAENAH)</t>
  </si>
  <si>
    <t>JAGA 
GENSET</t>
  </si>
  <si>
    <t>SURIANTO ( INAQ CARACATIH )</t>
  </si>
  <si>
    <t>FIRMAN SYAH (MASLAH)</t>
  </si>
  <si>
    <t>MUHAMAD YUSUF (JEMUR)</t>
  </si>
  <si>
    <t>013101052419503</t>
  </si>
  <si>
    <t>013101052421500</t>
  </si>
  <si>
    <t>013101052420504</t>
  </si>
  <si>
    <t>PREMI PANEN + INCENTIC</t>
  </si>
  <si>
    <t>LEBIH BAYAR PAJAK THR</t>
  </si>
  <si>
    <t>LEBIH POTONG PAJAK THR</t>
  </si>
  <si>
    <t>PREMI (BASIS 103)</t>
  </si>
  <si>
    <t>IISNAWATI ( CIAH )</t>
  </si>
  <si>
    <t>ASERI ( LAHAMI )</t>
  </si>
  <si>
    <t>JUANDI ( PINA )</t>
  </si>
  <si>
    <t>SARINA ( SRIYATI )</t>
  </si>
  <si>
    <t>BUDI HARTONO ( MARNIATI )</t>
  </si>
  <si>
    <t>ARDIANSYAH PUTERA ( RODIAH )</t>
  </si>
  <si>
    <t>DASRI ( MAIPIA )</t>
  </si>
  <si>
    <t>TATO (MINTEN)</t>
  </si>
  <si>
    <t>JUMIN</t>
  </si>
  <si>
    <t>SURYATIN ( HANIAH )</t>
  </si>
  <si>
    <t>SALI   ( SAMSIAH  )</t>
  </si>
  <si>
    <t>HATINAH ( MAHINEM )</t>
  </si>
  <si>
    <t>KARYADI ( PONDOK )</t>
  </si>
  <si>
    <t>SOLIKAN ( TUPON )</t>
  </si>
  <si>
    <t>KARWONO ( KAPIR )</t>
  </si>
  <si>
    <t>SUHARDI (Nahrun)</t>
  </si>
  <si>
    <t>SUPARDI ( Inaq Zulpikri )</t>
  </si>
  <si>
    <t>JOANDI (Indri)</t>
  </si>
  <si>
    <t>P0807</t>
  </si>
  <si>
    <t>LALU AHMAD SANUSI (Inaq Siti Aisah)</t>
  </si>
  <si>
    <t>LALU BAYAN KARYADI ( BAIQ MAHNEP )</t>
  </si>
  <si>
    <t xml:space="preserve">PANEN HARI MINGGU
 HARI MINGGU
</t>
  </si>
  <si>
    <t>JUMIRAN ( JAURA )</t>
  </si>
  <si>
    <t>NASRUDIN ( INAN DENI )</t>
  </si>
  <si>
    <t>LALU HAMDAN (BAIQ NURUL HIDAYATI)</t>
  </si>
  <si>
    <t>AWALUDIN (NIAH)</t>
  </si>
  <si>
    <t>AGUS SATRIAWAN</t>
  </si>
  <si>
    <t>ZAINUL</t>
  </si>
  <si>
    <t>M. EZAN FAHRI</t>
  </si>
  <si>
    <t>TAHARUDIN</t>
  </si>
  <si>
    <t xml:space="preserve">M. EZAN FARIZI </t>
  </si>
  <si>
    <t>AGUS SATRIAWAN (SUMARNI)</t>
  </si>
  <si>
    <t>ZAINUL (SUMARNI)</t>
  </si>
  <si>
    <t>M. EZAN FARIZI (MARLINA)</t>
  </si>
  <si>
    <t>TAHARUDIN (MAHNUN)</t>
  </si>
  <si>
    <t>TONASE</t>
  </si>
  <si>
    <t>KONTANAN</t>
  </si>
  <si>
    <t>TOTAL JJG</t>
  </si>
  <si>
    <t>013101052733509</t>
  </si>
  <si>
    <t>013101052735501</t>
  </si>
  <si>
    <t>013101052736507</t>
  </si>
  <si>
    <t>013101052734505</t>
  </si>
  <si>
    <t>H0513</t>
  </si>
  <si>
    <t>H0512</t>
  </si>
  <si>
    <t>H0511</t>
  </si>
  <si>
    <t>H0510</t>
  </si>
  <si>
    <t>TUNJANGAN TRASPORTASI</t>
  </si>
  <si>
    <t>GAJI PLANWARE</t>
  </si>
  <si>
    <t>013101011983531</t>
  </si>
  <si>
    <t>TOTAL AB+AK+BENGKEL</t>
  </si>
  <si>
    <t>THUMB PRINT
TERBARU</t>
  </si>
  <si>
    <t>BULAN  : MEI 2025</t>
  </si>
  <si>
    <t>HAMDI</t>
  </si>
  <si>
    <t>ANDREAN AGUSTIN HADI</t>
  </si>
  <si>
    <t>SOPIAN HADI</t>
  </si>
  <si>
    <t>CT</t>
  </si>
  <si>
    <t>S</t>
  </si>
  <si>
    <t>H1</t>
  </si>
  <si>
    <t>A</t>
  </si>
  <si>
    <t>ANDEAN AUSTIN HADI</t>
  </si>
  <si>
    <t>HAMDI (NURMAH)</t>
  </si>
  <si>
    <t>ANDREAN AGUSTIN HADI (NAPISAH)</t>
  </si>
  <si>
    <t>SOPIAN HADI (SINARAH)</t>
  </si>
  <si>
    <t>PATRIARKI</t>
  </si>
  <si>
    <t>ANDREAN AUSTIN HADI</t>
  </si>
  <si>
    <t>AWALUDIN ( INUN )</t>
  </si>
  <si>
    <t>P0807
P9801</t>
  </si>
  <si>
    <t>P0808</t>
  </si>
  <si>
    <t>3/10</t>
  </si>
  <si>
    <t>P0811</t>
  </si>
  <si>
    <t>P9802</t>
  </si>
  <si>
    <t xml:space="preserve">P0901
P9803
</t>
  </si>
  <si>
    <t>3/4</t>
  </si>
  <si>
    <t>P0806
P0807</t>
  </si>
  <si>
    <t>P0901
P9802</t>
  </si>
  <si>
    <t>P0806</t>
  </si>
  <si>
    <t>21/22</t>
  </si>
  <si>
    <t>P9803</t>
  </si>
  <si>
    <t>21/25</t>
  </si>
  <si>
    <t>P0901
P0902</t>
  </si>
  <si>
    <t>P0902</t>
  </si>
  <si>
    <t>20/25/16</t>
  </si>
  <si>
    <t>P0806
P0902</t>
  </si>
  <si>
    <t>20/16</t>
  </si>
  <si>
    <t>10/20</t>
  </si>
  <si>
    <t>20/30</t>
  </si>
  <si>
    <t>16/20</t>
  </si>
  <si>
    <t>1/2/4/16/20</t>
  </si>
  <si>
    <t>P0901</t>
  </si>
  <si>
    <t>16/20/2/3</t>
  </si>
  <si>
    <t>16/30</t>
  </si>
  <si>
    <t>P0811
P9802</t>
  </si>
  <si>
    <t>20/15</t>
  </si>
  <si>
    <t>1/6</t>
  </si>
  <si>
    <t>P9802
P9803</t>
  </si>
  <si>
    <t>6/1/20</t>
  </si>
  <si>
    <t>6/1</t>
  </si>
  <si>
    <t>6/9</t>
  </si>
  <si>
    <t>8/7</t>
  </si>
  <si>
    <t>5/7/10/19</t>
  </si>
  <si>
    <t>3/19</t>
  </si>
  <si>
    <t>19/30</t>
  </si>
  <si>
    <t xml:space="preserve">P0807
P0808
P9801
</t>
  </si>
  <si>
    <t>1/19/30</t>
  </si>
  <si>
    <t>19/20</t>
  </si>
  <si>
    <t>7/8</t>
  </si>
  <si>
    <t>P0806
P9802</t>
  </si>
  <si>
    <t>1/2</t>
  </si>
  <si>
    <t>2/1</t>
  </si>
  <si>
    <t>P0808
P9801</t>
  </si>
  <si>
    <t>2/13</t>
  </si>
  <si>
    <t>1/10</t>
  </si>
  <si>
    <t>10/11</t>
  </si>
  <si>
    <t>P0901
P9802
P9803</t>
  </si>
  <si>
    <t>P2001</t>
  </si>
  <si>
    <t>5/7/8/1/2</t>
  </si>
  <si>
    <t>23/24/25</t>
  </si>
  <si>
    <t>7/8/22/23/24</t>
  </si>
  <si>
    <t>P0807
P0808</t>
  </si>
  <si>
    <t>10/9/11</t>
  </si>
  <si>
    <t>13/15</t>
  </si>
  <si>
    <t>14/12/13</t>
  </si>
  <si>
    <t>13/14</t>
  </si>
  <si>
    <t>13/25</t>
  </si>
  <si>
    <t>13/14/1</t>
  </si>
  <si>
    <t>2/13/14</t>
  </si>
  <si>
    <t>1/12</t>
  </si>
  <si>
    <t>12/11</t>
  </si>
  <si>
    <t>1/11/12</t>
  </si>
  <si>
    <t>1/12/13</t>
  </si>
  <si>
    <t>8/18</t>
  </si>
  <si>
    <t>11/12</t>
  </si>
  <si>
    <t>1/8</t>
  </si>
  <si>
    <t>18/25</t>
  </si>
  <si>
    <t>4/5/18</t>
  </si>
  <si>
    <t>18/1</t>
  </si>
  <si>
    <t>P0811
P9800</t>
  </si>
  <si>
    <t>P0807
P0808
P9801</t>
  </si>
  <si>
    <t>29/30</t>
  </si>
  <si>
    <t>25/29/30</t>
  </si>
  <si>
    <t>30/29</t>
  </si>
  <si>
    <t>29/30/27/28</t>
  </si>
  <si>
    <t>27/28</t>
  </si>
  <si>
    <t>28/27</t>
  </si>
  <si>
    <t>28/30</t>
  </si>
  <si>
    <t>P0806
P0901
P0902</t>
  </si>
  <si>
    <t>22/21</t>
  </si>
  <si>
    <t>25/26/27</t>
  </si>
  <si>
    <t>/27/28/25/30</t>
  </si>
  <si>
    <t>27/30</t>
  </si>
  <si>
    <t>P090
P0902</t>
  </si>
  <si>
    <t>27/28/30</t>
  </si>
  <si>
    <t>1/17/18</t>
  </si>
  <si>
    <t>17/25</t>
  </si>
  <si>
    <t>P0811
P9801</t>
  </si>
  <si>
    <t>P0806
P0807
P9801</t>
  </si>
  <si>
    <t>17/3</t>
  </si>
  <si>
    <t>3/4/15/25</t>
  </si>
  <si>
    <t>15/25/30</t>
  </si>
  <si>
    <t>6/15</t>
  </si>
  <si>
    <t>11/15</t>
  </si>
  <si>
    <t>15/11</t>
  </si>
  <si>
    <t>24/23</t>
  </si>
  <si>
    <t>23/30</t>
  </si>
  <si>
    <t>23/24</t>
  </si>
  <si>
    <t>10/23/24</t>
  </si>
  <si>
    <t>1/2'14</t>
  </si>
  <si>
    <t>14/9</t>
  </si>
  <si>
    <t>25/26/30</t>
  </si>
  <si>
    <t>25/26</t>
  </si>
  <si>
    <t>24/25/26/30</t>
  </si>
  <si>
    <t>26/24</t>
  </si>
  <si>
    <t>9/1</t>
  </si>
  <si>
    <t>9/3</t>
  </si>
  <si>
    <t>9/11/25/7/15</t>
  </si>
  <si>
    <t>9/11</t>
  </si>
  <si>
    <t>9/10/11</t>
  </si>
  <si>
    <t>9/2</t>
  </si>
  <si>
    <t>16/25/20</t>
  </si>
  <si>
    <t>16/20/1</t>
  </si>
  <si>
    <t>5/16/20</t>
  </si>
  <si>
    <t>P0808
P0811</t>
  </si>
  <si>
    <t>P0901
P9803</t>
  </si>
  <si>
    <t>22/24</t>
  </si>
  <si>
    <t>P0806
P0807
P0811
P9803</t>
  </si>
  <si>
    <t>P0811
P9802
P9803</t>
  </si>
  <si>
    <t>5/8</t>
  </si>
  <si>
    <t>5/6</t>
  </si>
  <si>
    <t>3/7</t>
  </si>
  <si>
    <t>4/8</t>
  </si>
  <si>
    <t>P9801</t>
  </si>
  <si>
    <t>13/1</t>
  </si>
  <si>
    <t>25/18</t>
  </si>
  <si>
    <t>28/25</t>
  </si>
  <si>
    <t>14/21</t>
  </si>
  <si>
    <t>15/30</t>
  </si>
  <si>
    <t>P0807
P9802</t>
  </si>
  <si>
    <t>7/24</t>
  </si>
  <si>
    <t>25/28</t>
  </si>
  <si>
    <t>P0808
P0811
P9801</t>
  </si>
  <si>
    <t>9/10</t>
  </si>
  <si>
    <t>1/25/26</t>
  </si>
  <si>
    <t>4/22</t>
  </si>
  <si>
    <t>3/5</t>
  </si>
  <si>
    <t xml:space="preserve">P0811
P9802
</t>
  </si>
  <si>
    <t>21/7/8</t>
  </si>
  <si>
    <t>20/1/7</t>
  </si>
  <si>
    <t>6/9/</t>
  </si>
  <si>
    <t>P0808
P0811
P9802</t>
  </si>
  <si>
    <t>19/25</t>
  </si>
  <si>
    <t>10/19</t>
  </si>
  <si>
    <t>P0901
P0902
P9802</t>
  </si>
  <si>
    <t>P0901
P0902
P9803</t>
  </si>
  <si>
    <t>4/13</t>
  </si>
  <si>
    <t>3/18</t>
  </si>
  <si>
    <t>17/18</t>
  </si>
  <si>
    <t>12/1</t>
  </si>
  <si>
    <t>5/25/23</t>
  </si>
  <si>
    <t>04/15</t>
  </si>
  <si>
    <t>5/23/25</t>
  </si>
  <si>
    <t>16/11</t>
  </si>
  <si>
    <t>7/16</t>
  </si>
  <si>
    <t>4/5</t>
  </si>
  <si>
    <t>22/25</t>
  </si>
  <si>
    <t>P0902
P9802</t>
  </si>
  <si>
    <t>24/25</t>
  </si>
  <si>
    <t>P0806
P0807
P9802</t>
  </si>
  <si>
    <t>3/9</t>
  </si>
  <si>
    <t>6/1/3/9</t>
  </si>
  <si>
    <t>P0806
P0902
P9802</t>
  </si>
  <si>
    <t>19/30/5</t>
  </si>
  <si>
    <t>P0806
P0901
P0902
P9802</t>
  </si>
  <si>
    <t>10/1/3/4/9</t>
  </si>
  <si>
    <t>5/13/1</t>
  </si>
  <si>
    <t>12/8/11</t>
  </si>
  <si>
    <t>5/18</t>
  </si>
  <si>
    <t>14/5</t>
  </si>
  <si>
    <t>1/17</t>
  </si>
  <si>
    <t>9/15</t>
  </si>
  <si>
    <t>9/25/26</t>
  </si>
  <si>
    <t>4/9/10</t>
  </si>
  <si>
    <t>MASRON</t>
  </si>
  <si>
    <t>BULAN : MEI 2025</t>
  </si>
  <si>
    <t>BERHRNTI</t>
  </si>
  <si>
    <t>BULAN MEI 2025</t>
  </si>
  <si>
    <t>3/21/22</t>
  </si>
  <si>
    <t>6/9/10</t>
  </si>
  <si>
    <t>P0806
P0807
9801</t>
  </si>
  <si>
    <t>15/1/3/14</t>
  </si>
  <si>
    <t>11/2</t>
  </si>
  <si>
    <t>14/1</t>
  </si>
  <si>
    <t>9/27/28</t>
  </si>
  <si>
    <t>16/9/20</t>
  </si>
  <si>
    <t>MASRON (SAKMAH)</t>
  </si>
  <si>
    <t>21/24</t>
  </si>
  <si>
    <t>1/6/9/11</t>
  </si>
  <si>
    <t>13/9/14</t>
  </si>
  <si>
    <t>27/20</t>
  </si>
  <si>
    <t>26/25</t>
  </si>
  <si>
    <t>11/6/9/1/10</t>
  </si>
  <si>
    <t>P0811
P802</t>
  </si>
  <si>
    <t xml:space="preserve">P0808
P0811
P9802
</t>
  </si>
  <si>
    <t>9/13/14</t>
  </si>
  <si>
    <t>20/30/16</t>
  </si>
  <si>
    <t>19/230</t>
  </si>
  <si>
    <t>18/25/19</t>
  </si>
  <si>
    <t>1/15</t>
  </si>
  <si>
    <t>3/4/9</t>
  </si>
  <si>
    <t>8/10</t>
  </si>
  <si>
    <t>11/19</t>
  </si>
  <si>
    <t>7/8/10</t>
  </si>
  <si>
    <t>13/9</t>
  </si>
  <si>
    <t>5/7</t>
  </si>
  <si>
    <t>14/10</t>
  </si>
  <si>
    <t>27/28/25</t>
  </si>
  <si>
    <t>16/20/25</t>
  </si>
  <si>
    <t xml:space="preserve">P0806
P0902
</t>
  </si>
  <si>
    <t>10/6</t>
  </si>
  <si>
    <t>P0806 
P0902</t>
  </si>
  <si>
    <t>14/18</t>
  </si>
  <si>
    <t>27/25/28/630</t>
  </si>
  <si>
    <t>9/24</t>
  </si>
  <si>
    <t>9/23</t>
  </si>
  <si>
    <t>4/9</t>
  </si>
  <si>
    <t>6/10/28</t>
  </si>
  <si>
    <t>8/9</t>
  </si>
  <si>
    <t>7/11/8/5</t>
  </si>
  <si>
    <t>1/13</t>
  </si>
  <si>
    <t>12/9</t>
  </si>
  <si>
    <t>11/1</t>
  </si>
  <si>
    <t>1/17/25</t>
  </si>
  <si>
    <t>15/30/25</t>
  </si>
  <si>
    <t>9/24/23</t>
  </si>
  <si>
    <t>4/3</t>
  </si>
  <si>
    <t>H0500</t>
  </si>
  <si>
    <t>61</t>
  </si>
  <si>
    <t>62</t>
  </si>
  <si>
    <t>63</t>
  </si>
  <si>
    <t>1/6/11</t>
  </si>
  <si>
    <t>8/6</t>
  </si>
  <si>
    <t>7/9</t>
  </si>
  <si>
    <t>1/6/10</t>
  </si>
  <si>
    <t>013101052826506</t>
  </si>
  <si>
    <t>013101052823508</t>
  </si>
  <si>
    <t>013101052815505</t>
  </si>
  <si>
    <t>013101052814509</t>
  </si>
  <si>
    <t>H0514</t>
  </si>
  <si>
    <t>H0515</t>
  </si>
  <si>
    <t>H0516</t>
  </si>
  <si>
    <t>H0517</t>
  </si>
  <si>
    <t>Air Ruak, 31 Mei 2025</t>
  </si>
  <si>
    <t>SLIP GAJI</t>
  </si>
  <si>
    <t xml:space="preserve">KETERANGAN </t>
  </si>
  <si>
    <t>ADA SP</t>
  </si>
  <si>
    <t>ARE B2</t>
  </si>
  <si>
    <t xml:space="preserve">PENGAJUAN PENGERJAAN PRUNING </t>
  </si>
  <si>
    <t>ARE. B2 ( AIK BANGEK)</t>
  </si>
  <si>
    <t>No.</t>
  </si>
  <si>
    <t>Nama Karyawan</t>
  </si>
  <si>
    <t>Block</t>
  </si>
  <si>
    <t>TOTAL POKOK
( A )</t>
  </si>
  <si>
    <t>TOTAL
( Rp )</t>
  </si>
  <si>
    <t>P0807 ( J15-J16 )</t>
  </si>
  <si>
    <t>P9801 ( J17-J18 )</t>
  </si>
  <si>
    <t>P0808 ( J19-J20 )</t>
  </si>
  <si>
    <t>Rp/
Pokok</t>
  </si>
  <si>
    <t>29/30/11</t>
  </si>
  <si>
    <t>12/5</t>
  </si>
  <si>
    <t>12/9/11</t>
  </si>
  <si>
    <t>23/25</t>
  </si>
  <si>
    <t>26/11</t>
  </si>
  <si>
    <t>26/25/25</t>
  </si>
  <si>
    <t>6/5/9</t>
  </si>
  <si>
    <t>10/1</t>
  </si>
  <si>
    <t>Total</t>
  </si>
  <si>
    <t>SUMMARY BLOCK</t>
  </si>
  <si>
    <t>ARE B2 ( AIK BANGEK)</t>
  </si>
  <si>
    <t>FIELD</t>
  </si>
  <si>
    <t xml:space="preserve">HA </t>
  </si>
  <si>
    <t>SPH</t>
  </si>
  <si>
    <t>JUMLAH 
POKOK</t>
  </si>
  <si>
    <t>Rp/Pokok</t>
  </si>
  <si>
    <t>TOTAL 
BIAYA</t>
  </si>
  <si>
    <t xml:space="preserve">P0807 </t>
  </si>
  <si>
    <t>J15-J16</t>
  </si>
  <si>
    <t xml:space="preserve">P9801 </t>
  </si>
  <si>
    <t>J17-J18</t>
  </si>
  <si>
    <t>J19-J20</t>
  </si>
  <si>
    <t>Air Ruak,28 Mei 2025</t>
  </si>
  <si>
    <t>Dibuat Oleh,</t>
  </si>
  <si>
    <t>Diperiksa Oleh,</t>
  </si>
  <si>
    <t>Di ketahui Oleh</t>
  </si>
  <si>
    <t>Disetuji Oleh,</t>
  </si>
  <si>
    <t>Afriwanton</t>
  </si>
  <si>
    <t>Bahru Lumban Toruan</t>
  </si>
  <si>
    <t>Mandor Panen</t>
  </si>
  <si>
    <t>Field Conductor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</si>
</sst>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1">
    <numFmt numFmtId="41" formatCode="_-* #,##0_-;\-* #,##0_-;_-* &quot;-&quot;_-;_-@_-"/>
    <numFmt numFmtId="43" formatCode="_-* #,##0.00_-;\-* #,##0.00_-;_-* &quot;-&quot;??_-;_-@_-"/>
    <numFmt numFmtId="164" formatCode="&quot;$&quot;#,##0.00_);[Red]\(&quot;$&quot;#,##0.00\)"/>
    <numFmt numFmtId="165" formatCode="_(* #,##0_);_(* \(#,##0\);_(* &quot;-&quot;_);_(@_)"/>
    <numFmt numFmtId="166" formatCode="_(* #,##0.00_);_(* \(#,##0.00\);_(* &quot;-&quot;??_);_(@_)"/>
    <numFmt numFmtId="167" formatCode="&quot;£&quot;#,##0;[Red]\-&quot;£&quot;#,##0"/>
    <numFmt numFmtId="168" formatCode="&quot;£&quot;#,##0.00;[Red]\-&quot;£&quot;#,##0.00"/>
    <numFmt numFmtId="169" formatCode="_-&quot;£&quot;* #,##0_-;\-&quot;£&quot;* #,##0_-;_-&quot;£&quot;* &quot;-&quot;_-;_-@_-"/>
    <numFmt numFmtId="170" formatCode="_-&quot;£&quot;* #,##0.00_-;\-&quot;£&quot;* #,##0.00_-;_-&quot;£&quot;* &quot;-&quot;??_-;_-@_-"/>
    <numFmt numFmtId="171" formatCode="_(&quot;Rp&quot;* #,##0_);_(&quot;Rp&quot;* \(#,##0\);_(&quot;Rp&quot;* &quot;-&quot;_);_(@_)"/>
    <numFmt numFmtId="172" formatCode="_(* #,##0_);_(* \(#,##0\);_(* &quot;-&quot;??_);_(@_)"/>
    <numFmt numFmtId="173" formatCode="_(* #,##0_);_(* \(#,##0\);_(* &quot;-&quot;?_);_(@_)"/>
    <numFmt numFmtId="174" formatCode="_(* #,##0.0_);_(* \(#,##0.0\);_(* &quot;-&quot;??_);_(@_)"/>
    <numFmt numFmtId="175" formatCode="_(* #,##0.00_);_(* \(#,##0.00\);_(* &quot;-&quot;_);_(@_)"/>
    <numFmt numFmtId="176" formatCode="_(* #,##0.0_);_(* \(#,##0.0\);_(* &quot;-&quot;_);_(@_)"/>
    <numFmt numFmtId="177" formatCode="_-* #,##0_-;\-* #,##0_-;_-* &quot;-&quot;??_-;_-@_-"/>
    <numFmt numFmtId="178" formatCode="0%\ "/>
    <numFmt numFmtId="179" formatCode="0;[Red]0"/>
    <numFmt numFmtId="180" formatCode="0.00_);[Red]\(0.00\)"/>
    <numFmt numFmtId="181" formatCode="0.00_);\(0.00\)"/>
    <numFmt numFmtId="182" formatCode="0.00;[Red]0.00"/>
    <numFmt numFmtId="183" formatCode="0.0_);\(0.0\)"/>
    <numFmt numFmtId="184" formatCode="_(* #,##0_);_(* \(#,##0\);_(* &quot;-&quot;???_);_(@_)"/>
    <numFmt numFmtId="185" formatCode="0.0"/>
    <numFmt numFmtId="186" formatCode="0.000"/>
    <numFmt numFmtId="187" formatCode="_(* #,##0.00_);_(* \(#,##0.00\);_(* \-??_);_(@_)"/>
    <numFmt numFmtId="188" formatCode="#,##0.00\ ;&quot; (&quot;#,##0.00\);&quot; -&quot;#\ ;@\ "/>
    <numFmt numFmtId="189" formatCode="_(&quot;Rp&quot;* #,##0_);_(&quot;Rp&quot;* \(#,##0\);_(&quot;Rp&quot;* \-_);_(@_)"/>
    <numFmt numFmtId="190" formatCode="_(* #,##0,_);[Red]_(* \(#,##0,\);_(* &quot;&quot;&quot;&quot;&quot;&quot;&quot;&quot;\ \-\ &quot;&quot;&quot;&quot;&quot;&quot;&quot;&quot;_);_(@_)"/>
    <numFmt numFmtId="191" formatCode="0%\ ;\(0%\)"/>
    <numFmt numFmtId="192" formatCode="#,##0.00&quot; &quot;;&quot; (&quot;#,##0.00&quot;)&quot;;&quot; -&quot;#&quot; &quot;;@&quot; &quot;"/>
    <numFmt numFmtId="193" formatCode="#,##0\ ;&quot; (&quot;#,##0\);&quot; - &quot;;@\ "/>
    <numFmt numFmtId="194" formatCode="[$-421]General"/>
    <numFmt numFmtId="195" formatCode="&quot;  &quot;@"/>
    <numFmt numFmtId="196" formatCode="_(&quot;$&quot;* #,##0_);_(&quot;$&quot;* \(#,##0\);_(&quot;$&quot;* &quot;-&quot;??_);_(@_)"/>
    <numFmt numFmtId="197" formatCode="0%\ ;[Red]\(0%\)"/>
    <numFmt numFmtId="198" formatCode="0%;\(0%\)"/>
    <numFmt numFmtId="199" formatCode="#,##0.000_);[Red]\(#,##0.000\)"/>
    <numFmt numFmtId="200" formatCode="[Red]&quot;$&quot;#,##0_);[Red]&quot;$&quot;\(#,##0\)"/>
    <numFmt numFmtId="201" formatCode="&quot;          &quot;@"/>
    <numFmt numFmtId="202" formatCode="[Red]#,##0_);[Red]\(#,##0\)"/>
    <numFmt numFmtId="203" formatCode="0.0000000000"/>
    <numFmt numFmtId="204" formatCode="0_);\(0\)"/>
    <numFmt numFmtId="205" formatCode="0.0_);[Red]\(0.0\)"/>
    <numFmt numFmtId="206" formatCode="m\-yy"/>
    <numFmt numFmtId="207" formatCode="#,##0.0"/>
    <numFmt numFmtId="208" formatCode="_-* #,##0.000_-;\-* #,##0.000_-;_-* &quot;-&quot;??_-;_-@_-"/>
    <numFmt numFmtId="209" formatCode="_ * #,##0_ ;_ * \-#,##0_ ;_ * &quot;-&quot;_ ;_ @_ "/>
    <numFmt numFmtId="210" formatCode="_-&quot;IR£&quot;* #,##0.00_-;\-&quot;IR£&quot;* #,##0.00_-;_-&quot;IR£&quot;* &quot;-&quot;??_-;_-@_-"/>
    <numFmt numFmtId="211" formatCode="_(* #,##0.000000_);_(* \(#,##0.000000\);_(* &quot;-&quot;??_);_(@_)"/>
    <numFmt numFmtId="212" formatCode="0.00_)"/>
    <numFmt numFmtId="213" formatCode="###0.0_);[Red]\(###0.0\)"/>
    <numFmt numFmtId="214" formatCode="_(* #,##0_);_(* \(#,##0\);_(* \-_);_(@_)"/>
    <numFmt numFmtId="215" formatCode="&quot;IR£&quot;#,##0.00;[Red]\-&quot;IR£&quot;#,##0.00"/>
    <numFmt numFmtId="216" formatCode="[$-421]dd\ mmmm\ yyyy;@"/>
    <numFmt numFmtId="217" formatCode="_(* #,##0.000_);_(* \(#,##0.000\);_(* &quot;-&quot;??_);_(@_)"/>
    <numFmt numFmtId="218" formatCode="_-* #,##0.00_-;\-* #,##0.00_-;_-* &quot;-&quot;_-;_-@_-"/>
    <numFmt numFmtId="219" formatCode="_-[$Rp-421]* #,##0_ ;_-[$Rp-421]* \-#,##0\ ;_-[$Rp-421]* &quot;-&quot;??_ ;_-@_ "/>
    <numFmt numFmtId="220" formatCode="_([$Rp-421]* #,##0_);_([$Rp-421]* \(#,##0\);_([$Rp-421]* &quot;-&quot;_);_(@_)"/>
    <numFmt numFmtId="221" formatCode="#,##0.0000000000"/>
    <numFmt numFmtId="222" formatCode="_ * #,##0.00_ ;_ * \-#,##0.00_ ;_ * &quot;-&quot;??_ ;_ @_ "/>
  </numFmts>
  <fonts count="22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2"/>
      <name val="Arial Narrow"/>
      <family val="2"/>
    </font>
    <font>
      <b/>
      <sz val="13"/>
      <name val="Arial Narrow"/>
      <family val="2"/>
    </font>
    <font>
      <sz val="11"/>
      <color theme="1"/>
      <name val="Calibri"/>
      <family val="2"/>
      <scheme val="minor"/>
    </font>
    <font>
      <b/>
      <sz val="16"/>
      <name val="Arial Narrow"/>
      <family val="2"/>
    </font>
    <font>
      <sz val="11"/>
      <color theme="1"/>
      <name val="Calibri"/>
      <family val="2"/>
      <charset val="1"/>
      <scheme val="minor"/>
    </font>
    <font>
      <sz val="11"/>
      <name val="Cambria"/>
      <family val="1"/>
      <scheme val="major"/>
    </font>
    <font>
      <sz val="10"/>
      <name val="Arial"/>
      <family val="2"/>
    </font>
    <font>
      <b/>
      <sz val="11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name val="Arial Narrow"/>
      <family val="2"/>
    </font>
    <font>
      <b/>
      <sz val="12"/>
      <name val="Cambria"/>
      <family val="1"/>
      <scheme val="major"/>
    </font>
    <font>
      <sz val="11"/>
      <name val="Calibri"/>
      <family val="2"/>
      <scheme val="minor"/>
    </font>
    <font>
      <sz val="12"/>
      <name val="Arial"/>
      <family val="2"/>
    </font>
    <font>
      <sz val="16"/>
      <name val="Arial Narrow"/>
      <family val="2"/>
    </font>
    <font>
      <b/>
      <u/>
      <sz val="18"/>
      <name val="Cambria"/>
      <family val="1"/>
      <scheme val="major"/>
    </font>
    <font>
      <b/>
      <sz val="18"/>
      <name val="Cambria"/>
      <family val="1"/>
      <scheme val="major"/>
    </font>
    <font>
      <b/>
      <sz val="16"/>
      <name val="Cambria"/>
      <family val="1"/>
      <scheme val="major"/>
    </font>
    <font>
      <b/>
      <sz val="14"/>
      <name val="Cambria"/>
      <family val="1"/>
      <scheme val="major"/>
    </font>
    <font>
      <sz val="18"/>
      <name val="Cambria"/>
      <family val="1"/>
      <scheme val="major"/>
    </font>
    <font>
      <sz val="16"/>
      <name val="Cambria"/>
      <family val="1"/>
      <scheme val="major"/>
    </font>
    <font>
      <b/>
      <u/>
      <sz val="16"/>
      <name val="Cambria"/>
      <family val="1"/>
      <scheme val="maj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mbria"/>
      <family val="1"/>
      <scheme val="major"/>
    </font>
    <font>
      <sz val="8"/>
      <name val="Times New Roman"/>
      <family val="1"/>
    </font>
    <font>
      <sz val="10"/>
      <name val="Arial"/>
      <family val="2"/>
      <charset val="1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sz val="10"/>
      <name val="MS Serif"/>
      <family val="1"/>
    </font>
    <font>
      <b/>
      <sz val="8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sz val="11"/>
      <color rgb="FF000000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8"/>
      <name val="MS Sans Serif"/>
      <family val="2"/>
    </font>
    <font>
      <sz val="8"/>
      <name val="Wingdings"/>
      <charset val="2"/>
    </font>
    <font>
      <sz val="8"/>
      <name val="Helv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MS Sans Serif"/>
      <family val="2"/>
    </font>
    <font>
      <b/>
      <sz val="8"/>
      <color indexed="8"/>
      <name val="Helv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rgb="FFFF0000"/>
      <name val="Arial Narrow"/>
      <family val="2"/>
    </font>
    <font>
      <b/>
      <sz val="10"/>
      <name val="Cambria"/>
      <family val="1"/>
      <scheme val="major"/>
    </font>
    <font>
      <b/>
      <sz val="13"/>
      <name val="Cambria"/>
      <family val="1"/>
      <scheme val="major"/>
    </font>
    <font>
      <sz val="13"/>
      <name val="Cambria"/>
      <family val="1"/>
      <scheme val="major"/>
    </font>
    <font>
      <b/>
      <sz val="9"/>
      <name val="Cambria"/>
      <family val="1"/>
      <scheme val="major"/>
    </font>
    <font>
      <sz val="12"/>
      <name val="Cambria"/>
      <family val="1"/>
      <scheme val="major"/>
    </font>
    <font>
      <b/>
      <sz val="16"/>
      <color rgb="FFFF0000"/>
      <name val="Arial Narrow"/>
      <family val="2"/>
    </font>
    <font>
      <b/>
      <sz val="12"/>
      <color rgb="FFFF0000"/>
      <name val="Arial Narrow"/>
      <family val="2"/>
    </font>
    <font>
      <b/>
      <sz val="48"/>
      <name val="Arial Narrow"/>
      <family val="2"/>
    </font>
    <font>
      <b/>
      <sz val="18"/>
      <color rgb="FFFF0000"/>
      <name val="Arial Narrow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1"/>
      <name val="Cambria"/>
      <family val="1"/>
      <scheme val="major"/>
    </font>
    <font>
      <b/>
      <sz val="14"/>
      <color rgb="FFFF0000"/>
      <name val="Cambria"/>
      <family val="1"/>
      <scheme val="major"/>
    </font>
    <font>
      <b/>
      <sz val="18"/>
      <name val="Calibri"/>
      <family val="2"/>
      <scheme val="minor"/>
    </font>
    <font>
      <sz val="12"/>
      <name val="Calibri"/>
      <family val="2"/>
      <scheme val="minor"/>
    </font>
    <font>
      <sz val="12"/>
      <name val="Helv"/>
    </font>
    <font>
      <sz val="10"/>
      <name val="Times New Roman"/>
      <family val="1"/>
    </font>
    <font>
      <sz val="12"/>
      <name val="¹ÙÅÁÃ¼"/>
    </font>
    <font>
      <sz val="12"/>
      <color indexed="8"/>
      <name val="Times New Roman"/>
      <family val="1"/>
    </font>
    <font>
      <sz val="11"/>
      <color indexed="9"/>
      <name val="Calibri"/>
      <family val="2"/>
    </font>
    <font>
      <sz val="12"/>
      <color indexed="9"/>
      <name val="Times New Roman"/>
      <family val="1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sz val="12"/>
      <color indexed="20"/>
      <name val="Times New Roman"/>
      <family val="1"/>
    </font>
    <font>
      <b/>
      <sz val="11"/>
      <color indexed="52"/>
      <name val="Calibri"/>
      <family val="2"/>
    </font>
    <font>
      <b/>
      <sz val="12"/>
      <color indexed="52"/>
      <name val="Times New Roman"/>
      <family val="1"/>
    </font>
    <font>
      <b/>
      <sz val="11"/>
      <color indexed="9"/>
      <name val="Calibri"/>
      <family val="2"/>
    </font>
    <font>
      <b/>
      <sz val="12"/>
      <color indexed="9"/>
      <name val="Times New Roman"/>
      <family val="1"/>
    </font>
    <font>
      <sz val="11"/>
      <color indexed="8"/>
      <name val="Calibri"/>
      <family val="2"/>
      <charset val="1"/>
    </font>
    <font>
      <i/>
      <sz val="11"/>
      <color indexed="23"/>
      <name val="Calibri"/>
      <family val="2"/>
    </font>
    <font>
      <i/>
      <sz val="12"/>
      <color indexed="23"/>
      <name val="Times New Roman"/>
      <family val="1"/>
    </font>
    <font>
      <sz val="11"/>
      <color indexed="17"/>
      <name val="Calibri"/>
      <family val="2"/>
    </font>
    <font>
      <sz val="12"/>
      <color indexed="17"/>
      <name val="Times New Roman"/>
      <family val="1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Times New Roman"/>
      <family val="1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Times New Roman"/>
      <family val="1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Times New Roman"/>
      <family val="1"/>
    </font>
    <font>
      <sz val="11"/>
      <color indexed="62"/>
      <name val="Calibri"/>
      <family val="2"/>
    </font>
    <font>
      <sz val="12"/>
      <color indexed="62"/>
      <name val="Times New Roman"/>
      <family val="1"/>
    </font>
    <font>
      <sz val="11"/>
      <color indexed="52"/>
      <name val="Calibri"/>
      <family val="2"/>
    </font>
    <font>
      <sz val="12"/>
      <color indexed="52"/>
      <name val="Times New Roman"/>
      <family val="1"/>
    </font>
    <font>
      <sz val="11"/>
      <color indexed="60"/>
      <name val="Calibri"/>
      <family val="2"/>
    </font>
    <font>
      <sz val="11"/>
      <color indexed="19"/>
      <name val="Calibri"/>
      <family val="2"/>
    </font>
    <font>
      <sz val="12"/>
      <color indexed="60"/>
      <name val="Times New Roman"/>
      <family val="1"/>
    </font>
    <font>
      <sz val="11"/>
      <color indexed="8"/>
      <name val="Calibri"/>
      <family val="2"/>
      <charset val="134"/>
    </font>
    <font>
      <sz val="10"/>
      <name val="Calisto MT"/>
      <family val="1"/>
    </font>
    <font>
      <b/>
      <sz val="11"/>
      <color indexed="63"/>
      <name val="Calibri"/>
      <family val="2"/>
    </font>
    <font>
      <b/>
      <sz val="12"/>
      <color indexed="63"/>
      <name val="Times New Roman"/>
      <family val="1"/>
    </font>
    <font>
      <b/>
      <i/>
      <sz val="8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b/>
      <sz val="12"/>
      <color indexed="8"/>
      <name val="Times New Roman"/>
      <family val="1"/>
    </font>
    <font>
      <sz val="11"/>
      <color indexed="10"/>
      <name val="Calibri"/>
      <family val="2"/>
    </font>
    <font>
      <sz val="12"/>
      <color indexed="10"/>
      <name val="Times New Roman"/>
      <family val="1"/>
    </font>
    <font>
      <b/>
      <sz val="15"/>
      <name val="Cambria"/>
      <family val="1"/>
      <scheme val="major"/>
    </font>
    <font>
      <sz val="18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mbria"/>
      <family val="1"/>
      <scheme val="major"/>
    </font>
    <font>
      <sz val="14"/>
      <color rgb="FFFF0000"/>
      <name val="Cambria"/>
      <family val="1"/>
      <scheme val="major"/>
    </font>
    <font>
      <b/>
      <sz val="13"/>
      <color rgb="FFFF0000"/>
      <name val="Cambria"/>
      <family val="1"/>
      <scheme val="major"/>
    </font>
    <font>
      <b/>
      <sz val="17"/>
      <name val="Cambria"/>
      <family val="1"/>
      <scheme val="major"/>
    </font>
    <font>
      <sz val="17"/>
      <name val="Cambria"/>
      <family val="1"/>
      <scheme val="major"/>
    </font>
    <font>
      <b/>
      <u/>
      <sz val="17"/>
      <name val="Cambria"/>
      <family val="1"/>
      <scheme val="major"/>
    </font>
    <font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9"/>
      <name val="Cambria"/>
      <family val="1"/>
      <scheme val="major"/>
    </font>
    <font>
      <b/>
      <u/>
      <sz val="11"/>
      <name val="Cambria"/>
      <family val="1"/>
      <scheme val="major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u/>
      <sz val="12"/>
      <color theme="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0000"/>
      <name val="Arial Narrow"/>
      <family val="2"/>
    </font>
    <font>
      <b/>
      <sz val="10"/>
      <color rgb="FF000000"/>
      <name val="Arial Narrow"/>
      <family val="2"/>
    </font>
    <font>
      <sz val="6"/>
      <color rgb="FF000000"/>
      <name val="Arial Narrow"/>
      <family val="2"/>
    </font>
    <font>
      <sz val="6"/>
      <color rgb="FFFF0000"/>
      <name val="Arial Narrow"/>
      <family val="2"/>
    </font>
    <font>
      <sz val="6"/>
      <color rgb="FF00FFFF"/>
      <name val="Arial Narrow"/>
      <family val="2"/>
    </font>
    <font>
      <sz val="7"/>
      <color rgb="FF00FFFF"/>
      <name val="Arial Narrow"/>
      <family val="2"/>
    </font>
    <font>
      <sz val="6"/>
      <color rgb="FF008080"/>
      <name val="Arial Narrow"/>
      <family val="2"/>
    </font>
    <font>
      <sz val="8"/>
      <color rgb="FF008080"/>
      <name val="Arial Narrow"/>
      <family val="2"/>
    </font>
    <font>
      <sz val="7"/>
      <color rgb="FF008080"/>
      <name val="Arial Narrow"/>
      <family val="2"/>
    </font>
    <font>
      <sz val="7"/>
      <color rgb="FF000000"/>
      <name val="Arial Narrow"/>
      <family val="2"/>
    </font>
    <font>
      <sz val="8"/>
      <color rgb="FF0000FF"/>
      <name val="Arial Narrow"/>
      <family val="2"/>
    </font>
    <font>
      <sz val="6"/>
      <color rgb="FF0000FF"/>
      <name val="Arial Narrow"/>
      <family val="2"/>
    </font>
    <font>
      <sz val="7"/>
      <color rgb="FF0000FF"/>
      <name val="Arial Narrow"/>
      <family val="2"/>
    </font>
    <font>
      <sz val="9"/>
      <color rgb="FF000000"/>
      <name val="Arial Narrow"/>
      <family val="2"/>
    </font>
    <font>
      <b/>
      <sz val="10"/>
      <color rgb="FFFF0000"/>
      <name val="Arial Narrow"/>
      <family val="2"/>
    </font>
    <font>
      <sz val="11"/>
      <color rgb="FF000000"/>
      <name val="Arial Narrow"/>
      <family val="2"/>
    </font>
    <font>
      <b/>
      <sz val="10"/>
      <color rgb="FFFF0000"/>
      <name val="Arial"/>
      <family val="2"/>
    </font>
    <font>
      <sz val="8"/>
      <color rgb="FF000000"/>
      <name val="Arial Narrow"/>
      <family val="2"/>
    </font>
    <font>
      <sz val="10"/>
      <color rgb="FFFF0000"/>
      <name val="Calibri"/>
      <family val="2"/>
    </font>
    <font>
      <sz val="10"/>
      <color rgb="FFFF0000"/>
      <name val="Cambria"/>
      <family val="1"/>
    </font>
    <font>
      <b/>
      <sz val="11"/>
      <color rgb="FFFF0000"/>
      <name val="Cambria"/>
      <family val="1"/>
      <scheme val="major"/>
    </font>
    <font>
      <sz val="11"/>
      <color theme="0"/>
      <name val="Cambria"/>
      <family val="1"/>
      <scheme val="major"/>
    </font>
    <font>
      <b/>
      <sz val="8"/>
      <name val="Arial Narrow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1"/>
      <color theme="0"/>
      <name val="Arial"/>
      <family val="2"/>
    </font>
    <font>
      <sz val="10"/>
      <color theme="0"/>
      <name val="Arial"/>
      <family val="2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mbria"/>
      <family val="1"/>
    </font>
    <font>
      <b/>
      <sz val="16"/>
      <name val="Calibri"/>
      <family val="2"/>
      <scheme val="minor"/>
    </font>
    <font>
      <b/>
      <sz val="26"/>
      <name val="Calibri"/>
      <family val="2"/>
      <scheme val="minor"/>
    </font>
    <font>
      <b/>
      <u/>
      <sz val="12"/>
      <name val="Tahoma"/>
      <family val="2"/>
    </font>
    <font>
      <sz val="12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u/>
      <sz val="11"/>
      <name val="Tahoma"/>
      <family val="2"/>
    </font>
    <font>
      <u/>
      <sz val="12"/>
      <name val="Tahoma"/>
      <family val="2"/>
    </font>
    <font>
      <u/>
      <sz val="10"/>
      <name val="Tahoma"/>
      <family val="2"/>
    </font>
    <font>
      <b/>
      <sz val="9"/>
      <name val="Tahoma"/>
      <family val="2"/>
    </font>
    <font>
      <sz val="11"/>
      <name val="Tahoma"/>
      <family val="2"/>
    </font>
    <font>
      <b/>
      <u/>
      <sz val="11"/>
      <name val="Tahoma"/>
      <family val="2"/>
    </font>
    <font>
      <b/>
      <sz val="8"/>
      <name val="Tahoma"/>
      <family val="2"/>
    </font>
    <font>
      <sz val="12"/>
      <color theme="0"/>
      <name val="Tahoma"/>
      <family val="2"/>
    </font>
    <font>
      <sz val="13"/>
      <name val="Tahoma"/>
      <family val="2"/>
    </font>
    <font>
      <b/>
      <sz val="12"/>
      <color theme="0"/>
      <name val="Tahoma"/>
      <family val="2"/>
    </font>
    <font>
      <b/>
      <sz val="11"/>
      <color theme="0"/>
      <name val="Tahoma"/>
      <family val="2"/>
    </font>
    <font>
      <sz val="14"/>
      <name val="Tahoma"/>
      <family val="2"/>
    </font>
    <font>
      <b/>
      <sz val="10"/>
      <color theme="0"/>
      <name val="Tahoma"/>
      <family val="2"/>
    </font>
    <font>
      <sz val="11"/>
      <color theme="0"/>
      <name val="Tahoma"/>
      <family val="2"/>
    </font>
    <font>
      <sz val="10"/>
      <color theme="0"/>
      <name val="Tahoma"/>
      <family val="2"/>
    </font>
    <font>
      <sz val="16"/>
      <name val="Tahoma"/>
      <family val="2"/>
    </font>
    <font>
      <b/>
      <sz val="13"/>
      <name val="Tahoma"/>
      <family val="2"/>
    </font>
    <font>
      <sz val="8"/>
      <name val="Cambria"/>
      <family val="1"/>
      <scheme val="major"/>
    </font>
    <font>
      <b/>
      <sz val="15"/>
      <name val="Tahoma"/>
      <family val="2"/>
    </font>
    <font>
      <sz val="15"/>
      <name val="Tahoma"/>
      <family val="2"/>
    </font>
    <font>
      <b/>
      <sz val="15"/>
      <color theme="0"/>
      <name val="Tahoma"/>
      <family val="2"/>
    </font>
    <font>
      <sz val="8"/>
      <color theme="0"/>
      <name val="Cambria"/>
      <family val="1"/>
      <scheme val="major"/>
    </font>
    <font>
      <b/>
      <sz val="14"/>
      <name val="Tahoma"/>
      <family val="2"/>
    </font>
    <font>
      <b/>
      <sz val="14"/>
      <color theme="0"/>
      <name val="Tahoma"/>
      <family val="2"/>
    </font>
    <font>
      <sz val="14"/>
      <color theme="0"/>
      <name val="Tahoma"/>
      <family val="2"/>
    </font>
    <font>
      <b/>
      <u/>
      <sz val="14"/>
      <name val="Tahoma"/>
      <family val="2"/>
    </font>
    <font>
      <u/>
      <sz val="14"/>
      <name val="Tahoma"/>
      <family val="2"/>
    </font>
    <font>
      <sz val="12"/>
      <name val="Times New Roman"/>
    </font>
    <font>
      <b/>
      <sz val="16"/>
      <color theme="1"/>
      <name val="Arial Narrow"/>
      <family val="2"/>
    </font>
    <font>
      <b/>
      <sz val="16"/>
      <color theme="0"/>
      <name val="Arial Narrow"/>
      <family val="2"/>
    </font>
    <font>
      <sz val="16"/>
      <color theme="1"/>
      <name val="Arial Narrow"/>
      <family val="2"/>
    </font>
    <font>
      <sz val="12"/>
      <name val="Times New Roman"/>
      <family val="1"/>
    </font>
    <font>
      <sz val="16"/>
      <color theme="0"/>
      <name val="Arial Narrow"/>
      <family val="2"/>
    </font>
    <font>
      <sz val="18"/>
      <name val="Arial Narrow"/>
      <family val="2"/>
    </font>
    <font>
      <sz val="18"/>
      <color theme="0"/>
      <name val="Arial Narrow"/>
      <family val="2"/>
    </font>
    <font>
      <b/>
      <u/>
      <sz val="18"/>
      <name val="Arial Narrow"/>
      <family val="2"/>
    </font>
    <font>
      <b/>
      <u/>
      <sz val="16"/>
      <name val="Arial Narrow"/>
      <family val="2"/>
    </font>
  </fonts>
  <fills count="4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darkVertical"/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31"/>
        <bgColor indexed="41"/>
      </patternFill>
    </fill>
    <fill>
      <patternFill patternType="solid">
        <fgColor indexed="9"/>
        <bgColor indexed="26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43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1"/>
        <bgColor indexed="9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2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53"/>
        <b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  <bgColor indexed="50"/>
      </patternFill>
    </fill>
    <fill>
      <patternFill patternType="solid">
        <fgColor indexed="43"/>
        <bgColor indexed="26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55"/>
        <bgColor indexed="49"/>
      </patternFill>
    </fill>
    <fill>
      <patternFill patternType="solid">
        <fgColor indexed="25"/>
        <bgColor indexed="61"/>
      </patternFill>
    </fill>
    <fill>
      <patternFill patternType="solid">
        <fgColor indexed="50"/>
        <bgColor indexed="11"/>
      </patternFill>
    </fill>
    <fill>
      <patternFill patternType="solid">
        <fgColor indexed="20"/>
        <bgColor indexed="36"/>
      </patternFill>
    </fill>
    <fill>
      <patternFill patternType="solid">
        <fgColor indexed="20"/>
        <bgColor indexed="28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45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1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double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5"/>
      </top>
      <bottom style="double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862">
    <xf numFmtId="0" fontId="0" fillId="0" borderId="0"/>
    <xf numFmtId="0" fontId="10" fillId="0" borderId="0"/>
    <xf numFmtId="166" fontId="10" fillId="0" borderId="0" applyFont="0" applyFill="0" applyBorder="0" applyAlignment="0" applyProtection="0"/>
    <xf numFmtId="0" fontId="10" fillId="0" borderId="0">
      <alignment vertical="top"/>
    </xf>
    <xf numFmtId="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>
      <alignment vertical="top"/>
    </xf>
    <xf numFmtId="166" fontId="13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/>
    <xf numFmtId="0" fontId="10" fillId="0" borderId="0">
      <alignment vertical="top"/>
    </xf>
    <xf numFmtId="165" fontId="13" fillId="0" borderId="0" applyFont="0" applyFill="0" applyBorder="0" applyAlignment="0" applyProtection="0"/>
    <xf numFmtId="0" fontId="17" fillId="0" borderId="0"/>
    <xf numFmtId="0" fontId="9" fillId="0" borderId="0"/>
    <xf numFmtId="166" fontId="13" fillId="0" borderId="0" applyFont="0" applyFill="0" applyBorder="0" applyAlignment="0" applyProtection="0"/>
    <xf numFmtId="0" fontId="13" fillId="0" borderId="0"/>
    <xf numFmtId="0" fontId="8" fillId="0" borderId="0"/>
    <xf numFmtId="165" fontId="1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4" fillId="0" borderId="0"/>
    <xf numFmtId="43" fontId="13" fillId="0" borderId="0" applyFont="0" applyFill="0" applyBorder="0" applyAlignment="0" applyProtection="0"/>
    <xf numFmtId="0" fontId="36" fillId="0" borderId="0">
      <alignment horizontal="center" wrapText="1"/>
      <protection locked="0"/>
    </xf>
    <xf numFmtId="178" fontId="24" fillId="0" borderId="0" applyFill="0" applyBorder="0" applyAlignment="0"/>
    <xf numFmtId="174" fontId="10" fillId="0" borderId="0" applyFill="0" applyBorder="0" applyAlignment="0"/>
    <xf numFmtId="179" fontId="10" fillId="0" borderId="0" applyFill="0" applyBorder="0" applyAlignment="0"/>
    <xf numFmtId="180" fontId="10" fillId="0" borderId="0" applyFill="0" applyBorder="0" applyAlignment="0"/>
    <xf numFmtId="181" fontId="10" fillId="0" borderId="0" applyFill="0" applyBorder="0" applyAlignment="0"/>
    <xf numFmtId="182" fontId="10" fillId="0" borderId="0" applyFill="0" applyBorder="0" applyAlignment="0"/>
    <xf numFmtId="183" fontId="10" fillId="0" borderId="0" applyFill="0" applyBorder="0" applyAlignment="0"/>
    <xf numFmtId="174" fontId="10" fillId="0" borderId="0" applyFill="0" applyBorder="0" applyAlignment="0"/>
    <xf numFmtId="165" fontId="10" fillId="0" borderId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5" fontId="37" fillId="0" borderId="0" applyFill="0" applyBorder="0" applyAlignment="0" applyProtection="0"/>
    <xf numFmtId="175" fontId="37" fillId="0" borderId="0" applyFill="0" applyBorder="0" applyAlignment="0" applyProtection="0"/>
    <xf numFmtId="175" fontId="37" fillId="0" borderId="0" applyFill="0" applyBorder="0" applyAlignment="0" applyProtection="0"/>
    <xf numFmtId="175" fontId="37" fillId="0" borderId="0" applyFill="0" applyBorder="0" applyAlignment="0" applyProtection="0"/>
    <xf numFmtId="175" fontId="37" fillId="0" borderId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37" fillId="0" borderId="0" applyFill="0" applyBorder="0" applyAlignment="0" applyProtection="0"/>
    <xf numFmtId="167" fontId="37" fillId="0" borderId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7" fillId="0" borderId="0" applyFill="0" applyBorder="0" applyAlignment="0" applyProtection="0"/>
    <xf numFmtId="184" fontId="37" fillId="0" borderId="0" applyFill="0" applyBorder="0" applyAlignment="0" applyProtection="0"/>
    <xf numFmtId="185" fontId="37" fillId="0" borderId="0" applyFill="0" applyBorder="0" applyAlignment="0" applyProtection="0"/>
    <xf numFmtId="176" fontId="37" fillId="0" borderId="0" applyFill="0" applyBorder="0" applyAlignment="0" applyProtection="0"/>
    <xf numFmtId="186" fontId="37" fillId="0" borderId="0" applyFill="0" applyBorder="0" applyAlignment="0" applyProtection="0"/>
    <xf numFmtId="186" fontId="37" fillId="0" borderId="0" applyFill="0" applyBorder="0" applyAlignment="0" applyProtection="0"/>
    <xf numFmtId="187" fontId="37" fillId="0" borderId="0" applyFill="0" applyBorder="0" applyAlignment="0" applyProtection="0"/>
    <xf numFmtId="176" fontId="37" fillId="0" borderId="0" applyFill="0" applyBorder="0" applyAlignment="0" applyProtection="0"/>
    <xf numFmtId="186" fontId="37" fillId="0" borderId="0" applyFill="0" applyBorder="0" applyAlignment="0" applyProtection="0"/>
    <xf numFmtId="186" fontId="37" fillId="0" borderId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82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87" fontId="37" fillId="0" borderId="0" applyFill="0" applyBorder="0" applyAlignment="0" applyProtection="0"/>
    <xf numFmtId="187" fontId="37" fillId="0" borderId="0" applyFill="0" applyBorder="0" applyAlignment="0" applyProtection="0"/>
    <xf numFmtId="166" fontId="10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88" fontId="38" fillId="0" borderId="0"/>
    <xf numFmtId="43" fontId="13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0" fillId="0" borderId="0" applyFont="0" applyFill="0" applyBorder="0" applyAlignment="0" applyProtection="0"/>
    <xf numFmtId="187" fontId="37" fillId="0" borderId="0" applyFill="0" applyBorder="0" applyAlignment="0" applyProtection="0"/>
    <xf numFmtId="166" fontId="10" fillId="0" borderId="0" applyFont="0" applyFill="0" applyBorder="0" applyAlignment="0" applyProtection="0"/>
    <xf numFmtId="187" fontId="37" fillId="0" borderId="0" applyFill="0" applyBorder="0" applyAlignment="0" applyProtection="0"/>
    <xf numFmtId="187" fontId="37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0" fillId="0" borderId="0" applyFont="0" applyFill="0" applyBorder="0" applyAlignment="0" applyProtection="0"/>
    <xf numFmtId="188" fontId="39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0" fillId="0" borderId="0" applyNumberFormat="0" applyAlignment="0">
      <alignment horizontal="left"/>
    </xf>
    <xf numFmtId="171" fontId="10" fillId="0" borderId="0" applyFont="0" applyFill="0" applyBorder="0" applyAlignment="0" applyProtection="0"/>
    <xf numFmtId="189" fontId="37" fillId="0" borderId="0" applyFill="0" applyBorder="0" applyAlignment="0" applyProtection="0"/>
    <xf numFmtId="174" fontId="10" fillId="0" borderId="0" applyFont="0" applyFill="0" applyBorder="0" applyAlignment="0" applyProtection="0"/>
    <xf numFmtId="190" fontId="10" fillId="0" borderId="0" applyFont="0" applyFill="0" applyBorder="0" applyAlignment="0"/>
    <xf numFmtId="164" fontId="10" fillId="0" borderId="0" applyFont="0" applyFill="0" applyBorder="0" applyAlignment="0"/>
    <xf numFmtId="172" fontId="13" fillId="0" borderId="0" applyFont="0" applyFill="0" applyBorder="0" applyAlignment="0" applyProtection="0"/>
    <xf numFmtId="15" fontId="41" fillId="0" borderId="0" applyFill="0" applyBorder="0" applyAlignment="0"/>
    <xf numFmtId="191" fontId="10" fillId="3" borderId="0" applyFont="0" applyFill="0" applyBorder="0" applyAlignment="0" applyProtection="0"/>
    <xf numFmtId="191" fontId="10" fillId="3" borderId="53" applyFont="0" applyFill="0" applyBorder="0" applyAlignment="0" applyProtection="0"/>
    <xf numFmtId="17" fontId="41" fillId="0" borderId="0" applyFill="0" applyBorder="0">
      <alignment horizontal="right"/>
    </xf>
    <xf numFmtId="14" fontId="42" fillId="0" borderId="0" applyFill="0" applyBorder="0" applyAlignment="0"/>
    <xf numFmtId="182" fontId="10" fillId="0" borderId="0" applyFill="0" applyBorder="0" applyAlignment="0"/>
    <xf numFmtId="174" fontId="10" fillId="0" borderId="0" applyFill="0" applyBorder="0" applyAlignment="0"/>
    <xf numFmtId="182" fontId="10" fillId="0" borderId="0" applyFill="0" applyBorder="0" applyAlignment="0"/>
    <xf numFmtId="183" fontId="10" fillId="0" borderId="0" applyFill="0" applyBorder="0" applyAlignment="0"/>
    <xf numFmtId="174" fontId="10" fillId="0" borderId="0" applyFill="0" applyBorder="0" applyAlignment="0"/>
    <xf numFmtId="0" fontId="43" fillId="0" borderId="0" applyNumberFormat="0" applyAlignment="0">
      <alignment horizontal="left"/>
    </xf>
    <xf numFmtId="192" fontId="44" fillId="0" borderId="0" applyBorder="0" applyProtection="0"/>
    <xf numFmtId="193" fontId="38" fillId="0" borderId="0"/>
    <xf numFmtId="194" fontId="44" fillId="0" borderId="0" applyBorder="0" applyProtection="0"/>
    <xf numFmtId="0" fontId="39" fillId="0" borderId="0"/>
    <xf numFmtId="0" fontId="38" fillId="0" borderId="0"/>
    <xf numFmtId="195" fontId="10" fillId="3" borderId="0" applyFont="0" applyFill="0" applyBorder="0" applyAlignment="0"/>
    <xf numFmtId="38" fontId="45" fillId="4" borderId="0" applyNumberFormat="0" applyBorder="0" applyAlignment="0" applyProtection="0"/>
    <xf numFmtId="0" fontId="46" fillId="0" borderId="25" applyNumberFormat="0" applyAlignment="0" applyProtection="0">
      <alignment horizontal="left" vertical="center"/>
    </xf>
    <xf numFmtId="0" fontId="46" fillId="0" borderId="13">
      <alignment horizontal="left" vertical="center"/>
    </xf>
    <xf numFmtId="0" fontId="47" fillId="0" borderId="19">
      <alignment horizontal="center"/>
    </xf>
    <xf numFmtId="0" fontId="47" fillId="0" borderId="0">
      <alignment horizontal="center"/>
    </xf>
    <xf numFmtId="10" fontId="45" fillId="3" borderId="22" applyNumberFormat="0" applyBorder="0" applyAlignment="0" applyProtection="0"/>
    <xf numFmtId="164" fontId="45" fillId="3" borderId="0" applyFont="0" applyBorder="0" applyAlignment="0" applyProtection="0">
      <protection locked="0"/>
    </xf>
    <xf numFmtId="15" fontId="45" fillId="3" borderId="0" applyFont="0" applyBorder="0" applyAlignment="0" applyProtection="0">
      <protection locked="0"/>
    </xf>
    <xf numFmtId="195" fontId="10" fillId="3" borderId="0" applyFont="0" applyBorder="0" applyAlignment="0">
      <protection locked="0"/>
    </xf>
    <xf numFmtId="38" fontId="45" fillId="3" borderId="0">
      <protection locked="0"/>
    </xf>
    <xf numFmtId="41" fontId="10" fillId="3" borderId="0" applyFont="0" applyBorder="0" applyAlignment="0">
      <protection locked="0"/>
    </xf>
    <xf numFmtId="10" fontId="45" fillId="3" borderId="0">
      <protection locked="0"/>
    </xf>
    <xf numFmtId="196" fontId="10" fillId="3" borderId="0" applyNumberFormat="0" applyBorder="0" applyAlignment="0">
      <protection locked="0"/>
    </xf>
    <xf numFmtId="182" fontId="10" fillId="0" borderId="0" applyFill="0" applyBorder="0" applyAlignment="0"/>
    <xf numFmtId="174" fontId="10" fillId="0" borderId="0" applyFill="0" applyBorder="0" applyAlignment="0"/>
    <xf numFmtId="182" fontId="10" fillId="0" borderId="0" applyFill="0" applyBorder="0" applyAlignment="0"/>
    <xf numFmtId="183" fontId="10" fillId="0" borderId="0" applyFill="0" applyBorder="0" applyAlignment="0"/>
    <xf numFmtId="174" fontId="10" fillId="0" borderId="0" applyFill="0" applyBorder="0" applyAlignment="0"/>
    <xf numFmtId="197" fontId="10" fillId="4" borderId="0" applyFont="0" applyBorder="0" applyAlignment="0" applyProtection="0">
      <alignment horizontal="right"/>
      <protection hidden="1"/>
    </xf>
    <xf numFmtId="198" fontId="10" fillId="0" borderId="0"/>
    <xf numFmtId="38" fontId="45" fillId="0" borderId="0" applyFont="0" applyFill="0" applyBorder="0" applyAlignment="0"/>
    <xf numFmtId="196" fontId="10" fillId="0" borderId="0" applyFont="0" applyFill="0" applyBorder="0" applyAlignment="0"/>
    <xf numFmtId="40" fontId="45" fillId="0" borderId="0" applyFont="0" applyFill="0" applyBorder="0" applyAlignment="0"/>
    <xf numFmtId="199" fontId="45" fillId="0" borderId="0" applyFont="0" applyFill="0" applyBorder="0" applyAlignment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7" fillId="0" borderId="0"/>
    <xf numFmtId="0" fontId="10" fillId="0" borderId="0"/>
    <xf numFmtId="0" fontId="1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37" fillId="0" borderId="0"/>
    <xf numFmtId="0" fontId="10" fillId="0" borderId="0"/>
    <xf numFmtId="196" fontId="10" fillId="0" borderId="0" applyNumberFormat="0" applyFill="0" applyBorder="0" applyAlignment="0" applyProtection="0"/>
    <xf numFmtId="200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02" fontId="10" fillId="0" borderId="0"/>
    <xf numFmtId="14" fontId="36" fillId="0" borderId="0">
      <alignment horizontal="center" wrapText="1"/>
      <protection locked="0"/>
    </xf>
    <xf numFmtId="181" fontId="10" fillId="0" borderId="0" applyFont="0" applyFill="0" applyBorder="0" applyAlignment="0" applyProtection="0"/>
    <xf numFmtId="198" fontId="10" fillId="0" borderId="0" applyFont="0" applyFill="0" applyBorder="0" applyAlignment="0" applyProtection="0"/>
    <xf numFmtId="41" fontId="10" fillId="0" borderId="0" applyFont="0" applyFill="0" applyBorder="0" applyAlignment="0"/>
    <xf numFmtId="10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203" fontId="10" fillId="0" borderId="0" applyFont="0" applyFill="0" applyBorder="0" applyAlignment="0" applyProtection="0"/>
    <xf numFmtId="182" fontId="10" fillId="0" borderId="0" applyFill="0" applyBorder="0" applyAlignment="0"/>
    <xf numFmtId="174" fontId="10" fillId="0" borderId="0" applyFill="0" applyBorder="0" applyAlignment="0"/>
    <xf numFmtId="182" fontId="10" fillId="0" borderId="0" applyFill="0" applyBorder="0" applyAlignment="0"/>
    <xf numFmtId="183" fontId="10" fillId="0" borderId="0" applyFill="0" applyBorder="0" applyAlignment="0"/>
    <xf numFmtId="174" fontId="10" fillId="0" borderId="0" applyFill="0" applyBorder="0" applyAlignment="0"/>
    <xf numFmtId="196" fontId="10" fillId="0" borderId="0" applyNumberFormat="0" applyFill="0" applyBorder="0" applyAlignment="0" applyProtection="0">
      <alignment horizontal="left"/>
    </xf>
    <xf numFmtId="0" fontId="48" fillId="5" borderId="0" applyNumberFormat="0" applyFont="0" applyBorder="0" applyAlignment="0">
      <alignment horizontal="center"/>
    </xf>
    <xf numFmtId="14" fontId="49" fillId="0" borderId="0" applyNumberFormat="0" applyFill="0" applyBorder="0" applyAlignment="0" applyProtection="0">
      <alignment horizontal="left"/>
    </xf>
    <xf numFmtId="0" fontId="50" fillId="0" borderId="0">
      <alignment horizontal="left" vertical="center"/>
    </xf>
    <xf numFmtId="0" fontId="50" fillId="0" borderId="0">
      <alignment horizontal="center" vertical="center"/>
    </xf>
    <xf numFmtId="0" fontId="50" fillId="0" borderId="0">
      <alignment horizontal="center" vertical="center"/>
    </xf>
    <xf numFmtId="0" fontId="50" fillId="0" borderId="0">
      <alignment horizontal="right" vertical="center"/>
    </xf>
    <xf numFmtId="0" fontId="50" fillId="0" borderId="0">
      <alignment horizontal="left" vertical="center"/>
    </xf>
    <xf numFmtId="0" fontId="50" fillId="0" borderId="0">
      <alignment horizontal="right" vertical="center"/>
    </xf>
    <xf numFmtId="0" fontId="51" fillId="0" borderId="0">
      <alignment horizontal="right" vertical="center"/>
    </xf>
    <xf numFmtId="0" fontId="51" fillId="0" borderId="0">
      <alignment horizontal="right" vertical="center"/>
    </xf>
    <xf numFmtId="0" fontId="52" fillId="0" borderId="0">
      <alignment horizontal="right" vertical="center"/>
    </xf>
    <xf numFmtId="0" fontId="52" fillId="0" borderId="0">
      <alignment horizontal="left" vertical="center"/>
    </xf>
    <xf numFmtId="0" fontId="52" fillId="0" borderId="0">
      <alignment horizontal="left" vertical="center"/>
    </xf>
    <xf numFmtId="0" fontId="53" fillId="0" borderId="0">
      <alignment horizontal="right" vertical="center"/>
    </xf>
    <xf numFmtId="0" fontId="50" fillId="0" borderId="0">
      <alignment horizontal="center" vertical="top"/>
    </xf>
    <xf numFmtId="0" fontId="53" fillId="0" borderId="0">
      <alignment horizontal="right" vertical="center"/>
    </xf>
    <xf numFmtId="0" fontId="54" fillId="0" borderId="0">
      <alignment horizontal="left" vertical="top"/>
    </xf>
    <xf numFmtId="0" fontId="50" fillId="0" borderId="0">
      <alignment horizontal="right" vertical="top"/>
    </xf>
    <xf numFmtId="0" fontId="55" fillId="0" borderId="0">
      <alignment horizontal="left" vertical="center"/>
    </xf>
    <xf numFmtId="0" fontId="53" fillId="0" borderId="0">
      <alignment horizontal="left" vertical="center"/>
    </xf>
    <xf numFmtId="0" fontId="56" fillId="0" borderId="0">
      <alignment horizontal="left" vertical="center"/>
    </xf>
    <xf numFmtId="0" fontId="54" fillId="0" borderId="0">
      <alignment horizontal="left" vertical="top"/>
    </xf>
    <xf numFmtId="0" fontId="53" fillId="0" borderId="0">
      <alignment horizontal="left" vertical="center"/>
    </xf>
    <xf numFmtId="0" fontId="50" fillId="0" borderId="0">
      <alignment horizontal="left" vertical="center"/>
    </xf>
    <xf numFmtId="0" fontId="48" fillId="1" borderId="13" applyNumberFormat="0" applyFont="0" applyAlignment="0">
      <alignment horizontal="center"/>
    </xf>
    <xf numFmtId="0" fontId="57" fillId="0" borderId="0" applyNumberFormat="0" applyFill="0" applyBorder="0" applyAlignment="0">
      <alignment horizontal="center"/>
    </xf>
    <xf numFmtId="196" fontId="10" fillId="6" borderId="0" applyNumberFormat="0" applyFont="0" applyBorder="0" applyAlignment="0">
      <protection hidden="1"/>
    </xf>
    <xf numFmtId="40" fontId="58" fillId="0" borderId="0" applyBorder="0">
      <alignment horizontal="right"/>
    </xf>
    <xf numFmtId="196" fontId="10" fillId="7" borderId="0" applyNumberFormat="0" applyFont="0" applyBorder="0" applyAlignment="0" applyProtection="0"/>
    <xf numFmtId="49" fontId="42" fillId="0" borderId="0" applyFill="0" applyBorder="0" applyAlignment="0"/>
    <xf numFmtId="204" fontId="10" fillId="0" borderId="0" applyFill="0" applyBorder="0" applyAlignment="0"/>
    <xf numFmtId="205" fontId="10" fillId="0" borderId="0" applyFill="0" applyBorder="0" applyAlignment="0"/>
    <xf numFmtId="206" fontId="10" fillId="0" borderId="0" applyFill="0" applyBorder="0" applyAlignment="0" applyProtection="0">
      <alignment horizontal="right"/>
    </xf>
    <xf numFmtId="196" fontId="10" fillId="0" borderId="0" applyNumberForma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41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41" fontId="1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" fillId="0" borderId="0"/>
    <xf numFmtId="166" fontId="10" fillId="0" borderId="0" applyFont="0" applyFill="0" applyBorder="0" applyAlignment="0" applyProtection="0"/>
    <xf numFmtId="209" fontId="10" fillId="0" borderId="0">
      <protection locked="0"/>
    </xf>
    <xf numFmtId="210" fontId="10" fillId="0" borderId="0">
      <protection locked="0"/>
    </xf>
    <xf numFmtId="210" fontId="10" fillId="0" borderId="0">
      <protection locked="0"/>
    </xf>
    <xf numFmtId="210" fontId="10" fillId="0" borderId="0">
      <protection locked="0"/>
    </xf>
    <xf numFmtId="210" fontId="10" fillId="0" borderId="0">
      <protection locked="0"/>
    </xf>
    <xf numFmtId="211" fontId="79" fillId="0" borderId="0">
      <protection locked="0"/>
    </xf>
    <xf numFmtId="210" fontId="10" fillId="0" borderId="0">
      <protection locked="0"/>
    </xf>
    <xf numFmtId="212" fontId="80" fillId="0" borderId="0">
      <protection locked="0"/>
    </xf>
    <xf numFmtId="210" fontId="10" fillId="0" borderId="0">
      <protection locked="0"/>
    </xf>
    <xf numFmtId="209" fontId="10" fillId="0" borderId="0">
      <protection locked="0"/>
    </xf>
    <xf numFmtId="210" fontId="10" fillId="0" borderId="0">
      <protection locked="0"/>
    </xf>
    <xf numFmtId="210" fontId="10" fillId="0" borderId="0">
      <protection locked="0"/>
    </xf>
    <xf numFmtId="210" fontId="10" fillId="0" borderId="0">
      <protection locked="0"/>
    </xf>
    <xf numFmtId="210" fontId="10" fillId="0" borderId="0">
      <protection locked="0"/>
    </xf>
    <xf numFmtId="211" fontId="79" fillId="0" borderId="0">
      <protection locked="0"/>
    </xf>
    <xf numFmtId="210" fontId="10" fillId="0" borderId="0">
      <protection locked="0"/>
    </xf>
    <xf numFmtId="212" fontId="80" fillId="0" borderId="0">
      <protection locked="0"/>
    </xf>
    <xf numFmtId="210" fontId="10" fillId="0" borderId="0">
      <protection locked="0"/>
    </xf>
    <xf numFmtId="9" fontId="81" fillId="0" borderId="0" applyFont="0" applyFill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82" fillId="10" borderId="0" applyNumberFormat="0" applyBorder="0" applyAlignment="0" applyProtection="0"/>
    <xf numFmtId="0" fontId="82" fillId="11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4" borderId="0" applyNumberFormat="0" applyBorder="0" applyAlignment="0" applyProtection="0"/>
    <xf numFmtId="0" fontId="82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6" borderId="0" applyNumberFormat="0" applyBorder="0" applyAlignment="0" applyProtection="0"/>
    <xf numFmtId="0" fontId="82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2" borderId="0" applyNumberFormat="0" applyBorder="0" applyAlignment="0" applyProtection="0"/>
    <xf numFmtId="0" fontId="82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0" borderId="0" applyNumberFormat="0" applyBorder="0" applyAlignment="0" applyProtection="0"/>
    <xf numFmtId="0" fontId="82" fillId="18" borderId="0" applyNumberFormat="0" applyBorder="0" applyAlignment="0" applyProtection="0"/>
    <xf numFmtId="0" fontId="82" fillId="19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14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82" fillId="21" borderId="0" applyNumberFormat="0" applyBorder="0" applyAlignment="0" applyProtection="0"/>
    <xf numFmtId="0" fontId="82" fillId="14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14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14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14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14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14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14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14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82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4" borderId="0" applyNumberFormat="0" applyBorder="0" applyAlignment="0" applyProtection="0"/>
    <xf numFmtId="0" fontId="39" fillId="24" borderId="0" applyNumberFormat="0" applyBorder="0" applyAlignment="0" applyProtection="0"/>
    <xf numFmtId="0" fontId="39" fillId="24" borderId="0" applyNumberFormat="0" applyBorder="0" applyAlignment="0" applyProtection="0"/>
    <xf numFmtId="0" fontId="39" fillId="24" borderId="0" applyNumberFormat="0" applyBorder="0" applyAlignment="0" applyProtection="0"/>
    <xf numFmtId="0" fontId="39" fillId="25" borderId="0" applyNumberFormat="0" applyBorder="0" applyAlignment="0" applyProtection="0"/>
    <xf numFmtId="0" fontId="82" fillId="24" borderId="0" applyNumberFormat="0" applyBorder="0" applyAlignment="0" applyProtection="0"/>
    <xf numFmtId="0" fontId="39" fillId="24" borderId="0" applyNumberFormat="0" applyBorder="0" applyAlignment="0" applyProtection="0"/>
    <xf numFmtId="0" fontId="39" fillId="24" borderId="0" applyNumberFormat="0" applyBorder="0" applyAlignment="0" applyProtection="0"/>
    <xf numFmtId="0" fontId="39" fillId="24" borderId="0" applyNumberFormat="0" applyBorder="0" applyAlignment="0" applyProtection="0"/>
    <xf numFmtId="0" fontId="39" fillId="24" borderId="0" applyNumberFormat="0" applyBorder="0" applyAlignment="0" applyProtection="0"/>
    <xf numFmtId="0" fontId="39" fillId="24" borderId="0" applyNumberFormat="0" applyBorder="0" applyAlignment="0" applyProtection="0"/>
    <xf numFmtId="0" fontId="39" fillId="24" borderId="0" applyNumberFormat="0" applyBorder="0" applyAlignment="0" applyProtection="0"/>
    <xf numFmtId="0" fontId="39" fillId="24" borderId="0" applyNumberFormat="0" applyBorder="0" applyAlignment="0" applyProtection="0"/>
    <xf numFmtId="0" fontId="39" fillId="24" borderId="0" applyNumberFormat="0" applyBorder="0" applyAlignment="0" applyProtection="0"/>
    <xf numFmtId="0" fontId="39" fillId="24" borderId="0" applyNumberFormat="0" applyBorder="0" applyAlignment="0" applyProtection="0"/>
    <xf numFmtId="0" fontId="39" fillId="24" borderId="0" applyNumberFormat="0" applyBorder="0" applyAlignment="0" applyProtection="0"/>
    <xf numFmtId="0" fontId="39" fillId="24" borderId="0" applyNumberFormat="0" applyBorder="0" applyAlignment="0" applyProtection="0"/>
    <xf numFmtId="0" fontId="39" fillId="24" borderId="0" applyNumberFormat="0" applyBorder="0" applyAlignment="0" applyProtection="0"/>
    <xf numFmtId="0" fontId="39" fillId="24" borderId="0" applyNumberFormat="0" applyBorder="0" applyAlignment="0" applyProtection="0"/>
    <xf numFmtId="0" fontId="39" fillId="24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82" fillId="26" borderId="0" applyNumberFormat="0" applyBorder="0" applyAlignment="0" applyProtection="0"/>
    <xf numFmtId="0" fontId="82" fillId="27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23" borderId="0" applyNumberFormat="0" applyBorder="0" applyAlignment="0" applyProtection="0"/>
    <xf numFmtId="0" fontId="82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82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14" borderId="0" applyNumberFormat="0" applyBorder="0" applyAlignment="0" applyProtection="0"/>
    <xf numFmtId="0" fontId="82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83" fillId="30" borderId="0" applyNumberFormat="0" applyBorder="0" applyAlignment="0" applyProtection="0"/>
    <xf numFmtId="0" fontId="83" fillId="30" borderId="0" applyNumberFormat="0" applyBorder="0" applyAlignment="0" applyProtection="0"/>
    <xf numFmtId="0" fontId="83" fillId="31" borderId="0" applyNumberFormat="0" applyBorder="0" applyAlignment="0" applyProtection="0"/>
    <xf numFmtId="0" fontId="84" fillId="30" borderId="0" applyNumberFormat="0" applyBorder="0" applyAlignment="0" applyProtection="0"/>
    <xf numFmtId="0" fontId="83" fillId="30" borderId="0" applyNumberFormat="0" applyBorder="0" applyAlignment="0" applyProtection="0"/>
    <xf numFmtId="0" fontId="83" fillId="30" borderId="0" applyNumberFormat="0" applyBorder="0" applyAlignment="0" applyProtection="0"/>
    <xf numFmtId="0" fontId="83" fillId="30" borderId="0" applyNumberFormat="0" applyBorder="0" applyAlignment="0" applyProtection="0"/>
    <xf numFmtId="0" fontId="83" fillId="30" borderId="0" applyNumberFormat="0" applyBorder="0" applyAlignment="0" applyProtection="0"/>
    <xf numFmtId="0" fontId="83" fillId="30" borderId="0" applyNumberFormat="0" applyBorder="0" applyAlignment="0" applyProtection="0"/>
    <xf numFmtId="0" fontId="83" fillId="30" borderId="0" applyNumberFormat="0" applyBorder="0" applyAlignment="0" applyProtection="0"/>
    <xf numFmtId="0" fontId="83" fillId="30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32" borderId="0" applyNumberFormat="0" applyBorder="0" applyAlignment="0" applyProtection="0"/>
    <xf numFmtId="0" fontId="84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6" borderId="0" applyNumberFormat="0" applyBorder="0" applyAlignment="0" applyProtection="0"/>
    <xf numFmtId="0" fontId="83" fillId="27" borderId="0" applyNumberFormat="0" applyBorder="0" applyAlignment="0" applyProtection="0"/>
    <xf numFmtId="0" fontId="83" fillId="26" borderId="0" applyNumberFormat="0" applyBorder="0" applyAlignment="0" applyProtection="0"/>
    <xf numFmtId="0" fontId="83" fillId="27" borderId="0" applyNumberFormat="0" applyBorder="0" applyAlignment="0" applyProtection="0"/>
    <xf numFmtId="0" fontId="83" fillId="33" borderId="0" applyNumberFormat="0" applyBorder="0" applyAlignment="0" applyProtection="0"/>
    <xf numFmtId="0" fontId="84" fillId="26" borderId="0" applyNumberFormat="0" applyBorder="0" applyAlignment="0" applyProtection="0"/>
    <xf numFmtId="0" fontId="84" fillId="27" borderId="0" applyNumberFormat="0" applyBorder="0" applyAlignment="0" applyProtection="0"/>
    <xf numFmtId="0" fontId="83" fillId="26" borderId="0" applyNumberFormat="0" applyBorder="0" applyAlignment="0" applyProtection="0"/>
    <xf numFmtId="0" fontId="83" fillId="27" borderId="0" applyNumberFormat="0" applyBorder="0" applyAlignment="0" applyProtection="0"/>
    <xf numFmtId="0" fontId="83" fillId="26" borderId="0" applyNumberFormat="0" applyBorder="0" applyAlignment="0" applyProtection="0"/>
    <xf numFmtId="0" fontId="83" fillId="27" borderId="0" applyNumberFormat="0" applyBorder="0" applyAlignment="0" applyProtection="0"/>
    <xf numFmtId="0" fontId="83" fillId="26" borderId="0" applyNumberFormat="0" applyBorder="0" applyAlignment="0" applyProtection="0"/>
    <xf numFmtId="0" fontId="83" fillId="27" borderId="0" applyNumberFormat="0" applyBorder="0" applyAlignment="0" applyProtection="0"/>
    <xf numFmtId="0" fontId="83" fillId="26" borderId="0" applyNumberFormat="0" applyBorder="0" applyAlignment="0" applyProtection="0"/>
    <xf numFmtId="0" fontId="83" fillId="27" borderId="0" applyNumberFormat="0" applyBorder="0" applyAlignment="0" applyProtection="0"/>
    <xf numFmtId="0" fontId="83" fillId="26" borderId="0" applyNumberFormat="0" applyBorder="0" applyAlignment="0" applyProtection="0"/>
    <xf numFmtId="0" fontId="83" fillId="27" borderId="0" applyNumberFormat="0" applyBorder="0" applyAlignment="0" applyProtection="0"/>
    <xf numFmtId="0" fontId="83" fillId="26" borderId="0" applyNumberFormat="0" applyBorder="0" applyAlignment="0" applyProtection="0"/>
    <xf numFmtId="0" fontId="83" fillId="27" borderId="0" applyNumberFormat="0" applyBorder="0" applyAlignment="0" applyProtection="0"/>
    <xf numFmtId="0" fontId="83" fillId="26" borderId="0" applyNumberFormat="0" applyBorder="0" applyAlignment="0" applyProtection="0"/>
    <xf numFmtId="0" fontId="83" fillId="27" borderId="0" applyNumberFormat="0" applyBorder="0" applyAlignment="0" applyProtection="0"/>
    <xf numFmtId="0" fontId="83" fillId="34" borderId="0" applyNumberFormat="0" applyBorder="0" applyAlignment="0" applyProtection="0"/>
    <xf numFmtId="0" fontId="83" fillId="35" borderId="0" applyNumberFormat="0" applyBorder="0" applyAlignment="0" applyProtection="0"/>
    <xf numFmtId="0" fontId="83" fillId="34" borderId="0" applyNumberFormat="0" applyBorder="0" applyAlignment="0" applyProtection="0"/>
    <xf numFmtId="0" fontId="83" fillId="35" borderId="0" applyNumberFormat="0" applyBorder="0" applyAlignment="0" applyProtection="0"/>
    <xf numFmtId="0" fontId="83" fillId="23" borderId="0" applyNumberFormat="0" applyBorder="0" applyAlignment="0" applyProtection="0"/>
    <xf numFmtId="0" fontId="84" fillId="34" borderId="0" applyNumberFormat="0" applyBorder="0" applyAlignment="0" applyProtection="0"/>
    <xf numFmtId="0" fontId="84" fillId="35" borderId="0" applyNumberFormat="0" applyBorder="0" applyAlignment="0" applyProtection="0"/>
    <xf numFmtId="0" fontId="83" fillId="34" borderId="0" applyNumberFormat="0" applyBorder="0" applyAlignment="0" applyProtection="0"/>
    <xf numFmtId="0" fontId="83" fillId="35" borderId="0" applyNumberFormat="0" applyBorder="0" applyAlignment="0" applyProtection="0"/>
    <xf numFmtId="0" fontId="83" fillId="34" borderId="0" applyNumberFormat="0" applyBorder="0" applyAlignment="0" applyProtection="0"/>
    <xf numFmtId="0" fontId="83" fillId="35" borderId="0" applyNumberFormat="0" applyBorder="0" applyAlignment="0" applyProtection="0"/>
    <xf numFmtId="0" fontId="83" fillId="34" borderId="0" applyNumberFormat="0" applyBorder="0" applyAlignment="0" applyProtection="0"/>
    <xf numFmtId="0" fontId="83" fillId="35" borderId="0" applyNumberFormat="0" applyBorder="0" applyAlignment="0" applyProtection="0"/>
    <xf numFmtId="0" fontId="83" fillId="34" borderId="0" applyNumberFormat="0" applyBorder="0" applyAlignment="0" applyProtection="0"/>
    <xf numFmtId="0" fontId="83" fillId="35" borderId="0" applyNumberFormat="0" applyBorder="0" applyAlignment="0" applyProtection="0"/>
    <xf numFmtId="0" fontId="83" fillId="34" borderId="0" applyNumberFormat="0" applyBorder="0" applyAlignment="0" applyProtection="0"/>
    <xf numFmtId="0" fontId="83" fillId="35" borderId="0" applyNumberFormat="0" applyBorder="0" applyAlignment="0" applyProtection="0"/>
    <xf numFmtId="0" fontId="83" fillId="34" borderId="0" applyNumberFormat="0" applyBorder="0" applyAlignment="0" applyProtection="0"/>
    <xf numFmtId="0" fontId="83" fillId="35" borderId="0" applyNumberFormat="0" applyBorder="0" applyAlignment="0" applyProtection="0"/>
    <xf numFmtId="0" fontId="83" fillId="34" borderId="0" applyNumberFormat="0" applyBorder="0" applyAlignment="0" applyProtection="0"/>
    <xf numFmtId="0" fontId="83" fillId="35" borderId="0" applyNumberFormat="0" applyBorder="0" applyAlignment="0" applyProtection="0"/>
    <xf numFmtId="0" fontId="83" fillId="36" borderId="0" applyNumberFormat="0" applyBorder="0" applyAlignment="0" applyProtection="0"/>
    <xf numFmtId="0" fontId="83" fillId="36" borderId="0" applyNumberFormat="0" applyBorder="0" applyAlignment="0" applyProtection="0"/>
    <xf numFmtId="0" fontId="83" fillId="31" borderId="0" applyNumberFormat="0" applyBorder="0" applyAlignment="0" applyProtection="0"/>
    <xf numFmtId="0" fontId="84" fillId="36" borderId="0" applyNumberFormat="0" applyBorder="0" applyAlignment="0" applyProtection="0"/>
    <xf numFmtId="0" fontId="83" fillId="36" borderId="0" applyNumberFormat="0" applyBorder="0" applyAlignment="0" applyProtection="0"/>
    <xf numFmtId="0" fontId="83" fillId="36" borderId="0" applyNumberFormat="0" applyBorder="0" applyAlignment="0" applyProtection="0"/>
    <xf numFmtId="0" fontId="83" fillId="36" borderId="0" applyNumberFormat="0" applyBorder="0" applyAlignment="0" applyProtection="0"/>
    <xf numFmtId="0" fontId="83" fillId="36" borderId="0" applyNumberFormat="0" applyBorder="0" applyAlignment="0" applyProtection="0"/>
    <xf numFmtId="0" fontId="83" fillId="36" borderId="0" applyNumberFormat="0" applyBorder="0" applyAlignment="0" applyProtection="0"/>
    <xf numFmtId="0" fontId="83" fillId="36" borderId="0" applyNumberFormat="0" applyBorder="0" applyAlignment="0" applyProtection="0"/>
    <xf numFmtId="0" fontId="83" fillId="36" borderId="0" applyNumberFormat="0" applyBorder="0" applyAlignment="0" applyProtection="0"/>
    <xf numFmtId="0" fontId="83" fillId="37" borderId="0" applyNumberFormat="0" applyBorder="0" applyAlignment="0" applyProtection="0"/>
    <xf numFmtId="0" fontId="83" fillId="38" borderId="0" applyNumberFormat="0" applyBorder="0" applyAlignment="0" applyProtection="0"/>
    <xf numFmtId="0" fontId="83" fillId="37" borderId="0" applyNumberFormat="0" applyBorder="0" applyAlignment="0" applyProtection="0"/>
    <xf numFmtId="0" fontId="83" fillId="38" borderId="0" applyNumberFormat="0" applyBorder="0" applyAlignment="0" applyProtection="0"/>
    <xf numFmtId="0" fontId="83" fillId="14" borderId="0" applyNumberFormat="0" applyBorder="0" applyAlignment="0" applyProtection="0"/>
    <xf numFmtId="0" fontId="84" fillId="37" borderId="0" applyNumberFormat="0" applyBorder="0" applyAlignment="0" applyProtection="0"/>
    <xf numFmtId="0" fontId="84" fillId="38" borderId="0" applyNumberFormat="0" applyBorder="0" applyAlignment="0" applyProtection="0"/>
    <xf numFmtId="0" fontId="83" fillId="37" borderId="0" applyNumberFormat="0" applyBorder="0" applyAlignment="0" applyProtection="0"/>
    <xf numFmtId="0" fontId="83" fillId="38" borderId="0" applyNumberFormat="0" applyBorder="0" applyAlignment="0" applyProtection="0"/>
    <xf numFmtId="0" fontId="83" fillId="37" borderId="0" applyNumberFormat="0" applyBorder="0" applyAlignment="0" applyProtection="0"/>
    <xf numFmtId="0" fontId="83" fillId="38" borderId="0" applyNumberFormat="0" applyBorder="0" applyAlignment="0" applyProtection="0"/>
    <xf numFmtId="0" fontId="83" fillId="37" borderId="0" applyNumberFormat="0" applyBorder="0" applyAlignment="0" applyProtection="0"/>
    <xf numFmtId="0" fontId="83" fillId="38" borderId="0" applyNumberFormat="0" applyBorder="0" applyAlignment="0" applyProtection="0"/>
    <xf numFmtId="0" fontId="83" fillId="37" borderId="0" applyNumberFormat="0" applyBorder="0" applyAlignment="0" applyProtection="0"/>
    <xf numFmtId="0" fontId="83" fillId="38" borderId="0" applyNumberFormat="0" applyBorder="0" applyAlignment="0" applyProtection="0"/>
    <xf numFmtId="0" fontId="83" fillId="37" borderId="0" applyNumberFormat="0" applyBorder="0" applyAlignment="0" applyProtection="0"/>
    <xf numFmtId="0" fontId="83" fillId="38" borderId="0" applyNumberFormat="0" applyBorder="0" applyAlignment="0" applyProtection="0"/>
    <xf numFmtId="0" fontId="83" fillId="37" borderId="0" applyNumberFormat="0" applyBorder="0" applyAlignment="0" applyProtection="0"/>
    <xf numFmtId="0" fontId="83" fillId="38" borderId="0" applyNumberFormat="0" applyBorder="0" applyAlignment="0" applyProtection="0"/>
    <xf numFmtId="0" fontId="83" fillId="37" borderId="0" applyNumberFormat="0" applyBorder="0" applyAlignment="0" applyProtection="0"/>
    <xf numFmtId="0" fontId="83" fillId="38" borderId="0" applyNumberFormat="0" applyBorder="0" applyAlignment="0" applyProtection="0"/>
    <xf numFmtId="0" fontId="83" fillId="39" borderId="0" applyNumberFormat="0" applyBorder="0" applyAlignment="0" applyProtection="0"/>
    <xf numFmtId="0" fontId="83" fillId="39" borderId="0" applyNumberFormat="0" applyBorder="0" applyAlignment="0" applyProtection="0"/>
    <xf numFmtId="0" fontId="83" fillId="31" borderId="0" applyNumberFormat="0" applyBorder="0" applyAlignment="0" applyProtection="0"/>
    <xf numFmtId="0" fontId="84" fillId="39" borderId="0" applyNumberFormat="0" applyBorder="0" applyAlignment="0" applyProtection="0"/>
    <xf numFmtId="0" fontId="83" fillId="39" borderId="0" applyNumberFormat="0" applyBorder="0" applyAlignment="0" applyProtection="0"/>
    <xf numFmtId="0" fontId="83" fillId="39" borderId="0" applyNumberFormat="0" applyBorder="0" applyAlignment="0" applyProtection="0"/>
    <xf numFmtId="0" fontId="83" fillId="39" borderId="0" applyNumberFormat="0" applyBorder="0" applyAlignment="0" applyProtection="0"/>
    <xf numFmtId="0" fontId="83" fillId="39" borderId="0" applyNumberFormat="0" applyBorder="0" applyAlignment="0" applyProtection="0"/>
    <xf numFmtId="0" fontId="83" fillId="39" borderId="0" applyNumberFormat="0" applyBorder="0" applyAlignment="0" applyProtection="0"/>
    <xf numFmtId="0" fontId="83" fillId="39" borderId="0" applyNumberFormat="0" applyBorder="0" applyAlignment="0" applyProtection="0"/>
    <xf numFmtId="0" fontId="83" fillId="39" borderId="0" applyNumberFormat="0" applyBorder="0" applyAlignment="0" applyProtection="0"/>
    <xf numFmtId="0" fontId="83" fillId="40" borderId="0" applyNumberFormat="0" applyBorder="0" applyAlignment="0" applyProtection="0"/>
    <xf numFmtId="0" fontId="83" fillId="40" borderId="0" applyNumberFormat="0" applyBorder="0" applyAlignment="0" applyProtection="0"/>
    <xf numFmtId="0" fontId="83" fillId="32" borderId="0" applyNumberFormat="0" applyBorder="0" applyAlignment="0" applyProtection="0"/>
    <xf numFmtId="0" fontId="84" fillId="40" borderId="0" applyNumberFormat="0" applyBorder="0" applyAlignment="0" applyProtection="0"/>
    <xf numFmtId="0" fontId="83" fillId="40" borderId="0" applyNumberFormat="0" applyBorder="0" applyAlignment="0" applyProtection="0"/>
    <xf numFmtId="0" fontId="83" fillId="40" borderId="0" applyNumberFormat="0" applyBorder="0" applyAlignment="0" applyProtection="0"/>
    <xf numFmtId="0" fontId="83" fillId="40" borderId="0" applyNumberFormat="0" applyBorder="0" applyAlignment="0" applyProtection="0"/>
    <xf numFmtId="0" fontId="83" fillId="40" borderId="0" applyNumberFormat="0" applyBorder="0" applyAlignment="0" applyProtection="0"/>
    <xf numFmtId="0" fontId="83" fillId="40" borderId="0" applyNumberFormat="0" applyBorder="0" applyAlignment="0" applyProtection="0"/>
    <xf numFmtId="0" fontId="83" fillId="40" borderId="0" applyNumberFormat="0" applyBorder="0" applyAlignment="0" applyProtection="0"/>
    <xf numFmtId="0" fontId="83" fillId="40" borderId="0" applyNumberFormat="0" applyBorder="0" applyAlignment="0" applyProtection="0"/>
    <xf numFmtId="0" fontId="83" fillId="41" borderId="0" applyNumberFormat="0" applyBorder="0" applyAlignment="0" applyProtection="0"/>
    <xf numFmtId="0" fontId="83" fillId="42" borderId="0" applyNumberFormat="0" applyBorder="0" applyAlignment="0" applyProtection="0"/>
    <xf numFmtId="0" fontId="83" fillId="41" borderId="0" applyNumberFormat="0" applyBorder="0" applyAlignment="0" applyProtection="0"/>
    <xf numFmtId="0" fontId="83" fillId="42" borderId="0" applyNumberFormat="0" applyBorder="0" applyAlignment="0" applyProtection="0"/>
    <xf numFmtId="0" fontId="83" fillId="42" borderId="0" applyNumberFormat="0" applyBorder="0" applyAlignment="0" applyProtection="0"/>
    <xf numFmtId="0" fontId="84" fillId="41" borderId="0" applyNumberFormat="0" applyBorder="0" applyAlignment="0" applyProtection="0"/>
    <xf numFmtId="0" fontId="84" fillId="42" borderId="0" applyNumberFormat="0" applyBorder="0" applyAlignment="0" applyProtection="0"/>
    <xf numFmtId="0" fontId="83" fillId="41" borderId="0" applyNumberFormat="0" applyBorder="0" applyAlignment="0" applyProtection="0"/>
    <xf numFmtId="0" fontId="83" fillId="42" borderId="0" applyNumberFormat="0" applyBorder="0" applyAlignment="0" applyProtection="0"/>
    <xf numFmtId="0" fontId="83" fillId="41" borderId="0" applyNumberFormat="0" applyBorder="0" applyAlignment="0" applyProtection="0"/>
    <xf numFmtId="0" fontId="83" fillId="42" borderId="0" applyNumberFormat="0" applyBorder="0" applyAlignment="0" applyProtection="0"/>
    <xf numFmtId="0" fontId="83" fillId="41" borderId="0" applyNumberFormat="0" applyBorder="0" applyAlignment="0" applyProtection="0"/>
    <xf numFmtId="0" fontId="83" fillId="42" borderId="0" applyNumberFormat="0" applyBorder="0" applyAlignment="0" applyProtection="0"/>
    <xf numFmtId="0" fontId="83" fillId="41" borderId="0" applyNumberFormat="0" applyBorder="0" applyAlignment="0" applyProtection="0"/>
    <xf numFmtId="0" fontId="83" fillId="42" borderId="0" applyNumberFormat="0" applyBorder="0" applyAlignment="0" applyProtection="0"/>
    <xf numFmtId="0" fontId="83" fillId="41" borderId="0" applyNumberFormat="0" applyBorder="0" applyAlignment="0" applyProtection="0"/>
    <xf numFmtId="0" fontId="83" fillId="42" borderId="0" applyNumberFormat="0" applyBorder="0" applyAlignment="0" applyProtection="0"/>
    <xf numFmtId="0" fontId="83" fillId="41" borderId="0" applyNumberFormat="0" applyBorder="0" applyAlignment="0" applyProtection="0"/>
    <xf numFmtId="0" fontId="83" fillId="42" borderId="0" applyNumberFormat="0" applyBorder="0" applyAlignment="0" applyProtection="0"/>
    <xf numFmtId="0" fontId="83" fillId="41" borderId="0" applyNumberFormat="0" applyBorder="0" applyAlignment="0" applyProtection="0"/>
    <xf numFmtId="0" fontId="83" fillId="42" borderId="0" applyNumberFormat="0" applyBorder="0" applyAlignment="0" applyProtection="0"/>
    <xf numFmtId="0" fontId="83" fillId="34" borderId="0" applyNumberFormat="0" applyBorder="0" applyAlignment="0" applyProtection="0"/>
    <xf numFmtId="0" fontId="83" fillId="35" borderId="0" applyNumberFormat="0" applyBorder="0" applyAlignment="0" applyProtection="0"/>
    <xf numFmtId="0" fontId="83" fillId="34" borderId="0" applyNumberFormat="0" applyBorder="0" applyAlignment="0" applyProtection="0"/>
    <xf numFmtId="0" fontId="83" fillId="35" borderId="0" applyNumberFormat="0" applyBorder="0" applyAlignment="0" applyProtection="0"/>
    <xf numFmtId="0" fontId="83" fillId="43" borderId="0" applyNumberFormat="0" applyBorder="0" applyAlignment="0" applyProtection="0"/>
    <xf numFmtId="0" fontId="84" fillId="34" borderId="0" applyNumberFormat="0" applyBorder="0" applyAlignment="0" applyProtection="0"/>
    <xf numFmtId="0" fontId="84" fillId="35" borderId="0" applyNumberFormat="0" applyBorder="0" applyAlignment="0" applyProtection="0"/>
    <xf numFmtId="0" fontId="83" fillId="34" borderId="0" applyNumberFormat="0" applyBorder="0" applyAlignment="0" applyProtection="0"/>
    <xf numFmtId="0" fontId="83" fillId="35" borderId="0" applyNumberFormat="0" applyBorder="0" applyAlignment="0" applyProtection="0"/>
    <xf numFmtId="0" fontId="83" fillId="34" borderId="0" applyNumberFormat="0" applyBorder="0" applyAlignment="0" applyProtection="0"/>
    <xf numFmtId="0" fontId="83" fillId="35" borderId="0" applyNumberFormat="0" applyBorder="0" applyAlignment="0" applyProtection="0"/>
    <xf numFmtId="0" fontId="83" fillId="34" borderId="0" applyNumberFormat="0" applyBorder="0" applyAlignment="0" applyProtection="0"/>
    <xf numFmtId="0" fontId="83" fillId="35" borderId="0" applyNumberFormat="0" applyBorder="0" applyAlignment="0" applyProtection="0"/>
    <xf numFmtId="0" fontId="83" fillId="34" borderId="0" applyNumberFormat="0" applyBorder="0" applyAlignment="0" applyProtection="0"/>
    <xf numFmtId="0" fontId="83" fillId="35" borderId="0" applyNumberFormat="0" applyBorder="0" applyAlignment="0" applyProtection="0"/>
    <xf numFmtId="0" fontId="83" fillId="34" borderId="0" applyNumberFormat="0" applyBorder="0" applyAlignment="0" applyProtection="0"/>
    <xf numFmtId="0" fontId="83" fillId="35" borderId="0" applyNumberFormat="0" applyBorder="0" applyAlignment="0" applyProtection="0"/>
    <xf numFmtId="0" fontId="83" fillId="34" borderId="0" applyNumberFormat="0" applyBorder="0" applyAlignment="0" applyProtection="0"/>
    <xf numFmtId="0" fontId="83" fillId="35" borderId="0" applyNumberFormat="0" applyBorder="0" applyAlignment="0" applyProtection="0"/>
    <xf numFmtId="0" fontId="83" fillId="34" borderId="0" applyNumberFormat="0" applyBorder="0" applyAlignment="0" applyProtection="0"/>
    <xf numFmtId="0" fontId="83" fillId="35" borderId="0" applyNumberFormat="0" applyBorder="0" applyAlignment="0" applyProtection="0"/>
    <xf numFmtId="0" fontId="83" fillId="36" borderId="0" applyNumberFormat="0" applyBorder="0" applyAlignment="0" applyProtection="0"/>
    <xf numFmtId="0" fontId="83" fillId="36" borderId="0" applyNumberFormat="0" applyBorder="0" applyAlignment="0" applyProtection="0"/>
    <xf numFmtId="0" fontId="83" fillId="31" borderId="0" applyNumberFormat="0" applyBorder="0" applyAlignment="0" applyProtection="0"/>
    <xf numFmtId="0" fontId="84" fillId="36" borderId="0" applyNumberFormat="0" applyBorder="0" applyAlignment="0" applyProtection="0"/>
    <xf numFmtId="0" fontId="83" fillId="36" borderId="0" applyNumberFormat="0" applyBorder="0" applyAlignment="0" applyProtection="0"/>
    <xf numFmtId="0" fontId="83" fillId="36" borderId="0" applyNumberFormat="0" applyBorder="0" applyAlignment="0" applyProtection="0"/>
    <xf numFmtId="0" fontId="83" fillId="36" borderId="0" applyNumberFormat="0" applyBorder="0" applyAlignment="0" applyProtection="0"/>
    <xf numFmtId="0" fontId="83" fillId="36" borderId="0" applyNumberFormat="0" applyBorder="0" applyAlignment="0" applyProtection="0"/>
    <xf numFmtId="0" fontId="83" fillId="36" borderId="0" applyNumberFormat="0" applyBorder="0" applyAlignment="0" applyProtection="0"/>
    <xf numFmtId="0" fontId="83" fillId="36" borderId="0" applyNumberFormat="0" applyBorder="0" applyAlignment="0" applyProtection="0"/>
    <xf numFmtId="0" fontId="83" fillId="36" borderId="0" applyNumberFormat="0" applyBorder="0" applyAlignment="0" applyProtection="0"/>
    <xf numFmtId="0" fontId="83" fillId="44" borderId="0" applyNumberFormat="0" applyBorder="0" applyAlignment="0" applyProtection="0"/>
    <xf numFmtId="0" fontId="83" fillId="25" borderId="0" applyNumberFormat="0" applyBorder="0" applyAlignment="0" applyProtection="0"/>
    <xf numFmtId="0" fontId="83" fillId="44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84" fillId="44" borderId="0" applyNumberFormat="0" applyBorder="0" applyAlignment="0" applyProtection="0"/>
    <xf numFmtId="0" fontId="84" fillId="25" borderId="0" applyNumberFormat="0" applyBorder="0" applyAlignment="0" applyProtection="0"/>
    <xf numFmtId="0" fontId="83" fillId="44" borderId="0" applyNumberFormat="0" applyBorder="0" applyAlignment="0" applyProtection="0"/>
    <xf numFmtId="0" fontId="83" fillId="25" borderId="0" applyNumberFormat="0" applyBorder="0" applyAlignment="0" applyProtection="0"/>
    <xf numFmtId="0" fontId="83" fillId="44" borderId="0" applyNumberFormat="0" applyBorder="0" applyAlignment="0" applyProtection="0"/>
    <xf numFmtId="0" fontId="83" fillId="25" borderId="0" applyNumberFormat="0" applyBorder="0" applyAlignment="0" applyProtection="0"/>
    <xf numFmtId="0" fontId="83" fillId="44" borderId="0" applyNumberFormat="0" applyBorder="0" applyAlignment="0" applyProtection="0"/>
    <xf numFmtId="0" fontId="83" fillId="25" borderId="0" applyNumberFormat="0" applyBorder="0" applyAlignment="0" applyProtection="0"/>
    <xf numFmtId="0" fontId="83" fillId="44" borderId="0" applyNumberFormat="0" applyBorder="0" applyAlignment="0" applyProtection="0"/>
    <xf numFmtId="0" fontId="83" fillId="25" borderId="0" applyNumberFormat="0" applyBorder="0" applyAlignment="0" applyProtection="0"/>
    <xf numFmtId="0" fontId="83" fillId="44" borderId="0" applyNumberFormat="0" applyBorder="0" applyAlignment="0" applyProtection="0"/>
    <xf numFmtId="0" fontId="83" fillId="25" borderId="0" applyNumberFormat="0" applyBorder="0" applyAlignment="0" applyProtection="0"/>
    <xf numFmtId="0" fontId="83" fillId="44" borderId="0" applyNumberFormat="0" applyBorder="0" applyAlignment="0" applyProtection="0"/>
    <xf numFmtId="0" fontId="83" fillId="25" borderId="0" applyNumberFormat="0" applyBorder="0" applyAlignment="0" applyProtection="0"/>
    <xf numFmtId="0" fontId="83" fillId="44" borderId="0" applyNumberFormat="0" applyBorder="0" applyAlignment="0" applyProtection="0"/>
    <xf numFmtId="0" fontId="83" fillId="25" borderId="0" applyNumberFormat="0" applyBorder="0" applyAlignment="0" applyProtection="0"/>
    <xf numFmtId="168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213" fontId="80" fillId="0" borderId="0" applyFont="0" applyFill="0" applyBorder="0" applyAlignment="0" applyProtection="0"/>
    <xf numFmtId="0" fontId="85" fillId="13" borderId="0" applyNumberFormat="0" applyBorder="0" applyAlignment="0" applyProtection="0"/>
    <xf numFmtId="0" fontId="85" fillId="13" borderId="0" applyNumberFormat="0" applyBorder="0" applyAlignment="0" applyProtection="0"/>
    <xf numFmtId="0" fontId="86" fillId="17" borderId="0" applyNumberFormat="0" applyBorder="0" applyAlignment="0" applyProtection="0"/>
    <xf numFmtId="0" fontId="87" fillId="13" borderId="0" applyNumberFormat="0" applyBorder="0" applyAlignment="0" applyProtection="0"/>
    <xf numFmtId="0" fontId="85" fillId="13" borderId="0" applyNumberFormat="0" applyBorder="0" applyAlignment="0" applyProtection="0"/>
    <xf numFmtId="0" fontId="85" fillId="13" borderId="0" applyNumberFormat="0" applyBorder="0" applyAlignment="0" applyProtection="0"/>
    <xf numFmtId="0" fontId="85" fillId="13" borderId="0" applyNumberFormat="0" applyBorder="0" applyAlignment="0" applyProtection="0"/>
    <xf numFmtId="0" fontId="85" fillId="13" borderId="0" applyNumberFormat="0" applyBorder="0" applyAlignment="0" applyProtection="0"/>
    <xf numFmtId="0" fontId="85" fillId="13" borderId="0" applyNumberFormat="0" applyBorder="0" applyAlignment="0" applyProtection="0"/>
    <xf numFmtId="0" fontId="85" fillId="13" borderId="0" applyNumberFormat="0" applyBorder="0" applyAlignment="0" applyProtection="0"/>
    <xf numFmtId="0" fontId="85" fillId="13" borderId="0" applyNumberFormat="0" applyBorder="0" applyAlignment="0" applyProtection="0"/>
    <xf numFmtId="0" fontId="81" fillId="0" borderId="0"/>
    <xf numFmtId="0" fontId="88" fillId="23" borderId="90" applyNumberFormat="0" applyAlignment="0" applyProtection="0"/>
    <xf numFmtId="0" fontId="88" fillId="23" borderId="90" applyNumberFormat="0" applyAlignment="0" applyProtection="0"/>
    <xf numFmtId="0" fontId="88" fillId="23" borderId="90" applyNumberFormat="0" applyAlignment="0" applyProtection="0"/>
    <xf numFmtId="0" fontId="88" fillId="23" borderId="90" applyNumberFormat="0" applyAlignment="0" applyProtection="0"/>
    <xf numFmtId="0" fontId="88" fillId="23" borderId="90" applyNumberFormat="0" applyAlignment="0" applyProtection="0"/>
    <xf numFmtId="0" fontId="88" fillId="23" borderId="90" applyNumberFormat="0" applyAlignment="0" applyProtection="0"/>
    <xf numFmtId="0" fontId="88" fillId="12" borderId="90" applyNumberFormat="0" applyAlignment="0" applyProtection="0"/>
    <xf numFmtId="0" fontId="88" fillId="12" borderId="90" applyNumberFormat="0" applyAlignment="0" applyProtection="0"/>
    <xf numFmtId="0" fontId="88" fillId="12" borderId="90" applyNumberFormat="0" applyAlignment="0" applyProtection="0"/>
    <xf numFmtId="0" fontId="89" fillId="23" borderId="90" applyNumberFormat="0" applyAlignment="0" applyProtection="0"/>
    <xf numFmtId="0" fontId="89" fillId="23" borderId="90" applyNumberFormat="0" applyAlignment="0" applyProtection="0"/>
    <xf numFmtId="0" fontId="89" fillId="23" borderId="90" applyNumberFormat="0" applyAlignment="0" applyProtection="0"/>
    <xf numFmtId="0" fontId="88" fillId="23" borderId="90" applyNumberFormat="0" applyAlignment="0" applyProtection="0"/>
    <xf numFmtId="0" fontId="88" fillId="23" borderId="90" applyNumberFormat="0" applyAlignment="0" applyProtection="0"/>
    <xf numFmtId="0" fontId="88" fillId="23" borderId="90" applyNumberFormat="0" applyAlignment="0" applyProtection="0"/>
    <xf numFmtId="0" fontId="88" fillId="23" borderId="90" applyNumberFormat="0" applyAlignment="0" applyProtection="0"/>
    <xf numFmtId="0" fontId="88" fillId="23" borderId="90" applyNumberFormat="0" applyAlignment="0" applyProtection="0"/>
    <xf numFmtId="0" fontId="88" fillId="23" borderId="90" applyNumberFormat="0" applyAlignment="0" applyProtection="0"/>
    <xf numFmtId="0" fontId="88" fillId="23" borderId="90" applyNumberFormat="0" applyAlignment="0" applyProtection="0"/>
    <xf numFmtId="0" fontId="88" fillId="23" borderId="90" applyNumberFormat="0" applyAlignment="0" applyProtection="0"/>
    <xf numFmtId="0" fontId="88" fillId="23" borderId="90" applyNumberFormat="0" applyAlignment="0" applyProtection="0"/>
    <xf numFmtId="0" fontId="88" fillId="23" borderId="90" applyNumberFormat="0" applyAlignment="0" applyProtection="0"/>
    <xf numFmtId="0" fontId="88" fillId="23" borderId="90" applyNumberFormat="0" applyAlignment="0" applyProtection="0"/>
    <xf numFmtId="0" fontId="88" fillId="23" borderId="90" applyNumberFormat="0" applyAlignment="0" applyProtection="0"/>
    <xf numFmtId="0" fontId="88" fillId="23" borderId="90" applyNumberFormat="0" applyAlignment="0" applyProtection="0"/>
    <xf numFmtId="0" fontId="88" fillId="23" borderId="90" applyNumberFormat="0" applyAlignment="0" applyProtection="0"/>
    <xf numFmtId="0" fontId="88" fillId="23" borderId="90" applyNumberFormat="0" applyAlignment="0" applyProtection="0"/>
    <xf numFmtId="0" fontId="88" fillId="23" borderId="90" applyNumberFormat="0" applyAlignment="0" applyProtection="0"/>
    <xf numFmtId="0" fontId="88" fillId="23" borderId="90" applyNumberFormat="0" applyAlignment="0" applyProtection="0"/>
    <xf numFmtId="0" fontId="88" fillId="23" borderId="90" applyNumberFormat="0" applyAlignment="0" applyProtection="0"/>
    <xf numFmtId="0" fontId="88" fillId="23" borderId="90" applyNumberFormat="0" applyAlignment="0" applyProtection="0"/>
    <xf numFmtId="0" fontId="88" fillId="23" borderId="90" applyNumberFormat="0" applyAlignment="0" applyProtection="0"/>
    <xf numFmtId="0" fontId="88" fillId="23" borderId="90" applyNumberFormat="0" applyAlignment="0" applyProtection="0"/>
    <xf numFmtId="0" fontId="90" fillId="45" borderId="91" applyNumberFormat="0" applyAlignment="0" applyProtection="0"/>
    <xf numFmtId="0" fontId="90" fillId="31" borderId="91" applyNumberFormat="0" applyAlignment="0" applyProtection="0"/>
    <xf numFmtId="0" fontId="90" fillId="45" borderId="91" applyNumberFormat="0" applyAlignment="0" applyProtection="0"/>
    <xf numFmtId="0" fontId="90" fillId="31" borderId="91" applyNumberFormat="0" applyAlignment="0" applyProtection="0"/>
    <xf numFmtId="0" fontId="90" fillId="23" borderId="91" applyNumberFormat="0" applyAlignment="0" applyProtection="0"/>
    <xf numFmtId="0" fontId="91" fillId="45" borderId="91" applyNumberFormat="0" applyAlignment="0" applyProtection="0"/>
    <xf numFmtId="0" fontId="91" fillId="31" borderId="91" applyNumberFormat="0" applyAlignment="0" applyProtection="0"/>
    <xf numFmtId="0" fontId="90" fillId="45" borderId="91" applyNumberFormat="0" applyAlignment="0" applyProtection="0"/>
    <xf numFmtId="0" fontId="90" fillId="31" borderId="91" applyNumberFormat="0" applyAlignment="0" applyProtection="0"/>
    <xf numFmtId="0" fontId="90" fillId="45" borderId="91" applyNumberFormat="0" applyAlignment="0" applyProtection="0"/>
    <xf numFmtId="0" fontId="90" fillId="31" borderId="91" applyNumberFormat="0" applyAlignment="0" applyProtection="0"/>
    <xf numFmtId="0" fontId="90" fillId="45" borderId="91" applyNumberFormat="0" applyAlignment="0" applyProtection="0"/>
    <xf numFmtId="0" fontId="90" fillId="31" borderId="91" applyNumberFormat="0" applyAlignment="0" applyProtection="0"/>
    <xf numFmtId="0" fontId="90" fillId="45" borderId="91" applyNumberFormat="0" applyAlignment="0" applyProtection="0"/>
    <xf numFmtId="0" fontId="90" fillId="31" borderId="91" applyNumberFormat="0" applyAlignment="0" applyProtection="0"/>
    <xf numFmtId="0" fontId="90" fillId="45" borderId="91" applyNumberFormat="0" applyAlignment="0" applyProtection="0"/>
    <xf numFmtId="0" fontId="90" fillId="31" borderId="91" applyNumberFormat="0" applyAlignment="0" applyProtection="0"/>
    <xf numFmtId="0" fontId="90" fillId="45" borderId="91" applyNumberFormat="0" applyAlignment="0" applyProtection="0"/>
    <xf numFmtId="0" fontId="90" fillId="31" borderId="91" applyNumberFormat="0" applyAlignment="0" applyProtection="0"/>
    <xf numFmtId="0" fontId="90" fillId="45" borderId="91" applyNumberFormat="0" applyAlignment="0" applyProtection="0"/>
    <xf numFmtId="0" fontId="90" fillId="31" borderId="91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214" fontId="10" fillId="0" borderId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214" fontId="10" fillId="0" borderId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214" fontId="10" fillId="0" borderId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214" fontId="10" fillId="0" borderId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214" fontId="10" fillId="0" borderId="0" applyFill="0" applyBorder="0" applyAlignment="0" applyProtection="0"/>
    <xf numFmtId="165" fontId="10" fillId="0" borderId="0" applyFill="0" applyBorder="0" applyAlignment="0" applyProtection="0"/>
    <xf numFmtId="165" fontId="1" fillId="0" borderId="0" applyFont="0" applyFill="0" applyBorder="0" applyAlignment="0" applyProtection="0"/>
    <xf numFmtId="41" fontId="13" fillId="0" borderId="0" applyFont="0" applyFill="0" applyBorder="0" applyAlignment="0" applyProtection="0"/>
    <xf numFmtId="214" fontId="10" fillId="0" borderId="0" applyFill="0" applyBorder="0" applyAlignment="0" applyProtection="0"/>
    <xf numFmtId="214" fontId="10" fillId="0" borderId="0" applyFill="0" applyBorder="0" applyAlignment="0" applyProtection="0"/>
    <xf numFmtId="165" fontId="10" fillId="0" borderId="0" applyFill="0" applyBorder="0" applyAlignment="0" applyProtection="0"/>
    <xf numFmtId="214" fontId="10" fillId="0" borderId="0" applyFill="0" applyBorder="0" applyAlignment="0" applyProtection="0"/>
    <xf numFmtId="165" fontId="10" fillId="0" borderId="0" applyFill="0" applyBorder="0" applyAlignment="0" applyProtection="0"/>
    <xf numFmtId="165" fontId="10" fillId="0" borderId="0" applyFill="0" applyBorder="0" applyAlignment="0" applyProtection="0"/>
    <xf numFmtId="214" fontId="10" fillId="0" borderId="0" applyFill="0" applyBorder="0" applyAlignment="0" applyProtection="0"/>
    <xf numFmtId="165" fontId="10" fillId="0" borderId="0" applyFont="0" applyFill="0" applyBorder="0" applyAlignment="0" applyProtection="0"/>
    <xf numFmtId="41" fontId="39" fillId="0" borderId="0" applyFont="0" applyFill="0" applyBorder="0" applyAlignment="0" applyProtection="0"/>
    <xf numFmtId="171" fontId="39" fillId="0" borderId="0" applyFont="0" applyFill="0" applyBorder="0" applyAlignment="0" applyProtection="0"/>
    <xf numFmtId="174" fontId="3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92" fillId="0" borderId="0" applyFont="0" applyFill="0" applyBorder="0" applyAlignment="0" applyProtection="0"/>
    <xf numFmtId="214" fontId="10" fillId="0" borderId="0" applyFill="0" applyBorder="0" applyAlignment="0" applyProtection="0"/>
    <xf numFmtId="214" fontId="10" fillId="0" borderId="0" applyFill="0" applyBorder="0" applyAlignment="0" applyProtection="0"/>
    <xf numFmtId="214" fontId="10" fillId="0" borderId="0" applyFill="0" applyBorder="0" applyAlignment="0" applyProtection="0"/>
    <xf numFmtId="214" fontId="10" fillId="0" borderId="0" applyFill="0" applyBorder="0" applyAlignment="0" applyProtection="0"/>
    <xf numFmtId="214" fontId="10" fillId="0" borderId="0" applyFill="0" applyBorder="0" applyAlignment="0" applyProtection="0"/>
    <xf numFmtId="214" fontId="10" fillId="0" borderId="0" applyFill="0" applyBorder="0" applyAlignment="0" applyProtection="0"/>
    <xf numFmtId="214" fontId="10" fillId="0" borderId="0" applyFill="0" applyBorder="0" applyAlignment="0" applyProtection="0"/>
    <xf numFmtId="214" fontId="10" fillId="0" borderId="0" applyFill="0" applyBorder="0" applyAlignment="0" applyProtection="0"/>
    <xf numFmtId="214" fontId="10" fillId="0" borderId="0" applyFill="0" applyBorder="0" applyAlignment="0" applyProtection="0"/>
    <xf numFmtId="214" fontId="10" fillId="0" borderId="0" applyFill="0" applyBorder="0" applyAlignment="0" applyProtection="0"/>
    <xf numFmtId="214" fontId="10" fillId="0" borderId="0" applyFill="0" applyBorder="0" applyAlignment="0" applyProtection="0"/>
    <xf numFmtId="214" fontId="10" fillId="0" borderId="0" applyFill="0" applyBorder="0" applyAlignment="0" applyProtection="0"/>
    <xf numFmtId="214" fontId="10" fillId="0" borderId="0" applyFill="0" applyBorder="0" applyAlignment="0" applyProtection="0"/>
    <xf numFmtId="214" fontId="10" fillId="0" borderId="0" applyFill="0" applyBorder="0" applyAlignment="0" applyProtection="0"/>
    <xf numFmtId="165" fontId="1" fillId="0" borderId="0" applyFont="0" applyFill="0" applyBorder="0" applyAlignment="0" applyProtection="0"/>
    <xf numFmtId="214" fontId="10" fillId="0" borderId="0" applyFill="0" applyBorder="0" applyAlignment="0" applyProtection="0"/>
    <xf numFmtId="165" fontId="1" fillId="0" borderId="0" applyFont="0" applyFill="0" applyBorder="0" applyAlignment="0" applyProtection="0"/>
    <xf numFmtId="165" fontId="10" fillId="0" borderId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214" fontId="10" fillId="0" borderId="0" applyFill="0" applyBorder="0" applyAlignment="0" applyProtection="0"/>
    <xf numFmtId="165" fontId="10" fillId="0" borderId="0" applyFont="0" applyFill="0" applyBorder="0" applyAlignment="0" applyProtection="0"/>
    <xf numFmtId="167" fontId="37" fillId="0" borderId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214" fontId="10" fillId="0" borderId="0" applyFill="0" applyBorder="0" applyAlignment="0" applyProtection="0"/>
    <xf numFmtId="165" fontId="10" fillId="0" borderId="0" applyFont="0" applyFill="0" applyBorder="0" applyAlignment="0" applyProtection="0"/>
    <xf numFmtId="174" fontId="37" fillId="0" borderId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2" fontId="37" fillId="0" borderId="0" applyFill="0" applyBorder="0" applyAlignment="0" applyProtection="0"/>
    <xf numFmtId="172" fontId="37" fillId="0" borderId="0" applyFill="0" applyBorder="0" applyAlignment="0" applyProtection="0"/>
    <xf numFmtId="214" fontId="37" fillId="0" borderId="0" applyFill="0" applyBorder="0" applyAlignment="0" applyProtection="0"/>
    <xf numFmtId="174" fontId="37" fillId="0" borderId="0" applyFill="0" applyBorder="0" applyAlignment="0" applyProtection="0"/>
    <xf numFmtId="165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10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10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10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10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7" fontId="37" fillId="0" borderId="0" applyFill="0" applyBorder="0" applyAlignment="0" applyProtection="0"/>
    <xf numFmtId="187" fontId="37" fillId="0" borderId="0" applyFill="0" applyBorder="0" applyAlignment="0" applyProtection="0"/>
    <xf numFmtId="187" fontId="37" fillId="0" borderId="0" applyFill="0" applyBorder="0" applyAlignment="0" applyProtection="0"/>
    <xf numFmtId="187" fontId="37" fillId="0" borderId="0" applyFill="0" applyBorder="0" applyAlignment="0" applyProtection="0"/>
    <xf numFmtId="187" fontId="37" fillId="0" borderId="0" applyFill="0" applyBorder="0" applyAlignment="0" applyProtection="0"/>
    <xf numFmtId="187" fontId="37" fillId="0" borderId="0" applyFill="0" applyBorder="0" applyAlignment="0" applyProtection="0"/>
    <xf numFmtId="187" fontId="37" fillId="0" borderId="0" applyFill="0" applyBorder="0" applyAlignment="0" applyProtection="0"/>
    <xf numFmtId="187" fontId="10" fillId="0" borderId="0" applyFill="0" applyBorder="0" applyAlignment="0" applyProtection="0"/>
    <xf numFmtId="166" fontId="13" fillId="0" borderId="0" applyFont="0" applyFill="0" applyBorder="0" applyAlignment="0" applyProtection="0"/>
    <xf numFmtId="187" fontId="37" fillId="0" borderId="0" applyFill="0" applyBorder="0" applyAlignment="0" applyProtection="0"/>
    <xf numFmtId="166" fontId="13" fillId="0" borderId="0" applyFont="0" applyFill="0" applyBorder="0" applyAlignment="0" applyProtection="0"/>
    <xf numFmtId="187" fontId="37" fillId="0" borderId="0" applyFill="0" applyBorder="0" applyAlignment="0" applyProtection="0"/>
    <xf numFmtId="187" fontId="37" fillId="0" borderId="0" applyFill="0" applyBorder="0" applyAlignment="0" applyProtection="0"/>
    <xf numFmtId="187" fontId="37" fillId="0" borderId="0" applyFill="0" applyBorder="0" applyAlignment="0" applyProtection="0"/>
    <xf numFmtId="187" fontId="37" fillId="0" borderId="0" applyFill="0" applyBorder="0" applyAlignment="0" applyProtection="0"/>
    <xf numFmtId="187" fontId="37" fillId="0" borderId="0" applyFill="0" applyBorder="0" applyAlignment="0" applyProtection="0"/>
    <xf numFmtId="41" fontId="39" fillId="0" borderId="0" applyFont="0" applyFill="0" applyBorder="0" applyAlignment="0" applyProtection="0"/>
    <xf numFmtId="188" fontId="10" fillId="0" borderId="0" applyFill="0" applyBorder="0" applyAlignment="0" applyProtection="0"/>
    <xf numFmtId="187" fontId="37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ill="0" applyBorder="0" applyAlignment="0" applyProtection="0"/>
    <xf numFmtId="187" fontId="10" fillId="0" borderId="0" applyFill="0" applyBorder="0" applyAlignment="0" applyProtection="0"/>
    <xf numFmtId="166" fontId="10" fillId="0" borderId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87" fontId="10" fillId="0" borderId="0" applyFill="0" applyBorder="0" applyAlignment="0" applyProtection="0"/>
    <xf numFmtId="187" fontId="10" fillId="0" borderId="0" applyFill="0" applyBorder="0" applyAlignment="0" applyProtection="0"/>
    <xf numFmtId="187" fontId="10" fillId="0" borderId="0" applyFill="0" applyBorder="0" applyAlignment="0" applyProtection="0"/>
    <xf numFmtId="187" fontId="10" fillId="0" borderId="0" applyFill="0" applyBorder="0" applyAlignment="0" applyProtection="0"/>
    <xf numFmtId="187" fontId="10" fillId="0" borderId="0" applyFill="0" applyBorder="0" applyAlignment="0" applyProtection="0"/>
    <xf numFmtId="187" fontId="10" fillId="0" borderId="0" applyFill="0" applyBorder="0" applyAlignment="0" applyProtection="0"/>
    <xf numFmtId="187" fontId="10" fillId="0" borderId="0" applyFill="0" applyBorder="0" applyAlignment="0" applyProtection="0"/>
    <xf numFmtId="187" fontId="10" fillId="0" borderId="0" applyFill="0" applyBorder="0" applyAlignment="0" applyProtection="0"/>
    <xf numFmtId="166" fontId="10" fillId="0" borderId="0" applyFont="0" applyFill="0" applyBorder="0" applyAlignment="0" applyProtection="0"/>
    <xf numFmtId="187" fontId="10" fillId="0" borderId="0" applyFill="0" applyBorder="0" applyAlignment="0" applyProtection="0"/>
    <xf numFmtId="187" fontId="37" fillId="0" borderId="0" applyFill="0" applyBorder="0" applyAlignment="0" applyProtection="0"/>
    <xf numFmtId="187" fontId="1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ill="0" applyBorder="0" applyAlignment="0" applyProtection="0"/>
    <xf numFmtId="187" fontId="10" fillId="0" borderId="0" applyFill="0" applyBorder="0" applyAlignment="0" applyProtection="0"/>
    <xf numFmtId="166" fontId="10" fillId="0" borderId="0" applyFill="0" applyBorder="0" applyAlignment="0" applyProtection="0"/>
    <xf numFmtId="187" fontId="10" fillId="0" borderId="0" applyFill="0" applyBorder="0" applyAlignment="0" applyProtection="0"/>
    <xf numFmtId="166" fontId="10" fillId="0" borderId="0" applyFill="0" applyBorder="0" applyAlignment="0" applyProtection="0"/>
    <xf numFmtId="187" fontId="10" fillId="0" borderId="0" applyFill="0" applyBorder="0" applyAlignment="0" applyProtection="0"/>
    <xf numFmtId="166" fontId="10" fillId="0" borderId="0" applyFill="0" applyBorder="0" applyAlignment="0" applyProtection="0"/>
    <xf numFmtId="187" fontId="10" fillId="0" borderId="0" applyFill="0" applyBorder="0" applyAlignment="0" applyProtection="0"/>
    <xf numFmtId="166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87" fontId="37" fillId="0" borderId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87" fontId="37" fillId="0" borderId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43" fontId="13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10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7" fontId="1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ill="0" applyBorder="0" applyAlignment="0" applyProtection="0"/>
    <xf numFmtId="166" fontId="10" fillId="0" borderId="0" applyFont="0" applyFill="0" applyBorder="0" applyAlignment="0" applyProtection="0"/>
    <xf numFmtId="215" fontId="10" fillId="0" borderId="84"/>
    <xf numFmtId="215" fontId="10" fillId="0" borderId="84"/>
    <xf numFmtId="215" fontId="10" fillId="0" borderId="84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5" fillId="15" borderId="0" applyNumberFormat="0" applyBorder="0" applyAlignment="0" applyProtection="0"/>
    <xf numFmtId="0" fontId="95" fillId="15" borderId="0" applyNumberFormat="0" applyBorder="0" applyAlignment="0" applyProtection="0"/>
    <xf numFmtId="0" fontId="96" fillId="15" borderId="0" applyNumberFormat="0" applyBorder="0" applyAlignment="0" applyProtection="0"/>
    <xf numFmtId="0" fontId="95" fillId="15" borderId="0" applyNumberFormat="0" applyBorder="0" applyAlignment="0" applyProtection="0"/>
    <xf numFmtId="0" fontId="95" fillId="15" borderId="0" applyNumberFormat="0" applyBorder="0" applyAlignment="0" applyProtection="0"/>
    <xf numFmtId="0" fontId="95" fillId="15" borderId="0" applyNumberFormat="0" applyBorder="0" applyAlignment="0" applyProtection="0"/>
    <xf numFmtId="0" fontId="95" fillId="15" borderId="0" applyNumberFormat="0" applyBorder="0" applyAlignment="0" applyProtection="0"/>
    <xf numFmtId="0" fontId="95" fillId="15" borderId="0" applyNumberFormat="0" applyBorder="0" applyAlignment="0" applyProtection="0"/>
    <xf numFmtId="0" fontId="95" fillId="15" borderId="0" applyNumberFormat="0" applyBorder="0" applyAlignment="0" applyProtection="0"/>
    <xf numFmtId="0" fontId="95" fillId="15" borderId="0" applyNumberFormat="0" applyBorder="0" applyAlignment="0" applyProtection="0"/>
    <xf numFmtId="0" fontId="46" fillId="0" borderId="86">
      <alignment horizontal="left" vertical="center"/>
    </xf>
    <xf numFmtId="0" fontId="46" fillId="0" borderId="86">
      <alignment horizontal="left" vertical="center"/>
    </xf>
    <xf numFmtId="0" fontId="97" fillId="0" borderId="92" applyNumberFormat="0" applyFill="0" applyAlignment="0" applyProtection="0"/>
    <xf numFmtId="0" fontId="97" fillId="0" borderId="92" applyNumberFormat="0" applyFill="0" applyAlignment="0" applyProtection="0"/>
    <xf numFmtId="0" fontId="98" fillId="0" borderId="93" applyNumberFormat="0" applyFill="0" applyAlignment="0" applyProtection="0"/>
    <xf numFmtId="0" fontId="99" fillId="0" borderId="92" applyNumberFormat="0" applyFill="0" applyAlignment="0" applyProtection="0"/>
    <xf numFmtId="0" fontId="97" fillId="0" borderId="92" applyNumberFormat="0" applyFill="0" applyAlignment="0" applyProtection="0"/>
    <xf numFmtId="0" fontId="97" fillId="0" borderId="92" applyNumberFormat="0" applyFill="0" applyAlignment="0" applyProtection="0"/>
    <xf numFmtId="0" fontId="97" fillId="0" borderId="92" applyNumberFormat="0" applyFill="0" applyAlignment="0" applyProtection="0"/>
    <xf numFmtId="0" fontId="97" fillId="0" borderId="92" applyNumberFormat="0" applyFill="0" applyAlignment="0" applyProtection="0"/>
    <xf numFmtId="0" fontId="97" fillId="0" borderId="92" applyNumberFormat="0" applyFill="0" applyAlignment="0" applyProtection="0"/>
    <xf numFmtId="0" fontId="97" fillId="0" borderId="92" applyNumberFormat="0" applyFill="0" applyAlignment="0" applyProtection="0"/>
    <xf numFmtId="0" fontId="97" fillId="0" borderId="92" applyNumberFormat="0" applyFill="0" applyAlignment="0" applyProtection="0"/>
    <xf numFmtId="0" fontId="100" fillId="0" borderId="94" applyNumberFormat="0" applyFill="0" applyAlignment="0" applyProtection="0"/>
    <xf numFmtId="0" fontId="100" fillId="0" borderId="94" applyNumberFormat="0" applyFill="0" applyAlignment="0" applyProtection="0"/>
    <xf numFmtId="0" fontId="101" fillId="0" borderId="94" applyNumberFormat="0" applyFill="0" applyAlignment="0" applyProtection="0"/>
    <xf numFmtId="0" fontId="102" fillId="0" borderId="94" applyNumberFormat="0" applyFill="0" applyAlignment="0" applyProtection="0"/>
    <xf numFmtId="0" fontId="100" fillId="0" borderId="94" applyNumberFormat="0" applyFill="0" applyAlignment="0" applyProtection="0"/>
    <xf numFmtId="0" fontId="100" fillId="0" borderId="94" applyNumberFormat="0" applyFill="0" applyAlignment="0" applyProtection="0"/>
    <xf numFmtId="0" fontId="100" fillId="0" borderId="94" applyNumberFormat="0" applyFill="0" applyAlignment="0" applyProtection="0"/>
    <xf numFmtId="0" fontId="100" fillId="0" borderId="94" applyNumberFormat="0" applyFill="0" applyAlignment="0" applyProtection="0"/>
    <xf numFmtId="0" fontId="100" fillId="0" borderId="94" applyNumberFormat="0" applyFill="0" applyAlignment="0" applyProtection="0"/>
    <xf numFmtId="0" fontId="100" fillId="0" borderId="94" applyNumberFormat="0" applyFill="0" applyAlignment="0" applyProtection="0"/>
    <xf numFmtId="0" fontId="100" fillId="0" borderId="94" applyNumberFormat="0" applyFill="0" applyAlignment="0" applyProtection="0"/>
    <xf numFmtId="0" fontId="103" fillId="0" borderId="95" applyNumberFormat="0" applyFill="0" applyAlignment="0" applyProtection="0"/>
    <xf numFmtId="0" fontId="103" fillId="0" borderId="95" applyNumberFormat="0" applyFill="0" applyAlignment="0" applyProtection="0"/>
    <xf numFmtId="0" fontId="104" fillId="0" borderId="96" applyNumberFormat="0" applyFill="0" applyAlignment="0" applyProtection="0"/>
    <xf numFmtId="0" fontId="105" fillId="0" borderId="95" applyNumberFormat="0" applyFill="0" applyAlignment="0" applyProtection="0"/>
    <xf numFmtId="0" fontId="103" fillId="0" borderId="95" applyNumberFormat="0" applyFill="0" applyAlignment="0" applyProtection="0"/>
    <xf numFmtId="0" fontId="103" fillId="0" borderId="95" applyNumberFormat="0" applyFill="0" applyAlignment="0" applyProtection="0"/>
    <xf numFmtId="0" fontId="103" fillId="0" borderId="95" applyNumberFormat="0" applyFill="0" applyAlignment="0" applyProtection="0"/>
    <xf numFmtId="0" fontId="103" fillId="0" borderId="95" applyNumberFormat="0" applyFill="0" applyAlignment="0" applyProtection="0"/>
    <xf numFmtId="0" fontId="103" fillId="0" borderId="95" applyNumberFormat="0" applyFill="0" applyAlignment="0" applyProtection="0"/>
    <xf numFmtId="0" fontId="103" fillId="0" borderId="95" applyNumberFormat="0" applyFill="0" applyAlignment="0" applyProtection="0"/>
    <xf numFmtId="0" fontId="103" fillId="0" borderId="95" applyNumberFormat="0" applyFill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47" fillId="0" borderId="97">
      <alignment horizontal="center"/>
    </xf>
    <xf numFmtId="10" fontId="45" fillId="3" borderId="84" applyNumberFormat="0" applyBorder="0" applyAlignment="0" applyProtection="0"/>
    <xf numFmtId="10" fontId="45" fillId="3" borderId="84" applyNumberFormat="0" applyBorder="0" applyAlignment="0" applyProtection="0"/>
    <xf numFmtId="0" fontId="106" fillId="21" borderId="90" applyNumberFormat="0" applyAlignment="0" applyProtection="0"/>
    <xf numFmtId="0" fontId="106" fillId="14" borderId="90" applyNumberFormat="0" applyAlignment="0" applyProtection="0"/>
    <xf numFmtId="0" fontId="106" fillId="14" borderId="90" applyNumberFormat="0" applyAlignment="0" applyProtection="0"/>
    <xf numFmtId="0" fontId="106" fillId="14" borderId="90" applyNumberFormat="0" applyAlignment="0" applyProtection="0"/>
    <xf numFmtId="0" fontId="106" fillId="21" borderId="90" applyNumberFormat="0" applyAlignment="0" applyProtection="0"/>
    <xf numFmtId="0" fontId="106" fillId="21" borderId="90" applyNumberFormat="0" applyAlignment="0" applyProtection="0"/>
    <xf numFmtId="0" fontId="106" fillId="21" borderId="90" applyNumberFormat="0" applyAlignment="0" applyProtection="0"/>
    <xf numFmtId="0" fontId="106" fillId="14" borderId="90" applyNumberFormat="0" applyAlignment="0" applyProtection="0"/>
    <xf numFmtId="0" fontId="106" fillId="14" borderId="90" applyNumberFormat="0" applyAlignment="0" applyProtection="0"/>
    <xf numFmtId="0" fontId="106" fillId="14" borderId="90" applyNumberFormat="0" applyAlignment="0" applyProtection="0"/>
    <xf numFmtId="0" fontId="106" fillId="21" borderId="90" applyNumberFormat="0" applyAlignment="0" applyProtection="0"/>
    <xf numFmtId="0" fontId="106" fillId="21" borderId="90" applyNumberFormat="0" applyAlignment="0" applyProtection="0"/>
    <xf numFmtId="0" fontId="106" fillId="14" borderId="90" applyNumberFormat="0" applyAlignment="0" applyProtection="0"/>
    <xf numFmtId="0" fontId="106" fillId="14" borderId="90" applyNumberFormat="0" applyAlignment="0" applyProtection="0"/>
    <xf numFmtId="0" fontId="106" fillId="14" borderId="90" applyNumberFormat="0" applyAlignment="0" applyProtection="0"/>
    <xf numFmtId="0" fontId="107" fillId="21" borderId="90" applyNumberFormat="0" applyAlignment="0" applyProtection="0"/>
    <xf numFmtId="0" fontId="107" fillId="14" borderId="90" applyNumberFormat="0" applyAlignment="0" applyProtection="0"/>
    <xf numFmtId="0" fontId="107" fillId="14" borderId="90" applyNumberFormat="0" applyAlignment="0" applyProtection="0"/>
    <xf numFmtId="0" fontId="107" fillId="14" borderId="90" applyNumberFormat="0" applyAlignment="0" applyProtection="0"/>
    <xf numFmtId="0" fontId="107" fillId="21" borderId="90" applyNumberFormat="0" applyAlignment="0" applyProtection="0"/>
    <xf numFmtId="0" fontId="107" fillId="21" borderId="90" applyNumberFormat="0" applyAlignment="0" applyProtection="0"/>
    <xf numFmtId="0" fontId="106" fillId="21" borderId="90" applyNumberFormat="0" applyAlignment="0" applyProtection="0"/>
    <xf numFmtId="0" fontId="106" fillId="14" borderId="90" applyNumberFormat="0" applyAlignment="0" applyProtection="0"/>
    <xf numFmtId="0" fontId="106" fillId="14" borderId="90" applyNumberFormat="0" applyAlignment="0" applyProtection="0"/>
    <xf numFmtId="0" fontId="106" fillId="14" borderId="90" applyNumberFormat="0" applyAlignment="0" applyProtection="0"/>
    <xf numFmtId="0" fontId="106" fillId="21" borderId="90" applyNumberFormat="0" applyAlignment="0" applyProtection="0"/>
    <xf numFmtId="0" fontId="106" fillId="21" borderId="90" applyNumberFormat="0" applyAlignment="0" applyProtection="0"/>
    <xf numFmtId="0" fontId="106" fillId="21" borderId="90" applyNumberFormat="0" applyAlignment="0" applyProtection="0"/>
    <xf numFmtId="0" fontId="106" fillId="14" borderId="90" applyNumberFormat="0" applyAlignment="0" applyProtection="0"/>
    <xf numFmtId="0" fontId="106" fillId="14" borderId="90" applyNumberFormat="0" applyAlignment="0" applyProtection="0"/>
    <xf numFmtId="0" fontId="106" fillId="14" borderId="90" applyNumberFormat="0" applyAlignment="0" applyProtection="0"/>
    <xf numFmtId="0" fontId="106" fillId="21" borderId="90" applyNumberFormat="0" applyAlignment="0" applyProtection="0"/>
    <xf numFmtId="0" fontId="106" fillId="21" borderId="90" applyNumberFormat="0" applyAlignment="0" applyProtection="0"/>
    <xf numFmtId="0" fontId="106" fillId="21" borderId="90" applyNumberFormat="0" applyAlignment="0" applyProtection="0"/>
    <xf numFmtId="0" fontId="106" fillId="14" borderId="90" applyNumberFormat="0" applyAlignment="0" applyProtection="0"/>
    <xf numFmtId="0" fontId="106" fillId="14" borderId="90" applyNumberFormat="0" applyAlignment="0" applyProtection="0"/>
    <xf numFmtId="0" fontId="106" fillId="14" borderId="90" applyNumberFormat="0" applyAlignment="0" applyProtection="0"/>
    <xf numFmtId="0" fontId="106" fillId="21" borderId="90" applyNumberFormat="0" applyAlignment="0" applyProtection="0"/>
    <xf numFmtId="0" fontId="106" fillId="21" borderId="90" applyNumberFormat="0" applyAlignment="0" applyProtection="0"/>
    <xf numFmtId="0" fontId="106" fillId="21" borderId="90" applyNumberFormat="0" applyAlignment="0" applyProtection="0"/>
    <xf numFmtId="0" fontId="106" fillId="14" borderId="90" applyNumberFormat="0" applyAlignment="0" applyProtection="0"/>
    <xf numFmtId="0" fontId="106" fillId="14" borderId="90" applyNumberFormat="0" applyAlignment="0" applyProtection="0"/>
    <xf numFmtId="0" fontId="106" fillId="14" borderId="90" applyNumberFormat="0" applyAlignment="0" applyProtection="0"/>
    <xf numFmtId="0" fontId="106" fillId="21" borderId="90" applyNumberFormat="0" applyAlignment="0" applyProtection="0"/>
    <xf numFmtId="0" fontId="106" fillId="21" borderId="90" applyNumberFormat="0" applyAlignment="0" applyProtection="0"/>
    <xf numFmtId="0" fontId="106" fillId="21" borderId="90" applyNumberFormat="0" applyAlignment="0" applyProtection="0"/>
    <xf numFmtId="0" fontId="106" fillId="14" borderId="90" applyNumberFormat="0" applyAlignment="0" applyProtection="0"/>
    <xf numFmtId="0" fontId="106" fillId="14" borderId="90" applyNumberFormat="0" applyAlignment="0" applyProtection="0"/>
    <xf numFmtId="0" fontId="106" fillId="14" borderId="90" applyNumberFormat="0" applyAlignment="0" applyProtection="0"/>
    <xf numFmtId="0" fontId="106" fillId="21" borderId="90" applyNumberFormat="0" applyAlignment="0" applyProtection="0"/>
    <xf numFmtId="0" fontId="106" fillId="21" borderId="90" applyNumberFormat="0" applyAlignment="0" applyProtection="0"/>
    <xf numFmtId="0" fontId="106" fillId="21" borderId="90" applyNumberFormat="0" applyAlignment="0" applyProtection="0"/>
    <xf numFmtId="0" fontId="106" fillId="14" borderId="90" applyNumberFormat="0" applyAlignment="0" applyProtection="0"/>
    <xf numFmtId="0" fontId="106" fillId="14" borderId="90" applyNumberFormat="0" applyAlignment="0" applyProtection="0"/>
    <xf numFmtId="0" fontId="106" fillId="14" borderId="90" applyNumberFormat="0" applyAlignment="0" applyProtection="0"/>
    <xf numFmtId="0" fontId="106" fillId="21" borderId="90" applyNumberFormat="0" applyAlignment="0" applyProtection="0"/>
    <xf numFmtId="0" fontId="106" fillId="21" borderId="90" applyNumberFormat="0" applyAlignment="0" applyProtection="0"/>
    <xf numFmtId="0" fontId="106" fillId="21" borderId="90" applyNumberFormat="0" applyAlignment="0" applyProtection="0"/>
    <xf numFmtId="0" fontId="106" fillId="14" borderId="90" applyNumberFormat="0" applyAlignment="0" applyProtection="0"/>
    <xf numFmtId="0" fontId="106" fillId="14" borderId="90" applyNumberFormat="0" applyAlignment="0" applyProtection="0"/>
    <xf numFmtId="0" fontId="106" fillId="14" borderId="90" applyNumberFormat="0" applyAlignment="0" applyProtection="0"/>
    <xf numFmtId="0" fontId="106" fillId="21" borderId="90" applyNumberFormat="0" applyAlignment="0" applyProtection="0"/>
    <xf numFmtId="0" fontId="106" fillId="21" borderId="90" applyNumberFormat="0" applyAlignment="0" applyProtection="0"/>
    <xf numFmtId="0" fontId="108" fillId="0" borderId="98" applyNumberFormat="0" applyFill="0" applyAlignment="0" applyProtection="0"/>
    <xf numFmtId="0" fontId="108" fillId="0" borderId="98" applyNumberFormat="0" applyFill="0" applyAlignment="0" applyProtection="0"/>
    <xf numFmtId="0" fontId="109" fillId="0" borderId="98" applyNumberFormat="0" applyFill="0" applyAlignment="0" applyProtection="0"/>
    <xf numFmtId="0" fontId="108" fillId="0" borderId="98" applyNumberFormat="0" applyFill="0" applyAlignment="0" applyProtection="0"/>
    <xf numFmtId="0" fontId="108" fillId="0" borderId="98" applyNumberFormat="0" applyFill="0" applyAlignment="0" applyProtection="0"/>
    <xf numFmtId="0" fontId="108" fillId="0" borderId="98" applyNumberFormat="0" applyFill="0" applyAlignment="0" applyProtection="0"/>
    <xf numFmtId="0" fontId="108" fillId="0" borderId="98" applyNumberFormat="0" applyFill="0" applyAlignment="0" applyProtection="0"/>
    <xf numFmtId="0" fontId="108" fillId="0" borderId="98" applyNumberFormat="0" applyFill="0" applyAlignment="0" applyProtection="0"/>
    <xf numFmtId="0" fontId="108" fillId="0" borderId="98" applyNumberFormat="0" applyFill="0" applyAlignment="0" applyProtection="0"/>
    <xf numFmtId="0" fontId="108" fillId="0" borderId="98" applyNumberFormat="0" applyFill="0" applyAlignment="0" applyProtection="0"/>
    <xf numFmtId="0" fontId="110" fillId="28" borderId="0" applyNumberFormat="0" applyBorder="0" applyAlignment="0" applyProtection="0"/>
    <xf numFmtId="0" fontId="110" fillId="28" borderId="0" applyNumberFormat="0" applyBorder="0" applyAlignment="0" applyProtection="0"/>
    <xf numFmtId="0" fontId="111" fillId="28" borderId="0" applyNumberFormat="0" applyBorder="0" applyAlignment="0" applyProtection="0"/>
    <xf numFmtId="0" fontId="112" fillId="28" borderId="0" applyNumberFormat="0" applyBorder="0" applyAlignment="0" applyProtection="0"/>
    <xf numFmtId="0" fontId="110" fillId="28" borderId="0" applyNumberFormat="0" applyBorder="0" applyAlignment="0" applyProtection="0"/>
    <xf numFmtId="0" fontId="110" fillId="28" borderId="0" applyNumberFormat="0" applyBorder="0" applyAlignment="0" applyProtection="0"/>
    <xf numFmtId="0" fontId="110" fillId="28" borderId="0" applyNumberFormat="0" applyBorder="0" applyAlignment="0" applyProtection="0"/>
    <xf numFmtId="0" fontId="110" fillId="28" borderId="0" applyNumberFormat="0" applyBorder="0" applyAlignment="0" applyProtection="0"/>
    <xf numFmtId="0" fontId="110" fillId="28" borderId="0" applyNumberFormat="0" applyBorder="0" applyAlignment="0" applyProtection="0"/>
    <xf numFmtId="0" fontId="110" fillId="28" borderId="0" applyNumberFormat="0" applyBorder="0" applyAlignment="0" applyProtection="0"/>
    <xf numFmtId="0" fontId="110" fillId="28" borderId="0" applyNumberFormat="0" applyBorder="0" applyAlignment="0" applyProtection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39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0" fillId="0" borderId="0">
      <alignment vertical="top"/>
    </xf>
    <xf numFmtId="0" fontId="10" fillId="0" borderId="0">
      <alignment vertical="top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" fillId="0" borderId="0"/>
    <xf numFmtId="0" fontId="1" fillId="0" borderId="0"/>
    <xf numFmtId="0" fontId="1" fillId="0" borderId="0"/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9" fillId="0" borderId="0"/>
    <xf numFmtId="0" fontId="1" fillId="0" borderId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0" fillId="16" borderId="99" applyNumberFormat="0" applyAlignment="0" applyProtection="0"/>
    <xf numFmtId="0" fontId="115" fillId="23" borderId="100" applyNumberFormat="0" applyAlignment="0" applyProtection="0"/>
    <xf numFmtId="0" fontId="115" fillId="23" borderId="100" applyNumberFormat="0" applyAlignment="0" applyProtection="0"/>
    <xf numFmtId="0" fontId="115" fillId="23" borderId="100" applyNumberFormat="0" applyAlignment="0" applyProtection="0"/>
    <xf numFmtId="0" fontId="115" fillId="23" borderId="100" applyNumberFormat="0" applyAlignment="0" applyProtection="0"/>
    <xf numFmtId="0" fontId="115" fillId="23" borderId="100" applyNumberFormat="0" applyAlignment="0" applyProtection="0"/>
    <xf numFmtId="0" fontId="115" fillId="23" borderId="100" applyNumberFormat="0" applyAlignment="0" applyProtection="0"/>
    <xf numFmtId="0" fontId="115" fillId="12" borderId="100" applyNumberFormat="0" applyAlignment="0" applyProtection="0"/>
    <xf numFmtId="0" fontId="115" fillId="12" borderId="100" applyNumberFormat="0" applyAlignment="0" applyProtection="0"/>
    <xf numFmtId="0" fontId="115" fillId="12" borderId="100" applyNumberFormat="0" applyAlignment="0" applyProtection="0"/>
    <xf numFmtId="0" fontId="116" fillId="23" borderId="100" applyNumberFormat="0" applyAlignment="0" applyProtection="0"/>
    <xf numFmtId="0" fontId="116" fillId="23" borderId="100" applyNumberFormat="0" applyAlignment="0" applyProtection="0"/>
    <xf numFmtId="0" fontId="116" fillId="23" borderId="100" applyNumberFormat="0" applyAlignment="0" applyProtection="0"/>
    <xf numFmtId="0" fontId="115" fillId="23" borderId="100" applyNumberFormat="0" applyAlignment="0" applyProtection="0"/>
    <xf numFmtId="0" fontId="115" fillId="23" borderId="100" applyNumberFormat="0" applyAlignment="0" applyProtection="0"/>
    <xf numFmtId="0" fontId="115" fillId="23" borderId="100" applyNumberFormat="0" applyAlignment="0" applyProtection="0"/>
    <xf numFmtId="0" fontId="115" fillId="23" borderId="100" applyNumberFormat="0" applyAlignment="0" applyProtection="0"/>
    <xf numFmtId="0" fontId="115" fillId="23" borderId="100" applyNumberFormat="0" applyAlignment="0" applyProtection="0"/>
    <xf numFmtId="0" fontId="115" fillId="23" borderId="100" applyNumberFormat="0" applyAlignment="0" applyProtection="0"/>
    <xf numFmtId="0" fontId="115" fillId="23" borderId="100" applyNumberFormat="0" applyAlignment="0" applyProtection="0"/>
    <xf numFmtId="0" fontId="115" fillId="23" borderId="100" applyNumberFormat="0" applyAlignment="0" applyProtection="0"/>
    <xf numFmtId="0" fontId="115" fillId="23" borderId="100" applyNumberFormat="0" applyAlignment="0" applyProtection="0"/>
    <xf numFmtId="0" fontId="115" fillId="23" borderId="100" applyNumberFormat="0" applyAlignment="0" applyProtection="0"/>
    <xf numFmtId="0" fontId="115" fillId="23" borderId="100" applyNumberFormat="0" applyAlignment="0" applyProtection="0"/>
    <xf numFmtId="0" fontId="115" fillId="23" borderId="100" applyNumberFormat="0" applyAlignment="0" applyProtection="0"/>
    <xf numFmtId="0" fontId="115" fillId="23" borderId="100" applyNumberFormat="0" applyAlignment="0" applyProtection="0"/>
    <xf numFmtId="0" fontId="115" fillId="23" borderId="100" applyNumberFormat="0" applyAlignment="0" applyProtection="0"/>
    <xf numFmtId="0" fontId="115" fillId="23" borderId="100" applyNumberFormat="0" applyAlignment="0" applyProtection="0"/>
    <xf numFmtId="0" fontId="115" fillId="23" borderId="100" applyNumberFormat="0" applyAlignment="0" applyProtection="0"/>
    <xf numFmtId="0" fontId="115" fillId="23" borderId="100" applyNumberFormat="0" applyAlignment="0" applyProtection="0"/>
    <xf numFmtId="0" fontId="115" fillId="23" borderId="100" applyNumberFormat="0" applyAlignment="0" applyProtection="0"/>
    <xf numFmtId="0" fontId="115" fillId="23" borderId="100" applyNumberFormat="0" applyAlignment="0" applyProtection="0"/>
    <xf numFmtId="0" fontId="115" fillId="23" borderId="100" applyNumberFormat="0" applyAlignment="0" applyProtection="0"/>
    <xf numFmtId="0" fontId="115" fillId="23" borderId="100" applyNumberFormat="0" applyAlignment="0" applyProtection="0"/>
    <xf numFmtId="9" fontId="10" fillId="0" borderId="0" applyFill="0" applyBorder="0" applyAlignment="0" applyProtection="0"/>
    <xf numFmtId="9" fontId="10" fillId="0" borderId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17" fillId="0" borderId="101"/>
    <xf numFmtId="0" fontId="117" fillId="0" borderId="101"/>
    <xf numFmtId="0" fontId="117" fillId="0" borderId="101"/>
    <xf numFmtId="0" fontId="48" fillId="1" borderId="102" applyNumberFormat="0" applyFont="0" applyAlignment="0">
      <alignment horizontal="center"/>
    </xf>
    <xf numFmtId="0" fontId="48" fillId="1" borderId="102" applyNumberFormat="0" applyFont="0" applyAlignment="0">
      <alignment horizontal="center"/>
    </xf>
    <xf numFmtId="0" fontId="74" fillId="0" borderId="103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20" fillId="0" borderId="104" applyNumberFormat="0" applyFill="0" applyAlignment="0" applyProtection="0"/>
    <xf numFmtId="0" fontId="120" fillId="0" borderId="104" applyNumberFormat="0" applyFill="0" applyAlignment="0" applyProtection="0"/>
    <xf numFmtId="0" fontId="120" fillId="0" borderId="104" applyNumberFormat="0" applyFill="0" applyAlignment="0" applyProtection="0"/>
    <xf numFmtId="0" fontId="120" fillId="0" borderId="104" applyNumberFormat="0" applyFill="0" applyAlignment="0" applyProtection="0"/>
    <xf numFmtId="0" fontId="120" fillId="0" borderId="104" applyNumberFormat="0" applyFill="0" applyAlignment="0" applyProtection="0"/>
    <xf numFmtId="0" fontId="120" fillId="0" borderId="104" applyNumberFormat="0" applyFill="0" applyAlignment="0" applyProtection="0"/>
    <xf numFmtId="0" fontId="120" fillId="0" borderId="105" applyNumberFormat="0" applyFill="0" applyAlignment="0" applyProtection="0"/>
    <xf numFmtId="0" fontId="120" fillId="0" borderId="105" applyNumberFormat="0" applyFill="0" applyAlignment="0" applyProtection="0"/>
    <xf numFmtId="0" fontId="120" fillId="0" borderId="105" applyNumberFormat="0" applyFill="0" applyAlignment="0" applyProtection="0"/>
    <xf numFmtId="0" fontId="121" fillId="0" borderId="104" applyNumberFormat="0" applyFill="0" applyAlignment="0" applyProtection="0"/>
    <xf numFmtId="0" fontId="121" fillId="0" borderId="104" applyNumberFormat="0" applyFill="0" applyAlignment="0" applyProtection="0"/>
    <xf numFmtId="0" fontId="121" fillId="0" borderId="104" applyNumberFormat="0" applyFill="0" applyAlignment="0" applyProtection="0"/>
    <xf numFmtId="0" fontId="120" fillId="0" borderId="104" applyNumberFormat="0" applyFill="0" applyAlignment="0" applyProtection="0"/>
    <xf numFmtId="0" fontId="120" fillId="0" borderId="104" applyNumberFormat="0" applyFill="0" applyAlignment="0" applyProtection="0"/>
    <xf numFmtId="0" fontId="120" fillId="0" borderId="104" applyNumberFormat="0" applyFill="0" applyAlignment="0" applyProtection="0"/>
    <xf numFmtId="0" fontId="120" fillId="0" borderId="104" applyNumberFormat="0" applyFill="0" applyAlignment="0" applyProtection="0"/>
    <xf numFmtId="0" fontId="120" fillId="0" borderId="104" applyNumberFormat="0" applyFill="0" applyAlignment="0" applyProtection="0"/>
    <xf numFmtId="0" fontId="120" fillId="0" borderId="104" applyNumberFormat="0" applyFill="0" applyAlignment="0" applyProtection="0"/>
    <xf numFmtId="0" fontId="120" fillId="0" borderId="104" applyNumberFormat="0" applyFill="0" applyAlignment="0" applyProtection="0"/>
    <xf numFmtId="0" fontId="120" fillId="0" borderId="104" applyNumberFormat="0" applyFill="0" applyAlignment="0" applyProtection="0"/>
    <xf numFmtId="0" fontId="120" fillId="0" borderId="104" applyNumberFormat="0" applyFill="0" applyAlignment="0" applyProtection="0"/>
    <xf numFmtId="0" fontId="120" fillId="0" borderId="104" applyNumberFormat="0" applyFill="0" applyAlignment="0" applyProtection="0"/>
    <xf numFmtId="0" fontId="120" fillId="0" borderId="104" applyNumberFormat="0" applyFill="0" applyAlignment="0" applyProtection="0"/>
    <xf numFmtId="0" fontId="120" fillId="0" borderId="104" applyNumberFormat="0" applyFill="0" applyAlignment="0" applyProtection="0"/>
    <xf numFmtId="0" fontId="120" fillId="0" borderId="104" applyNumberFormat="0" applyFill="0" applyAlignment="0" applyProtection="0"/>
    <xf numFmtId="0" fontId="120" fillId="0" borderId="104" applyNumberFormat="0" applyFill="0" applyAlignment="0" applyProtection="0"/>
    <xf numFmtId="0" fontId="120" fillId="0" borderId="104" applyNumberFormat="0" applyFill="0" applyAlignment="0" applyProtection="0"/>
    <xf numFmtId="0" fontId="120" fillId="0" borderId="104" applyNumberFormat="0" applyFill="0" applyAlignment="0" applyProtection="0"/>
    <xf numFmtId="0" fontId="120" fillId="0" borderId="104" applyNumberFormat="0" applyFill="0" applyAlignment="0" applyProtection="0"/>
    <xf numFmtId="0" fontId="120" fillId="0" borderId="104" applyNumberFormat="0" applyFill="0" applyAlignment="0" applyProtection="0"/>
    <xf numFmtId="0" fontId="120" fillId="0" borderId="104" applyNumberFormat="0" applyFill="0" applyAlignment="0" applyProtection="0"/>
    <xf numFmtId="0" fontId="120" fillId="0" borderId="104" applyNumberFormat="0" applyFill="0" applyAlignment="0" applyProtection="0"/>
    <xf numFmtId="0" fontId="120" fillId="0" borderId="104" applyNumberFormat="0" applyFill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219" fontId="39" fillId="0" borderId="0" applyFont="0" applyFill="0" applyBorder="0" applyAlignment="0" applyProtection="0"/>
    <xf numFmtId="220" fontId="39" fillId="0" borderId="0" applyFont="0" applyFill="0" applyBorder="0" applyAlignment="0" applyProtection="0"/>
    <xf numFmtId="220" fontId="39" fillId="0" borderId="0" applyFont="0" applyFill="0" applyBorder="0" applyAlignment="0" applyProtection="0"/>
    <xf numFmtId="220" fontId="39" fillId="0" borderId="0" applyFont="0" applyFill="0" applyBorder="0" applyAlignment="0" applyProtection="0"/>
    <xf numFmtId="212" fontId="13" fillId="0" borderId="0" applyFont="0" applyFill="0" applyBorder="0" applyAlignment="0" applyProtection="0"/>
    <xf numFmtId="165" fontId="39" fillId="0" borderId="0" applyFont="0" applyFill="0" applyBorder="0" applyAlignment="0" applyProtection="0"/>
    <xf numFmtId="0" fontId="1" fillId="0" borderId="0"/>
    <xf numFmtId="9" fontId="39" fillId="0" borderId="0" applyFont="0" applyFill="0" applyBorder="0" applyAlignment="0" applyProtection="0"/>
    <xf numFmtId="0" fontId="55" fillId="48" borderId="0">
      <alignment horizontal="center" vertical="center"/>
    </xf>
    <xf numFmtId="0" fontId="145" fillId="48" borderId="0">
      <alignment horizontal="left" vertical="center"/>
    </xf>
    <xf numFmtId="0" fontId="53" fillId="48" borderId="0">
      <alignment horizontal="left" vertical="top"/>
    </xf>
    <xf numFmtId="0" fontId="146" fillId="48" borderId="0">
      <alignment horizontal="left" vertical="center"/>
    </xf>
    <xf numFmtId="0" fontId="52" fillId="48" borderId="0">
      <alignment horizontal="right" vertical="center"/>
    </xf>
    <xf numFmtId="0" fontId="147" fillId="48" borderId="0">
      <alignment horizontal="right" vertical="center"/>
    </xf>
    <xf numFmtId="0" fontId="52" fillId="48" borderId="0">
      <alignment horizontal="left" vertical="center"/>
    </xf>
    <xf numFmtId="0" fontId="148" fillId="48" borderId="0">
      <alignment horizontal="right" vertical="center"/>
    </xf>
    <xf numFmtId="0" fontId="52" fillId="48" borderId="0">
      <alignment horizontal="left" vertical="center"/>
    </xf>
    <xf numFmtId="0" fontId="147" fillId="48" borderId="0">
      <alignment horizontal="right" vertical="center"/>
    </xf>
    <xf numFmtId="0" fontId="53" fillId="48" borderId="0">
      <alignment horizontal="center" vertical="center"/>
    </xf>
    <xf numFmtId="0" fontId="146" fillId="48" borderId="0">
      <alignment horizontal="left" vertical="center"/>
    </xf>
    <xf numFmtId="0" fontId="149" fillId="48" borderId="0">
      <alignment horizontal="right" vertical="center"/>
    </xf>
    <xf numFmtId="0" fontId="149" fillId="48" borderId="0">
      <alignment horizontal="right" vertical="center"/>
    </xf>
    <xf numFmtId="0" fontId="149" fillId="48" borderId="0">
      <alignment horizontal="right" vertical="center"/>
    </xf>
    <xf numFmtId="0" fontId="150" fillId="48" borderId="0">
      <alignment horizontal="right" vertical="center"/>
    </xf>
    <xf numFmtId="0" fontId="151" fillId="48" borderId="0">
      <alignment horizontal="right" vertical="center"/>
    </xf>
    <xf numFmtId="0" fontId="151" fillId="48" borderId="0">
      <alignment horizontal="right" vertical="center"/>
    </xf>
    <xf numFmtId="0" fontId="151" fillId="48" borderId="0">
      <alignment horizontal="right" vertical="center"/>
    </xf>
    <xf numFmtId="0" fontId="152" fillId="48" borderId="0">
      <alignment horizontal="left" vertical="center"/>
    </xf>
    <xf numFmtId="0" fontId="53" fillId="48" borderId="0">
      <alignment horizontal="left" vertical="center"/>
    </xf>
    <xf numFmtId="0" fontId="146" fillId="48" borderId="0">
      <alignment horizontal="right" vertical="center"/>
    </xf>
    <xf numFmtId="0" fontId="153" fillId="48" borderId="0">
      <alignment horizontal="right" vertical="center"/>
    </xf>
    <xf numFmtId="0" fontId="148" fillId="48" borderId="0">
      <alignment horizontal="right" vertical="center"/>
    </xf>
    <xf numFmtId="0" fontId="154" fillId="48" borderId="0">
      <alignment horizontal="right" vertical="center"/>
    </xf>
    <xf numFmtId="0" fontId="155" fillId="48" borderId="0">
      <alignment horizontal="center" vertical="center"/>
    </xf>
    <xf numFmtId="0" fontId="156" fillId="48" borderId="0">
      <alignment horizontal="right" vertical="center"/>
    </xf>
    <xf numFmtId="0" fontId="156" fillId="48" borderId="0">
      <alignment horizontal="right" vertical="center"/>
    </xf>
    <xf numFmtId="0" fontId="156" fillId="48" borderId="0">
      <alignment horizontal="right" vertical="center"/>
    </xf>
    <xf numFmtId="0" fontId="155" fillId="48" borderId="0">
      <alignment horizontal="left" vertical="center"/>
    </xf>
    <xf numFmtId="0" fontId="157" fillId="48" borderId="0">
      <alignment horizontal="right" vertical="center"/>
    </xf>
    <xf numFmtId="0" fontId="158" fillId="48" borderId="0">
      <alignment horizontal="right" vertical="center"/>
    </xf>
    <xf numFmtId="0" fontId="50" fillId="48" borderId="0">
      <alignment horizontal="center" vertical="center"/>
    </xf>
    <xf numFmtId="0" fontId="146" fillId="48" borderId="0">
      <alignment horizontal="right" vertical="center"/>
    </xf>
    <xf numFmtId="0" fontId="158" fillId="48" borderId="0">
      <alignment horizontal="left" vertical="center"/>
    </xf>
    <xf numFmtId="0" fontId="158" fillId="48" borderId="0">
      <alignment horizontal="left" vertical="top"/>
    </xf>
    <xf numFmtId="0" fontId="158" fillId="48" borderId="0">
      <alignment horizontal="left" vertical="top"/>
    </xf>
    <xf numFmtId="0" fontId="148" fillId="48" borderId="0">
      <alignment horizontal="right" vertical="center"/>
    </xf>
    <xf numFmtId="0" fontId="50" fillId="48" borderId="0">
      <alignment horizontal="left" vertical="center"/>
    </xf>
    <xf numFmtId="0" fontId="159" fillId="48" borderId="0">
      <alignment horizontal="right" vertical="center"/>
    </xf>
    <xf numFmtId="0" fontId="50" fillId="48" borderId="0">
      <alignment horizontal="center" vertical="center"/>
    </xf>
    <xf numFmtId="0" fontId="160" fillId="48" borderId="0">
      <alignment horizontal="left" vertical="center"/>
    </xf>
    <xf numFmtId="0" fontId="50" fillId="48" borderId="0">
      <alignment horizontal="left" vertical="center"/>
    </xf>
    <xf numFmtId="0" fontId="146" fillId="48" borderId="0">
      <alignment horizontal="center" vertical="center"/>
    </xf>
    <xf numFmtId="0" fontId="161" fillId="48" borderId="0">
      <alignment horizontal="center" vertical="top"/>
    </xf>
    <xf numFmtId="0" fontId="162" fillId="48" borderId="0">
      <alignment horizontal="center" vertical="center"/>
    </xf>
    <xf numFmtId="0" fontId="53" fillId="48" borderId="0">
      <alignment horizontal="center" vertical="center"/>
    </xf>
    <xf numFmtId="0" fontId="147" fillId="48" borderId="0">
      <alignment horizontal="right" vertical="center"/>
    </xf>
    <xf numFmtId="0" fontId="210" fillId="0" borderId="0">
      <alignment vertical="center"/>
    </xf>
    <xf numFmtId="222" fontId="214" fillId="0" borderId="0" applyFont="0" applyFill="0" applyBorder="0" applyAlignment="0" applyProtection="0">
      <alignment vertical="center"/>
    </xf>
  </cellStyleXfs>
  <cellXfs count="2346">
    <xf numFmtId="0" fontId="0" fillId="0" borderId="0" xfId="0"/>
    <xf numFmtId="165" fontId="30" fillId="0" borderId="7" xfId="21" applyFont="1" applyFill="1" applyBorder="1" applyAlignment="1">
      <alignment horizontal="center" vertical="center"/>
    </xf>
    <xf numFmtId="165" fontId="30" fillId="0" borderId="22" xfId="21" applyFont="1" applyFill="1" applyBorder="1" applyAlignment="1">
      <alignment horizontal="center" vertical="center"/>
    </xf>
    <xf numFmtId="165" fontId="30" fillId="0" borderId="36" xfId="21" applyFont="1" applyFill="1" applyBorder="1" applyAlignment="1">
      <alignment horizontal="center" vertical="center"/>
    </xf>
    <xf numFmtId="165" fontId="33" fillId="0" borderId="0" xfId="21" applyFont="1" applyFill="1" applyAlignment="1">
      <alignment horizontal="center" vertical="center"/>
    </xf>
    <xf numFmtId="174" fontId="33" fillId="0" borderId="0" xfId="9" applyNumberFormat="1" applyFont="1" applyFill="1" applyAlignment="1">
      <alignment horizontal="center" vertical="center"/>
    </xf>
    <xf numFmtId="175" fontId="59" fillId="0" borderId="0" xfId="21" applyNumberFormat="1" applyFont="1" applyFill="1" applyAlignment="1">
      <alignment horizontal="center" vertical="center"/>
    </xf>
    <xf numFmtId="175" fontId="33" fillId="0" borderId="0" xfId="21" applyNumberFormat="1" applyFont="1" applyFill="1" applyAlignment="1">
      <alignment horizontal="center" vertical="center"/>
    </xf>
    <xf numFmtId="174" fontId="34" fillId="0" borderId="7" xfId="9" applyNumberFormat="1" applyFont="1" applyFill="1" applyBorder="1" applyAlignment="1">
      <alignment horizontal="center" vertical="center"/>
    </xf>
    <xf numFmtId="165" fontId="34" fillId="0" borderId="0" xfId="21" applyFont="1" applyFill="1" applyAlignment="1">
      <alignment horizontal="center" vertical="center"/>
    </xf>
    <xf numFmtId="174" fontId="34" fillId="0" borderId="18" xfId="9" applyNumberFormat="1" applyFont="1" applyFill="1" applyBorder="1" applyAlignment="1">
      <alignment horizontal="center" vertical="center"/>
    </xf>
    <xf numFmtId="165" fontId="23" fillId="0" borderId="53" xfId="21" applyFont="1" applyFill="1" applyBorder="1" applyAlignment="1">
      <alignment horizontal="center" vertical="center"/>
    </xf>
    <xf numFmtId="174" fontId="23" fillId="0" borderId="53" xfId="9" applyNumberFormat="1" applyFont="1" applyFill="1" applyBorder="1" applyAlignment="1">
      <alignment horizontal="center" vertical="center"/>
    </xf>
    <xf numFmtId="175" fontId="35" fillId="0" borderId="53" xfId="21" applyNumberFormat="1" applyFont="1" applyFill="1" applyBorder="1" applyAlignment="1">
      <alignment horizontal="center" vertical="center"/>
    </xf>
    <xf numFmtId="175" fontId="23" fillId="0" borderId="54" xfId="21" applyNumberFormat="1" applyFont="1" applyFill="1" applyBorder="1" applyAlignment="1">
      <alignment horizontal="center" vertical="center"/>
    </xf>
    <xf numFmtId="165" fontId="23" fillId="0" borderId="0" xfId="21" applyFont="1" applyFill="1" applyAlignment="1">
      <alignment horizontal="center" vertical="center"/>
    </xf>
    <xf numFmtId="165" fontId="23" fillId="0" borderId="36" xfId="9" applyNumberFormat="1" applyFont="1" applyFill="1" applyBorder="1" applyAlignment="1">
      <alignment horizontal="center" vertical="center"/>
    </xf>
    <xf numFmtId="174" fontId="23" fillId="0" borderId="36" xfId="9" applyNumberFormat="1" applyFont="1" applyFill="1" applyBorder="1" applyAlignment="1">
      <alignment horizontal="center" vertical="center"/>
    </xf>
    <xf numFmtId="166" fontId="35" fillId="0" borderId="36" xfId="9" applyFont="1" applyFill="1" applyBorder="1" applyAlignment="1">
      <alignment horizontal="center" vertical="center"/>
    </xf>
    <xf numFmtId="166" fontId="23" fillId="0" borderId="40" xfId="9" applyFont="1" applyFill="1" applyBorder="1" applyAlignment="1">
      <alignment horizontal="center" vertical="center"/>
    </xf>
    <xf numFmtId="174" fontId="23" fillId="0" borderId="0" xfId="9" applyNumberFormat="1" applyFont="1" applyFill="1" applyAlignment="1">
      <alignment horizontal="center" vertical="center"/>
    </xf>
    <xf numFmtId="165" fontId="34" fillId="0" borderId="32" xfId="21" applyFont="1" applyFill="1" applyBorder="1" applyAlignment="1">
      <alignment horizontal="center" vertical="center"/>
    </xf>
    <xf numFmtId="165" fontId="34" fillId="0" borderId="27" xfId="21" applyFont="1" applyFill="1" applyBorder="1" applyAlignment="1">
      <alignment horizontal="center" vertical="center"/>
    </xf>
    <xf numFmtId="174" fontId="34" fillId="0" borderId="27" xfId="9" applyNumberFormat="1" applyFont="1" applyFill="1" applyBorder="1" applyAlignment="1">
      <alignment horizontal="center" vertical="center"/>
    </xf>
    <xf numFmtId="175" fontId="60" fillId="0" borderId="27" xfId="21" applyNumberFormat="1" applyFont="1" applyFill="1" applyBorder="1" applyAlignment="1">
      <alignment horizontal="center" vertical="center"/>
    </xf>
    <xf numFmtId="175" fontId="34" fillId="0" borderId="28" xfId="21" applyNumberFormat="1" applyFont="1" applyFill="1" applyBorder="1" applyAlignment="1">
      <alignment horizontal="center" vertical="center"/>
    </xf>
    <xf numFmtId="165" fontId="23" fillId="0" borderId="22" xfId="21" applyFont="1" applyFill="1" applyBorder="1" applyAlignment="1">
      <alignment horizontal="center" vertical="center"/>
    </xf>
    <xf numFmtId="175" fontId="23" fillId="0" borderId="31" xfId="21" applyNumberFormat="1" applyFont="1" applyFill="1" applyBorder="1" applyAlignment="1">
      <alignment horizontal="center" vertical="center"/>
    </xf>
    <xf numFmtId="176" fontId="34" fillId="0" borderId="27" xfId="21" applyNumberFormat="1" applyFont="1" applyFill="1" applyBorder="1" applyAlignment="1">
      <alignment horizontal="center" vertical="center"/>
    </xf>
    <xf numFmtId="176" fontId="34" fillId="0" borderId="32" xfId="21" applyNumberFormat="1" applyFont="1" applyFill="1" applyBorder="1" applyAlignment="1">
      <alignment horizontal="center" vertical="center"/>
    </xf>
    <xf numFmtId="176" fontId="60" fillId="0" borderId="27" xfId="21" applyNumberFormat="1" applyFont="1" applyFill="1" applyBorder="1" applyAlignment="1">
      <alignment horizontal="center" vertical="center"/>
    </xf>
    <xf numFmtId="176" fontId="34" fillId="0" borderId="0" xfId="21" applyNumberFormat="1" applyFont="1" applyFill="1" applyAlignment="1">
      <alignment horizontal="center" vertical="center"/>
    </xf>
    <xf numFmtId="176" fontId="23" fillId="0" borderId="53" xfId="21" applyNumberFormat="1" applyFont="1" applyFill="1" applyBorder="1" applyAlignment="1">
      <alignment horizontal="center" vertical="center"/>
    </xf>
    <xf numFmtId="176" fontId="23" fillId="0" borderId="36" xfId="21" applyNumberFormat="1" applyFont="1" applyFill="1" applyBorder="1" applyAlignment="1">
      <alignment horizontal="center" vertical="center"/>
    </xf>
    <xf numFmtId="174" fontId="34" fillId="0" borderId="32" xfId="9" applyNumberFormat="1" applyFont="1" applyFill="1" applyBorder="1" applyAlignment="1">
      <alignment horizontal="center" vertical="center"/>
    </xf>
    <xf numFmtId="174" fontId="60" fillId="0" borderId="27" xfId="9" applyNumberFormat="1" applyFont="1" applyFill="1" applyBorder="1" applyAlignment="1">
      <alignment horizontal="center" vertical="center"/>
    </xf>
    <xf numFmtId="166" fontId="34" fillId="0" borderId="28" xfId="9" applyFont="1" applyFill="1" applyBorder="1" applyAlignment="1">
      <alignment horizontal="center" vertical="center"/>
    </xf>
    <xf numFmtId="174" fontId="34" fillId="0" borderId="0" xfId="9" applyNumberFormat="1" applyFont="1" applyFill="1" applyAlignment="1">
      <alignment horizontal="center" vertical="center"/>
    </xf>
    <xf numFmtId="165" fontId="34" fillId="0" borderId="24" xfId="21" applyFont="1" applyFill="1" applyBorder="1" applyAlignment="1">
      <alignment horizontal="center" vertical="center"/>
    </xf>
    <xf numFmtId="165" fontId="34" fillId="0" borderId="25" xfId="21" applyFont="1" applyFill="1" applyBorder="1" applyAlignment="1">
      <alignment horizontal="center" vertical="center"/>
    </xf>
    <xf numFmtId="174" fontId="34" fillId="0" borderId="25" xfId="9" applyNumberFormat="1" applyFont="1" applyFill="1" applyBorder="1" applyAlignment="1">
      <alignment horizontal="center" vertical="center"/>
    </xf>
    <xf numFmtId="175" fontId="60" fillId="0" borderId="25" xfId="21" applyNumberFormat="1" applyFont="1" applyFill="1" applyBorder="1" applyAlignment="1">
      <alignment horizontal="center" vertical="center"/>
    </xf>
    <xf numFmtId="175" fontId="34" fillId="0" borderId="43" xfId="21" applyNumberFormat="1" applyFont="1" applyFill="1" applyBorder="1" applyAlignment="1">
      <alignment horizontal="center" vertical="center"/>
    </xf>
    <xf numFmtId="175" fontId="34" fillId="0" borderId="27" xfId="21" applyNumberFormat="1" applyFont="1" applyFill="1" applyBorder="1" applyAlignment="1">
      <alignment horizontal="center" vertical="center"/>
    </xf>
    <xf numFmtId="175" fontId="23" fillId="0" borderId="0" xfId="21" applyNumberFormat="1" applyFont="1" applyFill="1" applyAlignment="1">
      <alignment horizontal="center" vertical="center"/>
    </xf>
    <xf numFmtId="165" fontId="23" fillId="0" borderId="0" xfId="21" applyFont="1" applyFill="1" applyAlignment="1">
      <alignment horizontal="center"/>
    </xf>
    <xf numFmtId="174" fontId="23" fillId="0" borderId="0" xfId="9" applyNumberFormat="1" applyFont="1" applyFill="1" applyAlignment="1">
      <alignment horizontal="center"/>
    </xf>
    <xf numFmtId="175" fontId="59" fillId="0" borderId="0" xfId="21" applyNumberFormat="1" applyFont="1" applyFill="1" applyAlignment="1">
      <alignment horizontal="center"/>
    </xf>
    <xf numFmtId="175" fontId="23" fillId="0" borderId="0" xfId="21" applyNumberFormat="1" applyFont="1" applyFill="1" applyAlignment="1">
      <alignment horizontal="center"/>
    </xf>
    <xf numFmtId="165" fontId="23" fillId="0" borderId="37" xfId="21" applyFont="1" applyFill="1" applyBorder="1" applyAlignment="1">
      <alignment horizontal="center" vertical="center"/>
    </xf>
    <xf numFmtId="175" fontId="23" fillId="0" borderId="21" xfId="21" applyNumberFormat="1" applyFont="1" applyFill="1" applyBorder="1" applyAlignment="1">
      <alignment horizontal="center" vertical="center"/>
    </xf>
    <xf numFmtId="165" fontId="23" fillId="0" borderId="34" xfId="21" applyFont="1" applyFill="1" applyBorder="1" applyAlignment="1">
      <alignment horizontal="center" vertical="center"/>
    </xf>
    <xf numFmtId="176" fontId="23" fillId="0" borderId="34" xfId="21" applyNumberFormat="1" applyFont="1" applyFill="1" applyBorder="1" applyAlignment="1">
      <alignment horizontal="center" vertical="center"/>
    </xf>
    <xf numFmtId="175" fontId="23" fillId="0" borderId="35" xfId="21" applyNumberFormat="1" applyFont="1" applyFill="1" applyBorder="1" applyAlignment="1">
      <alignment horizontal="center" vertical="center"/>
    </xf>
    <xf numFmtId="175" fontId="34" fillId="0" borderId="25" xfId="21" applyNumberFormat="1" applyFont="1" applyFill="1" applyBorder="1" applyAlignment="1">
      <alignment horizontal="center" vertical="center"/>
    </xf>
    <xf numFmtId="176" fontId="34" fillId="0" borderId="24" xfId="21" applyNumberFormat="1" applyFont="1" applyFill="1" applyBorder="1" applyAlignment="1">
      <alignment horizontal="center" vertical="center"/>
    </xf>
    <xf numFmtId="175" fontId="23" fillId="0" borderId="40" xfId="21" applyNumberFormat="1" applyFont="1" applyFill="1" applyBorder="1" applyAlignment="1">
      <alignment horizontal="center" vertical="center"/>
    </xf>
    <xf numFmtId="176" fontId="23" fillId="0" borderId="0" xfId="21" applyNumberFormat="1" applyFont="1" applyFill="1" applyAlignment="1">
      <alignment horizontal="center" vertical="center"/>
    </xf>
    <xf numFmtId="165" fontId="23" fillId="0" borderId="36" xfId="21" applyFont="1" applyFill="1" applyBorder="1" applyAlignment="1">
      <alignment horizontal="center" vertical="center"/>
    </xf>
    <xf numFmtId="165" fontId="34" fillId="0" borderId="9" xfId="21" applyFont="1" applyFill="1" applyBorder="1" applyAlignment="1">
      <alignment horizontal="center" vertical="center"/>
    </xf>
    <xf numFmtId="165" fontId="34" fillId="0" borderId="14" xfId="21" applyFont="1" applyFill="1" applyBorder="1" applyAlignment="1">
      <alignment horizontal="center" vertical="center"/>
    </xf>
    <xf numFmtId="175" fontId="34" fillId="0" borderId="14" xfId="21" applyNumberFormat="1" applyFont="1" applyFill="1" applyBorder="1" applyAlignment="1">
      <alignment horizontal="center" vertical="center"/>
    </xf>
    <xf numFmtId="175" fontId="34" fillId="0" borderId="29" xfId="21" applyNumberFormat="1" applyFont="1" applyFill="1" applyBorder="1" applyAlignment="1">
      <alignment horizontal="center" vertical="center"/>
    </xf>
    <xf numFmtId="165" fontId="34" fillId="0" borderId="0" xfId="21" applyFont="1" applyFill="1" applyAlignment="1">
      <alignment horizontal="center"/>
    </xf>
    <xf numFmtId="0" fontId="28" fillId="0" borderId="0" xfId="1" applyFont="1" applyAlignment="1">
      <alignment horizontal="left" vertical="center"/>
    </xf>
    <xf numFmtId="0" fontId="11" fillId="0" borderId="53" xfId="0" applyFont="1" applyBorder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8" borderId="23" xfId="1" applyFont="1" applyFill="1" applyBorder="1" applyAlignment="1">
      <alignment horizontal="center" vertical="center"/>
    </xf>
    <xf numFmtId="207" fontId="23" fillId="0" borderId="22" xfId="0" applyNumberFormat="1" applyFont="1" applyBorder="1" applyAlignment="1">
      <alignment horizontal="center" vertical="center"/>
    </xf>
    <xf numFmtId="41" fontId="65" fillId="0" borderId="0" xfId="0" applyNumberFormat="1" applyFont="1" applyAlignment="1">
      <alignment vertical="center"/>
    </xf>
    <xf numFmtId="0" fontId="65" fillId="0" borderId="0" xfId="0" applyFont="1" applyAlignment="1">
      <alignment vertical="center"/>
    </xf>
    <xf numFmtId="43" fontId="65" fillId="0" borderId="0" xfId="0" applyNumberFormat="1" applyFont="1" applyAlignment="1">
      <alignment vertical="center"/>
    </xf>
    <xf numFmtId="0" fontId="64" fillId="0" borderId="0" xfId="0" applyFont="1" applyAlignment="1">
      <alignment vertical="center"/>
    </xf>
    <xf numFmtId="0" fontId="65" fillId="0" borderId="0" xfId="0" applyFont="1" applyAlignment="1">
      <alignment horizontal="center" vertical="center"/>
    </xf>
    <xf numFmtId="0" fontId="16" fillId="0" borderId="20" xfId="0" applyFont="1" applyBorder="1" applyAlignment="1">
      <alignment horizontal="left" vertical="center"/>
    </xf>
    <xf numFmtId="0" fontId="64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41" fontId="22" fillId="0" borderId="27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2" fontId="18" fillId="0" borderId="0" xfId="9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166" fontId="14" fillId="0" borderId="0" xfId="9" applyFont="1" applyFill="1" applyAlignment="1">
      <alignment horizontal="center" vertical="center"/>
    </xf>
    <xf numFmtId="166" fontId="14" fillId="0" borderId="53" xfId="9" applyFont="1" applyFill="1" applyBorder="1" applyAlignment="1">
      <alignment horizontal="center" vertical="center"/>
    </xf>
    <xf numFmtId="166" fontId="14" fillId="0" borderId="22" xfId="9" applyFont="1" applyFill="1" applyBorder="1" applyAlignment="1">
      <alignment horizontal="center" vertical="center"/>
    </xf>
    <xf numFmtId="172" fontId="14" fillId="0" borderId="53" xfId="9" applyNumberFormat="1" applyFont="1" applyFill="1" applyBorder="1" applyAlignment="1">
      <alignment horizontal="center" vertical="center"/>
    </xf>
    <xf numFmtId="166" fontId="14" fillId="0" borderId="36" xfId="9" applyFont="1" applyFill="1" applyBorder="1" applyAlignment="1">
      <alignment horizontal="center" vertical="center"/>
    </xf>
    <xf numFmtId="172" fontId="14" fillId="0" borderId="22" xfId="9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172" fontId="11" fillId="0" borderId="53" xfId="9" applyNumberFormat="1" applyFont="1" applyFill="1" applyBorder="1" applyAlignment="1">
      <alignment horizontal="center" vertical="center" wrapText="1"/>
    </xf>
    <xf numFmtId="166" fontId="68" fillId="0" borderId="0" xfId="9" applyFont="1" applyFill="1" applyAlignment="1">
      <alignment horizontal="center" vertical="center"/>
    </xf>
    <xf numFmtId="166" fontId="14" fillId="0" borderId="20" xfId="9" applyFont="1" applyFill="1" applyBorder="1" applyAlignment="1">
      <alignment horizontal="center" vertical="center"/>
    </xf>
    <xf numFmtId="172" fontId="14" fillId="0" borderId="20" xfId="9" applyNumberFormat="1" applyFont="1" applyFill="1" applyBorder="1" applyAlignment="1">
      <alignment horizontal="center" vertical="center"/>
    </xf>
    <xf numFmtId="172" fontId="11" fillId="0" borderId="22" xfId="9" applyNumberFormat="1" applyFont="1" applyFill="1" applyBorder="1" applyAlignment="1">
      <alignment horizontal="center" vertical="center" wrapText="1"/>
    </xf>
    <xf numFmtId="172" fontId="11" fillId="0" borderId="23" xfId="9" applyNumberFormat="1" applyFont="1" applyFill="1" applyBorder="1" applyAlignment="1">
      <alignment horizontal="center" vertical="center" wrapText="1"/>
    </xf>
    <xf numFmtId="166" fontId="14" fillId="0" borderId="23" xfId="9" applyFont="1" applyFill="1" applyBorder="1" applyAlignment="1">
      <alignment horizontal="center" vertical="center"/>
    </xf>
    <xf numFmtId="172" fontId="14" fillId="0" borderId="23" xfId="9" applyNumberFormat="1" applyFont="1" applyFill="1" applyBorder="1" applyAlignment="1">
      <alignment horizontal="center" vertical="center"/>
    </xf>
    <xf numFmtId="172" fontId="11" fillId="0" borderId="36" xfId="9" applyNumberFormat="1" applyFont="1" applyFill="1" applyBorder="1" applyAlignment="1">
      <alignment horizontal="center" vertical="center" wrapText="1"/>
    </xf>
    <xf numFmtId="172" fontId="14" fillId="0" borderId="36" xfId="9" applyNumberFormat="1" applyFont="1" applyFill="1" applyBorder="1" applyAlignment="1">
      <alignment horizontal="center" vertical="center"/>
    </xf>
    <xf numFmtId="166" fontId="68" fillId="0" borderId="27" xfId="9" applyFont="1" applyFill="1" applyBorder="1" applyAlignment="1">
      <alignment horizontal="center" vertical="center"/>
    </xf>
    <xf numFmtId="172" fontId="11" fillId="0" borderId="20" xfId="9" applyNumberFormat="1" applyFont="1" applyFill="1" applyBorder="1" applyAlignment="1">
      <alignment horizontal="center" vertical="center" wrapText="1"/>
    </xf>
    <xf numFmtId="166" fontId="11" fillId="0" borderId="22" xfId="9" applyFont="1" applyFill="1" applyBorder="1" applyAlignment="1">
      <alignment horizontal="center" vertical="center"/>
    </xf>
    <xf numFmtId="175" fontId="14" fillId="0" borderId="3" xfId="21" applyNumberFormat="1" applyFont="1" applyFill="1" applyBorder="1" applyAlignment="1">
      <alignment horizontal="left" vertical="center"/>
    </xf>
    <xf numFmtId="175" fontId="14" fillId="0" borderId="10" xfId="21" applyNumberFormat="1" applyFont="1" applyFill="1" applyBorder="1" applyAlignment="1">
      <alignment horizontal="left" vertical="center"/>
    </xf>
    <xf numFmtId="175" fontId="14" fillId="0" borderId="14" xfId="21" applyNumberFormat="1" applyFont="1" applyFill="1" applyBorder="1" applyAlignment="1">
      <alignment horizontal="center" vertical="center"/>
    </xf>
    <xf numFmtId="175" fontId="14" fillId="0" borderId="36" xfId="21" applyNumberFormat="1" applyFont="1" applyFill="1" applyBorder="1" applyAlignment="1">
      <alignment horizontal="center" vertical="center"/>
    </xf>
    <xf numFmtId="175" fontId="14" fillId="0" borderId="0" xfId="21" applyNumberFormat="1" applyFont="1" applyFill="1" applyAlignment="1">
      <alignment horizontal="center" vertical="center"/>
    </xf>
    <xf numFmtId="175" fontId="14" fillId="0" borderId="7" xfId="21" applyNumberFormat="1" applyFont="1" applyFill="1" applyBorder="1" applyAlignment="1">
      <alignment horizontal="center" vertical="center"/>
    </xf>
    <xf numFmtId="175" fontId="14" fillId="0" borderId="7" xfId="21" applyNumberFormat="1" applyFont="1" applyFill="1" applyBorder="1" applyAlignment="1">
      <alignment vertical="center" wrapText="1"/>
    </xf>
    <xf numFmtId="172" fontId="69" fillId="0" borderId="53" xfId="9" applyNumberFormat="1" applyFont="1" applyFill="1" applyBorder="1" applyAlignment="1">
      <alignment horizontal="center" vertical="center" wrapText="1"/>
    </xf>
    <xf numFmtId="166" fontId="68" fillId="0" borderId="53" xfId="9" applyFont="1" applyFill="1" applyBorder="1" applyAlignment="1">
      <alignment horizontal="center" vertical="center"/>
    </xf>
    <xf numFmtId="172" fontId="68" fillId="0" borderId="53" xfId="9" applyNumberFormat="1" applyFont="1" applyFill="1" applyBorder="1" applyAlignment="1">
      <alignment horizontal="center" vertical="center"/>
    </xf>
    <xf numFmtId="172" fontId="69" fillId="0" borderId="22" xfId="9" applyNumberFormat="1" applyFont="1" applyFill="1" applyBorder="1" applyAlignment="1">
      <alignment horizontal="center" vertical="center" wrapText="1"/>
    </xf>
    <xf numFmtId="166" fontId="68" fillId="0" borderId="22" xfId="9" applyFont="1" applyFill="1" applyBorder="1" applyAlignment="1">
      <alignment horizontal="center" vertical="center"/>
    </xf>
    <xf numFmtId="172" fontId="68" fillId="0" borderId="22" xfId="9" applyNumberFormat="1" applyFont="1" applyFill="1" applyBorder="1" applyAlignment="1">
      <alignment horizontal="center" vertical="center"/>
    </xf>
    <xf numFmtId="172" fontId="69" fillId="0" borderId="36" xfId="9" applyNumberFormat="1" applyFont="1" applyFill="1" applyBorder="1" applyAlignment="1">
      <alignment horizontal="center" vertical="center" wrapText="1"/>
    </xf>
    <xf numFmtId="166" fontId="68" fillId="0" borderId="36" xfId="9" applyFont="1" applyFill="1" applyBorder="1" applyAlignment="1">
      <alignment horizontal="center" vertical="center"/>
    </xf>
    <xf numFmtId="172" fontId="68" fillId="0" borderId="36" xfId="9" applyNumberFormat="1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166" fontId="69" fillId="0" borderId="27" xfId="9" applyFont="1" applyFill="1" applyBorder="1" applyAlignment="1">
      <alignment horizontal="center" vertical="center"/>
    </xf>
    <xf numFmtId="172" fontId="68" fillId="0" borderId="27" xfId="9" applyNumberFormat="1" applyFont="1" applyFill="1" applyBorder="1" applyAlignment="1">
      <alignment horizontal="center" vertical="center"/>
    </xf>
    <xf numFmtId="172" fontId="68" fillId="0" borderId="27" xfId="9" applyNumberFormat="1" applyFont="1" applyFill="1" applyBorder="1" applyAlignment="1">
      <alignment horizontal="center" vertical="center" wrapText="1"/>
    </xf>
    <xf numFmtId="166" fontId="11" fillId="0" borderId="53" xfId="9" applyFont="1" applyFill="1" applyBorder="1" applyAlignment="1">
      <alignment horizontal="center" vertical="center" wrapText="1"/>
    </xf>
    <xf numFmtId="166" fontId="21" fillId="0" borderId="27" xfId="9" applyFont="1" applyFill="1" applyBorder="1" applyAlignment="1">
      <alignment horizontal="center" vertical="center"/>
    </xf>
    <xf numFmtId="166" fontId="21" fillId="0" borderId="0" xfId="9" applyFont="1" applyFill="1" applyAlignment="1">
      <alignment horizontal="center" vertical="center"/>
    </xf>
    <xf numFmtId="166" fontId="71" fillId="0" borderId="27" xfId="9" applyFont="1" applyFill="1" applyBorder="1" applyAlignment="1">
      <alignment horizontal="center" vertical="center"/>
    </xf>
    <xf numFmtId="166" fontId="71" fillId="0" borderId="0" xfId="9" applyFont="1" applyFill="1" applyAlignment="1">
      <alignment horizontal="center" vertical="center"/>
    </xf>
    <xf numFmtId="172" fontId="71" fillId="0" borderId="27" xfId="9" applyNumberFormat="1" applyFont="1" applyFill="1" applyBorder="1" applyAlignment="1">
      <alignment horizontal="center" vertical="center"/>
    </xf>
    <xf numFmtId="172" fontId="62" fillId="0" borderId="23" xfId="9" applyNumberFormat="1" applyFont="1" applyFill="1" applyBorder="1" applyAlignment="1">
      <alignment horizontal="center" vertical="center" wrapText="1"/>
    </xf>
    <xf numFmtId="166" fontId="68" fillId="0" borderId="23" xfId="9" applyFont="1" applyFill="1" applyBorder="1" applyAlignment="1">
      <alignment horizontal="center" vertical="center"/>
    </xf>
    <xf numFmtId="172" fontId="68" fillId="0" borderId="23" xfId="9" applyNumberFormat="1" applyFont="1" applyFill="1" applyBorder="1" applyAlignment="1">
      <alignment horizontal="center" vertical="center"/>
    </xf>
    <xf numFmtId="166" fontId="11" fillId="0" borderId="22" xfId="9" applyFont="1" applyFill="1" applyBorder="1" applyAlignment="1">
      <alignment horizontal="center" vertical="center" wrapText="1"/>
    </xf>
    <xf numFmtId="0" fontId="28" fillId="0" borderId="19" xfId="1" applyFont="1" applyBorder="1" applyAlignment="1">
      <alignment horizontal="center" vertical="center"/>
    </xf>
    <xf numFmtId="49" fontId="31" fillId="0" borderId="33" xfId="2" applyNumberFormat="1" applyFont="1" applyFill="1" applyBorder="1" applyAlignment="1">
      <alignment horizontal="center" vertical="center" wrapText="1"/>
    </xf>
    <xf numFmtId="171" fontId="28" fillId="0" borderId="22" xfId="4" applyNumberFormat="1" applyFont="1" applyFill="1" applyBorder="1" applyAlignment="1">
      <alignment horizontal="left" vertical="center" wrapText="1"/>
    </xf>
    <xf numFmtId="165" fontId="28" fillId="0" borderId="22" xfId="21" applyFont="1" applyFill="1" applyBorder="1" applyAlignment="1">
      <alignment horizontal="center" vertical="center"/>
    </xf>
    <xf numFmtId="165" fontId="28" fillId="0" borderId="59" xfId="21" applyFont="1" applyFill="1" applyBorder="1" applyAlignment="1">
      <alignment horizontal="center" vertical="center"/>
    </xf>
    <xf numFmtId="165" fontId="28" fillId="0" borderId="12" xfId="21" applyFont="1" applyFill="1" applyBorder="1" applyAlignment="1">
      <alignment horizontal="center" vertical="center"/>
    </xf>
    <xf numFmtId="165" fontId="28" fillId="0" borderId="11" xfId="21" applyFont="1" applyFill="1" applyBorder="1" applyAlignment="1">
      <alignment horizontal="center" vertical="center"/>
    </xf>
    <xf numFmtId="165" fontId="28" fillId="0" borderId="31" xfId="21" applyFont="1" applyFill="1" applyBorder="1" applyAlignment="1">
      <alignment horizontal="center" vertical="center"/>
    </xf>
    <xf numFmtId="165" fontId="28" fillId="0" borderId="0" xfId="21" applyFont="1" applyFill="1" applyBorder="1" applyAlignment="1">
      <alignment horizontal="center" vertical="center"/>
    </xf>
    <xf numFmtId="165" fontId="28" fillId="0" borderId="0" xfId="1" applyNumberFormat="1" applyFont="1" applyAlignment="1">
      <alignment horizontal="center" vertical="center"/>
    </xf>
    <xf numFmtId="0" fontId="31" fillId="0" borderId="0" xfId="1" applyFont="1" applyAlignment="1">
      <alignment horizontal="center" vertical="center"/>
    </xf>
    <xf numFmtId="172" fontId="28" fillId="0" borderId="22" xfId="2" applyNumberFormat="1" applyFont="1" applyFill="1" applyBorder="1" applyAlignment="1">
      <alignment horizontal="left" vertical="center"/>
    </xf>
    <xf numFmtId="171" fontId="28" fillId="0" borderId="22" xfId="4" applyNumberFormat="1" applyFont="1" applyFill="1" applyBorder="1" applyAlignment="1">
      <alignment horizontal="left" vertical="center"/>
    </xf>
    <xf numFmtId="165" fontId="28" fillId="0" borderId="36" xfId="21" applyFont="1" applyFill="1" applyBorder="1" applyAlignment="1">
      <alignment horizontal="center" vertical="center"/>
    </xf>
    <xf numFmtId="165" fontId="28" fillId="0" borderId="32" xfId="21" applyFont="1" applyFill="1" applyBorder="1" applyAlignment="1">
      <alignment horizontal="center" vertical="center"/>
    </xf>
    <xf numFmtId="165" fontId="28" fillId="0" borderId="28" xfId="21" applyFont="1" applyFill="1" applyBorder="1" applyAlignment="1">
      <alignment horizontal="center" vertical="center"/>
    </xf>
    <xf numFmtId="165" fontId="28" fillId="0" borderId="27" xfId="21" applyFont="1" applyFill="1" applyBorder="1" applyAlignment="1">
      <alignment horizontal="center" vertical="center"/>
    </xf>
    <xf numFmtId="165" fontId="28" fillId="8" borderId="27" xfId="21" applyFont="1" applyFill="1" applyBorder="1" applyAlignment="1">
      <alignment horizontal="center" vertical="center"/>
    </xf>
    <xf numFmtId="165" fontId="28" fillId="0" borderId="50" xfId="21" applyFont="1" applyFill="1" applyBorder="1" applyAlignment="1">
      <alignment horizontal="center" vertical="center"/>
    </xf>
    <xf numFmtId="165" fontId="28" fillId="0" borderId="49" xfId="21" applyFont="1" applyFill="1" applyBorder="1" applyAlignment="1">
      <alignment horizontal="center" vertical="center"/>
    </xf>
    <xf numFmtId="165" fontId="28" fillId="0" borderId="0" xfId="21" applyFont="1" applyFill="1" applyAlignment="1">
      <alignment horizontal="center" vertical="center"/>
    </xf>
    <xf numFmtId="0" fontId="28" fillId="0" borderId="0" xfId="1" applyFont="1" applyAlignment="1">
      <alignment vertical="center"/>
    </xf>
    <xf numFmtId="49" fontId="31" fillId="0" borderId="52" xfId="2" applyNumberFormat="1" applyFont="1" applyFill="1" applyBorder="1" applyAlignment="1">
      <alignment horizontal="center" vertical="center" wrapText="1"/>
    </xf>
    <xf numFmtId="49" fontId="28" fillId="0" borderId="32" xfId="2" applyNumberFormat="1" applyFont="1" applyFill="1" applyBorder="1" applyAlignment="1">
      <alignment horizontal="center" vertical="center" wrapText="1"/>
    </xf>
    <xf numFmtId="0" fontId="28" fillId="0" borderId="27" xfId="1" applyFont="1" applyBorder="1" applyAlignment="1">
      <alignment horizontal="center" vertical="center"/>
    </xf>
    <xf numFmtId="165" fontId="28" fillId="0" borderId="27" xfId="1" applyNumberFormat="1" applyFont="1" applyBorder="1" applyAlignment="1">
      <alignment horizontal="center" vertical="center"/>
    </xf>
    <xf numFmtId="165" fontId="28" fillId="0" borderId="26" xfId="21" applyFont="1" applyFill="1" applyBorder="1" applyAlignment="1">
      <alignment horizontal="center" vertical="center"/>
    </xf>
    <xf numFmtId="171" fontId="28" fillId="0" borderId="22" xfId="4" applyNumberFormat="1" applyFont="1" applyFill="1" applyBorder="1" applyAlignment="1">
      <alignment vertical="center" wrapText="1"/>
    </xf>
    <xf numFmtId="172" fontId="65" fillId="0" borderId="0" xfId="9" applyNumberFormat="1" applyFont="1" applyFill="1" applyBorder="1" applyAlignment="1">
      <alignment vertical="center"/>
    </xf>
    <xf numFmtId="172" fontId="22" fillId="0" borderId="0" xfId="9" applyNumberFormat="1" applyFont="1" applyFill="1" applyBorder="1" applyAlignment="1">
      <alignment horizontal="center" vertical="center"/>
    </xf>
    <xf numFmtId="172" fontId="65" fillId="0" borderId="0" xfId="9" applyNumberFormat="1" applyFont="1" applyFill="1" applyBorder="1" applyAlignment="1">
      <alignment horizontal="center" vertical="center"/>
    </xf>
    <xf numFmtId="0" fontId="28" fillId="0" borderId="36" xfId="1" applyFont="1" applyBorder="1" applyAlignment="1">
      <alignment horizontal="center" vertical="center"/>
    </xf>
    <xf numFmtId="0" fontId="28" fillId="0" borderId="53" xfId="1" applyFont="1" applyBorder="1" applyAlignment="1">
      <alignment horizontal="center" vertical="center"/>
    </xf>
    <xf numFmtId="165" fontId="28" fillId="8" borderId="27" xfId="1" applyNumberFormat="1" applyFont="1" applyFill="1" applyBorder="1" applyAlignment="1">
      <alignment horizontal="center" vertical="center"/>
    </xf>
    <xf numFmtId="165" fontId="28" fillId="0" borderId="53" xfId="21" applyFont="1" applyFill="1" applyBorder="1" applyAlignment="1">
      <alignment horizontal="center" vertical="center"/>
    </xf>
    <xf numFmtId="165" fontId="28" fillId="0" borderId="83" xfId="21" applyFont="1" applyFill="1" applyBorder="1" applyAlignment="1">
      <alignment horizontal="center" vertical="center"/>
    </xf>
    <xf numFmtId="0" fontId="28" fillId="0" borderId="48" xfId="1" applyFont="1" applyBorder="1" applyAlignment="1">
      <alignment horizontal="center" vertical="center"/>
    </xf>
    <xf numFmtId="49" fontId="31" fillId="0" borderId="46" xfId="2" applyNumberFormat="1" applyFont="1" applyFill="1" applyBorder="1" applyAlignment="1">
      <alignment horizontal="center" vertical="center" wrapText="1"/>
    </xf>
    <xf numFmtId="171" fontId="28" fillId="0" borderId="53" xfId="4" applyNumberFormat="1" applyFont="1" applyFill="1" applyBorder="1" applyAlignment="1">
      <alignment horizontal="left" vertical="center" wrapText="1"/>
    </xf>
    <xf numFmtId="165" fontId="28" fillId="0" borderId="57" xfId="21" applyFont="1" applyFill="1" applyBorder="1" applyAlignment="1">
      <alignment horizontal="center" vertical="center"/>
    </xf>
    <xf numFmtId="165" fontId="28" fillId="0" borderId="55" xfId="21" applyFont="1" applyFill="1" applyBorder="1" applyAlignment="1">
      <alignment horizontal="center" vertical="center"/>
    </xf>
    <xf numFmtId="165" fontId="28" fillId="0" borderId="54" xfId="21" applyFont="1" applyFill="1" applyBorder="1" applyAlignment="1">
      <alignment horizontal="center" vertical="center"/>
    </xf>
    <xf numFmtId="0" fontId="77" fillId="0" borderId="0" xfId="0" applyFont="1"/>
    <xf numFmtId="0" fontId="23" fillId="0" borderId="0" xfId="0" applyFont="1"/>
    <xf numFmtId="0" fontId="78" fillId="0" borderId="0" xfId="0" applyFont="1"/>
    <xf numFmtId="165" fontId="30" fillId="8" borderId="22" xfId="21" applyFont="1" applyFill="1" applyBorder="1" applyAlignment="1">
      <alignment horizontal="center" vertical="center"/>
    </xf>
    <xf numFmtId="165" fontId="28" fillId="0" borderId="0" xfId="1" applyNumberFormat="1" applyFont="1" applyAlignment="1">
      <alignment vertical="center"/>
    </xf>
    <xf numFmtId="172" fontId="22" fillId="0" borderId="0" xfId="0" applyNumberFormat="1" applyFont="1" applyAlignment="1">
      <alignment horizontal="center" vertical="center"/>
    </xf>
    <xf numFmtId="0" fontId="27" fillId="8" borderId="23" xfId="1" applyFont="1" applyFill="1" applyBorder="1" applyAlignment="1">
      <alignment horizontal="center" vertical="center"/>
    </xf>
    <xf numFmtId="165" fontId="31" fillId="8" borderId="22" xfId="21" applyFont="1" applyFill="1" applyBorder="1" applyAlignment="1">
      <alignment horizontal="center" vertical="center"/>
    </xf>
    <xf numFmtId="165" fontId="30" fillId="8" borderId="36" xfId="21" applyFont="1" applyFill="1" applyBorder="1" applyAlignment="1">
      <alignment horizontal="center" vertical="center"/>
    </xf>
    <xf numFmtId="0" fontId="30" fillId="8" borderId="0" xfId="1" applyFont="1" applyFill="1" applyAlignment="1">
      <alignment horizontal="center" vertical="center"/>
    </xf>
    <xf numFmtId="165" fontId="31" fillId="8" borderId="22" xfId="21" applyFont="1" applyFill="1" applyBorder="1" applyAlignment="1">
      <alignment horizontal="left" vertical="center"/>
    </xf>
    <xf numFmtId="165" fontId="31" fillId="8" borderId="36" xfId="21" applyFont="1" applyFill="1" applyBorder="1" applyAlignment="1">
      <alignment horizontal="left" vertical="center"/>
    </xf>
    <xf numFmtId="0" fontId="29" fillId="8" borderId="27" xfId="1" applyFont="1" applyFill="1" applyBorder="1" applyAlignment="1">
      <alignment horizontal="left" vertical="center"/>
    </xf>
    <xf numFmtId="165" fontId="31" fillId="8" borderId="53" xfId="21" applyFont="1" applyFill="1" applyBorder="1" applyAlignment="1">
      <alignment horizontal="left" vertical="center"/>
    </xf>
    <xf numFmtId="172" fontId="68" fillId="0" borderId="49" xfId="9" applyNumberFormat="1" applyFont="1" applyFill="1" applyBorder="1" applyAlignment="1">
      <alignment horizontal="center" vertical="center"/>
    </xf>
    <xf numFmtId="172" fontId="11" fillId="0" borderId="14" xfId="9" applyNumberFormat="1" applyFont="1" applyFill="1" applyBorder="1" applyAlignment="1">
      <alignment horizontal="center" vertical="center" wrapText="1"/>
    </xf>
    <xf numFmtId="166" fontId="14" fillId="0" borderId="14" xfId="9" applyFont="1" applyFill="1" applyBorder="1" applyAlignment="1">
      <alignment horizontal="center" vertical="center"/>
    </xf>
    <xf numFmtId="172" fontId="14" fillId="0" borderId="14" xfId="9" applyNumberFormat="1" applyFont="1" applyFill="1" applyBorder="1" applyAlignment="1">
      <alignment horizontal="center" vertical="center"/>
    </xf>
    <xf numFmtId="165" fontId="29" fillId="8" borderId="27" xfId="21" applyFont="1" applyFill="1" applyBorder="1" applyAlignment="1">
      <alignment horizontal="left" vertical="center"/>
    </xf>
    <xf numFmtId="171" fontId="28" fillId="0" borderId="106" xfId="4" applyNumberFormat="1" applyFont="1" applyFill="1" applyBorder="1" applyAlignment="1">
      <alignment vertical="center" wrapText="1"/>
    </xf>
    <xf numFmtId="165" fontId="31" fillId="0" borderId="0" xfId="1" applyNumberFormat="1" applyFont="1" applyAlignment="1">
      <alignment horizontal="center" vertical="center"/>
    </xf>
    <xf numFmtId="0" fontId="124" fillId="0" borderId="0" xfId="0" applyFont="1" applyAlignment="1">
      <alignment horizontal="centerContinuous" vertical="center"/>
    </xf>
    <xf numFmtId="0" fontId="12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22" fillId="0" borderId="0" xfId="0" applyFont="1" applyAlignment="1">
      <alignment horizontal="centerContinuous" vertical="center"/>
    </xf>
    <xf numFmtId="0" fontId="22" fillId="0" borderId="0" xfId="0" applyFont="1" applyAlignment="1">
      <alignment vertical="center"/>
    </xf>
    <xf numFmtId="0" fontId="75" fillId="0" borderId="0" xfId="0" applyFont="1" applyAlignment="1">
      <alignment horizontal="center" vertical="center"/>
    </xf>
    <xf numFmtId="0" fontId="74" fillId="8" borderId="27" xfId="1" applyFont="1" applyFill="1" applyBorder="1" applyAlignment="1">
      <alignment horizontal="center" vertical="center"/>
    </xf>
    <xf numFmtId="0" fontId="75" fillId="8" borderId="32" xfId="0" applyFont="1" applyFill="1" applyBorder="1" applyAlignment="1">
      <alignment horizontal="center" vertical="center"/>
    </xf>
    <xf numFmtId="0" fontId="75" fillId="8" borderId="27" xfId="0" applyFont="1" applyFill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0" xfId="0" applyFont="1" applyBorder="1" applyAlignment="1">
      <alignment vertical="center"/>
    </xf>
    <xf numFmtId="0" fontId="75" fillId="0" borderId="20" xfId="0" applyFont="1" applyBorder="1" applyAlignment="1">
      <alignment horizontal="left" vertical="center"/>
    </xf>
    <xf numFmtId="0" fontId="16" fillId="0" borderId="34" xfId="0" applyFont="1" applyBorder="1" applyAlignment="1">
      <alignment horizontal="center" vertical="center"/>
    </xf>
    <xf numFmtId="0" fontId="12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67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4" fillId="0" borderId="67" xfId="0" applyFont="1" applyBorder="1" applyAlignment="1">
      <alignment vertical="center"/>
    </xf>
    <xf numFmtId="0" fontId="64" fillId="0" borderId="76" xfId="0" applyFont="1" applyBorder="1" applyAlignment="1">
      <alignment vertical="center"/>
    </xf>
    <xf numFmtId="165" fontId="29" fillId="0" borderId="77" xfId="21" applyFont="1" applyFill="1" applyBorder="1" applyAlignment="1">
      <alignment horizontal="center" vertical="center"/>
    </xf>
    <xf numFmtId="165" fontId="76" fillId="0" borderId="77" xfId="21" applyFont="1" applyFill="1" applyBorder="1" applyAlignment="1">
      <alignment horizontal="center" vertical="center"/>
    </xf>
    <xf numFmtId="0" fontId="64" fillId="0" borderId="68" xfId="0" applyFont="1" applyBorder="1" applyAlignment="1">
      <alignment vertical="center"/>
    </xf>
    <xf numFmtId="165" fontId="29" fillId="0" borderId="72" xfId="21" applyFont="1" applyFill="1" applyBorder="1" applyAlignment="1">
      <alignment horizontal="center" vertical="center"/>
    </xf>
    <xf numFmtId="165" fontId="29" fillId="0" borderId="0" xfId="21" applyFont="1" applyFill="1" applyBorder="1" applyAlignment="1">
      <alignment horizontal="center" vertical="center"/>
    </xf>
    <xf numFmtId="165" fontId="29" fillId="0" borderId="0" xfId="21" applyFont="1" applyFill="1" applyBorder="1" applyAlignment="1">
      <alignment vertical="center"/>
    </xf>
    <xf numFmtId="165" fontId="29" fillId="0" borderId="0" xfId="21" applyFont="1" applyFill="1" applyAlignment="1">
      <alignment vertical="center"/>
    </xf>
    <xf numFmtId="173" fontId="29" fillId="0" borderId="0" xfId="21" applyNumberFormat="1" applyFont="1" applyFill="1" applyAlignment="1">
      <alignment vertical="center"/>
    </xf>
    <xf numFmtId="172" fontId="124" fillId="0" borderId="0" xfId="9" applyNumberFormat="1" applyFont="1" applyAlignment="1">
      <alignment horizontal="center" vertical="center"/>
    </xf>
    <xf numFmtId="172" fontId="16" fillId="0" borderId="0" xfId="9" applyNumberFormat="1" applyFont="1" applyAlignment="1">
      <alignment horizontal="center" vertical="center"/>
    </xf>
    <xf numFmtId="172" fontId="22" fillId="0" borderId="0" xfId="9" applyNumberFormat="1" applyFont="1" applyAlignment="1">
      <alignment horizontal="center" vertical="center"/>
    </xf>
    <xf numFmtId="172" fontId="73" fillId="8" borderId="49" xfId="9" applyNumberFormat="1" applyFont="1" applyFill="1" applyBorder="1" applyAlignment="1">
      <alignment horizontal="center" vertical="center" wrapText="1"/>
    </xf>
    <xf numFmtId="172" fontId="16" fillId="0" borderId="3" xfId="9" applyNumberFormat="1" applyFont="1" applyBorder="1" applyAlignment="1">
      <alignment horizontal="center" vertical="center"/>
    </xf>
    <xf numFmtId="172" fontId="16" fillId="0" borderId="114" xfId="9" applyNumberFormat="1" applyFont="1" applyBorder="1" applyAlignment="1">
      <alignment horizontal="center" vertical="center"/>
    </xf>
    <xf numFmtId="172" fontId="16" fillId="0" borderId="48" xfId="9" applyNumberFormat="1" applyFont="1" applyBorder="1" applyAlignment="1">
      <alignment horizontal="center" vertical="center"/>
    </xf>
    <xf numFmtId="172" fontId="73" fillId="8" borderId="28" xfId="9" applyNumberFormat="1" applyFont="1" applyFill="1" applyBorder="1" applyAlignment="1">
      <alignment horizontal="center" vertical="center" wrapText="1"/>
    </xf>
    <xf numFmtId="172" fontId="16" fillId="0" borderId="21" xfId="9" applyNumberFormat="1" applyFont="1" applyBorder="1" applyAlignment="1">
      <alignment horizontal="center" vertical="center"/>
    </xf>
    <xf numFmtId="172" fontId="16" fillId="0" borderId="35" xfId="9" applyNumberFormat="1" applyFont="1" applyBorder="1" applyAlignment="1">
      <alignment horizontal="center" vertical="center"/>
    </xf>
    <xf numFmtId="172" fontId="22" fillId="0" borderId="0" xfId="9" applyNumberFormat="1" applyFont="1" applyBorder="1" applyAlignment="1">
      <alignment horizontal="center" vertical="center"/>
    </xf>
    <xf numFmtId="0" fontId="22" fillId="0" borderId="97" xfId="0" applyFont="1" applyBorder="1" applyAlignment="1">
      <alignment vertical="center"/>
    </xf>
    <xf numFmtId="165" fontId="30" fillId="0" borderId="113" xfId="21" applyFont="1" applyFill="1" applyBorder="1" applyAlignment="1">
      <alignment horizontal="center" vertical="center"/>
    </xf>
    <xf numFmtId="0" fontId="74" fillId="8" borderId="27" xfId="1" applyFont="1" applyFill="1" applyBorder="1" applyAlignment="1">
      <alignment horizontal="center" vertical="center" wrapText="1"/>
    </xf>
    <xf numFmtId="0" fontId="75" fillId="0" borderId="20" xfId="0" applyFont="1" applyBorder="1" applyAlignment="1">
      <alignment vertical="center"/>
    </xf>
    <xf numFmtId="216" fontId="124" fillId="0" borderId="0" xfId="0" applyNumberFormat="1" applyFont="1" applyAlignment="1">
      <alignment horizontal="centerContinuous" vertical="center"/>
    </xf>
    <xf numFmtId="216" fontId="16" fillId="0" borderId="0" xfId="0" applyNumberFormat="1" applyFont="1" applyAlignment="1">
      <alignment vertical="center"/>
    </xf>
    <xf numFmtId="216" fontId="75" fillId="0" borderId="0" xfId="0" applyNumberFormat="1" applyFont="1" applyAlignment="1">
      <alignment vertical="center"/>
    </xf>
    <xf numFmtId="216" fontId="22" fillId="0" borderId="0" xfId="0" applyNumberFormat="1" applyFont="1" applyAlignment="1">
      <alignment vertical="center"/>
    </xf>
    <xf numFmtId="216" fontId="75" fillId="8" borderId="27" xfId="0" applyNumberFormat="1" applyFont="1" applyFill="1" applyBorder="1" applyAlignment="1">
      <alignment horizontal="center" vertical="center"/>
    </xf>
    <xf numFmtId="216" fontId="16" fillId="0" borderId="20" xfId="0" applyNumberFormat="1" applyFont="1" applyBorder="1" applyAlignment="1">
      <alignment horizontal="center" vertical="center"/>
    </xf>
    <xf numFmtId="216" fontId="22" fillId="0" borderId="0" xfId="0" applyNumberFormat="1" applyFont="1" applyAlignment="1">
      <alignment horizontal="centerContinuous" vertical="center"/>
    </xf>
    <xf numFmtId="216" fontId="16" fillId="0" borderId="20" xfId="0" quotePrefix="1" applyNumberFormat="1" applyFont="1" applyBorder="1" applyAlignment="1">
      <alignment horizontal="center" vertical="center"/>
    </xf>
    <xf numFmtId="176" fontId="23" fillId="0" borderId="52" xfId="21" applyNumberFormat="1" applyFont="1" applyFill="1" applyBorder="1" applyAlignment="1">
      <alignment horizontal="center" vertical="center"/>
    </xf>
    <xf numFmtId="166" fontId="35" fillId="0" borderId="23" xfId="9" applyFont="1" applyFill="1" applyBorder="1" applyAlignment="1">
      <alignment horizontal="center" vertical="center"/>
    </xf>
    <xf numFmtId="175" fontId="59" fillId="0" borderId="0" xfId="21" applyNumberFormat="1" applyFont="1" applyFill="1" applyAlignment="1">
      <alignment horizontal="left"/>
    </xf>
    <xf numFmtId="216" fontId="75" fillId="8" borderId="27" xfId="0" applyNumberFormat="1" applyFont="1" applyFill="1" applyBorder="1" applyAlignment="1">
      <alignment horizontal="center" vertical="center" wrapText="1"/>
    </xf>
    <xf numFmtId="172" fontId="16" fillId="0" borderId="20" xfId="9" applyNumberFormat="1" applyFont="1" applyBorder="1" applyAlignment="1">
      <alignment horizontal="center" vertical="center"/>
    </xf>
    <xf numFmtId="0" fontId="16" fillId="0" borderId="114" xfId="0" applyFont="1" applyBorder="1" applyAlignment="1">
      <alignment horizontal="center" vertical="center"/>
    </xf>
    <xf numFmtId="0" fontId="75" fillId="0" borderId="20" xfId="0" applyFont="1" applyBorder="1" applyAlignment="1">
      <alignment horizontal="center" vertical="center"/>
    </xf>
    <xf numFmtId="172" fontId="16" fillId="0" borderId="0" xfId="0" applyNumberFormat="1" applyFont="1" applyAlignment="1">
      <alignment vertical="center"/>
    </xf>
    <xf numFmtId="175" fontId="23" fillId="0" borderId="0" xfId="21" applyNumberFormat="1" applyFont="1" applyFill="1" applyAlignment="1">
      <alignment horizontal="left" vertical="center"/>
    </xf>
    <xf numFmtId="175" fontId="23" fillId="0" borderId="0" xfId="21" applyNumberFormat="1" applyFont="1" applyFill="1" applyAlignment="1">
      <alignment horizontal="left"/>
    </xf>
    <xf numFmtId="171" fontId="28" fillId="0" borderId="36" xfId="4" applyNumberFormat="1" applyFont="1" applyFill="1" applyBorder="1" applyAlignment="1">
      <alignment vertical="center" wrapText="1"/>
    </xf>
    <xf numFmtId="171" fontId="28" fillId="0" borderId="116" xfId="4" applyNumberFormat="1" applyFont="1" applyFill="1" applyBorder="1" applyAlignment="1">
      <alignment vertical="center" wrapText="1"/>
    </xf>
    <xf numFmtId="0" fontId="22" fillId="0" borderId="97" xfId="0" applyFont="1" applyBorder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165" fontId="125" fillId="0" borderId="0" xfId="21" applyFont="1" applyFill="1" applyAlignment="1">
      <alignment horizontal="center"/>
    </xf>
    <xf numFmtId="0" fontId="64" fillId="0" borderId="118" xfId="0" applyFont="1" applyBorder="1" applyAlignment="1">
      <alignment vertical="center"/>
    </xf>
    <xf numFmtId="165" fontId="28" fillId="0" borderId="24" xfId="21" applyFont="1" applyFill="1" applyBorder="1" applyAlignment="1">
      <alignment horizontal="center" vertical="center"/>
    </xf>
    <xf numFmtId="0" fontId="77" fillId="8" borderId="0" xfId="0" applyFont="1" applyFill="1"/>
    <xf numFmtId="0" fontId="23" fillId="8" borderId="0" xfId="0" applyFont="1" applyFill="1"/>
    <xf numFmtId="0" fontId="78" fillId="8" borderId="0" xfId="0" applyFont="1" applyFill="1"/>
    <xf numFmtId="165" fontId="34" fillId="0" borderId="37" xfId="21" applyFont="1" applyFill="1" applyBorder="1" applyAlignment="1">
      <alignment horizontal="left" vertical="center"/>
    </xf>
    <xf numFmtId="165" fontId="34" fillId="0" borderId="119" xfId="21" applyFont="1" applyFill="1" applyBorder="1" applyAlignment="1">
      <alignment horizontal="left" vertical="center"/>
    </xf>
    <xf numFmtId="165" fontId="34" fillId="0" borderId="120" xfId="21" applyFont="1" applyFill="1" applyBorder="1" applyAlignment="1">
      <alignment horizontal="center" vertical="center"/>
    </xf>
    <xf numFmtId="165" fontId="63" fillId="0" borderId="20" xfId="21" applyFont="1" applyFill="1" applyBorder="1" applyAlignment="1">
      <alignment horizontal="center" vertical="center"/>
    </xf>
    <xf numFmtId="165" fontId="34" fillId="0" borderId="21" xfId="21" applyFont="1" applyFill="1" applyBorder="1" applyAlignment="1">
      <alignment horizontal="center" vertical="center"/>
    </xf>
    <xf numFmtId="165" fontId="63" fillId="0" borderId="120" xfId="9" applyNumberFormat="1" applyFont="1" applyFill="1" applyBorder="1" applyAlignment="1">
      <alignment horizontal="center" vertical="center"/>
    </xf>
    <xf numFmtId="165" fontId="34" fillId="0" borderId="121" xfId="21" applyFont="1" applyFill="1" applyBorder="1" applyAlignment="1">
      <alignment horizontal="center" vertical="center"/>
    </xf>
    <xf numFmtId="165" fontId="34" fillId="0" borderId="122" xfId="21" applyFont="1" applyFill="1" applyBorder="1" applyAlignment="1">
      <alignment horizontal="left" vertical="center"/>
    </xf>
    <xf numFmtId="165" fontId="34" fillId="0" borderId="123" xfId="21" applyFont="1" applyFill="1" applyBorder="1" applyAlignment="1">
      <alignment horizontal="center" vertical="center"/>
    </xf>
    <xf numFmtId="165" fontId="63" fillId="0" borderId="123" xfId="9" applyNumberFormat="1" applyFont="1" applyFill="1" applyBorder="1" applyAlignment="1">
      <alignment horizontal="center" vertical="center"/>
    </xf>
    <xf numFmtId="165" fontId="34" fillId="0" borderId="124" xfId="21" applyFont="1" applyFill="1" applyBorder="1" applyAlignment="1">
      <alignment horizontal="center" vertical="center"/>
    </xf>
    <xf numFmtId="165" fontId="126" fillId="0" borderId="32" xfId="21" applyFont="1" applyFill="1" applyBorder="1" applyAlignment="1">
      <alignment horizontal="center" vertical="center"/>
    </xf>
    <xf numFmtId="165" fontId="126" fillId="0" borderId="27" xfId="21" applyFont="1" applyFill="1" applyBorder="1" applyAlignment="1">
      <alignment horizontal="center" vertical="center"/>
    </xf>
    <xf numFmtId="165" fontId="126" fillId="0" borderId="28" xfId="21" applyFont="1" applyFill="1" applyBorder="1" applyAlignment="1">
      <alignment horizontal="center" vertical="center"/>
    </xf>
    <xf numFmtId="0" fontId="28" fillId="8" borderId="0" xfId="1" applyFont="1" applyFill="1" applyAlignment="1">
      <alignment horizontal="center" vertical="center"/>
    </xf>
    <xf numFmtId="165" fontId="28" fillId="8" borderId="53" xfId="21" applyFont="1" applyFill="1" applyBorder="1" applyAlignment="1">
      <alignment horizontal="center" vertical="center"/>
    </xf>
    <xf numFmtId="165" fontId="28" fillId="8" borderId="22" xfId="21" applyFont="1" applyFill="1" applyBorder="1" applyAlignment="1">
      <alignment horizontal="center" vertical="center"/>
    </xf>
    <xf numFmtId="165" fontId="28" fillId="8" borderId="36" xfId="21" applyFont="1" applyFill="1" applyBorder="1" applyAlignment="1">
      <alignment horizontal="center" vertical="center"/>
    </xf>
    <xf numFmtId="0" fontId="31" fillId="8" borderId="0" xfId="1" applyFont="1" applyFill="1" applyAlignment="1">
      <alignment horizontal="center" vertical="center"/>
    </xf>
    <xf numFmtId="0" fontId="28" fillId="8" borderId="0" xfId="1" applyFont="1" applyFill="1" applyAlignment="1">
      <alignment horizontal="left" vertical="center"/>
    </xf>
    <xf numFmtId="0" fontId="29" fillId="0" borderId="81" xfId="0" applyFont="1" applyBorder="1" applyAlignment="1">
      <alignment vertical="center"/>
    </xf>
    <xf numFmtId="0" fontId="29" fillId="0" borderId="76" xfId="0" applyFont="1" applyBorder="1" applyAlignment="1">
      <alignment vertical="center"/>
    </xf>
    <xf numFmtId="0" fontId="127" fillId="0" borderId="82" xfId="0" applyFont="1" applyBorder="1" applyAlignment="1">
      <alignment vertical="center"/>
    </xf>
    <xf numFmtId="0" fontId="76" fillId="0" borderId="76" xfId="0" applyFont="1" applyBorder="1" applyAlignment="1">
      <alignment vertical="center"/>
    </xf>
    <xf numFmtId="0" fontId="64" fillId="0" borderId="76" xfId="0" applyFont="1" applyBorder="1" applyAlignment="1">
      <alignment horizontal="left" vertical="center"/>
    </xf>
    <xf numFmtId="0" fontId="129" fillId="0" borderId="76" xfId="0" applyFont="1" applyBorder="1" applyAlignment="1">
      <alignment vertical="center"/>
    </xf>
    <xf numFmtId="171" fontId="64" fillId="0" borderId="67" xfId="4" applyNumberFormat="1" applyFont="1" applyFill="1" applyBorder="1" applyAlignment="1">
      <alignment vertical="center" wrapText="1"/>
    </xf>
    <xf numFmtId="0" fontId="65" fillId="0" borderId="0" xfId="0" applyFont="1" applyAlignment="1">
      <alignment horizontal="left" vertical="center"/>
    </xf>
    <xf numFmtId="165" fontId="65" fillId="0" borderId="0" xfId="21" applyFont="1" applyFill="1" applyAlignment="1">
      <alignment horizontal="center" vertical="center"/>
    </xf>
    <xf numFmtId="0" fontId="130" fillId="0" borderId="0" xfId="0" applyFont="1" applyAlignment="1">
      <alignment vertical="center"/>
    </xf>
    <xf numFmtId="0" fontId="131" fillId="0" borderId="0" xfId="0" applyFont="1" applyAlignment="1">
      <alignment vertical="center"/>
    </xf>
    <xf numFmtId="165" fontId="131" fillId="0" borderId="65" xfId="21" applyFont="1" applyFill="1" applyBorder="1" applyAlignment="1">
      <alignment vertical="center"/>
    </xf>
    <xf numFmtId="0" fontId="131" fillId="0" borderId="0" xfId="0" applyFont="1" applyAlignment="1">
      <alignment horizontal="right" vertical="center"/>
    </xf>
    <xf numFmtId="0" fontId="132" fillId="0" borderId="70" xfId="0" applyFont="1" applyBorder="1" applyAlignment="1">
      <alignment vertical="center"/>
    </xf>
    <xf numFmtId="0" fontId="130" fillId="0" borderId="36" xfId="0" applyFont="1" applyBorder="1" applyAlignment="1">
      <alignment horizontal="center" vertical="center"/>
    </xf>
    <xf numFmtId="165" fontId="29" fillId="0" borderId="67" xfId="21" applyFont="1" applyFill="1" applyBorder="1" applyAlignment="1">
      <alignment horizontal="center" vertical="center"/>
    </xf>
    <xf numFmtId="165" fontId="29" fillId="0" borderId="67" xfId="21" applyFont="1" applyFill="1" applyBorder="1" applyAlignment="1">
      <alignment horizontal="right" vertical="center"/>
    </xf>
    <xf numFmtId="37" fontId="29" fillId="0" borderId="67" xfId="0" applyNumberFormat="1" applyFont="1" applyBorder="1" applyAlignment="1">
      <alignment vertical="center"/>
    </xf>
    <xf numFmtId="1" fontId="29" fillId="0" borderId="0" xfId="0" applyNumberFormat="1" applyFont="1" applyAlignment="1">
      <alignment vertical="center"/>
    </xf>
    <xf numFmtId="165" fontId="29" fillId="0" borderId="0" xfId="0" applyNumberFormat="1" applyFont="1" applyAlignment="1">
      <alignment vertical="center"/>
    </xf>
    <xf numFmtId="175" fontId="29" fillId="0" borderId="0" xfId="21" applyNumberFormat="1" applyFont="1" applyFill="1" applyAlignment="1">
      <alignment vertical="center"/>
    </xf>
    <xf numFmtId="166" fontId="29" fillId="0" borderId="0" xfId="0" applyNumberFormat="1" applyFont="1" applyAlignment="1">
      <alignment vertical="center"/>
    </xf>
    <xf numFmtId="165" fontId="29" fillId="0" borderId="76" xfId="21" applyFont="1" applyFill="1" applyBorder="1" applyAlignment="1">
      <alignment horizontal="center" vertical="center"/>
    </xf>
    <xf numFmtId="165" fontId="29" fillId="0" borderId="76" xfId="21" applyFont="1" applyFill="1" applyBorder="1" applyAlignment="1">
      <alignment horizontal="right" vertical="center"/>
    </xf>
    <xf numFmtId="37" fontId="29" fillId="0" borderId="76" xfId="0" applyNumberFormat="1" applyFont="1" applyBorder="1" applyAlignment="1">
      <alignment vertical="center"/>
    </xf>
    <xf numFmtId="165" fontId="127" fillId="0" borderId="76" xfId="21" quotePrefix="1" applyFont="1" applyFill="1" applyBorder="1" applyAlignment="1">
      <alignment horizontal="center" vertical="center" wrapText="1"/>
    </xf>
    <xf numFmtId="165" fontId="127" fillId="0" borderId="76" xfId="21" applyFont="1" applyFill="1" applyBorder="1" applyAlignment="1">
      <alignment horizontal="center" vertical="center" wrapText="1"/>
    </xf>
    <xf numFmtId="0" fontId="127" fillId="0" borderId="0" xfId="0" applyFont="1" applyAlignment="1">
      <alignment horizontal="center" vertical="center" wrapText="1"/>
    </xf>
    <xf numFmtId="165" fontId="127" fillId="0" borderId="76" xfId="21" applyFont="1" applyFill="1" applyBorder="1" applyAlignment="1">
      <alignment horizontal="right" vertical="center"/>
    </xf>
    <xf numFmtId="0" fontId="127" fillId="0" borderId="0" xfId="0" applyFont="1" applyAlignment="1">
      <alignment vertical="center"/>
    </xf>
    <xf numFmtId="175" fontId="127" fillId="0" borderId="0" xfId="21" applyNumberFormat="1" applyFont="1" applyFill="1" applyAlignment="1">
      <alignment vertical="center"/>
    </xf>
    <xf numFmtId="165" fontId="127" fillId="0" borderId="76" xfId="21" quotePrefix="1" applyFont="1" applyFill="1" applyBorder="1" applyAlignment="1">
      <alignment horizontal="center" vertical="center"/>
    </xf>
    <xf numFmtId="165" fontId="127" fillId="0" borderId="76" xfId="21" applyFont="1" applyFill="1" applyBorder="1" applyAlignment="1">
      <alignment horizontal="center" vertical="center"/>
    </xf>
    <xf numFmtId="165" fontId="127" fillId="0" borderId="0" xfId="0" applyNumberFormat="1" applyFont="1" applyAlignment="1">
      <alignment vertical="center"/>
    </xf>
    <xf numFmtId="165" fontId="128" fillId="0" borderId="76" xfId="21" applyFont="1" applyFill="1" applyBorder="1" applyAlignment="1">
      <alignment horizontal="center" vertical="center"/>
    </xf>
    <xf numFmtId="165" fontId="128" fillId="0" borderId="76" xfId="21" applyFont="1" applyFill="1" applyBorder="1" applyAlignment="1">
      <alignment horizontal="right" vertical="center"/>
    </xf>
    <xf numFmtId="165" fontId="128" fillId="0" borderId="0" xfId="0" applyNumberFormat="1" applyFont="1" applyAlignment="1">
      <alignment vertical="center"/>
    </xf>
    <xf numFmtId="0" fontId="128" fillId="0" borderId="0" xfId="0" applyFont="1" applyAlignment="1">
      <alignment vertical="center"/>
    </xf>
    <xf numFmtId="175" fontId="128" fillId="0" borderId="0" xfId="21" applyNumberFormat="1" applyFont="1" applyFill="1" applyAlignment="1">
      <alignment vertical="center"/>
    </xf>
    <xf numFmtId="165" fontId="128" fillId="0" borderId="76" xfId="21" quotePrefix="1" applyFont="1" applyFill="1" applyBorder="1" applyAlignment="1">
      <alignment horizontal="center" vertical="center"/>
    </xf>
    <xf numFmtId="37" fontId="76" fillId="0" borderId="76" xfId="0" applyNumberFormat="1" applyFont="1" applyBorder="1" applyAlignment="1">
      <alignment vertical="center"/>
    </xf>
    <xf numFmtId="37" fontId="128" fillId="0" borderId="0" xfId="0" applyNumberFormat="1" applyFont="1" applyAlignment="1">
      <alignment vertical="center"/>
    </xf>
    <xf numFmtId="165" fontId="76" fillId="0" borderId="76" xfId="21" applyFont="1" applyFill="1" applyBorder="1" applyAlignment="1">
      <alignment horizontal="right" vertical="center"/>
    </xf>
    <xf numFmtId="0" fontId="76" fillId="0" borderId="0" xfId="0" applyFont="1" applyAlignment="1">
      <alignment vertical="center"/>
    </xf>
    <xf numFmtId="165" fontId="76" fillId="0" borderId="0" xfId="0" applyNumberFormat="1" applyFont="1" applyAlignment="1">
      <alignment vertical="center"/>
    </xf>
    <xf numFmtId="37" fontId="76" fillId="0" borderId="0" xfId="0" applyNumberFormat="1" applyFont="1" applyAlignment="1">
      <alignment vertical="center"/>
    </xf>
    <xf numFmtId="37" fontId="29" fillId="0" borderId="0" xfId="0" applyNumberFormat="1" applyFont="1" applyAlignment="1">
      <alignment vertical="center"/>
    </xf>
    <xf numFmtId="37" fontId="29" fillId="0" borderId="0" xfId="0" applyNumberFormat="1" applyFont="1" applyAlignment="1">
      <alignment horizontal="center" vertical="center"/>
    </xf>
    <xf numFmtId="165" fontId="127" fillId="0" borderId="0" xfId="21" applyFont="1" applyFill="1" applyAlignment="1">
      <alignment vertical="center"/>
    </xf>
    <xf numFmtId="165" fontId="127" fillId="0" borderId="0" xfId="21" applyFont="1" applyFill="1" applyAlignment="1">
      <alignment horizontal="center" vertical="center"/>
    </xf>
    <xf numFmtId="177" fontId="127" fillId="0" borderId="0" xfId="77" applyNumberFormat="1" applyFont="1" applyFill="1" applyBorder="1" applyAlignment="1">
      <alignment vertical="center"/>
    </xf>
    <xf numFmtId="37" fontId="127" fillId="0" borderId="0" xfId="0" applyNumberFormat="1" applyFont="1" applyAlignment="1">
      <alignment vertical="center"/>
    </xf>
    <xf numFmtId="177" fontId="127" fillId="0" borderId="0" xfId="0" applyNumberFormat="1" applyFont="1" applyAlignment="1">
      <alignment vertical="center"/>
    </xf>
    <xf numFmtId="43" fontId="127" fillId="0" borderId="0" xfId="0" applyNumberFormat="1" applyFont="1" applyAlignment="1">
      <alignment vertical="center"/>
    </xf>
    <xf numFmtId="208" fontId="127" fillId="0" borderId="0" xfId="77" applyNumberFormat="1" applyFont="1" applyFill="1" applyBorder="1" applyAlignment="1">
      <alignment horizontal="center" vertical="center"/>
    </xf>
    <xf numFmtId="0" fontId="127" fillId="0" borderId="0" xfId="0" applyFont="1" applyAlignment="1">
      <alignment horizontal="right" vertical="center"/>
    </xf>
    <xf numFmtId="165" fontId="64" fillId="0" borderId="0" xfId="0" applyNumberFormat="1" applyFont="1" applyAlignment="1">
      <alignment horizontal="center" vertical="center"/>
    </xf>
    <xf numFmtId="165" fontId="64" fillId="0" borderId="0" xfId="0" applyNumberFormat="1" applyFont="1" applyAlignment="1">
      <alignment horizontal="center" vertical="top" wrapText="1"/>
    </xf>
    <xf numFmtId="165" fontId="64" fillId="0" borderId="0" xfId="0" applyNumberFormat="1" applyFont="1" applyAlignment="1">
      <alignment horizontal="center" vertical="center" wrapText="1"/>
    </xf>
    <xf numFmtId="0" fontId="133" fillId="0" borderId="82" xfId="0" applyFont="1" applyBorder="1" applyAlignment="1">
      <alignment vertical="center"/>
    </xf>
    <xf numFmtId="0" fontId="134" fillId="0" borderId="76" xfId="0" applyFont="1" applyBorder="1" applyAlignment="1">
      <alignment vertical="center"/>
    </xf>
    <xf numFmtId="165" fontId="133" fillId="0" borderId="76" xfId="21" applyFont="1" applyFill="1" applyBorder="1" applyAlignment="1">
      <alignment horizontal="center" vertical="center"/>
    </xf>
    <xf numFmtId="165" fontId="133" fillId="0" borderId="76" xfId="21" applyFont="1" applyFill="1" applyBorder="1" applyAlignment="1">
      <alignment horizontal="right" vertical="center"/>
    </xf>
    <xf numFmtId="37" fontId="134" fillId="0" borderId="76" xfId="0" applyNumberFormat="1" applyFont="1" applyBorder="1" applyAlignment="1">
      <alignment vertical="center"/>
    </xf>
    <xf numFmtId="165" fontId="134" fillId="0" borderId="77" xfId="21" applyFont="1" applyFill="1" applyBorder="1" applyAlignment="1">
      <alignment horizontal="center" vertical="center"/>
    </xf>
    <xf numFmtId="165" fontId="133" fillId="0" borderId="0" xfId="0" applyNumberFormat="1" applyFont="1" applyAlignment="1">
      <alignment vertical="center"/>
    </xf>
    <xf numFmtId="175" fontId="133" fillId="0" borderId="0" xfId="21" applyNumberFormat="1" applyFont="1" applyFill="1" applyAlignment="1">
      <alignment vertical="center"/>
    </xf>
    <xf numFmtId="0" fontId="133" fillId="0" borderId="0" xfId="0" applyFont="1" applyAlignment="1">
      <alignment vertical="center"/>
    </xf>
    <xf numFmtId="0" fontId="27" fillId="0" borderId="0" xfId="1" applyFont="1" applyAlignment="1">
      <alignment horizontal="center" vertical="center"/>
    </xf>
    <xf numFmtId="0" fontId="27" fillId="0" borderId="48" xfId="1" applyFont="1" applyBorder="1" applyAlignment="1">
      <alignment horizontal="center" vertical="center" wrapText="1"/>
    </xf>
    <xf numFmtId="49" fontId="30" fillId="0" borderId="1" xfId="2" applyNumberFormat="1" applyFont="1" applyFill="1" applyBorder="1" applyAlignment="1">
      <alignment horizontal="center" vertical="center" wrapText="1"/>
    </xf>
    <xf numFmtId="165" fontId="27" fillId="0" borderId="87" xfId="21" applyFont="1" applyFill="1" applyBorder="1" applyAlignment="1">
      <alignment horizontal="center" vertical="center"/>
    </xf>
    <xf numFmtId="165" fontId="30" fillId="0" borderId="12" xfId="21" applyFont="1" applyFill="1" applyBorder="1" applyAlignment="1">
      <alignment horizontal="center" vertical="center"/>
    </xf>
    <xf numFmtId="165" fontId="30" fillId="0" borderId="114" xfId="21" applyFont="1" applyFill="1" applyBorder="1" applyAlignment="1">
      <alignment horizontal="center" vertical="center"/>
    </xf>
    <xf numFmtId="165" fontId="30" fillId="0" borderId="85" xfId="21" applyFont="1" applyFill="1" applyBorder="1" applyAlignment="1">
      <alignment horizontal="center" vertical="center"/>
    </xf>
    <xf numFmtId="165" fontId="27" fillId="0" borderId="59" xfId="21" applyFont="1" applyFill="1" applyBorder="1" applyAlignment="1">
      <alignment horizontal="center" vertical="center"/>
    </xf>
    <xf numFmtId="0" fontId="30" fillId="0" borderId="0" xfId="1" applyFont="1" applyAlignment="1">
      <alignment horizontal="center" vertical="center"/>
    </xf>
    <xf numFmtId="49" fontId="30" fillId="0" borderId="33" xfId="2" applyNumberFormat="1" applyFont="1" applyFill="1" applyBorder="1" applyAlignment="1">
      <alignment horizontal="center" vertical="center" wrapText="1"/>
    </xf>
    <xf numFmtId="171" fontId="30" fillId="0" borderId="113" xfId="4" applyNumberFormat="1" applyFont="1" applyFill="1" applyBorder="1" applyAlignment="1">
      <alignment horizontal="left" vertical="center" wrapText="1"/>
    </xf>
    <xf numFmtId="171" fontId="30" fillId="0" borderId="22" xfId="4" applyNumberFormat="1" applyFont="1" applyFill="1" applyBorder="1" applyAlignment="1">
      <alignment horizontal="left" vertical="center" wrapText="1"/>
    </xf>
    <xf numFmtId="0" fontId="30" fillId="0" borderId="13" xfId="1" applyFont="1" applyBorder="1" applyAlignment="1">
      <alignment horizontal="center" vertical="center"/>
    </xf>
    <xf numFmtId="0" fontId="30" fillId="0" borderId="127" xfId="1" applyFont="1" applyBorder="1" applyAlignment="1">
      <alignment horizontal="center" vertical="center"/>
    </xf>
    <xf numFmtId="165" fontId="30" fillId="0" borderId="13" xfId="1" applyNumberFormat="1" applyFont="1" applyBorder="1" applyAlignment="1">
      <alignment horizontal="center" vertical="center"/>
    </xf>
    <xf numFmtId="172" fontId="30" fillId="0" borderId="22" xfId="2" applyNumberFormat="1" applyFont="1" applyFill="1" applyBorder="1" applyAlignment="1">
      <alignment horizontal="left" vertical="center"/>
    </xf>
    <xf numFmtId="172" fontId="30" fillId="0" borderId="22" xfId="2" applyNumberFormat="1" applyFont="1" applyFill="1" applyBorder="1" applyAlignment="1">
      <alignment horizontal="left" vertical="center" wrapText="1"/>
    </xf>
    <xf numFmtId="171" fontId="30" fillId="0" borderId="22" xfId="4" applyNumberFormat="1" applyFont="1" applyFill="1" applyBorder="1" applyAlignment="1">
      <alignment horizontal="left" vertical="center"/>
    </xf>
    <xf numFmtId="0" fontId="30" fillId="0" borderId="22" xfId="4" applyFont="1" applyFill="1" applyBorder="1" applyAlignment="1">
      <alignment horizontal="left" vertical="center" wrapText="1"/>
    </xf>
    <xf numFmtId="172" fontId="30" fillId="0" borderId="22" xfId="4" applyNumberFormat="1" applyFont="1" applyFill="1" applyBorder="1" applyAlignment="1">
      <alignment horizontal="left" vertical="center" wrapText="1"/>
    </xf>
    <xf numFmtId="172" fontId="30" fillId="0" borderId="113" xfId="4" applyNumberFormat="1" applyFont="1" applyFill="1" applyBorder="1" applyAlignment="1">
      <alignment horizontal="left" vertical="center" wrapText="1"/>
    </xf>
    <xf numFmtId="0" fontId="30" fillId="0" borderId="102" xfId="1" applyFont="1" applyBorder="1" applyAlignment="1">
      <alignment horizontal="center" vertical="center"/>
    </xf>
    <xf numFmtId="165" fontId="30" fillId="0" borderId="102" xfId="1" applyNumberFormat="1" applyFont="1" applyBorder="1" applyAlignment="1">
      <alignment horizontal="center" vertical="center"/>
    </xf>
    <xf numFmtId="172" fontId="30" fillId="0" borderId="115" xfId="4" applyNumberFormat="1" applyFont="1" applyFill="1" applyBorder="1" applyAlignment="1">
      <alignment horizontal="left" vertical="center" wrapText="1"/>
    </xf>
    <xf numFmtId="0" fontId="30" fillId="0" borderId="53" xfId="1" applyFont="1" applyBorder="1" applyAlignment="1">
      <alignment horizontal="center" vertical="center"/>
    </xf>
    <xf numFmtId="0" fontId="31" fillId="0" borderId="0" xfId="1" applyFont="1" applyAlignment="1">
      <alignment horizontal="left" vertical="center"/>
    </xf>
    <xf numFmtId="0" fontId="30" fillId="0" borderId="22" xfId="1" applyFont="1" applyBorder="1" applyAlignment="1">
      <alignment horizontal="center" vertical="center"/>
    </xf>
    <xf numFmtId="165" fontId="30" fillId="0" borderId="0" xfId="1" applyNumberFormat="1" applyFont="1" applyAlignment="1">
      <alignment horizontal="center" vertical="center"/>
    </xf>
    <xf numFmtId="165" fontId="28" fillId="0" borderId="0" xfId="1" applyNumberFormat="1" applyFont="1" applyAlignment="1">
      <alignment horizontal="left" vertical="center"/>
    </xf>
    <xf numFmtId="0" fontId="31" fillId="0" borderId="22" xfId="1" applyFont="1" applyBorder="1" applyAlignment="1">
      <alignment horizontal="center" vertical="center"/>
    </xf>
    <xf numFmtId="165" fontId="31" fillId="0" borderId="22" xfId="21" applyFont="1" applyFill="1" applyBorder="1" applyAlignment="1">
      <alignment horizontal="center" vertical="center"/>
    </xf>
    <xf numFmtId="165" fontId="27" fillId="0" borderId="0" xfId="1" applyNumberFormat="1" applyFont="1" applyAlignment="1">
      <alignment horizontal="center" vertical="center"/>
    </xf>
    <xf numFmtId="49" fontId="30" fillId="0" borderId="52" xfId="2" applyNumberFormat="1" applyFont="1" applyFill="1" applyBorder="1" applyAlignment="1">
      <alignment horizontal="center" vertical="center" wrapText="1"/>
    </xf>
    <xf numFmtId="0" fontId="30" fillId="0" borderId="36" xfId="1" applyFont="1" applyBorder="1" applyAlignment="1">
      <alignment horizontal="center" vertical="center"/>
    </xf>
    <xf numFmtId="165" fontId="28" fillId="0" borderId="50" xfId="1" applyNumberFormat="1" applyFont="1" applyBorder="1" applyAlignment="1">
      <alignment horizontal="center" vertical="center"/>
    </xf>
    <xf numFmtId="49" fontId="30" fillId="0" borderId="0" xfId="2" applyNumberFormat="1" applyFont="1" applyFill="1" applyBorder="1" applyAlignment="1">
      <alignment horizontal="center" vertical="center" wrapText="1"/>
    </xf>
    <xf numFmtId="0" fontId="28" fillId="0" borderId="19" xfId="1" applyFont="1" applyBorder="1" applyAlignment="1">
      <alignment horizontal="left" vertical="center"/>
    </xf>
    <xf numFmtId="49" fontId="31" fillId="0" borderId="37" xfId="2" applyNumberFormat="1" applyFont="1" applyFill="1" applyBorder="1" applyAlignment="1">
      <alignment horizontal="left" vertical="center" wrapText="1"/>
    </xf>
    <xf numFmtId="0" fontId="12" fillId="0" borderId="20" xfId="4" applyFont="1" applyFill="1" applyBorder="1" applyAlignment="1">
      <alignment horizontal="left" vertical="center" wrapText="1"/>
    </xf>
    <xf numFmtId="165" fontId="28" fillId="0" borderId="60" xfId="21" applyFont="1" applyFill="1" applyBorder="1" applyAlignment="1">
      <alignment horizontal="left" vertical="center"/>
    </xf>
    <xf numFmtId="165" fontId="31" fillId="0" borderId="5" xfId="21" applyFont="1" applyFill="1" applyBorder="1" applyAlignment="1">
      <alignment horizontal="left" vertical="center"/>
    </xf>
    <xf numFmtId="165" fontId="31" fillId="0" borderId="20" xfId="21" applyFont="1" applyFill="1" applyBorder="1" applyAlignment="1">
      <alignment horizontal="left" vertical="center"/>
    </xf>
    <xf numFmtId="165" fontId="31" fillId="0" borderId="3" xfId="21" applyFont="1" applyFill="1" applyBorder="1" applyAlignment="1">
      <alignment horizontal="left" vertical="center"/>
    </xf>
    <xf numFmtId="165" fontId="27" fillId="0" borderId="60" xfId="21" applyFont="1" applyFill="1" applyBorder="1" applyAlignment="1">
      <alignment horizontal="center" vertical="center"/>
    </xf>
    <xf numFmtId="165" fontId="31" fillId="0" borderId="21" xfId="21" applyFont="1" applyFill="1" applyBorder="1" applyAlignment="1">
      <alignment horizontal="left" vertical="center"/>
    </xf>
    <xf numFmtId="49" fontId="31" fillId="0" borderId="33" xfId="2" applyNumberFormat="1" applyFont="1" applyFill="1" applyBorder="1" applyAlignment="1">
      <alignment horizontal="left" vertical="center" wrapText="1"/>
    </xf>
    <xf numFmtId="0" fontId="12" fillId="0" borderId="22" xfId="4" applyFont="1" applyFill="1" applyBorder="1" applyAlignment="1">
      <alignment horizontal="left" vertical="center" wrapText="1"/>
    </xf>
    <xf numFmtId="165" fontId="28" fillId="0" borderId="59" xfId="21" applyFont="1" applyFill="1" applyBorder="1" applyAlignment="1">
      <alignment horizontal="left" vertical="center"/>
    </xf>
    <xf numFmtId="165" fontId="31" fillId="0" borderId="12" xfId="21" applyFont="1" applyFill="1" applyBorder="1" applyAlignment="1">
      <alignment horizontal="left" vertical="center"/>
    </xf>
    <xf numFmtId="165" fontId="31" fillId="0" borderId="22" xfId="21" applyFont="1" applyFill="1" applyBorder="1" applyAlignment="1">
      <alignment horizontal="left" vertical="center"/>
    </xf>
    <xf numFmtId="165" fontId="31" fillId="0" borderId="11" xfId="21" applyFont="1" applyFill="1" applyBorder="1" applyAlignment="1">
      <alignment horizontal="left" vertical="center"/>
    </xf>
    <xf numFmtId="165" fontId="31" fillId="0" borderId="31" xfId="21" applyFont="1" applyFill="1" applyBorder="1" applyAlignment="1">
      <alignment horizontal="left" vertical="center"/>
    </xf>
    <xf numFmtId="0" fontId="31" fillId="0" borderId="13" xfId="1" applyFont="1" applyBorder="1" applyAlignment="1">
      <alignment horizontal="left" vertical="center"/>
    </xf>
    <xf numFmtId="172" fontId="11" fillId="0" borderId="22" xfId="4" applyNumberFormat="1" applyFont="1" applyFill="1" applyBorder="1" applyAlignment="1">
      <alignment horizontal="left" vertical="center" wrapText="1"/>
    </xf>
    <xf numFmtId="172" fontId="12" fillId="0" borderId="22" xfId="4" applyNumberFormat="1" applyFont="1" applyFill="1" applyBorder="1" applyAlignment="1">
      <alignment horizontal="left" vertical="center" wrapText="1"/>
    </xf>
    <xf numFmtId="165" fontId="29" fillId="0" borderId="32" xfId="21" applyFont="1" applyFill="1" applyBorder="1" applyAlignment="1">
      <alignment horizontal="left" vertical="center"/>
    </xf>
    <xf numFmtId="165" fontId="29" fillId="0" borderId="49" xfId="21" applyFont="1" applyFill="1" applyBorder="1" applyAlignment="1">
      <alignment horizontal="left" vertical="center"/>
    </xf>
    <xf numFmtId="165" fontId="29" fillId="0" borderId="27" xfId="21" applyFont="1" applyFill="1" applyBorder="1" applyAlignment="1">
      <alignment horizontal="left" vertical="center"/>
    </xf>
    <xf numFmtId="165" fontId="29" fillId="0" borderId="26" xfId="21" applyFont="1" applyFill="1" applyBorder="1" applyAlignment="1">
      <alignment horizontal="left" vertical="center"/>
    </xf>
    <xf numFmtId="165" fontId="29" fillId="0" borderId="24" xfId="21" applyFont="1" applyFill="1" applyBorder="1" applyAlignment="1">
      <alignment horizontal="left" vertical="center"/>
    </xf>
    <xf numFmtId="165" fontId="29" fillId="0" borderId="43" xfId="21" applyFont="1" applyFill="1" applyBorder="1" applyAlignment="1">
      <alignment horizontal="left" vertical="center"/>
    </xf>
    <xf numFmtId="165" fontId="29" fillId="0" borderId="0" xfId="21" applyFont="1" applyFill="1" applyAlignment="1">
      <alignment horizontal="left" vertical="center"/>
    </xf>
    <xf numFmtId="0" fontId="31" fillId="0" borderId="53" xfId="1" applyFont="1" applyBorder="1" applyAlignment="1">
      <alignment horizontal="center" vertical="center"/>
    </xf>
    <xf numFmtId="165" fontId="31" fillId="0" borderId="53" xfId="21" applyFont="1" applyFill="1" applyBorder="1" applyAlignment="1">
      <alignment horizontal="left" vertical="center"/>
    </xf>
    <xf numFmtId="49" fontId="31" fillId="0" borderId="52" xfId="2" applyNumberFormat="1" applyFont="1" applyFill="1" applyBorder="1" applyAlignment="1">
      <alignment horizontal="left" vertical="center" wrapText="1"/>
    </xf>
    <xf numFmtId="0" fontId="31" fillId="0" borderId="36" xfId="1" applyFont="1" applyBorder="1" applyAlignment="1">
      <alignment horizontal="center" vertical="center"/>
    </xf>
    <xf numFmtId="165" fontId="31" fillId="0" borderId="36" xfId="21" applyFont="1" applyFill="1" applyBorder="1" applyAlignment="1">
      <alignment horizontal="left" vertical="center"/>
    </xf>
    <xf numFmtId="165" fontId="28" fillId="0" borderId="62" xfId="21" applyFont="1" applyFill="1" applyBorder="1" applyAlignment="1">
      <alignment horizontal="left" vertical="center"/>
    </xf>
    <xf numFmtId="165" fontId="28" fillId="0" borderId="61" xfId="21" applyFont="1" applyFill="1" applyBorder="1" applyAlignment="1">
      <alignment horizontal="left" vertical="center"/>
    </xf>
    <xf numFmtId="49" fontId="29" fillId="0" borderId="32" xfId="2" applyNumberFormat="1" applyFont="1" applyFill="1" applyBorder="1" applyAlignment="1">
      <alignment horizontal="left" vertical="center" wrapText="1"/>
    </xf>
    <xf numFmtId="0" fontId="29" fillId="0" borderId="27" xfId="1" applyFont="1" applyBorder="1" applyAlignment="1">
      <alignment horizontal="left" vertical="center"/>
    </xf>
    <xf numFmtId="165" fontId="29" fillId="0" borderId="50" xfId="1" applyNumberFormat="1" applyFont="1" applyBorder="1" applyAlignment="1">
      <alignment horizontal="left" vertical="center"/>
    </xf>
    <xf numFmtId="165" fontId="127" fillId="0" borderId="0" xfId="21" applyFont="1" applyFill="1" applyBorder="1" applyAlignment="1">
      <alignment vertical="center"/>
    </xf>
    <xf numFmtId="0" fontId="16" fillId="0" borderId="131" xfId="0" applyFont="1" applyBorder="1" applyAlignment="1">
      <alignment horizontal="center" vertical="center"/>
    </xf>
    <xf numFmtId="216" fontId="16" fillId="0" borderId="133" xfId="0" quotePrefix="1" applyNumberFormat="1" applyFont="1" applyBorder="1" applyAlignment="1">
      <alignment horizontal="center" vertical="center"/>
    </xf>
    <xf numFmtId="0" fontId="75" fillId="0" borderId="130" xfId="0" applyFont="1" applyBorder="1" applyAlignment="1">
      <alignment vertical="center"/>
    </xf>
    <xf numFmtId="0" fontId="75" fillId="0" borderId="133" xfId="0" applyFont="1" applyBorder="1" applyAlignment="1">
      <alignment horizontal="left" vertical="center"/>
    </xf>
    <xf numFmtId="0" fontId="16" fillId="0" borderId="130" xfId="0" applyFont="1" applyBorder="1" applyAlignment="1">
      <alignment vertical="center"/>
    </xf>
    <xf numFmtId="216" fontId="16" fillId="0" borderId="130" xfId="0" quotePrefix="1" applyNumberFormat="1" applyFont="1" applyBorder="1" applyAlignment="1">
      <alignment horizontal="center" vertical="center"/>
    </xf>
    <xf numFmtId="0" fontId="75" fillId="0" borderId="130" xfId="0" applyFont="1" applyBorder="1" applyAlignment="1">
      <alignment horizontal="center" vertical="center"/>
    </xf>
    <xf numFmtId="0" fontId="16" fillId="0" borderId="130" xfId="0" applyFont="1" applyBorder="1" applyAlignment="1">
      <alignment horizontal="center" vertical="center"/>
    </xf>
    <xf numFmtId="172" fontId="16" fillId="0" borderId="130" xfId="9" applyNumberFormat="1" applyFont="1" applyBorder="1" applyAlignment="1">
      <alignment horizontal="center" vertical="center"/>
    </xf>
    <xf numFmtId="172" fontId="16" fillId="0" borderId="129" xfId="9" applyNumberFormat="1" applyFont="1" applyBorder="1" applyAlignment="1">
      <alignment horizontal="center" vertical="center"/>
    </xf>
    <xf numFmtId="0" fontId="16" fillId="0" borderId="132" xfId="0" applyFont="1" applyBorder="1" applyAlignment="1">
      <alignment vertical="center"/>
    </xf>
    <xf numFmtId="216" fontId="16" fillId="0" borderId="132" xfId="0" quotePrefix="1" applyNumberFormat="1" applyFont="1" applyBorder="1" applyAlignment="1">
      <alignment horizontal="center" vertical="center"/>
    </xf>
    <xf numFmtId="0" fontId="75" fillId="0" borderId="132" xfId="0" applyFont="1" applyBorder="1" applyAlignment="1">
      <alignment vertical="center"/>
    </xf>
    <xf numFmtId="216" fontId="16" fillId="0" borderId="132" xfId="0" applyNumberFormat="1" applyFont="1" applyBorder="1" applyAlignment="1">
      <alignment horizontal="center" vertical="center"/>
    </xf>
    <xf numFmtId="0" fontId="75" fillId="0" borderId="132" xfId="0" applyFont="1" applyBorder="1" applyAlignment="1">
      <alignment horizontal="left" vertical="center"/>
    </xf>
    <xf numFmtId="0" fontId="75" fillId="0" borderId="132" xfId="0" applyFont="1" applyBorder="1" applyAlignment="1">
      <alignment horizontal="center" vertical="center"/>
    </xf>
    <xf numFmtId="0" fontId="16" fillId="0" borderId="132" xfId="0" applyFont="1" applyBorder="1" applyAlignment="1">
      <alignment horizontal="center" vertical="center"/>
    </xf>
    <xf numFmtId="172" fontId="16" fillId="0" borderId="132" xfId="9" applyNumberFormat="1" applyFont="1" applyBorder="1" applyAlignment="1">
      <alignment horizontal="center" vertical="center"/>
    </xf>
    <xf numFmtId="171" fontId="28" fillId="0" borderId="118" xfId="4" applyNumberFormat="1" applyFont="1" applyFill="1" applyBorder="1" applyAlignment="1">
      <alignment vertical="center" wrapText="1"/>
    </xf>
    <xf numFmtId="0" fontId="127" fillId="0" borderId="0" xfId="1" applyFont="1" applyAlignment="1">
      <alignment horizontal="center" vertical="center"/>
    </xf>
    <xf numFmtId="165" fontId="127" fillId="0" borderId="0" xfId="1" applyNumberFormat="1" applyFont="1" applyAlignment="1">
      <alignment horizontal="center" vertical="center"/>
    </xf>
    <xf numFmtId="0" fontId="29" fillId="0" borderId="0" xfId="1" applyFont="1" applyAlignment="1">
      <alignment horizontal="center" vertical="center"/>
    </xf>
    <xf numFmtId="0" fontId="29" fillId="0" borderId="0" xfId="1" applyFont="1" applyAlignment="1">
      <alignment vertical="center"/>
    </xf>
    <xf numFmtId="0" fontId="22" fillId="0" borderId="68" xfId="0" applyFont="1" applyBorder="1" applyAlignment="1">
      <alignment vertical="center"/>
    </xf>
    <xf numFmtId="165" fontId="28" fillId="0" borderId="25" xfId="21" applyFont="1" applyFill="1" applyBorder="1" applyAlignment="1">
      <alignment horizontal="center" vertical="center"/>
    </xf>
    <xf numFmtId="13" fontId="127" fillId="0" borderId="76" xfId="21" quotePrefix="1" applyNumberFormat="1" applyFont="1" applyFill="1" applyBorder="1" applyAlignment="1">
      <alignment horizontal="center" vertical="center"/>
    </xf>
    <xf numFmtId="12" fontId="127" fillId="0" borderId="76" xfId="21" quotePrefix="1" applyNumberFormat="1" applyFont="1" applyFill="1" applyBorder="1" applyAlignment="1">
      <alignment horizontal="center" vertical="center"/>
    </xf>
    <xf numFmtId="0" fontId="72" fillId="8" borderId="27" xfId="1" applyFont="1" applyFill="1" applyBorder="1" applyAlignment="1">
      <alignment horizontal="center" vertical="center" wrapText="1"/>
    </xf>
    <xf numFmtId="0" fontId="75" fillId="8" borderId="27" xfId="0" applyFont="1" applyFill="1" applyBorder="1" applyAlignment="1">
      <alignment horizontal="center" vertical="center" wrapText="1"/>
    </xf>
    <xf numFmtId="165" fontId="125" fillId="0" borderId="97" xfId="21" applyFont="1" applyFill="1" applyBorder="1" applyAlignment="1"/>
    <xf numFmtId="41" fontId="22" fillId="0" borderId="132" xfId="0" applyNumberFormat="1" applyFont="1" applyBorder="1" applyAlignment="1">
      <alignment horizontal="center" vertical="center" wrapText="1"/>
    </xf>
    <xf numFmtId="165" fontId="34" fillId="0" borderId="131" xfId="21" applyFont="1" applyFill="1" applyBorder="1" applyAlignment="1">
      <alignment horizontal="left" vertical="center"/>
    </xf>
    <xf numFmtId="165" fontId="34" fillId="0" borderId="130" xfId="21" applyFont="1" applyFill="1" applyBorder="1" applyAlignment="1">
      <alignment horizontal="center" vertical="center"/>
    </xf>
    <xf numFmtId="165" fontId="18" fillId="0" borderId="0" xfId="21" applyFont="1" applyFill="1" applyAlignment="1">
      <alignment horizontal="center" vertical="center"/>
    </xf>
    <xf numFmtId="165" fontId="14" fillId="0" borderId="21" xfId="21" applyFont="1" applyFill="1" applyBorder="1" applyAlignment="1">
      <alignment horizontal="center" vertical="center"/>
    </xf>
    <xf numFmtId="165" fontId="14" fillId="0" borderId="35" xfId="21" applyFont="1" applyFill="1" applyBorder="1" applyAlignment="1">
      <alignment horizontal="center" vertical="center"/>
    </xf>
    <xf numFmtId="165" fontId="14" fillId="0" borderId="42" xfId="21" applyFont="1" applyFill="1" applyBorder="1" applyAlignment="1">
      <alignment horizontal="center" vertical="center"/>
    </xf>
    <xf numFmtId="165" fontId="14" fillId="0" borderId="40" xfId="21" applyFont="1" applyFill="1" applyBorder="1" applyAlignment="1">
      <alignment horizontal="center" vertical="center"/>
    </xf>
    <xf numFmtId="165" fontId="68" fillId="0" borderId="28" xfId="21" applyFont="1" applyFill="1" applyBorder="1" applyAlignment="1">
      <alignment horizontal="center" vertical="center"/>
    </xf>
    <xf numFmtId="165" fontId="14" fillId="0" borderId="54" xfId="21" applyFont="1" applyFill="1" applyBorder="1" applyAlignment="1">
      <alignment horizontal="center" vertical="center"/>
    </xf>
    <xf numFmtId="165" fontId="68" fillId="0" borderId="54" xfId="21" applyFont="1" applyFill="1" applyBorder="1" applyAlignment="1">
      <alignment horizontal="center" vertical="center"/>
    </xf>
    <xf numFmtId="165" fontId="14" fillId="0" borderId="29" xfId="21" applyFont="1" applyFill="1" applyBorder="1" applyAlignment="1">
      <alignment horizontal="center" vertical="center"/>
    </xf>
    <xf numFmtId="165" fontId="14" fillId="0" borderId="31" xfId="21" applyFont="1" applyFill="1" applyBorder="1" applyAlignment="1">
      <alignment horizontal="center" vertical="center"/>
    </xf>
    <xf numFmtId="165" fontId="68" fillId="0" borderId="31" xfId="21" applyFont="1" applyFill="1" applyBorder="1" applyAlignment="1">
      <alignment horizontal="center" vertical="center"/>
    </xf>
    <xf numFmtId="165" fontId="71" fillId="0" borderId="28" xfId="21" applyFont="1" applyFill="1" applyBorder="1" applyAlignment="1">
      <alignment horizontal="center" vertical="center"/>
    </xf>
    <xf numFmtId="165" fontId="21" fillId="0" borderId="28" xfId="21" applyFont="1" applyFill="1" applyBorder="1" applyAlignment="1">
      <alignment horizontal="center" vertical="center"/>
    </xf>
    <xf numFmtId="165" fontId="68" fillId="0" borderId="35" xfId="21" applyFont="1" applyFill="1" applyBorder="1" applyAlignment="1">
      <alignment horizontal="center" vertical="center"/>
    </xf>
    <xf numFmtId="165" fontId="68" fillId="0" borderId="50" xfId="21" applyFont="1" applyFill="1" applyBorder="1" applyAlignment="1">
      <alignment horizontal="center" vertical="center"/>
    </xf>
    <xf numFmtId="165" fontId="14" fillId="0" borderId="85" xfId="21" applyFont="1" applyFill="1" applyBorder="1" applyAlignment="1">
      <alignment horizontal="center" vertical="center"/>
    </xf>
    <xf numFmtId="165" fontId="14" fillId="0" borderId="129" xfId="21" applyFont="1" applyFill="1" applyBorder="1" applyAlignment="1">
      <alignment horizontal="center" vertical="center"/>
    </xf>
    <xf numFmtId="41" fontId="16" fillId="0" borderId="0" xfId="0" applyNumberFormat="1" applyFont="1" applyAlignment="1">
      <alignment vertical="center"/>
    </xf>
    <xf numFmtId="43" fontId="16" fillId="0" borderId="0" xfId="0" applyNumberFormat="1" applyFont="1" applyAlignment="1">
      <alignment vertical="center"/>
    </xf>
    <xf numFmtId="41" fontId="22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43" fontId="67" fillId="0" borderId="130" xfId="0" applyNumberFormat="1" applyFont="1" applyBorder="1" applyAlignment="1">
      <alignment horizontal="center" vertical="center"/>
    </xf>
    <xf numFmtId="218" fontId="22" fillId="0" borderId="27" xfId="0" applyNumberFormat="1" applyFont="1" applyBorder="1" applyAlignment="1">
      <alignment horizontal="center" vertical="center"/>
    </xf>
    <xf numFmtId="43" fontId="65" fillId="0" borderId="0" xfId="0" applyNumberFormat="1" applyFont="1" applyAlignment="1">
      <alignment horizontal="center" vertical="center"/>
    </xf>
    <xf numFmtId="0" fontId="65" fillId="0" borderId="37" xfId="0" applyFont="1" applyBorder="1" applyAlignment="1">
      <alignment horizontal="center" vertical="center"/>
    </xf>
    <xf numFmtId="43" fontId="67" fillId="0" borderId="20" xfId="0" applyNumberFormat="1" applyFont="1" applyBorder="1" applyAlignment="1">
      <alignment horizontal="center" vertical="center"/>
    </xf>
    <xf numFmtId="172" fontId="67" fillId="0" borderId="20" xfId="9" applyNumberFormat="1" applyFont="1" applyFill="1" applyBorder="1" applyAlignment="1">
      <alignment vertical="center"/>
    </xf>
    <xf numFmtId="0" fontId="65" fillId="0" borderId="131" xfId="0" applyFont="1" applyBorder="1" applyAlignment="1">
      <alignment horizontal="center" vertical="center"/>
    </xf>
    <xf numFmtId="0" fontId="16" fillId="0" borderId="130" xfId="0" applyFont="1" applyBorder="1" applyAlignment="1">
      <alignment horizontal="left" vertical="center"/>
    </xf>
    <xf numFmtId="172" fontId="67" fillId="0" borderId="130" xfId="9" applyNumberFormat="1" applyFont="1" applyFill="1" applyBorder="1" applyAlignment="1">
      <alignment vertical="center"/>
    </xf>
    <xf numFmtId="172" fontId="16" fillId="0" borderId="0" xfId="9" applyNumberFormat="1" applyFont="1" applyFill="1" applyBorder="1" applyAlignment="1">
      <alignment horizontal="center" vertical="center"/>
    </xf>
    <xf numFmtId="172" fontId="16" fillId="0" borderId="0" xfId="9" applyNumberFormat="1" applyFont="1" applyFill="1" applyBorder="1" applyAlignment="1">
      <alignment vertical="center"/>
    </xf>
    <xf numFmtId="0" fontId="136" fillId="0" borderId="0" xfId="0" applyFont="1" applyAlignment="1">
      <alignment horizontal="center" vertical="center"/>
    </xf>
    <xf numFmtId="43" fontId="136" fillId="0" borderId="0" xfId="0" applyNumberFormat="1" applyFont="1" applyAlignment="1">
      <alignment vertical="center"/>
    </xf>
    <xf numFmtId="172" fontId="136" fillId="0" borderId="0" xfId="9" applyNumberFormat="1" applyFont="1" applyFill="1" applyBorder="1" applyAlignment="1">
      <alignment vertical="center"/>
    </xf>
    <xf numFmtId="41" fontId="67" fillId="0" borderId="130" xfId="0" applyNumberFormat="1" applyFont="1" applyBorder="1" applyAlignment="1">
      <alignment horizontal="center" vertical="center"/>
    </xf>
    <xf numFmtId="172" fontId="65" fillId="0" borderId="130" xfId="9" applyNumberFormat="1" applyFont="1" applyFill="1" applyBorder="1" applyAlignment="1">
      <alignment vertical="center"/>
    </xf>
    <xf numFmtId="0" fontId="16" fillId="0" borderId="132" xfId="0" applyFont="1" applyBorder="1" applyAlignment="1">
      <alignment horizontal="left" vertical="center"/>
    </xf>
    <xf numFmtId="43" fontId="67" fillId="0" borderId="7" xfId="0" applyNumberFormat="1" applyFont="1" applyBorder="1" applyAlignment="1">
      <alignment horizontal="center" vertical="center"/>
    </xf>
    <xf numFmtId="43" fontId="22" fillId="0" borderId="132" xfId="0" applyNumberFormat="1" applyFont="1" applyBorder="1" applyAlignment="1">
      <alignment horizontal="center" vertical="center"/>
    </xf>
    <xf numFmtId="41" fontId="22" fillId="0" borderId="132" xfId="0" applyNumberFormat="1" applyFont="1" applyBorder="1" applyAlignment="1">
      <alignment horizontal="center" vertical="center"/>
    </xf>
    <xf numFmtId="43" fontId="16" fillId="0" borderId="0" xfId="0" applyNumberFormat="1" applyFont="1" applyAlignment="1">
      <alignment horizontal="center" vertical="center"/>
    </xf>
    <xf numFmtId="12" fontId="127" fillId="0" borderId="76" xfId="21" quotePrefix="1" applyNumberFormat="1" applyFont="1" applyFill="1" applyBorder="1" applyAlignment="1">
      <alignment horizontal="center" vertical="center" wrapText="1"/>
    </xf>
    <xf numFmtId="165" fontId="28" fillId="8" borderId="0" xfId="1" applyNumberFormat="1" applyFont="1" applyFill="1" applyAlignment="1">
      <alignment horizontal="center" vertical="center"/>
    </xf>
    <xf numFmtId="165" fontId="31" fillId="8" borderId="0" xfId="1" applyNumberFormat="1" applyFont="1" applyFill="1" applyAlignment="1">
      <alignment horizontal="center" vertical="center"/>
    </xf>
    <xf numFmtId="165" fontId="127" fillId="8" borderId="0" xfId="1" applyNumberFormat="1" applyFont="1" applyFill="1" applyAlignment="1">
      <alignment horizontal="center" vertical="center"/>
    </xf>
    <xf numFmtId="0" fontId="28" fillId="8" borderId="19" xfId="1" applyFont="1" applyFill="1" applyBorder="1" applyAlignment="1">
      <alignment horizontal="center" vertical="center"/>
    </xf>
    <xf numFmtId="0" fontId="27" fillId="8" borderId="0" xfId="1" applyFont="1" applyFill="1" applyAlignment="1">
      <alignment horizontal="center" vertical="center"/>
    </xf>
    <xf numFmtId="171" fontId="22" fillId="0" borderId="118" xfId="4" applyNumberFormat="1" applyFont="1" applyFill="1" applyBorder="1" applyAlignment="1">
      <alignment vertical="center" wrapText="1"/>
    </xf>
    <xf numFmtId="0" fontId="29" fillId="0" borderId="67" xfId="0" applyFont="1" applyBorder="1" applyAlignment="1">
      <alignment vertical="center"/>
    </xf>
    <xf numFmtId="165" fontId="76" fillId="0" borderId="76" xfId="21" applyFont="1" applyFill="1" applyBorder="1" applyAlignment="1">
      <alignment horizontal="center" vertical="center"/>
    </xf>
    <xf numFmtId="165" fontId="28" fillId="0" borderId="127" xfId="21" applyFont="1" applyFill="1" applyBorder="1" applyAlignment="1">
      <alignment horizontal="center" vertical="center"/>
    </xf>
    <xf numFmtId="165" fontId="28" fillId="0" borderId="129" xfId="21" applyFont="1" applyFill="1" applyBorder="1" applyAlignment="1">
      <alignment horizontal="center" vertical="center"/>
    </xf>
    <xf numFmtId="165" fontId="34" fillId="0" borderId="59" xfId="21" applyFont="1" applyFill="1" applyBorder="1" applyAlignment="1">
      <alignment horizontal="center" vertical="center"/>
    </xf>
    <xf numFmtId="165" fontId="34" fillId="0" borderId="61" xfId="21" applyFont="1" applyFill="1" applyBorder="1" applyAlignment="1">
      <alignment horizontal="center" vertical="center"/>
    </xf>
    <xf numFmtId="165" fontId="34" fillId="0" borderId="89" xfId="21" applyFont="1" applyFill="1" applyBorder="1" applyAlignment="1">
      <alignment horizontal="center" vertical="center"/>
    </xf>
    <xf numFmtId="3" fontId="0" fillId="0" borderId="131" xfId="0" applyNumberFormat="1" applyBorder="1" applyAlignment="1">
      <alignment horizontal="center"/>
    </xf>
    <xf numFmtId="3" fontId="0" fillId="0" borderId="130" xfId="0" applyNumberFormat="1" applyBorder="1" applyAlignment="1">
      <alignment horizontal="center"/>
    </xf>
    <xf numFmtId="3" fontId="0" fillId="2" borderId="130" xfId="0" applyNumberFormat="1" applyFill="1" applyBorder="1" applyAlignment="1">
      <alignment horizontal="center"/>
    </xf>
    <xf numFmtId="3" fontId="140" fillId="0" borderId="130" xfId="0" applyNumberFormat="1" applyFont="1" applyBorder="1" applyAlignment="1">
      <alignment horizontal="center" vertical="center"/>
    </xf>
    <xf numFmtId="3" fontId="140" fillId="0" borderId="130" xfId="0" applyNumberFormat="1" applyFont="1" applyBorder="1" applyAlignment="1">
      <alignment horizontal="center"/>
    </xf>
    <xf numFmtId="3" fontId="141" fillId="0" borderId="129" xfId="0" applyNumberFormat="1" applyFont="1" applyBorder="1" applyAlignment="1">
      <alignment horizontal="center"/>
    </xf>
    <xf numFmtId="3" fontId="0" fillId="0" borderId="0" xfId="0" applyNumberFormat="1"/>
    <xf numFmtId="3" fontId="0" fillId="0" borderId="126" xfId="0" applyNumberFormat="1" applyBorder="1" applyAlignment="1">
      <alignment horizontal="left"/>
    </xf>
    <xf numFmtId="3" fontId="141" fillId="0" borderId="27" xfId="0" applyNumberFormat="1" applyFont="1" applyBorder="1" applyAlignment="1">
      <alignment horizontal="center"/>
    </xf>
    <xf numFmtId="172" fontId="0" fillId="0" borderId="0" xfId="9" applyNumberFormat="1" applyFont="1"/>
    <xf numFmtId="172" fontId="141" fillId="0" borderId="130" xfId="9" applyNumberFormat="1" applyFont="1" applyBorder="1" applyAlignment="1">
      <alignment horizontal="center"/>
    </xf>
    <xf numFmtId="3" fontId="143" fillId="46" borderId="133" xfId="0" applyNumberFormat="1" applyFont="1" applyFill="1" applyBorder="1" applyAlignment="1">
      <alignment horizontal="center"/>
    </xf>
    <xf numFmtId="3" fontId="144" fillId="46" borderId="133" xfId="0" applyNumberFormat="1" applyFont="1" applyFill="1" applyBorder="1" applyAlignment="1">
      <alignment horizontal="center" vertical="center"/>
    </xf>
    <xf numFmtId="3" fontId="0" fillId="0" borderId="132" xfId="0" applyNumberFormat="1" applyBorder="1" applyAlignment="1">
      <alignment horizontal="center"/>
    </xf>
    <xf numFmtId="3" fontId="0" fillId="2" borderId="132" xfId="0" applyNumberFormat="1" applyFill="1" applyBorder="1" applyAlignment="1">
      <alignment horizontal="center"/>
    </xf>
    <xf numFmtId="172" fontId="141" fillId="0" borderId="132" xfId="9" applyNumberFormat="1" applyFont="1" applyBorder="1" applyAlignment="1">
      <alignment horizontal="center"/>
    </xf>
    <xf numFmtId="3" fontId="140" fillId="0" borderId="132" xfId="0" applyNumberFormat="1" applyFont="1" applyBorder="1" applyAlignment="1">
      <alignment horizontal="center" vertical="center"/>
    </xf>
    <xf numFmtId="3" fontId="140" fillId="0" borderId="132" xfId="0" applyNumberFormat="1" applyFont="1" applyBorder="1" applyAlignment="1">
      <alignment horizontal="center"/>
    </xf>
    <xf numFmtId="3" fontId="141" fillId="0" borderId="35" xfId="0" applyNumberFormat="1" applyFont="1" applyBorder="1" applyAlignment="1">
      <alignment horizontal="center"/>
    </xf>
    <xf numFmtId="3" fontId="0" fillId="0" borderId="80" xfId="0" applyNumberFormat="1" applyBorder="1" applyAlignment="1">
      <alignment horizontal="center"/>
    </xf>
    <xf numFmtId="3" fontId="0" fillId="0" borderId="57" xfId="0" applyNumberFormat="1" applyBorder="1" applyAlignment="1">
      <alignment horizontal="center"/>
    </xf>
    <xf numFmtId="3" fontId="0" fillId="0" borderId="53" xfId="0" applyNumberFormat="1" applyBorder="1" applyAlignment="1">
      <alignment horizontal="left"/>
    </xf>
    <xf numFmtId="3" fontId="0" fillId="0" borderId="53" xfId="0" applyNumberFormat="1" applyBorder="1" applyAlignment="1">
      <alignment horizontal="center"/>
    </xf>
    <xf numFmtId="3" fontId="0" fillId="2" borderId="53" xfId="0" applyNumberFormat="1" applyFill="1" applyBorder="1" applyAlignment="1">
      <alignment horizontal="center"/>
    </xf>
    <xf numFmtId="172" fontId="141" fillId="0" borderId="53" xfId="9" applyNumberFormat="1" applyFont="1" applyBorder="1" applyAlignment="1">
      <alignment horizontal="center"/>
    </xf>
    <xf numFmtId="3" fontId="140" fillId="0" borderId="53" xfId="0" applyNumberFormat="1" applyFont="1" applyBorder="1" applyAlignment="1">
      <alignment horizontal="center" vertical="center"/>
    </xf>
    <xf numFmtId="3" fontId="140" fillId="0" borderId="53" xfId="0" applyNumberFormat="1" applyFont="1" applyBorder="1" applyAlignment="1">
      <alignment horizontal="center"/>
    </xf>
    <xf numFmtId="3" fontId="141" fillId="0" borderId="54" xfId="0" applyNumberFormat="1" applyFont="1" applyBorder="1" applyAlignment="1">
      <alignment horizontal="center"/>
    </xf>
    <xf numFmtId="172" fontId="141" fillId="47" borderId="25" xfId="9" applyNumberFormat="1" applyFont="1" applyFill="1" applyBorder="1" applyAlignment="1">
      <alignment horizontal="center"/>
    </xf>
    <xf numFmtId="3" fontId="141" fillId="47" borderId="25" xfId="0" applyNumberFormat="1" applyFont="1" applyFill="1" applyBorder="1" applyAlignment="1">
      <alignment horizontal="center"/>
    </xf>
    <xf numFmtId="3" fontId="61" fillId="47" borderId="25" xfId="0" applyNumberFormat="1" applyFont="1" applyFill="1" applyBorder="1" applyAlignment="1">
      <alignment horizontal="center"/>
    </xf>
    <xf numFmtId="3" fontId="141" fillId="47" borderId="43" xfId="0" applyNumberFormat="1" applyFont="1" applyFill="1" applyBorder="1" applyAlignment="1">
      <alignment horizontal="center"/>
    </xf>
    <xf numFmtId="3" fontId="0" fillId="0" borderId="37" xfId="0" applyNumberFormat="1" applyBorder="1" applyAlignment="1">
      <alignment horizontal="center"/>
    </xf>
    <xf numFmtId="3" fontId="0" fillId="0" borderId="5" xfId="0" applyNumberFormat="1" applyBorder="1" applyAlignment="1">
      <alignment horizontal="left"/>
    </xf>
    <xf numFmtId="3" fontId="0" fillId="0" borderId="20" xfId="0" applyNumberFormat="1" applyBorder="1" applyAlignment="1">
      <alignment horizontal="center"/>
    </xf>
    <xf numFmtId="3" fontId="0" fillId="2" borderId="20" xfId="0" applyNumberFormat="1" applyFill="1" applyBorder="1" applyAlignment="1">
      <alignment horizontal="center"/>
    </xf>
    <xf numFmtId="172" fontId="141" fillId="0" borderId="20" xfId="9" applyNumberFormat="1" applyFont="1" applyBorder="1" applyAlignment="1">
      <alignment horizontal="center"/>
    </xf>
    <xf numFmtId="3" fontId="140" fillId="0" borderId="20" xfId="0" applyNumberFormat="1" applyFont="1" applyBorder="1" applyAlignment="1">
      <alignment horizontal="center" vertical="center"/>
    </xf>
    <xf numFmtId="3" fontId="140" fillId="0" borderId="20" xfId="0" applyNumberFormat="1" applyFont="1" applyBorder="1" applyAlignment="1">
      <alignment horizontal="center"/>
    </xf>
    <xf numFmtId="3" fontId="141" fillId="0" borderId="21" xfId="0" applyNumberFormat="1" applyFont="1" applyBorder="1" applyAlignment="1">
      <alignment horizontal="center"/>
    </xf>
    <xf numFmtId="3" fontId="0" fillId="0" borderId="38" xfId="0" applyNumberFormat="1" applyBorder="1" applyAlignment="1">
      <alignment horizontal="left"/>
    </xf>
    <xf numFmtId="172" fontId="141" fillId="47" borderId="25" xfId="9" applyNumberFormat="1" applyFont="1" applyFill="1" applyBorder="1" applyAlignment="1">
      <alignment horizontal="center" vertical="center"/>
    </xf>
    <xf numFmtId="3" fontId="143" fillId="47" borderId="25" xfId="0" applyNumberFormat="1" applyFont="1" applyFill="1" applyBorder="1" applyAlignment="1">
      <alignment horizontal="center"/>
    </xf>
    <xf numFmtId="3" fontId="144" fillId="47" borderId="25" xfId="0" applyNumberFormat="1" applyFont="1" applyFill="1" applyBorder="1" applyAlignment="1">
      <alignment horizontal="center" vertical="center"/>
    </xf>
    <xf numFmtId="3" fontId="141" fillId="47" borderId="43" xfId="0" applyNumberFormat="1" applyFont="1" applyFill="1" applyBorder="1" applyAlignment="1">
      <alignment horizontal="center" vertical="center" wrapText="1"/>
    </xf>
    <xf numFmtId="3" fontId="141" fillId="2" borderId="7" xfId="0" applyNumberFormat="1" applyFont="1" applyFill="1" applyBorder="1" applyAlignment="1">
      <alignment horizontal="center"/>
    </xf>
    <xf numFmtId="3" fontId="141" fillId="47" borderId="110" xfId="0" applyNumberFormat="1" applyFont="1" applyFill="1" applyBorder="1" applyAlignment="1">
      <alignment horizontal="center"/>
    </xf>
    <xf numFmtId="3" fontId="141" fillId="47" borderId="27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3" fontId="0" fillId="0" borderId="57" xfId="0" applyNumberFormat="1" applyBorder="1" applyAlignment="1">
      <alignment horizontal="left"/>
    </xf>
    <xf numFmtId="0" fontId="133" fillId="0" borderId="0" xfId="0" applyFont="1" applyAlignment="1">
      <alignment horizontal="left" vertical="center"/>
    </xf>
    <xf numFmtId="0" fontId="22" fillId="0" borderId="97" xfId="0" applyFont="1" applyBorder="1" applyAlignment="1">
      <alignment horizontal="center" vertical="center"/>
    </xf>
    <xf numFmtId="0" fontId="75" fillId="0" borderId="130" xfId="0" applyFont="1" applyBorder="1" applyAlignment="1">
      <alignment horizontal="left" vertical="center"/>
    </xf>
    <xf numFmtId="216" fontId="16" fillId="0" borderId="130" xfId="0" applyNumberFormat="1" applyFont="1" applyBorder="1" applyAlignment="1">
      <alignment horizontal="center" vertical="center"/>
    </xf>
    <xf numFmtId="172" fontId="16" fillId="0" borderId="130" xfId="9" applyNumberFormat="1" applyFont="1" applyFill="1" applyBorder="1" applyAlignment="1">
      <alignment horizontal="center" vertical="center"/>
    </xf>
    <xf numFmtId="172" fontId="16" fillId="0" borderId="129" xfId="9" applyNumberFormat="1" applyFont="1" applyFill="1" applyBorder="1" applyAlignment="1">
      <alignment horizontal="center" vertical="center"/>
    </xf>
    <xf numFmtId="172" fontId="16" fillId="0" borderId="63" xfId="9" applyNumberFormat="1" applyFont="1" applyBorder="1" applyAlignment="1">
      <alignment horizontal="center" vertical="center"/>
    </xf>
    <xf numFmtId="172" fontId="16" fillId="0" borderId="0" xfId="9" applyNumberFormat="1" applyFont="1" applyBorder="1" applyAlignment="1">
      <alignment horizontal="center" vertical="center"/>
    </xf>
    <xf numFmtId="0" fontId="75" fillId="9" borderId="130" xfId="0" applyFont="1" applyFill="1" applyBorder="1" applyAlignment="1">
      <alignment horizontal="left" vertical="center"/>
    </xf>
    <xf numFmtId="216" fontId="16" fillId="0" borderId="130" xfId="9" quotePrefix="1" applyNumberFormat="1" applyFont="1" applyFill="1" applyBorder="1" applyAlignment="1">
      <alignment horizontal="center" vertical="center"/>
    </xf>
    <xf numFmtId="165" fontId="30" fillId="8" borderId="0" xfId="1" applyNumberFormat="1" applyFont="1" applyFill="1" applyAlignment="1">
      <alignment horizontal="center" vertical="center"/>
    </xf>
    <xf numFmtId="0" fontId="165" fillId="0" borderId="73" xfId="0" applyFont="1" applyBorder="1" applyAlignment="1">
      <alignment vertical="center"/>
    </xf>
    <xf numFmtId="165" fontId="165" fillId="0" borderId="73" xfId="21" applyFont="1" applyFill="1" applyBorder="1" applyAlignment="1">
      <alignment horizontal="right" vertical="center"/>
    </xf>
    <xf numFmtId="37" fontId="165" fillId="0" borderId="73" xfId="0" applyNumberFormat="1" applyFont="1" applyBorder="1" applyAlignment="1">
      <alignment vertical="center"/>
    </xf>
    <xf numFmtId="165" fontId="165" fillId="0" borderId="74" xfId="21" applyFont="1" applyFill="1" applyBorder="1" applyAlignment="1">
      <alignment horizontal="center" vertical="center"/>
    </xf>
    <xf numFmtId="165" fontId="165" fillId="0" borderId="0" xfId="0" applyNumberFormat="1" applyFont="1" applyAlignment="1">
      <alignment vertical="center"/>
    </xf>
    <xf numFmtId="165" fontId="75" fillId="0" borderId="0" xfId="0" applyNumberFormat="1" applyFont="1" applyAlignment="1">
      <alignment vertical="center"/>
    </xf>
    <xf numFmtId="0" fontId="165" fillId="0" borderId="0" xfId="0" applyFont="1" applyAlignment="1">
      <alignment vertical="center"/>
    </xf>
    <xf numFmtId="0" fontId="29" fillId="0" borderId="0" xfId="1" applyFont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6" fillId="0" borderId="133" xfId="0" applyFont="1" applyBorder="1" applyAlignment="1">
      <alignment vertical="center"/>
    </xf>
    <xf numFmtId="216" fontId="16" fillId="0" borderId="133" xfId="0" applyNumberFormat="1" applyFont="1" applyBorder="1" applyAlignment="1">
      <alignment horizontal="center" vertical="center"/>
    </xf>
    <xf numFmtId="0" fontId="75" fillId="0" borderId="133" xfId="0" applyFont="1" applyBorder="1" applyAlignment="1">
      <alignment horizontal="center" vertical="center"/>
    </xf>
    <xf numFmtId="0" fontId="16" fillId="0" borderId="133" xfId="0" applyFont="1" applyBorder="1" applyAlignment="1">
      <alignment horizontal="center" vertical="center"/>
    </xf>
    <xf numFmtId="172" fontId="16" fillId="0" borderId="133" xfId="9" applyNumberFormat="1" applyFont="1" applyFill="1" applyBorder="1" applyAlignment="1">
      <alignment horizontal="center" vertical="center"/>
    </xf>
    <xf numFmtId="0" fontId="16" fillId="2" borderId="130" xfId="0" applyFont="1" applyFill="1" applyBorder="1" applyAlignment="1">
      <alignment vertical="center"/>
    </xf>
    <xf numFmtId="14" fontId="16" fillId="2" borderId="130" xfId="0" quotePrefix="1" applyNumberFormat="1" applyFont="1" applyFill="1" applyBorder="1" applyAlignment="1">
      <alignment horizontal="center" vertical="center"/>
    </xf>
    <xf numFmtId="14" fontId="16" fillId="2" borderId="130" xfId="0" applyNumberFormat="1" applyFont="1" applyFill="1" applyBorder="1" applyAlignment="1">
      <alignment horizontal="center" vertical="center"/>
    </xf>
    <xf numFmtId="0" fontId="16" fillId="2" borderId="130" xfId="0" applyFont="1" applyFill="1" applyBorder="1" applyAlignment="1">
      <alignment horizontal="center" vertical="center"/>
    </xf>
    <xf numFmtId="172" fontId="16" fillId="2" borderId="114" xfId="1162" applyNumberFormat="1" applyFont="1" applyFill="1" applyBorder="1" applyAlignment="1">
      <alignment horizontal="center" vertical="center"/>
    </xf>
    <xf numFmtId="49" fontId="31" fillId="0" borderId="131" xfId="2" applyNumberFormat="1" applyFont="1" applyFill="1" applyBorder="1" applyAlignment="1">
      <alignment horizontal="center" vertical="center" wrapText="1"/>
    </xf>
    <xf numFmtId="171" fontId="28" fillId="0" borderId="133" xfId="4" applyNumberFormat="1" applyFont="1" applyFill="1" applyBorder="1" applyAlignment="1">
      <alignment vertical="center" wrapText="1"/>
    </xf>
    <xf numFmtId="166" fontId="31" fillId="0" borderId="0" xfId="9" applyFont="1" applyFill="1" applyAlignment="1">
      <alignment vertical="center"/>
    </xf>
    <xf numFmtId="166" fontId="28" fillId="0" borderId="0" xfId="9" applyFont="1" applyFill="1" applyAlignment="1">
      <alignment vertical="center"/>
    </xf>
    <xf numFmtId="166" fontId="29" fillId="0" borderId="0" xfId="9" applyFont="1" applyFill="1" applyAlignment="1">
      <alignment horizontal="center" vertical="center" wrapText="1"/>
    </xf>
    <xf numFmtId="166" fontId="29" fillId="0" borderId="0" xfId="9" applyFont="1" applyFill="1" applyBorder="1" applyAlignment="1">
      <alignment horizontal="center" vertical="center"/>
    </xf>
    <xf numFmtId="166" fontId="127" fillId="0" borderId="0" xfId="9" applyFont="1" applyFill="1" applyAlignment="1">
      <alignment vertical="center"/>
    </xf>
    <xf numFmtId="166" fontId="128" fillId="0" borderId="0" xfId="9" applyFont="1" applyFill="1" applyAlignment="1">
      <alignment vertical="center"/>
    </xf>
    <xf numFmtId="166" fontId="133" fillId="0" borderId="0" xfId="9" applyFont="1" applyFill="1" applyAlignment="1">
      <alignment vertical="center"/>
    </xf>
    <xf numFmtId="166" fontId="29" fillId="0" borderId="0" xfId="9" applyFont="1" applyFill="1" applyAlignment="1">
      <alignment vertical="center"/>
    </xf>
    <xf numFmtId="166" fontId="64" fillId="0" borderId="0" xfId="9" applyFont="1" applyFill="1" applyAlignment="1">
      <alignment horizontal="center" vertical="center"/>
    </xf>
    <xf numFmtId="166" fontId="165" fillId="0" borderId="0" xfId="9" applyFont="1" applyFill="1" applyAlignment="1">
      <alignment vertical="center"/>
    </xf>
    <xf numFmtId="0" fontId="28" fillId="0" borderId="68" xfId="0" applyFont="1" applyBorder="1" applyAlignment="1">
      <alignment vertical="top" wrapText="1"/>
    </xf>
    <xf numFmtId="0" fontId="29" fillId="0" borderId="67" xfId="1" applyFont="1" applyBorder="1" applyAlignment="1">
      <alignment horizontal="left" vertical="top" wrapText="1"/>
    </xf>
    <xf numFmtId="0" fontId="64" fillId="0" borderId="118" xfId="0" applyFont="1" applyBorder="1" applyAlignment="1">
      <alignment vertical="center" textRotation="255"/>
    </xf>
    <xf numFmtId="0" fontId="64" fillId="0" borderId="76" xfId="0" applyFont="1" applyBorder="1" applyAlignment="1">
      <alignment vertical="center" textRotation="255"/>
    </xf>
    <xf numFmtId="0" fontId="64" fillId="0" borderId="76" xfId="0" applyFont="1" applyBorder="1" applyAlignment="1">
      <alignment horizontal="left" vertical="center" textRotation="255"/>
    </xf>
    <xf numFmtId="0" fontId="129" fillId="0" borderId="76" xfId="0" applyFont="1" applyBorder="1" applyAlignment="1">
      <alignment vertical="center" textRotation="255"/>
    </xf>
    <xf numFmtId="0" fontId="134" fillId="0" borderId="76" xfId="0" applyFont="1" applyBorder="1" applyAlignment="1">
      <alignment vertical="center" textRotation="255"/>
    </xf>
    <xf numFmtId="0" fontId="64" fillId="0" borderId="68" xfId="0" applyFont="1" applyBorder="1" applyAlignment="1">
      <alignment vertical="center" textRotation="255"/>
    </xf>
    <xf numFmtId="0" fontId="22" fillId="0" borderId="68" xfId="0" applyFont="1" applyBorder="1" applyAlignment="1">
      <alignment vertical="center" textRotation="255"/>
    </xf>
    <xf numFmtId="0" fontId="29" fillId="0" borderId="118" xfId="1" applyFont="1" applyBorder="1" applyAlignment="1">
      <alignment horizontal="left" vertical="top" textRotation="255" wrapText="1"/>
    </xf>
    <xf numFmtId="0" fontId="28" fillId="0" borderId="68" xfId="0" applyFont="1" applyBorder="1" applyAlignment="1">
      <alignment vertical="top" textRotation="255" wrapText="1"/>
    </xf>
    <xf numFmtId="171" fontId="64" fillId="0" borderId="118" xfId="4" applyNumberFormat="1" applyFont="1" applyFill="1" applyBorder="1" applyAlignment="1">
      <alignment vertical="center" textRotation="255" wrapText="1"/>
    </xf>
    <xf numFmtId="171" fontId="22" fillId="0" borderId="118" xfId="4" applyNumberFormat="1" applyFont="1" applyFill="1" applyBorder="1" applyAlignment="1">
      <alignment vertical="center" textRotation="255" wrapText="1"/>
    </xf>
    <xf numFmtId="0" fontId="29" fillId="0" borderId="118" xfId="0" applyFont="1" applyBorder="1" applyAlignment="1">
      <alignment vertical="center" textRotation="255"/>
    </xf>
    <xf numFmtId="171" fontId="28" fillId="0" borderId="118" xfId="4" applyNumberFormat="1" applyFont="1" applyFill="1" applyBorder="1" applyAlignment="1">
      <alignment vertical="center" textRotation="255" wrapText="1"/>
    </xf>
    <xf numFmtId="0" fontId="165" fillId="0" borderId="73" xfId="0" applyFont="1" applyBorder="1" applyAlignment="1">
      <alignment vertical="center" textRotation="255"/>
    </xf>
    <xf numFmtId="0" fontId="64" fillId="0" borderId="0" xfId="0" applyFont="1" applyAlignment="1">
      <alignment vertical="center" textRotation="255"/>
    </xf>
    <xf numFmtId="0" fontId="64" fillId="0" borderId="0" xfId="0" applyFont="1" applyAlignment="1">
      <alignment horizontal="left" vertical="center" textRotation="255"/>
    </xf>
    <xf numFmtId="0" fontId="65" fillId="0" borderId="0" xfId="0" applyFont="1" applyAlignment="1">
      <alignment horizontal="left" vertical="center" textRotation="255"/>
    </xf>
    <xf numFmtId="0" fontId="64" fillId="0" borderId="0" xfId="0" applyFont="1" applyAlignment="1">
      <alignment horizontal="center" vertical="center" textRotation="255"/>
    </xf>
    <xf numFmtId="0" fontId="65" fillId="0" borderId="0" xfId="0" applyFont="1" applyAlignment="1">
      <alignment horizontal="center" vertical="center" textRotation="255"/>
    </xf>
    <xf numFmtId="165" fontId="65" fillId="0" borderId="0" xfId="21" applyFont="1" applyFill="1" applyAlignment="1">
      <alignment horizontal="center" vertical="center" textRotation="255"/>
    </xf>
    <xf numFmtId="0" fontId="65" fillId="0" borderId="0" xfId="0" applyFont="1" applyAlignment="1">
      <alignment vertical="center" textRotation="255"/>
    </xf>
    <xf numFmtId="172" fontId="29" fillId="0" borderId="0" xfId="9" applyNumberFormat="1" applyFont="1" applyFill="1" applyAlignment="1">
      <alignment vertical="center"/>
    </xf>
    <xf numFmtId="0" fontId="29" fillId="0" borderId="139" xfId="0" applyFont="1" applyBorder="1" applyAlignment="1">
      <alignment vertical="center"/>
    </xf>
    <xf numFmtId="165" fontId="29" fillId="0" borderId="118" xfId="21" applyFont="1" applyFill="1" applyBorder="1" applyAlignment="1">
      <alignment horizontal="center" vertical="center"/>
    </xf>
    <xf numFmtId="165" fontId="29" fillId="0" borderId="118" xfId="21" applyFont="1" applyFill="1" applyBorder="1" applyAlignment="1">
      <alignment horizontal="right" vertical="center"/>
    </xf>
    <xf numFmtId="37" fontId="29" fillId="0" borderId="118" xfId="0" applyNumberFormat="1" applyFont="1" applyBorder="1" applyAlignment="1">
      <alignment vertical="center"/>
    </xf>
    <xf numFmtId="165" fontId="29" fillId="0" borderId="140" xfId="21" applyFont="1" applyFill="1" applyBorder="1" applyAlignment="1">
      <alignment horizontal="center" vertical="center"/>
    </xf>
    <xf numFmtId="0" fontId="76" fillId="0" borderId="82" xfId="0" applyFont="1" applyBorder="1" applyAlignment="1">
      <alignment vertical="center"/>
    </xf>
    <xf numFmtId="0" fontId="29" fillId="0" borderId="82" xfId="0" applyFont="1" applyBorder="1" applyAlignment="1">
      <alignment vertical="center"/>
    </xf>
    <xf numFmtId="0" fontId="165" fillId="0" borderId="141" xfId="0" applyFont="1" applyBorder="1" applyAlignment="1">
      <alignment vertical="center"/>
    </xf>
    <xf numFmtId="165" fontId="76" fillId="0" borderId="73" xfId="21" applyFont="1" applyFill="1" applyBorder="1" applyAlignment="1">
      <alignment horizontal="center" vertical="center"/>
    </xf>
    <xf numFmtId="174" fontId="34" fillId="0" borderId="28" xfId="9" applyNumberFormat="1" applyFont="1" applyFill="1" applyBorder="1" applyAlignment="1">
      <alignment horizontal="center" vertical="center"/>
    </xf>
    <xf numFmtId="165" fontId="133" fillId="0" borderId="78" xfId="21" applyFont="1" applyFill="1" applyBorder="1" applyAlignment="1">
      <alignment horizontal="center" vertical="center"/>
    </xf>
    <xf numFmtId="165" fontId="30" fillId="0" borderId="63" xfId="21" applyFont="1" applyFill="1" applyBorder="1" applyAlignment="1">
      <alignment horizontal="center" vertical="center"/>
    </xf>
    <xf numFmtId="0" fontId="128" fillId="0" borderId="82" xfId="0" applyFont="1" applyBorder="1" applyAlignment="1">
      <alignment vertical="center"/>
    </xf>
    <xf numFmtId="172" fontId="16" fillId="0" borderId="114" xfId="9" applyNumberFormat="1" applyFont="1" applyFill="1" applyBorder="1" applyAlignment="1">
      <alignment horizontal="center" vertical="center"/>
    </xf>
    <xf numFmtId="172" fontId="16" fillId="0" borderId="63" xfId="9" applyNumberFormat="1" applyFont="1" applyFill="1" applyBorder="1" applyAlignment="1">
      <alignment horizontal="center" vertical="center"/>
    </xf>
    <xf numFmtId="41" fontId="16" fillId="0" borderId="0" xfId="0" applyNumberFormat="1" applyFont="1" applyAlignment="1">
      <alignment horizontal="center" vertical="center"/>
    </xf>
    <xf numFmtId="41" fontId="136" fillId="0" borderId="0" xfId="0" applyNumberFormat="1" applyFont="1" applyAlignment="1">
      <alignment horizontal="center" vertical="center"/>
    </xf>
    <xf numFmtId="0" fontId="16" fillId="0" borderId="133" xfId="0" applyFont="1" applyBorder="1" applyAlignment="1">
      <alignment horizontal="left" vertical="center"/>
    </xf>
    <xf numFmtId="171" fontId="27" fillId="0" borderId="22" xfId="4" applyNumberFormat="1" applyFont="1" applyFill="1" applyBorder="1" applyAlignment="1">
      <alignment horizontal="left" vertical="center" wrapText="1"/>
    </xf>
    <xf numFmtId="41" fontId="67" fillId="0" borderId="20" xfId="0" applyNumberFormat="1" applyFont="1" applyBorder="1" applyAlignment="1">
      <alignment horizontal="center" vertical="center"/>
    </xf>
    <xf numFmtId="172" fontId="65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77" fontId="67" fillId="0" borderId="0" xfId="77" applyNumberFormat="1" applyFont="1" applyFill="1" applyBorder="1" applyAlignment="1">
      <alignment horizontal="center" vertical="center"/>
    </xf>
    <xf numFmtId="177" fontId="67" fillId="0" borderId="129" xfId="77" applyNumberFormat="1" applyFont="1" applyFill="1" applyBorder="1" applyAlignment="1">
      <alignment horizontal="left" vertical="center"/>
    </xf>
    <xf numFmtId="41" fontId="22" fillId="0" borderId="28" xfId="0" applyNumberFormat="1" applyFont="1" applyBorder="1" applyAlignment="1">
      <alignment horizontal="left" vertical="center"/>
    </xf>
    <xf numFmtId="43" fontId="16" fillId="0" borderId="0" xfId="0" applyNumberFormat="1" applyFont="1" applyAlignment="1">
      <alignment horizontal="left" vertical="center"/>
    </xf>
    <xf numFmtId="0" fontId="166" fillId="0" borderId="0" xfId="0" applyFont="1" applyAlignment="1">
      <alignment horizontal="left" vertical="center"/>
    </xf>
    <xf numFmtId="2" fontId="166" fillId="0" borderId="0" xfId="0" applyNumberFormat="1" applyFont="1" applyAlignment="1">
      <alignment horizontal="left" vertical="center"/>
    </xf>
    <xf numFmtId="43" fontId="166" fillId="0" borderId="0" xfId="0" applyNumberFormat="1" applyFont="1" applyAlignment="1">
      <alignment horizontal="left" vertical="center"/>
    </xf>
    <xf numFmtId="3" fontId="141" fillId="2" borderId="14" xfId="0" applyNumberFormat="1" applyFont="1" applyFill="1" applyBorder="1" applyAlignment="1">
      <alignment horizontal="center"/>
    </xf>
    <xf numFmtId="172" fontId="0" fillId="0" borderId="53" xfId="9" applyNumberFormat="1" applyFont="1" applyBorder="1" applyAlignment="1">
      <alignment horizontal="center"/>
    </xf>
    <xf numFmtId="3" fontId="141" fillId="0" borderId="53" xfId="0" applyNumberFormat="1" applyFont="1" applyBorder="1" applyAlignment="1">
      <alignment horizontal="center"/>
    </xf>
    <xf numFmtId="172" fontId="141" fillId="0" borderId="53" xfId="9" applyNumberFormat="1" applyFont="1" applyFill="1" applyBorder="1" applyAlignment="1">
      <alignment horizontal="center"/>
    </xf>
    <xf numFmtId="172" fontId="141" fillId="0" borderId="130" xfId="9" applyNumberFormat="1" applyFont="1" applyFill="1" applyBorder="1" applyAlignment="1">
      <alignment horizontal="center"/>
    </xf>
    <xf numFmtId="221" fontId="0" fillId="0" borderId="130" xfId="0" applyNumberFormat="1" applyBorder="1" applyAlignment="1">
      <alignment horizontal="center"/>
    </xf>
    <xf numFmtId="0" fontId="137" fillId="2" borderId="0" xfId="1" applyFont="1" applyFill="1" applyAlignment="1">
      <alignment vertical="center"/>
    </xf>
    <xf numFmtId="0" fontId="137" fillId="2" borderId="0" xfId="1" applyFont="1" applyFill="1" applyAlignment="1">
      <alignment horizontal="center" vertical="center"/>
    </xf>
    <xf numFmtId="172" fontId="137" fillId="2" borderId="0" xfId="2" applyNumberFormat="1" applyFont="1" applyFill="1" applyBorder="1" applyAlignment="1">
      <alignment horizontal="right" vertical="center"/>
    </xf>
    <xf numFmtId="172" fontId="139" fillId="2" borderId="0" xfId="2" applyNumberFormat="1" applyFont="1" applyFill="1" applyBorder="1" applyAlignment="1">
      <alignment horizontal="center" vertical="center"/>
    </xf>
    <xf numFmtId="0" fontId="138" fillId="2" borderId="0" xfId="1" applyFont="1" applyFill="1" applyAlignment="1">
      <alignment vertical="center"/>
    </xf>
    <xf numFmtId="0" fontId="138" fillId="2" borderId="0" xfId="1" applyFont="1" applyFill="1" applyAlignment="1">
      <alignment horizontal="center" vertical="center"/>
    </xf>
    <xf numFmtId="172" fontId="173" fillId="2" borderId="0" xfId="9" applyNumberFormat="1" applyFont="1" applyFill="1"/>
    <xf numFmtId="172" fontId="173" fillId="2" borderId="0" xfId="9" applyNumberFormat="1" applyFont="1" applyFill="1" applyAlignment="1">
      <alignment horizontal="left"/>
    </xf>
    <xf numFmtId="0" fontId="137" fillId="2" borderId="0" xfId="1" applyFont="1" applyFill="1" applyAlignment="1">
      <alignment horizontal="right" vertical="center"/>
    </xf>
    <xf numFmtId="0" fontId="169" fillId="2" borderId="0" xfId="1" applyFont="1" applyFill="1" applyAlignment="1">
      <alignment horizontal="left" vertical="center" textRotation="90"/>
    </xf>
    <xf numFmtId="0" fontId="168" fillId="2" borderId="0" xfId="1" applyFont="1" applyFill="1" applyAlignment="1">
      <alignment vertical="center"/>
    </xf>
    <xf numFmtId="0" fontId="169" fillId="2" borderId="0" xfId="1" applyFont="1" applyFill="1" applyAlignment="1">
      <alignment horizontal="center" vertical="center"/>
    </xf>
    <xf numFmtId="172" fontId="137" fillId="2" borderId="0" xfId="9" applyNumberFormat="1" applyFont="1" applyFill="1" applyAlignment="1">
      <alignment horizontal="center" vertical="center"/>
    </xf>
    <xf numFmtId="165" fontId="137" fillId="2" borderId="0" xfId="1" applyNumberFormat="1" applyFont="1" applyFill="1" applyAlignment="1">
      <alignment vertical="center"/>
    </xf>
    <xf numFmtId="173" fontId="137" fillId="2" borderId="0" xfId="1" applyNumberFormat="1" applyFont="1" applyFill="1" applyAlignment="1">
      <alignment vertical="center"/>
    </xf>
    <xf numFmtId="173" fontId="137" fillId="2" borderId="0" xfId="1" applyNumberFormat="1" applyFont="1" applyFill="1" applyAlignment="1">
      <alignment horizontal="center" vertical="center"/>
    </xf>
    <xf numFmtId="172" fontId="137" fillId="2" borderId="0" xfId="9" applyNumberFormat="1" applyFont="1" applyFill="1" applyAlignment="1">
      <alignment vertical="center"/>
    </xf>
    <xf numFmtId="165" fontId="137" fillId="2" borderId="0" xfId="21" applyFont="1" applyFill="1" applyAlignment="1">
      <alignment vertical="center"/>
    </xf>
    <xf numFmtId="165" fontId="137" fillId="2" borderId="0" xfId="21" applyFont="1" applyFill="1" applyAlignment="1">
      <alignment horizontal="right" vertical="center"/>
    </xf>
    <xf numFmtId="172" fontId="138" fillId="2" borderId="0" xfId="0" applyNumberFormat="1" applyFont="1" applyFill="1"/>
    <xf numFmtId="172" fontId="138" fillId="2" borderId="0" xfId="1" applyNumberFormat="1" applyFont="1" applyFill="1" applyAlignment="1">
      <alignment vertical="center"/>
    </xf>
    <xf numFmtId="172" fontId="137" fillId="2" borderId="0" xfId="9" applyNumberFormat="1" applyFont="1" applyFill="1" applyBorder="1" applyAlignment="1">
      <alignment horizontal="right" vertical="center"/>
    </xf>
    <xf numFmtId="0" fontId="171" fillId="2" borderId="0" xfId="1" applyFont="1" applyFill="1" applyAlignment="1">
      <alignment horizontal="left" vertical="center" textRotation="90"/>
    </xf>
    <xf numFmtId="0" fontId="170" fillId="2" borderId="0" xfId="1" applyFont="1" applyFill="1" applyAlignment="1">
      <alignment vertical="center"/>
    </xf>
    <xf numFmtId="0" fontId="171" fillId="2" borderId="0" xfId="1" applyFont="1" applyFill="1" applyAlignment="1">
      <alignment vertical="center"/>
    </xf>
    <xf numFmtId="172" fontId="138" fillId="2" borderId="0" xfId="9" applyNumberFormat="1" applyFont="1" applyFill="1" applyBorder="1" applyAlignment="1">
      <alignment horizontal="right" vertical="center"/>
    </xf>
    <xf numFmtId="172" fontId="138" fillId="2" borderId="0" xfId="2" applyNumberFormat="1" applyFont="1" applyFill="1" applyBorder="1" applyAlignment="1">
      <alignment horizontal="right" vertical="center"/>
    </xf>
    <xf numFmtId="173" fontId="138" fillId="2" borderId="0" xfId="1" applyNumberFormat="1" applyFont="1" applyFill="1" applyAlignment="1">
      <alignment vertical="center"/>
    </xf>
    <xf numFmtId="173" fontId="138" fillId="2" borderId="0" xfId="1" applyNumberFormat="1" applyFont="1" applyFill="1" applyAlignment="1">
      <alignment horizontal="center" vertical="center"/>
    </xf>
    <xf numFmtId="172" fontId="138" fillId="2" borderId="0" xfId="9" applyNumberFormat="1" applyFont="1" applyFill="1" applyAlignment="1">
      <alignment vertical="center"/>
    </xf>
    <xf numFmtId="172" fontId="138" fillId="2" borderId="0" xfId="9" applyNumberFormat="1" applyFont="1" applyFill="1" applyAlignment="1">
      <alignment horizontal="center" vertical="center"/>
    </xf>
    <xf numFmtId="165" fontId="138" fillId="2" borderId="0" xfId="21" applyFont="1" applyFill="1" applyAlignment="1">
      <alignment vertical="center"/>
    </xf>
    <xf numFmtId="165" fontId="138" fillId="2" borderId="0" xfId="21" applyFont="1" applyFill="1" applyAlignment="1">
      <alignment horizontal="right" vertical="center"/>
    </xf>
    <xf numFmtId="172" fontId="137" fillId="2" borderId="0" xfId="1" applyNumberFormat="1" applyFont="1" applyFill="1" applyAlignment="1">
      <alignment vertical="center"/>
    </xf>
    <xf numFmtId="172" fontId="137" fillId="2" borderId="0" xfId="1" applyNumberFormat="1" applyFont="1" applyFill="1" applyAlignment="1">
      <alignment horizontal="right" vertical="center"/>
    </xf>
    <xf numFmtId="0" fontId="138" fillId="2" borderId="0" xfId="1" applyFont="1" applyFill="1" applyAlignment="1">
      <alignment horizontal="center" vertical="center" textRotation="90"/>
    </xf>
    <xf numFmtId="172" fontId="137" fillId="2" borderId="0" xfId="2" applyNumberFormat="1" applyFont="1" applyFill="1" applyBorder="1" applyAlignment="1">
      <alignment vertical="center"/>
    </xf>
    <xf numFmtId="172" fontId="139" fillId="2" borderId="0" xfId="9" applyNumberFormat="1" applyFont="1" applyFill="1" applyBorder="1" applyAlignment="1">
      <alignment horizontal="center" vertical="center"/>
    </xf>
    <xf numFmtId="174" fontId="137" fillId="2" borderId="0" xfId="2" applyNumberFormat="1" applyFont="1" applyFill="1" applyBorder="1" applyAlignment="1">
      <alignment vertical="center"/>
    </xf>
    <xf numFmtId="172" fontId="139" fillId="2" borderId="0" xfId="2" applyNumberFormat="1" applyFont="1" applyFill="1" applyBorder="1" applyAlignment="1">
      <alignment horizontal="right" vertical="center"/>
    </xf>
    <xf numFmtId="172" fontId="139" fillId="2" borderId="0" xfId="2" applyNumberFormat="1" applyFont="1" applyFill="1" applyBorder="1" applyAlignment="1">
      <alignment vertical="center"/>
    </xf>
    <xf numFmtId="172" fontId="137" fillId="2" borderId="0" xfId="2" applyNumberFormat="1" applyFont="1" applyFill="1" applyBorder="1" applyAlignment="1">
      <alignment horizontal="center" vertical="center"/>
    </xf>
    <xf numFmtId="0" fontId="171" fillId="2" borderId="0" xfId="1" applyFont="1" applyFill="1" applyAlignment="1">
      <alignment horizontal="center" vertical="center" textRotation="90"/>
    </xf>
    <xf numFmtId="0" fontId="171" fillId="2" borderId="0" xfId="1" applyFont="1" applyFill="1" applyAlignment="1">
      <alignment horizontal="center" vertical="center"/>
    </xf>
    <xf numFmtId="0" fontId="138" fillId="2" borderId="0" xfId="1" applyFont="1" applyFill="1" applyAlignment="1">
      <alignment horizontal="right" vertical="center"/>
    </xf>
    <xf numFmtId="0" fontId="172" fillId="2" borderId="0" xfId="0" applyFont="1" applyFill="1" applyAlignment="1">
      <alignment horizontal="left"/>
    </xf>
    <xf numFmtId="0" fontId="172" fillId="2" borderId="0" xfId="0" applyFont="1" applyFill="1"/>
    <xf numFmtId="172" fontId="172" fillId="2" borderId="0" xfId="9" applyNumberFormat="1" applyFont="1" applyFill="1"/>
    <xf numFmtId="172" fontId="141" fillId="2" borderId="130" xfId="9" applyNumberFormat="1" applyFont="1" applyFill="1" applyBorder="1" applyAlignment="1">
      <alignment horizontal="center"/>
    </xf>
    <xf numFmtId="0" fontId="130" fillId="8" borderId="0" xfId="0" applyFont="1" applyFill="1" applyAlignment="1">
      <alignment vertical="center"/>
    </xf>
    <xf numFmtId="0" fontId="132" fillId="8" borderId="70" xfId="0" applyFont="1" applyFill="1" applyBorder="1" applyAlignment="1">
      <alignment vertical="center"/>
    </xf>
    <xf numFmtId="0" fontId="130" fillId="8" borderId="36" xfId="0" applyFont="1" applyFill="1" applyBorder="1" applyAlignment="1">
      <alignment horizontal="center" vertical="center"/>
    </xf>
    <xf numFmtId="165" fontId="127" fillId="8" borderId="76" xfId="21" quotePrefix="1" applyFont="1" applyFill="1" applyBorder="1" applyAlignment="1">
      <alignment horizontal="center" vertical="center" wrapText="1"/>
    </xf>
    <xf numFmtId="165" fontId="127" fillId="8" borderId="76" xfId="21" quotePrefix="1" applyFont="1" applyFill="1" applyBorder="1" applyAlignment="1">
      <alignment horizontal="center" vertical="center"/>
    </xf>
    <xf numFmtId="165" fontId="127" fillId="8" borderId="76" xfId="21" applyFont="1" applyFill="1" applyBorder="1" applyAlignment="1">
      <alignment horizontal="center" vertical="center"/>
    </xf>
    <xf numFmtId="165" fontId="128" fillId="8" borderId="76" xfId="21" applyFont="1" applyFill="1" applyBorder="1" applyAlignment="1">
      <alignment horizontal="center" vertical="center"/>
    </xf>
    <xf numFmtId="165" fontId="133" fillId="8" borderId="76" xfId="21" applyFont="1" applyFill="1" applyBorder="1" applyAlignment="1">
      <alignment horizontal="center" vertical="center"/>
    </xf>
    <xf numFmtId="165" fontId="29" fillId="8" borderId="67" xfId="21" applyFont="1" applyFill="1" applyBorder="1" applyAlignment="1">
      <alignment horizontal="center" vertical="center"/>
    </xf>
    <xf numFmtId="165" fontId="29" fillId="8" borderId="118" xfId="21" applyFont="1" applyFill="1" applyBorder="1" applyAlignment="1">
      <alignment horizontal="center" vertical="center"/>
    </xf>
    <xf numFmtId="165" fontId="76" fillId="8" borderId="76" xfId="21" applyFont="1" applyFill="1" applyBorder="1" applyAlignment="1">
      <alignment horizontal="center" vertical="center"/>
    </xf>
    <xf numFmtId="165" fontId="29" fillId="8" borderId="76" xfId="21" applyFont="1" applyFill="1" applyBorder="1" applyAlignment="1">
      <alignment horizontal="center" vertical="center"/>
    </xf>
    <xf numFmtId="165" fontId="76" fillId="8" borderId="73" xfId="21" applyFont="1" applyFill="1" applyBorder="1" applyAlignment="1">
      <alignment horizontal="center" vertical="center"/>
    </xf>
    <xf numFmtId="165" fontId="29" fillId="8" borderId="0" xfId="21" applyFont="1" applyFill="1" applyBorder="1" applyAlignment="1">
      <alignment horizontal="center" vertical="center"/>
    </xf>
    <xf numFmtId="37" fontId="29" fillId="8" borderId="0" xfId="0" applyNumberFormat="1" applyFont="1" applyFill="1" applyAlignment="1">
      <alignment vertical="center"/>
    </xf>
    <xf numFmtId="165" fontId="127" fillId="8" borderId="0" xfId="21" applyFont="1" applyFill="1" applyAlignment="1">
      <alignment vertical="center"/>
    </xf>
    <xf numFmtId="0" fontId="127" fillId="8" borderId="0" xfId="0" applyFont="1" applyFill="1" applyAlignment="1">
      <alignment vertical="center"/>
    </xf>
    <xf numFmtId="165" fontId="29" fillId="8" borderId="0" xfId="21" applyFont="1" applyFill="1" applyAlignment="1">
      <alignment vertical="center"/>
    </xf>
    <xf numFmtId="0" fontId="29" fillId="8" borderId="0" xfId="0" applyFont="1" applyFill="1" applyAlignment="1">
      <alignment vertical="center"/>
    </xf>
    <xf numFmtId="0" fontId="131" fillId="8" borderId="0" xfId="0" applyFont="1" applyFill="1" applyAlignment="1">
      <alignment vertical="center"/>
    </xf>
    <xf numFmtId="165" fontId="127" fillId="8" borderId="0" xfId="0" applyNumberFormat="1" applyFont="1" applyFill="1" applyAlignment="1">
      <alignment vertical="center"/>
    </xf>
    <xf numFmtId="165" fontId="131" fillId="8" borderId="65" xfId="21" applyFont="1" applyFill="1" applyBorder="1" applyAlignment="1">
      <alignment vertical="center"/>
    </xf>
    <xf numFmtId="165" fontId="127" fillId="8" borderId="76" xfId="21" applyFont="1" applyFill="1" applyBorder="1" applyAlignment="1">
      <alignment horizontal="center" vertical="center" wrapText="1"/>
    </xf>
    <xf numFmtId="174" fontId="14" fillId="0" borderId="22" xfId="9" applyNumberFormat="1" applyFont="1" applyFill="1" applyBorder="1" applyAlignment="1">
      <alignment horizontal="center" vertical="center"/>
    </xf>
    <xf numFmtId="0" fontId="64" fillId="0" borderId="137" xfId="0" applyFont="1" applyBorder="1" applyAlignment="1">
      <alignment horizontal="center" vertical="center" textRotation="255"/>
    </xf>
    <xf numFmtId="0" fontId="174" fillId="0" borderId="0" xfId="0" applyFont="1" applyAlignment="1">
      <alignment horizontal="left" vertical="center"/>
    </xf>
    <xf numFmtId="172" fontId="174" fillId="0" borderId="0" xfId="9" applyNumberFormat="1" applyFont="1" applyFill="1" applyBorder="1" applyAlignment="1">
      <alignment horizontal="left" vertical="center"/>
    </xf>
    <xf numFmtId="165" fontId="127" fillId="0" borderId="135" xfId="21" applyFont="1" applyFill="1" applyBorder="1" applyAlignment="1">
      <alignment horizontal="center" vertical="center" wrapText="1"/>
    </xf>
    <xf numFmtId="172" fontId="28" fillId="0" borderId="0" xfId="9" applyNumberFormat="1" applyFont="1" applyFill="1" applyAlignment="1">
      <alignment horizontal="center" vertical="center"/>
    </xf>
    <xf numFmtId="172" fontId="31" fillId="0" borderId="0" xfId="1" applyNumberFormat="1" applyFont="1" applyAlignment="1">
      <alignment horizontal="center" vertical="center"/>
    </xf>
    <xf numFmtId="166" fontId="14" fillId="0" borderId="130" xfId="1162" applyFont="1" applyFill="1" applyBorder="1" applyAlignment="1">
      <alignment horizontal="center" vertical="center"/>
    </xf>
    <xf numFmtId="166" fontId="16" fillId="0" borderId="0" xfId="9" applyFont="1" applyFill="1" applyBorder="1" applyAlignment="1">
      <alignment horizontal="center" vertical="center"/>
    </xf>
    <xf numFmtId="3" fontId="0" fillId="0" borderId="130" xfId="0" applyNumberFormat="1" applyBorder="1" applyAlignment="1">
      <alignment horizontal="left"/>
    </xf>
    <xf numFmtId="0" fontId="16" fillId="9" borderId="130" xfId="0" applyFont="1" applyFill="1" applyBorder="1" applyAlignment="1">
      <alignment horizontal="center" vertical="center"/>
    </xf>
    <xf numFmtId="172" fontId="16" fillId="9" borderId="129" xfId="9" applyNumberFormat="1" applyFont="1" applyFill="1" applyBorder="1" applyAlignment="1">
      <alignment horizontal="center" vertical="center"/>
    </xf>
    <xf numFmtId="0" fontId="16" fillId="9" borderId="114" xfId="0" applyFont="1" applyFill="1" applyBorder="1" applyAlignment="1">
      <alignment horizontal="center" vertical="center"/>
    </xf>
    <xf numFmtId="0" fontId="16" fillId="9" borderId="20" xfId="0" applyFont="1" applyFill="1" applyBorder="1" applyAlignment="1">
      <alignment horizontal="center" vertical="center"/>
    </xf>
    <xf numFmtId="172" fontId="16" fillId="9" borderId="21" xfId="9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27" fillId="0" borderId="0" xfId="9" applyFont="1" applyFill="1" applyAlignment="1">
      <alignment vertical="center"/>
    </xf>
    <xf numFmtId="166" fontId="34" fillId="0" borderId="27" xfId="9" applyFont="1" applyFill="1" applyBorder="1" applyAlignment="1">
      <alignment horizontal="center" vertical="center"/>
    </xf>
    <xf numFmtId="0" fontId="178" fillId="0" borderId="0" xfId="1" applyFont="1" applyAlignment="1">
      <alignment vertical="center"/>
    </xf>
    <xf numFmtId="172" fontId="178" fillId="0" borderId="0" xfId="9" applyNumberFormat="1" applyFont="1" applyFill="1" applyAlignment="1">
      <alignment vertical="center"/>
    </xf>
    <xf numFmtId="172" fontId="178" fillId="0" borderId="0" xfId="9" applyNumberFormat="1" applyFont="1" applyFill="1" applyAlignment="1">
      <alignment horizontal="center" vertical="center"/>
    </xf>
    <xf numFmtId="165" fontId="178" fillId="0" borderId="0" xfId="21" applyFont="1" applyFill="1" applyAlignment="1">
      <alignment vertical="center"/>
    </xf>
    <xf numFmtId="0" fontId="179" fillId="0" borderId="0" xfId="1" applyFont="1" applyAlignment="1">
      <alignment vertical="center"/>
    </xf>
    <xf numFmtId="0" fontId="180" fillId="0" borderId="0" xfId="1" applyFont="1" applyAlignment="1">
      <alignment vertical="center" textRotation="90"/>
    </xf>
    <xf numFmtId="0" fontId="181" fillId="0" borderId="0" xfId="1" applyFont="1" applyAlignment="1">
      <alignment vertical="center"/>
    </xf>
    <xf numFmtId="0" fontId="180" fillId="0" borderId="0" xfId="1" applyFont="1" applyAlignment="1">
      <alignment vertical="center"/>
    </xf>
    <xf numFmtId="172" fontId="179" fillId="0" borderId="0" xfId="9" applyNumberFormat="1" applyFont="1" applyFill="1" applyAlignment="1">
      <alignment vertical="center"/>
    </xf>
    <xf numFmtId="165" fontId="179" fillId="0" borderId="0" xfId="1" applyNumberFormat="1" applyFont="1" applyAlignment="1">
      <alignment vertical="center"/>
    </xf>
    <xf numFmtId="0" fontId="179" fillId="0" borderId="0" xfId="1" applyFont="1" applyAlignment="1">
      <alignment horizontal="right" vertical="center"/>
    </xf>
    <xf numFmtId="172" fontId="179" fillId="0" borderId="0" xfId="1" applyNumberFormat="1" applyFont="1" applyAlignment="1">
      <alignment vertical="center"/>
    </xf>
    <xf numFmtId="172" fontId="179" fillId="0" borderId="0" xfId="9" applyNumberFormat="1" applyFont="1" applyFill="1" applyAlignment="1">
      <alignment horizontal="center" vertical="center"/>
    </xf>
    <xf numFmtId="165" fontId="179" fillId="0" borderId="0" xfId="21" applyFont="1" applyFill="1" applyAlignment="1">
      <alignment vertical="center"/>
    </xf>
    <xf numFmtId="0" fontId="182" fillId="0" borderId="0" xfId="1" applyFont="1" applyAlignment="1">
      <alignment horizontal="center" vertical="center" textRotation="90"/>
    </xf>
    <xf numFmtId="0" fontId="183" fillId="0" borderId="0" xfId="1" applyFont="1" applyAlignment="1">
      <alignment horizontal="center" vertical="center"/>
    </xf>
    <xf numFmtId="0" fontId="184" fillId="0" borderId="0" xfId="1" applyFont="1" applyAlignment="1">
      <alignment horizontal="center" vertical="center"/>
    </xf>
    <xf numFmtId="172" fontId="184" fillId="0" borderId="0" xfId="9" applyNumberFormat="1" applyFont="1" applyFill="1" applyAlignment="1">
      <alignment horizontal="center" vertical="center"/>
    </xf>
    <xf numFmtId="0" fontId="184" fillId="0" borderId="0" xfId="1" applyFont="1" applyAlignment="1">
      <alignment horizontal="right" vertical="center"/>
    </xf>
    <xf numFmtId="0" fontId="181" fillId="0" borderId="2" xfId="1" applyFont="1" applyBorder="1" applyAlignment="1">
      <alignment vertical="center"/>
    </xf>
    <xf numFmtId="0" fontId="180" fillId="0" borderId="2" xfId="1" applyFont="1" applyBorder="1" applyAlignment="1">
      <alignment vertical="center"/>
    </xf>
    <xf numFmtId="172" fontId="180" fillId="0" borderId="2" xfId="9" applyNumberFormat="1" applyFont="1" applyFill="1" applyBorder="1" applyAlignment="1">
      <alignment vertical="center"/>
    </xf>
    <xf numFmtId="0" fontId="180" fillId="0" borderId="7" xfId="1" applyFont="1" applyBorder="1" applyAlignment="1">
      <alignment horizontal="center" vertical="center"/>
    </xf>
    <xf numFmtId="0" fontId="180" fillId="0" borderId="7" xfId="1" applyFont="1" applyBorder="1" applyAlignment="1">
      <alignment vertical="center"/>
    </xf>
    <xf numFmtId="172" fontId="180" fillId="0" borderId="0" xfId="9" applyNumberFormat="1" applyFont="1" applyFill="1" applyAlignment="1">
      <alignment vertical="center"/>
    </xf>
    <xf numFmtId="172" fontId="180" fillId="0" borderId="0" xfId="9" applyNumberFormat="1" applyFont="1" applyFill="1" applyAlignment="1">
      <alignment horizontal="center" vertical="center"/>
    </xf>
    <xf numFmtId="165" fontId="180" fillId="0" borderId="0" xfId="21" applyFont="1" applyFill="1" applyAlignment="1">
      <alignment vertical="center"/>
    </xf>
    <xf numFmtId="0" fontId="181" fillId="0" borderId="10" xfId="1" applyFont="1" applyBorder="1" applyAlignment="1">
      <alignment horizontal="center" vertical="center"/>
    </xf>
    <xf numFmtId="0" fontId="180" fillId="0" borderId="10" xfId="1" applyFont="1" applyBorder="1" applyAlignment="1">
      <alignment horizontal="center" vertical="center"/>
    </xf>
    <xf numFmtId="172" fontId="180" fillId="0" borderId="10" xfId="9" applyNumberFormat="1" applyFont="1" applyFill="1" applyBorder="1" applyAlignment="1">
      <alignment horizontal="center" vertical="center"/>
    </xf>
    <xf numFmtId="0" fontId="180" fillId="0" borderId="14" xfId="1" applyFont="1" applyBorder="1" applyAlignment="1">
      <alignment horizontal="center" vertical="center"/>
    </xf>
    <xf numFmtId="0" fontId="179" fillId="0" borderId="10" xfId="1" applyFont="1" applyBorder="1" applyAlignment="1">
      <alignment horizontal="center" vertical="center"/>
    </xf>
    <xf numFmtId="172" fontId="180" fillId="0" borderId="0" xfId="9" applyNumberFormat="1" applyFont="1" applyFill="1" applyBorder="1" applyAlignment="1">
      <alignment horizontal="center" vertical="center"/>
    </xf>
    <xf numFmtId="0" fontId="180" fillId="0" borderId="133" xfId="1" applyFont="1" applyBorder="1" applyAlignment="1">
      <alignment horizontal="center" vertical="center" wrapText="1"/>
    </xf>
    <xf numFmtId="0" fontId="186" fillId="0" borderId="133" xfId="1" applyFont="1" applyBorder="1" applyAlignment="1">
      <alignment horizontal="center" vertical="center" wrapText="1"/>
    </xf>
    <xf numFmtId="172" fontId="180" fillId="0" borderId="0" xfId="9" applyNumberFormat="1" applyFont="1" applyFill="1" applyBorder="1" applyAlignment="1">
      <alignment vertical="center"/>
    </xf>
    <xf numFmtId="0" fontId="181" fillId="0" borderId="111" xfId="1" applyFont="1" applyBorder="1" applyAlignment="1">
      <alignment horizontal="center" vertical="center"/>
    </xf>
    <xf numFmtId="0" fontId="180" fillId="0" borderId="111" xfId="1" applyFont="1" applyBorder="1" applyAlignment="1">
      <alignment horizontal="center" vertical="center"/>
    </xf>
    <xf numFmtId="0" fontId="180" fillId="0" borderId="132" xfId="1" applyFont="1" applyBorder="1" applyAlignment="1">
      <alignment horizontal="center" vertical="center"/>
    </xf>
    <xf numFmtId="172" fontId="180" fillId="0" borderId="38" xfId="9" applyNumberFormat="1" applyFont="1" applyFill="1" applyBorder="1" applyAlignment="1">
      <alignment horizontal="center" vertical="center"/>
    </xf>
    <xf numFmtId="0" fontId="180" fillId="0" borderId="38" xfId="1" applyFont="1" applyBorder="1" applyAlignment="1">
      <alignment horizontal="center" vertical="center"/>
    </xf>
    <xf numFmtId="0" fontId="180" fillId="0" borderId="51" xfId="1" applyFont="1" applyBorder="1" applyAlignment="1">
      <alignment horizontal="center" vertical="center"/>
    </xf>
    <xf numFmtId="49" fontId="178" fillId="0" borderId="37" xfId="2" applyNumberFormat="1" applyFont="1" applyFill="1" applyBorder="1" applyAlignment="1">
      <alignment horizontal="center" vertical="center" wrapText="1"/>
    </xf>
    <xf numFmtId="172" fontId="178" fillId="0" borderId="20" xfId="2" applyNumberFormat="1" applyFont="1" applyFill="1" applyBorder="1" applyAlignment="1">
      <alignment horizontal="center" vertical="center" wrapText="1"/>
    </xf>
    <xf numFmtId="172" fontId="182" fillId="0" borderId="20" xfId="2" applyNumberFormat="1" applyFont="1" applyFill="1" applyBorder="1" applyAlignment="1">
      <alignment horizontal="center" vertical="center" textRotation="90"/>
    </xf>
    <xf numFmtId="172" fontId="181" fillId="0" borderId="20" xfId="2" applyNumberFormat="1" applyFont="1" applyFill="1" applyBorder="1" applyAlignment="1">
      <alignment horizontal="left" vertical="center"/>
    </xf>
    <xf numFmtId="0" fontId="178" fillId="0" borderId="0" xfId="0" applyFont="1"/>
    <xf numFmtId="49" fontId="178" fillId="0" borderId="131" xfId="2" applyNumberFormat="1" applyFont="1" applyFill="1" applyBorder="1" applyAlignment="1">
      <alignment horizontal="center" vertical="center" wrapText="1"/>
    </xf>
    <xf numFmtId="172" fontId="178" fillId="0" borderId="130" xfId="2" applyNumberFormat="1" applyFont="1" applyFill="1" applyBorder="1" applyAlignment="1">
      <alignment horizontal="center" vertical="center" wrapText="1"/>
    </xf>
    <xf numFmtId="172" fontId="182" fillId="0" borderId="130" xfId="2" applyNumberFormat="1" applyFont="1" applyFill="1" applyBorder="1" applyAlignment="1">
      <alignment horizontal="center" vertical="center" textRotation="90"/>
    </xf>
    <xf numFmtId="172" fontId="181" fillId="0" borderId="130" xfId="2" applyNumberFormat="1" applyFont="1" applyFill="1" applyBorder="1" applyAlignment="1">
      <alignment horizontal="left" vertical="center"/>
    </xf>
    <xf numFmtId="172" fontId="178" fillId="0" borderId="130" xfId="2" applyNumberFormat="1" applyFont="1" applyFill="1" applyBorder="1" applyAlignment="1">
      <alignment horizontal="center" vertical="center"/>
    </xf>
    <xf numFmtId="172" fontId="181" fillId="0" borderId="130" xfId="2" applyNumberFormat="1" applyFont="1" applyFill="1" applyBorder="1" applyAlignment="1">
      <alignment horizontal="left" vertical="center" wrapText="1"/>
    </xf>
    <xf numFmtId="172" fontId="182" fillId="0" borderId="130" xfId="0" applyNumberFormat="1" applyFont="1" applyBorder="1" applyAlignment="1">
      <alignment horizontal="center" vertical="center" textRotation="90"/>
    </xf>
    <xf numFmtId="172" fontId="178" fillId="0" borderId="130" xfId="9" applyNumberFormat="1" applyFont="1" applyFill="1" applyBorder="1" applyAlignment="1">
      <alignment horizontal="center" vertical="center"/>
    </xf>
    <xf numFmtId="172" fontId="178" fillId="0" borderId="132" xfId="2" applyNumberFormat="1" applyFont="1" applyFill="1" applyBorder="1" applyAlignment="1">
      <alignment horizontal="center" vertical="center" wrapText="1"/>
    </xf>
    <xf numFmtId="165" fontId="178" fillId="0" borderId="0" xfId="1" applyNumberFormat="1" applyFont="1" applyAlignment="1">
      <alignment vertical="center"/>
    </xf>
    <xf numFmtId="0" fontId="187" fillId="0" borderId="0" xfId="1" applyFont="1" applyAlignment="1">
      <alignment vertical="center"/>
    </xf>
    <xf numFmtId="49" fontId="181" fillId="0" borderId="0" xfId="2" applyNumberFormat="1" applyFont="1" applyFill="1" applyBorder="1" applyAlignment="1">
      <alignment horizontal="center" vertical="center" wrapText="1"/>
    </xf>
    <xf numFmtId="49" fontId="181" fillId="0" borderId="0" xfId="2" applyNumberFormat="1" applyFont="1" applyFill="1" applyBorder="1" applyAlignment="1">
      <alignment horizontal="center" vertical="center" textRotation="90"/>
    </xf>
    <xf numFmtId="172" fontId="181" fillId="0" borderId="0" xfId="2" applyNumberFormat="1" applyFont="1" applyFill="1" applyBorder="1" applyAlignment="1">
      <alignment horizontal="center" vertical="center" wrapText="1"/>
    </xf>
    <xf numFmtId="172" fontId="187" fillId="0" borderId="0" xfId="9" applyNumberFormat="1" applyFont="1" applyFill="1" applyAlignment="1">
      <alignment vertical="center"/>
    </xf>
    <xf numFmtId="172" fontId="181" fillId="0" borderId="0" xfId="9" applyNumberFormat="1" applyFont="1" applyFill="1" applyAlignment="1">
      <alignment horizontal="center" vertical="center"/>
    </xf>
    <xf numFmtId="172" fontId="181" fillId="0" borderId="0" xfId="9" applyNumberFormat="1" applyFont="1" applyFill="1" applyAlignment="1">
      <alignment vertical="center"/>
    </xf>
    <xf numFmtId="165" fontId="181" fillId="0" borderId="0" xfId="21" applyFont="1" applyFill="1" applyAlignment="1">
      <alignment vertical="center"/>
    </xf>
    <xf numFmtId="173" fontId="179" fillId="0" borderId="0" xfId="2" applyNumberFormat="1" applyFont="1" applyFill="1" applyBorder="1" applyAlignment="1">
      <alignment horizontal="right" vertical="center"/>
    </xf>
    <xf numFmtId="172" fontId="180" fillId="0" borderId="0" xfId="2" applyNumberFormat="1" applyFont="1" applyFill="1" applyBorder="1" applyAlignment="1">
      <alignment horizontal="center" vertical="center" textRotation="90"/>
    </xf>
    <xf numFmtId="172" fontId="181" fillId="0" borderId="0" xfId="2" applyNumberFormat="1" applyFont="1" applyFill="1" applyBorder="1" applyAlignment="1">
      <alignment horizontal="left" vertical="center"/>
    </xf>
    <xf numFmtId="172" fontId="179" fillId="0" borderId="0" xfId="2" applyNumberFormat="1" applyFont="1" applyFill="1" applyBorder="1" applyAlignment="1">
      <alignment horizontal="right" vertical="center"/>
    </xf>
    <xf numFmtId="173" fontId="179" fillId="0" borderId="0" xfId="1" applyNumberFormat="1" applyFont="1" applyAlignment="1">
      <alignment vertical="center"/>
    </xf>
    <xf numFmtId="173" fontId="179" fillId="0" borderId="0" xfId="1" applyNumberFormat="1" applyFont="1" applyAlignment="1">
      <alignment horizontal="center" vertical="center"/>
    </xf>
    <xf numFmtId="0" fontId="180" fillId="0" borderId="0" xfId="1" applyFont="1" applyAlignment="1">
      <alignment horizontal="center" vertical="center" textRotation="90"/>
    </xf>
    <xf numFmtId="172" fontId="179" fillId="0" borderId="0" xfId="9" applyNumberFormat="1" applyFont="1" applyFill="1" applyBorder="1" applyAlignment="1">
      <alignment horizontal="right" vertical="center"/>
    </xf>
    <xf numFmtId="0" fontId="179" fillId="0" borderId="0" xfId="1" quotePrefix="1" applyFont="1" applyAlignment="1">
      <alignment horizontal="left" vertical="center"/>
    </xf>
    <xf numFmtId="0" fontId="181" fillId="0" borderId="0" xfId="1" applyFont="1" applyAlignment="1">
      <alignment horizontal="center" vertical="center"/>
    </xf>
    <xf numFmtId="172" fontId="178" fillId="0" borderId="0" xfId="9" applyNumberFormat="1" applyFont="1" applyFill="1" applyBorder="1" applyAlignment="1">
      <alignment horizontal="right" vertical="center"/>
    </xf>
    <xf numFmtId="172" fontId="178" fillId="0" borderId="0" xfId="2" applyNumberFormat="1" applyFont="1" applyFill="1" applyBorder="1" applyAlignment="1">
      <alignment horizontal="right" vertical="center"/>
    </xf>
    <xf numFmtId="172" fontId="178" fillId="0" borderId="0" xfId="1" applyNumberFormat="1" applyFont="1" applyAlignment="1">
      <alignment vertical="center"/>
    </xf>
    <xf numFmtId="172" fontId="178" fillId="0" borderId="0" xfId="2" applyNumberFormat="1" applyFont="1" applyFill="1" applyBorder="1" applyAlignment="1">
      <alignment horizontal="center" vertical="center"/>
    </xf>
    <xf numFmtId="173" fontId="178" fillId="0" borderId="0" xfId="1" applyNumberFormat="1" applyFont="1" applyAlignment="1">
      <alignment vertical="center"/>
    </xf>
    <xf numFmtId="0" fontId="178" fillId="0" borderId="0" xfId="1" applyFont="1" applyAlignment="1">
      <alignment horizontal="right" vertical="center"/>
    </xf>
    <xf numFmtId="173" fontId="178" fillId="0" borderId="0" xfId="1" applyNumberFormat="1" applyFont="1" applyAlignment="1">
      <alignment horizontal="center" vertical="center"/>
    </xf>
    <xf numFmtId="0" fontId="182" fillId="0" borderId="0" xfId="1" applyFont="1" applyAlignment="1">
      <alignment vertical="center"/>
    </xf>
    <xf numFmtId="166" fontId="178" fillId="0" borderId="0" xfId="1" applyNumberFormat="1" applyFont="1" applyAlignment="1">
      <alignment vertical="center"/>
    </xf>
    <xf numFmtId="0" fontId="178" fillId="0" borderId="0" xfId="1" applyFont="1" applyAlignment="1">
      <alignment horizontal="center" vertical="center" textRotation="90"/>
    </xf>
    <xf numFmtId="172" fontId="179" fillId="0" borderId="0" xfId="2" applyNumberFormat="1" applyFont="1" applyFill="1" applyBorder="1" applyAlignment="1">
      <alignment vertical="center"/>
    </xf>
    <xf numFmtId="0" fontId="177" fillId="0" borderId="0" xfId="2" applyNumberFormat="1" applyFont="1" applyFill="1" applyBorder="1" applyAlignment="1">
      <alignment vertical="center"/>
    </xf>
    <xf numFmtId="172" fontId="177" fillId="0" borderId="0" xfId="2" applyNumberFormat="1" applyFont="1" applyFill="1" applyBorder="1" applyAlignment="1">
      <alignment vertical="center"/>
    </xf>
    <xf numFmtId="174" fontId="179" fillId="0" borderId="0" xfId="2" applyNumberFormat="1" applyFont="1" applyFill="1" applyBorder="1" applyAlignment="1">
      <alignment vertical="center"/>
    </xf>
    <xf numFmtId="172" fontId="181" fillId="0" borderId="0" xfId="2" applyNumberFormat="1" applyFont="1" applyFill="1" applyBorder="1" applyAlignment="1">
      <alignment vertical="center"/>
    </xf>
    <xf numFmtId="172" fontId="184" fillId="0" borderId="0" xfId="1" applyNumberFormat="1" applyFont="1" applyAlignment="1">
      <alignment horizontal="center" vertical="center"/>
    </xf>
    <xf numFmtId="0" fontId="179" fillId="0" borderId="2" xfId="1" applyFont="1" applyBorder="1" applyAlignment="1">
      <alignment vertical="center"/>
    </xf>
    <xf numFmtId="172" fontId="179" fillId="0" borderId="2" xfId="9" applyNumberFormat="1" applyFont="1" applyFill="1" applyBorder="1" applyAlignment="1">
      <alignment vertical="center"/>
    </xf>
    <xf numFmtId="0" fontId="179" fillId="0" borderId="7" xfId="1" applyFont="1" applyBorder="1" applyAlignment="1">
      <alignment horizontal="center" vertical="center"/>
    </xf>
    <xf numFmtId="172" fontId="179" fillId="0" borderId="10" xfId="9" applyNumberFormat="1" applyFont="1" applyFill="1" applyBorder="1" applyAlignment="1">
      <alignment horizontal="center" vertical="center"/>
    </xf>
    <xf numFmtId="0" fontId="179" fillId="0" borderId="14" xfId="1" applyFont="1" applyBorder="1" applyAlignment="1">
      <alignment horizontal="center" vertical="center"/>
    </xf>
    <xf numFmtId="0" fontId="180" fillId="0" borderId="36" xfId="1" applyFont="1" applyBorder="1" applyAlignment="1">
      <alignment horizontal="center" vertical="center"/>
    </xf>
    <xf numFmtId="0" fontId="180" fillId="0" borderId="115" xfId="1" applyFont="1" applyBorder="1" applyAlignment="1">
      <alignment horizontal="center" vertical="center" textRotation="90" wrapText="1"/>
    </xf>
    <xf numFmtId="0" fontId="180" fillId="0" borderId="115" xfId="1" applyFont="1" applyBorder="1" applyAlignment="1">
      <alignment vertical="center" textRotation="90" wrapText="1"/>
    </xf>
    <xf numFmtId="0" fontId="181" fillId="0" borderId="17" xfId="1" applyFont="1" applyBorder="1" applyAlignment="1">
      <alignment horizontal="center" vertical="center"/>
    </xf>
    <xf numFmtId="0" fontId="180" fillId="0" borderId="17" xfId="1" applyFont="1" applyBorder="1" applyAlignment="1">
      <alignment horizontal="center" vertical="center"/>
    </xf>
    <xf numFmtId="0" fontId="180" fillId="0" borderId="23" xfId="1" applyFont="1" applyBorder="1" applyAlignment="1">
      <alignment horizontal="center" vertical="center"/>
    </xf>
    <xf numFmtId="0" fontId="182" fillId="0" borderId="20" xfId="2" applyNumberFormat="1" applyFont="1" applyFill="1" applyBorder="1" applyAlignment="1">
      <alignment horizontal="center" vertical="center" textRotation="90"/>
    </xf>
    <xf numFmtId="0" fontId="181" fillId="0" borderId="20" xfId="4" applyFont="1" applyFill="1" applyBorder="1" applyAlignment="1">
      <alignment horizontal="left" vertical="center" wrapText="1"/>
    </xf>
    <xf numFmtId="0" fontId="182" fillId="0" borderId="130" xfId="2" applyNumberFormat="1" applyFont="1" applyFill="1" applyBorder="1" applyAlignment="1">
      <alignment horizontal="center" vertical="center" textRotation="90"/>
    </xf>
    <xf numFmtId="0" fontId="181" fillId="0" borderId="130" xfId="4" applyFont="1" applyFill="1" applyBorder="1" applyAlignment="1">
      <alignment horizontal="left" vertical="center" wrapText="1"/>
    </xf>
    <xf numFmtId="0" fontId="182" fillId="0" borderId="130" xfId="2" applyNumberFormat="1" applyFont="1" applyFill="1" applyBorder="1" applyAlignment="1">
      <alignment horizontal="center" vertical="center" textRotation="90" wrapText="1"/>
    </xf>
    <xf numFmtId="172" fontId="181" fillId="0" borderId="130" xfId="4" applyNumberFormat="1" applyFont="1" applyFill="1" applyBorder="1" applyAlignment="1">
      <alignment horizontal="left" vertical="center" wrapText="1"/>
    </xf>
    <xf numFmtId="172" fontId="182" fillId="0" borderId="132" xfId="0" applyNumberFormat="1" applyFont="1" applyBorder="1" applyAlignment="1">
      <alignment horizontal="center" vertical="center" textRotation="90"/>
    </xf>
    <xf numFmtId="0" fontId="181" fillId="0" borderId="132" xfId="4" applyFont="1" applyFill="1" applyBorder="1" applyAlignment="1">
      <alignment horizontal="left" vertical="center" wrapText="1"/>
    </xf>
    <xf numFmtId="173" fontId="178" fillId="0" borderId="0" xfId="2" applyNumberFormat="1" applyFont="1" applyFill="1" applyBorder="1" applyAlignment="1">
      <alignment horizontal="right" vertical="center"/>
    </xf>
    <xf numFmtId="171" fontId="181" fillId="0" borderId="0" xfId="4" applyNumberFormat="1" applyFont="1" applyFill="1" applyBorder="1" applyAlignment="1">
      <alignment horizontal="center" vertical="center"/>
    </xf>
    <xf numFmtId="171" fontId="181" fillId="0" borderId="0" xfId="4" applyNumberFormat="1" applyFont="1" applyFill="1" applyBorder="1" applyAlignment="1">
      <alignment horizontal="center" vertical="center" textRotation="90"/>
    </xf>
    <xf numFmtId="173" fontId="181" fillId="0" borderId="0" xfId="2" applyNumberFormat="1" applyFont="1" applyFill="1" applyBorder="1" applyAlignment="1">
      <alignment horizontal="right" vertical="center"/>
    </xf>
    <xf numFmtId="172" fontId="181" fillId="0" borderId="0" xfId="9" applyNumberFormat="1" applyFont="1" applyFill="1" applyBorder="1" applyAlignment="1">
      <alignment horizontal="right" vertical="center"/>
    </xf>
    <xf numFmtId="37" fontId="181" fillId="0" borderId="0" xfId="2" applyNumberFormat="1" applyFont="1" applyFill="1" applyBorder="1" applyAlignment="1">
      <alignment horizontal="center" vertical="center"/>
    </xf>
    <xf numFmtId="172" fontId="179" fillId="0" borderId="0" xfId="2" applyNumberFormat="1" applyFont="1" applyFill="1" applyBorder="1" applyAlignment="1">
      <alignment horizontal="center" vertical="center" wrapText="1"/>
    </xf>
    <xf numFmtId="172" fontId="179" fillId="0" borderId="0" xfId="9" applyNumberFormat="1" applyFont="1" applyFill="1" applyBorder="1" applyAlignment="1">
      <alignment horizontal="center" vertical="center" wrapText="1"/>
    </xf>
    <xf numFmtId="172" fontId="179" fillId="0" borderId="0" xfId="2" applyNumberFormat="1" applyFont="1" applyFill="1" applyBorder="1" applyAlignment="1">
      <alignment horizontal="right" vertical="center" wrapText="1"/>
    </xf>
    <xf numFmtId="172" fontId="178" fillId="0" borderId="0" xfId="2" applyNumberFormat="1" applyFont="1" applyFill="1" applyBorder="1" applyAlignment="1">
      <alignment horizontal="center" vertical="center" wrapText="1"/>
    </xf>
    <xf numFmtId="166" fontId="178" fillId="0" borderId="0" xfId="2" applyFont="1" applyFill="1" applyBorder="1" applyAlignment="1">
      <alignment horizontal="center" vertical="center" wrapText="1"/>
    </xf>
    <xf numFmtId="0" fontId="181" fillId="0" borderId="0" xfId="1" applyFont="1" applyAlignment="1">
      <alignment horizontal="center" vertical="center" textRotation="90"/>
    </xf>
    <xf numFmtId="172" fontId="179" fillId="0" borderId="0" xfId="1" applyNumberFormat="1" applyFont="1" applyAlignment="1">
      <alignment horizontal="center" vertical="center"/>
    </xf>
    <xf numFmtId="172" fontId="177" fillId="0" borderId="0" xfId="2" applyNumberFormat="1" applyFont="1" applyFill="1" applyBorder="1" applyAlignment="1">
      <alignment horizontal="right" vertical="center"/>
    </xf>
    <xf numFmtId="0" fontId="180" fillId="0" borderId="0" xfId="1" applyFont="1" applyAlignment="1">
      <alignment horizontal="center" vertical="center"/>
    </xf>
    <xf numFmtId="0" fontId="181" fillId="0" borderId="7" xfId="1" applyFont="1" applyBorder="1" applyAlignment="1">
      <alignment vertical="center"/>
    </xf>
    <xf numFmtId="0" fontId="186" fillId="0" borderId="7" xfId="1" applyFont="1" applyBorder="1" applyAlignment="1">
      <alignment vertical="center"/>
    </xf>
    <xf numFmtId="172" fontId="186" fillId="0" borderId="7" xfId="9" applyNumberFormat="1" applyFont="1" applyFill="1" applyBorder="1" applyAlignment="1">
      <alignment vertical="center"/>
    </xf>
    <xf numFmtId="0" fontId="186" fillId="0" borderId="7" xfId="1" applyFont="1" applyBorder="1" applyAlignment="1">
      <alignment horizontal="center" vertical="center"/>
    </xf>
    <xf numFmtId="0" fontId="186" fillId="0" borderId="0" xfId="1" applyFont="1" applyAlignment="1">
      <alignment vertical="center"/>
    </xf>
    <xf numFmtId="172" fontId="186" fillId="0" borderId="0" xfId="9" applyNumberFormat="1" applyFont="1" applyFill="1" applyAlignment="1">
      <alignment vertical="center"/>
    </xf>
    <xf numFmtId="172" fontId="186" fillId="0" borderId="0" xfId="9" applyNumberFormat="1" applyFont="1" applyFill="1" applyAlignment="1">
      <alignment horizontal="center" vertical="center"/>
    </xf>
    <xf numFmtId="165" fontId="186" fillId="0" borderId="0" xfId="21" applyFont="1" applyFill="1" applyAlignment="1">
      <alignment vertical="center"/>
    </xf>
    <xf numFmtId="0" fontId="181" fillId="0" borderId="14" xfId="1" applyFont="1" applyBorder="1" applyAlignment="1">
      <alignment horizontal="center" vertical="center"/>
    </xf>
    <xf numFmtId="172" fontId="186" fillId="0" borderId="14" xfId="9" applyNumberFormat="1" applyFont="1" applyFill="1" applyBorder="1" applyAlignment="1">
      <alignment horizontal="center" vertical="center"/>
    </xf>
    <xf numFmtId="0" fontId="186" fillId="0" borderId="14" xfId="1" applyFont="1" applyBorder="1" applyAlignment="1">
      <alignment vertical="center" textRotation="90" wrapText="1"/>
    </xf>
    <xf numFmtId="0" fontId="186" fillId="0" borderId="53" xfId="1" applyFont="1" applyBorder="1" applyAlignment="1">
      <alignment vertical="center" textRotation="90" wrapText="1"/>
    </xf>
    <xf numFmtId="172" fontId="186" fillId="0" borderId="133" xfId="9" applyNumberFormat="1" applyFont="1" applyFill="1" applyBorder="1" applyAlignment="1">
      <alignment horizontal="center" vertical="center"/>
    </xf>
    <xf numFmtId="0" fontId="186" fillId="0" borderId="133" xfId="1" applyFont="1" applyBorder="1" applyAlignment="1">
      <alignment horizontal="right" vertical="center"/>
    </xf>
    <xf numFmtId="49" fontId="187" fillId="0" borderId="37" xfId="2" applyNumberFormat="1" applyFont="1" applyFill="1" applyBorder="1" applyAlignment="1">
      <alignment horizontal="center" vertical="center" wrapText="1"/>
    </xf>
    <xf numFmtId="172" fontId="178" fillId="0" borderId="20" xfId="2" applyNumberFormat="1" applyFont="1" applyFill="1" applyBorder="1" applyAlignment="1">
      <alignment horizontal="center" vertical="center"/>
    </xf>
    <xf numFmtId="171" fontId="181" fillId="0" borderId="20" xfId="4" applyNumberFormat="1" applyFont="1" applyFill="1" applyBorder="1" applyAlignment="1">
      <alignment horizontal="left" vertical="center" wrapText="1"/>
    </xf>
    <xf numFmtId="37" fontId="187" fillId="0" borderId="131" xfId="2" applyNumberFormat="1" applyFont="1" applyFill="1" applyBorder="1" applyAlignment="1">
      <alignment horizontal="center" vertical="center" wrapText="1"/>
    </xf>
    <xf numFmtId="41" fontId="178" fillId="0" borderId="0" xfId="325" applyFont="1" applyFill="1" applyAlignment="1">
      <alignment vertical="center"/>
    </xf>
    <xf numFmtId="172" fontId="181" fillId="0" borderId="130" xfId="2" applyNumberFormat="1" applyFont="1" applyFill="1" applyBorder="1" applyAlignment="1">
      <alignment horizontal="left" vertical="top" wrapText="1"/>
    </xf>
    <xf numFmtId="172" fontId="178" fillId="0" borderId="133" xfId="2" applyNumberFormat="1" applyFont="1" applyFill="1" applyBorder="1" applyAlignment="1">
      <alignment horizontal="center" vertical="center" wrapText="1"/>
    </xf>
    <xf numFmtId="172" fontId="182" fillId="0" borderId="133" xfId="2" applyNumberFormat="1" applyFont="1" applyFill="1" applyBorder="1" applyAlignment="1">
      <alignment horizontal="center" vertical="center" textRotation="90"/>
    </xf>
    <xf numFmtId="172" fontId="181" fillId="0" borderId="133" xfId="2" applyNumberFormat="1" applyFont="1" applyFill="1" applyBorder="1" applyAlignment="1">
      <alignment horizontal="left" vertical="center" wrapText="1"/>
    </xf>
    <xf numFmtId="165" fontId="178" fillId="0" borderId="0" xfId="2" applyNumberFormat="1" applyFont="1" applyFill="1" applyBorder="1" applyAlignment="1">
      <alignment horizontal="right" vertical="center"/>
    </xf>
    <xf numFmtId="172" fontId="178" fillId="0" borderId="0" xfId="2" quotePrefix="1" applyNumberFormat="1" applyFont="1" applyFill="1" applyBorder="1" applyAlignment="1">
      <alignment horizontal="center" vertical="center"/>
    </xf>
    <xf numFmtId="165" fontId="178" fillId="0" borderId="0" xfId="2" applyNumberFormat="1" applyFont="1" applyFill="1" applyBorder="1" applyAlignment="1">
      <alignment horizontal="center" vertical="center" wrapText="1"/>
    </xf>
    <xf numFmtId="0" fontId="180" fillId="0" borderId="0" xfId="1" applyFont="1" applyAlignment="1">
      <alignment horizontal="left" vertical="center" textRotation="90"/>
    </xf>
    <xf numFmtId="0" fontId="182" fillId="0" borderId="0" xfId="1" applyFont="1" applyAlignment="1">
      <alignment horizontal="left" vertical="center" textRotation="90"/>
    </xf>
    <xf numFmtId="172" fontId="179" fillId="0" borderId="0" xfId="1" applyNumberFormat="1" applyFont="1" applyAlignment="1">
      <alignment horizontal="right" vertical="center"/>
    </xf>
    <xf numFmtId="172" fontId="177" fillId="0" borderId="0" xfId="9" applyNumberFormat="1" applyFont="1" applyFill="1" applyBorder="1" applyAlignment="1">
      <alignment horizontal="center" vertical="center"/>
    </xf>
    <xf numFmtId="0" fontId="182" fillId="0" borderId="0" xfId="1" applyFont="1" applyAlignment="1">
      <alignment horizontal="center" vertical="center"/>
    </xf>
    <xf numFmtId="0" fontId="186" fillId="0" borderId="0" xfId="1" applyFont="1" applyAlignment="1">
      <alignment horizontal="center" vertical="center"/>
    </xf>
    <xf numFmtId="165" fontId="186" fillId="0" borderId="0" xfId="21" applyFont="1" applyFill="1" applyAlignment="1">
      <alignment horizontal="center" vertical="center"/>
    </xf>
    <xf numFmtId="165" fontId="179" fillId="0" borderId="0" xfId="2" applyNumberFormat="1" applyFont="1" applyFill="1" applyBorder="1" applyAlignment="1">
      <alignment horizontal="right" vertical="center"/>
    </xf>
    <xf numFmtId="172" fontId="178" fillId="0" borderId="0" xfId="1" applyNumberFormat="1" applyFont="1" applyAlignment="1">
      <alignment horizontal="right" vertical="center"/>
    </xf>
    <xf numFmtId="0" fontId="181" fillId="0" borderId="0" xfId="1" quotePrefix="1" applyFont="1" applyAlignment="1">
      <alignment horizontal="left" vertical="center"/>
    </xf>
    <xf numFmtId="172" fontId="178" fillId="0" borderId="0" xfId="2" quotePrefix="1" applyNumberFormat="1" applyFont="1" applyFill="1" applyBorder="1" applyAlignment="1">
      <alignment horizontal="right" vertical="center"/>
    </xf>
    <xf numFmtId="0" fontId="187" fillId="0" borderId="0" xfId="1" applyFont="1" applyAlignment="1">
      <alignment horizontal="center" vertical="center"/>
    </xf>
    <xf numFmtId="0" fontId="187" fillId="0" borderId="0" xfId="1" applyFont="1" applyAlignment="1">
      <alignment horizontal="center" vertical="center" textRotation="90"/>
    </xf>
    <xf numFmtId="172" fontId="187" fillId="0" borderId="0" xfId="9" applyNumberFormat="1" applyFont="1" applyFill="1" applyAlignment="1">
      <alignment horizontal="center" vertical="center"/>
    </xf>
    <xf numFmtId="165" fontId="187" fillId="0" borderId="0" xfId="21" applyFont="1" applyFill="1" applyAlignment="1">
      <alignment vertical="center"/>
    </xf>
    <xf numFmtId="0" fontId="179" fillId="0" borderId="0" xfId="1" applyFont="1" applyAlignment="1">
      <alignment horizontal="left" vertical="center"/>
    </xf>
    <xf numFmtId="171" fontId="181" fillId="0" borderId="0" xfId="1" applyNumberFormat="1" applyFont="1" applyAlignment="1">
      <alignment vertical="center"/>
    </xf>
    <xf numFmtId="172" fontId="179" fillId="0" borderId="0" xfId="1" applyNumberFormat="1" applyFont="1" applyAlignment="1">
      <alignment horizontal="left" vertical="center"/>
    </xf>
    <xf numFmtId="171" fontId="179" fillId="0" borderId="0" xfId="1" applyNumberFormat="1" applyFont="1" applyAlignment="1">
      <alignment vertical="center"/>
    </xf>
    <xf numFmtId="172" fontId="189" fillId="0" borderId="0" xfId="1" applyNumberFormat="1" applyFont="1" applyAlignment="1">
      <alignment vertical="center"/>
    </xf>
    <xf numFmtId="172" fontId="189" fillId="0" borderId="0" xfId="1" applyNumberFormat="1" applyFont="1" applyAlignment="1">
      <alignment horizontal="center" vertical="center"/>
    </xf>
    <xf numFmtId="172" fontId="189" fillId="0" borderId="0" xfId="1" applyNumberFormat="1" applyFont="1" applyAlignment="1">
      <alignment vertical="center" textRotation="90"/>
    </xf>
    <xf numFmtId="172" fontId="181" fillId="0" borderId="0" xfId="1" applyNumberFormat="1" applyFont="1" applyAlignment="1">
      <alignment vertical="center"/>
    </xf>
    <xf numFmtId="172" fontId="189" fillId="0" borderId="0" xfId="9" applyNumberFormat="1" applyFont="1" applyFill="1" applyAlignment="1">
      <alignment vertical="center"/>
    </xf>
    <xf numFmtId="172" fontId="189" fillId="0" borderId="0" xfId="1" applyNumberFormat="1" applyFont="1" applyAlignment="1">
      <alignment horizontal="right" vertical="center"/>
    </xf>
    <xf numFmtId="0" fontId="189" fillId="0" borderId="0" xfId="1" applyFont="1" applyAlignment="1">
      <alignment vertical="center"/>
    </xf>
    <xf numFmtId="172" fontId="182" fillId="0" borderId="0" xfId="9" applyNumberFormat="1" applyFont="1" applyFill="1" applyAlignment="1">
      <alignment vertical="center"/>
    </xf>
    <xf numFmtId="165" fontId="182" fillId="0" borderId="0" xfId="1" applyNumberFormat="1" applyFont="1" applyAlignment="1">
      <alignment vertical="center"/>
    </xf>
    <xf numFmtId="165" fontId="182" fillId="0" borderId="0" xfId="21" applyFont="1" applyFill="1" applyAlignment="1">
      <alignment vertical="center"/>
    </xf>
    <xf numFmtId="41" fontId="182" fillId="0" borderId="0" xfId="1" applyNumberFormat="1" applyFont="1" applyAlignment="1">
      <alignment vertical="center"/>
    </xf>
    <xf numFmtId="172" fontId="182" fillId="0" borderId="0" xfId="9" applyNumberFormat="1" applyFont="1" applyFill="1" applyAlignment="1">
      <alignment horizontal="center" vertical="center"/>
    </xf>
    <xf numFmtId="0" fontId="187" fillId="0" borderId="0" xfId="0" applyFont="1" applyAlignment="1">
      <alignment horizontal="center" vertical="center"/>
    </xf>
    <xf numFmtId="0" fontId="187" fillId="0" borderId="0" xfId="0" applyFont="1" applyAlignment="1">
      <alignment vertical="center"/>
    </xf>
    <xf numFmtId="172" fontId="182" fillId="0" borderId="0" xfId="1" applyNumberFormat="1" applyFont="1" applyAlignment="1">
      <alignment vertical="center"/>
    </xf>
    <xf numFmtId="172" fontId="187" fillId="0" borderId="0" xfId="1" applyNumberFormat="1" applyFont="1" applyAlignment="1">
      <alignment vertical="center"/>
    </xf>
    <xf numFmtId="172" fontId="185" fillId="0" borderId="0" xfId="9" applyNumberFormat="1" applyFont="1" applyFill="1" applyAlignment="1">
      <alignment horizontal="center" vertical="center"/>
    </xf>
    <xf numFmtId="172" fontId="180" fillId="0" borderId="132" xfId="9" applyNumberFormat="1" applyFont="1" applyFill="1" applyBorder="1" applyAlignment="1">
      <alignment horizontal="center" vertical="center"/>
    </xf>
    <xf numFmtId="172" fontId="182" fillId="0" borderId="20" xfId="9" applyNumberFormat="1" applyFont="1" applyFill="1" applyBorder="1" applyAlignment="1">
      <alignment horizontal="center" vertical="center" wrapText="1"/>
    </xf>
    <xf numFmtId="172" fontId="182" fillId="0" borderId="130" xfId="9" applyNumberFormat="1" applyFont="1" applyFill="1" applyBorder="1" applyAlignment="1">
      <alignment horizontal="center" vertical="center" wrapText="1"/>
    </xf>
    <xf numFmtId="172" fontId="182" fillId="0" borderId="0" xfId="9" applyNumberFormat="1" applyFont="1" applyFill="1" applyAlignment="1">
      <alignment horizontal="left" vertical="center"/>
    </xf>
    <xf numFmtId="172" fontId="180" fillId="0" borderId="23" xfId="9" applyNumberFormat="1" applyFont="1" applyFill="1" applyBorder="1" applyAlignment="1">
      <alignment horizontal="center" vertical="center"/>
    </xf>
    <xf numFmtId="172" fontId="182" fillId="0" borderId="7" xfId="9" applyNumberFormat="1" applyFont="1" applyFill="1" applyBorder="1" applyAlignment="1">
      <alignment horizontal="center" vertical="center" wrapText="1"/>
    </xf>
    <xf numFmtId="172" fontId="180" fillId="0" borderId="0" xfId="9" applyNumberFormat="1" applyFont="1" applyFill="1" applyBorder="1" applyAlignment="1">
      <alignment horizontal="center" vertical="center" wrapText="1"/>
    </xf>
    <xf numFmtId="172" fontId="182" fillId="0" borderId="0" xfId="9" applyNumberFormat="1" applyFont="1" applyFill="1" applyBorder="1" applyAlignment="1">
      <alignment horizontal="center" vertical="center" wrapText="1"/>
    </xf>
    <xf numFmtId="172" fontId="182" fillId="0" borderId="0" xfId="9" applyNumberFormat="1" applyFont="1" applyFill="1"/>
    <xf numFmtId="172" fontId="182" fillId="0" borderId="133" xfId="9" applyNumberFormat="1" applyFont="1" applyFill="1" applyBorder="1" applyAlignment="1">
      <alignment horizontal="center" vertical="center" wrapText="1"/>
    </xf>
    <xf numFmtId="172" fontId="181" fillId="0" borderId="53" xfId="2" applyNumberFormat="1" applyFont="1" applyFill="1" applyBorder="1" applyAlignment="1">
      <alignment horizontal="left" vertical="center" wrapText="1"/>
    </xf>
    <xf numFmtId="175" fontId="14" fillId="0" borderId="23" xfId="21" applyNumberFormat="1" applyFont="1" applyFill="1" applyBorder="1" applyAlignment="1">
      <alignment horizontal="center" vertical="center"/>
    </xf>
    <xf numFmtId="0" fontId="179" fillId="0" borderId="0" xfId="0" applyFont="1"/>
    <xf numFmtId="0" fontId="179" fillId="0" borderId="0" xfId="1" applyFont="1" applyAlignment="1">
      <alignment horizontal="center" vertical="center"/>
    </xf>
    <xf numFmtId="0" fontId="179" fillId="0" borderId="0" xfId="0" applyFont="1" applyAlignment="1">
      <alignment vertical="center"/>
    </xf>
    <xf numFmtId="0" fontId="178" fillId="0" borderId="0" xfId="0" applyFont="1" applyAlignment="1">
      <alignment vertical="center"/>
    </xf>
    <xf numFmtId="0" fontId="178" fillId="0" borderId="0" xfId="0" applyFont="1" applyAlignment="1">
      <alignment horizontal="center" vertical="center"/>
    </xf>
    <xf numFmtId="0" fontId="179" fillId="0" borderId="27" xfId="0" applyFont="1" applyBorder="1" applyAlignment="1">
      <alignment horizontal="center" vertical="center"/>
    </xf>
    <xf numFmtId="165" fontId="179" fillId="0" borderId="27" xfId="21" applyFont="1" applyFill="1" applyBorder="1" applyAlignment="1">
      <alignment horizontal="center" vertical="center" wrapText="1"/>
    </xf>
    <xf numFmtId="0" fontId="179" fillId="0" borderId="28" xfId="0" applyFont="1" applyBorder="1" applyAlignment="1">
      <alignment horizontal="center" vertical="center"/>
    </xf>
    <xf numFmtId="49" fontId="178" fillId="0" borderId="37" xfId="0" applyNumberFormat="1" applyFont="1" applyBorder="1" applyAlignment="1">
      <alignment horizontal="center" vertical="center"/>
    </xf>
    <xf numFmtId="49" fontId="178" fillId="0" borderId="20" xfId="2" quotePrefix="1" applyNumberFormat="1" applyFont="1" applyFill="1" applyBorder="1" applyAlignment="1">
      <alignment horizontal="center" vertical="center"/>
    </xf>
    <xf numFmtId="165" fontId="178" fillId="0" borderId="7" xfId="21" applyFont="1" applyFill="1" applyBorder="1" applyAlignment="1">
      <alignment horizontal="right" vertical="center"/>
    </xf>
    <xf numFmtId="172" fontId="178" fillId="0" borderId="20" xfId="9" applyNumberFormat="1" applyFont="1" applyFill="1" applyBorder="1" applyAlignment="1">
      <alignment vertical="center"/>
    </xf>
    <xf numFmtId="49" fontId="178" fillId="0" borderId="131" xfId="0" applyNumberFormat="1" applyFont="1" applyBorder="1" applyAlignment="1">
      <alignment horizontal="center" vertical="center"/>
    </xf>
    <xf numFmtId="49" fontId="178" fillId="0" borderId="130" xfId="2" quotePrefix="1" applyNumberFormat="1" applyFont="1" applyFill="1" applyBorder="1" applyAlignment="1">
      <alignment horizontal="center" vertical="center"/>
    </xf>
    <xf numFmtId="165" fontId="178" fillId="0" borderId="130" xfId="21" applyFont="1" applyFill="1" applyBorder="1" applyAlignment="1">
      <alignment horizontal="right" vertical="center"/>
    </xf>
    <xf numFmtId="172" fontId="178" fillId="0" borderId="130" xfId="9" applyNumberFormat="1" applyFont="1" applyFill="1" applyBorder="1" applyAlignment="1">
      <alignment vertical="center"/>
    </xf>
    <xf numFmtId="49" fontId="178" fillId="2" borderId="130" xfId="0" quotePrefix="1" applyNumberFormat="1" applyFont="1" applyFill="1" applyBorder="1" applyAlignment="1">
      <alignment horizontal="center" vertical="center"/>
    </xf>
    <xf numFmtId="172" fontId="178" fillId="2" borderId="130" xfId="1160" applyNumberFormat="1" applyFont="1" applyFill="1" applyBorder="1" applyAlignment="1">
      <alignment vertical="center"/>
    </xf>
    <xf numFmtId="0" fontId="178" fillId="2" borderId="0" xfId="0" applyFont="1" applyFill="1" applyAlignment="1">
      <alignment vertical="center"/>
    </xf>
    <xf numFmtId="49" fontId="178" fillId="2" borderId="0" xfId="0" applyNumberFormat="1" applyFont="1" applyFill="1" applyAlignment="1">
      <alignment vertical="center"/>
    </xf>
    <xf numFmtId="0" fontId="178" fillId="0" borderId="130" xfId="0" quotePrefix="1" applyFont="1" applyBorder="1" applyAlignment="1">
      <alignment horizontal="center" vertical="center"/>
    </xf>
    <xf numFmtId="49" fontId="178" fillId="0" borderId="130" xfId="0" quotePrefix="1" applyNumberFormat="1" applyFont="1" applyBorder="1" applyAlignment="1">
      <alignment horizontal="center" vertical="center"/>
    </xf>
    <xf numFmtId="49" fontId="178" fillId="0" borderId="130" xfId="4" quotePrefix="1" applyNumberFormat="1" applyFont="1" applyFill="1" applyBorder="1" applyAlignment="1">
      <alignment horizontal="center" vertical="center"/>
    </xf>
    <xf numFmtId="49" fontId="178" fillId="0" borderId="130" xfId="4" applyNumberFormat="1" applyFont="1" applyFill="1" applyBorder="1" applyAlignment="1">
      <alignment horizontal="center" vertical="center"/>
    </xf>
    <xf numFmtId="171" fontId="178" fillId="0" borderId="130" xfId="4" quotePrefix="1" applyNumberFormat="1" applyFont="1" applyFill="1" applyBorder="1" applyAlignment="1">
      <alignment horizontal="center" vertical="center"/>
    </xf>
    <xf numFmtId="171" fontId="178" fillId="0" borderId="130" xfId="4" applyNumberFormat="1" applyFont="1" applyFill="1" applyBorder="1" applyAlignment="1">
      <alignment horizontal="left" vertical="center"/>
    </xf>
    <xf numFmtId="0" fontId="178" fillId="0" borderId="130" xfId="2" quotePrefix="1" applyNumberFormat="1" applyFont="1" applyFill="1" applyBorder="1" applyAlignment="1">
      <alignment horizontal="center" vertical="center"/>
    </xf>
    <xf numFmtId="165" fontId="179" fillId="0" borderId="27" xfId="21" applyFont="1" applyFill="1" applyBorder="1" applyAlignment="1">
      <alignment vertical="center"/>
    </xf>
    <xf numFmtId="165" fontId="179" fillId="0" borderId="49" xfId="21" applyFont="1" applyFill="1" applyBorder="1" applyAlignment="1">
      <alignment vertical="center"/>
    </xf>
    <xf numFmtId="0" fontId="178" fillId="0" borderId="80" xfId="0" applyFont="1" applyBorder="1" applyAlignment="1">
      <alignment horizontal="center" vertical="center"/>
    </xf>
    <xf numFmtId="165" fontId="178" fillId="0" borderId="53" xfId="21" applyFont="1" applyFill="1" applyBorder="1" applyAlignment="1">
      <alignment horizontal="right" vertical="center"/>
    </xf>
    <xf numFmtId="172" fontId="178" fillId="0" borderId="53" xfId="9" applyNumberFormat="1" applyFont="1" applyFill="1" applyBorder="1" applyAlignment="1">
      <alignment horizontal="left" vertical="center"/>
    </xf>
    <xf numFmtId="49" fontId="178" fillId="0" borderId="130" xfId="2" applyNumberFormat="1" applyFont="1" applyFill="1" applyBorder="1" applyAlignment="1">
      <alignment horizontal="center" vertical="center"/>
    </xf>
    <xf numFmtId="172" fontId="178" fillId="0" borderId="130" xfId="9" applyNumberFormat="1" applyFont="1" applyFill="1" applyBorder="1" applyAlignment="1">
      <alignment horizontal="left" vertical="center"/>
    </xf>
    <xf numFmtId="0" fontId="178" fillId="0" borderId="130" xfId="0" applyFont="1" applyBorder="1" applyAlignment="1">
      <alignment horizontal="center" vertical="center"/>
    </xf>
    <xf numFmtId="0" fontId="178" fillId="0" borderId="133" xfId="0" applyFont="1" applyBorder="1" applyAlignment="1">
      <alignment horizontal="center" vertical="center"/>
    </xf>
    <xf numFmtId="165" fontId="178" fillId="0" borderId="14" xfId="21" applyFont="1" applyFill="1" applyBorder="1" applyAlignment="1">
      <alignment horizontal="right" vertical="center"/>
    </xf>
    <xf numFmtId="172" fontId="178" fillId="0" borderId="133" xfId="9" applyNumberFormat="1" applyFont="1" applyFill="1" applyBorder="1" applyAlignment="1">
      <alignment horizontal="left" vertical="center"/>
    </xf>
    <xf numFmtId="49" fontId="178" fillId="0" borderId="80" xfId="0" applyNumberFormat="1" applyFont="1" applyBorder="1" applyAlignment="1">
      <alignment horizontal="center" vertical="center"/>
    </xf>
    <xf numFmtId="49" fontId="178" fillId="0" borderId="53" xfId="0" quotePrefix="1" applyNumberFormat="1" applyFont="1" applyBorder="1" applyAlignment="1">
      <alignment horizontal="center" vertical="center"/>
    </xf>
    <xf numFmtId="172" fontId="178" fillId="0" borderId="14" xfId="9" applyNumberFormat="1" applyFont="1" applyFill="1" applyBorder="1" applyAlignment="1">
      <alignment vertical="center"/>
    </xf>
    <xf numFmtId="0" fontId="178" fillId="0" borderId="130" xfId="0" applyFont="1" applyBorder="1" applyAlignment="1">
      <alignment vertical="center"/>
    </xf>
    <xf numFmtId="0" fontId="178" fillId="0" borderId="133" xfId="0" quotePrefix="1" applyFont="1" applyBorder="1" applyAlignment="1">
      <alignment horizontal="center" vertical="center"/>
    </xf>
    <xf numFmtId="165" fontId="178" fillId="0" borderId="133" xfId="21" applyFont="1" applyFill="1" applyBorder="1" applyAlignment="1">
      <alignment horizontal="right" vertical="center"/>
    </xf>
    <xf numFmtId="172" fontId="178" fillId="0" borderId="133" xfId="9" applyNumberFormat="1" applyFont="1" applyFill="1" applyBorder="1" applyAlignment="1">
      <alignment vertical="center"/>
    </xf>
    <xf numFmtId="165" fontId="178" fillId="0" borderId="20" xfId="21" applyFont="1" applyFill="1" applyBorder="1" applyAlignment="1">
      <alignment horizontal="right" vertical="center"/>
    </xf>
    <xf numFmtId="0" fontId="178" fillId="0" borderId="131" xfId="0" applyFont="1" applyBorder="1" applyAlignment="1">
      <alignment horizontal="center" vertical="center"/>
    </xf>
    <xf numFmtId="0" fontId="178" fillId="0" borderId="132" xfId="0" quotePrefix="1" applyFont="1" applyBorder="1" applyAlignment="1">
      <alignment horizontal="center" vertical="center"/>
    </xf>
    <xf numFmtId="165" fontId="179" fillId="0" borderId="7" xfId="21" applyFont="1" applyFill="1" applyBorder="1" applyAlignment="1">
      <alignment vertical="center"/>
    </xf>
    <xf numFmtId="165" fontId="179" fillId="0" borderId="8" xfId="21" applyFont="1" applyFill="1" applyBorder="1" applyAlignment="1">
      <alignment vertical="center"/>
    </xf>
    <xf numFmtId="0" fontId="179" fillId="0" borderId="0" xfId="0" applyFont="1" applyAlignment="1">
      <alignment horizontal="center" vertical="center"/>
    </xf>
    <xf numFmtId="165" fontId="192" fillId="0" borderId="0" xfId="21" applyFont="1" applyFill="1" applyBorder="1" applyAlignment="1">
      <alignment vertical="center"/>
    </xf>
    <xf numFmtId="165" fontId="192" fillId="0" borderId="0" xfId="0" applyNumberFormat="1" applyFont="1" applyAlignment="1">
      <alignment vertical="center"/>
    </xf>
    <xf numFmtId="165" fontId="190" fillId="0" borderId="0" xfId="21" applyFont="1" applyFill="1" applyBorder="1" applyAlignment="1">
      <alignment vertical="center"/>
    </xf>
    <xf numFmtId="165" fontId="178" fillId="0" borderId="0" xfId="21" applyFont="1" applyFill="1" applyBorder="1" applyAlignment="1">
      <alignment vertical="center"/>
    </xf>
    <xf numFmtId="0" fontId="178" fillId="0" borderId="0" xfId="0" applyFont="1" applyAlignment="1">
      <alignment horizontal="left" vertical="center"/>
    </xf>
    <xf numFmtId="165" fontId="178" fillId="0" borderId="0" xfId="0" applyNumberFormat="1" applyFont="1" applyAlignment="1">
      <alignment vertical="center"/>
    </xf>
    <xf numFmtId="0" fontId="178" fillId="0" borderId="0" xfId="0" applyFont="1" applyAlignment="1">
      <alignment horizontal="center" vertical="top"/>
    </xf>
    <xf numFmtId="0" fontId="178" fillId="0" borderId="0" xfId="1" applyFont="1" applyAlignment="1">
      <alignment horizontal="center" vertical="top"/>
    </xf>
    <xf numFmtId="172" fontId="177" fillId="0" borderId="0" xfId="2" applyNumberFormat="1" applyFont="1" applyFill="1" applyBorder="1" applyAlignment="1"/>
    <xf numFmtId="0" fontId="177" fillId="0" borderId="0" xfId="0" applyFont="1"/>
    <xf numFmtId="166" fontId="192" fillId="0" borderId="0" xfId="9" applyFont="1" applyFill="1" applyAlignment="1">
      <alignment horizontal="center" vertical="center"/>
    </xf>
    <xf numFmtId="166" fontId="193" fillId="0" borderId="0" xfId="9" applyFont="1" applyFill="1" applyAlignment="1">
      <alignment horizontal="center" vertical="center"/>
    </xf>
    <xf numFmtId="172" fontId="190" fillId="0" borderId="0" xfId="1" applyNumberFormat="1" applyFont="1" applyAlignment="1">
      <alignment vertical="center"/>
    </xf>
    <xf numFmtId="172" fontId="190" fillId="0" borderId="0" xfId="9" applyNumberFormat="1" applyFont="1" applyFill="1" applyAlignment="1">
      <alignment vertical="center"/>
    </xf>
    <xf numFmtId="172" fontId="193" fillId="0" borderId="0" xfId="2" applyNumberFormat="1" applyFont="1" applyFill="1" applyBorder="1" applyAlignment="1">
      <alignment horizontal="center" vertical="center" wrapText="1"/>
    </xf>
    <xf numFmtId="173" fontId="192" fillId="0" borderId="0" xfId="2" applyNumberFormat="1" applyFont="1" applyFill="1" applyBorder="1" applyAlignment="1">
      <alignment horizontal="right" vertical="center"/>
    </xf>
    <xf numFmtId="172" fontId="193" fillId="0" borderId="0" xfId="9" applyNumberFormat="1" applyFont="1" applyFill="1" applyBorder="1" applyAlignment="1">
      <alignment horizontal="center" vertical="center" wrapText="1"/>
    </xf>
    <xf numFmtId="172" fontId="193" fillId="0" borderId="0" xfId="2" applyNumberFormat="1" applyFont="1" applyFill="1" applyBorder="1" applyAlignment="1">
      <alignment horizontal="right" vertical="center" wrapText="1"/>
    </xf>
    <xf numFmtId="172" fontId="192" fillId="0" borderId="0" xfId="9" applyNumberFormat="1" applyFont="1" applyFill="1" applyBorder="1" applyAlignment="1">
      <alignment horizontal="right" vertical="center"/>
    </xf>
    <xf numFmtId="0" fontId="190" fillId="0" borderId="0" xfId="1" applyFont="1" applyAlignment="1">
      <alignment vertical="center"/>
    </xf>
    <xf numFmtId="172" fontId="192" fillId="0" borderId="0" xfId="9" applyNumberFormat="1" applyFont="1" applyFill="1" applyAlignment="1">
      <alignment horizontal="center" vertical="center"/>
    </xf>
    <xf numFmtId="175" fontId="190" fillId="0" borderId="0" xfId="1" applyNumberFormat="1" applyFont="1" applyAlignment="1">
      <alignment vertical="center"/>
    </xf>
    <xf numFmtId="172" fontId="194" fillId="0" borderId="20" xfId="2" applyNumberFormat="1" applyFont="1" applyFill="1" applyBorder="1" applyAlignment="1">
      <alignment horizontal="center" vertical="center" wrapText="1"/>
    </xf>
    <xf numFmtId="172" fontId="194" fillId="0" borderId="130" xfId="2" applyNumberFormat="1" applyFont="1" applyFill="1" applyBorder="1" applyAlignment="1">
      <alignment horizontal="center" vertical="center" wrapText="1"/>
    </xf>
    <xf numFmtId="172" fontId="194" fillId="0" borderId="132" xfId="2" applyNumberFormat="1" applyFont="1" applyFill="1" applyBorder="1" applyAlignment="1">
      <alignment horizontal="center" vertical="center" wrapText="1"/>
    </xf>
    <xf numFmtId="173" fontId="193" fillId="0" borderId="0" xfId="2" applyNumberFormat="1" applyFont="1" applyFill="1" applyBorder="1" applyAlignment="1">
      <alignment horizontal="right" vertical="center"/>
    </xf>
    <xf numFmtId="172" fontId="190" fillId="0" borderId="0" xfId="2" applyNumberFormat="1" applyFont="1" applyFill="1" applyBorder="1" applyAlignment="1">
      <alignment horizontal="right" vertical="center"/>
    </xf>
    <xf numFmtId="172" fontId="192" fillId="0" borderId="0" xfId="2" applyNumberFormat="1" applyFont="1" applyFill="1" applyBorder="1" applyAlignment="1">
      <alignment horizontal="center" vertical="center" wrapText="1"/>
    </xf>
    <xf numFmtId="172" fontId="190" fillId="0" borderId="0" xfId="2" applyNumberFormat="1" applyFont="1" applyFill="1" applyBorder="1" applyAlignment="1">
      <alignment horizontal="center" vertical="center" wrapText="1"/>
    </xf>
    <xf numFmtId="173" fontId="195" fillId="0" borderId="0" xfId="2" applyNumberFormat="1" applyFont="1" applyFill="1" applyBorder="1" applyAlignment="1">
      <alignment horizontal="right" vertical="center"/>
    </xf>
    <xf numFmtId="172" fontId="192" fillId="0" borderId="0" xfId="1" applyNumberFormat="1" applyFont="1" applyAlignment="1">
      <alignment vertical="center"/>
    </xf>
    <xf numFmtId="0" fontId="192" fillId="0" borderId="0" xfId="1" applyFont="1" applyAlignment="1">
      <alignment horizontal="center" vertical="center"/>
    </xf>
    <xf numFmtId="175" fontId="192" fillId="0" borderId="0" xfId="1" applyNumberFormat="1" applyFont="1" applyAlignment="1">
      <alignment horizontal="center" vertical="center"/>
    </xf>
    <xf numFmtId="175" fontId="192" fillId="0" borderId="0" xfId="21" applyNumberFormat="1" applyFont="1" applyFill="1" applyAlignment="1">
      <alignment vertical="center"/>
    </xf>
    <xf numFmtId="165" fontId="192" fillId="0" borderId="0" xfId="1" applyNumberFormat="1" applyFont="1" applyAlignment="1">
      <alignment vertical="center"/>
    </xf>
    <xf numFmtId="172" fontId="195" fillId="0" borderId="0" xfId="9" applyNumberFormat="1" applyFont="1" applyFill="1" applyBorder="1" applyAlignment="1">
      <alignment horizontal="right" vertical="center"/>
    </xf>
    <xf numFmtId="165" fontId="190" fillId="0" borderId="0" xfId="2" applyNumberFormat="1" applyFont="1" applyFill="1" applyBorder="1" applyAlignment="1">
      <alignment horizontal="right" vertical="center"/>
    </xf>
    <xf numFmtId="173" fontId="190" fillId="0" borderId="0" xfId="2" applyNumberFormat="1" applyFont="1" applyFill="1" applyBorder="1" applyAlignment="1">
      <alignment horizontal="right" vertical="center"/>
    </xf>
    <xf numFmtId="165" fontId="195" fillId="0" borderId="0" xfId="2" applyNumberFormat="1" applyFont="1" applyFill="1" applyBorder="1" applyAlignment="1">
      <alignment horizontal="right" vertical="center"/>
    </xf>
    <xf numFmtId="172" fontId="196" fillId="0" borderId="0" xfId="1" applyNumberFormat="1" applyFont="1" applyAlignment="1">
      <alignment vertical="center"/>
    </xf>
    <xf numFmtId="165" fontId="192" fillId="0" borderId="0" xfId="21" applyFont="1" applyFill="1" applyAlignment="1">
      <alignment vertical="center"/>
    </xf>
    <xf numFmtId="165" fontId="190" fillId="0" borderId="0" xfId="1" applyNumberFormat="1" applyFont="1" applyAlignment="1">
      <alignment vertical="center"/>
    </xf>
    <xf numFmtId="172" fontId="197" fillId="0" borderId="0" xfId="9" applyNumberFormat="1" applyFont="1" applyFill="1" applyBorder="1" applyAlignment="1">
      <alignment horizontal="center" vertical="center" wrapText="1"/>
    </xf>
    <xf numFmtId="172" fontId="190" fillId="0" borderId="0" xfId="9" applyNumberFormat="1" applyFont="1" applyFill="1" applyBorder="1" applyAlignment="1">
      <alignment horizontal="right" vertical="center"/>
    </xf>
    <xf numFmtId="49" fontId="178" fillId="0" borderId="53" xfId="2" applyNumberFormat="1" applyFont="1" applyFill="1" applyBorder="1" applyAlignment="1">
      <alignment horizontal="center" vertical="center"/>
    </xf>
    <xf numFmtId="0" fontId="177" fillId="0" borderId="0" xfId="0" applyFont="1" applyAlignment="1">
      <alignment horizontal="center" vertical="center"/>
    </xf>
    <xf numFmtId="0" fontId="130" fillId="0" borderId="0" xfId="0" applyFont="1" applyAlignment="1">
      <alignment horizontal="center" vertical="center"/>
    </xf>
    <xf numFmtId="175" fontId="131" fillId="0" borderId="0" xfId="21" applyNumberFormat="1" applyFont="1" applyFill="1" applyAlignment="1">
      <alignment horizontal="left" vertical="center"/>
    </xf>
    <xf numFmtId="0" fontId="131" fillId="0" borderId="0" xfId="0" applyFont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0" fontId="132" fillId="0" borderId="71" xfId="0" applyFont="1" applyBorder="1" applyAlignment="1">
      <alignment vertical="center"/>
    </xf>
    <xf numFmtId="165" fontId="29" fillId="0" borderId="67" xfId="21" applyFont="1" applyFill="1" applyBorder="1" applyAlignment="1">
      <alignment horizontal="center" vertical="center" wrapText="1"/>
    </xf>
    <xf numFmtId="165" fontId="127" fillId="0" borderId="0" xfId="0" applyNumberFormat="1" applyFont="1" applyAlignment="1">
      <alignment horizontal="center" vertical="center"/>
    </xf>
    <xf numFmtId="165" fontId="29" fillId="0" borderId="0" xfId="21" applyFont="1" applyFill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32" fillId="8" borderId="69" xfId="0" applyFont="1" applyFill="1" applyBorder="1" applyAlignment="1">
      <alignment vertical="center"/>
    </xf>
    <xf numFmtId="165" fontId="75" fillId="8" borderId="73" xfId="21" applyFont="1" applyFill="1" applyBorder="1" applyAlignment="1">
      <alignment horizontal="center" vertical="center"/>
    </xf>
    <xf numFmtId="172" fontId="133" fillId="8" borderId="76" xfId="21" applyNumberFormat="1" applyFont="1" applyFill="1" applyBorder="1" applyAlignment="1">
      <alignment horizontal="center" vertical="center"/>
    </xf>
    <xf numFmtId="165" fontId="127" fillId="8" borderId="0" xfId="21" quotePrefix="1" applyFont="1" applyFill="1" applyAlignment="1">
      <alignment vertical="center"/>
    </xf>
    <xf numFmtId="165" fontId="29" fillId="8" borderId="0" xfId="21" quotePrefix="1" applyFont="1" applyFill="1" applyAlignment="1">
      <alignment vertical="center"/>
    </xf>
    <xf numFmtId="165" fontId="28" fillId="0" borderId="49" xfId="1" applyNumberFormat="1" applyFont="1" applyBorder="1" applyAlignment="1">
      <alignment horizontal="center" vertical="center"/>
    </xf>
    <xf numFmtId="43" fontId="28" fillId="8" borderId="0" xfId="77" applyFont="1" applyFill="1" applyBorder="1" applyAlignment="1">
      <alignment horizontal="center" vertical="center"/>
    </xf>
    <xf numFmtId="0" fontId="27" fillId="0" borderId="48" xfId="1" applyFont="1" applyBorder="1" applyAlignment="1">
      <alignment horizontal="center" vertical="center"/>
    </xf>
    <xf numFmtId="165" fontId="27" fillId="0" borderId="22" xfId="21" applyFont="1" applyFill="1" applyBorder="1" applyAlignment="1">
      <alignment horizontal="center" vertical="center"/>
    </xf>
    <xf numFmtId="165" fontId="27" fillId="0" borderId="36" xfId="21" applyFont="1" applyFill="1" applyBorder="1" applyAlignment="1">
      <alignment horizontal="center" vertical="center"/>
    </xf>
    <xf numFmtId="165" fontId="28" fillId="0" borderId="53" xfId="21" applyFont="1" applyFill="1" applyBorder="1" applyAlignment="1">
      <alignment horizontal="left" vertical="center"/>
    </xf>
    <xf numFmtId="165" fontId="28" fillId="0" borderId="22" xfId="21" applyFont="1" applyFill="1" applyBorder="1" applyAlignment="1">
      <alignment horizontal="left" vertical="center"/>
    </xf>
    <xf numFmtId="165" fontId="28" fillId="0" borderId="36" xfId="21" applyFont="1" applyFill="1" applyBorder="1" applyAlignment="1">
      <alignment horizontal="left" vertical="center"/>
    </xf>
    <xf numFmtId="0" fontId="29" fillId="0" borderId="49" xfId="1" applyFont="1" applyBorder="1" applyAlignment="1">
      <alignment horizontal="left" vertical="center"/>
    </xf>
    <xf numFmtId="165" fontId="30" fillId="8" borderId="7" xfId="21" applyFont="1" applyFill="1" applyBorder="1" applyAlignment="1">
      <alignment horizontal="center" vertical="center"/>
    </xf>
    <xf numFmtId="165" fontId="30" fillId="8" borderId="113" xfId="21" applyFont="1" applyFill="1" applyBorder="1" applyAlignment="1">
      <alignment horizontal="center" vertical="center"/>
    </xf>
    <xf numFmtId="166" fontId="27" fillId="8" borderId="0" xfId="9" applyFont="1" applyFill="1" applyAlignment="1">
      <alignment vertical="center"/>
    </xf>
    <xf numFmtId="176" fontId="34" fillId="0" borderId="27" xfId="9" applyNumberFormat="1" applyFont="1" applyFill="1" applyBorder="1" applyAlignment="1">
      <alignment horizontal="center" vertical="center"/>
    </xf>
    <xf numFmtId="165" fontId="34" fillId="0" borderId="48" xfId="21" applyFont="1" applyFill="1" applyBorder="1" applyAlignment="1">
      <alignment horizontal="center" vertical="center"/>
    </xf>
    <xf numFmtId="165" fontId="34" fillId="0" borderId="49" xfId="21" applyFont="1" applyFill="1" applyBorder="1" applyAlignment="1">
      <alignment horizontal="center" vertical="center"/>
    </xf>
    <xf numFmtId="165" fontId="175" fillId="0" borderId="130" xfId="21" applyFont="1" applyFill="1" applyBorder="1" applyAlignment="1">
      <alignment horizontal="center" vertical="center"/>
    </xf>
    <xf numFmtId="165" fontId="176" fillId="0" borderId="130" xfId="21" applyFont="1" applyFill="1" applyBorder="1" applyAlignment="1">
      <alignment horizontal="center" vertical="center"/>
    </xf>
    <xf numFmtId="165" fontId="34" fillId="8" borderId="23" xfId="21" applyFont="1" applyFill="1" applyBorder="1" applyAlignment="1">
      <alignment horizontal="center" vertical="center"/>
    </xf>
    <xf numFmtId="165" fontId="23" fillId="8" borderId="53" xfId="21" applyFont="1" applyFill="1" applyBorder="1" applyAlignment="1">
      <alignment horizontal="center" vertical="center"/>
    </xf>
    <xf numFmtId="174" fontId="23" fillId="8" borderId="36" xfId="9" applyNumberFormat="1" applyFont="1" applyFill="1" applyBorder="1" applyAlignment="1">
      <alignment horizontal="center" vertical="center"/>
    </xf>
    <xf numFmtId="174" fontId="34" fillId="8" borderId="27" xfId="9" applyNumberFormat="1" applyFont="1" applyFill="1" applyBorder="1" applyAlignment="1">
      <alignment horizontal="center" vertical="center"/>
    </xf>
    <xf numFmtId="165" fontId="34" fillId="8" borderId="27" xfId="21" applyFont="1" applyFill="1" applyBorder="1" applyAlignment="1">
      <alignment horizontal="center" vertical="center"/>
    </xf>
    <xf numFmtId="176" fontId="34" fillId="8" borderId="27" xfId="21" applyNumberFormat="1" applyFont="1" applyFill="1" applyBorder="1" applyAlignment="1">
      <alignment horizontal="center" vertical="center"/>
    </xf>
    <xf numFmtId="165" fontId="34" fillId="8" borderId="25" xfId="21" applyFont="1" applyFill="1" applyBorder="1" applyAlignment="1">
      <alignment horizontal="center" vertical="center"/>
    </xf>
    <xf numFmtId="165" fontId="23" fillId="8" borderId="0" xfId="21" applyFont="1" applyFill="1" applyAlignment="1">
      <alignment horizontal="center" vertical="center"/>
    </xf>
    <xf numFmtId="165" fontId="23" fillId="8" borderId="0" xfId="21" applyFont="1" applyFill="1" applyAlignment="1">
      <alignment horizontal="center"/>
    </xf>
    <xf numFmtId="165" fontId="34" fillId="8" borderId="14" xfId="21" applyFont="1" applyFill="1" applyBorder="1" applyAlignment="1">
      <alignment horizontal="center" vertical="center"/>
    </xf>
    <xf numFmtId="165" fontId="34" fillId="8" borderId="20" xfId="21" applyFont="1" applyFill="1" applyBorder="1" applyAlignment="1">
      <alignment horizontal="center" vertical="center"/>
    </xf>
    <xf numFmtId="165" fontId="34" fillId="8" borderId="120" xfId="21" applyFont="1" applyFill="1" applyBorder="1" applyAlignment="1">
      <alignment horizontal="center" vertical="center"/>
    </xf>
    <xf numFmtId="165" fontId="34" fillId="8" borderId="123" xfId="21" applyFont="1" applyFill="1" applyBorder="1" applyAlignment="1">
      <alignment horizontal="center" vertical="center"/>
    </xf>
    <xf numFmtId="165" fontId="126" fillId="8" borderId="27" xfId="21" applyFont="1" applyFill="1" applyBorder="1" applyAlignment="1">
      <alignment horizontal="center" vertical="center"/>
    </xf>
    <xf numFmtId="165" fontId="125" fillId="8" borderId="97" xfId="21" applyFont="1" applyFill="1" applyBorder="1" applyAlignment="1"/>
    <xf numFmtId="165" fontId="34" fillId="8" borderId="130" xfId="21" applyFont="1" applyFill="1" applyBorder="1" applyAlignment="1">
      <alignment horizontal="center" vertical="center"/>
    </xf>
    <xf numFmtId="165" fontId="33" fillId="8" borderId="0" xfId="21" applyFont="1" applyFill="1" applyAlignment="1">
      <alignment horizontal="center" vertical="center"/>
    </xf>
    <xf numFmtId="0" fontId="127" fillId="0" borderId="76" xfId="0" applyFont="1" applyBorder="1" applyAlignment="1">
      <alignment horizontal="center" vertical="center" wrapText="1"/>
    </xf>
    <xf numFmtId="172" fontId="194" fillId="0" borderId="133" xfId="2" applyNumberFormat="1" applyFont="1" applyFill="1" applyBorder="1" applyAlignment="1">
      <alignment horizontal="center" vertical="center" wrapText="1"/>
    </xf>
    <xf numFmtId="173" fontId="179" fillId="0" borderId="27" xfId="2" applyNumberFormat="1" applyFont="1" applyFill="1" applyBorder="1" applyAlignment="1">
      <alignment horizontal="right" vertical="center"/>
    </xf>
    <xf numFmtId="173" fontId="179" fillId="0" borderId="63" xfId="2" applyNumberFormat="1" applyFont="1" applyFill="1" applyBorder="1" applyAlignment="1">
      <alignment horizontal="right" vertical="center"/>
    </xf>
    <xf numFmtId="172" fontId="179" fillId="0" borderId="32" xfId="2" applyNumberFormat="1" applyFont="1" applyFill="1" applyBorder="1" applyAlignment="1">
      <alignment vertical="center"/>
    </xf>
    <xf numFmtId="172" fontId="179" fillId="0" borderId="27" xfId="2" applyNumberFormat="1" applyFont="1" applyFill="1" applyBorder="1" applyAlignment="1">
      <alignment horizontal="center" vertical="center"/>
    </xf>
    <xf numFmtId="172" fontId="179" fillId="0" borderId="27" xfId="2" applyNumberFormat="1" applyFont="1" applyFill="1" applyBorder="1" applyAlignment="1">
      <alignment horizontal="center" vertical="center" textRotation="90"/>
    </xf>
    <xf numFmtId="165" fontId="179" fillId="0" borderId="27" xfId="2" applyNumberFormat="1" applyFont="1" applyFill="1" applyBorder="1" applyAlignment="1">
      <alignment horizontal="right" vertical="center"/>
    </xf>
    <xf numFmtId="172" fontId="18" fillId="8" borderId="0" xfId="9" applyNumberFormat="1" applyFont="1" applyFill="1" applyAlignment="1">
      <alignment horizontal="center" vertical="center"/>
    </xf>
    <xf numFmtId="172" fontId="14" fillId="8" borderId="20" xfId="9" applyNumberFormat="1" applyFont="1" applyFill="1" applyBorder="1" applyAlignment="1">
      <alignment horizontal="left" vertical="center"/>
    </xf>
    <xf numFmtId="172" fontId="14" fillId="8" borderId="23" xfId="9" applyNumberFormat="1" applyFont="1" applyFill="1" applyBorder="1" applyAlignment="1">
      <alignment horizontal="center" vertical="center"/>
    </xf>
    <xf numFmtId="175" fontId="14" fillId="8" borderId="14" xfId="21" applyNumberFormat="1" applyFont="1" applyFill="1" applyBorder="1" applyAlignment="1">
      <alignment horizontal="center" vertical="center"/>
    </xf>
    <xf numFmtId="175" fontId="14" fillId="8" borderId="36" xfId="21" applyNumberFormat="1" applyFont="1" applyFill="1" applyBorder="1" applyAlignment="1">
      <alignment horizontal="center" vertical="center"/>
    </xf>
    <xf numFmtId="166" fontId="68" fillId="8" borderId="27" xfId="9" applyFont="1" applyFill="1" applyBorder="1" applyAlignment="1">
      <alignment horizontal="center" vertical="center"/>
    </xf>
    <xf numFmtId="166" fontId="14" fillId="8" borderId="20" xfId="9" applyFont="1" applyFill="1" applyBorder="1" applyAlignment="1">
      <alignment horizontal="center" vertical="center"/>
    </xf>
    <xf numFmtId="166" fontId="14" fillId="8" borderId="53" xfId="9" applyFont="1" applyFill="1" applyBorder="1" applyAlignment="1">
      <alignment horizontal="center" vertical="center"/>
    </xf>
    <xf numFmtId="166" fontId="68" fillId="8" borderId="22" xfId="9" applyFont="1" applyFill="1" applyBorder="1" applyAlignment="1">
      <alignment horizontal="center" vertical="center"/>
    </xf>
    <xf numFmtId="166" fontId="68" fillId="8" borderId="36" xfId="9" applyFont="1" applyFill="1" applyBorder="1" applyAlignment="1">
      <alignment horizontal="center" vertical="center"/>
    </xf>
    <xf numFmtId="166" fontId="14" fillId="8" borderId="23" xfId="9" applyFont="1" applyFill="1" applyBorder="1" applyAlignment="1">
      <alignment horizontal="center" vertical="center"/>
    </xf>
    <xf numFmtId="166" fontId="68" fillId="8" borderId="53" xfId="9" applyFont="1" applyFill="1" applyBorder="1" applyAlignment="1">
      <alignment horizontal="center" vertical="center"/>
    </xf>
    <xf numFmtId="166" fontId="71" fillId="8" borderId="27" xfId="9" applyFont="1" applyFill="1" applyBorder="1" applyAlignment="1">
      <alignment horizontal="center" vertical="center"/>
    </xf>
    <xf numFmtId="166" fontId="14" fillId="8" borderId="36" xfId="9" applyFont="1" applyFill="1" applyBorder="1" applyAlignment="1">
      <alignment horizontal="center" vertical="center"/>
    </xf>
    <xf numFmtId="166" fontId="14" fillId="8" borderId="22" xfId="9" applyFont="1" applyFill="1" applyBorder="1" applyAlignment="1">
      <alignment horizontal="center" vertical="center"/>
    </xf>
    <xf numFmtId="166" fontId="21" fillId="8" borderId="27" xfId="9" applyFont="1" applyFill="1" applyBorder="1" applyAlignment="1">
      <alignment horizontal="center" vertical="center"/>
    </xf>
    <xf numFmtId="166" fontId="68" fillId="8" borderId="23" xfId="9" applyFont="1" applyFill="1" applyBorder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166" fontId="14" fillId="8" borderId="14" xfId="9" applyFont="1" applyFill="1" applyBorder="1" applyAlignment="1">
      <alignment horizontal="center" vertical="center"/>
    </xf>
    <xf numFmtId="172" fontId="14" fillId="8" borderId="20" xfId="9" applyNumberFormat="1" applyFont="1" applyFill="1" applyBorder="1" applyAlignment="1">
      <alignment horizontal="center" vertical="center"/>
    </xf>
    <xf numFmtId="37" fontId="22" fillId="0" borderId="0" xfId="0" applyNumberFormat="1" applyFont="1" applyAlignment="1">
      <alignment horizontal="center" vertical="center"/>
    </xf>
    <xf numFmtId="218" fontId="16" fillId="0" borderId="0" xfId="0" applyNumberFormat="1" applyFont="1" applyAlignment="1">
      <alignment horizontal="center" vertical="center"/>
    </xf>
    <xf numFmtId="41" fontId="67" fillId="0" borderId="7" xfId="0" applyNumberFormat="1" applyFont="1" applyBorder="1" applyAlignment="1">
      <alignment horizontal="center" vertical="center"/>
    </xf>
    <xf numFmtId="172" fontId="179" fillId="0" borderId="0" xfId="2" applyNumberFormat="1" applyFont="1" applyFill="1" applyBorder="1" applyAlignment="1">
      <alignment horizontal="center" vertical="center"/>
    </xf>
    <xf numFmtId="172" fontId="194" fillId="0" borderId="20" xfId="9" applyNumberFormat="1" applyFont="1" applyFill="1" applyBorder="1" applyAlignment="1">
      <alignment horizontal="center" vertical="center" wrapText="1"/>
    </xf>
    <xf numFmtId="165" fontId="194" fillId="0" borderId="20" xfId="2" applyNumberFormat="1" applyFont="1" applyFill="1" applyBorder="1" applyAlignment="1">
      <alignment horizontal="center" vertical="center" wrapText="1"/>
    </xf>
    <xf numFmtId="172" fontId="194" fillId="0" borderId="20" xfId="2" applyNumberFormat="1" applyFont="1" applyFill="1" applyBorder="1" applyAlignment="1">
      <alignment horizontal="right" vertical="center" wrapText="1"/>
    </xf>
    <xf numFmtId="173" fontId="194" fillId="0" borderId="20" xfId="2" applyNumberFormat="1" applyFont="1" applyFill="1" applyBorder="1" applyAlignment="1">
      <alignment horizontal="center" vertical="center" wrapText="1"/>
    </xf>
    <xf numFmtId="172" fontId="194" fillId="0" borderId="130" xfId="9" applyNumberFormat="1" applyFont="1" applyFill="1" applyBorder="1" applyAlignment="1">
      <alignment horizontal="center" vertical="center" wrapText="1"/>
    </xf>
    <xf numFmtId="165" fontId="194" fillId="0" borderId="130" xfId="2" applyNumberFormat="1" applyFont="1" applyFill="1" applyBorder="1" applyAlignment="1">
      <alignment horizontal="center" vertical="center" wrapText="1"/>
    </xf>
    <xf numFmtId="165" fontId="194" fillId="0" borderId="130" xfId="2" applyNumberFormat="1" applyFont="1" applyFill="1" applyBorder="1" applyAlignment="1">
      <alignment horizontal="center" vertical="center"/>
    </xf>
    <xf numFmtId="173" fontId="194" fillId="0" borderId="130" xfId="2" applyNumberFormat="1" applyFont="1" applyFill="1" applyBorder="1" applyAlignment="1">
      <alignment horizontal="center" vertical="center" wrapText="1"/>
    </xf>
    <xf numFmtId="172" fontId="194" fillId="0" borderId="130" xfId="9" applyNumberFormat="1" applyFont="1" applyFill="1" applyBorder="1" applyAlignment="1">
      <alignment horizontal="right" vertical="center" wrapText="1"/>
    </xf>
    <xf numFmtId="165" fontId="194" fillId="0" borderId="130" xfId="9" applyNumberFormat="1" applyFont="1" applyFill="1" applyBorder="1" applyAlignment="1">
      <alignment horizontal="center" vertical="center" wrapText="1"/>
    </xf>
    <xf numFmtId="165" fontId="194" fillId="0" borderId="130" xfId="9" applyNumberFormat="1" applyFont="1" applyFill="1" applyBorder="1" applyAlignment="1">
      <alignment horizontal="right" vertical="center" wrapText="1"/>
    </xf>
    <xf numFmtId="165" fontId="194" fillId="0" borderId="133" xfId="2" applyNumberFormat="1" applyFont="1" applyFill="1" applyBorder="1" applyAlignment="1">
      <alignment horizontal="center" vertical="center" wrapText="1"/>
    </xf>
    <xf numFmtId="3" fontId="0" fillId="2" borderId="133" xfId="0" applyNumberFormat="1" applyFill="1" applyBorder="1" applyAlignment="1">
      <alignment horizontal="center"/>
    </xf>
    <xf numFmtId="172" fontId="198" fillId="0" borderId="20" xfId="2" applyNumberFormat="1" applyFont="1" applyFill="1" applyBorder="1" applyAlignment="1">
      <alignment horizontal="center" vertical="center" wrapText="1"/>
    </xf>
    <xf numFmtId="172" fontId="198" fillId="0" borderId="130" xfId="2" applyNumberFormat="1" applyFont="1" applyFill="1" applyBorder="1" applyAlignment="1">
      <alignment horizontal="center" vertical="center" wrapText="1"/>
    </xf>
    <xf numFmtId="172" fontId="0" fillId="2" borderId="130" xfId="9" applyNumberFormat="1" applyFont="1" applyFill="1" applyBorder="1" applyAlignment="1">
      <alignment horizontal="center"/>
    </xf>
    <xf numFmtId="4" fontId="178" fillId="0" borderId="0" xfId="0" applyNumberFormat="1" applyFont="1" applyAlignment="1">
      <alignment vertical="center"/>
    </xf>
    <xf numFmtId="165" fontId="178" fillId="0" borderId="0" xfId="0" applyNumberFormat="1" applyFont="1" applyAlignment="1">
      <alignment horizontal="center" vertical="center"/>
    </xf>
    <xf numFmtId="49" fontId="178" fillId="0" borderId="0" xfId="0" applyNumberFormat="1" applyFont="1" applyAlignment="1">
      <alignment vertical="center"/>
    </xf>
    <xf numFmtId="43" fontId="178" fillId="0" borderId="0" xfId="0" applyNumberFormat="1" applyFont="1" applyAlignment="1">
      <alignment vertical="center"/>
    </xf>
    <xf numFmtId="172" fontId="177" fillId="0" borderId="0" xfId="9" applyNumberFormat="1" applyFont="1" applyFill="1" applyAlignment="1"/>
    <xf numFmtId="172" fontId="178" fillId="0" borderId="0" xfId="9" applyNumberFormat="1" applyFont="1" applyFill="1" applyAlignment="1">
      <alignment horizontal="center" vertical="top"/>
    </xf>
    <xf numFmtId="0" fontId="178" fillId="0" borderId="0" xfId="1" applyFont="1" applyAlignment="1">
      <alignment horizontal="center" vertical="center"/>
    </xf>
    <xf numFmtId="0" fontId="179" fillId="0" borderId="0" xfId="0" quotePrefix="1" applyFont="1" applyAlignment="1">
      <alignment horizontal="center" vertical="center"/>
    </xf>
    <xf numFmtId="0" fontId="178" fillId="2" borderId="0" xfId="0" applyFont="1" applyFill="1" applyAlignment="1">
      <alignment horizontal="center" vertical="center"/>
    </xf>
    <xf numFmtId="172" fontId="190" fillId="0" borderId="0" xfId="0" applyNumberFormat="1" applyFont="1" applyAlignment="1">
      <alignment horizontal="center" vertical="center"/>
    </xf>
    <xf numFmtId="165" fontId="190" fillId="0" borderId="0" xfId="0" applyNumberFormat="1" applyFont="1" applyAlignment="1">
      <alignment horizontal="center" vertical="center"/>
    </xf>
    <xf numFmtId="165" fontId="179" fillId="0" borderId="0" xfId="0" applyNumberFormat="1" applyFont="1" applyAlignment="1">
      <alignment horizontal="center" vertical="center"/>
    </xf>
    <xf numFmtId="165" fontId="178" fillId="0" borderId="129" xfId="0" applyNumberFormat="1" applyFont="1" applyBorder="1" applyAlignment="1">
      <alignment horizontal="center" vertical="center"/>
    </xf>
    <xf numFmtId="165" fontId="178" fillId="0" borderId="134" xfId="0" applyNumberFormat="1" applyFont="1" applyBorder="1" applyAlignment="1">
      <alignment horizontal="center" vertical="center"/>
    </xf>
    <xf numFmtId="165" fontId="178" fillId="0" borderId="54" xfId="0" applyNumberFormat="1" applyFont="1" applyBorder="1" applyAlignment="1">
      <alignment horizontal="center" vertical="center"/>
    </xf>
    <xf numFmtId="172" fontId="178" fillId="0" borderId="27" xfId="9" applyNumberFormat="1" applyFont="1" applyFill="1" applyBorder="1" applyAlignment="1">
      <alignment horizontal="center" vertical="center"/>
    </xf>
    <xf numFmtId="165" fontId="178" fillId="0" borderId="21" xfId="0" applyNumberFormat="1" applyFont="1" applyBorder="1" applyAlignment="1">
      <alignment horizontal="center" vertical="center"/>
    </xf>
    <xf numFmtId="165" fontId="178" fillId="0" borderId="28" xfId="0" applyNumberFormat="1" applyFont="1" applyBorder="1" applyAlignment="1">
      <alignment horizontal="center" vertical="center"/>
    </xf>
    <xf numFmtId="172" fontId="179" fillId="0" borderId="27" xfId="9" applyNumberFormat="1" applyFont="1" applyFill="1" applyBorder="1" applyAlignment="1">
      <alignment horizontal="center" vertical="center" wrapText="1"/>
    </xf>
    <xf numFmtId="172" fontId="178" fillId="0" borderId="20" xfId="9" applyNumberFormat="1" applyFont="1" applyFill="1" applyBorder="1" applyAlignment="1">
      <alignment horizontal="center" vertical="center"/>
    </xf>
    <xf numFmtId="172" fontId="178" fillId="2" borderId="130" xfId="9" applyNumberFormat="1" applyFont="1" applyFill="1" applyBorder="1" applyAlignment="1">
      <alignment horizontal="center" vertical="center"/>
    </xf>
    <xf numFmtId="172" fontId="178" fillId="0" borderId="133" xfId="9" applyNumberFormat="1" applyFont="1" applyFill="1" applyBorder="1" applyAlignment="1">
      <alignment horizontal="center" vertical="center"/>
    </xf>
    <xf numFmtId="172" fontId="178" fillId="0" borderId="53" xfId="9" applyNumberFormat="1" applyFont="1" applyFill="1" applyBorder="1" applyAlignment="1">
      <alignment horizontal="center" vertical="center"/>
    </xf>
    <xf numFmtId="172" fontId="178" fillId="0" borderId="0" xfId="9" applyNumberFormat="1" applyFont="1" applyFill="1" applyBorder="1" applyAlignment="1">
      <alignment horizontal="center" vertical="center"/>
    </xf>
    <xf numFmtId="172" fontId="177" fillId="0" borderId="0" xfId="9" applyNumberFormat="1" applyFont="1" applyFill="1" applyBorder="1" applyAlignment="1"/>
    <xf numFmtId="0" fontId="178" fillId="0" borderId="130" xfId="9" applyNumberFormat="1" applyFont="1" applyFill="1" applyBorder="1" applyAlignment="1">
      <alignment vertical="center" wrapText="1"/>
    </xf>
    <xf numFmtId="0" fontId="28" fillId="0" borderId="22" xfId="1" applyFont="1" applyBorder="1" applyAlignment="1">
      <alignment horizontal="center" vertical="center"/>
    </xf>
    <xf numFmtId="0" fontId="28" fillId="0" borderId="23" xfId="1" applyFont="1" applyBorder="1" applyAlignment="1">
      <alignment horizontal="center" vertical="center"/>
    </xf>
    <xf numFmtId="0" fontId="28" fillId="0" borderId="38" xfId="1" applyFont="1" applyBorder="1" applyAlignment="1">
      <alignment horizontal="center" vertical="center"/>
    </xf>
    <xf numFmtId="0" fontId="28" fillId="0" borderId="0" xfId="1" applyFont="1" applyAlignment="1">
      <alignment horizontal="right" vertical="center"/>
    </xf>
    <xf numFmtId="0" fontId="28" fillId="0" borderId="22" xfId="1" applyFont="1" applyBorder="1" applyAlignment="1">
      <alignment horizontal="left" vertical="center"/>
    </xf>
    <xf numFmtId="165" fontId="34" fillId="0" borderId="7" xfId="21" applyFont="1" applyFill="1" applyBorder="1" applyAlignment="1">
      <alignment horizontal="center" vertical="center"/>
    </xf>
    <xf numFmtId="165" fontId="34" fillId="0" borderId="18" xfId="21" applyFont="1" applyFill="1" applyBorder="1" applyAlignment="1">
      <alignment horizontal="center" vertical="center"/>
    </xf>
    <xf numFmtId="165" fontId="34" fillId="0" borderId="20" xfId="21" applyFont="1" applyFill="1" applyBorder="1" applyAlignment="1">
      <alignment horizontal="center" vertical="center"/>
    </xf>
    <xf numFmtId="165" fontId="34" fillId="0" borderId="60" xfId="21" applyFont="1" applyFill="1" applyBorder="1" applyAlignment="1">
      <alignment horizontal="center" vertical="center"/>
    </xf>
    <xf numFmtId="165" fontId="23" fillId="0" borderId="52" xfId="21" applyFont="1" applyFill="1" applyBorder="1" applyAlignment="1">
      <alignment horizontal="center" vertical="center"/>
    </xf>
    <xf numFmtId="165" fontId="34" fillId="0" borderId="23" xfId="21" applyFont="1" applyFill="1" applyBorder="1" applyAlignment="1">
      <alignment horizontal="center" vertical="center"/>
    </xf>
    <xf numFmtId="171" fontId="30" fillId="0" borderId="7" xfId="4" applyNumberFormat="1" applyFont="1" applyFill="1" applyBorder="1" applyAlignment="1">
      <alignment horizontal="left" vertical="center" wrapText="1"/>
    </xf>
    <xf numFmtId="171" fontId="30" fillId="0" borderId="125" xfId="4" applyNumberFormat="1" applyFont="1" applyFill="1" applyBorder="1" applyAlignment="1">
      <alignment horizontal="left" vertical="center" wrapText="1"/>
    </xf>
    <xf numFmtId="165" fontId="27" fillId="8" borderId="22" xfId="21" applyFont="1" applyFill="1" applyBorder="1" applyAlignment="1">
      <alignment horizontal="center" vertical="center"/>
    </xf>
    <xf numFmtId="165" fontId="27" fillId="8" borderId="36" xfId="21" applyFont="1" applyFill="1" applyBorder="1" applyAlignment="1">
      <alignment horizontal="center" vertical="center"/>
    </xf>
    <xf numFmtId="165" fontId="28" fillId="8" borderId="53" xfId="21" applyFont="1" applyFill="1" applyBorder="1" applyAlignment="1">
      <alignment horizontal="left" vertical="center"/>
    </xf>
    <xf numFmtId="165" fontId="28" fillId="8" borderId="22" xfId="21" applyFont="1" applyFill="1" applyBorder="1" applyAlignment="1">
      <alignment horizontal="left" vertical="center"/>
    </xf>
    <xf numFmtId="165" fontId="28" fillId="8" borderId="36" xfId="21" applyFont="1" applyFill="1" applyBorder="1" applyAlignment="1">
      <alignment horizontal="left" vertical="center"/>
    </xf>
    <xf numFmtId="0" fontId="27" fillId="0" borderId="0" xfId="1" applyFont="1" applyAlignment="1">
      <alignment horizontal="left" vertical="center"/>
    </xf>
    <xf numFmtId="0" fontId="28" fillId="0" borderId="56" xfId="1" applyFont="1" applyBorder="1" applyAlignment="1">
      <alignment horizontal="center" vertical="center"/>
    </xf>
    <xf numFmtId="0" fontId="27" fillId="0" borderId="38" xfId="1" applyFont="1" applyBorder="1" applyAlignment="1">
      <alignment horizontal="center" vertical="center"/>
    </xf>
    <xf numFmtId="0" fontId="27" fillId="0" borderId="23" xfId="1" applyFont="1" applyBorder="1" applyAlignment="1">
      <alignment horizontal="center" vertical="center"/>
    </xf>
    <xf numFmtId="49" fontId="30" fillId="9" borderId="33" xfId="2" applyNumberFormat="1" applyFont="1" applyFill="1" applyBorder="1" applyAlignment="1">
      <alignment horizontal="center" vertical="center" wrapText="1"/>
    </xf>
    <xf numFmtId="171" fontId="30" fillId="9" borderId="22" xfId="4" applyNumberFormat="1" applyFont="1" applyFill="1" applyBorder="1" applyAlignment="1">
      <alignment horizontal="left" vertical="center"/>
    </xf>
    <xf numFmtId="165" fontId="30" fillId="9" borderId="113" xfId="21" applyFont="1" applyFill="1" applyBorder="1" applyAlignment="1">
      <alignment horizontal="center" vertical="center"/>
    </xf>
    <xf numFmtId="165" fontId="30" fillId="9" borderId="22" xfId="21" applyFont="1" applyFill="1" applyBorder="1" applyAlignment="1">
      <alignment horizontal="center" vertical="center"/>
    </xf>
    <xf numFmtId="165" fontId="27" fillId="9" borderId="59" xfId="21" applyFont="1" applyFill="1" applyBorder="1" applyAlignment="1">
      <alignment horizontal="center" vertical="center"/>
    </xf>
    <xf numFmtId="165" fontId="30" fillId="9" borderId="12" xfId="21" applyFont="1" applyFill="1" applyBorder="1" applyAlignment="1">
      <alignment horizontal="center" vertical="center"/>
    </xf>
    <xf numFmtId="165" fontId="30" fillId="9" borderId="114" xfId="21" applyFont="1" applyFill="1" applyBorder="1" applyAlignment="1">
      <alignment horizontal="center" vertical="center"/>
    </xf>
    <xf numFmtId="165" fontId="30" fillId="9" borderId="85" xfId="21" applyFont="1" applyFill="1" applyBorder="1" applyAlignment="1">
      <alignment horizontal="center" vertical="center"/>
    </xf>
    <xf numFmtId="0" fontId="30" fillId="9" borderId="13" xfId="1" applyFont="1" applyFill="1" applyBorder="1" applyAlignment="1">
      <alignment horizontal="center" vertical="center"/>
    </xf>
    <xf numFmtId="165" fontId="30" fillId="9" borderId="13" xfId="1" applyNumberFormat="1" applyFont="1" applyFill="1" applyBorder="1" applyAlignment="1">
      <alignment horizontal="center" vertical="center"/>
    </xf>
    <xf numFmtId="165" fontId="30" fillId="9" borderId="7" xfId="21" applyFont="1" applyFill="1" applyBorder="1" applyAlignment="1">
      <alignment horizontal="center" vertical="center"/>
    </xf>
    <xf numFmtId="165" fontId="28" fillId="9" borderId="53" xfId="21" applyFont="1" applyFill="1" applyBorder="1" applyAlignment="1">
      <alignment horizontal="center" vertical="center"/>
    </xf>
    <xf numFmtId="165" fontId="28" fillId="9" borderId="22" xfId="2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14" fontId="64" fillId="0" borderId="68" xfId="0" quotePrefix="1" applyNumberFormat="1" applyFont="1" applyBorder="1" applyAlignment="1">
      <alignment horizontal="center" vertical="center" textRotation="255"/>
    </xf>
    <xf numFmtId="14" fontId="64" fillId="0" borderId="14" xfId="0" quotePrefix="1" applyNumberFormat="1" applyFont="1" applyBorder="1" applyAlignment="1">
      <alignment horizontal="center" vertical="center" textRotation="255"/>
    </xf>
    <xf numFmtId="14" fontId="64" fillId="0" borderId="137" xfId="0" quotePrefix="1" applyNumberFormat="1" applyFont="1" applyBorder="1" applyAlignment="1">
      <alignment horizontal="center" vertical="center" textRotation="255"/>
    </xf>
    <xf numFmtId="0" fontId="64" fillId="0" borderId="68" xfId="0" applyFont="1" applyBorder="1" applyAlignment="1">
      <alignment horizontal="center" vertical="center" textRotation="255"/>
    </xf>
    <xf numFmtId="0" fontId="64" fillId="0" borderId="14" xfId="0" applyFont="1" applyBorder="1" applyAlignment="1">
      <alignment horizontal="center" vertical="center" textRotation="255"/>
    </xf>
    <xf numFmtId="14" fontId="127" fillId="8" borderId="76" xfId="21" quotePrefix="1" applyNumberFormat="1" applyFont="1" applyFill="1" applyBorder="1" applyAlignment="1">
      <alignment horizontal="center" vertical="center"/>
    </xf>
    <xf numFmtId="217" fontId="135" fillId="8" borderId="0" xfId="9" applyNumberFormat="1" applyFont="1" applyFill="1" applyAlignment="1">
      <alignment vertical="center"/>
    </xf>
    <xf numFmtId="165" fontId="127" fillId="8" borderId="135" xfId="21" applyFont="1" applyFill="1" applyBorder="1" applyAlignment="1">
      <alignment horizontal="center" vertical="center" wrapText="1"/>
    </xf>
    <xf numFmtId="37" fontId="127" fillId="8" borderId="0" xfId="0" applyNumberFormat="1" applyFont="1" applyFill="1" applyAlignment="1">
      <alignment vertical="center"/>
    </xf>
    <xf numFmtId="165" fontId="127" fillId="0" borderId="76" xfId="21" quotePrefix="1" applyFont="1" applyFill="1" applyBorder="1" applyAlignment="1">
      <alignment horizontal="center" wrapText="1"/>
    </xf>
    <xf numFmtId="165" fontId="127" fillId="0" borderId="76" xfId="21" quotePrefix="1" applyFont="1" applyFill="1" applyBorder="1" applyAlignment="1">
      <alignment horizontal="center" vertical="top" wrapText="1"/>
    </xf>
    <xf numFmtId="0" fontId="177" fillId="0" borderId="0" xfId="1" applyFont="1" applyAlignment="1">
      <alignment horizontal="center" vertical="center"/>
    </xf>
    <xf numFmtId="0" fontId="180" fillId="0" borderId="107" xfId="1" applyFont="1" applyBorder="1" applyAlignment="1">
      <alignment horizontal="center" vertical="center"/>
    </xf>
    <xf numFmtId="0" fontId="180" fillId="0" borderId="108" xfId="1" applyFont="1" applyBorder="1" applyAlignment="1">
      <alignment horizontal="center" vertical="center"/>
    </xf>
    <xf numFmtId="0" fontId="180" fillId="0" borderId="133" xfId="1" applyFont="1" applyBorder="1" applyAlignment="1">
      <alignment horizontal="center" vertical="center"/>
    </xf>
    <xf numFmtId="0" fontId="180" fillId="0" borderId="110" xfId="1" applyFont="1" applyBorder="1" applyAlignment="1">
      <alignment horizontal="center" vertical="center"/>
    </xf>
    <xf numFmtId="172" fontId="177" fillId="0" borderId="0" xfId="2" applyNumberFormat="1" applyFont="1" applyFill="1" applyBorder="1" applyAlignment="1">
      <alignment horizontal="center" vertical="center"/>
    </xf>
    <xf numFmtId="0" fontId="180" fillId="0" borderId="15" xfId="1" applyFont="1" applyBorder="1" applyAlignment="1">
      <alignment horizontal="center" vertical="center"/>
    </xf>
    <xf numFmtId="0" fontId="186" fillId="0" borderId="133" xfId="1" applyFont="1" applyBorder="1" applyAlignment="1">
      <alignment horizontal="center" vertical="center"/>
    </xf>
    <xf numFmtId="0" fontId="186" fillId="0" borderId="14" xfId="1" applyFont="1" applyBorder="1" applyAlignment="1">
      <alignment horizontal="center" vertical="center"/>
    </xf>
    <xf numFmtId="172" fontId="16" fillId="9" borderId="130" xfId="9" applyNumberFormat="1" applyFont="1" applyFill="1" applyBorder="1" applyAlignment="1">
      <alignment horizontal="center" vertical="center"/>
    </xf>
    <xf numFmtId="172" fontId="16" fillId="9" borderId="20" xfId="9" applyNumberFormat="1" applyFont="1" applyFill="1" applyBorder="1" applyAlignment="1">
      <alignment horizontal="center" vertical="center"/>
    </xf>
    <xf numFmtId="0" fontId="16" fillId="9" borderId="0" xfId="0" applyFont="1" applyFill="1" applyAlignment="1">
      <alignment vertical="center"/>
    </xf>
    <xf numFmtId="0" fontId="16" fillId="8" borderId="0" xfId="0" applyFont="1" applyFill="1" applyAlignment="1">
      <alignment horizontal="center" vertical="center"/>
    </xf>
    <xf numFmtId="0" fontId="75" fillId="8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216" fontId="16" fillId="8" borderId="0" xfId="0" applyNumberFormat="1" applyFont="1" applyFill="1" applyAlignment="1">
      <alignment vertical="center"/>
    </xf>
    <xf numFmtId="0" fontId="75" fillId="8" borderId="0" xfId="0" applyFont="1" applyFill="1" applyAlignment="1">
      <alignment horizontal="center" vertical="center"/>
    </xf>
    <xf numFmtId="172" fontId="16" fillId="8" borderId="0" xfId="9" applyNumberFormat="1" applyFont="1" applyFill="1" applyAlignment="1">
      <alignment horizontal="center" vertical="center"/>
    </xf>
    <xf numFmtId="0" fontId="75" fillId="8" borderId="53" xfId="0" applyFont="1" applyFill="1" applyBorder="1" applyAlignment="1">
      <alignment vertical="center"/>
    </xf>
    <xf numFmtId="0" fontId="75" fillId="8" borderId="53" xfId="0" applyFont="1" applyFill="1" applyBorder="1" applyAlignment="1">
      <alignment horizontal="left" vertical="center"/>
    </xf>
    <xf numFmtId="0" fontId="16" fillId="0" borderId="21" xfId="0" applyFont="1" applyBorder="1" applyAlignment="1">
      <alignment vertical="center"/>
    </xf>
    <xf numFmtId="0" fontId="16" fillId="0" borderId="129" xfId="0" applyFont="1" applyBorder="1" applyAlignment="1">
      <alignment vertical="center"/>
    </xf>
    <xf numFmtId="216" fontId="16" fillId="0" borderId="130" xfId="0" applyNumberFormat="1" applyFont="1" applyBorder="1" applyAlignment="1">
      <alignment vertical="center"/>
    </xf>
    <xf numFmtId="216" fontId="16" fillId="0" borderId="132" xfId="0" applyNumberFormat="1" applyFont="1" applyBorder="1" applyAlignment="1">
      <alignment vertical="center"/>
    </xf>
    <xf numFmtId="0" fontId="16" fillId="0" borderId="35" xfId="0" applyFont="1" applyBorder="1" applyAlignment="1">
      <alignment vertical="center"/>
    </xf>
    <xf numFmtId="0" fontId="16" fillId="9" borderId="131" xfId="0" applyFont="1" applyFill="1" applyBorder="1" applyAlignment="1">
      <alignment horizontal="center" vertical="center"/>
    </xf>
    <xf numFmtId="0" fontId="16" fillId="9" borderId="130" xfId="0" applyFont="1" applyFill="1" applyBorder="1" applyAlignment="1">
      <alignment vertical="center"/>
    </xf>
    <xf numFmtId="216" fontId="16" fillId="9" borderId="130" xfId="0" quotePrefix="1" applyNumberFormat="1" applyFont="1" applyFill="1" applyBorder="1" applyAlignment="1">
      <alignment horizontal="center" vertical="center"/>
    </xf>
    <xf numFmtId="216" fontId="16" fillId="9" borderId="130" xfId="0" applyNumberFormat="1" applyFont="1" applyFill="1" applyBorder="1" applyAlignment="1">
      <alignment horizontal="center" vertical="center"/>
    </xf>
    <xf numFmtId="0" fontId="75" fillId="9" borderId="130" xfId="0" applyFont="1" applyFill="1" applyBorder="1" applyAlignment="1">
      <alignment horizontal="center" vertical="center"/>
    </xf>
    <xf numFmtId="172" fontId="16" fillId="9" borderId="0" xfId="0" applyNumberFormat="1" applyFont="1" applyFill="1" applyAlignment="1">
      <alignment vertical="center"/>
    </xf>
    <xf numFmtId="172" fontId="194" fillId="0" borderId="21" xfId="2" applyNumberFormat="1" applyFont="1" applyFill="1" applyBorder="1" applyAlignment="1">
      <alignment horizontal="center" vertical="center" wrapText="1"/>
    </xf>
    <xf numFmtId="172" fontId="194" fillId="0" borderId="130" xfId="9" applyNumberFormat="1" applyFont="1" applyFill="1" applyBorder="1" applyAlignment="1">
      <alignment horizontal="center" vertical="center"/>
    </xf>
    <xf numFmtId="172" fontId="194" fillId="0" borderId="129" xfId="2" applyNumberFormat="1" applyFont="1" applyFill="1" applyBorder="1" applyAlignment="1">
      <alignment horizontal="center" vertical="center" wrapText="1"/>
    </xf>
    <xf numFmtId="172" fontId="194" fillId="0" borderId="7" xfId="2" applyNumberFormat="1" applyFont="1" applyFill="1" applyBorder="1" applyAlignment="1">
      <alignment horizontal="center" vertical="center" wrapText="1"/>
    </xf>
    <xf numFmtId="173" fontId="194" fillId="0" borderId="130" xfId="2" applyNumberFormat="1" applyFont="1" applyFill="1" applyBorder="1" applyAlignment="1">
      <alignment horizontal="right" vertical="center" wrapText="1"/>
    </xf>
    <xf numFmtId="172" fontId="194" fillId="0" borderId="130" xfId="2" applyNumberFormat="1" applyFont="1" applyFill="1" applyBorder="1" applyAlignment="1">
      <alignment horizontal="center" vertical="center"/>
    </xf>
    <xf numFmtId="172" fontId="194" fillId="0" borderId="130" xfId="2" applyNumberFormat="1" applyFont="1" applyFill="1" applyBorder="1" applyAlignment="1">
      <alignment horizontal="right" vertical="center" wrapText="1"/>
    </xf>
    <xf numFmtId="175" fontId="194" fillId="0" borderId="130" xfId="2" applyNumberFormat="1" applyFont="1" applyFill="1" applyBorder="1" applyAlignment="1">
      <alignment horizontal="center" vertical="center" wrapText="1"/>
    </xf>
    <xf numFmtId="165" fontId="194" fillId="0" borderId="130" xfId="2" applyNumberFormat="1" applyFont="1" applyFill="1" applyBorder="1" applyAlignment="1">
      <alignment horizontal="right" vertical="center"/>
    </xf>
    <xf numFmtId="172" fontId="194" fillId="0" borderId="130" xfId="2" applyNumberFormat="1" applyFont="1" applyFill="1" applyBorder="1" applyAlignment="1">
      <alignment horizontal="right" vertical="center"/>
    </xf>
    <xf numFmtId="37" fontId="194" fillId="0" borderId="130" xfId="2" applyNumberFormat="1" applyFont="1" applyFill="1" applyBorder="1" applyAlignment="1">
      <alignment horizontal="center" vertical="center" wrapText="1"/>
    </xf>
    <xf numFmtId="172" fontId="194" fillId="0" borderId="130" xfId="21" applyNumberFormat="1" applyFont="1" applyFill="1" applyBorder="1" applyAlignment="1">
      <alignment horizontal="center" vertical="center" wrapText="1"/>
    </xf>
    <xf numFmtId="37" fontId="194" fillId="0" borderId="130" xfId="9" applyNumberFormat="1" applyFont="1" applyFill="1" applyBorder="1" applyAlignment="1">
      <alignment horizontal="right" vertical="center" wrapText="1"/>
    </xf>
    <xf numFmtId="37" fontId="194" fillId="0" borderId="130" xfId="9" applyNumberFormat="1" applyFont="1" applyFill="1" applyBorder="1" applyAlignment="1">
      <alignment horizontal="center" vertical="center" wrapText="1"/>
    </xf>
    <xf numFmtId="0" fontId="199" fillId="0" borderId="0" xfId="1" applyFont="1" applyAlignment="1">
      <alignment vertical="center"/>
    </xf>
    <xf numFmtId="165" fontId="191" fillId="0" borderId="0" xfId="2" applyNumberFormat="1" applyFont="1" applyFill="1" applyBorder="1" applyAlignment="1">
      <alignment horizontal="right" vertical="center"/>
    </xf>
    <xf numFmtId="0" fontId="191" fillId="0" borderId="0" xfId="1" applyFont="1" applyAlignment="1">
      <alignment vertical="center"/>
    </xf>
    <xf numFmtId="165" fontId="199" fillId="0" borderId="0" xfId="1" applyNumberFormat="1" applyFont="1" applyAlignment="1">
      <alignment vertical="center"/>
    </xf>
    <xf numFmtId="172" fontId="178" fillId="0" borderId="114" xfId="9" applyNumberFormat="1" applyFont="1" applyFill="1" applyBorder="1" applyAlignment="1">
      <alignment vertical="center"/>
    </xf>
    <xf numFmtId="165" fontId="178" fillId="0" borderId="114" xfId="21" applyFont="1" applyFill="1" applyBorder="1" applyAlignment="1">
      <alignment horizontal="right" vertical="center"/>
    </xf>
    <xf numFmtId="165" fontId="178" fillId="0" borderId="48" xfId="21" applyFont="1" applyFill="1" applyBorder="1" applyAlignment="1">
      <alignment horizontal="right" vertical="center"/>
    </xf>
    <xf numFmtId="172" fontId="178" fillId="0" borderId="48" xfId="9" applyNumberFormat="1" applyFont="1" applyFill="1" applyBorder="1" applyAlignment="1">
      <alignment vertical="center"/>
    </xf>
    <xf numFmtId="49" fontId="31" fillId="9" borderId="131" xfId="2" applyNumberFormat="1" applyFont="1" applyFill="1" applyBorder="1" applyAlignment="1">
      <alignment horizontal="center" vertical="center" wrapText="1"/>
    </xf>
    <xf numFmtId="171" fontId="28" fillId="9" borderId="36" xfId="4" applyNumberFormat="1" applyFont="1" applyFill="1" applyBorder="1" applyAlignment="1">
      <alignment vertical="center" wrapText="1"/>
    </xf>
    <xf numFmtId="165" fontId="28" fillId="9" borderId="59" xfId="21" applyFont="1" applyFill="1" applyBorder="1" applyAlignment="1">
      <alignment horizontal="center" vertical="center"/>
    </xf>
    <xf numFmtId="165" fontId="28" fillId="9" borderId="12" xfId="21" applyFont="1" applyFill="1" applyBorder="1" applyAlignment="1">
      <alignment horizontal="center" vertical="center"/>
    </xf>
    <xf numFmtId="165" fontId="28" fillId="9" borderId="11" xfId="21" applyFont="1" applyFill="1" applyBorder="1" applyAlignment="1">
      <alignment horizontal="center" vertical="center"/>
    </xf>
    <xf numFmtId="165" fontId="28" fillId="9" borderId="127" xfId="21" applyFont="1" applyFill="1" applyBorder="1" applyAlignment="1">
      <alignment horizontal="center" vertical="center"/>
    </xf>
    <xf numFmtId="165" fontId="28" fillId="9" borderId="129" xfId="21" applyFont="1" applyFill="1" applyBorder="1" applyAlignment="1">
      <alignment horizontal="center" vertical="center"/>
    </xf>
    <xf numFmtId="165" fontId="28" fillId="9" borderId="0" xfId="21" applyFont="1" applyFill="1" applyBorder="1" applyAlignment="1">
      <alignment horizontal="center" vertical="center"/>
    </xf>
    <xf numFmtId="165" fontId="28" fillId="9" borderId="0" xfId="1" applyNumberFormat="1" applyFont="1" applyFill="1" applyAlignment="1">
      <alignment horizontal="center" vertical="center"/>
    </xf>
    <xf numFmtId="172" fontId="28" fillId="9" borderId="0" xfId="9" applyNumberFormat="1" applyFont="1" applyFill="1" applyAlignment="1">
      <alignment horizontal="center" vertical="center"/>
    </xf>
    <xf numFmtId="172" fontId="31" fillId="9" borderId="0" xfId="1" applyNumberFormat="1" applyFont="1" applyFill="1" applyAlignment="1">
      <alignment horizontal="center" vertical="center"/>
    </xf>
    <xf numFmtId="0" fontId="31" fillId="9" borderId="0" xfId="1" applyFont="1" applyFill="1" applyAlignment="1">
      <alignment horizontal="center" vertical="center"/>
    </xf>
    <xf numFmtId="172" fontId="25" fillId="0" borderId="14" xfId="9" applyNumberFormat="1" applyFont="1" applyFill="1" applyBorder="1" applyAlignment="1">
      <alignment horizontal="center" vertical="center" wrapText="1"/>
    </xf>
    <xf numFmtId="172" fontId="25" fillId="0" borderId="53" xfId="9" applyNumberFormat="1" applyFont="1" applyFill="1" applyBorder="1" applyAlignment="1">
      <alignment horizontal="center" vertical="center" wrapText="1"/>
    </xf>
    <xf numFmtId="172" fontId="25" fillId="0" borderId="22" xfId="9" applyNumberFormat="1" applyFont="1" applyFill="1" applyBorder="1" applyAlignment="1">
      <alignment horizontal="center" vertical="center" wrapText="1"/>
    </xf>
    <xf numFmtId="172" fontId="25" fillId="0" borderId="36" xfId="9" applyNumberFormat="1" applyFont="1" applyFill="1" applyBorder="1" applyAlignment="1">
      <alignment horizontal="center" vertical="center" wrapText="1"/>
    </xf>
    <xf numFmtId="172" fontId="25" fillId="0" borderId="23" xfId="9" applyNumberFormat="1" applyFont="1" applyFill="1" applyBorder="1" applyAlignment="1">
      <alignment horizontal="center" vertical="center" wrapText="1"/>
    </xf>
    <xf numFmtId="49" fontId="31" fillId="9" borderId="33" xfId="2" applyNumberFormat="1" applyFont="1" applyFill="1" applyBorder="1" applyAlignment="1">
      <alignment horizontal="center" vertical="center" wrapText="1"/>
    </xf>
    <xf numFmtId="166" fontId="18" fillId="0" borderId="0" xfId="9" applyFont="1" applyFill="1" applyAlignment="1">
      <alignment horizontal="center" vertical="center"/>
    </xf>
    <xf numFmtId="166" fontId="18" fillId="8" borderId="0" xfId="9" applyFont="1" applyFill="1" applyAlignment="1">
      <alignment horizontal="center" vertical="center"/>
    </xf>
    <xf numFmtId="172" fontId="194" fillId="9" borderId="20" xfId="2" applyNumberFormat="1" applyFont="1" applyFill="1" applyBorder="1" applyAlignment="1">
      <alignment horizontal="center" vertical="center" wrapText="1"/>
    </xf>
    <xf numFmtId="172" fontId="194" fillId="9" borderId="130" xfId="2" applyNumberFormat="1" applyFont="1" applyFill="1" applyBorder="1" applyAlignment="1">
      <alignment horizontal="center" vertical="center" wrapText="1"/>
    </xf>
    <xf numFmtId="172" fontId="194" fillId="9" borderId="130" xfId="2" applyNumberFormat="1" applyFont="1" applyFill="1" applyBorder="1" applyAlignment="1">
      <alignment horizontal="right" vertical="center" wrapText="1"/>
    </xf>
    <xf numFmtId="172" fontId="194" fillId="9" borderId="130" xfId="2" applyNumberFormat="1" applyFont="1" applyFill="1" applyBorder="1" applyAlignment="1">
      <alignment horizontal="right" vertical="center"/>
    </xf>
    <xf numFmtId="172" fontId="194" fillId="9" borderId="130" xfId="9" applyNumberFormat="1" applyFont="1" applyFill="1" applyBorder="1" applyAlignment="1">
      <alignment horizontal="right" vertical="center"/>
    </xf>
    <xf numFmtId="172" fontId="194" fillId="9" borderId="130" xfId="9" applyNumberFormat="1" applyFont="1" applyFill="1" applyBorder="1" applyAlignment="1">
      <alignment horizontal="center" vertical="center" wrapText="1"/>
    </xf>
    <xf numFmtId="165" fontId="194" fillId="9" borderId="130" xfId="9" applyNumberFormat="1" applyFont="1" applyFill="1" applyBorder="1" applyAlignment="1">
      <alignment horizontal="right" vertical="center" wrapText="1"/>
    </xf>
    <xf numFmtId="165" fontId="194" fillId="9" borderId="130" xfId="9" applyNumberFormat="1" applyFont="1" applyFill="1" applyBorder="1" applyAlignment="1">
      <alignment horizontal="center" vertical="center" wrapText="1"/>
    </xf>
    <xf numFmtId="0" fontId="75" fillId="0" borderId="133" xfId="0" applyFont="1" applyBorder="1" applyAlignment="1">
      <alignment vertical="center"/>
    </xf>
    <xf numFmtId="172" fontId="16" fillId="0" borderId="133" xfId="9" applyNumberFormat="1" applyFont="1" applyBorder="1" applyAlignment="1">
      <alignment horizontal="center" vertical="center"/>
    </xf>
    <xf numFmtId="172" fontId="16" fillId="0" borderId="134" xfId="9" applyNumberFormat="1" applyFont="1" applyFill="1" applyBorder="1" applyAlignment="1">
      <alignment horizontal="center" vertical="center"/>
    </xf>
    <xf numFmtId="37" fontId="187" fillId="0" borderId="80" xfId="2" applyNumberFormat="1" applyFont="1" applyFill="1" applyBorder="1" applyAlignment="1">
      <alignment horizontal="center" vertical="center" wrapText="1"/>
    </xf>
    <xf numFmtId="172" fontId="178" fillId="0" borderId="53" xfId="2" applyNumberFormat="1" applyFont="1" applyFill="1" applyBorder="1" applyAlignment="1">
      <alignment horizontal="center" vertical="center" wrapText="1"/>
    </xf>
    <xf numFmtId="172" fontId="182" fillId="0" borderId="53" xfId="2" applyNumberFormat="1" applyFont="1" applyFill="1" applyBorder="1" applyAlignment="1">
      <alignment horizontal="center" vertical="center" textRotation="90"/>
    </xf>
    <xf numFmtId="165" fontId="194" fillId="0" borderId="53" xfId="21" applyFont="1" applyFill="1" applyBorder="1" applyAlignment="1">
      <alignment vertical="center" wrapText="1"/>
    </xf>
    <xf numFmtId="172" fontId="182" fillId="0" borderId="53" xfId="9" applyNumberFormat="1" applyFont="1" applyFill="1" applyBorder="1" applyAlignment="1">
      <alignment horizontal="center" vertical="center" wrapText="1"/>
    </xf>
    <xf numFmtId="165" fontId="194" fillId="0" borderId="53" xfId="2" applyNumberFormat="1" applyFont="1" applyFill="1" applyBorder="1" applyAlignment="1">
      <alignment horizontal="center" vertical="center" wrapText="1"/>
    </xf>
    <xf numFmtId="172" fontId="194" fillId="0" borderId="53" xfId="2" applyNumberFormat="1" applyFont="1" applyFill="1" applyBorder="1" applyAlignment="1">
      <alignment horizontal="center" vertical="center" wrapText="1"/>
    </xf>
    <xf numFmtId="172" fontId="194" fillId="0" borderId="54" xfId="2" applyNumberFormat="1" applyFont="1" applyFill="1" applyBorder="1" applyAlignment="1">
      <alignment horizontal="center" vertical="center" wrapText="1"/>
    </xf>
    <xf numFmtId="0" fontId="181" fillId="0" borderId="110" xfId="1" applyFont="1" applyBorder="1" applyAlignment="1">
      <alignment horizontal="center" vertical="center"/>
    </xf>
    <xf numFmtId="172" fontId="186" fillId="0" borderId="132" xfId="9" applyNumberFormat="1" applyFont="1" applyFill="1" applyBorder="1" applyAlignment="1">
      <alignment horizontal="center" vertical="center"/>
    </xf>
    <xf numFmtId="0" fontId="186" fillId="0" borderId="132" xfId="1" applyFont="1" applyBorder="1" applyAlignment="1">
      <alignment horizontal="center" vertical="center"/>
    </xf>
    <xf numFmtId="0" fontId="186" fillId="0" borderId="132" xfId="1" applyFont="1" applyBorder="1" applyAlignment="1">
      <alignment horizontal="right" vertical="center"/>
    </xf>
    <xf numFmtId="177" fontId="67" fillId="9" borderId="129" xfId="77" applyNumberFormat="1" applyFont="1" applyFill="1" applyBorder="1" applyAlignment="1">
      <alignment horizontal="left" vertical="center"/>
    </xf>
    <xf numFmtId="166" fontId="14" fillId="0" borderId="53" xfId="1162" applyFont="1" applyFill="1" applyBorder="1" applyAlignment="1">
      <alignment horizontal="center" vertical="center"/>
    </xf>
    <xf numFmtId="41" fontId="16" fillId="2" borderId="0" xfId="0" applyNumberFormat="1" applyFont="1" applyFill="1" applyAlignment="1">
      <alignment vertical="center"/>
    </xf>
    <xf numFmtId="43" fontId="200" fillId="0" borderId="0" xfId="0" applyNumberFormat="1" applyFont="1" applyAlignment="1">
      <alignment horizontal="center" vertical="center"/>
    </xf>
    <xf numFmtId="43" fontId="16" fillId="2" borderId="0" xfId="0" applyNumberFormat="1" applyFont="1" applyFill="1" applyAlignment="1">
      <alignment vertical="center"/>
    </xf>
    <xf numFmtId="43" fontId="16" fillId="2" borderId="0" xfId="0" applyNumberFormat="1" applyFont="1" applyFill="1" applyAlignment="1">
      <alignment horizontal="center" vertical="center"/>
    </xf>
    <xf numFmtId="43" fontId="200" fillId="2" borderId="0" xfId="0" applyNumberFormat="1" applyFont="1" applyFill="1" applyAlignment="1">
      <alignment horizontal="center" vertical="center"/>
    </xf>
    <xf numFmtId="43" fontId="165" fillId="0" borderId="0" xfId="0" applyNumberFormat="1" applyFont="1" applyAlignment="1">
      <alignment vertical="center"/>
    </xf>
    <xf numFmtId="172" fontId="178" fillId="0" borderId="0" xfId="0" applyNumberFormat="1" applyFont="1"/>
    <xf numFmtId="0" fontId="186" fillId="0" borderId="110" xfId="1" applyFont="1" applyBorder="1" applyAlignment="1">
      <alignment horizontal="center" vertical="center"/>
    </xf>
    <xf numFmtId="0" fontId="179" fillId="0" borderId="32" xfId="0" applyFont="1" applyBorder="1" applyAlignment="1">
      <alignment horizontal="center" vertical="center"/>
    </xf>
    <xf numFmtId="0" fontId="178" fillId="0" borderId="0" xfId="0" quotePrefix="1" applyFont="1" applyAlignment="1">
      <alignment horizontal="center" vertical="center"/>
    </xf>
    <xf numFmtId="172" fontId="194" fillId="0" borderId="134" xfId="2" applyNumberFormat="1" applyFont="1" applyFill="1" applyBorder="1" applyAlignment="1">
      <alignment horizontal="center" vertical="center" wrapText="1"/>
    </xf>
    <xf numFmtId="165" fontId="199" fillId="0" borderId="27" xfId="2" applyNumberFormat="1" applyFont="1" applyFill="1" applyBorder="1" applyAlignment="1">
      <alignment horizontal="right" vertical="center"/>
    </xf>
    <xf numFmtId="0" fontId="178" fillId="0" borderId="0" xfId="1" applyFont="1"/>
    <xf numFmtId="0" fontId="178" fillId="0" borderId="0" xfId="1" applyFont="1" applyAlignment="1">
      <alignment horizontal="center"/>
    </xf>
    <xf numFmtId="0" fontId="178" fillId="0" borderId="0" xfId="1" applyFont="1" applyAlignment="1">
      <alignment horizontal="center" textRotation="90"/>
    </xf>
    <xf numFmtId="172" fontId="179" fillId="0" borderId="0" xfId="2" applyNumberFormat="1" applyFont="1" applyFill="1" applyBorder="1" applyAlignment="1">
      <alignment horizontal="right"/>
    </xf>
    <xf numFmtId="166" fontId="178" fillId="0" borderId="0" xfId="1" applyNumberFormat="1" applyFont="1"/>
    <xf numFmtId="172" fontId="179" fillId="0" borderId="0" xfId="2" applyNumberFormat="1" applyFont="1" applyFill="1" applyBorder="1" applyAlignment="1"/>
    <xf numFmtId="0" fontId="177" fillId="0" borderId="0" xfId="2" applyNumberFormat="1" applyFont="1" applyFill="1" applyBorder="1" applyAlignment="1"/>
    <xf numFmtId="174" fontId="179" fillId="0" borderId="0" xfId="2" applyNumberFormat="1" applyFont="1" applyFill="1" applyBorder="1" applyAlignment="1"/>
    <xf numFmtId="0" fontId="177" fillId="0" borderId="0" xfId="1" applyFont="1" applyAlignment="1">
      <alignment horizontal="right"/>
    </xf>
    <xf numFmtId="0" fontId="177" fillId="0" borderId="0" xfId="1" applyFont="1" applyAlignment="1">
      <alignment horizontal="center"/>
    </xf>
    <xf numFmtId="174" fontId="179" fillId="0" borderId="0" xfId="2" applyNumberFormat="1" applyFont="1" applyFill="1" applyBorder="1" applyAlignment="1">
      <alignment horizontal="center"/>
    </xf>
    <xf numFmtId="172" fontId="179" fillId="0" borderId="0" xfId="2" applyNumberFormat="1" applyFont="1" applyFill="1" applyBorder="1" applyAlignment="1">
      <alignment horizontal="center"/>
    </xf>
    <xf numFmtId="172" fontId="178" fillId="0" borderId="0" xfId="9" applyNumberFormat="1" applyFont="1" applyFill="1" applyAlignment="1"/>
    <xf numFmtId="172" fontId="178" fillId="0" borderId="0" xfId="9" applyNumberFormat="1" applyFont="1" applyFill="1" applyAlignment="1">
      <alignment horizontal="center"/>
    </xf>
    <xf numFmtId="165" fontId="178" fillId="0" borderId="0" xfId="21" applyFont="1" applyFill="1" applyAlignment="1"/>
    <xf numFmtId="0" fontId="179" fillId="0" borderId="0" xfId="1" applyFont="1"/>
    <xf numFmtId="0" fontId="178" fillId="0" borderId="0" xfId="1" applyFont="1" applyAlignment="1">
      <alignment vertical="top"/>
    </xf>
    <xf numFmtId="0" fontId="182" fillId="0" borderId="0" xfId="1" applyFont="1" applyAlignment="1">
      <alignment horizontal="center" vertical="top" textRotation="90"/>
    </xf>
    <xf numFmtId="0" fontId="187" fillId="0" borderId="0" xfId="1" applyFont="1" applyAlignment="1">
      <alignment vertical="top"/>
    </xf>
    <xf numFmtId="165" fontId="178" fillId="0" borderId="0" xfId="21" applyFont="1" applyFill="1" applyAlignment="1">
      <alignment vertical="top"/>
    </xf>
    <xf numFmtId="0" fontId="178" fillId="0" borderId="0" xfId="1" applyFont="1" applyAlignment="1">
      <alignment horizontal="right" vertical="top"/>
    </xf>
    <xf numFmtId="172" fontId="178" fillId="0" borderId="0" xfId="9" applyNumberFormat="1" applyFont="1" applyFill="1" applyAlignment="1">
      <alignment vertical="top"/>
    </xf>
    <xf numFmtId="0" fontId="179" fillId="0" borderId="0" xfId="1" applyFont="1" applyAlignment="1">
      <alignment vertical="top"/>
    </xf>
    <xf numFmtId="172" fontId="198" fillId="0" borderId="132" xfId="2" applyNumberFormat="1" applyFont="1" applyFill="1" applyBorder="1" applyAlignment="1">
      <alignment horizontal="center" vertical="center" wrapText="1"/>
    </xf>
    <xf numFmtId="165" fontId="201" fillId="0" borderId="27" xfId="2" applyNumberFormat="1" applyFont="1" applyFill="1" applyBorder="1" applyAlignment="1">
      <alignment horizontal="right" vertical="center"/>
    </xf>
    <xf numFmtId="165" fontId="181" fillId="0" borderId="27" xfId="2" applyNumberFormat="1" applyFont="1" applyFill="1" applyBorder="1" applyAlignment="1">
      <alignment horizontal="right" vertical="center"/>
    </xf>
    <xf numFmtId="165" fontId="179" fillId="0" borderId="28" xfId="2" applyNumberFormat="1" applyFont="1" applyFill="1" applyBorder="1" applyAlignment="1">
      <alignment horizontal="right" vertical="center"/>
    </xf>
    <xf numFmtId="172" fontId="198" fillId="0" borderId="21" xfId="2" applyNumberFormat="1" applyFont="1" applyFill="1" applyBorder="1" applyAlignment="1">
      <alignment horizontal="center" vertical="center" wrapText="1"/>
    </xf>
    <xf numFmtId="172" fontId="198" fillId="0" borderId="129" xfId="2" applyNumberFormat="1" applyFont="1" applyFill="1" applyBorder="1" applyAlignment="1">
      <alignment horizontal="center" vertical="center" wrapText="1"/>
    </xf>
    <xf numFmtId="172" fontId="198" fillId="0" borderId="35" xfId="2" applyNumberFormat="1" applyFont="1" applyFill="1" applyBorder="1" applyAlignment="1">
      <alignment horizontal="center" vertical="center" wrapText="1"/>
    </xf>
    <xf numFmtId="172" fontId="202" fillId="0" borderId="53" xfId="9" applyNumberFormat="1" applyFont="1" applyFill="1" applyBorder="1" applyAlignment="1">
      <alignment horizontal="center" vertical="center"/>
    </xf>
    <xf numFmtId="165" fontId="202" fillId="0" borderId="53" xfId="21" applyFont="1" applyFill="1" applyBorder="1" applyAlignment="1">
      <alignment vertical="center" wrapText="1"/>
    </xf>
    <xf numFmtId="165" fontId="202" fillId="0" borderId="53" xfId="2" applyNumberFormat="1" applyFont="1" applyFill="1" applyBorder="1" applyAlignment="1">
      <alignment horizontal="center" vertical="center" wrapText="1"/>
    </xf>
    <xf numFmtId="165" fontId="202" fillId="0" borderId="53" xfId="2" applyNumberFormat="1" applyFont="1" applyFill="1" applyBorder="1" applyAlignment="1">
      <alignment horizontal="center" vertical="center"/>
    </xf>
    <xf numFmtId="172" fontId="202" fillId="0" borderId="53" xfId="2" applyNumberFormat="1" applyFont="1" applyFill="1" applyBorder="1" applyAlignment="1">
      <alignment horizontal="center" vertical="center" wrapText="1"/>
    </xf>
    <xf numFmtId="165" fontId="202" fillId="9" borderId="20" xfId="9" applyNumberFormat="1" applyFont="1" applyFill="1" applyBorder="1" applyAlignment="1">
      <alignment horizontal="center" vertical="center" wrapText="1"/>
    </xf>
    <xf numFmtId="165" fontId="202" fillId="0" borderId="20" xfId="9" applyNumberFormat="1" applyFont="1" applyFill="1" applyBorder="1" applyAlignment="1">
      <alignment horizontal="center" vertical="center" wrapText="1"/>
    </xf>
    <xf numFmtId="165" fontId="202" fillId="9" borderId="20" xfId="9" applyNumberFormat="1" applyFont="1" applyFill="1" applyBorder="1" applyAlignment="1">
      <alignment horizontal="right" vertical="center" wrapText="1"/>
    </xf>
    <xf numFmtId="165" fontId="202" fillId="0" borderId="20" xfId="2" applyNumberFormat="1" applyFont="1" applyFill="1" applyBorder="1" applyAlignment="1">
      <alignment horizontal="center" vertical="center" wrapText="1"/>
    </xf>
    <xf numFmtId="165" fontId="202" fillId="0" borderId="53" xfId="9" applyNumberFormat="1" applyFont="1" applyFill="1" applyBorder="1" applyAlignment="1">
      <alignment horizontal="center" vertical="center" wrapText="1"/>
    </xf>
    <xf numFmtId="165" fontId="202" fillId="0" borderId="53" xfId="9" applyNumberFormat="1" applyFont="1" applyFill="1" applyBorder="1" applyAlignment="1">
      <alignment horizontal="right" vertical="center" wrapText="1"/>
    </xf>
    <xf numFmtId="165" fontId="202" fillId="9" borderId="53" xfId="2" applyNumberFormat="1" applyFont="1" applyFill="1" applyBorder="1" applyAlignment="1">
      <alignment horizontal="center" vertical="center" wrapText="1"/>
    </xf>
    <xf numFmtId="173" fontId="202" fillId="0" borderId="53" xfId="2" applyNumberFormat="1" applyFont="1" applyFill="1" applyBorder="1" applyAlignment="1">
      <alignment horizontal="center" vertical="center" wrapText="1"/>
    </xf>
    <xf numFmtId="172" fontId="202" fillId="0" borderId="130" xfId="9" applyNumberFormat="1" applyFont="1" applyFill="1" applyBorder="1" applyAlignment="1">
      <alignment horizontal="center" vertical="center"/>
    </xf>
    <xf numFmtId="165" fontId="202" fillId="0" borderId="130" xfId="21" applyFont="1" applyFill="1" applyBorder="1" applyAlignment="1">
      <alignment vertical="center" wrapText="1"/>
    </xf>
    <xf numFmtId="165" fontId="202" fillId="0" borderId="130" xfId="2" applyNumberFormat="1" applyFont="1" applyFill="1" applyBorder="1" applyAlignment="1">
      <alignment horizontal="center" vertical="center" wrapText="1"/>
    </xf>
    <xf numFmtId="165" fontId="202" fillId="0" borderId="130" xfId="2" applyNumberFormat="1" applyFont="1" applyFill="1" applyBorder="1" applyAlignment="1">
      <alignment horizontal="center" vertical="center"/>
    </xf>
    <xf numFmtId="172" fontId="202" fillId="0" borderId="130" xfId="2" applyNumberFormat="1" applyFont="1" applyFill="1" applyBorder="1" applyAlignment="1">
      <alignment horizontal="center" vertical="center" wrapText="1"/>
    </xf>
    <xf numFmtId="165" fontId="202" fillId="9" borderId="130" xfId="9" applyNumberFormat="1" applyFont="1" applyFill="1" applyBorder="1" applyAlignment="1">
      <alignment horizontal="center" vertical="center" wrapText="1"/>
    </xf>
    <xf numFmtId="165" fontId="202" fillId="0" borderId="130" xfId="9" applyNumberFormat="1" applyFont="1" applyFill="1" applyBorder="1" applyAlignment="1">
      <alignment horizontal="center" vertical="center" wrapText="1"/>
    </xf>
    <xf numFmtId="165" fontId="202" fillId="9" borderId="130" xfId="9" applyNumberFormat="1" applyFont="1" applyFill="1" applyBorder="1" applyAlignment="1">
      <alignment horizontal="right" vertical="center" wrapText="1"/>
    </xf>
    <xf numFmtId="165" fontId="202" fillId="0" borderId="130" xfId="9" applyNumberFormat="1" applyFont="1" applyFill="1" applyBorder="1" applyAlignment="1">
      <alignment horizontal="right" vertical="center" wrapText="1"/>
    </xf>
    <xf numFmtId="165" fontId="202" fillId="9" borderId="130" xfId="2" applyNumberFormat="1" applyFont="1" applyFill="1" applyBorder="1" applyAlignment="1">
      <alignment horizontal="center" vertical="center" wrapText="1"/>
    </xf>
    <xf numFmtId="173" fontId="202" fillId="0" borderId="130" xfId="2" applyNumberFormat="1" applyFont="1" applyFill="1" applyBorder="1" applyAlignment="1">
      <alignment horizontal="center" vertical="center" wrapText="1"/>
    </xf>
    <xf numFmtId="172" fontId="202" fillId="0" borderId="132" xfId="2" applyNumberFormat="1" applyFont="1" applyFill="1" applyBorder="1" applyAlignment="1">
      <alignment horizontal="center" vertical="center" wrapText="1"/>
    </xf>
    <xf numFmtId="165" fontId="199" fillId="0" borderId="28" xfId="2" applyNumberFormat="1" applyFont="1" applyFill="1" applyBorder="1" applyAlignment="1">
      <alignment horizontal="right" vertical="center"/>
    </xf>
    <xf numFmtId="165" fontId="194" fillId="0" borderId="14" xfId="21" applyFont="1" applyFill="1" applyBorder="1" applyAlignment="1">
      <alignment vertical="center" wrapText="1"/>
    </xf>
    <xf numFmtId="172" fontId="202" fillId="0" borderId="133" xfId="9" applyNumberFormat="1" applyFont="1" applyFill="1" applyBorder="1" applyAlignment="1">
      <alignment horizontal="center" vertical="center"/>
    </xf>
    <xf numFmtId="165" fontId="202" fillId="0" borderId="133" xfId="21" applyFont="1" applyFill="1" applyBorder="1" applyAlignment="1">
      <alignment vertical="center" wrapText="1"/>
    </xf>
    <xf numFmtId="165" fontId="202" fillId="0" borderId="133" xfId="2" applyNumberFormat="1" applyFont="1" applyFill="1" applyBorder="1" applyAlignment="1">
      <alignment horizontal="center" vertical="center" wrapText="1"/>
    </xf>
    <xf numFmtId="165" fontId="202" fillId="0" borderId="133" xfId="2" applyNumberFormat="1" applyFont="1" applyFill="1" applyBorder="1" applyAlignment="1">
      <alignment horizontal="center" vertical="center"/>
    </xf>
    <xf numFmtId="172" fontId="202" fillId="0" borderId="133" xfId="2" applyNumberFormat="1" applyFont="1" applyFill="1" applyBorder="1" applyAlignment="1">
      <alignment horizontal="center" vertical="center" wrapText="1"/>
    </xf>
    <xf numFmtId="165" fontId="202" fillId="0" borderId="133" xfId="9" applyNumberFormat="1" applyFont="1" applyFill="1" applyBorder="1" applyAlignment="1">
      <alignment horizontal="center" vertical="center" wrapText="1"/>
    </xf>
    <xf numFmtId="165" fontId="202" fillId="9" borderId="133" xfId="9" applyNumberFormat="1" applyFont="1" applyFill="1" applyBorder="1" applyAlignment="1">
      <alignment horizontal="right" vertical="center" wrapText="1"/>
    </xf>
    <xf numFmtId="165" fontId="202" fillId="0" borderId="14" xfId="2" applyNumberFormat="1" applyFont="1" applyFill="1" applyBorder="1" applyAlignment="1">
      <alignment horizontal="center" vertical="center" wrapText="1"/>
    </xf>
    <xf numFmtId="165" fontId="202" fillId="0" borderId="14" xfId="9" applyNumberFormat="1" applyFont="1" applyFill="1" applyBorder="1" applyAlignment="1">
      <alignment horizontal="center" vertical="center" wrapText="1"/>
    </xf>
    <xf numFmtId="165" fontId="202" fillId="0" borderId="133" xfId="9" applyNumberFormat="1" applyFont="1" applyFill="1" applyBorder="1" applyAlignment="1">
      <alignment horizontal="right" vertical="center" wrapText="1"/>
    </xf>
    <xf numFmtId="173" fontId="202" fillId="0" borderId="133" xfId="2" applyNumberFormat="1" applyFont="1" applyFill="1" applyBorder="1" applyAlignment="1">
      <alignment horizontal="center" vertical="center" wrapText="1"/>
    </xf>
    <xf numFmtId="172" fontId="191" fillId="0" borderId="32" xfId="2" applyNumberFormat="1" applyFont="1" applyFill="1" applyBorder="1" applyAlignment="1">
      <alignment vertical="center"/>
    </xf>
    <xf numFmtId="172" fontId="191" fillId="0" borderId="27" xfId="2" applyNumberFormat="1" applyFont="1" applyFill="1" applyBorder="1" applyAlignment="1">
      <alignment horizontal="center" vertical="center"/>
    </xf>
    <xf numFmtId="172" fontId="191" fillId="0" borderId="27" xfId="2" applyNumberFormat="1" applyFont="1" applyFill="1" applyBorder="1" applyAlignment="1">
      <alignment horizontal="center" vertical="center" textRotation="90"/>
    </xf>
    <xf numFmtId="172" fontId="199" fillId="0" borderId="27" xfId="2" applyNumberFormat="1" applyFont="1" applyFill="1" applyBorder="1" applyAlignment="1">
      <alignment horizontal="center" vertical="center"/>
    </xf>
    <xf numFmtId="0" fontId="179" fillId="0" borderId="0" xfId="0" quotePrefix="1" applyFont="1" applyAlignment="1">
      <alignment vertical="center"/>
    </xf>
    <xf numFmtId="0" fontId="178" fillId="0" borderId="21" xfId="0" applyFont="1" applyBorder="1" applyAlignment="1">
      <alignment horizontal="center" vertical="center"/>
    </xf>
    <xf numFmtId="0" fontId="178" fillId="0" borderId="129" xfId="0" applyFont="1" applyBorder="1" applyAlignment="1">
      <alignment horizontal="center" vertical="center"/>
    </xf>
    <xf numFmtId="0" fontId="178" fillId="2" borderId="129" xfId="0" applyFont="1" applyFill="1" applyBorder="1" applyAlignment="1">
      <alignment horizontal="center" vertical="center"/>
    </xf>
    <xf numFmtId="172" fontId="190" fillId="0" borderId="28" xfId="0" applyNumberFormat="1" applyFont="1" applyBorder="1" applyAlignment="1">
      <alignment horizontal="center" vertical="center"/>
    </xf>
    <xf numFmtId="0" fontId="178" fillId="0" borderId="54" xfId="0" applyFont="1" applyBorder="1" applyAlignment="1">
      <alignment horizontal="center" vertical="center"/>
    </xf>
    <xf numFmtId="0" fontId="178" fillId="0" borderId="134" xfId="0" applyFont="1" applyBorder="1" applyAlignment="1">
      <alignment horizontal="center" vertical="center"/>
    </xf>
    <xf numFmtId="165" fontId="190" fillId="0" borderId="28" xfId="0" applyNumberFormat="1" applyFont="1" applyBorder="1" applyAlignment="1">
      <alignment horizontal="center" vertical="center"/>
    </xf>
    <xf numFmtId="0" fontId="178" fillId="0" borderId="35" xfId="0" applyFont="1" applyBorder="1" applyAlignment="1">
      <alignment horizontal="center" vertical="center"/>
    </xf>
    <xf numFmtId="165" fontId="179" fillId="0" borderId="42" xfId="0" applyNumberFormat="1" applyFont="1" applyBorder="1" applyAlignment="1">
      <alignment horizontal="center" vertical="center"/>
    </xf>
    <xf numFmtId="165" fontId="179" fillId="0" borderId="28" xfId="0" applyNumberFormat="1" applyFont="1" applyBorder="1" applyAlignment="1">
      <alignment horizontal="center" vertical="center"/>
    </xf>
    <xf numFmtId="172" fontId="201" fillId="0" borderId="0" xfId="1" applyNumberFormat="1" applyFont="1" applyAlignment="1">
      <alignment vertical="center"/>
    </xf>
    <xf numFmtId="0" fontId="202" fillId="0" borderId="0" xfId="1" applyFont="1" applyAlignment="1">
      <alignment vertical="center"/>
    </xf>
    <xf numFmtId="0" fontId="201" fillId="0" borderId="2" xfId="1" applyFont="1" applyBorder="1" applyAlignment="1">
      <alignment horizontal="center" vertical="center"/>
    </xf>
    <xf numFmtId="0" fontId="201" fillId="0" borderId="10" xfId="1" applyFont="1" applyBorder="1" applyAlignment="1">
      <alignment horizontal="center" vertical="center"/>
    </xf>
    <xf numFmtId="0" fontId="201" fillId="0" borderId="111" xfId="1" applyFont="1" applyBorder="1" applyAlignment="1">
      <alignment horizontal="center" vertical="center"/>
    </xf>
    <xf numFmtId="172" fontId="202" fillId="0" borderId="20" xfId="2" applyNumberFormat="1" applyFont="1" applyFill="1" applyBorder="1" applyAlignment="1">
      <alignment horizontal="center" vertical="center" wrapText="1"/>
    </xf>
    <xf numFmtId="172" fontId="203" fillId="0" borderId="0" xfId="2" applyNumberFormat="1" applyFont="1" applyFill="1" applyBorder="1" applyAlignment="1">
      <alignment horizontal="center" vertical="center" wrapText="1"/>
    </xf>
    <xf numFmtId="173" fontId="203" fillId="0" borderId="0" xfId="2" applyNumberFormat="1" applyFont="1" applyFill="1" applyBorder="1" applyAlignment="1">
      <alignment horizontal="right" vertical="center"/>
    </xf>
    <xf numFmtId="0" fontId="201" fillId="0" borderId="0" xfId="1" applyFont="1" applyAlignment="1">
      <alignment vertical="center"/>
    </xf>
    <xf numFmtId="173" fontId="202" fillId="0" borderId="0" xfId="1" applyNumberFormat="1" applyFont="1" applyAlignment="1">
      <alignment vertical="center"/>
    </xf>
    <xf numFmtId="0" fontId="202" fillId="0" borderId="0" xfId="1" applyFont="1"/>
    <xf numFmtId="0" fontId="202" fillId="0" borderId="0" xfId="1" applyFont="1" applyAlignment="1">
      <alignment vertical="top"/>
    </xf>
    <xf numFmtId="0" fontId="201" fillId="0" borderId="23" xfId="1" applyFont="1" applyBorder="1" applyAlignment="1">
      <alignment horizontal="center" vertical="center"/>
    </xf>
    <xf numFmtId="173" fontId="201" fillId="0" borderId="27" xfId="2" applyNumberFormat="1" applyFont="1" applyFill="1" applyBorder="1" applyAlignment="1">
      <alignment horizontal="right" vertical="center"/>
    </xf>
    <xf numFmtId="173" fontId="201" fillId="0" borderId="0" xfId="2" applyNumberFormat="1" applyFont="1" applyFill="1" applyBorder="1" applyAlignment="1">
      <alignment horizontal="right" vertical="center"/>
    </xf>
    <xf numFmtId="172" fontId="201" fillId="0" borderId="0" xfId="2" applyNumberFormat="1" applyFont="1" applyFill="1" applyBorder="1" applyAlignment="1">
      <alignment horizontal="center" vertical="center" wrapText="1"/>
    </xf>
    <xf numFmtId="172" fontId="202" fillId="0" borderId="0" xfId="1" applyNumberFormat="1" applyFont="1" applyAlignment="1">
      <alignment vertical="center"/>
    </xf>
    <xf numFmtId="0" fontId="201" fillId="0" borderId="0" xfId="1" applyFont="1" applyAlignment="1">
      <alignment horizontal="center" vertical="center"/>
    </xf>
    <xf numFmtId="0" fontId="201" fillId="0" borderId="7" xfId="1" applyFont="1" applyBorder="1" applyAlignment="1">
      <alignment horizontal="center" vertical="center"/>
    </xf>
    <xf numFmtId="0" fontId="201" fillId="0" borderId="14" xfId="1" applyFont="1" applyBorder="1" applyAlignment="1">
      <alignment horizontal="center" vertical="center"/>
    </xf>
    <xf numFmtId="172" fontId="202" fillId="0" borderId="0" xfId="2" applyNumberFormat="1" applyFont="1" applyFill="1" applyBorder="1" applyAlignment="1">
      <alignment horizontal="center" vertical="center" wrapText="1"/>
    </xf>
    <xf numFmtId="0" fontId="201" fillId="0" borderId="110" xfId="1" applyFont="1" applyBorder="1" applyAlignment="1">
      <alignment horizontal="center" vertical="center"/>
    </xf>
    <xf numFmtId="165" fontId="202" fillId="0" borderId="0" xfId="1" applyNumberFormat="1" applyFont="1" applyAlignment="1">
      <alignment vertical="center"/>
    </xf>
    <xf numFmtId="41" fontId="166" fillId="0" borderId="0" xfId="0" applyNumberFormat="1" applyFont="1" applyAlignment="1">
      <alignment vertical="center"/>
    </xf>
    <xf numFmtId="43" fontId="166" fillId="0" borderId="0" xfId="0" applyNumberFormat="1" applyFont="1" applyAlignment="1">
      <alignment horizontal="center" vertical="center"/>
    </xf>
    <xf numFmtId="43" fontId="204" fillId="0" borderId="0" xfId="0" applyNumberFormat="1" applyFont="1" applyAlignment="1">
      <alignment horizontal="center" vertical="center"/>
    </xf>
    <xf numFmtId="43" fontId="166" fillId="0" borderId="0" xfId="0" applyNumberFormat="1" applyFont="1" applyAlignment="1">
      <alignment vertical="center"/>
    </xf>
    <xf numFmtId="172" fontId="202" fillId="0" borderId="27" xfId="2" applyNumberFormat="1" applyFont="1" applyFill="1" applyBorder="1" applyAlignment="1">
      <alignment horizontal="center" vertical="center" wrapText="1"/>
    </xf>
    <xf numFmtId="172" fontId="202" fillId="0" borderId="28" xfId="2" applyNumberFormat="1" applyFont="1" applyFill="1" applyBorder="1" applyAlignment="1">
      <alignment horizontal="center" vertical="center" wrapText="1"/>
    </xf>
    <xf numFmtId="172" fontId="202" fillId="0" borderId="63" xfId="2" applyNumberFormat="1" applyFont="1" applyFill="1" applyBorder="1" applyAlignment="1">
      <alignment horizontal="center" vertical="center" wrapText="1"/>
    </xf>
    <xf numFmtId="172" fontId="202" fillId="0" borderId="20" xfId="9" applyNumberFormat="1" applyFont="1" applyFill="1" applyBorder="1" applyAlignment="1">
      <alignment horizontal="center" vertical="center" wrapText="1"/>
    </xf>
    <xf numFmtId="173" fontId="202" fillId="0" borderId="20" xfId="2" applyNumberFormat="1" applyFont="1" applyFill="1" applyBorder="1" applyAlignment="1">
      <alignment horizontal="center" vertical="center" wrapText="1"/>
    </xf>
    <xf numFmtId="173" fontId="202" fillId="9" borderId="20" xfId="2" applyNumberFormat="1" applyFont="1" applyFill="1" applyBorder="1" applyAlignment="1">
      <alignment horizontal="center" vertical="center" wrapText="1"/>
    </xf>
    <xf numFmtId="172" fontId="202" fillId="9" borderId="20" xfId="2" applyNumberFormat="1" applyFont="1" applyFill="1" applyBorder="1" applyAlignment="1">
      <alignment horizontal="center" vertical="center" wrapText="1"/>
    </xf>
    <xf numFmtId="173" fontId="202" fillId="0" borderId="20" xfId="2" applyNumberFormat="1" applyFont="1" applyFill="1" applyBorder="1" applyAlignment="1">
      <alignment horizontal="right" vertical="center" wrapText="1"/>
    </xf>
    <xf numFmtId="172" fontId="202" fillId="0" borderId="130" xfId="9" applyNumberFormat="1" applyFont="1" applyFill="1" applyBorder="1" applyAlignment="1">
      <alignment horizontal="center" vertical="center" wrapText="1"/>
    </xf>
    <xf numFmtId="173" fontId="202" fillId="9" borderId="130" xfId="2" applyNumberFormat="1" applyFont="1" applyFill="1" applyBorder="1" applyAlignment="1">
      <alignment horizontal="center" vertical="center" wrapText="1"/>
    </xf>
    <xf numFmtId="172" fontId="202" fillId="9" borderId="130" xfId="2" applyNumberFormat="1" applyFont="1" applyFill="1" applyBorder="1" applyAlignment="1">
      <alignment horizontal="center" vertical="center" wrapText="1"/>
    </xf>
    <xf numFmtId="173" fontId="202" fillId="0" borderId="130" xfId="2" applyNumberFormat="1" applyFont="1" applyFill="1" applyBorder="1" applyAlignment="1">
      <alignment horizontal="right" vertical="center" wrapText="1"/>
    </xf>
    <xf numFmtId="172" fontId="202" fillId="0" borderId="130" xfId="2" applyNumberFormat="1" applyFont="1" applyFill="1" applyBorder="1" applyAlignment="1">
      <alignment horizontal="center" vertical="center"/>
    </xf>
    <xf numFmtId="172" fontId="202" fillId="9" borderId="130" xfId="9" applyNumberFormat="1" applyFont="1" applyFill="1" applyBorder="1" applyAlignment="1">
      <alignment horizontal="center" vertical="center" wrapText="1"/>
    </xf>
    <xf numFmtId="165" fontId="202" fillId="0" borderId="130" xfId="21" applyFont="1" applyFill="1" applyBorder="1" applyAlignment="1">
      <alignment horizontal="center" vertical="center" wrapText="1"/>
    </xf>
    <xf numFmtId="165" fontId="202" fillId="9" borderId="130" xfId="21" applyFont="1" applyFill="1" applyBorder="1" applyAlignment="1">
      <alignment horizontal="right" vertical="center" wrapText="1"/>
    </xf>
    <xf numFmtId="173" fontId="202" fillId="0" borderId="132" xfId="2" applyNumberFormat="1" applyFont="1" applyFill="1" applyBorder="1" applyAlignment="1">
      <alignment horizontal="center" vertical="center" wrapText="1"/>
    </xf>
    <xf numFmtId="165" fontId="202" fillId="0" borderId="132" xfId="2" applyNumberFormat="1" applyFont="1" applyFill="1" applyBorder="1" applyAlignment="1">
      <alignment horizontal="center" vertical="center" wrapText="1"/>
    </xf>
    <xf numFmtId="173" fontId="202" fillId="9" borderId="132" xfId="2" applyNumberFormat="1" applyFont="1" applyFill="1" applyBorder="1" applyAlignment="1">
      <alignment horizontal="center" vertical="center" wrapText="1"/>
    </xf>
    <xf numFmtId="172" fontId="202" fillId="9" borderId="132" xfId="2" applyNumberFormat="1" applyFont="1" applyFill="1" applyBorder="1" applyAlignment="1">
      <alignment horizontal="center" vertical="center" wrapText="1"/>
    </xf>
    <xf numFmtId="165" fontId="202" fillId="0" borderId="132" xfId="2" applyNumberFormat="1" applyFont="1" applyFill="1" applyBorder="1" applyAlignment="1">
      <alignment horizontal="center" vertical="center"/>
    </xf>
    <xf numFmtId="172" fontId="202" fillId="9" borderId="132" xfId="9" applyNumberFormat="1" applyFont="1" applyFill="1" applyBorder="1" applyAlignment="1">
      <alignment horizontal="center" vertical="center" wrapText="1"/>
    </xf>
    <xf numFmtId="165" fontId="202" fillId="9" borderId="132" xfId="9" applyNumberFormat="1" applyFont="1" applyFill="1" applyBorder="1" applyAlignment="1">
      <alignment horizontal="center" vertical="center" wrapText="1"/>
    </xf>
    <xf numFmtId="172" fontId="202" fillId="0" borderId="132" xfId="9" applyNumberFormat="1" applyFont="1" applyFill="1" applyBorder="1" applyAlignment="1">
      <alignment horizontal="center" vertical="center" wrapText="1"/>
    </xf>
    <xf numFmtId="173" fontId="202" fillId="0" borderId="132" xfId="2" applyNumberFormat="1" applyFont="1" applyFill="1" applyBorder="1" applyAlignment="1">
      <alignment horizontal="right" vertical="center" wrapText="1"/>
    </xf>
    <xf numFmtId="165" fontId="202" fillId="9" borderId="132" xfId="2" applyNumberFormat="1" applyFont="1" applyFill="1" applyBorder="1" applyAlignment="1">
      <alignment horizontal="center" vertical="center" wrapText="1"/>
    </xf>
    <xf numFmtId="165" fontId="202" fillId="0" borderId="20" xfId="21" applyFont="1" applyFill="1" applyBorder="1" applyAlignment="1">
      <alignment vertical="center" wrapText="1"/>
    </xf>
    <xf numFmtId="165" fontId="202" fillId="9" borderId="20" xfId="2" applyNumberFormat="1" applyFont="1" applyFill="1" applyBorder="1" applyAlignment="1">
      <alignment horizontal="center" vertical="center" wrapText="1"/>
    </xf>
    <xf numFmtId="172" fontId="202" fillId="0" borderId="20" xfId="2" applyNumberFormat="1" applyFont="1" applyFill="1" applyBorder="1" applyAlignment="1">
      <alignment horizontal="center" vertical="center"/>
    </xf>
    <xf numFmtId="172" fontId="202" fillId="0" borderId="20" xfId="2" applyNumberFormat="1" applyFont="1" applyFill="1" applyBorder="1" applyAlignment="1">
      <alignment horizontal="right" vertical="center" wrapText="1"/>
    </xf>
    <xf numFmtId="165" fontId="202" fillId="0" borderId="130" xfId="9" applyNumberFormat="1" applyFont="1" applyFill="1" applyBorder="1" applyAlignment="1">
      <alignment horizontal="center" vertical="center"/>
    </xf>
    <xf numFmtId="165" fontId="202" fillId="0" borderId="130" xfId="9" applyNumberFormat="1" applyFont="1" applyFill="1" applyBorder="1" applyAlignment="1">
      <alignment horizontal="right" vertical="center"/>
    </xf>
    <xf numFmtId="172" fontId="202" fillId="0" borderId="130" xfId="9" applyNumberFormat="1" applyFont="1" applyFill="1" applyBorder="1" applyAlignment="1">
      <alignment horizontal="right" vertical="center" wrapText="1"/>
    </xf>
    <xf numFmtId="172" fontId="202" fillId="0" borderId="133" xfId="9" applyNumberFormat="1" applyFont="1" applyFill="1" applyBorder="1" applyAlignment="1">
      <alignment horizontal="center" vertical="center" wrapText="1"/>
    </xf>
    <xf numFmtId="165" fontId="202" fillId="9" borderId="133" xfId="9" applyNumberFormat="1" applyFont="1" applyFill="1" applyBorder="1" applyAlignment="1">
      <alignment horizontal="center" vertical="center" wrapText="1"/>
    </xf>
    <xf numFmtId="165" fontId="202" fillId="9" borderId="133" xfId="2" applyNumberFormat="1" applyFont="1" applyFill="1" applyBorder="1" applyAlignment="1">
      <alignment horizontal="center" vertical="center" wrapText="1"/>
    </xf>
    <xf numFmtId="165" fontId="178" fillId="9" borderId="129" xfId="0" applyNumberFormat="1" applyFont="1" applyFill="1" applyBorder="1" applyAlignment="1">
      <alignment horizontal="center" vertical="center"/>
    </xf>
    <xf numFmtId="165" fontId="178" fillId="0" borderId="0" xfId="0" applyNumberFormat="1" applyFont="1" applyAlignment="1">
      <alignment horizontal="center" vertical="top"/>
    </xf>
    <xf numFmtId="172" fontId="194" fillId="0" borderId="142" xfId="2" applyNumberFormat="1" applyFont="1" applyFill="1" applyBorder="1" applyAlignment="1">
      <alignment horizontal="center" vertical="center" wrapText="1"/>
    </xf>
    <xf numFmtId="172" fontId="194" fillId="0" borderId="143" xfId="2" applyNumberFormat="1" applyFont="1" applyFill="1" applyBorder="1" applyAlignment="1">
      <alignment horizontal="center" vertical="center" wrapText="1"/>
    </xf>
    <xf numFmtId="172" fontId="194" fillId="0" borderId="27" xfId="2" applyNumberFormat="1" applyFont="1" applyFill="1" applyBorder="1" applyAlignment="1">
      <alignment horizontal="center" vertical="center" wrapText="1"/>
    </xf>
    <xf numFmtId="172" fontId="194" fillId="0" borderId="27" xfId="9" applyNumberFormat="1" applyFont="1" applyFill="1" applyBorder="1" applyAlignment="1">
      <alignment horizontal="center" vertical="center" wrapText="1"/>
    </xf>
    <xf numFmtId="165" fontId="194" fillId="0" borderId="27" xfId="2" applyNumberFormat="1" applyFont="1" applyFill="1" applyBorder="1" applyAlignment="1">
      <alignment horizontal="center" vertical="center" wrapText="1"/>
    </xf>
    <xf numFmtId="172" fontId="194" fillId="9" borderId="27" xfId="2" applyNumberFormat="1" applyFont="1" applyFill="1" applyBorder="1" applyAlignment="1">
      <alignment horizontal="center" vertical="center" wrapText="1"/>
    </xf>
    <xf numFmtId="172" fontId="194" fillId="0" borderId="27" xfId="2" applyNumberFormat="1" applyFont="1" applyFill="1" applyBorder="1" applyAlignment="1">
      <alignment horizontal="right" vertical="center" wrapText="1"/>
    </xf>
    <xf numFmtId="173" fontId="194" fillId="0" borderId="27" xfId="2" applyNumberFormat="1" applyFont="1" applyFill="1" applyBorder="1" applyAlignment="1">
      <alignment horizontal="center" vertical="center" wrapText="1"/>
    </xf>
    <xf numFmtId="172" fontId="194" fillId="0" borderId="28" xfId="2" applyNumberFormat="1" applyFont="1" applyFill="1" applyBorder="1" applyAlignment="1">
      <alignment horizontal="center" vertical="center" wrapText="1"/>
    </xf>
    <xf numFmtId="172" fontId="194" fillId="0" borderId="27" xfId="2" applyNumberFormat="1" applyFont="1" applyFill="1" applyBorder="1" applyAlignment="1">
      <alignment horizontal="center" vertical="center"/>
    </xf>
    <xf numFmtId="165" fontId="194" fillId="0" borderId="27" xfId="2" applyNumberFormat="1" applyFont="1" applyFill="1" applyBorder="1" applyAlignment="1">
      <alignment horizontal="center" vertical="center"/>
    </xf>
    <xf numFmtId="165" fontId="194" fillId="0" borderId="27" xfId="9" applyNumberFormat="1" applyFont="1" applyFill="1" applyBorder="1" applyAlignment="1">
      <alignment horizontal="center" vertical="center" wrapText="1"/>
    </xf>
    <xf numFmtId="165" fontId="194" fillId="0" borderId="27" xfId="9" applyNumberFormat="1" applyFont="1" applyFill="1" applyBorder="1" applyAlignment="1">
      <alignment horizontal="right" vertical="center" wrapText="1"/>
    </xf>
    <xf numFmtId="175" fontId="194" fillId="0" borderId="27" xfId="2" applyNumberFormat="1" applyFont="1" applyFill="1" applyBorder="1" applyAlignment="1">
      <alignment horizontal="center" vertical="center" wrapText="1"/>
    </xf>
    <xf numFmtId="173" fontId="194" fillId="0" borderId="27" xfId="2" applyNumberFormat="1" applyFont="1" applyFill="1" applyBorder="1" applyAlignment="1">
      <alignment horizontal="right" vertical="center" wrapText="1"/>
    </xf>
    <xf numFmtId="165" fontId="194" fillId="0" borderId="27" xfId="2" applyNumberFormat="1" applyFont="1" applyFill="1" applyBorder="1" applyAlignment="1">
      <alignment horizontal="right" vertical="center"/>
    </xf>
    <xf numFmtId="172" fontId="194" fillId="0" borderId="27" xfId="2" applyNumberFormat="1" applyFont="1" applyFill="1" applyBorder="1" applyAlignment="1">
      <alignment horizontal="right" vertical="center"/>
    </xf>
    <xf numFmtId="172" fontId="194" fillId="0" borderId="27" xfId="9" applyNumberFormat="1" applyFont="1" applyFill="1" applyBorder="1" applyAlignment="1">
      <alignment horizontal="right" vertical="center" wrapText="1"/>
    </xf>
    <xf numFmtId="172" fontId="194" fillId="9" borderId="27" xfId="2" applyNumberFormat="1" applyFont="1" applyFill="1" applyBorder="1" applyAlignment="1">
      <alignment horizontal="right" vertical="center" wrapText="1"/>
    </xf>
    <xf numFmtId="37" fontId="194" fillId="0" borderId="27" xfId="2" applyNumberFormat="1" applyFont="1" applyFill="1" applyBorder="1" applyAlignment="1">
      <alignment horizontal="center" vertical="center" wrapText="1"/>
    </xf>
    <xf numFmtId="172" fontId="194" fillId="0" borderId="27" xfId="21" applyNumberFormat="1" applyFont="1" applyFill="1" applyBorder="1" applyAlignment="1">
      <alignment horizontal="center" vertical="center" wrapText="1"/>
    </xf>
    <xf numFmtId="172" fontId="194" fillId="9" borderId="27" xfId="2" applyNumberFormat="1" applyFont="1" applyFill="1" applyBorder="1" applyAlignment="1">
      <alignment horizontal="right" vertical="center"/>
    </xf>
    <xf numFmtId="172" fontId="194" fillId="0" borderId="27" xfId="9" applyNumberFormat="1" applyFont="1" applyFill="1" applyBorder="1" applyAlignment="1">
      <alignment horizontal="center" vertical="center"/>
    </xf>
    <xf numFmtId="172" fontId="194" fillId="9" borderId="27" xfId="9" applyNumberFormat="1" applyFont="1" applyFill="1" applyBorder="1" applyAlignment="1">
      <alignment horizontal="right" vertical="center"/>
    </xf>
    <xf numFmtId="37" fontId="194" fillId="0" borderId="27" xfId="9" applyNumberFormat="1" applyFont="1" applyFill="1" applyBorder="1" applyAlignment="1">
      <alignment horizontal="right" vertical="center" wrapText="1"/>
    </xf>
    <xf numFmtId="37" fontId="194" fillId="0" borderId="27" xfId="9" applyNumberFormat="1" applyFont="1" applyFill="1" applyBorder="1" applyAlignment="1">
      <alignment horizontal="center" vertical="center" wrapText="1"/>
    </xf>
    <xf numFmtId="172" fontId="194" fillId="9" borderId="27" xfId="9" applyNumberFormat="1" applyFont="1" applyFill="1" applyBorder="1" applyAlignment="1">
      <alignment horizontal="center" vertical="center" wrapText="1"/>
    </xf>
    <xf numFmtId="165" fontId="194" fillId="9" borderId="27" xfId="9" applyNumberFormat="1" applyFont="1" applyFill="1" applyBorder="1" applyAlignment="1">
      <alignment horizontal="center" vertical="center" wrapText="1"/>
    </xf>
    <xf numFmtId="165" fontId="194" fillId="9" borderId="27" xfId="9" applyNumberFormat="1" applyFont="1" applyFill="1" applyBorder="1" applyAlignment="1">
      <alignment horizontal="right" vertical="center" wrapText="1"/>
    </xf>
    <xf numFmtId="165" fontId="194" fillId="0" borderId="27" xfId="21" applyFont="1" applyFill="1" applyBorder="1" applyAlignment="1">
      <alignment vertical="center" wrapText="1"/>
    </xf>
    <xf numFmtId="172" fontId="205" fillId="0" borderId="0" xfId="1" applyNumberFormat="1" applyFont="1" applyAlignment="1">
      <alignment vertical="center"/>
    </xf>
    <xf numFmtId="0" fontId="194" fillId="0" borderId="0" xfId="1" applyFont="1" applyAlignment="1">
      <alignment vertical="center"/>
    </xf>
    <xf numFmtId="0" fontId="205" fillId="0" borderId="10" xfId="1" applyFont="1" applyBorder="1" applyAlignment="1">
      <alignment horizontal="center" vertical="center"/>
    </xf>
    <xf numFmtId="0" fontId="205" fillId="0" borderId="111" xfId="1" applyFont="1" applyBorder="1" applyAlignment="1">
      <alignment horizontal="center" vertical="center"/>
    </xf>
    <xf numFmtId="172" fontId="206" fillId="0" borderId="0" xfId="2" applyNumberFormat="1" applyFont="1" applyFill="1" applyBorder="1" applyAlignment="1">
      <alignment horizontal="center" vertical="center" wrapText="1"/>
    </xf>
    <xf numFmtId="173" fontId="206" fillId="0" borderId="0" xfId="2" applyNumberFormat="1" applyFont="1" applyFill="1" applyBorder="1" applyAlignment="1">
      <alignment horizontal="right" vertical="center"/>
    </xf>
    <xf numFmtId="0" fontId="205" fillId="0" borderId="0" xfId="1" applyFont="1" applyAlignment="1">
      <alignment vertical="center"/>
    </xf>
    <xf numFmtId="173" fontId="194" fillId="0" borderId="0" xfId="1" applyNumberFormat="1" applyFont="1" applyAlignment="1">
      <alignment vertical="center"/>
    </xf>
    <xf numFmtId="0" fontId="194" fillId="0" borderId="0" xfId="1" applyFont="1"/>
    <xf numFmtId="0" fontId="194" fillId="0" borderId="0" xfId="1" applyFont="1" applyAlignment="1">
      <alignment vertical="top"/>
    </xf>
    <xf numFmtId="0" fontId="205" fillId="0" borderId="23" xfId="1" applyFont="1" applyBorder="1" applyAlignment="1">
      <alignment horizontal="center" vertical="center"/>
    </xf>
    <xf numFmtId="173" fontId="205" fillId="0" borderId="27" xfId="2" applyNumberFormat="1" applyFont="1" applyFill="1" applyBorder="1" applyAlignment="1">
      <alignment horizontal="right" vertical="center"/>
    </xf>
    <xf numFmtId="173" fontId="205" fillId="0" borderId="0" xfId="2" applyNumberFormat="1" applyFont="1" applyFill="1" applyBorder="1" applyAlignment="1">
      <alignment horizontal="right" vertical="center"/>
    </xf>
    <xf numFmtId="172" fontId="205" fillId="0" borderId="0" xfId="2" applyNumberFormat="1" applyFont="1" applyFill="1" applyBorder="1" applyAlignment="1">
      <alignment horizontal="center" vertical="center" wrapText="1"/>
    </xf>
    <xf numFmtId="172" fontId="194" fillId="0" borderId="0" xfId="1" applyNumberFormat="1" applyFont="1" applyAlignment="1">
      <alignment vertical="center"/>
    </xf>
    <xf numFmtId="0" fontId="205" fillId="0" borderId="0" xfId="1" applyFont="1" applyAlignment="1">
      <alignment horizontal="center" vertical="center"/>
    </xf>
    <xf numFmtId="0" fontId="205" fillId="0" borderId="7" xfId="1" applyFont="1" applyBorder="1" applyAlignment="1">
      <alignment horizontal="center" vertical="center"/>
    </xf>
    <xf numFmtId="0" fontId="205" fillId="0" borderId="14" xfId="1" applyFont="1" applyBorder="1" applyAlignment="1">
      <alignment horizontal="center" vertical="center"/>
    </xf>
    <xf numFmtId="165" fontId="205" fillId="0" borderId="27" xfId="2" applyNumberFormat="1" applyFont="1" applyFill="1" applyBorder="1" applyAlignment="1">
      <alignment horizontal="right" vertical="center"/>
    </xf>
    <xf numFmtId="172" fontId="194" fillId="0" borderId="0" xfId="2" applyNumberFormat="1" applyFont="1" applyFill="1" applyBorder="1" applyAlignment="1">
      <alignment horizontal="center" vertical="center" wrapText="1"/>
    </xf>
    <xf numFmtId="0" fontId="205" fillId="0" borderId="110" xfId="1" applyFont="1" applyBorder="1" applyAlignment="1">
      <alignment horizontal="center" vertical="center"/>
    </xf>
    <xf numFmtId="165" fontId="194" fillId="0" borderId="0" xfId="1" applyNumberFormat="1" applyFont="1" applyAlignment="1">
      <alignment vertical="center"/>
    </xf>
    <xf numFmtId="0" fontId="194" fillId="0" borderId="2" xfId="1" applyFont="1" applyBorder="1" applyAlignment="1">
      <alignment horizontal="center" vertical="center"/>
    </xf>
    <xf numFmtId="0" fontId="194" fillId="0" borderId="10" xfId="1" applyFont="1" applyBorder="1" applyAlignment="1">
      <alignment horizontal="center" vertical="center"/>
    </xf>
    <xf numFmtId="0" fontId="194" fillId="0" borderId="111" xfId="1" applyFont="1" applyBorder="1" applyAlignment="1">
      <alignment horizontal="center" vertical="center"/>
    </xf>
    <xf numFmtId="172" fontId="207" fillId="0" borderId="0" xfId="2" applyNumberFormat="1" applyFont="1" applyFill="1" applyBorder="1" applyAlignment="1">
      <alignment horizontal="center" vertical="center" wrapText="1"/>
    </xf>
    <xf numFmtId="173" fontId="207" fillId="0" borderId="0" xfId="2" applyNumberFormat="1" applyFont="1" applyFill="1" applyBorder="1" applyAlignment="1">
      <alignment horizontal="right" vertical="center"/>
    </xf>
    <xf numFmtId="0" fontId="194" fillId="0" borderId="23" xfId="1" applyFont="1" applyBorder="1" applyAlignment="1">
      <alignment horizontal="center" vertical="center"/>
    </xf>
    <xf numFmtId="173" fontId="194" fillId="0" borderId="27" xfId="2" applyNumberFormat="1" applyFont="1" applyFill="1" applyBorder="1" applyAlignment="1">
      <alignment horizontal="right" vertical="center"/>
    </xf>
    <xf numFmtId="173" fontId="194" fillId="0" borderId="0" xfId="2" applyNumberFormat="1" applyFont="1" applyFill="1" applyBorder="1" applyAlignment="1">
      <alignment horizontal="right" vertical="center"/>
    </xf>
    <xf numFmtId="0" fontId="194" fillId="0" borderId="0" xfId="1" applyFont="1" applyAlignment="1">
      <alignment horizontal="center" vertical="center"/>
    </xf>
    <xf numFmtId="0" fontId="194" fillId="0" borderId="7" xfId="1" applyFont="1" applyBorder="1" applyAlignment="1">
      <alignment horizontal="center" vertical="center"/>
    </xf>
    <xf numFmtId="0" fontId="194" fillId="0" borderId="14" xfId="1" applyFont="1" applyBorder="1" applyAlignment="1">
      <alignment horizontal="center" vertical="center"/>
    </xf>
    <xf numFmtId="0" fontId="194" fillId="0" borderId="110" xfId="1" applyFont="1" applyBorder="1" applyAlignment="1">
      <alignment horizontal="center" vertical="center"/>
    </xf>
    <xf numFmtId="172" fontId="194" fillId="0" borderId="0" xfId="9" applyNumberFormat="1" applyFont="1" applyFill="1" applyAlignment="1">
      <alignment vertical="center"/>
    </xf>
    <xf numFmtId="172" fontId="194" fillId="0" borderId="0" xfId="9" applyNumberFormat="1" applyFont="1" applyFill="1" applyAlignment="1">
      <alignment horizontal="center" vertical="center"/>
    </xf>
    <xf numFmtId="165" fontId="194" fillId="0" borderId="0" xfId="21" applyFont="1" applyFill="1" applyAlignment="1">
      <alignment vertical="center"/>
    </xf>
    <xf numFmtId="0" fontId="205" fillId="0" borderId="0" xfId="1" applyFont="1" applyAlignment="1">
      <alignment vertical="center" textRotation="90"/>
    </xf>
    <xf numFmtId="172" fontId="205" fillId="0" borderId="0" xfId="9" applyNumberFormat="1" applyFont="1" applyFill="1" applyAlignment="1">
      <alignment vertical="center"/>
    </xf>
    <xf numFmtId="165" fontId="205" fillId="0" borderId="0" xfId="1" applyNumberFormat="1" applyFont="1" applyAlignment="1">
      <alignment vertical="center"/>
    </xf>
    <xf numFmtId="0" fontId="205" fillId="0" borderId="0" xfId="1" applyFont="1" applyAlignment="1">
      <alignment horizontal="right" vertical="center"/>
    </xf>
    <xf numFmtId="172" fontId="206" fillId="0" borderId="0" xfId="9" applyNumberFormat="1" applyFont="1" applyFill="1" applyAlignment="1">
      <alignment horizontal="center" vertical="center"/>
    </xf>
    <xf numFmtId="166" fontId="206" fillId="0" borderId="0" xfId="9" applyFont="1" applyFill="1" applyAlignment="1">
      <alignment horizontal="center" vertical="center"/>
    </xf>
    <xf numFmtId="172" fontId="205" fillId="0" borderId="0" xfId="9" applyNumberFormat="1" applyFont="1" applyFill="1" applyAlignment="1">
      <alignment horizontal="center" vertical="center"/>
    </xf>
    <xf numFmtId="165" fontId="205" fillId="0" borderId="0" xfId="21" applyFont="1" applyFill="1" applyAlignment="1">
      <alignment vertical="center"/>
    </xf>
    <xf numFmtId="0" fontId="194" fillId="0" borderId="0" xfId="1" applyFont="1" applyAlignment="1">
      <alignment horizontal="center" vertical="center" textRotation="90"/>
    </xf>
    <xf numFmtId="0" fontId="209" fillId="0" borderId="0" xfId="1" applyFont="1" applyAlignment="1">
      <alignment horizontal="center" vertical="center"/>
    </xf>
    <xf numFmtId="172" fontId="209" fillId="0" borderId="0" xfId="9" applyNumberFormat="1" applyFont="1" applyFill="1" applyAlignment="1">
      <alignment horizontal="center" vertical="center"/>
    </xf>
    <xf numFmtId="0" fontId="209" fillId="0" borderId="0" xfId="1" applyFont="1" applyAlignment="1">
      <alignment horizontal="right" vertical="center"/>
    </xf>
    <xf numFmtId="175" fontId="207" fillId="0" borderId="0" xfId="1" applyNumberFormat="1" applyFont="1" applyAlignment="1">
      <alignment vertical="center"/>
    </xf>
    <xf numFmtId="172" fontId="207" fillId="0" borderId="0" xfId="1" applyNumberFormat="1" applyFont="1" applyAlignment="1">
      <alignment vertical="center"/>
    </xf>
    <xf numFmtId="172" fontId="207" fillId="0" borderId="0" xfId="9" applyNumberFormat="1" applyFont="1" applyFill="1" applyAlignment="1">
      <alignment vertical="center"/>
    </xf>
    <xf numFmtId="0" fontId="205" fillId="0" borderId="2" xfId="1" applyFont="1" applyBorder="1" applyAlignment="1">
      <alignment vertical="center"/>
    </xf>
    <xf numFmtId="172" fontId="205" fillId="0" borderId="2" xfId="9" applyNumberFormat="1" applyFont="1" applyFill="1" applyBorder="1" applyAlignment="1">
      <alignment vertical="center"/>
    </xf>
    <xf numFmtId="0" fontId="205" fillId="0" borderId="7" xfId="1" applyFont="1" applyBorder="1" applyAlignment="1">
      <alignment vertical="center"/>
    </xf>
    <xf numFmtId="172" fontId="205" fillId="0" borderId="10" xfId="9" applyNumberFormat="1" applyFont="1" applyFill="1" applyBorder="1" applyAlignment="1">
      <alignment horizontal="center" vertical="center"/>
    </xf>
    <xf numFmtId="172" fontId="205" fillId="0" borderId="0" xfId="9" applyNumberFormat="1" applyFont="1" applyFill="1" applyBorder="1" applyAlignment="1">
      <alignment horizontal="center" vertical="center"/>
    </xf>
    <xf numFmtId="0" fontId="205" fillId="0" borderId="108" xfId="1" applyFont="1" applyBorder="1" applyAlignment="1">
      <alignment horizontal="center" vertical="center"/>
    </xf>
    <xf numFmtId="0" fontId="205" fillId="0" borderId="133" xfId="1" applyFont="1" applyBorder="1" applyAlignment="1">
      <alignment horizontal="center" vertical="center" wrapText="1"/>
    </xf>
    <xf numFmtId="0" fontId="205" fillId="0" borderId="133" xfId="1" applyFont="1" applyBorder="1" applyAlignment="1">
      <alignment horizontal="center" vertical="center"/>
    </xf>
    <xf numFmtId="0" fontId="205" fillId="0" borderId="107" xfId="1" applyFont="1" applyBorder="1" applyAlignment="1">
      <alignment horizontal="center" vertical="center"/>
    </xf>
    <xf numFmtId="172" fontId="205" fillId="0" borderId="0" xfId="9" applyNumberFormat="1" applyFont="1" applyFill="1" applyBorder="1" applyAlignment="1">
      <alignment vertical="center"/>
    </xf>
    <xf numFmtId="172" fontId="205" fillId="0" borderId="132" xfId="9" applyNumberFormat="1" applyFont="1" applyFill="1" applyBorder="1" applyAlignment="1">
      <alignment horizontal="center" vertical="center"/>
    </xf>
    <xf numFmtId="172" fontId="205" fillId="0" borderId="38" xfId="9" applyNumberFormat="1" applyFont="1" applyFill="1" applyBorder="1" applyAlignment="1">
      <alignment horizontal="center" vertical="center"/>
    </xf>
    <xf numFmtId="0" fontId="205" fillId="0" borderId="132" xfId="1" applyFont="1" applyBorder="1" applyAlignment="1">
      <alignment horizontal="center" vertical="center"/>
    </xf>
    <xf numFmtId="0" fontId="205" fillId="0" borderId="38" xfId="1" applyFont="1" applyBorder="1" applyAlignment="1">
      <alignment horizontal="center" vertical="center"/>
    </xf>
    <xf numFmtId="0" fontId="205" fillId="0" borderId="51" xfId="1" applyFont="1" applyBorder="1" applyAlignment="1">
      <alignment horizontal="center" vertical="center"/>
    </xf>
    <xf numFmtId="49" fontId="194" fillId="0" borderId="32" xfId="2" applyNumberFormat="1" applyFont="1" applyFill="1" applyBorder="1" applyAlignment="1">
      <alignment horizontal="center" vertical="center" wrapText="1"/>
    </xf>
    <xf numFmtId="172" fontId="194" fillId="0" borderId="27" xfId="2" applyNumberFormat="1" applyFont="1" applyFill="1" applyBorder="1" applyAlignment="1">
      <alignment horizontal="center" vertical="center" textRotation="90"/>
    </xf>
    <xf numFmtId="172" fontId="205" fillId="0" borderId="27" xfId="2" applyNumberFormat="1" applyFont="1" applyFill="1" applyBorder="1" applyAlignment="1">
      <alignment horizontal="left" vertical="center"/>
    </xf>
    <xf numFmtId="0" fontId="194" fillId="0" borderId="0" xfId="0" applyFont="1"/>
    <xf numFmtId="172" fontId="194" fillId="0" borderId="0" xfId="0" applyNumberFormat="1" applyFont="1"/>
    <xf numFmtId="0" fontId="205" fillId="0" borderId="0" xfId="0" applyFont="1"/>
    <xf numFmtId="172" fontId="205" fillId="0" borderId="27" xfId="2" applyNumberFormat="1" applyFont="1" applyFill="1" applyBorder="1" applyAlignment="1">
      <alignment horizontal="left" vertical="center" wrapText="1"/>
    </xf>
    <xf numFmtId="172" fontId="194" fillId="0" borderId="27" xfId="0" applyNumberFormat="1" applyFont="1" applyBorder="1" applyAlignment="1">
      <alignment horizontal="center" vertical="center" textRotation="90"/>
    </xf>
    <xf numFmtId="172" fontId="194" fillId="0" borderId="63" xfId="2" applyNumberFormat="1" applyFont="1" applyFill="1" applyBorder="1" applyAlignment="1">
      <alignment horizontal="center" vertical="center" wrapText="1"/>
    </xf>
    <xf numFmtId="49" fontId="205" fillId="0" borderId="0" xfId="2" applyNumberFormat="1" applyFont="1" applyFill="1" applyBorder="1" applyAlignment="1">
      <alignment horizontal="center" vertical="center" wrapText="1"/>
    </xf>
    <xf numFmtId="49" fontId="205" fillId="0" borderId="0" xfId="2" applyNumberFormat="1" applyFont="1" applyFill="1" applyBorder="1" applyAlignment="1">
      <alignment horizontal="center" vertical="center" textRotation="90"/>
    </xf>
    <xf numFmtId="172" fontId="206" fillId="0" borderId="0" xfId="9" applyNumberFormat="1" applyFont="1" applyFill="1" applyBorder="1" applyAlignment="1">
      <alignment horizontal="center" vertical="center" wrapText="1"/>
    </xf>
    <xf numFmtId="172" fontId="206" fillId="0" borderId="0" xfId="2" applyNumberFormat="1" applyFont="1" applyFill="1" applyBorder="1" applyAlignment="1">
      <alignment horizontal="right" vertical="center" wrapText="1"/>
    </xf>
    <xf numFmtId="172" fontId="206" fillId="0" borderId="0" xfId="9" applyNumberFormat="1" applyFont="1" applyFill="1" applyBorder="1" applyAlignment="1">
      <alignment horizontal="right" vertical="center"/>
    </xf>
    <xf numFmtId="0" fontId="207" fillId="0" borderId="0" xfId="1" applyFont="1" applyAlignment="1">
      <alignment vertical="center"/>
    </xf>
    <xf numFmtId="172" fontId="205" fillId="0" borderId="0" xfId="2" applyNumberFormat="1" applyFont="1" applyFill="1" applyBorder="1" applyAlignment="1">
      <alignment horizontal="center" vertical="center"/>
    </xf>
    <xf numFmtId="172" fontId="205" fillId="0" borderId="0" xfId="2" applyNumberFormat="1" applyFont="1" applyFill="1" applyBorder="1" applyAlignment="1">
      <alignment horizontal="center" vertical="center" textRotation="90"/>
    </xf>
    <xf numFmtId="172" fontId="205" fillId="0" borderId="0" xfId="2" applyNumberFormat="1" applyFont="1" applyFill="1" applyBorder="1" applyAlignment="1">
      <alignment horizontal="left" vertical="center"/>
    </xf>
    <xf numFmtId="172" fontId="205" fillId="0" borderId="0" xfId="2" applyNumberFormat="1" applyFont="1" applyFill="1" applyBorder="1" applyAlignment="1">
      <alignment horizontal="right" vertical="center"/>
    </xf>
    <xf numFmtId="173" fontId="205" fillId="0" borderId="0" xfId="1" applyNumberFormat="1" applyFont="1" applyAlignment="1">
      <alignment vertical="center"/>
    </xf>
    <xf numFmtId="173" fontId="205" fillId="0" borderId="0" xfId="1" applyNumberFormat="1" applyFont="1" applyAlignment="1">
      <alignment horizontal="center" vertical="center"/>
    </xf>
    <xf numFmtId="0" fontId="205" fillId="0" borderId="0" xfId="1" applyFont="1" applyAlignment="1">
      <alignment horizontal="center" vertical="center" textRotation="90"/>
    </xf>
    <xf numFmtId="172" fontId="205" fillId="0" borderId="0" xfId="9" applyNumberFormat="1" applyFont="1" applyFill="1" applyBorder="1" applyAlignment="1">
      <alignment horizontal="right" vertical="center"/>
    </xf>
    <xf numFmtId="0" fontId="205" fillId="0" borderId="0" xfId="1" quotePrefix="1" applyFont="1" applyAlignment="1">
      <alignment horizontal="left" vertical="center"/>
    </xf>
    <xf numFmtId="172" fontId="194" fillId="0" borderId="0" xfId="9" applyNumberFormat="1" applyFont="1" applyFill="1" applyAlignment="1">
      <alignment horizontal="left" vertical="center"/>
    </xf>
    <xf numFmtId="172" fontId="194" fillId="0" borderId="0" xfId="9" applyNumberFormat="1" applyFont="1" applyFill="1" applyBorder="1" applyAlignment="1">
      <alignment horizontal="right" vertical="center"/>
    </xf>
    <xf numFmtId="172" fontId="194" fillId="0" borderId="0" xfId="2" applyNumberFormat="1" applyFont="1" applyFill="1" applyBorder="1" applyAlignment="1">
      <alignment horizontal="right" vertical="center"/>
    </xf>
    <xf numFmtId="172" fontId="194" fillId="0" borderId="0" xfId="2" applyNumberFormat="1" applyFont="1" applyFill="1" applyBorder="1" applyAlignment="1">
      <alignment horizontal="center" vertical="center"/>
    </xf>
    <xf numFmtId="0" fontId="194" fillId="0" borderId="0" xfId="1" applyFont="1" applyAlignment="1">
      <alignment horizontal="right" vertical="center"/>
    </xf>
    <xf numFmtId="173" fontId="194" fillId="0" borderId="0" xfId="1" applyNumberFormat="1" applyFont="1" applyAlignment="1">
      <alignment horizontal="center" vertical="center"/>
    </xf>
    <xf numFmtId="166" fontId="194" fillId="0" borderId="0" xfId="1" applyNumberFormat="1" applyFont="1" applyAlignment="1">
      <alignment vertical="center"/>
    </xf>
    <xf numFmtId="0" fontId="194" fillId="0" borderId="0" xfId="1" applyFont="1" applyAlignment="1">
      <alignment horizontal="center"/>
    </xf>
    <xf numFmtId="0" fontId="194" fillId="0" borderId="0" xfId="1" applyFont="1" applyAlignment="1">
      <alignment horizontal="center" textRotation="90"/>
    </xf>
    <xf numFmtId="172" fontId="205" fillId="0" borderId="0" xfId="2" applyNumberFormat="1" applyFont="1" applyFill="1" applyBorder="1" applyAlignment="1">
      <alignment horizontal="right"/>
    </xf>
    <xf numFmtId="166" fontId="194" fillId="0" borderId="0" xfId="1" applyNumberFormat="1" applyFont="1"/>
    <xf numFmtId="172" fontId="205" fillId="0" borderId="0" xfId="2" applyNumberFormat="1" applyFont="1" applyFill="1" applyBorder="1" applyAlignment="1"/>
    <xf numFmtId="0" fontId="208" fillId="0" borderId="0" xfId="2" applyNumberFormat="1" applyFont="1" applyFill="1" applyBorder="1" applyAlignment="1"/>
    <xf numFmtId="172" fontId="208" fillId="0" borderId="0" xfId="2" applyNumberFormat="1" applyFont="1" applyFill="1" applyBorder="1" applyAlignment="1"/>
    <xf numFmtId="174" fontId="205" fillId="0" borderId="0" xfId="2" applyNumberFormat="1" applyFont="1" applyFill="1" applyBorder="1" applyAlignment="1"/>
    <xf numFmtId="0" fontId="208" fillId="0" borderId="0" xfId="1" applyFont="1" applyAlignment="1">
      <alignment horizontal="right"/>
    </xf>
    <xf numFmtId="0" fontId="208" fillId="0" borderId="0" xfId="1" applyFont="1" applyAlignment="1">
      <alignment horizontal="center"/>
    </xf>
    <xf numFmtId="174" fontId="205" fillId="0" borderId="0" xfId="2" applyNumberFormat="1" applyFont="1" applyFill="1" applyBorder="1" applyAlignment="1">
      <alignment horizontal="center"/>
    </xf>
    <xf numFmtId="172" fontId="205" fillId="0" borderId="0" xfId="2" applyNumberFormat="1" applyFont="1" applyFill="1" applyBorder="1" applyAlignment="1">
      <alignment horizontal="center"/>
    </xf>
    <xf numFmtId="172" fontId="194" fillId="0" borderId="0" xfId="9" applyNumberFormat="1" applyFont="1" applyFill="1" applyAlignment="1"/>
    <xf numFmtId="172" fontId="194" fillId="0" borderId="0" xfId="9" applyNumberFormat="1" applyFont="1" applyFill="1" applyAlignment="1">
      <alignment horizontal="center"/>
    </xf>
    <xf numFmtId="165" fontId="194" fillId="0" borderId="0" xfId="21" applyFont="1" applyFill="1" applyAlignment="1"/>
    <xf numFmtId="0" fontId="205" fillId="0" borderId="0" xfId="1" applyFont="1"/>
    <xf numFmtId="0" fontId="194" fillId="0" borderId="0" xfId="1" applyFont="1" applyAlignment="1">
      <alignment horizontal="center" vertical="top"/>
    </xf>
    <xf numFmtId="0" fontId="194" fillId="0" borderId="0" xfId="1" applyFont="1" applyAlignment="1">
      <alignment horizontal="center" vertical="top" textRotation="90"/>
    </xf>
    <xf numFmtId="165" fontId="194" fillId="0" borderId="0" xfId="21" applyFont="1" applyFill="1" applyAlignment="1">
      <alignment vertical="top"/>
    </xf>
    <xf numFmtId="0" fontId="194" fillId="0" borderId="0" xfId="1" applyFont="1" applyAlignment="1">
      <alignment horizontal="right" vertical="top"/>
    </xf>
    <xf numFmtId="172" fontId="194" fillId="0" borderId="0" xfId="9" applyNumberFormat="1" applyFont="1" applyFill="1" applyAlignment="1">
      <alignment vertical="top"/>
    </xf>
    <xf numFmtId="172" fontId="194" fillId="0" borderId="0" xfId="9" applyNumberFormat="1" applyFont="1" applyFill="1" applyAlignment="1">
      <alignment horizontal="center" vertical="top"/>
    </xf>
    <xf numFmtId="0" fontId="205" fillId="0" borderId="0" xfId="1" applyFont="1" applyAlignment="1">
      <alignment vertical="top"/>
    </xf>
    <xf numFmtId="172" fontId="205" fillId="0" borderId="0" xfId="2" applyNumberFormat="1" applyFont="1" applyFill="1" applyBorder="1" applyAlignment="1">
      <alignment vertical="center"/>
    </xf>
    <xf numFmtId="172" fontId="209" fillId="0" borderId="0" xfId="1" applyNumberFormat="1" applyFont="1" applyAlignment="1">
      <alignment horizontal="center" vertical="center"/>
    </xf>
    <xf numFmtId="0" fontId="205" fillId="0" borderId="15" xfId="1" applyFont="1" applyBorder="1" applyAlignment="1">
      <alignment horizontal="center" vertical="center"/>
    </xf>
    <xf numFmtId="0" fontId="205" fillId="0" borderId="36" xfId="1" applyFont="1" applyBorder="1" applyAlignment="1">
      <alignment horizontal="center" vertical="center"/>
    </xf>
    <xf numFmtId="0" fontId="205" fillId="0" borderId="115" xfId="1" applyFont="1" applyBorder="1" applyAlignment="1">
      <alignment horizontal="center" vertical="center" textRotation="90" wrapText="1"/>
    </xf>
    <xf numFmtId="0" fontId="205" fillId="0" borderId="115" xfId="1" applyFont="1" applyBorder="1" applyAlignment="1">
      <alignment vertical="center" textRotation="90" wrapText="1"/>
    </xf>
    <xf numFmtId="0" fontId="205" fillId="0" borderId="17" xfId="1" applyFont="1" applyBorder="1" applyAlignment="1">
      <alignment horizontal="center" vertical="center"/>
    </xf>
    <xf numFmtId="172" fontId="205" fillId="0" borderId="23" xfId="9" applyNumberFormat="1" applyFont="1" applyFill="1" applyBorder="1" applyAlignment="1">
      <alignment horizontal="center" vertical="center"/>
    </xf>
    <xf numFmtId="0" fontId="194" fillId="0" borderId="27" xfId="2" applyNumberFormat="1" applyFont="1" applyFill="1" applyBorder="1" applyAlignment="1">
      <alignment horizontal="center" vertical="center" textRotation="90"/>
    </xf>
    <xf numFmtId="0" fontId="205" fillId="0" borderId="27" xfId="4" applyFont="1" applyFill="1" applyBorder="1" applyAlignment="1">
      <alignment horizontal="left" vertical="center" wrapText="1"/>
    </xf>
    <xf numFmtId="173" fontId="194" fillId="9" borderId="27" xfId="2" applyNumberFormat="1" applyFont="1" applyFill="1" applyBorder="1" applyAlignment="1">
      <alignment horizontal="center" vertical="center" wrapText="1"/>
    </xf>
    <xf numFmtId="165" fontId="194" fillId="9" borderId="27" xfId="2" applyNumberFormat="1" applyFont="1" applyFill="1" applyBorder="1" applyAlignment="1">
      <alignment horizontal="center" vertical="center" wrapText="1"/>
    </xf>
    <xf numFmtId="0" fontId="194" fillId="0" borderId="27" xfId="2" applyNumberFormat="1" applyFont="1" applyFill="1" applyBorder="1" applyAlignment="1">
      <alignment horizontal="center" vertical="center" textRotation="90" wrapText="1"/>
    </xf>
    <xf numFmtId="172" fontId="205" fillId="0" borderId="27" xfId="4" applyNumberFormat="1" applyFont="1" applyFill="1" applyBorder="1" applyAlignment="1">
      <alignment horizontal="left" vertical="center" wrapText="1"/>
    </xf>
    <xf numFmtId="165" fontId="194" fillId="0" borderId="27" xfId="21" applyFont="1" applyFill="1" applyBorder="1" applyAlignment="1">
      <alignment horizontal="center" vertical="center" wrapText="1"/>
    </xf>
    <xf numFmtId="165" fontId="194" fillId="9" borderId="27" xfId="21" applyFont="1" applyFill="1" applyBorder="1" applyAlignment="1">
      <alignment horizontal="right" vertical="center" wrapText="1"/>
    </xf>
    <xf numFmtId="173" fontId="205" fillId="0" borderId="63" xfId="2" applyNumberFormat="1" applyFont="1" applyFill="1" applyBorder="1" applyAlignment="1">
      <alignment horizontal="right" vertical="center"/>
    </xf>
    <xf numFmtId="171" fontId="205" fillId="0" borderId="0" xfId="4" applyNumberFormat="1" applyFont="1" applyFill="1" applyBorder="1" applyAlignment="1">
      <alignment horizontal="center" vertical="center"/>
    </xf>
    <xf numFmtId="171" fontId="205" fillId="0" borderId="0" xfId="4" applyNumberFormat="1" applyFont="1" applyFill="1" applyBorder="1" applyAlignment="1">
      <alignment horizontal="center" vertical="center" textRotation="90"/>
    </xf>
    <xf numFmtId="172" fontId="207" fillId="0" borderId="0" xfId="2" applyNumberFormat="1" applyFont="1" applyFill="1" applyBorder="1" applyAlignment="1">
      <alignment horizontal="right" vertical="center"/>
    </xf>
    <xf numFmtId="37" fontId="205" fillId="0" borderId="0" xfId="2" applyNumberFormat="1" applyFont="1" applyFill="1" applyBorder="1" applyAlignment="1">
      <alignment horizontal="center" vertical="center"/>
    </xf>
    <xf numFmtId="172" fontId="205" fillId="0" borderId="0" xfId="9" applyNumberFormat="1" applyFont="1" applyFill="1" applyBorder="1" applyAlignment="1">
      <alignment horizontal="center" vertical="center" wrapText="1"/>
    </xf>
    <xf numFmtId="172" fontId="206" fillId="0" borderId="0" xfId="1" applyNumberFormat="1" applyFont="1" applyAlignment="1">
      <alignment vertical="center"/>
    </xf>
    <xf numFmtId="172" fontId="205" fillId="0" borderId="0" xfId="2" applyNumberFormat="1" applyFont="1" applyFill="1" applyBorder="1" applyAlignment="1">
      <alignment horizontal="right" vertical="center" wrapText="1"/>
    </xf>
    <xf numFmtId="172" fontId="194" fillId="0" borderId="0" xfId="9" applyNumberFormat="1" applyFont="1" applyFill="1" applyBorder="1" applyAlignment="1">
      <alignment horizontal="center" vertical="center" wrapText="1"/>
    </xf>
    <xf numFmtId="166" fontId="194" fillId="0" borderId="0" xfId="2" applyFont="1" applyFill="1" applyBorder="1" applyAlignment="1">
      <alignment horizontal="center" vertical="center" wrapText="1"/>
    </xf>
    <xf numFmtId="172" fontId="205" fillId="0" borderId="0" xfId="1" applyNumberFormat="1" applyFont="1" applyAlignment="1">
      <alignment horizontal="center" vertical="center"/>
    </xf>
    <xf numFmtId="0" fontId="208" fillId="0" borderId="0" xfId="2" applyNumberFormat="1" applyFont="1" applyFill="1" applyBorder="1" applyAlignment="1">
      <alignment vertical="center"/>
    </xf>
    <xf numFmtId="172" fontId="208" fillId="0" borderId="0" xfId="2" applyNumberFormat="1" applyFont="1" applyFill="1" applyBorder="1" applyAlignment="1">
      <alignment horizontal="center" vertical="center"/>
    </xf>
    <xf numFmtId="174" fontId="205" fillId="0" borderId="0" xfId="2" applyNumberFormat="1" applyFont="1" applyFill="1" applyBorder="1" applyAlignment="1">
      <alignment vertical="center"/>
    </xf>
    <xf numFmtId="0" fontId="208" fillId="0" borderId="0" xfId="1" applyFont="1" applyAlignment="1">
      <alignment horizontal="center" vertical="center"/>
    </xf>
    <xf numFmtId="172" fontId="208" fillId="0" borderId="0" xfId="2" applyNumberFormat="1" applyFont="1" applyFill="1" applyBorder="1" applyAlignment="1">
      <alignment horizontal="right" vertical="center"/>
    </xf>
    <xf numFmtId="172" fontId="208" fillId="0" borderId="0" xfId="2" applyNumberFormat="1" applyFont="1" applyFill="1" applyBorder="1" applyAlignment="1">
      <alignment vertical="center"/>
    </xf>
    <xf numFmtId="0" fontId="206" fillId="0" borderId="0" xfId="1" applyFont="1" applyAlignment="1">
      <alignment horizontal="center" vertical="center"/>
    </xf>
    <xf numFmtId="175" fontId="206" fillId="0" borderId="0" xfId="1" applyNumberFormat="1" applyFont="1" applyAlignment="1">
      <alignment horizontal="center" vertical="center"/>
    </xf>
    <xf numFmtId="175" fontId="206" fillId="0" borderId="0" xfId="21" applyNumberFormat="1" applyFont="1" applyFill="1" applyAlignment="1">
      <alignment vertical="center"/>
    </xf>
    <xf numFmtId="165" fontId="206" fillId="0" borderId="0" xfId="1" applyNumberFormat="1" applyFont="1" applyAlignment="1">
      <alignment vertical="center"/>
    </xf>
    <xf numFmtId="172" fontId="194" fillId="0" borderId="0" xfId="9" applyNumberFormat="1" applyFont="1" applyFill="1"/>
    <xf numFmtId="172" fontId="205" fillId="0" borderId="7" xfId="9" applyNumberFormat="1" applyFont="1" applyFill="1" applyBorder="1" applyAlignment="1">
      <alignment vertical="center"/>
    </xf>
    <xf numFmtId="172" fontId="205" fillId="0" borderId="14" xfId="9" applyNumberFormat="1" applyFont="1" applyFill="1" applyBorder="1" applyAlignment="1">
      <alignment horizontal="center" vertical="center"/>
    </xf>
    <xf numFmtId="0" fontId="205" fillId="0" borderId="14" xfId="1" applyFont="1" applyBorder="1" applyAlignment="1">
      <alignment vertical="center" textRotation="90" wrapText="1"/>
    </xf>
    <xf numFmtId="0" fontId="205" fillId="0" borderId="53" xfId="1" applyFont="1" applyBorder="1" applyAlignment="1">
      <alignment vertical="center" textRotation="90" wrapText="1"/>
    </xf>
    <xf numFmtId="172" fontId="205" fillId="0" borderId="133" xfId="9" applyNumberFormat="1" applyFont="1" applyFill="1" applyBorder="1" applyAlignment="1">
      <alignment horizontal="center" vertical="center"/>
    </xf>
    <xf numFmtId="0" fontId="205" fillId="0" borderId="133" xfId="1" applyFont="1" applyBorder="1" applyAlignment="1">
      <alignment horizontal="right" vertical="center"/>
    </xf>
    <xf numFmtId="171" fontId="205" fillId="0" borderId="27" xfId="4" applyNumberFormat="1" applyFont="1" applyFill="1" applyBorder="1" applyAlignment="1">
      <alignment horizontal="left" vertical="center" wrapText="1"/>
    </xf>
    <xf numFmtId="37" fontId="194" fillId="0" borderId="32" xfId="2" applyNumberFormat="1" applyFont="1" applyFill="1" applyBorder="1" applyAlignment="1">
      <alignment horizontal="center" vertical="center" wrapText="1"/>
    </xf>
    <xf numFmtId="165" fontId="194" fillId="0" borderId="27" xfId="9" applyNumberFormat="1" applyFont="1" applyFill="1" applyBorder="1" applyAlignment="1">
      <alignment horizontal="center" vertical="center"/>
    </xf>
    <xf numFmtId="165" fontId="194" fillId="0" borderId="27" xfId="9" applyNumberFormat="1" applyFont="1" applyFill="1" applyBorder="1" applyAlignment="1">
      <alignment horizontal="right" vertical="center"/>
    </xf>
    <xf numFmtId="41" fontId="194" fillId="0" borderId="0" xfId="325" applyFont="1" applyFill="1" applyAlignment="1">
      <alignment vertical="center"/>
    </xf>
    <xf numFmtId="172" fontId="205" fillId="0" borderId="27" xfId="2" applyNumberFormat="1" applyFont="1" applyFill="1" applyBorder="1" applyAlignment="1">
      <alignment horizontal="left" vertical="top" wrapText="1"/>
    </xf>
    <xf numFmtId="172" fontId="205" fillId="0" borderId="130" xfId="2" applyNumberFormat="1" applyFont="1" applyFill="1" applyBorder="1" applyAlignment="1">
      <alignment horizontal="left" vertical="center" wrapText="1"/>
    </xf>
    <xf numFmtId="172" fontId="205" fillId="0" borderId="53" xfId="2" applyNumberFormat="1" applyFont="1" applyFill="1" applyBorder="1" applyAlignment="1">
      <alignment horizontal="left" vertical="center" wrapText="1"/>
    </xf>
    <xf numFmtId="172" fontId="205" fillId="0" borderId="32" xfId="2" applyNumberFormat="1" applyFont="1" applyFill="1" applyBorder="1" applyAlignment="1">
      <alignment vertical="center"/>
    </xf>
    <xf numFmtId="172" fontId="205" fillId="0" borderId="27" xfId="2" applyNumberFormat="1" applyFont="1" applyFill="1" applyBorder="1" applyAlignment="1">
      <alignment horizontal="center" vertical="center"/>
    </xf>
    <xf numFmtId="172" fontId="205" fillId="0" borderId="27" xfId="2" applyNumberFormat="1" applyFont="1" applyFill="1" applyBorder="1" applyAlignment="1">
      <alignment horizontal="center" vertical="center" textRotation="90"/>
    </xf>
    <xf numFmtId="165" fontId="205" fillId="0" borderId="28" xfId="2" applyNumberFormat="1" applyFont="1" applyFill="1" applyBorder="1" applyAlignment="1">
      <alignment horizontal="right" vertical="center"/>
    </xf>
    <xf numFmtId="165" fontId="205" fillId="0" borderId="0" xfId="2" applyNumberFormat="1" applyFont="1" applyFill="1" applyBorder="1" applyAlignment="1">
      <alignment horizontal="right" vertical="center"/>
    </xf>
    <xf numFmtId="165" fontId="207" fillId="0" borderId="0" xfId="2" applyNumberFormat="1" applyFont="1" applyFill="1" applyBorder="1" applyAlignment="1">
      <alignment horizontal="right" vertical="center"/>
    </xf>
    <xf numFmtId="165" fontId="206" fillId="0" borderId="0" xfId="2" applyNumberFormat="1" applyFont="1" applyFill="1" applyBorder="1" applyAlignment="1">
      <alignment horizontal="right" vertical="center"/>
    </xf>
    <xf numFmtId="172" fontId="194" fillId="0" borderId="0" xfId="1" applyNumberFormat="1" applyFont="1" applyAlignment="1">
      <alignment horizontal="right" vertical="center"/>
    </xf>
    <xf numFmtId="165" fontId="194" fillId="0" borderId="0" xfId="2" applyNumberFormat="1" applyFont="1" applyFill="1" applyBorder="1" applyAlignment="1">
      <alignment horizontal="right" vertical="center"/>
    </xf>
    <xf numFmtId="172" fontId="194" fillId="0" borderId="0" xfId="2" quotePrefix="1" applyNumberFormat="1" applyFont="1" applyFill="1" applyBorder="1" applyAlignment="1">
      <alignment horizontal="center" vertical="center"/>
    </xf>
    <xf numFmtId="165" fontId="194" fillId="0" borderId="0" xfId="2" applyNumberFormat="1" applyFont="1" applyFill="1" applyBorder="1" applyAlignment="1">
      <alignment horizontal="center" vertical="center" wrapText="1"/>
    </xf>
    <xf numFmtId="0" fontId="205" fillId="0" borderId="0" xfId="1" applyFont="1" applyAlignment="1">
      <alignment horizontal="left" vertical="center" textRotation="90"/>
    </xf>
    <xf numFmtId="0" fontId="194" fillId="0" borderId="0" xfId="1" applyFont="1" applyAlignment="1">
      <alignment horizontal="left" vertical="center" textRotation="90"/>
    </xf>
    <xf numFmtId="172" fontId="205" fillId="0" borderId="0" xfId="1" applyNumberFormat="1" applyFont="1" applyAlignment="1">
      <alignment horizontal="right" vertical="center"/>
    </xf>
    <xf numFmtId="172" fontId="208" fillId="0" borderId="0" xfId="9" applyNumberFormat="1" applyFont="1" applyFill="1" applyBorder="1" applyAlignment="1">
      <alignment horizontal="center" vertical="center"/>
    </xf>
    <xf numFmtId="165" fontId="206" fillId="0" borderId="0" xfId="21" applyFont="1" applyFill="1" applyAlignment="1">
      <alignment vertical="center"/>
    </xf>
    <xf numFmtId="165" fontId="207" fillId="0" borderId="0" xfId="1" applyNumberFormat="1" applyFont="1" applyAlignment="1">
      <alignment vertical="center"/>
    </xf>
    <xf numFmtId="165" fontId="205" fillId="0" borderId="0" xfId="21" applyFont="1" applyFill="1" applyAlignment="1">
      <alignment horizontal="center" vertical="center"/>
    </xf>
    <xf numFmtId="0" fontId="205" fillId="0" borderId="132" xfId="1" applyFont="1" applyBorder="1" applyAlignment="1">
      <alignment horizontal="right" vertical="center"/>
    </xf>
    <xf numFmtId="172" fontId="194" fillId="0" borderId="32" xfId="2" applyNumberFormat="1" applyFont="1" applyFill="1" applyBorder="1" applyAlignment="1">
      <alignment vertical="center"/>
    </xf>
    <xf numFmtId="172" fontId="207" fillId="0" borderId="0" xfId="9" applyNumberFormat="1" applyFont="1" applyFill="1" applyBorder="1" applyAlignment="1">
      <alignment horizontal="center" vertical="center" wrapText="1"/>
    </xf>
    <xf numFmtId="172" fontId="207" fillId="0" borderId="0" xfId="9" applyNumberFormat="1" applyFont="1" applyFill="1" applyBorder="1" applyAlignment="1">
      <alignment horizontal="right" vertical="center"/>
    </xf>
    <xf numFmtId="172" fontId="194" fillId="0" borderId="0" xfId="2" quotePrefix="1" applyNumberFormat="1" applyFont="1" applyFill="1" applyBorder="1" applyAlignment="1">
      <alignment horizontal="right" vertical="center"/>
    </xf>
    <xf numFmtId="0" fontId="205" fillId="0" borderId="0" xfId="1" applyFont="1" applyAlignment="1">
      <alignment horizontal="left" vertical="center"/>
    </xf>
    <xf numFmtId="171" fontId="205" fillId="0" borderId="0" xfId="1" applyNumberFormat="1" applyFont="1" applyAlignment="1">
      <alignment vertical="center"/>
    </xf>
    <xf numFmtId="172" fontId="205" fillId="0" borderId="0" xfId="1" applyNumberFormat="1" applyFont="1" applyAlignment="1">
      <alignment horizontal="left" vertical="center"/>
    </xf>
    <xf numFmtId="172" fontId="205" fillId="0" borderId="0" xfId="1" applyNumberFormat="1" applyFont="1" applyAlignment="1">
      <alignment vertical="center" textRotation="90"/>
    </xf>
    <xf numFmtId="41" fontId="194" fillId="0" borderId="0" xfId="1" applyNumberFormat="1" applyFont="1" applyAlignment="1">
      <alignment vertical="center"/>
    </xf>
    <xf numFmtId="0" fontId="194" fillId="0" borderId="0" xfId="0" applyFont="1" applyAlignment="1">
      <alignment horizontal="center" vertical="center"/>
    </xf>
    <xf numFmtId="0" fontId="194" fillId="0" borderId="0" xfId="0" applyFont="1" applyAlignment="1">
      <alignment vertical="center"/>
    </xf>
    <xf numFmtId="177" fontId="67" fillId="0" borderId="3" xfId="77" applyNumberFormat="1" applyFont="1" applyFill="1" applyBorder="1" applyAlignment="1">
      <alignment horizontal="left" vertical="center"/>
    </xf>
    <xf numFmtId="177" fontId="67" fillId="0" borderId="114" xfId="77" applyNumberFormat="1" applyFont="1" applyFill="1" applyBorder="1" applyAlignment="1">
      <alignment horizontal="left" vertical="center"/>
    </xf>
    <xf numFmtId="177" fontId="67" fillId="9" borderId="114" xfId="77" applyNumberFormat="1" applyFont="1" applyFill="1" applyBorder="1" applyAlignment="1">
      <alignment horizontal="left" vertical="center"/>
    </xf>
    <xf numFmtId="41" fontId="22" fillId="0" borderId="49" xfId="0" applyNumberFormat="1" applyFont="1" applyBorder="1" applyAlignment="1">
      <alignment horizontal="left" vertical="center"/>
    </xf>
    <xf numFmtId="177" fontId="67" fillId="0" borderId="107" xfId="77" applyNumberFormat="1" applyFont="1" applyFill="1" applyBorder="1" applyAlignment="1">
      <alignment horizontal="left" vertical="center"/>
    </xf>
    <xf numFmtId="177" fontId="67" fillId="0" borderId="134" xfId="77" applyNumberFormat="1" applyFont="1" applyFill="1" applyBorder="1" applyAlignment="1">
      <alignment horizontal="left" vertical="center"/>
    </xf>
    <xf numFmtId="177" fontId="67" fillId="0" borderId="54" xfId="77" applyNumberFormat="1" applyFont="1" applyFill="1" applyBorder="1" applyAlignment="1">
      <alignment horizontal="left" vertical="center"/>
    </xf>
    <xf numFmtId="0" fontId="25" fillId="0" borderId="0" xfId="1860" applyFont="1" applyAlignment="1">
      <alignment horizontal="center"/>
    </xf>
    <xf numFmtId="0" fontId="25" fillId="0" borderId="0" xfId="1860" applyFont="1" applyAlignment="1"/>
    <xf numFmtId="0" fontId="14" fillId="0" borderId="0" xfId="1860" applyFont="1" applyAlignment="1">
      <alignment horizontal="center" vertical="center"/>
    </xf>
    <xf numFmtId="0" fontId="14" fillId="0" borderId="132" xfId="1860" applyFont="1" applyBorder="1" applyAlignment="1">
      <alignment horizontal="center" vertical="center"/>
    </xf>
    <xf numFmtId="0" fontId="14" fillId="0" borderId="132" xfId="1860" applyFont="1" applyBorder="1" applyAlignment="1">
      <alignment horizontal="center" vertical="center" wrapText="1"/>
    </xf>
    <xf numFmtId="0" fontId="25" fillId="0" borderId="80" xfId="1860" applyFont="1" applyBorder="1" applyAlignment="1">
      <alignment horizontal="center" vertical="center"/>
    </xf>
    <xf numFmtId="172" fontId="31" fillId="0" borderId="130" xfId="2" applyNumberFormat="1" applyFont="1" applyFill="1" applyBorder="1" applyAlignment="1">
      <alignment horizontal="left" vertical="center"/>
    </xf>
    <xf numFmtId="0" fontId="25" fillId="0" borderId="53" xfId="1860" quotePrefix="1" applyFont="1" applyBorder="1" applyAlignment="1">
      <alignment horizontal="center" vertical="center"/>
    </xf>
    <xf numFmtId="172" fontId="25" fillId="0" borderId="53" xfId="1860" applyNumberFormat="1" applyFont="1" applyBorder="1" applyAlignment="1">
      <alignment horizontal="center" vertical="center"/>
    </xf>
    <xf numFmtId="177" fontId="25" fillId="0" borderId="53" xfId="2" applyNumberFormat="1" applyFont="1" applyFill="1" applyBorder="1" applyAlignment="1">
      <alignment horizontal="center" vertical="center"/>
    </xf>
    <xf numFmtId="177" fontId="25" fillId="0" borderId="54" xfId="2" applyNumberFormat="1" applyFont="1" applyFill="1" applyBorder="1" applyAlignment="1">
      <alignment horizontal="center" vertical="center"/>
    </xf>
    <xf numFmtId="0" fontId="25" fillId="9" borderId="0" xfId="1860" applyFont="1" applyFill="1">
      <alignment vertical="center"/>
    </xf>
    <xf numFmtId="0" fontId="25" fillId="0" borderId="0" xfId="1860" applyFont="1">
      <alignment vertical="center"/>
    </xf>
    <xf numFmtId="0" fontId="25" fillId="0" borderId="131" xfId="1860" applyFont="1" applyBorder="1" applyAlignment="1">
      <alignment horizontal="center" vertical="center"/>
    </xf>
    <xf numFmtId="0" fontId="25" fillId="0" borderId="130" xfId="1860" quotePrefix="1" applyFont="1" applyBorder="1" applyAlignment="1">
      <alignment horizontal="center" vertical="center"/>
    </xf>
    <xf numFmtId="172" fontId="25" fillId="0" borderId="130" xfId="1860" applyNumberFormat="1" applyFont="1" applyBorder="1" applyAlignment="1">
      <alignment horizontal="center" vertical="center"/>
    </xf>
    <xf numFmtId="171" fontId="31" fillId="0" borderId="130" xfId="4" applyNumberFormat="1" applyFont="1" applyFill="1" applyBorder="1" applyAlignment="1">
      <alignment horizontal="left" vertical="center"/>
    </xf>
    <xf numFmtId="0" fontId="25" fillId="0" borderId="0" xfId="1860" quotePrefix="1" applyFont="1" applyAlignment="1">
      <alignment horizontal="center" vertical="center"/>
    </xf>
    <xf numFmtId="0" fontId="31" fillId="0" borderId="130" xfId="1" applyFont="1" applyBorder="1" applyAlignment="1">
      <alignment horizontal="left" vertical="center"/>
    </xf>
    <xf numFmtId="0" fontId="25" fillId="0" borderId="130" xfId="1860" applyFont="1" applyBorder="1" applyAlignment="1">
      <alignment horizontal="center" vertical="center"/>
    </xf>
    <xf numFmtId="171" fontId="31" fillId="0" borderId="130" xfId="4" applyNumberFormat="1" applyFont="1" applyFill="1" applyBorder="1" applyAlignment="1">
      <alignment vertical="center" wrapText="1"/>
    </xf>
    <xf numFmtId="171" fontId="31" fillId="0" borderId="133" xfId="4" applyNumberFormat="1" applyFont="1" applyFill="1" applyBorder="1" applyAlignment="1">
      <alignment vertical="center" wrapText="1"/>
    </xf>
    <xf numFmtId="172" fontId="25" fillId="0" borderId="130" xfId="1860" quotePrefix="1" applyNumberFormat="1" applyFont="1" applyBorder="1" applyAlignment="1">
      <alignment horizontal="center" vertical="center"/>
    </xf>
    <xf numFmtId="16" fontId="25" fillId="0" borderId="130" xfId="1860" quotePrefix="1" applyNumberFormat="1" applyFont="1" applyBorder="1" applyAlignment="1">
      <alignment horizontal="center" vertical="center"/>
    </xf>
    <xf numFmtId="177" fontId="25" fillId="0" borderId="129" xfId="2" applyNumberFormat="1" applyFont="1" applyFill="1" applyBorder="1" applyAlignment="1">
      <alignment horizontal="center" vertical="center"/>
    </xf>
    <xf numFmtId="165" fontId="14" fillId="0" borderId="27" xfId="1860" applyNumberFormat="1" applyFont="1" applyBorder="1" applyAlignment="1">
      <alignment horizontal="center" vertical="center"/>
    </xf>
    <xf numFmtId="165" fontId="14" fillId="0" borderId="28" xfId="1860" applyNumberFormat="1" applyFont="1" applyBorder="1" applyAlignment="1">
      <alignment horizontal="center" vertical="center"/>
    </xf>
    <xf numFmtId="0" fontId="14" fillId="0" borderId="0" xfId="1860" applyFont="1">
      <alignment vertical="center"/>
    </xf>
    <xf numFmtId="165" fontId="14" fillId="0" borderId="0" xfId="1860" applyNumberFormat="1" applyFont="1" applyAlignment="1">
      <alignment horizontal="center" vertical="center"/>
    </xf>
    <xf numFmtId="165" fontId="212" fillId="0" borderId="0" xfId="1860" applyNumberFormat="1" applyFont="1" applyAlignment="1">
      <alignment horizontal="center" vertical="center"/>
    </xf>
    <xf numFmtId="165" fontId="212" fillId="0" borderId="6" xfId="1860" applyNumberFormat="1" applyFont="1" applyBorder="1" applyAlignment="1">
      <alignment horizontal="center" vertical="center"/>
    </xf>
    <xf numFmtId="165" fontId="14" fillId="0" borderId="6" xfId="1860" applyNumberFormat="1" applyFont="1" applyBorder="1" applyAlignment="1">
      <alignment horizontal="center" vertical="center"/>
    </xf>
    <xf numFmtId="0" fontId="213" fillId="2" borderId="0" xfId="1860" applyFont="1" applyFill="1" applyAlignment="1"/>
    <xf numFmtId="0" fontId="211" fillId="2" borderId="32" xfId="1860" applyFont="1" applyFill="1" applyBorder="1" applyAlignment="1">
      <alignment horizontal="center" vertical="center"/>
    </xf>
    <xf numFmtId="0" fontId="14" fillId="2" borderId="27" xfId="1860" applyFont="1" applyFill="1" applyBorder="1" applyAlignment="1">
      <alignment horizontal="center" vertical="center"/>
    </xf>
    <xf numFmtId="3" fontId="211" fillId="2" borderId="27" xfId="1860" applyNumberFormat="1" applyFont="1" applyFill="1" applyBorder="1" applyAlignment="1">
      <alignment horizontal="center" vertical="center"/>
    </xf>
    <xf numFmtId="0" fontId="211" fillId="2" borderId="27" xfId="1860" applyFont="1" applyFill="1" applyBorder="1" applyAlignment="1">
      <alignment horizontal="center" vertical="center"/>
    </xf>
    <xf numFmtId="0" fontId="211" fillId="0" borderId="27" xfId="1860" applyFont="1" applyBorder="1" applyAlignment="1">
      <alignment horizontal="center" vertical="center" wrapText="1"/>
    </xf>
    <xf numFmtId="0" fontId="211" fillId="2" borderId="49" xfId="1860" applyFont="1" applyFill="1" applyBorder="1" applyAlignment="1">
      <alignment horizontal="center" vertical="center" wrapText="1"/>
    </xf>
    <xf numFmtId="0" fontId="211" fillId="2" borderId="43" xfId="1860" applyFont="1" applyFill="1" applyBorder="1" applyAlignment="1">
      <alignment horizontal="center" vertical="center" wrapText="1"/>
    </xf>
    <xf numFmtId="0" fontId="213" fillId="2" borderId="131" xfId="1860" applyFont="1" applyFill="1" applyBorder="1" applyAlignment="1">
      <alignment horizontal="center" vertical="center"/>
    </xf>
    <xf numFmtId="0" fontId="25" fillId="2" borderId="130" xfId="1860" applyFont="1" applyFill="1" applyBorder="1" applyAlignment="1">
      <alignment horizontal="center" vertical="center"/>
    </xf>
    <xf numFmtId="4" fontId="213" fillId="2" borderId="130" xfId="1860" applyNumberFormat="1" applyFont="1" applyFill="1" applyBorder="1" applyAlignment="1">
      <alignment horizontal="center" vertical="center"/>
    </xf>
    <xf numFmtId="1" fontId="213" fillId="2" borderId="53" xfId="1860" applyNumberFormat="1" applyFont="1" applyFill="1" applyBorder="1" applyAlignment="1">
      <alignment horizontal="center" vertical="center"/>
    </xf>
    <xf numFmtId="165" fontId="213" fillId="0" borderId="130" xfId="1860" applyNumberFormat="1" applyFont="1" applyBorder="1" applyAlignment="1">
      <alignment horizontal="center" vertical="center" wrapText="1"/>
    </xf>
    <xf numFmtId="0" fontId="213" fillId="2" borderId="53" xfId="1860" applyFont="1" applyFill="1" applyBorder="1" applyAlignment="1">
      <alignment horizontal="center" vertical="center"/>
    </xf>
    <xf numFmtId="43" fontId="213" fillId="2" borderId="0" xfId="1860" applyNumberFormat="1" applyFont="1" applyFill="1" applyAlignment="1"/>
    <xf numFmtId="165" fontId="213" fillId="0" borderId="53" xfId="1860" applyNumberFormat="1" applyFont="1" applyBorder="1" applyAlignment="1">
      <alignment horizontal="center" vertical="center" wrapText="1"/>
    </xf>
    <xf numFmtId="4" fontId="211" fillId="2" borderId="27" xfId="1860" applyNumberFormat="1" applyFont="1" applyFill="1" applyBorder="1" applyAlignment="1">
      <alignment horizontal="center" vertical="center"/>
    </xf>
    <xf numFmtId="3" fontId="211" fillId="0" borderId="27" xfId="1860" applyNumberFormat="1" applyFont="1" applyBorder="1" applyAlignment="1">
      <alignment horizontal="center" vertical="center"/>
    </xf>
    <xf numFmtId="165" fontId="215" fillId="0" borderId="0" xfId="1860" applyNumberFormat="1" applyFont="1" applyAlignment="1"/>
    <xf numFmtId="172" fontId="215" fillId="0" borderId="0" xfId="1860" applyNumberFormat="1" applyFont="1" applyAlignment="1">
      <alignment horizontal="center"/>
    </xf>
    <xf numFmtId="0" fontId="216" fillId="0" borderId="0" xfId="1860" applyFont="1" applyAlignment="1">
      <alignment horizontal="center"/>
    </xf>
    <xf numFmtId="1" fontId="217" fillId="0" borderId="0" xfId="1860" applyNumberFormat="1" applyFont="1" applyAlignment="1"/>
    <xf numFmtId="172" fontId="216" fillId="0" borderId="0" xfId="1861" applyNumberFormat="1" applyFont="1" applyFill="1" applyAlignment="1"/>
    <xf numFmtId="0" fontId="216" fillId="0" borderId="0" xfId="1860" applyFont="1" applyAlignment="1"/>
    <xf numFmtId="172" fontId="216" fillId="0" borderId="0" xfId="1860" applyNumberFormat="1" applyFont="1" applyAlignment="1"/>
    <xf numFmtId="3" fontId="216" fillId="0" borderId="0" xfId="1860" applyNumberFormat="1" applyFont="1" applyAlignment="1">
      <alignment horizontal="center"/>
    </xf>
    <xf numFmtId="3" fontId="216" fillId="0" borderId="0" xfId="1860" applyNumberFormat="1" applyFont="1" applyAlignment="1"/>
    <xf numFmtId="0" fontId="216" fillId="0" borderId="0" xfId="1860" applyFont="1">
      <alignment vertical="center"/>
    </xf>
    <xf numFmtId="0" fontId="21" fillId="0" borderId="0" xfId="1860" applyFont="1" applyAlignment="1">
      <alignment horizontal="center"/>
    </xf>
    <xf numFmtId="3" fontId="218" fillId="0" borderId="0" xfId="1860" applyNumberFormat="1" applyFont="1" applyAlignment="1">
      <alignment horizontal="center"/>
    </xf>
    <xf numFmtId="0" fontId="218" fillId="0" borderId="0" xfId="1860" applyFont="1" applyAlignment="1"/>
    <xf numFmtId="172" fontId="21" fillId="0" borderId="0" xfId="1861" applyNumberFormat="1" applyFont="1" applyFill="1" applyAlignment="1">
      <alignment horizontal="center"/>
    </xf>
    <xf numFmtId="3" fontId="216" fillId="0" borderId="0" xfId="1860" applyNumberFormat="1" applyFont="1" applyAlignment="1">
      <alignment horizontal="center" vertical="top"/>
    </xf>
    <xf numFmtId="172" fontId="216" fillId="0" borderId="0" xfId="1861" applyNumberFormat="1" applyFont="1" applyFill="1" applyAlignment="1">
      <alignment horizontal="center"/>
    </xf>
    <xf numFmtId="165" fontId="25" fillId="0" borderId="0" xfId="1860" applyNumberFormat="1" applyFont="1" applyAlignment="1"/>
    <xf numFmtId="0" fontId="219" fillId="0" borderId="0" xfId="1860" applyFont="1" applyAlignment="1"/>
    <xf numFmtId="0" fontId="219" fillId="0" borderId="0" xfId="1860" applyFont="1" applyAlignment="1">
      <alignment horizontal="center"/>
    </xf>
    <xf numFmtId="165" fontId="219" fillId="0" borderId="0" xfId="1860" applyNumberFormat="1" applyFont="1" applyAlignment="1"/>
    <xf numFmtId="172" fontId="25" fillId="0" borderId="0" xfId="1860" applyNumberFormat="1" applyFont="1" applyAlignment="1"/>
    <xf numFmtId="0" fontId="22" fillId="0" borderId="97" xfId="0" applyFont="1" applyBorder="1" applyAlignment="1">
      <alignment horizontal="center" vertical="center"/>
    </xf>
    <xf numFmtId="0" fontId="22" fillId="0" borderId="25" xfId="0" applyFont="1" applyBorder="1" applyAlignment="1">
      <alignment horizontal="left" vertical="center"/>
    </xf>
    <xf numFmtId="0" fontId="22" fillId="0" borderId="6" xfId="0" applyFont="1" applyBorder="1" applyAlignment="1">
      <alignment horizontal="left" vertical="center"/>
    </xf>
    <xf numFmtId="0" fontId="219" fillId="0" borderId="0" xfId="1860" applyFont="1" applyAlignment="1">
      <alignment horizontal="center"/>
    </xf>
    <xf numFmtId="0" fontId="25" fillId="0" borderId="0" xfId="1860" applyFont="1" applyAlignment="1">
      <alignment horizontal="center"/>
    </xf>
    <xf numFmtId="0" fontId="216" fillId="0" borderId="0" xfId="1860" applyFont="1" applyAlignment="1">
      <alignment horizontal="center" vertical="center"/>
    </xf>
    <xf numFmtId="3" fontId="216" fillId="0" borderId="0" xfId="1860" applyNumberFormat="1" applyFont="1" applyAlignment="1">
      <alignment horizontal="center" vertical="top"/>
    </xf>
    <xf numFmtId="0" fontId="216" fillId="0" borderId="0" xfId="1860" applyFont="1" applyAlignment="1">
      <alignment horizontal="center"/>
    </xf>
    <xf numFmtId="3" fontId="216" fillId="0" borderId="0" xfId="1860" applyNumberFormat="1" applyFont="1" applyAlignment="1">
      <alignment horizontal="center"/>
    </xf>
    <xf numFmtId="3" fontId="218" fillId="0" borderId="0" xfId="1860" applyNumberFormat="1" applyFont="1" applyAlignment="1">
      <alignment horizontal="center"/>
    </xf>
    <xf numFmtId="0" fontId="218" fillId="0" borderId="0" xfId="1860" applyFont="1" applyAlignment="1">
      <alignment horizontal="center"/>
    </xf>
    <xf numFmtId="0" fontId="14" fillId="0" borderId="114" xfId="1860" applyFont="1" applyBorder="1" applyAlignment="1">
      <alignment horizontal="center" vertical="center"/>
    </xf>
    <xf numFmtId="0" fontId="14" fillId="0" borderId="127" xfId="1860" applyFont="1" applyBorder="1" applyAlignment="1">
      <alignment horizontal="center" vertical="center"/>
    </xf>
    <xf numFmtId="0" fontId="14" fillId="0" borderId="126" xfId="1860" applyFont="1" applyBorder="1" applyAlignment="1">
      <alignment horizontal="center" vertical="center"/>
    </xf>
    <xf numFmtId="172" fontId="213" fillId="2" borderId="3" xfId="1861" applyNumberFormat="1" applyFont="1" applyFill="1" applyBorder="1" applyAlignment="1">
      <alignment horizontal="center" vertical="center"/>
    </xf>
    <xf numFmtId="172" fontId="213" fillId="2" borderId="142" xfId="1861" applyNumberFormat="1" applyFont="1" applyFill="1" applyBorder="1" applyAlignment="1">
      <alignment horizontal="center" vertical="center"/>
    </xf>
    <xf numFmtId="172" fontId="213" fillId="2" borderId="114" xfId="1861" applyNumberFormat="1" applyFont="1" applyFill="1" applyBorder="1" applyAlignment="1">
      <alignment horizontal="center" vertical="center"/>
    </xf>
    <xf numFmtId="172" fontId="213" fillId="2" borderId="143" xfId="1861" applyNumberFormat="1" applyFont="1" applyFill="1" applyBorder="1" applyAlignment="1">
      <alignment horizontal="center" vertical="center"/>
    </xf>
    <xf numFmtId="172" fontId="213" fillId="2" borderId="48" xfId="1861" applyNumberFormat="1" applyFont="1" applyFill="1" applyBorder="1" applyAlignment="1">
      <alignment horizontal="center" vertical="center"/>
    </xf>
    <xf numFmtId="172" fontId="213" fillId="2" borderId="144" xfId="1861" applyNumberFormat="1" applyFont="1" applyFill="1" applyBorder="1" applyAlignment="1">
      <alignment horizontal="center" vertical="center"/>
    </xf>
    <xf numFmtId="172" fontId="211" fillId="2" borderId="49" xfId="1861" applyNumberFormat="1" applyFont="1" applyFill="1" applyBorder="1" applyAlignment="1">
      <alignment horizontal="center" vertical="center"/>
    </xf>
    <xf numFmtId="172" fontId="211" fillId="2" borderId="43" xfId="1861" applyNumberFormat="1" applyFont="1" applyFill="1" applyBorder="1" applyAlignment="1">
      <alignment horizontal="center" vertical="center"/>
    </xf>
    <xf numFmtId="0" fontId="14" fillId="0" borderId="24" xfId="1860" applyFont="1" applyBorder="1" applyAlignment="1">
      <alignment horizontal="center" vertical="center"/>
    </xf>
    <xf numFmtId="0" fontId="14" fillId="0" borderId="26" xfId="1860" applyFont="1" applyBorder="1" applyAlignment="1">
      <alignment horizontal="center" vertical="center"/>
    </xf>
    <xf numFmtId="0" fontId="211" fillId="2" borderId="0" xfId="1860" applyFont="1" applyFill="1" applyAlignment="1">
      <alignment horizontal="center" vertical="center"/>
    </xf>
    <xf numFmtId="0" fontId="211" fillId="2" borderId="97" xfId="1860" applyFont="1" applyFill="1" applyBorder="1" applyAlignment="1">
      <alignment horizontal="center" vertical="center"/>
    </xf>
    <xf numFmtId="0" fontId="14" fillId="0" borderId="0" xfId="1860" applyFont="1" applyAlignment="1">
      <alignment horizontal="left"/>
    </xf>
    <xf numFmtId="0" fontId="14" fillId="0" borderId="0" xfId="1860" applyFont="1" applyAlignment="1">
      <alignment horizontal="center"/>
    </xf>
    <xf numFmtId="0" fontId="14" fillId="0" borderId="37" xfId="1860" applyFont="1" applyBorder="1" applyAlignment="1">
      <alignment horizontal="center" vertical="center"/>
    </xf>
    <xf numFmtId="0" fontId="14" fillId="0" borderId="131" xfId="1860" applyFont="1" applyBorder="1" applyAlignment="1">
      <alignment horizontal="center" vertical="center"/>
    </xf>
    <xf numFmtId="0" fontId="14" fillId="0" borderId="34" xfId="1860" applyFont="1" applyBorder="1" applyAlignment="1">
      <alignment horizontal="center" vertical="center"/>
    </xf>
    <xf numFmtId="0" fontId="14" fillId="0" borderId="20" xfId="1860" applyFont="1" applyBorder="1" applyAlignment="1">
      <alignment horizontal="center" vertical="center"/>
    </xf>
    <xf numFmtId="0" fontId="14" fillId="0" borderId="130" xfId="1860" applyFont="1" applyBorder="1" applyAlignment="1">
      <alignment horizontal="center" vertical="center"/>
    </xf>
    <xf numFmtId="0" fontId="14" fillId="0" borderId="132" xfId="1860" applyFont="1" applyBorder="1" applyAlignment="1">
      <alignment horizontal="center" vertical="center"/>
    </xf>
    <xf numFmtId="0" fontId="14" fillId="0" borderId="3" xfId="1860" applyFont="1" applyBorder="1" applyAlignment="1">
      <alignment horizontal="center" vertical="center"/>
    </xf>
    <xf numFmtId="0" fontId="14" fillId="0" borderId="4" xfId="1860" applyFont="1" applyBorder="1" applyAlignment="1">
      <alignment horizontal="center" vertical="center"/>
    </xf>
    <xf numFmtId="0" fontId="14" fillId="0" borderId="20" xfId="1860" applyFont="1" applyBorder="1" applyAlignment="1">
      <alignment horizontal="center" vertical="center" wrapText="1"/>
    </xf>
    <xf numFmtId="0" fontId="14" fillId="0" borderId="21" xfId="1860" applyFont="1" applyBorder="1" applyAlignment="1">
      <alignment horizontal="center" vertical="center" wrapText="1"/>
    </xf>
    <xf numFmtId="0" fontId="14" fillId="0" borderId="129" xfId="1860" applyFont="1" applyBorder="1" applyAlignment="1">
      <alignment horizontal="center" vertical="center"/>
    </xf>
    <xf numFmtId="0" fontId="14" fillId="0" borderId="35" xfId="186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172" fontId="22" fillId="0" borderId="0" xfId="9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9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10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114" xfId="0" applyFont="1" applyBorder="1" applyAlignment="1">
      <alignment horizontal="center" vertical="center"/>
    </xf>
    <xf numFmtId="0" fontId="22" fillId="0" borderId="127" xfId="0" applyFont="1" applyBorder="1" applyAlignment="1">
      <alignment horizontal="center" vertical="center"/>
    </xf>
    <xf numFmtId="0" fontId="22" fillId="0" borderId="126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10" xfId="0" applyFont="1" applyBorder="1" applyAlignment="1">
      <alignment horizontal="center" vertical="center" wrapText="1"/>
    </xf>
    <xf numFmtId="43" fontId="22" fillId="0" borderId="21" xfId="0" applyNumberFormat="1" applyFont="1" applyBorder="1" applyAlignment="1">
      <alignment horizontal="center" vertical="center" wrapText="1"/>
    </xf>
    <xf numFmtId="43" fontId="22" fillId="0" borderId="129" xfId="0" applyNumberFormat="1" applyFont="1" applyBorder="1" applyAlignment="1">
      <alignment horizontal="center" vertical="center" wrapText="1"/>
    </xf>
    <xf numFmtId="43" fontId="22" fillId="0" borderId="35" xfId="0" applyNumberFormat="1" applyFont="1" applyBorder="1" applyAlignment="1">
      <alignment horizontal="center" vertical="center" wrapText="1"/>
    </xf>
    <xf numFmtId="41" fontId="16" fillId="0" borderId="0" xfId="0" applyNumberFormat="1" applyFont="1" applyAlignment="1">
      <alignment horizontal="center" vertical="center"/>
    </xf>
    <xf numFmtId="41" fontId="136" fillId="0" borderId="0" xfId="0" applyNumberFormat="1" applyFont="1" applyAlignment="1">
      <alignment horizontal="center" vertical="center"/>
    </xf>
    <xf numFmtId="43" fontId="22" fillId="0" borderId="8" xfId="0" applyNumberFormat="1" applyFont="1" applyBorder="1" applyAlignment="1">
      <alignment horizontal="center" vertical="center" wrapText="1"/>
    </xf>
    <xf numFmtId="43" fontId="22" fillId="0" borderId="44" xfId="0" applyNumberFormat="1" applyFont="1" applyBorder="1" applyAlignment="1">
      <alignment horizontal="center" vertical="center" wrapText="1"/>
    </xf>
    <xf numFmtId="43" fontId="22" fillId="0" borderId="45" xfId="0" applyNumberFormat="1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8" fillId="0" borderId="67" xfId="0" applyFont="1" applyBorder="1" applyAlignment="1">
      <alignment horizontal="center" vertical="center"/>
    </xf>
    <xf numFmtId="0" fontId="28" fillId="0" borderId="78" xfId="0" applyFont="1" applyBorder="1" applyAlignment="1">
      <alignment horizontal="center" vertical="center"/>
    </xf>
    <xf numFmtId="0" fontId="29" fillId="0" borderId="68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8" fillId="0" borderId="72" xfId="0" applyFont="1" applyBorder="1" applyAlignment="1">
      <alignment horizontal="center" vertical="center" wrapText="1"/>
    </xf>
    <xf numFmtId="0" fontId="28" fillId="0" borderId="79" xfId="0" applyFont="1" applyBorder="1" applyAlignment="1">
      <alignment horizontal="center" vertical="center" wrapText="1"/>
    </xf>
    <xf numFmtId="0" fontId="64" fillId="0" borderId="68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0" fontId="167" fillId="0" borderId="68" xfId="0" applyFont="1" applyBorder="1" applyAlignment="1">
      <alignment horizontal="center" vertical="center" wrapText="1"/>
    </xf>
    <xf numFmtId="0" fontId="167" fillId="0" borderId="137" xfId="0" applyFont="1" applyBorder="1" applyAlignment="1">
      <alignment horizontal="center" vertical="center" wrapText="1"/>
    </xf>
    <xf numFmtId="14" fontId="64" fillId="0" borderId="68" xfId="0" quotePrefix="1" applyNumberFormat="1" applyFont="1" applyBorder="1" applyAlignment="1">
      <alignment horizontal="center" vertical="center" textRotation="255"/>
    </xf>
    <xf numFmtId="14" fontId="64" fillId="0" borderId="14" xfId="0" quotePrefix="1" applyNumberFormat="1" applyFont="1" applyBorder="1" applyAlignment="1">
      <alignment horizontal="center" vertical="center" textRotation="255"/>
    </xf>
    <xf numFmtId="14" fontId="64" fillId="0" borderId="137" xfId="0" quotePrefix="1" applyNumberFormat="1" applyFont="1" applyBorder="1" applyAlignment="1">
      <alignment horizontal="center" vertical="center" textRotation="255"/>
    </xf>
    <xf numFmtId="0" fontId="29" fillId="0" borderId="65" xfId="1" applyFont="1" applyBorder="1" applyAlignment="1">
      <alignment horizontal="left" vertical="center"/>
    </xf>
    <xf numFmtId="0" fontId="66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64" fillId="0" borderId="68" xfId="0" applyFont="1" applyBorder="1" applyAlignment="1">
      <alignment horizontal="center" vertical="center" textRotation="255"/>
    </xf>
    <xf numFmtId="0" fontId="64" fillId="0" borderId="14" xfId="0" applyFont="1" applyBorder="1" applyAlignment="1">
      <alignment horizontal="center" vertical="center" textRotation="255"/>
    </xf>
    <xf numFmtId="0" fontId="64" fillId="0" borderId="138" xfId="0" applyFont="1" applyBorder="1" applyAlignment="1">
      <alignment horizontal="center" vertical="center" textRotation="255"/>
    </xf>
    <xf numFmtId="0" fontId="64" fillId="0" borderId="68" xfId="0" quotePrefix="1" applyFont="1" applyBorder="1" applyAlignment="1">
      <alignment horizontal="center" vertical="center" textRotation="255"/>
    </xf>
    <xf numFmtId="0" fontId="64" fillId="0" borderId="14" xfId="0" quotePrefix="1" applyFont="1" applyBorder="1" applyAlignment="1">
      <alignment horizontal="center" vertical="center" textRotation="255"/>
    </xf>
    <xf numFmtId="0" fontId="64" fillId="0" borderId="137" xfId="0" quotePrefix="1" applyFont="1" applyBorder="1" applyAlignment="1">
      <alignment horizontal="center" vertical="center" textRotation="255"/>
    </xf>
    <xf numFmtId="0" fontId="64" fillId="0" borderId="135" xfId="0" applyFont="1" applyBorder="1" applyAlignment="1">
      <alignment horizontal="center" vertical="center" textRotation="255"/>
    </xf>
    <xf numFmtId="0" fontId="32" fillId="0" borderId="0" xfId="1" applyFont="1" applyAlignment="1">
      <alignment horizontal="left" vertical="center"/>
    </xf>
    <xf numFmtId="0" fontId="28" fillId="0" borderId="37" xfId="1" applyFont="1" applyBorder="1" applyAlignment="1">
      <alignment horizontal="center" vertical="center" wrapText="1"/>
    </xf>
    <xf numFmtId="0" fontId="28" fillId="0" borderId="33" xfId="1" applyFont="1" applyBorder="1" applyAlignment="1">
      <alignment horizontal="center" vertical="center" wrapText="1"/>
    </xf>
    <xf numFmtId="0" fontId="28" fillId="0" borderId="34" xfId="1" applyFont="1" applyBorder="1" applyAlignment="1">
      <alignment horizontal="center" vertical="center" wrapText="1"/>
    </xf>
    <xf numFmtId="0" fontId="28" fillId="0" borderId="20" xfId="1" applyFont="1" applyBorder="1" applyAlignment="1">
      <alignment horizontal="center" vertical="center"/>
    </xf>
    <xf numFmtId="0" fontId="28" fillId="0" borderId="22" xfId="1" applyFont="1" applyBorder="1" applyAlignment="1">
      <alignment horizontal="center" vertical="center"/>
    </xf>
    <xf numFmtId="0" fontId="28" fillId="0" borderId="23" xfId="1" applyFont="1" applyBorder="1" applyAlignment="1">
      <alignment horizontal="center" vertical="center"/>
    </xf>
    <xf numFmtId="0" fontId="28" fillId="0" borderId="3" xfId="1" applyFont="1" applyBorder="1" applyAlignment="1">
      <alignment horizontal="center" vertical="center"/>
    </xf>
    <xf numFmtId="0" fontId="28" fillId="0" borderId="11" xfId="1" applyFont="1" applyBorder="1" applyAlignment="1">
      <alignment horizontal="center" vertical="center"/>
    </xf>
    <xf numFmtId="0" fontId="28" fillId="0" borderId="5" xfId="1" applyFont="1" applyBorder="1" applyAlignment="1">
      <alignment horizontal="center" vertical="center"/>
    </xf>
    <xf numFmtId="0" fontId="28" fillId="0" borderId="12" xfId="1" applyFont="1" applyBorder="1" applyAlignment="1">
      <alignment horizontal="center" vertical="center"/>
    </xf>
    <xf numFmtId="0" fontId="28" fillId="0" borderId="60" xfId="1" applyFont="1" applyBorder="1" applyAlignment="1">
      <alignment horizontal="center" vertical="center"/>
    </xf>
    <xf numFmtId="0" fontId="28" fillId="0" borderId="59" xfId="1" applyFont="1" applyBorder="1" applyAlignment="1">
      <alignment horizontal="center" vertical="center"/>
    </xf>
    <xf numFmtId="0" fontId="28" fillId="0" borderId="61" xfId="1" applyFont="1" applyBorder="1" applyAlignment="1">
      <alignment horizontal="center" vertical="center"/>
    </xf>
    <xf numFmtId="0" fontId="28" fillId="0" borderId="38" xfId="1" applyFont="1" applyBorder="1" applyAlignment="1">
      <alignment horizontal="center" vertical="center"/>
    </xf>
    <xf numFmtId="0" fontId="28" fillId="0" borderId="21" xfId="1" applyFont="1" applyBorder="1" applyAlignment="1">
      <alignment horizontal="center" vertical="center"/>
    </xf>
    <xf numFmtId="0" fontId="28" fillId="0" borderId="31" xfId="1" applyFont="1" applyBorder="1" applyAlignment="1">
      <alignment horizontal="center" vertical="center"/>
    </xf>
    <xf numFmtId="0" fontId="28" fillId="0" borderId="35" xfId="1" applyFont="1" applyBorder="1" applyAlignment="1">
      <alignment horizontal="center" vertical="center"/>
    </xf>
    <xf numFmtId="0" fontId="28" fillId="0" borderId="60" xfId="1" applyFont="1" applyBorder="1" applyAlignment="1">
      <alignment horizontal="center" vertical="center" wrapText="1"/>
    </xf>
    <xf numFmtId="0" fontId="28" fillId="0" borderId="87" xfId="1" applyFont="1" applyBorder="1" applyAlignment="1">
      <alignment horizontal="center" vertical="center"/>
    </xf>
    <xf numFmtId="0" fontId="28" fillId="0" borderId="88" xfId="1" applyFont="1" applyBorder="1" applyAlignment="1">
      <alignment horizontal="center" vertical="center"/>
    </xf>
    <xf numFmtId="0" fontId="28" fillId="0" borderId="89" xfId="1" applyFont="1" applyBorder="1" applyAlignment="1">
      <alignment horizontal="center" vertical="center"/>
    </xf>
    <xf numFmtId="0" fontId="28" fillId="0" borderId="41" xfId="1" applyFont="1" applyBorder="1" applyAlignment="1">
      <alignment horizontal="center" vertical="center"/>
    </xf>
    <xf numFmtId="0" fontId="28" fillId="0" borderId="63" xfId="1" applyFont="1" applyBorder="1" applyAlignment="1">
      <alignment horizontal="center" vertical="center"/>
    </xf>
    <xf numFmtId="0" fontId="28" fillId="0" borderId="64" xfId="1" applyFont="1" applyBorder="1" applyAlignment="1">
      <alignment horizontal="center" vertical="center"/>
    </xf>
    <xf numFmtId="0" fontId="28" fillId="0" borderId="42" xfId="1" applyFont="1" applyBorder="1" applyAlignment="1">
      <alignment horizontal="center" vertical="center"/>
    </xf>
    <xf numFmtId="0" fontId="28" fillId="0" borderId="29" xfId="1" applyFont="1" applyBorder="1" applyAlignment="1">
      <alignment horizontal="center" vertical="center"/>
    </xf>
    <xf numFmtId="0" fontId="28" fillId="0" borderId="112" xfId="1" applyFont="1" applyBorder="1" applyAlignment="1">
      <alignment horizontal="center" vertical="center"/>
    </xf>
    <xf numFmtId="0" fontId="27" fillId="0" borderId="0" xfId="1" applyFont="1" applyAlignment="1">
      <alignment horizontal="left" vertical="center"/>
    </xf>
    <xf numFmtId="0" fontId="28" fillId="0" borderId="1" xfId="1" applyFont="1" applyBorder="1" applyAlignment="1">
      <alignment horizontal="center" vertical="center" wrapText="1"/>
    </xf>
    <xf numFmtId="0" fontId="28" fillId="0" borderId="9" xfId="1" applyFont="1" applyBorder="1" applyAlignment="1">
      <alignment horizontal="center" vertical="center" wrapText="1"/>
    </xf>
    <xf numFmtId="0" fontId="28" fillId="0" borderId="109" xfId="1" applyFont="1" applyBorder="1" applyAlignment="1">
      <alignment horizontal="center" vertical="center" wrapText="1"/>
    </xf>
    <xf numFmtId="0" fontId="28" fillId="0" borderId="8" xfId="1" applyFont="1" applyBorder="1" applyAlignment="1">
      <alignment horizontal="center" vertical="center"/>
    </xf>
    <xf numFmtId="0" fontId="28" fillId="0" borderId="6" xfId="1" applyFont="1" applyBorder="1" applyAlignment="1">
      <alignment horizontal="center" vertical="center"/>
    </xf>
    <xf numFmtId="0" fontId="28" fillId="0" borderId="39" xfId="1" applyFont="1" applyBorder="1" applyAlignment="1">
      <alignment horizontal="center" vertical="center"/>
    </xf>
    <xf numFmtId="0" fontId="28" fillId="0" borderId="55" xfId="1" applyFont="1" applyBorder="1" applyAlignment="1">
      <alignment horizontal="center" vertical="center"/>
    </xf>
    <xf numFmtId="0" fontId="28" fillId="0" borderId="56" xfId="1" applyFont="1" applyBorder="1" applyAlignment="1">
      <alignment horizontal="center" vertical="center"/>
    </xf>
    <xf numFmtId="0" fontId="28" fillId="0" borderId="58" xfId="1" applyFont="1" applyBorder="1" applyAlignment="1">
      <alignment horizontal="center" vertical="center"/>
    </xf>
    <xf numFmtId="0" fontId="28" fillId="0" borderId="117" xfId="1" applyFont="1" applyBorder="1" applyAlignment="1">
      <alignment horizontal="center" vertical="center"/>
    </xf>
    <xf numFmtId="0" fontId="28" fillId="0" borderId="87" xfId="1" applyFont="1" applyBorder="1" applyAlignment="1">
      <alignment horizontal="center" vertical="center" wrapText="1"/>
    </xf>
    <xf numFmtId="0" fontId="28" fillId="0" borderId="88" xfId="1" applyFont="1" applyBorder="1" applyAlignment="1">
      <alignment horizontal="center" vertical="center" wrapText="1"/>
    </xf>
    <xf numFmtId="0" fontId="28" fillId="0" borderId="89" xfId="1" applyFont="1" applyBorder="1" applyAlignment="1">
      <alignment horizontal="center" vertical="center" wrapText="1"/>
    </xf>
    <xf numFmtId="0" fontId="28" fillId="0" borderId="0" xfId="1" applyFont="1" applyAlignment="1">
      <alignment horizontal="right" vertical="center"/>
    </xf>
    <xf numFmtId="0" fontId="29" fillId="0" borderId="0" xfId="1" applyFont="1" applyAlignment="1">
      <alignment horizontal="right" vertical="center"/>
    </xf>
    <xf numFmtId="0" fontId="27" fillId="0" borderId="5" xfId="1" applyFont="1" applyBorder="1" applyAlignment="1">
      <alignment horizontal="center" vertical="center"/>
    </xf>
    <xf numFmtId="0" fontId="27" fillId="0" borderId="20" xfId="1" applyFont="1" applyBorder="1" applyAlignment="1">
      <alignment horizontal="center" vertical="center"/>
    </xf>
    <xf numFmtId="0" fontId="27" fillId="0" borderId="3" xfId="1" applyFont="1" applyBorder="1" applyAlignment="1">
      <alignment horizontal="center" vertical="center"/>
    </xf>
    <xf numFmtId="0" fontId="27" fillId="0" borderId="12" xfId="1" applyFont="1" applyBorder="1" applyAlignment="1">
      <alignment horizontal="center" vertical="center"/>
    </xf>
    <xf numFmtId="0" fontId="27" fillId="0" borderId="22" xfId="1" applyFont="1" applyBorder="1" applyAlignment="1">
      <alignment horizontal="center" vertical="center"/>
    </xf>
    <xf numFmtId="0" fontId="27" fillId="0" borderId="11" xfId="1" applyFont="1" applyBorder="1" applyAlignment="1">
      <alignment horizontal="center" vertical="center"/>
    </xf>
    <xf numFmtId="0" fontId="29" fillId="0" borderId="60" xfId="1" applyFont="1" applyBorder="1" applyAlignment="1">
      <alignment horizontal="center" vertical="center"/>
    </xf>
    <xf numFmtId="0" fontId="29" fillId="0" borderId="59" xfId="1" applyFont="1" applyBorder="1" applyAlignment="1">
      <alignment horizontal="center" vertical="center"/>
    </xf>
    <xf numFmtId="0" fontId="29" fillId="0" borderId="61" xfId="1" applyFont="1" applyBorder="1" applyAlignment="1">
      <alignment horizontal="center" vertical="center"/>
    </xf>
    <xf numFmtId="0" fontId="27" fillId="0" borderId="38" xfId="1" applyFont="1" applyBorder="1" applyAlignment="1">
      <alignment horizontal="center" vertical="center"/>
    </xf>
    <xf numFmtId="0" fontId="27" fillId="0" borderId="21" xfId="1" applyFont="1" applyBorder="1" applyAlignment="1">
      <alignment horizontal="center" vertical="center"/>
    </xf>
    <xf numFmtId="0" fontId="27" fillId="0" borderId="31" xfId="1" applyFont="1" applyBorder="1" applyAlignment="1">
      <alignment horizontal="center" vertical="center"/>
    </xf>
    <xf numFmtId="0" fontId="27" fillId="0" borderId="35" xfId="1" applyFont="1" applyBorder="1" applyAlignment="1">
      <alignment horizontal="center" vertical="center"/>
    </xf>
    <xf numFmtId="0" fontId="26" fillId="0" borderId="0" xfId="1" applyFont="1" applyAlignment="1">
      <alignment horizontal="left" vertical="center"/>
    </xf>
    <xf numFmtId="0" fontId="27" fillId="0" borderId="37" xfId="1" applyFont="1" applyBorder="1" applyAlignment="1">
      <alignment horizontal="center" vertical="center" wrapText="1"/>
    </xf>
    <xf numFmtId="0" fontId="27" fillId="0" borderId="33" xfId="1" applyFont="1" applyBorder="1" applyAlignment="1">
      <alignment horizontal="center" vertical="center" wrapText="1"/>
    </xf>
    <xf numFmtId="0" fontId="27" fillId="0" borderId="34" xfId="1" applyFont="1" applyBorder="1" applyAlignment="1">
      <alignment horizontal="center" vertical="center" wrapText="1"/>
    </xf>
    <xf numFmtId="0" fontId="27" fillId="0" borderId="23" xfId="1" applyFont="1" applyBorder="1" applyAlignment="1">
      <alignment horizontal="center" vertical="center"/>
    </xf>
    <xf numFmtId="0" fontId="28" fillId="0" borderId="37" xfId="1" applyFont="1" applyBorder="1" applyAlignment="1">
      <alignment horizontal="left" vertical="center" wrapText="1"/>
    </xf>
    <xf numFmtId="0" fontId="28" fillId="0" borderId="33" xfId="1" applyFont="1" applyBorder="1" applyAlignment="1">
      <alignment horizontal="left" vertical="center" wrapText="1"/>
    </xf>
    <xf numFmtId="0" fontId="28" fillId="0" borderId="34" xfId="1" applyFont="1" applyBorder="1" applyAlignment="1">
      <alignment horizontal="left" vertical="center" wrapText="1"/>
    </xf>
    <xf numFmtId="0" fontId="28" fillId="0" borderId="20" xfId="1" applyFont="1" applyBorder="1" applyAlignment="1">
      <alignment horizontal="left" vertical="center"/>
    </xf>
    <xf numFmtId="0" fontId="28" fillId="0" borderId="22" xfId="1" applyFont="1" applyBorder="1" applyAlignment="1">
      <alignment horizontal="left" vertical="center"/>
    </xf>
    <xf numFmtId="0" fontId="28" fillId="0" borderId="23" xfId="1" applyFont="1" applyBorder="1" applyAlignment="1">
      <alignment horizontal="left" vertical="center"/>
    </xf>
    <xf numFmtId="0" fontId="28" fillId="0" borderId="128" xfId="1" applyFont="1" applyBorder="1" applyAlignment="1">
      <alignment horizontal="center" vertical="center"/>
    </xf>
    <xf numFmtId="0" fontId="28" fillId="0" borderId="126" xfId="1" applyFont="1" applyBorder="1" applyAlignment="1">
      <alignment horizontal="center" vertical="center"/>
    </xf>
    <xf numFmtId="165" fontId="29" fillId="0" borderId="19" xfId="21" applyFont="1" applyFill="1" applyBorder="1" applyAlignment="1">
      <alignment horizontal="center" vertical="center"/>
    </xf>
    <xf numFmtId="165" fontId="34" fillId="0" borderId="1" xfId="21" applyFont="1" applyFill="1" applyBorder="1" applyAlignment="1">
      <alignment horizontal="center" vertical="center"/>
    </xf>
    <xf numFmtId="165" fontId="34" fillId="0" borderId="16" xfId="21" applyFont="1" applyFill="1" applyBorder="1" applyAlignment="1">
      <alignment horizontal="center" vertical="center"/>
    </xf>
    <xf numFmtId="165" fontId="34" fillId="0" borderId="7" xfId="21" applyFont="1" applyFill="1" applyBorder="1" applyAlignment="1">
      <alignment horizontal="center" vertical="center"/>
    </xf>
    <xf numFmtId="165" fontId="34" fillId="0" borderId="18" xfId="21" applyFont="1" applyFill="1" applyBorder="1" applyAlignment="1">
      <alignment horizontal="center" vertical="center"/>
    </xf>
    <xf numFmtId="165" fontId="34" fillId="0" borderId="20" xfId="21" applyFont="1" applyFill="1" applyBorder="1" applyAlignment="1">
      <alignment horizontal="center" vertical="center"/>
    </xf>
    <xf numFmtId="165" fontId="34" fillId="0" borderId="3" xfId="21" applyFont="1" applyFill="1" applyBorder="1" applyAlignment="1">
      <alignment horizontal="center" vertical="center"/>
    </xf>
    <xf numFmtId="165" fontId="23" fillId="0" borderId="41" xfId="21" applyFont="1" applyFill="1" applyBorder="1" applyAlignment="1">
      <alignment horizontal="center" vertical="center"/>
    </xf>
    <xf numFmtId="165" fontId="23" fillId="0" borderId="64" xfId="21" applyFont="1" applyFill="1" applyBorder="1" applyAlignment="1">
      <alignment horizontal="center" vertical="center"/>
    </xf>
    <xf numFmtId="165" fontId="34" fillId="0" borderId="60" xfId="21" applyFont="1" applyFill="1" applyBorder="1" applyAlignment="1">
      <alignment horizontal="center" vertical="center"/>
    </xf>
    <xf numFmtId="165" fontId="34" fillId="0" borderId="62" xfId="21" applyFont="1" applyFill="1" applyBorder="1" applyAlignment="1">
      <alignment horizontal="center" vertical="center"/>
    </xf>
    <xf numFmtId="175" fontId="60" fillId="0" borderId="20" xfId="21" applyNumberFormat="1" applyFont="1" applyFill="1" applyBorder="1" applyAlignment="1">
      <alignment horizontal="center" vertical="center"/>
    </xf>
    <xf numFmtId="175" fontId="60" fillId="0" borderId="23" xfId="21" applyNumberFormat="1" applyFont="1" applyFill="1" applyBorder="1" applyAlignment="1">
      <alignment horizontal="center" vertical="center"/>
    </xf>
    <xf numFmtId="175" fontId="34" fillId="0" borderId="42" xfId="21" applyNumberFormat="1" applyFont="1" applyFill="1" applyBorder="1" applyAlignment="1">
      <alignment horizontal="center" vertical="center"/>
    </xf>
    <xf numFmtId="175" fontId="34" fillId="0" borderId="30" xfId="21" applyNumberFormat="1" applyFont="1" applyFill="1" applyBorder="1" applyAlignment="1">
      <alignment horizontal="center" vertical="center"/>
    </xf>
    <xf numFmtId="165" fontId="23" fillId="0" borderId="63" xfId="21" applyFont="1" applyFill="1" applyBorder="1" applyAlignment="1">
      <alignment horizontal="center" vertical="center"/>
    </xf>
    <xf numFmtId="165" fontId="23" fillId="0" borderId="41" xfId="21" applyFont="1" applyFill="1" applyBorder="1" applyAlignment="1">
      <alignment horizontal="center" vertical="center" wrapText="1"/>
    </xf>
    <xf numFmtId="175" fontId="34" fillId="0" borderId="20" xfId="21" applyNumberFormat="1" applyFont="1" applyFill="1" applyBorder="1" applyAlignment="1">
      <alignment horizontal="center" vertical="center"/>
    </xf>
    <xf numFmtId="175" fontId="34" fillId="0" borderId="23" xfId="21" applyNumberFormat="1" applyFont="1" applyFill="1" applyBorder="1" applyAlignment="1">
      <alignment horizontal="center" vertical="center"/>
    </xf>
    <xf numFmtId="165" fontId="23" fillId="0" borderId="80" xfId="21" applyFont="1" applyFill="1" applyBorder="1" applyAlignment="1">
      <alignment horizontal="center" vertical="center"/>
    </xf>
    <xf numFmtId="165" fontId="23" fillId="0" borderId="52" xfId="21" applyFont="1" applyFill="1" applyBorder="1" applyAlignment="1">
      <alignment horizontal="center" vertical="center"/>
    </xf>
    <xf numFmtId="165" fontId="34" fillId="0" borderId="37" xfId="21" applyFont="1" applyFill="1" applyBorder="1" applyAlignment="1">
      <alignment horizontal="center" vertical="center"/>
    </xf>
    <xf numFmtId="165" fontId="34" fillId="0" borderId="34" xfId="21" applyFont="1" applyFill="1" applyBorder="1" applyAlignment="1">
      <alignment horizontal="center" vertical="center"/>
    </xf>
    <xf numFmtId="165" fontId="34" fillId="0" borderId="23" xfId="21" applyFont="1" applyFill="1" applyBorder="1" applyAlignment="1">
      <alignment horizontal="center" vertical="center"/>
    </xf>
    <xf numFmtId="175" fontId="34" fillId="0" borderId="21" xfId="21" applyNumberFormat="1" applyFont="1" applyFill="1" applyBorder="1" applyAlignment="1">
      <alignment horizontal="center" vertical="center"/>
    </xf>
    <xf numFmtId="175" fontId="34" fillId="0" borderId="35" xfId="21" applyNumberFormat="1" applyFont="1" applyFill="1" applyBorder="1" applyAlignment="1">
      <alignment horizontal="center" vertical="center"/>
    </xf>
    <xf numFmtId="165" fontId="23" fillId="0" borderId="9" xfId="21" applyFont="1" applyFill="1" applyBorder="1" applyAlignment="1">
      <alignment horizontal="center" vertical="center"/>
    </xf>
    <xf numFmtId="0" fontId="28" fillId="0" borderId="65" xfId="1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172" fontId="71" fillId="0" borderId="24" xfId="9" applyNumberFormat="1" applyFont="1" applyFill="1" applyBorder="1" applyAlignment="1">
      <alignment horizontal="center" vertical="center" wrapText="1"/>
    </xf>
    <xf numFmtId="172" fontId="71" fillId="0" borderId="25" xfId="9" applyNumberFormat="1" applyFont="1" applyFill="1" applyBorder="1" applyAlignment="1">
      <alignment horizontal="center" vertical="center" wrapText="1"/>
    </xf>
    <xf numFmtId="172" fontId="71" fillId="0" borderId="26" xfId="9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textRotation="90"/>
    </xf>
    <xf numFmtId="0" fontId="14" fillId="0" borderId="10" xfId="0" applyFont="1" applyBorder="1" applyAlignment="1">
      <alignment horizontal="center" vertical="center" textRotation="90"/>
    </xf>
    <xf numFmtId="0" fontId="14" fillId="0" borderId="17" xfId="0" applyFont="1" applyBorder="1" applyAlignment="1">
      <alignment horizontal="center" vertical="center" textRotation="90"/>
    </xf>
    <xf numFmtId="0" fontId="14" fillId="0" borderId="1" xfId="0" applyFont="1" applyBorder="1" applyAlignment="1">
      <alignment horizontal="center" vertical="center" textRotation="90"/>
    </xf>
    <xf numFmtId="0" fontId="14" fillId="0" borderId="16" xfId="0" applyFont="1" applyBorder="1" applyAlignment="1">
      <alignment horizontal="center" vertical="center" textRotation="90"/>
    </xf>
    <xf numFmtId="0" fontId="14" fillId="0" borderId="8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textRotation="90"/>
    </xf>
    <xf numFmtId="0" fontId="14" fillId="0" borderId="14" xfId="0" applyFont="1" applyBorder="1" applyAlignment="1">
      <alignment horizontal="center" vertical="center" textRotation="90"/>
    </xf>
    <xf numFmtId="0" fontId="68" fillId="0" borderId="14" xfId="0" applyFont="1" applyBorder="1" applyAlignment="1">
      <alignment horizontal="center" vertical="center" textRotation="90"/>
    </xf>
    <xf numFmtId="0" fontId="68" fillId="0" borderId="18" xfId="0" applyFont="1" applyBorder="1" applyAlignment="1">
      <alignment horizontal="center" vertical="center" textRotation="90"/>
    </xf>
    <xf numFmtId="172" fontId="21" fillId="0" borderId="49" xfId="9" applyNumberFormat="1" applyFont="1" applyFill="1" applyBorder="1" applyAlignment="1">
      <alignment horizontal="left" vertical="center" wrapText="1"/>
    </xf>
    <xf numFmtId="172" fontId="21" fillId="0" borderId="26" xfId="9" applyNumberFormat="1" applyFont="1" applyFill="1" applyBorder="1" applyAlignment="1">
      <alignment horizontal="left" vertical="center" wrapText="1"/>
    </xf>
    <xf numFmtId="0" fontId="14" fillId="0" borderId="18" xfId="0" applyFont="1" applyBorder="1" applyAlignment="1">
      <alignment horizontal="center" vertical="center" textRotation="90"/>
    </xf>
    <xf numFmtId="166" fontId="71" fillId="0" borderId="49" xfId="9" applyFont="1" applyFill="1" applyBorder="1" applyAlignment="1">
      <alignment horizontal="left" vertical="center"/>
    </xf>
    <xf numFmtId="166" fontId="71" fillId="0" borderId="26" xfId="9" applyFont="1" applyFill="1" applyBorder="1" applyAlignment="1">
      <alignment horizontal="left" vertical="center"/>
    </xf>
    <xf numFmtId="172" fontId="25" fillId="0" borderId="7" xfId="9" applyNumberFormat="1" applyFont="1" applyFill="1" applyBorder="1" applyAlignment="1">
      <alignment horizontal="center" vertical="center" wrapText="1"/>
    </xf>
    <xf numFmtId="172" fontId="25" fillId="0" borderId="14" xfId="9" applyNumberFormat="1" applyFont="1" applyFill="1" applyBorder="1" applyAlignment="1">
      <alignment horizontal="center" vertical="center" wrapText="1"/>
    </xf>
    <xf numFmtId="172" fontId="25" fillId="0" borderId="18" xfId="9" applyNumberFormat="1" applyFont="1" applyFill="1" applyBorder="1" applyAlignment="1">
      <alignment horizontal="center" vertical="center" wrapText="1"/>
    </xf>
    <xf numFmtId="0" fontId="70" fillId="0" borderId="25" xfId="0" applyFont="1" applyBorder="1" applyAlignment="1">
      <alignment horizontal="center" vertical="center"/>
    </xf>
    <xf numFmtId="172" fontId="71" fillId="0" borderId="49" xfId="9" applyNumberFormat="1" applyFont="1" applyFill="1" applyBorder="1" applyAlignment="1">
      <alignment horizontal="left" vertical="center" wrapText="1"/>
    </xf>
    <xf numFmtId="172" fontId="71" fillId="0" borderId="26" xfId="9" applyNumberFormat="1" applyFont="1" applyFill="1" applyBorder="1" applyAlignment="1">
      <alignment horizontal="left" vertical="center" wrapText="1"/>
    </xf>
    <xf numFmtId="175" fontId="14" fillId="0" borderId="48" xfId="21" applyNumberFormat="1" applyFont="1" applyFill="1" applyBorder="1" applyAlignment="1">
      <alignment horizontal="left" vertical="center"/>
    </xf>
    <xf numFmtId="175" fontId="14" fillId="0" borderId="38" xfId="21" applyNumberFormat="1" applyFont="1" applyFill="1" applyBorder="1" applyAlignment="1">
      <alignment horizontal="left" vertical="center"/>
    </xf>
    <xf numFmtId="0" fontId="68" fillId="0" borderId="49" xfId="0" applyFont="1" applyBorder="1" applyAlignment="1">
      <alignment horizontal="left" vertical="center"/>
    </xf>
    <xf numFmtId="0" fontId="68" fillId="0" borderId="26" xfId="0" applyFont="1" applyBorder="1" applyAlignment="1">
      <alignment horizontal="left" vertical="center"/>
    </xf>
    <xf numFmtId="172" fontId="25" fillId="0" borderId="20" xfId="9" applyNumberFormat="1" applyFont="1" applyFill="1" applyBorder="1" applyAlignment="1">
      <alignment horizontal="center" vertical="center" wrapText="1"/>
    </xf>
    <xf numFmtId="172" fontId="25" fillId="0" borderId="53" xfId="9" applyNumberFormat="1" applyFont="1" applyFill="1" applyBorder="1" applyAlignment="1">
      <alignment horizontal="center" vertical="center" wrapText="1"/>
    </xf>
    <xf numFmtId="172" fontId="25" fillId="0" borderId="22" xfId="9" applyNumberFormat="1" applyFont="1" applyFill="1" applyBorder="1" applyAlignment="1">
      <alignment horizontal="center" vertical="center" wrapText="1"/>
    </xf>
    <xf numFmtId="172" fontId="25" fillId="0" borderId="36" xfId="9" applyNumberFormat="1" applyFont="1" applyFill="1" applyBorder="1" applyAlignment="1">
      <alignment horizontal="center" vertical="center" wrapText="1"/>
    </xf>
    <xf numFmtId="172" fontId="25" fillId="0" borderId="23" xfId="9" applyNumberFormat="1" applyFont="1" applyFill="1" applyBorder="1" applyAlignment="1">
      <alignment horizontal="center" vertical="center" wrapText="1"/>
    </xf>
    <xf numFmtId="175" fontId="14" fillId="0" borderId="47" xfId="21" applyNumberFormat="1" applyFont="1" applyFill="1" applyBorder="1" applyAlignment="1">
      <alignment horizontal="left" vertical="center"/>
    </xf>
    <xf numFmtId="175" fontId="14" fillId="0" borderId="15" xfId="21" applyNumberFormat="1" applyFont="1" applyFill="1" applyBorder="1" applyAlignment="1">
      <alignment horizontal="left" vertical="center"/>
    </xf>
    <xf numFmtId="0" fontId="14" fillId="0" borderId="20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205" fillId="0" borderId="8" xfId="1" applyFont="1" applyBorder="1" applyAlignment="1">
      <alignment horizontal="center" vertical="center"/>
    </xf>
    <xf numFmtId="0" fontId="205" fillId="0" borderId="6" xfId="1" applyFont="1" applyBorder="1" applyAlignment="1">
      <alignment horizontal="center" vertical="center"/>
    </xf>
    <xf numFmtId="0" fontId="205" fillId="0" borderId="2" xfId="1" applyFont="1" applyBorder="1" applyAlignment="1">
      <alignment horizontal="center" vertical="center"/>
    </xf>
    <xf numFmtId="0" fontId="205" fillId="0" borderId="55" xfId="1" applyFont="1" applyBorder="1" applyAlignment="1">
      <alignment horizontal="center" vertical="center"/>
    </xf>
    <xf numFmtId="0" fontId="205" fillId="0" borderId="128" xfId="1" applyFont="1" applyBorder="1" applyAlignment="1">
      <alignment horizontal="center" vertical="center"/>
    </xf>
    <xf numFmtId="0" fontId="205" fillId="0" borderId="57" xfId="1" applyFont="1" applyBorder="1" applyAlignment="1">
      <alignment horizontal="center" vertical="center"/>
    </xf>
    <xf numFmtId="0" fontId="205" fillId="0" borderId="7" xfId="1" applyFont="1" applyBorder="1" applyAlignment="1">
      <alignment horizontal="center" vertical="center" wrapText="1"/>
    </xf>
    <xf numFmtId="0" fontId="205" fillId="0" borderId="14" xfId="1" applyFont="1" applyBorder="1" applyAlignment="1">
      <alignment horizontal="center" vertical="center" wrapText="1"/>
    </xf>
    <xf numFmtId="0" fontId="205" fillId="0" borderId="110" xfId="1" applyFont="1" applyBorder="1" applyAlignment="1">
      <alignment horizontal="center" vertical="center" wrapText="1"/>
    </xf>
    <xf numFmtId="0" fontId="205" fillId="0" borderId="7" xfId="1" applyFont="1" applyBorder="1" applyAlignment="1">
      <alignment horizontal="center" vertical="center" textRotation="90" wrapText="1"/>
    </xf>
    <xf numFmtId="0" fontId="205" fillId="0" borderId="14" xfId="1" applyFont="1" applyBorder="1" applyAlignment="1">
      <alignment horizontal="center" vertical="center" textRotation="90" wrapText="1"/>
    </xf>
    <xf numFmtId="0" fontId="205" fillId="0" borderId="110" xfId="1" applyFont="1" applyBorder="1" applyAlignment="1">
      <alignment horizontal="center" vertical="center" textRotation="90" wrapText="1"/>
    </xf>
    <xf numFmtId="0" fontId="208" fillId="0" borderId="0" xfId="1" applyFont="1" applyAlignment="1">
      <alignment horizontal="center" vertical="center"/>
    </xf>
    <xf numFmtId="0" fontId="205" fillId="0" borderId="0" xfId="1" applyFont="1" applyAlignment="1">
      <alignment horizontal="center" vertical="center"/>
    </xf>
    <xf numFmtId="0" fontId="205" fillId="0" borderId="1" xfId="1" applyFont="1" applyBorder="1" applyAlignment="1">
      <alignment horizontal="center" vertical="center" textRotation="90" wrapText="1"/>
    </xf>
    <xf numFmtId="0" fontId="205" fillId="0" borderId="9" xfId="1" applyFont="1" applyBorder="1" applyAlignment="1">
      <alignment horizontal="center" vertical="center" textRotation="90" wrapText="1"/>
    </xf>
    <xf numFmtId="0" fontId="205" fillId="0" borderId="109" xfId="1" applyFont="1" applyBorder="1" applyAlignment="1">
      <alignment horizontal="center" vertical="center" textRotation="90" wrapText="1"/>
    </xf>
    <xf numFmtId="0" fontId="205" fillId="0" borderId="7" xfId="1" applyFont="1" applyBorder="1" applyAlignment="1">
      <alignment horizontal="center" vertical="center" textRotation="255"/>
    </xf>
    <xf numFmtId="0" fontId="205" fillId="0" borderId="14" xfId="1" applyFont="1" applyBorder="1" applyAlignment="1">
      <alignment horizontal="center" vertical="center" textRotation="255"/>
    </xf>
    <xf numFmtId="0" fontId="205" fillId="0" borderId="110" xfId="1" applyFont="1" applyBorder="1" applyAlignment="1">
      <alignment horizontal="center" vertical="center" textRotation="255"/>
    </xf>
    <xf numFmtId="0" fontId="205" fillId="0" borderId="7" xfId="1" applyFont="1" applyBorder="1" applyAlignment="1">
      <alignment horizontal="center" vertical="center" textRotation="90"/>
    </xf>
    <xf numFmtId="0" fontId="205" fillId="0" borderId="14" xfId="1" applyFont="1" applyBorder="1" applyAlignment="1">
      <alignment horizontal="center" vertical="center" textRotation="90"/>
    </xf>
    <xf numFmtId="0" fontId="205" fillId="0" borderId="110" xfId="1" applyFont="1" applyBorder="1" applyAlignment="1">
      <alignment horizontal="center" vertical="center" textRotation="90"/>
    </xf>
    <xf numFmtId="0" fontId="205" fillId="0" borderId="3" xfId="1" applyFont="1" applyBorder="1" applyAlignment="1">
      <alignment horizontal="center" vertical="center"/>
    </xf>
    <xf numFmtId="0" fontId="205" fillId="0" borderId="4" xfId="1" applyFont="1" applyBorder="1" applyAlignment="1">
      <alignment horizontal="center" vertical="center"/>
    </xf>
    <xf numFmtId="0" fontId="205" fillId="0" borderId="5" xfId="1" applyFont="1" applyBorder="1" applyAlignment="1">
      <alignment horizontal="center" vertical="center"/>
    </xf>
    <xf numFmtId="0" fontId="205" fillId="0" borderId="53" xfId="1" applyFont="1" applyBorder="1" applyAlignment="1">
      <alignment horizontal="center" vertical="center" wrapText="1"/>
    </xf>
    <xf numFmtId="0" fontId="205" fillId="0" borderId="8" xfId="1" applyFont="1" applyBorder="1" applyAlignment="1">
      <alignment horizontal="center" vertical="center" wrapText="1"/>
    </xf>
    <xf numFmtId="0" fontId="205" fillId="0" borderId="6" xfId="1" applyFont="1" applyBorder="1" applyAlignment="1">
      <alignment horizontal="center" vertical="center" wrapText="1"/>
    </xf>
    <xf numFmtId="0" fontId="205" fillId="0" borderId="2" xfId="1" applyFont="1" applyBorder="1" applyAlignment="1">
      <alignment horizontal="center" vertical="center" wrapText="1"/>
    </xf>
    <xf numFmtId="0" fontId="205" fillId="0" borderId="44" xfId="1" applyFont="1" applyBorder="1" applyAlignment="1">
      <alignment horizontal="center" vertical="center" wrapText="1"/>
    </xf>
    <xf numFmtId="0" fontId="205" fillId="0" borderId="0" xfId="1" applyFont="1" applyAlignment="1">
      <alignment horizontal="center" vertical="center" wrapText="1"/>
    </xf>
    <xf numFmtId="0" fontId="205" fillId="0" borderId="10" xfId="1" applyFont="1" applyBorder="1" applyAlignment="1">
      <alignment horizontal="center" vertical="center" wrapText="1"/>
    </xf>
    <xf numFmtId="0" fontId="205" fillId="0" borderId="107" xfId="1" applyFont="1" applyBorder="1" applyAlignment="1">
      <alignment horizontal="center" vertical="center"/>
    </xf>
    <xf numFmtId="0" fontId="205" fillId="0" borderId="108" xfId="1" applyFont="1" applyBorder="1" applyAlignment="1">
      <alignment horizontal="center" vertical="center"/>
    </xf>
    <xf numFmtId="0" fontId="205" fillId="0" borderId="114" xfId="1" applyFont="1" applyBorder="1" applyAlignment="1">
      <alignment horizontal="center" vertical="center"/>
    </xf>
    <xf numFmtId="0" fontId="205" fillId="0" borderId="126" xfId="1" applyFont="1" applyBorder="1" applyAlignment="1">
      <alignment horizontal="center" vertical="center"/>
    </xf>
    <xf numFmtId="0" fontId="205" fillId="0" borderId="133" xfId="1" applyFont="1" applyBorder="1" applyAlignment="1">
      <alignment horizontal="center" vertical="center"/>
    </xf>
    <xf numFmtId="0" fontId="205" fillId="0" borderId="110" xfId="1" applyFont="1" applyBorder="1" applyAlignment="1">
      <alignment horizontal="center" vertical="center"/>
    </xf>
    <xf numFmtId="0" fontId="205" fillId="0" borderId="134" xfId="1" applyFont="1" applyBorder="1" applyAlignment="1">
      <alignment horizontal="center" vertical="center"/>
    </xf>
    <xf numFmtId="0" fontId="205" fillId="0" borderId="112" xfId="1" applyFont="1" applyBorder="1" applyAlignment="1">
      <alignment horizontal="center" vertical="center"/>
    </xf>
    <xf numFmtId="49" fontId="194" fillId="0" borderId="32" xfId="2" applyNumberFormat="1" applyFont="1" applyFill="1" applyBorder="1" applyAlignment="1">
      <alignment horizontal="center" vertical="center" wrapText="1"/>
    </xf>
    <xf numFmtId="49" fontId="194" fillId="0" borderId="27" xfId="2" applyNumberFormat="1" applyFont="1" applyFill="1" applyBorder="1" applyAlignment="1">
      <alignment horizontal="center" vertical="center" wrapText="1"/>
    </xf>
    <xf numFmtId="49" fontId="194" fillId="0" borderId="49" xfId="2" applyNumberFormat="1" applyFont="1" applyFill="1" applyBorder="1" applyAlignment="1">
      <alignment horizontal="center" vertical="center" wrapText="1"/>
    </xf>
    <xf numFmtId="0" fontId="194" fillId="0" borderId="0" xfId="1" applyFont="1" applyAlignment="1">
      <alignment horizontal="left" vertical="center" wrapText="1"/>
    </xf>
    <xf numFmtId="0" fontId="205" fillId="0" borderId="127" xfId="1" applyFont="1" applyBorder="1" applyAlignment="1">
      <alignment horizontal="center" vertical="center"/>
    </xf>
    <xf numFmtId="0" fontId="205" fillId="0" borderId="107" xfId="1" applyFont="1" applyBorder="1" applyAlignment="1">
      <alignment horizontal="center" vertical="center" wrapText="1"/>
    </xf>
    <xf numFmtId="0" fontId="205" fillId="0" borderId="108" xfId="1" applyFont="1" applyBorder="1" applyAlignment="1">
      <alignment horizontal="center" vertical="center" wrapText="1"/>
    </xf>
    <xf numFmtId="0" fontId="205" fillId="0" borderId="39" xfId="1" applyFont="1" applyBorder="1" applyAlignment="1">
      <alignment horizontal="center" vertical="center" wrapText="1"/>
    </xf>
    <xf numFmtId="0" fontId="205" fillId="0" borderId="55" xfId="1" applyFont="1" applyBorder="1" applyAlignment="1">
      <alignment horizontal="center" vertical="center" wrapText="1"/>
    </xf>
    <xf numFmtId="0" fontId="205" fillId="0" borderId="58" xfId="1" applyFont="1" applyBorder="1" applyAlignment="1">
      <alignment horizontal="center" vertical="center" wrapText="1"/>
    </xf>
    <xf numFmtId="0" fontId="205" fillId="0" borderId="114" xfId="1" applyFont="1" applyBorder="1" applyAlignment="1">
      <alignment horizontal="center" vertical="center" wrapText="1"/>
    </xf>
    <xf numFmtId="0" fontId="205" fillId="0" borderId="126" xfId="1" applyFont="1" applyBorder="1" applyAlignment="1">
      <alignment horizontal="center" vertical="center" wrapText="1"/>
    </xf>
    <xf numFmtId="0" fontId="205" fillId="0" borderId="53" xfId="1" applyFont="1" applyBorder="1" applyAlignment="1">
      <alignment horizontal="center" vertical="center" textRotation="90" wrapText="1"/>
    </xf>
    <xf numFmtId="0" fontId="205" fillId="0" borderId="53" xfId="1" applyFont="1" applyBorder="1" applyAlignment="1">
      <alignment horizontal="center" vertical="center" textRotation="90"/>
    </xf>
    <xf numFmtId="0" fontId="194" fillId="0" borderId="0" xfId="1" applyFont="1" applyAlignment="1">
      <alignment horizontal="center" vertical="top"/>
    </xf>
    <xf numFmtId="41" fontId="194" fillId="0" borderId="0" xfId="0" applyNumberFormat="1" applyFont="1" applyAlignment="1">
      <alignment horizontal="center" vertical="top"/>
    </xf>
    <xf numFmtId="172" fontId="208" fillId="0" borderId="0" xfId="2" applyNumberFormat="1" applyFont="1" applyFill="1" applyBorder="1" applyAlignment="1">
      <alignment horizontal="center"/>
    </xf>
    <xf numFmtId="0" fontId="208" fillId="0" borderId="0" xfId="2" applyNumberFormat="1" applyFont="1" applyFill="1" applyBorder="1" applyAlignment="1">
      <alignment horizontal="center"/>
    </xf>
    <xf numFmtId="41" fontId="208" fillId="0" borderId="0" xfId="0" applyNumberFormat="1" applyFont="1" applyAlignment="1">
      <alignment horizontal="center"/>
    </xf>
    <xf numFmtId="0" fontId="208" fillId="0" borderId="0" xfId="1" applyFont="1" applyAlignment="1">
      <alignment horizontal="center"/>
    </xf>
    <xf numFmtId="0" fontId="205" fillId="0" borderId="11" xfId="1" applyFont="1" applyBorder="1" applyAlignment="1">
      <alignment horizontal="center" vertical="center"/>
    </xf>
    <xf numFmtId="0" fontId="205" fillId="0" borderId="13" xfId="1" applyFont="1" applyBorder="1" applyAlignment="1">
      <alignment horizontal="center" vertical="center"/>
    </xf>
    <xf numFmtId="0" fontId="205" fillId="0" borderId="12" xfId="1" applyFont="1" applyBorder="1" applyAlignment="1">
      <alignment horizontal="center" vertical="center"/>
    </xf>
    <xf numFmtId="0" fontId="205" fillId="0" borderId="11" xfId="1" applyFont="1" applyBorder="1" applyAlignment="1">
      <alignment horizontal="center" vertical="center" wrapText="1"/>
    </xf>
    <xf numFmtId="0" fontId="205" fillId="0" borderId="12" xfId="1" applyFont="1" applyBorder="1" applyAlignment="1">
      <alignment horizontal="center" vertical="center" wrapText="1"/>
    </xf>
    <xf numFmtId="0" fontId="205" fillId="0" borderId="56" xfId="1" applyFont="1" applyBorder="1" applyAlignment="1">
      <alignment horizontal="center" vertical="center"/>
    </xf>
    <xf numFmtId="0" fontId="205" fillId="0" borderId="18" xfId="1" applyFont="1" applyBorder="1" applyAlignment="1">
      <alignment horizontal="center" vertical="center" wrapText="1"/>
    </xf>
    <xf numFmtId="0" fontId="205" fillId="0" borderId="18" xfId="1" applyFont="1" applyBorder="1" applyAlignment="1">
      <alignment horizontal="center" vertical="center" textRotation="90" wrapText="1"/>
    </xf>
    <xf numFmtId="0" fontId="205" fillId="0" borderId="16" xfId="1" applyFont="1" applyBorder="1" applyAlignment="1">
      <alignment horizontal="center" vertical="center" textRotation="90" wrapText="1"/>
    </xf>
    <xf numFmtId="0" fontId="205" fillId="0" borderId="18" xfId="1" applyFont="1" applyBorder="1" applyAlignment="1">
      <alignment horizontal="center" vertical="center" textRotation="90"/>
    </xf>
    <xf numFmtId="0" fontId="205" fillId="0" borderId="47" xfId="1" applyFont="1" applyBorder="1" applyAlignment="1">
      <alignment horizontal="center" vertical="center"/>
    </xf>
    <xf numFmtId="0" fontId="205" fillId="0" borderId="15" xfId="1" applyFont="1" applyBorder="1" applyAlignment="1">
      <alignment horizontal="center" vertical="center"/>
    </xf>
    <xf numFmtId="0" fontId="205" fillId="0" borderId="36" xfId="1" applyFont="1" applyBorder="1" applyAlignment="1">
      <alignment horizontal="center" vertical="center"/>
    </xf>
    <xf numFmtId="0" fontId="205" fillId="0" borderId="18" xfId="1" applyFont="1" applyBorder="1" applyAlignment="1">
      <alignment horizontal="center" vertical="center"/>
    </xf>
    <xf numFmtId="0" fontId="205" fillId="0" borderId="40" xfId="1" applyFont="1" applyBorder="1" applyAlignment="1">
      <alignment horizontal="center" vertical="center"/>
    </xf>
    <xf numFmtId="0" fontId="205" fillId="0" borderId="30" xfId="1" applyFont="1" applyBorder="1" applyAlignment="1">
      <alignment horizontal="center" vertical="center"/>
    </xf>
    <xf numFmtId="171" fontId="205" fillId="0" borderId="24" xfId="4" applyNumberFormat="1" applyFont="1" applyFill="1" applyBorder="1" applyAlignment="1">
      <alignment horizontal="center" vertical="center"/>
    </xf>
    <xf numFmtId="171" fontId="205" fillId="0" borderId="25" xfId="4" applyNumberFormat="1" applyFont="1" applyFill="1" applyBorder="1" applyAlignment="1">
      <alignment horizontal="center" vertical="center"/>
    </xf>
    <xf numFmtId="171" fontId="205" fillId="0" borderId="26" xfId="4" applyNumberFormat="1" applyFont="1" applyFill="1" applyBorder="1" applyAlignment="1">
      <alignment horizontal="center" vertical="center"/>
    </xf>
    <xf numFmtId="0" fontId="205" fillId="0" borderId="47" xfId="1" applyFont="1" applyBorder="1" applyAlignment="1">
      <alignment horizontal="center" vertical="center" wrapText="1"/>
    </xf>
    <xf numFmtId="0" fontId="205" fillId="0" borderId="15" xfId="1" applyFont="1" applyBorder="1" applyAlignment="1">
      <alignment horizontal="center" vertical="center" wrapText="1"/>
    </xf>
    <xf numFmtId="0" fontId="205" fillId="0" borderId="20" xfId="1" applyFont="1" applyBorder="1" applyAlignment="1">
      <alignment horizontal="center" vertical="center"/>
    </xf>
    <xf numFmtId="0" fontId="205" fillId="0" borderId="7" xfId="1" applyFont="1" applyBorder="1" applyAlignment="1">
      <alignment horizontal="center" vertical="center" textRotation="255" wrapText="1"/>
    </xf>
    <xf numFmtId="0" fontId="205" fillId="0" borderId="14" xfId="1" applyFont="1" applyBorder="1" applyAlignment="1">
      <alignment horizontal="center" vertical="center" textRotation="255" wrapText="1"/>
    </xf>
    <xf numFmtId="0" fontId="205" fillId="0" borderId="53" xfId="1" applyFont="1" applyBorder="1" applyAlignment="1">
      <alignment horizontal="center" vertical="center" textRotation="255" wrapText="1"/>
    </xf>
    <xf numFmtId="0" fontId="205" fillId="0" borderId="128" xfId="1" applyFont="1" applyBorder="1" applyAlignment="1">
      <alignment horizontal="center" vertical="center" wrapText="1"/>
    </xf>
    <xf numFmtId="0" fontId="205" fillId="0" borderId="57" xfId="1" applyFont="1" applyBorder="1" applyAlignment="1">
      <alignment horizontal="center" vertical="center" wrapText="1"/>
    </xf>
    <xf numFmtId="172" fontId="208" fillId="0" borderId="0" xfId="2" applyNumberFormat="1" applyFont="1" applyFill="1" applyBorder="1" applyAlignment="1">
      <alignment horizontal="center" vertical="center"/>
    </xf>
    <xf numFmtId="0" fontId="208" fillId="0" borderId="0" xfId="2" applyNumberFormat="1" applyFont="1" applyFill="1" applyBorder="1" applyAlignment="1">
      <alignment horizontal="center" vertical="center"/>
    </xf>
    <xf numFmtId="41" fontId="208" fillId="0" borderId="0" xfId="0" applyNumberFormat="1" applyFont="1" applyAlignment="1">
      <alignment horizontal="center" vertical="center"/>
    </xf>
    <xf numFmtId="0" fontId="194" fillId="0" borderId="0" xfId="1" applyFont="1" applyAlignment="1">
      <alignment horizontal="center" vertical="center"/>
    </xf>
    <xf numFmtId="41" fontId="194" fillId="0" borderId="0" xfId="0" applyNumberFormat="1" applyFont="1" applyAlignment="1">
      <alignment horizontal="center" vertical="center"/>
    </xf>
    <xf numFmtId="0" fontId="205" fillId="0" borderId="14" xfId="1" applyFont="1" applyBorder="1" applyAlignment="1">
      <alignment horizontal="center" vertical="center"/>
    </xf>
    <xf numFmtId="0" fontId="205" fillId="0" borderId="29" xfId="1" applyFont="1" applyBorder="1" applyAlignment="1">
      <alignment horizontal="center" vertical="center"/>
    </xf>
    <xf numFmtId="0" fontId="205" fillId="0" borderId="130" xfId="1" applyFont="1" applyBorder="1" applyAlignment="1">
      <alignment horizontal="center" vertical="center"/>
    </xf>
    <xf numFmtId="0" fontId="205" fillId="0" borderId="130" xfId="1" applyFont="1" applyBorder="1" applyAlignment="1">
      <alignment horizontal="center" vertical="center" wrapText="1"/>
    </xf>
    <xf numFmtId="0" fontId="178" fillId="0" borderId="0" xfId="1" applyFont="1" applyAlignment="1">
      <alignment horizontal="center" vertical="center"/>
    </xf>
    <xf numFmtId="41" fontId="187" fillId="0" borderId="0" xfId="0" applyNumberFormat="1" applyFont="1" applyAlignment="1">
      <alignment horizontal="center" vertical="center"/>
    </xf>
    <xf numFmtId="172" fontId="177" fillId="0" borderId="0" xfId="2" applyNumberFormat="1" applyFont="1" applyFill="1" applyBorder="1" applyAlignment="1">
      <alignment horizontal="center" vertical="center"/>
    </xf>
    <xf numFmtId="0" fontId="179" fillId="0" borderId="0" xfId="1" applyFont="1" applyAlignment="1">
      <alignment horizontal="center" vertical="center"/>
    </xf>
    <xf numFmtId="0" fontId="177" fillId="0" borderId="0" xfId="2" applyNumberFormat="1" applyFont="1" applyFill="1" applyBorder="1" applyAlignment="1">
      <alignment horizontal="center" vertical="center"/>
    </xf>
    <xf numFmtId="41" fontId="188" fillId="0" borderId="0" xfId="0" applyNumberFormat="1" applyFont="1" applyAlignment="1">
      <alignment horizontal="center" vertical="center"/>
    </xf>
    <xf numFmtId="0" fontId="177" fillId="0" borderId="0" xfId="1" applyFont="1" applyAlignment="1">
      <alignment horizontal="center" vertical="center"/>
    </xf>
    <xf numFmtId="0" fontId="186" fillId="0" borderId="7" xfId="1" applyFont="1" applyBorder="1" applyAlignment="1">
      <alignment horizontal="center" vertical="center" textRotation="90"/>
    </xf>
    <xf numFmtId="0" fontId="186" fillId="0" borderId="14" xfId="1" applyFont="1" applyBorder="1" applyAlignment="1">
      <alignment horizontal="center" vertical="center" textRotation="90"/>
    </xf>
    <xf numFmtId="0" fontId="186" fillId="0" borderId="110" xfId="1" applyFont="1" applyBorder="1" applyAlignment="1">
      <alignment horizontal="center" vertical="center" textRotation="90"/>
    </xf>
    <xf numFmtId="0" fontId="186" fillId="0" borderId="7" xfId="1" applyFont="1" applyBorder="1" applyAlignment="1">
      <alignment horizontal="center" vertical="center" wrapText="1"/>
    </xf>
    <xf numFmtId="0" fontId="186" fillId="0" borderId="14" xfId="1" applyFont="1" applyBorder="1" applyAlignment="1">
      <alignment horizontal="center" vertical="center" wrapText="1"/>
    </xf>
    <xf numFmtId="0" fontId="186" fillId="0" borderId="110" xfId="1" applyFont="1" applyBorder="1" applyAlignment="1">
      <alignment horizontal="center" vertical="center" wrapText="1"/>
    </xf>
    <xf numFmtId="0" fontId="180" fillId="0" borderId="7" xfId="1" applyFont="1" applyBorder="1" applyAlignment="1">
      <alignment horizontal="center" vertical="center" textRotation="90" wrapText="1"/>
    </xf>
    <xf numFmtId="0" fontId="180" fillId="0" borderId="14" xfId="1" applyFont="1" applyBorder="1" applyAlignment="1">
      <alignment horizontal="center" vertical="center" textRotation="90" wrapText="1"/>
    </xf>
    <xf numFmtId="0" fontId="180" fillId="0" borderId="110" xfId="1" applyFont="1" applyBorder="1" applyAlignment="1">
      <alignment horizontal="center" vertical="center" textRotation="90" wrapText="1"/>
    </xf>
    <xf numFmtId="0" fontId="186" fillId="0" borderId="7" xfId="1" applyFont="1" applyBorder="1" applyAlignment="1">
      <alignment horizontal="center" vertical="center" textRotation="90" wrapText="1"/>
    </xf>
    <xf numFmtId="0" fontId="186" fillId="0" borderId="14" xfId="1" applyFont="1" applyBorder="1" applyAlignment="1">
      <alignment horizontal="center" vertical="center" textRotation="90" wrapText="1"/>
    </xf>
    <xf numFmtId="0" fontId="186" fillId="0" borderId="110" xfId="1" applyFont="1" applyBorder="1" applyAlignment="1">
      <alignment horizontal="center" vertical="center" textRotation="90" wrapText="1"/>
    </xf>
    <xf numFmtId="0" fontId="186" fillId="0" borderId="8" xfId="1" applyFont="1" applyBorder="1" applyAlignment="1">
      <alignment horizontal="center" vertical="center" wrapText="1"/>
    </xf>
    <xf numFmtId="0" fontId="186" fillId="0" borderId="39" xfId="1" applyFont="1" applyBorder="1" applyAlignment="1">
      <alignment horizontal="center" vertical="center" wrapText="1"/>
    </xf>
    <xf numFmtId="0" fontId="186" fillId="0" borderId="55" xfId="1" applyFont="1" applyBorder="1" applyAlignment="1">
      <alignment horizontal="center" vertical="center" wrapText="1"/>
    </xf>
    <xf numFmtId="0" fontId="186" fillId="0" borderId="58" xfId="1" applyFont="1" applyBorder="1" applyAlignment="1">
      <alignment horizontal="center" vertical="center" wrapText="1"/>
    </xf>
    <xf numFmtId="0" fontId="186" fillId="0" borderId="130" xfId="1" applyFont="1" applyBorder="1" applyAlignment="1">
      <alignment horizontal="center" vertical="center"/>
    </xf>
    <xf numFmtId="0" fontId="180" fillId="0" borderId="7" xfId="1" applyFont="1" applyBorder="1" applyAlignment="1">
      <alignment horizontal="center" vertical="center" textRotation="90"/>
    </xf>
    <xf numFmtId="0" fontId="180" fillId="0" borderId="14" xfId="1" applyFont="1" applyBorder="1" applyAlignment="1">
      <alignment horizontal="center" vertical="center" textRotation="90"/>
    </xf>
    <xf numFmtId="0" fontId="180" fillId="0" borderId="18" xfId="1" applyFont="1" applyBorder="1" applyAlignment="1">
      <alignment horizontal="center" vertical="center" textRotation="90"/>
    </xf>
    <xf numFmtId="0" fontId="186" fillId="0" borderId="133" xfId="1" applyFont="1" applyBorder="1" applyAlignment="1">
      <alignment horizontal="center" vertical="center"/>
    </xf>
    <xf numFmtId="0" fontId="179" fillId="0" borderId="11" xfId="1" applyFont="1" applyBorder="1" applyAlignment="1">
      <alignment horizontal="center" vertical="center"/>
    </xf>
    <xf numFmtId="0" fontId="179" fillId="0" borderId="12" xfId="1" applyFont="1" applyBorder="1" applyAlignment="1">
      <alignment horizontal="center" vertical="center"/>
    </xf>
    <xf numFmtId="0" fontId="180" fillId="0" borderId="47" xfId="1" applyFont="1" applyBorder="1" applyAlignment="1">
      <alignment horizontal="center" vertical="center"/>
    </xf>
    <xf numFmtId="0" fontId="180" fillId="0" borderId="15" xfId="1" applyFont="1" applyBorder="1" applyAlignment="1">
      <alignment horizontal="center" vertical="center"/>
    </xf>
    <xf numFmtId="171" fontId="179" fillId="0" borderId="24" xfId="4" applyNumberFormat="1" applyFont="1" applyFill="1" applyBorder="1" applyAlignment="1">
      <alignment horizontal="center" vertical="center"/>
    </xf>
    <xf numFmtId="171" fontId="179" fillId="0" borderId="25" xfId="4" applyNumberFormat="1" applyFont="1" applyFill="1" applyBorder="1" applyAlignment="1">
      <alignment horizontal="center" vertical="center"/>
    </xf>
    <xf numFmtId="171" fontId="179" fillId="0" borderId="26" xfId="4" applyNumberFormat="1" applyFont="1" applyFill="1" applyBorder="1" applyAlignment="1">
      <alignment horizontal="center" vertical="center"/>
    </xf>
    <xf numFmtId="0" fontId="179" fillId="0" borderId="3" xfId="1" applyFont="1" applyBorder="1" applyAlignment="1">
      <alignment horizontal="center" vertical="center"/>
    </xf>
    <xf numFmtId="0" fontId="179" fillId="0" borderId="4" xfId="1" applyFont="1" applyBorder="1" applyAlignment="1">
      <alignment horizontal="center" vertical="center"/>
    </xf>
    <xf numFmtId="0" fontId="179" fillId="0" borderId="5" xfId="1" applyFont="1" applyBorder="1" applyAlignment="1">
      <alignment horizontal="center" vertical="center"/>
    </xf>
    <xf numFmtId="0" fontId="186" fillId="0" borderId="134" xfId="1" applyFont="1" applyBorder="1" applyAlignment="1">
      <alignment horizontal="center" vertical="center"/>
    </xf>
    <xf numFmtId="0" fontId="186" fillId="0" borderId="112" xfId="1" applyFont="1" applyBorder="1" applyAlignment="1">
      <alignment horizontal="center" vertical="center"/>
    </xf>
    <xf numFmtId="0" fontId="186" fillId="0" borderId="110" xfId="1" applyFont="1" applyBorder="1" applyAlignment="1">
      <alignment horizontal="center" vertical="center"/>
    </xf>
    <xf numFmtId="0" fontId="186" fillId="0" borderId="53" xfId="1" applyFont="1" applyBorder="1" applyAlignment="1">
      <alignment horizontal="center" vertical="center" wrapText="1"/>
    </xf>
    <xf numFmtId="0" fontId="186" fillId="0" borderId="6" xfId="1" applyFont="1" applyBorder="1" applyAlignment="1">
      <alignment horizontal="center" vertical="center" wrapText="1"/>
    </xf>
    <xf numFmtId="0" fontId="186" fillId="0" borderId="2" xfId="1" applyFont="1" applyBorder="1" applyAlignment="1">
      <alignment horizontal="center" vertical="center" wrapText="1"/>
    </xf>
    <xf numFmtId="0" fontId="186" fillId="0" borderId="128" xfId="1" applyFont="1" applyBorder="1" applyAlignment="1">
      <alignment horizontal="center" vertical="center" wrapText="1"/>
    </xf>
    <xf numFmtId="0" fontId="186" fillId="0" borderId="57" xfId="1" applyFont="1" applyBorder="1" applyAlignment="1">
      <alignment horizontal="center" vertical="center" wrapText="1"/>
    </xf>
    <xf numFmtId="0" fontId="186" fillId="0" borderId="53" xfId="1" applyFont="1" applyBorder="1" applyAlignment="1">
      <alignment horizontal="center" vertical="center" textRotation="90" wrapText="1"/>
    </xf>
    <xf numFmtId="0" fontId="186" fillId="0" borderId="8" xfId="1" applyFont="1" applyBorder="1" applyAlignment="1">
      <alignment horizontal="center" vertical="center"/>
    </xf>
    <xf numFmtId="0" fontId="186" fillId="0" borderId="6" xfId="1" applyFont="1" applyBorder="1" applyAlignment="1">
      <alignment horizontal="center" vertical="center"/>
    </xf>
    <xf numFmtId="0" fontId="186" fillId="0" borderId="2" xfId="1" applyFont="1" applyBorder="1" applyAlignment="1">
      <alignment horizontal="center" vertical="center"/>
    </xf>
    <xf numFmtId="0" fontId="186" fillId="0" borderId="55" xfId="1" applyFont="1" applyBorder="1" applyAlignment="1">
      <alignment horizontal="center" vertical="center"/>
    </xf>
    <xf numFmtId="0" fontId="186" fillId="0" borderId="128" xfId="1" applyFont="1" applyBorder="1" applyAlignment="1">
      <alignment horizontal="center" vertical="center"/>
    </xf>
    <xf numFmtId="0" fontId="186" fillId="0" borderId="57" xfId="1" applyFont="1" applyBorder="1" applyAlignment="1">
      <alignment horizontal="center" vertical="center"/>
    </xf>
    <xf numFmtId="0" fontId="186" fillId="0" borderId="53" xfId="1" applyFont="1" applyBorder="1" applyAlignment="1">
      <alignment horizontal="center" vertical="center" textRotation="90"/>
    </xf>
    <xf numFmtId="0" fontId="186" fillId="0" borderId="7" xfId="1" applyFont="1" applyBorder="1" applyAlignment="1">
      <alignment horizontal="center" vertical="center" textRotation="255" wrapText="1"/>
    </xf>
    <xf numFmtId="0" fontId="186" fillId="0" borderId="14" xfId="1" applyFont="1" applyBorder="1" applyAlignment="1">
      <alignment horizontal="center" vertical="center" textRotation="255" wrapText="1"/>
    </xf>
    <xf numFmtId="0" fontId="186" fillId="0" borderId="53" xfId="1" applyFont="1" applyBorder="1" applyAlignment="1">
      <alignment horizontal="center" vertical="center" textRotation="255" wrapText="1"/>
    </xf>
    <xf numFmtId="0" fontId="186" fillId="0" borderId="114" xfId="1" applyFont="1" applyBorder="1" applyAlignment="1">
      <alignment horizontal="center" vertical="center"/>
    </xf>
    <xf numFmtId="0" fontId="186" fillId="0" borderId="126" xfId="1" applyFont="1" applyBorder="1" applyAlignment="1">
      <alignment horizontal="center" vertical="center"/>
    </xf>
    <xf numFmtId="0" fontId="186" fillId="0" borderId="127" xfId="1" applyFont="1" applyBorder="1" applyAlignment="1">
      <alignment horizontal="center" vertical="center"/>
    </xf>
    <xf numFmtId="0" fontId="186" fillId="0" borderId="29" xfId="1" applyFont="1" applyBorder="1" applyAlignment="1">
      <alignment horizontal="center" vertical="center"/>
    </xf>
    <xf numFmtId="0" fontId="186" fillId="0" borderId="14" xfId="1" applyFont="1" applyBorder="1" applyAlignment="1">
      <alignment horizontal="center" vertical="center"/>
    </xf>
    <xf numFmtId="0" fontId="186" fillId="0" borderId="20" xfId="1" applyFont="1" applyBorder="1" applyAlignment="1">
      <alignment horizontal="center" vertical="center"/>
    </xf>
    <xf numFmtId="0" fontId="186" fillId="0" borderId="130" xfId="1" applyFont="1" applyBorder="1" applyAlignment="1">
      <alignment horizontal="center" vertical="center" wrapText="1"/>
    </xf>
    <xf numFmtId="0" fontId="179" fillId="0" borderId="36" xfId="1" applyFont="1" applyBorder="1" applyAlignment="1">
      <alignment horizontal="center" vertical="center"/>
    </xf>
    <xf numFmtId="0" fontId="179" fillId="0" borderId="18" xfId="1" applyFont="1" applyBorder="1" applyAlignment="1">
      <alignment horizontal="center" vertical="center"/>
    </xf>
    <xf numFmtId="0" fontId="179" fillId="0" borderId="40" xfId="1" applyFont="1" applyBorder="1" applyAlignment="1">
      <alignment horizontal="center" vertical="center"/>
    </xf>
    <xf numFmtId="0" fontId="179" fillId="0" borderId="30" xfId="1" applyFont="1" applyBorder="1" applyAlignment="1">
      <alignment horizontal="center" vertical="center"/>
    </xf>
    <xf numFmtId="0" fontId="180" fillId="0" borderId="47" xfId="1" applyFont="1" applyBorder="1" applyAlignment="1">
      <alignment horizontal="center" vertical="center" wrapText="1"/>
    </xf>
    <xf numFmtId="0" fontId="180" fillId="0" borderId="15" xfId="1" applyFont="1" applyBorder="1" applyAlignment="1">
      <alignment horizontal="center" vertical="center" wrapText="1"/>
    </xf>
    <xf numFmtId="0" fontId="179" fillId="0" borderId="7" xfId="1" applyFont="1" applyBorder="1" applyAlignment="1">
      <alignment horizontal="center" vertical="center" textRotation="90" wrapText="1"/>
    </xf>
    <xf numFmtId="0" fontId="179" fillId="0" borderId="14" xfId="1" applyFont="1" applyBorder="1" applyAlignment="1">
      <alignment horizontal="center" vertical="center" textRotation="90" wrapText="1"/>
    </xf>
    <xf numFmtId="0" fontId="179" fillId="0" borderId="18" xfId="1" applyFont="1" applyBorder="1" applyAlignment="1">
      <alignment horizontal="center" vertical="center" textRotation="90" wrapText="1"/>
    </xf>
    <xf numFmtId="0" fontId="179" fillId="0" borderId="8" xfId="1" applyFont="1" applyBorder="1" applyAlignment="1">
      <alignment horizontal="center" vertical="center" wrapText="1"/>
    </xf>
    <xf numFmtId="0" fontId="179" fillId="0" borderId="39" xfId="1" applyFont="1" applyBorder="1" applyAlignment="1">
      <alignment horizontal="center" vertical="center" wrapText="1"/>
    </xf>
    <xf numFmtId="0" fontId="179" fillId="0" borderId="55" xfId="1" applyFont="1" applyBorder="1" applyAlignment="1">
      <alignment horizontal="center" vertical="center" wrapText="1"/>
    </xf>
    <xf numFmtId="0" fontId="179" fillId="0" borderId="58" xfId="1" applyFont="1" applyBorder="1" applyAlignment="1">
      <alignment horizontal="center" vertical="center" wrapText="1"/>
    </xf>
    <xf numFmtId="0" fontId="179" fillId="0" borderId="8" xfId="1" applyFont="1" applyBorder="1" applyAlignment="1">
      <alignment horizontal="center" vertical="center"/>
    </xf>
    <xf numFmtId="0" fontId="179" fillId="0" borderId="6" xfId="1" applyFont="1" applyBorder="1" applyAlignment="1">
      <alignment horizontal="center" vertical="center"/>
    </xf>
    <xf numFmtId="0" fontId="179" fillId="0" borderId="2" xfId="1" applyFont="1" applyBorder="1" applyAlignment="1">
      <alignment horizontal="center" vertical="center"/>
    </xf>
    <xf numFmtId="0" fontId="179" fillId="0" borderId="55" xfId="1" applyFont="1" applyBorder="1" applyAlignment="1">
      <alignment horizontal="center" vertical="center"/>
    </xf>
    <xf numFmtId="0" fontId="179" fillId="0" borderId="56" xfId="1" applyFont="1" applyBorder="1" applyAlignment="1">
      <alignment horizontal="center" vertical="center"/>
    </xf>
    <xf numFmtId="0" fontId="179" fillId="0" borderId="57" xfId="1" applyFont="1" applyBorder="1" applyAlignment="1">
      <alignment horizontal="center" vertical="center"/>
    </xf>
    <xf numFmtId="0" fontId="179" fillId="0" borderId="7" xfId="1" applyFont="1" applyBorder="1" applyAlignment="1">
      <alignment horizontal="center" vertical="center" wrapText="1"/>
    </xf>
    <xf numFmtId="0" fontId="179" fillId="0" borderId="14" xfId="1" applyFont="1" applyBorder="1" applyAlignment="1">
      <alignment horizontal="center" vertical="center" wrapText="1"/>
    </xf>
    <xf numFmtId="0" fontId="179" fillId="0" borderId="18" xfId="1" applyFont="1" applyBorder="1" applyAlignment="1">
      <alignment horizontal="center" vertical="center" wrapText="1"/>
    </xf>
    <xf numFmtId="0" fontId="180" fillId="0" borderId="18" xfId="1" applyFont="1" applyBorder="1" applyAlignment="1">
      <alignment horizontal="center" vertical="center" textRotation="90" wrapText="1"/>
    </xf>
    <xf numFmtId="0" fontId="179" fillId="0" borderId="53" xfId="1" applyFont="1" applyBorder="1" applyAlignment="1">
      <alignment horizontal="center" vertical="center" wrapText="1"/>
    </xf>
    <xf numFmtId="0" fontId="180" fillId="0" borderId="11" xfId="1" applyFont="1" applyBorder="1" applyAlignment="1">
      <alignment horizontal="center" vertical="center"/>
    </xf>
    <xf numFmtId="0" fontId="180" fillId="0" borderId="12" xfId="1" applyFont="1" applyBorder="1" applyAlignment="1">
      <alignment horizontal="center" vertical="center"/>
    </xf>
    <xf numFmtId="0" fontId="179" fillId="0" borderId="7" xfId="1" applyFont="1" applyBorder="1" applyAlignment="1">
      <alignment horizontal="center" vertical="center" textRotation="90"/>
    </xf>
    <xf numFmtId="0" fontId="179" fillId="0" borderId="14" xfId="1" applyFont="1" applyBorder="1" applyAlignment="1">
      <alignment horizontal="center" vertical="center" textRotation="90"/>
    </xf>
    <xf numFmtId="0" fontId="179" fillId="0" borderId="53" xfId="1" applyFont="1" applyBorder="1" applyAlignment="1">
      <alignment horizontal="center" vertical="center" textRotation="90"/>
    </xf>
    <xf numFmtId="0" fontId="179" fillId="0" borderId="13" xfId="1" applyFont="1" applyBorder="1" applyAlignment="1">
      <alignment horizontal="center" vertical="center"/>
    </xf>
    <xf numFmtId="0" fontId="179" fillId="0" borderId="6" xfId="1" applyFont="1" applyBorder="1" applyAlignment="1">
      <alignment horizontal="center" vertical="center" wrapText="1"/>
    </xf>
    <xf numFmtId="0" fontId="179" fillId="0" borderId="2" xfId="1" applyFont="1" applyBorder="1" applyAlignment="1">
      <alignment horizontal="center" vertical="center" wrapText="1"/>
    </xf>
    <xf numFmtId="0" fontId="179" fillId="0" borderId="44" xfId="1" applyFont="1" applyBorder="1" applyAlignment="1">
      <alignment horizontal="center" vertical="center" wrapText="1"/>
    </xf>
    <xf numFmtId="0" fontId="179" fillId="0" borderId="0" xfId="1" applyFont="1" applyAlignment="1">
      <alignment horizontal="center" vertical="center" wrapText="1"/>
    </xf>
    <xf numFmtId="0" fontId="179" fillId="0" borderId="10" xfId="1" applyFont="1" applyBorder="1" applyAlignment="1">
      <alignment horizontal="center" vertical="center" wrapText="1"/>
    </xf>
    <xf numFmtId="0" fontId="179" fillId="0" borderId="11" xfId="1" applyFont="1" applyBorder="1" applyAlignment="1">
      <alignment horizontal="center" vertical="center" wrapText="1"/>
    </xf>
    <xf numFmtId="0" fontId="179" fillId="0" borderId="12" xfId="1" applyFont="1" applyBorder="1" applyAlignment="1">
      <alignment horizontal="center" vertical="center" wrapText="1"/>
    </xf>
    <xf numFmtId="0" fontId="179" fillId="0" borderId="1" xfId="1" applyFont="1" applyBorder="1" applyAlignment="1">
      <alignment horizontal="center" vertical="center" textRotation="90" wrapText="1"/>
    </xf>
    <xf numFmtId="0" fontId="179" fillId="0" borderId="9" xfId="1" applyFont="1" applyBorder="1" applyAlignment="1">
      <alignment horizontal="center" vertical="center" textRotation="90" wrapText="1"/>
    </xf>
    <xf numFmtId="0" fontId="179" fillId="0" borderId="16" xfId="1" applyFont="1" applyBorder="1" applyAlignment="1">
      <alignment horizontal="center" vertical="center" textRotation="90" wrapText="1"/>
    </xf>
    <xf numFmtId="0" fontId="179" fillId="0" borderId="18" xfId="1" applyFont="1" applyBorder="1" applyAlignment="1">
      <alignment horizontal="center" vertical="center" textRotation="90"/>
    </xf>
    <xf numFmtId="49" fontId="202" fillId="0" borderId="32" xfId="2" applyNumberFormat="1" applyFont="1" applyFill="1" applyBorder="1" applyAlignment="1">
      <alignment horizontal="center" vertical="center" wrapText="1"/>
    </xf>
    <xf numFmtId="49" fontId="202" fillId="0" borderId="27" xfId="2" applyNumberFormat="1" applyFont="1" applyFill="1" applyBorder="1" applyAlignment="1">
      <alignment horizontal="center" vertical="center" wrapText="1"/>
    </xf>
    <xf numFmtId="49" fontId="202" fillId="0" borderId="49" xfId="2" applyNumberFormat="1" applyFont="1" applyFill="1" applyBorder="1" applyAlignment="1">
      <alignment horizontal="center" vertical="center" wrapText="1"/>
    </xf>
    <xf numFmtId="0" fontId="180" fillId="0" borderId="114" xfId="1" applyFont="1" applyBorder="1" applyAlignment="1">
      <alignment horizontal="center" vertical="center"/>
    </xf>
    <xf numFmtId="0" fontId="180" fillId="0" borderId="126" xfId="1" applyFont="1" applyBorder="1" applyAlignment="1">
      <alignment horizontal="center" vertical="center"/>
    </xf>
    <xf numFmtId="0" fontId="177" fillId="0" borderId="0" xfId="2" applyNumberFormat="1" applyFont="1" applyFill="1" applyBorder="1" applyAlignment="1">
      <alignment horizontal="center"/>
    </xf>
    <xf numFmtId="0" fontId="180" fillId="0" borderId="107" xfId="1" applyFont="1" applyBorder="1" applyAlignment="1">
      <alignment horizontal="center" vertical="center"/>
    </xf>
    <xf numFmtId="0" fontId="180" fillId="0" borderId="108" xfId="1" applyFont="1" applyBorder="1" applyAlignment="1">
      <alignment horizontal="center" vertical="center"/>
    </xf>
    <xf numFmtId="0" fontId="180" fillId="0" borderId="107" xfId="1" applyFont="1" applyBorder="1" applyAlignment="1">
      <alignment horizontal="center" vertical="center" wrapText="1"/>
    </xf>
    <xf numFmtId="0" fontId="180" fillId="0" borderId="108" xfId="1" applyFont="1" applyBorder="1" applyAlignment="1">
      <alignment horizontal="center" vertical="center" wrapText="1"/>
    </xf>
    <xf numFmtId="0" fontId="180" fillId="0" borderId="114" xfId="1" applyFont="1" applyBorder="1" applyAlignment="1">
      <alignment horizontal="center" vertical="center" wrapText="1"/>
    </xf>
    <xf numFmtId="0" fontId="180" fillId="0" borderId="126" xfId="1" applyFont="1" applyBorder="1" applyAlignment="1">
      <alignment horizontal="center" vertical="center" wrapText="1"/>
    </xf>
    <xf numFmtId="0" fontId="180" fillId="0" borderId="110" xfId="1" applyFont="1" applyBorder="1" applyAlignment="1">
      <alignment horizontal="center" vertical="center" textRotation="90"/>
    </xf>
    <xf numFmtId="172" fontId="177" fillId="0" borderId="0" xfId="2" applyNumberFormat="1" applyFont="1" applyFill="1" applyBorder="1" applyAlignment="1">
      <alignment horizontal="center"/>
    </xf>
    <xf numFmtId="0" fontId="178" fillId="0" borderId="0" xfId="1" applyFont="1" applyAlignment="1">
      <alignment horizontal="left" vertical="center" wrapText="1"/>
    </xf>
    <xf numFmtId="0" fontId="178" fillId="0" borderId="0" xfId="1" applyFont="1" applyAlignment="1">
      <alignment horizontal="center" vertical="top"/>
    </xf>
    <xf numFmtId="41" fontId="177" fillId="0" borderId="0" xfId="0" applyNumberFormat="1" applyFont="1" applyAlignment="1">
      <alignment horizontal="center"/>
    </xf>
    <xf numFmtId="41" fontId="187" fillId="0" borderId="0" xfId="0" applyNumberFormat="1" applyFont="1" applyAlignment="1">
      <alignment horizontal="center" vertical="top"/>
    </xf>
    <xf numFmtId="0" fontId="180" fillId="0" borderId="8" xfId="1" applyFont="1" applyBorder="1" applyAlignment="1">
      <alignment horizontal="center" vertical="center"/>
    </xf>
    <xf numFmtId="0" fontId="180" fillId="0" borderId="6" xfId="1" applyFont="1" applyBorder="1" applyAlignment="1">
      <alignment horizontal="center" vertical="center"/>
    </xf>
    <xf numFmtId="0" fontId="180" fillId="0" borderId="55" xfId="1" applyFont="1" applyBorder="1" applyAlignment="1">
      <alignment horizontal="center" vertical="center"/>
    </xf>
    <xf numFmtId="0" fontId="180" fillId="0" borderId="128" xfId="1" applyFont="1" applyBorder="1" applyAlignment="1">
      <alignment horizontal="center" vertical="center"/>
    </xf>
    <xf numFmtId="0" fontId="180" fillId="0" borderId="8" xfId="1" applyFont="1" applyBorder="1" applyAlignment="1">
      <alignment horizontal="center" vertical="center" wrapText="1"/>
    </xf>
    <xf numFmtId="0" fontId="180" fillId="0" borderId="6" xfId="1" applyFont="1" applyBorder="1" applyAlignment="1">
      <alignment horizontal="center" vertical="center" wrapText="1"/>
    </xf>
    <xf numFmtId="0" fontId="180" fillId="0" borderId="2" xfId="1" applyFont="1" applyBorder="1" applyAlignment="1">
      <alignment horizontal="center" vertical="center" wrapText="1"/>
    </xf>
    <xf numFmtId="0" fontId="180" fillId="0" borderId="44" xfId="1" applyFont="1" applyBorder="1" applyAlignment="1">
      <alignment horizontal="center" vertical="center" wrapText="1"/>
    </xf>
    <xf numFmtId="0" fontId="180" fillId="0" borderId="0" xfId="1" applyFont="1" applyAlignment="1">
      <alignment horizontal="center" vertical="center" wrapText="1"/>
    </xf>
    <xf numFmtId="0" fontId="180" fillId="0" borderId="10" xfId="1" applyFont="1" applyBorder="1" applyAlignment="1">
      <alignment horizontal="center" vertical="center" wrapText="1"/>
    </xf>
    <xf numFmtId="0" fontId="180" fillId="0" borderId="2" xfId="1" applyFont="1" applyBorder="1" applyAlignment="1">
      <alignment horizontal="center" vertical="center"/>
    </xf>
    <xf numFmtId="0" fontId="180" fillId="0" borderId="57" xfId="1" applyFont="1" applyBorder="1" applyAlignment="1">
      <alignment horizontal="center" vertical="center"/>
    </xf>
    <xf numFmtId="0" fontId="177" fillId="0" borderId="0" xfId="1" applyFont="1" applyAlignment="1">
      <alignment horizontal="center"/>
    </xf>
    <xf numFmtId="0" fontId="180" fillId="0" borderId="7" xfId="1" applyFont="1" applyBorder="1" applyAlignment="1">
      <alignment horizontal="center" vertical="center" wrapText="1"/>
    </xf>
    <xf numFmtId="0" fontId="180" fillId="0" borderId="14" xfId="1" applyFont="1" applyBorder="1" applyAlignment="1">
      <alignment horizontal="center" vertical="center" wrapText="1"/>
    </xf>
    <xf numFmtId="0" fontId="180" fillId="0" borderId="110" xfId="1" applyFont="1" applyBorder="1" applyAlignment="1">
      <alignment horizontal="center" vertical="center" wrapText="1"/>
    </xf>
    <xf numFmtId="0" fontId="180" fillId="0" borderId="127" xfId="1" applyFont="1" applyBorder="1" applyAlignment="1">
      <alignment horizontal="center" vertical="center"/>
    </xf>
    <xf numFmtId="0" fontId="180" fillId="0" borderId="53" xfId="1" applyFont="1" applyBorder="1" applyAlignment="1">
      <alignment horizontal="center" vertical="center" textRotation="90" wrapText="1"/>
    </xf>
    <xf numFmtId="0" fontId="180" fillId="0" borderId="53" xfId="1" applyFont="1" applyBorder="1" applyAlignment="1">
      <alignment horizontal="center" vertical="center" textRotation="90"/>
    </xf>
    <xf numFmtId="0" fontId="180" fillId="0" borderId="1" xfId="1" applyFont="1" applyBorder="1" applyAlignment="1">
      <alignment horizontal="center" vertical="center" textRotation="90" wrapText="1"/>
    </xf>
    <xf numFmtId="0" fontId="180" fillId="0" borderId="9" xfId="1" applyFont="1" applyBorder="1" applyAlignment="1">
      <alignment horizontal="center" vertical="center" textRotation="90" wrapText="1"/>
    </xf>
    <xf numFmtId="0" fontId="180" fillId="0" borderId="109" xfId="1" applyFont="1" applyBorder="1" applyAlignment="1">
      <alignment horizontal="center" vertical="center" textRotation="90" wrapText="1"/>
    </xf>
    <xf numFmtId="0" fontId="180" fillId="0" borderId="7" xfId="1" applyFont="1" applyBorder="1" applyAlignment="1">
      <alignment horizontal="center" vertical="center" textRotation="255"/>
    </xf>
    <xf numFmtId="0" fontId="180" fillId="0" borderId="14" xfId="1" applyFont="1" applyBorder="1" applyAlignment="1">
      <alignment horizontal="center" vertical="center" textRotation="255"/>
    </xf>
    <xf numFmtId="0" fontId="180" fillId="0" borderId="110" xfId="1" applyFont="1" applyBorder="1" applyAlignment="1">
      <alignment horizontal="center" vertical="center" textRotation="255"/>
    </xf>
    <xf numFmtId="0" fontId="180" fillId="0" borderId="3" xfId="1" applyFont="1" applyBorder="1" applyAlignment="1">
      <alignment horizontal="center" vertical="center"/>
    </xf>
    <xf numFmtId="0" fontId="180" fillId="0" borderId="4" xfId="1" applyFont="1" applyBorder="1" applyAlignment="1">
      <alignment horizontal="center" vertical="center"/>
    </xf>
    <xf numFmtId="0" fontId="180" fillId="0" borderId="5" xfId="1" applyFont="1" applyBorder="1" applyAlignment="1">
      <alignment horizontal="center" vertical="center"/>
    </xf>
    <xf numFmtId="0" fontId="180" fillId="0" borderId="53" xfId="1" applyFont="1" applyBorder="1" applyAlignment="1">
      <alignment horizontal="center" vertical="center" wrapText="1"/>
    </xf>
    <xf numFmtId="0" fontId="180" fillId="0" borderId="133" xfId="1" applyFont="1" applyBorder="1" applyAlignment="1">
      <alignment horizontal="center" vertical="center"/>
    </xf>
    <xf numFmtId="0" fontId="180" fillId="0" borderId="110" xfId="1" applyFont="1" applyBorder="1" applyAlignment="1">
      <alignment horizontal="center" vertical="center"/>
    </xf>
    <xf numFmtId="0" fontId="180" fillId="0" borderId="134" xfId="1" applyFont="1" applyBorder="1" applyAlignment="1">
      <alignment horizontal="center" vertical="center"/>
    </xf>
    <xf numFmtId="0" fontId="180" fillId="0" borderId="112" xfId="1" applyFont="1" applyBorder="1" applyAlignment="1">
      <alignment horizontal="center" vertical="center"/>
    </xf>
    <xf numFmtId="0" fontId="180" fillId="0" borderId="39" xfId="1" applyFont="1" applyBorder="1" applyAlignment="1">
      <alignment horizontal="center" vertical="center" wrapText="1"/>
    </xf>
    <xf numFmtId="0" fontId="180" fillId="0" borderId="55" xfId="1" applyFont="1" applyBorder="1" applyAlignment="1">
      <alignment horizontal="center" vertical="center" wrapText="1"/>
    </xf>
    <xf numFmtId="0" fontId="180" fillId="0" borderId="58" xfId="1" applyFont="1" applyBorder="1" applyAlignment="1">
      <alignment horizontal="center" vertical="center" wrapText="1"/>
    </xf>
    <xf numFmtId="0" fontId="186" fillId="0" borderId="1" xfId="1" applyFont="1" applyBorder="1" applyAlignment="1">
      <alignment horizontal="center" vertical="center" textRotation="90" wrapText="1"/>
    </xf>
    <xf numFmtId="0" fontId="186" fillId="0" borderId="9" xfId="1" applyFont="1" applyBorder="1" applyAlignment="1">
      <alignment horizontal="center" vertical="center" textRotation="90" wrapText="1"/>
    </xf>
    <xf numFmtId="0" fontId="186" fillId="0" borderId="109" xfId="1" applyFont="1" applyBorder="1" applyAlignment="1">
      <alignment horizontal="center" vertical="center" textRotation="90" wrapText="1"/>
    </xf>
    <xf numFmtId="0" fontId="178" fillId="0" borderId="0" xfId="0" applyFont="1" applyAlignment="1">
      <alignment horizontal="center" vertical="top"/>
    </xf>
    <xf numFmtId="0" fontId="177" fillId="0" borderId="0" xfId="0" applyFont="1" applyAlignment="1">
      <alignment horizontal="center"/>
    </xf>
    <xf numFmtId="0" fontId="178" fillId="0" borderId="0" xfId="0" applyFont="1" applyAlignment="1">
      <alignment horizontal="center" vertical="center"/>
    </xf>
    <xf numFmtId="0" fontId="179" fillId="0" borderId="1" xfId="0" applyFont="1" applyBorder="1" applyAlignment="1">
      <alignment horizontal="center" vertical="center"/>
    </xf>
    <xf numFmtId="0" fontId="179" fillId="0" borderId="2" xfId="0" applyFont="1" applyBorder="1" applyAlignment="1">
      <alignment horizontal="center" vertical="center"/>
    </xf>
    <xf numFmtId="0" fontId="179" fillId="0" borderId="32" xfId="0" applyFont="1" applyBorder="1" applyAlignment="1">
      <alignment horizontal="center" vertical="center"/>
    </xf>
    <xf numFmtId="0" fontId="179" fillId="0" borderId="26" xfId="0" applyFont="1" applyBorder="1" applyAlignment="1">
      <alignment horizontal="center" vertical="center"/>
    </xf>
    <xf numFmtId="0" fontId="179" fillId="0" borderId="0" xfId="0" applyFont="1" applyAlignment="1">
      <alignment horizontal="center" vertical="center"/>
    </xf>
    <xf numFmtId="0" fontId="179" fillId="0" borderId="0" xfId="0" quotePrefix="1" applyFont="1" applyAlignment="1">
      <alignment horizontal="center" vertical="center"/>
    </xf>
    <xf numFmtId="0" fontId="138" fillId="2" borderId="0" xfId="1" applyFont="1" applyFill="1" applyAlignment="1">
      <alignment horizontal="center" vertical="center"/>
    </xf>
    <xf numFmtId="0" fontId="137" fillId="2" borderId="0" xfId="1" applyFont="1" applyFill="1" applyAlignment="1">
      <alignment horizontal="center" vertical="center"/>
    </xf>
    <xf numFmtId="3" fontId="141" fillId="47" borderId="24" xfId="0" applyNumberFormat="1" applyFont="1" applyFill="1" applyBorder="1" applyAlignment="1">
      <alignment horizontal="left" vertical="center"/>
    </xf>
    <xf numFmtId="3" fontId="141" fillId="47" borderId="25" xfId="0" applyNumberFormat="1" applyFont="1" applyFill="1" applyBorder="1" applyAlignment="1">
      <alignment horizontal="left" vertical="center"/>
    </xf>
    <xf numFmtId="3" fontId="141" fillId="47" borderId="24" xfId="0" applyNumberFormat="1" applyFont="1" applyFill="1" applyBorder="1" applyAlignment="1">
      <alignment horizontal="center"/>
    </xf>
    <xf numFmtId="3" fontId="141" fillId="47" borderId="25" xfId="0" applyNumberFormat="1" applyFont="1" applyFill="1" applyBorder="1" applyAlignment="1">
      <alignment horizontal="center"/>
    </xf>
    <xf numFmtId="3" fontId="141" fillId="47" borderId="26" xfId="0" applyNumberFormat="1" applyFont="1" applyFill="1" applyBorder="1" applyAlignment="1">
      <alignment horizontal="center"/>
    </xf>
    <xf numFmtId="3" fontId="141" fillId="47" borderId="64" xfId="0" applyNumberFormat="1" applyFont="1" applyFill="1" applyBorder="1" applyAlignment="1">
      <alignment horizontal="center"/>
    </xf>
    <xf numFmtId="3" fontId="141" fillId="47" borderId="97" xfId="0" applyNumberFormat="1" applyFont="1" applyFill="1" applyBorder="1" applyAlignment="1">
      <alignment horizontal="center"/>
    </xf>
    <xf numFmtId="3" fontId="141" fillId="47" borderId="111" xfId="0" applyNumberFormat="1" applyFont="1" applyFill="1" applyBorder="1" applyAlignment="1">
      <alignment horizontal="center"/>
    </xf>
    <xf numFmtId="0" fontId="139" fillId="2" borderId="0" xfId="2" applyNumberFormat="1" applyFont="1" applyFill="1" applyBorder="1" applyAlignment="1">
      <alignment horizontal="center" vertical="center"/>
    </xf>
    <xf numFmtId="172" fontId="139" fillId="2" borderId="0" xfId="2" applyNumberFormat="1" applyFont="1" applyFill="1" applyBorder="1" applyAlignment="1">
      <alignment horizontal="center" vertical="center"/>
    </xf>
    <xf numFmtId="3" fontId="141" fillId="2" borderId="24" xfId="0" applyNumberFormat="1" applyFont="1" applyFill="1" applyBorder="1" applyAlignment="1">
      <alignment horizontal="center"/>
    </xf>
    <xf numFmtId="3" fontId="141" fillId="2" borderId="25" xfId="0" applyNumberFormat="1" applyFont="1" applyFill="1" applyBorder="1" applyAlignment="1">
      <alignment horizontal="center"/>
    </xf>
    <xf numFmtId="3" fontId="141" fillId="2" borderId="26" xfId="0" applyNumberFormat="1" applyFont="1" applyFill="1" applyBorder="1" applyAlignment="1">
      <alignment horizontal="center"/>
    </xf>
    <xf numFmtId="3" fontId="141" fillId="46" borderId="114" xfId="0" applyNumberFormat="1" applyFont="1" applyFill="1" applyBorder="1" applyAlignment="1">
      <alignment horizontal="center" vertical="center"/>
    </xf>
    <xf numFmtId="3" fontId="141" fillId="46" borderId="127" xfId="0" applyNumberFormat="1" applyFont="1" applyFill="1" applyBorder="1" applyAlignment="1">
      <alignment horizontal="center" vertical="center"/>
    </xf>
    <xf numFmtId="3" fontId="141" fillId="46" borderId="126" xfId="0" applyNumberFormat="1" applyFont="1" applyFill="1" applyBorder="1" applyAlignment="1">
      <alignment horizontal="center" vertical="center"/>
    </xf>
    <xf numFmtId="3" fontId="141" fillId="47" borderId="41" xfId="0" applyNumberFormat="1" applyFont="1" applyFill="1" applyBorder="1" applyAlignment="1">
      <alignment horizontal="left" vertical="center"/>
    </xf>
    <xf numFmtId="3" fontId="141" fillId="47" borderId="6" xfId="0" applyNumberFormat="1" applyFont="1" applyFill="1" applyBorder="1" applyAlignment="1">
      <alignment horizontal="left" vertical="center"/>
    </xf>
    <xf numFmtId="3" fontId="141" fillId="2" borderId="63" xfId="0" applyNumberFormat="1" applyFont="1" applyFill="1" applyBorder="1" applyAlignment="1">
      <alignment horizontal="center"/>
    </xf>
    <xf numFmtId="3" fontId="141" fillId="2" borderId="0" xfId="0" applyNumberFormat="1" applyFont="1" applyFill="1" applyAlignment="1">
      <alignment horizontal="center"/>
    </xf>
    <xf numFmtId="3" fontId="141" fillId="2" borderId="10" xfId="0" applyNumberFormat="1" applyFont="1" applyFill="1" applyBorder="1" applyAlignment="1">
      <alignment horizontal="center"/>
    </xf>
    <xf numFmtId="3" fontId="141" fillId="46" borderId="107" xfId="0" applyNumberFormat="1" applyFont="1" applyFill="1" applyBorder="1" applyAlignment="1">
      <alignment horizontal="center" vertical="center"/>
    </xf>
    <xf numFmtId="3" fontId="141" fillId="46" borderId="136" xfId="0" applyNumberFormat="1" applyFont="1" applyFill="1" applyBorder="1" applyAlignment="1">
      <alignment horizontal="center" vertical="center"/>
    </xf>
    <xf numFmtId="3" fontId="141" fillId="46" borderId="108" xfId="0" applyNumberFormat="1" applyFont="1" applyFill="1" applyBorder="1" applyAlignment="1">
      <alignment horizontal="center" vertical="center"/>
    </xf>
    <xf numFmtId="0" fontId="142" fillId="0" borderId="0" xfId="0" applyFont="1" applyAlignment="1">
      <alignment horizontal="center"/>
    </xf>
    <xf numFmtId="3" fontId="141" fillId="46" borderId="1" xfId="0" applyNumberFormat="1" applyFont="1" applyFill="1" applyBorder="1" applyAlignment="1">
      <alignment horizontal="center" vertical="center"/>
    </xf>
    <xf numFmtId="3" fontId="141" fillId="46" borderId="9" xfId="0" applyNumberFormat="1" applyFont="1" applyFill="1" applyBorder="1" applyAlignment="1">
      <alignment horizontal="center" vertical="center"/>
    </xf>
    <xf numFmtId="3" fontId="141" fillId="46" borderId="7" xfId="0" applyNumberFormat="1" applyFont="1" applyFill="1" applyBorder="1" applyAlignment="1">
      <alignment horizontal="center" vertical="center"/>
    </xf>
    <xf numFmtId="3" fontId="141" fillId="46" borderId="14" xfId="0" applyNumberFormat="1" applyFont="1" applyFill="1" applyBorder="1" applyAlignment="1">
      <alignment horizontal="center" vertical="center"/>
    </xf>
    <xf numFmtId="3" fontId="141" fillId="46" borderId="7" xfId="0" applyNumberFormat="1" applyFont="1" applyFill="1" applyBorder="1" applyAlignment="1">
      <alignment horizontal="left" vertical="center"/>
    </xf>
    <xf numFmtId="3" fontId="141" fillId="46" borderId="14" xfId="0" applyNumberFormat="1" applyFont="1" applyFill="1" applyBorder="1" applyAlignment="1">
      <alignment horizontal="left" vertical="center"/>
    </xf>
    <xf numFmtId="3" fontId="141" fillId="46" borderId="7" xfId="0" applyNumberFormat="1" applyFont="1" applyFill="1" applyBorder="1" applyAlignment="1">
      <alignment horizontal="center" vertical="center" wrapText="1"/>
    </xf>
    <xf numFmtId="3" fontId="141" fillId="46" borderId="14" xfId="0" applyNumberFormat="1" applyFont="1" applyFill="1" applyBorder="1" applyAlignment="1">
      <alignment horizontal="center" vertical="center" wrapText="1"/>
    </xf>
    <xf numFmtId="172" fontId="141" fillId="46" borderId="7" xfId="9" applyNumberFormat="1" applyFont="1" applyFill="1" applyBorder="1" applyAlignment="1">
      <alignment horizontal="center" vertical="center"/>
    </xf>
    <xf numFmtId="172" fontId="141" fillId="46" borderId="14" xfId="9" applyNumberFormat="1" applyFont="1" applyFill="1" applyBorder="1" applyAlignment="1">
      <alignment horizontal="center" vertical="center"/>
    </xf>
    <xf numFmtId="3" fontId="141" fillId="46" borderId="3" xfId="0" applyNumberFormat="1" applyFont="1" applyFill="1" applyBorder="1" applyAlignment="1">
      <alignment horizontal="center" vertical="center"/>
    </xf>
    <xf numFmtId="3" fontId="141" fillId="46" borderId="4" xfId="0" applyNumberFormat="1" applyFont="1" applyFill="1" applyBorder="1" applyAlignment="1">
      <alignment horizontal="center" vertical="center"/>
    </xf>
    <xf numFmtId="3" fontId="141" fillId="46" borderId="5" xfId="0" applyNumberFormat="1" applyFont="1" applyFill="1" applyBorder="1" applyAlignment="1">
      <alignment horizontal="center" vertical="center"/>
    </xf>
    <xf numFmtId="3" fontId="141" fillId="46" borderId="42" xfId="0" applyNumberFormat="1" applyFont="1" applyFill="1" applyBorder="1" applyAlignment="1">
      <alignment horizontal="center" vertical="center" wrapText="1"/>
    </xf>
    <xf numFmtId="3" fontId="141" fillId="46" borderId="29" xfId="0" applyNumberFormat="1" applyFont="1" applyFill="1" applyBorder="1" applyAlignment="1">
      <alignment horizontal="center" vertical="center" wrapText="1"/>
    </xf>
  </cellXfs>
  <cellStyles count="1862">
    <cellStyle name="‡" xfId="330" xr:uid="{00000000-0005-0000-0000-000000000000}"/>
    <cellStyle name="‡_515" xfId="331" xr:uid="{00000000-0005-0000-0000-000001000000}"/>
    <cellStyle name="‡_516" xfId="332" xr:uid="{00000000-0005-0000-0000-000002000000}"/>
    <cellStyle name="‡_529" xfId="333" xr:uid="{00000000-0005-0000-0000-000003000000}"/>
    <cellStyle name="‡_530" xfId="334" xr:uid="{00000000-0005-0000-0000-000004000000}"/>
    <cellStyle name="‡_581" xfId="335" xr:uid="{00000000-0005-0000-0000-000005000000}"/>
    <cellStyle name="‡_582" xfId="336" xr:uid="{00000000-0005-0000-0000-000006000000}"/>
    <cellStyle name="‡_BOOK1" xfId="337" xr:uid="{00000000-0005-0000-0000-000007000000}"/>
    <cellStyle name="‡_BOOK1_1" xfId="338" xr:uid="{00000000-0005-0000-0000-000008000000}"/>
    <cellStyle name="‡_STA-DRP" xfId="339" xr:uid="{00000000-0005-0000-0000-000009000000}"/>
    <cellStyle name="‡_STA-DRP_515" xfId="340" xr:uid="{00000000-0005-0000-0000-00000A000000}"/>
    <cellStyle name="‡_STA-DRP_516" xfId="341" xr:uid="{00000000-0005-0000-0000-00000B000000}"/>
    <cellStyle name="‡_STA-DRP_529" xfId="342" xr:uid="{00000000-0005-0000-0000-00000C000000}"/>
    <cellStyle name="‡_STA-DRP_530" xfId="343" xr:uid="{00000000-0005-0000-0000-00000D000000}"/>
    <cellStyle name="‡_STA-DRP_581" xfId="344" xr:uid="{00000000-0005-0000-0000-00000E000000}"/>
    <cellStyle name="‡_STA-DRP_582" xfId="345" xr:uid="{00000000-0005-0000-0000-00000F000000}"/>
    <cellStyle name="‡_STA-DRP_BOOK1" xfId="346" xr:uid="{00000000-0005-0000-0000-000010000000}"/>
    <cellStyle name="‡_STA-DRP_BOOK1_1" xfId="347" xr:uid="{00000000-0005-0000-0000-000011000000}"/>
    <cellStyle name="¹éºÐÀ²_±âÅ¸" xfId="348" xr:uid="{00000000-0005-0000-0000-000012000000}"/>
    <cellStyle name="20% - Accent1 10" xfId="349" xr:uid="{00000000-0005-0000-0000-000013000000}"/>
    <cellStyle name="20% - Accent1 10 2" xfId="350" xr:uid="{00000000-0005-0000-0000-000014000000}"/>
    <cellStyle name="20% - Accent1 10 3" xfId="351" xr:uid="{00000000-0005-0000-0000-000015000000}"/>
    <cellStyle name="20% - Accent1 11" xfId="352" xr:uid="{00000000-0005-0000-0000-000016000000}"/>
    <cellStyle name="20% - Accent1 11 2" xfId="353" xr:uid="{00000000-0005-0000-0000-000017000000}"/>
    <cellStyle name="20% - Accent1 11 3" xfId="354" xr:uid="{00000000-0005-0000-0000-000018000000}"/>
    <cellStyle name="20% - Accent1 12" xfId="355" xr:uid="{00000000-0005-0000-0000-000019000000}"/>
    <cellStyle name="20% - Accent1 2" xfId="356" xr:uid="{00000000-0005-0000-0000-00001A000000}"/>
    <cellStyle name="20% - Accent1 2 2" xfId="357" xr:uid="{00000000-0005-0000-0000-00001B000000}"/>
    <cellStyle name="20% - Accent1 3" xfId="358" xr:uid="{00000000-0005-0000-0000-00001C000000}"/>
    <cellStyle name="20% - Accent1 3 2" xfId="359" xr:uid="{00000000-0005-0000-0000-00001D000000}"/>
    <cellStyle name="20% - Accent1 3 3" xfId="360" xr:uid="{00000000-0005-0000-0000-00001E000000}"/>
    <cellStyle name="20% - Accent1 4" xfId="361" xr:uid="{00000000-0005-0000-0000-00001F000000}"/>
    <cellStyle name="20% - Accent1 4 2" xfId="362" xr:uid="{00000000-0005-0000-0000-000020000000}"/>
    <cellStyle name="20% - Accent1 4 3" xfId="363" xr:uid="{00000000-0005-0000-0000-000021000000}"/>
    <cellStyle name="20% - Accent1 5" xfId="364" xr:uid="{00000000-0005-0000-0000-000022000000}"/>
    <cellStyle name="20% - Accent1 5 2" xfId="365" xr:uid="{00000000-0005-0000-0000-000023000000}"/>
    <cellStyle name="20% - Accent1 5 3" xfId="366" xr:uid="{00000000-0005-0000-0000-000024000000}"/>
    <cellStyle name="20% - Accent1 6" xfId="367" xr:uid="{00000000-0005-0000-0000-000025000000}"/>
    <cellStyle name="20% - Accent1 6 2" xfId="368" xr:uid="{00000000-0005-0000-0000-000026000000}"/>
    <cellStyle name="20% - Accent1 6 3" xfId="369" xr:uid="{00000000-0005-0000-0000-000027000000}"/>
    <cellStyle name="20% - Accent1 7" xfId="370" xr:uid="{00000000-0005-0000-0000-000028000000}"/>
    <cellStyle name="20% - Accent1 7 2" xfId="371" xr:uid="{00000000-0005-0000-0000-000029000000}"/>
    <cellStyle name="20% - Accent1 7 3" xfId="372" xr:uid="{00000000-0005-0000-0000-00002A000000}"/>
    <cellStyle name="20% - Accent1 8" xfId="373" xr:uid="{00000000-0005-0000-0000-00002B000000}"/>
    <cellStyle name="20% - Accent1 8 2" xfId="374" xr:uid="{00000000-0005-0000-0000-00002C000000}"/>
    <cellStyle name="20% - Accent1 8 3" xfId="375" xr:uid="{00000000-0005-0000-0000-00002D000000}"/>
    <cellStyle name="20% - Accent1 9" xfId="376" xr:uid="{00000000-0005-0000-0000-00002E000000}"/>
    <cellStyle name="20% - Accent1 9 2" xfId="377" xr:uid="{00000000-0005-0000-0000-00002F000000}"/>
    <cellStyle name="20% - Accent1 9 3" xfId="378" xr:uid="{00000000-0005-0000-0000-000030000000}"/>
    <cellStyle name="20% - Accent2 10" xfId="379" xr:uid="{00000000-0005-0000-0000-000031000000}"/>
    <cellStyle name="20% - Accent2 10 2" xfId="380" xr:uid="{00000000-0005-0000-0000-000032000000}"/>
    <cellStyle name="20% - Accent2 11" xfId="381" xr:uid="{00000000-0005-0000-0000-000033000000}"/>
    <cellStyle name="20% - Accent2 11 2" xfId="382" xr:uid="{00000000-0005-0000-0000-000034000000}"/>
    <cellStyle name="20% - Accent2 12" xfId="383" xr:uid="{00000000-0005-0000-0000-000035000000}"/>
    <cellStyle name="20% - Accent2 2" xfId="384" xr:uid="{00000000-0005-0000-0000-000036000000}"/>
    <cellStyle name="20% - Accent2 3" xfId="385" xr:uid="{00000000-0005-0000-0000-000037000000}"/>
    <cellStyle name="20% - Accent2 3 2" xfId="386" xr:uid="{00000000-0005-0000-0000-000038000000}"/>
    <cellStyle name="20% - Accent2 4" xfId="387" xr:uid="{00000000-0005-0000-0000-000039000000}"/>
    <cellStyle name="20% - Accent2 4 2" xfId="388" xr:uid="{00000000-0005-0000-0000-00003A000000}"/>
    <cellStyle name="20% - Accent2 5" xfId="389" xr:uid="{00000000-0005-0000-0000-00003B000000}"/>
    <cellStyle name="20% - Accent2 5 2" xfId="390" xr:uid="{00000000-0005-0000-0000-00003C000000}"/>
    <cellStyle name="20% - Accent2 6" xfId="391" xr:uid="{00000000-0005-0000-0000-00003D000000}"/>
    <cellStyle name="20% - Accent2 6 2" xfId="392" xr:uid="{00000000-0005-0000-0000-00003E000000}"/>
    <cellStyle name="20% - Accent2 7" xfId="393" xr:uid="{00000000-0005-0000-0000-00003F000000}"/>
    <cellStyle name="20% - Accent2 7 2" xfId="394" xr:uid="{00000000-0005-0000-0000-000040000000}"/>
    <cellStyle name="20% - Accent2 8" xfId="395" xr:uid="{00000000-0005-0000-0000-000041000000}"/>
    <cellStyle name="20% - Accent2 8 2" xfId="396" xr:uid="{00000000-0005-0000-0000-000042000000}"/>
    <cellStyle name="20% - Accent2 9" xfId="397" xr:uid="{00000000-0005-0000-0000-000043000000}"/>
    <cellStyle name="20% - Accent2 9 2" xfId="398" xr:uid="{00000000-0005-0000-0000-000044000000}"/>
    <cellStyle name="20% - Accent3 10" xfId="399" xr:uid="{00000000-0005-0000-0000-000045000000}"/>
    <cellStyle name="20% - Accent3 10 2" xfId="400" xr:uid="{00000000-0005-0000-0000-000046000000}"/>
    <cellStyle name="20% - Accent3 11" xfId="401" xr:uid="{00000000-0005-0000-0000-000047000000}"/>
    <cellStyle name="20% - Accent3 11 2" xfId="402" xr:uid="{00000000-0005-0000-0000-000048000000}"/>
    <cellStyle name="20% - Accent3 12" xfId="403" xr:uid="{00000000-0005-0000-0000-000049000000}"/>
    <cellStyle name="20% - Accent3 2" xfId="404" xr:uid="{00000000-0005-0000-0000-00004A000000}"/>
    <cellStyle name="20% - Accent3 3" xfId="405" xr:uid="{00000000-0005-0000-0000-00004B000000}"/>
    <cellStyle name="20% - Accent3 3 2" xfId="406" xr:uid="{00000000-0005-0000-0000-00004C000000}"/>
    <cellStyle name="20% - Accent3 4" xfId="407" xr:uid="{00000000-0005-0000-0000-00004D000000}"/>
    <cellStyle name="20% - Accent3 4 2" xfId="408" xr:uid="{00000000-0005-0000-0000-00004E000000}"/>
    <cellStyle name="20% - Accent3 5" xfId="409" xr:uid="{00000000-0005-0000-0000-00004F000000}"/>
    <cellStyle name="20% - Accent3 5 2" xfId="410" xr:uid="{00000000-0005-0000-0000-000050000000}"/>
    <cellStyle name="20% - Accent3 6" xfId="411" xr:uid="{00000000-0005-0000-0000-000051000000}"/>
    <cellStyle name="20% - Accent3 6 2" xfId="412" xr:uid="{00000000-0005-0000-0000-000052000000}"/>
    <cellStyle name="20% - Accent3 7" xfId="413" xr:uid="{00000000-0005-0000-0000-000053000000}"/>
    <cellStyle name="20% - Accent3 7 2" xfId="414" xr:uid="{00000000-0005-0000-0000-000054000000}"/>
    <cellStyle name="20% - Accent3 8" xfId="415" xr:uid="{00000000-0005-0000-0000-000055000000}"/>
    <cellStyle name="20% - Accent3 8 2" xfId="416" xr:uid="{00000000-0005-0000-0000-000056000000}"/>
    <cellStyle name="20% - Accent3 9" xfId="417" xr:uid="{00000000-0005-0000-0000-000057000000}"/>
    <cellStyle name="20% - Accent3 9 2" xfId="418" xr:uid="{00000000-0005-0000-0000-000058000000}"/>
    <cellStyle name="20% - Accent4 10" xfId="419" xr:uid="{00000000-0005-0000-0000-000059000000}"/>
    <cellStyle name="20% - Accent4 10 2" xfId="420" xr:uid="{00000000-0005-0000-0000-00005A000000}"/>
    <cellStyle name="20% - Accent4 11" xfId="421" xr:uid="{00000000-0005-0000-0000-00005B000000}"/>
    <cellStyle name="20% - Accent4 11 2" xfId="422" xr:uid="{00000000-0005-0000-0000-00005C000000}"/>
    <cellStyle name="20% - Accent4 12" xfId="423" xr:uid="{00000000-0005-0000-0000-00005D000000}"/>
    <cellStyle name="20% - Accent4 2" xfId="424" xr:uid="{00000000-0005-0000-0000-00005E000000}"/>
    <cellStyle name="20% - Accent4 3" xfId="425" xr:uid="{00000000-0005-0000-0000-00005F000000}"/>
    <cellStyle name="20% - Accent4 3 2" xfId="426" xr:uid="{00000000-0005-0000-0000-000060000000}"/>
    <cellStyle name="20% - Accent4 4" xfId="427" xr:uid="{00000000-0005-0000-0000-000061000000}"/>
    <cellStyle name="20% - Accent4 4 2" xfId="428" xr:uid="{00000000-0005-0000-0000-000062000000}"/>
    <cellStyle name="20% - Accent4 5" xfId="429" xr:uid="{00000000-0005-0000-0000-000063000000}"/>
    <cellStyle name="20% - Accent4 5 2" xfId="430" xr:uid="{00000000-0005-0000-0000-000064000000}"/>
    <cellStyle name="20% - Accent4 6" xfId="431" xr:uid="{00000000-0005-0000-0000-000065000000}"/>
    <cellStyle name="20% - Accent4 6 2" xfId="432" xr:uid="{00000000-0005-0000-0000-000066000000}"/>
    <cellStyle name="20% - Accent4 7" xfId="433" xr:uid="{00000000-0005-0000-0000-000067000000}"/>
    <cellStyle name="20% - Accent4 7 2" xfId="434" xr:uid="{00000000-0005-0000-0000-000068000000}"/>
    <cellStyle name="20% - Accent4 8" xfId="435" xr:uid="{00000000-0005-0000-0000-000069000000}"/>
    <cellStyle name="20% - Accent4 8 2" xfId="436" xr:uid="{00000000-0005-0000-0000-00006A000000}"/>
    <cellStyle name="20% - Accent4 9" xfId="437" xr:uid="{00000000-0005-0000-0000-00006B000000}"/>
    <cellStyle name="20% - Accent4 9 2" xfId="438" xr:uid="{00000000-0005-0000-0000-00006C000000}"/>
    <cellStyle name="20% - Accent5 10" xfId="439" xr:uid="{00000000-0005-0000-0000-00006D000000}"/>
    <cellStyle name="20% - Accent5 10 2" xfId="440" xr:uid="{00000000-0005-0000-0000-00006E000000}"/>
    <cellStyle name="20% - Accent5 10 3" xfId="441" xr:uid="{00000000-0005-0000-0000-00006F000000}"/>
    <cellStyle name="20% - Accent5 11" xfId="442" xr:uid="{00000000-0005-0000-0000-000070000000}"/>
    <cellStyle name="20% - Accent5 11 2" xfId="443" xr:uid="{00000000-0005-0000-0000-000071000000}"/>
    <cellStyle name="20% - Accent5 11 3" xfId="444" xr:uid="{00000000-0005-0000-0000-000072000000}"/>
    <cellStyle name="20% - Accent5 12" xfId="445" xr:uid="{00000000-0005-0000-0000-000073000000}"/>
    <cellStyle name="20% - Accent5 2" xfId="446" xr:uid="{00000000-0005-0000-0000-000074000000}"/>
    <cellStyle name="20% - Accent5 2 2" xfId="447" xr:uid="{00000000-0005-0000-0000-000075000000}"/>
    <cellStyle name="20% - Accent5 3" xfId="448" xr:uid="{00000000-0005-0000-0000-000076000000}"/>
    <cellStyle name="20% - Accent5 3 2" xfId="449" xr:uid="{00000000-0005-0000-0000-000077000000}"/>
    <cellStyle name="20% - Accent5 3 3" xfId="450" xr:uid="{00000000-0005-0000-0000-000078000000}"/>
    <cellStyle name="20% - Accent5 4" xfId="451" xr:uid="{00000000-0005-0000-0000-000079000000}"/>
    <cellStyle name="20% - Accent5 4 2" xfId="452" xr:uid="{00000000-0005-0000-0000-00007A000000}"/>
    <cellStyle name="20% - Accent5 4 3" xfId="453" xr:uid="{00000000-0005-0000-0000-00007B000000}"/>
    <cellStyle name="20% - Accent5 5" xfId="454" xr:uid="{00000000-0005-0000-0000-00007C000000}"/>
    <cellStyle name="20% - Accent5 5 2" xfId="455" xr:uid="{00000000-0005-0000-0000-00007D000000}"/>
    <cellStyle name="20% - Accent5 5 3" xfId="456" xr:uid="{00000000-0005-0000-0000-00007E000000}"/>
    <cellStyle name="20% - Accent5 6" xfId="457" xr:uid="{00000000-0005-0000-0000-00007F000000}"/>
    <cellStyle name="20% - Accent5 6 2" xfId="458" xr:uid="{00000000-0005-0000-0000-000080000000}"/>
    <cellStyle name="20% - Accent5 6 3" xfId="459" xr:uid="{00000000-0005-0000-0000-000081000000}"/>
    <cellStyle name="20% - Accent5 7" xfId="460" xr:uid="{00000000-0005-0000-0000-000082000000}"/>
    <cellStyle name="20% - Accent5 7 2" xfId="461" xr:uid="{00000000-0005-0000-0000-000083000000}"/>
    <cellStyle name="20% - Accent5 7 3" xfId="462" xr:uid="{00000000-0005-0000-0000-000084000000}"/>
    <cellStyle name="20% - Accent5 8" xfId="463" xr:uid="{00000000-0005-0000-0000-000085000000}"/>
    <cellStyle name="20% - Accent5 8 2" xfId="464" xr:uid="{00000000-0005-0000-0000-000086000000}"/>
    <cellStyle name="20% - Accent5 8 3" xfId="465" xr:uid="{00000000-0005-0000-0000-000087000000}"/>
    <cellStyle name="20% - Accent5 9" xfId="466" xr:uid="{00000000-0005-0000-0000-000088000000}"/>
    <cellStyle name="20% - Accent5 9 2" xfId="467" xr:uid="{00000000-0005-0000-0000-000089000000}"/>
    <cellStyle name="20% - Accent5 9 3" xfId="468" xr:uid="{00000000-0005-0000-0000-00008A000000}"/>
    <cellStyle name="20% - Accent6 10" xfId="469" xr:uid="{00000000-0005-0000-0000-00008B000000}"/>
    <cellStyle name="20% - Accent6 10 2" xfId="470" xr:uid="{00000000-0005-0000-0000-00008C000000}"/>
    <cellStyle name="20% - Accent6 10 3" xfId="471" xr:uid="{00000000-0005-0000-0000-00008D000000}"/>
    <cellStyle name="20% - Accent6 11" xfId="472" xr:uid="{00000000-0005-0000-0000-00008E000000}"/>
    <cellStyle name="20% - Accent6 11 2" xfId="473" xr:uid="{00000000-0005-0000-0000-00008F000000}"/>
    <cellStyle name="20% - Accent6 11 3" xfId="474" xr:uid="{00000000-0005-0000-0000-000090000000}"/>
    <cellStyle name="20% - Accent6 12" xfId="475" xr:uid="{00000000-0005-0000-0000-000091000000}"/>
    <cellStyle name="20% - Accent6 2" xfId="476" xr:uid="{00000000-0005-0000-0000-000092000000}"/>
    <cellStyle name="20% - Accent6 2 2" xfId="477" xr:uid="{00000000-0005-0000-0000-000093000000}"/>
    <cellStyle name="20% - Accent6 3" xfId="478" xr:uid="{00000000-0005-0000-0000-000094000000}"/>
    <cellStyle name="20% - Accent6 3 2" xfId="479" xr:uid="{00000000-0005-0000-0000-000095000000}"/>
    <cellStyle name="20% - Accent6 3 3" xfId="480" xr:uid="{00000000-0005-0000-0000-000096000000}"/>
    <cellStyle name="20% - Accent6 4" xfId="481" xr:uid="{00000000-0005-0000-0000-000097000000}"/>
    <cellStyle name="20% - Accent6 4 2" xfId="482" xr:uid="{00000000-0005-0000-0000-000098000000}"/>
    <cellStyle name="20% - Accent6 4 3" xfId="483" xr:uid="{00000000-0005-0000-0000-000099000000}"/>
    <cellStyle name="20% - Accent6 5" xfId="484" xr:uid="{00000000-0005-0000-0000-00009A000000}"/>
    <cellStyle name="20% - Accent6 5 2" xfId="485" xr:uid="{00000000-0005-0000-0000-00009B000000}"/>
    <cellStyle name="20% - Accent6 5 3" xfId="486" xr:uid="{00000000-0005-0000-0000-00009C000000}"/>
    <cellStyle name="20% - Accent6 6" xfId="487" xr:uid="{00000000-0005-0000-0000-00009D000000}"/>
    <cellStyle name="20% - Accent6 6 2" xfId="488" xr:uid="{00000000-0005-0000-0000-00009E000000}"/>
    <cellStyle name="20% - Accent6 6 3" xfId="489" xr:uid="{00000000-0005-0000-0000-00009F000000}"/>
    <cellStyle name="20% - Accent6 7" xfId="490" xr:uid="{00000000-0005-0000-0000-0000A0000000}"/>
    <cellStyle name="20% - Accent6 7 2" xfId="491" xr:uid="{00000000-0005-0000-0000-0000A1000000}"/>
    <cellStyle name="20% - Accent6 7 3" xfId="492" xr:uid="{00000000-0005-0000-0000-0000A2000000}"/>
    <cellStyle name="20% - Accent6 8" xfId="493" xr:uid="{00000000-0005-0000-0000-0000A3000000}"/>
    <cellStyle name="20% - Accent6 8 2" xfId="494" xr:uid="{00000000-0005-0000-0000-0000A4000000}"/>
    <cellStyle name="20% - Accent6 8 3" xfId="495" xr:uid="{00000000-0005-0000-0000-0000A5000000}"/>
    <cellStyle name="20% - Accent6 9" xfId="496" xr:uid="{00000000-0005-0000-0000-0000A6000000}"/>
    <cellStyle name="20% - Accent6 9 2" xfId="497" xr:uid="{00000000-0005-0000-0000-0000A7000000}"/>
    <cellStyle name="20% - Accent6 9 3" xfId="498" xr:uid="{00000000-0005-0000-0000-0000A8000000}"/>
    <cellStyle name="40% - Accent1 10" xfId="499" xr:uid="{00000000-0005-0000-0000-0000A9000000}"/>
    <cellStyle name="40% - Accent1 10 2" xfId="500" xr:uid="{00000000-0005-0000-0000-0000AA000000}"/>
    <cellStyle name="40% - Accent1 11" xfId="501" xr:uid="{00000000-0005-0000-0000-0000AB000000}"/>
    <cellStyle name="40% - Accent1 11 2" xfId="502" xr:uid="{00000000-0005-0000-0000-0000AC000000}"/>
    <cellStyle name="40% - Accent1 12" xfId="503" xr:uid="{00000000-0005-0000-0000-0000AD000000}"/>
    <cellStyle name="40% - Accent1 2" xfId="504" xr:uid="{00000000-0005-0000-0000-0000AE000000}"/>
    <cellStyle name="40% - Accent1 3" xfId="505" xr:uid="{00000000-0005-0000-0000-0000AF000000}"/>
    <cellStyle name="40% - Accent1 3 2" xfId="506" xr:uid="{00000000-0005-0000-0000-0000B0000000}"/>
    <cellStyle name="40% - Accent1 4" xfId="507" xr:uid="{00000000-0005-0000-0000-0000B1000000}"/>
    <cellStyle name="40% - Accent1 4 2" xfId="508" xr:uid="{00000000-0005-0000-0000-0000B2000000}"/>
    <cellStyle name="40% - Accent1 5" xfId="509" xr:uid="{00000000-0005-0000-0000-0000B3000000}"/>
    <cellStyle name="40% - Accent1 5 2" xfId="510" xr:uid="{00000000-0005-0000-0000-0000B4000000}"/>
    <cellStyle name="40% - Accent1 6" xfId="511" xr:uid="{00000000-0005-0000-0000-0000B5000000}"/>
    <cellStyle name="40% - Accent1 6 2" xfId="512" xr:uid="{00000000-0005-0000-0000-0000B6000000}"/>
    <cellStyle name="40% - Accent1 7" xfId="513" xr:uid="{00000000-0005-0000-0000-0000B7000000}"/>
    <cellStyle name="40% - Accent1 7 2" xfId="514" xr:uid="{00000000-0005-0000-0000-0000B8000000}"/>
    <cellStyle name="40% - Accent1 8" xfId="515" xr:uid="{00000000-0005-0000-0000-0000B9000000}"/>
    <cellStyle name="40% - Accent1 8 2" xfId="516" xr:uid="{00000000-0005-0000-0000-0000BA000000}"/>
    <cellStyle name="40% - Accent1 9" xfId="517" xr:uid="{00000000-0005-0000-0000-0000BB000000}"/>
    <cellStyle name="40% - Accent1 9 2" xfId="518" xr:uid="{00000000-0005-0000-0000-0000BC000000}"/>
    <cellStyle name="40% - Accent2 10" xfId="519" xr:uid="{00000000-0005-0000-0000-0000BD000000}"/>
    <cellStyle name="40% - Accent2 10 2" xfId="520" xr:uid="{00000000-0005-0000-0000-0000BE000000}"/>
    <cellStyle name="40% - Accent2 11" xfId="521" xr:uid="{00000000-0005-0000-0000-0000BF000000}"/>
    <cellStyle name="40% - Accent2 11 2" xfId="522" xr:uid="{00000000-0005-0000-0000-0000C0000000}"/>
    <cellStyle name="40% - Accent2 12" xfId="523" xr:uid="{00000000-0005-0000-0000-0000C1000000}"/>
    <cellStyle name="40% - Accent2 2" xfId="524" xr:uid="{00000000-0005-0000-0000-0000C2000000}"/>
    <cellStyle name="40% - Accent2 3" xfId="525" xr:uid="{00000000-0005-0000-0000-0000C3000000}"/>
    <cellStyle name="40% - Accent2 3 2" xfId="526" xr:uid="{00000000-0005-0000-0000-0000C4000000}"/>
    <cellStyle name="40% - Accent2 4" xfId="527" xr:uid="{00000000-0005-0000-0000-0000C5000000}"/>
    <cellStyle name="40% - Accent2 4 2" xfId="528" xr:uid="{00000000-0005-0000-0000-0000C6000000}"/>
    <cellStyle name="40% - Accent2 5" xfId="529" xr:uid="{00000000-0005-0000-0000-0000C7000000}"/>
    <cellStyle name="40% - Accent2 5 2" xfId="530" xr:uid="{00000000-0005-0000-0000-0000C8000000}"/>
    <cellStyle name="40% - Accent2 6" xfId="531" xr:uid="{00000000-0005-0000-0000-0000C9000000}"/>
    <cellStyle name="40% - Accent2 6 2" xfId="532" xr:uid="{00000000-0005-0000-0000-0000CA000000}"/>
    <cellStyle name="40% - Accent2 7" xfId="533" xr:uid="{00000000-0005-0000-0000-0000CB000000}"/>
    <cellStyle name="40% - Accent2 7 2" xfId="534" xr:uid="{00000000-0005-0000-0000-0000CC000000}"/>
    <cellStyle name="40% - Accent2 8" xfId="535" xr:uid="{00000000-0005-0000-0000-0000CD000000}"/>
    <cellStyle name="40% - Accent2 8 2" xfId="536" xr:uid="{00000000-0005-0000-0000-0000CE000000}"/>
    <cellStyle name="40% - Accent2 9" xfId="537" xr:uid="{00000000-0005-0000-0000-0000CF000000}"/>
    <cellStyle name="40% - Accent2 9 2" xfId="538" xr:uid="{00000000-0005-0000-0000-0000D0000000}"/>
    <cellStyle name="40% - Accent3 10" xfId="539" xr:uid="{00000000-0005-0000-0000-0000D1000000}"/>
    <cellStyle name="40% - Accent3 10 2" xfId="540" xr:uid="{00000000-0005-0000-0000-0000D2000000}"/>
    <cellStyle name="40% - Accent3 10 3" xfId="541" xr:uid="{00000000-0005-0000-0000-0000D3000000}"/>
    <cellStyle name="40% - Accent3 11" xfId="542" xr:uid="{00000000-0005-0000-0000-0000D4000000}"/>
    <cellStyle name="40% - Accent3 11 2" xfId="543" xr:uid="{00000000-0005-0000-0000-0000D5000000}"/>
    <cellStyle name="40% - Accent3 11 3" xfId="544" xr:uid="{00000000-0005-0000-0000-0000D6000000}"/>
    <cellStyle name="40% - Accent3 12" xfId="545" xr:uid="{00000000-0005-0000-0000-0000D7000000}"/>
    <cellStyle name="40% - Accent3 2" xfId="546" xr:uid="{00000000-0005-0000-0000-0000D8000000}"/>
    <cellStyle name="40% - Accent3 2 2" xfId="547" xr:uid="{00000000-0005-0000-0000-0000D9000000}"/>
    <cellStyle name="40% - Accent3 3" xfId="548" xr:uid="{00000000-0005-0000-0000-0000DA000000}"/>
    <cellStyle name="40% - Accent3 3 2" xfId="549" xr:uid="{00000000-0005-0000-0000-0000DB000000}"/>
    <cellStyle name="40% - Accent3 3 3" xfId="550" xr:uid="{00000000-0005-0000-0000-0000DC000000}"/>
    <cellStyle name="40% - Accent3 4" xfId="551" xr:uid="{00000000-0005-0000-0000-0000DD000000}"/>
    <cellStyle name="40% - Accent3 4 2" xfId="552" xr:uid="{00000000-0005-0000-0000-0000DE000000}"/>
    <cellStyle name="40% - Accent3 4 3" xfId="553" xr:uid="{00000000-0005-0000-0000-0000DF000000}"/>
    <cellStyle name="40% - Accent3 5" xfId="554" xr:uid="{00000000-0005-0000-0000-0000E0000000}"/>
    <cellStyle name="40% - Accent3 5 2" xfId="555" xr:uid="{00000000-0005-0000-0000-0000E1000000}"/>
    <cellStyle name="40% - Accent3 5 3" xfId="556" xr:uid="{00000000-0005-0000-0000-0000E2000000}"/>
    <cellStyle name="40% - Accent3 6" xfId="557" xr:uid="{00000000-0005-0000-0000-0000E3000000}"/>
    <cellStyle name="40% - Accent3 6 2" xfId="558" xr:uid="{00000000-0005-0000-0000-0000E4000000}"/>
    <cellStyle name="40% - Accent3 6 3" xfId="559" xr:uid="{00000000-0005-0000-0000-0000E5000000}"/>
    <cellStyle name="40% - Accent3 7" xfId="560" xr:uid="{00000000-0005-0000-0000-0000E6000000}"/>
    <cellStyle name="40% - Accent3 7 2" xfId="561" xr:uid="{00000000-0005-0000-0000-0000E7000000}"/>
    <cellStyle name="40% - Accent3 7 3" xfId="562" xr:uid="{00000000-0005-0000-0000-0000E8000000}"/>
    <cellStyle name="40% - Accent3 8" xfId="563" xr:uid="{00000000-0005-0000-0000-0000E9000000}"/>
    <cellStyle name="40% - Accent3 8 2" xfId="564" xr:uid="{00000000-0005-0000-0000-0000EA000000}"/>
    <cellStyle name="40% - Accent3 8 3" xfId="565" xr:uid="{00000000-0005-0000-0000-0000EB000000}"/>
    <cellStyle name="40% - Accent3 9" xfId="566" xr:uid="{00000000-0005-0000-0000-0000EC000000}"/>
    <cellStyle name="40% - Accent3 9 2" xfId="567" xr:uid="{00000000-0005-0000-0000-0000ED000000}"/>
    <cellStyle name="40% - Accent3 9 3" xfId="568" xr:uid="{00000000-0005-0000-0000-0000EE000000}"/>
    <cellStyle name="40% - Accent4 10" xfId="569" xr:uid="{00000000-0005-0000-0000-0000EF000000}"/>
    <cellStyle name="40% - Accent4 10 2" xfId="570" xr:uid="{00000000-0005-0000-0000-0000F0000000}"/>
    <cellStyle name="40% - Accent4 11" xfId="571" xr:uid="{00000000-0005-0000-0000-0000F1000000}"/>
    <cellStyle name="40% - Accent4 11 2" xfId="572" xr:uid="{00000000-0005-0000-0000-0000F2000000}"/>
    <cellStyle name="40% - Accent4 12" xfId="573" xr:uid="{00000000-0005-0000-0000-0000F3000000}"/>
    <cellStyle name="40% - Accent4 2" xfId="574" xr:uid="{00000000-0005-0000-0000-0000F4000000}"/>
    <cellStyle name="40% - Accent4 3" xfId="575" xr:uid="{00000000-0005-0000-0000-0000F5000000}"/>
    <cellStyle name="40% - Accent4 3 2" xfId="576" xr:uid="{00000000-0005-0000-0000-0000F6000000}"/>
    <cellStyle name="40% - Accent4 4" xfId="577" xr:uid="{00000000-0005-0000-0000-0000F7000000}"/>
    <cellStyle name="40% - Accent4 4 2" xfId="578" xr:uid="{00000000-0005-0000-0000-0000F8000000}"/>
    <cellStyle name="40% - Accent4 5" xfId="579" xr:uid="{00000000-0005-0000-0000-0000F9000000}"/>
    <cellStyle name="40% - Accent4 5 2" xfId="580" xr:uid="{00000000-0005-0000-0000-0000FA000000}"/>
    <cellStyle name="40% - Accent4 6" xfId="581" xr:uid="{00000000-0005-0000-0000-0000FB000000}"/>
    <cellStyle name="40% - Accent4 6 2" xfId="582" xr:uid="{00000000-0005-0000-0000-0000FC000000}"/>
    <cellStyle name="40% - Accent4 7" xfId="583" xr:uid="{00000000-0005-0000-0000-0000FD000000}"/>
    <cellStyle name="40% - Accent4 7 2" xfId="584" xr:uid="{00000000-0005-0000-0000-0000FE000000}"/>
    <cellStyle name="40% - Accent4 8" xfId="585" xr:uid="{00000000-0005-0000-0000-0000FF000000}"/>
    <cellStyle name="40% - Accent4 8 2" xfId="586" xr:uid="{00000000-0005-0000-0000-000000010000}"/>
    <cellStyle name="40% - Accent4 9" xfId="587" xr:uid="{00000000-0005-0000-0000-000001010000}"/>
    <cellStyle name="40% - Accent4 9 2" xfId="588" xr:uid="{00000000-0005-0000-0000-000002010000}"/>
    <cellStyle name="40% - Accent5 10" xfId="589" xr:uid="{00000000-0005-0000-0000-000003010000}"/>
    <cellStyle name="40% - Accent5 10 2" xfId="590" xr:uid="{00000000-0005-0000-0000-000004010000}"/>
    <cellStyle name="40% - Accent5 11" xfId="591" xr:uid="{00000000-0005-0000-0000-000005010000}"/>
    <cellStyle name="40% - Accent5 11 2" xfId="592" xr:uid="{00000000-0005-0000-0000-000006010000}"/>
    <cellStyle name="40% - Accent5 2" xfId="593" xr:uid="{00000000-0005-0000-0000-000007010000}"/>
    <cellStyle name="40% - Accent5 3" xfId="594" xr:uid="{00000000-0005-0000-0000-000008010000}"/>
    <cellStyle name="40% - Accent5 3 2" xfId="595" xr:uid="{00000000-0005-0000-0000-000009010000}"/>
    <cellStyle name="40% - Accent5 4" xfId="596" xr:uid="{00000000-0005-0000-0000-00000A010000}"/>
    <cellStyle name="40% - Accent5 4 2" xfId="597" xr:uid="{00000000-0005-0000-0000-00000B010000}"/>
    <cellStyle name="40% - Accent5 5" xfId="598" xr:uid="{00000000-0005-0000-0000-00000C010000}"/>
    <cellStyle name="40% - Accent5 5 2" xfId="599" xr:uid="{00000000-0005-0000-0000-00000D010000}"/>
    <cellStyle name="40% - Accent5 6" xfId="600" xr:uid="{00000000-0005-0000-0000-00000E010000}"/>
    <cellStyle name="40% - Accent5 6 2" xfId="601" xr:uid="{00000000-0005-0000-0000-00000F010000}"/>
    <cellStyle name="40% - Accent5 7" xfId="602" xr:uid="{00000000-0005-0000-0000-000010010000}"/>
    <cellStyle name="40% - Accent5 7 2" xfId="603" xr:uid="{00000000-0005-0000-0000-000011010000}"/>
    <cellStyle name="40% - Accent5 8" xfId="604" xr:uid="{00000000-0005-0000-0000-000012010000}"/>
    <cellStyle name="40% - Accent5 8 2" xfId="605" xr:uid="{00000000-0005-0000-0000-000013010000}"/>
    <cellStyle name="40% - Accent5 9" xfId="606" xr:uid="{00000000-0005-0000-0000-000014010000}"/>
    <cellStyle name="40% - Accent5 9 2" xfId="607" xr:uid="{00000000-0005-0000-0000-000015010000}"/>
    <cellStyle name="40% - Accent6 10" xfId="608" xr:uid="{00000000-0005-0000-0000-000016010000}"/>
    <cellStyle name="40% - Accent6 10 2" xfId="609" xr:uid="{00000000-0005-0000-0000-000017010000}"/>
    <cellStyle name="40% - Accent6 11" xfId="610" xr:uid="{00000000-0005-0000-0000-000018010000}"/>
    <cellStyle name="40% - Accent6 11 2" xfId="611" xr:uid="{00000000-0005-0000-0000-000019010000}"/>
    <cellStyle name="40% - Accent6 12" xfId="612" xr:uid="{00000000-0005-0000-0000-00001A010000}"/>
    <cellStyle name="40% - Accent6 2" xfId="613" xr:uid="{00000000-0005-0000-0000-00001B010000}"/>
    <cellStyle name="40% - Accent6 3" xfId="614" xr:uid="{00000000-0005-0000-0000-00001C010000}"/>
    <cellStyle name="40% - Accent6 3 2" xfId="615" xr:uid="{00000000-0005-0000-0000-00001D010000}"/>
    <cellStyle name="40% - Accent6 4" xfId="616" xr:uid="{00000000-0005-0000-0000-00001E010000}"/>
    <cellStyle name="40% - Accent6 4 2" xfId="617" xr:uid="{00000000-0005-0000-0000-00001F010000}"/>
    <cellStyle name="40% - Accent6 5" xfId="618" xr:uid="{00000000-0005-0000-0000-000020010000}"/>
    <cellStyle name="40% - Accent6 5 2" xfId="619" xr:uid="{00000000-0005-0000-0000-000021010000}"/>
    <cellStyle name="40% - Accent6 6" xfId="620" xr:uid="{00000000-0005-0000-0000-000022010000}"/>
    <cellStyle name="40% - Accent6 6 2" xfId="621" xr:uid="{00000000-0005-0000-0000-000023010000}"/>
    <cellStyle name="40% - Accent6 7" xfId="622" xr:uid="{00000000-0005-0000-0000-000024010000}"/>
    <cellStyle name="40% - Accent6 7 2" xfId="623" xr:uid="{00000000-0005-0000-0000-000025010000}"/>
    <cellStyle name="40% - Accent6 8" xfId="624" xr:uid="{00000000-0005-0000-0000-000026010000}"/>
    <cellStyle name="40% - Accent6 8 2" xfId="625" xr:uid="{00000000-0005-0000-0000-000027010000}"/>
    <cellStyle name="40% - Accent6 9" xfId="626" xr:uid="{00000000-0005-0000-0000-000028010000}"/>
    <cellStyle name="40% - Accent6 9 2" xfId="627" xr:uid="{00000000-0005-0000-0000-000029010000}"/>
    <cellStyle name="60% - Accent1 10" xfId="628" xr:uid="{00000000-0005-0000-0000-00002A010000}"/>
    <cellStyle name="60% - Accent1 11" xfId="629" xr:uid="{00000000-0005-0000-0000-00002B010000}"/>
    <cellStyle name="60% - Accent1 12" xfId="630" xr:uid="{00000000-0005-0000-0000-00002C010000}"/>
    <cellStyle name="60% - Accent1 2" xfId="631" xr:uid="{00000000-0005-0000-0000-00002D010000}"/>
    <cellStyle name="60% - Accent1 3" xfId="632" xr:uid="{00000000-0005-0000-0000-00002E010000}"/>
    <cellStyle name="60% - Accent1 4" xfId="633" xr:uid="{00000000-0005-0000-0000-00002F010000}"/>
    <cellStyle name="60% - Accent1 5" xfId="634" xr:uid="{00000000-0005-0000-0000-000030010000}"/>
    <cellStyle name="60% - Accent1 6" xfId="635" xr:uid="{00000000-0005-0000-0000-000031010000}"/>
    <cellStyle name="60% - Accent1 7" xfId="636" xr:uid="{00000000-0005-0000-0000-000032010000}"/>
    <cellStyle name="60% - Accent1 8" xfId="637" xr:uid="{00000000-0005-0000-0000-000033010000}"/>
    <cellStyle name="60% - Accent1 9" xfId="638" xr:uid="{00000000-0005-0000-0000-000034010000}"/>
    <cellStyle name="60% - Accent2 10" xfId="639" xr:uid="{00000000-0005-0000-0000-000035010000}"/>
    <cellStyle name="60% - Accent2 11" xfId="640" xr:uid="{00000000-0005-0000-0000-000036010000}"/>
    <cellStyle name="60% - Accent2 12" xfId="641" xr:uid="{00000000-0005-0000-0000-000037010000}"/>
    <cellStyle name="60% - Accent2 2" xfId="642" xr:uid="{00000000-0005-0000-0000-000038010000}"/>
    <cellStyle name="60% - Accent2 3" xfId="643" xr:uid="{00000000-0005-0000-0000-000039010000}"/>
    <cellStyle name="60% - Accent2 4" xfId="644" xr:uid="{00000000-0005-0000-0000-00003A010000}"/>
    <cellStyle name="60% - Accent2 5" xfId="645" xr:uid="{00000000-0005-0000-0000-00003B010000}"/>
    <cellStyle name="60% - Accent2 6" xfId="646" xr:uid="{00000000-0005-0000-0000-00003C010000}"/>
    <cellStyle name="60% - Accent2 7" xfId="647" xr:uid="{00000000-0005-0000-0000-00003D010000}"/>
    <cellStyle name="60% - Accent2 8" xfId="648" xr:uid="{00000000-0005-0000-0000-00003E010000}"/>
    <cellStyle name="60% - Accent2 9" xfId="649" xr:uid="{00000000-0005-0000-0000-00003F010000}"/>
    <cellStyle name="60% - Accent3 10" xfId="650" xr:uid="{00000000-0005-0000-0000-000040010000}"/>
    <cellStyle name="60% - Accent3 10 2" xfId="651" xr:uid="{00000000-0005-0000-0000-000041010000}"/>
    <cellStyle name="60% - Accent3 11" xfId="652" xr:uid="{00000000-0005-0000-0000-000042010000}"/>
    <cellStyle name="60% - Accent3 11 2" xfId="653" xr:uid="{00000000-0005-0000-0000-000043010000}"/>
    <cellStyle name="60% - Accent3 12" xfId="654" xr:uid="{00000000-0005-0000-0000-000044010000}"/>
    <cellStyle name="60% - Accent3 2" xfId="655" xr:uid="{00000000-0005-0000-0000-000045010000}"/>
    <cellStyle name="60% - Accent3 2 2" xfId="656" xr:uid="{00000000-0005-0000-0000-000046010000}"/>
    <cellStyle name="60% - Accent3 3" xfId="657" xr:uid="{00000000-0005-0000-0000-000047010000}"/>
    <cellStyle name="60% - Accent3 3 2" xfId="658" xr:uid="{00000000-0005-0000-0000-000048010000}"/>
    <cellStyle name="60% - Accent3 4" xfId="659" xr:uid="{00000000-0005-0000-0000-000049010000}"/>
    <cellStyle name="60% - Accent3 4 2" xfId="660" xr:uid="{00000000-0005-0000-0000-00004A010000}"/>
    <cellStyle name="60% - Accent3 5" xfId="661" xr:uid="{00000000-0005-0000-0000-00004B010000}"/>
    <cellStyle name="60% - Accent3 5 2" xfId="662" xr:uid="{00000000-0005-0000-0000-00004C010000}"/>
    <cellStyle name="60% - Accent3 6" xfId="663" xr:uid="{00000000-0005-0000-0000-00004D010000}"/>
    <cellStyle name="60% - Accent3 6 2" xfId="664" xr:uid="{00000000-0005-0000-0000-00004E010000}"/>
    <cellStyle name="60% - Accent3 7" xfId="665" xr:uid="{00000000-0005-0000-0000-00004F010000}"/>
    <cellStyle name="60% - Accent3 7 2" xfId="666" xr:uid="{00000000-0005-0000-0000-000050010000}"/>
    <cellStyle name="60% - Accent3 8" xfId="667" xr:uid="{00000000-0005-0000-0000-000051010000}"/>
    <cellStyle name="60% - Accent3 8 2" xfId="668" xr:uid="{00000000-0005-0000-0000-000052010000}"/>
    <cellStyle name="60% - Accent3 9" xfId="669" xr:uid="{00000000-0005-0000-0000-000053010000}"/>
    <cellStyle name="60% - Accent3 9 2" xfId="670" xr:uid="{00000000-0005-0000-0000-000054010000}"/>
    <cellStyle name="60% - Accent4 10" xfId="671" xr:uid="{00000000-0005-0000-0000-000055010000}"/>
    <cellStyle name="60% - Accent4 10 2" xfId="672" xr:uid="{00000000-0005-0000-0000-000056010000}"/>
    <cellStyle name="60% - Accent4 11" xfId="673" xr:uid="{00000000-0005-0000-0000-000057010000}"/>
    <cellStyle name="60% - Accent4 11 2" xfId="674" xr:uid="{00000000-0005-0000-0000-000058010000}"/>
    <cellStyle name="60% - Accent4 12" xfId="675" xr:uid="{00000000-0005-0000-0000-000059010000}"/>
    <cellStyle name="60% - Accent4 2" xfId="676" xr:uid="{00000000-0005-0000-0000-00005A010000}"/>
    <cellStyle name="60% - Accent4 2 2" xfId="677" xr:uid="{00000000-0005-0000-0000-00005B010000}"/>
    <cellStyle name="60% - Accent4 3" xfId="678" xr:uid="{00000000-0005-0000-0000-00005C010000}"/>
    <cellStyle name="60% - Accent4 3 2" xfId="679" xr:uid="{00000000-0005-0000-0000-00005D010000}"/>
    <cellStyle name="60% - Accent4 4" xfId="680" xr:uid="{00000000-0005-0000-0000-00005E010000}"/>
    <cellStyle name="60% - Accent4 4 2" xfId="681" xr:uid="{00000000-0005-0000-0000-00005F010000}"/>
    <cellStyle name="60% - Accent4 5" xfId="682" xr:uid="{00000000-0005-0000-0000-000060010000}"/>
    <cellStyle name="60% - Accent4 5 2" xfId="683" xr:uid="{00000000-0005-0000-0000-000061010000}"/>
    <cellStyle name="60% - Accent4 6" xfId="684" xr:uid="{00000000-0005-0000-0000-000062010000}"/>
    <cellStyle name="60% - Accent4 6 2" xfId="685" xr:uid="{00000000-0005-0000-0000-000063010000}"/>
    <cellStyle name="60% - Accent4 7" xfId="686" xr:uid="{00000000-0005-0000-0000-000064010000}"/>
    <cellStyle name="60% - Accent4 7 2" xfId="687" xr:uid="{00000000-0005-0000-0000-000065010000}"/>
    <cellStyle name="60% - Accent4 8" xfId="688" xr:uid="{00000000-0005-0000-0000-000066010000}"/>
    <cellStyle name="60% - Accent4 8 2" xfId="689" xr:uid="{00000000-0005-0000-0000-000067010000}"/>
    <cellStyle name="60% - Accent4 9" xfId="690" xr:uid="{00000000-0005-0000-0000-000068010000}"/>
    <cellStyle name="60% - Accent4 9 2" xfId="691" xr:uid="{00000000-0005-0000-0000-000069010000}"/>
    <cellStyle name="60% - Accent5 10" xfId="692" xr:uid="{00000000-0005-0000-0000-00006A010000}"/>
    <cellStyle name="60% - Accent5 11" xfId="693" xr:uid="{00000000-0005-0000-0000-00006B010000}"/>
    <cellStyle name="60% - Accent5 12" xfId="694" xr:uid="{00000000-0005-0000-0000-00006C010000}"/>
    <cellStyle name="60% - Accent5 2" xfId="695" xr:uid="{00000000-0005-0000-0000-00006D010000}"/>
    <cellStyle name="60% - Accent5 3" xfId="696" xr:uid="{00000000-0005-0000-0000-00006E010000}"/>
    <cellStyle name="60% - Accent5 4" xfId="697" xr:uid="{00000000-0005-0000-0000-00006F010000}"/>
    <cellStyle name="60% - Accent5 5" xfId="698" xr:uid="{00000000-0005-0000-0000-000070010000}"/>
    <cellStyle name="60% - Accent5 6" xfId="699" xr:uid="{00000000-0005-0000-0000-000071010000}"/>
    <cellStyle name="60% - Accent5 7" xfId="700" xr:uid="{00000000-0005-0000-0000-000072010000}"/>
    <cellStyle name="60% - Accent5 8" xfId="701" xr:uid="{00000000-0005-0000-0000-000073010000}"/>
    <cellStyle name="60% - Accent5 9" xfId="702" xr:uid="{00000000-0005-0000-0000-000074010000}"/>
    <cellStyle name="60% - Accent6 10" xfId="703" xr:uid="{00000000-0005-0000-0000-000075010000}"/>
    <cellStyle name="60% - Accent6 10 2" xfId="704" xr:uid="{00000000-0005-0000-0000-000076010000}"/>
    <cellStyle name="60% - Accent6 11" xfId="705" xr:uid="{00000000-0005-0000-0000-000077010000}"/>
    <cellStyle name="60% - Accent6 11 2" xfId="706" xr:uid="{00000000-0005-0000-0000-000078010000}"/>
    <cellStyle name="60% - Accent6 12" xfId="707" xr:uid="{00000000-0005-0000-0000-000079010000}"/>
    <cellStyle name="60% - Accent6 2" xfId="708" xr:uid="{00000000-0005-0000-0000-00007A010000}"/>
    <cellStyle name="60% - Accent6 2 2" xfId="709" xr:uid="{00000000-0005-0000-0000-00007B010000}"/>
    <cellStyle name="60% - Accent6 3" xfId="710" xr:uid="{00000000-0005-0000-0000-00007C010000}"/>
    <cellStyle name="60% - Accent6 3 2" xfId="711" xr:uid="{00000000-0005-0000-0000-00007D010000}"/>
    <cellStyle name="60% - Accent6 4" xfId="712" xr:uid="{00000000-0005-0000-0000-00007E010000}"/>
    <cellStyle name="60% - Accent6 4 2" xfId="713" xr:uid="{00000000-0005-0000-0000-00007F010000}"/>
    <cellStyle name="60% - Accent6 5" xfId="714" xr:uid="{00000000-0005-0000-0000-000080010000}"/>
    <cellStyle name="60% - Accent6 5 2" xfId="715" xr:uid="{00000000-0005-0000-0000-000081010000}"/>
    <cellStyle name="60% - Accent6 6" xfId="716" xr:uid="{00000000-0005-0000-0000-000082010000}"/>
    <cellStyle name="60% - Accent6 6 2" xfId="717" xr:uid="{00000000-0005-0000-0000-000083010000}"/>
    <cellStyle name="60% - Accent6 7" xfId="718" xr:uid="{00000000-0005-0000-0000-000084010000}"/>
    <cellStyle name="60% - Accent6 7 2" xfId="719" xr:uid="{00000000-0005-0000-0000-000085010000}"/>
    <cellStyle name="60% - Accent6 8" xfId="720" xr:uid="{00000000-0005-0000-0000-000086010000}"/>
    <cellStyle name="60% - Accent6 8 2" xfId="721" xr:uid="{00000000-0005-0000-0000-000087010000}"/>
    <cellStyle name="60% - Accent6 9" xfId="722" xr:uid="{00000000-0005-0000-0000-000088010000}"/>
    <cellStyle name="60% - Accent6 9 2" xfId="723" xr:uid="{00000000-0005-0000-0000-000089010000}"/>
    <cellStyle name="Accent1 10" xfId="724" xr:uid="{00000000-0005-0000-0000-00008A010000}"/>
    <cellStyle name="Accent1 11" xfId="725" xr:uid="{00000000-0005-0000-0000-00008B010000}"/>
    <cellStyle name="Accent1 12" xfId="726" xr:uid="{00000000-0005-0000-0000-00008C010000}"/>
    <cellStyle name="Accent1 2" xfId="727" xr:uid="{00000000-0005-0000-0000-00008D010000}"/>
    <cellStyle name="Accent1 3" xfId="728" xr:uid="{00000000-0005-0000-0000-00008E010000}"/>
    <cellStyle name="Accent1 4" xfId="729" xr:uid="{00000000-0005-0000-0000-00008F010000}"/>
    <cellStyle name="Accent1 5" xfId="730" xr:uid="{00000000-0005-0000-0000-000090010000}"/>
    <cellStyle name="Accent1 6" xfId="731" xr:uid="{00000000-0005-0000-0000-000091010000}"/>
    <cellStyle name="Accent1 7" xfId="732" xr:uid="{00000000-0005-0000-0000-000092010000}"/>
    <cellStyle name="Accent1 8" xfId="733" xr:uid="{00000000-0005-0000-0000-000093010000}"/>
    <cellStyle name="Accent1 9" xfId="734" xr:uid="{00000000-0005-0000-0000-000094010000}"/>
    <cellStyle name="Accent2 10" xfId="735" xr:uid="{00000000-0005-0000-0000-000095010000}"/>
    <cellStyle name="Accent2 11" xfId="736" xr:uid="{00000000-0005-0000-0000-000096010000}"/>
    <cellStyle name="Accent2 12" xfId="737" xr:uid="{00000000-0005-0000-0000-000097010000}"/>
    <cellStyle name="Accent2 2" xfId="738" xr:uid="{00000000-0005-0000-0000-000098010000}"/>
    <cellStyle name="Accent2 3" xfId="739" xr:uid="{00000000-0005-0000-0000-000099010000}"/>
    <cellStyle name="Accent2 4" xfId="740" xr:uid="{00000000-0005-0000-0000-00009A010000}"/>
    <cellStyle name="Accent2 5" xfId="741" xr:uid="{00000000-0005-0000-0000-00009B010000}"/>
    <cellStyle name="Accent2 6" xfId="742" xr:uid="{00000000-0005-0000-0000-00009C010000}"/>
    <cellStyle name="Accent2 7" xfId="743" xr:uid="{00000000-0005-0000-0000-00009D010000}"/>
    <cellStyle name="Accent2 8" xfId="744" xr:uid="{00000000-0005-0000-0000-00009E010000}"/>
    <cellStyle name="Accent2 9" xfId="745" xr:uid="{00000000-0005-0000-0000-00009F010000}"/>
    <cellStyle name="Accent3 10" xfId="746" xr:uid="{00000000-0005-0000-0000-0000A0010000}"/>
    <cellStyle name="Accent3 10 2" xfId="747" xr:uid="{00000000-0005-0000-0000-0000A1010000}"/>
    <cellStyle name="Accent3 11" xfId="748" xr:uid="{00000000-0005-0000-0000-0000A2010000}"/>
    <cellStyle name="Accent3 11 2" xfId="749" xr:uid="{00000000-0005-0000-0000-0000A3010000}"/>
    <cellStyle name="Accent3 12" xfId="750" xr:uid="{00000000-0005-0000-0000-0000A4010000}"/>
    <cellStyle name="Accent3 2" xfId="751" xr:uid="{00000000-0005-0000-0000-0000A5010000}"/>
    <cellStyle name="Accent3 2 2" xfId="752" xr:uid="{00000000-0005-0000-0000-0000A6010000}"/>
    <cellStyle name="Accent3 3" xfId="753" xr:uid="{00000000-0005-0000-0000-0000A7010000}"/>
    <cellStyle name="Accent3 3 2" xfId="754" xr:uid="{00000000-0005-0000-0000-0000A8010000}"/>
    <cellStyle name="Accent3 4" xfId="755" xr:uid="{00000000-0005-0000-0000-0000A9010000}"/>
    <cellStyle name="Accent3 4 2" xfId="756" xr:uid="{00000000-0005-0000-0000-0000AA010000}"/>
    <cellStyle name="Accent3 5" xfId="757" xr:uid="{00000000-0005-0000-0000-0000AB010000}"/>
    <cellStyle name="Accent3 5 2" xfId="758" xr:uid="{00000000-0005-0000-0000-0000AC010000}"/>
    <cellStyle name="Accent3 6" xfId="759" xr:uid="{00000000-0005-0000-0000-0000AD010000}"/>
    <cellStyle name="Accent3 6 2" xfId="760" xr:uid="{00000000-0005-0000-0000-0000AE010000}"/>
    <cellStyle name="Accent3 7" xfId="761" xr:uid="{00000000-0005-0000-0000-0000AF010000}"/>
    <cellStyle name="Accent3 7 2" xfId="762" xr:uid="{00000000-0005-0000-0000-0000B0010000}"/>
    <cellStyle name="Accent3 8" xfId="763" xr:uid="{00000000-0005-0000-0000-0000B1010000}"/>
    <cellStyle name="Accent3 8 2" xfId="764" xr:uid="{00000000-0005-0000-0000-0000B2010000}"/>
    <cellStyle name="Accent3 9" xfId="765" xr:uid="{00000000-0005-0000-0000-0000B3010000}"/>
    <cellStyle name="Accent3 9 2" xfId="766" xr:uid="{00000000-0005-0000-0000-0000B4010000}"/>
    <cellStyle name="Accent4 10" xfId="767" xr:uid="{00000000-0005-0000-0000-0000B5010000}"/>
    <cellStyle name="Accent4 10 2" xfId="768" xr:uid="{00000000-0005-0000-0000-0000B6010000}"/>
    <cellStyle name="Accent4 11" xfId="769" xr:uid="{00000000-0005-0000-0000-0000B7010000}"/>
    <cellStyle name="Accent4 11 2" xfId="770" xr:uid="{00000000-0005-0000-0000-0000B8010000}"/>
    <cellStyle name="Accent4 12" xfId="771" xr:uid="{00000000-0005-0000-0000-0000B9010000}"/>
    <cellStyle name="Accent4 2" xfId="772" xr:uid="{00000000-0005-0000-0000-0000BA010000}"/>
    <cellStyle name="Accent4 2 2" xfId="773" xr:uid="{00000000-0005-0000-0000-0000BB010000}"/>
    <cellStyle name="Accent4 3" xfId="774" xr:uid="{00000000-0005-0000-0000-0000BC010000}"/>
    <cellStyle name="Accent4 3 2" xfId="775" xr:uid="{00000000-0005-0000-0000-0000BD010000}"/>
    <cellStyle name="Accent4 4" xfId="776" xr:uid="{00000000-0005-0000-0000-0000BE010000}"/>
    <cellStyle name="Accent4 4 2" xfId="777" xr:uid="{00000000-0005-0000-0000-0000BF010000}"/>
    <cellStyle name="Accent4 5" xfId="778" xr:uid="{00000000-0005-0000-0000-0000C0010000}"/>
    <cellStyle name="Accent4 5 2" xfId="779" xr:uid="{00000000-0005-0000-0000-0000C1010000}"/>
    <cellStyle name="Accent4 6" xfId="780" xr:uid="{00000000-0005-0000-0000-0000C2010000}"/>
    <cellStyle name="Accent4 6 2" xfId="781" xr:uid="{00000000-0005-0000-0000-0000C3010000}"/>
    <cellStyle name="Accent4 7" xfId="782" xr:uid="{00000000-0005-0000-0000-0000C4010000}"/>
    <cellStyle name="Accent4 7 2" xfId="783" xr:uid="{00000000-0005-0000-0000-0000C5010000}"/>
    <cellStyle name="Accent4 8" xfId="784" xr:uid="{00000000-0005-0000-0000-0000C6010000}"/>
    <cellStyle name="Accent4 8 2" xfId="785" xr:uid="{00000000-0005-0000-0000-0000C7010000}"/>
    <cellStyle name="Accent4 9" xfId="786" xr:uid="{00000000-0005-0000-0000-0000C8010000}"/>
    <cellStyle name="Accent4 9 2" xfId="787" xr:uid="{00000000-0005-0000-0000-0000C9010000}"/>
    <cellStyle name="Accent5 10" xfId="788" xr:uid="{00000000-0005-0000-0000-0000CA010000}"/>
    <cellStyle name="Accent5 11" xfId="789" xr:uid="{00000000-0005-0000-0000-0000CB010000}"/>
    <cellStyle name="Accent5 12" xfId="790" xr:uid="{00000000-0005-0000-0000-0000CC010000}"/>
    <cellStyle name="Accent5 2" xfId="791" xr:uid="{00000000-0005-0000-0000-0000CD010000}"/>
    <cellStyle name="Accent5 3" xfId="792" xr:uid="{00000000-0005-0000-0000-0000CE010000}"/>
    <cellStyle name="Accent5 4" xfId="793" xr:uid="{00000000-0005-0000-0000-0000CF010000}"/>
    <cellStyle name="Accent5 5" xfId="794" xr:uid="{00000000-0005-0000-0000-0000D0010000}"/>
    <cellStyle name="Accent5 6" xfId="795" xr:uid="{00000000-0005-0000-0000-0000D1010000}"/>
    <cellStyle name="Accent5 7" xfId="796" xr:uid="{00000000-0005-0000-0000-0000D2010000}"/>
    <cellStyle name="Accent5 8" xfId="797" xr:uid="{00000000-0005-0000-0000-0000D3010000}"/>
    <cellStyle name="Accent5 9" xfId="798" xr:uid="{00000000-0005-0000-0000-0000D4010000}"/>
    <cellStyle name="Accent6 10" xfId="799" xr:uid="{00000000-0005-0000-0000-0000D5010000}"/>
    <cellStyle name="Accent6 10 2" xfId="800" xr:uid="{00000000-0005-0000-0000-0000D6010000}"/>
    <cellStyle name="Accent6 11" xfId="801" xr:uid="{00000000-0005-0000-0000-0000D7010000}"/>
    <cellStyle name="Accent6 11 2" xfId="802" xr:uid="{00000000-0005-0000-0000-0000D8010000}"/>
    <cellStyle name="Accent6 12" xfId="803" xr:uid="{00000000-0005-0000-0000-0000D9010000}"/>
    <cellStyle name="Accent6 2" xfId="804" xr:uid="{00000000-0005-0000-0000-0000DA010000}"/>
    <cellStyle name="Accent6 2 2" xfId="805" xr:uid="{00000000-0005-0000-0000-0000DB010000}"/>
    <cellStyle name="Accent6 3" xfId="806" xr:uid="{00000000-0005-0000-0000-0000DC010000}"/>
    <cellStyle name="Accent6 3 2" xfId="807" xr:uid="{00000000-0005-0000-0000-0000DD010000}"/>
    <cellStyle name="Accent6 4" xfId="808" xr:uid="{00000000-0005-0000-0000-0000DE010000}"/>
    <cellStyle name="Accent6 4 2" xfId="809" xr:uid="{00000000-0005-0000-0000-0000DF010000}"/>
    <cellStyle name="Accent6 5" xfId="810" xr:uid="{00000000-0005-0000-0000-0000E0010000}"/>
    <cellStyle name="Accent6 5 2" xfId="811" xr:uid="{00000000-0005-0000-0000-0000E1010000}"/>
    <cellStyle name="Accent6 6" xfId="812" xr:uid="{00000000-0005-0000-0000-0000E2010000}"/>
    <cellStyle name="Accent6 6 2" xfId="813" xr:uid="{00000000-0005-0000-0000-0000E3010000}"/>
    <cellStyle name="Accent6 7" xfId="814" xr:uid="{00000000-0005-0000-0000-0000E4010000}"/>
    <cellStyle name="Accent6 7 2" xfId="815" xr:uid="{00000000-0005-0000-0000-0000E5010000}"/>
    <cellStyle name="Accent6 8" xfId="816" xr:uid="{00000000-0005-0000-0000-0000E6010000}"/>
    <cellStyle name="Accent6 8 2" xfId="817" xr:uid="{00000000-0005-0000-0000-0000E7010000}"/>
    <cellStyle name="Accent6 9" xfId="818" xr:uid="{00000000-0005-0000-0000-0000E8010000}"/>
    <cellStyle name="Accent6 9 2" xfId="819" xr:uid="{00000000-0005-0000-0000-0000E9010000}"/>
    <cellStyle name="ÅëÈ­ [0]_±âÅ¸" xfId="820" xr:uid="{00000000-0005-0000-0000-0000EA010000}"/>
    <cellStyle name="ÅëÈ­_±âÅ¸" xfId="821" xr:uid="{00000000-0005-0000-0000-0000EB010000}"/>
    <cellStyle name="args.style" xfId="78" xr:uid="{00000000-0005-0000-0000-0000EC010000}"/>
    <cellStyle name="ÄÞ¸¶ [0]_±âÅ¸" xfId="822" xr:uid="{00000000-0005-0000-0000-0000ED010000}"/>
    <cellStyle name="ÄÞ¸¶_±âÅ¸" xfId="823" xr:uid="{00000000-0005-0000-0000-0000EE010000}"/>
    <cellStyle name="Bad 10" xfId="824" xr:uid="{00000000-0005-0000-0000-0000EF010000}"/>
    <cellStyle name="Bad 11" xfId="825" xr:uid="{00000000-0005-0000-0000-0000F0010000}"/>
    <cellStyle name="Bad 12" xfId="826" xr:uid="{00000000-0005-0000-0000-0000F1010000}"/>
    <cellStyle name="Bad 2" xfId="827" xr:uid="{00000000-0005-0000-0000-0000F2010000}"/>
    <cellStyle name="Bad 3" xfId="828" xr:uid="{00000000-0005-0000-0000-0000F3010000}"/>
    <cellStyle name="Bad 4" xfId="829" xr:uid="{00000000-0005-0000-0000-0000F4010000}"/>
    <cellStyle name="Bad 5" xfId="830" xr:uid="{00000000-0005-0000-0000-0000F5010000}"/>
    <cellStyle name="Bad 6" xfId="831" xr:uid="{00000000-0005-0000-0000-0000F6010000}"/>
    <cellStyle name="Bad 7" xfId="832" xr:uid="{00000000-0005-0000-0000-0000F7010000}"/>
    <cellStyle name="Bad 8" xfId="833" xr:uid="{00000000-0005-0000-0000-0000F8010000}"/>
    <cellStyle name="Bad 9" xfId="834" xr:uid="{00000000-0005-0000-0000-0000F9010000}"/>
    <cellStyle name="Ç¥ÁØ_¿¬°£´©°è¿¹»ó" xfId="835" xr:uid="{00000000-0005-0000-0000-0000FA010000}"/>
    <cellStyle name="Calc Currency (0)" xfId="79" xr:uid="{00000000-0005-0000-0000-0000FB010000}"/>
    <cellStyle name="Calc Currency (2)" xfId="80" xr:uid="{00000000-0005-0000-0000-0000FC010000}"/>
    <cellStyle name="Calc Percent (0)" xfId="81" xr:uid="{00000000-0005-0000-0000-0000FD010000}"/>
    <cellStyle name="Calc Percent (1)" xfId="82" xr:uid="{00000000-0005-0000-0000-0000FE010000}"/>
    <cellStyle name="Calc Percent (2)" xfId="83" xr:uid="{00000000-0005-0000-0000-0000FF010000}"/>
    <cellStyle name="Calc Units (0)" xfId="84" xr:uid="{00000000-0005-0000-0000-000000020000}"/>
    <cellStyle name="Calc Units (1)" xfId="85" xr:uid="{00000000-0005-0000-0000-000001020000}"/>
    <cellStyle name="Calc Units (2)" xfId="86" xr:uid="{00000000-0005-0000-0000-000002020000}"/>
    <cellStyle name="Calculation 10" xfId="836" xr:uid="{00000000-0005-0000-0000-000003020000}"/>
    <cellStyle name="Calculation 10 2" xfId="837" xr:uid="{00000000-0005-0000-0000-000004020000}"/>
    <cellStyle name="Calculation 10 3" xfId="838" xr:uid="{00000000-0005-0000-0000-000005020000}"/>
    <cellStyle name="Calculation 11" xfId="839" xr:uid="{00000000-0005-0000-0000-000006020000}"/>
    <cellStyle name="Calculation 11 2" xfId="840" xr:uid="{00000000-0005-0000-0000-000007020000}"/>
    <cellStyle name="Calculation 11 3" xfId="841" xr:uid="{00000000-0005-0000-0000-000008020000}"/>
    <cellStyle name="Calculation 12" xfId="842" xr:uid="{00000000-0005-0000-0000-000009020000}"/>
    <cellStyle name="Calculation 12 2" xfId="843" xr:uid="{00000000-0005-0000-0000-00000A020000}"/>
    <cellStyle name="Calculation 12 3" xfId="844" xr:uid="{00000000-0005-0000-0000-00000B020000}"/>
    <cellStyle name="Calculation 2" xfId="845" xr:uid="{00000000-0005-0000-0000-00000C020000}"/>
    <cellStyle name="Calculation 2 2" xfId="846" xr:uid="{00000000-0005-0000-0000-00000D020000}"/>
    <cellStyle name="Calculation 2 3" xfId="847" xr:uid="{00000000-0005-0000-0000-00000E020000}"/>
    <cellStyle name="Calculation 3" xfId="848" xr:uid="{00000000-0005-0000-0000-00000F020000}"/>
    <cellStyle name="Calculation 3 2" xfId="849" xr:uid="{00000000-0005-0000-0000-000010020000}"/>
    <cellStyle name="Calculation 3 3" xfId="850" xr:uid="{00000000-0005-0000-0000-000011020000}"/>
    <cellStyle name="Calculation 4" xfId="851" xr:uid="{00000000-0005-0000-0000-000012020000}"/>
    <cellStyle name="Calculation 4 2" xfId="852" xr:uid="{00000000-0005-0000-0000-000013020000}"/>
    <cellStyle name="Calculation 4 3" xfId="853" xr:uid="{00000000-0005-0000-0000-000014020000}"/>
    <cellStyle name="Calculation 5" xfId="854" xr:uid="{00000000-0005-0000-0000-000015020000}"/>
    <cellStyle name="Calculation 5 2" xfId="855" xr:uid="{00000000-0005-0000-0000-000016020000}"/>
    <cellStyle name="Calculation 5 3" xfId="856" xr:uid="{00000000-0005-0000-0000-000017020000}"/>
    <cellStyle name="Calculation 6" xfId="857" xr:uid="{00000000-0005-0000-0000-000018020000}"/>
    <cellStyle name="Calculation 6 2" xfId="858" xr:uid="{00000000-0005-0000-0000-000019020000}"/>
    <cellStyle name="Calculation 6 3" xfId="859" xr:uid="{00000000-0005-0000-0000-00001A020000}"/>
    <cellStyle name="Calculation 7" xfId="860" xr:uid="{00000000-0005-0000-0000-00001B020000}"/>
    <cellStyle name="Calculation 7 2" xfId="861" xr:uid="{00000000-0005-0000-0000-00001C020000}"/>
    <cellStyle name="Calculation 7 3" xfId="862" xr:uid="{00000000-0005-0000-0000-00001D020000}"/>
    <cellStyle name="Calculation 8" xfId="863" xr:uid="{00000000-0005-0000-0000-00001E020000}"/>
    <cellStyle name="Calculation 8 2" xfId="864" xr:uid="{00000000-0005-0000-0000-00001F020000}"/>
    <cellStyle name="Calculation 8 3" xfId="865" xr:uid="{00000000-0005-0000-0000-000020020000}"/>
    <cellStyle name="Calculation 9" xfId="866" xr:uid="{00000000-0005-0000-0000-000021020000}"/>
    <cellStyle name="Calculation 9 2" xfId="867" xr:uid="{00000000-0005-0000-0000-000022020000}"/>
    <cellStyle name="Calculation 9 3" xfId="868" xr:uid="{00000000-0005-0000-0000-000023020000}"/>
    <cellStyle name="Check Cell 10" xfId="869" xr:uid="{00000000-0005-0000-0000-000024020000}"/>
    <cellStyle name="Check Cell 10 2" xfId="870" xr:uid="{00000000-0005-0000-0000-000025020000}"/>
    <cellStyle name="Check Cell 11" xfId="871" xr:uid="{00000000-0005-0000-0000-000026020000}"/>
    <cellStyle name="Check Cell 11 2" xfId="872" xr:uid="{00000000-0005-0000-0000-000027020000}"/>
    <cellStyle name="Check Cell 12" xfId="873" xr:uid="{00000000-0005-0000-0000-000028020000}"/>
    <cellStyle name="Check Cell 2" xfId="874" xr:uid="{00000000-0005-0000-0000-000029020000}"/>
    <cellStyle name="Check Cell 2 2" xfId="875" xr:uid="{00000000-0005-0000-0000-00002A020000}"/>
    <cellStyle name="Check Cell 3" xfId="876" xr:uid="{00000000-0005-0000-0000-00002B020000}"/>
    <cellStyle name="Check Cell 3 2" xfId="877" xr:uid="{00000000-0005-0000-0000-00002C020000}"/>
    <cellStyle name="Check Cell 4" xfId="878" xr:uid="{00000000-0005-0000-0000-00002D020000}"/>
    <cellStyle name="Check Cell 4 2" xfId="879" xr:uid="{00000000-0005-0000-0000-00002E020000}"/>
    <cellStyle name="Check Cell 5" xfId="880" xr:uid="{00000000-0005-0000-0000-00002F020000}"/>
    <cellStyle name="Check Cell 5 2" xfId="881" xr:uid="{00000000-0005-0000-0000-000030020000}"/>
    <cellStyle name="Check Cell 6" xfId="882" xr:uid="{00000000-0005-0000-0000-000031020000}"/>
    <cellStyle name="Check Cell 6 2" xfId="883" xr:uid="{00000000-0005-0000-0000-000032020000}"/>
    <cellStyle name="Check Cell 7" xfId="884" xr:uid="{00000000-0005-0000-0000-000033020000}"/>
    <cellStyle name="Check Cell 7 2" xfId="885" xr:uid="{00000000-0005-0000-0000-000034020000}"/>
    <cellStyle name="Check Cell 8" xfId="886" xr:uid="{00000000-0005-0000-0000-000035020000}"/>
    <cellStyle name="Check Cell 8 2" xfId="887" xr:uid="{00000000-0005-0000-0000-000036020000}"/>
    <cellStyle name="Check Cell 9" xfId="888" xr:uid="{00000000-0005-0000-0000-000037020000}"/>
    <cellStyle name="Check Cell 9 2" xfId="889" xr:uid="{00000000-0005-0000-0000-000038020000}"/>
    <cellStyle name="Comma" xfId="9" builtinId="3"/>
    <cellStyle name="Comma [0]" xfId="21" builtinId="6"/>
    <cellStyle name="Comma [0] 10" xfId="87" xr:uid="{00000000-0005-0000-0000-00003B020000}"/>
    <cellStyle name="Comma [0] 10 2" xfId="88" xr:uid="{00000000-0005-0000-0000-00003C020000}"/>
    <cellStyle name="Comma [0] 10 2 2" xfId="89" xr:uid="{00000000-0005-0000-0000-00003D020000}"/>
    <cellStyle name="Comma [0] 10 2 2 2" xfId="90" xr:uid="{00000000-0005-0000-0000-00003E020000}"/>
    <cellStyle name="Comma [0] 10 2 2 2 2" xfId="890" xr:uid="{00000000-0005-0000-0000-00003F020000}"/>
    <cellStyle name="Comma [0] 10 2 2 2 2 2" xfId="891" xr:uid="{00000000-0005-0000-0000-000040020000}"/>
    <cellStyle name="Comma [0] 10 2 2 2 3" xfId="892" xr:uid="{00000000-0005-0000-0000-000041020000}"/>
    <cellStyle name="Comma [0] 10 2 2 2 3 2" xfId="893" xr:uid="{00000000-0005-0000-0000-000042020000}"/>
    <cellStyle name="Comma [0] 10 2 2 2 4" xfId="894" xr:uid="{00000000-0005-0000-0000-000043020000}"/>
    <cellStyle name="Comma [0] 10 2 2 3" xfId="895" xr:uid="{00000000-0005-0000-0000-000044020000}"/>
    <cellStyle name="Comma [0] 10 2 2 3 2" xfId="896" xr:uid="{00000000-0005-0000-0000-000045020000}"/>
    <cellStyle name="Comma [0] 10 2 2 3 2 2" xfId="897" xr:uid="{00000000-0005-0000-0000-000046020000}"/>
    <cellStyle name="Comma [0] 10 2 2 3 3" xfId="898" xr:uid="{00000000-0005-0000-0000-000047020000}"/>
    <cellStyle name="Comma [0] 10 2 2 4" xfId="899" xr:uid="{00000000-0005-0000-0000-000048020000}"/>
    <cellStyle name="Comma [0] 10 2 2 4 2" xfId="900" xr:uid="{00000000-0005-0000-0000-000049020000}"/>
    <cellStyle name="Comma [0] 10 2 2 5" xfId="901" xr:uid="{00000000-0005-0000-0000-00004A020000}"/>
    <cellStyle name="Comma [0] 10 2 3" xfId="91" xr:uid="{00000000-0005-0000-0000-00004B020000}"/>
    <cellStyle name="Comma [0] 10 2 3 2" xfId="902" xr:uid="{00000000-0005-0000-0000-00004C020000}"/>
    <cellStyle name="Comma [0] 10 2 3 2 2" xfId="903" xr:uid="{00000000-0005-0000-0000-00004D020000}"/>
    <cellStyle name="Comma [0] 10 2 3 3" xfId="904" xr:uid="{00000000-0005-0000-0000-00004E020000}"/>
    <cellStyle name="Comma [0] 10 2 4" xfId="905" xr:uid="{00000000-0005-0000-0000-00004F020000}"/>
    <cellStyle name="Comma [0] 10 2 4 2" xfId="906" xr:uid="{00000000-0005-0000-0000-000050020000}"/>
    <cellStyle name="Comma [0] 10 2 5" xfId="907" xr:uid="{00000000-0005-0000-0000-000051020000}"/>
    <cellStyle name="Comma [0] 10 3" xfId="908" xr:uid="{00000000-0005-0000-0000-000052020000}"/>
    <cellStyle name="Comma [0] 10 3 2" xfId="909" xr:uid="{00000000-0005-0000-0000-000053020000}"/>
    <cellStyle name="Comma [0] 10 3 3" xfId="910" xr:uid="{00000000-0005-0000-0000-000054020000}"/>
    <cellStyle name="Comma [0] 10 4" xfId="911" xr:uid="{00000000-0005-0000-0000-000055020000}"/>
    <cellStyle name="Comma [0] 10 4 2" xfId="912" xr:uid="{00000000-0005-0000-0000-000056020000}"/>
    <cellStyle name="Comma [0] 10 4 3" xfId="913" xr:uid="{00000000-0005-0000-0000-000057020000}"/>
    <cellStyle name="Comma [0] 10 5" xfId="914" xr:uid="{00000000-0005-0000-0000-000058020000}"/>
    <cellStyle name="Comma [0] 10 5 2" xfId="915" xr:uid="{00000000-0005-0000-0000-000059020000}"/>
    <cellStyle name="Comma [0] 10 5 3" xfId="916" xr:uid="{00000000-0005-0000-0000-00005A020000}"/>
    <cellStyle name="Comma [0] 10 6" xfId="917" xr:uid="{00000000-0005-0000-0000-00005B020000}"/>
    <cellStyle name="Comma [0] 10 6 2" xfId="918" xr:uid="{00000000-0005-0000-0000-00005C020000}"/>
    <cellStyle name="Comma [0] 10 6 3" xfId="919" xr:uid="{00000000-0005-0000-0000-00005D020000}"/>
    <cellStyle name="Comma [0] 10 7" xfId="920" xr:uid="{00000000-0005-0000-0000-00005E020000}"/>
    <cellStyle name="Comma [0] 10 7 2" xfId="921" xr:uid="{00000000-0005-0000-0000-00005F020000}"/>
    <cellStyle name="Comma [0] 10 7 3" xfId="922" xr:uid="{00000000-0005-0000-0000-000060020000}"/>
    <cellStyle name="Comma [0] 10 8" xfId="923" xr:uid="{00000000-0005-0000-0000-000061020000}"/>
    <cellStyle name="Comma [0] 11" xfId="72" xr:uid="{00000000-0005-0000-0000-000062020000}"/>
    <cellStyle name="Comma [0] 12" xfId="92" xr:uid="{00000000-0005-0000-0000-000063020000}"/>
    <cellStyle name="Comma [0] 12 2" xfId="325" xr:uid="{00000000-0005-0000-0000-000064020000}"/>
    <cellStyle name="Comma [0] 13" xfId="321" xr:uid="{00000000-0005-0000-0000-000065020000}"/>
    <cellStyle name="Comma [0] 13 2" xfId="924" xr:uid="{00000000-0005-0000-0000-000066020000}"/>
    <cellStyle name="Comma [0] 14" xfId="322" xr:uid="{00000000-0005-0000-0000-000067020000}"/>
    <cellStyle name="Comma [0] 14 2" xfId="925" xr:uid="{00000000-0005-0000-0000-000068020000}"/>
    <cellStyle name="Comma [0] 15" xfId="323" xr:uid="{00000000-0005-0000-0000-000069020000}"/>
    <cellStyle name="Comma [0] 2" xfId="7" xr:uid="{00000000-0005-0000-0000-00006A020000}"/>
    <cellStyle name="Comma [0] 2 10" xfId="73" xr:uid="{00000000-0005-0000-0000-00006B020000}"/>
    <cellStyle name="Comma [0] 2 10 2" xfId="926" xr:uid="{00000000-0005-0000-0000-00006C020000}"/>
    <cellStyle name="Comma [0] 2 11" xfId="93" xr:uid="{00000000-0005-0000-0000-00006D020000}"/>
    <cellStyle name="Comma [0] 2 11 2" xfId="927" xr:uid="{00000000-0005-0000-0000-00006E020000}"/>
    <cellStyle name="Comma [0] 2 11 3" xfId="928" xr:uid="{00000000-0005-0000-0000-00006F020000}"/>
    <cellStyle name="Comma [0] 2 12" xfId="310" xr:uid="{00000000-0005-0000-0000-000070020000}"/>
    <cellStyle name="Comma [0] 2 12 2" xfId="929" xr:uid="{00000000-0005-0000-0000-000071020000}"/>
    <cellStyle name="Comma [0] 2 12 3" xfId="930" xr:uid="{00000000-0005-0000-0000-000072020000}"/>
    <cellStyle name="Comma [0] 2 13" xfId="931" xr:uid="{00000000-0005-0000-0000-000073020000}"/>
    <cellStyle name="Comma [0] 2 13 2" xfId="932" xr:uid="{00000000-0005-0000-0000-000074020000}"/>
    <cellStyle name="Comma [0] 2 14" xfId="933" xr:uid="{00000000-0005-0000-0000-000075020000}"/>
    <cellStyle name="Comma [0] 2 15" xfId="934" xr:uid="{00000000-0005-0000-0000-000076020000}"/>
    <cellStyle name="Comma [0] 2 15 2" xfId="935" xr:uid="{00000000-0005-0000-0000-000077020000}"/>
    <cellStyle name="Comma [0] 2 16" xfId="936" xr:uid="{00000000-0005-0000-0000-000078020000}"/>
    <cellStyle name="Comma [0] 2 17" xfId="937" xr:uid="{00000000-0005-0000-0000-000079020000}"/>
    <cellStyle name="Comma [0] 2 17 2" xfId="938" xr:uid="{00000000-0005-0000-0000-00007A020000}"/>
    <cellStyle name="Comma [0] 2 18" xfId="939" xr:uid="{00000000-0005-0000-0000-00007B020000}"/>
    <cellStyle name="Comma [0] 2 19" xfId="1804" xr:uid="{00000000-0005-0000-0000-00007C020000}"/>
    <cellStyle name="Comma [0] 2 2" xfId="94" xr:uid="{00000000-0005-0000-0000-00007D020000}"/>
    <cellStyle name="Comma [0] 2 2 2" xfId="940" xr:uid="{00000000-0005-0000-0000-00007E020000}"/>
    <cellStyle name="Comma [0] 2 2 3" xfId="941" xr:uid="{00000000-0005-0000-0000-00007F020000}"/>
    <cellStyle name="Comma [0] 2 2 4" xfId="942" xr:uid="{00000000-0005-0000-0000-000080020000}"/>
    <cellStyle name="Comma [0] 2 2 5" xfId="943" xr:uid="{00000000-0005-0000-0000-000081020000}"/>
    <cellStyle name="Comma [0] 2 2 6" xfId="944" xr:uid="{00000000-0005-0000-0000-000082020000}"/>
    <cellStyle name="Comma [0] 2 2 7" xfId="945" xr:uid="{00000000-0005-0000-0000-000083020000}"/>
    <cellStyle name="Comma [0] 2 2 8" xfId="946" xr:uid="{00000000-0005-0000-0000-000084020000}"/>
    <cellStyle name="Comma [0] 2 2 9" xfId="947" xr:uid="{00000000-0005-0000-0000-000085020000}"/>
    <cellStyle name="Comma [0] 2 3" xfId="95" xr:uid="{00000000-0005-0000-0000-000086020000}"/>
    <cellStyle name="Comma [0] 2 3 2" xfId="948" xr:uid="{00000000-0005-0000-0000-000087020000}"/>
    <cellStyle name="Comma [0] 2 4" xfId="96" xr:uid="{00000000-0005-0000-0000-000088020000}"/>
    <cellStyle name="Comma [0] 2 4 2" xfId="949" xr:uid="{00000000-0005-0000-0000-000089020000}"/>
    <cellStyle name="Comma [0] 2 5" xfId="97" xr:uid="{00000000-0005-0000-0000-00008A020000}"/>
    <cellStyle name="Comma [0] 2 5 2" xfId="950" xr:uid="{00000000-0005-0000-0000-00008B020000}"/>
    <cellStyle name="Comma [0] 2 6" xfId="98" xr:uid="{00000000-0005-0000-0000-00008C020000}"/>
    <cellStyle name="Comma [0] 2 6 2" xfId="951" xr:uid="{00000000-0005-0000-0000-00008D020000}"/>
    <cellStyle name="Comma [0] 2 7" xfId="99" xr:uid="{00000000-0005-0000-0000-00008E020000}"/>
    <cellStyle name="Comma [0] 2 7 2" xfId="952" xr:uid="{00000000-0005-0000-0000-00008F020000}"/>
    <cellStyle name="Comma [0] 2 8" xfId="100" xr:uid="{00000000-0005-0000-0000-000090020000}"/>
    <cellStyle name="Comma [0] 2 8 2" xfId="953" xr:uid="{00000000-0005-0000-0000-000091020000}"/>
    <cellStyle name="Comma [0] 2 8 3" xfId="954" xr:uid="{00000000-0005-0000-0000-000092020000}"/>
    <cellStyle name="Comma [0] 2 9" xfId="101" xr:uid="{00000000-0005-0000-0000-000093020000}"/>
    <cellStyle name="Comma [0] 2 9 2" xfId="955" xr:uid="{00000000-0005-0000-0000-000094020000}"/>
    <cellStyle name="Comma [0] 2 9 3" xfId="956" xr:uid="{00000000-0005-0000-0000-000095020000}"/>
    <cellStyle name="Comma [0] 2_Trial Balance Apr11-Mar12 Oil MillA" xfId="957" xr:uid="{00000000-0005-0000-0000-000096020000}"/>
    <cellStyle name="Comma [0] 21" xfId="958" xr:uid="{00000000-0005-0000-0000-000097020000}"/>
    <cellStyle name="Comma [0] 21 2" xfId="959" xr:uid="{00000000-0005-0000-0000-000098020000}"/>
    <cellStyle name="Comma [0] 21 3" xfId="960" xr:uid="{00000000-0005-0000-0000-000099020000}"/>
    <cellStyle name="Comma [0] 3" xfId="27" xr:uid="{00000000-0005-0000-0000-00009A020000}"/>
    <cellStyle name="Comma [0] 3 2" xfId="102" xr:uid="{00000000-0005-0000-0000-00009B020000}"/>
    <cellStyle name="Comma [0] 3 2 2" xfId="961" xr:uid="{00000000-0005-0000-0000-00009C020000}"/>
    <cellStyle name="Comma [0] 3 3" xfId="103" xr:uid="{00000000-0005-0000-0000-00009D020000}"/>
    <cellStyle name="Comma [0] 3 3 2" xfId="962" xr:uid="{00000000-0005-0000-0000-00009E020000}"/>
    <cellStyle name="Comma [0] 3 4" xfId="104" xr:uid="{00000000-0005-0000-0000-00009F020000}"/>
    <cellStyle name="Comma [0] 3 5" xfId="105" xr:uid="{00000000-0005-0000-0000-0000A0020000}"/>
    <cellStyle name="Comma [0] 3 5 2" xfId="106" xr:uid="{00000000-0005-0000-0000-0000A1020000}"/>
    <cellStyle name="Comma [0] 3 6" xfId="107" xr:uid="{00000000-0005-0000-0000-0000A2020000}"/>
    <cellStyle name="Comma [0] 3 6 2" xfId="963" xr:uid="{00000000-0005-0000-0000-0000A3020000}"/>
    <cellStyle name="Comma [0] 3 6 2 2" xfId="964" xr:uid="{00000000-0005-0000-0000-0000A4020000}"/>
    <cellStyle name="Comma [0] 3 6 2 2 2" xfId="965" xr:uid="{00000000-0005-0000-0000-0000A5020000}"/>
    <cellStyle name="Comma [0] 3 6 2 3" xfId="966" xr:uid="{00000000-0005-0000-0000-0000A6020000}"/>
    <cellStyle name="Comma [0] 4" xfId="28" xr:uid="{00000000-0005-0000-0000-0000A7020000}"/>
    <cellStyle name="Comma [0] 4 2" xfId="29" xr:uid="{00000000-0005-0000-0000-0000A8020000}"/>
    <cellStyle name="Comma [0] 4 2 2" xfId="967" xr:uid="{00000000-0005-0000-0000-0000A9020000}"/>
    <cellStyle name="Comma [0] 4 3" xfId="69" xr:uid="{00000000-0005-0000-0000-0000AA020000}"/>
    <cellStyle name="Comma [0] 4 3 2" xfId="968" xr:uid="{00000000-0005-0000-0000-0000AB020000}"/>
    <cellStyle name="Comma [0] 4 4" xfId="326" xr:uid="{00000000-0005-0000-0000-0000AC020000}"/>
    <cellStyle name="Comma [0] 4 4 2" xfId="969" xr:uid="{00000000-0005-0000-0000-0000AD020000}"/>
    <cellStyle name="Comma [0] 4 4 3" xfId="970" xr:uid="{00000000-0005-0000-0000-0000AE020000}"/>
    <cellStyle name="Comma [0] 4 5" xfId="971" xr:uid="{00000000-0005-0000-0000-0000AF020000}"/>
    <cellStyle name="Comma [0] 4 6" xfId="972" xr:uid="{00000000-0005-0000-0000-0000B0020000}"/>
    <cellStyle name="Comma [0] 4 7" xfId="327" xr:uid="{00000000-0005-0000-0000-0000B1020000}"/>
    <cellStyle name="Comma [0] 4 8" xfId="973" xr:uid="{00000000-0005-0000-0000-0000B2020000}"/>
    <cellStyle name="Comma [0] 4 8 2" xfId="974" xr:uid="{00000000-0005-0000-0000-0000B3020000}"/>
    <cellStyle name="Comma [0] 4 8 3" xfId="975" xr:uid="{00000000-0005-0000-0000-0000B4020000}"/>
    <cellStyle name="Comma [0] 5" xfId="30" xr:uid="{00000000-0005-0000-0000-0000B5020000}"/>
    <cellStyle name="Comma [0] 5 2" xfId="31" xr:uid="{00000000-0005-0000-0000-0000B6020000}"/>
    <cellStyle name="Comma [0] 5 2 2" xfId="108" xr:uid="{00000000-0005-0000-0000-0000B7020000}"/>
    <cellStyle name="Comma [0] 5 2 3" xfId="976" xr:uid="{00000000-0005-0000-0000-0000B8020000}"/>
    <cellStyle name="Comma [0] 5 2 3 2" xfId="977" xr:uid="{00000000-0005-0000-0000-0000B9020000}"/>
    <cellStyle name="Comma [0] 5 3" xfId="109" xr:uid="{00000000-0005-0000-0000-0000BA020000}"/>
    <cellStyle name="Comma [0] 5 4" xfId="110" xr:uid="{00000000-0005-0000-0000-0000BB020000}"/>
    <cellStyle name="Comma [0] 5 5" xfId="978" xr:uid="{00000000-0005-0000-0000-0000BC020000}"/>
    <cellStyle name="Comma [0] 5 6" xfId="979" xr:uid="{00000000-0005-0000-0000-0000BD020000}"/>
    <cellStyle name="Comma [0] 5 7" xfId="980" xr:uid="{00000000-0005-0000-0000-0000BE020000}"/>
    <cellStyle name="Comma [0] 6" xfId="32" xr:uid="{00000000-0005-0000-0000-0000BF020000}"/>
    <cellStyle name="Comma [0] 6 2" xfId="111" xr:uid="{00000000-0005-0000-0000-0000C0020000}"/>
    <cellStyle name="Comma [0] 6 2 2" xfId="112" xr:uid="{00000000-0005-0000-0000-0000C1020000}"/>
    <cellStyle name="Comma [0] 6 2 3" xfId="113" xr:uid="{00000000-0005-0000-0000-0000C2020000}"/>
    <cellStyle name="Comma [0] 6 2 4" xfId="114" xr:uid="{00000000-0005-0000-0000-0000C3020000}"/>
    <cellStyle name="Comma [0] 6 2 5" xfId="115" xr:uid="{00000000-0005-0000-0000-0000C4020000}"/>
    <cellStyle name="Comma [0] 6 3" xfId="116" xr:uid="{00000000-0005-0000-0000-0000C5020000}"/>
    <cellStyle name="Comma [0] 6 4" xfId="117" xr:uid="{00000000-0005-0000-0000-0000C6020000}"/>
    <cellStyle name="Comma [0] 6 5" xfId="981" xr:uid="{00000000-0005-0000-0000-0000C7020000}"/>
    <cellStyle name="Comma [0] 7" xfId="60" xr:uid="{00000000-0005-0000-0000-0000C8020000}"/>
    <cellStyle name="Comma [0] 7 2" xfId="118" xr:uid="{00000000-0005-0000-0000-0000C9020000}"/>
    <cellStyle name="Comma [0] 7 2 2" xfId="982" xr:uid="{00000000-0005-0000-0000-0000CA020000}"/>
    <cellStyle name="Comma [0] 7 3" xfId="983" xr:uid="{00000000-0005-0000-0000-0000CB020000}"/>
    <cellStyle name="Comma [0] 7 4" xfId="984" xr:uid="{00000000-0005-0000-0000-0000CC020000}"/>
    <cellStyle name="Comma [0] 8" xfId="119" xr:uid="{00000000-0005-0000-0000-0000CD020000}"/>
    <cellStyle name="Comma [0] 8 2" xfId="120" xr:uid="{00000000-0005-0000-0000-0000CE020000}"/>
    <cellStyle name="Comma [0] 9" xfId="121" xr:uid="{00000000-0005-0000-0000-0000CF020000}"/>
    <cellStyle name="Comma [0] 9 2" xfId="985" xr:uid="{00000000-0005-0000-0000-0000D0020000}"/>
    <cellStyle name="Comma [00]" xfId="122" xr:uid="{00000000-0005-0000-0000-0000D1020000}"/>
    <cellStyle name="Comma 10" xfId="57" xr:uid="{00000000-0005-0000-0000-0000D2020000}"/>
    <cellStyle name="Comma 10 10" xfId="986" xr:uid="{00000000-0005-0000-0000-0000D3020000}"/>
    <cellStyle name="Comma 10 10 2" xfId="987" xr:uid="{00000000-0005-0000-0000-0000D4020000}"/>
    <cellStyle name="Comma 10 10 3" xfId="988" xr:uid="{00000000-0005-0000-0000-0000D5020000}"/>
    <cellStyle name="Comma 10 11" xfId="989" xr:uid="{00000000-0005-0000-0000-0000D6020000}"/>
    <cellStyle name="Comma 10 11 2" xfId="990" xr:uid="{00000000-0005-0000-0000-0000D7020000}"/>
    <cellStyle name="Comma 10 11 3" xfId="991" xr:uid="{00000000-0005-0000-0000-0000D8020000}"/>
    <cellStyle name="Comma 10 12" xfId="992" xr:uid="{00000000-0005-0000-0000-0000D9020000}"/>
    <cellStyle name="Comma 10 12 2" xfId="993" xr:uid="{00000000-0005-0000-0000-0000DA020000}"/>
    <cellStyle name="Comma 10 12 3" xfId="994" xr:uid="{00000000-0005-0000-0000-0000DB020000}"/>
    <cellStyle name="Comma 10 13" xfId="995" xr:uid="{00000000-0005-0000-0000-0000DC020000}"/>
    <cellStyle name="Comma 10 13 2" xfId="996" xr:uid="{00000000-0005-0000-0000-0000DD020000}"/>
    <cellStyle name="Comma 10 13 3" xfId="997" xr:uid="{00000000-0005-0000-0000-0000DE020000}"/>
    <cellStyle name="Comma 10 14" xfId="998" xr:uid="{00000000-0005-0000-0000-0000DF020000}"/>
    <cellStyle name="Comma 10 14 2" xfId="999" xr:uid="{00000000-0005-0000-0000-0000E0020000}"/>
    <cellStyle name="Comma 10 14 3" xfId="1000" xr:uid="{00000000-0005-0000-0000-0000E1020000}"/>
    <cellStyle name="Comma 10 15" xfId="1001" xr:uid="{00000000-0005-0000-0000-0000E2020000}"/>
    <cellStyle name="Comma 10 15 2" xfId="1002" xr:uid="{00000000-0005-0000-0000-0000E3020000}"/>
    <cellStyle name="Comma 10 15 3" xfId="1003" xr:uid="{00000000-0005-0000-0000-0000E4020000}"/>
    <cellStyle name="Comma 10 16" xfId="1004" xr:uid="{00000000-0005-0000-0000-0000E5020000}"/>
    <cellStyle name="Comma 10 17" xfId="1005" xr:uid="{00000000-0005-0000-0000-0000E6020000}"/>
    <cellStyle name="Comma 10 2" xfId="1006" xr:uid="{00000000-0005-0000-0000-0000E7020000}"/>
    <cellStyle name="Comma 10 2 2" xfId="1007" xr:uid="{00000000-0005-0000-0000-0000E8020000}"/>
    <cellStyle name="Comma 10 2 3" xfId="1008" xr:uid="{00000000-0005-0000-0000-0000E9020000}"/>
    <cellStyle name="Comma 10 3" xfId="1009" xr:uid="{00000000-0005-0000-0000-0000EA020000}"/>
    <cellStyle name="Comma 10 3 2" xfId="1010" xr:uid="{00000000-0005-0000-0000-0000EB020000}"/>
    <cellStyle name="Comma 10 3 3" xfId="1011" xr:uid="{00000000-0005-0000-0000-0000EC020000}"/>
    <cellStyle name="Comma 10 4" xfId="1012" xr:uid="{00000000-0005-0000-0000-0000ED020000}"/>
    <cellStyle name="Comma 10 4 2" xfId="1013" xr:uid="{00000000-0005-0000-0000-0000EE020000}"/>
    <cellStyle name="Comma 10 4 3" xfId="1014" xr:uid="{00000000-0005-0000-0000-0000EF020000}"/>
    <cellStyle name="Comma 10 5" xfId="1015" xr:uid="{00000000-0005-0000-0000-0000F0020000}"/>
    <cellStyle name="Comma 10 5 2" xfId="1016" xr:uid="{00000000-0005-0000-0000-0000F1020000}"/>
    <cellStyle name="Comma 10 5 3" xfId="1017" xr:uid="{00000000-0005-0000-0000-0000F2020000}"/>
    <cellStyle name="Comma 10 6" xfId="1018" xr:uid="{00000000-0005-0000-0000-0000F3020000}"/>
    <cellStyle name="Comma 10 6 2" xfId="1019" xr:uid="{00000000-0005-0000-0000-0000F4020000}"/>
    <cellStyle name="Comma 10 6 3" xfId="1020" xr:uid="{00000000-0005-0000-0000-0000F5020000}"/>
    <cellStyle name="Comma 10 7" xfId="1021" xr:uid="{00000000-0005-0000-0000-0000F6020000}"/>
    <cellStyle name="Comma 10 7 2" xfId="1022" xr:uid="{00000000-0005-0000-0000-0000F7020000}"/>
    <cellStyle name="Comma 10 7 3" xfId="1023" xr:uid="{00000000-0005-0000-0000-0000F8020000}"/>
    <cellStyle name="Comma 10 8" xfId="1024" xr:uid="{00000000-0005-0000-0000-0000F9020000}"/>
    <cellStyle name="Comma 10 8 2" xfId="1025" xr:uid="{00000000-0005-0000-0000-0000FA020000}"/>
    <cellStyle name="Comma 10 8 3" xfId="1026" xr:uid="{00000000-0005-0000-0000-0000FB020000}"/>
    <cellStyle name="Comma 10 9" xfId="1027" xr:uid="{00000000-0005-0000-0000-0000FC020000}"/>
    <cellStyle name="Comma 10 9 2" xfId="1028" xr:uid="{00000000-0005-0000-0000-0000FD020000}"/>
    <cellStyle name="Comma 10 9 3" xfId="1029" xr:uid="{00000000-0005-0000-0000-0000FE020000}"/>
    <cellStyle name="Comma 11" xfId="77" xr:uid="{00000000-0005-0000-0000-0000FF020000}"/>
    <cellStyle name="Comma 11 10" xfId="1030" xr:uid="{00000000-0005-0000-0000-000000030000}"/>
    <cellStyle name="Comma 11 10 2" xfId="1031" xr:uid="{00000000-0005-0000-0000-000001030000}"/>
    <cellStyle name="Comma 11 10 3" xfId="1032" xr:uid="{00000000-0005-0000-0000-000002030000}"/>
    <cellStyle name="Comma 11 11" xfId="1033" xr:uid="{00000000-0005-0000-0000-000003030000}"/>
    <cellStyle name="Comma 11 11 2" xfId="1034" xr:uid="{00000000-0005-0000-0000-000004030000}"/>
    <cellStyle name="Comma 11 11 3" xfId="1035" xr:uid="{00000000-0005-0000-0000-000005030000}"/>
    <cellStyle name="Comma 11 12" xfId="1036" xr:uid="{00000000-0005-0000-0000-000006030000}"/>
    <cellStyle name="Comma 11 12 2" xfId="1037" xr:uid="{00000000-0005-0000-0000-000007030000}"/>
    <cellStyle name="Comma 11 12 3" xfId="1038" xr:uid="{00000000-0005-0000-0000-000008030000}"/>
    <cellStyle name="Comma 11 13" xfId="1039" xr:uid="{00000000-0005-0000-0000-000009030000}"/>
    <cellStyle name="Comma 11 13 2" xfId="1040" xr:uid="{00000000-0005-0000-0000-00000A030000}"/>
    <cellStyle name="Comma 11 13 3" xfId="1041" xr:uid="{00000000-0005-0000-0000-00000B030000}"/>
    <cellStyle name="Comma 11 14" xfId="1042" xr:uid="{00000000-0005-0000-0000-00000C030000}"/>
    <cellStyle name="Comma 11 14 2" xfId="1043" xr:uid="{00000000-0005-0000-0000-00000D030000}"/>
    <cellStyle name="Comma 11 14 3" xfId="1044" xr:uid="{00000000-0005-0000-0000-00000E030000}"/>
    <cellStyle name="Comma 11 15" xfId="1045" xr:uid="{00000000-0005-0000-0000-00000F030000}"/>
    <cellStyle name="Comma 11 15 2" xfId="1046" xr:uid="{00000000-0005-0000-0000-000010030000}"/>
    <cellStyle name="Comma 11 15 3" xfId="1047" xr:uid="{00000000-0005-0000-0000-000011030000}"/>
    <cellStyle name="Comma 11 16" xfId="1048" xr:uid="{00000000-0005-0000-0000-000012030000}"/>
    <cellStyle name="Comma 11 17" xfId="1049" xr:uid="{00000000-0005-0000-0000-000013030000}"/>
    <cellStyle name="Comma 11 18" xfId="1050" xr:uid="{00000000-0005-0000-0000-000014030000}"/>
    <cellStyle name="Comma 11 2" xfId="123" xr:uid="{00000000-0005-0000-0000-000015030000}"/>
    <cellStyle name="Comma 11 2 2" xfId="1051" xr:uid="{00000000-0005-0000-0000-000016030000}"/>
    <cellStyle name="Comma 11 2 3" xfId="1052" xr:uid="{00000000-0005-0000-0000-000017030000}"/>
    <cellStyle name="Comma 11 2 4" xfId="1053" xr:uid="{00000000-0005-0000-0000-000018030000}"/>
    <cellStyle name="Comma 11 3" xfId="1054" xr:uid="{00000000-0005-0000-0000-000019030000}"/>
    <cellStyle name="Comma 11 3 2" xfId="1055" xr:uid="{00000000-0005-0000-0000-00001A030000}"/>
    <cellStyle name="Comma 11 3 3" xfId="1056" xr:uid="{00000000-0005-0000-0000-00001B030000}"/>
    <cellStyle name="Comma 11 4" xfId="1057" xr:uid="{00000000-0005-0000-0000-00001C030000}"/>
    <cellStyle name="Comma 11 4 2" xfId="1058" xr:uid="{00000000-0005-0000-0000-00001D030000}"/>
    <cellStyle name="Comma 11 4 3" xfId="1059" xr:uid="{00000000-0005-0000-0000-00001E030000}"/>
    <cellStyle name="Comma 11 5" xfId="1060" xr:uid="{00000000-0005-0000-0000-00001F030000}"/>
    <cellStyle name="Comma 11 5 2" xfId="1061" xr:uid="{00000000-0005-0000-0000-000020030000}"/>
    <cellStyle name="Comma 11 5 3" xfId="1062" xr:uid="{00000000-0005-0000-0000-000021030000}"/>
    <cellStyle name="Comma 11 6" xfId="1063" xr:uid="{00000000-0005-0000-0000-000022030000}"/>
    <cellStyle name="Comma 11 6 2" xfId="1064" xr:uid="{00000000-0005-0000-0000-000023030000}"/>
    <cellStyle name="Comma 11 6 3" xfId="1065" xr:uid="{00000000-0005-0000-0000-000024030000}"/>
    <cellStyle name="Comma 11 7" xfId="1066" xr:uid="{00000000-0005-0000-0000-000025030000}"/>
    <cellStyle name="Comma 11 7 2" xfId="1067" xr:uid="{00000000-0005-0000-0000-000026030000}"/>
    <cellStyle name="Comma 11 7 3" xfId="1068" xr:uid="{00000000-0005-0000-0000-000027030000}"/>
    <cellStyle name="Comma 11 8" xfId="1069" xr:uid="{00000000-0005-0000-0000-000028030000}"/>
    <cellStyle name="Comma 11 8 2" xfId="1070" xr:uid="{00000000-0005-0000-0000-000029030000}"/>
    <cellStyle name="Comma 11 8 3" xfId="1071" xr:uid="{00000000-0005-0000-0000-00002A030000}"/>
    <cellStyle name="Comma 11 9" xfId="1072" xr:uid="{00000000-0005-0000-0000-00002B030000}"/>
    <cellStyle name="Comma 11 9 2" xfId="1073" xr:uid="{00000000-0005-0000-0000-00002C030000}"/>
    <cellStyle name="Comma 11 9 3" xfId="1074" xr:uid="{00000000-0005-0000-0000-00002D030000}"/>
    <cellStyle name="Comma 12" xfId="124" xr:uid="{00000000-0005-0000-0000-00002E030000}"/>
    <cellStyle name="Comma 12 10" xfId="1075" xr:uid="{00000000-0005-0000-0000-00002F030000}"/>
    <cellStyle name="Comma 12 10 2" xfId="1076" xr:uid="{00000000-0005-0000-0000-000030030000}"/>
    <cellStyle name="Comma 12 10 3" xfId="1077" xr:uid="{00000000-0005-0000-0000-000031030000}"/>
    <cellStyle name="Comma 12 11" xfId="1078" xr:uid="{00000000-0005-0000-0000-000032030000}"/>
    <cellStyle name="Comma 12 11 2" xfId="1079" xr:uid="{00000000-0005-0000-0000-000033030000}"/>
    <cellStyle name="Comma 12 11 3" xfId="1080" xr:uid="{00000000-0005-0000-0000-000034030000}"/>
    <cellStyle name="Comma 12 12" xfId="1081" xr:uid="{00000000-0005-0000-0000-000035030000}"/>
    <cellStyle name="Comma 12 12 2" xfId="1082" xr:uid="{00000000-0005-0000-0000-000036030000}"/>
    <cellStyle name="Comma 12 12 3" xfId="1083" xr:uid="{00000000-0005-0000-0000-000037030000}"/>
    <cellStyle name="Comma 12 13" xfId="1084" xr:uid="{00000000-0005-0000-0000-000038030000}"/>
    <cellStyle name="Comma 12 13 2" xfId="1085" xr:uid="{00000000-0005-0000-0000-000039030000}"/>
    <cellStyle name="Comma 12 13 3" xfId="1086" xr:uid="{00000000-0005-0000-0000-00003A030000}"/>
    <cellStyle name="Comma 12 14" xfId="1087" xr:uid="{00000000-0005-0000-0000-00003B030000}"/>
    <cellStyle name="Comma 12 14 2" xfId="1088" xr:uid="{00000000-0005-0000-0000-00003C030000}"/>
    <cellStyle name="Comma 12 14 3" xfId="1089" xr:uid="{00000000-0005-0000-0000-00003D030000}"/>
    <cellStyle name="Comma 12 15" xfId="1090" xr:uid="{00000000-0005-0000-0000-00003E030000}"/>
    <cellStyle name="Comma 12 15 2" xfId="1091" xr:uid="{00000000-0005-0000-0000-00003F030000}"/>
    <cellStyle name="Comma 12 15 3" xfId="1092" xr:uid="{00000000-0005-0000-0000-000040030000}"/>
    <cellStyle name="Comma 12 16" xfId="1093" xr:uid="{00000000-0005-0000-0000-000041030000}"/>
    <cellStyle name="Comma 12 17" xfId="1094" xr:uid="{00000000-0005-0000-0000-000042030000}"/>
    <cellStyle name="Comma 12 18" xfId="1095" xr:uid="{00000000-0005-0000-0000-000043030000}"/>
    <cellStyle name="Comma 12 2" xfId="125" xr:uid="{00000000-0005-0000-0000-000044030000}"/>
    <cellStyle name="Comma 12 2 2" xfId="1096" xr:uid="{00000000-0005-0000-0000-000045030000}"/>
    <cellStyle name="Comma 12 2 3" xfId="1097" xr:uid="{00000000-0005-0000-0000-000046030000}"/>
    <cellStyle name="Comma 12 2 4" xfId="1098" xr:uid="{00000000-0005-0000-0000-000047030000}"/>
    <cellStyle name="Comma 12 3" xfId="1099" xr:uid="{00000000-0005-0000-0000-000048030000}"/>
    <cellStyle name="Comma 12 3 2" xfId="1100" xr:uid="{00000000-0005-0000-0000-000049030000}"/>
    <cellStyle name="Comma 12 3 3" xfId="1101" xr:uid="{00000000-0005-0000-0000-00004A030000}"/>
    <cellStyle name="Comma 12 4" xfId="1102" xr:uid="{00000000-0005-0000-0000-00004B030000}"/>
    <cellStyle name="Comma 12 4 2" xfId="1103" xr:uid="{00000000-0005-0000-0000-00004C030000}"/>
    <cellStyle name="Comma 12 4 3" xfId="1104" xr:uid="{00000000-0005-0000-0000-00004D030000}"/>
    <cellStyle name="Comma 12 5" xfId="1105" xr:uid="{00000000-0005-0000-0000-00004E030000}"/>
    <cellStyle name="Comma 12 5 2" xfId="1106" xr:uid="{00000000-0005-0000-0000-00004F030000}"/>
    <cellStyle name="Comma 12 5 3" xfId="1107" xr:uid="{00000000-0005-0000-0000-000050030000}"/>
    <cellStyle name="Comma 12 6" xfId="1108" xr:uid="{00000000-0005-0000-0000-000051030000}"/>
    <cellStyle name="Comma 12 6 2" xfId="1109" xr:uid="{00000000-0005-0000-0000-000052030000}"/>
    <cellStyle name="Comma 12 6 3" xfId="1110" xr:uid="{00000000-0005-0000-0000-000053030000}"/>
    <cellStyle name="Comma 12 7" xfId="1111" xr:uid="{00000000-0005-0000-0000-000054030000}"/>
    <cellStyle name="Comma 12 7 2" xfId="1112" xr:uid="{00000000-0005-0000-0000-000055030000}"/>
    <cellStyle name="Comma 12 7 3" xfId="1113" xr:uid="{00000000-0005-0000-0000-000056030000}"/>
    <cellStyle name="Comma 12 8" xfId="1114" xr:uid="{00000000-0005-0000-0000-000057030000}"/>
    <cellStyle name="Comma 12 8 2" xfId="1115" xr:uid="{00000000-0005-0000-0000-000058030000}"/>
    <cellStyle name="Comma 12 8 3" xfId="1116" xr:uid="{00000000-0005-0000-0000-000059030000}"/>
    <cellStyle name="Comma 12 9" xfId="1117" xr:uid="{00000000-0005-0000-0000-00005A030000}"/>
    <cellStyle name="Comma 12 9 2" xfId="1118" xr:uid="{00000000-0005-0000-0000-00005B030000}"/>
    <cellStyle name="Comma 12 9 3" xfId="1119" xr:uid="{00000000-0005-0000-0000-00005C030000}"/>
    <cellStyle name="Comma 13" xfId="126" xr:uid="{00000000-0005-0000-0000-00005D030000}"/>
    <cellStyle name="Comma 13 2" xfId="1120" xr:uid="{00000000-0005-0000-0000-00005E030000}"/>
    <cellStyle name="Comma 14" xfId="127" xr:uid="{00000000-0005-0000-0000-00005F030000}"/>
    <cellStyle name="Comma 14 2" xfId="128" xr:uid="{00000000-0005-0000-0000-000060030000}"/>
    <cellStyle name="Comma 14 3" xfId="1121" xr:uid="{00000000-0005-0000-0000-000061030000}"/>
    <cellStyle name="Comma 15" xfId="129" xr:uid="{00000000-0005-0000-0000-000062030000}"/>
    <cellStyle name="Comma 15 2" xfId="130" xr:uid="{00000000-0005-0000-0000-000063030000}"/>
    <cellStyle name="Comma 15 3" xfId="1122" xr:uid="{00000000-0005-0000-0000-000064030000}"/>
    <cellStyle name="Comma 16" xfId="131" xr:uid="{00000000-0005-0000-0000-000065030000}"/>
    <cellStyle name="Comma 16 2" xfId="132" xr:uid="{00000000-0005-0000-0000-000066030000}"/>
    <cellStyle name="Comma 16 3" xfId="1123" xr:uid="{00000000-0005-0000-0000-000067030000}"/>
    <cellStyle name="Comma 17" xfId="133" xr:uid="{00000000-0005-0000-0000-000068030000}"/>
    <cellStyle name="Comma 17 2" xfId="134" xr:uid="{00000000-0005-0000-0000-000069030000}"/>
    <cellStyle name="Comma 17 3" xfId="1124" xr:uid="{00000000-0005-0000-0000-00006A030000}"/>
    <cellStyle name="Comma 17 4" xfId="1805" xr:uid="{00000000-0005-0000-0000-00006B030000}"/>
    <cellStyle name="Comma 17 5" xfId="1806" xr:uid="{00000000-0005-0000-0000-00006C030000}"/>
    <cellStyle name="Comma 17 6" xfId="1807" xr:uid="{00000000-0005-0000-0000-00006D030000}"/>
    <cellStyle name="Comma 18" xfId="135" xr:uid="{00000000-0005-0000-0000-00006E030000}"/>
    <cellStyle name="Comma 18 2" xfId="136" xr:uid="{00000000-0005-0000-0000-00006F030000}"/>
    <cellStyle name="Comma 18 2 2" xfId="1125" xr:uid="{00000000-0005-0000-0000-000070030000}"/>
    <cellStyle name="Comma 18 2 3" xfId="1126" xr:uid="{00000000-0005-0000-0000-000071030000}"/>
    <cellStyle name="Comma 18 2 4" xfId="1127" xr:uid="{00000000-0005-0000-0000-000072030000}"/>
    <cellStyle name="Comma 18 3" xfId="1128" xr:uid="{00000000-0005-0000-0000-000073030000}"/>
    <cellStyle name="Comma 19" xfId="137" xr:uid="{00000000-0005-0000-0000-000074030000}"/>
    <cellStyle name="Comma 19 2" xfId="138" xr:uid="{00000000-0005-0000-0000-000075030000}"/>
    <cellStyle name="Comma 19 2 2" xfId="1129" xr:uid="{00000000-0005-0000-0000-000076030000}"/>
    <cellStyle name="Comma 19 2 3" xfId="1130" xr:uid="{00000000-0005-0000-0000-000077030000}"/>
    <cellStyle name="Comma 19 2 4" xfId="1131" xr:uid="{00000000-0005-0000-0000-000078030000}"/>
    <cellStyle name="Comma 19 3" xfId="1132" xr:uid="{00000000-0005-0000-0000-000079030000}"/>
    <cellStyle name="Comma 2" xfId="5" xr:uid="{00000000-0005-0000-0000-00007A030000}"/>
    <cellStyle name="Comma 2 10" xfId="1133" xr:uid="{00000000-0005-0000-0000-00007B030000}"/>
    <cellStyle name="Comma 2 11" xfId="1134" xr:uid="{00000000-0005-0000-0000-00007C030000}"/>
    <cellStyle name="Comma 2 11 2" xfId="1135" xr:uid="{00000000-0005-0000-0000-00007D030000}"/>
    <cellStyle name="Comma 2 12" xfId="1136" xr:uid="{00000000-0005-0000-0000-00007E030000}"/>
    <cellStyle name="Comma 2 12 2" xfId="1137" xr:uid="{00000000-0005-0000-0000-00007F030000}"/>
    <cellStyle name="Comma 2 13" xfId="1138" xr:uid="{00000000-0005-0000-0000-000080030000}"/>
    <cellStyle name="Comma 2 13 2" xfId="1139" xr:uid="{00000000-0005-0000-0000-000081030000}"/>
    <cellStyle name="Comma 2 14" xfId="1140" xr:uid="{00000000-0005-0000-0000-000082030000}"/>
    <cellStyle name="Comma 2 14 2" xfId="1141" xr:uid="{00000000-0005-0000-0000-000083030000}"/>
    <cellStyle name="Comma 2 15" xfId="1142" xr:uid="{00000000-0005-0000-0000-000084030000}"/>
    <cellStyle name="Comma 2 15 2" xfId="1143" xr:uid="{00000000-0005-0000-0000-000085030000}"/>
    <cellStyle name="Comma 2 16" xfId="1144" xr:uid="{00000000-0005-0000-0000-000086030000}"/>
    <cellStyle name="Comma 2 16 2" xfId="1145" xr:uid="{00000000-0005-0000-0000-000087030000}"/>
    <cellStyle name="Comma 2 17" xfId="1146" xr:uid="{00000000-0005-0000-0000-000088030000}"/>
    <cellStyle name="Comma 2 17 2" xfId="1147" xr:uid="{00000000-0005-0000-0000-000089030000}"/>
    <cellStyle name="Comma 2 18" xfId="1148" xr:uid="{00000000-0005-0000-0000-00008A030000}"/>
    <cellStyle name="Comma 2 18 2" xfId="1149" xr:uid="{00000000-0005-0000-0000-00008B030000}"/>
    <cellStyle name="Comma 2 19" xfId="1150" xr:uid="{00000000-0005-0000-0000-00008C030000}"/>
    <cellStyle name="Comma 2 19 2" xfId="1151" xr:uid="{00000000-0005-0000-0000-00008D030000}"/>
    <cellStyle name="Comma 2 2" xfId="10" xr:uid="{00000000-0005-0000-0000-00008E030000}"/>
    <cellStyle name="Comma 2 2 10" xfId="1152" xr:uid="{00000000-0005-0000-0000-00008F030000}"/>
    <cellStyle name="Comma 2 2 11" xfId="1153" xr:uid="{00000000-0005-0000-0000-000090030000}"/>
    <cellStyle name="Comma 2 2 12" xfId="1154" xr:uid="{00000000-0005-0000-0000-000091030000}"/>
    <cellStyle name="Comma 2 2 13" xfId="1155" xr:uid="{00000000-0005-0000-0000-000092030000}"/>
    <cellStyle name="Comma 2 2 14" xfId="1156" xr:uid="{00000000-0005-0000-0000-000093030000}"/>
    <cellStyle name="Comma 2 2 15" xfId="1157" xr:uid="{00000000-0005-0000-0000-000094030000}"/>
    <cellStyle name="Comma 2 2 16" xfId="1158" xr:uid="{00000000-0005-0000-0000-000095030000}"/>
    <cellStyle name="Comma 2 2 2" xfId="139" xr:uid="{00000000-0005-0000-0000-000096030000}"/>
    <cellStyle name="Comma 2 2 2 2" xfId="1159" xr:uid="{00000000-0005-0000-0000-000097030000}"/>
    <cellStyle name="Comma 2 2 3" xfId="1160" xr:uid="{00000000-0005-0000-0000-000098030000}"/>
    <cellStyle name="Comma 2 2 3 2" xfId="1161" xr:uid="{00000000-0005-0000-0000-000099030000}"/>
    <cellStyle name="Comma 2 2 4" xfId="1162" xr:uid="{00000000-0005-0000-0000-00009A030000}"/>
    <cellStyle name="Comma 2 2 4 2" xfId="1808" xr:uid="{00000000-0005-0000-0000-00009B030000}"/>
    <cellStyle name="Comma 2 2 5" xfId="1163" xr:uid="{00000000-0005-0000-0000-00009C030000}"/>
    <cellStyle name="Comma 2 2 6" xfId="1164" xr:uid="{00000000-0005-0000-0000-00009D030000}"/>
    <cellStyle name="Comma 2 2 7" xfId="1165" xr:uid="{00000000-0005-0000-0000-00009E030000}"/>
    <cellStyle name="Comma 2 2 8" xfId="1166" xr:uid="{00000000-0005-0000-0000-00009F030000}"/>
    <cellStyle name="Comma 2 2 9" xfId="1167" xr:uid="{00000000-0005-0000-0000-0000A0030000}"/>
    <cellStyle name="Comma 2 20" xfId="1168" xr:uid="{00000000-0005-0000-0000-0000A1030000}"/>
    <cellStyle name="Comma 2 3" xfId="33" xr:uid="{00000000-0005-0000-0000-0000A2030000}"/>
    <cellStyle name="Comma 2 3 2" xfId="140" xr:uid="{00000000-0005-0000-0000-0000A3030000}"/>
    <cellStyle name="Comma 2 3 2 2" xfId="1169" xr:uid="{00000000-0005-0000-0000-0000A4030000}"/>
    <cellStyle name="Comma 2 3 3" xfId="1170" xr:uid="{00000000-0005-0000-0000-0000A5030000}"/>
    <cellStyle name="Comma 2 4" xfId="34" xr:uid="{00000000-0005-0000-0000-0000A6030000}"/>
    <cellStyle name="Comma 2 4 2" xfId="141" xr:uid="{00000000-0005-0000-0000-0000A7030000}"/>
    <cellStyle name="Comma 2 5" xfId="142" xr:uid="{00000000-0005-0000-0000-0000A8030000}"/>
    <cellStyle name="Comma 2 5 2" xfId="1171" xr:uid="{00000000-0005-0000-0000-0000A9030000}"/>
    <cellStyle name="Comma 2 5 3" xfId="1809" xr:uid="{00000000-0005-0000-0000-0000AA030000}"/>
    <cellStyle name="Comma 2 6" xfId="143" xr:uid="{00000000-0005-0000-0000-0000AB030000}"/>
    <cellStyle name="Comma 2 6 2" xfId="1172" xr:uid="{00000000-0005-0000-0000-0000AC030000}"/>
    <cellStyle name="Comma 2 6 2 2" xfId="144" xr:uid="{00000000-0005-0000-0000-0000AD030000}"/>
    <cellStyle name="Comma 2 6 2 2 2" xfId="145" xr:uid="{00000000-0005-0000-0000-0000AE030000}"/>
    <cellStyle name="Comma 2 6 2 2 2 2" xfId="1173" xr:uid="{00000000-0005-0000-0000-0000AF030000}"/>
    <cellStyle name="Comma 2 6 2 2 3" xfId="1174" xr:uid="{00000000-0005-0000-0000-0000B0030000}"/>
    <cellStyle name="Comma 2 6 2 2 3 2" xfId="1175" xr:uid="{00000000-0005-0000-0000-0000B1030000}"/>
    <cellStyle name="Comma 2 6 2 2 4" xfId="1176" xr:uid="{00000000-0005-0000-0000-0000B2030000}"/>
    <cellStyle name="Comma 2 6 2 2 4 2" xfId="1177" xr:uid="{00000000-0005-0000-0000-0000B3030000}"/>
    <cellStyle name="Comma 2 6 2 2 4 2 2" xfId="1178" xr:uid="{00000000-0005-0000-0000-0000B4030000}"/>
    <cellStyle name="Comma 2 6 2 2 4 3" xfId="146" xr:uid="{00000000-0005-0000-0000-0000B5030000}"/>
    <cellStyle name="Comma 2 6 2 2 4 3 2" xfId="147" xr:uid="{00000000-0005-0000-0000-0000B6030000}"/>
    <cellStyle name="Comma 2 6 2 2 4 3 3" xfId="1179" xr:uid="{00000000-0005-0000-0000-0000B7030000}"/>
    <cellStyle name="Comma 2 6 2 2 4 4" xfId="1180" xr:uid="{00000000-0005-0000-0000-0000B8030000}"/>
    <cellStyle name="Comma 2 6 2 2 5" xfId="1181" xr:uid="{00000000-0005-0000-0000-0000B9030000}"/>
    <cellStyle name="Comma 2 6 2 3" xfId="1182" xr:uid="{00000000-0005-0000-0000-0000BA030000}"/>
    <cellStyle name="Comma 2 6 3" xfId="1183" xr:uid="{00000000-0005-0000-0000-0000BB030000}"/>
    <cellStyle name="Comma 2 6 3 2" xfId="1184" xr:uid="{00000000-0005-0000-0000-0000BC030000}"/>
    <cellStyle name="Comma 2 6 4" xfId="1185" xr:uid="{00000000-0005-0000-0000-0000BD030000}"/>
    <cellStyle name="Comma 2 7" xfId="148" xr:uid="{00000000-0005-0000-0000-0000BE030000}"/>
    <cellStyle name="Comma 2 7 2" xfId="1186" xr:uid="{00000000-0005-0000-0000-0000BF030000}"/>
    <cellStyle name="Comma 2 8" xfId="149" xr:uid="{00000000-0005-0000-0000-0000C0030000}"/>
    <cellStyle name="Comma 2 8 2" xfId="1187" xr:uid="{00000000-0005-0000-0000-0000C1030000}"/>
    <cellStyle name="Comma 2 9" xfId="1188" xr:uid="{00000000-0005-0000-0000-0000C2030000}"/>
    <cellStyle name="Comma 2 9 2" xfId="1189" xr:uid="{00000000-0005-0000-0000-0000C3030000}"/>
    <cellStyle name="Comma 20" xfId="150" xr:uid="{00000000-0005-0000-0000-0000C4030000}"/>
    <cellStyle name="Comma 20 2" xfId="1190" xr:uid="{00000000-0005-0000-0000-0000C5030000}"/>
    <cellStyle name="Comma 20 2 2" xfId="1191" xr:uid="{00000000-0005-0000-0000-0000C6030000}"/>
    <cellStyle name="Comma 20 2 3" xfId="1192" xr:uid="{00000000-0005-0000-0000-0000C7030000}"/>
    <cellStyle name="Comma 20 3" xfId="1193" xr:uid="{00000000-0005-0000-0000-0000C8030000}"/>
    <cellStyle name="Comma 21" xfId="151" xr:uid="{00000000-0005-0000-0000-0000C9030000}"/>
    <cellStyle name="Comma 21 2" xfId="1194" xr:uid="{00000000-0005-0000-0000-0000CA030000}"/>
    <cellStyle name="Comma 21 3" xfId="1195" xr:uid="{00000000-0005-0000-0000-0000CB030000}"/>
    <cellStyle name="Comma 22" xfId="152" xr:uid="{00000000-0005-0000-0000-0000CC030000}"/>
    <cellStyle name="Comma 22 2" xfId="1196" xr:uid="{00000000-0005-0000-0000-0000CD030000}"/>
    <cellStyle name="Comma 22 3" xfId="1197" xr:uid="{00000000-0005-0000-0000-0000CE030000}"/>
    <cellStyle name="Comma 23" xfId="1198" xr:uid="{00000000-0005-0000-0000-0000CF030000}"/>
    <cellStyle name="Comma 23 2" xfId="1199" xr:uid="{00000000-0005-0000-0000-0000D0030000}"/>
    <cellStyle name="Comma 23 3" xfId="1200" xr:uid="{00000000-0005-0000-0000-0000D1030000}"/>
    <cellStyle name="Comma 24" xfId="1201" xr:uid="{00000000-0005-0000-0000-0000D2030000}"/>
    <cellStyle name="Comma 24 2" xfId="1202" xr:uid="{00000000-0005-0000-0000-0000D3030000}"/>
    <cellStyle name="Comma 24 3" xfId="1203" xr:uid="{00000000-0005-0000-0000-0000D4030000}"/>
    <cellStyle name="Comma 25" xfId="1204" xr:uid="{00000000-0005-0000-0000-0000D5030000}"/>
    <cellStyle name="Comma 25 2" xfId="1205" xr:uid="{00000000-0005-0000-0000-0000D6030000}"/>
    <cellStyle name="Comma 26" xfId="1861" xr:uid="{00000000-0005-0000-0000-0000D7030000}"/>
    <cellStyle name="Comma 3" xfId="2" xr:uid="{00000000-0005-0000-0000-0000D8030000}"/>
    <cellStyle name="Comma 3 10" xfId="1206" xr:uid="{00000000-0005-0000-0000-0000D9030000}"/>
    <cellStyle name="Comma 3 10 2" xfId="1207" xr:uid="{00000000-0005-0000-0000-0000DA030000}"/>
    <cellStyle name="Comma 3 11" xfId="1208" xr:uid="{00000000-0005-0000-0000-0000DB030000}"/>
    <cellStyle name="Comma 3 12" xfId="329" xr:uid="{00000000-0005-0000-0000-0000DC030000}"/>
    <cellStyle name="Comma 3 13" xfId="1209" xr:uid="{00000000-0005-0000-0000-0000DD030000}"/>
    <cellStyle name="Comma 3 2" xfId="153" xr:uid="{00000000-0005-0000-0000-0000DE030000}"/>
    <cellStyle name="Comma 3 2 10" xfId="1210" xr:uid="{00000000-0005-0000-0000-0000DF030000}"/>
    <cellStyle name="Comma 3 2 2" xfId="1211" xr:uid="{00000000-0005-0000-0000-0000E0030000}"/>
    <cellStyle name="Comma 3 2 3" xfId="1212" xr:uid="{00000000-0005-0000-0000-0000E1030000}"/>
    <cellStyle name="Comma 3 2 4" xfId="1213" xr:uid="{00000000-0005-0000-0000-0000E2030000}"/>
    <cellStyle name="Comma 3 2 5" xfId="1214" xr:uid="{00000000-0005-0000-0000-0000E3030000}"/>
    <cellStyle name="Comma 3 2 6" xfId="1215" xr:uid="{00000000-0005-0000-0000-0000E4030000}"/>
    <cellStyle name="Comma 3 2 7" xfId="1216" xr:uid="{00000000-0005-0000-0000-0000E5030000}"/>
    <cellStyle name="Comma 3 2 8" xfId="1217" xr:uid="{00000000-0005-0000-0000-0000E6030000}"/>
    <cellStyle name="Comma 3 2 9" xfId="1218" xr:uid="{00000000-0005-0000-0000-0000E7030000}"/>
    <cellStyle name="Comma 3 3" xfId="154" xr:uid="{00000000-0005-0000-0000-0000E8030000}"/>
    <cellStyle name="Comma 3 3 2" xfId="1219" xr:uid="{00000000-0005-0000-0000-0000E9030000}"/>
    <cellStyle name="Comma 3 3 3" xfId="1220" xr:uid="{00000000-0005-0000-0000-0000EA030000}"/>
    <cellStyle name="Comma 3 4" xfId="155" xr:uid="{00000000-0005-0000-0000-0000EB030000}"/>
    <cellStyle name="Comma 3 4 2" xfId="1221" xr:uid="{00000000-0005-0000-0000-0000EC030000}"/>
    <cellStyle name="Comma 3 4 3" xfId="1222" xr:uid="{00000000-0005-0000-0000-0000ED030000}"/>
    <cellStyle name="Comma 3 5" xfId="156" xr:uid="{00000000-0005-0000-0000-0000EE030000}"/>
    <cellStyle name="Comma 3 5 2" xfId="1223" xr:uid="{00000000-0005-0000-0000-0000EF030000}"/>
    <cellStyle name="Comma 3 5 2 2" xfId="1224" xr:uid="{00000000-0005-0000-0000-0000F0030000}"/>
    <cellStyle name="Comma 3 5 2 2 2" xfId="1225" xr:uid="{00000000-0005-0000-0000-0000F1030000}"/>
    <cellStyle name="Comma 3 5 2 2 2 2" xfId="1226" xr:uid="{00000000-0005-0000-0000-0000F2030000}"/>
    <cellStyle name="Comma 3 5 2 2 3" xfId="1227" xr:uid="{00000000-0005-0000-0000-0000F3030000}"/>
    <cellStyle name="Comma 3 5 2 2 3 2" xfId="1228" xr:uid="{00000000-0005-0000-0000-0000F4030000}"/>
    <cellStyle name="Comma 3 5 2 2 4" xfId="1229" xr:uid="{00000000-0005-0000-0000-0000F5030000}"/>
    <cellStyle name="Comma 3 5 2 3" xfId="1230" xr:uid="{00000000-0005-0000-0000-0000F6030000}"/>
    <cellStyle name="Comma 3 5 2 3 2" xfId="1231" xr:uid="{00000000-0005-0000-0000-0000F7030000}"/>
    <cellStyle name="Comma 3 5 3" xfId="1232" xr:uid="{00000000-0005-0000-0000-0000F8030000}"/>
    <cellStyle name="Comma 3 6" xfId="1233" xr:uid="{00000000-0005-0000-0000-0000F9030000}"/>
    <cellStyle name="Comma 3 6 2" xfId="1234" xr:uid="{00000000-0005-0000-0000-0000FA030000}"/>
    <cellStyle name="Comma 3 7" xfId="1235" xr:uid="{00000000-0005-0000-0000-0000FB030000}"/>
    <cellStyle name="Comma 3 7 2" xfId="1236" xr:uid="{00000000-0005-0000-0000-0000FC030000}"/>
    <cellStyle name="Comma 3 8" xfId="1237" xr:uid="{00000000-0005-0000-0000-0000FD030000}"/>
    <cellStyle name="Comma 3 8 2" xfId="1238" xr:uid="{00000000-0005-0000-0000-0000FE030000}"/>
    <cellStyle name="Comma 3 9" xfId="1239" xr:uid="{00000000-0005-0000-0000-0000FF030000}"/>
    <cellStyle name="Comma 3 9 2" xfId="1240" xr:uid="{00000000-0005-0000-0000-000000040000}"/>
    <cellStyle name="Comma 3_Trial Balance Apr11-Mar12 Oil MillA" xfId="1241" xr:uid="{00000000-0005-0000-0000-000001040000}"/>
    <cellStyle name="Comma 4" xfId="11" xr:uid="{00000000-0005-0000-0000-000002040000}"/>
    <cellStyle name="Comma 4 10" xfId="1242" xr:uid="{00000000-0005-0000-0000-000003040000}"/>
    <cellStyle name="Comma 4 10 2" xfId="1243" xr:uid="{00000000-0005-0000-0000-000004040000}"/>
    <cellStyle name="Comma 4 10 3" xfId="1244" xr:uid="{00000000-0005-0000-0000-000005040000}"/>
    <cellStyle name="Comma 4 11" xfId="1245" xr:uid="{00000000-0005-0000-0000-000006040000}"/>
    <cellStyle name="Comma 4 12" xfId="1246" xr:uid="{00000000-0005-0000-0000-000007040000}"/>
    <cellStyle name="Comma 4 13" xfId="1247" xr:uid="{00000000-0005-0000-0000-000008040000}"/>
    <cellStyle name="Comma 4 2" xfId="12" xr:uid="{00000000-0005-0000-0000-000009040000}"/>
    <cellStyle name="Comma 4 2 2" xfId="157" xr:uid="{00000000-0005-0000-0000-00000A040000}"/>
    <cellStyle name="Comma 4 2 2 2" xfId="1248" xr:uid="{00000000-0005-0000-0000-00000B040000}"/>
    <cellStyle name="Comma 4 2 3" xfId="1249" xr:uid="{00000000-0005-0000-0000-00000C040000}"/>
    <cellStyle name="Comma 4 2 4" xfId="1250" xr:uid="{00000000-0005-0000-0000-00000D040000}"/>
    <cellStyle name="Comma 4 3" xfId="13" xr:uid="{00000000-0005-0000-0000-00000E040000}"/>
    <cellStyle name="Comma 4 3 2" xfId="1251" xr:uid="{00000000-0005-0000-0000-00000F040000}"/>
    <cellStyle name="Comma 4 4" xfId="158" xr:uid="{00000000-0005-0000-0000-000010040000}"/>
    <cellStyle name="Comma 4 4 2" xfId="1252" xr:uid="{00000000-0005-0000-0000-000011040000}"/>
    <cellStyle name="Comma 4 4 3" xfId="1253" xr:uid="{00000000-0005-0000-0000-000012040000}"/>
    <cellStyle name="Comma 4 5" xfId="1254" xr:uid="{00000000-0005-0000-0000-000013040000}"/>
    <cellStyle name="Comma 4 5 2" xfId="1255" xr:uid="{00000000-0005-0000-0000-000014040000}"/>
    <cellStyle name="Comma 4 5 3" xfId="1256" xr:uid="{00000000-0005-0000-0000-000015040000}"/>
    <cellStyle name="Comma 4 6" xfId="1257" xr:uid="{00000000-0005-0000-0000-000016040000}"/>
    <cellStyle name="Comma 4 6 2" xfId="1258" xr:uid="{00000000-0005-0000-0000-000017040000}"/>
    <cellStyle name="Comma 4 6 3" xfId="1259" xr:uid="{00000000-0005-0000-0000-000018040000}"/>
    <cellStyle name="Comma 4 7" xfId="1260" xr:uid="{00000000-0005-0000-0000-000019040000}"/>
    <cellStyle name="Comma 4 7 2" xfId="1261" xr:uid="{00000000-0005-0000-0000-00001A040000}"/>
    <cellStyle name="Comma 4 7 3" xfId="1262" xr:uid="{00000000-0005-0000-0000-00001B040000}"/>
    <cellStyle name="Comma 4 8" xfId="1263" xr:uid="{00000000-0005-0000-0000-00001C040000}"/>
    <cellStyle name="Comma 4 8 2" xfId="1264" xr:uid="{00000000-0005-0000-0000-00001D040000}"/>
    <cellStyle name="Comma 4 8 3" xfId="1265" xr:uid="{00000000-0005-0000-0000-00001E040000}"/>
    <cellStyle name="Comma 4 9" xfId="1266" xr:uid="{00000000-0005-0000-0000-00001F040000}"/>
    <cellStyle name="Comma 4 9 2" xfId="1267" xr:uid="{00000000-0005-0000-0000-000020040000}"/>
    <cellStyle name="Comma 4 9 3" xfId="1268" xr:uid="{00000000-0005-0000-0000-000021040000}"/>
    <cellStyle name="Comma 5" xfId="24" xr:uid="{00000000-0005-0000-0000-000022040000}"/>
    <cellStyle name="Comma 5 2" xfId="159" xr:uid="{00000000-0005-0000-0000-000023040000}"/>
    <cellStyle name="Comma 5 2 2" xfId="160" xr:uid="{00000000-0005-0000-0000-000024040000}"/>
    <cellStyle name="Comma 5 2 3" xfId="1269" xr:uid="{00000000-0005-0000-0000-000025040000}"/>
    <cellStyle name="Comma 5 3" xfId="161" xr:uid="{00000000-0005-0000-0000-000026040000}"/>
    <cellStyle name="Comma 5 3 2" xfId="162" xr:uid="{00000000-0005-0000-0000-000027040000}"/>
    <cellStyle name="Comma 5 4" xfId="163" xr:uid="{00000000-0005-0000-0000-000028040000}"/>
    <cellStyle name="Comma 6" xfId="35" xr:uid="{00000000-0005-0000-0000-000029040000}"/>
    <cellStyle name="Comma 6 10" xfId="1270" xr:uid="{00000000-0005-0000-0000-00002A040000}"/>
    <cellStyle name="Comma 6 10 2" xfId="1271" xr:uid="{00000000-0005-0000-0000-00002B040000}"/>
    <cellStyle name="Comma 6 10 3" xfId="1272" xr:uid="{00000000-0005-0000-0000-00002C040000}"/>
    <cellStyle name="Comma 6 11" xfId="1273" xr:uid="{00000000-0005-0000-0000-00002D040000}"/>
    <cellStyle name="Comma 6 11 2" xfId="1274" xr:uid="{00000000-0005-0000-0000-00002E040000}"/>
    <cellStyle name="Comma 6 11 3" xfId="1275" xr:uid="{00000000-0005-0000-0000-00002F040000}"/>
    <cellStyle name="Comma 6 12" xfId="1276" xr:uid="{00000000-0005-0000-0000-000030040000}"/>
    <cellStyle name="Comma 6 12 2" xfId="1277" xr:uid="{00000000-0005-0000-0000-000031040000}"/>
    <cellStyle name="Comma 6 12 3" xfId="1278" xr:uid="{00000000-0005-0000-0000-000032040000}"/>
    <cellStyle name="Comma 6 13" xfId="1279" xr:uid="{00000000-0005-0000-0000-000033040000}"/>
    <cellStyle name="Comma 6 13 2" xfId="1280" xr:uid="{00000000-0005-0000-0000-000034040000}"/>
    <cellStyle name="Comma 6 13 3" xfId="1281" xr:uid="{00000000-0005-0000-0000-000035040000}"/>
    <cellStyle name="Comma 6 14" xfId="1282" xr:uid="{00000000-0005-0000-0000-000036040000}"/>
    <cellStyle name="Comma 6 14 2" xfId="1283" xr:uid="{00000000-0005-0000-0000-000037040000}"/>
    <cellStyle name="Comma 6 14 3" xfId="1284" xr:uid="{00000000-0005-0000-0000-000038040000}"/>
    <cellStyle name="Comma 6 15" xfId="1285" xr:uid="{00000000-0005-0000-0000-000039040000}"/>
    <cellStyle name="Comma 6 15 2" xfId="1286" xr:uid="{00000000-0005-0000-0000-00003A040000}"/>
    <cellStyle name="Comma 6 15 3" xfId="1287" xr:uid="{00000000-0005-0000-0000-00003B040000}"/>
    <cellStyle name="Comma 6 16" xfId="1288" xr:uid="{00000000-0005-0000-0000-00003C040000}"/>
    <cellStyle name="Comma 6 17" xfId="1289" xr:uid="{00000000-0005-0000-0000-00003D040000}"/>
    <cellStyle name="Comma 6 18" xfId="1290" xr:uid="{00000000-0005-0000-0000-00003E040000}"/>
    <cellStyle name="Comma 6 19" xfId="1291" xr:uid="{00000000-0005-0000-0000-00003F040000}"/>
    <cellStyle name="Comma 6 2" xfId="36" xr:uid="{00000000-0005-0000-0000-000040040000}"/>
    <cellStyle name="Comma 6 2 2" xfId="70" xr:uid="{00000000-0005-0000-0000-000041040000}"/>
    <cellStyle name="Comma 6 2 2 2" xfId="1292" xr:uid="{00000000-0005-0000-0000-000042040000}"/>
    <cellStyle name="Comma 6 2 3" xfId="164" xr:uid="{00000000-0005-0000-0000-000043040000}"/>
    <cellStyle name="Comma 6 2 3 2" xfId="1293" xr:uid="{00000000-0005-0000-0000-000044040000}"/>
    <cellStyle name="Comma 6 2 4" xfId="165" xr:uid="{00000000-0005-0000-0000-000045040000}"/>
    <cellStyle name="Comma 6 2 5" xfId="1294" xr:uid="{00000000-0005-0000-0000-000046040000}"/>
    <cellStyle name="Comma 6 2 5 2" xfId="1295" xr:uid="{00000000-0005-0000-0000-000047040000}"/>
    <cellStyle name="Comma 6 3" xfId="66" xr:uid="{00000000-0005-0000-0000-000048040000}"/>
    <cellStyle name="Comma 6 3 2" xfId="1296" xr:uid="{00000000-0005-0000-0000-000049040000}"/>
    <cellStyle name="Comma 6 3 3" xfId="1297" xr:uid="{00000000-0005-0000-0000-00004A040000}"/>
    <cellStyle name="Comma 6 3 4" xfId="1298" xr:uid="{00000000-0005-0000-0000-00004B040000}"/>
    <cellStyle name="Comma 6 4" xfId="166" xr:uid="{00000000-0005-0000-0000-00004C040000}"/>
    <cellStyle name="Comma 6 4 2" xfId="1299" xr:uid="{00000000-0005-0000-0000-00004D040000}"/>
    <cellStyle name="Comma 6 4 3" xfId="1300" xr:uid="{00000000-0005-0000-0000-00004E040000}"/>
    <cellStyle name="Comma 6 4 4" xfId="1301" xr:uid="{00000000-0005-0000-0000-00004F040000}"/>
    <cellStyle name="Comma 6 5" xfId="1302" xr:uid="{00000000-0005-0000-0000-000050040000}"/>
    <cellStyle name="Comma 6 5 2" xfId="1303" xr:uid="{00000000-0005-0000-0000-000051040000}"/>
    <cellStyle name="Comma 6 5 3" xfId="1304" xr:uid="{00000000-0005-0000-0000-000052040000}"/>
    <cellStyle name="Comma 6 6" xfId="1305" xr:uid="{00000000-0005-0000-0000-000053040000}"/>
    <cellStyle name="Comma 6 6 2" xfId="1306" xr:uid="{00000000-0005-0000-0000-000054040000}"/>
    <cellStyle name="Comma 6 6 3" xfId="1307" xr:uid="{00000000-0005-0000-0000-000055040000}"/>
    <cellStyle name="Comma 6 7" xfId="1308" xr:uid="{00000000-0005-0000-0000-000056040000}"/>
    <cellStyle name="Comma 6 7 2" xfId="1309" xr:uid="{00000000-0005-0000-0000-000057040000}"/>
    <cellStyle name="Comma 6 7 3" xfId="1310" xr:uid="{00000000-0005-0000-0000-000058040000}"/>
    <cellStyle name="Comma 6 8" xfId="1311" xr:uid="{00000000-0005-0000-0000-000059040000}"/>
    <cellStyle name="Comma 6 8 2" xfId="1312" xr:uid="{00000000-0005-0000-0000-00005A040000}"/>
    <cellStyle name="Comma 6 8 3" xfId="1313" xr:uid="{00000000-0005-0000-0000-00005B040000}"/>
    <cellStyle name="Comma 6 9" xfId="1314" xr:uid="{00000000-0005-0000-0000-00005C040000}"/>
    <cellStyle name="Comma 6 9 2" xfId="1315" xr:uid="{00000000-0005-0000-0000-00005D040000}"/>
    <cellStyle name="Comma 6 9 3" xfId="1316" xr:uid="{00000000-0005-0000-0000-00005E040000}"/>
    <cellStyle name="Comma 7" xfId="37" xr:uid="{00000000-0005-0000-0000-00005F040000}"/>
    <cellStyle name="Comma 7 2" xfId="38" xr:uid="{00000000-0005-0000-0000-000060040000}"/>
    <cellStyle name="Comma 7 2 2" xfId="59" xr:uid="{00000000-0005-0000-0000-000061040000}"/>
    <cellStyle name="Comma 7 2 2 2" xfId="1317" xr:uid="{00000000-0005-0000-0000-000062040000}"/>
    <cellStyle name="Comma 7 2 2 3" xfId="1318" xr:uid="{00000000-0005-0000-0000-000063040000}"/>
    <cellStyle name="Comma 7 2 2 4" xfId="1319" xr:uid="{00000000-0005-0000-0000-000064040000}"/>
    <cellStyle name="Comma 7 2 3" xfId="39" xr:uid="{00000000-0005-0000-0000-000065040000}"/>
    <cellStyle name="Comma 7 2 3 2" xfId="1320" xr:uid="{00000000-0005-0000-0000-000066040000}"/>
    <cellStyle name="Comma 7 2 4" xfId="68" xr:uid="{00000000-0005-0000-0000-000067040000}"/>
    <cellStyle name="Comma 7 2 5" xfId="1321" xr:uid="{00000000-0005-0000-0000-000068040000}"/>
    <cellStyle name="Comma 7 3" xfId="1322" xr:uid="{00000000-0005-0000-0000-000069040000}"/>
    <cellStyle name="Comma 8" xfId="40" xr:uid="{00000000-0005-0000-0000-00006A040000}"/>
    <cellStyle name="Comma 8 2" xfId="167" xr:uid="{00000000-0005-0000-0000-00006B040000}"/>
    <cellStyle name="Comma 8 3" xfId="1323" xr:uid="{00000000-0005-0000-0000-00006C040000}"/>
    <cellStyle name="Comma 9" xfId="41" xr:uid="{00000000-0005-0000-0000-00006D040000}"/>
    <cellStyle name="Comma 9 2" xfId="168" xr:uid="{00000000-0005-0000-0000-00006E040000}"/>
    <cellStyle name="Comma 9 3" xfId="169" xr:uid="{00000000-0005-0000-0000-00006F040000}"/>
    <cellStyle name="Comma 9 3 2" xfId="170" xr:uid="{00000000-0005-0000-0000-000070040000}"/>
    <cellStyle name="Comma 9 4" xfId="1324" xr:uid="{00000000-0005-0000-0000-000071040000}"/>
    <cellStyle name="Copied" xfId="171" xr:uid="{00000000-0005-0000-0000-000072040000}"/>
    <cellStyle name="Currency (0.00)" xfId="1325" xr:uid="{00000000-0005-0000-0000-000073040000}"/>
    <cellStyle name="Currency (0.00) 2" xfId="1326" xr:uid="{00000000-0005-0000-0000-000074040000}"/>
    <cellStyle name="Currency (0.00) 3" xfId="1327" xr:uid="{00000000-0005-0000-0000-000075040000}"/>
    <cellStyle name="Currency [0] 2" xfId="4" xr:uid="{00000000-0005-0000-0000-000076040000}"/>
    <cellStyle name="Currency [0] 2 2" xfId="6" xr:uid="{00000000-0005-0000-0000-000077040000}"/>
    <cellStyle name="Currency [0] 3" xfId="172" xr:uid="{00000000-0005-0000-0000-000078040000}"/>
    <cellStyle name="Currency [0] 4" xfId="173" xr:uid="{00000000-0005-0000-0000-000079040000}"/>
    <cellStyle name="Currency [00]" xfId="174" xr:uid="{00000000-0005-0000-0000-00007A040000}"/>
    <cellStyle name="Currency [1]" xfId="175" xr:uid="{00000000-0005-0000-0000-00007B040000}"/>
    <cellStyle name="Currency [2]" xfId="176" xr:uid="{00000000-0005-0000-0000-00007C040000}"/>
    <cellStyle name="Currency 2" xfId="177" xr:uid="{00000000-0005-0000-0000-00007D040000}"/>
    <cellStyle name="Date [d-mmm-yy]" xfId="178" xr:uid="{00000000-0005-0000-0000-00007E040000}"/>
    <cellStyle name="Date [mm-d-yy]" xfId="179" xr:uid="{00000000-0005-0000-0000-00007F040000}"/>
    <cellStyle name="Date [mm-d-yyyy]" xfId="180" xr:uid="{00000000-0005-0000-0000-000080040000}"/>
    <cellStyle name="Date [mmm-yy]" xfId="181" xr:uid="{00000000-0005-0000-0000-000081040000}"/>
    <cellStyle name="Date Short" xfId="182" xr:uid="{00000000-0005-0000-0000-000082040000}"/>
    <cellStyle name="Enter Currency (0)" xfId="183" xr:uid="{00000000-0005-0000-0000-000083040000}"/>
    <cellStyle name="Enter Currency (2)" xfId="184" xr:uid="{00000000-0005-0000-0000-000084040000}"/>
    <cellStyle name="Enter Units (0)" xfId="185" xr:uid="{00000000-0005-0000-0000-000085040000}"/>
    <cellStyle name="Enter Units (1)" xfId="186" xr:uid="{00000000-0005-0000-0000-000086040000}"/>
    <cellStyle name="Enter Units (2)" xfId="187" xr:uid="{00000000-0005-0000-0000-000087040000}"/>
    <cellStyle name="Entered" xfId="188" xr:uid="{00000000-0005-0000-0000-000088040000}"/>
    <cellStyle name="Excel Built-in Comma" xfId="189" xr:uid="{00000000-0005-0000-0000-000089040000}"/>
    <cellStyle name="Excel Built-in Comma [0]" xfId="190" xr:uid="{00000000-0005-0000-0000-00008A040000}"/>
    <cellStyle name="Excel Built-in Normal" xfId="191" xr:uid="{00000000-0005-0000-0000-00008B040000}"/>
    <cellStyle name="Excel Built-in Normal 2" xfId="192" xr:uid="{00000000-0005-0000-0000-00008C040000}"/>
    <cellStyle name="Excel Built-in Normal 3" xfId="193" xr:uid="{00000000-0005-0000-0000-00008D040000}"/>
    <cellStyle name="Explanatory Text 10" xfId="1328" xr:uid="{00000000-0005-0000-0000-00008E040000}"/>
    <cellStyle name="Explanatory Text 11" xfId="1329" xr:uid="{00000000-0005-0000-0000-00008F040000}"/>
    <cellStyle name="Explanatory Text 2" xfId="1330" xr:uid="{00000000-0005-0000-0000-000090040000}"/>
    <cellStyle name="Explanatory Text 3" xfId="1331" xr:uid="{00000000-0005-0000-0000-000091040000}"/>
    <cellStyle name="Explanatory Text 4" xfId="1332" xr:uid="{00000000-0005-0000-0000-000092040000}"/>
    <cellStyle name="Explanatory Text 5" xfId="1333" xr:uid="{00000000-0005-0000-0000-000093040000}"/>
    <cellStyle name="Explanatory Text 6" xfId="1334" xr:uid="{00000000-0005-0000-0000-000094040000}"/>
    <cellStyle name="Explanatory Text 7" xfId="1335" xr:uid="{00000000-0005-0000-0000-000095040000}"/>
    <cellStyle name="Explanatory Text 8" xfId="1336" xr:uid="{00000000-0005-0000-0000-000096040000}"/>
    <cellStyle name="Explanatory Text 9" xfId="1337" xr:uid="{00000000-0005-0000-0000-000097040000}"/>
    <cellStyle name="Fixed [0]" xfId="194" xr:uid="{00000000-0005-0000-0000-000098040000}"/>
    <cellStyle name="Good 10" xfId="1338" xr:uid="{00000000-0005-0000-0000-000099040000}"/>
    <cellStyle name="Good 11" xfId="1339" xr:uid="{00000000-0005-0000-0000-00009A040000}"/>
    <cellStyle name="Good 2" xfId="1340" xr:uid="{00000000-0005-0000-0000-00009B040000}"/>
    <cellStyle name="Good 3" xfId="1341" xr:uid="{00000000-0005-0000-0000-00009C040000}"/>
    <cellStyle name="Good 4" xfId="1342" xr:uid="{00000000-0005-0000-0000-00009D040000}"/>
    <cellStyle name="Good 5" xfId="1343" xr:uid="{00000000-0005-0000-0000-00009E040000}"/>
    <cellStyle name="Good 6" xfId="1344" xr:uid="{00000000-0005-0000-0000-00009F040000}"/>
    <cellStyle name="Good 7" xfId="1345" xr:uid="{00000000-0005-0000-0000-0000A0040000}"/>
    <cellStyle name="Good 8" xfId="1346" xr:uid="{00000000-0005-0000-0000-0000A1040000}"/>
    <cellStyle name="Good 9" xfId="1347" xr:uid="{00000000-0005-0000-0000-0000A2040000}"/>
    <cellStyle name="Grey" xfId="195" xr:uid="{00000000-0005-0000-0000-0000A3040000}"/>
    <cellStyle name="Header1" xfId="196" xr:uid="{00000000-0005-0000-0000-0000A4040000}"/>
    <cellStyle name="Header2" xfId="197" xr:uid="{00000000-0005-0000-0000-0000A5040000}"/>
    <cellStyle name="Header2 2" xfId="1348" xr:uid="{00000000-0005-0000-0000-0000A6040000}"/>
    <cellStyle name="Header2 3" xfId="1349" xr:uid="{00000000-0005-0000-0000-0000A7040000}"/>
    <cellStyle name="Heading 1 10" xfId="1350" xr:uid="{00000000-0005-0000-0000-0000A8040000}"/>
    <cellStyle name="Heading 1 11" xfId="1351" xr:uid="{00000000-0005-0000-0000-0000A9040000}"/>
    <cellStyle name="Heading 1 12" xfId="1352" xr:uid="{00000000-0005-0000-0000-0000AA040000}"/>
    <cellStyle name="Heading 1 2" xfId="1353" xr:uid="{00000000-0005-0000-0000-0000AB040000}"/>
    <cellStyle name="Heading 1 3" xfId="1354" xr:uid="{00000000-0005-0000-0000-0000AC040000}"/>
    <cellStyle name="Heading 1 4" xfId="1355" xr:uid="{00000000-0005-0000-0000-0000AD040000}"/>
    <cellStyle name="Heading 1 5" xfId="1356" xr:uid="{00000000-0005-0000-0000-0000AE040000}"/>
    <cellStyle name="Heading 1 6" xfId="1357" xr:uid="{00000000-0005-0000-0000-0000AF040000}"/>
    <cellStyle name="Heading 1 7" xfId="1358" xr:uid="{00000000-0005-0000-0000-0000B0040000}"/>
    <cellStyle name="Heading 1 8" xfId="1359" xr:uid="{00000000-0005-0000-0000-0000B1040000}"/>
    <cellStyle name="Heading 1 9" xfId="1360" xr:uid="{00000000-0005-0000-0000-0000B2040000}"/>
    <cellStyle name="Heading 2 10" xfId="1361" xr:uid="{00000000-0005-0000-0000-0000B3040000}"/>
    <cellStyle name="Heading 2 11" xfId="1362" xr:uid="{00000000-0005-0000-0000-0000B4040000}"/>
    <cellStyle name="Heading 2 12" xfId="1363" xr:uid="{00000000-0005-0000-0000-0000B5040000}"/>
    <cellStyle name="Heading 2 2" xfId="1364" xr:uid="{00000000-0005-0000-0000-0000B6040000}"/>
    <cellStyle name="Heading 2 3" xfId="1365" xr:uid="{00000000-0005-0000-0000-0000B7040000}"/>
    <cellStyle name="Heading 2 4" xfId="1366" xr:uid="{00000000-0005-0000-0000-0000B8040000}"/>
    <cellStyle name="Heading 2 5" xfId="1367" xr:uid="{00000000-0005-0000-0000-0000B9040000}"/>
    <cellStyle name="Heading 2 6" xfId="1368" xr:uid="{00000000-0005-0000-0000-0000BA040000}"/>
    <cellStyle name="Heading 2 7" xfId="1369" xr:uid="{00000000-0005-0000-0000-0000BB040000}"/>
    <cellStyle name="Heading 2 8" xfId="1370" xr:uid="{00000000-0005-0000-0000-0000BC040000}"/>
    <cellStyle name="Heading 2 9" xfId="1371" xr:uid="{00000000-0005-0000-0000-0000BD040000}"/>
    <cellStyle name="Heading 3 10" xfId="1372" xr:uid="{00000000-0005-0000-0000-0000BE040000}"/>
    <cellStyle name="Heading 3 11" xfId="1373" xr:uid="{00000000-0005-0000-0000-0000BF040000}"/>
    <cellStyle name="Heading 3 12" xfId="1374" xr:uid="{00000000-0005-0000-0000-0000C0040000}"/>
    <cellStyle name="Heading 3 2" xfId="1375" xr:uid="{00000000-0005-0000-0000-0000C1040000}"/>
    <cellStyle name="Heading 3 3" xfId="1376" xr:uid="{00000000-0005-0000-0000-0000C2040000}"/>
    <cellStyle name="Heading 3 4" xfId="1377" xr:uid="{00000000-0005-0000-0000-0000C3040000}"/>
    <cellStyle name="Heading 3 5" xfId="1378" xr:uid="{00000000-0005-0000-0000-0000C4040000}"/>
    <cellStyle name="Heading 3 6" xfId="1379" xr:uid="{00000000-0005-0000-0000-0000C5040000}"/>
    <cellStyle name="Heading 3 7" xfId="1380" xr:uid="{00000000-0005-0000-0000-0000C6040000}"/>
    <cellStyle name="Heading 3 8" xfId="1381" xr:uid="{00000000-0005-0000-0000-0000C7040000}"/>
    <cellStyle name="Heading 3 9" xfId="1382" xr:uid="{00000000-0005-0000-0000-0000C8040000}"/>
    <cellStyle name="Heading 4 10" xfId="1383" xr:uid="{00000000-0005-0000-0000-0000C9040000}"/>
    <cellStyle name="Heading 4 11" xfId="1384" xr:uid="{00000000-0005-0000-0000-0000CA040000}"/>
    <cellStyle name="Heading 4 12" xfId="1385" xr:uid="{00000000-0005-0000-0000-0000CB040000}"/>
    <cellStyle name="Heading 4 2" xfId="1386" xr:uid="{00000000-0005-0000-0000-0000CC040000}"/>
    <cellStyle name="Heading 4 3" xfId="1387" xr:uid="{00000000-0005-0000-0000-0000CD040000}"/>
    <cellStyle name="Heading 4 4" xfId="1388" xr:uid="{00000000-0005-0000-0000-0000CE040000}"/>
    <cellStyle name="Heading 4 5" xfId="1389" xr:uid="{00000000-0005-0000-0000-0000CF040000}"/>
    <cellStyle name="Heading 4 6" xfId="1390" xr:uid="{00000000-0005-0000-0000-0000D0040000}"/>
    <cellStyle name="Heading 4 7" xfId="1391" xr:uid="{00000000-0005-0000-0000-0000D1040000}"/>
    <cellStyle name="Heading 4 8" xfId="1392" xr:uid="{00000000-0005-0000-0000-0000D2040000}"/>
    <cellStyle name="Heading 4 9" xfId="1393" xr:uid="{00000000-0005-0000-0000-0000D3040000}"/>
    <cellStyle name="HEADINGS" xfId="198" xr:uid="{00000000-0005-0000-0000-0000D4040000}"/>
    <cellStyle name="HEADINGS 2" xfId="1394" xr:uid="{00000000-0005-0000-0000-0000D5040000}"/>
    <cellStyle name="HEADINGSTOP" xfId="199" xr:uid="{00000000-0005-0000-0000-0000D6040000}"/>
    <cellStyle name="Input [yellow]" xfId="200" xr:uid="{00000000-0005-0000-0000-0000D7040000}"/>
    <cellStyle name="Input [yellow] 2" xfId="1395" xr:uid="{00000000-0005-0000-0000-0000D8040000}"/>
    <cellStyle name="Input [yellow] 3" xfId="1396" xr:uid="{00000000-0005-0000-0000-0000D9040000}"/>
    <cellStyle name="Input 10" xfId="1397" xr:uid="{00000000-0005-0000-0000-0000DA040000}"/>
    <cellStyle name="Input 10 2" xfId="1398" xr:uid="{00000000-0005-0000-0000-0000DB040000}"/>
    <cellStyle name="Input 10 2 2" xfId="1399" xr:uid="{00000000-0005-0000-0000-0000DC040000}"/>
    <cellStyle name="Input 10 2 3" xfId="1400" xr:uid="{00000000-0005-0000-0000-0000DD040000}"/>
    <cellStyle name="Input 10 3" xfId="1401" xr:uid="{00000000-0005-0000-0000-0000DE040000}"/>
    <cellStyle name="Input 10 4" xfId="1402" xr:uid="{00000000-0005-0000-0000-0000DF040000}"/>
    <cellStyle name="Input 11" xfId="1403" xr:uid="{00000000-0005-0000-0000-0000E0040000}"/>
    <cellStyle name="Input 11 2" xfId="1404" xr:uid="{00000000-0005-0000-0000-0000E1040000}"/>
    <cellStyle name="Input 11 2 2" xfId="1405" xr:uid="{00000000-0005-0000-0000-0000E2040000}"/>
    <cellStyle name="Input 11 2 3" xfId="1406" xr:uid="{00000000-0005-0000-0000-0000E3040000}"/>
    <cellStyle name="Input 11 3" xfId="1407" xr:uid="{00000000-0005-0000-0000-0000E4040000}"/>
    <cellStyle name="Input 11 4" xfId="1408" xr:uid="{00000000-0005-0000-0000-0000E5040000}"/>
    <cellStyle name="Input 12" xfId="1409" xr:uid="{00000000-0005-0000-0000-0000E6040000}"/>
    <cellStyle name="Input 12 2" xfId="1410" xr:uid="{00000000-0005-0000-0000-0000E7040000}"/>
    <cellStyle name="Input 12 3" xfId="1411" xr:uid="{00000000-0005-0000-0000-0000E8040000}"/>
    <cellStyle name="Input 2" xfId="1412" xr:uid="{00000000-0005-0000-0000-0000E9040000}"/>
    <cellStyle name="Input 2 2" xfId="1413" xr:uid="{00000000-0005-0000-0000-0000EA040000}"/>
    <cellStyle name="Input 2 2 2" xfId="1414" xr:uid="{00000000-0005-0000-0000-0000EB040000}"/>
    <cellStyle name="Input 2 2 3" xfId="1415" xr:uid="{00000000-0005-0000-0000-0000EC040000}"/>
    <cellStyle name="Input 2 3" xfId="1416" xr:uid="{00000000-0005-0000-0000-0000ED040000}"/>
    <cellStyle name="Input 2 4" xfId="1417" xr:uid="{00000000-0005-0000-0000-0000EE040000}"/>
    <cellStyle name="Input 3" xfId="1418" xr:uid="{00000000-0005-0000-0000-0000EF040000}"/>
    <cellStyle name="Input 3 2" xfId="1419" xr:uid="{00000000-0005-0000-0000-0000F0040000}"/>
    <cellStyle name="Input 3 2 2" xfId="1420" xr:uid="{00000000-0005-0000-0000-0000F1040000}"/>
    <cellStyle name="Input 3 2 3" xfId="1421" xr:uid="{00000000-0005-0000-0000-0000F2040000}"/>
    <cellStyle name="Input 3 3" xfId="1422" xr:uid="{00000000-0005-0000-0000-0000F3040000}"/>
    <cellStyle name="Input 3 4" xfId="1423" xr:uid="{00000000-0005-0000-0000-0000F4040000}"/>
    <cellStyle name="Input 4" xfId="1424" xr:uid="{00000000-0005-0000-0000-0000F5040000}"/>
    <cellStyle name="Input 4 2" xfId="1425" xr:uid="{00000000-0005-0000-0000-0000F6040000}"/>
    <cellStyle name="Input 4 2 2" xfId="1426" xr:uid="{00000000-0005-0000-0000-0000F7040000}"/>
    <cellStyle name="Input 4 2 3" xfId="1427" xr:uid="{00000000-0005-0000-0000-0000F8040000}"/>
    <cellStyle name="Input 4 3" xfId="1428" xr:uid="{00000000-0005-0000-0000-0000F9040000}"/>
    <cellStyle name="Input 4 4" xfId="1429" xr:uid="{00000000-0005-0000-0000-0000FA040000}"/>
    <cellStyle name="Input 5" xfId="1430" xr:uid="{00000000-0005-0000-0000-0000FB040000}"/>
    <cellStyle name="Input 5 2" xfId="1431" xr:uid="{00000000-0005-0000-0000-0000FC040000}"/>
    <cellStyle name="Input 5 2 2" xfId="1432" xr:uid="{00000000-0005-0000-0000-0000FD040000}"/>
    <cellStyle name="Input 5 2 3" xfId="1433" xr:uid="{00000000-0005-0000-0000-0000FE040000}"/>
    <cellStyle name="Input 5 3" xfId="1434" xr:uid="{00000000-0005-0000-0000-0000FF040000}"/>
    <cellStyle name="Input 5 4" xfId="1435" xr:uid="{00000000-0005-0000-0000-000000050000}"/>
    <cellStyle name="Input 6" xfId="1436" xr:uid="{00000000-0005-0000-0000-000001050000}"/>
    <cellStyle name="Input 6 2" xfId="1437" xr:uid="{00000000-0005-0000-0000-000002050000}"/>
    <cellStyle name="Input 6 2 2" xfId="1438" xr:uid="{00000000-0005-0000-0000-000003050000}"/>
    <cellStyle name="Input 6 2 3" xfId="1439" xr:uid="{00000000-0005-0000-0000-000004050000}"/>
    <cellStyle name="Input 6 3" xfId="1440" xr:uid="{00000000-0005-0000-0000-000005050000}"/>
    <cellStyle name="Input 6 4" xfId="1441" xr:uid="{00000000-0005-0000-0000-000006050000}"/>
    <cellStyle name="Input 7" xfId="1442" xr:uid="{00000000-0005-0000-0000-000007050000}"/>
    <cellStyle name="Input 7 2" xfId="1443" xr:uid="{00000000-0005-0000-0000-000008050000}"/>
    <cellStyle name="Input 7 2 2" xfId="1444" xr:uid="{00000000-0005-0000-0000-000009050000}"/>
    <cellStyle name="Input 7 2 3" xfId="1445" xr:uid="{00000000-0005-0000-0000-00000A050000}"/>
    <cellStyle name="Input 7 3" xfId="1446" xr:uid="{00000000-0005-0000-0000-00000B050000}"/>
    <cellStyle name="Input 7 4" xfId="1447" xr:uid="{00000000-0005-0000-0000-00000C050000}"/>
    <cellStyle name="Input 8" xfId="1448" xr:uid="{00000000-0005-0000-0000-00000D050000}"/>
    <cellStyle name="Input 8 2" xfId="1449" xr:uid="{00000000-0005-0000-0000-00000E050000}"/>
    <cellStyle name="Input 8 2 2" xfId="1450" xr:uid="{00000000-0005-0000-0000-00000F050000}"/>
    <cellStyle name="Input 8 2 3" xfId="1451" xr:uid="{00000000-0005-0000-0000-000010050000}"/>
    <cellStyle name="Input 8 3" xfId="1452" xr:uid="{00000000-0005-0000-0000-000011050000}"/>
    <cellStyle name="Input 8 4" xfId="1453" xr:uid="{00000000-0005-0000-0000-000012050000}"/>
    <cellStyle name="Input 9" xfId="1454" xr:uid="{00000000-0005-0000-0000-000013050000}"/>
    <cellStyle name="Input 9 2" xfId="1455" xr:uid="{00000000-0005-0000-0000-000014050000}"/>
    <cellStyle name="Input 9 2 2" xfId="1456" xr:uid="{00000000-0005-0000-0000-000015050000}"/>
    <cellStyle name="Input 9 2 3" xfId="1457" xr:uid="{00000000-0005-0000-0000-000016050000}"/>
    <cellStyle name="Input 9 3" xfId="1458" xr:uid="{00000000-0005-0000-0000-000017050000}"/>
    <cellStyle name="Input 9 4" xfId="1459" xr:uid="{00000000-0005-0000-0000-000018050000}"/>
    <cellStyle name="Input Currency" xfId="201" xr:uid="{00000000-0005-0000-0000-000019050000}"/>
    <cellStyle name="Input Date" xfId="202" xr:uid="{00000000-0005-0000-0000-00001A050000}"/>
    <cellStyle name="Input Fixed [0]" xfId="203" xr:uid="{00000000-0005-0000-0000-00001B050000}"/>
    <cellStyle name="Input Normal" xfId="204" xr:uid="{00000000-0005-0000-0000-00001C050000}"/>
    <cellStyle name="Input Percent" xfId="205" xr:uid="{00000000-0005-0000-0000-00001D050000}"/>
    <cellStyle name="Input Percent [2]" xfId="206" xr:uid="{00000000-0005-0000-0000-00001E050000}"/>
    <cellStyle name="Input Titles" xfId="207" xr:uid="{00000000-0005-0000-0000-00001F050000}"/>
    <cellStyle name="Link Currency (0)" xfId="208" xr:uid="{00000000-0005-0000-0000-000020050000}"/>
    <cellStyle name="Link Currency (2)" xfId="209" xr:uid="{00000000-0005-0000-0000-000021050000}"/>
    <cellStyle name="Link Units (0)" xfId="210" xr:uid="{00000000-0005-0000-0000-000022050000}"/>
    <cellStyle name="Link Units (1)" xfId="211" xr:uid="{00000000-0005-0000-0000-000023050000}"/>
    <cellStyle name="Link Units (2)" xfId="212" xr:uid="{00000000-0005-0000-0000-000024050000}"/>
    <cellStyle name="Linked Cell 10" xfId="1460" xr:uid="{00000000-0005-0000-0000-000025050000}"/>
    <cellStyle name="Linked Cell 11" xfId="1461" xr:uid="{00000000-0005-0000-0000-000026050000}"/>
    <cellStyle name="Linked Cell 2" xfId="1462" xr:uid="{00000000-0005-0000-0000-000027050000}"/>
    <cellStyle name="Linked Cell 3" xfId="1463" xr:uid="{00000000-0005-0000-0000-000028050000}"/>
    <cellStyle name="Linked Cell 4" xfId="1464" xr:uid="{00000000-0005-0000-0000-000029050000}"/>
    <cellStyle name="Linked Cell 5" xfId="1465" xr:uid="{00000000-0005-0000-0000-00002A050000}"/>
    <cellStyle name="Linked Cell 6" xfId="1466" xr:uid="{00000000-0005-0000-0000-00002B050000}"/>
    <cellStyle name="Linked Cell 7" xfId="1467" xr:uid="{00000000-0005-0000-0000-00002C050000}"/>
    <cellStyle name="Linked Cell 8" xfId="1468" xr:uid="{00000000-0005-0000-0000-00002D050000}"/>
    <cellStyle name="Linked Cell 9" xfId="1469" xr:uid="{00000000-0005-0000-0000-00002E050000}"/>
    <cellStyle name="NA is zero" xfId="213" xr:uid="{00000000-0005-0000-0000-00002F050000}"/>
    <cellStyle name="Neutral 10" xfId="1470" xr:uid="{00000000-0005-0000-0000-000030050000}"/>
    <cellStyle name="Neutral 11" xfId="1471" xr:uid="{00000000-0005-0000-0000-000031050000}"/>
    <cellStyle name="Neutral 12" xfId="1472" xr:uid="{00000000-0005-0000-0000-000032050000}"/>
    <cellStyle name="Neutral 2" xfId="1473" xr:uid="{00000000-0005-0000-0000-000033050000}"/>
    <cellStyle name="Neutral 3" xfId="1474" xr:uid="{00000000-0005-0000-0000-000034050000}"/>
    <cellStyle name="Neutral 4" xfId="1475" xr:uid="{00000000-0005-0000-0000-000035050000}"/>
    <cellStyle name="Neutral 5" xfId="1476" xr:uid="{00000000-0005-0000-0000-000036050000}"/>
    <cellStyle name="Neutral 6" xfId="1477" xr:uid="{00000000-0005-0000-0000-000037050000}"/>
    <cellStyle name="Neutral 7" xfId="1478" xr:uid="{00000000-0005-0000-0000-000038050000}"/>
    <cellStyle name="Neutral 8" xfId="1479" xr:uid="{00000000-0005-0000-0000-000039050000}"/>
    <cellStyle name="Neutral 9" xfId="1480" xr:uid="{00000000-0005-0000-0000-00003A050000}"/>
    <cellStyle name="Normal" xfId="0" builtinId="0"/>
    <cellStyle name="Normal - Style1" xfId="214" xr:uid="{00000000-0005-0000-0000-00003C050000}"/>
    <cellStyle name="Normal [0]" xfId="215" xr:uid="{00000000-0005-0000-0000-00003D050000}"/>
    <cellStyle name="Normal [1]" xfId="216" xr:uid="{00000000-0005-0000-0000-00003E050000}"/>
    <cellStyle name="Normal [2]" xfId="217" xr:uid="{00000000-0005-0000-0000-00003F050000}"/>
    <cellStyle name="Normal [3]" xfId="218" xr:uid="{00000000-0005-0000-0000-000040050000}"/>
    <cellStyle name="Normal 10" xfId="42" xr:uid="{00000000-0005-0000-0000-000041050000}"/>
    <cellStyle name="Normal 10 2" xfId="43" xr:uid="{00000000-0005-0000-0000-000042050000}"/>
    <cellStyle name="Normal 10 2 2" xfId="58" xr:uid="{00000000-0005-0000-0000-000043050000}"/>
    <cellStyle name="Normal 10 2 2 2" xfId="1481" xr:uid="{00000000-0005-0000-0000-000044050000}"/>
    <cellStyle name="Normal 10 2 2 3" xfId="1482" xr:uid="{00000000-0005-0000-0000-000045050000}"/>
    <cellStyle name="Normal 10 2 2 4" xfId="1483" xr:uid="{00000000-0005-0000-0000-000046050000}"/>
    <cellStyle name="Normal 10 2 3" xfId="44" xr:uid="{00000000-0005-0000-0000-000047050000}"/>
    <cellStyle name="Normal 10 2 3 2" xfId="1484" xr:uid="{00000000-0005-0000-0000-000048050000}"/>
    <cellStyle name="Normal 10 2 4" xfId="67" xr:uid="{00000000-0005-0000-0000-000049050000}"/>
    <cellStyle name="Normal 10 2 5" xfId="1485" xr:uid="{00000000-0005-0000-0000-00004A050000}"/>
    <cellStyle name="Normal 10 3" xfId="45" xr:uid="{00000000-0005-0000-0000-00004B050000}"/>
    <cellStyle name="Normal 10 3 2" xfId="1486" xr:uid="{00000000-0005-0000-0000-00004C050000}"/>
    <cellStyle name="Normal 10 4" xfId="1487" xr:uid="{00000000-0005-0000-0000-00004D050000}"/>
    <cellStyle name="Normal 11" xfId="46" xr:uid="{00000000-0005-0000-0000-00004E050000}"/>
    <cellStyle name="Normal 11 2" xfId="219" xr:uid="{00000000-0005-0000-0000-00004F050000}"/>
    <cellStyle name="Normal 11 3" xfId="74" xr:uid="{00000000-0005-0000-0000-000050050000}"/>
    <cellStyle name="Normal 11 3 2" xfId="75" xr:uid="{00000000-0005-0000-0000-000051050000}"/>
    <cellStyle name="Normal 12" xfId="47" xr:uid="{00000000-0005-0000-0000-000052050000}"/>
    <cellStyle name="Normal 12 2" xfId="1488" xr:uid="{00000000-0005-0000-0000-000053050000}"/>
    <cellStyle name="Normal 12 3" xfId="1489" xr:uid="{00000000-0005-0000-0000-000054050000}"/>
    <cellStyle name="Normal 13" xfId="56" xr:uid="{00000000-0005-0000-0000-000055050000}"/>
    <cellStyle name="Normal 13 2" xfId="220" xr:uid="{00000000-0005-0000-0000-000056050000}"/>
    <cellStyle name="Normal 13 2 2" xfId="221" xr:uid="{00000000-0005-0000-0000-000057050000}"/>
    <cellStyle name="Normal 13 2 2 2" xfId="222" xr:uid="{00000000-0005-0000-0000-000058050000}"/>
    <cellStyle name="Normal 13 2 2 2 2" xfId="223" xr:uid="{00000000-0005-0000-0000-000059050000}"/>
    <cellStyle name="Normal 13 2 2 2 2 2" xfId="1490" xr:uid="{00000000-0005-0000-0000-00005A050000}"/>
    <cellStyle name="Normal 13 2 2 2 3" xfId="1491" xr:uid="{00000000-0005-0000-0000-00005B050000}"/>
    <cellStyle name="Normal 13 2 2 3" xfId="1492" xr:uid="{00000000-0005-0000-0000-00005C050000}"/>
    <cellStyle name="Normal 13 2 2 3 2" xfId="1493" xr:uid="{00000000-0005-0000-0000-00005D050000}"/>
    <cellStyle name="Normal 13 2 2 3 2 2" xfId="1494" xr:uid="{00000000-0005-0000-0000-00005E050000}"/>
    <cellStyle name="Normal 13 2 2 3 3" xfId="1495" xr:uid="{00000000-0005-0000-0000-00005F050000}"/>
    <cellStyle name="Normal 13 2 2 3 3 2" xfId="1496" xr:uid="{00000000-0005-0000-0000-000060050000}"/>
    <cellStyle name="Normal 13 2 2 3 4" xfId="1497" xr:uid="{00000000-0005-0000-0000-000061050000}"/>
    <cellStyle name="Normal 13 2 2 4" xfId="1498" xr:uid="{00000000-0005-0000-0000-000062050000}"/>
    <cellStyle name="Normal 13 2 3" xfId="1499" xr:uid="{00000000-0005-0000-0000-000063050000}"/>
    <cellStyle name="Normal 13 3" xfId="224" xr:uid="{00000000-0005-0000-0000-000064050000}"/>
    <cellStyle name="Normal 13 3 2" xfId="1500" xr:uid="{00000000-0005-0000-0000-000065050000}"/>
    <cellStyle name="Normal 13 4" xfId="1501" xr:uid="{00000000-0005-0000-0000-000066050000}"/>
    <cellStyle name="Normal 13 4 2" xfId="1502" xr:uid="{00000000-0005-0000-0000-000067050000}"/>
    <cellStyle name="Normal 13 5" xfId="1503" xr:uid="{00000000-0005-0000-0000-000068050000}"/>
    <cellStyle name="Normal 13 5 2" xfId="1504" xr:uid="{00000000-0005-0000-0000-000069050000}"/>
    <cellStyle name="Normal 13 5 3" xfId="1505" xr:uid="{00000000-0005-0000-0000-00006A050000}"/>
    <cellStyle name="Normal 13 5 4" xfId="328" xr:uid="{00000000-0005-0000-0000-00006B050000}"/>
    <cellStyle name="Normal 13 6" xfId="1506" xr:uid="{00000000-0005-0000-0000-00006C050000}"/>
    <cellStyle name="Normal 14" xfId="225" xr:uid="{00000000-0005-0000-0000-00006D050000}"/>
    <cellStyle name="Normal 14 2" xfId="226" xr:uid="{00000000-0005-0000-0000-00006E050000}"/>
    <cellStyle name="Normal 14 3" xfId="227" xr:uid="{00000000-0005-0000-0000-00006F050000}"/>
    <cellStyle name="Normal 15" xfId="228" xr:uid="{00000000-0005-0000-0000-000070050000}"/>
    <cellStyle name="Normal 16" xfId="229" xr:uid="{00000000-0005-0000-0000-000071050000}"/>
    <cellStyle name="Normal 16 2" xfId="1507" xr:uid="{00000000-0005-0000-0000-000072050000}"/>
    <cellStyle name="Normal 17" xfId="230" xr:uid="{00000000-0005-0000-0000-000073050000}"/>
    <cellStyle name="Normal 18" xfId="311" xr:uid="{00000000-0005-0000-0000-000074050000}"/>
    <cellStyle name="Normal 19" xfId="312" xr:uid="{00000000-0005-0000-0000-000075050000}"/>
    <cellStyle name="Normal 2" xfId="1" xr:uid="{00000000-0005-0000-0000-000076050000}"/>
    <cellStyle name="Normal 2 10" xfId="76" xr:uid="{00000000-0005-0000-0000-000077050000}"/>
    <cellStyle name="Normal 2 10 2" xfId="1508" xr:uid="{00000000-0005-0000-0000-000078050000}"/>
    <cellStyle name="Normal 2 10 2 2" xfId="1810" xr:uid="{00000000-0005-0000-0000-000079050000}"/>
    <cellStyle name="Normal 2 11" xfId="231" xr:uid="{00000000-0005-0000-0000-00007A050000}"/>
    <cellStyle name="Normal 2 11 2" xfId="232" xr:uid="{00000000-0005-0000-0000-00007B050000}"/>
    <cellStyle name="Normal 2 11 3" xfId="1509" xr:uid="{00000000-0005-0000-0000-00007C050000}"/>
    <cellStyle name="Normal 2 11 3 2" xfId="1510" xr:uid="{00000000-0005-0000-0000-00007D050000}"/>
    <cellStyle name="Normal 2 11 3 2 2" xfId="1511" xr:uid="{00000000-0005-0000-0000-00007E050000}"/>
    <cellStyle name="Normal 2 11 3 2 2 2" xfId="1512" xr:uid="{00000000-0005-0000-0000-00007F050000}"/>
    <cellStyle name="Normal 2 11 3 2 3" xfId="1513" xr:uid="{00000000-0005-0000-0000-000080050000}"/>
    <cellStyle name="Normal 2 11 3 2 3 2" xfId="1514" xr:uid="{00000000-0005-0000-0000-000081050000}"/>
    <cellStyle name="Normal 2 11 3 2 3 2 2" xfId="1515" xr:uid="{00000000-0005-0000-0000-000082050000}"/>
    <cellStyle name="Normal 2 11 3 2 3 2 2 2" xfId="1516" xr:uid="{00000000-0005-0000-0000-000083050000}"/>
    <cellStyle name="Normal 2 11 3 2 3 2 3" xfId="1517" xr:uid="{00000000-0005-0000-0000-000084050000}"/>
    <cellStyle name="Normal 2 11 3 2 3 3" xfId="1518" xr:uid="{00000000-0005-0000-0000-000085050000}"/>
    <cellStyle name="Normal 2 11 3 2 4" xfId="1519" xr:uid="{00000000-0005-0000-0000-000086050000}"/>
    <cellStyle name="Normal 2 11 3 3" xfId="1520" xr:uid="{00000000-0005-0000-0000-000087050000}"/>
    <cellStyle name="Normal 2 11 4" xfId="1521" xr:uid="{00000000-0005-0000-0000-000088050000}"/>
    <cellStyle name="Normal 2 11 4 2" xfId="1522" xr:uid="{00000000-0005-0000-0000-000089050000}"/>
    <cellStyle name="Normal 2 11 5" xfId="1523" xr:uid="{00000000-0005-0000-0000-00008A050000}"/>
    <cellStyle name="Normal 2 12" xfId="308" xr:uid="{00000000-0005-0000-0000-00008B050000}"/>
    <cellStyle name="Normal 2 12 2" xfId="1524" xr:uid="{00000000-0005-0000-0000-00008C050000}"/>
    <cellStyle name="Normal 2 13" xfId="1525" xr:uid="{00000000-0005-0000-0000-00008D050000}"/>
    <cellStyle name="Normal 2 14" xfId="1526" xr:uid="{00000000-0005-0000-0000-00008E050000}"/>
    <cellStyle name="Normal 2 15" xfId="1527" xr:uid="{00000000-0005-0000-0000-00008F050000}"/>
    <cellStyle name="Normal 2 16" xfId="1528" xr:uid="{00000000-0005-0000-0000-000090050000}"/>
    <cellStyle name="Normal 2 17" xfId="1529" xr:uid="{00000000-0005-0000-0000-000091050000}"/>
    <cellStyle name="Normal 2 18" xfId="1530" xr:uid="{00000000-0005-0000-0000-000092050000}"/>
    <cellStyle name="Normal 2 19" xfId="1531" xr:uid="{00000000-0005-0000-0000-000093050000}"/>
    <cellStyle name="Normal 2 2" xfId="3" xr:uid="{00000000-0005-0000-0000-000094050000}"/>
    <cellStyle name="Normal 2 2 10" xfId="1532" xr:uid="{00000000-0005-0000-0000-000095050000}"/>
    <cellStyle name="Normal 2 2 11" xfId="1533" xr:uid="{00000000-0005-0000-0000-000096050000}"/>
    <cellStyle name="Normal 2 2 11 2" xfId="1534" xr:uid="{00000000-0005-0000-0000-000097050000}"/>
    <cellStyle name="Normal 2 2 2" xfId="14" xr:uid="{00000000-0005-0000-0000-000098050000}"/>
    <cellStyle name="Normal 2 2 2 2" xfId="1535" xr:uid="{00000000-0005-0000-0000-000099050000}"/>
    <cellStyle name="Normal 2 2 2 2 2" xfId="1536" xr:uid="{00000000-0005-0000-0000-00009A050000}"/>
    <cellStyle name="Normal 2 2 3" xfId="233" xr:uid="{00000000-0005-0000-0000-00009B050000}"/>
    <cellStyle name="Normal 2 2 4" xfId="234" xr:uid="{00000000-0005-0000-0000-00009C050000}"/>
    <cellStyle name="Normal 2 2 4 2" xfId="1537" xr:uid="{00000000-0005-0000-0000-00009D050000}"/>
    <cellStyle name="Normal 2 2 5" xfId="1538" xr:uid="{00000000-0005-0000-0000-00009E050000}"/>
    <cellStyle name="Normal 2 2 6" xfId="1539" xr:uid="{00000000-0005-0000-0000-00009F050000}"/>
    <cellStyle name="Normal 2 2 7" xfId="1540" xr:uid="{00000000-0005-0000-0000-0000A0050000}"/>
    <cellStyle name="Normal 2 2 8" xfId="1541" xr:uid="{00000000-0005-0000-0000-0000A1050000}"/>
    <cellStyle name="Normal 2 2 9" xfId="1542" xr:uid="{00000000-0005-0000-0000-0000A2050000}"/>
    <cellStyle name="Normal 2 3" xfId="15" xr:uid="{00000000-0005-0000-0000-0000A3050000}"/>
    <cellStyle name="Normal 2 3 2" xfId="235" xr:uid="{00000000-0005-0000-0000-0000A4050000}"/>
    <cellStyle name="Normal 2 4" xfId="20" xr:uid="{00000000-0005-0000-0000-0000A5050000}"/>
    <cellStyle name="Normal 2 4 2" xfId="236" xr:uid="{00000000-0005-0000-0000-0000A6050000}"/>
    <cellStyle name="Normal 2 4 2 2" xfId="237" xr:uid="{00000000-0005-0000-0000-0000A7050000}"/>
    <cellStyle name="Normal 2 4 2 2 2" xfId="238" xr:uid="{00000000-0005-0000-0000-0000A8050000}"/>
    <cellStyle name="Normal 2 4 2 2 2 2" xfId="1543" xr:uid="{00000000-0005-0000-0000-0000A9050000}"/>
    <cellStyle name="Normal 2 4 2 2 3" xfId="1544" xr:uid="{00000000-0005-0000-0000-0000AA050000}"/>
    <cellStyle name="Normal 2 4 2 3" xfId="1545" xr:uid="{00000000-0005-0000-0000-0000AB050000}"/>
    <cellStyle name="Normal 2 4 3" xfId="239" xr:uid="{00000000-0005-0000-0000-0000AC050000}"/>
    <cellStyle name="Normal 2 4 3 2" xfId="1546" xr:uid="{00000000-0005-0000-0000-0000AD050000}"/>
    <cellStyle name="Normal 2 5" xfId="48" xr:uid="{00000000-0005-0000-0000-0000AE050000}"/>
    <cellStyle name="Normal 2 5 2" xfId="240" xr:uid="{00000000-0005-0000-0000-0000AF050000}"/>
    <cellStyle name="Normal 2 5 3" xfId="1547" xr:uid="{00000000-0005-0000-0000-0000B0050000}"/>
    <cellStyle name="Normal 2 6" xfId="49" xr:uid="{00000000-0005-0000-0000-0000B1050000}"/>
    <cellStyle name="Normal 2 6 2" xfId="241" xr:uid="{00000000-0005-0000-0000-0000B2050000}"/>
    <cellStyle name="Normal 2 6 2 2" xfId="242" xr:uid="{00000000-0005-0000-0000-0000B3050000}"/>
    <cellStyle name="Normal 2 6 2 2 2" xfId="1548" xr:uid="{00000000-0005-0000-0000-0000B4050000}"/>
    <cellStyle name="Normal 2 6 2 3" xfId="1549" xr:uid="{00000000-0005-0000-0000-0000B5050000}"/>
    <cellStyle name="Normal 2 6 3" xfId="243" xr:uid="{00000000-0005-0000-0000-0000B6050000}"/>
    <cellStyle name="Normal 2 6 3 2" xfId="1550" xr:uid="{00000000-0005-0000-0000-0000B7050000}"/>
    <cellStyle name="Normal 2 6 3 2 2" xfId="1551" xr:uid="{00000000-0005-0000-0000-0000B8050000}"/>
    <cellStyle name="Normal 2 6 3 3" xfId="1552" xr:uid="{00000000-0005-0000-0000-0000B9050000}"/>
    <cellStyle name="Normal 2 6 3 3 2" xfId="1553" xr:uid="{00000000-0005-0000-0000-0000BA050000}"/>
    <cellStyle name="Normal 2 6 3 4" xfId="1554" xr:uid="{00000000-0005-0000-0000-0000BB050000}"/>
    <cellStyle name="Normal 2 6 4" xfId="1555" xr:uid="{00000000-0005-0000-0000-0000BC050000}"/>
    <cellStyle name="Normal 2 6 4 2" xfId="1556" xr:uid="{00000000-0005-0000-0000-0000BD050000}"/>
    <cellStyle name="Normal 2 6 5" xfId="1557" xr:uid="{00000000-0005-0000-0000-0000BE050000}"/>
    <cellStyle name="Normal 2 6 5 2" xfId="1558" xr:uid="{00000000-0005-0000-0000-0000BF050000}"/>
    <cellStyle name="Normal 2 6 6" xfId="1559" xr:uid="{00000000-0005-0000-0000-0000C0050000}"/>
    <cellStyle name="Normal 2 6 6 2" xfId="1560" xr:uid="{00000000-0005-0000-0000-0000C1050000}"/>
    <cellStyle name="Normal 2 6 7" xfId="1561" xr:uid="{00000000-0005-0000-0000-0000C2050000}"/>
    <cellStyle name="Normal 2 6 7 2" xfId="1562" xr:uid="{00000000-0005-0000-0000-0000C3050000}"/>
    <cellStyle name="Normal 2 6 8" xfId="1563" xr:uid="{00000000-0005-0000-0000-0000C4050000}"/>
    <cellStyle name="Normal 2 7" xfId="244" xr:uid="{00000000-0005-0000-0000-0000C5050000}"/>
    <cellStyle name="Normal 2 7 2" xfId="245" xr:uid="{00000000-0005-0000-0000-0000C6050000}"/>
    <cellStyle name="Normal 2 7 2 2" xfId="246" xr:uid="{00000000-0005-0000-0000-0000C7050000}"/>
    <cellStyle name="Normal 2 7 2 2 2" xfId="1564" xr:uid="{00000000-0005-0000-0000-0000C8050000}"/>
    <cellStyle name="Normal 2 7 2 3" xfId="1565" xr:uid="{00000000-0005-0000-0000-0000C9050000}"/>
    <cellStyle name="Normal 2 7 3" xfId="1566" xr:uid="{00000000-0005-0000-0000-0000CA050000}"/>
    <cellStyle name="Normal 2 8" xfId="247" xr:uid="{00000000-0005-0000-0000-0000CB050000}"/>
    <cellStyle name="Normal 2 8 2" xfId="248" xr:uid="{00000000-0005-0000-0000-0000CC050000}"/>
    <cellStyle name="Normal 2 8 2 2" xfId="1567" xr:uid="{00000000-0005-0000-0000-0000CD050000}"/>
    <cellStyle name="Normal 2 8 3" xfId="1568" xr:uid="{00000000-0005-0000-0000-0000CE050000}"/>
    <cellStyle name="Normal 2 9" xfId="249" xr:uid="{00000000-0005-0000-0000-0000CF050000}"/>
    <cellStyle name="Normal 2 9 2" xfId="1569" xr:uid="{00000000-0005-0000-0000-0000D0050000}"/>
    <cellStyle name="Normal 2_DISTRIBUSI C-R bulanan REZA " xfId="8" xr:uid="{00000000-0005-0000-0000-0000D1050000}"/>
    <cellStyle name="Normal 20" xfId="313" xr:uid="{00000000-0005-0000-0000-0000D2050000}"/>
    <cellStyle name="Normal 21" xfId="314" xr:uid="{00000000-0005-0000-0000-0000D3050000}"/>
    <cellStyle name="Normal 22" xfId="315" xr:uid="{00000000-0005-0000-0000-0000D4050000}"/>
    <cellStyle name="Normal 22 6 9 7" xfId="324" xr:uid="{00000000-0005-0000-0000-0000D5050000}"/>
    <cellStyle name="Normal 23" xfId="316" xr:uid="{00000000-0005-0000-0000-0000D6050000}"/>
    <cellStyle name="Normal 24" xfId="317" xr:uid="{00000000-0005-0000-0000-0000D7050000}"/>
    <cellStyle name="Normal 25" xfId="318" xr:uid="{00000000-0005-0000-0000-0000D8050000}"/>
    <cellStyle name="Normal 26" xfId="319" xr:uid="{00000000-0005-0000-0000-0000D9050000}"/>
    <cellStyle name="Normal 27" xfId="320" xr:uid="{00000000-0005-0000-0000-0000DA050000}"/>
    <cellStyle name="Normal 27 2" xfId="1570" xr:uid="{00000000-0005-0000-0000-0000DB050000}"/>
    <cellStyle name="Normal 28" xfId="1571" xr:uid="{00000000-0005-0000-0000-0000DC050000}"/>
    <cellStyle name="Normal 28 2" xfId="1572" xr:uid="{00000000-0005-0000-0000-0000DD050000}"/>
    <cellStyle name="Normal 29" xfId="1573" xr:uid="{00000000-0005-0000-0000-0000DE050000}"/>
    <cellStyle name="Normal 29 2" xfId="1574" xr:uid="{00000000-0005-0000-0000-0000DF050000}"/>
    <cellStyle name="Normal 3" xfId="16" xr:uid="{00000000-0005-0000-0000-0000E0050000}"/>
    <cellStyle name="Normal 3 2" xfId="17" xr:uid="{00000000-0005-0000-0000-0000E1050000}"/>
    <cellStyle name="Normal 3 2 2" xfId="250" xr:uid="{00000000-0005-0000-0000-0000E2050000}"/>
    <cellStyle name="Normal 3 3" xfId="18" xr:uid="{00000000-0005-0000-0000-0000E3050000}"/>
    <cellStyle name="Normal 3 3 2" xfId="1575" xr:uid="{00000000-0005-0000-0000-0000E4050000}"/>
    <cellStyle name="Normal 3 3 2 2" xfId="1576" xr:uid="{00000000-0005-0000-0000-0000E5050000}"/>
    <cellStyle name="Normal 3 3 2 2 2" xfId="1577" xr:uid="{00000000-0005-0000-0000-0000E6050000}"/>
    <cellStyle name="Normal 3 3 2 2 2 2" xfId="1578" xr:uid="{00000000-0005-0000-0000-0000E7050000}"/>
    <cellStyle name="Normal 3 3 2 2 2 2 2" xfId="1579" xr:uid="{00000000-0005-0000-0000-0000E8050000}"/>
    <cellStyle name="Normal 3 3 2 2 2 2 2 2" xfId="1580" xr:uid="{00000000-0005-0000-0000-0000E9050000}"/>
    <cellStyle name="Normal 3 3 2 2 2 2 3" xfId="1581" xr:uid="{00000000-0005-0000-0000-0000EA050000}"/>
    <cellStyle name="Normal 3 3 2 2 2 3" xfId="1582" xr:uid="{00000000-0005-0000-0000-0000EB050000}"/>
    <cellStyle name="Normal 3 3 2 2 3" xfId="1583" xr:uid="{00000000-0005-0000-0000-0000EC050000}"/>
    <cellStyle name="Normal 3 3 2 2 3 2" xfId="1584" xr:uid="{00000000-0005-0000-0000-0000ED050000}"/>
    <cellStyle name="Normal 3 3 2 2 4" xfId="1585" xr:uid="{00000000-0005-0000-0000-0000EE050000}"/>
    <cellStyle name="Normal 3 3 2 3" xfId="1586" xr:uid="{00000000-0005-0000-0000-0000EF050000}"/>
    <cellStyle name="Normal 3 3 2 3 2" xfId="1587" xr:uid="{00000000-0005-0000-0000-0000F0050000}"/>
    <cellStyle name="Normal 3 3 2 3 2 2" xfId="1588" xr:uid="{00000000-0005-0000-0000-0000F1050000}"/>
    <cellStyle name="Normal 3 3 2 3 2 2 2" xfId="1589" xr:uid="{00000000-0005-0000-0000-0000F2050000}"/>
    <cellStyle name="Normal 3 3 2 3 2 3" xfId="1590" xr:uid="{00000000-0005-0000-0000-0000F3050000}"/>
    <cellStyle name="Normal 3 3 2 3 3" xfId="1591" xr:uid="{00000000-0005-0000-0000-0000F4050000}"/>
    <cellStyle name="Normal 3 3 2 4" xfId="1592" xr:uid="{00000000-0005-0000-0000-0000F5050000}"/>
    <cellStyle name="Normal 3 3 2 4 2" xfId="1593" xr:uid="{00000000-0005-0000-0000-0000F6050000}"/>
    <cellStyle name="Normal 3 3 2 5" xfId="1594" xr:uid="{00000000-0005-0000-0000-0000F7050000}"/>
    <cellStyle name="Normal 3 3 2 5 2" xfId="1595" xr:uid="{00000000-0005-0000-0000-0000F8050000}"/>
    <cellStyle name="Normal 3 3 2 6" xfId="1596" xr:uid="{00000000-0005-0000-0000-0000F9050000}"/>
    <cellStyle name="Normal 3 3 2 6 2" xfId="1597" xr:uid="{00000000-0005-0000-0000-0000FA050000}"/>
    <cellStyle name="Normal 3 3 2 7" xfId="1598" xr:uid="{00000000-0005-0000-0000-0000FB050000}"/>
    <cellStyle name="Normal 3 3 3" xfId="1599" xr:uid="{00000000-0005-0000-0000-0000FC050000}"/>
    <cellStyle name="Normal 3 3 3 2" xfId="1600" xr:uid="{00000000-0005-0000-0000-0000FD050000}"/>
    <cellStyle name="Normal 3 4" xfId="309" xr:uid="{00000000-0005-0000-0000-0000FE050000}"/>
    <cellStyle name="Normal 3 4 2" xfId="1601" xr:uid="{00000000-0005-0000-0000-0000FF050000}"/>
    <cellStyle name="Normal 3 4 2 2" xfId="1602" xr:uid="{00000000-0005-0000-0000-000000060000}"/>
    <cellStyle name="Normal 3 4 2 2 2" xfId="1603" xr:uid="{00000000-0005-0000-0000-000001060000}"/>
    <cellStyle name="Normal 3 4 2 2 2 2" xfId="1604" xr:uid="{00000000-0005-0000-0000-000002060000}"/>
    <cellStyle name="Normal 3 4 2 2 3" xfId="1605" xr:uid="{00000000-0005-0000-0000-000003060000}"/>
    <cellStyle name="Normal 3 4 2 3" xfId="1606" xr:uid="{00000000-0005-0000-0000-000004060000}"/>
    <cellStyle name="Normal 3 4 3" xfId="1607" xr:uid="{00000000-0005-0000-0000-000005060000}"/>
    <cellStyle name="Normal 3 4 3 2" xfId="1608" xr:uid="{00000000-0005-0000-0000-000006060000}"/>
    <cellStyle name="Normal 3 4 4" xfId="1609" xr:uid="{00000000-0005-0000-0000-000007060000}"/>
    <cellStyle name="Normal 3 4 4 2" xfId="1610" xr:uid="{00000000-0005-0000-0000-000008060000}"/>
    <cellStyle name="Normal 3 4 5" xfId="1611" xr:uid="{00000000-0005-0000-0000-000009060000}"/>
    <cellStyle name="Normal 30" xfId="1860" xr:uid="{00000000-0005-0000-0000-00000A060000}"/>
    <cellStyle name="Normal 4" xfId="19" xr:uid="{00000000-0005-0000-0000-00000B060000}"/>
    <cellStyle name="Normal 4 2" xfId="50" xr:uid="{00000000-0005-0000-0000-00000C060000}"/>
    <cellStyle name="Normal 4 2 2" xfId="71" xr:uid="{00000000-0005-0000-0000-00000D060000}"/>
    <cellStyle name="Normal 4 2 2 2" xfId="1612" xr:uid="{00000000-0005-0000-0000-00000E060000}"/>
    <cellStyle name="Normal 4 2 3" xfId="1613" xr:uid="{00000000-0005-0000-0000-00000F060000}"/>
    <cellStyle name="Normal 4 3" xfId="51" xr:uid="{00000000-0005-0000-0000-000010060000}"/>
    <cellStyle name="Normal 4 3 2" xfId="1614" xr:uid="{00000000-0005-0000-0000-000011060000}"/>
    <cellStyle name="Normal 4 4" xfId="61" xr:uid="{00000000-0005-0000-0000-000012060000}"/>
    <cellStyle name="Normal 4 4 2" xfId="1615" xr:uid="{00000000-0005-0000-0000-000013060000}"/>
    <cellStyle name="Normal 4 4 2 2" xfId="1616" xr:uid="{00000000-0005-0000-0000-000014060000}"/>
    <cellStyle name="Normal 4 4 3" xfId="1617" xr:uid="{00000000-0005-0000-0000-000015060000}"/>
    <cellStyle name="Normal 4 5" xfId="251" xr:uid="{00000000-0005-0000-0000-000016060000}"/>
    <cellStyle name="Normal 4 5 2" xfId="1618" xr:uid="{00000000-0005-0000-0000-000017060000}"/>
    <cellStyle name="Normal 4 6" xfId="1619" xr:uid="{00000000-0005-0000-0000-000018060000}"/>
    <cellStyle name="Normal 5" xfId="22" xr:uid="{00000000-0005-0000-0000-000019060000}"/>
    <cellStyle name="Normal 5 10" xfId="1620" xr:uid="{00000000-0005-0000-0000-00001A060000}"/>
    <cellStyle name="Normal 5 11" xfId="1621" xr:uid="{00000000-0005-0000-0000-00001B060000}"/>
    <cellStyle name="Normal 5 2" xfId="62" xr:uid="{00000000-0005-0000-0000-00001C060000}"/>
    <cellStyle name="Normal 5 3" xfId="1622" xr:uid="{00000000-0005-0000-0000-00001D060000}"/>
    <cellStyle name="Normal 5 4" xfId="1623" xr:uid="{00000000-0005-0000-0000-00001E060000}"/>
    <cellStyle name="Normal 5 5" xfId="1624" xr:uid="{00000000-0005-0000-0000-00001F060000}"/>
    <cellStyle name="Normal 5 6" xfId="1625" xr:uid="{00000000-0005-0000-0000-000020060000}"/>
    <cellStyle name="Normal 5 7" xfId="1626" xr:uid="{00000000-0005-0000-0000-000021060000}"/>
    <cellStyle name="Normal 5 8" xfId="1627" xr:uid="{00000000-0005-0000-0000-000022060000}"/>
    <cellStyle name="Normal 5 9" xfId="1628" xr:uid="{00000000-0005-0000-0000-000023060000}"/>
    <cellStyle name="Normal 6" xfId="25" xr:uid="{00000000-0005-0000-0000-000024060000}"/>
    <cellStyle name="Normal 6 10" xfId="1629" xr:uid="{00000000-0005-0000-0000-000025060000}"/>
    <cellStyle name="Normal 6 11" xfId="1630" xr:uid="{00000000-0005-0000-0000-000026060000}"/>
    <cellStyle name="Normal 6 2" xfId="252" xr:uid="{00000000-0005-0000-0000-000027060000}"/>
    <cellStyle name="Normal 6 3" xfId="1631" xr:uid="{00000000-0005-0000-0000-000028060000}"/>
    <cellStyle name="Normal 6 4" xfId="1632" xr:uid="{00000000-0005-0000-0000-000029060000}"/>
    <cellStyle name="Normal 6 5" xfId="1633" xr:uid="{00000000-0005-0000-0000-00002A060000}"/>
    <cellStyle name="Normal 6 6" xfId="1634" xr:uid="{00000000-0005-0000-0000-00002B060000}"/>
    <cellStyle name="Normal 6 7" xfId="1635" xr:uid="{00000000-0005-0000-0000-00002C060000}"/>
    <cellStyle name="Normal 6 8" xfId="1636" xr:uid="{00000000-0005-0000-0000-00002D060000}"/>
    <cellStyle name="Normal 6 9" xfId="1637" xr:uid="{00000000-0005-0000-0000-00002E060000}"/>
    <cellStyle name="Normal 7" xfId="23" xr:uid="{00000000-0005-0000-0000-00002F060000}"/>
    <cellStyle name="Normal 7 10" xfId="1638" xr:uid="{00000000-0005-0000-0000-000030060000}"/>
    <cellStyle name="Normal 7 11" xfId="1639" xr:uid="{00000000-0005-0000-0000-000031060000}"/>
    <cellStyle name="Normal 7 12" xfId="1640" xr:uid="{00000000-0005-0000-0000-000032060000}"/>
    <cellStyle name="Normal 7 2" xfId="52" xr:uid="{00000000-0005-0000-0000-000033060000}"/>
    <cellStyle name="Normal 7 2 2" xfId="1641" xr:uid="{00000000-0005-0000-0000-000034060000}"/>
    <cellStyle name="Normal 7 3" xfId="63" xr:uid="{00000000-0005-0000-0000-000035060000}"/>
    <cellStyle name="Normal 7 3 2" xfId="1642" xr:uid="{00000000-0005-0000-0000-000036060000}"/>
    <cellStyle name="Normal 7 4" xfId="1643" xr:uid="{00000000-0005-0000-0000-000037060000}"/>
    <cellStyle name="Normal 7 5" xfId="1644" xr:uid="{00000000-0005-0000-0000-000038060000}"/>
    <cellStyle name="Normal 7 6" xfId="1645" xr:uid="{00000000-0005-0000-0000-000039060000}"/>
    <cellStyle name="Normal 7 7" xfId="1646" xr:uid="{00000000-0005-0000-0000-00003A060000}"/>
    <cellStyle name="Normal 7 8" xfId="1647" xr:uid="{00000000-0005-0000-0000-00003B060000}"/>
    <cellStyle name="Normal 7 9" xfId="1648" xr:uid="{00000000-0005-0000-0000-00003C060000}"/>
    <cellStyle name="Normal 8" xfId="26" xr:uid="{00000000-0005-0000-0000-00003D060000}"/>
    <cellStyle name="Normal 8 10" xfId="1649" xr:uid="{00000000-0005-0000-0000-00003E060000}"/>
    <cellStyle name="Normal 8 11" xfId="1650" xr:uid="{00000000-0005-0000-0000-00003F060000}"/>
    <cellStyle name="Normal 8 12" xfId="1651" xr:uid="{00000000-0005-0000-0000-000040060000}"/>
    <cellStyle name="Normal 8 13" xfId="1652" xr:uid="{00000000-0005-0000-0000-000041060000}"/>
    <cellStyle name="Normal 8 14" xfId="1653" xr:uid="{00000000-0005-0000-0000-000042060000}"/>
    <cellStyle name="Normal 8 15" xfId="1654" xr:uid="{00000000-0005-0000-0000-000043060000}"/>
    <cellStyle name="Normal 8 16" xfId="1655" xr:uid="{00000000-0005-0000-0000-000044060000}"/>
    <cellStyle name="Normal 8 17" xfId="1656" xr:uid="{00000000-0005-0000-0000-000045060000}"/>
    <cellStyle name="Normal 8 18" xfId="1657" xr:uid="{00000000-0005-0000-0000-000046060000}"/>
    <cellStyle name="Normal 8 19" xfId="1658" xr:uid="{00000000-0005-0000-0000-000047060000}"/>
    <cellStyle name="Normal 8 2" xfId="53" xr:uid="{00000000-0005-0000-0000-000048060000}"/>
    <cellStyle name="Normal 8 2 2" xfId="1659" xr:uid="{00000000-0005-0000-0000-000049060000}"/>
    <cellStyle name="Normal 8 20" xfId="1660" xr:uid="{00000000-0005-0000-0000-00004A060000}"/>
    <cellStyle name="Normal 8 21" xfId="1661" xr:uid="{00000000-0005-0000-0000-00004B060000}"/>
    <cellStyle name="Normal 8 22" xfId="1662" xr:uid="{00000000-0005-0000-0000-00004C060000}"/>
    <cellStyle name="Normal 8 23" xfId="1663" xr:uid="{00000000-0005-0000-0000-00004D060000}"/>
    <cellStyle name="Normal 8 24" xfId="1664" xr:uid="{00000000-0005-0000-0000-00004E060000}"/>
    <cellStyle name="Normal 8 25" xfId="1665" xr:uid="{00000000-0005-0000-0000-00004F060000}"/>
    <cellStyle name="Normal 8 26" xfId="1666" xr:uid="{00000000-0005-0000-0000-000050060000}"/>
    <cellStyle name="Normal 8 3" xfId="64" xr:uid="{00000000-0005-0000-0000-000051060000}"/>
    <cellStyle name="Normal 8 3 2" xfId="1667" xr:uid="{00000000-0005-0000-0000-000052060000}"/>
    <cellStyle name="Normal 8 4" xfId="1668" xr:uid="{00000000-0005-0000-0000-000053060000}"/>
    <cellStyle name="Normal 8 5" xfId="1669" xr:uid="{00000000-0005-0000-0000-000054060000}"/>
    <cellStyle name="Normal 8 6" xfId="1670" xr:uid="{00000000-0005-0000-0000-000055060000}"/>
    <cellStyle name="Normal 8 7" xfId="1671" xr:uid="{00000000-0005-0000-0000-000056060000}"/>
    <cellStyle name="Normal 8 8" xfId="1672" xr:uid="{00000000-0005-0000-0000-000057060000}"/>
    <cellStyle name="Normal 8 9" xfId="1673" xr:uid="{00000000-0005-0000-0000-000058060000}"/>
    <cellStyle name="Normal 9" xfId="54" xr:uid="{00000000-0005-0000-0000-000059060000}"/>
    <cellStyle name="Normal 9 2" xfId="55" xr:uid="{00000000-0005-0000-0000-00005A060000}"/>
    <cellStyle name="Normal 9 2 2" xfId="1674" xr:uid="{00000000-0005-0000-0000-00005B060000}"/>
    <cellStyle name="Normal 9 3" xfId="65" xr:uid="{00000000-0005-0000-0000-00005C060000}"/>
    <cellStyle name="Normal 9 4" xfId="1675" xr:uid="{00000000-0005-0000-0000-00005D060000}"/>
    <cellStyle name="Normal Bold" xfId="253" xr:uid="{00000000-0005-0000-0000-00005E060000}"/>
    <cellStyle name="Normal Pct" xfId="254" xr:uid="{00000000-0005-0000-0000-00005F060000}"/>
    <cellStyle name="Note 10" xfId="1676" xr:uid="{00000000-0005-0000-0000-000060060000}"/>
    <cellStyle name="Note 10 2" xfId="1677" xr:uid="{00000000-0005-0000-0000-000061060000}"/>
    <cellStyle name="Note 10 3" xfId="1678" xr:uid="{00000000-0005-0000-0000-000062060000}"/>
    <cellStyle name="Note 11" xfId="1679" xr:uid="{00000000-0005-0000-0000-000063060000}"/>
    <cellStyle name="Note 11 2" xfId="1680" xr:uid="{00000000-0005-0000-0000-000064060000}"/>
    <cellStyle name="Note 11 3" xfId="1681" xr:uid="{00000000-0005-0000-0000-000065060000}"/>
    <cellStyle name="Note 2" xfId="1682" xr:uid="{00000000-0005-0000-0000-000066060000}"/>
    <cellStyle name="Note 2 2" xfId="1683" xr:uid="{00000000-0005-0000-0000-000067060000}"/>
    <cellStyle name="Note 2 3" xfId="1684" xr:uid="{00000000-0005-0000-0000-000068060000}"/>
    <cellStyle name="Note 3" xfId="1685" xr:uid="{00000000-0005-0000-0000-000069060000}"/>
    <cellStyle name="Note 3 2" xfId="1686" xr:uid="{00000000-0005-0000-0000-00006A060000}"/>
    <cellStyle name="Note 3 3" xfId="1687" xr:uid="{00000000-0005-0000-0000-00006B060000}"/>
    <cellStyle name="Note 4" xfId="1688" xr:uid="{00000000-0005-0000-0000-00006C060000}"/>
    <cellStyle name="Note 4 2" xfId="1689" xr:uid="{00000000-0005-0000-0000-00006D060000}"/>
    <cellStyle name="Note 4 3" xfId="1690" xr:uid="{00000000-0005-0000-0000-00006E060000}"/>
    <cellStyle name="Note 5" xfId="1691" xr:uid="{00000000-0005-0000-0000-00006F060000}"/>
    <cellStyle name="Note 5 2" xfId="1692" xr:uid="{00000000-0005-0000-0000-000070060000}"/>
    <cellStyle name="Note 5 3" xfId="1693" xr:uid="{00000000-0005-0000-0000-000071060000}"/>
    <cellStyle name="Note 6" xfId="1694" xr:uid="{00000000-0005-0000-0000-000072060000}"/>
    <cellStyle name="Note 6 2" xfId="1695" xr:uid="{00000000-0005-0000-0000-000073060000}"/>
    <cellStyle name="Note 6 3" xfId="1696" xr:uid="{00000000-0005-0000-0000-000074060000}"/>
    <cellStyle name="Note 7" xfId="1697" xr:uid="{00000000-0005-0000-0000-000075060000}"/>
    <cellStyle name="Note 7 2" xfId="1698" xr:uid="{00000000-0005-0000-0000-000076060000}"/>
    <cellStyle name="Note 7 3" xfId="1699" xr:uid="{00000000-0005-0000-0000-000077060000}"/>
    <cellStyle name="Note 8" xfId="1700" xr:uid="{00000000-0005-0000-0000-000078060000}"/>
    <cellStyle name="Note 8 2" xfId="1701" xr:uid="{00000000-0005-0000-0000-000079060000}"/>
    <cellStyle name="Note 8 3" xfId="1702" xr:uid="{00000000-0005-0000-0000-00007A060000}"/>
    <cellStyle name="Note 9" xfId="1703" xr:uid="{00000000-0005-0000-0000-00007B060000}"/>
    <cellStyle name="Note 9 2" xfId="1704" xr:uid="{00000000-0005-0000-0000-00007C060000}"/>
    <cellStyle name="Note 9 3" xfId="1705" xr:uid="{00000000-0005-0000-0000-00007D060000}"/>
    <cellStyle name="NPPESalesPct" xfId="255" xr:uid="{00000000-0005-0000-0000-00007E060000}"/>
    <cellStyle name="NWI%S" xfId="256" xr:uid="{00000000-0005-0000-0000-00007F060000}"/>
    <cellStyle name="Output 10" xfId="1706" xr:uid="{00000000-0005-0000-0000-000080060000}"/>
    <cellStyle name="Output 10 2" xfId="1707" xr:uid="{00000000-0005-0000-0000-000081060000}"/>
    <cellStyle name="Output 10 3" xfId="1708" xr:uid="{00000000-0005-0000-0000-000082060000}"/>
    <cellStyle name="Output 11" xfId="1709" xr:uid="{00000000-0005-0000-0000-000083060000}"/>
    <cellStyle name="Output 11 2" xfId="1710" xr:uid="{00000000-0005-0000-0000-000084060000}"/>
    <cellStyle name="Output 11 3" xfId="1711" xr:uid="{00000000-0005-0000-0000-000085060000}"/>
    <cellStyle name="Output 12" xfId="1712" xr:uid="{00000000-0005-0000-0000-000086060000}"/>
    <cellStyle name="Output 12 2" xfId="1713" xr:uid="{00000000-0005-0000-0000-000087060000}"/>
    <cellStyle name="Output 12 3" xfId="1714" xr:uid="{00000000-0005-0000-0000-000088060000}"/>
    <cellStyle name="Output 2" xfId="1715" xr:uid="{00000000-0005-0000-0000-000089060000}"/>
    <cellStyle name="Output 2 2" xfId="1716" xr:uid="{00000000-0005-0000-0000-00008A060000}"/>
    <cellStyle name="Output 2 3" xfId="1717" xr:uid="{00000000-0005-0000-0000-00008B060000}"/>
    <cellStyle name="Output 3" xfId="1718" xr:uid="{00000000-0005-0000-0000-00008C060000}"/>
    <cellStyle name="Output 3 2" xfId="1719" xr:uid="{00000000-0005-0000-0000-00008D060000}"/>
    <cellStyle name="Output 3 3" xfId="1720" xr:uid="{00000000-0005-0000-0000-00008E060000}"/>
    <cellStyle name="Output 4" xfId="1721" xr:uid="{00000000-0005-0000-0000-00008F060000}"/>
    <cellStyle name="Output 4 2" xfId="1722" xr:uid="{00000000-0005-0000-0000-000090060000}"/>
    <cellStyle name="Output 4 3" xfId="1723" xr:uid="{00000000-0005-0000-0000-000091060000}"/>
    <cellStyle name="Output 5" xfId="1724" xr:uid="{00000000-0005-0000-0000-000092060000}"/>
    <cellStyle name="Output 5 2" xfId="1725" xr:uid="{00000000-0005-0000-0000-000093060000}"/>
    <cellStyle name="Output 5 3" xfId="1726" xr:uid="{00000000-0005-0000-0000-000094060000}"/>
    <cellStyle name="Output 6" xfId="1727" xr:uid="{00000000-0005-0000-0000-000095060000}"/>
    <cellStyle name="Output 6 2" xfId="1728" xr:uid="{00000000-0005-0000-0000-000096060000}"/>
    <cellStyle name="Output 6 3" xfId="1729" xr:uid="{00000000-0005-0000-0000-000097060000}"/>
    <cellStyle name="Output 7" xfId="1730" xr:uid="{00000000-0005-0000-0000-000098060000}"/>
    <cellStyle name="Output 7 2" xfId="1731" xr:uid="{00000000-0005-0000-0000-000099060000}"/>
    <cellStyle name="Output 7 3" xfId="1732" xr:uid="{00000000-0005-0000-0000-00009A060000}"/>
    <cellStyle name="Output 8" xfId="1733" xr:uid="{00000000-0005-0000-0000-00009B060000}"/>
    <cellStyle name="Output 8 2" xfId="1734" xr:uid="{00000000-0005-0000-0000-00009C060000}"/>
    <cellStyle name="Output 8 3" xfId="1735" xr:uid="{00000000-0005-0000-0000-00009D060000}"/>
    <cellStyle name="Output 9" xfId="1736" xr:uid="{00000000-0005-0000-0000-00009E060000}"/>
    <cellStyle name="Output 9 2" xfId="1737" xr:uid="{00000000-0005-0000-0000-00009F060000}"/>
    <cellStyle name="Output 9 3" xfId="1738" xr:uid="{00000000-0005-0000-0000-0000A0060000}"/>
    <cellStyle name="pc1" xfId="257" xr:uid="{00000000-0005-0000-0000-0000A1060000}"/>
    <cellStyle name="per.style" xfId="258" xr:uid="{00000000-0005-0000-0000-0000A2060000}"/>
    <cellStyle name="Percent [0]" xfId="259" xr:uid="{00000000-0005-0000-0000-0000A3060000}"/>
    <cellStyle name="Percent [00]" xfId="260" xr:uid="{00000000-0005-0000-0000-0000A4060000}"/>
    <cellStyle name="Percent [1]" xfId="261" xr:uid="{00000000-0005-0000-0000-0000A5060000}"/>
    <cellStyle name="Percent [2]" xfId="262" xr:uid="{00000000-0005-0000-0000-0000A6060000}"/>
    <cellStyle name="Percent 2" xfId="263" xr:uid="{00000000-0005-0000-0000-0000A7060000}"/>
    <cellStyle name="Percent 2 2" xfId="1739" xr:uid="{00000000-0005-0000-0000-0000A8060000}"/>
    <cellStyle name="Percent 2 2 2" xfId="1740" xr:uid="{00000000-0005-0000-0000-0000A9060000}"/>
    <cellStyle name="Percent 3" xfId="264" xr:uid="{00000000-0005-0000-0000-0000AA060000}"/>
    <cellStyle name="Percent 3 2" xfId="265" xr:uid="{00000000-0005-0000-0000-0000AB060000}"/>
    <cellStyle name="Percent 3 3" xfId="1741" xr:uid="{00000000-0005-0000-0000-0000AC060000}"/>
    <cellStyle name="Percent 4" xfId="266" xr:uid="{00000000-0005-0000-0000-0000AD060000}"/>
    <cellStyle name="Percent 4 2" xfId="1742" xr:uid="{00000000-0005-0000-0000-0000AE060000}"/>
    <cellStyle name="Percent 5" xfId="1743" xr:uid="{00000000-0005-0000-0000-0000AF060000}"/>
    <cellStyle name="Percent 5 2" xfId="1811" xr:uid="{00000000-0005-0000-0000-0000B0060000}"/>
    <cellStyle name="PercentSales" xfId="267" xr:uid="{00000000-0005-0000-0000-0000B1060000}"/>
    <cellStyle name="PrePop Currency (0)" xfId="268" xr:uid="{00000000-0005-0000-0000-0000B2060000}"/>
    <cellStyle name="PrePop Currency (2)" xfId="269" xr:uid="{00000000-0005-0000-0000-0000B3060000}"/>
    <cellStyle name="PrePop Units (0)" xfId="270" xr:uid="{00000000-0005-0000-0000-0000B4060000}"/>
    <cellStyle name="PrePop Units (1)" xfId="271" xr:uid="{00000000-0005-0000-0000-0000B5060000}"/>
    <cellStyle name="PrePop Units (2)" xfId="272" xr:uid="{00000000-0005-0000-0000-0000B6060000}"/>
    <cellStyle name="Red font" xfId="273" xr:uid="{00000000-0005-0000-0000-0000B7060000}"/>
    <cellStyle name="regstoresfromspecstores" xfId="274" xr:uid="{00000000-0005-0000-0000-0000B8060000}"/>
    <cellStyle name="RevList" xfId="275" xr:uid="{00000000-0005-0000-0000-0000B9060000}"/>
    <cellStyle name="S0" xfId="276" xr:uid="{00000000-0005-0000-0000-0000BA060000}"/>
    <cellStyle name="S0 2" xfId="1812" xr:uid="{00000000-0005-0000-0000-0000BB060000}"/>
    <cellStyle name="S0 3" xfId="1813" xr:uid="{00000000-0005-0000-0000-0000BC060000}"/>
    <cellStyle name="S1" xfId="277" xr:uid="{00000000-0005-0000-0000-0000BD060000}"/>
    <cellStyle name="S1 2" xfId="1814" xr:uid="{00000000-0005-0000-0000-0000BE060000}"/>
    <cellStyle name="S1 3" xfId="1815" xr:uid="{00000000-0005-0000-0000-0000BF060000}"/>
    <cellStyle name="S10" xfId="278" xr:uid="{00000000-0005-0000-0000-0000C0060000}"/>
    <cellStyle name="S10 2" xfId="1816" xr:uid="{00000000-0005-0000-0000-0000C1060000}"/>
    <cellStyle name="S10 3" xfId="1817" xr:uid="{00000000-0005-0000-0000-0000C2060000}"/>
    <cellStyle name="S11" xfId="279" xr:uid="{00000000-0005-0000-0000-0000C3060000}"/>
    <cellStyle name="S11 2" xfId="1818" xr:uid="{00000000-0005-0000-0000-0000C4060000}"/>
    <cellStyle name="S11 3" xfId="1819" xr:uid="{00000000-0005-0000-0000-0000C5060000}"/>
    <cellStyle name="S12" xfId="280" xr:uid="{00000000-0005-0000-0000-0000C6060000}"/>
    <cellStyle name="S12 2" xfId="1820" xr:uid="{00000000-0005-0000-0000-0000C7060000}"/>
    <cellStyle name="S12 3" xfId="1821" xr:uid="{00000000-0005-0000-0000-0000C8060000}"/>
    <cellStyle name="S13" xfId="281" xr:uid="{00000000-0005-0000-0000-0000C9060000}"/>
    <cellStyle name="S14" xfId="282" xr:uid="{00000000-0005-0000-0000-0000CA060000}"/>
    <cellStyle name="S15" xfId="283" xr:uid="{00000000-0005-0000-0000-0000CB060000}"/>
    <cellStyle name="S16" xfId="284" xr:uid="{00000000-0005-0000-0000-0000CC060000}"/>
    <cellStyle name="S17" xfId="285" xr:uid="{00000000-0005-0000-0000-0000CD060000}"/>
    <cellStyle name="S18" xfId="286" xr:uid="{00000000-0005-0000-0000-0000CE060000}"/>
    <cellStyle name="S19" xfId="287" xr:uid="{00000000-0005-0000-0000-0000CF060000}"/>
    <cellStyle name="S2" xfId="288" xr:uid="{00000000-0005-0000-0000-0000D0060000}"/>
    <cellStyle name="S2 2" xfId="1822" xr:uid="{00000000-0005-0000-0000-0000D1060000}"/>
    <cellStyle name="S2 3" xfId="1823" xr:uid="{00000000-0005-0000-0000-0000D2060000}"/>
    <cellStyle name="S20" xfId="289" xr:uid="{00000000-0005-0000-0000-0000D3060000}"/>
    <cellStyle name="S21" xfId="290" xr:uid="{00000000-0005-0000-0000-0000D4060000}"/>
    <cellStyle name="S22" xfId="1824" xr:uid="{00000000-0005-0000-0000-0000D5060000}"/>
    <cellStyle name="S23" xfId="1825" xr:uid="{00000000-0005-0000-0000-0000D6060000}"/>
    <cellStyle name="S24" xfId="1826" xr:uid="{00000000-0005-0000-0000-0000D7060000}"/>
    <cellStyle name="S25" xfId="1827" xr:uid="{00000000-0005-0000-0000-0000D8060000}"/>
    <cellStyle name="S26" xfId="1828" xr:uid="{00000000-0005-0000-0000-0000D9060000}"/>
    <cellStyle name="S27" xfId="1829" xr:uid="{00000000-0005-0000-0000-0000DA060000}"/>
    <cellStyle name="S28" xfId="1830" xr:uid="{00000000-0005-0000-0000-0000DB060000}"/>
    <cellStyle name="S29" xfId="1831" xr:uid="{00000000-0005-0000-0000-0000DC060000}"/>
    <cellStyle name="S3" xfId="291" xr:uid="{00000000-0005-0000-0000-0000DD060000}"/>
    <cellStyle name="S3 2" xfId="1832" xr:uid="{00000000-0005-0000-0000-0000DE060000}"/>
    <cellStyle name="S3 3" xfId="1833" xr:uid="{00000000-0005-0000-0000-0000DF060000}"/>
    <cellStyle name="S30" xfId="1834" xr:uid="{00000000-0005-0000-0000-0000E0060000}"/>
    <cellStyle name="S31" xfId="1835" xr:uid="{00000000-0005-0000-0000-0000E1060000}"/>
    <cellStyle name="S32" xfId="1836" xr:uid="{00000000-0005-0000-0000-0000E2060000}"/>
    <cellStyle name="S33" xfId="1837" xr:uid="{00000000-0005-0000-0000-0000E3060000}"/>
    <cellStyle name="S34" xfId="1838" xr:uid="{00000000-0005-0000-0000-0000E4060000}"/>
    <cellStyle name="S35" xfId="1839" xr:uid="{00000000-0005-0000-0000-0000E5060000}"/>
    <cellStyle name="S36" xfId="1840" xr:uid="{00000000-0005-0000-0000-0000E6060000}"/>
    <cellStyle name="S37" xfId="1841" xr:uid="{00000000-0005-0000-0000-0000E7060000}"/>
    <cellStyle name="S38" xfId="1842" xr:uid="{00000000-0005-0000-0000-0000E8060000}"/>
    <cellStyle name="S39" xfId="1843" xr:uid="{00000000-0005-0000-0000-0000E9060000}"/>
    <cellStyle name="S4" xfId="292" xr:uid="{00000000-0005-0000-0000-0000EA060000}"/>
    <cellStyle name="S4 2" xfId="1844" xr:uid="{00000000-0005-0000-0000-0000EB060000}"/>
    <cellStyle name="S4 3" xfId="1845" xr:uid="{00000000-0005-0000-0000-0000EC060000}"/>
    <cellStyle name="S40" xfId="1846" xr:uid="{00000000-0005-0000-0000-0000ED060000}"/>
    <cellStyle name="S41" xfId="1847" xr:uid="{00000000-0005-0000-0000-0000EE060000}"/>
    <cellStyle name="S42" xfId="1848" xr:uid="{00000000-0005-0000-0000-0000EF060000}"/>
    <cellStyle name="S43" xfId="1849" xr:uid="{00000000-0005-0000-0000-0000F0060000}"/>
    <cellStyle name="S5" xfId="293" xr:uid="{00000000-0005-0000-0000-0000F1060000}"/>
    <cellStyle name="S5 2" xfId="1850" xr:uid="{00000000-0005-0000-0000-0000F2060000}"/>
    <cellStyle name="S5 3" xfId="1851" xr:uid="{00000000-0005-0000-0000-0000F3060000}"/>
    <cellStyle name="S6" xfId="294" xr:uid="{00000000-0005-0000-0000-0000F4060000}"/>
    <cellStyle name="S6 2" xfId="1852" xr:uid="{00000000-0005-0000-0000-0000F5060000}"/>
    <cellStyle name="S6 3" xfId="1853" xr:uid="{00000000-0005-0000-0000-0000F6060000}"/>
    <cellStyle name="S7" xfId="295" xr:uid="{00000000-0005-0000-0000-0000F7060000}"/>
    <cellStyle name="S7 2" xfId="1854" xr:uid="{00000000-0005-0000-0000-0000F8060000}"/>
    <cellStyle name="S7 3" xfId="1855" xr:uid="{00000000-0005-0000-0000-0000F9060000}"/>
    <cellStyle name="S8" xfId="296" xr:uid="{00000000-0005-0000-0000-0000FA060000}"/>
    <cellStyle name="S8 2" xfId="1856" xr:uid="{00000000-0005-0000-0000-0000FB060000}"/>
    <cellStyle name="S8 3" xfId="1857" xr:uid="{00000000-0005-0000-0000-0000FC060000}"/>
    <cellStyle name="S9" xfId="297" xr:uid="{00000000-0005-0000-0000-0000FD060000}"/>
    <cellStyle name="S9 2" xfId="1858" xr:uid="{00000000-0005-0000-0000-0000FE060000}"/>
    <cellStyle name="S9 3" xfId="1859" xr:uid="{00000000-0005-0000-0000-0000FF060000}"/>
    <cellStyle name="sbt2" xfId="1744" xr:uid="{00000000-0005-0000-0000-000000070000}"/>
    <cellStyle name="sbt2 2" xfId="1745" xr:uid="{00000000-0005-0000-0000-000001070000}"/>
    <cellStyle name="sbt2 3" xfId="1746" xr:uid="{00000000-0005-0000-0000-000002070000}"/>
    <cellStyle name="SHADEDSTORES" xfId="298" xr:uid="{00000000-0005-0000-0000-000003070000}"/>
    <cellStyle name="SHADEDSTORES 2" xfId="1747" xr:uid="{00000000-0005-0000-0000-000004070000}"/>
    <cellStyle name="SHADEDSTORES 3" xfId="1748" xr:uid="{00000000-0005-0000-0000-000005070000}"/>
    <cellStyle name="specstores" xfId="299" xr:uid="{00000000-0005-0000-0000-000006070000}"/>
    <cellStyle name="Strange" xfId="300" xr:uid="{00000000-0005-0000-0000-000007070000}"/>
    <cellStyle name="subt1" xfId="1749" xr:uid="{00000000-0005-0000-0000-000008070000}"/>
    <cellStyle name="Subtotal" xfId="301" xr:uid="{00000000-0005-0000-0000-000009070000}"/>
    <cellStyle name="Test [green]" xfId="302" xr:uid="{00000000-0005-0000-0000-00000A070000}"/>
    <cellStyle name="Text Indent A" xfId="303" xr:uid="{00000000-0005-0000-0000-00000B070000}"/>
    <cellStyle name="Text Indent B" xfId="304" xr:uid="{00000000-0005-0000-0000-00000C070000}"/>
    <cellStyle name="Text Indent C" xfId="305" xr:uid="{00000000-0005-0000-0000-00000D070000}"/>
    <cellStyle name="TFCF" xfId="306" xr:uid="{00000000-0005-0000-0000-00000E070000}"/>
    <cellStyle name="Title 10" xfId="1750" xr:uid="{00000000-0005-0000-0000-00000F070000}"/>
    <cellStyle name="Title 11" xfId="1751" xr:uid="{00000000-0005-0000-0000-000010070000}"/>
    <cellStyle name="Title 12" xfId="1752" xr:uid="{00000000-0005-0000-0000-000011070000}"/>
    <cellStyle name="Title 2" xfId="1753" xr:uid="{00000000-0005-0000-0000-000012070000}"/>
    <cellStyle name="Title 3" xfId="1754" xr:uid="{00000000-0005-0000-0000-000013070000}"/>
    <cellStyle name="Title 4" xfId="1755" xr:uid="{00000000-0005-0000-0000-000014070000}"/>
    <cellStyle name="Title 5" xfId="1756" xr:uid="{00000000-0005-0000-0000-000015070000}"/>
    <cellStyle name="Title 6" xfId="1757" xr:uid="{00000000-0005-0000-0000-000016070000}"/>
    <cellStyle name="Title 7" xfId="1758" xr:uid="{00000000-0005-0000-0000-000017070000}"/>
    <cellStyle name="Title 8" xfId="1759" xr:uid="{00000000-0005-0000-0000-000018070000}"/>
    <cellStyle name="Title 9" xfId="1760" xr:uid="{00000000-0005-0000-0000-000019070000}"/>
    <cellStyle name="Total 10" xfId="1761" xr:uid="{00000000-0005-0000-0000-00001A070000}"/>
    <cellStyle name="Total 10 2" xfId="1762" xr:uid="{00000000-0005-0000-0000-00001B070000}"/>
    <cellStyle name="Total 10 3" xfId="1763" xr:uid="{00000000-0005-0000-0000-00001C070000}"/>
    <cellStyle name="Total 11" xfId="1764" xr:uid="{00000000-0005-0000-0000-00001D070000}"/>
    <cellStyle name="Total 11 2" xfId="1765" xr:uid="{00000000-0005-0000-0000-00001E070000}"/>
    <cellStyle name="Total 11 3" xfId="1766" xr:uid="{00000000-0005-0000-0000-00001F070000}"/>
    <cellStyle name="Total 12" xfId="1767" xr:uid="{00000000-0005-0000-0000-000020070000}"/>
    <cellStyle name="Total 12 2" xfId="1768" xr:uid="{00000000-0005-0000-0000-000021070000}"/>
    <cellStyle name="Total 12 3" xfId="1769" xr:uid="{00000000-0005-0000-0000-000022070000}"/>
    <cellStyle name="Total 2" xfId="1770" xr:uid="{00000000-0005-0000-0000-000023070000}"/>
    <cellStyle name="Total 2 2" xfId="1771" xr:uid="{00000000-0005-0000-0000-000024070000}"/>
    <cellStyle name="Total 2 3" xfId="1772" xr:uid="{00000000-0005-0000-0000-000025070000}"/>
    <cellStyle name="Total 3" xfId="1773" xr:uid="{00000000-0005-0000-0000-000026070000}"/>
    <cellStyle name="Total 3 2" xfId="1774" xr:uid="{00000000-0005-0000-0000-000027070000}"/>
    <cellStyle name="Total 3 3" xfId="1775" xr:uid="{00000000-0005-0000-0000-000028070000}"/>
    <cellStyle name="Total 4" xfId="1776" xr:uid="{00000000-0005-0000-0000-000029070000}"/>
    <cellStyle name="Total 4 2" xfId="1777" xr:uid="{00000000-0005-0000-0000-00002A070000}"/>
    <cellStyle name="Total 4 3" xfId="1778" xr:uid="{00000000-0005-0000-0000-00002B070000}"/>
    <cellStyle name="Total 5" xfId="1779" xr:uid="{00000000-0005-0000-0000-00002C070000}"/>
    <cellStyle name="Total 5 2" xfId="1780" xr:uid="{00000000-0005-0000-0000-00002D070000}"/>
    <cellStyle name="Total 5 3" xfId="1781" xr:uid="{00000000-0005-0000-0000-00002E070000}"/>
    <cellStyle name="Total 6" xfId="1782" xr:uid="{00000000-0005-0000-0000-00002F070000}"/>
    <cellStyle name="Total 6 2" xfId="1783" xr:uid="{00000000-0005-0000-0000-000030070000}"/>
    <cellStyle name="Total 6 3" xfId="1784" xr:uid="{00000000-0005-0000-0000-000031070000}"/>
    <cellStyle name="Total 7" xfId="1785" xr:uid="{00000000-0005-0000-0000-000032070000}"/>
    <cellStyle name="Total 7 2" xfId="1786" xr:uid="{00000000-0005-0000-0000-000033070000}"/>
    <cellStyle name="Total 7 3" xfId="1787" xr:uid="{00000000-0005-0000-0000-000034070000}"/>
    <cellStyle name="Total 8" xfId="1788" xr:uid="{00000000-0005-0000-0000-000035070000}"/>
    <cellStyle name="Total 8 2" xfId="1789" xr:uid="{00000000-0005-0000-0000-000036070000}"/>
    <cellStyle name="Total 8 3" xfId="1790" xr:uid="{00000000-0005-0000-0000-000037070000}"/>
    <cellStyle name="Total 9" xfId="1791" xr:uid="{00000000-0005-0000-0000-000038070000}"/>
    <cellStyle name="Total 9 2" xfId="1792" xr:uid="{00000000-0005-0000-0000-000039070000}"/>
    <cellStyle name="Total 9 3" xfId="1793" xr:uid="{00000000-0005-0000-0000-00003A070000}"/>
    <cellStyle name="Warning Text 10" xfId="1794" xr:uid="{00000000-0005-0000-0000-00003B070000}"/>
    <cellStyle name="Warning Text 11" xfId="1795" xr:uid="{00000000-0005-0000-0000-00003C070000}"/>
    <cellStyle name="Warning Text 2" xfId="1796" xr:uid="{00000000-0005-0000-0000-00003D070000}"/>
    <cellStyle name="Warning Text 3" xfId="1797" xr:uid="{00000000-0005-0000-0000-00003E070000}"/>
    <cellStyle name="Warning Text 4" xfId="1798" xr:uid="{00000000-0005-0000-0000-00003F070000}"/>
    <cellStyle name="Warning Text 5" xfId="1799" xr:uid="{00000000-0005-0000-0000-000040070000}"/>
    <cellStyle name="Warning Text 6" xfId="1800" xr:uid="{00000000-0005-0000-0000-000041070000}"/>
    <cellStyle name="Warning Text 7" xfId="1801" xr:uid="{00000000-0005-0000-0000-000042070000}"/>
    <cellStyle name="Warning Text 8" xfId="1802" xr:uid="{00000000-0005-0000-0000-000043070000}"/>
    <cellStyle name="Warning Text 9" xfId="1803" xr:uid="{00000000-0005-0000-0000-000044070000}"/>
    <cellStyle name="White" xfId="307" xr:uid="{00000000-0005-0000-0000-000045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EKROLL%202022/PANEN%20AIK%20LIMP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ARE%20B2%20IFES/PRUNING/PRUNNING%202025%20AB/PRUNNING%20MEI%202025%20(P0807,P0808,P980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PH%2021%20AB%20ARE%20B2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ARE%20B2%20IFES/GAJI%20ARE%20B2/GAJI%202025%20AK/PAYROLL%20AIR%20KEMINTING%20ARE%20B2%20APRIL'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ARE%20B2%20IFES/GAJI%20ARE%20B2/GAJI%20WORKSHOP%202025/PAYROL%20WORKSHOP%20APRIL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ARE%20B2%20IFES/GAJI%20ARE%20B2/GAJI%202025%20AK/PAYROLL%20AIR%20KEMINTING%20ARE%20B2%20MEI'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ARE%20B2%20IFES/GAJI%20ARE%20B2/GAJI%20WORKSHOP%202025/PAYROL%20WORKSHOP%20MEI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5">
          <cell r="AL15">
            <v>269860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UNING MEI 24"/>
      <sheetName val="BLOK PRUNING"/>
      <sheetName val="FEB 22 (2)"/>
      <sheetName val="Sheet2"/>
      <sheetName val="BLOK "/>
      <sheetName val="POKOK"/>
      <sheetName val="PENGAJUAN PRUNING MEI 2025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P36">
            <v>10981900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IF"/>
      <sheetName val="PPH 21 JANUARI 2025"/>
      <sheetName val="PPH 21 FEBRUARI 2025"/>
      <sheetName val="PPH 21 THR"/>
      <sheetName val="PPH 21 THR + GAJI MARET"/>
      <sheetName val="PPH 21 APRIL 2025"/>
      <sheetName val="PPH 21 MEI 2025+EXGRATIA 2024"/>
    </sheetNames>
    <sheetDataSet>
      <sheetData sheetId="0"/>
      <sheetData sheetId="1"/>
      <sheetData sheetId="2"/>
      <sheetData sheetId="3"/>
      <sheetData sheetId="4">
        <row r="80">
          <cell r="AR80">
            <v>-346672</v>
          </cell>
        </row>
      </sheetData>
      <sheetData sheetId="5"/>
      <sheetData sheetId="6">
        <row r="88">
          <cell r="AO88">
            <v>1748017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SA KERJA, BERAS"/>
      <sheetName val="MASA KERJA DAN BERAS AK"/>
      <sheetName val="INSENTIVE PANEN "/>
      <sheetName val="ABSEN"/>
      <sheetName val="MONITORING "/>
      <sheetName val="HK PANEN"/>
      <sheetName val="HK PERAWATAN"/>
      <sheetName val="DISTRIBUSI UP-KEEP"/>
      <sheetName val="HK TRANSPORT"/>
      <sheetName val="LEMBUR DAN PREMI UPKEEP"/>
      <sheetName val="PREMI ALAT AK"/>
      <sheetName val="SLIP GAJI"/>
      <sheetName val="PAYROOL AK APRIL 2025"/>
      <sheetName val="BRI 'APRIL 25 PAYROOL"/>
      <sheetName val="REKON GAJI MANUAL VS PLANTW 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72">
          <cell r="C72">
            <v>289887907.67000002</v>
          </cell>
        </row>
      </sheetData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A KERJA"/>
      <sheetName val="HK"/>
      <sheetName val="LEMBUR"/>
      <sheetName val="APRIL 2025"/>
      <sheetName val="BRI APRIL 2025"/>
      <sheetName val="REKON GAJI MANUAL VS PLANTW  AB"/>
      <sheetName val="Distribusi NOVEMBER 2024"/>
    </sheetNames>
    <sheetDataSet>
      <sheetData sheetId="0"/>
      <sheetData sheetId="1"/>
      <sheetData sheetId="2"/>
      <sheetData sheetId="3"/>
      <sheetData sheetId="4">
        <row r="11">
          <cell r="C11">
            <v>27503790.600000001</v>
          </cell>
        </row>
      </sheetData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SA KERJA, BERAS"/>
      <sheetName val="MASA KERJA DAN BERAS AK"/>
      <sheetName val="INSENTIVE PANEN "/>
      <sheetName val="ABSEN"/>
      <sheetName val="MONITORING "/>
      <sheetName val="HK PANEN"/>
      <sheetName val="HK PERAWATAN"/>
      <sheetName val="DISTRIBUSI UP-KEEP"/>
      <sheetName val="HK TRANSPORT"/>
      <sheetName val="LEMBUR DAN PREMI UPKEEP"/>
      <sheetName val="PREMI ALAT AK"/>
      <sheetName val="SLIP"/>
      <sheetName val="PAYROOL AK MEI 2025"/>
      <sheetName val="BRI 'MEI 25 PAYROOL"/>
      <sheetName val="REKON GAJI MANUAL VS PLANTW 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70">
          <cell r="C70">
            <v>283208431.47000003</v>
          </cell>
        </row>
      </sheetData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A KERJA"/>
      <sheetName val="HK"/>
      <sheetName val="LEMBUR"/>
      <sheetName val="MEI 2025"/>
      <sheetName val="BRI MEI 2025"/>
      <sheetName val="REKON GAJI MANUAL VS PLANTW  AB"/>
      <sheetName val="Distribusi NOVEMBER 2024"/>
    </sheetNames>
    <sheetDataSet>
      <sheetData sheetId="0"/>
      <sheetData sheetId="1"/>
      <sheetData sheetId="2"/>
      <sheetData sheetId="3"/>
      <sheetData sheetId="4">
        <row r="11">
          <cell r="C11">
            <v>27242770.82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6"/>
  <sheetViews>
    <sheetView zoomScale="90" zoomScaleNormal="90" workbookViewId="0">
      <pane xSplit="2" ySplit="8" topLeftCell="C60" activePane="bottomRight" state="frozen"/>
      <selection pane="topRight" activeCell="C1" sqref="C1"/>
      <selection pane="bottomLeft" activeCell="A9" sqref="A9"/>
      <selection pane="bottomRight" activeCell="C79" sqref="C79"/>
    </sheetView>
  </sheetViews>
  <sheetFormatPr defaultRowHeight="14.25"/>
  <cols>
    <col min="1" max="1" width="4" style="211" customWidth="1"/>
    <col min="2" max="2" width="29" style="198" bestFit="1" customWidth="1"/>
    <col min="3" max="3" width="19.28515625" style="245" customWidth="1"/>
    <col min="4" max="4" width="29" style="198" customWidth="1"/>
    <col min="5" max="5" width="20.28515625" style="245" customWidth="1"/>
    <col min="6" max="6" width="37" style="199" bestFit="1" customWidth="1"/>
    <col min="7" max="7" width="6.42578125" style="202" customWidth="1"/>
    <col min="8" max="8" width="9.140625" style="211" customWidth="1"/>
    <col min="9" max="9" width="13.85546875" style="230" customWidth="1"/>
    <col min="10" max="10" width="11.140625" style="211" customWidth="1"/>
    <col min="11" max="11" width="13.85546875" style="230" customWidth="1"/>
    <col min="12" max="16384" width="9.140625" style="198"/>
  </cols>
  <sheetData>
    <row r="1" spans="1:14" s="197" customFormat="1" ht="18.75">
      <c r="A1" s="210" t="s">
        <v>383</v>
      </c>
      <c r="B1" s="196"/>
      <c r="C1" s="244"/>
      <c r="D1" s="196"/>
      <c r="E1" s="244"/>
      <c r="F1" s="196"/>
      <c r="G1" s="210"/>
      <c r="H1" s="210"/>
      <c r="I1" s="229"/>
      <c r="J1" s="210"/>
      <c r="K1" s="229"/>
    </row>
    <row r="2" spans="1:14" s="197" customFormat="1" ht="18.75">
      <c r="A2" s="210" t="s">
        <v>473</v>
      </c>
      <c r="B2" s="196"/>
      <c r="C2" s="244"/>
      <c r="D2" s="196"/>
      <c r="E2" s="244"/>
      <c r="F2" s="196"/>
      <c r="G2" s="210"/>
      <c r="H2" s="210"/>
      <c r="I2" s="229"/>
      <c r="J2" s="210"/>
      <c r="K2" s="229"/>
    </row>
    <row r="4" spans="1:14">
      <c r="A4" s="211" t="s">
        <v>384</v>
      </c>
      <c r="E4" s="246">
        <v>45808</v>
      </c>
    </row>
    <row r="5" spans="1:14">
      <c r="I5" s="211"/>
      <c r="K5" s="211"/>
    </row>
    <row r="6" spans="1:14" s="201" customFormat="1" ht="16.5" thickBot="1">
      <c r="A6" s="264" t="s">
        <v>385</v>
      </c>
      <c r="B6" s="240"/>
      <c r="C6" s="247"/>
      <c r="E6" s="247"/>
      <c r="F6" s="200"/>
      <c r="G6" s="76"/>
      <c r="H6" s="76"/>
      <c r="I6" s="231"/>
      <c r="J6" s="76"/>
      <c r="K6" s="231"/>
    </row>
    <row r="7" spans="1:14" s="202" customFormat="1" ht="57.75" thickBot="1">
      <c r="A7" s="204" t="s">
        <v>386</v>
      </c>
      <c r="B7" s="205" t="s">
        <v>387</v>
      </c>
      <c r="C7" s="248" t="s">
        <v>410</v>
      </c>
      <c r="D7" s="205" t="s">
        <v>411</v>
      </c>
      <c r="E7" s="255" t="s">
        <v>442</v>
      </c>
      <c r="F7" s="205" t="s">
        <v>352</v>
      </c>
      <c r="G7" s="462" t="s">
        <v>564</v>
      </c>
      <c r="H7" s="461" t="s">
        <v>412</v>
      </c>
      <c r="I7" s="232" t="s">
        <v>413</v>
      </c>
      <c r="J7" s="203" t="s">
        <v>390</v>
      </c>
      <c r="K7" s="236" t="s">
        <v>414</v>
      </c>
      <c r="L7" s="202" t="s">
        <v>708</v>
      </c>
      <c r="M7" s="202" t="s">
        <v>709</v>
      </c>
    </row>
    <row r="8" spans="1:14">
      <c r="A8" s="206">
        <v>1</v>
      </c>
      <c r="B8" s="207" t="s">
        <v>438</v>
      </c>
      <c r="C8" s="251">
        <v>28404</v>
      </c>
      <c r="D8" s="208" t="str">
        <f t="shared" ref="D8:D40" si="0">DATEDIF(C8,$E$4,"Y")&amp;" Tahun, "&amp;DATEDIF(C8,$E$4,"YM")&amp;" Bulan, "&amp;DATEDIF(C8,$E$4,"MD")&amp;" hari"</f>
        <v>47 Tahun, 7 Bulan, 25 hari</v>
      </c>
      <c r="E8" s="249" t="s">
        <v>441</v>
      </c>
      <c r="F8" s="208" t="str">
        <f>DATEDIF(E8,$E$4,"Y")&amp;" Tahun, "&amp;DATEDIF(E8,$E$4,"YM")&amp;" Bulan, "&amp;DATEDIF(E8,$E$4,"MD")&amp;" hari"</f>
        <v>17 Tahun, 4 Bulan, 28 hari</v>
      </c>
      <c r="G8" s="258">
        <v>3</v>
      </c>
      <c r="H8" s="212">
        <v>17</v>
      </c>
      <c r="I8" s="256">
        <v>50500</v>
      </c>
      <c r="J8" s="441" t="s">
        <v>191</v>
      </c>
      <c r="K8" s="237">
        <v>4650</v>
      </c>
      <c r="L8" s="198">
        <v>47000</v>
      </c>
      <c r="M8" s="259">
        <v>50500</v>
      </c>
      <c r="N8" s="259">
        <f>L8-M8</f>
        <v>-3500</v>
      </c>
    </row>
    <row r="9" spans="1:14">
      <c r="A9" s="434">
        <v>2</v>
      </c>
      <c r="B9" s="438" t="s">
        <v>101</v>
      </c>
      <c r="C9" s="439">
        <v>29628</v>
      </c>
      <c r="D9" s="575" t="str">
        <f t="shared" si="0"/>
        <v>44 Tahun, 3 Bulan, 20 hari</v>
      </c>
      <c r="E9" s="576" t="s">
        <v>426</v>
      </c>
      <c r="F9" s="575" t="str">
        <f t="shared" ref="F9:F38" si="1">DATEDIF(E9,$E$4,"Y")&amp;" Tahun, "&amp;DATEDIF(E9,$E$4,"YM")&amp;" Bulan, "&amp;DATEDIF(E9,$E$4,"MD")&amp;" hari"</f>
        <v>17 Tahun, 4 Bulan, 24 hari</v>
      </c>
      <c r="G9" s="440">
        <v>7</v>
      </c>
      <c r="H9" s="441">
        <v>16</v>
      </c>
      <c r="I9" s="577">
        <v>47000</v>
      </c>
      <c r="J9" s="257" t="s">
        <v>673</v>
      </c>
      <c r="K9" s="443">
        <v>2250</v>
      </c>
      <c r="L9" s="198">
        <v>47000</v>
      </c>
      <c r="M9" s="259"/>
      <c r="N9" s="259">
        <f t="shared" ref="N9:N68" si="2">L9-M9</f>
        <v>47000</v>
      </c>
    </row>
    <row r="10" spans="1:14">
      <c r="A10" s="434">
        <v>3</v>
      </c>
      <c r="B10" s="438" t="s">
        <v>187</v>
      </c>
      <c r="C10" s="439">
        <v>32199</v>
      </c>
      <c r="D10" s="575" t="str">
        <f t="shared" si="0"/>
        <v>37 Tahun, 3 Bulan, 5 hari</v>
      </c>
      <c r="E10" s="576" t="s">
        <v>427</v>
      </c>
      <c r="F10" s="575" t="str">
        <f t="shared" si="1"/>
        <v>10 Tahun, 3 Bulan, 26 hari</v>
      </c>
      <c r="G10" s="440">
        <v>5</v>
      </c>
      <c r="H10" s="441">
        <v>10</v>
      </c>
      <c r="I10" s="1238">
        <v>27000</v>
      </c>
      <c r="J10" s="257" t="s">
        <v>673</v>
      </c>
      <c r="K10" s="578">
        <v>2250</v>
      </c>
      <c r="L10" s="198">
        <v>24000</v>
      </c>
      <c r="M10" s="259"/>
      <c r="N10" s="259">
        <f t="shared" si="2"/>
        <v>24000</v>
      </c>
    </row>
    <row r="11" spans="1:14">
      <c r="A11" s="434">
        <v>4</v>
      </c>
      <c r="B11" s="593" t="s">
        <v>480</v>
      </c>
      <c r="C11" s="435">
        <v>34692</v>
      </c>
      <c r="D11" s="575" t="str">
        <f t="shared" si="0"/>
        <v>30 Tahun, 5 Bulan, 7 hari</v>
      </c>
      <c r="E11" s="594">
        <v>41625</v>
      </c>
      <c r="F11" s="437" t="str">
        <f t="shared" si="1"/>
        <v>11 Tahun, 5 Bulan, 14 hari</v>
      </c>
      <c r="G11" s="595">
        <v>12</v>
      </c>
      <c r="H11" s="596">
        <v>10</v>
      </c>
      <c r="I11" s="597">
        <v>27000</v>
      </c>
      <c r="J11" s="257" t="s">
        <v>191</v>
      </c>
      <c r="K11" s="578">
        <v>4650</v>
      </c>
      <c r="L11" s="198">
        <v>30000</v>
      </c>
      <c r="M11" s="259"/>
      <c r="N11" s="259">
        <f t="shared" si="2"/>
        <v>30000</v>
      </c>
    </row>
    <row r="12" spans="1:14" s="592" customFormat="1">
      <c r="A12" s="434">
        <v>5</v>
      </c>
      <c r="B12" s="598" t="s">
        <v>628</v>
      </c>
      <c r="C12" s="599">
        <v>32206</v>
      </c>
      <c r="D12" s="575" t="str">
        <f t="shared" si="0"/>
        <v>37 Tahun, 2 Bulan, 27 hari</v>
      </c>
      <c r="E12" s="600" t="s">
        <v>637</v>
      </c>
      <c r="F12" s="437" t="str">
        <f t="shared" si="1"/>
        <v>16 Tahun, 2 Bulan, 20 hari</v>
      </c>
      <c r="G12" s="601">
        <v>11</v>
      </c>
      <c r="H12" s="601">
        <v>15</v>
      </c>
      <c r="I12" s="602">
        <v>43500</v>
      </c>
      <c r="J12" s="257" t="s">
        <v>673</v>
      </c>
      <c r="K12" s="443">
        <v>2250</v>
      </c>
      <c r="L12" s="198">
        <v>43500</v>
      </c>
      <c r="M12" s="259"/>
      <c r="N12" s="259">
        <f t="shared" si="2"/>
        <v>43500</v>
      </c>
    </row>
    <row r="13" spans="1:14">
      <c r="A13" s="434">
        <v>6</v>
      </c>
      <c r="B13" s="438" t="s">
        <v>198</v>
      </c>
      <c r="C13" s="439">
        <v>36272</v>
      </c>
      <c r="D13" s="575" t="str">
        <f t="shared" si="0"/>
        <v>26 Tahun, 1 Bulan, 9 hari</v>
      </c>
      <c r="E13" s="576" t="s">
        <v>428</v>
      </c>
      <c r="F13" s="575" t="str">
        <f>DATEDIF(E13,$E$4,"Y")&amp;" Tahun, "&amp;DATEDIF(E13,$E$4,"YM")&amp;" Bulan, "&amp;DATEDIF(E13,$E$4,"MD")&amp;" hari"</f>
        <v>7 Tahun, 6 Bulan, 24 hari</v>
      </c>
      <c r="G13" s="440">
        <v>7</v>
      </c>
      <c r="H13" s="441">
        <v>7</v>
      </c>
      <c r="I13" s="577">
        <v>18000</v>
      </c>
      <c r="J13" s="441" t="s">
        <v>191</v>
      </c>
      <c r="K13" s="578">
        <v>4650</v>
      </c>
      <c r="L13" s="198">
        <v>18000</v>
      </c>
      <c r="M13" s="259"/>
      <c r="N13" s="259">
        <f t="shared" si="2"/>
        <v>18000</v>
      </c>
    </row>
    <row r="14" spans="1:14">
      <c r="A14" s="434">
        <v>7</v>
      </c>
      <c r="B14" s="438" t="s">
        <v>439</v>
      </c>
      <c r="C14" s="439">
        <v>27613</v>
      </c>
      <c r="D14" s="575" t="str">
        <f t="shared" si="0"/>
        <v>49 Tahun, 9 Bulan, 24 hari</v>
      </c>
      <c r="E14" s="576" t="s">
        <v>440</v>
      </c>
      <c r="F14" s="575" t="str">
        <f>DATEDIF(E14,$E$4,"Y")&amp;" Tahun, "&amp;DATEDIF(E14,$E$4,"YM")&amp;" Bulan, "&amp;DATEDIF(E14,$E$4,"MD")&amp;" hari"</f>
        <v>12 Tahun, 4 Bulan, 28 hari</v>
      </c>
      <c r="G14" s="440">
        <v>3</v>
      </c>
      <c r="H14" s="441">
        <v>12</v>
      </c>
      <c r="I14" s="577">
        <v>33000</v>
      </c>
      <c r="J14" s="758" t="s">
        <v>707</v>
      </c>
      <c r="K14" s="757">
        <v>4200</v>
      </c>
      <c r="L14" s="198">
        <v>30000</v>
      </c>
      <c r="M14" s="259">
        <v>33000</v>
      </c>
      <c r="N14" s="259">
        <f t="shared" si="2"/>
        <v>-3000</v>
      </c>
    </row>
    <row r="15" spans="1:14">
      <c r="A15" s="434">
        <v>8</v>
      </c>
      <c r="B15" s="438" t="s">
        <v>185</v>
      </c>
      <c r="C15" s="439">
        <v>26788</v>
      </c>
      <c r="D15" s="575" t="str">
        <f t="shared" si="0"/>
        <v>52 Tahun, 0 Bulan, 27 hari</v>
      </c>
      <c r="E15" s="576" t="s">
        <v>429</v>
      </c>
      <c r="F15" s="575" t="str">
        <f t="shared" si="1"/>
        <v>10 Tahun, 4 Bulan, 28 hari</v>
      </c>
      <c r="G15" s="440">
        <v>3</v>
      </c>
      <c r="H15" s="441">
        <v>10</v>
      </c>
      <c r="I15" s="577">
        <v>27000</v>
      </c>
      <c r="J15" s="441" t="s">
        <v>191</v>
      </c>
      <c r="K15" s="578">
        <v>4650</v>
      </c>
      <c r="L15" s="198">
        <v>24000</v>
      </c>
      <c r="M15" s="259">
        <v>27000</v>
      </c>
      <c r="N15" s="259">
        <f t="shared" si="2"/>
        <v>-3000</v>
      </c>
    </row>
    <row r="16" spans="1:14">
      <c r="A16" s="434">
        <v>9</v>
      </c>
      <c r="B16" s="438" t="s">
        <v>379</v>
      </c>
      <c r="C16" s="439">
        <v>34738</v>
      </c>
      <c r="D16" s="575" t="str">
        <f t="shared" si="0"/>
        <v>30 Tahun, 3 Bulan, 23 hari</v>
      </c>
      <c r="E16" s="576" t="s">
        <v>401</v>
      </c>
      <c r="F16" s="575" t="str">
        <f t="shared" si="1"/>
        <v>12 Tahun, 4 Bulan, 27 hari</v>
      </c>
      <c r="G16" s="440">
        <v>4</v>
      </c>
      <c r="H16" s="441">
        <v>12</v>
      </c>
      <c r="I16" s="577">
        <v>33000</v>
      </c>
      <c r="J16" s="257" t="s">
        <v>673</v>
      </c>
      <c r="K16" s="578">
        <v>2250</v>
      </c>
      <c r="L16" s="198">
        <v>30000</v>
      </c>
      <c r="M16" s="259"/>
      <c r="N16" s="259">
        <f t="shared" si="2"/>
        <v>30000</v>
      </c>
    </row>
    <row r="17" spans="1:14">
      <c r="A17" s="434">
        <v>10</v>
      </c>
      <c r="B17" s="438" t="s">
        <v>102</v>
      </c>
      <c r="C17" s="439">
        <v>29553</v>
      </c>
      <c r="D17" s="575" t="str">
        <f t="shared" si="0"/>
        <v>44 Tahun, 6 Bulan, 3 hari</v>
      </c>
      <c r="E17" s="576" t="s">
        <v>430</v>
      </c>
      <c r="F17" s="575" t="str">
        <f t="shared" si="1"/>
        <v>17 Tahun, 1 Bulan, 23 hari</v>
      </c>
      <c r="G17" s="440">
        <v>8</v>
      </c>
      <c r="H17" s="441">
        <v>16</v>
      </c>
      <c r="I17" s="577">
        <v>43500</v>
      </c>
      <c r="J17" s="257" t="s">
        <v>673</v>
      </c>
      <c r="K17" s="578">
        <v>2250</v>
      </c>
      <c r="L17" s="198">
        <v>43500</v>
      </c>
      <c r="M17" s="259"/>
      <c r="N17" s="259">
        <f t="shared" si="2"/>
        <v>43500</v>
      </c>
    </row>
    <row r="18" spans="1:14">
      <c r="A18" s="434">
        <v>11</v>
      </c>
      <c r="B18" s="438" t="s">
        <v>103</v>
      </c>
      <c r="C18" s="439">
        <v>30762</v>
      </c>
      <c r="D18" s="575" t="str">
        <f t="shared" si="0"/>
        <v>41 Tahun, 2 Bulan, 10 hari</v>
      </c>
      <c r="E18" s="576" t="s">
        <v>399</v>
      </c>
      <c r="F18" s="575" t="str">
        <f t="shared" si="1"/>
        <v>10 Tahun, 9 Bulan, 19 hari</v>
      </c>
      <c r="G18" s="440">
        <v>12</v>
      </c>
      <c r="H18" s="441">
        <v>10</v>
      </c>
      <c r="I18" s="577">
        <v>24000</v>
      </c>
      <c r="J18" s="257" t="s">
        <v>673</v>
      </c>
      <c r="K18" s="578">
        <v>2250</v>
      </c>
      <c r="L18" s="198">
        <v>24000</v>
      </c>
      <c r="M18" s="259"/>
      <c r="N18" s="259">
        <f t="shared" si="2"/>
        <v>24000</v>
      </c>
    </row>
    <row r="19" spans="1:14">
      <c r="A19" s="434">
        <v>12</v>
      </c>
      <c r="B19" s="438" t="s">
        <v>104</v>
      </c>
      <c r="C19" s="439">
        <v>29050</v>
      </c>
      <c r="D19" s="575" t="str">
        <f t="shared" si="0"/>
        <v>45 Tahun, 10 Bulan, 17 hari</v>
      </c>
      <c r="E19" s="576" t="s">
        <v>431</v>
      </c>
      <c r="F19" s="575" t="str">
        <f t="shared" si="1"/>
        <v>17 Tahun, 4 Bulan, 23 hari</v>
      </c>
      <c r="G19" s="440">
        <v>8</v>
      </c>
      <c r="H19" s="441">
        <v>16</v>
      </c>
      <c r="I19" s="577">
        <v>47000</v>
      </c>
      <c r="J19" s="257" t="s">
        <v>673</v>
      </c>
      <c r="K19" s="578">
        <v>2250</v>
      </c>
      <c r="L19" s="198">
        <v>47000</v>
      </c>
      <c r="M19" s="259"/>
      <c r="N19" s="259">
        <f t="shared" si="2"/>
        <v>47000</v>
      </c>
    </row>
    <row r="20" spans="1:14">
      <c r="A20" s="434">
        <v>13</v>
      </c>
      <c r="B20" s="438" t="s">
        <v>105</v>
      </c>
      <c r="C20" s="439">
        <v>30894</v>
      </c>
      <c r="D20" s="575" t="str">
        <f t="shared" si="0"/>
        <v>40 Tahun, 10 Bulan, 0 hari</v>
      </c>
      <c r="E20" s="576" t="s">
        <v>432</v>
      </c>
      <c r="F20" s="575" t="str">
        <f t="shared" si="1"/>
        <v>17 Tahun, 4 Bulan, 27 hari</v>
      </c>
      <c r="G20" s="440">
        <v>4</v>
      </c>
      <c r="H20" s="441">
        <v>17</v>
      </c>
      <c r="I20" s="577">
        <v>50500</v>
      </c>
      <c r="J20" s="257" t="s">
        <v>673</v>
      </c>
      <c r="K20" s="578">
        <v>2250</v>
      </c>
      <c r="L20" s="198">
        <v>47000</v>
      </c>
      <c r="M20" s="259"/>
      <c r="N20" s="259">
        <f t="shared" si="2"/>
        <v>47000</v>
      </c>
    </row>
    <row r="21" spans="1:14">
      <c r="A21" s="434">
        <v>14</v>
      </c>
      <c r="B21" s="438" t="s">
        <v>226</v>
      </c>
      <c r="C21" s="439">
        <v>28538</v>
      </c>
      <c r="D21" s="575" t="str">
        <f t="shared" si="0"/>
        <v>47 Tahun, 3 Bulan, 14 hari</v>
      </c>
      <c r="E21" s="576" t="s">
        <v>432</v>
      </c>
      <c r="F21" s="575" t="str">
        <f t="shared" si="1"/>
        <v>17 Tahun, 4 Bulan, 27 hari</v>
      </c>
      <c r="G21" s="440">
        <v>4</v>
      </c>
      <c r="H21" s="441">
        <v>17</v>
      </c>
      <c r="I21" s="577">
        <v>50500</v>
      </c>
      <c r="J21" s="441" t="s">
        <v>192</v>
      </c>
      <c r="K21" s="578">
        <v>5550</v>
      </c>
      <c r="L21" s="198">
        <v>47000</v>
      </c>
      <c r="M21" s="259"/>
      <c r="N21" s="259">
        <f t="shared" si="2"/>
        <v>47000</v>
      </c>
    </row>
    <row r="22" spans="1:14" s="1240" customFormat="1">
      <c r="A22" s="1254">
        <v>15</v>
      </c>
      <c r="B22" s="1255" t="s">
        <v>106</v>
      </c>
      <c r="C22" s="1256">
        <v>25815</v>
      </c>
      <c r="D22" s="581" t="str">
        <f t="shared" si="0"/>
        <v>54 Tahun, 8 Bulan, 27 hari</v>
      </c>
      <c r="E22" s="1257" t="s">
        <v>433</v>
      </c>
      <c r="F22" s="581" t="str">
        <f t="shared" si="1"/>
        <v>17 Tahun, 4 Bulan, 22 hari</v>
      </c>
      <c r="G22" s="1258">
        <v>9</v>
      </c>
      <c r="H22" s="756">
        <v>16</v>
      </c>
      <c r="I22" s="1238">
        <v>47000</v>
      </c>
      <c r="J22" s="758" t="s">
        <v>673</v>
      </c>
      <c r="K22" s="757">
        <v>2250</v>
      </c>
      <c r="L22" s="1240">
        <v>47000</v>
      </c>
      <c r="M22" s="1259"/>
      <c r="N22" s="1259">
        <f t="shared" si="2"/>
        <v>47000</v>
      </c>
    </row>
    <row r="23" spans="1:14">
      <c r="A23" s="434">
        <v>16</v>
      </c>
      <c r="B23" s="438" t="s">
        <v>107</v>
      </c>
      <c r="C23" s="439">
        <v>27242</v>
      </c>
      <c r="D23" s="575" t="str">
        <f t="shared" si="0"/>
        <v>50 Tahun, 9 Bulan, 30 hari</v>
      </c>
      <c r="E23" s="576" t="s">
        <v>432</v>
      </c>
      <c r="F23" s="575" t="str">
        <f t="shared" si="1"/>
        <v>17 Tahun, 4 Bulan, 27 hari</v>
      </c>
      <c r="G23" s="440">
        <v>4</v>
      </c>
      <c r="H23" s="441">
        <v>17</v>
      </c>
      <c r="I23" s="577">
        <v>50500</v>
      </c>
      <c r="J23" s="257" t="s">
        <v>673</v>
      </c>
      <c r="K23" s="578">
        <v>2250</v>
      </c>
      <c r="L23" s="198">
        <v>47000</v>
      </c>
      <c r="M23" s="259"/>
      <c r="N23" s="259">
        <f t="shared" si="2"/>
        <v>47000</v>
      </c>
    </row>
    <row r="24" spans="1:14">
      <c r="A24" s="434">
        <v>17</v>
      </c>
      <c r="B24" s="438" t="s">
        <v>108</v>
      </c>
      <c r="C24" s="439">
        <v>31594</v>
      </c>
      <c r="D24" s="575" t="str">
        <f t="shared" si="0"/>
        <v>38 Tahun, 10 Bulan, 30 hari</v>
      </c>
      <c r="E24" s="576" t="s">
        <v>429</v>
      </c>
      <c r="F24" s="575" t="str">
        <f t="shared" si="1"/>
        <v>10 Tahun, 4 Bulan, 28 hari</v>
      </c>
      <c r="G24" s="440">
        <v>3</v>
      </c>
      <c r="H24" s="441">
        <v>10</v>
      </c>
      <c r="I24" s="577">
        <v>27000</v>
      </c>
      <c r="J24" s="257" t="s">
        <v>673</v>
      </c>
      <c r="K24" s="578">
        <v>2250</v>
      </c>
      <c r="L24" s="198">
        <v>24000</v>
      </c>
      <c r="M24" s="259">
        <v>27000</v>
      </c>
      <c r="N24" s="259">
        <f t="shared" si="2"/>
        <v>-3000</v>
      </c>
    </row>
    <row r="25" spans="1:14">
      <c r="A25" s="434">
        <v>18</v>
      </c>
      <c r="B25" s="438" t="s">
        <v>380</v>
      </c>
      <c r="C25" s="439">
        <v>32231</v>
      </c>
      <c r="D25" s="575" t="str">
        <f t="shared" si="0"/>
        <v>37 Tahun, 2 Bulan, 2 hari</v>
      </c>
      <c r="E25" s="576" t="s">
        <v>434</v>
      </c>
      <c r="F25" s="575" t="str">
        <f t="shared" si="1"/>
        <v>16 Tahun, 4 Bulan, 30 hari</v>
      </c>
      <c r="G25" s="440">
        <v>1</v>
      </c>
      <c r="H25" s="441">
        <v>16</v>
      </c>
      <c r="I25" s="577">
        <v>43500</v>
      </c>
      <c r="J25" s="441" t="s">
        <v>192</v>
      </c>
      <c r="K25" s="578">
        <v>5550</v>
      </c>
      <c r="L25" s="198">
        <v>43500</v>
      </c>
      <c r="M25" s="259"/>
      <c r="N25" s="259">
        <f t="shared" si="2"/>
        <v>43500</v>
      </c>
    </row>
    <row r="26" spans="1:14">
      <c r="A26" s="434">
        <v>19</v>
      </c>
      <c r="B26" s="438" t="s">
        <v>109</v>
      </c>
      <c r="C26" s="439">
        <v>28710</v>
      </c>
      <c r="D26" s="575" t="str">
        <f t="shared" si="0"/>
        <v>46 Tahun, 9 Bulan, 23 hari</v>
      </c>
      <c r="E26" s="576">
        <v>39630</v>
      </c>
      <c r="F26" s="575" t="str">
        <f t="shared" si="1"/>
        <v>16 Tahun, 10 Bulan, 30 hari</v>
      </c>
      <c r="G26" s="440">
        <v>11</v>
      </c>
      <c r="H26" s="441">
        <v>16</v>
      </c>
      <c r="I26" s="577">
        <v>47000</v>
      </c>
      <c r="J26" s="257" t="s">
        <v>673</v>
      </c>
      <c r="K26" s="578">
        <v>2250</v>
      </c>
      <c r="L26" s="198">
        <v>47000</v>
      </c>
      <c r="M26" s="259"/>
      <c r="N26" s="259">
        <f t="shared" si="2"/>
        <v>47000</v>
      </c>
    </row>
    <row r="27" spans="1:14">
      <c r="A27" s="434">
        <v>20</v>
      </c>
      <c r="B27" s="438" t="s">
        <v>110</v>
      </c>
      <c r="C27" s="576">
        <v>32288</v>
      </c>
      <c r="D27" s="575" t="str">
        <f t="shared" si="0"/>
        <v>37 Tahun, 0 Bulan, 6 hari</v>
      </c>
      <c r="E27" s="576" t="s">
        <v>426</v>
      </c>
      <c r="F27" s="575" t="str">
        <f t="shared" si="1"/>
        <v>17 Tahun, 4 Bulan, 24 hari</v>
      </c>
      <c r="G27" s="440">
        <v>7</v>
      </c>
      <c r="H27" s="441">
        <v>16</v>
      </c>
      <c r="I27" s="577">
        <v>47000</v>
      </c>
      <c r="J27" s="441" t="s">
        <v>192</v>
      </c>
      <c r="K27" s="578">
        <v>5550</v>
      </c>
      <c r="L27" s="198">
        <v>47000</v>
      </c>
      <c r="M27" s="259"/>
      <c r="N27" s="259">
        <f t="shared" si="2"/>
        <v>47000</v>
      </c>
    </row>
    <row r="28" spans="1:14">
      <c r="A28" s="434">
        <v>21</v>
      </c>
      <c r="B28" s="438" t="s">
        <v>242</v>
      </c>
      <c r="C28" s="439">
        <v>28335</v>
      </c>
      <c r="D28" s="575" t="str">
        <f t="shared" si="0"/>
        <v>47 Tahun, 10 Bulan, 2 hari</v>
      </c>
      <c r="E28" s="576">
        <v>39749</v>
      </c>
      <c r="F28" s="575" t="str">
        <f t="shared" si="1"/>
        <v>16 Tahun, 7 Bulan, 3 hari</v>
      </c>
      <c r="G28" s="440">
        <v>10</v>
      </c>
      <c r="H28" s="441">
        <v>16</v>
      </c>
      <c r="I28" s="577">
        <v>43500</v>
      </c>
      <c r="J28" s="441" t="s">
        <v>192</v>
      </c>
      <c r="K28" s="578">
        <v>5550</v>
      </c>
      <c r="L28" s="198">
        <v>43500</v>
      </c>
      <c r="M28" s="259"/>
      <c r="N28" s="259">
        <f t="shared" si="2"/>
        <v>43500</v>
      </c>
    </row>
    <row r="29" spans="1:14">
      <c r="A29" s="434">
        <v>22</v>
      </c>
      <c r="B29" s="438" t="s">
        <v>112</v>
      </c>
      <c r="C29" s="439">
        <v>26528</v>
      </c>
      <c r="D29" s="575" t="str">
        <f t="shared" si="0"/>
        <v>52 Tahun, 9 Bulan, 14 hari</v>
      </c>
      <c r="E29" s="576" t="s">
        <v>436</v>
      </c>
      <c r="F29" s="575" t="str">
        <f t="shared" si="1"/>
        <v>16 Tahun, 3 Bulan, 21 hari</v>
      </c>
      <c r="G29" s="440">
        <v>10</v>
      </c>
      <c r="H29" s="441">
        <v>15</v>
      </c>
      <c r="I29" s="577">
        <v>43500</v>
      </c>
      <c r="J29" s="257" t="s">
        <v>673</v>
      </c>
      <c r="K29" s="578">
        <v>2250</v>
      </c>
      <c r="L29" s="198">
        <v>40000</v>
      </c>
      <c r="M29" s="259"/>
      <c r="N29" s="259">
        <f t="shared" si="2"/>
        <v>40000</v>
      </c>
    </row>
    <row r="30" spans="1:14">
      <c r="A30" s="434">
        <v>23</v>
      </c>
      <c r="B30" s="438" t="s">
        <v>328</v>
      </c>
      <c r="C30" s="439">
        <v>31506</v>
      </c>
      <c r="D30" s="575" t="str">
        <f t="shared" si="0"/>
        <v>39 Tahun, 1 Bulan, 27 hari</v>
      </c>
      <c r="E30" s="576" t="s">
        <v>430</v>
      </c>
      <c r="F30" s="575" t="str">
        <f t="shared" si="1"/>
        <v>17 Tahun, 1 Bulan, 23 hari</v>
      </c>
      <c r="G30" s="440">
        <v>8</v>
      </c>
      <c r="H30" s="441">
        <v>16</v>
      </c>
      <c r="I30" s="577">
        <v>47000</v>
      </c>
      <c r="J30" s="257" t="s">
        <v>673</v>
      </c>
      <c r="K30" s="578">
        <v>2250</v>
      </c>
      <c r="L30" s="198">
        <v>47000</v>
      </c>
      <c r="M30" s="259"/>
      <c r="N30" s="259">
        <f t="shared" si="2"/>
        <v>47000</v>
      </c>
    </row>
    <row r="31" spans="1:14">
      <c r="A31" s="434">
        <v>24</v>
      </c>
      <c r="B31" s="438" t="s">
        <v>114</v>
      </c>
      <c r="C31" s="439">
        <v>27211</v>
      </c>
      <c r="D31" s="575" t="str">
        <f t="shared" si="0"/>
        <v>50 Tahun, 10 Bulan, 30 hari</v>
      </c>
      <c r="E31" s="576">
        <v>39734</v>
      </c>
      <c r="F31" s="575" t="str">
        <f t="shared" si="1"/>
        <v>16 Tahun, 7 Bulan, 18 hari</v>
      </c>
      <c r="G31" s="440">
        <v>10</v>
      </c>
      <c r="H31" s="441">
        <v>16</v>
      </c>
      <c r="I31" s="577">
        <v>43500</v>
      </c>
      <c r="J31" s="257" t="s">
        <v>673</v>
      </c>
      <c r="K31" s="578">
        <v>2250</v>
      </c>
      <c r="L31" s="198">
        <v>43500</v>
      </c>
      <c r="M31" s="259"/>
      <c r="N31" s="259">
        <f t="shared" si="2"/>
        <v>43500</v>
      </c>
    </row>
    <row r="32" spans="1:14">
      <c r="A32" s="434">
        <v>25</v>
      </c>
      <c r="B32" s="438" t="s">
        <v>115</v>
      </c>
      <c r="C32" s="439">
        <v>29984</v>
      </c>
      <c r="D32" s="575" t="str">
        <f t="shared" si="0"/>
        <v>43 Tahun, 3 Bulan, 29 hari</v>
      </c>
      <c r="E32" s="576" t="s">
        <v>435</v>
      </c>
      <c r="F32" s="575" t="str">
        <f t="shared" si="1"/>
        <v>17 Tahun, 4 Bulan, 20 hari</v>
      </c>
      <c r="G32" s="440">
        <v>11</v>
      </c>
      <c r="H32" s="441">
        <v>16</v>
      </c>
      <c r="I32" s="577">
        <v>43500</v>
      </c>
      <c r="J32" s="441" t="s">
        <v>191</v>
      </c>
      <c r="K32" s="578">
        <v>4650</v>
      </c>
      <c r="L32" s="198">
        <v>43500</v>
      </c>
      <c r="M32" s="259"/>
      <c r="N32" s="259">
        <f t="shared" si="2"/>
        <v>43500</v>
      </c>
    </row>
    <row r="33" spans="1:15">
      <c r="A33" s="434">
        <v>26</v>
      </c>
      <c r="B33" s="438" t="s">
        <v>137</v>
      </c>
      <c r="C33" s="439">
        <v>28745</v>
      </c>
      <c r="D33" s="575" t="str">
        <f t="shared" si="0"/>
        <v>46 Tahun, 8 Bulan, 19 hari</v>
      </c>
      <c r="E33" s="576">
        <v>42702</v>
      </c>
      <c r="F33" s="575" t="str">
        <f t="shared" si="1"/>
        <v>8 Tahun, 6 Bulan, 3 hari</v>
      </c>
      <c r="G33" s="440">
        <v>11</v>
      </c>
      <c r="H33" s="441">
        <v>8</v>
      </c>
      <c r="I33" s="577">
        <v>18000</v>
      </c>
      <c r="J33" s="441" t="s">
        <v>191</v>
      </c>
      <c r="K33" s="578">
        <v>4650</v>
      </c>
      <c r="L33" s="198">
        <v>18000</v>
      </c>
      <c r="M33" s="259"/>
      <c r="N33" s="259">
        <f t="shared" si="2"/>
        <v>18000</v>
      </c>
    </row>
    <row r="34" spans="1:15">
      <c r="A34" s="434">
        <v>27</v>
      </c>
      <c r="B34" s="438" t="s">
        <v>212</v>
      </c>
      <c r="C34" s="439">
        <v>27219</v>
      </c>
      <c r="D34" s="575" t="str">
        <f t="shared" si="0"/>
        <v>50 Tahun, 10 Bulan, 22 hari</v>
      </c>
      <c r="E34" s="576" t="s">
        <v>431</v>
      </c>
      <c r="F34" s="575" t="str">
        <f t="shared" si="1"/>
        <v>17 Tahun, 4 Bulan, 23 hari</v>
      </c>
      <c r="G34" s="440">
        <v>8</v>
      </c>
      <c r="H34" s="441">
        <v>16</v>
      </c>
      <c r="I34" s="577">
        <v>47000</v>
      </c>
      <c r="J34" s="257" t="s">
        <v>673</v>
      </c>
      <c r="K34" s="578">
        <v>2250</v>
      </c>
      <c r="L34" s="198">
        <v>47000</v>
      </c>
      <c r="M34" s="259"/>
      <c r="N34" s="259">
        <f t="shared" si="2"/>
        <v>47000</v>
      </c>
    </row>
    <row r="35" spans="1:15">
      <c r="A35" s="434">
        <v>28</v>
      </c>
      <c r="B35" s="438" t="s">
        <v>375</v>
      </c>
      <c r="C35" s="439">
        <v>29762</v>
      </c>
      <c r="D35" s="575" t="str">
        <f t="shared" si="0"/>
        <v>43 Tahun, 11 Bulan, 6 hari</v>
      </c>
      <c r="E35" s="576" t="s">
        <v>437</v>
      </c>
      <c r="F35" s="575" t="str">
        <f t="shared" si="1"/>
        <v>16 Tahun, 4 Bulan, 20 hari</v>
      </c>
      <c r="G35" s="440">
        <v>11</v>
      </c>
      <c r="H35" s="441">
        <v>15</v>
      </c>
      <c r="I35" s="577">
        <v>40000</v>
      </c>
      <c r="J35" s="257" t="s">
        <v>673</v>
      </c>
      <c r="K35" s="578">
        <v>2250</v>
      </c>
      <c r="L35" s="198">
        <v>40000</v>
      </c>
      <c r="M35" s="259"/>
      <c r="N35" s="259">
        <f t="shared" si="2"/>
        <v>40000</v>
      </c>
    </row>
    <row r="36" spans="1:15">
      <c r="A36" s="434">
        <v>29</v>
      </c>
      <c r="B36" s="438" t="s">
        <v>381</v>
      </c>
      <c r="C36" s="439">
        <v>30104</v>
      </c>
      <c r="D36" s="575" t="str">
        <f t="shared" si="0"/>
        <v>42 Tahun, 11 Bulan, 29 hari</v>
      </c>
      <c r="E36" s="576">
        <v>42095</v>
      </c>
      <c r="F36" s="575" t="str">
        <f t="shared" si="1"/>
        <v>10 Tahun, 1 Bulan, 30 hari</v>
      </c>
      <c r="G36" s="440">
        <v>4</v>
      </c>
      <c r="H36" s="441">
        <v>9</v>
      </c>
      <c r="I36" s="577">
        <v>24000</v>
      </c>
      <c r="J36" s="257" t="s">
        <v>673</v>
      </c>
      <c r="K36" s="578">
        <v>2250</v>
      </c>
      <c r="L36" s="198">
        <v>24000</v>
      </c>
      <c r="M36" s="259"/>
      <c r="N36" s="259">
        <f t="shared" si="2"/>
        <v>24000</v>
      </c>
    </row>
    <row r="37" spans="1:15">
      <c r="A37" s="434">
        <v>30</v>
      </c>
      <c r="B37" s="438" t="s">
        <v>377</v>
      </c>
      <c r="C37" s="439" t="s">
        <v>415</v>
      </c>
      <c r="D37" s="575" t="str">
        <f t="shared" si="0"/>
        <v>30 Tahun, 6 Bulan, 20 hari</v>
      </c>
      <c r="E37" s="576" t="s">
        <v>401</v>
      </c>
      <c r="F37" s="575" t="str">
        <f t="shared" si="1"/>
        <v>12 Tahun, 4 Bulan, 27 hari</v>
      </c>
      <c r="G37" s="440">
        <v>4</v>
      </c>
      <c r="H37" s="441">
        <v>12</v>
      </c>
      <c r="I37" s="577">
        <v>33000</v>
      </c>
      <c r="J37" s="441" t="s">
        <v>191</v>
      </c>
      <c r="K37" s="578">
        <v>4650</v>
      </c>
      <c r="L37" s="198">
        <v>24000</v>
      </c>
      <c r="M37" s="259"/>
      <c r="N37" s="259">
        <f t="shared" si="2"/>
        <v>24000</v>
      </c>
    </row>
    <row r="38" spans="1:15">
      <c r="A38" s="434">
        <v>31</v>
      </c>
      <c r="B38" s="438" t="s">
        <v>378</v>
      </c>
      <c r="C38" s="439" t="s">
        <v>416</v>
      </c>
      <c r="D38" s="575" t="str">
        <f t="shared" si="0"/>
        <v>55 Tahun, 11 Bulan, 26 hari</v>
      </c>
      <c r="E38" s="576">
        <v>44216</v>
      </c>
      <c r="F38" s="575" t="str">
        <f t="shared" si="1"/>
        <v>4 Tahun, 4 Bulan, 11 hari</v>
      </c>
      <c r="G38" s="440">
        <v>1</v>
      </c>
      <c r="H38" s="441">
        <v>3</v>
      </c>
      <c r="I38" s="577">
        <v>7500</v>
      </c>
      <c r="J38" s="257" t="s">
        <v>674</v>
      </c>
      <c r="K38" s="578">
        <v>3700</v>
      </c>
      <c r="L38" s="198">
        <v>7500</v>
      </c>
      <c r="M38" s="259"/>
      <c r="N38" s="259">
        <f t="shared" si="2"/>
        <v>7500</v>
      </c>
    </row>
    <row r="39" spans="1:15">
      <c r="A39" s="434">
        <v>32</v>
      </c>
      <c r="B39" s="438" t="s">
        <v>444</v>
      </c>
      <c r="C39" s="439">
        <v>30662</v>
      </c>
      <c r="D39" s="575" t="str">
        <f t="shared" si="0"/>
        <v>41 Tahun, 5 Bulan, 19 hari</v>
      </c>
      <c r="E39" s="439" t="s">
        <v>400</v>
      </c>
      <c r="F39" s="575" t="str">
        <f>DATEDIF(E39,$E$4,"Y")&amp;" Tahun, "&amp;DATEDIF(E39,$E$4,"YM")&amp;" Bulan, "&amp;DATEDIF(E39,$E$4,"MD")&amp;" hari"</f>
        <v>10 Tahun, 4 Bulan, 25 hari</v>
      </c>
      <c r="G39" s="440">
        <v>6</v>
      </c>
      <c r="H39" s="441">
        <v>9</v>
      </c>
      <c r="I39" s="577">
        <v>24000</v>
      </c>
      <c r="J39" s="441" t="s">
        <v>192</v>
      </c>
      <c r="K39" s="578">
        <v>5550</v>
      </c>
      <c r="L39" s="198">
        <v>24000</v>
      </c>
      <c r="M39" s="259"/>
      <c r="N39" s="259">
        <f t="shared" si="2"/>
        <v>24000</v>
      </c>
    </row>
    <row r="40" spans="1:15">
      <c r="A40" s="434">
        <v>33</v>
      </c>
      <c r="B40" s="438" t="s">
        <v>140</v>
      </c>
      <c r="C40" s="439">
        <v>28729</v>
      </c>
      <c r="D40" s="575" t="str">
        <f t="shared" si="0"/>
        <v>46 Tahun, 9 Bulan, 4 hari</v>
      </c>
      <c r="E40" s="439" t="s">
        <v>401</v>
      </c>
      <c r="F40" s="575" t="str">
        <f>DATEDIF(E40,$E$4,"Y")&amp;" Tahun, "&amp;DATEDIF(E40,$E$4,"YM")&amp;" Bulan, "&amp;DATEDIF(E40,$E$4,"MD")&amp;" hari"</f>
        <v>12 Tahun, 4 Bulan, 27 hari</v>
      </c>
      <c r="G40" s="440">
        <v>4</v>
      </c>
      <c r="H40" s="441">
        <v>12</v>
      </c>
      <c r="I40" s="577">
        <v>33000</v>
      </c>
      <c r="J40" s="756" t="s">
        <v>706</v>
      </c>
      <c r="K40" s="757">
        <v>3250</v>
      </c>
      <c r="L40" s="198">
        <v>30000</v>
      </c>
      <c r="M40" s="259"/>
      <c r="N40" s="259">
        <f t="shared" si="2"/>
        <v>30000</v>
      </c>
    </row>
    <row r="41" spans="1:15" s="201" customFormat="1" ht="16.5" thickBot="1">
      <c r="A41" s="1798" t="s">
        <v>389</v>
      </c>
      <c r="B41" s="1798"/>
      <c r="C41" s="250"/>
      <c r="D41" s="200"/>
      <c r="E41" s="247"/>
      <c r="F41" s="200"/>
      <c r="G41" s="76"/>
      <c r="H41" s="76"/>
      <c r="I41" s="231"/>
      <c r="J41" s="574"/>
      <c r="K41" s="239"/>
      <c r="N41" s="259">
        <f t="shared" si="2"/>
        <v>0</v>
      </c>
      <c r="O41" s="198"/>
    </row>
    <row r="42" spans="1:15" s="202" customFormat="1" ht="39" thickBot="1">
      <c r="A42" s="204" t="s">
        <v>386</v>
      </c>
      <c r="B42" s="205" t="s">
        <v>387</v>
      </c>
      <c r="C42" s="248" t="s">
        <v>410</v>
      </c>
      <c r="D42" s="205" t="s">
        <v>411</v>
      </c>
      <c r="E42" s="255" t="s">
        <v>442</v>
      </c>
      <c r="F42" s="205" t="s">
        <v>352</v>
      </c>
      <c r="G42" s="205"/>
      <c r="H42" s="242" t="s">
        <v>412</v>
      </c>
      <c r="I42" s="232" t="s">
        <v>413</v>
      </c>
      <c r="J42" s="203" t="s">
        <v>390</v>
      </c>
      <c r="K42" s="236" t="s">
        <v>414</v>
      </c>
      <c r="N42" s="259">
        <f t="shared" si="2"/>
        <v>0</v>
      </c>
    </row>
    <row r="43" spans="1:15">
      <c r="A43" s="206">
        <v>1</v>
      </c>
      <c r="B43" s="207" t="s">
        <v>153</v>
      </c>
      <c r="C43" s="439">
        <v>31782</v>
      </c>
      <c r="D43" s="208" t="str">
        <f t="shared" ref="D43:D50" si="3">DATEDIF(C43,$E$4,"Y")&amp;" Tahun, "&amp;DATEDIF(C43,$E$4,"YM")&amp;" Bulan, "&amp;DATEDIF(C43,$E$4,"MD")&amp;" hari"</f>
        <v>38 Tahun, 4 Bulan, 26 hari</v>
      </c>
      <c r="E43" s="249">
        <v>40603</v>
      </c>
      <c r="F43" s="208" t="str">
        <f t="shared" ref="F43:F50" si="4">DATEDIF(E43,$E$4,"Y")&amp;" Tahun, "&amp;DATEDIF(E43,$E$4,"YM")&amp;" Bulan, "&amp;DATEDIF(E43,$E$4,"MD")&amp;" hari"</f>
        <v>14 Tahun, 2 Bulan, 30 hari</v>
      </c>
      <c r="G43" s="258">
        <v>3</v>
      </c>
      <c r="H43" s="212">
        <v>14</v>
      </c>
      <c r="I43" s="233">
        <v>40000</v>
      </c>
      <c r="J43" s="441" t="s">
        <v>191</v>
      </c>
      <c r="K43" s="578">
        <v>4650</v>
      </c>
      <c r="L43" s="579">
        <v>36500</v>
      </c>
      <c r="M43" s="580">
        <v>40000</v>
      </c>
      <c r="N43" s="259">
        <f t="shared" si="2"/>
        <v>-3500</v>
      </c>
    </row>
    <row r="44" spans="1:15">
      <c r="A44" s="434">
        <v>2</v>
      </c>
      <c r="B44" s="438" t="s">
        <v>154</v>
      </c>
      <c r="C44" s="576">
        <v>27834</v>
      </c>
      <c r="D44" s="575" t="str">
        <f t="shared" si="3"/>
        <v>49 Tahun, 2 Bulan, 16 hari</v>
      </c>
      <c r="E44" s="439" t="s">
        <v>443</v>
      </c>
      <c r="F44" s="575" t="str">
        <f t="shared" si="4"/>
        <v>10 Tahun, 4 Bulan, 20 hari</v>
      </c>
      <c r="G44" s="440">
        <v>11</v>
      </c>
      <c r="H44" s="441">
        <v>9</v>
      </c>
      <c r="I44" s="234">
        <v>24000</v>
      </c>
      <c r="J44" s="441" t="s">
        <v>674</v>
      </c>
      <c r="K44" s="757">
        <v>3700</v>
      </c>
      <c r="L44" s="579">
        <v>21000</v>
      </c>
      <c r="M44" s="580"/>
      <c r="N44" s="259">
        <f t="shared" si="2"/>
        <v>21000</v>
      </c>
    </row>
    <row r="45" spans="1:15">
      <c r="A45" s="434">
        <v>3</v>
      </c>
      <c r="B45" s="438" t="s">
        <v>382</v>
      </c>
      <c r="C45" s="576">
        <v>34812</v>
      </c>
      <c r="D45" s="575" t="str">
        <f t="shared" si="3"/>
        <v>30 Tahun, 1 Bulan, 8 hari</v>
      </c>
      <c r="E45" s="576" t="s">
        <v>443</v>
      </c>
      <c r="F45" s="575" t="str">
        <f t="shared" si="4"/>
        <v>10 Tahun, 4 Bulan, 20 hari</v>
      </c>
      <c r="G45" s="440">
        <v>11</v>
      </c>
      <c r="H45" s="441">
        <v>9</v>
      </c>
      <c r="I45" s="234">
        <v>24000</v>
      </c>
      <c r="J45" s="441" t="s">
        <v>191</v>
      </c>
      <c r="K45" s="578">
        <v>4650</v>
      </c>
      <c r="L45" s="579">
        <v>21000</v>
      </c>
      <c r="M45" s="580"/>
      <c r="N45" s="259">
        <f t="shared" si="2"/>
        <v>21000</v>
      </c>
    </row>
    <row r="46" spans="1:15">
      <c r="A46" s="434">
        <v>4</v>
      </c>
      <c r="B46" s="438" t="s">
        <v>99</v>
      </c>
      <c r="C46" s="439">
        <v>35212</v>
      </c>
      <c r="D46" s="575" t="str">
        <f t="shared" si="3"/>
        <v>29 Tahun, 0 Bulan, 4 hari</v>
      </c>
      <c r="E46" s="576">
        <v>42330</v>
      </c>
      <c r="F46" s="575" t="str">
        <f t="shared" si="4"/>
        <v>9 Tahun, 6 Bulan, 9 hari</v>
      </c>
      <c r="G46" s="440">
        <v>11</v>
      </c>
      <c r="H46" s="441">
        <v>9</v>
      </c>
      <c r="I46" s="652">
        <v>24000</v>
      </c>
      <c r="J46" s="441" t="s">
        <v>673</v>
      </c>
      <c r="K46" s="578">
        <v>2250</v>
      </c>
      <c r="L46" s="653">
        <v>21000</v>
      </c>
      <c r="M46" s="497"/>
      <c r="N46" s="259">
        <f t="shared" si="2"/>
        <v>21000</v>
      </c>
    </row>
    <row r="47" spans="1:15">
      <c r="A47" s="434">
        <v>5</v>
      </c>
      <c r="B47" s="438" t="s">
        <v>143</v>
      </c>
      <c r="C47" s="439">
        <v>29876</v>
      </c>
      <c r="D47" s="575" t="str">
        <f t="shared" si="3"/>
        <v>43 Tahun, 7 Bulan, 14 hari</v>
      </c>
      <c r="E47" s="576">
        <v>42095</v>
      </c>
      <c r="F47" s="575" t="str">
        <f t="shared" si="4"/>
        <v>10 Tahun, 1 Bulan, 30 hari</v>
      </c>
      <c r="G47" s="440">
        <v>4</v>
      </c>
      <c r="H47" s="441">
        <v>9</v>
      </c>
      <c r="I47" s="234">
        <v>24000</v>
      </c>
      <c r="J47" s="441" t="s">
        <v>191</v>
      </c>
      <c r="K47" s="578">
        <v>4650</v>
      </c>
      <c r="L47" s="579">
        <v>24000</v>
      </c>
      <c r="M47" s="580"/>
      <c r="N47" s="259">
        <f t="shared" si="2"/>
        <v>24000</v>
      </c>
    </row>
    <row r="48" spans="1:15">
      <c r="A48" s="434">
        <v>6</v>
      </c>
      <c r="B48" s="438" t="s">
        <v>282</v>
      </c>
      <c r="C48" s="439">
        <v>30681</v>
      </c>
      <c r="D48" s="575" t="str">
        <f t="shared" si="3"/>
        <v>41 Tahun, 5 Bulan, 0 hari</v>
      </c>
      <c r="E48" s="576">
        <v>44530</v>
      </c>
      <c r="F48" s="575" t="str">
        <f t="shared" si="4"/>
        <v>3 Tahun, 6 Bulan, 1 hari</v>
      </c>
      <c r="G48" s="440">
        <v>11</v>
      </c>
      <c r="H48" s="441">
        <v>3</v>
      </c>
      <c r="I48" s="234">
        <v>7500</v>
      </c>
      <c r="J48" s="441" t="s">
        <v>191</v>
      </c>
      <c r="K48" s="578">
        <v>4650</v>
      </c>
      <c r="L48" s="579">
        <v>5000</v>
      </c>
      <c r="M48" s="580"/>
      <c r="N48" s="259">
        <f t="shared" si="2"/>
        <v>5000</v>
      </c>
    </row>
    <row r="49" spans="1:15">
      <c r="A49" s="434">
        <v>7</v>
      </c>
      <c r="B49" s="438" t="s">
        <v>562</v>
      </c>
      <c r="C49" s="439">
        <v>33954</v>
      </c>
      <c r="D49" s="575" t="str">
        <f t="shared" si="3"/>
        <v>32 Tahun, 5 Bulan, 15 hari</v>
      </c>
      <c r="E49" s="576">
        <v>41365</v>
      </c>
      <c r="F49" s="575" t="str">
        <f t="shared" si="4"/>
        <v>12 Tahun, 1 Bulan, 30 hari</v>
      </c>
      <c r="G49" s="440">
        <v>4</v>
      </c>
      <c r="H49" s="441">
        <v>11</v>
      </c>
      <c r="I49" s="234">
        <v>30000</v>
      </c>
      <c r="J49" s="758" t="s">
        <v>707</v>
      </c>
      <c r="K49" s="757">
        <v>4200</v>
      </c>
      <c r="L49" s="579">
        <v>30000</v>
      </c>
      <c r="M49" s="580"/>
      <c r="N49" s="259">
        <f t="shared" si="2"/>
        <v>30000</v>
      </c>
    </row>
    <row r="50" spans="1:15" ht="15" thickBot="1">
      <c r="A50" s="209">
        <v>8</v>
      </c>
      <c r="B50" s="444" t="s">
        <v>561</v>
      </c>
      <c r="C50" s="439">
        <v>35310</v>
      </c>
      <c r="D50" s="448" t="str">
        <f t="shared" si="3"/>
        <v>28 Tahun, 8 Bulan, 29 hari</v>
      </c>
      <c r="E50" s="447">
        <v>41883</v>
      </c>
      <c r="F50" s="448" t="str">
        <f t="shared" si="4"/>
        <v>10 Tahun, 8 Bulan, 30 hari</v>
      </c>
      <c r="G50" s="449">
        <v>9</v>
      </c>
      <c r="H50" s="450">
        <v>10</v>
      </c>
      <c r="I50" s="235">
        <v>27000</v>
      </c>
      <c r="J50" s="450" t="s">
        <v>673</v>
      </c>
      <c r="K50" s="238">
        <v>2250</v>
      </c>
      <c r="L50" s="579">
        <v>27000</v>
      </c>
      <c r="M50" s="580"/>
      <c r="N50" s="259">
        <f t="shared" si="2"/>
        <v>27000</v>
      </c>
    </row>
    <row r="51" spans="1:15" s="201" customFormat="1" ht="16.5" thickBot="1">
      <c r="A51" s="1799" t="s">
        <v>403</v>
      </c>
      <c r="B51" s="1799"/>
      <c r="C51" s="1799"/>
      <c r="D51" s="1799"/>
      <c r="E51" s="1799"/>
      <c r="F51" s="1799"/>
      <c r="G51" s="1799"/>
      <c r="H51" s="1799"/>
      <c r="I51" s="1799"/>
      <c r="J51" s="1799"/>
      <c r="K51" s="1799"/>
      <c r="N51" s="259">
        <f t="shared" si="2"/>
        <v>0</v>
      </c>
      <c r="O51" s="198"/>
    </row>
    <row r="52" spans="1:15" s="202" customFormat="1" ht="57.75" thickBot="1">
      <c r="A52" s="204" t="s">
        <v>386</v>
      </c>
      <c r="B52" s="205" t="s">
        <v>387</v>
      </c>
      <c r="C52" s="248" t="s">
        <v>410</v>
      </c>
      <c r="D52" s="205" t="s">
        <v>411</v>
      </c>
      <c r="E52" s="248" t="s">
        <v>388</v>
      </c>
      <c r="F52" s="205" t="s">
        <v>352</v>
      </c>
      <c r="G52" s="462" t="s">
        <v>564</v>
      </c>
      <c r="H52" s="242" t="s">
        <v>412</v>
      </c>
      <c r="I52" s="232" t="s">
        <v>413</v>
      </c>
      <c r="J52" s="203" t="s">
        <v>390</v>
      </c>
      <c r="K52" s="236" t="s">
        <v>414</v>
      </c>
      <c r="N52" s="259">
        <f t="shared" si="2"/>
        <v>0</v>
      </c>
    </row>
    <row r="53" spans="1:15">
      <c r="A53" s="206">
        <v>1</v>
      </c>
      <c r="B53" s="207" t="s">
        <v>397</v>
      </c>
      <c r="C53" s="251">
        <v>31884</v>
      </c>
      <c r="D53" s="243" t="str">
        <f t="shared" ref="D53:D68" si="5">DATEDIF(C53,$E$4,"Y")&amp;" Tahun, "&amp;DATEDIF(C53,$E$4,"YM")&amp;" Bulan, "&amp;DATEDIF(C53,$E$4,"MD")&amp;" hari"</f>
        <v>38 Tahun, 1 Bulan, 14 hari</v>
      </c>
      <c r="E53" s="249">
        <v>44700</v>
      </c>
      <c r="F53" s="208" t="str">
        <f t="shared" ref="F53:F68" si="6">DATEDIF(E53,$E$4,"Y")&amp;" Tahun, "&amp;DATEDIF(E53,$E$4,"YM")&amp;" Bulan, "&amp;DATEDIF(E53,$E$4,"MD")&amp;" hari"</f>
        <v>3 Tahun, 0 Bulan, 12 hari</v>
      </c>
      <c r="G53" s="258">
        <v>5</v>
      </c>
      <c r="H53" s="212">
        <v>3</v>
      </c>
      <c r="I53" s="1239">
        <v>7500</v>
      </c>
      <c r="J53" s="759" t="s">
        <v>674</v>
      </c>
      <c r="K53" s="760">
        <v>3700</v>
      </c>
      <c r="L53" s="198">
        <v>5000</v>
      </c>
      <c r="M53" s="259"/>
      <c r="N53" s="259">
        <f t="shared" si="2"/>
        <v>5000</v>
      </c>
    </row>
    <row r="54" spans="1:15">
      <c r="A54" s="434">
        <v>2</v>
      </c>
      <c r="B54" s="438" t="s">
        <v>136</v>
      </c>
      <c r="C54" s="439">
        <v>34696</v>
      </c>
      <c r="D54" s="436" t="str">
        <f t="shared" si="5"/>
        <v>30 Tahun, 5 Bulan, 3 hari</v>
      </c>
      <c r="E54" s="439" t="s">
        <v>398</v>
      </c>
      <c r="F54" s="575" t="str">
        <f t="shared" si="6"/>
        <v>9 Tahun, 7 Bulan, 25 hari</v>
      </c>
      <c r="G54" s="440">
        <v>6</v>
      </c>
      <c r="H54" s="441">
        <v>9</v>
      </c>
      <c r="I54" s="577">
        <v>24000</v>
      </c>
      <c r="J54" s="441" t="s">
        <v>192</v>
      </c>
      <c r="K54" s="578">
        <v>5550</v>
      </c>
      <c r="L54" s="198">
        <v>21000</v>
      </c>
      <c r="M54" s="259"/>
      <c r="N54" s="259">
        <f t="shared" si="2"/>
        <v>21000</v>
      </c>
    </row>
    <row r="55" spans="1:15">
      <c r="A55" s="434">
        <v>3</v>
      </c>
      <c r="B55" s="438" t="s">
        <v>111</v>
      </c>
      <c r="C55" s="439">
        <v>33181</v>
      </c>
      <c r="D55" s="575" t="str">
        <f t="shared" si="5"/>
        <v>34 Tahun, 6 Bulan, 27 hari</v>
      </c>
      <c r="E55" s="576">
        <v>39451</v>
      </c>
      <c r="F55" s="575" t="str">
        <f t="shared" si="6"/>
        <v>17 Tahun, 4 Bulan, 27 hari</v>
      </c>
      <c r="G55" s="440">
        <v>4</v>
      </c>
      <c r="H55" s="441">
        <v>17</v>
      </c>
      <c r="I55" s="577">
        <v>50500</v>
      </c>
      <c r="J55" s="441" t="s">
        <v>673</v>
      </c>
      <c r="K55" s="578">
        <v>2250</v>
      </c>
      <c r="L55" s="198">
        <v>47000</v>
      </c>
      <c r="M55" s="259"/>
      <c r="N55" s="259">
        <f t="shared" si="2"/>
        <v>47000</v>
      </c>
    </row>
    <row r="56" spans="1:15">
      <c r="A56" s="434">
        <v>4</v>
      </c>
      <c r="B56" s="438" t="s">
        <v>138</v>
      </c>
      <c r="C56" s="439">
        <v>28756</v>
      </c>
      <c r="D56" s="436" t="str">
        <f t="shared" si="5"/>
        <v>46 Tahun, 8 Bulan, 8 hari</v>
      </c>
      <c r="E56" s="576" t="s">
        <v>399</v>
      </c>
      <c r="F56" s="575" t="str">
        <f t="shared" si="6"/>
        <v>10 Tahun, 9 Bulan, 19 hari</v>
      </c>
      <c r="G56" s="440">
        <v>12</v>
      </c>
      <c r="H56" s="441">
        <v>10</v>
      </c>
      <c r="I56" s="577">
        <v>27000</v>
      </c>
      <c r="J56" s="441" t="s">
        <v>191</v>
      </c>
      <c r="K56" s="578">
        <v>4650</v>
      </c>
      <c r="L56" s="198">
        <v>24000</v>
      </c>
      <c r="M56" s="259"/>
      <c r="N56" s="259">
        <f t="shared" si="2"/>
        <v>24000</v>
      </c>
    </row>
    <row r="57" spans="1:15">
      <c r="A57" s="434">
        <v>5</v>
      </c>
      <c r="B57" s="438" t="s">
        <v>141</v>
      </c>
      <c r="C57" s="439">
        <v>36961</v>
      </c>
      <c r="D57" s="436" t="str">
        <f t="shared" si="5"/>
        <v>24 Tahun, 2 Bulan, 20 hari</v>
      </c>
      <c r="E57" s="576">
        <v>43731</v>
      </c>
      <c r="F57" s="575" t="str">
        <f t="shared" si="6"/>
        <v>5 Tahun, 8 Bulan, 8 hari</v>
      </c>
      <c r="G57" s="440">
        <v>9</v>
      </c>
      <c r="H57" s="441">
        <v>5</v>
      </c>
      <c r="I57" s="442">
        <f t="shared" ref="I57:I58" si="7">2500+10000</f>
        <v>12500</v>
      </c>
      <c r="J57" s="441" t="s">
        <v>673</v>
      </c>
      <c r="K57" s="443">
        <v>2250</v>
      </c>
      <c r="L57" s="198">
        <v>12500</v>
      </c>
      <c r="M57" s="259"/>
      <c r="N57" s="259">
        <f t="shared" si="2"/>
        <v>12500</v>
      </c>
    </row>
    <row r="58" spans="1:15">
      <c r="A58" s="434">
        <v>6</v>
      </c>
      <c r="B58" s="438" t="s">
        <v>142</v>
      </c>
      <c r="C58" s="439">
        <v>29586</v>
      </c>
      <c r="D58" s="436" t="str">
        <f t="shared" si="5"/>
        <v>44 Tahun, 5 Bulan, 0 hari</v>
      </c>
      <c r="E58" s="576">
        <v>43725</v>
      </c>
      <c r="F58" s="575" t="str">
        <f t="shared" si="6"/>
        <v>5 Tahun, 8 Bulan, 14 hari</v>
      </c>
      <c r="G58" s="440">
        <v>9</v>
      </c>
      <c r="H58" s="441">
        <v>5</v>
      </c>
      <c r="I58" s="442">
        <f t="shared" si="7"/>
        <v>12500</v>
      </c>
      <c r="J58" s="441" t="s">
        <v>192</v>
      </c>
      <c r="K58" s="578">
        <v>5550</v>
      </c>
      <c r="L58" s="198">
        <v>12500</v>
      </c>
      <c r="M58" s="259"/>
      <c r="N58" s="259">
        <f t="shared" si="2"/>
        <v>12500</v>
      </c>
    </row>
    <row r="59" spans="1:15">
      <c r="A59" s="434">
        <v>7</v>
      </c>
      <c r="B59" s="438" t="s">
        <v>276</v>
      </c>
      <c r="C59" s="439" t="s">
        <v>417</v>
      </c>
      <c r="D59" s="436" t="str">
        <f t="shared" si="5"/>
        <v>40 Tahun, 4 Bulan, 30 hari</v>
      </c>
      <c r="E59" s="576" t="s">
        <v>402</v>
      </c>
      <c r="F59" s="575" t="str">
        <f t="shared" si="6"/>
        <v>1 Tahun, 6 Bulan, 26 hari</v>
      </c>
      <c r="G59" s="440">
        <v>5</v>
      </c>
      <c r="H59" s="441">
        <v>2</v>
      </c>
      <c r="I59" s="1238">
        <v>5000</v>
      </c>
      <c r="J59" s="441" t="s">
        <v>703</v>
      </c>
      <c r="K59" s="443">
        <v>5550</v>
      </c>
      <c r="L59" s="198">
        <v>2500</v>
      </c>
      <c r="M59" s="259"/>
      <c r="N59" s="259">
        <f t="shared" si="2"/>
        <v>2500</v>
      </c>
    </row>
    <row r="60" spans="1:15">
      <c r="A60" s="434">
        <v>8</v>
      </c>
      <c r="B60" s="438" t="s">
        <v>340</v>
      </c>
      <c r="C60" s="439">
        <v>31592</v>
      </c>
      <c r="D60" s="436" t="str">
        <f t="shared" si="5"/>
        <v>38 Tahun, 11 Bulan, 2 hari</v>
      </c>
      <c r="E60" s="582" t="s">
        <v>565</v>
      </c>
      <c r="F60" s="575" t="e">
        <f t="shared" si="6"/>
        <v>#VALUE!</v>
      </c>
      <c r="G60" s="440">
        <v>7</v>
      </c>
      <c r="H60" s="441">
        <v>1</v>
      </c>
      <c r="I60" s="577">
        <v>2500</v>
      </c>
      <c r="J60" s="441" t="s">
        <v>674</v>
      </c>
      <c r="K60" s="443">
        <v>3600</v>
      </c>
      <c r="L60" s="198">
        <v>2500</v>
      </c>
      <c r="M60" s="259"/>
      <c r="N60" s="259">
        <f t="shared" si="2"/>
        <v>2500</v>
      </c>
    </row>
    <row r="61" spans="1:15">
      <c r="A61" s="434">
        <v>9</v>
      </c>
      <c r="B61" s="438" t="s">
        <v>339</v>
      </c>
      <c r="C61" s="439">
        <v>30316</v>
      </c>
      <c r="D61" s="436" t="str">
        <f t="shared" si="5"/>
        <v>42 Tahun, 5 Bulan, 0 hari</v>
      </c>
      <c r="E61" s="576">
        <v>45280</v>
      </c>
      <c r="F61" s="575" t="str">
        <f t="shared" si="6"/>
        <v>1 Tahun, 5 Bulan, 11 hari</v>
      </c>
      <c r="G61" s="440">
        <v>12</v>
      </c>
      <c r="H61" s="441">
        <v>1</v>
      </c>
      <c r="I61" s="577">
        <v>2500</v>
      </c>
      <c r="J61" s="441" t="s">
        <v>673</v>
      </c>
      <c r="K61" s="443">
        <v>2250</v>
      </c>
      <c r="L61" s="198">
        <v>2500</v>
      </c>
      <c r="M61" s="259"/>
      <c r="N61" s="259">
        <f t="shared" si="2"/>
        <v>2500</v>
      </c>
    </row>
    <row r="62" spans="1:15">
      <c r="A62" s="434">
        <v>10</v>
      </c>
      <c r="B62" s="438" t="s">
        <v>346</v>
      </c>
      <c r="C62" s="439">
        <v>32508</v>
      </c>
      <c r="D62" s="436" t="str">
        <f t="shared" si="5"/>
        <v>36 Tahun, 5 Bulan, 0 hari</v>
      </c>
      <c r="E62" s="582" t="s">
        <v>449</v>
      </c>
      <c r="F62" s="575" t="str">
        <f t="shared" si="6"/>
        <v>1 Tahun, 2 Bulan, 30 hari</v>
      </c>
      <c r="G62" s="440">
        <v>1</v>
      </c>
      <c r="H62" s="441">
        <v>1</v>
      </c>
      <c r="I62" s="577">
        <v>2500</v>
      </c>
      <c r="J62" s="441" t="s">
        <v>192</v>
      </c>
      <c r="K62" s="578">
        <v>5550</v>
      </c>
      <c r="L62" s="198">
        <v>2500</v>
      </c>
      <c r="M62" s="259">
        <v>2500</v>
      </c>
      <c r="N62" s="259">
        <f t="shared" si="2"/>
        <v>0</v>
      </c>
    </row>
    <row r="63" spans="1:15">
      <c r="A63" s="434">
        <v>11</v>
      </c>
      <c r="B63" s="438" t="s">
        <v>370</v>
      </c>
      <c r="C63" s="439">
        <v>29780</v>
      </c>
      <c r="D63" s="436" t="str">
        <f t="shared" si="5"/>
        <v>43 Tahun, 10 Bulan, 18 hari</v>
      </c>
      <c r="E63" s="576">
        <v>45409</v>
      </c>
      <c r="F63" s="575" t="str">
        <f t="shared" si="6"/>
        <v>1 Tahun, 1 Bulan, 4 hari</v>
      </c>
      <c r="G63" s="440">
        <v>4</v>
      </c>
      <c r="H63" s="441">
        <v>1</v>
      </c>
      <c r="I63" s="442">
        <v>2500</v>
      </c>
      <c r="J63" s="441" t="s">
        <v>191</v>
      </c>
      <c r="K63" s="578">
        <v>4650</v>
      </c>
      <c r="N63" s="259">
        <f t="shared" si="2"/>
        <v>0</v>
      </c>
    </row>
    <row r="64" spans="1:15">
      <c r="A64" s="434">
        <v>12</v>
      </c>
      <c r="B64" s="438" t="s">
        <v>405</v>
      </c>
      <c r="C64" s="439">
        <v>29779</v>
      </c>
      <c r="D64" s="436" t="str">
        <f t="shared" si="5"/>
        <v>43 Tahun, 10 Bulan, 19 hari</v>
      </c>
      <c r="E64" s="576">
        <v>45409</v>
      </c>
      <c r="F64" s="575" t="str">
        <f t="shared" si="6"/>
        <v>1 Tahun, 1 Bulan, 4 hari</v>
      </c>
      <c r="G64" s="440">
        <v>4</v>
      </c>
      <c r="H64" s="441">
        <v>1</v>
      </c>
      <c r="I64" s="442">
        <v>2500</v>
      </c>
      <c r="J64" s="441" t="s">
        <v>191</v>
      </c>
      <c r="K64" s="578">
        <v>4650</v>
      </c>
      <c r="N64" s="259">
        <f t="shared" si="2"/>
        <v>0</v>
      </c>
    </row>
    <row r="65" spans="1:15">
      <c r="A65" s="434">
        <v>13</v>
      </c>
      <c r="B65" s="438" t="s">
        <v>409</v>
      </c>
      <c r="C65" s="439" t="s">
        <v>418</v>
      </c>
      <c r="D65" s="436" t="str">
        <f t="shared" si="5"/>
        <v>46 Tahun, 4 Bulan, 24 hari</v>
      </c>
      <c r="E65" s="576">
        <v>45429</v>
      </c>
      <c r="F65" s="575" t="str">
        <f t="shared" si="6"/>
        <v>1 Tahun, 0 Bulan, 14 hari</v>
      </c>
      <c r="G65" s="440">
        <v>5</v>
      </c>
      <c r="H65" s="756">
        <v>1</v>
      </c>
      <c r="I65" s="1238">
        <v>2500</v>
      </c>
      <c r="J65" s="441" t="s">
        <v>703</v>
      </c>
      <c r="K65" s="443">
        <v>5550</v>
      </c>
      <c r="N65" s="259">
        <f t="shared" si="2"/>
        <v>0</v>
      </c>
    </row>
    <row r="66" spans="1:15">
      <c r="A66" s="434">
        <v>14</v>
      </c>
      <c r="B66" s="438" t="s">
        <v>464</v>
      </c>
      <c r="C66" s="439">
        <v>29586</v>
      </c>
      <c r="D66" s="436" t="str">
        <f t="shared" si="5"/>
        <v>44 Tahun, 5 Bulan, 0 hari</v>
      </c>
      <c r="E66" s="576">
        <v>45474</v>
      </c>
      <c r="F66" s="575" t="str">
        <f t="shared" si="6"/>
        <v>0 Tahun, 10 Bulan, 30 hari</v>
      </c>
      <c r="G66" s="440">
        <v>7</v>
      </c>
      <c r="H66" s="441"/>
      <c r="I66" s="442"/>
      <c r="J66" s="441" t="s">
        <v>703</v>
      </c>
      <c r="K66" s="443">
        <v>5550</v>
      </c>
      <c r="N66" s="259">
        <f t="shared" si="2"/>
        <v>0</v>
      </c>
    </row>
    <row r="67" spans="1:15">
      <c r="A67" s="434">
        <v>15</v>
      </c>
      <c r="B67" s="438" t="s">
        <v>469</v>
      </c>
      <c r="C67" s="439">
        <v>31573</v>
      </c>
      <c r="D67" s="436" t="str">
        <f t="shared" si="5"/>
        <v>38 Tahun, 11 Bulan, 21 hari</v>
      </c>
      <c r="E67" s="576">
        <v>45498</v>
      </c>
      <c r="F67" s="575" t="str">
        <f t="shared" si="6"/>
        <v>0 Tahun, 10 Bulan, 6 hari</v>
      </c>
      <c r="G67" s="440">
        <v>7</v>
      </c>
      <c r="H67" s="441"/>
      <c r="I67" s="442"/>
      <c r="J67" s="441" t="s">
        <v>192</v>
      </c>
      <c r="K67" s="578">
        <v>5550</v>
      </c>
      <c r="N67" s="259">
        <f t="shared" si="2"/>
        <v>0</v>
      </c>
    </row>
    <row r="68" spans="1:15">
      <c r="A68" s="434">
        <v>16</v>
      </c>
      <c r="B68" s="438" t="s">
        <v>474</v>
      </c>
      <c r="C68" s="439">
        <v>32089</v>
      </c>
      <c r="D68" s="436" t="str">
        <f t="shared" si="5"/>
        <v>37 Tahun, 6 Bulan, 23 hari</v>
      </c>
      <c r="E68" s="576">
        <v>45509</v>
      </c>
      <c r="F68" s="575" t="str">
        <f t="shared" si="6"/>
        <v>0 Tahun, 9 Bulan, 26 hari</v>
      </c>
      <c r="G68" s="440">
        <v>8</v>
      </c>
      <c r="H68" s="441"/>
      <c r="I68" s="442"/>
      <c r="J68" s="441" t="s">
        <v>191</v>
      </c>
      <c r="K68" s="578">
        <v>4650</v>
      </c>
      <c r="N68" s="259">
        <f t="shared" si="2"/>
        <v>0</v>
      </c>
    </row>
    <row r="69" spans="1:15">
      <c r="A69" s="434">
        <v>17</v>
      </c>
      <c r="B69" s="438" t="s">
        <v>555</v>
      </c>
      <c r="C69" s="439">
        <v>37228</v>
      </c>
      <c r="D69" s="436" t="str">
        <f t="shared" ref="D69:D74" si="8">DATEDIF(C69,$E$4,"Y")&amp;" Tahun, "&amp;DATEDIF(C69,$E$4,"YM")&amp;" Bulan, "&amp;DATEDIF(C69,$E$4,"MD")&amp;" hari"</f>
        <v>23 Tahun, 5 Bulan, 28 hari</v>
      </c>
      <c r="E69" s="576">
        <v>45554</v>
      </c>
      <c r="F69" s="575" t="str">
        <f t="shared" ref="F69" si="9">DATEDIF(E69,$E$4,"Y")&amp;" Tahun, "&amp;DATEDIF(E69,$E$4,"YM")&amp;" Bulan, "&amp;DATEDIF(E69,$E$4,"MD")&amp;" hari"</f>
        <v>0 Tahun, 8 Bulan, 12 hari</v>
      </c>
      <c r="G69" s="440">
        <v>6</v>
      </c>
      <c r="H69" s="441"/>
      <c r="I69" s="577"/>
      <c r="J69" s="756" t="s">
        <v>674</v>
      </c>
      <c r="K69" s="757">
        <v>3700</v>
      </c>
      <c r="N69" s="259">
        <f t="shared" ref="N69:N77" si="10">L69-M69</f>
        <v>0</v>
      </c>
    </row>
    <row r="70" spans="1:15">
      <c r="A70" s="434">
        <v>18</v>
      </c>
      <c r="B70" s="438" t="s">
        <v>647</v>
      </c>
      <c r="C70" s="439">
        <v>36776</v>
      </c>
      <c r="D70" s="436" t="str">
        <f t="shared" si="8"/>
        <v>24 Tahun, 8 Bulan, 24 hari</v>
      </c>
      <c r="E70" s="576">
        <v>45673</v>
      </c>
      <c r="F70" s="575" t="str">
        <f>DATEDIF(E70,$E$4,"Y")&amp;" Tahun, "&amp;DATEDIF(E70,$E$4,"YM")&amp;" Bulan, "&amp;DATEDIF(E70,$E$4,"MD")&amp;" hari"</f>
        <v>0 Tahun, 4 Bulan, 15 hari</v>
      </c>
      <c r="G70" s="440">
        <v>1</v>
      </c>
      <c r="H70" s="441"/>
      <c r="I70" s="442"/>
      <c r="J70" s="441" t="s">
        <v>673</v>
      </c>
      <c r="K70" s="443">
        <v>2250</v>
      </c>
      <c r="N70" s="259">
        <f>L70-M70</f>
        <v>0</v>
      </c>
    </row>
    <row r="71" spans="1:15" ht="15" thickBot="1">
      <c r="A71" s="434">
        <v>19</v>
      </c>
      <c r="B71" s="593" t="s">
        <v>646</v>
      </c>
      <c r="C71" s="435">
        <v>33812</v>
      </c>
      <c r="D71" s="1310" t="str">
        <f t="shared" si="8"/>
        <v>32 Tahun, 10 Bulan, 4 hari</v>
      </c>
      <c r="E71" s="594">
        <v>45673</v>
      </c>
      <c r="F71" s="437" t="str">
        <f>DATEDIF(E71,$E$4,"Y")&amp;" Tahun, "&amp;DATEDIF(E71,$E$4,"YM")&amp;" Bulan, "&amp;DATEDIF(E71,$E$4,"MD")&amp;" hari"</f>
        <v>0 Tahun, 4 Bulan, 15 hari</v>
      </c>
      <c r="G71" s="595">
        <v>1</v>
      </c>
      <c r="H71" s="596"/>
      <c r="I71" s="1311"/>
      <c r="J71" s="596" t="s">
        <v>191</v>
      </c>
      <c r="K71" s="1312">
        <v>4650</v>
      </c>
      <c r="N71" s="259">
        <f>L71-M71</f>
        <v>0</v>
      </c>
    </row>
    <row r="72" spans="1:15">
      <c r="A72" s="434">
        <v>20</v>
      </c>
      <c r="B72" s="438" t="s">
        <v>688</v>
      </c>
      <c r="C72" s="576">
        <v>31787</v>
      </c>
      <c r="D72" s="436" t="str">
        <f t="shared" si="8"/>
        <v>38 Tahun, 4 Bulan, 21 hari</v>
      </c>
      <c r="E72" s="576">
        <v>45693</v>
      </c>
      <c r="F72" s="575" t="str">
        <f>DATEDIF(E72,$E$4,"Y")&amp;" Tahun, "&amp;DATEDIF(E72,$E$4,"YM")&amp;" Bulan, "&amp;DATEDIF(E72,$E$4,"MD")&amp;" hari"</f>
        <v>0 Tahun, 3 Bulan, 26 hari</v>
      </c>
      <c r="G72" s="440"/>
      <c r="H72" s="441"/>
      <c r="I72" s="442"/>
      <c r="J72" s="441" t="s">
        <v>673</v>
      </c>
      <c r="K72" s="442">
        <v>2250</v>
      </c>
      <c r="L72" s="1249"/>
      <c r="N72" s="259">
        <f>L72-M72</f>
        <v>0</v>
      </c>
    </row>
    <row r="73" spans="1:15">
      <c r="A73" s="434">
        <v>21</v>
      </c>
      <c r="B73" s="438" t="s">
        <v>691</v>
      </c>
      <c r="C73" s="576">
        <v>37023</v>
      </c>
      <c r="D73" s="436" t="str">
        <f t="shared" si="8"/>
        <v>24 Tahun, 0 Bulan, 19 hari</v>
      </c>
      <c r="E73" s="576">
        <v>45701</v>
      </c>
      <c r="F73" s="575" t="str">
        <f>DATEDIF(E73,$E$4,"Y")&amp;" Tahun, "&amp;DATEDIF(E73,$E$4,"YM")&amp;" Bulan, "&amp;DATEDIF(E73,$E$4,"MD")&amp;" hari"</f>
        <v>0 Tahun, 3 Bulan, 18 hari</v>
      </c>
      <c r="G73" s="440"/>
      <c r="H73" s="441"/>
      <c r="I73" s="442"/>
      <c r="J73" s="441" t="s">
        <v>674</v>
      </c>
      <c r="K73" s="442">
        <v>3600</v>
      </c>
      <c r="L73" s="1250"/>
      <c r="N73" s="259">
        <f>L73-M73</f>
        <v>0</v>
      </c>
    </row>
    <row r="74" spans="1:15" ht="15" thickBot="1">
      <c r="A74" s="434">
        <v>22</v>
      </c>
      <c r="B74" s="438" t="s">
        <v>692</v>
      </c>
      <c r="C74" s="576">
        <v>36525</v>
      </c>
      <c r="D74" s="436" t="str">
        <f t="shared" si="8"/>
        <v>25 Tahun, 5 Bulan, 0 hari</v>
      </c>
      <c r="E74" s="576">
        <v>45701</v>
      </c>
      <c r="F74" s="575" t="str">
        <f>DATEDIF(E74,$E$4,"Y")&amp;" Tahun, "&amp;DATEDIF(E74,$E$4,"YM")&amp;" Bulan, "&amp;DATEDIF(E74,$E$4,"MD")&amp;" hari"</f>
        <v>0 Tahun, 3 Bulan, 18 hari</v>
      </c>
      <c r="G74" s="440"/>
      <c r="H74" s="441"/>
      <c r="I74" s="442"/>
      <c r="J74" s="441" t="s">
        <v>673</v>
      </c>
      <c r="K74" s="442">
        <v>2250</v>
      </c>
      <c r="L74" s="1250"/>
      <c r="N74" s="259">
        <f>L74-M74</f>
        <v>0</v>
      </c>
    </row>
    <row r="75" spans="1:15" s="202" customFormat="1" ht="57.75" thickBot="1">
      <c r="A75" s="204" t="s">
        <v>386</v>
      </c>
      <c r="B75" s="205" t="s">
        <v>387</v>
      </c>
      <c r="C75" s="248" t="s">
        <v>410</v>
      </c>
      <c r="D75" s="205" t="s">
        <v>411</v>
      </c>
      <c r="E75" s="248" t="s">
        <v>388</v>
      </c>
      <c r="F75" s="205" t="s">
        <v>352</v>
      </c>
      <c r="G75" s="462" t="s">
        <v>564</v>
      </c>
      <c r="H75" s="242" t="s">
        <v>412</v>
      </c>
      <c r="I75" s="232" t="s">
        <v>413</v>
      </c>
      <c r="J75" s="203" t="s">
        <v>390</v>
      </c>
      <c r="K75" s="236" t="s">
        <v>414</v>
      </c>
      <c r="N75" s="259">
        <f t="shared" ref="N75" si="11">L75-M75</f>
        <v>0</v>
      </c>
    </row>
    <row r="76" spans="1:15" s="201" customFormat="1" ht="15.75">
      <c r="A76" s="1800" t="s">
        <v>671</v>
      </c>
      <c r="B76" s="1800"/>
      <c r="C76" s="1800"/>
      <c r="D76" s="1800"/>
      <c r="E76" s="1800"/>
      <c r="F76" s="1800"/>
      <c r="G76" s="1800"/>
      <c r="H76" s="1800"/>
      <c r="I76" s="1800"/>
      <c r="J76" s="1800"/>
      <c r="K76" s="1800"/>
      <c r="N76" s="259">
        <f t="shared" si="10"/>
        <v>0</v>
      </c>
      <c r="O76" s="198"/>
    </row>
    <row r="77" spans="1:15">
      <c r="A77" s="434">
        <v>4</v>
      </c>
      <c r="B77" s="438" t="s">
        <v>748</v>
      </c>
      <c r="C77" s="1251">
        <v>30133</v>
      </c>
      <c r="D77" s="436" t="str">
        <f>DATEDIF(C77,$E$4,"Y")&amp;" Tahun, "&amp;DATEDIF(C77,$E$4,"YM")&amp;" Bulan, "&amp;DATEDIF(C77,$E$4,"MD")&amp;" hari"</f>
        <v>42 Tahun, 10 Bulan, 30 hari</v>
      </c>
      <c r="E77" s="1251">
        <v>45771</v>
      </c>
      <c r="F77" s="575" t="str">
        <f>DATEDIF(E77,$E$4,"Y")&amp;" Tahun, "&amp;DATEDIF(E77,$E$4,"YM")&amp;" Bulan, "&amp;DATEDIF(E77,$E$4,"MD")&amp;" hari"</f>
        <v>0 Tahun, 1 Bulan, 7 hari</v>
      </c>
      <c r="G77" s="440"/>
      <c r="H77" s="441"/>
      <c r="I77" s="442"/>
      <c r="J77" s="441"/>
      <c r="K77" s="442"/>
      <c r="L77" s="1250"/>
      <c r="N77" s="259">
        <f t="shared" si="10"/>
        <v>0</v>
      </c>
    </row>
    <row r="78" spans="1:15">
      <c r="A78" s="434">
        <v>5</v>
      </c>
      <c r="B78" s="438" t="s">
        <v>749</v>
      </c>
      <c r="C78" s="1251">
        <v>39562</v>
      </c>
      <c r="D78" s="436" t="str">
        <f>DATEDIF(C78,$E$4,"Y")&amp;" Tahun, "&amp;DATEDIF(C78,$E$4,"YM")&amp;" Bulan, "&amp;DATEDIF(C78,$E$4,"MD")&amp;" hari"</f>
        <v>17 Tahun, 1 Bulan, 7 hari</v>
      </c>
      <c r="E78" s="1251">
        <v>45771</v>
      </c>
      <c r="F78" s="575" t="str">
        <f t="shared" ref="F78:F85" si="12">DATEDIF(E78,$E$4,"Y")&amp;" Tahun, "&amp;DATEDIF(E78,$E$4,"YM")&amp;" Bulan, "&amp;DATEDIF(E78,$E$4,"MD")&amp;" hari"</f>
        <v>0 Tahun, 1 Bulan, 7 hari</v>
      </c>
      <c r="G78" s="440"/>
      <c r="H78" s="441"/>
      <c r="I78" s="442"/>
      <c r="J78" s="441"/>
      <c r="K78" s="442"/>
      <c r="L78" s="1250"/>
      <c r="N78" s="259"/>
    </row>
    <row r="79" spans="1:15">
      <c r="A79" s="434">
        <v>6</v>
      </c>
      <c r="B79" s="438" t="s">
        <v>750</v>
      </c>
      <c r="C79" s="1251">
        <v>36784</v>
      </c>
      <c r="D79" s="436" t="str">
        <f t="shared" ref="D79:D85" si="13">DATEDIF(C79,$E$4,"Y")&amp;" Tahun, "&amp;DATEDIF(C79,$E$4,"YM")&amp;" Bulan, "&amp;DATEDIF(C79,$E$4,"MD")&amp;" hari"</f>
        <v>24 Tahun, 8 Bulan, 16 hari</v>
      </c>
      <c r="E79" s="1251">
        <v>45771</v>
      </c>
      <c r="F79" s="575" t="str">
        <f t="shared" si="12"/>
        <v>0 Tahun, 1 Bulan, 7 hari</v>
      </c>
      <c r="G79" s="440"/>
      <c r="H79" s="441"/>
      <c r="I79" s="442"/>
      <c r="J79" s="441"/>
      <c r="K79" s="442"/>
      <c r="L79" s="1250"/>
      <c r="N79" s="259"/>
    </row>
    <row r="80" spans="1:15">
      <c r="A80" s="434">
        <v>7</v>
      </c>
      <c r="B80" s="438" t="s">
        <v>751</v>
      </c>
      <c r="C80" s="1251"/>
      <c r="D80" s="436" t="str">
        <f t="shared" si="13"/>
        <v>125 Tahun, 4 Bulan, 31 hari</v>
      </c>
      <c r="E80" s="1251">
        <v>45771</v>
      </c>
      <c r="F80" s="575" t="str">
        <f t="shared" si="12"/>
        <v>0 Tahun, 1 Bulan, 7 hari</v>
      </c>
      <c r="G80" s="440"/>
      <c r="H80" s="441"/>
      <c r="I80" s="442"/>
      <c r="J80" s="441"/>
      <c r="K80" s="442"/>
      <c r="L80" s="1250"/>
    </row>
    <row r="81" spans="1:14">
      <c r="A81" s="434">
        <v>8</v>
      </c>
      <c r="B81" s="438" t="s">
        <v>781</v>
      </c>
      <c r="C81" s="1251"/>
      <c r="D81" s="436" t="str">
        <f t="shared" si="13"/>
        <v>125 Tahun, 4 Bulan, 31 hari</v>
      </c>
      <c r="E81" s="1251"/>
      <c r="F81" s="575" t="str">
        <f t="shared" si="12"/>
        <v>125 Tahun, 4 Bulan, 31 hari</v>
      </c>
      <c r="G81" s="440"/>
      <c r="H81" s="441"/>
      <c r="I81" s="442"/>
      <c r="J81" s="441"/>
      <c r="K81" s="442"/>
      <c r="L81" s="1250"/>
    </row>
    <row r="82" spans="1:14">
      <c r="A82" s="434">
        <v>9</v>
      </c>
      <c r="B82" s="438" t="s">
        <v>774</v>
      </c>
      <c r="C82" s="1251"/>
      <c r="D82" s="436" t="str">
        <f t="shared" si="13"/>
        <v>125 Tahun, 4 Bulan, 31 hari</v>
      </c>
      <c r="E82" s="1251"/>
      <c r="F82" s="575" t="str">
        <f t="shared" si="12"/>
        <v>125 Tahun, 4 Bulan, 31 hari</v>
      </c>
      <c r="G82" s="440"/>
      <c r="H82" s="441"/>
      <c r="I82" s="442"/>
      <c r="J82" s="441"/>
      <c r="K82" s="442"/>
      <c r="L82" s="1250"/>
    </row>
    <row r="83" spans="1:14">
      <c r="A83" s="434">
        <v>10</v>
      </c>
      <c r="B83" s="438" t="s">
        <v>776</v>
      </c>
      <c r="C83" s="1251"/>
      <c r="D83" s="436" t="str">
        <f t="shared" si="13"/>
        <v>125 Tahun, 4 Bulan, 31 hari</v>
      </c>
      <c r="E83" s="1251"/>
      <c r="F83" s="575" t="str">
        <f t="shared" si="12"/>
        <v>125 Tahun, 4 Bulan, 31 hari</v>
      </c>
      <c r="G83" s="440"/>
      <c r="H83" s="441"/>
      <c r="I83" s="442"/>
      <c r="J83" s="441"/>
      <c r="K83" s="442"/>
      <c r="L83" s="1250"/>
    </row>
    <row r="84" spans="1:14">
      <c r="A84" s="434">
        <v>11</v>
      </c>
      <c r="B84" s="438" t="s">
        <v>963</v>
      </c>
      <c r="C84" s="1251"/>
      <c r="D84" s="436" t="str">
        <f t="shared" si="13"/>
        <v>125 Tahun, 4 Bulan, 31 hari</v>
      </c>
      <c r="E84" s="1251"/>
      <c r="F84" s="575" t="str">
        <f t="shared" si="12"/>
        <v>125 Tahun, 4 Bulan, 31 hari</v>
      </c>
      <c r="G84" s="440"/>
      <c r="H84" s="441"/>
      <c r="I84" s="442"/>
      <c r="J84" s="441"/>
      <c r="K84" s="442"/>
      <c r="L84" s="1250"/>
    </row>
    <row r="85" spans="1:14" ht="15" thickBot="1">
      <c r="A85" s="209"/>
      <c r="B85" s="444"/>
      <c r="C85" s="1252"/>
      <c r="D85" s="436" t="str">
        <f t="shared" si="13"/>
        <v>125 Tahun, 4 Bulan, 31 hari</v>
      </c>
      <c r="E85" s="1252"/>
      <c r="F85" s="575" t="str">
        <f t="shared" si="12"/>
        <v>125 Tahun, 4 Bulan, 31 hari</v>
      </c>
      <c r="G85" s="449"/>
      <c r="H85" s="450"/>
      <c r="I85" s="451"/>
      <c r="J85" s="450"/>
      <c r="K85" s="451"/>
      <c r="L85" s="1253"/>
    </row>
    <row r="86" spans="1:14" s="1243" customFormat="1">
      <c r="A86" s="1241"/>
      <c r="B86" s="1242" t="s">
        <v>965</v>
      </c>
      <c r="C86" s="1244"/>
      <c r="D86" s="1247"/>
      <c r="E86" s="1244"/>
      <c r="F86" s="1248"/>
      <c r="G86" s="1245"/>
      <c r="H86" s="1241"/>
      <c r="I86" s="1246"/>
      <c r="J86" s="1241"/>
      <c r="K86" s="1246"/>
    </row>
    <row r="87" spans="1:14">
      <c r="A87" s="434">
        <v>11</v>
      </c>
      <c r="B87" s="438" t="s">
        <v>372</v>
      </c>
      <c r="C87" s="439">
        <v>32494</v>
      </c>
      <c r="D87" s="436" t="str">
        <f t="shared" ref="D87:D96" si="14">DATEDIF(C87,$E$4,"Y")&amp;" Tahun, "&amp;DATEDIF(C87,$E$4,"YM")&amp;" Bulan, "&amp;DATEDIF(C87,$E$4,"MD")&amp;" hari"</f>
        <v>36 Tahun, 5 Bulan, 14 hari</v>
      </c>
      <c r="E87" s="576">
        <v>45405</v>
      </c>
      <c r="F87" s="575" t="str">
        <f t="shared" ref="F87:F96" si="15">DATEDIF(E87,$E$4,"Y")&amp;" Tahun, "&amp;DATEDIF(E87,$E$4,"YM")&amp;" Bulan, "&amp;DATEDIF(E87,$E$4,"MD")&amp;" hari"</f>
        <v>1 Tahun, 1 Bulan, 8 hari</v>
      </c>
      <c r="G87" s="440">
        <v>4</v>
      </c>
      <c r="H87" s="441"/>
      <c r="I87" s="577"/>
      <c r="K87" s="443">
        <v>4500</v>
      </c>
    </row>
    <row r="88" spans="1:14">
      <c r="A88" s="434">
        <v>23</v>
      </c>
      <c r="B88" s="438" t="s">
        <v>139</v>
      </c>
      <c r="C88" s="439">
        <v>29574</v>
      </c>
      <c r="D88" s="436" t="str">
        <f t="shared" si="14"/>
        <v>44 Tahun, 5 Bulan, 12 hari</v>
      </c>
      <c r="E88" s="576" t="s">
        <v>400</v>
      </c>
      <c r="F88" s="575" t="str">
        <f t="shared" si="15"/>
        <v>10 Tahun, 4 Bulan, 25 hari</v>
      </c>
      <c r="G88" s="440">
        <v>6</v>
      </c>
      <c r="H88" s="441"/>
      <c r="I88" s="442"/>
      <c r="J88" s="198"/>
      <c r="K88" s="443">
        <v>5400</v>
      </c>
      <c r="L88" s="198">
        <v>21000</v>
      </c>
      <c r="M88" s="259">
        <f>I88-L88</f>
        <v>-21000</v>
      </c>
    </row>
    <row r="89" spans="1:14">
      <c r="A89" s="434">
        <v>24</v>
      </c>
      <c r="B89" s="438" t="s">
        <v>445</v>
      </c>
      <c r="C89" s="439">
        <v>31229</v>
      </c>
      <c r="D89" s="436" t="str">
        <f t="shared" si="14"/>
        <v>39 Tahun, 10 Bulan, 30 hari</v>
      </c>
      <c r="E89" s="439" t="s">
        <v>448</v>
      </c>
      <c r="F89" s="575" t="e">
        <f t="shared" si="15"/>
        <v>#VALUE!</v>
      </c>
      <c r="G89" s="440">
        <v>11</v>
      </c>
      <c r="H89" s="441"/>
      <c r="I89" s="442"/>
      <c r="J89" s="198"/>
      <c r="K89" s="443">
        <v>5400</v>
      </c>
      <c r="L89" s="198">
        <v>43500</v>
      </c>
      <c r="M89" s="259">
        <f>I89-L89</f>
        <v>-43500</v>
      </c>
    </row>
    <row r="90" spans="1:14" ht="15" thickBot="1">
      <c r="A90" s="209">
        <v>25</v>
      </c>
      <c r="B90" s="444" t="s">
        <v>374</v>
      </c>
      <c r="C90" s="445">
        <v>29842</v>
      </c>
      <c r="D90" s="446" t="str">
        <f t="shared" si="14"/>
        <v>43 Tahun, 8 Bulan, 18 hari</v>
      </c>
      <c r="E90" s="447">
        <v>45405</v>
      </c>
      <c r="F90" s="448" t="str">
        <f t="shared" si="15"/>
        <v>1 Tahun, 1 Bulan, 8 hari</v>
      </c>
      <c r="G90" s="449">
        <v>4</v>
      </c>
      <c r="H90" s="450"/>
      <c r="I90" s="451"/>
      <c r="J90" s="198"/>
      <c r="K90" s="238">
        <v>5400</v>
      </c>
    </row>
    <row r="91" spans="1:14">
      <c r="A91" s="434" t="s">
        <v>53</v>
      </c>
      <c r="B91" s="438" t="s">
        <v>645</v>
      </c>
      <c r="C91" s="439"/>
      <c r="D91" s="436" t="str">
        <f t="shared" si="14"/>
        <v>125 Tahun, 4 Bulan, 31 hari</v>
      </c>
      <c r="E91" s="576"/>
      <c r="F91" s="575" t="str">
        <f t="shared" si="15"/>
        <v>125 Tahun, 4 Bulan, 31 hari</v>
      </c>
      <c r="G91" s="440"/>
      <c r="H91" s="441"/>
      <c r="I91" s="442"/>
      <c r="J91" s="441" t="s">
        <v>673</v>
      </c>
      <c r="K91" s="443">
        <v>2250</v>
      </c>
      <c r="N91" s="259">
        <f t="shared" ref="N91:N96" si="16">L91-M91</f>
        <v>0</v>
      </c>
    </row>
    <row r="92" spans="1:14">
      <c r="A92" s="434">
        <v>12</v>
      </c>
      <c r="B92" s="438" t="s">
        <v>369</v>
      </c>
      <c r="C92" s="439">
        <v>35795</v>
      </c>
      <c r="D92" s="436" t="str">
        <f t="shared" si="14"/>
        <v>27 Tahun, 5 Bulan, 0 hari</v>
      </c>
      <c r="E92" s="576">
        <v>45409</v>
      </c>
      <c r="F92" s="575" t="str">
        <f t="shared" si="15"/>
        <v>1 Tahun, 1 Bulan, 4 hari</v>
      </c>
      <c r="G92" s="440">
        <v>4</v>
      </c>
      <c r="H92" s="441">
        <v>1</v>
      </c>
      <c r="I92" s="442">
        <v>2500</v>
      </c>
      <c r="J92" s="441" t="s">
        <v>191</v>
      </c>
      <c r="K92" s="578">
        <v>4650</v>
      </c>
      <c r="N92" s="259">
        <f t="shared" si="16"/>
        <v>0</v>
      </c>
    </row>
    <row r="93" spans="1:14">
      <c r="A93" s="434">
        <v>15</v>
      </c>
      <c r="B93" s="438" t="s">
        <v>408</v>
      </c>
      <c r="C93" s="439">
        <v>30948</v>
      </c>
      <c r="D93" s="436" t="str">
        <f t="shared" si="14"/>
        <v>40 Tahun, 8 Bulan, 8 hari</v>
      </c>
      <c r="E93" s="576">
        <v>45429</v>
      </c>
      <c r="F93" s="575" t="str">
        <f t="shared" si="15"/>
        <v>1 Tahun, 0 Bulan, 14 hari</v>
      </c>
      <c r="G93" s="440">
        <v>5</v>
      </c>
      <c r="H93" s="756">
        <v>1</v>
      </c>
      <c r="I93" s="1238">
        <v>2500</v>
      </c>
      <c r="J93" s="441" t="s">
        <v>192</v>
      </c>
      <c r="K93" s="578">
        <v>5550</v>
      </c>
      <c r="N93" s="259">
        <f t="shared" si="16"/>
        <v>0</v>
      </c>
    </row>
    <row r="94" spans="1:14">
      <c r="A94" s="434">
        <v>18</v>
      </c>
      <c r="B94" s="438" t="s">
        <v>465</v>
      </c>
      <c r="C94" s="439">
        <v>35612</v>
      </c>
      <c r="D94" s="436" t="str">
        <f t="shared" si="14"/>
        <v>27 Tahun, 10 Bulan, 30 hari</v>
      </c>
      <c r="E94" s="576">
        <v>45474</v>
      </c>
      <c r="F94" s="575" t="str">
        <f t="shared" si="15"/>
        <v>0 Tahun, 10 Bulan, 30 hari</v>
      </c>
      <c r="G94" s="440">
        <v>7</v>
      </c>
      <c r="H94" s="441"/>
      <c r="I94" s="442"/>
      <c r="J94" s="441" t="s">
        <v>673</v>
      </c>
      <c r="K94" s="443">
        <v>2250</v>
      </c>
      <c r="N94" s="259">
        <f t="shared" si="16"/>
        <v>0</v>
      </c>
    </row>
    <row r="95" spans="1:14" ht="15" thickBot="1">
      <c r="A95" s="434">
        <v>19</v>
      </c>
      <c r="B95" s="438" t="s">
        <v>466</v>
      </c>
      <c r="C95" s="439">
        <v>31784</v>
      </c>
      <c r="D95" s="436" t="str">
        <f t="shared" si="14"/>
        <v>38 Tahun, 4 Bulan, 24 hari</v>
      </c>
      <c r="E95" s="576">
        <v>45474</v>
      </c>
      <c r="F95" s="575" t="str">
        <f t="shared" si="15"/>
        <v>0 Tahun, 10 Bulan, 30 hari</v>
      </c>
      <c r="G95" s="440">
        <v>7</v>
      </c>
      <c r="H95" s="441"/>
      <c r="I95" s="442"/>
      <c r="J95" s="441" t="s">
        <v>191</v>
      </c>
      <c r="K95" s="578">
        <v>4650</v>
      </c>
      <c r="N95" s="259">
        <f t="shared" si="16"/>
        <v>0</v>
      </c>
    </row>
    <row r="96" spans="1:14">
      <c r="A96" s="206" t="s">
        <v>63</v>
      </c>
      <c r="B96" s="207" t="s">
        <v>644</v>
      </c>
      <c r="C96" s="251">
        <v>28125</v>
      </c>
      <c r="D96" s="243" t="str">
        <f t="shared" si="14"/>
        <v>48 Tahun, 5 Bulan, 0 hari</v>
      </c>
      <c r="E96" s="249">
        <v>45673</v>
      </c>
      <c r="F96" s="208" t="str">
        <f t="shared" si="15"/>
        <v>0 Tahun, 4 Bulan, 15 hari</v>
      </c>
      <c r="G96" s="258"/>
      <c r="H96" s="212"/>
      <c r="I96" s="256"/>
      <c r="J96" s="212" t="s">
        <v>673</v>
      </c>
      <c r="K96" s="443">
        <v>2250</v>
      </c>
      <c r="N96" s="259">
        <f t="shared" si="16"/>
        <v>0</v>
      </c>
    </row>
  </sheetData>
  <autoFilter ref="A1:K77" xr:uid="{00000000-0009-0000-0000-000000000000}"/>
  <mergeCells count="3">
    <mergeCell ref="A41:B41"/>
    <mergeCell ref="A51:K51"/>
    <mergeCell ref="A76:K76"/>
  </mergeCells>
  <printOptions horizontalCentered="1"/>
  <pageMargins left="0" right="0" top="0" bottom="0" header="0" footer="0"/>
  <pageSetup paperSize="9" scale="44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72"/>
  <sheetViews>
    <sheetView view="pageBreakPreview" zoomScale="50" zoomScaleNormal="70" zoomScaleSheetLayoutView="50" workbookViewId="0">
      <selection activeCell="A40" sqref="A40:H40"/>
    </sheetView>
  </sheetViews>
  <sheetFormatPr defaultRowHeight="20.25"/>
  <cols>
    <col min="1" max="1" width="12" style="1728" customWidth="1"/>
    <col min="2" max="2" width="45.42578125" style="1728" customWidth="1"/>
    <col min="3" max="3" width="10.42578125" style="1727" customWidth="1"/>
    <col min="4" max="4" width="12.28515625" style="1727" customWidth="1"/>
    <col min="5" max="5" width="13.140625" style="1727" customWidth="1"/>
    <col min="6" max="6" width="20.28515625" style="1727" customWidth="1"/>
    <col min="7" max="7" width="10.42578125" style="1727" customWidth="1"/>
    <col min="8" max="9" width="12.28515625" style="1727" customWidth="1"/>
    <col min="10" max="10" width="20.28515625" style="1727" customWidth="1"/>
    <col min="11" max="11" width="12.42578125" style="1727" customWidth="1"/>
    <col min="12" max="13" width="12.28515625" style="1727" customWidth="1"/>
    <col min="14" max="14" width="20.28515625" style="1727" customWidth="1"/>
    <col min="15" max="15" width="17.42578125" style="1728" customWidth="1"/>
    <col min="16" max="16" width="21.28515625" style="1728" customWidth="1"/>
    <col min="17" max="256" width="9.140625" style="1728"/>
    <col min="257" max="257" width="12" style="1728" customWidth="1"/>
    <col min="258" max="258" width="45.42578125" style="1728" customWidth="1"/>
    <col min="259" max="259" width="10.42578125" style="1728" customWidth="1"/>
    <col min="260" max="260" width="12.28515625" style="1728" customWidth="1"/>
    <col min="261" max="261" width="13.140625" style="1728" customWidth="1"/>
    <col min="262" max="262" width="20.28515625" style="1728" customWidth="1"/>
    <col min="263" max="263" width="10.42578125" style="1728" customWidth="1"/>
    <col min="264" max="265" width="12.28515625" style="1728" customWidth="1"/>
    <col min="266" max="266" width="20.28515625" style="1728" customWidth="1"/>
    <col min="267" max="267" width="12.42578125" style="1728" customWidth="1"/>
    <col min="268" max="269" width="12.28515625" style="1728" customWidth="1"/>
    <col min="270" max="270" width="20.28515625" style="1728" customWidth="1"/>
    <col min="271" max="271" width="17.42578125" style="1728" customWidth="1"/>
    <col min="272" max="272" width="21.28515625" style="1728" customWidth="1"/>
    <col min="273" max="512" width="9.140625" style="1728"/>
    <col min="513" max="513" width="12" style="1728" customWidth="1"/>
    <col min="514" max="514" width="45.42578125" style="1728" customWidth="1"/>
    <col min="515" max="515" width="10.42578125" style="1728" customWidth="1"/>
    <col min="516" max="516" width="12.28515625" style="1728" customWidth="1"/>
    <col min="517" max="517" width="13.140625" style="1728" customWidth="1"/>
    <col min="518" max="518" width="20.28515625" style="1728" customWidth="1"/>
    <col min="519" max="519" width="10.42578125" style="1728" customWidth="1"/>
    <col min="520" max="521" width="12.28515625" style="1728" customWidth="1"/>
    <col min="522" max="522" width="20.28515625" style="1728" customWidth="1"/>
    <col min="523" max="523" width="12.42578125" style="1728" customWidth="1"/>
    <col min="524" max="525" width="12.28515625" style="1728" customWidth="1"/>
    <col min="526" max="526" width="20.28515625" style="1728" customWidth="1"/>
    <col min="527" max="527" width="17.42578125" style="1728" customWidth="1"/>
    <col min="528" max="528" width="21.28515625" style="1728" customWidth="1"/>
    <col min="529" max="768" width="9.140625" style="1728"/>
    <col min="769" max="769" width="12" style="1728" customWidth="1"/>
    <col min="770" max="770" width="45.42578125" style="1728" customWidth="1"/>
    <col min="771" max="771" width="10.42578125" style="1728" customWidth="1"/>
    <col min="772" max="772" width="12.28515625" style="1728" customWidth="1"/>
    <col min="773" max="773" width="13.140625" style="1728" customWidth="1"/>
    <col min="774" max="774" width="20.28515625" style="1728" customWidth="1"/>
    <col min="775" max="775" width="10.42578125" style="1728" customWidth="1"/>
    <col min="776" max="777" width="12.28515625" style="1728" customWidth="1"/>
    <col min="778" max="778" width="20.28515625" style="1728" customWidth="1"/>
    <col min="779" max="779" width="12.42578125" style="1728" customWidth="1"/>
    <col min="780" max="781" width="12.28515625" style="1728" customWidth="1"/>
    <col min="782" max="782" width="20.28515625" style="1728" customWidth="1"/>
    <col min="783" max="783" width="17.42578125" style="1728" customWidth="1"/>
    <col min="784" max="784" width="21.28515625" style="1728" customWidth="1"/>
    <col min="785" max="1024" width="9.140625" style="1728"/>
    <col min="1025" max="1025" width="12" style="1728" customWidth="1"/>
    <col min="1026" max="1026" width="45.42578125" style="1728" customWidth="1"/>
    <col min="1027" max="1027" width="10.42578125" style="1728" customWidth="1"/>
    <col min="1028" max="1028" width="12.28515625" style="1728" customWidth="1"/>
    <col min="1029" max="1029" width="13.140625" style="1728" customWidth="1"/>
    <col min="1030" max="1030" width="20.28515625" style="1728" customWidth="1"/>
    <col min="1031" max="1031" width="10.42578125" style="1728" customWidth="1"/>
    <col min="1032" max="1033" width="12.28515625" style="1728" customWidth="1"/>
    <col min="1034" max="1034" width="20.28515625" style="1728" customWidth="1"/>
    <col min="1035" max="1035" width="12.42578125" style="1728" customWidth="1"/>
    <col min="1036" max="1037" width="12.28515625" style="1728" customWidth="1"/>
    <col min="1038" max="1038" width="20.28515625" style="1728" customWidth="1"/>
    <col min="1039" max="1039" width="17.42578125" style="1728" customWidth="1"/>
    <col min="1040" max="1040" width="21.28515625" style="1728" customWidth="1"/>
    <col min="1041" max="1280" width="9.140625" style="1728"/>
    <col min="1281" max="1281" width="12" style="1728" customWidth="1"/>
    <col min="1282" max="1282" width="45.42578125" style="1728" customWidth="1"/>
    <col min="1283" max="1283" width="10.42578125" style="1728" customWidth="1"/>
    <col min="1284" max="1284" width="12.28515625" style="1728" customWidth="1"/>
    <col min="1285" max="1285" width="13.140625" style="1728" customWidth="1"/>
    <col min="1286" max="1286" width="20.28515625" style="1728" customWidth="1"/>
    <col min="1287" max="1287" width="10.42578125" style="1728" customWidth="1"/>
    <col min="1288" max="1289" width="12.28515625" style="1728" customWidth="1"/>
    <col min="1290" max="1290" width="20.28515625" style="1728" customWidth="1"/>
    <col min="1291" max="1291" width="12.42578125" style="1728" customWidth="1"/>
    <col min="1292" max="1293" width="12.28515625" style="1728" customWidth="1"/>
    <col min="1294" max="1294" width="20.28515625" style="1728" customWidth="1"/>
    <col min="1295" max="1295" width="17.42578125" style="1728" customWidth="1"/>
    <col min="1296" max="1296" width="21.28515625" style="1728" customWidth="1"/>
    <col min="1297" max="1536" width="9.140625" style="1728"/>
    <col min="1537" max="1537" width="12" style="1728" customWidth="1"/>
    <col min="1538" max="1538" width="45.42578125" style="1728" customWidth="1"/>
    <col min="1539" max="1539" width="10.42578125" style="1728" customWidth="1"/>
    <col min="1540" max="1540" width="12.28515625" style="1728" customWidth="1"/>
    <col min="1541" max="1541" width="13.140625" style="1728" customWidth="1"/>
    <col min="1542" max="1542" width="20.28515625" style="1728" customWidth="1"/>
    <col min="1543" max="1543" width="10.42578125" style="1728" customWidth="1"/>
    <col min="1544" max="1545" width="12.28515625" style="1728" customWidth="1"/>
    <col min="1546" max="1546" width="20.28515625" style="1728" customWidth="1"/>
    <col min="1547" max="1547" width="12.42578125" style="1728" customWidth="1"/>
    <col min="1548" max="1549" width="12.28515625" style="1728" customWidth="1"/>
    <col min="1550" max="1550" width="20.28515625" style="1728" customWidth="1"/>
    <col min="1551" max="1551" width="17.42578125" style="1728" customWidth="1"/>
    <col min="1552" max="1552" width="21.28515625" style="1728" customWidth="1"/>
    <col min="1553" max="1792" width="9.140625" style="1728"/>
    <col min="1793" max="1793" width="12" style="1728" customWidth="1"/>
    <col min="1794" max="1794" width="45.42578125" style="1728" customWidth="1"/>
    <col min="1795" max="1795" width="10.42578125" style="1728" customWidth="1"/>
    <col min="1796" max="1796" width="12.28515625" style="1728" customWidth="1"/>
    <col min="1797" max="1797" width="13.140625" style="1728" customWidth="1"/>
    <col min="1798" max="1798" width="20.28515625" style="1728" customWidth="1"/>
    <col min="1799" max="1799" width="10.42578125" style="1728" customWidth="1"/>
    <col min="1800" max="1801" width="12.28515625" style="1728" customWidth="1"/>
    <col min="1802" max="1802" width="20.28515625" style="1728" customWidth="1"/>
    <col min="1803" max="1803" width="12.42578125" style="1728" customWidth="1"/>
    <col min="1804" max="1805" width="12.28515625" style="1728" customWidth="1"/>
    <col min="1806" max="1806" width="20.28515625" style="1728" customWidth="1"/>
    <col min="1807" max="1807" width="17.42578125" style="1728" customWidth="1"/>
    <col min="1808" max="1808" width="21.28515625" style="1728" customWidth="1"/>
    <col min="1809" max="2048" width="9.140625" style="1728"/>
    <col min="2049" max="2049" width="12" style="1728" customWidth="1"/>
    <col min="2050" max="2050" width="45.42578125" style="1728" customWidth="1"/>
    <col min="2051" max="2051" width="10.42578125" style="1728" customWidth="1"/>
    <col min="2052" max="2052" width="12.28515625" style="1728" customWidth="1"/>
    <col min="2053" max="2053" width="13.140625" style="1728" customWidth="1"/>
    <col min="2054" max="2054" width="20.28515625" style="1728" customWidth="1"/>
    <col min="2055" max="2055" width="10.42578125" style="1728" customWidth="1"/>
    <col min="2056" max="2057" width="12.28515625" style="1728" customWidth="1"/>
    <col min="2058" max="2058" width="20.28515625" style="1728" customWidth="1"/>
    <col min="2059" max="2059" width="12.42578125" style="1728" customWidth="1"/>
    <col min="2060" max="2061" width="12.28515625" style="1728" customWidth="1"/>
    <col min="2062" max="2062" width="20.28515625" style="1728" customWidth="1"/>
    <col min="2063" max="2063" width="17.42578125" style="1728" customWidth="1"/>
    <col min="2064" max="2064" width="21.28515625" style="1728" customWidth="1"/>
    <col min="2065" max="2304" width="9.140625" style="1728"/>
    <col min="2305" max="2305" width="12" style="1728" customWidth="1"/>
    <col min="2306" max="2306" width="45.42578125" style="1728" customWidth="1"/>
    <col min="2307" max="2307" width="10.42578125" style="1728" customWidth="1"/>
    <col min="2308" max="2308" width="12.28515625" style="1728" customWidth="1"/>
    <col min="2309" max="2309" width="13.140625" style="1728" customWidth="1"/>
    <col min="2310" max="2310" width="20.28515625" style="1728" customWidth="1"/>
    <col min="2311" max="2311" width="10.42578125" style="1728" customWidth="1"/>
    <col min="2312" max="2313" width="12.28515625" style="1728" customWidth="1"/>
    <col min="2314" max="2314" width="20.28515625" style="1728" customWidth="1"/>
    <col min="2315" max="2315" width="12.42578125" style="1728" customWidth="1"/>
    <col min="2316" max="2317" width="12.28515625" style="1728" customWidth="1"/>
    <col min="2318" max="2318" width="20.28515625" style="1728" customWidth="1"/>
    <col min="2319" max="2319" width="17.42578125" style="1728" customWidth="1"/>
    <col min="2320" max="2320" width="21.28515625" style="1728" customWidth="1"/>
    <col min="2321" max="2560" width="9.140625" style="1728"/>
    <col min="2561" max="2561" width="12" style="1728" customWidth="1"/>
    <col min="2562" max="2562" width="45.42578125" style="1728" customWidth="1"/>
    <col min="2563" max="2563" width="10.42578125" style="1728" customWidth="1"/>
    <col min="2564" max="2564" width="12.28515625" style="1728" customWidth="1"/>
    <col min="2565" max="2565" width="13.140625" style="1728" customWidth="1"/>
    <col min="2566" max="2566" width="20.28515625" style="1728" customWidth="1"/>
    <col min="2567" max="2567" width="10.42578125" style="1728" customWidth="1"/>
    <col min="2568" max="2569" width="12.28515625" style="1728" customWidth="1"/>
    <col min="2570" max="2570" width="20.28515625" style="1728" customWidth="1"/>
    <col min="2571" max="2571" width="12.42578125" style="1728" customWidth="1"/>
    <col min="2572" max="2573" width="12.28515625" style="1728" customWidth="1"/>
    <col min="2574" max="2574" width="20.28515625" style="1728" customWidth="1"/>
    <col min="2575" max="2575" width="17.42578125" style="1728" customWidth="1"/>
    <col min="2576" max="2576" width="21.28515625" style="1728" customWidth="1"/>
    <col min="2577" max="2816" width="9.140625" style="1728"/>
    <col min="2817" max="2817" width="12" style="1728" customWidth="1"/>
    <col min="2818" max="2818" width="45.42578125" style="1728" customWidth="1"/>
    <col min="2819" max="2819" width="10.42578125" style="1728" customWidth="1"/>
    <col min="2820" max="2820" width="12.28515625" style="1728" customWidth="1"/>
    <col min="2821" max="2821" width="13.140625" style="1728" customWidth="1"/>
    <col min="2822" max="2822" width="20.28515625" style="1728" customWidth="1"/>
    <col min="2823" max="2823" width="10.42578125" style="1728" customWidth="1"/>
    <col min="2824" max="2825" width="12.28515625" style="1728" customWidth="1"/>
    <col min="2826" max="2826" width="20.28515625" style="1728" customWidth="1"/>
    <col min="2827" max="2827" width="12.42578125" style="1728" customWidth="1"/>
    <col min="2828" max="2829" width="12.28515625" style="1728" customWidth="1"/>
    <col min="2830" max="2830" width="20.28515625" style="1728" customWidth="1"/>
    <col min="2831" max="2831" width="17.42578125" style="1728" customWidth="1"/>
    <col min="2832" max="2832" width="21.28515625" style="1728" customWidth="1"/>
    <col min="2833" max="3072" width="9.140625" style="1728"/>
    <col min="3073" max="3073" width="12" style="1728" customWidth="1"/>
    <col min="3074" max="3074" width="45.42578125" style="1728" customWidth="1"/>
    <col min="3075" max="3075" width="10.42578125" style="1728" customWidth="1"/>
    <col min="3076" max="3076" width="12.28515625" style="1728" customWidth="1"/>
    <col min="3077" max="3077" width="13.140625" style="1728" customWidth="1"/>
    <col min="3078" max="3078" width="20.28515625" style="1728" customWidth="1"/>
    <col min="3079" max="3079" width="10.42578125" style="1728" customWidth="1"/>
    <col min="3080" max="3081" width="12.28515625" style="1728" customWidth="1"/>
    <col min="3082" max="3082" width="20.28515625" style="1728" customWidth="1"/>
    <col min="3083" max="3083" width="12.42578125" style="1728" customWidth="1"/>
    <col min="3084" max="3085" width="12.28515625" style="1728" customWidth="1"/>
    <col min="3086" max="3086" width="20.28515625" style="1728" customWidth="1"/>
    <col min="3087" max="3087" width="17.42578125" style="1728" customWidth="1"/>
    <col min="3088" max="3088" width="21.28515625" style="1728" customWidth="1"/>
    <col min="3089" max="3328" width="9.140625" style="1728"/>
    <col min="3329" max="3329" width="12" style="1728" customWidth="1"/>
    <col min="3330" max="3330" width="45.42578125" style="1728" customWidth="1"/>
    <col min="3331" max="3331" width="10.42578125" style="1728" customWidth="1"/>
    <col min="3332" max="3332" width="12.28515625" style="1728" customWidth="1"/>
    <col min="3333" max="3333" width="13.140625" style="1728" customWidth="1"/>
    <col min="3334" max="3334" width="20.28515625" style="1728" customWidth="1"/>
    <col min="3335" max="3335" width="10.42578125" style="1728" customWidth="1"/>
    <col min="3336" max="3337" width="12.28515625" style="1728" customWidth="1"/>
    <col min="3338" max="3338" width="20.28515625" style="1728" customWidth="1"/>
    <col min="3339" max="3339" width="12.42578125" style="1728" customWidth="1"/>
    <col min="3340" max="3341" width="12.28515625" style="1728" customWidth="1"/>
    <col min="3342" max="3342" width="20.28515625" style="1728" customWidth="1"/>
    <col min="3343" max="3343" width="17.42578125" style="1728" customWidth="1"/>
    <col min="3344" max="3344" width="21.28515625" style="1728" customWidth="1"/>
    <col min="3345" max="3584" width="9.140625" style="1728"/>
    <col min="3585" max="3585" width="12" style="1728" customWidth="1"/>
    <col min="3586" max="3586" width="45.42578125" style="1728" customWidth="1"/>
    <col min="3587" max="3587" width="10.42578125" style="1728" customWidth="1"/>
    <col min="3588" max="3588" width="12.28515625" style="1728" customWidth="1"/>
    <col min="3589" max="3589" width="13.140625" style="1728" customWidth="1"/>
    <col min="3590" max="3590" width="20.28515625" style="1728" customWidth="1"/>
    <col min="3591" max="3591" width="10.42578125" style="1728" customWidth="1"/>
    <col min="3592" max="3593" width="12.28515625" style="1728" customWidth="1"/>
    <col min="3594" max="3594" width="20.28515625" style="1728" customWidth="1"/>
    <col min="3595" max="3595" width="12.42578125" style="1728" customWidth="1"/>
    <col min="3596" max="3597" width="12.28515625" style="1728" customWidth="1"/>
    <col min="3598" max="3598" width="20.28515625" style="1728" customWidth="1"/>
    <col min="3599" max="3599" width="17.42578125" style="1728" customWidth="1"/>
    <col min="3600" max="3600" width="21.28515625" style="1728" customWidth="1"/>
    <col min="3601" max="3840" width="9.140625" style="1728"/>
    <col min="3841" max="3841" width="12" style="1728" customWidth="1"/>
    <col min="3842" max="3842" width="45.42578125" style="1728" customWidth="1"/>
    <col min="3843" max="3843" width="10.42578125" style="1728" customWidth="1"/>
    <col min="3844" max="3844" width="12.28515625" style="1728" customWidth="1"/>
    <col min="3845" max="3845" width="13.140625" style="1728" customWidth="1"/>
    <col min="3846" max="3846" width="20.28515625" style="1728" customWidth="1"/>
    <col min="3847" max="3847" width="10.42578125" style="1728" customWidth="1"/>
    <col min="3848" max="3849" width="12.28515625" style="1728" customWidth="1"/>
    <col min="3850" max="3850" width="20.28515625" style="1728" customWidth="1"/>
    <col min="3851" max="3851" width="12.42578125" style="1728" customWidth="1"/>
    <col min="3852" max="3853" width="12.28515625" style="1728" customWidth="1"/>
    <col min="3854" max="3854" width="20.28515625" style="1728" customWidth="1"/>
    <col min="3855" max="3855" width="17.42578125" style="1728" customWidth="1"/>
    <col min="3856" max="3856" width="21.28515625" style="1728" customWidth="1"/>
    <col min="3857" max="4096" width="9.140625" style="1728"/>
    <col min="4097" max="4097" width="12" style="1728" customWidth="1"/>
    <col min="4098" max="4098" width="45.42578125" style="1728" customWidth="1"/>
    <col min="4099" max="4099" width="10.42578125" style="1728" customWidth="1"/>
    <col min="4100" max="4100" width="12.28515625" style="1728" customWidth="1"/>
    <col min="4101" max="4101" width="13.140625" style="1728" customWidth="1"/>
    <col min="4102" max="4102" width="20.28515625" style="1728" customWidth="1"/>
    <col min="4103" max="4103" width="10.42578125" style="1728" customWidth="1"/>
    <col min="4104" max="4105" width="12.28515625" style="1728" customWidth="1"/>
    <col min="4106" max="4106" width="20.28515625" style="1728" customWidth="1"/>
    <col min="4107" max="4107" width="12.42578125" style="1728" customWidth="1"/>
    <col min="4108" max="4109" width="12.28515625" style="1728" customWidth="1"/>
    <col min="4110" max="4110" width="20.28515625" style="1728" customWidth="1"/>
    <col min="4111" max="4111" width="17.42578125" style="1728" customWidth="1"/>
    <col min="4112" max="4112" width="21.28515625" style="1728" customWidth="1"/>
    <col min="4113" max="4352" width="9.140625" style="1728"/>
    <col min="4353" max="4353" width="12" style="1728" customWidth="1"/>
    <col min="4354" max="4354" width="45.42578125" style="1728" customWidth="1"/>
    <col min="4355" max="4355" width="10.42578125" style="1728" customWidth="1"/>
    <col min="4356" max="4356" width="12.28515625" style="1728" customWidth="1"/>
    <col min="4357" max="4357" width="13.140625" style="1728" customWidth="1"/>
    <col min="4358" max="4358" width="20.28515625" style="1728" customWidth="1"/>
    <col min="4359" max="4359" width="10.42578125" style="1728" customWidth="1"/>
    <col min="4360" max="4361" width="12.28515625" style="1728" customWidth="1"/>
    <col min="4362" max="4362" width="20.28515625" style="1728" customWidth="1"/>
    <col min="4363" max="4363" width="12.42578125" style="1728" customWidth="1"/>
    <col min="4364" max="4365" width="12.28515625" style="1728" customWidth="1"/>
    <col min="4366" max="4366" width="20.28515625" style="1728" customWidth="1"/>
    <col min="4367" max="4367" width="17.42578125" style="1728" customWidth="1"/>
    <col min="4368" max="4368" width="21.28515625" style="1728" customWidth="1"/>
    <col min="4369" max="4608" width="9.140625" style="1728"/>
    <col min="4609" max="4609" width="12" style="1728" customWidth="1"/>
    <col min="4610" max="4610" width="45.42578125" style="1728" customWidth="1"/>
    <col min="4611" max="4611" width="10.42578125" style="1728" customWidth="1"/>
    <col min="4612" max="4612" width="12.28515625" style="1728" customWidth="1"/>
    <col min="4613" max="4613" width="13.140625" style="1728" customWidth="1"/>
    <col min="4614" max="4614" width="20.28515625" style="1728" customWidth="1"/>
    <col min="4615" max="4615" width="10.42578125" style="1728" customWidth="1"/>
    <col min="4616" max="4617" width="12.28515625" style="1728" customWidth="1"/>
    <col min="4618" max="4618" width="20.28515625" style="1728" customWidth="1"/>
    <col min="4619" max="4619" width="12.42578125" style="1728" customWidth="1"/>
    <col min="4620" max="4621" width="12.28515625" style="1728" customWidth="1"/>
    <col min="4622" max="4622" width="20.28515625" style="1728" customWidth="1"/>
    <col min="4623" max="4623" width="17.42578125" style="1728" customWidth="1"/>
    <col min="4624" max="4624" width="21.28515625" style="1728" customWidth="1"/>
    <col min="4625" max="4864" width="9.140625" style="1728"/>
    <col min="4865" max="4865" width="12" style="1728" customWidth="1"/>
    <col min="4866" max="4866" width="45.42578125" style="1728" customWidth="1"/>
    <col min="4867" max="4867" width="10.42578125" style="1728" customWidth="1"/>
    <col min="4868" max="4868" width="12.28515625" style="1728" customWidth="1"/>
    <col min="4869" max="4869" width="13.140625" style="1728" customWidth="1"/>
    <col min="4870" max="4870" width="20.28515625" style="1728" customWidth="1"/>
    <col min="4871" max="4871" width="10.42578125" style="1728" customWidth="1"/>
    <col min="4872" max="4873" width="12.28515625" style="1728" customWidth="1"/>
    <col min="4874" max="4874" width="20.28515625" style="1728" customWidth="1"/>
    <col min="4875" max="4875" width="12.42578125" style="1728" customWidth="1"/>
    <col min="4876" max="4877" width="12.28515625" style="1728" customWidth="1"/>
    <col min="4878" max="4878" width="20.28515625" style="1728" customWidth="1"/>
    <col min="4879" max="4879" width="17.42578125" style="1728" customWidth="1"/>
    <col min="4880" max="4880" width="21.28515625" style="1728" customWidth="1"/>
    <col min="4881" max="5120" width="9.140625" style="1728"/>
    <col min="5121" max="5121" width="12" style="1728" customWidth="1"/>
    <col min="5122" max="5122" width="45.42578125" style="1728" customWidth="1"/>
    <col min="5123" max="5123" width="10.42578125" style="1728" customWidth="1"/>
    <col min="5124" max="5124" width="12.28515625" style="1728" customWidth="1"/>
    <col min="5125" max="5125" width="13.140625" style="1728" customWidth="1"/>
    <col min="5126" max="5126" width="20.28515625" style="1728" customWidth="1"/>
    <col min="5127" max="5127" width="10.42578125" style="1728" customWidth="1"/>
    <col min="5128" max="5129" width="12.28515625" style="1728" customWidth="1"/>
    <col min="5130" max="5130" width="20.28515625" style="1728" customWidth="1"/>
    <col min="5131" max="5131" width="12.42578125" style="1728" customWidth="1"/>
    <col min="5132" max="5133" width="12.28515625" style="1728" customWidth="1"/>
    <col min="5134" max="5134" width="20.28515625" style="1728" customWidth="1"/>
    <col min="5135" max="5135" width="17.42578125" style="1728" customWidth="1"/>
    <col min="5136" max="5136" width="21.28515625" style="1728" customWidth="1"/>
    <col min="5137" max="5376" width="9.140625" style="1728"/>
    <col min="5377" max="5377" width="12" style="1728" customWidth="1"/>
    <col min="5378" max="5378" width="45.42578125" style="1728" customWidth="1"/>
    <col min="5379" max="5379" width="10.42578125" style="1728" customWidth="1"/>
    <col min="5380" max="5380" width="12.28515625" style="1728" customWidth="1"/>
    <col min="5381" max="5381" width="13.140625" style="1728" customWidth="1"/>
    <col min="5382" max="5382" width="20.28515625" style="1728" customWidth="1"/>
    <col min="5383" max="5383" width="10.42578125" style="1728" customWidth="1"/>
    <col min="5384" max="5385" width="12.28515625" style="1728" customWidth="1"/>
    <col min="5386" max="5386" width="20.28515625" style="1728" customWidth="1"/>
    <col min="5387" max="5387" width="12.42578125" style="1728" customWidth="1"/>
    <col min="5388" max="5389" width="12.28515625" style="1728" customWidth="1"/>
    <col min="5390" max="5390" width="20.28515625" style="1728" customWidth="1"/>
    <col min="5391" max="5391" width="17.42578125" style="1728" customWidth="1"/>
    <col min="5392" max="5392" width="21.28515625" style="1728" customWidth="1"/>
    <col min="5393" max="5632" width="9.140625" style="1728"/>
    <col min="5633" max="5633" width="12" style="1728" customWidth="1"/>
    <col min="5634" max="5634" width="45.42578125" style="1728" customWidth="1"/>
    <col min="5635" max="5635" width="10.42578125" style="1728" customWidth="1"/>
    <col min="5636" max="5636" width="12.28515625" style="1728" customWidth="1"/>
    <col min="5637" max="5637" width="13.140625" style="1728" customWidth="1"/>
    <col min="5638" max="5638" width="20.28515625" style="1728" customWidth="1"/>
    <col min="5639" max="5639" width="10.42578125" style="1728" customWidth="1"/>
    <col min="5640" max="5641" width="12.28515625" style="1728" customWidth="1"/>
    <col min="5642" max="5642" width="20.28515625" style="1728" customWidth="1"/>
    <col min="5643" max="5643" width="12.42578125" style="1728" customWidth="1"/>
    <col min="5644" max="5645" width="12.28515625" style="1728" customWidth="1"/>
    <col min="5646" max="5646" width="20.28515625" style="1728" customWidth="1"/>
    <col min="5647" max="5647" width="17.42578125" style="1728" customWidth="1"/>
    <col min="5648" max="5648" width="21.28515625" style="1728" customWidth="1"/>
    <col min="5649" max="5888" width="9.140625" style="1728"/>
    <col min="5889" max="5889" width="12" style="1728" customWidth="1"/>
    <col min="5890" max="5890" width="45.42578125" style="1728" customWidth="1"/>
    <col min="5891" max="5891" width="10.42578125" style="1728" customWidth="1"/>
    <col min="5892" max="5892" width="12.28515625" style="1728" customWidth="1"/>
    <col min="5893" max="5893" width="13.140625" style="1728" customWidth="1"/>
    <col min="5894" max="5894" width="20.28515625" style="1728" customWidth="1"/>
    <col min="5895" max="5895" width="10.42578125" style="1728" customWidth="1"/>
    <col min="5896" max="5897" width="12.28515625" style="1728" customWidth="1"/>
    <col min="5898" max="5898" width="20.28515625" style="1728" customWidth="1"/>
    <col min="5899" max="5899" width="12.42578125" style="1728" customWidth="1"/>
    <col min="5900" max="5901" width="12.28515625" style="1728" customWidth="1"/>
    <col min="5902" max="5902" width="20.28515625" style="1728" customWidth="1"/>
    <col min="5903" max="5903" width="17.42578125" style="1728" customWidth="1"/>
    <col min="5904" max="5904" width="21.28515625" style="1728" customWidth="1"/>
    <col min="5905" max="6144" width="9.140625" style="1728"/>
    <col min="6145" max="6145" width="12" style="1728" customWidth="1"/>
    <col min="6146" max="6146" width="45.42578125" style="1728" customWidth="1"/>
    <col min="6147" max="6147" width="10.42578125" style="1728" customWidth="1"/>
    <col min="6148" max="6148" width="12.28515625" style="1728" customWidth="1"/>
    <col min="6149" max="6149" width="13.140625" style="1728" customWidth="1"/>
    <col min="6150" max="6150" width="20.28515625" style="1728" customWidth="1"/>
    <col min="6151" max="6151" width="10.42578125" style="1728" customWidth="1"/>
    <col min="6152" max="6153" width="12.28515625" style="1728" customWidth="1"/>
    <col min="6154" max="6154" width="20.28515625" style="1728" customWidth="1"/>
    <col min="6155" max="6155" width="12.42578125" style="1728" customWidth="1"/>
    <col min="6156" max="6157" width="12.28515625" style="1728" customWidth="1"/>
    <col min="6158" max="6158" width="20.28515625" style="1728" customWidth="1"/>
    <col min="6159" max="6159" width="17.42578125" style="1728" customWidth="1"/>
    <col min="6160" max="6160" width="21.28515625" style="1728" customWidth="1"/>
    <col min="6161" max="6400" width="9.140625" style="1728"/>
    <col min="6401" max="6401" width="12" style="1728" customWidth="1"/>
    <col min="6402" max="6402" width="45.42578125" style="1728" customWidth="1"/>
    <col min="6403" max="6403" width="10.42578125" style="1728" customWidth="1"/>
    <col min="6404" max="6404" width="12.28515625" style="1728" customWidth="1"/>
    <col min="6405" max="6405" width="13.140625" style="1728" customWidth="1"/>
    <col min="6406" max="6406" width="20.28515625" style="1728" customWidth="1"/>
    <col min="6407" max="6407" width="10.42578125" style="1728" customWidth="1"/>
    <col min="6408" max="6409" width="12.28515625" style="1728" customWidth="1"/>
    <col min="6410" max="6410" width="20.28515625" style="1728" customWidth="1"/>
    <col min="6411" max="6411" width="12.42578125" style="1728" customWidth="1"/>
    <col min="6412" max="6413" width="12.28515625" style="1728" customWidth="1"/>
    <col min="6414" max="6414" width="20.28515625" style="1728" customWidth="1"/>
    <col min="6415" max="6415" width="17.42578125" style="1728" customWidth="1"/>
    <col min="6416" max="6416" width="21.28515625" style="1728" customWidth="1"/>
    <col min="6417" max="6656" width="9.140625" style="1728"/>
    <col min="6657" max="6657" width="12" style="1728" customWidth="1"/>
    <col min="6658" max="6658" width="45.42578125" style="1728" customWidth="1"/>
    <col min="6659" max="6659" width="10.42578125" style="1728" customWidth="1"/>
    <col min="6660" max="6660" width="12.28515625" style="1728" customWidth="1"/>
    <col min="6661" max="6661" width="13.140625" style="1728" customWidth="1"/>
    <col min="6662" max="6662" width="20.28515625" style="1728" customWidth="1"/>
    <col min="6663" max="6663" width="10.42578125" style="1728" customWidth="1"/>
    <col min="6664" max="6665" width="12.28515625" style="1728" customWidth="1"/>
    <col min="6666" max="6666" width="20.28515625" style="1728" customWidth="1"/>
    <col min="6667" max="6667" width="12.42578125" style="1728" customWidth="1"/>
    <col min="6668" max="6669" width="12.28515625" style="1728" customWidth="1"/>
    <col min="6670" max="6670" width="20.28515625" style="1728" customWidth="1"/>
    <col min="6671" max="6671" width="17.42578125" style="1728" customWidth="1"/>
    <col min="6672" max="6672" width="21.28515625" style="1728" customWidth="1"/>
    <col min="6673" max="6912" width="9.140625" style="1728"/>
    <col min="6913" max="6913" width="12" style="1728" customWidth="1"/>
    <col min="6914" max="6914" width="45.42578125" style="1728" customWidth="1"/>
    <col min="6915" max="6915" width="10.42578125" style="1728" customWidth="1"/>
    <col min="6916" max="6916" width="12.28515625" style="1728" customWidth="1"/>
    <col min="6917" max="6917" width="13.140625" style="1728" customWidth="1"/>
    <col min="6918" max="6918" width="20.28515625" style="1728" customWidth="1"/>
    <col min="6919" max="6919" width="10.42578125" style="1728" customWidth="1"/>
    <col min="6920" max="6921" width="12.28515625" style="1728" customWidth="1"/>
    <col min="6922" max="6922" width="20.28515625" style="1728" customWidth="1"/>
    <col min="6923" max="6923" width="12.42578125" style="1728" customWidth="1"/>
    <col min="6924" max="6925" width="12.28515625" style="1728" customWidth="1"/>
    <col min="6926" max="6926" width="20.28515625" style="1728" customWidth="1"/>
    <col min="6927" max="6927" width="17.42578125" style="1728" customWidth="1"/>
    <col min="6928" max="6928" width="21.28515625" style="1728" customWidth="1"/>
    <col min="6929" max="7168" width="9.140625" style="1728"/>
    <col min="7169" max="7169" width="12" style="1728" customWidth="1"/>
    <col min="7170" max="7170" width="45.42578125" style="1728" customWidth="1"/>
    <col min="7171" max="7171" width="10.42578125" style="1728" customWidth="1"/>
    <col min="7172" max="7172" width="12.28515625" style="1728" customWidth="1"/>
    <col min="7173" max="7173" width="13.140625" style="1728" customWidth="1"/>
    <col min="7174" max="7174" width="20.28515625" style="1728" customWidth="1"/>
    <col min="7175" max="7175" width="10.42578125" style="1728" customWidth="1"/>
    <col min="7176" max="7177" width="12.28515625" style="1728" customWidth="1"/>
    <col min="7178" max="7178" width="20.28515625" style="1728" customWidth="1"/>
    <col min="7179" max="7179" width="12.42578125" style="1728" customWidth="1"/>
    <col min="7180" max="7181" width="12.28515625" style="1728" customWidth="1"/>
    <col min="7182" max="7182" width="20.28515625" style="1728" customWidth="1"/>
    <col min="7183" max="7183" width="17.42578125" style="1728" customWidth="1"/>
    <col min="7184" max="7184" width="21.28515625" style="1728" customWidth="1"/>
    <col min="7185" max="7424" width="9.140625" style="1728"/>
    <col min="7425" max="7425" width="12" style="1728" customWidth="1"/>
    <col min="7426" max="7426" width="45.42578125" style="1728" customWidth="1"/>
    <col min="7427" max="7427" width="10.42578125" style="1728" customWidth="1"/>
    <col min="7428" max="7428" width="12.28515625" style="1728" customWidth="1"/>
    <col min="7429" max="7429" width="13.140625" style="1728" customWidth="1"/>
    <col min="7430" max="7430" width="20.28515625" style="1728" customWidth="1"/>
    <col min="7431" max="7431" width="10.42578125" style="1728" customWidth="1"/>
    <col min="7432" max="7433" width="12.28515625" style="1728" customWidth="1"/>
    <col min="7434" max="7434" width="20.28515625" style="1728" customWidth="1"/>
    <col min="7435" max="7435" width="12.42578125" style="1728" customWidth="1"/>
    <col min="7436" max="7437" width="12.28515625" style="1728" customWidth="1"/>
    <col min="7438" max="7438" width="20.28515625" style="1728" customWidth="1"/>
    <col min="7439" max="7439" width="17.42578125" style="1728" customWidth="1"/>
    <col min="7440" max="7440" width="21.28515625" style="1728" customWidth="1"/>
    <col min="7441" max="7680" width="9.140625" style="1728"/>
    <col min="7681" max="7681" width="12" style="1728" customWidth="1"/>
    <col min="7682" max="7682" width="45.42578125" style="1728" customWidth="1"/>
    <col min="7683" max="7683" width="10.42578125" style="1728" customWidth="1"/>
    <col min="7684" max="7684" width="12.28515625" style="1728" customWidth="1"/>
    <col min="7685" max="7685" width="13.140625" style="1728" customWidth="1"/>
    <col min="7686" max="7686" width="20.28515625" style="1728" customWidth="1"/>
    <col min="7687" max="7687" width="10.42578125" style="1728" customWidth="1"/>
    <col min="7688" max="7689" width="12.28515625" style="1728" customWidth="1"/>
    <col min="7690" max="7690" width="20.28515625" style="1728" customWidth="1"/>
    <col min="7691" max="7691" width="12.42578125" style="1728" customWidth="1"/>
    <col min="7692" max="7693" width="12.28515625" style="1728" customWidth="1"/>
    <col min="7694" max="7694" width="20.28515625" style="1728" customWidth="1"/>
    <col min="7695" max="7695" width="17.42578125" style="1728" customWidth="1"/>
    <col min="7696" max="7696" width="21.28515625" style="1728" customWidth="1"/>
    <col min="7697" max="7936" width="9.140625" style="1728"/>
    <col min="7937" max="7937" width="12" style="1728" customWidth="1"/>
    <col min="7938" max="7938" width="45.42578125" style="1728" customWidth="1"/>
    <col min="7939" max="7939" width="10.42578125" style="1728" customWidth="1"/>
    <col min="7940" max="7940" width="12.28515625" style="1728" customWidth="1"/>
    <col min="7941" max="7941" width="13.140625" style="1728" customWidth="1"/>
    <col min="7942" max="7942" width="20.28515625" style="1728" customWidth="1"/>
    <col min="7943" max="7943" width="10.42578125" style="1728" customWidth="1"/>
    <col min="7944" max="7945" width="12.28515625" style="1728" customWidth="1"/>
    <col min="7946" max="7946" width="20.28515625" style="1728" customWidth="1"/>
    <col min="7947" max="7947" width="12.42578125" style="1728" customWidth="1"/>
    <col min="7948" max="7949" width="12.28515625" style="1728" customWidth="1"/>
    <col min="7950" max="7950" width="20.28515625" style="1728" customWidth="1"/>
    <col min="7951" max="7951" width="17.42578125" style="1728" customWidth="1"/>
    <col min="7952" max="7952" width="21.28515625" style="1728" customWidth="1"/>
    <col min="7953" max="8192" width="9.140625" style="1728"/>
    <col min="8193" max="8193" width="12" style="1728" customWidth="1"/>
    <col min="8194" max="8194" width="45.42578125" style="1728" customWidth="1"/>
    <col min="8195" max="8195" width="10.42578125" style="1728" customWidth="1"/>
    <col min="8196" max="8196" width="12.28515625" style="1728" customWidth="1"/>
    <col min="8197" max="8197" width="13.140625" style="1728" customWidth="1"/>
    <col min="8198" max="8198" width="20.28515625" style="1728" customWidth="1"/>
    <col min="8199" max="8199" width="10.42578125" style="1728" customWidth="1"/>
    <col min="8200" max="8201" width="12.28515625" style="1728" customWidth="1"/>
    <col min="8202" max="8202" width="20.28515625" style="1728" customWidth="1"/>
    <col min="8203" max="8203" width="12.42578125" style="1728" customWidth="1"/>
    <col min="8204" max="8205" width="12.28515625" style="1728" customWidth="1"/>
    <col min="8206" max="8206" width="20.28515625" style="1728" customWidth="1"/>
    <col min="8207" max="8207" width="17.42578125" style="1728" customWidth="1"/>
    <col min="8208" max="8208" width="21.28515625" style="1728" customWidth="1"/>
    <col min="8209" max="8448" width="9.140625" style="1728"/>
    <col min="8449" max="8449" width="12" style="1728" customWidth="1"/>
    <col min="8450" max="8450" width="45.42578125" style="1728" customWidth="1"/>
    <col min="8451" max="8451" width="10.42578125" style="1728" customWidth="1"/>
    <col min="8452" max="8452" width="12.28515625" style="1728" customWidth="1"/>
    <col min="8453" max="8453" width="13.140625" style="1728" customWidth="1"/>
    <col min="8454" max="8454" width="20.28515625" style="1728" customWidth="1"/>
    <col min="8455" max="8455" width="10.42578125" style="1728" customWidth="1"/>
    <col min="8456" max="8457" width="12.28515625" style="1728" customWidth="1"/>
    <col min="8458" max="8458" width="20.28515625" style="1728" customWidth="1"/>
    <col min="8459" max="8459" width="12.42578125" style="1728" customWidth="1"/>
    <col min="8460" max="8461" width="12.28515625" style="1728" customWidth="1"/>
    <col min="8462" max="8462" width="20.28515625" style="1728" customWidth="1"/>
    <col min="8463" max="8463" width="17.42578125" style="1728" customWidth="1"/>
    <col min="8464" max="8464" width="21.28515625" style="1728" customWidth="1"/>
    <col min="8465" max="8704" width="9.140625" style="1728"/>
    <col min="8705" max="8705" width="12" style="1728" customWidth="1"/>
    <col min="8706" max="8706" width="45.42578125" style="1728" customWidth="1"/>
    <col min="8707" max="8707" width="10.42578125" style="1728" customWidth="1"/>
    <col min="8708" max="8708" width="12.28515625" style="1728" customWidth="1"/>
    <col min="8709" max="8709" width="13.140625" style="1728" customWidth="1"/>
    <col min="8710" max="8710" width="20.28515625" style="1728" customWidth="1"/>
    <col min="8711" max="8711" width="10.42578125" style="1728" customWidth="1"/>
    <col min="8712" max="8713" width="12.28515625" style="1728" customWidth="1"/>
    <col min="8714" max="8714" width="20.28515625" style="1728" customWidth="1"/>
    <col min="8715" max="8715" width="12.42578125" style="1728" customWidth="1"/>
    <col min="8716" max="8717" width="12.28515625" style="1728" customWidth="1"/>
    <col min="8718" max="8718" width="20.28515625" style="1728" customWidth="1"/>
    <col min="8719" max="8719" width="17.42578125" style="1728" customWidth="1"/>
    <col min="8720" max="8720" width="21.28515625" style="1728" customWidth="1"/>
    <col min="8721" max="8960" width="9.140625" style="1728"/>
    <col min="8961" max="8961" width="12" style="1728" customWidth="1"/>
    <col min="8962" max="8962" width="45.42578125" style="1728" customWidth="1"/>
    <col min="8963" max="8963" width="10.42578125" style="1728" customWidth="1"/>
    <col min="8964" max="8964" width="12.28515625" style="1728" customWidth="1"/>
    <col min="8965" max="8965" width="13.140625" style="1728" customWidth="1"/>
    <col min="8966" max="8966" width="20.28515625" style="1728" customWidth="1"/>
    <col min="8967" max="8967" width="10.42578125" style="1728" customWidth="1"/>
    <col min="8968" max="8969" width="12.28515625" style="1728" customWidth="1"/>
    <col min="8970" max="8970" width="20.28515625" style="1728" customWidth="1"/>
    <col min="8971" max="8971" width="12.42578125" style="1728" customWidth="1"/>
    <col min="8972" max="8973" width="12.28515625" style="1728" customWidth="1"/>
    <col min="8974" max="8974" width="20.28515625" style="1728" customWidth="1"/>
    <col min="8975" max="8975" width="17.42578125" style="1728" customWidth="1"/>
    <col min="8976" max="8976" width="21.28515625" style="1728" customWidth="1"/>
    <col min="8977" max="9216" width="9.140625" style="1728"/>
    <col min="9217" max="9217" width="12" style="1728" customWidth="1"/>
    <col min="9218" max="9218" width="45.42578125" style="1728" customWidth="1"/>
    <col min="9219" max="9219" width="10.42578125" style="1728" customWidth="1"/>
    <col min="9220" max="9220" width="12.28515625" style="1728" customWidth="1"/>
    <col min="9221" max="9221" width="13.140625" style="1728" customWidth="1"/>
    <col min="9222" max="9222" width="20.28515625" style="1728" customWidth="1"/>
    <col min="9223" max="9223" width="10.42578125" style="1728" customWidth="1"/>
    <col min="9224" max="9225" width="12.28515625" style="1728" customWidth="1"/>
    <col min="9226" max="9226" width="20.28515625" style="1728" customWidth="1"/>
    <col min="9227" max="9227" width="12.42578125" style="1728" customWidth="1"/>
    <col min="9228" max="9229" width="12.28515625" style="1728" customWidth="1"/>
    <col min="9230" max="9230" width="20.28515625" style="1728" customWidth="1"/>
    <col min="9231" max="9231" width="17.42578125" style="1728" customWidth="1"/>
    <col min="9232" max="9232" width="21.28515625" style="1728" customWidth="1"/>
    <col min="9233" max="9472" width="9.140625" style="1728"/>
    <col min="9473" max="9473" width="12" style="1728" customWidth="1"/>
    <col min="9474" max="9474" width="45.42578125" style="1728" customWidth="1"/>
    <col min="9475" max="9475" width="10.42578125" style="1728" customWidth="1"/>
    <col min="9476" max="9476" width="12.28515625" style="1728" customWidth="1"/>
    <col min="9477" max="9477" width="13.140625" style="1728" customWidth="1"/>
    <col min="9478" max="9478" width="20.28515625" style="1728" customWidth="1"/>
    <col min="9479" max="9479" width="10.42578125" style="1728" customWidth="1"/>
    <col min="9480" max="9481" width="12.28515625" style="1728" customWidth="1"/>
    <col min="9482" max="9482" width="20.28515625" style="1728" customWidth="1"/>
    <col min="9483" max="9483" width="12.42578125" style="1728" customWidth="1"/>
    <col min="9484" max="9485" width="12.28515625" style="1728" customWidth="1"/>
    <col min="9486" max="9486" width="20.28515625" style="1728" customWidth="1"/>
    <col min="9487" max="9487" width="17.42578125" style="1728" customWidth="1"/>
    <col min="9488" max="9488" width="21.28515625" style="1728" customWidth="1"/>
    <col min="9489" max="9728" width="9.140625" style="1728"/>
    <col min="9729" max="9729" width="12" style="1728" customWidth="1"/>
    <col min="9730" max="9730" width="45.42578125" style="1728" customWidth="1"/>
    <col min="9731" max="9731" width="10.42578125" style="1728" customWidth="1"/>
    <col min="9732" max="9732" width="12.28515625" style="1728" customWidth="1"/>
    <col min="9733" max="9733" width="13.140625" style="1728" customWidth="1"/>
    <col min="9734" max="9734" width="20.28515625" style="1728" customWidth="1"/>
    <col min="9735" max="9735" width="10.42578125" style="1728" customWidth="1"/>
    <col min="9736" max="9737" width="12.28515625" style="1728" customWidth="1"/>
    <col min="9738" max="9738" width="20.28515625" style="1728" customWidth="1"/>
    <col min="9739" max="9739" width="12.42578125" style="1728" customWidth="1"/>
    <col min="9740" max="9741" width="12.28515625" style="1728" customWidth="1"/>
    <col min="9742" max="9742" width="20.28515625" style="1728" customWidth="1"/>
    <col min="9743" max="9743" width="17.42578125" style="1728" customWidth="1"/>
    <col min="9744" max="9744" width="21.28515625" style="1728" customWidth="1"/>
    <col min="9745" max="9984" width="9.140625" style="1728"/>
    <col min="9985" max="9985" width="12" style="1728" customWidth="1"/>
    <col min="9986" max="9986" width="45.42578125" style="1728" customWidth="1"/>
    <col min="9987" max="9987" width="10.42578125" style="1728" customWidth="1"/>
    <col min="9988" max="9988" width="12.28515625" style="1728" customWidth="1"/>
    <col min="9989" max="9989" width="13.140625" style="1728" customWidth="1"/>
    <col min="9990" max="9990" width="20.28515625" style="1728" customWidth="1"/>
    <col min="9991" max="9991" width="10.42578125" style="1728" customWidth="1"/>
    <col min="9992" max="9993" width="12.28515625" style="1728" customWidth="1"/>
    <col min="9994" max="9994" width="20.28515625" style="1728" customWidth="1"/>
    <col min="9995" max="9995" width="12.42578125" style="1728" customWidth="1"/>
    <col min="9996" max="9997" width="12.28515625" style="1728" customWidth="1"/>
    <col min="9998" max="9998" width="20.28515625" style="1728" customWidth="1"/>
    <col min="9999" max="9999" width="17.42578125" style="1728" customWidth="1"/>
    <col min="10000" max="10000" width="21.28515625" style="1728" customWidth="1"/>
    <col min="10001" max="10240" width="9.140625" style="1728"/>
    <col min="10241" max="10241" width="12" style="1728" customWidth="1"/>
    <col min="10242" max="10242" width="45.42578125" style="1728" customWidth="1"/>
    <col min="10243" max="10243" width="10.42578125" style="1728" customWidth="1"/>
    <col min="10244" max="10244" width="12.28515625" style="1728" customWidth="1"/>
    <col min="10245" max="10245" width="13.140625" style="1728" customWidth="1"/>
    <col min="10246" max="10246" width="20.28515625" style="1728" customWidth="1"/>
    <col min="10247" max="10247" width="10.42578125" style="1728" customWidth="1"/>
    <col min="10248" max="10249" width="12.28515625" style="1728" customWidth="1"/>
    <col min="10250" max="10250" width="20.28515625" style="1728" customWidth="1"/>
    <col min="10251" max="10251" width="12.42578125" style="1728" customWidth="1"/>
    <col min="10252" max="10253" width="12.28515625" style="1728" customWidth="1"/>
    <col min="10254" max="10254" width="20.28515625" style="1728" customWidth="1"/>
    <col min="10255" max="10255" width="17.42578125" style="1728" customWidth="1"/>
    <col min="10256" max="10256" width="21.28515625" style="1728" customWidth="1"/>
    <col min="10257" max="10496" width="9.140625" style="1728"/>
    <col min="10497" max="10497" width="12" style="1728" customWidth="1"/>
    <col min="10498" max="10498" width="45.42578125" style="1728" customWidth="1"/>
    <col min="10499" max="10499" width="10.42578125" style="1728" customWidth="1"/>
    <col min="10500" max="10500" width="12.28515625" style="1728" customWidth="1"/>
    <col min="10501" max="10501" width="13.140625" style="1728" customWidth="1"/>
    <col min="10502" max="10502" width="20.28515625" style="1728" customWidth="1"/>
    <col min="10503" max="10503" width="10.42578125" style="1728" customWidth="1"/>
    <col min="10504" max="10505" width="12.28515625" style="1728" customWidth="1"/>
    <col min="10506" max="10506" width="20.28515625" style="1728" customWidth="1"/>
    <col min="10507" max="10507" width="12.42578125" style="1728" customWidth="1"/>
    <col min="10508" max="10509" width="12.28515625" style="1728" customWidth="1"/>
    <col min="10510" max="10510" width="20.28515625" style="1728" customWidth="1"/>
    <col min="10511" max="10511" width="17.42578125" style="1728" customWidth="1"/>
    <col min="10512" max="10512" width="21.28515625" style="1728" customWidth="1"/>
    <col min="10513" max="10752" width="9.140625" style="1728"/>
    <col min="10753" max="10753" width="12" style="1728" customWidth="1"/>
    <col min="10754" max="10754" width="45.42578125" style="1728" customWidth="1"/>
    <col min="10755" max="10755" width="10.42578125" style="1728" customWidth="1"/>
    <col min="10756" max="10756" width="12.28515625" style="1728" customWidth="1"/>
    <col min="10757" max="10757" width="13.140625" style="1728" customWidth="1"/>
    <col min="10758" max="10758" width="20.28515625" style="1728" customWidth="1"/>
    <col min="10759" max="10759" width="10.42578125" style="1728" customWidth="1"/>
    <col min="10760" max="10761" width="12.28515625" style="1728" customWidth="1"/>
    <col min="10762" max="10762" width="20.28515625" style="1728" customWidth="1"/>
    <col min="10763" max="10763" width="12.42578125" style="1728" customWidth="1"/>
    <col min="10764" max="10765" width="12.28515625" style="1728" customWidth="1"/>
    <col min="10766" max="10766" width="20.28515625" style="1728" customWidth="1"/>
    <col min="10767" max="10767" width="17.42578125" style="1728" customWidth="1"/>
    <col min="10768" max="10768" width="21.28515625" style="1728" customWidth="1"/>
    <col min="10769" max="11008" width="9.140625" style="1728"/>
    <col min="11009" max="11009" width="12" style="1728" customWidth="1"/>
    <col min="11010" max="11010" width="45.42578125" style="1728" customWidth="1"/>
    <col min="11011" max="11011" width="10.42578125" style="1728" customWidth="1"/>
    <col min="11012" max="11012" width="12.28515625" style="1728" customWidth="1"/>
    <col min="11013" max="11013" width="13.140625" style="1728" customWidth="1"/>
    <col min="11014" max="11014" width="20.28515625" style="1728" customWidth="1"/>
    <col min="11015" max="11015" width="10.42578125" style="1728" customWidth="1"/>
    <col min="11016" max="11017" width="12.28515625" style="1728" customWidth="1"/>
    <col min="11018" max="11018" width="20.28515625" style="1728" customWidth="1"/>
    <col min="11019" max="11019" width="12.42578125" style="1728" customWidth="1"/>
    <col min="11020" max="11021" width="12.28515625" style="1728" customWidth="1"/>
    <col min="11022" max="11022" width="20.28515625" style="1728" customWidth="1"/>
    <col min="11023" max="11023" width="17.42578125" style="1728" customWidth="1"/>
    <col min="11024" max="11024" width="21.28515625" style="1728" customWidth="1"/>
    <col min="11025" max="11264" width="9.140625" style="1728"/>
    <col min="11265" max="11265" width="12" style="1728" customWidth="1"/>
    <col min="11266" max="11266" width="45.42578125" style="1728" customWidth="1"/>
    <col min="11267" max="11267" width="10.42578125" style="1728" customWidth="1"/>
    <col min="11268" max="11268" width="12.28515625" style="1728" customWidth="1"/>
    <col min="11269" max="11269" width="13.140625" style="1728" customWidth="1"/>
    <col min="11270" max="11270" width="20.28515625" style="1728" customWidth="1"/>
    <col min="11271" max="11271" width="10.42578125" style="1728" customWidth="1"/>
    <col min="11272" max="11273" width="12.28515625" style="1728" customWidth="1"/>
    <col min="11274" max="11274" width="20.28515625" style="1728" customWidth="1"/>
    <col min="11275" max="11275" width="12.42578125" style="1728" customWidth="1"/>
    <col min="11276" max="11277" width="12.28515625" style="1728" customWidth="1"/>
    <col min="11278" max="11278" width="20.28515625" style="1728" customWidth="1"/>
    <col min="11279" max="11279" width="17.42578125" style="1728" customWidth="1"/>
    <col min="11280" max="11280" width="21.28515625" style="1728" customWidth="1"/>
    <col min="11281" max="11520" width="9.140625" style="1728"/>
    <col min="11521" max="11521" width="12" style="1728" customWidth="1"/>
    <col min="11522" max="11522" width="45.42578125" style="1728" customWidth="1"/>
    <col min="11523" max="11523" width="10.42578125" style="1728" customWidth="1"/>
    <col min="11524" max="11524" width="12.28515625" style="1728" customWidth="1"/>
    <col min="11525" max="11525" width="13.140625" style="1728" customWidth="1"/>
    <col min="11526" max="11526" width="20.28515625" style="1728" customWidth="1"/>
    <col min="11527" max="11527" width="10.42578125" style="1728" customWidth="1"/>
    <col min="11528" max="11529" width="12.28515625" style="1728" customWidth="1"/>
    <col min="11530" max="11530" width="20.28515625" style="1728" customWidth="1"/>
    <col min="11531" max="11531" width="12.42578125" style="1728" customWidth="1"/>
    <col min="11532" max="11533" width="12.28515625" style="1728" customWidth="1"/>
    <col min="11534" max="11534" width="20.28515625" style="1728" customWidth="1"/>
    <col min="11535" max="11535" width="17.42578125" style="1728" customWidth="1"/>
    <col min="11536" max="11536" width="21.28515625" style="1728" customWidth="1"/>
    <col min="11537" max="11776" width="9.140625" style="1728"/>
    <col min="11777" max="11777" width="12" style="1728" customWidth="1"/>
    <col min="11778" max="11778" width="45.42578125" style="1728" customWidth="1"/>
    <col min="11779" max="11779" width="10.42578125" style="1728" customWidth="1"/>
    <col min="11780" max="11780" width="12.28515625" style="1728" customWidth="1"/>
    <col min="11781" max="11781" width="13.140625" style="1728" customWidth="1"/>
    <col min="11782" max="11782" width="20.28515625" style="1728" customWidth="1"/>
    <col min="11783" max="11783" width="10.42578125" style="1728" customWidth="1"/>
    <col min="11784" max="11785" width="12.28515625" style="1728" customWidth="1"/>
    <col min="11786" max="11786" width="20.28515625" style="1728" customWidth="1"/>
    <col min="11787" max="11787" width="12.42578125" style="1728" customWidth="1"/>
    <col min="11788" max="11789" width="12.28515625" style="1728" customWidth="1"/>
    <col min="11790" max="11790" width="20.28515625" style="1728" customWidth="1"/>
    <col min="11791" max="11791" width="17.42578125" style="1728" customWidth="1"/>
    <col min="11792" max="11792" width="21.28515625" style="1728" customWidth="1"/>
    <col min="11793" max="12032" width="9.140625" style="1728"/>
    <col min="12033" max="12033" width="12" style="1728" customWidth="1"/>
    <col min="12034" max="12034" width="45.42578125" style="1728" customWidth="1"/>
    <col min="12035" max="12035" width="10.42578125" style="1728" customWidth="1"/>
    <col min="12036" max="12036" width="12.28515625" style="1728" customWidth="1"/>
    <col min="12037" max="12037" width="13.140625" style="1728" customWidth="1"/>
    <col min="12038" max="12038" width="20.28515625" style="1728" customWidth="1"/>
    <col min="12039" max="12039" width="10.42578125" style="1728" customWidth="1"/>
    <col min="12040" max="12041" width="12.28515625" style="1728" customWidth="1"/>
    <col min="12042" max="12042" width="20.28515625" style="1728" customWidth="1"/>
    <col min="12043" max="12043" width="12.42578125" style="1728" customWidth="1"/>
    <col min="12044" max="12045" width="12.28515625" style="1728" customWidth="1"/>
    <col min="12046" max="12046" width="20.28515625" style="1728" customWidth="1"/>
    <col min="12047" max="12047" width="17.42578125" style="1728" customWidth="1"/>
    <col min="12048" max="12048" width="21.28515625" style="1728" customWidth="1"/>
    <col min="12049" max="12288" width="9.140625" style="1728"/>
    <col min="12289" max="12289" width="12" style="1728" customWidth="1"/>
    <col min="12290" max="12290" width="45.42578125" style="1728" customWidth="1"/>
    <col min="12291" max="12291" width="10.42578125" style="1728" customWidth="1"/>
    <col min="12292" max="12292" width="12.28515625" style="1728" customWidth="1"/>
    <col min="12293" max="12293" width="13.140625" style="1728" customWidth="1"/>
    <col min="12294" max="12294" width="20.28515625" style="1728" customWidth="1"/>
    <col min="12295" max="12295" width="10.42578125" style="1728" customWidth="1"/>
    <col min="12296" max="12297" width="12.28515625" style="1728" customWidth="1"/>
    <col min="12298" max="12298" width="20.28515625" style="1728" customWidth="1"/>
    <col min="12299" max="12299" width="12.42578125" style="1728" customWidth="1"/>
    <col min="12300" max="12301" width="12.28515625" style="1728" customWidth="1"/>
    <col min="12302" max="12302" width="20.28515625" style="1728" customWidth="1"/>
    <col min="12303" max="12303" width="17.42578125" style="1728" customWidth="1"/>
    <col min="12304" max="12304" width="21.28515625" style="1728" customWidth="1"/>
    <col min="12305" max="12544" width="9.140625" style="1728"/>
    <col min="12545" max="12545" width="12" style="1728" customWidth="1"/>
    <col min="12546" max="12546" width="45.42578125" style="1728" customWidth="1"/>
    <col min="12547" max="12547" width="10.42578125" style="1728" customWidth="1"/>
    <col min="12548" max="12548" width="12.28515625" style="1728" customWidth="1"/>
    <col min="12549" max="12549" width="13.140625" style="1728" customWidth="1"/>
    <col min="12550" max="12550" width="20.28515625" style="1728" customWidth="1"/>
    <col min="12551" max="12551" width="10.42578125" style="1728" customWidth="1"/>
    <col min="12552" max="12553" width="12.28515625" style="1728" customWidth="1"/>
    <col min="12554" max="12554" width="20.28515625" style="1728" customWidth="1"/>
    <col min="12555" max="12555" width="12.42578125" style="1728" customWidth="1"/>
    <col min="12556" max="12557" width="12.28515625" style="1728" customWidth="1"/>
    <col min="12558" max="12558" width="20.28515625" style="1728" customWidth="1"/>
    <col min="12559" max="12559" width="17.42578125" style="1728" customWidth="1"/>
    <col min="12560" max="12560" width="21.28515625" style="1728" customWidth="1"/>
    <col min="12561" max="12800" width="9.140625" style="1728"/>
    <col min="12801" max="12801" width="12" style="1728" customWidth="1"/>
    <col min="12802" max="12802" width="45.42578125" style="1728" customWidth="1"/>
    <col min="12803" max="12803" width="10.42578125" style="1728" customWidth="1"/>
    <col min="12804" max="12804" width="12.28515625" style="1728" customWidth="1"/>
    <col min="12805" max="12805" width="13.140625" style="1728" customWidth="1"/>
    <col min="12806" max="12806" width="20.28515625" style="1728" customWidth="1"/>
    <col min="12807" max="12807" width="10.42578125" style="1728" customWidth="1"/>
    <col min="12808" max="12809" width="12.28515625" style="1728" customWidth="1"/>
    <col min="12810" max="12810" width="20.28515625" style="1728" customWidth="1"/>
    <col min="12811" max="12811" width="12.42578125" style="1728" customWidth="1"/>
    <col min="12812" max="12813" width="12.28515625" style="1728" customWidth="1"/>
    <col min="12814" max="12814" width="20.28515625" style="1728" customWidth="1"/>
    <col min="12815" max="12815" width="17.42578125" style="1728" customWidth="1"/>
    <col min="12816" max="12816" width="21.28515625" style="1728" customWidth="1"/>
    <col min="12817" max="13056" width="9.140625" style="1728"/>
    <col min="13057" max="13057" width="12" style="1728" customWidth="1"/>
    <col min="13058" max="13058" width="45.42578125" style="1728" customWidth="1"/>
    <col min="13059" max="13059" width="10.42578125" style="1728" customWidth="1"/>
    <col min="13060" max="13060" width="12.28515625" style="1728" customWidth="1"/>
    <col min="13061" max="13061" width="13.140625" style="1728" customWidth="1"/>
    <col min="13062" max="13062" width="20.28515625" style="1728" customWidth="1"/>
    <col min="13063" max="13063" width="10.42578125" style="1728" customWidth="1"/>
    <col min="13064" max="13065" width="12.28515625" style="1728" customWidth="1"/>
    <col min="13066" max="13066" width="20.28515625" style="1728" customWidth="1"/>
    <col min="13067" max="13067" width="12.42578125" style="1728" customWidth="1"/>
    <col min="13068" max="13069" width="12.28515625" style="1728" customWidth="1"/>
    <col min="13070" max="13070" width="20.28515625" style="1728" customWidth="1"/>
    <col min="13071" max="13071" width="17.42578125" style="1728" customWidth="1"/>
    <col min="13072" max="13072" width="21.28515625" style="1728" customWidth="1"/>
    <col min="13073" max="13312" width="9.140625" style="1728"/>
    <col min="13313" max="13313" width="12" style="1728" customWidth="1"/>
    <col min="13314" max="13314" width="45.42578125" style="1728" customWidth="1"/>
    <col min="13315" max="13315" width="10.42578125" style="1728" customWidth="1"/>
    <col min="13316" max="13316" width="12.28515625" style="1728" customWidth="1"/>
    <col min="13317" max="13317" width="13.140625" style="1728" customWidth="1"/>
    <col min="13318" max="13318" width="20.28515625" style="1728" customWidth="1"/>
    <col min="13319" max="13319" width="10.42578125" style="1728" customWidth="1"/>
    <col min="13320" max="13321" width="12.28515625" style="1728" customWidth="1"/>
    <col min="13322" max="13322" width="20.28515625" style="1728" customWidth="1"/>
    <col min="13323" max="13323" width="12.42578125" style="1728" customWidth="1"/>
    <col min="13324" max="13325" width="12.28515625" style="1728" customWidth="1"/>
    <col min="13326" max="13326" width="20.28515625" style="1728" customWidth="1"/>
    <col min="13327" max="13327" width="17.42578125" style="1728" customWidth="1"/>
    <col min="13328" max="13328" width="21.28515625" style="1728" customWidth="1"/>
    <col min="13329" max="13568" width="9.140625" style="1728"/>
    <col min="13569" max="13569" width="12" style="1728" customWidth="1"/>
    <col min="13570" max="13570" width="45.42578125" style="1728" customWidth="1"/>
    <col min="13571" max="13571" width="10.42578125" style="1728" customWidth="1"/>
    <col min="13572" max="13572" width="12.28515625" style="1728" customWidth="1"/>
    <col min="13573" max="13573" width="13.140625" style="1728" customWidth="1"/>
    <col min="13574" max="13574" width="20.28515625" style="1728" customWidth="1"/>
    <col min="13575" max="13575" width="10.42578125" style="1728" customWidth="1"/>
    <col min="13576" max="13577" width="12.28515625" style="1728" customWidth="1"/>
    <col min="13578" max="13578" width="20.28515625" style="1728" customWidth="1"/>
    <col min="13579" max="13579" width="12.42578125" style="1728" customWidth="1"/>
    <col min="13580" max="13581" width="12.28515625" style="1728" customWidth="1"/>
    <col min="13582" max="13582" width="20.28515625" style="1728" customWidth="1"/>
    <col min="13583" max="13583" width="17.42578125" style="1728" customWidth="1"/>
    <col min="13584" max="13584" width="21.28515625" style="1728" customWidth="1"/>
    <col min="13585" max="13824" width="9.140625" style="1728"/>
    <col min="13825" max="13825" width="12" style="1728" customWidth="1"/>
    <col min="13826" max="13826" width="45.42578125" style="1728" customWidth="1"/>
    <col min="13827" max="13827" width="10.42578125" style="1728" customWidth="1"/>
    <col min="13828" max="13828" width="12.28515625" style="1728" customWidth="1"/>
    <col min="13829" max="13829" width="13.140625" style="1728" customWidth="1"/>
    <col min="13830" max="13830" width="20.28515625" style="1728" customWidth="1"/>
    <col min="13831" max="13831" width="10.42578125" style="1728" customWidth="1"/>
    <col min="13832" max="13833" width="12.28515625" style="1728" customWidth="1"/>
    <col min="13834" max="13834" width="20.28515625" style="1728" customWidth="1"/>
    <col min="13835" max="13835" width="12.42578125" style="1728" customWidth="1"/>
    <col min="13836" max="13837" width="12.28515625" style="1728" customWidth="1"/>
    <col min="13838" max="13838" width="20.28515625" style="1728" customWidth="1"/>
    <col min="13839" max="13839" width="17.42578125" style="1728" customWidth="1"/>
    <col min="13840" max="13840" width="21.28515625" style="1728" customWidth="1"/>
    <col min="13841" max="14080" width="9.140625" style="1728"/>
    <col min="14081" max="14081" width="12" style="1728" customWidth="1"/>
    <col min="14082" max="14082" width="45.42578125" style="1728" customWidth="1"/>
    <col min="14083" max="14083" width="10.42578125" style="1728" customWidth="1"/>
    <col min="14084" max="14084" width="12.28515625" style="1728" customWidth="1"/>
    <col min="14085" max="14085" width="13.140625" style="1728" customWidth="1"/>
    <col min="14086" max="14086" width="20.28515625" style="1728" customWidth="1"/>
    <col min="14087" max="14087" width="10.42578125" style="1728" customWidth="1"/>
    <col min="14088" max="14089" width="12.28515625" style="1728" customWidth="1"/>
    <col min="14090" max="14090" width="20.28515625" style="1728" customWidth="1"/>
    <col min="14091" max="14091" width="12.42578125" style="1728" customWidth="1"/>
    <col min="14092" max="14093" width="12.28515625" style="1728" customWidth="1"/>
    <col min="14094" max="14094" width="20.28515625" style="1728" customWidth="1"/>
    <col min="14095" max="14095" width="17.42578125" style="1728" customWidth="1"/>
    <col min="14096" max="14096" width="21.28515625" style="1728" customWidth="1"/>
    <col min="14097" max="14336" width="9.140625" style="1728"/>
    <col min="14337" max="14337" width="12" style="1728" customWidth="1"/>
    <col min="14338" max="14338" width="45.42578125" style="1728" customWidth="1"/>
    <col min="14339" max="14339" width="10.42578125" style="1728" customWidth="1"/>
    <col min="14340" max="14340" width="12.28515625" style="1728" customWidth="1"/>
    <col min="14341" max="14341" width="13.140625" style="1728" customWidth="1"/>
    <col min="14342" max="14342" width="20.28515625" style="1728" customWidth="1"/>
    <col min="14343" max="14343" width="10.42578125" style="1728" customWidth="1"/>
    <col min="14344" max="14345" width="12.28515625" style="1728" customWidth="1"/>
    <col min="14346" max="14346" width="20.28515625" style="1728" customWidth="1"/>
    <col min="14347" max="14347" width="12.42578125" style="1728" customWidth="1"/>
    <col min="14348" max="14349" width="12.28515625" style="1728" customWidth="1"/>
    <col min="14350" max="14350" width="20.28515625" style="1728" customWidth="1"/>
    <col min="14351" max="14351" width="17.42578125" style="1728" customWidth="1"/>
    <col min="14352" max="14352" width="21.28515625" style="1728" customWidth="1"/>
    <col min="14353" max="14592" width="9.140625" style="1728"/>
    <col min="14593" max="14593" width="12" style="1728" customWidth="1"/>
    <col min="14594" max="14594" width="45.42578125" style="1728" customWidth="1"/>
    <col min="14595" max="14595" width="10.42578125" style="1728" customWidth="1"/>
    <col min="14596" max="14596" width="12.28515625" style="1728" customWidth="1"/>
    <col min="14597" max="14597" width="13.140625" style="1728" customWidth="1"/>
    <col min="14598" max="14598" width="20.28515625" style="1728" customWidth="1"/>
    <col min="14599" max="14599" width="10.42578125" style="1728" customWidth="1"/>
    <col min="14600" max="14601" width="12.28515625" style="1728" customWidth="1"/>
    <col min="14602" max="14602" width="20.28515625" style="1728" customWidth="1"/>
    <col min="14603" max="14603" width="12.42578125" style="1728" customWidth="1"/>
    <col min="14604" max="14605" width="12.28515625" style="1728" customWidth="1"/>
    <col min="14606" max="14606" width="20.28515625" style="1728" customWidth="1"/>
    <col min="14607" max="14607" width="17.42578125" style="1728" customWidth="1"/>
    <col min="14608" max="14608" width="21.28515625" style="1728" customWidth="1"/>
    <col min="14609" max="14848" width="9.140625" style="1728"/>
    <col min="14849" max="14849" width="12" style="1728" customWidth="1"/>
    <col min="14850" max="14850" width="45.42578125" style="1728" customWidth="1"/>
    <col min="14851" max="14851" width="10.42578125" style="1728" customWidth="1"/>
    <col min="14852" max="14852" width="12.28515625" style="1728" customWidth="1"/>
    <col min="14853" max="14853" width="13.140625" style="1728" customWidth="1"/>
    <col min="14854" max="14854" width="20.28515625" style="1728" customWidth="1"/>
    <col min="14855" max="14855" width="10.42578125" style="1728" customWidth="1"/>
    <col min="14856" max="14857" width="12.28515625" style="1728" customWidth="1"/>
    <col min="14858" max="14858" width="20.28515625" style="1728" customWidth="1"/>
    <col min="14859" max="14859" width="12.42578125" style="1728" customWidth="1"/>
    <col min="14860" max="14861" width="12.28515625" style="1728" customWidth="1"/>
    <col min="14862" max="14862" width="20.28515625" style="1728" customWidth="1"/>
    <col min="14863" max="14863" width="17.42578125" style="1728" customWidth="1"/>
    <col min="14864" max="14864" width="21.28515625" style="1728" customWidth="1"/>
    <col min="14865" max="15104" width="9.140625" style="1728"/>
    <col min="15105" max="15105" width="12" style="1728" customWidth="1"/>
    <col min="15106" max="15106" width="45.42578125" style="1728" customWidth="1"/>
    <col min="15107" max="15107" width="10.42578125" style="1728" customWidth="1"/>
    <col min="15108" max="15108" width="12.28515625" style="1728" customWidth="1"/>
    <col min="15109" max="15109" width="13.140625" style="1728" customWidth="1"/>
    <col min="15110" max="15110" width="20.28515625" style="1728" customWidth="1"/>
    <col min="15111" max="15111" width="10.42578125" style="1728" customWidth="1"/>
    <col min="15112" max="15113" width="12.28515625" style="1728" customWidth="1"/>
    <col min="15114" max="15114" width="20.28515625" style="1728" customWidth="1"/>
    <col min="15115" max="15115" width="12.42578125" style="1728" customWidth="1"/>
    <col min="15116" max="15117" width="12.28515625" style="1728" customWidth="1"/>
    <col min="15118" max="15118" width="20.28515625" style="1728" customWidth="1"/>
    <col min="15119" max="15119" width="17.42578125" style="1728" customWidth="1"/>
    <col min="15120" max="15120" width="21.28515625" style="1728" customWidth="1"/>
    <col min="15121" max="15360" width="9.140625" style="1728"/>
    <col min="15361" max="15361" width="12" style="1728" customWidth="1"/>
    <col min="15362" max="15362" width="45.42578125" style="1728" customWidth="1"/>
    <col min="15363" max="15363" width="10.42578125" style="1728" customWidth="1"/>
    <col min="15364" max="15364" width="12.28515625" style="1728" customWidth="1"/>
    <col min="15365" max="15365" width="13.140625" style="1728" customWidth="1"/>
    <col min="15366" max="15366" width="20.28515625" style="1728" customWidth="1"/>
    <col min="15367" max="15367" width="10.42578125" style="1728" customWidth="1"/>
    <col min="15368" max="15369" width="12.28515625" style="1728" customWidth="1"/>
    <col min="15370" max="15370" width="20.28515625" style="1728" customWidth="1"/>
    <col min="15371" max="15371" width="12.42578125" style="1728" customWidth="1"/>
    <col min="15372" max="15373" width="12.28515625" style="1728" customWidth="1"/>
    <col min="15374" max="15374" width="20.28515625" style="1728" customWidth="1"/>
    <col min="15375" max="15375" width="17.42578125" style="1728" customWidth="1"/>
    <col min="15376" max="15376" width="21.28515625" style="1728" customWidth="1"/>
    <col min="15377" max="15616" width="9.140625" style="1728"/>
    <col min="15617" max="15617" width="12" style="1728" customWidth="1"/>
    <col min="15618" max="15618" width="45.42578125" style="1728" customWidth="1"/>
    <col min="15619" max="15619" width="10.42578125" style="1728" customWidth="1"/>
    <col min="15620" max="15620" width="12.28515625" style="1728" customWidth="1"/>
    <col min="15621" max="15621" width="13.140625" style="1728" customWidth="1"/>
    <col min="15622" max="15622" width="20.28515625" style="1728" customWidth="1"/>
    <col min="15623" max="15623" width="10.42578125" style="1728" customWidth="1"/>
    <col min="15624" max="15625" width="12.28515625" style="1728" customWidth="1"/>
    <col min="15626" max="15626" width="20.28515625" style="1728" customWidth="1"/>
    <col min="15627" max="15627" width="12.42578125" style="1728" customWidth="1"/>
    <col min="15628" max="15629" width="12.28515625" style="1728" customWidth="1"/>
    <col min="15630" max="15630" width="20.28515625" style="1728" customWidth="1"/>
    <col min="15631" max="15631" width="17.42578125" style="1728" customWidth="1"/>
    <col min="15632" max="15632" width="21.28515625" style="1728" customWidth="1"/>
    <col min="15633" max="15872" width="9.140625" style="1728"/>
    <col min="15873" max="15873" width="12" style="1728" customWidth="1"/>
    <col min="15874" max="15874" width="45.42578125" style="1728" customWidth="1"/>
    <col min="15875" max="15875" width="10.42578125" style="1728" customWidth="1"/>
    <col min="15876" max="15876" width="12.28515625" style="1728" customWidth="1"/>
    <col min="15877" max="15877" width="13.140625" style="1728" customWidth="1"/>
    <col min="15878" max="15878" width="20.28515625" style="1728" customWidth="1"/>
    <col min="15879" max="15879" width="10.42578125" style="1728" customWidth="1"/>
    <col min="15880" max="15881" width="12.28515625" style="1728" customWidth="1"/>
    <col min="15882" max="15882" width="20.28515625" style="1728" customWidth="1"/>
    <col min="15883" max="15883" width="12.42578125" style="1728" customWidth="1"/>
    <col min="15884" max="15885" width="12.28515625" style="1728" customWidth="1"/>
    <col min="15886" max="15886" width="20.28515625" style="1728" customWidth="1"/>
    <col min="15887" max="15887" width="17.42578125" style="1728" customWidth="1"/>
    <col min="15888" max="15888" width="21.28515625" style="1728" customWidth="1"/>
    <col min="15889" max="16128" width="9.140625" style="1728"/>
    <col min="16129" max="16129" width="12" style="1728" customWidth="1"/>
    <col min="16130" max="16130" width="45.42578125" style="1728" customWidth="1"/>
    <col min="16131" max="16131" width="10.42578125" style="1728" customWidth="1"/>
    <col min="16132" max="16132" width="12.28515625" style="1728" customWidth="1"/>
    <col min="16133" max="16133" width="13.140625" style="1728" customWidth="1"/>
    <col min="16134" max="16134" width="20.28515625" style="1728" customWidth="1"/>
    <col min="16135" max="16135" width="10.42578125" style="1728" customWidth="1"/>
    <col min="16136" max="16137" width="12.28515625" style="1728" customWidth="1"/>
    <col min="16138" max="16138" width="20.28515625" style="1728" customWidth="1"/>
    <col min="16139" max="16139" width="12.42578125" style="1728" customWidth="1"/>
    <col min="16140" max="16141" width="12.28515625" style="1728" customWidth="1"/>
    <col min="16142" max="16142" width="20.28515625" style="1728" customWidth="1"/>
    <col min="16143" max="16143" width="17.42578125" style="1728" customWidth="1"/>
    <col min="16144" max="16144" width="21.28515625" style="1728" customWidth="1"/>
    <col min="16145" max="16384" width="9.140625" style="1728"/>
  </cols>
  <sheetData>
    <row r="1" spans="1:19" ht="25.5" customHeight="1">
      <c r="A1" s="1824" t="s">
        <v>47</v>
      </c>
      <c r="B1" s="1824"/>
    </row>
    <row r="2" spans="1:19" ht="22.5" customHeight="1">
      <c r="A2" s="1824" t="s">
        <v>1036</v>
      </c>
      <c r="B2" s="1824"/>
    </row>
    <row r="3" spans="1:19" ht="22.5" customHeight="1">
      <c r="A3" s="1825" t="s">
        <v>1037</v>
      </c>
      <c r="B3" s="1825"/>
      <c r="C3" s="1825"/>
      <c r="D3" s="1825"/>
      <c r="E3" s="1825"/>
      <c r="F3" s="1825"/>
      <c r="G3" s="1825"/>
      <c r="H3" s="1825"/>
      <c r="I3" s="1825"/>
      <c r="J3" s="1825"/>
      <c r="K3" s="1825"/>
      <c r="L3" s="1825"/>
      <c r="M3" s="1825"/>
      <c r="N3" s="1825"/>
      <c r="O3" s="1825"/>
      <c r="P3" s="1825"/>
    </row>
    <row r="4" spans="1:19" ht="22.5" customHeight="1">
      <c r="A4" s="1822" t="s">
        <v>964</v>
      </c>
      <c r="B4" s="1822"/>
      <c r="C4" s="1822"/>
      <c r="D4" s="1822"/>
      <c r="E4" s="1822"/>
      <c r="F4" s="1822"/>
      <c r="G4" s="1822"/>
      <c r="H4" s="1822"/>
      <c r="I4" s="1822"/>
      <c r="J4" s="1822"/>
      <c r="K4" s="1822"/>
      <c r="L4" s="1822"/>
      <c r="M4" s="1822"/>
      <c r="N4" s="1822"/>
      <c r="O4" s="1822"/>
      <c r="P4" s="1822"/>
    </row>
    <row r="5" spans="1:19" ht="22.5" customHeight="1" thickBot="1">
      <c r="A5" s="1823" t="s">
        <v>1038</v>
      </c>
      <c r="B5" s="1823"/>
      <c r="C5" s="1823"/>
      <c r="D5" s="1823"/>
      <c r="E5" s="1823"/>
      <c r="F5" s="1823"/>
      <c r="G5" s="1823"/>
      <c r="H5" s="1823"/>
      <c r="I5" s="1823"/>
      <c r="J5" s="1823"/>
      <c r="K5" s="1823"/>
      <c r="L5" s="1823"/>
      <c r="M5" s="1823"/>
      <c r="N5" s="1823"/>
      <c r="O5" s="1823"/>
      <c r="P5" s="1823"/>
    </row>
    <row r="6" spans="1:19" s="1729" customFormat="1" ht="35.25" customHeight="1">
      <c r="A6" s="1826" t="s">
        <v>1039</v>
      </c>
      <c r="B6" s="1829" t="s">
        <v>1040</v>
      </c>
      <c r="C6" s="1832" t="s">
        <v>1041</v>
      </c>
      <c r="D6" s="1833"/>
      <c r="E6" s="1833"/>
      <c r="F6" s="1833"/>
      <c r="G6" s="1833"/>
      <c r="H6" s="1833"/>
      <c r="I6" s="1833"/>
      <c r="J6" s="1833"/>
      <c r="K6" s="1833"/>
      <c r="L6" s="1833"/>
      <c r="M6" s="1833"/>
      <c r="N6" s="1833"/>
      <c r="O6" s="1834" t="s">
        <v>1042</v>
      </c>
      <c r="P6" s="1835" t="s">
        <v>1043</v>
      </c>
    </row>
    <row r="7" spans="1:19" s="1729" customFormat="1" ht="35.25" customHeight="1">
      <c r="A7" s="1827"/>
      <c r="B7" s="1830"/>
      <c r="C7" s="1809" t="s">
        <v>1044</v>
      </c>
      <c r="D7" s="1810"/>
      <c r="E7" s="1810"/>
      <c r="F7" s="1811"/>
      <c r="G7" s="1809" t="s">
        <v>1045</v>
      </c>
      <c r="H7" s="1810"/>
      <c r="I7" s="1810"/>
      <c r="J7" s="1811"/>
      <c r="K7" s="1809" t="s">
        <v>1046</v>
      </c>
      <c r="L7" s="1810"/>
      <c r="M7" s="1810"/>
      <c r="N7" s="1811"/>
      <c r="O7" s="1830"/>
      <c r="P7" s="1836"/>
    </row>
    <row r="8" spans="1:19" s="1729" customFormat="1" ht="57" customHeight="1" thickBot="1">
      <c r="A8" s="1828"/>
      <c r="B8" s="1831"/>
      <c r="C8" s="1730" t="s">
        <v>281</v>
      </c>
      <c r="D8" s="1730" t="s">
        <v>25</v>
      </c>
      <c r="E8" s="1731" t="s">
        <v>1047</v>
      </c>
      <c r="F8" s="1730" t="s">
        <v>4</v>
      </c>
      <c r="G8" s="1730" t="s">
        <v>281</v>
      </c>
      <c r="H8" s="1730" t="s">
        <v>25</v>
      </c>
      <c r="I8" s="1731" t="s">
        <v>1047</v>
      </c>
      <c r="J8" s="1730" t="s">
        <v>4</v>
      </c>
      <c r="K8" s="1730" t="s">
        <v>281</v>
      </c>
      <c r="L8" s="1730" t="s">
        <v>25</v>
      </c>
      <c r="M8" s="1731" t="s">
        <v>1047</v>
      </c>
      <c r="N8" s="1730" t="s">
        <v>4</v>
      </c>
      <c r="O8" s="1831"/>
      <c r="P8" s="1837"/>
    </row>
    <row r="9" spans="1:19" s="1739" customFormat="1" ht="36.75" customHeight="1">
      <c r="A9" s="1732">
        <v>1</v>
      </c>
      <c r="B9" s="1733" t="s">
        <v>138</v>
      </c>
      <c r="C9" s="1734" t="s">
        <v>860</v>
      </c>
      <c r="D9" s="1735">
        <v>511</v>
      </c>
      <c r="E9" s="1735">
        <v>500</v>
      </c>
      <c r="F9" s="1735">
        <f>D9*E9</f>
        <v>255500</v>
      </c>
      <c r="G9" s="1734">
        <v>29</v>
      </c>
      <c r="H9" s="1735">
        <v>201</v>
      </c>
      <c r="I9" s="1735">
        <v>650</v>
      </c>
      <c r="J9" s="1735">
        <f>H9*I9</f>
        <v>130650</v>
      </c>
      <c r="K9" s="1734" t="s">
        <v>1048</v>
      </c>
      <c r="L9" s="1735">
        <v>394</v>
      </c>
      <c r="M9" s="1735">
        <v>500</v>
      </c>
      <c r="N9" s="1735">
        <f>L9*M9</f>
        <v>197000</v>
      </c>
      <c r="O9" s="1736">
        <f>D9+H9+L9</f>
        <v>1106</v>
      </c>
      <c r="P9" s="1737">
        <f>F9+J9+N9</f>
        <v>583150</v>
      </c>
      <c r="Q9" s="1738"/>
      <c r="R9" s="1738"/>
      <c r="S9" s="1738"/>
    </row>
    <row r="10" spans="1:19" s="1739" customFormat="1" ht="36.75" customHeight="1">
      <c r="A10" s="1740">
        <v>2</v>
      </c>
      <c r="B10" s="1733" t="s">
        <v>141</v>
      </c>
      <c r="C10" s="1741" t="s">
        <v>830</v>
      </c>
      <c r="D10" s="1742">
        <v>312</v>
      </c>
      <c r="E10" s="1742">
        <v>500</v>
      </c>
      <c r="F10" s="1735">
        <f t="shared" ref="F10:F35" si="0">D10*E10</f>
        <v>156000</v>
      </c>
      <c r="G10" s="1741">
        <v>2</v>
      </c>
      <c r="H10" s="1742">
        <v>176</v>
      </c>
      <c r="I10" s="1742">
        <v>650</v>
      </c>
      <c r="J10" s="1735">
        <f t="shared" ref="J10:J35" si="1">H10*I10</f>
        <v>114400</v>
      </c>
      <c r="K10" s="1741">
        <v>2</v>
      </c>
      <c r="L10" s="1742">
        <v>301</v>
      </c>
      <c r="M10" s="1742">
        <v>500</v>
      </c>
      <c r="N10" s="1735">
        <f t="shared" ref="N10:N35" si="2">L10*M10</f>
        <v>150500</v>
      </c>
      <c r="O10" s="1736">
        <f t="shared" ref="O10:O32" si="3">D10+H10+L10</f>
        <v>789</v>
      </c>
      <c r="P10" s="1737">
        <f t="shared" ref="P10:P32" si="4">F10+J10+N10</f>
        <v>420900</v>
      </c>
      <c r="Q10" s="1738"/>
      <c r="R10" s="1738"/>
      <c r="S10" s="1738"/>
    </row>
    <row r="11" spans="1:19" s="1739" customFormat="1" ht="36.75" customHeight="1">
      <c r="A11" s="1740">
        <v>3</v>
      </c>
      <c r="B11" s="1743" t="s">
        <v>347</v>
      </c>
      <c r="C11" s="1744" t="s">
        <v>913</v>
      </c>
      <c r="D11" s="1742">
        <v>451</v>
      </c>
      <c r="E11" s="1742">
        <v>500</v>
      </c>
      <c r="F11" s="1735">
        <f t="shared" si="0"/>
        <v>225500</v>
      </c>
      <c r="G11" s="1741">
        <v>13</v>
      </c>
      <c r="H11" s="1742">
        <v>169</v>
      </c>
      <c r="I11" s="1742">
        <v>650</v>
      </c>
      <c r="J11" s="1735">
        <f t="shared" si="1"/>
        <v>109850</v>
      </c>
      <c r="K11" s="1741">
        <v>13</v>
      </c>
      <c r="L11" s="1742">
        <v>274</v>
      </c>
      <c r="M11" s="1742">
        <v>500</v>
      </c>
      <c r="N11" s="1735">
        <f t="shared" si="2"/>
        <v>137000</v>
      </c>
      <c r="O11" s="1736">
        <f t="shared" si="3"/>
        <v>894</v>
      </c>
      <c r="P11" s="1737">
        <f t="shared" si="4"/>
        <v>472350</v>
      </c>
      <c r="Q11" s="1738"/>
      <c r="R11" s="1738"/>
      <c r="S11" s="1738"/>
    </row>
    <row r="12" spans="1:19" s="1739" customFormat="1" ht="36.75" customHeight="1">
      <c r="A12" s="1740">
        <v>4</v>
      </c>
      <c r="B12" s="1745" t="s">
        <v>276</v>
      </c>
      <c r="C12" s="1741" t="s">
        <v>855</v>
      </c>
      <c r="D12" s="1742">
        <v>334</v>
      </c>
      <c r="E12" s="1742">
        <v>500</v>
      </c>
      <c r="F12" s="1735">
        <f t="shared" si="0"/>
        <v>167000</v>
      </c>
      <c r="G12" s="1741">
        <v>18</v>
      </c>
      <c r="H12" s="1742">
        <v>197</v>
      </c>
      <c r="I12" s="1742">
        <v>650</v>
      </c>
      <c r="J12" s="1735">
        <f t="shared" si="1"/>
        <v>128050</v>
      </c>
      <c r="K12" s="1741" t="s">
        <v>79</v>
      </c>
      <c r="L12" s="1742">
        <v>201</v>
      </c>
      <c r="M12" s="1742">
        <v>500</v>
      </c>
      <c r="N12" s="1735">
        <f t="shared" si="2"/>
        <v>100500</v>
      </c>
      <c r="O12" s="1736">
        <f t="shared" si="3"/>
        <v>732</v>
      </c>
      <c r="P12" s="1737">
        <f t="shared" si="4"/>
        <v>395550</v>
      </c>
      <c r="Q12" s="1738"/>
      <c r="R12" s="1738"/>
      <c r="S12" s="1738"/>
    </row>
    <row r="13" spans="1:19" s="1739" customFormat="1" ht="36.75" customHeight="1">
      <c r="A13" s="1740">
        <v>5</v>
      </c>
      <c r="B13" s="1745" t="s">
        <v>340</v>
      </c>
      <c r="C13" s="1741" t="s">
        <v>78</v>
      </c>
      <c r="D13" s="1742">
        <v>219</v>
      </c>
      <c r="E13" s="1742">
        <v>500</v>
      </c>
      <c r="F13" s="1735">
        <f t="shared" si="0"/>
        <v>109500</v>
      </c>
      <c r="G13" s="1746">
        <v>17</v>
      </c>
      <c r="H13" s="1742">
        <v>189</v>
      </c>
      <c r="I13" s="1742">
        <v>650</v>
      </c>
      <c r="J13" s="1735">
        <f t="shared" si="1"/>
        <v>122850</v>
      </c>
      <c r="K13" s="1746">
        <v>17</v>
      </c>
      <c r="L13" s="1742">
        <v>244</v>
      </c>
      <c r="M13" s="1742">
        <v>500</v>
      </c>
      <c r="N13" s="1735">
        <f t="shared" si="2"/>
        <v>122000</v>
      </c>
      <c r="O13" s="1736">
        <f t="shared" si="3"/>
        <v>652</v>
      </c>
      <c r="P13" s="1737">
        <f t="shared" si="4"/>
        <v>354350</v>
      </c>
      <c r="Q13" s="1738"/>
      <c r="R13" s="1738"/>
      <c r="S13" s="1738"/>
    </row>
    <row r="14" spans="1:19" s="1739" customFormat="1" ht="36.75" customHeight="1">
      <c r="A14" s="1740">
        <v>6</v>
      </c>
      <c r="B14" s="1745" t="s">
        <v>339</v>
      </c>
      <c r="C14" s="1741" t="s">
        <v>92</v>
      </c>
      <c r="D14" s="1742">
        <v>296</v>
      </c>
      <c r="E14" s="1742">
        <v>500</v>
      </c>
      <c r="F14" s="1735">
        <f t="shared" si="0"/>
        <v>148000</v>
      </c>
      <c r="G14" s="1746">
        <v>27</v>
      </c>
      <c r="H14" s="1742">
        <v>220</v>
      </c>
      <c r="I14" s="1742">
        <v>650</v>
      </c>
      <c r="J14" s="1735">
        <f t="shared" si="1"/>
        <v>143000</v>
      </c>
      <c r="K14" s="1746">
        <v>27</v>
      </c>
      <c r="L14" s="1742">
        <v>161</v>
      </c>
      <c r="M14" s="1742">
        <v>500</v>
      </c>
      <c r="N14" s="1735">
        <f t="shared" si="2"/>
        <v>80500</v>
      </c>
      <c r="O14" s="1736">
        <f t="shared" si="3"/>
        <v>677</v>
      </c>
      <c r="P14" s="1737">
        <f t="shared" si="4"/>
        <v>371500</v>
      </c>
      <c r="Q14" s="1738"/>
      <c r="R14" s="1738"/>
      <c r="S14" s="1738"/>
    </row>
    <row r="15" spans="1:19" s="1739" customFormat="1" ht="36.75" customHeight="1">
      <c r="A15" s="1740">
        <v>7</v>
      </c>
      <c r="B15" s="1747" t="s">
        <v>346</v>
      </c>
      <c r="C15" s="1741" t="s">
        <v>76</v>
      </c>
      <c r="D15" s="1742">
        <v>214</v>
      </c>
      <c r="E15" s="1742">
        <v>500</v>
      </c>
      <c r="F15" s="1735">
        <f t="shared" si="0"/>
        <v>107000</v>
      </c>
      <c r="G15" s="1741" t="s">
        <v>880</v>
      </c>
      <c r="H15" s="1742">
        <v>400</v>
      </c>
      <c r="I15" s="1742">
        <v>650</v>
      </c>
      <c r="J15" s="1735">
        <f t="shared" si="1"/>
        <v>260000</v>
      </c>
      <c r="K15" s="1741" t="s">
        <v>76</v>
      </c>
      <c r="L15" s="1742">
        <v>251</v>
      </c>
      <c r="M15" s="1742">
        <v>500</v>
      </c>
      <c r="N15" s="1735">
        <f t="shared" si="2"/>
        <v>125500</v>
      </c>
      <c r="O15" s="1736">
        <f t="shared" si="3"/>
        <v>865</v>
      </c>
      <c r="P15" s="1737">
        <f t="shared" si="4"/>
        <v>492500</v>
      </c>
      <c r="Q15" s="1738"/>
      <c r="R15" s="1738"/>
      <c r="S15" s="1738"/>
    </row>
    <row r="16" spans="1:19" s="1739" customFormat="1" ht="36.75" customHeight="1">
      <c r="A16" s="1740">
        <v>8</v>
      </c>
      <c r="B16" s="1748" t="s">
        <v>370</v>
      </c>
      <c r="C16" s="1741" t="s">
        <v>849</v>
      </c>
      <c r="D16" s="1742">
        <v>366</v>
      </c>
      <c r="E16" s="1742">
        <v>500</v>
      </c>
      <c r="F16" s="1735">
        <f t="shared" si="0"/>
        <v>183000</v>
      </c>
      <c r="G16" s="1741" t="s">
        <v>1049</v>
      </c>
      <c r="H16" s="1742">
        <v>330</v>
      </c>
      <c r="I16" s="1742">
        <v>650</v>
      </c>
      <c r="J16" s="1735">
        <f t="shared" si="1"/>
        <v>214500</v>
      </c>
      <c r="K16" s="1741" t="s">
        <v>1050</v>
      </c>
      <c r="L16" s="1742">
        <v>689</v>
      </c>
      <c r="M16" s="1742">
        <v>500</v>
      </c>
      <c r="N16" s="1735">
        <f t="shared" si="2"/>
        <v>344500</v>
      </c>
      <c r="O16" s="1736">
        <f t="shared" si="3"/>
        <v>1385</v>
      </c>
      <c r="P16" s="1737">
        <f t="shared" si="4"/>
        <v>742000</v>
      </c>
      <c r="Q16" s="1738"/>
      <c r="R16" s="1738"/>
      <c r="S16" s="1738"/>
    </row>
    <row r="17" spans="1:19" s="1739" customFormat="1" ht="36.75" customHeight="1">
      <c r="A17" s="1740">
        <v>9</v>
      </c>
      <c r="B17" s="1748" t="s">
        <v>577</v>
      </c>
      <c r="C17" s="1741">
        <v>28</v>
      </c>
      <c r="D17" s="1742">
        <v>311</v>
      </c>
      <c r="E17" s="1742">
        <v>500</v>
      </c>
      <c r="F17" s="1735">
        <f t="shared" si="0"/>
        <v>155500</v>
      </c>
      <c r="G17" s="1746">
        <v>28</v>
      </c>
      <c r="H17" s="1742">
        <v>190</v>
      </c>
      <c r="I17" s="1742">
        <v>650</v>
      </c>
      <c r="J17" s="1735">
        <f t="shared" si="1"/>
        <v>123500</v>
      </c>
      <c r="K17" s="1746">
        <v>28</v>
      </c>
      <c r="L17" s="1742">
        <v>156</v>
      </c>
      <c r="M17" s="1742">
        <v>500</v>
      </c>
      <c r="N17" s="1735">
        <f t="shared" si="2"/>
        <v>78000</v>
      </c>
      <c r="O17" s="1736">
        <f t="shared" si="3"/>
        <v>657</v>
      </c>
      <c r="P17" s="1737">
        <f t="shared" si="4"/>
        <v>357000</v>
      </c>
      <c r="Q17" s="1738"/>
      <c r="R17" s="1738"/>
      <c r="S17" s="1738"/>
    </row>
    <row r="18" spans="1:19" s="1739" customFormat="1" ht="36.75" customHeight="1">
      <c r="A18" s="1740">
        <v>10</v>
      </c>
      <c r="B18" s="1748" t="s">
        <v>409</v>
      </c>
      <c r="C18" s="1741" t="s">
        <v>84</v>
      </c>
      <c r="D18" s="1742">
        <v>271</v>
      </c>
      <c r="E18" s="1742">
        <v>500</v>
      </c>
      <c r="F18" s="1735">
        <f t="shared" si="0"/>
        <v>135500</v>
      </c>
      <c r="G18" s="1741" t="s">
        <v>1051</v>
      </c>
      <c r="H18" s="1742">
        <v>429</v>
      </c>
      <c r="I18" s="1742">
        <v>650</v>
      </c>
      <c r="J18" s="1735">
        <f t="shared" si="1"/>
        <v>278850</v>
      </c>
      <c r="K18" s="1741" t="s">
        <v>84</v>
      </c>
      <c r="L18" s="1742">
        <v>221</v>
      </c>
      <c r="M18" s="1742">
        <v>500</v>
      </c>
      <c r="N18" s="1735">
        <f t="shared" si="2"/>
        <v>110500</v>
      </c>
      <c r="O18" s="1736">
        <f t="shared" si="3"/>
        <v>921</v>
      </c>
      <c r="P18" s="1737">
        <f t="shared" si="4"/>
        <v>524850</v>
      </c>
      <c r="Q18" s="1738"/>
      <c r="R18" s="1738"/>
      <c r="S18" s="1738"/>
    </row>
    <row r="19" spans="1:19" s="1739" customFormat="1" ht="36.75" customHeight="1">
      <c r="A19" s="1740">
        <v>11</v>
      </c>
      <c r="B19" s="1748" t="s">
        <v>464</v>
      </c>
      <c r="C19" s="1741" t="s">
        <v>75</v>
      </c>
      <c r="D19" s="1742">
        <v>210</v>
      </c>
      <c r="E19" s="1742">
        <v>500</v>
      </c>
      <c r="F19" s="1735">
        <f t="shared" si="0"/>
        <v>105000</v>
      </c>
      <c r="G19" s="1741" t="s">
        <v>972</v>
      </c>
      <c r="H19" s="1742">
        <v>235</v>
      </c>
      <c r="I19" s="1742">
        <v>650</v>
      </c>
      <c r="J19" s="1735">
        <f t="shared" si="1"/>
        <v>152750</v>
      </c>
      <c r="K19" s="1741" t="s">
        <v>75</v>
      </c>
      <c r="L19" s="1742">
        <v>284</v>
      </c>
      <c r="M19" s="1742">
        <v>500</v>
      </c>
      <c r="N19" s="1735">
        <f t="shared" si="2"/>
        <v>142000</v>
      </c>
      <c r="O19" s="1736">
        <f t="shared" si="3"/>
        <v>729</v>
      </c>
      <c r="P19" s="1737">
        <f t="shared" si="4"/>
        <v>399750</v>
      </c>
      <c r="Q19" s="1738"/>
      <c r="R19" s="1738"/>
      <c r="S19" s="1738"/>
    </row>
    <row r="20" spans="1:19" s="1739" customFormat="1" ht="36.75" customHeight="1">
      <c r="A20" s="1740">
        <v>12</v>
      </c>
      <c r="B20" s="1748" t="s">
        <v>469</v>
      </c>
      <c r="C20" s="1741">
        <v>26</v>
      </c>
      <c r="D20" s="1742">
        <v>298</v>
      </c>
      <c r="E20" s="1742">
        <v>500</v>
      </c>
      <c r="F20" s="1735">
        <f t="shared" si="0"/>
        <v>149000</v>
      </c>
      <c r="G20" s="1741" t="s">
        <v>1052</v>
      </c>
      <c r="H20" s="1742">
        <v>312</v>
      </c>
      <c r="I20" s="1742">
        <v>650</v>
      </c>
      <c r="J20" s="1735">
        <f t="shared" si="1"/>
        <v>202800</v>
      </c>
      <c r="K20" s="1749" t="s">
        <v>1053</v>
      </c>
      <c r="L20" s="1742">
        <v>600</v>
      </c>
      <c r="M20" s="1742">
        <v>500</v>
      </c>
      <c r="N20" s="1735">
        <f t="shared" si="2"/>
        <v>300000</v>
      </c>
      <c r="O20" s="1736">
        <f t="shared" si="3"/>
        <v>1210</v>
      </c>
      <c r="P20" s="1737">
        <f t="shared" si="4"/>
        <v>651800</v>
      </c>
      <c r="Q20" s="1738"/>
      <c r="R20" s="1738"/>
      <c r="S20" s="1738"/>
    </row>
    <row r="21" spans="1:19" s="1739" customFormat="1" ht="36.75" customHeight="1">
      <c r="A21" s="1740">
        <v>13</v>
      </c>
      <c r="B21" s="1748" t="s">
        <v>474</v>
      </c>
      <c r="C21" s="1741">
        <v>21</v>
      </c>
      <c r="D21" s="1742">
        <v>254</v>
      </c>
      <c r="E21" s="1742">
        <v>500</v>
      </c>
      <c r="F21" s="1735">
        <f t="shared" si="0"/>
        <v>127000</v>
      </c>
      <c r="G21" s="1746">
        <v>21</v>
      </c>
      <c r="H21" s="1742">
        <v>290</v>
      </c>
      <c r="I21" s="1742">
        <v>650</v>
      </c>
      <c r="J21" s="1735">
        <f t="shared" si="1"/>
        <v>188500</v>
      </c>
      <c r="K21" s="1746">
        <v>21</v>
      </c>
      <c r="L21" s="1742">
        <v>202</v>
      </c>
      <c r="M21" s="1742">
        <v>500</v>
      </c>
      <c r="N21" s="1735">
        <f t="shared" si="2"/>
        <v>101000</v>
      </c>
      <c r="O21" s="1736">
        <f t="shared" si="3"/>
        <v>746</v>
      </c>
      <c r="P21" s="1737">
        <f t="shared" si="4"/>
        <v>416500</v>
      </c>
      <c r="Q21" s="1738"/>
      <c r="R21" s="1738"/>
      <c r="S21" s="1738"/>
    </row>
    <row r="22" spans="1:19" s="1739" customFormat="1" ht="36.75" customHeight="1">
      <c r="A22" s="1740">
        <v>14</v>
      </c>
      <c r="B22" s="1748" t="s">
        <v>555</v>
      </c>
      <c r="C22" s="1741" t="s">
        <v>1054</v>
      </c>
      <c r="D22" s="1742">
        <v>777</v>
      </c>
      <c r="E22" s="1742">
        <v>500</v>
      </c>
      <c r="F22" s="1735">
        <f t="shared" si="0"/>
        <v>388500</v>
      </c>
      <c r="G22" s="1750" t="s">
        <v>818</v>
      </c>
      <c r="H22" s="1742">
        <v>261</v>
      </c>
      <c r="I22" s="1742">
        <v>650</v>
      </c>
      <c r="J22" s="1735">
        <f t="shared" si="1"/>
        <v>169650</v>
      </c>
      <c r="K22" s="1741" t="s">
        <v>818</v>
      </c>
      <c r="L22" s="1742">
        <v>434</v>
      </c>
      <c r="M22" s="1742">
        <v>500</v>
      </c>
      <c r="N22" s="1735">
        <f t="shared" si="2"/>
        <v>217000</v>
      </c>
      <c r="O22" s="1736">
        <f t="shared" si="3"/>
        <v>1472</v>
      </c>
      <c r="P22" s="1737">
        <f t="shared" si="4"/>
        <v>775150</v>
      </c>
      <c r="Q22" s="1738"/>
      <c r="R22" s="1738"/>
      <c r="S22" s="1738"/>
    </row>
    <row r="23" spans="1:19" s="1739" customFormat="1" ht="36.75" customHeight="1">
      <c r="A23" s="1740">
        <v>15</v>
      </c>
      <c r="B23" s="1748" t="s">
        <v>647</v>
      </c>
      <c r="C23" s="1741" t="s">
        <v>834</v>
      </c>
      <c r="D23" s="1742">
        <v>323</v>
      </c>
      <c r="E23" s="1742">
        <v>500</v>
      </c>
      <c r="F23" s="1735">
        <f t="shared" si="0"/>
        <v>161500</v>
      </c>
      <c r="G23" s="1741" t="s">
        <v>841</v>
      </c>
      <c r="H23" s="1742">
        <v>371</v>
      </c>
      <c r="I23" s="1742">
        <v>650</v>
      </c>
      <c r="J23" s="1735">
        <f t="shared" si="1"/>
        <v>241150</v>
      </c>
      <c r="K23" s="1741" t="s">
        <v>1055</v>
      </c>
      <c r="L23" s="1742">
        <v>411</v>
      </c>
      <c r="M23" s="1742">
        <v>500</v>
      </c>
      <c r="N23" s="1735">
        <f t="shared" si="2"/>
        <v>205500</v>
      </c>
      <c r="O23" s="1736">
        <f t="shared" si="3"/>
        <v>1105</v>
      </c>
      <c r="P23" s="1737">
        <f t="shared" si="4"/>
        <v>608150</v>
      </c>
      <c r="Q23" s="1738"/>
      <c r="R23" s="1738"/>
      <c r="S23" s="1738"/>
    </row>
    <row r="24" spans="1:19" s="1739" customFormat="1" ht="36.75" customHeight="1">
      <c r="A24" s="1740">
        <v>17</v>
      </c>
      <c r="B24" s="1748" t="s">
        <v>688</v>
      </c>
      <c r="C24" s="1741" t="s">
        <v>931</v>
      </c>
      <c r="D24" s="1749">
        <v>377</v>
      </c>
      <c r="E24" s="1742">
        <v>500</v>
      </c>
      <c r="F24" s="1735">
        <f t="shared" si="0"/>
        <v>188500</v>
      </c>
      <c r="G24" s="1741">
        <v>19</v>
      </c>
      <c r="H24" s="1749">
        <v>198</v>
      </c>
      <c r="I24" s="1742">
        <v>650</v>
      </c>
      <c r="J24" s="1735">
        <f t="shared" si="1"/>
        <v>128700</v>
      </c>
      <c r="K24" s="1741">
        <v>19</v>
      </c>
      <c r="L24" s="1749">
        <v>194</v>
      </c>
      <c r="M24" s="1742">
        <v>500</v>
      </c>
      <c r="N24" s="1735">
        <f t="shared" si="2"/>
        <v>97000</v>
      </c>
      <c r="O24" s="1736">
        <f t="shared" si="3"/>
        <v>769</v>
      </c>
      <c r="P24" s="1737">
        <f t="shared" si="4"/>
        <v>414200</v>
      </c>
      <c r="Q24" s="1738"/>
      <c r="R24" s="1738"/>
      <c r="S24" s="1738"/>
    </row>
    <row r="25" spans="1:19" s="1739" customFormat="1" ht="36.75" customHeight="1">
      <c r="A25" s="1740">
        <v>18</v>
      </c>
      <c r="B25" s="1748" t="s">
        <v>691</v>
      </c>
      <c r="C25" s="1746">
        <v>20</v>
      </c>
      <c r="D25" s="1742">
        <v>202</v>
      </c>
      <c r="E25" s="1742">
        <v>500</v>
      </c>
      <c r="F25" s="1735">
        <f t="shared" si="0"/>
        <v>101000</v>
      </c>
      <c r="G25" s="1746">
        <v>20</v>
      </c>
      <c r="H25" s="1742">
        <v>187</v>
      </c>
      <c r="I25" s="1742">
        <v>650</v>
      </c>
      <c r="J25" s="1735">
        <f t="shared" si="1"/>
        <v>121550</v>
      </c>
      <c r="K25" s="1746">
        <v>20</v>
      </c>
      <c r="L25" s="1742">
        <v>186</v>
      </c>
      <c r="M25" s="1742">
        <v>500</v>
      </c>
      <c r="N25" s="1735">
        <f t="shared" si="2"/>
        <v>93000</v>
      </c>
      <c r="O25" s="1736">
        <f t="shared" si="3"/>
        <v>575</v>
      </c>
      <c r="P25" s="1737">
        <f t="shared" si="4"/>
        <v>315550</v>
      </c>
      <c r="Q25" s="1738"/>
      <c r="R25" s="1738"/>
      <c r="S25" s="1738"/>
    </row>
    <row r="26" spans="1:19" s="1739" customFormat="1" ht="36.75" customHeight="1">
      <c r="A26" s="1740">
        <v>19</v>
      </c>
      <c r="B26" s="1748" t="s">
        <v>692</v>
      </c>
      <c r="C26" s="1741" t="s">
        <v>77</v>
      </c>
      <c r="D26" s="1742">
        <v>202</v>
      </c>
      <c r="E26" s="1742">
        <v>500</v>
      </c>
      <c r="F26" s="1735">
        <f t="shared" si="0"/>
        <v>101000</v>
      </c>
      <c r="G26" s="1746">
        <v>16</v>
      </c>
      <c r="H26" s="1742">
        <v>171</v>
      </c>
      <c r="I26" s="1742">
        <v>650</v>
      </c>
      <c r="J26" s="1735">
        <f t="shared" si="1"/>
        <v>111150</v>
      </c>
      <c r="K26" s="1746">
        <v>16</v>
      </c>
      <c r="L26" s="1742">
        <v>211</v>
      </c>
      <c r="M26" s="1742">
        <v>500</v>
      </c>
      <c r="N26" s="1735">
        <f t="shared" si="2"/>
        <v>105500</v>
      </c>
      <c r="O26" s="1736">
        <f t="shared" si="3"/>
        <v>584</v>
      </c>
      <c r="P26" s="1737">
        <f t="shared" si="4"/>
        <v>317650</v>
      </c>
      <c r="Q26" s="1738"/>
      <c r="R26" s="1738"/>
      <c r="S26" s="1738"/>
    </row>
    <row r="27" spans="1:19" s="1739" customFormat="1" ht="36.75" customHeight="1">
      <c r="A27" s="1740">
        <v>20</v>
      </c>
      <c r="B27" s="1748" t="s">
        <v>748</v>
      </c>
      <c r="C27" s="1741">
        <v>3</v>
      </c>
      <c r="D27" s="1742">
        <v>232</v>
      </c>
      <c r="E27" s="1742">
        <v>500</v>
      </c>
      <c r="F27" s="1735">
        <f t="shared" si="0"/>
        <v>116000</v>
      </c>
      <c r="G27" s="1741">
        <v>3</v>
      </c>
      <c r="H27" s="1742">
        <v>181</v>
      </c>
      <c r="I27" s="1742">
        <v>650</v>
      </c>
      <c r="J27" s="1735">
        <f t="shared" si="1"/>
        <v>117650</v>
      </c>
      <c r="K27" s="1741">
        <v>3</v>
      </c>
      <c r="L27" s="1742">
        <v>293</v>
      </c>
      <c r="M27" s="1742">
        <v>500</v>
      </c>
      <c r="N27" s="1735">
        <f t="shared" si="2"/>
        <v>146500</v>
      </c>
      <c r="O27" s="1736">
        <f t="shared" si="3"/>
        <v>706</v>
      </c>
      <c r="P27" s="1737">
        <f t="shared" si="4"/>
        <v>380150</v>
      </c>
      <c r="Q27" s="1738"/>
      <c r="R27" s="1738"/>
      <c r="S27" s="1738"/>
    </row>
    <row r="28" spans="1:19" s="1739" customFormat="1" ht="36.75" customHeight="1">
      <c r="A28" s="1740">
        <v>21</v>
      </c>
      <c r="B28" s="1748" t="s">
        <v>749</v>
      </c>
      <c r="C28" s="1741">
        <v>4</v>
      </c>
      <c r="D28" s="1742">
        <v>249</v>
      </c>
      <c r="E28" s="1742">
        <v>500</v>
      </c>
      <c r="F28" s="1735">
        <f t="shared" si="0"/>
        <v>124500</v>
      </c>
      <c r="G28" s="1741">
        <v>4</v>
      </c>
      <c r="H28" s="1742">
        <v>170</v>
      </c>
      <c r="I28" s="1742">
        <v>650</v>
      </c>
      <c r="J28" s="1735">
        <f t="shared" si="1"/>
        <v>110500</v>
      </c>
      <c r="K28" s="1741">
        <v>4</v>
      </c>
      <c r="L28" s="1742">
        <v>298</v>
      </c>
      <c r="M28" s="1742">
        <v>500</v>
      </c>
      <c r="N28" s="1735">
        <f t="shared" si="2"/>
        <v>149000</v>
      </c>
      <c r="O28" s="1736">
        <f t="shared" si="3"/>
        <v>717</v>
      </c>
      <c r="P28" s="1737">
        <f t="shared" si="4"/>
        <v>384000</v>
      </c>
      <c r="Q28" s="1738"/>
      <c r="R28" s="1738"/>
      <c r="S28" s="1738"/>
    </row>
    <row r="29" spans="1:19" s="1739" customFormat="1" ht="36.75" customHeight="1">
      <c r="A29" s="1740">
        <v>22</v>
      </c>
      <c r="B29" s="1748" t="s">
        <v>750</v>
      </c>
      <c r="C29" s="1741" t="s">
        <v>83</v>
      </c>
      <c r="D29" s="1742">
        <v>241</v>
      </c>
      <c r="E29" s="1742">
        <v>500</v>
      </c>
      <c r="F29" s="1735">
        <f t="shared" si="0"/>
        <v>120500</v>
      </c>
      <c r="G29" s="1741">
        <v>22</v>
      </c>
      <c r="H29" s="1742">
        <v>292</v>
      </c>
      <c r="I29" s="1742">
        <v>650</v>
      </c>
      <c r="J29" s="1735">
        <f t="shared" si="1"/>
        <v>189800</v>
      </c>
      <c r="K29" s="1741">
        <v>22</v>
      </c>
      <c r="L29" s="1742">
        <v>201</v>
      </c>
      <c r="M29" s="1742">
        <v>500</v>
      </c>
      <c r="N29" s="1735">
        <f t="shared" si="2"/>
        <v>100500</v>
      </c>
      <c r="O29" s="1736">
        <f t="shared" si="3"/>
        <v>734</v>
      </c>
      <c r="P29" s="1737">
        <f t="shared" si="4"/>
        <v>410800</v>
      </c>
      <c r="Q29" s="1738"/>
      <c r="R29" s="1738"/>
      <c r="S29" s="1738"/>
    </row>
    <row r="30" spans="1:19" s="1739" customFormat="1" ht="36.75" customHeight="1">
      <c r="A30" s="1740">
        <v>23</v>
      </c>
      <c r="B30" s="1748" t="s">
        <v>751</v>
      </c>
      <c r="C30" s="1741">
        <v>24</v>
      </c>
      <c r="D30" s="1742">
        <v>270</v>
      </c>
      <c r="E30" s="1742">
        <v>500</v>
      </c>
      <c r="F30" s="1735">
        <f t="shared" si="0"/>
        <v>135000</v>
      </c>
      <c r="G30" s="1741">
        <v>24</v>
      </c>
      <c r="H30" s="1742">
        <v>286</v>
      </c>
      <c r="I30" s="1742">
        <v>650</v>
      </c>
      <c r="J30" s="1735">
        <f t="shared" si="1"/>
        <v>185900</v>
      </c>
      <c r="K30" s="1741">
        <v>24</v>
      </c>
      <c r="L30" s="1742">
        <v>219</v>
      </c>
      <c r="M30" s="1742">
        <v>500</v>
      </c>
      <c r="N30" s="1735">
        <f t="shared" si="2"/>
        <v>109500</v>
      </c>
      <c r="O30" s="1736">
        <f t="shared" si="3"/>
        <v>775</v>
      </c>
      <c r="P30" s="1737">
        <f t="shared" si="4"/>
        <v>430400</v>
      </c>
      <c r="Q30" s="1738"/>
      <c r="R30" s="1738"/>
      <c r="S30" s="1738"/>
    </row>
    <row r="31" spans="1:19" s="1739" customFormat="1" ht="36.75" customHeight="1">
      <c r="A31" s="1740">
        <v>24</v>
      </c>
      <c r="B31" s="1748" t="s">
        <v>775</v>
      </c>
      <c r="C31" s="1741">
        <v>8</v>
      </c>
      <c r="D31" s="1742">
        <v>260</v>
      </c>
      <c r="E31" s="1742">
        <v>500</v>
      </c>
      <c r="F31" s="1735">
        <f t="shared" si="0"/>
        <v>130000</v>
      </c>
      <c r="G31" s="1741">
        <v>8</v>
      </c>
      <c r="H31" s="1742">
        <v>160</v>
      </c>
      <c r="I31" s="1742">
        <v>650</v>
      </c>
      <c r="J31" s="1735">
        <f t="shared" si="1"/>
        <v>104000</v>
      </c>
      <c r="K31" s="1741">
        <v>8</v>
      </c>
      <c r="L31" s="1742">
        <v>294</v>
      </c>
      <c r="M31" s="1742">
        <v>500</v>
      </c>
      <c r="N31" s="1735">
        <f t="shared" si="2"/>
        <v>147000</v>
      </c>
      <c r="O31" s="1736">
        <f t="shared" si="3"/>
        <v>714</v>
      </c>
      <c r="P31" s="1737">
        <f t="shared" si="4"/>
        <v>381000</v>
      </c>
      <c r="Q31" s="1738"/>
      <c r="R31" s="1738"/>
      <c r="S31" s="1738"/>
    </row>
    <row r="32" spans="1:19" s="1739" customFormat="1" ht="36.75" customHeight="1" thickBot="1">
      <c r="A32" s="1740">
        <v>25</v>
      </c>
      <c r="B32" s="1748" t="s">
        <v>774</v>
      </c>
      <c r="C32" s="1741">
        <v>7</v>
      </c>
      <c r="D32" s="1742">
        <v>260</v>
      </c>
      <c r="E32" s="1742">
        <v>500</v>
      </c>
      <c r="F32" s="1735">
        <f t="shared" si="0"/>
        <v>130000</v>
      </c>
      <c r="G32" s="1741">
        <v>7</v>
      </c>
      <c r="H32" s="1742">
        <v>161</v>
      </c>
      <c r="I32" s="1742">
        <v>650</v>
      </c>
      <c r="J32" s="1735">
        <f t="shared" si="1"/>
        <v>104650</v>
      </c>
      <c r="K32" s="1741">
        <v>7</v>
      </c>
      <c r="L32" s="1742">
        <v>296</v>
      </c>
      <c r="M32" s="1742">
        <v>500</v>
      </c>
      <c r="N32" s="1735">
        <f t="shared" si="2"/>
        <v>148000</v>
      </c>
      <c r="O32" s="1736">
        <f t="shared" si="3"/>
        <v>717</v>
      </c>
      <c r="P32" s="1737">
        <f t="shared" si="4"/>
        <v>382650</v>
      </c>
      <c r="Q32" s="1738"/>
      <c r="R32" s="1738"/>
      <c r="S32" s="1738"/>
    </row>
    <row r="33" spans="1:31" s="1739" customFormat="1" ht="36.75" hidden="1" customHeight="1">
      <c r="A33" s="1740">
        <v>28</v>
      </c>
      <c r="B33" s="604"/>
      <c r="C33" s="1741"/>
      <c r="D33" s="1742"/>
      <c r="E33" s="1742"/>
      <c r="F33" s="1735">
        <f t="shared" si="0"/>
        <v>0</v>
      </c>
      <c r="G33" s="1741"/>
      <c r="H33" s="1742"/>
      <c r="I33" s="1742"/>
      <c r="J33" s="1735">
        <f t="shared" si="1"/>
        <v>0</v>
      </c>
      <c r="K33" s="1741"/>
      <c r="L33" s="1742"/>
      <c r="M33" s="1742"/>
      <c r="N33" s="1735">
        <f t="shared" si="2"/>
        <v>0</v>
      </c>
      <c r="O33" s="1736">
        <f>D33+H33+J33+N33</f>
        <v>0</v>
      </c>
      <c r="P33" s="1751">
        <f>O33*$P$5</f>
        <v>0</v>
      </c>
    </row>
    <row r="34" spans="1:31" s="1739" customFormat="1" ht="36.75" hidden="1" customHeight="1">
      <c r="A34" s="1740">
        <v>29</v>
      </c>
      <c r="B34" s="604"/>
      <c r="C34" s="1741"/>
      <c r="D34" s="1742"/>
      <c r="E34" s="1742"/>
      <c r="F34" s="1735">
        <f t="shared" si="0"/>
        <v>0</v>
      </c>
      <c r="G34" s="1741"/>
      <c r="H34" s="1742"/>
      <c r="I34" s="1742"/>
      <c r="J34" s="1735">
        <f t="shared" si="1"/>
        <v>0</v>
      </c>
      <c r="K34" s="1741"/>
      <c r="L34" s="1742"/>
      <c r="M34" s="1742"/>
      <c r="N34" s="1735">
        <f t="shared" si="2"/>
        <v>0</v>
      </c>
      <c r="O34" s="1736">
        <f>D34+H34+J34+N34</f>
        <v>0</v>
      </c>
      <c r="P34" s="1751">
        <f>O34*$P$5</f>
        <v>0</v>
      </c>
    </row>
    <row r="35" spans="1:31" s="1739" customFormat="1" ht="36.75" hidden="1" customHeight="1" thickBot="1">
      <c r="A35" s="1740">
        <v>30</v>
      </c>
      <c r="B35" s="604"/>
      <c r="C35" s="1746"/>
      <c r="D35" s="1742"/>
      <c r="E35" s="1742"/>
      <c r="F35" s="1735">
        <f t="shared" si="0"/>
        <v>0</v>
      </c>
      <c r="G35" s="1746"/>
      <c r="H35" s="1742"/>
      <c r="I35" s="1742"/>
      <c r="J35" s="1735">
        <f t="shared" si="1"/>
        <v>0</v>
      </c>
      <c r="K35" s="1746"/>
      <c r="L35" s="1742"/>
      <c r="M35" s="1742"/>
      <c r="N35" s="1735">
        <f t="shared" si="2"/>
        <v>0</v>
      </c>
      <c r="O35" s="1736">
        <f>D35+H35+J35+N35</f>
        <v>0</v>
      </c>
      <c r="P35" s="1751">
        <f>O35*$P$5</f>
        <v>0</v>
      </c>
    </row>
    <row r="36" spans="1:31" s="1754" customFormat="1" ht="36.75" customHeight="1" thickBot="1">
      <c r="A36" s="1820" t="s">
        <v>1056</v>
      </c>
      <c r="B36" s="1821"/>
      <c r="C36" s="1752"/>
      <c r="D36" s="1752">
        <f>SUM(D9:D35)</f>
        <v>7440</v>
      </c>
      <c r="E36" s="1752"/>
      <c r="F36" s="1752">
        <f>SUM(F9:F35)</f>
        <v>3720000</v>
      </c>
      <c r="G36" s="1752"/>
      <c r="H36" s="1752">
        <f>SUM(H9:H35)</f>
        <v>5776</v>
      </c>
      <c r="I36" s="1752"/>
      <c r="J36" s="1752">
        <f>SUM(J9:J35)</f>
        <v>3754400</v>
      </c>
      <c r="K36" s="1752"/>
      <c r="L36" s="1752">
        <f>SUM(L9:L35)</f>
        <v>7015</v>
      </c>
      <c r="M36" s="1752"/>
      <c r="N36" s="1752">
        <f>SUM(N9:N35)</f>
        <v>3507500</v>
      </c>
      <c r="O36" s="1752">
        <f>SUM(O9:O35)</f>
        <v>20231</v>
      </c>
      <c r="P36" s="1753">
        <f>SUM(P9:P35)</f>
        <v>10981900</v>
      </c>
    </row>
    <row r="37" spans="1:31" s="1754" customFormat="1" ht="36.75" customHeight="1">
      <c r="A37" s="1729"/>
      <c r="B37" s="1729"/>
      <c r="C37" s="1755"/>
      <c r="D37" s="1756">
        <v>8452</v>
      </c>
      <c r="E37" s="1756"/>
      <c r="F37" s="1757"/>
      <c r="G37" s="1757"/>
      <c r="H37" s="1757">
        <v>6775</v>
      </c>
      <c r="I37" s="1757"/>
      <c r="J37" s="1757"/>
      <c r="K37" s="1757"/>
      <c r="L37" s="1757">
        <v>5549</v>
      </c>
      <c r="M37" s="1758"/>
      <c r="N37" s="1755"/>
      <c r="O37" s="1756">
        <f>D36+H36+L36</f>
        <v>20231</v>
      </c>
      <c r="P37" s="1755"/>
    </row>
    <row r="38" spans="1:31" s="1754" customFormat="1" ht="36.75" customHeight="1">
      <c r="A38" s="1729"/>
      <c r="B38" s="1729"/>
      <c r="C38" s="1755"/>
      <c r="D38" s="1756">
        <f>D36-D37</f>
        <v>-1012</v>
      </c>
      <c r="E38" s="1756"/>
      <c r="F38" s="1756"/>
      <c r="G38" s="1756"/>
      <c r="H38" s="1756">
        <f>H36-H37</f>
        <v>-999</v>
      </c>
      <c r="I38" s="1756"/>
      <c r="J38" s="1756"/>
      <c r="K38" s="1756"/>
      <c r="L38" s="1756">
        <f>L36-L37</f>
        <v>1466</v>
      </c>
      <c r="M38" s="1755"/>
      <c r="N38" s="1755"/>
      <c r="O38" s="1756">
        <f>O36-O37</f>
        <v>0</v>
      </c>
      <c r="P38" s="1755"/>
    </row>
    <row r="39" spans="1:31" s="1759" customFormat="1" ht="28.5" customHeight="1">
      <c r="A39" s="1822" t="s">
        <v>1057</v>
      </c>
      <c r="B39" s="1822"/>
      <c r="C39" s="1822"/>
      <c r="D39" s="1822"/>
      <c r="E39" s="1822"/>
      <c r="F39" s="1822"/>
      <c r="G39" s="1822"/>
      <c r="H39" s="1822"/>
    </row>
    <row r="40" spans="1:31" s="1759" customFormat="1" ht="41.25" customHeight="1" thickBot="1">
      <c r="A40" s="1823" t="s">
        <v>1058</v>
      </c>
      <c r="B40" s="1823"/>
      <c r="C40" s="1823"/>
      <c r="D40" s="1823"/>
      <c r="E40" s="1823"/>
      <c r="F40" s="1823"/>
      <c r="G40" s="1823"/>
      <c r="H40" s="1823"/>
    </row>
    <row r="41" spans="1:31" s="1759" customFormat="1" ht="52.5" customHeight="1" thickBot="1">
      <c r="A41" s="1760" t="s">
        <v>188</v>
      </c>
      <c r="B41" s="1761" t="s">
        <v>1059</v>
      </c>
      <c r="C41" s="1762" t="s">
        <v>1060</v>
      </c>
      <c r="D41" s="1763" t="s">
        <v>1061</v>
      </c>
      <c r="E41" s="1764" t="s">
        <v>1062</v>
      </c>
      <c r="F41" s="1763" t="s">
        <v>1063</v>
      </c>
      <c r="G41" s="1765" t="s">
        <v>1064</v>
      </c>
      <c r="H41" s="1766"/>
    </row>
    <row r="42" spans="1:31" s="1759" customFormat="1" ht="52.5" customHeight="1">
      <c r="A42" s="1767" t="s">
        <v>1065</v>
      </c>
      <c r="B42" s="1768" t="s">
        <v>1066</v>
      </c>
      <c r="C42" s="1769">
        <f>E42/D42</f>
        <v>55.522388059701491</v>
      </c>
      <c r="D42" s="1770">
        <v>134</v>
      </c>
      <c r="E42" s="1771">
        <f>D36</f>
        <v>7440</v>
      </c>
      <c r="F42" s="1772">
        <v>500</v>
      </c>
      <c r="G42" s="1812">
        <f>E42*F42</f>
        <v>3720000</v>
      </c>
      <c r="H42" s="1813"/>
      <c r="N42" s="1773"/>
    </row>
    <row r="43" spans="1:31" s="1759" customFormat="1" ht="52.5" customHeight="1">
      <c r="A43" s="1767" t="s">
        <v>1067</v>
      </c>
      <c r="B43" s="1768" t="s">
        <v>1068</v>
      </c>
      <c r="C43" s="1769">
        <f>E43/D43</f>
        <v>40.111111111111114</v>
      </c>
      <c r="D43" s="1770">
        <v>144</v>
      </c>
      <c r="E43" s="1774">
        <f>H36</f>
        <v>5776</v>
      </c>
      <c r="F43" s="1772">
        <v>650</v>
      </c>
      <c r="G43" s="1814">
        <f>E43*F43</f>
        <v>3754400</v>
      </c>
      <c r="H43" s="1815"/>
    </row>
    <row r="44" spans="1:31" s="1759" customFormat="1" ht="52.5" customHeight="1" thickBot="1">
      <c r="A44" s="1767" t="s">
        <v>789</v>
      </c>
      <c r="B44" s="1768" t="s">
        <v>1069</v>
      </c>
      <c r="C44" s="1769">
        <f>E44/D44</f>
        <v>57.5</v>
      </c>
      <c r="D44" s="1770">
        <v>122</v>
      </c>
      <c r="E44" s="1771">
        <f>L36</f>
        <v>7015</v>
      </c>
      <c r="F44" s="1772">
        <v>500</v>
      </c>
      <c r="G44" s="1816">
        <f>E44*F44</f>
        <v>3507500</v>
      </c>
      <c r="H44" s="1817"/>
    </row>
    <row r="45" spans="1:31" s="1759" customFormat="1" ht="52.5" customHeight="1" thickBot="1">
      <c r="A45" s="1760" t="s">
        <v>38</v>
      </c>
      <c r="B45" s="1763"/>
      <c r="C45" s="1775"/>
      <c r="D45" s="1775"/>
      <c r="E45" s="1776">
        <f>SUM(E42:E44)</f>
        <v>20231</v>
      </c>
      <c r="F45" s="1762"/>
      <c r="G45" s="1818">
        <f>SUM(G42:H44)</f>
        <v>10981900</v>
      </c>
      <c r="H45" s="1819"/>
    </row>
    <row r="46" spans="1:31">
      <c r="D46" s="1777">
        <v>8292</v>
      </c>
      <c r="E46" s="1777">
        <f>O36-E45</f>
        <v>0</v>
      </c>
      <c r="F46" s="1777"/>
      <c r="G46" s="1778">
        <f>G45-P36</f>
        <v>0</v>
      </c>
      <c r="H46" s="1777">
        <v>8292</v>
      </c>
      <c r="I46" s="1777"/>
      <c r="J46" s="1777">
        <f>O36-E45</f>
        <v>0</v>
      </c>
      <c r="L46" s="1777">
        <f>G45-P36</f>
        <v>0</v>
      </c>
      <c r="M46" s="1777"/>
      <c r="N46" s="1777"/>
      <c r="O46" s="1777">
        <v>33976</v>
      </c>
      <c r="P46" s="1777">
        <v>16988000</v>
      </c>
    </row>
    <row r="47" spans="1:31" s="1782" customFormat="1" ht="23.25">
      <c r="A47" s="1805" t="s">
        <v>1070</v>
      </c>
      <c r="B47" s="1805"/>
      <c r="C47" s="1779"/>
      <c r="D47" s="1780">
        <f>D34-D46</f>
        <v>-8292</v>
      </c>
      <c r="E47" s="1780">
        <f>E45-E46</f>
        <v>20231</v>
      </c>
      <c r="F47" s="1780"/>
      <c r="G47" s="1779"/>
      <c r="H47" s="1780"/>
      <c r="I47" s="1780"/>
      <c r="J47" s="1780"/>
      <c r="K47" s="1780"/>
      <c r="L47" s="1780"/>
      <c r="M47" s="1780"/>
      <c r="N47" s="1780"/>
      <c r="O47" s="1779"/>
      <c r="P47" s="1780">
        <f>P34-P46</f>
        <v>-16988000</v>
      </c>
      <c r="Q47" s="1780"/>
      <c r="R47" s="1780"/>
      <c r="S47" s="1779"/>
      <c r="T47" s="1780"/>
      <c r="U47" s="1780"/>
      <c r="V47" s="1780"/>
      <c r="W47" s="1780"/>
      <c r="X47" s="1780"/>
      <c r="Y47" s="1781"/>
      <c r="Z47" s="1781"/>
      <c r="AA47" s="1781"/>
      <c r="AB47" s="1781"/>
      <c r="AE47" s="1783"/>
    </row>
    <row r="48" spans="1:31" s="1782" customFormat="1" ht="23.25">
      <c r="A48" s="1805" t="s">
        <v>1071</v>
      </c>
      <c r="B48" s="1805"/>
      <c r="C48" s="1806"/>
      <c r="D48" s="1806"/>
      <c r="E48" s="1806" t="s">
        <v>1072</v>
      </c>
      <c r="F48" s="1806"/>
      <c r="G48" s="1806"/>
      <c r="I48" s="1806" t="s">
        <v>1073</v>
      </c>
      <c r="J48" s="1806"/>
      <c r="K48" s="1806"/>
      <c r="L48" s="1784"/>
      <c r="M48" s="1784"/>
      <c r="N48" s="1805" t="s">
        <v>1074</v>
      </c>
      <c r="O48" s="1805"/>
      <c r="P48" s="1805"/>
      <c r="Q48" s="1784"/>
      <c r="R48" s="1784"/>
      <c r="S48" s="1806"/>
      <c r="T48" s="1806"/>
      <c r="U48" s="1784"/>
      <c r="V48" s="1784"/>
      <c r="Y48" s="1781"/>
      <c r="Z48" s="1781"/>
      <c r="AA48" s="1781"/>
      <c r="AB48" s="1781"/>
    </row>
    <row r="49" spans="1:31" s="1782" customFormat="1" ht="23.25">
      <c r="D49" s="1785"/>
      <c r="F49" s="1785"/>
      <c r="G49" s="1785"/>
      <c r="I49" s="1785"/>
      <c r="K49" s="1785"/>
      <c r="L49" s="1785"/>
      <c r="M49" s="1785"/>
      <c r="P49" s="1785"/>
      <c r="Q49" s="1785"/>
      <c r="R49" s="1785"/>
      <c r="T49" s="1785"/>
      <c r="U49" s="1785"/>
      <c r="V49" s="1785"/>
      <c r="X49" s="1786"/>
      <c r="Y49" s="1781"/>
      <c r="Z49" s="1781"/>
      <c r="AA49" s="1781"/>
      <c r="AB49" s="1781"/>
      <c r="AC49" s="1783"/>
      <c r="AE49" s="1783"/>
    </row>
    <row r="50" spans="1:31" s="1782" customFormat="1" ht="23.25">
      <c r="D50" s="1785"/>
      <c r="F50" s="1785"/>
      <c r="G50" s="1785"/>
      <c r="I50" s="1785"/>
      <c r="K50" s="1785"/>
      <c r="L50" s="1785"/>
      <c r="M50" s="1785"/>
      <c r="P50" s="1785"/>
      <c r="Q50" s="1785"/>
      <c r="R50" s="1785"/>
      <c r="T50" s="1785"/>
      <c r="U50" s="1785"/>
      <c r="V50" s="1785"/>
      <c r="X50" s="1786"/>
      <c r="Y50" s="1781"/>
      <c r="Z50" s="1781"/>
      <c r="AA50" s="1781"/>
      <c r="AB50" s="1781"/>
    </row>
    <row r="51" spans="1:31" s="1782" customFormat="1" ht="23.25">
      <c r="D51" s="1785"/>
      <c r="F51" s="1785"/>
      <c r="G51" s="1785"/>
      <c r="I51" s="1785"/>
      <c r="K51" s="1785"/>
      <c r="L51" s="1785"/>
      <c r="M51" s="1785"/>
      <c r="P51" s="1785"/>
      <c r="Q51" s="1785"/>
      <c r="R51" s="1785"/>
      <c r="T51" s="1785"/>
      <c r="U51" s="1785"/>
      <c r="V51" s="1785"/>
      <c r="X51" s="1786"/>
      <c r="Y51" s="1781"/>
      <c r="Z51" s="1781"/>
      <c r="AA51" s="1781"/>
      <c r="AB51" s="1781"/>
    </row>
    <row r="52" spans="1:31" s="1787" customFormat="1" ht="23.25">
      <c r="A52" s="1808" t="s">
        <v>1075</v>
      </c>
      <c r="B52" s="1808"/>
      <c r="C52" s="1807"/>
      <c r="D52" s="1807"/>
      <c r="E52" s="1807" t="s">
        <v>1076</v>
      </c>
      <c r="F52" s="1807"/>
      <c r="G52" s="1807"/>
      <c r="I52" s="1807" t="s">
        <v>203</v>
      </c>
      <c r="J52" s="1807"/>
      <c r="K52" s="1807"/>
      <c r="L52" s="1788"/>
      <c r="M52" s="1788"/>
      <c r="N52" s="1808" t="s">
        <v>622</v>
      </c>
      <c r="O52" s="1808"/>
      <c r="P52" s="1808"/>
      <c r="Q52" s="1788"/>
      <c r="R52" s="1788"/>
      <c r="S52" s="1807"/>
      <c r="T52" s="1807"/>
      <c r="U52" s="1788"/>
      <c r="V52" s="1788"/>
      <c r="X52" s="1789"/>
      <c r="Y52" s="1790"/>
      <c r="Z52" s="1790"/>
      <c r="AA52" s="1790"/>
      <c r="AB52" s="1790"/>
    </row>
    <row r="53" spans="1:31" s="1779" customFormat="1" ht="23.25">
      <c r="A53" s="1803" t="s">
        <v>1077</v>
      </c>
      <c r="B53" s="1803"/>
      <c r="C53" s="1804"/>
      <c r="D53" s="1804"/>
      <c r="E53" s="1804" t="s">
        <v>1078</v>
      </c>
      <c r="F53" s="1804"/>
      <c r="G53" s="1804"/>
      <c r="I53" s="1804" t="s">
        <v>553</v>
      </c>
      <c r="J53" s="1804"/>
      <c r="K53" s="1804"/>
      <c r="L53" s="1791"/>
      <c r="M53" s="1791"/>
      <c r="N53" s="1805" t="s">
        <v>623</v>
      </c>
      <c r="O53" s="1805"/>
      <c r="P53" s="1805"/>
      <c r="Q53" s="1791"/>
      <c r="R53" s="1791"/>
      <c r="S53" s="1804"/>
      <c r="T53" s="1804"/>
      <c r="U53" s="1791"/>
      <c r="V53" s="1791"/>
      <c r="X53" s="1782"/>
      <c r="Y53" s="1792"/>
      <c r="Z53" s="1792"/>
      <c r="AA53" s="1792"/>
      <c r="AB53" s="1792"/>
    </row>
    <row r="54" spans="1:31">
      <c r="D54" s="1728"/>
      <c r="E54" s="1728"/>
      <c r="F54" s="1728"/>
      <c r="H54" s="1728"/>
      <c r="I54" s="1728"/>
      <c r="J54" s="1728"/>
      <c r="L54" s="1728"/>
      <c r="M54" s="1728"/>
      <c r="N54" s="1728"/>
      <c r="O54" s="1793"/>
      <c r="P54" s="1793"/>
    </row>
    <row r="55" spans="1:31" s="1794" customFormat="1">
      <c r="B55" s="1801"/>
      <c r="C55" s="1801"/>
      <c r="D55" s="1801"/>
      <c r="E55" s="1795"/>
      <c r="F55" s="1795"/>
      <c r="H55" s="1796"/>
      <c r="I55" s="1795"/>
      <c r="J55" s="1795"/>
      <c r="M55" s="1795"/>
      <c r="N55" s="1795"/>
      <c r="P55" s="1796"/>
    </row>
    <row r="56" spans="1:31">
      <c r="B56" s="1802"/>
      <c r="C56" s="1802"/>
      <c r="D56" s="1802"/>
      <c r="G56" s="1728"/>
      <c r="H56" s="1793"/>
      <c r="K56" s="1728"/>
      <c r="L56" s="1728"/>
      <c r="O56" s="1727"/>
      <c r="P56" s="1793"/>
    </row>
    <row r="57" spans="1:31">
      <c r="D57" s="1728"/>
      <c r="E57" s="1728"/>
      <c r="F57" s="1728"/>
      <c r="H57" s="1728"/>
      <c r="I57" s="1728"/>
      <c r="J57" s="1728"/>
      <c r="L57" s="1728"/>
      <c r="M57" s="1728"/>
      <c r="N57" s="1728"/>
      <c r="O57" s="1793"/>
      <c r="P57" s="1793"/>
    </row>
    <row r="58" spans="1:31">
      <c r="D58" s="1797"/>
      <c r="E58" s="1797"/>
      <c r="F58" s="1797"/>
      <c r="H58" s="1797"/>
      <c r="I58" s="1797"/>
      <c r="J58" s="1797"/>
      <c r="L58" s="1797"/>
      <c r="M58" s="1797"/>
      <c r="N58" s="1797"/>
      <c r="O58" s="1797"/>
      <c r="P58" s="1793"/>
    </row>
    <row r="59" spans="1:31">
      <c r="D59" s="1793"/>
      <c r="E59" s="1793"/>
      <c r="F59" s="1793"/>
      <c r="H59" s="1793"/>
      <c r="I59" s="1793"/>
      <c r="J59" s="1793"/>
      <c r="L59" s="1793"/>
      <c r="M59" s="1793"/>
      <c r="N59" s="1793"/>
      <c r="O59" s="1793"/>
      <c r="P59" s="1793"/>
    </row>
    <row r="60" spans="1:31">
      <c r="D60" s="1793"/>
      <c r="E60" s="1793"/>
      <c r="F60" s="1793"/>
      <c r="H60" s="1793"/>
      <c r="I60" s="1793"/>
      <c r="J60" s="1793"/>
      <c r="L60" s="1793"/>
      <c r="M60" s="1793"/>
      <c r="N60" s="1793"/>
      <c r="O60" s="1793"/>
      <c r="P60" s="1793"/>
    </row>
    <row r="61" spans="1:31">
      <c r="D61" s="1797"/>
      <c r="E61" s="1797"/>
      <c r="F61" s="1797"/>
      <c r="H61" s="1797"/>
      <c r="I61" s="1797"/>
      <c r="J61" s="1797"/>
      <c r="L61" s="1797"/>
      <c r="M61" s="1797"/>
      <c r="N61" s="1797"/>
      <c r="P61" s="1793"/>
    </row>
    <row r="62" spans="1:31">
      <c r="D62" s="1728"/>
      <c r="E62" s="1728"/>
      <c r="F62" s="1728"/>
      <c r="H62" s="1728"/>
      <c r="I62" s="1728"/>
      <c r="J62" s="1728"/>
      <c r="L62" s="1728"/>
      <c r="M62" s="1728"/>
      <c r="N62" s="1728"/>
      <c r="O62" s="1793"/>
      <c r="P62" s="1793"/>
    </row>
    <row r="63" spans="1:31">
      <c r="D63" s="1728"/>
      <c r="E63" s="1728"/>
      <c r="F63" s="1728"/>
      <c r="H63" s="1728"/>
      <c r="I63" s="1728"/>
      <c r="J63" s="1728"/>
      <c r="L63" s="1728"/>
      <c r="M63" s="1728"/>
      <c r="N63" s="1728"/>
      <c r="O63" s="1793"/>
      <c r="P63" s="1793"/>
    </row>
    <row r="64" spans="1:31">
      <c r="D64" s="1728"/>
      <c r="E64" s="1728"/>
      <c r="F64" s="1728"/>
      <c r="H64" s="1728"/>
      <c r="I64" s="1728"/>
      <c r="J64" s="1728"/>
      <c r="L64" s="1728"/>
      <c r="M64" s="1728"/>
      <c r="N64" s="1728"/>
      <c r="O64" s="1793"/>
      <c r="P64" s="1793"/>
    </row>
    <row r="65" spans="4:16">
      <c r="D65" s="1728"/>
      <c r="E65" s="1728"/>
      <c r="F65" s="1728"/>
      <c r="H65" s="1728"/>
      <c r="I65" s="1728"/>
      <c r="J65" s="1728"/>
      <c r="L65" s="1728"/>
      <c r="M65" s="1728"/>
      <c r="N65" s="1728"/>
      <c r="O65" s="1793"/>
      <c r="P65" s="1793"/>
    </row>
    <row r="66" spans="4:16">
      <c r="D66" s="1728"/>
      <c r="E66" s="1728"/>
      <c r="F66" s="1728"/>
      <c r="H66" s="1728"/>
      <c r="I66" s="1728"/>
      <c r="J66" s="1728"/>
      <c r="L66" s="1728"/>
      <c r="M66" s="1728"/>
      <c r="N66" s="1728"/>
      <c r="O66" s="1793"/>
      <c r="P66" s="1793"/>
    </row>
    <row r="67" spans="4:16">
      <c r="D67" s="1728"/>
      <c r="E67" s="1728"/>
      <c r="F67" s="1728"/>
      <c r="H67" s="1728"/>
      <c r="I67" s="1728"/>
      <c r="J67" s="1728"/>
      <c r="L67" s="1728"/>
      <c r="M67" s="1728"/>
      <c r="N67" s="1728"/>
      <c r="O67" s="1793"/>
      <c r="P67" s="1793"/>
    </row>
    <row r="68" spans="4:16">
      <c r="D68" s="1728"/>
      <c r="E68" s="1728"/>
      <c r="F68" s="1728"/>
      <c r="H68" s="1728"/>
      <c r="I68" s="1728"/>
      <c r="J68" s="1728"/>
      <c r="L68" s="1728"/>
      <c r="M68" s="1728"/>
      <c r="N68" s="1728"/>
      <c r="O68" s="1793"/>
      <c r="P68" s="1793"/>
    </row>
    <row r="69" spans="4:16">
      <c r="D69" s="1728"/>
      <c r="E69" s="1728"/>
      <c r="F69" s="1728"/>
      <c r="H69" s="1728"/>
      <c r="I69" s="1728"/>
      <c r="J69" s="1728"/>
      <c r="L69" s="1728"/>
      <c r="M69" s="1728"/>
      <c r="N69" s="1728"/>
      <c r="O69" s="1793"/>
      <c r="P69" s="1793"/>
    </row>
    <row r="70" spans="4:16">
      <c r="D70" s="1728"/>
      <c r="E70" s="1728"/>
      <c r="F70" s="1728"/>
      <c r="H70" s="1728"/>
      <c r="I70" s="1728"/>
      <c r="J70" s="1728"/>
      <c r="L70" s="1728"/>
      <c r="M70" s="1728"/>
      <c r="N70" s="1728"/>
      <c r="O70" s="1793"/>
      <c r="P70" s="1793"/>
    </row>
    <row r="71" spans="4:16">
      <c r="D71" s="1728"/>
      <c r="E71" s="1728"/>
      <c r="F71" s="1728"/>
      <c r="H71" s="1728"/>
      <c r="I71" s="1728"/>
      <c r="J71" s="1728"/>
      <c r="L71" s="1728"/>
      <c r="M71" s="1728"/>
      <c r="N71" s="1728"/>
      <c r="O71" s="1793"/>
      <c r="P71" s="1793"/>
    </row>
    <row r="72" spans="4:16">
      <c r="D72" s="1728"/>
      <c r="E72" s="1728"/>
      <c r="F72" s="1728"/>
      <c r="H72" s="1728"/>
      <c r="I72" s="1728"/>
      <c r="J72" s="1728"/>
      <c r="L72" s="1728"/>
      <c r="M72" s="1728"/>
      <c r="N72" s="1728"/>
      <c r="O72" s="1793"/>
      <c r="P72" s="1793"/>
    </row>
  </sheetData>
  <mergeCells count="41">
    <mergeCell ref="K7:N7"/>
    <mergeCell ref="A36:B36"/>
    <mergeCell ref="A39:H39"/>
    <mergeCell ref="A40:H40"/>
    <mergeCell ref="A1:B1"/>
    <mergeCell ref="A2:B2"/>
    <mergeCell ref="A3:P3"/>
    <mergeCell ref="A4:P4"/>
    <mergeCell ref="A5:P5"/>
    <mergeCell ref="A6:A8"/>
    <mergeCell ref="B6:B8"/>
    <mergeCell ref="C6:N6"/>
    <mergeCell ref="O6:O8"/>
    <mergeCell ref="P6:P8"/>
    <mergeCell ref="A48:B48"/>
    <mergeCell ref="C48:D48"/>
    <mergeCell ref="E48:G48"/>
    <mergeCell ref="C7:F7"/>
    <mergeCell ref="G7:J7"/>
    <mergeCell ref="G42:H42"/>
    <mergeCell ref="G43:H43"/>
    <mergeCell ref="G44:H44"/>
    <mergeCell ref="G45:H45"/>
    <mergeCell ref="A47:B47"/>
    <mergeCell ref="A52:B52"/>
    <mergeCell ref="C52:D52"/>
    <mergeCell ref="E52:G52"/>
    <mergeCell ref="I52:K52"/>
    <mergeCell ref="N52:P52"/>
    <mergeCell ref="I53:K53"/>
    <mergeCell ref="N53:P53"/>
    <mergeCell ref="S53:T53"/>
    <mergeCell ref="I48:K48"/>
    <mergeCell ref="N48:P48"/>
    <mergeCell ref="S48:T48"/>
    <mergeCell ref="S52:T52"/>
    <mergeCell ref="B55:D55"/>
    <mergeCell ref="B56:D56"/>
    <mergeCell ref="A53:B53"/>
    <mergeCell ref="C53:D53"/>
    <mergeCell ref="E53:G53"/>
  </mergeCells>
  <printOptions horizontalCentered="1"/>
  <pageMargins left="0.23622047244094491" right="0.23622047244094491" top="0.19685039370078741" bottom="0" header="0.31496062992125984" footer="0.31496062992125984"/>
  <pageSetup paperSize="10000" scale="38" orientation="portrait" r:id="rId1"/>
  <rowBreaks count="1" manualBreakCount="1">
    <brk id="53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57"/>
  <sheetViews>
    <sheetView zoomScale="80" zoomScaleNormal="80" zoomScaleSheetLayoutView="4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L59" sqref="L58:L59"/>
    </sheetView>
  </sheetViews>
  <sheetFormatPr defaultRowHeight="14.25"/>
  <cols>
    <col min="1" max="1" width="7" style="211" customWidth="1"/>
    <col min="2" max="2" width="31.28515625" style="487" bestFit="1" customWidth="1"/>
    <col min="3" max="3" width="11.140625" style="484" customWidth="1"/>
    <col min="4" max="4" width="13.85546875" style="484" customWidth="1"/>
    <col min="5" max="5" width="11.140625" style="484" customWidth="1"/>
    <col min="6" max="6" width="11.28515625" style="508" bestFit="1" customWidth="1"/>
    <col min="7" max="7" width="13.85546875" style="508" customWidth="1"/>
    <col min="8" max="8" width="12.5703125" style="654" customWidth="1"/>
    <col min="9" max="9" width="11.42578125" style="508" customWidth="1"/>
    <col min="10" max="10" width="8.42578125" style="508" customWidth="1"/>
    <col min="11" max="11" width="13.140625" style="508" customWidth="1"/>
    <col min="12" max="12" width="15.5703125" style="487" bestFit="1" customWidth="1"/>
    <col min="13" max="13" width="16.85546875" style="487" customWidth="1"/>
    <col min="14" max="14" width="8.5703125" style="211" customWidth="1"/>
    <col min="15" max="15" width="10.7109375" style="497" bestFit="1" customWidth="1"/>
    <col min="16" max="16" width="15.140625" style="211" bestFit="1" customWidth="1"/>
    <col min="17" max="17" width="18.28515625" style="211" hidden="1" customWidth="1"/>
    <col min="18" max="18" width="10.7109375" style="211" hidden="1" customWidth="1"/>
    <col min="19" max="19" width="12.7109375" style="211" hidden="1" customWidth="1"/>
    <col min="20" max="22" width="9.140625" style="211"/>
    <col min="23" max="23" width="15.140625" style="211" bestFit="1" customWidth="1"/>
    <col min="24" max="16384" width="9.140625" style="211"/>
  </cols>
  <sheetData>
    <row r="1" spans="1:19" s="70" customFormat="1" ht="18.75" customHeight="1">
      <c r="A1" s="72" t="s">
        <v>47</v>
      </c>
      <c r="B1" s="72"/>
      <c r="C1" s="69"/>
      <c r="D1" s="69"/>
      <c r="E1" s="69"/>
      <c r="F1" s="71"/>
      <c r="G1" s="490"/>
      <c r="H1" s="69"/>
      <c r="I1" s="71"/>
      <c r="J1" s="71"/>
      <c r="K1" s="71"/>
      <c r="L1" s="300"/>
      <c r="M1" s="300"/>
      <c r="O1" s="161"/>
    </row>
    <row r="2" spans="1:19" s="70" customFormat="1" ht="18.75" customHeight="1">
      <c r="A2" s="75" t="s">
        <v>255</v>
      </c>
      <c r="B2" s="75"/>
      <c r="C2" s="69"/>
      <c r="D2" s="69"/>
      <c r="E2" s="69"/>
      <c r="F2" s="71"/>
      <c r="G2" s="490"/>
      <c r="H2" s="69"/>
      <c r="I2" s="71"/>
      <c r="J2" s="71"/>
      <c r="K2" s="71"/>
      <c r="L2" s="300"/>
      <c r="M2" s="300"/>
      <c r="O2" s="161"/>
    </row>
    <row r="3" spans="1:19" s="70" customFormat="1" ht="20.25">
      <c r="A3" s="1841" t="s">
        <v>297</v>
      </c>
      <c r="B3" s="1841"/>
      <c r="C3" s="1841"/>
      <c r="D3" s="1841"/>
      <c r="E3" s="1841"/>
      <c r="F3" s="1841"/>
      <c r="G3" s="1841"/>
      <c r="H3" s="1841"/>
      <c r="I3" s="1841"/>
      <c r="J3" s="1841"/>
      <c r="K3" s="1841"/>
      <c r="L3" s="1841"/>
      <c r="M3" s="660"/>
      <c r="N3" s="660"/>
      <c r="O3" s="161"/>
    </row>
    <row r="4" spans="1:19" s="70" customFormat="1" ht="7.5" customHeight="1" thickBot="1">
      <c r="C4" s="69"/>
      <c r="D4" s="69"/>
      <c r="E4" s="69"/>
      <c r="F4" s="71"/>
      <c r="G4" s="490"/>
      <c r="H4" s="69"/>
      <c r="I4" s="71"/>
      <c r="J4" s="71"/>
      <c r="K4" s="71"/>
      <c r="L4" s="300"/>
      <c r="M4" s="300"/>
      <c r="O4" s="161"/>
    </row>
    <row r="5" spans="1:19" s="76" customFormat="1" ht="33.75" customHeight="1">
      <c r="A5" s="1842" t="s">
        <v>5</v>
      </c>
      <c r="B5" s="1845" t="s">
        <v>290</v>
      </c>
      <c r="C5" s="1854" t="s">
        <v>294</v>
      </c>
      <c r="D5" s="1855"/>
      <c r="E5" s="1855"/>
      <c r="F5" s="1855"/>
      <c r="G5" s="1856"/>
      <c r="H5" s="1848" t="s">
        <v>582</v>
      </c>
      <c r="I5" s="1849"/>
      <c r="J5" s="1850"/>
      <c r="K5" s="1857" t="s">
        <v>575</v>
      </c>
      <c r="L5" s="1865" t="s">
        <v>574</v>
      </c>
      <c r="M5" s="1860" t="s">
        <v>1034</v>
      </c>
      <c r="N5" s="1840" t="s">
        <v>683</v>
      </c>
      <c r="O5" s="1839" t="s">
        <v>56</v>
      </c>
    </row>
    <row r="6" spans="1:19" s="76" customFormat="1" ht="33.75" customHeight="1">
      <c r="A6" s="1843"/>
      <c r="B6" s="1846"/>
      <c r="C6" s="1851" t="s">
        <v>295</v>
      </c>
      <c r="D6" s="1852"/>
      <c r="E6" s="1852"/>
      <c r="F6" s="1852"/>
      <c r="G6" s="1853"/>
      <c r="H6" s="1851" t="s">
        <v>295</v>
      </c>
      <c r="I6" s="1852"/>
      <c r="J6" s="1853"/>
      <c r="K6" s="1858"/>
      <c r="L6" s="1866"/>
      <c r="M6" s="1861"/>
      <c r="N6" s="1840"/>
      <c r="O6" s="1839"/>
      <c r="Q6" s="1838" t="s">
        <v>684</v>
      </c>
      <c r="R6" s="1838"/>
      <c r="S6" s="1838"/>
    </row>
    <row r="7" spans="1:19" s="76" customFormat="1" ht="32.25" thickBot="1">
      <c r="A7" s="1844"/>
      <c r="B7" s="1847"/>
      <c r="C7" s="464" t="s">
        <v>293</v>
      </c>
      <c r="D7" s="464" t="s">
        <v>758</v>
      </c>
      <c r="E7" s="464" t="s">
        <v>759</v>
      </c>
      <c r="F7" s="506" t="s">
        <v>287</v>
      </c>
      <c r="G7" s="464" t="s">
        <v>292</v>
      </c>
      <c r="H7" s="507" t="s">
        <v>293</v>
      </c>
      <c r="I7" s="506" t="s">
        <v>287</v>
      </c>
      <c r="J7" s="506" t="s">
        <v>292</v>
      </c>
      <c r="K7" s="1859"/>
      <c r="L7" s="1867"/>
      <c r="M7" s="1862"/>
      <c r="N7" s="1840"/>
      <c r="O7" s="1839"/>
    </row>
    <row r="8" spans="1:19" s="73" customFormat="1" ht="21.75" customHeight="1">
      <c r="A8" s="491">
        <v>1</v>
      </c>
      <c r="B8" s="74" t="str">
        <f>'MONITORING '!B7</f>
        <v xml:space="preserve">JUMIN </v>
      </c>
      <c r="C8" s="658">
        <f>O8-H8</f>
        <v>2252</v>
      </c>
      <c r="D8" s="1138"/>
      <c r="E8" s="1138">
        <f>C8+D8</f>
        <v>2252</v>
      </c>
      <c r="F8" s="505">
        <v>15.1</v>
      </c>
      <c r="G8" s="492">
        <f>E8*F8/1000</f>
        <v>34.005199999999995</v>
      </c>
      <c r="H8" s="493"/>
      <c r="I8" s="492"/>
      <c r="J8" s="492">
        <f t="shared" ref="J8" si="0">H8*I8/1000</f>
        <v>0</v>
      </c>
      <c r="K8" s="492">
        <f>G8+J8</f>
        <v>34.005199999999995</v>
      </c>
      <c r="L8" s="1720">
        <f t="shared" ref="L8:L9" si="1">VLOOKUP(K8,$R$8:$S$13,2)</f>
        <v>300000</v>
      </c>
      <c r="M8" s="1726"/>
      <c r="N8" s="661">
        <f t="shared" ref="N8:N42" si="2">RANK(O8,$O$8:$O$36,0)</f>
        <v>5</v>
      </c>
      <c r="O8" s="163">
        <f>'MONITORING '!AI11</f>
        <v>2252</v>
      </c>
      <c r="P8" s="659"/>
      <c r="R8" s="73">
        <v>0</v>
      </c>
    </row>
    <row r="9" spans="1:19" s="73" customFormat="1" ht="21.75" customHeight="1">
      <c r="A9" s="494">
        <v>2</v>
      </c>
      <c r="B9" s="495" t="str">
        <f>'MONITORING '!B20</f>
        <v>HENDRI SUSILO</v>
      </c>
      <c r="C9" s="502">
        <f>O9-H9</f>
        <v>1866</v>
      </c>
      <c r="D9" s="502"/>
      <c r="E9" s="502">
        <f>C9+D9</f>
        <v>1866</v>
      </c>
      <c r="F9" s="488">
        <v>15.1</v>
      </c>
      <c r="G9" s="488">
        <f>E9*F9/1000</f>
        <v>28.176599999999997</v>
      </c>
      <c r="H9" s="496"/>
      <c r="I9" s="488"/>
      <c r="J9" s="488">
        <f>H9*I9/1000</f>
        <v>0</v>
      </c>
      <c r="K9" s="488">
        <f>G9+J9</f>
        <v>28.176599999999997</v>
      </c>
      <c r="L9" s="1721">
        <f t="shared" si="1"/>
        <v>150000</v>
      </c>
      <c r="M9" s="662"/>
      <c r="N9" s="661">
        <f t="shared" si="2"/>
        <v>10</v>
      </c>
      <c r="O9" s="163">
        <f>'MONITORING '!AI24</f>
        <v>1866</v>
      </c>
      <c r="P9" s="659"/>
      <c r="Q9" s="748" t="s">
        <v>678</v>
      </c>
      <c r="R9" s="748">
        <v>25</v>
      </c>
      <c r="S9" s="749">
        <v>150000</v>
      </c>
    </row>
    <row r="10" spans="1:19" s="73" customFormat="1" ht="21.75" customHeight="1">
      <c r="A10" s="494">
        <v>3</v>
      </c>
      <c r="B10" s="495" t="str">
        <f>'MONITORING '!B33</f>
        <v>HERMANSAH</v>
      </c>
      <c r="C10" s="502">
        <f>O10-H10</f>
        <v>2234</v>
      </c>
      <c r="D10" s="502"/>
      <c r="E10" s="502">
        <f t="shared" ref="E10:E42" si="3">C10+D10</f>
        <v>2234</v>
      </c>
      <c r="F10" s="488">
        <v>15.1</v>
      </c>
      <c r="G10" s="488">
        <f t="shared" ref="G10:G42" si="4">E10*F10/1000</f>
        <v>33.733400000000003</v>
      </c>
      <c r="H10" s="496"/>
      <c r="I10" s="488"/>
      <c r="J10" s="488">
        <f t="shared" ref="J10:J33" si="5">H10*I10/1000</f>
        <v>0</v>
      </c>
      <c r="K10" s="488">
        <f t="shared" ref="K10:K42" si="6">G10+J10</f>
        <v>33.733400000000003</v>
      </c>
      <c r="L10" s="1721">
        <f t="shared" ref="L10:L42" si="7">VLOOKUP(K10,$R$8:$S$13,2)</f>
        <v>300000</v>
      </c>
      <c r="M10" s="662"/>
      <c r="N10" s="661">
        <f t="shared" si="2"/>
        <v>6</v>
      </c>
      <c r="O10" s="163">
        <f>'MONITORING '!AI37</f>
        <v>2234</v>
      </c>
      <c r="P10" s="659"/>
      <c r="Q10" s="748" t="s">
        <v>679</v>
      </c>
      <c r="R10" s="748">
        <v>30.01</v>
      </c>
      <c r="S10" s="749">
        <v>300000</v>
      </c>
    </row>
    <row r="11" spans="1:19" s="73" customFormat="1" ht="21.75" customHeight="1">
      <c r="A11" s="494">
        <v>4</v>
      </c>
      <c r="B11" s="495" t="str">
        <f>'MONITORING '!B46</f>
        <v>JUMADIL AWAL</v>
      </c>
      <c r="C11" s="502">
        <f>O11-H11</f>
        <v>1699</v>
      </c>
      <c r="D11" s="502"/>
      <c r="E11" s="502">
        <f t="shared" si="3"/>
        <v>1699</v>
      </c>
      <c r="F11" s="488">
        <v>15.1</v>
      </c>
      <c r="G11" s="488">
        <f t="shared" si="4"/>
        <v>25.654899999999998</v>
      </c>
      <c r="H11" s="496"/>
      <c r="I11" s="488"/>
      <c r="J11" s="488">
        <f t="shared" si="5"/>
        <v>0</v>
      </c>
      <c r="K11" s="488">
        <f t="shared" si="6"/>
        <v>25.654899999999998</v>
      </c>
      <c r="L11" s="1722">
        <f t="shared" si="7"/>
        <v>150000</v>
      </c>
      <c r="M11" s="1325" t="s">
        <v>1035</v>
      </c>
      <c r="N11" s="661">
        <f t="shared" si="2"/>
        <v>15</v>
      </c>
      <c r="O11" s="163">
        <f>'MONITORING '!AI50</f>
        <v>1699</v>
      </c>
      <c r="P11" s="659"/>
      <c r="Q11" s="748" t="s">
        <v>680</v>
      </c>
      <c r="R11" s="748">
        <v>45.01</v>
      </c>
      <c r="S11" s="749">
        <v>750000</v>
      </c>
    </row>
    <row r="12" spans="1:19" s="73" customFormat="1" ht="21.75" customHeight="1">
      <c r="A12" s="494">
        <v>5</v>
      </c>
      <c r="B12" s="495" t="str">
        <f>'MONITORING '!B59</f>
        <v>NASRUDIN (SAHNUN)</v>
      </c>
      <c r="C12" s="502">
        <f>O12-H12</f>
        <v>1669</v>
      </c>
      <c r="D12" s="502"/>
      <c r="E12" s="502">
        <f t="shared" si="3"/>
        <v>1669</v>
      </c>
      <c r="F12" s="488">
        <v>15.1</v>
      </c>
      <c r="G12" s="488">
        <f t="shared" si="4"/>
        <v>25.201899999999998</v>
      </c>
      <c r="H12" s="496"/>
      <c r="I12" s="488"/>
      <c r="J12" s="488">
        <f t="shared" si="5"/>
        <v>0</v>
      </c>
      <c r="K12" s="488">
        <f t="shared" si="6"/>
        <v>25.201899999999998</v>
      </c>
      <c r="L12" s="1722">
        <f t="shared" si="7"/>
        <v>150000</v>
      </c>
      <c r="M12" s="1325" t="s">
        <v>1035</v>
      </c>
      <c r="N12" s="661">
        <f t="shared" si="2"/>
        <v>17</v>
      </c>
      <c r="O12" s="163">
        <f>'MONITORING '!AI63</f>
        <v>1669</v>
      </c>
      <c r="P12" s="659"/>
      <c r="Q12" s="748" t="s">
        <v>681</v>
      </c>
      <c r="R12" s="748">
        <v>55.01</v>
      </c>
      <c r="S12" s="749">
        <v>950000</v>
      </c>
    </row>
    <row r="13" spans="1:19" s="73" customFormat="1" ht="21.75" customHeight="1">
      <c r="A13" s="494">
        <v>6</v>
      </c>
      <c r="B13" s="495" t="str">
        <f>'MONITORING '!B72</f>
        <v>NASRUDIN (INAK DENI)</v>
      </c>
      <c r="C13" s="502">
        <f t="shared" ref="C13:C37" si="8">O13-H13</f>
        <v>2191</v>
      </c>
      <c r="D13" s="502"/>
      <c r="E13" s="502">
        <f t="shared" si="3"/>
        <v>2191</v>
      </c>
      <c r="F13" s="488">
        <v>15.1</v>
      </c>
      <c r="G13" s="488">
        <f t="shared" si="4"/>
        <v>33.084099999999999</v>
      </c>
      <c r="H13" s="496"/>
      <c r="I13" s="488"/>
      <c r="J13" s="488">
        <f t="shared" si="5"/>
        <v>0</v>
      </c>
      <c r="K13" s="488">
        <f t="shared" si="6"/>
        <v>33.084099999999999</v>
      </c>
      <c r="L13" s="1722">
        <f t="shared" si="7"/>
        <v>300000</v>
      </c>
      <c r="M13" s="1325" t="s">
        <v>1035</v>
      </c>
      <c r="N13" s="661">
        <f t="shared" si="2"/>
        <v>7</v>
      </c>
      <c r="O13" s="163">
        <f>'MONITORING '!AI76</f>
        <v>2191</v>
      </c>
      <c r="P13" s="659"/>
      <c r="Q13" s="748" t="s">
        <v>682</v>
      </c>
      <c r="R13" s="748">
        <v>65.010000000000005</v>
      </c>
      <c r="S13" s="749">
        <v>1150000</v>
      </c>
    </row>
    <row r="14" spans="1:19" s="73" customFormat="1" ht="21.75" customHeight="1">
      <c r="A14" s="494">
        <v>7</v>
      </c>
      <c r="B14" s="495" t="str">
        <f>'MONITORING '!B85</f>
        <v>SUDIRMAN</v>
      </c>
      <c r="C14" s="502">
        <f t="shared" si="8"/>
        <v>2308</v>
      </c>
      <c r="D14" s="502"/>
      <c r="E14" s="502">
        <f t="shared" si="3"/>
        <v>2308</v>
      </c>
      <c r="F14" s="488">
        <v>15.1</v>
      </c>
      <c r="G14" s="488">
        <f t="shared" si="4"/>
        <v>34.850799999999992</v>
      </c>
      <c r="H14" s="496"/>
      <c r="I14" s="488"/>
      <c r="J14" s="488">
        <f t="shared" si="5"/>
        <v>0</v>
      </c>
      <c r="K14" s="488">
        <f t="shared" si="6"/>
        <v>34.850799999999992</v>
      </c>
      <c r="L14" s="1721">
        <f t="shared" si="7"/>
        <v>300000</v>
      </c>
      <c r="M14" s="662"/>
      <c r="N14" s="661">
        <f t="shared" si="2"/>
        <v>3</v>
      </c>
      <c r="O14" s="163">
        <f>'MONITORING '!AI89</f>
        <v>2308</v>
      </c>
      <c r="P14" s="659"/>
    </row>
    <row r="15" spans="1:19" s="73" customFormat="1" ht="21.75" customHeight="1">
      <c r="A15" s="494">
        <v>8</v>
      </c>
      <c r="B15" s="495" t="str">
        <f>'MONITORING '!B98</f>
        <v>JAYA KUSUMA</v>
      </c>
      <c r="C15" s="502">
        <f t="shared" si="8"/>
        <v>2683</v>
      </c>
      <c r="D15" s="502"/>
      <c r="E15" s="502">
        <f t="shared" si="3"/>
        <v>2683</v>
      </c>
      <c r="F15" s="488">
        <v>15.1</v>
      </c>
      <c r="G15" s="488">
        <f t="shared" si="4"/>
        <v>40.513299999999994</v>
      </c>
      <c r="H15" s="496"/>
      <c r="I15" s="488"/>
      <c r="J15" s="488">
        <f t="shared" si="5"/>
        <v>0</v>
      </c>
      <c r="K15" s="488">
        <f t="shared" si="6"/>
        <v>40.513299999999994</v>
      </c>
      <c r="L15" s="1721">
        <f t="shared" si="7"/>
        <v>300000</v>
      </c>
      <c r="M15" s="662"/>
      <c r="N15" s="661">
        <f t="shared" si="2"/>
        <v>1</v>
      </c>
      <c r="O15" s="163">
        <f>'MONITORING '!AI102</f>
        <v>2683</v>
      </c>
      <c r="P15" s="659"/>
    </row>
    <row r="16" spans="1:19" s="73" customFormat="1" ht="21.75" customHeight="1">
      <c r="A16" s="494">
        <v>9</v>
      </c>
      <c r="B16" s="495" t="str">
        <f>'MONITORING '!B111</f>
        <v>LALU HERI ISKANDAR</v>
      </c>
      <c r="C16" s="502">
        <f t="shared" si="8"/>
        <v>1748</v>
      </c>
      <c r="D16" s="502"/>
      <c r="E16" s="502">
        <f t="shared" si="3"/>
        <v>1748</v>
      </c>
      <c r="F16" s="488">
        <v>15.1</v>
      </c>
      <c r="G16" s="488">
        <f t="shared" si="4"/>
        <v>26.3948</v>
      </c>
      <c r="H16" s="496"/>
      <c r="I16" s="488"/>
      <c r="J16" s="488">
        <f t="shared" si="5"/>
        <v>0</v>
      </c>
      <c r="K16" s="488">
        <f t="shared" si="6"/>
        <v>26.3948</v>
      </c>
      <c r="L16" s="1721">
        <f t="shared" si="7"/>
        <v>150000</v>
      </c>
      <c r="M16" s="662"/>
      <c r="N16" s="661">
        <f t="shared" si="2"/>
        <v>14</v>
      </c>
      <c r="O16" s="163">
        <f>'MONITORING '!AI115</f>
        <v>1748</v>
      </c>
      <c r="P16" s="659"/>
    </row>
    <row r="17" spans="1:16" s="73" customFormat="1" ht="21.75" customHeight="1">
      <c r="A17" s="494">
        <v>10</v>
      </c>
      <c r="B17" s="495" t="str">
        <f>'MONITORING '!B124</f>
        <v>ZAINAL</v>
      </c>
      <c r="C17" s="502">
        <f t="shared" si="8"/>
        <v>1884</v>
      </c>
      <c r="D17" s="502"/>
      <c r="E17" s="502">
        <f t="shared" si="3"/>
        <v>1884</v>
      </c>
      <c r="F17" s="488">
        <v>15.1</v>
      </c>
      <c r="G17" s="488">
        <f>E17*F17/1000</f>
        <v>28.448399999999999</v>
      </c>
      <c r="H17" s="503"/>
      <c r="I17" s="488"/>
      <c r="J17" s="488">
        <f t="shared" si="5"/>
        <v>0</v>
      </c>
      <c r="K17" s="488">
        <f>G17+J17</f>
        <v>28.448399999999999</v>
      </c>
      <c r="L17" s="1722">
        <f t="shared" si="7"/>
        <v>150000</v>
      </c>
      <c r="M17" s="1325" t="s">
        <v>1035</v>
      </c>
      <c r="N17" s="661">
        <f t="shared" si="2"/>
        <v>9</v>
      </c>
      <c r="O17" s="163">
        <f>'MONITORING '!AI128</f>
        <v>1884</v>
      </c>
      <c r="P17" s="659"/>
    </row>
    <row r="18" spans="1:16" s="73" customFormat="1" ht="21.75" customHeight="1">
      <c r="A18" s="494">
        <v>11</v>
      </c>
      <c r="B18" s="495" t="str">
        <f>'MONITORING '!B137</f>
        <v>MUHAMMAD TAHIR</v>
      </c>
      <c r="C18" s="502">
        <f t="shared" si="8"/>
        <v>1775</v>
      </c>
      <c r="D18" s="502"/>
      <c r="E18" s="502">
        <f t="shared" si="3"/>
        <v>1775</v>
      </c>
      <c r="F18" s="488">
        <v>15.1</v>
      </c>
      <c r="G18" s="488">
        <f t="shared" si="4"/>
        <v>26.802499999999998</v>
      </c>
      <c r="H18" s="496"/>
      <c r="I18" s="488"/>
      <c r="J18" s="488">
        <f t="shared" si="5"/>
        <v>0</v>
      </c>
      <c r="K18" s="488">
        <f t="shared" si="6"/>
        <v>26.802499999999998</v>
      </c>
      <c r="L18" s="1721">
        <f t="shared" si="7"/>
        <v>150000</v>
      </c>
      <c r="M18" s="662"/>
      <c r="N18" s="661">
        <f t="shared" si="2"/>
        <v>12</v>
      </c>
      <c r="O18" s="163">
        <f>'MONITORING '!AI141</f>
        <v>1775</v>
      </c>
      <c r="P18" s="659"/>
    </row>
    <row r="19" spans="1:16" s="73" customFormat="1" ht="21.75" customHeight="1">
      <c r="A19" s="494">
        <v>12</v>
      </c>
      <c r="B19" s="495" t="str">
        <f>'MONITORING '!B150</f>
        <v>TATO</v>
      </c>
      <c r="C19" s="502">
        <f t="shared" si="8"/>
        <v>2628</v>
      </c>
      <c r="D19" s="502"/>
      <c r="E19" s="502">
        <f t="shared" si="3"/>
        <v>2628</v>
      </c>
      <c r="F19" s="488">
        <v>15.1</v>
      </c>
      <c r="G19" s="488">
        <f t="shared" si="4"/>
        <v>39.682799999999993</v>
      </c>
      <c r="H19" s="496"/>
      <c r="I19" s="488"/>
      <c r="J19" s="488">
        <f t="shared" si="5"/>
        <v>0</v>
      </c>
      <c r="K19" s="488">
        <f t="shared" si="6"/>
        <v>39.682799999999993</v>
      </c>
      <c r="L19" s="1722">
        <f t="shared" si="7"/>
        <v>300000</v>
      </c>
      <c r="M19" s="1325" t="s">
        <v>1035</v>
      </c>
      <c r="N19" s="661">
        <f t="shared" si="2"/>
        <v>2</v>
      </c>
      <c r="O19" s="163">
        <f>'MONITORING '!AI154</f>
        <v>2628</v>
      </c>
      <c r="P19" s="659"/>
    </row>
    <row r="20" spans="1:16" s="73" customFormat="1" ht="21.75" customHeight="1">
      <c r="A20" s="494">
        <v>13</v>
      </c>
      <c r="B20" s="495" t="str">
        <f>'MONITORING '!B163</f>
        <v>AGUS SURYADI</v>
      </c>
      <c r="C20" s="502">
        <f t="shared" si="8"/>
        <v>1680</v>
      </c>
      <c r="D20" s="502"/>
      <c r="E20" s="502">
        <f t="shared" si="3"/>
        <v>1680</v>
      </c>
      <c r="F20" s="488">
        <v>15.1</v>
      </c>
      <c r="G20" s="488">
        <f t="shared" si="4"/>
        <v>25.367999999999999</v>
      </c>
      <c r="H20" s="496"/>
      <c r="I20" s="488"/>
      <c r="J20" s="488">
        <f t="shared" si="5"/>
        <v>0</v>
      </c>
      <c r="K20" s="488">
        <f t="shared" si="6"/>
        <v>25.367999999999999</v>
      </c>
      <c r="L20" s="1721">
        <f t="shared" si="7"/>
        <v>150000</v>
      </c>
      <c r="M20" s="662"/>
      <c r="N20" s="661">
        <f t="shared" si="2"/>
        <v>16</v>
      </c>
      <c r="O20" s="163">
        <f>'MONITORING '!AI167</f>
        <v>1680</v>
      </c>
      <c r="P20" s="659"/>
    </row>
    <row r="21" spans="1:16" s="73" customFormat="1" ht="21.75" customHeight="1">
      <c r="A21" s="494">
        <v>14</v>
      </c>
      <c r="B21" s="495" t="str">
        <f>'MONITORING '!B176</f>
        <v>ALMAN</v>
      </c>
      <c r="C21" s="502">
        <f t="shared" si="8"/>
        <v>2293</v>
      </c>
      <c r="D21" s="502"/>
      <c r="E21" s="502">
        <f t="shared" si="3"/>
        <v>2293</v>
      </c>
      <c r="F21" s="488">
        <v>15.1</v>
      </c>
      <c r="G21" s="488">
        <f t="shared" si="4"/>
        <v>34.624299999999998</v>
      </c>
      <c r="H21" s="496"/>
      <c r="I21" s="488"/>
      <c r="J21" s="488">
        <f t="shared" si="5"/>
        <v>0</v>
      </c>
      <c r="K21" s="488">
        <f t="shared" si="6"/>
        <v>34.624299999999998</v>
      </c>
      <c r="L21" s="1721">
        <f t="shared" si="7"/>
        <v>300000</v>
      </c>
      <c r="M21" s="662"/>
      <c r="N21" s="661">
        <f t="shared" si="2"/>
        <v>4</v>
      </c>
      <c r="O21" s="163">
        <f>'MONITORING '!AI180</f>
        <v>2293</v>
      </c>
      <c r="P21" s="659"/>
    </row>
    <row r="22" spans="1:16" s="73" customFormat="1" ht="21.75" customHeight="1">
      <c r="A22" s="494">
        <v>15</v>
      </c>
      <c r="B22" s="495" t="str">
        <f>'MONITORING '!B189</f>
        <v>HERI SUTANTO</v>
      </c>
      <c r="C22" s="502">
        <f t="shared" si="8"/>
        <v>1820</v>
      </c>
      <c r="D22" s="502"/>
      <c r="E22" s="502">
        <f t="shared" si="3"/>
        <v>1820</v>
      </c>
      <c r="F22" s="488">
        <v>15.1</v>
      </c>
      <c r="G22" s="488">
        <f t="shared" si="4"/>
        <v>27.481999999999999</v>
      </c>
      <c r="H22" s="496"/>
      <c r="I22" s="488"/>
      <c r="J22" s="488">
        <f t="shared" si="5"/>
        <v>0</v>
      </c>
      <c r="K22" s="488">
        <f t="shared" si="6"/>
        <v>27.481999999999999</v>
      </c>
      <c r="L22" s="1721">
        <f t="shared" si="7"/>
        <v>150000</v>
      </c>
      <c r="M22" s="662"/>
      <c r="N22" s="661">
        <f t="shared" si="2"/>
        <v>11</v>
      </c>
      <c r="O22" s="163">
        <f>'MONITORING '!AI193</f>
        <v>1820</v>
      </c>
      <c r="P22" s="659"/>
    </row>
    <row r="23" spans="1:16" s="73" customFormat="1" ht="21.75" customHeight="1">
      <c r="A23" s="494">
        <v>16</v>
      </c>
      <c r="B23" s="495" t="str">
        <f>'MONITORING '!B202</f>
        <v>SUPRIYONO</v>
      </c>
      <c r="C23" s="502">
        <f t="shared" si="8"/>
        <v>1456</v>
      </c>
      <c r="D23" s="502"/>
      <c r="E23" s="502">
        <f t="shared" si="3"/>
        <v>1456</v>
      </c>
      <c r="F23" s="488">
        <v>15.1</v>
      </c>
      <c r="G23" s="488">
        <f t="shared" si="4"/>
        <v>21.985599999999998</v>
      </c>
      <c r="H23" s="496"/>
      <c r="I23" s="488"/>
      <c r="J23" s="488">
        <f t="shared" si="5"/>
        <v>0</v>
      </c>
      <c r="K23" s="488">
        <f t="shared" si="6"/>
        <v>21.985599999999998</v>
      </c>
      <c r="L23" s="1721">
        <f t="shared" si="7"/>
        <v>0</v>
      </c>
      <c r="M23" s="662"/>
      <c r="N23" s="661">
        <f t="shared" si="2"/>
        <v>24</v>
      </c>
      <c r="O23" s="163">
        <f>'MONITORING '!AI206</f>
        <v>1456</v>
      </c>
      <c r="P23" s="659"/>
    </row>
    <row r="24" spans="1:16" s="73" customFormat="1" ht="21.75" customHeight="1">
      <c r="A24" s="494">
        <v>17</v>
      </c>
      <c r="B24" s="495" t="str">
        <f>'MONITORING '!B215</f>
        <v>AWALUDIN ( INUN )</v>
      </c>
      <c r="C24" s="502">
        <f t="shared" si="8"/>
        <v>1552</v>
      </c>
      <c r="D24" s="502"/>
      <c r="E24" s="502">
        <f t="shared" si="3"/>
        <v>1552</v>
      </c>
      <c r="F24" s="488">
        <v>15.1</v>
      </c>
      <c r="G24" s="488">
        <f t="shared" si="4"/>
        <v>23.435200000000002</v>
      </c>
      <c r="H24" s="496"/>
      <c r="I24" s="488"/>
      <c r="J24" s="488">
        <f t="shared" si="5"/>
        <v>0</v>
      </c>
      <c r="K24" s="488">
        <f t="shared" si="6"/>
        <v>23.435200000000002</v>
      </c>
      <c r="L24" s="1721">
        <f t="shared" si="7"/>
        <v>0</v>
      </c>
      <c r="M24" s="662"/>
      <c r="N24" s="661">
        <f t="shared" si="2"/>
        <v>21</v>
      </c>
      <c r="O24" s="163">
        <f>'MONITORING '!AI219</f>
        <v>1552</v>
      </c>
      <c r="P24" s="659"/>
    </row>
    <row r="25" spans="1:16" s="73" customFormat="1" ht="21.75" customHeight="1">
      <c r="A25" s="494">
        <v>18</v>
      </c>
      <c r="B25" s="495" t="str">
        <f>'MONITORING '!B228</f>
        <v>AHYAR RASIDI</v>
      </c>
      <c r="C25" s="502">
        <f t="shared" si="8"/>
        <v>1910</v>
      </c>
      <c r="D25" s="502"/>
      <c r="E25" s="502">
        <f t="shared" si="3"/>
        <v>1910</v>
      </c>
      <c r="F25" s="488">
        <v>15.1</v>
      </c>
      <c r="G25" s="488">
        <f t="shared" si="4"/>
        <v>28.841000000000001</v>
      </c>
      <c r="H25" s="496"/>
      <c r="I25" s="488"/>
      <c r="J25" s="488">
        <f t="shared" si="5"/>
        <v>0</v>
      </c>
      <c r="K25" s="488">
        <f t="shared" si="6"/>
        <v>28.841000000000001</v>
      </c>
      <c r="L25" s="1722">
        <f t="shared" si="7"/>
        <v>150000</v>
      </c>
      <c r="M25" s="1325" t="s">
        <v>1035</v>
      </c>
      <c r="N25" s="661">
        <f t="shared" si="2"/>
        <v>8</v>
      </c>
      <c r="O25" s="163">
        <f>'MONITORING '!AI232</f>
        <v>1910</v>
      </c>
      <c r="P25" s="659"/>
    </row>
    <row r="26" spans="1:16" s="73" customFormat="1" ht="21.75" customHeight="1">
      <c r="A26" s="494">
        <v>19</v>
      </c>
      <c r="B26" s="495" t="str">
        <f>'MONITORING '!B241</f>
        <v>PAUZIWADI</v>
      </c>
      <c r="C26" s="502">
        <f t="shared" si="8"/>
        <v>1770</v>
      </c>
      <c r="D26" s="502"/>
      <c r="E26" s="502">
        <f t="shared" si="3"/>
        <v>1770</v>
      </c>
      <c r="F26" s="488">
        <v>15.1</v>
      </c>
      <c r="G26" s="488">
        <f t="shared" si="4"/>
        <v>26.727</v>
      </c>
      <c r="H26" s="496"/>
      <c r="I26" s="488"/>
      <c r="J26" s="488">
        <f t="shared" si="5"/>
        <v>0</v>
      </c>
      <c r="K26" s="488">
        <f t="shared" si="6"/>
        <v>26.727</v>
      </c>
      <c r="L26" s="1722">
        <f t="shared" si="7"/>
        <v>150000</v>
      </c>
      <c r="M26" s="1325" t="s">
        <v>1035</v>
      </c>
      <c r="N26" s="661">
        <f t="shared" si="2"/>
        <v>13</v>
      </c>
      <c r="O26" s="163">
        <f>'MONITORING '!AI245</f>
        <v>1770</v>
      </c>
      <c r="P26" s="659"/>
    </row>
    <row r="27" spans="1:16" s="73" customFormat="1" ht="21.75" customHeight="1">
      <c r="A27" s="494">
        <v>20</v>
      </c>
      <c r="B27" s="495" t="str">
        <f>'MONITORING '!B254</f>
        <v>AGUS SATRIAWAN</v>
      </c>
      <c r="C27" s="502">
        <f t="shared" si="8"/>
        <v>1567</v>
      </c>
      <c r="D27" s="502"/>
      <c r="E27" s="502">
        <f t="shared" si="3"/>
        <v>1567</v>
      </c>
      <c r="F27" s="488">
        <v>15.1</v>
      </c>
      <c r="G27" s="488">
        <f t="shared" si="4"/>
        <v>23.6617</v>
      </c>
      <c r="H27" s="496"/>
      <c r="I27" s="488"/>
      <c r="J27" s="488">
        <f t="shared" si="5"/>
        <v>0</v>
      </c>
      <c r="K27" s="488">
        <f t="shared" si="6"/>
        <v>23.6617</v>
      </c>
      <c r="L27" s="1721">
        <f t="shared" si="7"/>
        <v>0</v>
      </c>
      <c r="M27" s="662"/>
      <c r="N27" s="661">
        <f t="shared" si="2"/>
        <v>19</v>
      </c>
      <c r="O27" s="163">
        <f>'MONITORING '!AI258</f>
        <v>1567</v>
      </c>
      <c r="P27" s="659"/>
    </row>
    <row r="28" spans="1:16" s="73" customFormat="1" ht="21.75" customHeight="1">
      <c r="A28" s="494">
        <v>21</v>
      </c>
      <c r="B28" s="495" t="str">
        <f>'MONITORING '!B267</f>
        <v>ZAINUL</v>
      </c>
      <c r="C28" s="502">
        <f t="shared" si="8"/>
        <v>1499</v>
      </c>
      <c r="D28" s="502"/>
      <c r="E28" s="502">
        <f t="shared" si="3"/>
        <v>1499</v>
      </c>
      <c r="F28" s="488">
        <v>15.1</v>
      </c>
      <c r="G28" s="488">
        <f t="shared" si="4"/>
        <v>22.634899999999998</v>
      </c>
      <c r="H28" s="496"/>
      <c r="I28" s="488"/>
      <c r="J28" s="488">
        <f t="shared" si="5"/>
        <v>0</v>
      </c>
      <c r="K28" s="488">
        <f t="shared" si="6"/>
        <v>22.634899999999998</v>
      </c>
      <c r="L28" s="1721">
        <f t="shared" si="7"/>
        <v>0</v>
      </c>
      <c r="M28" s="662"/>
      <c r="N28" s="661">
        <f t="shared" si="2"/>
        <v>22</v>
      </c>
      <c r="O28" s="163">
        <f>'MONITORING '!AI271</f>
        <v>1499</v>
      </c>
      <c r="P28" s="659"/>
    </row>
    <row r="29" spans="1:16" s="73" customFormat="1" ht="21.75" customHeight="1">
      <c r="A29" s="494">
        <v>22</v>
      </c>
      <c r="B29" s="495" t="str">
        <f>'MONITORING '!B280</f>
        <v xml:space="preserve">M. EZAN FARIZI </v>
      </c>
      <c r="C29" s="502">
        <f t="shared" si="8"/>
        <v>1489</v>
      </c>
      <c r="D29" s="502"/>
      <c r="E29" s="502">
        <f t="shared" si="3"/>
        <v>1489</v>
      </c>
      <c r="F29" s="488">
        <v>15.1</v>
      </c>
      <c r="G29" s="488">
        <f t="shared" si="4"/>
        <v>22.483899999999998</v>
      </c>
      <c r="H29" s="496"/>
      <c r="I29" s="488"/>
      <c r="J29" s="488">
        <f t="shared" si="5"/>
        <v>0</v>
      </c>
      <c r="K29" s="488">
        <f t="shared" si="6"/>
        <v>22.483899999999998</v>
      </c>
      <c r="L29" s="1721">
        <f t="shared" si="7"/>
        <v>0</v>
      </c>
      <c r="M29" s="662"/>
      <c r="N29" s="661">
        <f t="shared" si="2"/>
        <v>23</v>
      </c>
      <c r="O29" s="163">
        <f>'MONITORING '!AI284</f>
        <v>1489</v>
      </c>
      <c r="P29" s="659"/>
    </row>
    <row r="30" spans="1:16" s="73" customFormat="1" ht="21.75" customHeight="1">
      <c r="A30" s="494">
        <v>23</v>
      </c>
      <c r="B30" s="495" t="str">
        <f>'MONITORING '!B293</f>
        <v>TAHARUDIN</v>
      </c>
      <c r="C30" s="502">
        <f t="shared" si="8"/>
        <v>1632</v>
      </c>
      <c r="D30" s="502"/>
      <c r="E30" s="502">
        <f t="shared" si="3"/>
        <v>1632</v>
      </c>
      <c r="F30" s="488">
        <v>15.1</v>
      </c>
      <c r="G30" s="488">
        <f t="shared" si="4"/>
        <v>24.6432</v>
      </c>
      <c r="H30" s="496"/>
      <c r="I30" s="488"/>
      <c r="J30" s="488">
        <f t="shared" si="5"/>
        <v>0</v>
      </c>
      <c r="K30" s="488">
        <f t="shared" si="6"/>
        <v>24.6432</v>
      </c>
      <c r="L30" s="1721">
        <f t="shared" si="7"/>
        <v>0</v>
      </c>
      <c r="M30" s="662"/>
      <c r="N30" s="661">
        <f t="shared" si="2"/>
        <v>18</v>
      </c>
      <c r="O30" s="163">
        <f>'MONITORING '!AI297</f>
        <v>1632</v>
      </c>
      <c r="P30" s="659"/>
    </row>
    <row r="31" spans="1:16" s="73" customFormat="1" ht="21.75" customHeight="1">
      <c r="A31" s="494">
        <v>24</v>
      </c>
      <c r="B31" s="495" t="str">
        <f>'MONITORING '!B306</f>
        <v>ANDREAN AUSTIN HADI</v>
      </c>
      <c r="C31" s="502">
        <f t="shared" si="8"/>
        <v>1444</v>
      </c>
      <c r="D31" s="502"/>
      <c r="E31" s="502">
        <f t="shared" si="3"/>
        <v>1444</v>
      </c>
      <c r="F31" s="488">
        <v>15.1</v>
      </c>
      <c r="G31" s="488">
        <f t="shared" si="4"/>
        <v>21.804399999999998</v>
      </c>
      <c r="H31" s="496"/>
      <c r="I31" s="488"/>
      <c r="J31" s="488">
        <f t="shared" si="5"/>
        <v>0</v>
      </c>
      <c r="K31" s="488">
        <f t="shared" si="6"/>
        <v>21.804399999999998</v>
      </c>
      <c r="L31" s="1721">
        <f t="shared" si="7"/>
        <v>0</v>
      </c>
      <c r="M31" s="662"/>
      <c r="N31" s="661">
        <f t="shared" si="2"/>
        <v>25</v>
      </c>
      <c r="O31" s="163">
        <f>'MONITORING '!AI310</f>
        <v>1444</v>
      </c>
      <c r="P31" s="659"/>
    </row>
    <row r="32" spans="1:16" s="73" customFormat="1" ht="21.75" customHeight="1">
      <c r="A32" s="494">
        <v>25</v>
      </c>
      <c r="B32" s="495" t="str">
        <f>'MONITORING '!B319</f>
        <v>HAMDI</v>
      </c>
      <c r="C32" s="502">
        <f t="shared" si="8"/>
        <v>1564</v>
      </c>
      <c r="D32" s="502"/>
      <c r="E32" s="502">
        <f t="shared" si="3"/>
        <v>1564</v>
      </c>
      <c r="F32" s="488">
        <v>15.1</v>
      </c>
      <c r="G32" s="488">
        <f t="shared" si="4"/>
        <v>23.616399999999999</v>
      </c>
      <c r="H32" s="496"/>
      <c r="I32" s="488"/>
      <c r="J32" s="488">
        <f t="shared" si="5"/>
        <v>0</v>
      </c>
      <c r="K32" s="488">
        <f t="shared" si="6"/>
        <v>23.616399999999999</v>
      </c>
      <c r="L32" s="1721">
        <f t="shared" si="7"/>
        <v>0</v>
      </c>
      <c r="M32" s="662"/>
      <c r="N32" s="661">
        <f t="shared" si="2"/>
        <v>20</v>
      </c>
      <c r="O32" s="163">
        <f>'MONITORING '!AI323</f>
        <v>1564</v>
      </c>
      <c r="P32" s="659"/>
    </row>
    <row r="33" spans="1:27" s="73" customFormat="1" ht="21.75" customHeight="1">
      <c r="A33" s="494">
        <v>26</v>
      </c>
      <c r="B33" s="495" t="str">
        <f>'MONITORING '!B332</f>
        <v>SOPIAN HADI</v>
      </c>
      <c r="C33" s="502">
        <f t="shared" si="8"/>
        <v>351</v>
      </c>
      <c r="D33" s="502"/>
      <c r="E33" s="502">
        <f t="shared" si="3"/>
        <v>351</v>
      </c>
      <c r="F33" s="488">
        <v>15.1</v>
      </c>
      <c r="G33" s="488">
        <f t="shared" si="4"/>
        <v>5.3000999999999996</v>
      </c>
      <c r="H33" s="496"/>
      <c r="I33" s="488"/>
      <c r="J33" s="488">
        <f t="shared" si="5"/>
        <v>0</v>
      </c>
      <c r="K33" s="488">
        <f t="shared" si="6"/>
        <v>5.3000999999999996</v>
      </c>
      <c r="L33" s="1721">
        <f t="shared" si="7"/>
        <v>0</v>
      </c>
      <c r="M33" s="662"/>
      <c r="N33" s="661">
        <f t="shared" si="2"/>
        <v>28</v>
      </c>
      <c r="O33" s="163">
        <f>'MONITORING '!AI336</f>
        <v>351</v>
      </c>
      <c r="P33" s="659"/>
    </row>
    <row r="34" spans="1:27" s="73" customFormat="1" ht="21.75" customHeight="1">
      <c r="A34" s="494">
        <v>27</v>
      </c>
      <c r="B34" s="495" t="str">
        <f>'MONITORING '!B345</f>
        <v>MASRON</v>
      </c>
      <c r="C34" s="502">
        <f t="shared" si="8"/>
        <v>455</v>
      </c>
      <c r="D34" s="502"/>
      <c r="E34" s="502">
        <f t="shared" si="3"/>
        <v>455</v>
      </c>
      <c r="F34" s="488">
        <v>15.1</v>
      </c>
      <c r="G34" s="488">
        <f t="shared" si="4"/>
        <v>6.8704999999999998</v>
      </c>
      <c r="H34" s="496"/>
      <c r="I34" s="488"/>
      <c r="J34" s="488">
        <f t="shared" ref="J34:J42" si="9">H34*I34/1000</f>
        <v>0</v>
      </c>
      <c r="K34" s="488">
        <f t="shared" si="6"/>
        <v>6.8704999999999998</v>
      </c>
      <c r="L34" s="1721">
        <f t="shared" si="7"/>
        <v>0</v>
      </c>
      <c r="M34" s="662"/>
      <c r="N34" s="661">
        <f t="shared" si="2"/>
        <v>27</v>
      </c>
      <c r="O34" s="163">
        <f>'MONITORING '!AI349</f>
        <v>455</v>
      </c>
      <c r="P34" s="659"/>
    </row>
    <row r="35" spans="1:27" s="73" customFormat="1" ht="21.75" customHeight="1">
      <c r="A35" s="494">
        <v>28</v>
      </c>
      <c r="B35" s="495" t="str">
        <f>'MONITORING '!B358</f>
        <v>HERIYANTO</v>
      </c>
      <c r="C35" s="502">
        <f t="shared" si="8"/>
        <v>904</v>
      </c>
      <c r="D35" s="502"/>
      <c r="E35" s="502">
        <f t="shared" si="3"/>
        <v>904</v>
      </c>
      <c r="F35" s="488">
        <v>15.1</v>
      </c>
      <c r="G35" s="488">
        <f t="shared" si="4"/>
        <v>13.650399999999999</v>
      </c>
      <c r="H35" s="496"/>
      <c r="I35" s="488"/>
      <c r="J35" s="488">
        <f t="shared" si="9"/>
        <v>0</v>
      </c>
      <c r="K35" s="488">
        <f t="shared" si="6"/>
        <v>13.650399999999999</v>
      </c>
      <c r="L35" s="1721">
        <f t="shared" si="7"/>
        <v>0</v>
      </c>
      <c r="M35" s="662"/>
      <c r="N35" s="661">
        <f t="shared" si="2"/>
        <v>26</v>
      </c>
      <c r="O35" s="163">
        <f>'MONITORING '!AI362</f>
        <v>904</v>
      </c>
      <c r="P35" s="659"/>
    </row>
    <row r="36" spans="1:27" s="73" customFormat="1" ht="21.75" customHeight="1" thickBot="1">
      <c r="A36" s="494">
        <v>29</v>
      </c>
      <c r="B36" s="656" t="str">
        <f>'MONITORING '!B371</f>
        <v>ADI SUSANTO</v>
      </c>
      <c r="C36" s="502">
        <f t="shared" si="8"/>
        <v>31</v>
      </c>
      <c r="D36" s="502"/>
      <c r="E36" s="502">
        <f t="shared" si="3"/>
        <v>31</v>
      </c>
      <c r="F36" s="488">
        <v>15.1</v>
      </c>
      <c r="G36" s="488">
        <f>E36*F36/1000+0.13</f>
        <v>0.59809999999999997</v>
      </c>
      <c r="H36" s="496"/>
      <c r="I36" s="488"/>
      <c r="J36" s="488">
        <f t="shared" si="9"/>
        <v>0</v>
      </c>
      <c r="K36" s="488">
        <f t="shared" si="6"/>
        <v>0.59809999999999997</v>
      </c>
      <c r="L36" s="1721">
        <f t="shared" si="7"/>
        <v>0</v>
      </c>
      <c r="M36" s="662"/>
      <c r="N36" s="661">
        <f t="shared" si="2"/>
        <v>29</v>
      </c>
      <c r="O36" s="163">
        <f>'MONITORING '!AI375</f>
        <v>31</v>
      </c>
      <c r="P36" s="659"/>
    </row>
    <row r="37" spans="1:27" s="73" customFormat="1" ht="21.75" hidden="1" customHeight="1">
      <c r="A37" s="494">
        <v>30</v>
      </c>
      <c r="B37" s="656">
        <f>'MONITORING '!B384</f>
        <v>0</v>
      </c>
      <c r="C37" s="502">
        <f t="shared" si="8"/>
        <v>0</v>
      </c>
      <c r="D37" s="502"/>
      <c r="E37" s="502">
        <f t="shared" si="3"/>
        <v>0</v>
      </c>
      <c r="F37" s="488"/>
      <c r="G37" s="488">
        <f t="shared" si="4"/>
        <v>0</v>
      </c>
      <c r="H37" s="496"/>
      <c r="I37" s="488"/>
      <c r="J37" s="488">
        <f t="shared" si="9"/>
        <v>0</v>
      </c>
      <c r="K37" s="488">
        <f t="shared" si="6"/>
        <v>0</v>
      </c>
      <c r="L37" s="1721">
        <f t="shared" si="7"/>
        <v>0</v>
      </c>
      <c r="M37" s="662"/>
      <c r="N37" s="661" t="e">
        <f t="shared" si="2"/>
        <v>#N/A</v>
      </c>
      <c r="O37" s="163">
        <f>'MONITORING '!AI388</f>
        <v>0</v>
      </c>
      <c r="P37" s="659"/>
    </row>
    <row r="38" spans="1:27" s="73" customFormat="1" ht="21.75" hidden="1" customHeight="1">
      <c r="A38" s="494">
        <v>31</v>
      </c>
      <c r="B38" s="656">
        <f>'MONITORING '!B397</f>
        <v>0</v>
      </c>
      <c r="C38" s="502"/>
      <c r="D38" s="502"/>
      <c r="E38" s="502">
        <f t="shared" si="3"/>
        <v>0</v>
      </c>
      <c r="F38" s="488"/>
      <c r="G38" s="488">
        <f t="shared" si="4"/>
        <v>0</v>
      </c>
      <c r="H38" s="496"/>
      <c r="I38" s="488"/>
      <c r="J38" s="488">
        <f t="shared" si="9"/>
        <v>0</v>
      </c>
      <c r="K38" s="488">
        <f t="shared" si="6"/>
        <v>0</v>
      </c>
      <c r="L38" s="1721">
        <f t="shared" si="7"/>
        <v>0</v>
      </c>
      <c r="M38" s="662"/>
      <c r="N38" s="661" t="e">
        <f t="shared" si="2"/>
        <v>#N/A</v>
      </c>
      <c r="O38" s="163">
        <f>'MONITORING '!AI401</f>
        <v>0</v>
      </c>
      <c r="P38" s="659"/>
    </row>
    <row r="39" spans="1:27" s="73" customFormat="1" ht="21.75" hidden="1" customHeight="1">
      <c r="A39" s="494">
        <v>32</v>
      </c>
      <c r="B39" s="656">
        <f>'MONITORING '!B410</f>
        <v>0</v>
      </c>
      <c r="C39" s="502">
        <f>O39-H39</f>
        <v>0</v>
      </c>
      <c r="D39" s="502"/>
      <c r="E39" s="502">
        <f t="shared" si="3"/>
        <v>0</v>
      </c>
      <c r="F39" s="488"/>
      <c r="G39" s="488">
        <f t="shared" si="4"/>
        <v>0</v>
      </c>
      <c r="H39" s="496"/>
      <c r="I39" s="488"/>
      <c r="J39" s="488">
        <f t="shared" si="9"/>
        <v>0</v>
      </c>
      <c r="K39" s="488">
        <f t="shared" si="6"/>
        <v>0</v>
      </c>
      <c r="L39" s="1721">
        <f t="shared" si="7"/>
        <v>0</v>
      </c>
      <c r="M39" s="662"/>
      <c r="N39" s="661" t="e">
        <f t="shared" si="2"/>
        <v>#N/A</v>
      </c>
      <c r="O39" s="163">
        <f>'MONITORING '!AI414</f>
        <v>0</v>
      </c>
      <c r="P39" s="659"/>
    </row>
    <row r="40" spans="1:27" s="73" customFormat="1" ht="21.75" hidden="1" customHeight="1">
      <c r="A40" s="494">
        <v>33</v>
      </c>
      <c r="B40" s="656">
        <f>'MONITORING '!B423</f>
        <v>0</v>
      </c>
      <c r="C40" s="502"/>
      <c r="D40" s="502"/>
      <c r="E40" s="502">
        <f t="shared" si="3"/>
        <v>0</v>
      </c>
      <c r="F40" s="488"/>
      <c r="G40" s="488">
        <f t="shared" si="4"/>
        <v>0</v>
      </c>
      <c r="H40" s="496"/>
      <c r="I40" s="488"/>
      <c r="J40" s="488">
        <f t="shared" si="9"/>
        <v>0</v>
      </c>
      <c r="K40" s="488">
        <f t="shared" si="6"/>
        <v>0</v>
      </c>
      <c r="L40" s="1721">
        <f t="shared" si="7"/>
        <v>0</v>
      </c>
      <c r="M40" s="662"/>
      <c r="N40" s="661" t="e">
        <f t="shared" si="2"/>
        <v>#N/A</v>
      </c>
      <c r="O40" s="163">
        <f>'MONITORING '!AI427</f>
        <v>0</v>
      </c>
      <c r="P40" s="659"/>
    </row>
    <row r="41" spans="1:27" s="73" customFormat="1" ht="21.75" hidden="1" customHeight="1">
      <c r="A41" s="494">
        <v>34</v>
      </c>
      <c r="B41" s="656">
        <f>'MONITORING '!B436</f>
        <v>0</v>
      </c>
      <c r="C41" s="502"/>
      <c r="D41" s="502"/>
      <c r="E41" s="502">
        <f t="shared" si="3"/>
        <v>0</v>
      </c>
      <c r="F41" s="488"/>
      <c r="G41" s="488">
        <f t="shared" si="4"/>
        <v>0</v>
      </c>
      <c r="H41" s="496"/>
      <c r="I41" s="488"/>
      <c r="J41" s="488">
        <f t="shared" si="9"/>
        <v>0</v>
      </c>
      <c r="K41" s="488">
        <f t="shared" si="6"/>
        <v>0</v>
      </c>
      <c r="L41" s="1721">
        <f t="shared" si="7"/>
        <v>0</v>
      </c>
      <c r="M41" s="662"/>
      <c r="N41" s="661" t="e">
        <f t="shared" si="2"/>
        <v>#N/A</v>
      </c>
      <c r="O41" s="163">
        <f>'MONITORING '!AI440</f>
        <v>0</v>
      </c>
      <c r="P41" s="659"/>
      <c r="AA41" s="73">
        <f>836.28-836.37</f>
        <v>-9.0000000000031832E-2</v>
      </c>
    </row>
    <row r="42" spans="1:27" s="73" customFormat="1" ht="21.75" hidden="1" customHeight="1" thickBot="1">
      <c r="A42" s="494">
        <v>35</v>
      </c>
      <c r="B42" s="504">
        <f>'MONITORING '!B449</f>
        <v>0</v>
      </c>
      <c r="C42" s="502">
        <f>O42-H42</f>
        <v>0</v>
      </c>
      <c r="D42" s="502"/>
      <c r="E42" s="502">
        <f t="shared" si="3"/>
        <v>0</v>
      </c>
      <c r="F42" s="488"/>
      <c r="G42" s="488">
        <f t="shared" si="4"/>
        <v>0</v>
      </c>
      <c r="H42" s="496"/>
      <c r="I42" s="488"/>
      <c r="J42" s="488">
        <f t="shared" si="9"/>
        <v>0</v>
      </c>
      <c r="K42" s="488">
        <f t="shared" si="6"/>
        <v>0</v>
      </c>
      <c r="L42" s="1724">
        <f t="shared" si="7"/>
        <v>0</v>
      </c>
      <c r="M42" s="1725"/>
      <c r="N42" s="661" t="e">
        <f t="shared" si="2"/>
        <v>#N/A</v>
      </c>
      <c r="O42" s="163">
        <f>'MONITORING '!AI453</f>
        <v>0</v>
      </c>
      <c r="P42" s="659"/>
      <c r="W42" s="73">
        <v>730278</v>
      </c>
    </row>
    <row r="43" spans="1:27" s="76" customFormat="1" ht="21.75" customHeight="1" thickBot="1">
      <c r="A43" s="1868" t="s">
        <v>38</v>
      </c>
      <c r="B43" s="1869"/>
      <c r="C43" s="77">
        <f>SUM(C8:C42)</f>
        <v>48354</v>
      </c>
      <c r="D43" s="77">
        <f>SUM(D8:D42)</f>
        <v>0</v>
      </c>
      <c r="E43" s="77">
        <f>SUM(E8:E42)</f>
        <v>48354</v>
      </c>
      <c r="F43" s="77"/>
      <c r="G43" s="489">
        <f t="shared" ref="G43:L43" si="10">SUM(G8:G42)</f>
        <v>730.27539999999988</v>
      </c>
      <c r="H43" s="489">
        <f t="shared" si="10"/>
        <v>0</v>
      </c>
      <c r="I43" s="489">
        <f t="shared" si="10"/>
        <v>0</v>
      </c>
      <c r="J43" s="489">
        <f t="shared" si="10"/>
        <v>0</v>
      </c>
      <c r="K43" s="489">
        <f t="shared" si="10"/>
        <v>730.27539999999988</v>
      </c>
      <c r="L43" s="1723">
        <f t="shared" si="10"/>
        <v>3600000</v>
      </c>
      <c r="M43" s="663"/>
      <c r="N43" s="486"/>
      <c r="O43" s="162">
        <f>SUM(O8:O42)</f>
        <v>48354</v>
      </c>
      <c r="P43" s="180"/>
      <c r="Q43" s="486"/>
      <c r="R43" s="486"/>
      <c r="S43" s="180"/>
      <c r="W43" s="1136">
        <f>E43</f>
        <v>48354</v>
      </c>
    </row>
    <row r="44" spans="1:27" ht="18" customHeight="1">
      <c r="D44" s="1327"/>
      <c r="E44" s="1445">
        <f>O43</f>
        <v>48354</v>
      </c>
      <c r="F44" s="1446"/>
      <c r="G44" s="1447">
        <v>730.28</v>
      </c>
      <c r="H44" s="754"/>
      <c r="L44" s="665"/>
      <c r="M44" s="665"/>
      <c r="O44" s="497">
        <f>'MONITORING '!AI515</f>
        <v>48354</v>
      </c>
      <c r="W44" s="497">
        <v>730278</v>
      </c>
    </row>
    <row r="45" spans="1:27" ht="15.75" customHeight="1">
      <c r="A45" s="487" t="s">
        <v>296</v>
      </c>
      <c r="B45" s="573" t="s">
        <v>606</v>
      </c>
      <c r="C45" s="485"/>
      <c r="D45" s="1329"/>
      <c r="E45" s="1448">
        <f>E43-E44</f>
        <v>0</v>
      </c>
      <c r="F45" s="1446"/>
      <c r="G45" s="1447">
        <f>G43-G44</f>
        <v>-4.6000000000958607E-3</v>
      </c>
      <c r="L45" s="666"/>
      <c r="M45" s="666"/>
      <c r="O45" s="497">
        <f>O43-O44</f>
        <v>0</v>
      </c>
      <c r="W45" s="754">
        <f>W44/W43</f>
        <v>15.10274227571659</v>
      </c>
    </row>
    <row r="46" spans="1:27" ht="15.75" customHeight="1">
      <c r="A46" s="487"/>
      <c r="B46" s="573" t="s">
        <v>607</v>
      </c>
      <c r="C46" s="485"/>
      <c r="D46" s="1329"/>
      <c r="E46" s="485"/>
      <c r="G46" s="1328"/>
      <c r="L46" s="667"/>
      <c r="M46" s="667"/>
    </row>
    <row r="47" spans="1:27" ht="15.75" customHeight="1">
      <c r="B47" s="573" t="s">
        <v>608</v>
      </c>
      <c r="D47" s="1327"/>
      <c r="E47" s="1327"/>
      <c r="F47" s="1330"/>
      <c r="G47" s="1331"/>
      <c r="L47" s="667"/>
      <c r="M47" s="667"/>
      <c r="W47" s="1137">
        <f>K43-828.4</f>
        <v>-98.1246000000001</v>
      </c>
    </row>
    <row r="48" spans="1:27" ht="15.75" customHeight="1">
      <c r="B48" s="573" t="s">
        <v>609</v>
      </c>
      <c r="G48" s="1328"/>
      <c r="L48" s="665"/>
      <c r="M48" s="665"/>
    </row>
    <row r="49" spans="1:15" ht="15.75" customHeight="1">
      <c r="B49" s="573" t="s">
        <v>621</v>
      </c>
    </row>
    <row r="50" spans="1:15">
      <c r="A50" s="1870" t="s">
        <v>1032</v>
      </c>
      <c r="B50" s="1870"/>
    </row>
    <row r="51" spans="1:15">
      <c r="A51" s="654"/>
      <c r="B51" s="654" t="s">
        <v>100</v>
      </c>
      <c r="C51" s="1863" t="s">
        <v>576</v>
      </c>
      <c r="D51" s="1863"/>
      <c r="E51" s="1863"/>
      <c r="F51" s="1863"/>
      <c r="G51" s="1863"/>
      <c r="I51" s="485"/>
      <c r="J51" s="485"/>
      <c r="K51" s="1863" t="s">
        <v>624</v>
      </c>
      <c r="L51" s="1863"/>
      <c r="M51" s="654"/>
      <c r="N51" s="654"/>
      <c r="O51" s="498"/>
    </row>
    <row r="52" spans="1:15">
      <c r="A52" s="654"/>
      <c r="B52" s="654"/>
      <c r="C52" s="508"/>
      <c r="D52" s="508"/>
      <c r="E52" s="508"/>
      <c r="F52" s="654"/>
      <c r="K52" s="654"/>
      <c r="L52" s="664"/>
      <c r="M52" s="664"/>
      <c r="N52" s="508"/>
    </row>
    <row r="53" spans="1:15">
      <c r="A53" s="654"/>
      <c r="B53" s="654"/>
      <c r="C53" s="508"/>
      <c r="D53" s="508"/>
      <c r="E53" s="508"/>
      <c r="F53" s="654"/>
      <c r="K53" s="654"/>
      <c r="L53" s="664"/>
      <c r="M53" s="664"/>
      <c r="N53" s="508"/>
    </row>
    <row r="54" spans="1:15">
      <c r="A54" s="654"/>
      <c r="B54" s="654"/>
      <c r="C54" s="508"/>
      <c r="D54" s="508"/>
      <c r="E54" s="508"/>
      <c r="F54" s="654"/>
      <c r="K54" s="654"/>
      <c r="L54" s="664"/>
      <c r="M54" s="664"/>
      <c r="N54" s="508"/>
    </row>
    <row r="55" spans="1:15">
      <c r="A55" s="654"/>
      <c r="B55" s="654"/>
      <c r="C55" s="508"/>
      <c r="D55" s="508"/>
      <c r="E55" s="508"/>
      <c r="F55" s="654"/>
      <c r="K55" s="654"/>
      <c r="L55" s="664"/>
      <c r="M55" s="664"/>
      <c r="N55" s="508"/>
    </row>
    <row r="56" spans="1:15" s="499" customFormat="1">
      <c r="A56" s="655"/>
      <c r="B56" s="655" t="s">
        <v>203</v>
      </c>
      <c r="C56" s="1864" t="s">
        <v>622</v>
      </c>
      <c r="D56" s="1864"/>
      <c r="E56" s="1864"/>
      <c r="F56" s="1864"/>
      <c r="G56" s="1864"/>
      <c r="I56" s="500"/>
      <c r="J56" s="500"/>
      <c r="K56" s="1864" t="s">
        <v>586</v>
      </c>
      <c r="L56" s="1864"/>
      <c r="M56" s="655"/>
      <c r="N56" s="655"/>
      <c r="O56" s="501"/>
    </row>
    <row r="57" spans="1:15">
      <c r="A57" s="654"/>
      <c r="B57" s="654" t="s">
        <v>559</v>
      </c>
      <c r="C57" s="1863" t="s">
        <v>623</v>
      </c>
      <c r="D57" s="1863"/>
      <c r="E57" s="1863"/>
      <c r="F57" s="1863"/>
      <c r="G57" s="1863"/>
      <c r="I57" s="485"/>
      <c r="J57" s="485"/>
      <c r="K57" s="1863" t="s">
        <v>587</v>
      </c>
      <c r="L57" s="1863"/>
      <c r="M57" s="654"/>
      <c r="N57" s="654"/>
      <c r="O57" s="498"/>
    </row>
  </sheetData>
  <autoFilter ref="G1:N57" xr:uid="{00000000-0009-0000-0000-000002000000}"/>
  <mergeCells count="21">
    <mergeCell ref="K57:L57"/>
    <mergeCell ref="K56:L56"/>
    <mergeCell ref="K51:L51"/>
    <mergeCell ref="L5:L7"/>
    <mergeCell ref="A43:B43"/>
    <mergeCell ref="A50:B50"/>
    <mergeCell ref="C6:G6"/>
    <mergeCell ref="C57:G57"/>
    <mergeCell ref="C56:G56"/>
    <mergeCell ref="C51:G51"/>
    <mergeCell ref="Q6:S6"/>
    <mergeCell ref="O5:O7"/>
    <mergeCell ref="N5:N7"/>
    <mergeCell ref="A3:L3"/>
    <mergeCell ref="A5:A7"/>
    <mergeCell ref="B5:B7"/>
    <mergeCell ref="H5:J5"/>
    <mergeCell ref="H6:J6"/>
    <mergeCell ref="C5:G5"/>
    <mergeCell ref="K5:K7"/>
    <mergeCell ref="M5:M7"/>
  </mergeCells>
  <printOptions horizontalCentered="1"/>
  <pageMargins left="0" right="0" top="0" bottom="0" header="0" footer="0"/>
  <pageSetup paperSize="9" scale="70" orientation="portrait" horizontalDpi="0" verticalDpi="0" r:id="rId1"/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V626"/>
  <sheetViews>
    <sheetView zoomScale="60" zoomScaleNormal="60" zoomScaleSheetLayoutView="70" workbookViewId="0">
      <pane xSplit="3" ySplit="6" topLeftCell="D435" activePane="bottomRight" state="frozen"/>
      <selection pane="topRight" activeCell="D1" sqref="D1"/>
      <selection pane="bottomLeft" activeCell="A7" sqref="A7"/>
      <selection pane="bottomRight" activeCell="AD501" sqref="AD501"/>
    </sheetView>
  </sheetViews>
  <sheetFormatPr defaultColWidth="9.140625" defaultRowHeight="21.75"/>
  <cols>
    <col min="1" max="1" width="5.42578125" style="215" customWidth="1"/>
    <col min="2" max="2" width="44.42578125" style="70" bestFit="1" customWidth="1"/>
    <col min="3" max="3" width="6.85546875" style="637" hidden="1" customWidth="1"/>
    <col min="4" max="4" width="12.140625" style="742" customWidth="1"/>
    <col min="5" max="6" width="12.140625" style="303" customWidth="1"/>
    <col min="7" max="7" width="12.140625" style="742" customWidth="1"/>
    <col min="8" max="13" width="12.140625" style="303" customWidth="1"/>
    <col min="14" max="15" width="12.140625" style="742" customWidth="1"/>
    <col min="16" max="16" width="12.140625" style="303" customWidth="1"/>
    <col min="17" max="17" width="12" style="303" customWidth="1"/>
    <col min="18" max="19" width="12.140625" style="303" customWidth="1"/>
    <col min="20" max="20" width="11.5703125" style="303" customWidth="1"/>
    <col min="21" max="21" width="11.5703125" style="742" customWidth="1"/>
    <col min="22" max="25" width="11.5703125" style="303" customWidth="1"/>
    <col min="26" max="26" width="11.5703125" style="1062" customWidth="1"/>
    <col min="27" max="27" width="11.5703125" style="303" customWidth="1"/>
    <col min="28" max="28" width="11.5703125" style="742" customWidth="1"/>
    <col min="29" max="31" width="11.5703125" style="303" customWidth="1"/>
    <col min="32" max="32" width="11.5703125" style="742" customWidth="1"/>
    <col min="33" max="34" width="11.5703125" style="303" customWidth="1"/>
    <col min="35" max="35" width="14.42578125" style="305" customWidth="1"/>
    <col min="36" max="36" width="9.7109375" style="302" customWidth="1"/>
    <col min="37" max="37" width="21.28515625" style="302" customWidth="1"/>
    <col min="38" max="38" width="16.140625" style="214" customWidth="1"/>
    <col min="39" max="39" width="24.140625" style="214" customWidth="1"/>
    <col min="40" max="42" width="17.42578125" style="214" customWidth="1"/>
    <col min="43" max="43" width="23.42578125" style="605" customWidth="1"/>
    <col min="44" max="44" width="19.28515625" style="198" customWidth="1"/>
    <col min="45" max="45" width="14" style="198" customWidth="1"/>
    <col min="46" max="46" width="12.140625" style="198" bestFit="1" customWidth="1"/>
    <col min="47" max="47" width="16.28515625" style="198" customWidth="1"/>
    <col min="48" max="16384" width="9.140625" style="198"/>
  </cols>
  <sheetData>
    <row r="1" spans="1:45" ht="17.25" customHeight="1">
      <c r="A1" s="1887" t="s">
        <v>47</v>
      </c>
      <c r="B1" s="1887"/>
      <c r="C1" s="1887"/>
      <c r="D1" s="723"/>
      <c r="E1" s="302"/>
      <c r="F1" s="302"/>
      <c r="G1" s="723"/>
      <c r="H1" s="302"/>
      <c r="I1" s="302"/>
      <c r="J1" s="302"/>
      <c r="K1" s="302"/>
      <c r="L1" s="302"/>
      <c r="M1" s="302"/>
      <c r="N1" s="723"/>
      <c r="O1" s="723"/>
      <c r="P1" s="302"/>
      <c r="Q1" s="302"/>
      <c r="R1" s="302"/>
      <c r="S1" s="302"/>
      <c r="T1" s="302"/>
      <c r="U1" s="723"/>
      <c r="V1" s="302"/>
      <c r="W1" s="302"/>
      <c r="X1" s="302"/>
      <c r="Y1" s="302"/>
      <c r="Z1" s="1060"/>
      <c r="AA1" s="302"/>
      <c r="AB1" s="723"/>
      <c r="AC1" s="302"/>
      <c r="AD1" s="302"/>
      <c r="AE1" s="302"/>
      <c r="AF1" s="723"/>
      <c r="AG1" s="302"/>
      <c r="AH1" s="302"/>
      <c r="AI1" s="302"/>
    </row>
    <row r="2" spans="1:45" ht="18" customHeight="1">
      <c r="A2" s="1888"/>
      <c r="B2" s="1888"/>
      <c r="C2" s="1888"/>
      <c r="D2" s="723"/>
      <c r="E2" s="302"/>
      <c r="F2" s="302"/>
      <c r="G2" s="723"/>
      <c r="H2" s="302"/>
      <c r="I2" s="302"/>
      <c r="J2" s="302"/>
      <c r="K2" s="302"/>
      <c r="L2" s="302"/>
      <c r="M2" s="302"/>
      <c r="N2" s="723"/>
      <c r="O2" s="723"/>
      <c r="P2" s="302"/>
      <c r="Q2" s="302"/>
      <c r="R2" s="302"/>
      <c r="S2" s="302"/>
      <c r="T2" s="302"/>
      <c r="U2" s="723"/>
      <c r="V2" s="302"/>
      <c r="W2" s="302"/>
      <c r="X2" s="302"/>
      <c r="Y2" s="302"/>
      <c r="Z2" s="1060"/>
      <c r="AA2" s="302"/>
      <c r="AB2" s="723"/>
      <c r="AC2" s="302"/>
      <c r="AD2" s="302"/>
      <c r="AE2" s="302"/>
      <c r="AF2" s="723"/>
      <c r="AG2" s="302"/>
      <c r="AH2" s="302"/>
      <c r="AI2" s="302"/>
    </row>
    <row r="3" spans="1:45" ht="18.75" customHeight="1">
      <c r="A3" s="1888" t="s">
        <v>256</v>
      </c>
      <c r="B3" s="1888"/>
      <c r="C3" s="1888"/>
      <c r="D3" s="723"/>
      <c r="E3" s="302"/>
      <c r="F3" s="302"/>
      <c r="G3" s="723"/>
      <c r="H3" s="302"/>
      <c r="I3" s="302"/>
      <c r="J3" s="302"/>
      <c r="K3" s="302"/>
      <c r="L3" s="302"/>
      <c r="M3" s="302"/>
      <c r="N3" s="723"/>
      <c r="O3" s="723"/>
      <c r="P3" s="302"/>
      <c r="Q3" s="302"/>
      <c r="R3" s="302"/>
      <c r="S3" s="302"/>
      <c r="T3" s="302"/>
      <c r="U3" s="723"/>
      <c r="V3" s="302"/>
      <c r="W3" s="302"/>
      <c r="X3" s="302"/>
      <c r="Y3" s="302"/>
      <c r="Z3" s="1060"/>
      <c r="AA3" s="302"/>
      <c r="AB3" s="723"/>
      <c r="AC3" s="302"/>
      <c r="AD3" s="302"/>
      <c r="AE3" s="302"/>
      <c r="AF3" s="723"/>
      <c r="AG3" s="302"/>
      <c r="AH3" s="302"/>
      <c r="AI3" s="302"/>
    </row>
    <row r="4" spans="1:45" ht="22.5" thickBot="1">
      <c r="A4" s="1886" t="s">
        <v>773</v>
      </c>
      <c r="B4" s="1886"/>
      <c r="C4" s="1886"/>
      <c r="E4" s="1061">
        <v>129220</v>
      </c>
      <c r="F4" s="1061">
        <v>129220</v>
      </c>
      <c r="N4" s="1224"/>
      <c r="R4" s="304"/>
      <c r="S4" s="304"/>
      <c r="T4" s="322">
        <v>129220</v>
      </c>
      <c r="U4" s="744"/>
      <c r="AH4" s="1061">
        <v>121333.33</v>
      </c>
      <c r="AR4" s="217"/>
      <c r="AS4" s="217"/>
    </row>
    <row r="5" spans="1:45" s="199" customFormat="1" ht="30.75" customHeight="1" thickTop="1">
      <c r="A5" s="1879" t="s">
        <v>5</v>
      </c>
      <c r="B5" s="1877" t="s">
        <v>230</v>
      </c>
      <c r="C5" s="1881" t="s">
        <v>648</v>
      </c>
      <c r="D5" s="1069" t="s">
        <v>257</v>
      </c>
      <c r="E5" s="306"/>
      <c r="F5" s="306"/>
      <c r="G5" s="724"/>
      <c r="H5" s="306"/>
      <c r="I5" s="306"/>
      <c r="J5" s="306"/>
      <c r="K5" s="306"/>
      <c r="L5" s="306"/>
      <c r="M5" s="306"/>
      <c r="N5" s="724"/>
      <c r="O5" s="724"/>
      <c r="P5" s="306"/>
      <c r="Q5" s="306"/>
      <c r="R5" s="306"/>
      <c r="S5" s="306"/>
      <c r="T5" s="306"/>
      <c r="U5" s="724"/>
      <c r="V5" s="306"/>
      <c r="W5" s="306"/>
      <c r="X5" s="306"/>
      <c r="Y5" s="306"/>
      <c r="Z5" s="1063"/>
      <c r="AA5" s="306"/>
      <c r="AB5" s="724"/>
      <c r="AC5" s="306"/>
      <c r="AD5" s="306"/>
      <c r="AE5" s="306"/>
      <c r="AF5" s="724"/>
      <c r="AG5" s="306"/>
      <c r="AH5" s="1064"/>
      <c r="AI5" s="1871" t="s">
        <v>38</v>
      </c>
      <c r="AJ5" s="1873" t="s">
        <v>258</v>
      </c>
      <c r="AK5" s="1875" t="s">
        <v>259</v>
      </c>
      <c r="AL5" s="213"/>
      <c r="AM5" s="213"/>
      <c r="AN5" s="213"/>
      <c r="AO5" s="213"/>
      <c r="AP5" s="213"/>
      <c r="AQ5" s="606"/>
      <c r="AR5" s="218"/>
      <c r="AS5" s="218"/>
    </row>
    <row r="6" spans="1:45" s="216" customFormat="1" ht="30.75" customHeight="1" thickBot="1">
      <c r="A6" s="1880"/>
      <c r="B6" s="1878"/>
      <c r="C6" s="1882"/>
      <c r="D6" s="725">
        <v>1</v>
      </c>
      <c r="E6" s="307">
        <v>2</v>
      </c>
      <c r="F6" s="307">
        <v>3</v>
      </c>
      <c r="G6" s="725">
        <v>4</v>
      </c>
      <c r="H6" s="307">
        <v>5</v>
      </c>
      <c r="I6" s="307">
        <v>6</v>
      </c>
      <c r="J6" s="307">
        <v>7</v>
      </c>
      <c r="K6" s="307">
        <v>8</v>
      </c>
      <c r="L6" s="307">
        <v>9</v>
      </c>
      <c r="M6" s="307">
        <v>10</v>
      </c>
      <c r="N6" s="725">
        <v>11</v>
      </c>
      <c r="O6" s="725">
        <v>12</v>
      </c>
      <c r="P6" s="307">
        <v>13</v>
      </c>
      <c r="Q6" s="307">
        <v>14</v>
      </c>
      <c r="R6" s="307">
        <v>15</v>
      </c>
      <c r="S6" s="307">
        <v>16</v>
      </c>
      <c r="T6" s="307">
        <v>17</v>
      </c>
      <c r="U6" s="725">
        <v>18</v>
      </c>
      <c r="V6" s="307">
        <v>19</v>
      </c>
      <c r="W6" s="307">
        <v>20</v>
      </c>
      <c r="X6" s="307">
        <v>21</v>
      </c>
      <c r="Y6" s="307">
        <v>22</v>
      </c>
      <c r="Z6" s="307">
        <v>23</v>
      </c>
      <c r="AA6" s="307">
        <v>24</v>
      </c>
      <c r="AB6" s="725">
        <v>25</v>
      </c>
      <c r="AC6" s="307">
        <v>26</v>
      </c>
      <c r="AD6" s="307">
        <v>27</v>
      </c>
      <c r="AE6" s="307">
        <v>28</v>
      </c>
      <c r="AF6" s="725">
        <v>29</v>
      </c>
      <c r="AG6" s="307">
        <v>30</v>
      </c>
      <c r="AH6" s="307">
        <v>31</v>
      </c>
      <c r="AI6" s="1872"/>
      <c r="AJ6" s="1874"/>
      <c r="AK6" s="1876"/>
      <c r="AL6" s="265"/>
      <c r="AM6" s="265" t="s">
        <v>568</v>
      </c>
      <c r="AN6" s="265"/>
      <c r="AO6" s="265"/>
      <c r="AP6" s="265"/>
      <c r="AQ6" s="607"/>
      <c r="AR6" s="266"/>
      <c r="AS6" s="265"/>
    </row>
    <row r="7" spans="1:45" s="216" customFormat="1" ht="21.75" customHeight="1" thickTop="1">
      <c r="A7" s="293">
        <v>1</v>
      </c>
      <c r="B7" s="219" t="s">
        <v>138</v>
      </c>
      <c r="C7" s="1889" t="s">
        <v>399</v>
      </c>
      <c r="D7" s="731"/>
      <c r="E7" s="1065">
        <v>1</v>
      </c>
      <c r="F7" s="1065">
        <v>1</v>
      </c>
      <c r="G7" s="731"/>
      <c r="H7" s="308">
        <v>1</v>
      </c>
      <c r="I7" s="308">
        <v>1</v>
      </c>
      <c r="J7" s="308">
        <v>1</v>
      </c>
      <c r="K7" s="308">
        <v>1</v>
      </c>
      <c r="L7" s="308">
        <v>1</v>
      </c>
      <c r="M7" s="308">
        <v>1</v>
      </c>
      <c r="N7" s="731"/>
      <c r="O7" s="731"/>
      <c r="P7" s="308">
        <v>1</v>
      </c>
      <c r="Q7" s="308">
        <v>1</v>
      </c>
      <c r="R7" s="308">
        <v>1</v>
      </c>
      <c r="S7" s="308">
        <v>1</v>
      </c>
      <c r="T7" s="308">
        <v>1</v>
      </c>
      <c r="U7" s="731"/>
      <c r="V7" s="308">
        <v>1</v>
      </c>
      <c r="W7" s="308">
        <v>1</v>
      </c>
      <c r="X7" s="308">
        <v>1</v>
      </c>
      <c r="Y7" s="308">
        <v>1</v>
      </c>
      <c r="Z7" s="308">
        <v>1</v>
      </c>
      <c r="AA7" s="308">
        <v>1</v>
      </c>
      <c r="AB7" s="731"/>
      <c r="AC7" s="308">
        <v>1</v>
      </c>
      <c r="AD7" s="308">
        <v>1</v>
      </c>
      <c r="AE7" s="308">
        <v>1</v>
      </c>
      <c r="AF7" s="731"/>
      <c r="AG7" s="308">
        <v>1</v>
      </c>
      <c r="AH7" s="308">
        <v>1</v>
      </c>
      <c r="AI7" s="309">
        <f>SUM(D7:AH7)</f>
        <v>24</v>
      </c>
      <c r="AJ7" s="310"/>
      <c r="AK7" s="224"/>
      <c r="AL7" s="311"/>
      <c r="AN7" s="312"/>
      <c r="AO7" s="313"/>
      <c r="AP7" s="314"/>
      <c r="AQ7" s="608"/>
    </row>
    <row r="8" spans="1:45" s="322" customFormat="1" ht="68.25" customHeight="1">
      <c r="A8" s="295"/>
      <c r="B8" s="297" t="s">
        <v>188</v>
      </c>
      <c r="C8" s="1890"/>
      <c r="D8" s="726"/>
      <c r="E8" s="318" t="s">
        <v>792</v>
      </c>
      <c r="F8" s="318" t="s">
        <v>816</v>
      </c>
      <c r="G8" s="726"/>
      <c r="H8" s="318" t="s">
        <v>810</v>
      </c>
      <c r="I8" s="318"/>
      <c r="J8" s="318" t="s">
        <v>831</v>
      </c>
      <c r="K8" s="318" t="s">
        <v>791</v>
      </c>
      <c r="L8" s="318" t="s">
        <v>792</v>
      </c>
      <c r="M8" s="318" t="s">
        <v>799</v>
      </c>
      <c r="N8" s="726"/>
      <c r="O8" s="726"/>
      <c r="P8" s="318" t="s">
        <v>810</v>
      </c>
      <c r="Q8" s="319" t="s">
        <v>802</v>
      </c>
      <c r="R8" s="318" t="s">
        <v>797</v>
      </c>
      <c r="S8" s="319" t="s">
        <v>740</v>
      </c>
      <c r="T8" s="318" t="s">
        <v>789</v>
      </c>
      <c r="U8" s="726"/>
      <c r="V8" s="318" t="s">
        <v>792</v>
      </c>
      <c r="W8" s="509" t="s">
        <v>934</v>
      </c>
      <c r="X8" s="318" t="s">
        <v>804</v>
      </c>
      <c r="Y8" s="318" t="s">
        <v>877</v>
      </c>
      <c r="Z8" s="320" t="s">
        <v>903</v>
      </c>
      <c r="AA8" s="318" t="s">
        <v>792</v>
      </c>
      <c r="AB8" s="726"/>
      <c r="AC8" s="318" t="s">
        <v>816</v>
      </c>
      <c r="AD8" s="318" t="s">
        <v>801</v>
      </c>
      <c r="AE8" s="318" t="s">
        <v>804</v>
      </c>
      <c r="AF8" s="726"/>
      <c r="AG8" s="318" t="s">
        <v>797</v>
      </c>
      <c r="AH8" s="318" t="s">
        <v>831</v>
      </c>
      <c r="AI8" s="321"/>
      <c r="AJ8" s="317"/>
      <c r="AK8" s="221"/>
      <c r="AO8" s="323"/>
      <c r="AQ8" s="609"/>
    </row>
    <row r="9" spans="1:45" s="322" customFormat="1" ht="15.75" customHeight="1">
      <c r="A9" s="295"/>
      <c r="B9" s="297" t="s">
        <v>281</v>
      </c>
      <c r="C9" s="1890"/>
      <c r="D9" s="727"/>
      <c r="E9" s="324" t="s">
        <v>863</v>
      </c>
      <c r="F9" s="324" t="s">
        <v>862</v>
      </c>
      <c r="G9" s="727"/>
      <c r="H9" s="324" t="s">
        <v>861</v>
      </c>
      <c r="I9" s="324"/>
      <c r="J9" s="324" t="s">
        <v>860</v>
      </c>
      <c r="K9" s="324">
        <v>29</v>
      </c>
      <c r="L9" s="324" t="s">
        <v>860</v>
      </c>
      <c r="M9" s="324" t="s">
        <v>860</v>
      </c>
      <c r="N9" s="727"/>
      <c r="O9" s="727"/>
      <c r="P9" s="324" t="s">
        <v>94</v>
      </c>
      <c r="Q9" s="324" t="s">
        <v>860</v>
      </c>
      <c r="R9" s="324" t="s">
        <v>94</v>
      </c>
      <c r="S9" s="324" t="s">
        <v>860</v>
      </c>
      <c r="T9" s="324">
        <v>29</v>
      </c>
      <c r="U9" s="727"/>
      <c r="V9" s="324" t="s">
        <v>860</v>
      </c>
      <c r="W9" s="460">
        <v>29</v>
      </c>
      <c r="X9" s="324" t="s">
        <v>860</v>
      </c>
      <c r="Y9" s="324" t="s">
        <v>860</v>
      </c>
      <c r="Z9" s="324" t="s">
        <v>860</v>
      </c>
      <c r="AA9" s="324">
        <v>30</v>
      </c>
      <c r="AB9" s="727"/>
      <c r="AC9" s="324" t="s">
        <v>94</v>
      </c>
      <c r="AD9" s="324" t="s">
        <v>860</v>
      </c>
      <c r="AE9" s="324" t="s">
        <v>860</v>
      </c>
      <c r="AF9" s="727"/>
      <c r="AG9" s="324" t="s">
        <v>860</v>
      </c>
      <c r="AH9" s="324">
        <v>29</v>
      </c>
      <c r="AI9" s="321"/>
      <c r="AJ9" s="317"/>
      <c r="AK9" s="221"/>
      <c r="AO9" s="323"/>
      <c r="AQ9" s="609"/>
    </row>
    <row r="10" spans="1:45" s="322" customFormat="1" ht="15.75" customHeight="1">
      <c r="A10" s="295"/>
      <c r="B10" s="220" t="s">
        <v>260</v>
      </c>
      <c r="C10" s="1890"/>
      <c r="D10" s="728"/>
      <c r="E10" s="325">
        <v>90</v>
      </c>
      <c r="F10" s="325">
        <v>90</v>
      </c>
      <c r="G10" s="728"/>
      <c r="H10" s="325">
        <v>103</v>
      </c>
      <c r="I10" s="325"/>
      <c r="J10" s="325">
        <v>103</v>
      </c>
      <c r="K10" s="325">
        <v>103</v>
      </c>
      <c r="L10" s="325">
        <v>90</v>
      </c>
      <c r="M10" s="325">
        <v>90</v>
      </c>
      <c r="N10" s="728"/>
      <c r="O10" s="728"/>
      <c r="P10" s="325">
        <v>103</v>
      </c>
      <c r="Q10" s="325">
        <v>114</v>
      </c>
      <c r="R10" s="325">
        <v>114</v>
      </c>
      <c r="S10" s="325">
        <v>103</v>
      </c>
      <c r="T10" s="325">
        <v>103</v>
      </c>
      <c r="U10" s="728"/>
      <c r="V10" s="325">
        <v>90</v>
      </c>
      <c r="W10" s="325">
        <v>103</v>
      </c>
      <c r="X10" s="325">
        <v>114</v>
      </c>
      <c r="Y10" s="325">
        <v>114</v>
      </c>
      <c r="Z10" s="325">
        <v>103</v>
      </c>
      <c r="AA10" s="325">
        <v>90</v>
      </c>
      <c r="AB10" s="728"/>
      <c r="AC10" s="325">
        <v>90</v>
      </c>
      <c r="AD10" s="325">
        <v>103</v>
      </c>
      <c r="AE10" s="325">
        <v>114</v>
      </c>
      <c r="AF10" s="728"/>
      <c r="AG10" s="325">
        <v>114</v>
      </c>
      <c r="AH10" s="325">
        <v>103</v>
      </c>
      <c r="AI10" s="321">
        <f t="shared" ref="AI10:AI19" si="0">SUM(D10:AH10)</f>
        <v>2344</v>
      </c>
      <c r="AJ10" s="294"/>
      <c r="AK10" s="221"/>
      <c r="AO10" s="323"/>
      <c r="AQ10" s="609"/>
    </row>
    <row r="11" spans="1:45" s="330" customFormat="1" ht="15.75" customHeight="1">
      <c r="A11" s="295"/>
      <c r="B11" s="298" t="s">
        <v>56</v>
      </c>
      <c r="C11" s="1890"/>
      <c r="D11" s="729"/>
      <c r="E11" s="327">
        <v>150</v>
      </c>
      <c r="F11" s="327">
        <v>75</v>
      </c>
      <c r="G11" s="729"/>
      <c r="H11" s="327">
        <v>190</v>
      </c>
      <c r="I11" s="327"/>
      <c r="J11" s="327">
        <v>58</v>
      </c>
      <c r="K11" s="327">
        <v>62</v>
      </c>
      <c r="L11" s="327">
        <v>37</v>
      </c>
      <c r="M11" s="327">
        <v>57</v>
      </c>
      <c r="N11" s="729"/>
      <c r="O11" s="729"/>
      <c r="P11" s="327">
        <v>74</v>
      </c>
      <c r="Q11" s="327">
        <v>101</v>
      </c>
      <c r="R11" s="327">
        <v>79</v>
      </c>
      <c r="S11" s="327">
        <f>212+13</f>
        <v>225</v>
      </c>
      <c r="T11" s="327">
        <f>74+2</f>
        <v>76</v>
      </c>
      <c r="U11" s="729"/>
      <c r="V11" s="327">
        <v>166</v>
      </c>
      <c r="W11" s="327">
        <v>100</v>
      </c>
      <c r="X11" s="327">
        <f>102+3+5</f>
        <v>110</v>
      </c>
      <c r="Y11" s="327">
        <f>80+1+6</f>
        <v>87</v>
      </c>
      <c r="Z11" s="327">
        <v>56</v>
      </c>
      <c r="AA11" s="327">
        <f>39+6</f>
        <v>45</v>
      </c>
      <c r="AB11" s="729"/>
      <c r="AC11" s="327">
        <f>65+3</f>
        <v>68</v>
      </c>
      <c r="AD11" s="327">
        <f>68+2</f>
        <v>70</v>
      </c>
      <c r="AE11" s="327">
        <v>121</v>
      </c>
      <c r="AF11" s="729"/>
      <c r="AG11" s="327">
        <f>178+11</f>
        <v>189</v>
      </c>
      <c r="AH11" s="327">
        <v>56</v>
      </c>
      <c r="AI11" s="328">
        <f>SUM(D11:AH11)</f>
        <v>2252</v>
      </c>
      <c r="AJ11" s="296"/>
      <c r="AK11" s="222"/>
      <c r="AL11" s="329">
        <v>1648</v>
      </c>
      <c r="AM11" s="329">
        <f>AI11-AL11</f>
        <v>604</v>
      </c>
      <c r="AO11" s="331"/>
      <c r="AQ11" s="610"/>
    </row>
    <row r="12" spans="1:45" s="322" customFormat="1" ht="15.75" customHeight="1">
      <c r="A12" s="295"/>
      <c r="B12" s="220" t="s">
        <v>642</v>
      </c>
      <c r="C12" s="1890"/>
      <c r="D12" s="728"/>
      <c r="E12" s="325">
        <f>E11-E10</f>
        <v>60</v>
      </c>
      <c r="F12" s="325"/>
      <c r="G12" s="728"/>
      <c r="H12" s="325"/>
      <c r="I12" s="325"/>
      <c r="J12" s="325"/>
      <c r="K12" s="325"/>
      <c r="L12" s="325"/>
      <c r="M12" s="325"/>
      <c r="N12" s="728"/>
      <c r="O12" s="728"/>
      <c r="P12" s="325"/>
      <c r="Q12" s="325"/>
      <c r="R12" s="325"/>
      <c r="S12" s="325"/>
      <c r="T12" s="325"/>
      <c r="U12" s="728"/>
      <c r="V12" s="325">
        <f>V11-V10</f>
        <v>76</v>
      </c>
      <c r="W12" s="325"/>
      <c r="X12" s="325"/>
      <c r="Y12" s="325"/>
      <c r="Z12" s="325"/>
      <c r="AA12" s="325"/>
      <c r="AB12" s="728"/>
      <c r="AC12" s="325"/>
      <c r="AD12" s="325"/>
      <c r="AE12" s="325"/>
      <c r="AF12" s="728"/>
      <c r="AG12" s="325"/>
      <c r="AH12" s="325"/>
      <c r="AI12" s="321">
        <f t="shared" si="0"/>
        <v>136</v>
      </c>
      <c r="AJ12" s="317">
        <v>1409</v>
      </c>
      <c r="AK12" s="221">
        <f>AI12*AJ12</f>
        <v>191624</v>
      </c>
      <c r="AO12" s="323"/>
      <c r="AQ12" s="609"/>
    </row>
    <row r="13" spans="1:45" s="322" customFormat="1" ht="15.75" customHeight="1">
      <c r="A13" s="295"/>
      <c r="B13" s="220" t="s">
        <v>721</v>
      </c>
      <c r="C13" s="1890"/>
      <c r="D13" s="728"/>
      <c r="E13" s="325"/>
      <c r="F13" s="325"/>
      <c r="G13" s="728"/>
      <c r="H13" s="325">
        <f>H11-H10</f>
        <v>87</v>
      </c>
      <c r="I13" s="325"/>
      <c r="J13" s="325"/>
      <c r="K13" s="325"/>
      <c r="L13" s="325"/>
      <c r="M13" s="325"/>
      <c r="N13" s="728"/>
      <c r="O13" s="727"/>
      <c r="P13" s="324"/>
      <c r="Q13" s="325"/>
      <c r="R13" s="325"/>
      <c r="S13" s="325">
        <f>S11-S10</f>
        <v>122</v>
      </c>
      <c r="T13" s="325"/>
      <c r="U13" s="728"/>
      <c r="V13" s="325"/>
      <c r="W13" s="325"/>
      <c r="X13" s="325"/>
      <c r="Y13" s="325"/>
      <c r="Z13" s="325"/>
      <c r="AA13" s="325"/>
      <c r="AB13" s="728"/>
      <c r="AC13" s="325"/>
      <c r="AD13" s="325"/>
      <c r="AE13" s="325"/>
      <c r="AF13" s="728"/>
      <c r="AG13" s="325"/>
      <c r="AH13" s="325"/>
      <c r="AI13" s="321">
        <f t="shared" si="0"/>
        <v>209</v>
      </c>
      <c r="AJ13" s="317">
        <v>1322</v>
      </c>
      <c r="AK13" s="221">
        <f>AI13*AJ13</f>
        <v>276298</v>
      </c>
      <c r="AO13" s="323"/>
      <c r="AQ13" s="609"/>
    </row>
    <row r="14" spans="1:45" s="322" customFormat="1" ht="15.75" customHeight="1">
      <c r="A14" s="295"/>
      <c r="B14" s="220" t="s">
        <v>366</v>
      </c>
      <c r="C14" s="1890"/>
      <c r="D14" s="728"/>
      <c r="E14" s="325"/>
      <c r="F14" s="325"/>
      <c r="G14" s="728"/>
      <c r="H14" s="325"/>
      <c r="I14" s="325"/>
      <c r="J14" s="325"/>
      <c r="K14" s="325"/>
      <c r="L14" s="325"/>
      <c r="M14" s="325"/>
      <c r="N14" s="728"/>
      <c r="O14" s="728"/>
      <c r="P14" s="325"/>
      <c r="Q14" s="325"/>
      <c r="R14" s="325"/>
      <c r="S14" s="325"/>
      <c r="T14" s="325"/>
      <c r="U14" s="728"/>
      <c r="V14" s="325"/>
      <c r="W14" s="325"/>
      <c r="X14" s="325"/>
      <c r="Y14" s="325"/>
      <c r="Z14" s="325"/>
      <c r="AA14" s="325"/>
      <c r="AB14" s="728"/>
      <c r="AC14" s="325"/>
      <c r="AD14" s="325"/>
      <c r="AE14" s="325">
        <f>AE11-AE10</f>
        <v>7</v>
      </c>
      <c r="AF14" s="728"/>
      <c r="AG14" s="325">
        <f>AG11-AG10</f>
        <v>75</v>
      </c>
      <c r="AH14" s="325"/>
      <c r="AI14" s="321">
        <f t="shared" si="0"/>
        <v>82</v>
      </c>
      <c r="AJ14" s="317">
        <v>1233</v>
      </c>
      <c r="AK14" s="221">
        <f>AI14*AJ14</f>
        <v>101106</v>
      </c>
      <c r="AO14" s="323"/>
      <c r="AQ14" s="609"/>
    </row>
    <row r="15" spans="1:45" s="322" customFormat="1" ht="15.75" customHeight="1">
      <c r="A15" s="295"/>
      <c r="B15" s="220" t="s">
        <v>643</v>
      </c>
      <c r="C15" s="1890"/>
      <c r="D15" s="728"/>
      <c r="E15" s="325"/>
      <c r="F15" s="325"/>
      <c r="G15" s="728"/>
      <c r="H15" s="325"/>
      <c r="I15" s="325"/>
      <c r="J15" s="325"/>
      <c r="K15" s="325"/>
      <c r="L15" s="325"/>
      <c r="M15" s="325"/>
      <c r="N15" s="728"/>
      <c r="O15" s="728"/>
      <c r="P15" s="325"/>
      <c r="Q15" s="325"/>
      <c r="R15" s="325"/>
      <c r="S15" s="325"/>
      <c r="T15" s="325"/>
      <c r="U15" s="728"/>
      <c r="V15" s="325"/>
      <c r="W15" s="325"/>
      <c r="X15" s="325"/>
      <c r="Y15" s="325"/>
      <c r="Z15" s="325"/>
      <c r="AA15" s="325"/>
      <c r="AB15" s="728"/>
      <c r="AC15" s="325"/>
      <c r="AD15" s="325"/>
      <c r="AE15" s="325"/>
      <c r="AF15" s="728"/>
      <c r="AG15" s="325"/>
      <c r="AH15" s="325"/>
      <c r="AI15" s="321">
        <f t="shared" si="0"/>
        <v>0</v>
      </c>
      <c r="AJ15" s="317">
        <v>1043</v>
      </c>
      <c r="AK15" s="221">
        <f>AI15*AJ15</f>
        <v>0</v>
      </c>
      <c r="AO15" s="323"/>
      <c r="AQ15" s="609"/>
    </row>
    <row r="16" spans="1:45" s="322" customFormat="1" ht="15.75" customHeight="1">
      <c r="A16" s="295"/>
      <c r="B16" s="220" t="s">
        <v>367</v>
      </c>
      <c r="C16" s="1890"/>
      <c r="D16" s="728"/>
      <c r="E16" s="325"/>
      <c r="F16" s="325"/>
      <c r="G16" s="728"/>
      <c r="H16" s="325"/>
      <c r="I16" s="325"/>
      <c r="J16" s="325"/>
      <c r="K16" s="325"/>
      <c r="L16" s="325"/>
      <c r="M16" s="325"/>
      <c r="N16" s="728"/>
      <c r="O16" s="728"/>
      <c r="P16" s="325"/>
      <c r="Q16" s="325"/>
      <c r="R16" s="325"/>
      <c r="S16" s="325"/>
      <c r="T16" s="325"/>
      <c r="U16" s="728"/>
      <c r="V16" s="325"/>
      <c r="W16" s="325"/>
      <c r="X16" s="325"/>
      <c r="Y16" s="325"/>
      <c r="Z16" s="325"/>
      <c r="AA16" s="325"/>
      <c r="AB16" s="728"/>
      <c r="AC16" s="325"/>
      <c r="AD16" s="325"/>
      <c r="AE16" s="325"/>
      <c r="AF16" s="728"/>
      <c r="AG16" s="325"/>
      <c r="AH16" s="325"/>
      <c r="AI16" s="321">
        <f t="shared" si="0"/>
        <v>0</v>
      </c>
      <c r="AJ16" s="317"/>
      <c r="AK16" s="221">
        <f>AI16*AJ16</f>
        <v>0</v>
      </c>
      <c r="AL16" s="326"/>
      <c r="AM16" s="326"/>
      <c r="AN16" s="326"/>
      <c r="AO16" s="323"/>
      <c r="AP16" s="326"/>
      <c r="AQ16" s="609"/>
    </row>
    <row r="17" spans="1:43" s="330" customFormat="1" ht="15.75" customHeight="1">
      <c r="A17" s="295"/>
      <c r="B17" s="298" t="s">
        <v>259</v>
      </c>
      <c r="C17" s="1890"/>
      <c r="D17" s="729"/>
      <c r="E17" s="327"/>
      <c r="F17" s="327"/>
      <c r="G17" s="729"/>
      <c r="H17" s="327"/>
      <c r="I17" s="327"/>
      <c r="J17" s="327"/>
      <c r="K17" s="327"/>
      <c r="L17" s="327"/>
      <c r="M17" s="327"/>
      <c r="N17" s="729"/>
      <c r="O17" s="729"/>
      <c r="P17" s="327"/>
      <c r="Q17" s="327"/>
      <c r="R17" s="327"/>
      <c r="S17" s="327"/>
      <c r="T17" s="327"/>
      <c r="U17" s="729"/>
      <c r="V17" s="327"/>
      <c r="W17" s="327"/>
      <c r="X17" s="332"/>
      <c r="Y17" s="327"/>
      <c r="Z17" s="327"/>
      <c r="AA17" s="327"/>
      <c r="AB17" s="729"/>
      <c r="AC17" s="327"/>
      <c r="AD17" s="327"/>
      <c r="AE17" s="327"/>
      <c r="AF17" s="729"/>
      <c r="AG17" s="327"/>
      <c r="AH17" s="327"/>
      <c r="AI17" s="328">
        <f t="shared" si="0"/>
        <v>0</v>
      </c>
      <c r="AJ17" s="333"/>
      <c r="AK17" s="222">
        <f>SUM(AK12:AK16)</f>
        <v>569028</v>
      </c>
      <c r="AL17" s="334"/>
      <c r="AM17" s="334"/>
      <c r="AN17" s="334"/>
      <c r="AO17" s="331"/>
      <c r="AP17" s="334"/>
      <c r="AQ17" s="610"/>
    </row>
    <row r="18" spans="1:43" s="322" customFormat="1" ht="15.75" customHeight="1">
      <c r="A18" s="295"/>
      <c r="B18" s="220" t="s">
        <v>57</v>
      </c>
      <c r="C18" s="1890"/>
      <c r="D18" s="728"/>
      <c r="E18" s="325">
        <v>15</v>
      </c>
      <c r="F18" s="325">
        <v>6</v>
      </c>
      <c r="G18" s="728"/>
      <c r="H18" s="325">
        <v>27</v>
      </c>
      <c r="I18" s="325"/>
      <c r="J18" s="325">
        <v>4</v>
      </c>
      <c r="K18" s="325">
        <v>5</v>
      </c>
      <c r="L18" s="325">
        <v>5</v>
      </c>
      <c r="M18" s="325">
        <v>9</v>
      </c>
      <c r="N18" s="728"/>
      <c r="O18" s="728"/>
      <c r="P18" s="325">
        <v>9</v>
      </c>
      <c r="Q18" s="325">
        <v>6</v>
      </c>
      <c r="R18" s="325">
        <v>6</v>
      </c>
      <c r="S18" s="325">
        <v>21</v>
      </c>
      <c r="T18" s="325">
        <v>11</v>
      </c>
      <c r="U18" s="728"/>
      <c r="V18" s="325">
        <v>23</v>
      </c>
      <c r="W18" s="325">
        <v>10</v>
      </c>
      <c r="X18" s="325">
        <v>6</v>
      </c>
      <c r="Y18" s="325">
        <v>18</v>
      </c>
      <c r="Z18" s="325">
        <v>14</v>
      </c>
      <c r="AA18" s="325">
        <v>8</v>
      </c>
      <c r="AB18" s="728"/>
      <c r="AC18" s="325">
        <v>9</v>
      </c>
      <c r="AD18" s="325">
        <v>12</v>
      </c>
      <c r="AE18" s="325">
        <v>10</v>
      </c>
      <c r="AF18" s="728"/>
      <c r="AG18" s="325">
        <v>27</v>
      </c>
      <c r="AH18" s="325">
        <v>12</v>
      </c>
      <c r="AI18" s="321">
        <f t="shared" si="0"/>
        <v>273</v>
      </c>
      <c r="AJ18" s="317">
        <v>1750</v>
      </c>
      <c r="AK18" s="221">
        <f>AI18*AJ18</f>
        <v>477750</v>
      </c>
      <c r="AL18" s="326">
        <v>233</v>
      </c>
      <c r="AM18" s="326">
        <f>AI18-AL18</f>
        <v>40</v>
      </c>
      <c r="AN18" s="326"/>
      <c r="AO18" s="323"/>
      <c r="AP18" s="326"/>
      <c r="AQ18" s="609"/>
    </row>
    <row r="19" spans="1:43" s="360" customFormat="1" ht="15.75" customHeight="1" thickBot="1">
      <c r="A19" s="352"/>
      <c r="B19" s="353" t="s">
        <v>44</v>
      </c>
      <c r="C19" s="1891"/>
      <c r="D19" s="730"/>
      <c r="E19" s="354"/>
      <c r="F19" s="354"/>
      <c r="G19" s="730"/>
      <c r="H19" s="354"/>
      <c r="I19" s="354"/>
      <c r="J19" s="354"/>
      <c r="K19" s="354"/>
      <c r="L19" s="354"/>
      <c r="M19" s="354"/>
      <c r="N19" s="730"/>
      <c r="O19" s="730"/>
      <c r="P19" s="354"/>
      <c r="Q19" s="354"/>
      <c r="R19" s="354"/>
      <c r="S19" s="354"/>
      <c r="T19" s="354"/>
      <c r="U19" s="1071"/>
      <c r="V19" s="354"/>
      <c r="W19" s="354"/>
      <c r="X19" s="354"/>
      <c r="Y19" s="354"/>
      <c r="Z19" s="354"/>
      <c r="AA19" s="354"/>
      <c r="AB19" s="730"/>
      <c r="AC19" s="354"/>
      <c r="AD19" s="354"/>
      <c r="AE19" s="354"/>
      <c r="AF19" s="730"/>
      <c r="AG19" s="354"/>
      <c r="AH19" s="354"/>
      <c r="AI19" s="355">
        <f t="shared" si="0"/>
        <v>0</v>
      </c>
      <c r="AJ19" s="356"/>
      <c r="AK19" s="357">
        <f>AI19</f>
        <v>0</v>
      </c>
      <c r="AL19" s="358"/>
      <c r="AM19" s="358"/>
      <c r="AN19" s="358"/>
      <c r="AO19" s="359"/>
      <c r="AP19" s="358"/>
      <c r="AQ19" s="611"/>
    </row>
    <row r="20" spans="1:43" s="216" customFormat="1" ht="15.75" customHeight="1" thickTop="1">
      <c r="A20" s="293">
        <v>2</v>
      </c>
      <c r="B20" s="219" t="s">
        <v>141</v>
      </c>
      <c r="C20" s="1892" t="s">
        <v>360</v>
      </c>
      <c r="D20" s="731"/>
      <c r="E20" s="308">
        <v>1</v>
      </c>
      <c r="F20" s="308">
        <v>1</v>
      </c>
      <c r="G20" s="731"/>
      <c r="H20" s="308">
        <v>1</v>
      </c>
      <c r="I20" s="308">
        <v>1</v>
      </c>
      <c r="J20" s="308">
        <v>1</v>
      </c>
      <c r="K20" s="308">
        <v>1</v>
      </c>
      <c r="L20" s="308">
        <v>1</v>
      </c>
      <c r="M20" s="308">
        <v>1</v>
      </c>
      <c r="N20" s="731"/>
      <c r="O20" s="731"/>
      <c r="P20" s="308">
        <v>1</v>
      </c>
      <c r="Q20" s="308">
        <v>1</v>
      </c>
      <c r="R20" s="308">
        <v>1</v>
      </c>
      <c r="S20" s="308">
        <v>1</v>
      </c>
      <c r="T20" s="308">
        <v>1</v>
      </c>
      <c r="U20" s="731"/>
      <c r="V20" s="308">
        <v>1</v>
      </c>
      <c r="W20" s="308">
        <v>1</v>
      </c>
      <c r="X20" s="308">
        <v>1</v>
      </c>
      <c r="Y20" s="308">
        <v>1</v>
      </c>
      <c r="Z20" s="308">
        <v>1</v>
      </c>
      <c r="AA20" s="308">
        <v>1</v>
      </c>
      <c r="AB20" s="731"/>
      <c r="AC20" s="308">
        <v>1</v>
      </c>
      <c r="AD20" s="308">
        <v>1</v>
      </c>
      <c r="AE20" s="308">
        <v>1</v>
      </c>
      <c r="AF20" s="731"/>
      <c r="AG20" s="308">
        <v>1</v>
      </c>
      <c r="AH20" s="308">
        <v>1</v>
      </c>
      <c r="AI20" s="309">
        <f t="shared" ref="AI20" si="1">SUM(D20:AH20)</f>
        <v>24</v>
      </c>
      <c r="AJ20" s="310"/>
      <c r="AK20" s="224"/>
      <c r="AL20" s="311"/>
      <c r="AN20" s="312"/>
      <c r="AO20" s="313"/>
      <c r="AP20" s="314"/>
      <c r="AQ20" s="608"/>
    </row>
    <row r="21" spans="1:43" s="322" customFormat="1" ht="54" customHeight="1">
      <c r="A21" s="295"/>
      <c r="B21" s="297" t="s">
        <v>188</v>
      </c>
      <c r="C21" s="1893"/>
      <c r="D21" s="726"/>
      <c r="E21" s="318" t="s">
        <v>791</v>
      </c>
      <c r="F21" s="318" t="s">
        <v>799</v>
      </c>
      <c r="G21" s="726"/>
      <c r="H21" s="318" t="s">
        <v>801</v>
      </c>
      <c r="I21" s="318" t="s">
        <v>740</v>
      </c>
      <c r="J21" s="318" t="s">
        <v>831</v>
      </c>
      <c r="K21" s="318" t="s">
        <v>791</v>
      </c>
      <c r="L21" s="318" t="s">
        <v>792</v>
      </c>
      <c r="M21" s="318" t="s">
        <v>799</v>
      </c>
      <c r="N21" s="726"/>
      <c r="O21" s="726"/>
      <c r="P21" s="318" t="s">
        <v>801</v>
      </c>
      <c r="Q21" s="318" t="s">
        <v>802</v>
      </c>
      <c r="R21" s="318" t="s">
        <v>740</v>
      </c>
      <c r="S21" s="319" t="s">
        <v>859</v>
      </c>
      <c r="T21" s="318" t="s">
        <v>791</v>
      </c>
      <c r="U21" s="726"/>
      <c r="V21" s="318" t="s">
        <v>792</v>
      </c>
      <c r="W21" s="318" t="s">
        <v>796</v>
      </c>
      <c r="X21" s="318" t="s">
        <v>804</v>
      </c>
      <c r="Y21" s="318" t="s">
        <v>877</v>
      </c>
      <c r="Z21" s="320" t="s">
        <v>903</v>
      </c>
      <c r="AA21" s="318" t="s">
        <v>813</v>
      </c>
      <c r="AB21" s="726"/>
      <c r="AC21" s="318" t="s">
        <v>816</v>
      </c>
      <c r="AD21" s="318" t="s">
        <v>801</v>
      </c>
      <c r="AE21" s="318" t="s">
        <v>804</v>
      </c>
      <c r="AF21" s="726"/>
      <c r="AG21" s="318" t="s">
        <v>877</v>
      </c>
      <c r="AH21" s="318" t="s">
        <v>903</v>
      </c>
      <c r="AI21" s="321"/>
      <c r="AJ21" s="317"/>
      <c r="AK21" s="221"/>
      <c r="AO21" s="323"/>
      <c r="AQ21" s="609"/>
    </row>
    <row r="22" spans="1:43" s="322" customFormat="1" ht="15.75" customHeight="1">
      <c r="A22" s="295"/>
      <c r="B22" s="297" t="s">
        <v>281</v>
      </c>
      <c r="C22" s="1893"/>
      <c r="D22" s="727"/>
      <c r="E22" s="324" t="s">
        <v>829</v>
      </c>
      <c r="F22" s="324">
        <v>2</v>
      </c>
      <c r="G22" s="727"/>
      <c r="H22" s="324" t="s">
        <v>829</v>
      </c>
      <c r="I22" s="324" t="s">
        <v>830</v>
      </c>
      <c r="J22" s="324" t="s">
        <v>830</v>
      </c>
      <c r="K22" s="324">
        <v>2</v>
      </c>
      <c r="L22" s="324" t="s">
        <v>829</v>
      </c>
      <c r="M22" s="324" t="s">
        <v>829</v>
      </c>
      <c r="N22" s="727"/>
      <c r="O22" s="727"/>
      <c r="P22" s="324" t="s">
        <v>832</v>
      </c>
      <c r="Q22" s="324" t="s">
        <v>829</v>
      </c>
      <c r="R22" s="324" t="s">
        <v>830</v>
      </c>
      <c r="S22" s="324">
        <v>2</v>
      </c>
      <c r="T22" s="324">
        <v>2</v>
      </c>
      <c r="U22" s="727"/>
      <c r="V22" s="324" t="s">
        <v>830</v>
      </c>
      <c r="W22" s="324" t="s">
        <v>829</v>
      </c>
      <c r="X22" s="324" t="s">
        <v>829</v>
      </c>
      <c r="Y22" s="324" t="s">
        <v>829</v>
      </c>
      <c r="Z22" s="324" t="s">
        <v>829</v>
      </c>
      <c r="AA22" s="324" t="s">
        <v>829</v>
      </c>
      <c r="AB22" s="727"/>
      <c r="AC22" s="324">
        <v>2</v>
      </c>
      <c r="AD22" s="324">
        <v>2</v>
      </c>
      <c r="AE22" s="324" t="s">
        <v>829</v>
      </c>
      <c r="AF22" s="727"/>
      <c r="AG22" s="324" t="s">
        <v>830</v>
      </c>
      <c r="AH22" s="324">
        <v>2</v>
      </c>
      <c r="AI22" s="321"/>
      <c r="AJ22" s="317"/>
      <c r="AK22" s="221"/>
      <c r="AO22" s="323"/>
      <c r="AQ22" s="609"/>
    </row>
    <row r="23" spans="1:43" s="322" customFormat="1" ht="15.75" customHeight="1">
      <c r="A23" s="295"/>
      <c r="B23" s="220" t="s">
        <v>260</v>
      </c>
      <c r="C23" s="1893"/>
      <c r="D23" s="728"/>
      <c r="E23" s="325">
        <v>103</v>
      </c>
      <c r="F23" s="325">
        <v>90</v>
      </c>
      <c r="G23" s="728"/>
      <c r="H23" s="325">
        <v>103</v>
      </c>
      <c r="I23" s="325">
        <v>103</v>
      </c>
      <c r="J23" s="325">
        <v>103</v>
      </c>
      <c r="K23" s="325">
        <v>13</v>
      </c>
      <c r="L23" s="325">
        <v>90</v>
      </c>
      <c r="M23" s="325">
        <v>90</v>
      </c>
      <c r="N23" s="728"/>
      <c r="O23" s="728"/>
      <c r="P23" s="325">
        <v>103</v>
      </c>
      <c r="Q23" s="325">
        <v>114</v>
      </c>
      <c r="R23" s="325">
        <v>103</v>
      </c>
      <c r="S23" s="325">
        <v>103</v>
      </c>
      <c r="T23" s="325">
        <v>103</v>
      </c>
      <c r="U23" s="728"/>
      <c r="V23" s="325">
        <v>90</v>
      </c>
      <c r="W23" s="325">
        <v>103</v>
      </c>
      <c r="X23" s="325">
        <v>114</v>
      </c>
      <c r="Y23" s="325">
        <v>114</v>
      </c>
      <c r="Z23" s="325">
        <v>103</v>
      </c>
      <c r="AA23" s="325">
        <v>103</v>
      </c>
      <c r="AB23" s="728"/>
      <c r="AC23" s="325">
        <v>90</v>
      </c>
      <c r="AD23" s="324">
        <v>103</v>
      </c>
      <c r="AE23" s="325">
        <v>114</v>
      </c>
      <c r="AF23" s="728"/>
      <c r="AG23" s="325">
        <v>114</v>
      </c>
      <c r="AH23" s="325">
        <v>103</v>
      </c>
      <c r="AI23" s="321">
        <f t="shared" ref="AI23:AI33" si="2">SUM(D23:AH23)</f>
        <v>2372</v>
      </c>
      <c r="AJ23" s="294"/>
      <c r="AK23" s="221"/>
      <c r="AO23" s="323"/>
      <c r="AQ23" s="609"/>
    </row>
    <row r="24" spans="1:43" s="330" customFormat="1" ht="15.75" customHeight="1">
      <c r="A24" s="295"/>
      <c r="B24" s="298" t="s">
        <v>56</v>
      </c>
      <c r="C24" s="1893"/>
      <c r="D24" s="729"/>
      <c r="E24" s="327">
        <v>150</v>
      </c>
      <c r="F24" s="327">
        <v>40</v>
      </c>
      <c r="G24" s="729"/>
      <c r="H24" s="327">
        <v>83</v>
      </c>
      <c r="I24" s="327">
        <v>127</v>
      </c>
      <c r="J24" s="327">
        <v>127</v>
      </c>
      <c r="K24" s="327">
        <v>40</v>
      </c>
      <c r="L24" s="327">
        <v>33</v>
      </c>
      <c r="M24" s="327">
        <v>28</v>
      </c>
      <c r="N24" s="729"/>
      <c r="O24" s="729"/>
      <c r="P24" s="327">
        <v>53</v>
      </c>
      <c r="Q24" s="327">
        <v>162</v>
      </c>
      <c r="R24" s="327">
        <v>128</v>
      </c>
      <c r="S24" s="327">
        <v>55</v>
      </c>
      <c r="T24" s="327">
        <v>40</v>
      </c>
      <c r="U24" s="729"/>
      <c r="V24" s="327">
        <v>130</v>
      </c>
      <c r="W24" s="327">
        <v>57</v>
      </c>
      <c r="X24" s="327">
        <v>60</v>
      </c>
      <c r="Y24" s="327">
        <f>99+2</f>
        <v>101</v>
      </c>
      <c r="Z24" s="327">
        <v>73</v>
      </c>
      <c r="AA24" s="327">
        <v>19</v>
      </c>
      <c r="AB24" s="729"/>
      <c r="AC24" s="327">
        <v>49</v>
      </c>
      <c r="AD24" s="327">
        <f>42+2</f>
        <v>44</v>
      </c>
      <c r="AE24" s="327">
        <v>105</v>
      </c>
      <c r="AF24" s="729"/>
      <c r="AG24" s="327">
        <v>109</v>
      </c>
      <c r="AH24" s="327">
        <v>53</v>
      </c>
      <c r="AI24" s="328">
        <f t="shared" si="2"/>
        <v>1866</v>
      </c>
      <c r="AJ24" s="296"/>
      <c r="AK24" s="222"/>
      <c r="AL24" s="329">
        <v>4439</v>
      </c>
      <c r="AM24" s="329">
        <f>AI24-AL24</f>
        <v>-2573</v>
      </c>
      <c r="AO24" s="331"/>
      <c r="AQ24" s="610"/>
    </row>
    <row r="25" spans="1:43" s="322" customFormat="1" ht="15.75" customHeight="1">
      <c r="A25" s="295"/>
      <c r="B25" s="220" t="s">
        <v>642</v>
      </c>
      <c r="C25" s="1893"/>
      <c r="D25" s="728"/>
      <c r="E25" s="325"/>
      <c r="F25" s="325"/>
      <c r="G25" s="728"/>
      <c r="H25" s="325"/>
      <c r="I25" s="325"/>
      <c r="J25" s="325"/>
      <c r="K25" s="325"/>
      <c r="L25" s="325"/>
      <c r="M25" s="325"/>
      <c r="N25" s="728"/>
      <c r="O25" s="728"/>
      <c r="P25" s="325"/>
      <c r="Q25" s="325"/>
      <c r="R25" s="325"/>
      <c r="S25" s="325"/>
      <c r="T25" s="325"/>
      <c r="U25" s="728"/>
      <c r="V25" s="325">
        <f>V24-V23</f>
        <v>40</v>
      </c>
      <c r="W25" s="325"/>
      <c r="X25" s="325"/>
      <c r="Y25" s="325"/>
      <c r="Z25" s="325"/>
      <c r="AA25" s="325"/>
      <c r="AB25" s="728"/>
      <c r="AC25" s="325"/>
      <c r="AD25" s="325"/>
      <c r="AE25" s="325"/>
      <c r="AF25" s="728"/>
      <c r="AG25" s="325"/>
      <c r="AH25" s="325"/>
      <c r="AI25" s="321">
        <f t="shared" si="2"/>
        <v>40</v>
      </c>
      <c r="AJ25" s="317">
        <v>1409</v>
      </c>
      <c r="AK25" s="221">
        <f>AI25*AJ25</f>
        <v>56360</v>
      </c>
      <c r="AO25" s="323"/>
      <c r="AQ25" s="609"/>
    </row>
    <row r="26" spans="1:43" s="322" customFormat="1" ht="15.75" customHeight="1">
      <c r="A26" s="295"/>
      <c r="B26" s="220" t="s">
        <v>721</v>
      </c>
      <c r="C26" s="1893"/>
      <c r="D26" s="728"/>
      <c r="E26" s="325">
        <f>E24-E23</f>
        <v>47</v>
      </c>
      <c r="F26" s="325"/>
      <c r="G26" s="728"/>
      <c r="H26" s="325"/>
      <c r="I26" s="325">
        <f>I24-I23</f>
        <v>24</v>
      </c>
      <c r="J26" s="325">
        <f>J24-J23</f>
        <v>24</v>
      </c>
      <c r="K26" s="325"/>
      <c r="L26" s="325"/>
      <c r="M26" s="325"/>
      <c r="N26" s="728"/>
      <c r="O26" s="727"/>
      <c r="P26" s="324"/>
      <c r="Q26" s="325"/>
      <c r="R26" s="325">
        <f>R24-R23</f>
        <v>25</v>
      </c>
      <c r="S26" s="325"/>
      <c r="T26" s="325"/>
      <c r="U26" s="728"/>
      <c r="V26" s="325"/>
      <c r="W26" s="325"/>
      <c r="X26" s="325"/>
      <c r="Y26" s="325"/>
      <c r="Z26" s="325"/>
      <c r="AA26" s="325"/>
      <c r="AB26" s="728"/>
      <c r="AC26" s="325"/>
      <c r="AD26" s="325"/>
      <c r="AE26" s="325"/>
      <c r="AF26" s="728"/>
      <c r="AG26" s="325"/>
      <c r="AH26" s="325"/>
      <c r="AI26" s="321">
        <f t="shared" si="2"/>
        <v>120</v>
      </c>
      <c r="AJ26" s="317">
        <v>1322</v>
      </c>
      <c r="AK26" s="221">
        <f>AI26*AJ26</f>
        <v>158640</v>
      </c>
      <c r="AO26" s="323"/>
      <c r="AQ26" s="609"/>
    </row>
    <row r="27" spans="1:43" s="322" customFormat="1" ht="15.75" customHeight="1">
      <c r="A27" s="295"/>
      <c r="B27" s="220" t="s">
        <v>366</v>
      </c>
      <c r="C27" s="1893"/>
      <c r="D27" s="728"/>
      <c r="E27" s="325"/>
      <c r="F27" s="325"/>
      <c r="G27" s="728"/>
      <c r="H27" s="325"/>
      <c r="I27" s="325"/>
      <c r="J27" s="325"/>
      <c r="K27" s="325"/>
      <c r="L27" s="325"/>
      <c r="M27" s="325"/>
      <c r="N27" s="728"/>
      <c r="O27" s="728"/>
      <c r="P27" s="325"/>
      <c r="Q27" s="325">
        <f>Q24-Q23</f>
        <v>48</v>
      </c>
      <c r="R27" s="325"/>
      <c r="S27" s="325"/>
      <c r="T27" s="325"/>
      <c r="U27" s="728"/>
      <c r="V27" s="325"/>
      <c r="W27" s="325"/>
      <c r="X27" s="325"/>
      <c r="Y27" s="325"/>
      <c r="Z27" s="325"/>
      <c r="AA27" s="325"/>
      <c r="AB27" s="728"/>
      <c r="AC27" s="325"/>
      <c r="AD27" s="325"/>
      <c r="AE27" s="325"/>
      <c r="AF27" s="728"/>
      <c r="AG27" s="325"/>
      <c r="AH27" s="325"/>
      <c r="AI27" s="321">
        <f t="shared" si="2"/>
        <v>48</v>
      </c>
      <c r="AJ27" s="317">
        <v>1233</v>
      </c>
      <c r="AK27" s="221">
        <f>AI27*AJ27</f>
        <v>59184</v>
      </c>
      <c r="AO27" s="323"/>
      <c r="AQ27" s="609"/>
    </row>
    <row r="28" spans="1:43" s="322" customFormat="1" ht="15.75" customHeight="1">
      <c r="A28" s="295"/>
      <c r="B28" s="220" t="s">
        <v>643</v>
      </c>
      <c r="C28" s="1893"/>
      <c r="D28" s="728"/>
      <c r="E28" s="325"/>
      <c r="F28" s="325"/>
      <c r="G28" s="728"/>
      <c r="H28" s="325"/>
      <c r="I28" s="325"/>
      <c r="J28" s="325"/>
      <c r="K28" s="325"/>
      <c r="L28" s="325"/>
      <c r="M28" s="325"/>
      <c r="N28" s="728"/>
      <c r="O28" s="728"/>
      <c r="P28" s="325"/>
      <c r="Q28" s="325"/>
      <c r="R28" s="325"/>
      <c r="S28" s="325"/>
      <c r="T28" s="325"/>
      <c r="U28" s="728"/>
      <c r="V28" s="325"/>
      <c r="W28" s="325"/>
      <c r="X28" s="325"/>
      <c r="Y28" s="325"/>
      <c r="Z28" s="325"/>
      <c r="AA28" s="325"/>
      <c r="AB28" s="728"/>
      <c r="AC28" s="325"/>
      <c r="AD28" s="325"/>
      <c r="AE28" s="325"/>
      <c r="AF28" s="728"/>
      <c r="AG28" s="325"/>
      <c r="AH28" s="325"/>
      <c r="AI28" s="321">
        <f t="shared" si="2"/>
        <v>0</v>
      </c>
      <c r="AJ28" s="317">
        <v>1043</v>
      </c>
      <c r="AK28" s="221">
        <f>AI28*AJ28</f>
        <v>0</v>
      </c>
      <c r="AO28" s="323"/>
      <c r="AQ28" s="609"/>
    </row>
    <row r="29" spans="1:43" s="322" customFormat="1" ht="15.75" customHeight="1">
      <c r="A29" s="295"/>
      <c r="B29" s="220" t="s">
        <v>367</v>
      </c>
      <c r="C29" s="1893"/>
      <c r="D29" s="728"/>
      <c r="E29" s="325"/>
      <c r="F29" s="325"/>
      <c r="G29" s="728"/>
      <c r="H29" s="325"/>
      <c r="I29" s="325"/>
      <c r="J29" s="325"/>
      <c r="K29" s="325"/>
      <c r="L29" s="325"/>
      <c r="M29" s="325"/>
      <c r="N29" s="728"/>
      <c r="O29" s="728"/>
      <c r="P29" s="325"/>
      <c r="Q29" s="325"/>
      <c r="R29" s="325"/>
      <c r="S29" s="325"/>
      <c r="T29" s="325"/>
      <c r="U29" s="728"/>
      <c r="V29" s="325"/>
      <c r="W29" s="325"/>
      <c r="X29" s="325"/>
      <c r="Y29" s="325"/>
      <c r="Z29" s="325"/>
      <c r="AA29" s="325"/>
      <c r="AB29" s="728"/>
      <c r="AC29" s="325"/>
      <c r="AD29" s="325"/>
      <c r="AE29" s="325"/>
      <c r="AF29" s="728"/>
      <c r="AG29" s="325"/>
      <c r="AH29" s="325"/>
      <c r="AI29" s="321">
        <f t="shared" si="2"/>
        <v>0</v>
      </c>
      <c r="AJ29" s="317"/>
      <c r="AK29" s="221">
        <f>AI29*AJ29</f>
        <v>0</v>
      </c>
      <c r="AL29" s="326"/>
      <c r="AM29" s="326"/>
      <c r="AN29" s="326"/>
      <c r="AO29" s="323"/>
      <c r="AP29" s="326"/>
      <c r="AQ29" s="609"/>
    </row>
    <row r="30" spans="1:43" s="330" customFormat="1" ht="15.75" customHeight="1">
      <c r="A30" s="295"/>
      <c r="B30" s="298" t="s">
        <v>259</v>
      </c>
      <c r="C30" s="1893"/>
      <c r="D30" s="729"/>
      <c r="E30" s="327"/>
      <c r="F30" s="327"/>
      <c r="G30" s="729"/>
      <c r="H30" s="327"/>
      <c r="I30" s="327"/>
      <c r="J30" s="327"/>
      <c r="K30" s="327"/>
      <c r="L30" s="327"/>
      <c r="M30" s="327"/>
      <c r="N30" s="729"/>
      <c r="O30" s="729"/>
      <c r="P30" s="327"/>
      <c r="Q30" s="327"/>
      <c r="R30" s="327"/>
      <c r="S30" s="327"/>
      <c r="T30" s="327"/>
      <c r="U30" s="729"/>
      <c r="V30" s="327"/>
      <c r="W30" s="327"/>
      <c r="X30" s="327"/>
      <c r="Y30" s="327"/>
      <c r="Z30" s="327"/>
      <c r="AA30" s="327"/>
      <c r="AB30" s="729"/>
      <c r="AC30" s="327"/>
      <c r="AD30" s="327"/>
      <c r="AE30" s="327"/>
      <c r="AF30" s="729"/>
      <c r="AG30" s="327"/>
      <c r="AH30" s="327"/>
      <c r="AI30" s="328">
        <f t="shared" si="2"/>
        <v>0</v>
      </c>
      <c r="AJ30" s="333"/>
      <c r="AK30" s="222">
        <f>SUM(AK25:AK29)</f>
        <v>274184</v>
      </c>
      <c r="AL30" s="334"/>
      <c r="AM30" s="334"/>
      <c r="AN30" s="334"/>
      <c r="AO30" s="331"/>
      <c r="AP30" s="334"/>
      <c r="AQ30" s="610"/>
    </row>
    <row r="31" spans="1:43" s="322" customFormat="1" ht="15.75" customHeight="1">
      <c r="A31" s="295"/>
      <c r="B31" s="220" t="s">
        <v>57</v>
      </c>
      <c r="C31" s="1893"/>
      <c r="D31" s="728"/>
      <c r="E31" s="325">
        <v>9</v>
      </c>
      <c r="F31" s="325">
        <v>2</v>
      </c>
      <c r="G31" s="728"/>
      <c r="H31" s="325">
        <v>4</v>
      </c>
      <c r="I31" s="325">
        <v>9</v>
      </c>
      <c r="J31" s="325">
        <v>4</v>
      </c>
      <c r="K31" s="325">
        <v>3</v>
      </c>
      <c r="L31" s="325">
        <v>4</v>
      </c>
      <c r="M31" s="325">
        <v>3</v>
      </c>
      <c r="N31" s="728"/>
      <c r="O31" s="728"/>
      <c r="P31" s="325">
        <v>4</v>
      </c>
      <c r="Q31" s="325">
        <v>7</v>
      </c>
      <c r="R31" s="325">
        <v>8</v>
      </c>
      <c r="S31" s="325">
        <v>3</v>
      </c>
      <c r="T31" s="325">
        <v>3</v>
      </c>
      <c r="U31" s="728"/>
      <c r="V31" s="325">
        <v>9</v>
      </c>
      <c r="W31" s="325">
        <v>3</v>
      </c>
      <c r="X31" s="325">
        <v>2</v>
      </c>
      <c r="Y31" s="325">
        <v>4</v>
      </c>
      <c r="Z31" s="325">
        <v>4</v>
      </c>
      <c r="AA31" s="325">
        <v>1</v>
      </c>
      <c r="AB31" s="728"/>
      <c r="AC31" s="325">
        <v>3</v>
      </c>
      <c r="AD31" s="325">
        <v>3</v>
      </c>
      <c r="AE31" s="325">
        <v>5</v>
      </c>
      <c r="AF31" s="728"/>
      <c r="AG31" s="325">
        <v>6</v>
      </c>
      <c r="AH31" s="325">
        <v>3</v>
      </c>
      <c r="AI31" s="321">
        <f t="shared" si="2"/>
        <v>106</v>
      </c>
      <c r="AJ31" s="317">
        <v>1750</v>
      </c>
      <c r="AK31" s="221">
        <f>AI31*AJ31</f>
        <v>185500</v>
      </c>
      <c r="AL31" s="326">
        <v>469</v>
      </c>
      <c r="AM31" s="326">
        <f>AI31-AL31</f>
        <v>-363</v>
      </c>
      <c r="AN31" s="326"/>
      <c r="AO31" s="323"/>
      <c r="AP31" s="326"/>
      <c r="AQ31" s="609"/>
    </row>
    <row r="32" spans="1:43" s="360" customFormat="1" ht="15.75" customHeight="1" thickBot="1">
      <c r="A32" s="352"/>
      <c r="B32" s="353" t="s">
        <v>44</v>
      </c>
      <c r="C32" s="1894"/>
      <c r="D32" s="730"/>
      <c r="E32" s="354"/>
      <c r="F32" s="354"/>
      <c r="G32" s="730"/>
      <c r="H32" s="354"/>
      <c r="I32" s="354"/>
      <c r="J32" s="354"/>
      <c r="K32" s="354"/>
      <c r="L32" s="354"/>
      <c r="M32" s="354"/>
      <c r="N32" s="730"/>
      <c r="O32" s="728"/>
      <c r="P32" s="354"/>
      <c r="Q32" s="354"/>
      <c r="R32" s="354"/>
      <c r="S32" s="354"/>
      <c r="T32" s="354"/>
      <c r="U32" s="1071"/>
      <c r="V32" s="354"/>
      <c r="W32" s="354"/>
      <c r="X32" s="354"/>
      <c r="Y32" s="354"/>
      <c r="Z32" s="354"/>
      <c r="AA32" s="354"/>
      <c r="AB32" s="730"/>
      <c r="AC32" s="354"/>
      <c r="AD32" s="354"/>
      <c r="AE32" s="354"/>
      <c r="AF32" s="730"/>
      <c r="AG32" s="354"/>
      <c r="AH32" s="354"/>
      <c r="AI32" s="355">
        <f t="shared" si="2"/>
        <v>0</v>
      </c>
      <c r="AJ32" s="356"/>
      <c r="AK32" s="357">
        <f>AI32</f>
        <v>0</v>
      </c>
      <c r="AL32" s="358"/>
      <c r="AM32" s="358"/>
      <c r="AN32" s="358"/>
      <c r="AO32" s="359"/>
      <c r="AP32" s="358"/>
      <c r="AQ32" s="611"/>
    </row>
    <row r="33" spans="1:43" s="216" customFormat="1" ht="15.75" customHeight="1" thickTop="1">
      <c r="A33" s="293">
        <v>3</v>
      </c>
      <c r="B33" s="219" t="s">
        <v>347</v>
      </c>
      <c r="C33" s="1889" t="s">
        <v>447</v>
      </c>
      <c r="D33" s="731"/>
      <c r="E33" s="308">
        <v>1</v>
      </c>
      <c r="F33" s="308">
        <v>1</v>
      </c>
      <c r="G33" s="731"/>
      <c r="H33" s="308">
        <v>1</v>
      </c>
      <c r="I33" s="308">
        <v>1</v>
      </c>
      <c r="J33" s="308">
        <v>1</v>
      </c>
      <c r="K33" s="308">
        <v>1</v>
      </c>
      <c r="L33" s="308">
        <v>1</v>
      </c>
      <c r="M33" s="308">
        <v>1</v>
      </c>
      <c r="N33" s="731"/>
      <c r="O33" s="731"/>
      <c r="P33" s="308">
        <v>1</v>
      </c>
      <c r="Q33" s="308">
        <v>1</v>
      </c>
      <c r="R33" s="308">
        <v>1</v>
      </c>
      <c r="S33" s="308">
        <v>1</v>
      </c>
      <c r="T33" s="308">
        <v>1</v>
      </c>
      <c r="U33" s="731"/>
      <c r="V33" s="308">
        <v>1</v>
      </c>
      <c r="W33" s="308">
        <v>1</v>
      </c>
      <c r="X33" s="308">
        <v>1</v>
      </c>
      <c r="Y33" s="308">
        <v>1</v>
      </c>
      <c r="Z33" s="308">
        <v>1</v>
      </c>
      <c r="AA33" s="308">
        <v>1</v>
      </c>
      <c r="AB33" s="731"/>
      <c r="AC33" s="308">
        <v>1</v>
      </c>
      <c r="AD33" s="308">
        <v>1</v>
      </c>
      <c r="AE33" s="308">
        <v>1</v>
      </c>
      <c r="AF33" s="731"/>
      <c r="AG33" s="308">
        <v>1</v>
      </c>
      <c r="AH33" s="308">
        <v>1</v>
      </c>
      <c r="AI33" s="309">
        <f t="shared" si="2"/>
        <v>24</v>
      </c>
      <c r="AJ33" s="310"/>
      <c r="AK33" s="224"/>
      <c r="AL33" s="311"/>
      <c r="AN33" s="312"/>
      <c r="AO33" s="313"/>
      <c r="AP33" s="314"/>
      <c r="AQ33" s="608"/>
    </row>
    <row r="34" spans="1:43" s="322" customFormat="1" ht="45.75" customHeight="1">
      <c r="A34" s="295"/>
      <c r="B34" s="297" t="s">
        <v>188</v>
      </c>
      <c r="C34" s="1890"/>
      <c r="D34" s="726"/>
      <c r="E34" s="318" t="s">
        <v>792</v>
      </c>
      <c r="F34" s="318" t="s">
        <v>792</v>
      </c>
      <c r="G34" s="726"/>
      <c r="H34" s="318" t="s">
        <v>792</v>
      </c>
      <c r="I34" s="318" t="s">
        <v>802</v>
      </c>
      <c r="J34" s="318" t="s">
        <v>789</v>
      </c>
      <c r="K34" s="318" t="s">
        <v>791</v>
      </c>
      <c r="L34" s="318" t="s">
        <v>792</v>
      </c>
      <c r="M34" s="318" t="s">
        <v>799</v>
      </c>
      <c r="N34" s="726"/>
      <c r="O34" s="726"/>
      <c r="P34" s="318" t="s">
        <v>801</v>
      </c>
      <c r="Q34" s="318" t="s">
        <v>802</v>
      </c>
      <c r="R34" s="318" t="s">
        <v>740</v>
      </c>
      <c r="S34" s="319" t="s">
        <v>912</v>
      </c>
      <c r="T34" s="318" t="s">
        <v>791</v>
      </c>
      <c r="U34" s="726"/>
      <c r="V34" s="318" t="s">
        <v>792</v>
      </c>
      <c r="W34" s="509" t="s">
        <v>933</v>
      </c>
      <c r="X34" s="318" t="s">
        <v>797</v>
      </c>
      <c r="Y34" s="318" t="s">
        <v>877</v>
      </c>
      <c r="Z34" s="320" t="s">
        <v>903</v>
      </c>
      <c r="AA34" s="318" t="s">
        <v>813</v>
      </c>
      <c r="AB34" s="726"/>
      <c r="AC34" s="318" t="s">
        <v>816</v>
      </c>
      <c r="AD34" s="318" t="s">
        <v>801</v>
      </c>
      <c r="AE34" s="318" t="s">
        <v>804</v>
      </c>
      <c r="AF34" s="726"/>
      <c r="AG34" s="318" t="s">
        <v>788</v>
      </c>
      <c r="AH34" s="318" t="s">
        <v>789</v>
      </c>
      <c r="AI34" s="321"/>
      <c r="AJ34" s="317"/>
      <c r="AK34" s="221"/>
      <c r="AO34" s="323"/>
      <c r="AQ34" s="609"/>
    </row>
    <row r="35" spans="1:43" s="322" customFormat="1" ht="15.75" customHeight="1">
      <c r="A35" s="295"/>
      <c r="B35" s="297" t="s">
        <v>281</v>
      </c>
      <c r="C35" s="1890"/>
      <c r="D35" s="727"/>
      <c r="E35" s="324" t="s">
        <v>844</v>
      </c>
      <c r="F35" s="324" t="s">
        <v>847</v>
      </c>
      <c r="G35" s="727"/>
      <c r="H35" s="324" t="s">
        <v>846</v>
      </c>
      <c r="I35" s="324" t="s">
        <v>845</v>
      </c>
      <c r="J35" s="324" t="s">
        <v>844</v>
      </c>
      <c r="K35" s="324" t="s">
        <v>844</v>
      </c>
      <c r="L35" s="324" t="s">
        <v>844</v>
      </c>
      <c r="M35" s="324" t="s">
        <v>843</v>
      </c>
      <c r="N35" s="727"/>
      <c r="O35" s="727"/>
      <c r="P35" s="324">
        <v>13</v>
      </c>
      <c r="Q35" s="324" t="s">
        <v>842</v>
      </c>
      <c r="R35" s="324">
        <v>13</v>
      </c>
      <c r="S35" s="324" t="s">
        <v>913</v>
      </c>
      <c r="T35" s="324">
        <v>13</v>
      </c>
      <c r="U35" s="727"/>
      <c r="V35" s="324">
        <v>13</v>
      </c>
      <c r="W35" s="460" t="s">
        <v>935</v>
      </c>
      <c r="X35" s="324" t="s">
        <v>955</v>
      </c>
      <c r="Y35" s="324" t="s">
        <v>970</v>
      </c>
      <c r="Z35" s="324" t="s">
        <v>978</v>
      </c>
      <c r="AA35" s="324" t="s">
        <v>984</v>
      </c>
      <c r="AB35" s="727"/>
      <c r="AC35" s="324" t="s">
        <v>844</v>
      </c>
      <c r="AD35" s="324" t="s">
        <v>993</v>
      </c>
      <c r="AE35" s="324" t="s">
        <v>984</v>
      </c>
      <c r="AF35" s="727"/>
      <c r="AG35" s="324" t="s">
        <v>1009</v>
      </c>
      <c r="AH35" s="324" t="s">
        <v>74</v>
      </c>
      <c r="AI35" s="321"/>
      <c r="AJ35" s="317"/>
      <c r="AK35" s="221"/>
      <c r="AO35" s="323"/>
      <c r="AQ35" s="609"/>
    </row>
    <row r="36" spans="1:43" s="322" customFormat="1" ht="15.75" customHeight="1">
      <c r="A36" s="295"/>
      <c r="B36" s="220" t="s">
        <v>260</v>
      </c>
      <c r="C36" s="1890"/>
      <c r="D36" s="728"/>
      <c r="E36" s="325">
        <v>90</v>
      </c>
      <c r="F36" s="325">
        <v>90</v>
      </c>
      <c r="G36" s="728"/>
      <c r="H36" s="325">
        <v>90</v>
      </c>
      <c r="I36" s="325">
        <v>114</v>
      </c>
      <c r="J36" s="325">
        <v>103</v>
      </c>
      <c r="K36" s="325">
        <v>103</v>
      </c>
      <c r="L36" s="325">
        <v>90</v>
      </c>
      <c r="M36" s="325">
        <v>90</v>
      </c>
      <c r="N36" s="728"/>
      <c r="O36" s="728"/>
      <c r="P36" s="325">
        <v>103</v>
      </c>
      <c r="Q36" s="325">
        <v>114</v>
      </c>
      <c r="R36" s="325">
        <v>103</v>
      </c>
      <c r="S36" s="325">
        <v>90</v>
      </c>
      <c r="T36" s="325">
        <v>103</v>
      </c>
      <c r="U36" s="728"/>
      <c r="V36" s="325">
        <v>90</v>
      </c>
      <c r="W36" s="325">
        <v>103</v>
      </c>
      <c r="X36" s="325">
        <v>114</v>
      </c>
      <c r="Y36" s="325">
        <v>114</v>
      </c>
      <c r="Z36" s="325">
        <v>114</v>
      </c>
      <c r="AA36" s="325">
        <v>103</v>
      </c>
      <c r="AB36" s="728"/>
      <c r="AC36" s="325">
        <v>90</v>
      </c>
      <c r="AD36" s="325">
        <v>103</v>
      </c>
      <c r="AE36" s="325">
        <v>114</v>
      </c>
      <c r="AF36" s="728"/>
      <c r="AG36" s="325">
        <v>103</v>
      </c>
      <c r="AH36" s="325">
        <v>103</v>
      </c>
      <c r="AI36" s="321">
        <f t="shared" ref="AI36:AI45" si="3">SUM(D36:AH36)</f>
        <v>2434</v>
      </c>
      <c r="AJ36" s="294"/>
      <c r="AK36" s="221"/>
      <c r="AO36" s="323"/>
      <c r="AQ36" s="609"/>
    </row>
    <row r="37" spans="1:43" s="330" customFormat="1" ht="15.75" customHeight="1">
      <c r="A37" s="295"/>
      <c r="B37" s="298" t="s">
        <v>56</v>
      </c>
      <c r="C37" s="1890"/>
      <c r="D37" s="729"/>
      <c r="E37" s="327">
        <v>223</v>
      </c>
      <c r="F37" s="327">
        <v>84</v>
      </c>
      <c r="G37" s="729"/>
      <c r="H37" s="327">
        <v>150</v>
      </c>
      <c r="I37" s="327">
        <v>120</v>
      </c>
      <c r="J37" s="327">
        <v>123</v>
      </c>
      <c r="K37" s="327">
        <v>66</v>
      </c>
      <c r="L37" s="327">
        <v>62</v>
      </c>
      <c r="M37" s="327">
        <v>24</v>
      </c>
      <c r="N37" s="729"/>
      <c r="O37" s="729"/>
      <c r="P37" s="327">
        <v>63</v>
      </c>
      <c r="Q37" s="327">
        <v>156</v>
      </c>
      <c r="R37" s="327">
        <v>108</v>
      </c>
      <c r="S37" s="327">
        <f>113+2</f>
        <v>115</v>
      </c>
      <c r="T37" s="327">
        <v>78</v>
      </c>
      <c r="U37" s="729"/>
      <c r="V37" s="327">
        <v>142</v>
      </c>
      <c r="W37" s="327">
        <v>78</v>
      </c>
      <c r="X37" s="327">
        <f>161+8</f>
        <v>169</v>
      </c>
      <c r="Y37" s="327">
        <v>73</v>
      </c>
      <c r="Z37" s="327">
        <v>44</v>
      </c>
      <c r="AA37" s="327">
        <v>32</v>
      </c>
      <c r="AB37" s="729"/>
      <c r="AC37" s="327">
        <v>71</v>
      </c>
      <c r="AD37" s="327">
        <f>53+1</f>
        <v>54</v>
      </c>
      <c r="AE37" s="327">
        <f>58+10</f>
        <v>68</v>
      </c>
      <c r="AF37" s="729"/>
      <c r="AG37" s="327">
        <v>83</v>
      </c>
      <c r="AH37" s="327">
        <v>48</v>
      </c>
      <c r="AI37" s="328">
        <f t="shared" si="3"/>
        <v>2234</v>
      </c>
      <c r="AJ37" s="296"/>
      <c r="AK37" s="222"/>
      <c r="AL37" s="329">
        <f>2967</f>
        <v>2967</v>
      </c>
      <c r="AM37" s="329">
        <f>AI37-AL37</f>
        <v>-733</v>
      </c>
      <c r="AO37" s="331"/>
      <c r="AQ37" s="610"/>
    </row>
    <row r="38" spans="1:43" s="322" customFormat="1" ht="15.75" customHeight="1">
      <c r="A38" s="295"/>
      <c r="B38" s="220" t="s">
        <v>642</v>
      </c>
      <c r="C38" s="1890"/>
      <c r="D38" s="728"/>
      <c r="E38" s="325">
        <f>E37-E36</f>
        <v>133</v>
      </c>
      <c r="F38" s="325"/>
      <c r="G38" s="728"/>
      <c r="H38" s="325">
        <f>H37-H36</f>
        <v>60</v>
      </c>
      <c r="I38" s="325"/>
      <c r="J38" s="325"/>
      <c r="K38" s="325"/>
      <c r="L38" s="325"/>
      <c r="M38" s="325"/>
      <c r="N38" s="728"/>
      <c r="O38" s="728"/>
      <c r="P38" s="325"/>
      <c r="Q38" s="325"/>
      <c r="R38" s="325"/>
      <c r="S38" s="325">
        <f>S37-S36</f>
        <v>25</v>
      </c>
      <c r="T38" s="325"/>
      <c r="U38" s="728"/>
      <c r="V38" s="325">
        <f>V37-V36</f>
        <v>52</v>
      </c>
      <c r="W38" s="325"/>
      <c r="X38" s="325"/>
      <c r="Y38" s="325"/>
      <c r="Z38" s="325"/>
      <c r="AA38" s="325"/>
      <c r="AB38" s="728"/>
      <c r="AC38" s="325"/>
      <c r="AD38" s="325"/>
      <c r="AE38" s="325"/>
      <c r="AF38" s="728"/>
      <c r="AG38" s="325"/>
      <c r="AH38" s="325"/>
      <c r="AI38" s="321">
        <f t="shared" si="3"/>
        <v>270</v>
      </c>
      <c r="AJ38" s="317">
        <v>1409</v>
      </c>
      <c r="AK38" s="221">
        <f>AI38*AJ38</f>
        <v>380430</v>
      </c>
      <c r="AO38" s="323"/>
      <c r="AQ38" s="609"/>
    </row>
    <row r="39" spans="1:43" s="322" customFormat="1" ht="15.75" customHeight="1">
      <c r="A39" s="295"/>
      <c r="B39" s="220" t="s">
        <v>721</v>
      </c>
      <c r="C39" s="1890"/>
      <c r="D39" s="728"/>
      <c r="E39" s="325"/>
      <c r="F39" s="325"/>
      <c r="G39" s="728"/>
      <c r="H39" s="325"/>
      <c r="I39" s="325"/>
      <c r="J39" s="325">
        <f>J37-J36</f>
        <v>20</v>
      </c>
      <c r="K39" s="325"/>
      <c r="L39" s="325"/>
      <c r="M39" s="325"/>
      <c r="N39" s="728"/>
      <c r="O39" s="727"/>
      <c r="P39" s="324"/>
      <c r="Q39" s="325"/>
      <c r="R39" s="325">
        <f>R37-R36</f>
        <v>5</v>
      </c>
      <c r="S39" s="325"/>
      <c r="T39" s="325"/>
      <c r="U39" s="728"/>
      <c r="V39" s="325"/>
      <c r="W39" s="325"/>
      <c r="X39" s="325"/>
      <c r="Y39" s="325"/>
      <c r="Z39" s="325"/>
      <c r="AA39" s="325"/>
      <c r="AB39" s="728"/>
      <c r="AC39" s="325"/>
      <c r="AD39" s="325"/>
      <c r="AE39" s="325"/>
      <c r="AF39" s="728"/>
      <c r="AG39" s="325"/>
      <c r="AH39" s="325"/>
      <c r="AI39" s="321">
        <f t="shared" si="3"/>
        <v>25</v>
      </c>
      <c r="AJ39" s="317">
        <v>1322</v>
      </c>
      <c r="AK39" s="221">
        <f>AI39*AJ39</f>
        <v>33050</v>
      </c>
      <c r="AO39" s="323"/>
      <c r="AQ39" s="609"/>
    </row>
    <row r="40" spans="1:43" s="322" customFormat="1" ht="15.75" customHeight="1">
      <c r="A40" s="295"/>
      <c r="B40" s="220" t="s">
        <v>366</v>
      </c>
      <c r="C40" s="1890"/>
      <c r="D40" s="728"/>
      <c r="E40" s="325"/>
      <c r="F40" s="325"/>
      <c r="G40" s="728"/>
      <c r="H40" s="325"/>
      <c r="I40" s="325">
        <f>I37-I36</f>
        <v>6</v>
      </c>
      <c r="J40" s="325"/>
      <c r="K40" s="325"/>
      <c r="L40" s="325"/>
      <c r="M40" s="325"/>
      <c r="N40" s="728"/>
      <c r="O40" s="728"/>
      <c r="P40" s="325"/>
      <c r="Q40" s="325">
        <f>Q37-Q36</f>
        <v>42</v>
      </c>
      <c r="R40" s="325"/>
      <c r="S40" s="325"/>
      <c r="T40" s="325"/>
      <c r="U40" s="728"/>
      <c r="V40" s="325"/>
      <c r="W40" s="325"/>
      <c r="X40" s="325">
        <f>X37-X36</f>
        <v>55</v>
      </c>
      <c r="Y40" s="325"/>
      <c r="Z40" s="325"/>
      <c r="AA40" s="325"/>
      <c r="AB40" s="728"/>
      <c r="AC40" s="325"/>
      <c r="AD40" s="325"/>
      <c r="AE40" s="325"/>
      <c r="AF40" s="728"/>
      <c r="AG40" s="325"/>
      <c r="AH40" s="325"/>
      <c r="AI40" s="321">
        <f t="shared" si="3"/>
        <v>103</v>
      </c>
      <c r="AJ40" s="317">
        <v>1233</v>
      </c>
      <c r="AK40" s="221">
        <f>AI40*AJ40</f>
        <v>126999</v>
      </c>
      <c r="AO40" s="323"/>
      <c r="AQ40" s="609"/>
    </row>
    <row r="41" spans="1:43" s="322" customFormat="1" ht="15.75" customHeight="1">
      <c r="A41" s="295"/>
      <c r="B41" s="220" t="s">
        <v>643</v>
      </c>
      <c r="C41" s="1890"/>
      <c r="D41" s="728"/>
      <c r="E41" s="325"/>
      <c r="F41" s="325"/>
      <c r="G41" s="728"/>
      <c r="H41" s="325"/>
      <c r="I41" s="325"/>
      <c r="J41" s="325"/>
      <c r="K41" s="325"/>
      <c r="L41" s="325"/>
      <c r="M41" s="325"/>
      <c r="N41" s="728"/>
      <c r="O41" s="728"/>
      <c r="P41" s="325"/>
      <c r="Q41" s="325"/>
      <c r="R41" s="325"/>
      <c r="S41" s="325"/>
      <c r="T41" s="325"/>
      <c r="U41" s="728"/>
      <c r="V41" s="325"/>
      <c r="W41" s="325"/>
      <c r="X41" s="325"/>
      <c r="Y41" s="325"/>
      <c r="Z41" s="325"/>
      <c r="AA41" s="325"/>
      <c r="AB41" s="728"/>
      <c r="AC41" s="325"/>
      <c r="AD41" s="325"/>
      <c r="AE41" s="325"/>
      <c r="AF41" s="728"/>
      <c r="AG41" s="325"/>
      <c r="AH41" s="325"/>
      <c r="AI41" s="321">
        <f t="shared" si="3"/>
        <v>0</v>
      </c>
      <c r="AJ41" s="317">
        <v>1043</v>
      </c>
      <c r="AK41" s="221">
        <f>AI41*AJ41</f>
        <v>0</v>
      </c>
      <c r="AO41" s="323"/>
      <c r="AQ41" s="609"/>
    </row>
    <row r="42" spans="1:43" s="322" customFormat="1" ht="15.75" customHeight="1">
      <c r="A42" s="295"/>
      <c r="B42" s="220" t="s">
        <v>367</v>
      </c>
      <c r="C42" s="1890"/>
      <c r="D42" s="728"/>
      <c r="E42" s="325"/>
      <c r="F42" s="325"/>
      <c r="G42" s="728"/>
      <c r="H42" s="325"/>
      <c r="I42" s="325"/>
      <c r="J42" s="325"/>
      <c r="K42" s="325"/>
      <c r="L42" s="325"/>
      <c r="M42" s="325"/>
      <c r="N42" s="728"/>
      <c r="O42" s="728"/>
      <c r="P42" s="325"/>
      <c r="Q42" s="325"/>
      <c r="R42" s="325"/>
      <c r="S42" s="325"/>
      <c r="T42" s="325"/>
      <c r="U42" s="728"/>
      <c r="V42" s="325"/>
      <c r="W42" s="325"/>
      <c r="X42" s="325"/>
      <c r="Y42" s="325"/>
      <c r="Z42" s="325"/>
      <c r="AA42" s="325"/>
      <c r="AB42" s="728"/>
      <c r="AC42" s="325"/>
      <c r="AD42" s="325"/>
      <c r="AE42" s="325"/>
      <c r="AF42" s="728"/>
      <c r="AG42" s="325"/>
      <c r="AH42" s="325"/>
      <c r="AI42" s="321">
        <f t="shared" si="3"/>
        <v>0</v>
      </c>
      <c r="AJ42" s="317"/>
      <c r="AK42" s="221">
        <f>AI42*AJ42</f>
        <v>0</v>
      </c>
      <c r="AL42" s="326"/>
      <c r="AM42" s="326"/>
      <c r="AN42" s="326"/>
      <c r="AO42" s="323"/>
      <c r="AP42" s="326"/>
      <c r="AQ42" s="609"/>
    </row>
    <row r="43" spans="1:43" s="330" customFormat="1" ht="15.75" customHeight="1">
      <c r="A43" s="295"/>
      <c r="B43" s="298" t="s">
        <v>259</v>
      </c>
      <c r="C43" s="1890"/>
      <c r="D43" s="729"/>
      <c r="E43" s="327"/>
      <c r="F43" s="327"/>
      <c r="G43" s="729"/>
      <c r="H43" s="327"/>
      <c r="I43" s="327"/>
      <c r="J43" s="327"/>
      <c r="K43" s="327"/>
      <c r="L43" s="327"/>
      <c r="M43" s="327"/>
      <c r="N43" s="729"/>
      <c r="O43" s="729"/>
      <c r="P43" s="327"/>
      <c r="Q43" s="327"/>
      <c r="R43" s="327"/>
      <c r="S43" s="327"/>
      <c r="T43" s="327"/>
      <c r="U43" s="729"/>
      <c r="V43" s="327"/>
      <c r="W43" s="327"/>
      <c r="X43" s="327"/>
      <c r="Y43" s="327"/>
      <c r="Z43" s="327"/>
      <c r="AA43" s="327"/>
      <c r="AB43" s="729"/>
      <c r="AC43" s="327"/>
      <c r="AD43" s="327"/>
      <c r="AE43" s="327"/>
      <c r="AF43" s="729"/>
      <c r="AG43" s="327"/>
      <c r="AH43" s="327"/>
      <c r="AI43" s="328">
        <f t="shared" si="3"/>
        <v>0</v>
      </c>
      <c r="AJ43" s="333"/>
      <c r="AK43" s="222">
        <f>SUM(AK38:AK42)</f>
        <v>540479</v>
      </c>
      <c r="AL43" s="334"/>
      <c r="AM43" s="334"/>
      <c r="AN43" s="334"/>
      <c r="AO43" s="331"/>
      <c r="AP43" s="334"/>
      <c r="AQ43" s="610"/>
    </row>
    <row r="44" spans="1:43" s="322" customFormat="1" ht="15.75" customHeight="1">
      <c r="A44" s="295"/>
      <c r="B44" s="220" t="s">
        <v>57</v>
      </c>
      <c r="C44" s="1895"/>
      <c r="D44" s="728"/>
      <c r="E44" s="325">
        <v>16</v>
      </c>
      <c r="F44" s="325">
        <v>10</v>
      </c>
      <c r="G44" s="728"/>
      <c r="H44" s="325">
        <v>12</v>
      </c>
      <c r="I44" s="325">
        <v>9</v>
      </c>
      <c r="J44" s="325">
        <v>12</v>
      </c>
      <c r="K44" s="325">
        <v>5</v>
      </c>
      <c r="L44" s="325">
        <v>6</v>
      </c>
      <c r="M44" s="325">
        <v>1</v>
      </c>
      <c r="N44" s="728"/>
      <c r="O44" s="728"/>
      <c r="P44" s="325">
        <v>4</v>
      </c>
      <c r="Q44" s="325">
        <v>11</v>
      </c>
      <c r="R44" s="325">
        <v>7</v>
      </c>
      <c r="S44" s="325">
        <v>12</v>
      </c>
      <c r="T44" s="325">
        <v>7</v>
      </c>
      <c r="U44" s="728"/>
      <c r="V44" s="325">
        <v>12</v>
      </c>
      <c r="W44" s="325">
        <v>4</v>
      </c>
      <c r="X44" s="325">
        <v>10</v>
      </c>
      <c r="Y44" s="325">
        <v>6</v>
      </c>
      <c r="Z44" s="325">
        <v>3</v>
      </c>
      <c r="AA44" s="325">
        <v>5</v>
      </c>
      <c r="AB44" s="728"/>
      <c r="AC44" s="325">
        <v>9</v>
      </c>
      <c r="AD44" s="325">
        <v>6</v>
      </c>
      <c r="AE44" s="325">
        <v>3</v>
      </c>
      <c r="AF44" s="728"/>
      <c r="AG44" s="325">
        <v>10</v>
      </c>
      <c r="AH44" s="325">
        <v>9</v>
      </c>
      <c r="AI44" s="321">
        <f t="shared" si="3"/>
        <v>189</v>
      </c>
      <c r="AJ44" s="317">
        <v>1750</v>
      </c>
      <c r="AK44" s="221">
        <f>AI44*AJ44</f>
        <v>330750</v>
      </c>
      <c r="AL44" s="326">
        <v>367</v>
      </c>
      <c r="AM44" s="326">
        <f>AI44-AL44</f>
        <v>-178</v>
      </c>
      <c r="AN44" s="326"/>
      <c r="AO44" s="323"/>
      <c r="AP44" s="326"/>
      <c r="AQ44" s="609"/>
    </row>
    <row r="45" spans="1:43" s="360" customFormat="1" ht="15.75" customHeight="1" thickBot="1">
      <c r="A45" s="352"/>
      <c r="B45" s="353" t="s">
        <v>44</v>
      </c>
      <c r="C45" s="621"/>
      <c r="D45" s="730"/>
      <c r="E45" s="354"/>
      <c r="F45" s="354"/>
      <c r="G45" s="730"/>
      <c r="H45" s="354"/>
      <c r="I45" s="354"/>
      <c r="J45" s="354"/>
      <c r="K45" s="354"/>
      <c r="L45" s="354"/>
      <c r="M45" s="354"/>
      <c r="N45" s="730"/>
      <c r="O45" s="730"/>
      <c r="P45" s="354"/>
      <c r="Q45" s="354"/>
      <c r="R45" s="354"/>
      <c r="S45" s="354"/>
      <c r="T45" s="354"/>
      <c r="U45" s="1071"/>
      <c r="V45" s="354"/>
      <c r="W45" s="354"/>
      <c r="X45" s="354"/>
      <c r="Y45" s="354"/>
      <c r="Z45" s="354"/>
      <c r="AA45" s="354"/>
      <c r="AB45" s="730"/>
      <c r="AC45" s="354"/>
      <c r="AD45" s="354"/>
      <c r="AE45" s="354"/>
      <c r="AF45" s="730"/>
      <c r="AG45" s="354"/>
      <c r="AH45" s="354"/>
      <c r="AI45" s="355">
        <f t="shared" si="3"/>
        <v>0</v>
      </c>
      <c r="AJ45" s="356"/>
      <c r="AK45" s="357">
        <f>AI45</f>
        <v>0</v>
      </c>
      <c r="AL45" s="358"/>
      <c r="AM45" s="358"/>
      <c r="AN45" s="358"/>
      <c r="AO45" s="359"/>
      <c r="AP45" s="358"/>
      <c r="AQ45" s="611"/>
    </row>
    <row r="46" spans="1:43" s="216" customFormat="1" ht="15.75" customHeight="1" thickTop="1">
      <c r="A46" s="293">
        <v>4</v>
      </c>
      <c r="B46" s="223" t="s">
        <v>276</v>
      </c>
      <c r="C46" s="1883" t="s">
        <v>402</v>
      </c>
      <c r="D46" s="731"/>
      <c r="E46" s="308">
        <v>1</v>
      </c>
      <c r="F46" s="308">
        <v>1</v>
      </c>
      <c r="G46" s="731"/>
      <c r="H46" s="308">
        <v>1</v>
      </c>
      <c r="I46" s="308">
        <v>1</v>
      </c>
      <c r="J46" s="308">
        <v>1</v>
      </c>
      <c r="K46" s="308">
        <v>1</v>
      </c>
      <c r="L46" s="308">
        <v>1</v>
      </c>
      <c r="M46" s="308">
        <v>1</v>
      </c>
      <c r="N46" s="731"/>
      <c r="O46" s="731"/>
      <c r="P46" s="308">
        <v>1</v>
      </c>
      <c r="Q46" s="308">
        <v>1</v>
      </c>
      <c r="R46" s="308">
        <v>1</v>
      </c>
      <c r="S46" s="308">
        <v>1</v>
      </c>
      <c r="T46" s="308">
        <v>1</v>
      </c>
      <c r="U46" s="731"/>
      <c r="V46" s="308">
        <v>1</v>
      </c>
      <c r="W46" s="308">
        <v>1</v>
      </c>
      <c r="X46" s="308">
        <v>1</v>
      </c>
      <c r="Y46" s="308">
        <v>1</v>
      </c>
      <c r="Z46" s="308">
        <v>1</v>
      </c>
      <c r="AA46" s="308">
        <v>1</v>
      </c>
      <c r="AB46" s="731"/>
      <c r="AC46" s="308">
        <v>1</v>
      </c>
      <c r="AD46" s="308">
        <v>1</v>
      </c>
      <c r="AE46" s="308">
        <v>1</v>
      </c>
      <c r="AF46" s="731"/>
      <c r="AG46" s="308">
        <v>1</v>
      </c>
      <c r="AH46" s="308">
        <v>1</v>
      </c>
      <c r="AI46" s="309">
        <f t="shared" ref="AI46" si="4">SUM(D46:AH46)</f>
        <v>24</v>
      </c>
      <c r="AJ46" s="310"/>
      <c r="AK46" s="224"/>
      <c r="AL46" s="311"/>
      <c r="AN46" s="312"/>
      <c r="AO46" s="313"/>
      <c r="AP46" s="314"/>
      <c r="AQ46" s="608"/>
    </row>
    <row r="47" spans="1:43" s="322" customFormat="1" ht="53.25" customHeight="1">
      <c r="A47" s="295"/>
      <c r="B47" s="297" t="s">
        <v>188</v>
      </c>
      <c r="C47" s="1884"/>
      <c r="D47" s="726"/>
      <c r="E47" s="318" t="s">
        <v>858</v>
      </c>
      <c r="F47" s="318" t="s">
        <v>816</v>
      </c>
      <c r="G47" s="726"/>
      <c r="H47" s="318" t="s">
        <v>810</v>
      </c>
      <c r="I47" s="318" t="s">
        <v>795</v>
      </c>
      <c r="J47" s="318" t="s">
        <v>859</v>
      </c>
      <c r="K47" s="318" t="s">
        <v>791</v>
      </c>
      <c r="L47" s="318" t="s">
        <v>792</v>
      </c>
      <c r="M47" s="318" t="s">
        <v>799</v>
      </c>
      <c r="N47" s="726"/>
      <c r="O47" s="726"/>
      <c r="P47" s="318" t="s">
        <v>810</v>
      </c>
      <c r="Q47" s="319" t="s">
        <v>797</v>
      </c>
      <c r="R47" s="318" t="s">
        <v>795</v>
      </c>
      <c r="S47" s="319" t="s">
        <v>788</v>
      </c>
      <c r="T47" s="318" t="s">
        <v>903</v>
      </c>
      <c r="U47" s="726"/>
      <c r="V47" s="318" t="s">
        <v>907</v>
      </c>
      <c r="W47" s="509" t="s">
        <v>801</v>
      </c>
      <c r="X47" s="318" t="s">
        <v>804</v>
      </c>
      <c r="Y47" s="318" t="s">
        <v>795</v>
      </c>
      <c r="Z47" s="320" t="s">
        <v>921</v>
      </c>
      <c r="AA47" s="318" t="s">
        <v>813</v>
      </c>
      <c r="AB47" s="726"/>
      <c r="AC47" s="318" t="s">
        <v>816</v>
      </c>
      <c r="AD47" s="318" t="s">
        <v>801</v>
      </c>
      <c r="AE47" s="318" t="s">
        <v>1000</v>
      </c>
      <c r="AF47" s="726"/>
      <c r="AG47" s="318" t="s">
        <v>740</v>
      </c>
      <c r="AH47" s="318" t="s">
        <v>831</v>
      </c>
      <c r="AI47" s="321"/>
      <c r="AJ47" s="317"/>
      <c r="AK47" s="221"/>
      <c r="AO47" s="323"/>
      <c r="AQ47" s="609"/>
    </row>
    <row r="48" spans="1:43" s="322" customFormat="1" ht="15.75" customHeight="1">
      <c r="A48" s="295"/>
      <c r="B48" s="297" t="s">
        <v>281</v>
      </c>
      <c r="C48" s="1884"/>
      <c r="D48" s="727"/>
      <c r="E48" s="324" t="s">
        <v>79</v>
      </c>
      <c r="F48" s="324" t="s">
        <v>857</v>
      </c>
      <c r="G48" s="727"/>
      <c r="H48" s="324" t="s">
        <v>856</v>
      </c>
      <c r="I48" s="324" t="s">
        <v>855</v>
      </c>
      <c r="J48" s="324" t="s">
        <v>855</v>
      </c>
      <c r="K48" s="324" t="s">
        <v>854</v>
      </c>
      <c r="L48" s="324">
        <v>18</v>
      </c>
      <c r="M48" s="324">
        <v>18</v>
      </c>
      <c r="N48" s="727"/>
      <c r="O48" s="727"/>
      <c r="P48" s="324" t="s">
        <v>852</v>
      </c>
      <c r="Q48" s="324">
        <v>18</v>
      </c>
      <c r="R48" s="324">
        <v>18</v>
      </c>
      <c r="S48" s="324" t="s">
        <v>914</v>
      </c>
      <c r="T48" s="324">
        <v>18</v>
      </c>
      <c r="U48" s="727"/>
      <c r="V48" s="324" t="s">
        <v>855</v>
      </c>
      <c r="W48" s="460" t="s">
        <v>936</v>
      </c>
      <c r="X48" s="324" t="s">
        <v>957</v>
      </c>
      <c r="Y48" s="324" t="s">
        <v>855</v>
      </c>
      <c r="Z48" s="324" t="s">
        <v>857</v>
      </c>
      <c r="AA48" s="324">
        <v>18</v>
      </c>
      <c r="AB48" s="727"/>
      <c r="AC48" s="324" t="s">
        <v>987</v>
      </c>
      <c r="AD48" s="324" t="s">
        <v>79</v>
      </c>
      <c r="AE48" s="324" t="s">
        <v>1001</v>
      </c>
      <c r="AF48" s="727"/>
      <c r="AG48" s="324" t="s">
        <v>855</v>
      </c>
      <c r="AH48" s="324">
        <v>18</v>
      </c>
      <c r="AI48" s="321"/>
      <c r="AJ48" s="317"/>
      <c r="AK48" s="221"/>
      <c r="AO48" s="323"/>
      <c r="AQ48" s="609"/>
    </row>
    <row r="49" spans="1:43" s="322" customFormat="1" ht="15.75" customHeight="1">
      <c r="A49" s="295"/>
      <c r="B49" s="220" t="s">
        <v>260</v>
      </c>
      <c r="C49" s="1884"/>
      <c r="D49" s="728"/>
      <c r="E49" s="325">
        <v>103</v>
      </c>
      <c r="F49" s="325">
        <v>90</v>
      </c>
      <c r="G49" s="728"/>
      <c r="H49" s="325">
        <v>103</v>
      </c>
      <c r="I49" s="325">
        <v>114</v>
      </c>
      <c r="J49" s="325">
        <v>103</v>
      </c>
      <c r="K49" s="325">
        <v>103</v>
      </c>
      <c r="L49" s="325">
        <v>90</v>
      </c>
      <c r="M49" s="325">
        <v>90</v>
      </c>
      <c r="N49" s="728"/>
      <c r="O49" s="728"/>
      <c r="P49" s="325">
        <v>103</v>
      </c>
      <c r="Q49" s="325">
        <v>114</v>
      </c>
      <c r="R49" s="325">
        <v>114</v>
      </c>
      <c r="S49" s="325">
        <v>103</v>
      </c>
      <c r="T49" s="325">
        <v>103</v>
      </c>
      <c r="U49" s="728"/>
      <c r="V49" s="325">
        <v>103</v>
      </c>
      <c r="W49" s="325">
        <v>103</v>
      </c>
      <c r="X49" s="325">
        <v>114</v>
      </c>
      <c r="Y49" s="325">
        <v>114</v>
      </c>
      <c r="Z49" s="325">
        <v>103</v>
      </c>
      <c r="AA49" s="325">
        <v>103</v>
      </c>
      <c r="AB49" s="728"/>
      <c r="AC49" s="325">
        <v>90</v>
      </c>
      <c r="AD49" s="325">
        <v>103</v>
      </c>
      <c r="AE49" s="325">
        <v>114</v>
      </c>
      <c r="AF49" s="728"/>
      <c r="AG49" s="325">
        <v>103</v>
      </c>
      <c r="AH49" s="325">
        <v>103</v>
      </c>
      <c r="AI49" s="321">
        <f t="shared" ref="AI49:AI58" si="5">SUM(D49:AH49)</f>
        <v>2486</v>
      </c>
      <c r="AJ49" s="294"/>
      <c r="AK49" s="221"/>
      <c r="AO49" s="323"/>
      <c r="AQ49" s="609"/>
    </row>
    <row r="50" spans="1:43" s="330" customFormat="1" ht="15.75" customHeight="1">
      <c r="A50" s="295"/>
      <c r="B50" s="298" t="s">
        <v>56</v>
      </c>
      <c r="C50" s="1884"/>
      <c r="D50" s="729"/>
      <c r="E50" s="327">
        <v>81</v>
      </c>
      <c r="F50" s="327">
        <v>59</v>
      </c>
      <c r="G50" s="729"/>
      <c r="H50" s="327">
        <v>90</v>
      </c>
      <c r="I50" s="327">
        <v>80</v>
      </c>
      <c r="J50" s="327">
        <v>89</v>
      </c>
      <c r="K50" s="327">
        <v>43</v>
      </c>
      <c r="L50" s="327">
        <v>60</v>
      </c>
      <c r="M50" s="327">
        <v>30</v>
      </c>
      <c r="N50" s="729"/>
      <c r="O50" s="729"/>
      <c r="P50" s="327">
        <v>149</v>
      </c>
      <c r="Q50" s="327">
        <v>125</v>
      </c>
      <c r="R50" s="327">
        <v>103</v>
      </c>
      <c r="S50" s="327">
        <f>63+3</f>
        <v>66</v>
      </c>
      <c r="T50" s="327">
        <f>64+3</f>
        <v>67</v>
      </c>
      <c r="U50" s="729"/>
      <c r="V50" s="327">
        <v>97</v>
      </c>
      <c r="W50" s="327">
        <v>75</v>
      </c>
      <c r="X50" s="327">
        <v>37</v>
      </c>
      <c r="Y50" s="327">
        <f>65+4</f>
        <v>69</v>
      </c>
      <c r="Z50" s="327">
        <f>67+3</f>
        <v>70</v>
      </c>
      <c r="AA50" s="327">
        <f>49+3</f>
        <v>52</v>
      </c>
      <c r="AB50" s="729"/>
      <c r="AC50" s="327">
        <v>32</v>
      </c>
      <c r="AD50" s="327">
        <v>41</v>
      </c>
      <c r="AE50" s="327">
        <f>58+2</f>
        <v>60</v>
      </c>
      <c r="AF50" s="729"/>
      <c r="AG50" s="327">
        <f>59+3</f>
        <v>62</v>
      </c>
      <c r="AH50" s="327">
        <v>62</v>
      </c>
      <c r="AI50" s="328">
        <f t="shared" si="5"/>
        <v>1699</v>
      </c>
      <c r="AJ50" s="296"/>
      <c r="AK50" s="222"/>
      <c r="AL50" s="329"/>
      <c r="AO50" s="331"/>
      <c r="AQ50" s="610"/>
    </row>
    <row r="51" spans="1:43" s="322" customFormat="1" ht="15.75" customHeight="1">
      <c r="A51" s="295"/>
      <c r="B51" s="220" t="s">
        <v>642</v>
      </c>
      <c r="C51" s="1884"/>
      <c r="D51" s="728"/>
      <c r="E51" s="325"/>
      <c r="F51" s="325"/>
      <c r="G51" s="728"/>
      <c r="H51" s="325"/>
      <c r="I51" s="325"/>
      <c r="J51" s="325"/>
      <c r="K51" s="325"/>
      <c r="L51" s="325"/>
      <c r="M51" s="325"/>
      <c r="N51" s="728"/>
      <c r="O51" s="728"/>
      <c r="P51" s="325"/>
      <c r="Q51" s="325"/>
      <c r="R51" s="325"/>
      <c r="S51" s="325"/>
      <c r="T51" s="325"/>
      <c r="U51" s="728"/>
      <c r="V51" s="325"/>
      <c r="W51" s="325"/>
      <c r="X51" s="325"/>
      <c r="Y51" s="325"/>
      <c r="Z51" s="325"/>
      <c r="AA51" s="325"/>
      <c r="AB51" s="728"/>
      <c r="AC51" s="325"/>
      <c r="AD51" s="325"/>
      <c r="AE51" s="325"/>
      <c r="AF51" s="728"/>
      <c r="AG51" s="325"/>
      <c r="AH51" s="325"/>
      <c r="AI51" s="321">
        <f t="shared" si="5"/>
        <v>0</v>
      </c>
      <c r="AJ51" s="317">
        <v>1409</v>
      </c>
      <c r="AK51" s="221">
        <f>AI51*AJ51</f>
        <v>0</v>
      </c>
      <c r="AO51" s="323"/>
      <c r="AQ51" s="609"/>
    </row>
    <row r="52" spans="1:43" s="322" customFormat="1" ht="15.75" customHeight="1">
      <c r="A52" s="295"/>
      <c r="B52" s="220" t="s">
        <v>721</v>
      </c>
      <c r="C52" s="1884"/>
      <c r="D52" s="728"/>
      <c r="E52" s="325"/>
      <c r="F52" s="325"/>
      <c r="G52" s="728"/>
      <c r="H52" s="325"/>
      <c r="I52" s="325"/>
      <c r="J52" s="325"/>
      <c r="K52" s="325"/>
      <c r="L52" s="325"/>
      <c r="M52" s="325"/>
      <c r="N52" s="728"/>
      <c r="O52" s="728"/>
      <c r="P52" s="324">
        <f>P50-P49</f>
        <v>46</v>
      </c>
      <c r="Q52" s="325"/>
      <c r="R52" s="325"/>
      <c r="S52" s="325"/>
      <c r="T52" s="325"/>
      <c r="U52" s="728"/>
      <c r="V52" s="325"/>
      <c r="W52" s="325"/>
      <c r="X52" s="325"/>
      <c r="Y52" s="325"/>
      <c r="Z52" s="325"/>
      <c r="AA52" s="325"/>
      <c r="AB52" s="728"/>
      <c r="AC52" s="325"/>
      <c r="AD52" s="325"/>
      <c r="AE52" s="325"/>
      <c r="AF52" s="728"/>
      <c r="AG52" s="325"/>
      <c r="AH52" s="325"/>
      <c r="AI52" s="321">
        <f t="shared" si="5"/>
        <v>46</v>
      </c>
      <c r="AJ52" s="317">
        <v>1322</v>
      </c>
      <c r="AK52" s="221">
        <f>AI52*AJ52</f>
        <v>60812</v>
      </c>
      <c r="AO52" s="323"/>
      <c r="AQ52" s="609"/>
    </row>
    <row r="53" spans="1:43" s="322" customFormat="1" ht="15.75" customHeight="1">
      <c r="A53" s="295"/>
      <c r="B53" s="220" t="s">
        <v>366</v>
      </c>
      <c r="C53" s="1884"/>
      <c r="D53" s="728"/>
      <c r="E53" s="325"/>
      <c r="F53" s="325"/>
      <c r="G53" s="728"/>
      <c r="H53" s="325"/>
      <c r="I53" s="325"/>
      <c r="J53" s="325"/>
      <c r="K53" s="325"/>
      <c r="L53" s="325"/>
      <c r="M53" s="325"/>
      <c r="N53" s="728"/>
      <c r="O53" s="728"/>
      <c r="P53" s="325"/>
      <c r="Q53" s="325">
        <f>Q50-Q49</f>
        <v>11</v>
      </c>
      <c r="R53" s="325"/>
      <c r="S53" s="325"/>
      <c r="T53" s="325"/>
      <c r="U53" s="728"/>
      <c r="V53" s="325"/>
      <c r="W53" s="325"/>
      <c r="X53" s="325"/>
      <c r="Y53" s="325"/>
      <c r="Z53" s="325"/>
      <c r="AA53" s="325"/>
      <c r="AB53" s="728"/>
      <c r="AC53" s="325"/>
      <c r="AD53" s="325"/>
      <c r="AE53" s="325"/>
      <c r="AF53" s="728"/>
      <c r="AG53" s="325"/>
      <c r="AH53" s="325"/>
      <c r="AI53" s="321">
        <f t="shared" si="5"/>
        <v>11</v>
      </c>
      <c r="AJ53" s="317">
        <v>1233</v>
      </c>
      <c r="AK53" s="221">
        <f>AI53*AJ53</f>
        <v>13563</v>
      </c>
      <c r="AO53" s="323"/>
      <c r="AQ53" s="609"/>
    </row>
    <row r="54" spans="1:43" s="322" customFormat="1" ht="15.75" customHeight="1">
      <c r="A54" s="295"/>
      <c r="B54" s="220" t="s">
        <v>643</v>
      </c>
      <c r="C54" s="1884"/>
      <c r="D54" s="728"/>
      <c r="E54" s="325"/>
      <c r="F54" s="325"/>
      <c r="G54" s="728"/>
      <c r="H54" s="325"/>
      <c r="I54" s="325"/>
      <c r="J54" s="325"/>
      <c r="K54" s="325"/>
      <c r="L54" s="325"/>
      <c r="M54" s="325"/>
      <c r="N54" s="728"/>
      <c r="O54" s="728"/>
      <c r="P54" s="325"/>
      <c r="Q54" s="325"/>
      <c r="R54" s="325"/>
      <c r="S54" s="325"/>
      <c r="T54" s="325"/>
      <c r="U54" s="728"/>
      <c r="V54" s="325"/>
      <c r="W54" s="325"/>
      <c r="X54" s="325"/>
      <c r="Y54" s="325"/>
      <c r="Z54" s="325"/>
      <c r="AA54" s="325"/>
      <c r="AB54" s="728"/>
      <c r="AC54" s="325"/>
      <c r="AD54" s="325"/>
      <c r="AE54" s="325"/>
      <c r="AF54" s="728"/>
      <c r="AG54" s="325"/>
      <c r="AH54" s="325"/>
      <c r="AI54" s="321">
        <f t="shared" si="5"/>
        <v>0</v>
      </c>
      <c r="AJ54" s="317">
        <v>1043</v>
      </c>
      <c r="AK54" s="221">
        <f>AI54*AJ54</f>
        <v>0</v>
      </c>
      <c r="AO54" s="323"/>
      <c r="AQ54" s="609"/>
    </row>
    <row r="55" spans="1:43" s="322" customFormat="1" ht="15.75" customHeight="1">
      <c r="A55" s="295"/>
      <c r="B55" s="220" t="s">
        <v>367</v>
      </c>
      <c r="C55" s="1884"/>
      <c r="D55" s="728"/>
      <c r="E55" s="325"/>
      <c r="F55" s="325"/>
      <c r="G55" s="728"/>
      <c r="H55" s="325"/>
      <c r="I55" s="325"/>
      <c r="J55" s="325"/>
      <c r="K55" s="325"/>
      <c r="L55" s="325"/>
      <c r="M55" s="325"/>
      <c r="N55" s="728"/>
      <c r="O55" s="728"/>
      <c r="P55" s="325"/>
      <c r="Q55" s="325"/>
      <c r="R55" s="325"/>
      <c r="S55" s="325"/>
      <c r="T55" s="325"/>
      <c r="U55" s="728"/>
      <c r="V55" s="325"/>
      <c r="W55" s="325"/>
      <c r="X55" s="325"/>
      <c r="Y55" s="325"/>
      <c r="Z55" s="325"/>
      <c r="AA55" s="325"/>
      <c r="AB55" s="728"/>
      <c r="AC55" s="325"/>
      <c r="AD55" s="325"/>
      <c r="AE55" s="325"/>
      <c r="AF55" s="728"/>
      <c r="AG55" s="325"/>
      <c r="AH55" s="325"/>
      <c r="AI55" s="321">
        <f t="shared" si="5"/>
        <v>0</v>
      </c>
      <c r="AJ55" s="317"/>
      <c r="AK55" s="221">
        <f>AI55*AJ55</f>
        <v>0</v>
      </c>
      <c r="AL55" s="326"/>
      <c r="AM55" s="326"/>
      <c r="AN55" s="326"/>
      <c r="AO55" s="323"/>
      <c r="AP55" s="326"/>
      <c r="AQ55" s="609"/>
    </row>
    <row r="56" spans="1:43" s="330" customFormat="1" ht="15.75" customHeight="1">
      <c r="A56" s="295"/>
      <c r="B56" s="298" t="s">
        <v>259</v>
      </c>
      <c r="C56" s="1884"/>
      <c r="D56" s="729"/>
      <c r="E56" s="327"/>
      <c r="F56" s="327"/>
      <c r="G56" s="729"/>
      <c r="H56" s="327"/>
      <c r="I56" s="327"/>
      <c r="J56" s="327"/>
      <c r="K56" s="327"/>
      <c r="L56" s="327"/>
      <c r="M56" s="327"/>
      <c r="N56" s="729"/>
      <c r="O56" s="729"/>
      <c r="P56" s="327"/>
      <c r="Q56" s="327"/>
      <c r="R56" s="327"/>
      <c r="S56" s="327"/>
      <c r="T56" s="327"/>
      <c r="U56" s="729"/>
      <c r="V56" s="327"/>
      <c r="W56" s="327"/>
      <c r="X56" s="332"/>
      <c r="Y56" s="327"/>
      <c r="Z56" s="327"/>
      <c r="AA56" s="327"/>
      <c r="AB56" s="729"/>
      <c r="AC56" s="327"/>
      <c r="AD56" s="327"/>
      <c r="AE56" s="327"/>
      <c r="AF56" s="729"/>
      <c r="AG56" s="327"/>
      <c r="AH56" s="327"/>
      <c r="AI56" s="328">
        <f t="shared" si="5"/>
        <v>0</v>
      </c>
      <c r="AJ56" s="333"/>
      <c r="AK56" s="222">
        <f>SUM(AK51:AK55)</f>
        <v>74375</v>
      </c>
      <c r="AL56" s="334"/>
      <c r="AM56" s="334"/>
      <c r="AN56" s="334"/>
      <c r="AO56" s="331"/>
      <c r="AP56" s="334"/>
      <c r="AQ56" s="610"/>
    </row>
    <row r="57" spans="1:43" s="322" customFormat="1" ht="15.75" customHeight="1">
      <c r="A57" s="295"/>
      <c r="B57" s="220" t="s">
        <v>57</v>
      </c>
      <c r="C57" s="1884"/>
      <c r="D57" s="728"/>
      <c r="E57" s="325">
        <v>13</v>
      </c>
      <c r="F57" s="325">
        <v>9</v>
      </c>
      <c r="G57" s="728"/>
      <c r="H57" s="325">
        <v>12</v>
      </c>
      <c r="I57" s="325">
        <v>5</v>
      </c>
      <c r="J57" s="325">
        <v>8</v>
      </c>
      <c r="K57" s="325">
        <v>2</v>
      </c>
      <c r="L57" s="325">
        <v>6</v>
      </c>
      <c r="M57" s="325">
        <v>4</v>
      </c>
      <c r="N57" s="728"/>
      <c r="O57" s="728"/>
      <c r="P57" s="325">
        <v>14</v>
      </c>
      <c r="Q57" s="325">
        <v>10</v>
      </c>
      <c r="R57" s="325">
        <v>10</v>
      </c>
      <c r="S57" s="325">
        <v>8</v>
      </c>
      <c r="T57" s="325">
        <v>7</v>
      </c>
      <c r="U57" s="728"/>
      <c r="V57" s="325">
        <v>9</v>
      </c>
      <c r="W57" s="325">
        <v>3</v>
      </c>
      <c r="X57" s="325">
        <v>3</v>
      </c>
      <c r="Y57" s="325">
        <v>8</v>
      </c>
      <c r="Z57" s="325">
        <v>7</v>
      </c>
      <c r="AA57" s="325">
        <v>4</v>
      </c>
      <c r="AB57" s="728"/>
      <c r="AC57" s="325">
        <v>6</v>
      </c>
      <c r="AD57" s="325">
        <v>6</v>
      </c>
      <c r="AE57" s="325">
        <v>7</v>
      </c>
      <c r="AF57" s="728"/>
      <c r="AG57" s="325">
        <v>7</v>
      </c>
      <c r="AH57" s="325">
        <v>8</v>
      </c>
      <c r="AI57" s="321">
        <f t="shared" si="5"/>
        <v>176</v>
      </c>
      <c r="AJ57" s="317">
        <v>1750</v>
      </c>
      <c r="AK57" s="221">
        <f>AI57*AJ57</f>
        <v>308000</v>
      </c>
      <c r="AL57" s="326"/>
      <c r="AM57" s="326"/>
      <c r="AN57" s="326"/>
      <c r="AO57" s="323"/>
      <c r="AP57" s="326"/>
      <c r="AQ57" s="609"/>
    </row>
    <row r="58" spans="1:43" s="360" customFormat="1" ht="15.75" customHeight="1" thickBot="1">
      <c r="A58" s="352"/>
      <c r="B58" s="353" t="s">
        <v>44</v>
      </c>
      <c r="C58" s="1885"/>
      <c r="D58" s="730"/>
      <c r="E58" s="354"/>
      <c r="F58" s="354"/>
      <c r="G58" s="730"/>
      <c r="H58" s="354"/>
      <c r="I58" s="354">
        <v>38539</v>
      </c>
      <c r="J58" s="354"/>
      <c r="K58" s="354"/>
      <c r="L58" s="354"/>
      <c r="M58" s="354"/>
      <c r="N58" s="730"/>
      <c r="O58" s="730"/>
      <c r="P58" s="354"/>
      <c r="Q58" s="354"/>
      <c r="R58" s="354"/>
      <c r="S58" s="354"/>
      <c r="T58" s="354"/>
      <c r="U58" s="1071"/>
      <c r="V58" s="354"/>
      <c r="W58" s="354"/>
      <c r="X58" s="354"/>
      <c r="Y58" s="354">
        <v>51008</v>
      </c>
      <c r="Z58" s="354"/>
      <c r="AA58" s="354"/>
      <c r="AB58" s="730"/>
      <c r="AC58" s="354"/>
      <c r="AD58" s="354"/>
      <c r="AE58" s="354"/>
      <c r="AF58" s="730"/>
      <c r="AG58" s="354"/>
      <c r="AH58" s="354"/>
      <c r="AI58" s="355">
        <f t="shared" si="5"/>
        <v>89547</v>
      </c>
      <c r="AJ58" s="356"/>
      <c r="AK58" s="357">
        <f>AI58</f>
        <v>89547</v>
      </c>
      <c r="AL58" s="358"/>
      <c r="AM58" s="358"/>
      <c r="AN58" s="358"/>
      <c r="AO58" s="359"/>
      <c r="AP58" s="358"/>
      <c r="AQ58" s="611"/>
    </row>
    <row r="59" spans="1:43" s="216" customFormat="1" ht="15.75" customHeight="1" thickTop="1">
      <c r="A59" s="293">
        <v>5</v>
      </c>
      <c r="B59" s="223" t="s">
        <v>340</v>
      </c>
      <c r="C59" s="1883" t="s">
        <v>448</v>
      </c>
      <c r="D59" s="731"/>
      <c r="E59" s="308">
        <v>1</v>
      </c>
      <c r="F59" s="308">
        <v>1</v>
      </c>
      <c r="G59" s="731"/>
      <c r="H59" s="308">
        <v>1</v>
      </c>
      <c r="I59" s="308">
        <v>1</v>
      </c>
      <c r="J59" s="308">
        <v>1</v>
      </c>
      <c r="K59" s="308">
        <v>1</v>
      </c>
      <c r="L59" s="308">
        <v>1</v>
      </c>
      <c r="M59" s="308">
        <v>1</v>
      </c>
      <c r="N59" s="731"/>
      <c r="O59" s="731"/>
      <c r="P59" s="308">
        <v>1</v>
      </c>
      <c r="Q59" s="308">
        <v>1</v>
      </c>
      <c r="R59" s="308">
        <v>1</v>
      </c>
      <c r="S59" s="308">
        <v>1</v>
      </c>
      <c r="T59" s="308">
        <v>1</v>
      </c>
      <c r="U59" s="731"/>
      <c r="V59" s="308">
        <v>1</v>
      </c>
      <c r="W59" s="308">
        <v>1</v>
      </c>
      <c r="X59" s="308">
        <v>1</v>
      </c>
      <c r="Y59" s="308">
        <v>1</v>
      </c>
      <c r="Z59" s="308">
        <v>1</v>
      </c>
      <c r="AA59" s="308">
        <v>1</v>
      </c>
      <c r="AB59" s="731"/>
      <c r="AC59" s="308">
        <v>1</v>
      </c>
      <c r="AD59" s="308">
        <v>1</v>
      </c>
      <c r="AE59" s="308">
        <v>1</v>
      </c>
      <c r="AF59" s="731"/>
      <c r="AG59" s="308">
        <v>1</v>
      </c>
      <c r="AH59" s="308">
        <v>1</v>
      </c>
      <c r="AI59" s="309">
        <f t="shared" ref="AI59" si="6">SUM(D59:AH59)</f>
        <v>24</v>
      </c>
      <c r="AJ59" s="310"/>
      <c r="AK59" s="224"/>
      <c r="AL59" s="311"/>
      <c r="AN59" s="312"/>
      <c r="AO59" s="313"/>
      <c r="AP59" s="314"/>
      <c r="AQ59" s="608"/>
    </row>
    <row r="60" spans="1:43" s="322" customFormat="1" ht="54" customHeight="1">
      <c r="A60" s="295"/>
      <c r="B60" s="297" t="s">
        <v>188</v>
      </c>
      <c r="C60" s="1884"/>
      <c r="D60" s="726"/>
      <c r="E60" s="318" t="s">
        <v>791</v>
      </c>
      <c r="F60" s="318" t="s">
        <v>799</v>
      </c>
      <c r="G60" s="726"/>
      <c r="H60" s="318" t="s">
        <v>810</v>
      </c>
      <c r="I60" s="318" t="s">
        <v>877</v>
      </c>
      <c r="J60" s="318" t="s">
        <v>876</v>
      </c>
      <c r="K60" s="318" t="s">
        <v>791</v>
      </c>
      <c r="L60" s="318" t="s">
        <v>792</v>
      </c>
      <c r="M60" s="318" t="s">
        <v>799</v>
      </c>
      <c r="N60" s="726"/>
      <c r="O60" s="726"/>
      <c r="P60" s="318" t="s">
        <v>801</v>
      </c>
      <c r="Q60" s="318" t="s">
        <v>802</v>
      </c>
      <c r="R60" s="318" t="s">
        <v>795</v>
      </c>
      <c r="S60" s="319" t="s">
        <v>831</v>
      </c>
      <c r="T60" s="318" t="s">
        <v>903</v>
      </c>
      <c r="U60" s="726"/>
      <c r="V60" s="318" t="s">
        <v>912</v>
      </c>
      <c r="W60" s="509" t="s">
        <v>801</v>
      </c>
      <c r="X60" s="318" t="s">
        <v>797</v>
      </c>
      <c r="Y60" s="318" t="s">
        <v>795</v>
      </c>
      <c r="Z60" s="320" t="s">
        <v>921</v>
      </c>
      <c r="AA60" s="318" t="s">
        <v>813</v>
      </c>
      <c r="AB60" s="726"/>
      <c r="AC60" s="318" t="s">
        <v>816</v>
      </c>
      <c r="AD60" s="318" t="s">
        <v>801</v>
      </c>
      <c r="AE60" s="318" t="s">
        <v>804</v>
      </c>
      <c r="AF60" s="726"/>
      <c r="AG60" s="318" t="s">
        <v>795</v>
      </c>
      <c r="AH60" s="318" t="s">
        <v>831</v>
      </c>
      <c r="AI60" s="321"/>
      <c r="AJ60" s="317"/>
      <c r="AK60" s="221"/>
      <c r="AO60" s="323"/>
      <c r="AQ60" s="609"/>
    </row>
    <row r="61" spans="1:43" s="322" customFormat="1" ht="15.75" customHeight="1">
      <c r="A61" s="295"/>
      <c r="B61" s="297" t="s">
        <v>281</v>
      </c>
      <c r="C61" s="1884"/>
      <c r="D61" s="727"/>
      <c r="E61" s="324" t="s">
        <v>78</v>
      </c>
      <c r="F61" s="324">
        <v>17</v>
      </c>
      <c r="G61" s="727"/>
      <c r="H61" s="324" t="s">
        <v>878</v>
      </c>
      <c r="I61" s="324">
        <v>17</v>
      </c>
      <c r="J61" s="324">
        <v>17</v>
      </c>
      <c r="K61" s="324" t="s">
        <v>78</v>
      </c>
      <c r="L61" s="324" t="s">
        <v>875</v>
      </c>
      <c r="M61" s="324">
        <v>17</v>
      </c>
      <c r="N61" s="727"/>
      <c r="O61" s="727"/>
      <c r="P61" s="324" t="s">
        <v>78</v>
      </c>
      <c r="Q61" s="324" t="s">
        <v>873</v>
      </c>
      <c r="R61" s="324" t="s">
        <v>874</v>
      </c>
      <c r="S61" s="324" t="s">
        <v>78</v>
      </c>
      <c r="T61" s="324">
        <v>17</v>
      </c>
      <c r="U61" s="727"/>
      <c r="V61" s="324" t="s">
        <v>937</v>
      </c>
      <c r="W61" s="460" t="s">
        <v>878</v>
      </c>
      <c r="X61" s="324" t="s">
        <v>959</v>
      </c>
      <c r="Y61" s="324">
        <v>17</v>
      </c>
      <c r="Z61" s="324">
        <v>17</v>
      </c>
      <c r="AA61" s="324" t="s">
        <v>875</v>
      </c>
      <c r="AB61" s="727"/>
      <c r="AC61" s="324" t="s">
        <v>875</v>
      </c>
      <c r="AD61" s="324" t="s">
        <v>78</v>
      </c>
      <c r="AE61" s="324" t="s">
        <v>78</v>
      </c>
      <c r="AF61" s="727"/>
      <c r="AG61" s="324" t="s">
        <v>1012</v>
      </c>
      <c r="AH61" s="324">
        <v>17</v>
      </c>
      <c r="AI61" s="321"/>
      <c r="AJ61" s="317"/>
      <c r="AK61" s="221"/>
      <c r="AO61" s="323"/>
      <c r="AQ61" s="609"/>
    </row>
    <row r="62" spans="1:43" s="322" customFormat="1" ht="15.75" customHeight="1">
      <c r="A62" s="295"/>
      <c r="B62" s="220" t="s">
        <v>260</v>
      </c>
      <c r="C62" s="1884"/>
      <c r="D62" s="728"/>
      <c r="E62" s="325">
        <v>103</v>
      </c>
      <c r="F62" s="325">
        <v>90</v>
      </c>
      <c r="G62" s="728"/>
      <c r="H62" s="325">
        <v>103</v>
      </c>
      <c r="I62" s="325">
        <v>114</v>
      </c>
      <c r="J62" s="325">
        <v>103</v>
      </c>
      <c r="K62" s="325">
        <v>103</v>
      </c>
      <c r="L62" s="325">
        <v>90</v>
      </c>
      <c r="M62" s="325">
        <v>90</v>
      </c>
      <c r="N62" s="728"/>
      <c r="O62" s="728"/>
      <c r="P62" s="325">
        <v>103</v>
      </c>
      <c r="Q62" s="325">
        <v>114</v>
      </c>
      <c r="R62" s="325">
        <v>114</v>
      </c>
      <c r="S62" s="325">
        <v>103</v>
      </c>
      <c r="T62" s="325">
        <v>103</v>
      </c>
      <c r="U62" s="728"/>
      <c r="V62" s="325">
        <v>90</v>
      </c>
      <c r="W62" s="325">
        <v>103</v>
      </c>
      <c r="X62" s="325">
        <v>114</v>
      </c>
      <c r="Y62" s="325">
        <v>114</v>
      </c>
      <c r="Z62" s="325">
        <v>103</v>
      </c>
      <c r="AA62" s="325">
        <v>103</v>
      </c>
      <c r="AB62" s="728"/>
      <c r="AC62" s="325">
        <v>90</v>
      </c>
      <c r="AD62" s="325">
        <v>103</v>
      </c>
      <c r="AE62" s="325">
        <v>114</v>
      </c>
      <c r="AF62" s="728"/>
      <c r="AG62" s="325">
        <v>114</v>
      </c>
      <c r="AH62" s="325">
        <v>103</v>
      </c>
      <c r="AI62" s="321">
        <f t="shared" ref="AI62:AI72" si="7">SUM(D62:AH62)</f>
        <v>2484</v>
      </c>
      <c r="AJ62" s="294"/>
      <c r="AK62" s="221"/>
      <c r="AO62" s="323"/>
      <c r="AQ62" s="609"/>
    </row>
    <row r="63" spans="1:43" s="330" customFormat="1" ht="15.75" customHeight="1">
      <c r="A63" s="295"/>
      <c r="B63" s="298" t="s">
        <v>56</v>
      </c>
      <c r="C63" s="1884"/>
      <c r="D63" s="729"/>
      <c r="E63" s="327">
        <v>127</v>
      </c>
      <c r="F63" s="327">
        <v>22</v>
      </c>
      <c r="G63" s="729"/>
      <c r="H63" s="327">
        <v>129</v>
      </c>
      <c r="I63" s="327">
        <v>80</v>
      </c>
      <c r="J63" s="327">
        <v>86</v>
      </c>
      <c r="K63" s="327">
        <v>38</v>
      </c>
      <c r="L63" s="327">
        <v>35</v>
      </c>
      <c r="M63" s="327">
        <v>18</v>
      </c>
      <c r="N63" s="729"/>
      <c r="O63" s="729"/>
      <c r="P63" s="327">
        <v>95</v>
      </c>
      <c r="Q63" s="327">
        <v>146</v>
      </c>
      <c r="R63" s="327">
        <v>86</v>
      </c>
      <c r="S63" s="327">
        <v>83</v>
      </c>
      <c r="T63" s="327">
        <f>84+2</f>
        <v>86</v>
      </c>
      <c r="U63" s="729"/>
      <c r="V63" s="327">
        <v>104</v>
      </c>
      <c r="W63" s="327">
        <v>43</v>
      </c>
      <c r="X63" s="327">
        <v>54</v>
      </c>
      <c r="Y63" s="327">
        <v>56</v>
      </c>
      <c r="Z63" s="327">
        <v>56</v>
      </c>
      <c r="AA63" s="327">
        <f>44+2</f>
        <v>46</v>
      </c>
      <c r="AB63" s="729"/>
      <c r="AC63" s="327">
        <v>40</v>
      </c>
      <c r="AD63" s="327">
        <f>47+2</f>
        <v>49</v>
      </c>
      <c r="AE63" s="327">
        <f>54+2</f>
        <v>56</v>
      </c>
      <c r="AF63" s="729"/>
      <c r="AG63" s="327">
        <f>71+2</f>
        <v>73</v>
      </c>
      <c r="AH63" s="327">
        <v>61</v>
      </c>
      <c r="AI63" s="328">
        <f t="shared" si="7"/>
        <v>1669</v>
      </c>
      <c r="AJ63" s="296"/>
      <c r="AK63" s="222"/>
      <c r="AL63" s="329"/>
      <c r="AO63" s="331"/>
      <c r="AQ63" s="610"/>
    </row>
    <row r="64" spans="1:43" s="322" customFormat="1" ht="15.75" customHeight="1">
      <c r="A64" s="295"/>
      <c r="B64" s="220" t="s">
        <v>642</v>
      </c>
      <c r="C64" s="1884"/>
      <c r="D64" s="728"/>
      <c r="E64" s="325"/>
      <c r="F64" s="325"/>
      <c r="G64" s="728"/>
      <c r="H64" s="325"/>
      <c r="I64" s="325"/>
      <c r="J64" s="325"/>
      <c r="K64" s="325"/>
      <c r="L64" s="325"/>
      <c r="M64" s="325"/>
      <c r="N64" s="728"/>
      <c r="O64" s="728"/>
      <c r="P64" s="325"/>
      <c r="Q64" s="325"/>
      <c r="R64" s="325"/>
      <c r="S64" s="325"/>
      <c r="T64" s="325"/>
      <c r="U64" s="728"/>
      <c r="V64" s="325">
        <f>V63-V62</f>
        <v>14</v>
      </c>
      <c r="W64" s="325"/>
      <c r="X64" s="325"/>
      <c r="Y64" s="325"/>
      <c r="Z64" s="325"/>
      <c r="AA64" s="325"/>
      <c r="AB64" s="728"/>
      <c r="AC64" s="325"/>
      <c r="AD64" s="325"/>
      <c r="AE64" s="325"/>
      <c r="AF64" s="728"/>
      <c r="AG64" s="325"/>
      <c r="AH64" s="325"/>
      <c r="AI64" s="321">
        <f t="shared" si="7"/>
        <v>14</v>
      </c>
      <c r="AJ64" s="317">
        <v>1409</v>
      </c>
      <c r="AK64" s="221">
        <f>AI64*AJ64</f>
        <v>19726</v>
      </c>
      <c r="AO64" s="323"/>
      <c r="AQ64" s="609"/>
    </row>
    <row r="65" spans="1:43" s="322" customFormat="1" ht="15.75" customHeight="1">
      <c r="A65" s="295"/>
      <c r="B65" s="220" t="s">
        <v>721</v>
      </c>
      <c r="C65" s="1884"/>
      <c r="D65" s="728"/>
      <c r="E65" s="325">
        <f>E63-E62</f>
        <v>24</v>
      </c>
      <c r="F65" s="325"/>
      <c r="G65" s="728"/>
      <c r="H65" s="325">
        <f>H63-H62</f>
        <v>26</v>
      </c>
      <c r="I65" s="325"/>
      <c r="J65" s="325"/>
      <c r="K65" s="325"/>
      <c r="L65" s="325"/>
      <c r="M65" s="325"/>
      <c r="N65" s="728"/>
      <c r="O65" s="727"/>
      <c r="P65" s="324"/>
      <c r="Q65" s="325"/>
      <c r="R65" s="325"/>
      <c r="S65" s="325"/>
      <c r="T65" s="325"/>
      <c r="U65" s="728"/>
      <c r="V65" s="325"/>
      <c r="W65" s="325"/>
      <c r="X65" s="325"/>
      <c r="Y65" s="325"/>
      <c r="Z65" s="325"/>
      <c r="AA65" s="325"/>
      <c r="AB65" s="728"/>
      <c r="AC65" s="325"/>
      <c r="AD65" s="325"/>
      <c r="AE65" s="325"/>
      <c r="AF65" s="728"/>
      <c r="AG65" s="325"/>
      <c r="AH65" s="325"/>
      <c r="AI65" s="321">
        <f t="shared" si="7"/>
        <v>50</v>
      </c>
      <c r="AJ65" s="317">
        <v>1322</v>
      </c>
      <c r="AK65" s="221">
        <f>AI65*AJ65</f>
        <v>66100</v>
      </c>
      <c r="AO65" s="323"/>
      <c r="AQ65" s="609"/>
    </row>
    <row r="66" spans="1:43" s="322" customFormat="1" ht="15.75" customHeight="1">
      <c r="A66" s="295"/>
      <c r="B66" s="220" t="s">
        <v>366</v>
      </c>
      <c r="C66" s="1884"/>
      <c r="D66" s="728"/>
      <c r="E66" s="325"/>
      <c r="F66" s="325"/>
      <c r="G66" s="728"/>
      <c r="H66" s="325"/>
      <c r="I66" s="325"/>
      <c r="J66" s="325"/>
      <c r="K66" s="325"/>
      <c r="L66" s="325"/>
      <c r="M66" s="325"/>
      <c r="N66" s="728"/>
      <c r="O66" s="728"/>
      <c r="P66" s="325"/>
      <c r="Q66" s="325">
        <f>Q63-Q62</f>
        <v>32</v>
      </c>
      <c r="R66" s="325"/>
      <c r="S66" s="325"/>
      <c r="T66" s="325"/>
      <c r="U66" s="728"/>
      <c r="V66" s="325"/>
      <c r="W66" s="325"/>
      <c r="X66" s="325"/>
      <c r="Y66" s="325"/>
      <c r="Z66" s="325"/>
      <c r="AA66" s="325"/>
      <c r="AB66" s="728"/>
      <c r="AC66" s="325"/>
      <c r="AD66" s="325"/>
      <c r="AE66" s="325"/>
      <c r="AF66" s="728"/>
      <c r="AG66" s="325"/>
      <c r="AH66" s="325"/>
      <c r="AI66" s="321">
        <f t="shared" si="7"/>
        <v>32</v>
      </c>
      <c r="AJ66" s="317">
        <v>1233</v>
      </c>
      <c r="AK66" s="221">
        <f>AI66*AJ66</f>
        <v>39456</v>
      </c>
      <c r="AO66" s="323"/>
      <c r="AQ66" s="609"/>
    </row>
    <row r="67" spans="1:43" s="322" customFormat="1" ht="15.75" customHeight="1">
      <c r="A67" s="295"/>
      <c r="B67" s="220" t="s">
        <v>643</v>
      </c>
      <c r="C67" s="1884"/>
      <c r="D67" s="728"/>
      <c r="E67" s="325"/>
      <c r="F67" s="325"/>
      <c r="G67" s="728"/>
      <c r="H67" s="325"/>
      <c r="I67" s="325"/>
      <c r="J67" s="325"/>
      <c r="K67" s="325"/>
      <c r="L67" s="325"/>
      <c r="M67" s="325"/>
      <c r="N67" s="728"/>
      <c r="O67" s="728"/>
      <c r="P67" s="325"/>
      <c r="Q67" s="325"/>
      <c r="R67" s="325"/>
      <c r="S67" s="325"/>
      <c r="T67" s="325"/>
      <c r="U67" s="728"/>
      <c r="V67" s="325"/>
      <c r="W67" s="325"/>
      <c r="X67" s="325"/>
      <c r="Y67" s="325"/>
      <c r="Z67" s="325"/>
      <c r="AA67" s="325"/>
      <c r="AB67" s="728"/>
      <c r="AC67" s="325"/>
      <c r="AD67" s="325"/>
      <c r="AE67" s="325"/>
      <c r="AF67" s="728"/>
      <c r="AG67" s="325"/>
      <c r="AH67" s="325"/>
      <c r="AI67" s="321">
        <f t="shared" si="7"/>
        <v>0</v>
      </c>
      <c r="AJ67" s="317">
        <v>1043</v>
      </c>
      <c r="AK67" s="221">
        <f>AI67*AJ67</f>
        <v>0</v>
      </c>
      <c r="AO67" s="323"/>
      <c r="AQ67" s="609"/>
    </row>
    <row r="68" spans="1:43" s="322" customFormat="1" ht="15.75" customHeight="1">
      <c r="A68" s="295"/>
      <c r="B68" s="220" t="s">
        <v>367</v>
      </c>
      <c r="C68" s="1884"/>
      <c r="D68" s="728"/>
      <c r="E68" s="325"/>
      <c r="F68" s="325"/>
      <c r="G68" s="728"/>
      <c r="H68" s="325"/>
      <c r="I68" s="325"/>
      <c r="J68" s="325"/>
      <c r="K68" s="325"/>
      <c r="L68" s="325"/>
      <c r="M68" s="325"/>
      <c r="N68" s="728"/>
      <c r="O68" s="728"/>
      <c r="P68" s="325"/>
      <c r="Q68" s="325"/>
      <c r="R68" s="325"/>
      <c r="S68" s="325"/>
      <c r="T68" s="325"/>
      <c r="U68" s="728"/>
      <c r="V68" s="325"/>
      <c r="W68" s="325"/>
      <c r="X68" s="325"/>
      <c r="Y68" s="325"/>
      <c r="Z68" s="325"/>
      <c r="AA68" s="325"/>
      <c r="AB68" s="728"/>
      <c r="AC68" s="325"/>
      <c r="AD68" s="325"/>
      <c r="AE68" s="325"/>
      <c r="AF68" s="728"/>
      <c r="AG68" s="325"/>
      <c r="AH68" s="325"/>
      <c r="AI68" s="321">
        <f t="shared" si="7"/>
        <v>0</v>
      </c>
      <c r="AJ68" s="317"/>
      <c r="AK68" s="221">
        <f>AI68*AJ68</f>
        <v>0</v>
      </c>
      <c r="AL68" s="326"/>
      <c r="AM68" s="326"/>
      <c r="AN68" s="326"/>
      <c r="AO68" s="323"/>
      <c r="AP68" s="326"/>
      <c r="AQ68" s="609"/>
    </row>
    <row r="69" spans="1:43" s="330" customFormat="1" ht="15.75" customHeight="1">
      <c r="A69" s="295"/>
      <c r="B69" s="298" t="s">
        <v>259</v>
      </c>
      <c r="C69" s="1884"/>
      <c r="D69" s="729"/>
      <c r="E69" s="327"/>
      <c r="F69" s="327"/>
      <c r="G69" s="729"/>
      <c r="H69" s="327"/>
      <c r="I69" s="327"/>
      <c r="J69" s="327"/>
      <c r="K69" s="327"/>
      <c r="L69" s="327"/>
      <c r="M69" s="327"/>
      <c r="N69" s="729"/>
      <c r="O69" s="729"/>
      <c r="P69" s="327"/>
      <c r="Q69" s="327"/>
      <c r="R69" s="327"/>
      <c r="S69" s="327"/>
      <c r="T69" s="327"/>
      <c r="U69" s="729"/>
      <c r="V69" s="327"/>
      <c r="W69" s="327"/>
      <c r="X69" s="332"/>
      <c r="Y69" s="327"/>
      <c r="Z69" s="327"/>
      <c r="AA69" s="327"/>
      <c r="AB69" s="729"/>
      <c r="AC69" s="327"/>
      <c r="AD69" s="327"/>
      <c r="AE69" s="327"/>
      <c r="AF69" s="729"/>
      <c r="AG69" s="327"/>
      <c r="AH69" s="327"/>
      <c r="AI69" s="328">
        <f t="shared" si="7"/>
        <v>0</v>
      </c>
      <c r="AJ69" s="333"/>
      <c r="AK69" s="222">
        <f>SUM(AK64:AK68)</f>
        <v>125282</v>
      </c>
      <c r="AL69" s="334"/>
      <c r="AM69" s="334"/>
      <c r="AN69" s="334"/>
      <c r="AO69" s="331"/>
      <c r="AP69" s="334"/>
      <c r="AQ69" s="610"/>
    </row>
    <row r="70" spans="1:43" s="322" customFormat="1" ht="15.75" customHeight="1">
      <c r="A70" s="295"/>
      <c r="B70" s="220" t="s">
        <v>57</v>
      </c>
      <c r="C70" s="1884"/>
      <c r="D70" s="728"/>
      <c r="E70" s="325">
        <v>14</v>
      </c>
      <c r="F70" s="325">
        <v>3</v>
      </c>
      <c r="G70" s="728"/>
      <c r="H70" s="325">
        <v>14</v>
      </c>
      <c r="I70" s="325">
        <v>6</v>
      </c>
      <c r="J70" s="325">
        <v>4</v>
      </c>
      <c r="K70" s="325">
        <v>2</v>
      </c>
      <c r="L70" s="325">
        <v>6</v>
      </c>
      <c r="M70" s="325">
        <v>3</v>
      </c>
      <c r="N70" s="728"/>
      <c r="O70" s="728"/>
      <c r="P70" s="325">
        <v>5</v>
      </c>
      <c r="Q70" s="325">
        <v>11</v>
      </c>
      <c r="R70" s="325">
        <v>5</v>
      </c>
      <c r="S70" s="325">
        <v>7</v>
      </c>
      <c r="T70" s="325">
        <v>9</v>
      </c>
      <c r="U70" s="728"/>
      <c r="V70" s="325">
        <v>18</v>
      </c>
      <c r="W70" s="325">
        <v>2</v>
      </c>
      <c r="X70" s="325">
        <v>3</v>
      </c>
      <c r="Y70" s="325">
        <v>6</v>
      </c>
      <c r="Z70" s="325">
        <v>6</v>
      </c>
      <c r="AA70" s="325">
        <v>5</v>
      </c>
      <c r="AB70" s="728"/>
      <c r="AC70" s="325">
        <v>3</v>
      </c>
      <c r="AD70" s="325">
        <v>7</v>
      </c>
      <c r="AE70" s="325">
        <v>7</v>
      </c>
      <c r="AF70" s="728"/>
      <c r="AG70" s="325">
        <v>12</v>
      </c>
      <c r="AH70" s="325">
        <v>8</v>
      </c>
      <c r="AI70" s="321">
        <f t="shared" si="7"/>
        <v>166</v>
      </c>
      <c r="AJ70" s="317">
        <v>1750</v>
      </c>
      <c r="AK70" s="221">
        <f>AI70*AJ70</f>
        <v>290500</v>
      </c>
      <c r="AL70" s="326"/>
      <c r="AM70" s="326"/>
      <c r="AN70" s="326"/>
      <c r="AO70" s="323"/>
      <c r="AP70" s="326"/>
      <c r="AQ70" s="609"/>
    </row>
    <row r="71" spans="1:43" s="360" customFormat="1" ht="15.75" customHeight="1" thickBot="1">
      <c r="A71" s="352"/>
      <c r="B71" s="353" t="s">
        <v>44</v>
      </c>
      <c r="C71" s="1885"/>
      <c r="D71" s="730"/>
      <c r="E71" s="354"/>
      <c r="F71" s="354"/>
      <c r="G71" s="730"/>
      <c r="H71" s="354"/>
      <c r="I71" s="354"/>
      <c r="J71" s="354"/>
      <c r="K71" s="354"/>
      <c r="L71" s="354"/>
      <c r="M71" s="354"/>
      <c r="N71" s="730"/>
      <c r="O71" s="730"/>
      <c r="P71" s="354"/>
      <c r="Q71" s="354"/>
      <c r="R71" s="354"/>
      <c r="S71" s="354"/>
      <c r="T71" s="354"/>
      <c r="U71" s="1071"/>
      <c r="V71" s="354"/>
      <c r="W71" s="354"/>
      <c r="X71" s="354"/>
      <c r="Y71" s="354"/>
      <c r="Z71" s="354"/>
      <c r="AA71" s="354"/>
      <c r="AB71" s="730"/>
      <c r="AC71" s="354"/>
      <c r="AD71" s="354"/>
      <c r="AE71" s="354"/>
      <c r="AF71" s="730"/>
      <c r="AG71" s="354"/>
      <c r="AH71" s="354"/>
      <c r="AI71" s="355">
        <f t="shared" si="7"/>
        <v>0</v>
      </c>
      <c r="AJ71" s="356"/>
      <c r="AK71" s="357">
        <f>AI71</f>
        <v>0</v>
      </c>
      <c r="AL71" s="358"/>
      <c r="AM71" s="358"/>
      <c r="AN71" s="358"/>
      <c r="AO71" s="359"/>
      <c r="AP71" s="358"/>
      <c r="AQ71" s="611"/>
    </row>
    <row r="72" spans="1:43" s="216" customFormat="1" ht="27.75" customHeight="1" thickTop="1">
      <c r="A72" s="293">
        <v>6</v>
      </c>
      <c r="B72" s="457" t="s">
        <v>339</v>
      </c>
      <c r="C72" s="623"/>
      <c r="D72" s="731"/>
      <c r="E72" s="308">
        <v>1</v>
      </c>
      <c r="F72" s="308">
        <v>1</v>
      </c>
      <c r="G72" s="731"/>
      <c r="H72" s="308">
        <v>1</v>
      </c>
      <c r="I72" s="308">
        <v>1</v>
      </c>
      <c r="J72" s="308">
        <v>1</v>
      </c>
      <c r="K72" s="308">
        <v>1</v>
      </c>
      <c r="L72" s="308">
        <v>1</v>
      </c>
      <c r="M72" s="308">
        <v>1</v>
      </c>
      <c r="N72" s="731"/>
      <c r="O72" s="731"/>
      <c r="P72" s="308">
        <v>1</v>
      </c>
      <c r="Q72" s="308">
        <v>1</v>
      </c>
      <c r="R72" s="308">
        <v>1</v>
      </c>
      <c r="S72" s="308">
        <v>1</v>
      </c>
      <c r="T72" s="308">
        <v>1</v>
      </c>
      <c r="U72" s="731"/>
      <c r="V72" s="308">
        <v>1</v>
      </c>
      <c r="W72" s="308">
        <v>1</v>
      </c>
      <c r="X72" s="308">
        <v>1</v>
      </c>
      <c r="Y72" s="308">
        <v>1</v>
      </c>
      <c r="Z72" s="308">
        <v>1</v>
      </c>
      <c r="AA72" s="308">
        <v>1</v>
      </c>
      <c r="AB72" s="731"/>
      <c r="AC72" s="308">
        <v>1</v>
      </c>
      <c r="AD72" s="308">
        <v>1</v>
      </c>
      <c r="AE72" s="308">
        <v>1</v>
      </c>
      <c r="AF72" s="731"/>
      <c r="AG72" s="308">
        <v>1</v>
      </c>
      <c r="AH72" s="308">
        <v>1</v>
      </c>
      <c r="AI72" s="309">
        <f t="shared" si="7"/>
        <v>24</v>
      </c>
      <c r="AJ72" s="310"/>
      <c r="AK72" s="224"/>
      <c r="AL72" s="311"/>
      <c r="AN72" s="312"/>
      <c r="AO72" s="313"/>
      <c r="AP72" s="314"/>
      <c r="AQ72" s="608"/>
    </row>
    <row r="73" spans="1:43" s="322" customFormat="1" ht="48" customHeight="1">
      <c r="A73" s="295"/>
      <c r="B73" s="297" t="s">
        <v>188</v>
      </c>
      <c r="C73" s="619"/>
      <c r="D73" s="726"/>
      <c r="E73" s="318" t="s">
        <v>791</v>
      </c>
      <c r="F73" s="318" t="s">
        <v>799</v>
      </c>
      <c r="G73" s="726"/>
      <c r="H73" s="318" t="s">
        <v>802</v>
      </c>
      <c r="I73" s="318" t="s">
        <v>740</v>
      </c>
      <c r="J73" s="318" t="s">
        <v>831</v>
      </c>
      <c r="K73" s="318" t="s">
        <v>791</v>
      </c>
      <c r="L73" s="318" t="s">
        <v>792</v>
      </c>
      <c r="M73" s="318" t="s">
        <v>799</v>
      </c>
      <c r="N73" s="726"/>
      <c r="O73" s="726"/>
      <c r="P73" s="318" t="s">
        <v>872</v>
      </c>
      <c r="Q73" s="319" t="s">
        <v>802</v>
      </c>
      <c r="R73" s="318" t="s">
        <v>740</v>
      </c>
      <c r="S73" s="319" t="s">
        <v>789</v>
      </c>
      <c r="T73" s="318" t="s">
        <v>791</v>
      </c>
      <c r="U73" s="726"/>
      <c r="V73" s="318" t="s">
        <v>792</v>
      </c>
      <c r="W73" s="509" t="s">
        <v>810</v>
      </c>
      <c r="X73" s="318" t="s">
        <v>804</v>
      </c>
      <c r="Y73" s="318" t="s">
        <v>740</v>
      </c>
      <c r="Z73" s="320" t="s">
        <v>903</v>
      </c>
      <c r="AA73" s="318" t="s">
        <v>792</v>
      </c>
      <c r="AB73" s="726"/>
      <c r="AC73" s="318" t="s">
        <v>816</v>
      </c>
      <c r="AD73" s="318" t="s">
        <v>801</v>
      </c>
      <c r="AE73" s="318" t="s">
        <v>804</v>
      </c>
      <c r="AF73" s="726"/>
      <c r="AG73" s="318" t="s">
        <v>797</v>
      </c>
      <c r="AH73" s="318" t="s">
        <v>831</v>
      </c>
      <c r="AI73" s="321"/>
      <c r="AJ73" s="317"/>
      <c r="AK73" s="221"/>
      <c r="AO73" s="323"/>
      <c r="AQ73" s="609"/>
    </row>
    <row r="74" spans="1:43" s="322" customFormat="1" ht="15.75" customHeight="1">
      <c r="A74" s="295"/>
      <c r="B74" s="297" t="s">
        <v>281</v>
      </c>
      <c r="C74" s="619"/>
      <c r="D74" s="727"/>
      <c r="E74" s="324">
        <v>27</v>
      </c>
      <c r="F74" s="324" t="s">
        <v>869</v>
      </c>
      <c r="G74" s="727"/>
      <c r="H74" s="324" t="s">
        <v>870</v>
      </c>
      <c r="I74" s="324" t="s">
        <v>864</v>
      </c>
      <c r="J74" s="324">
        <v>27</v>
      </c>
      <c r="K74" s="324" t="s">
        <v>865</v>
      </c>
      <c r="L74" s="324" t="s">
        <v>871</v>
      </c>
      <c r="M74" s="324" t="s">
        <v>871</v>
      </c>
      <c r="N74" s="727"/>
      <c r="O74" s="727"/>
      <c r="P74" s="324" t="s">
        <v>871</v>
      </c>
      <c r="Q74" s="324" t="s">
        <v>873</v>
      </c>
      <c r="R74" s="324" t="s">
        <v>92</v>
      </c>
      <c r="S74" s="324" t="s">
        <v>864</v>
      </c>
      <c r="T74" s="324">
        <v>27</v>
      </c>
      <c r="U74" s="727"/>
      <c r="V74" s="324" t="s">
        <v>871</v>
      </c>
      <c r="W74" s="460" t="s">
        <v>864</v>
      </c>
      <c r="X74" s="324">
        <v>27</v>
      </c>
      <c r="Y74" s="324" t="s">
        <v>973</v>
      </c>
      <c r="Z74" s="324" t="s">
        <v>979</v>
      </c>
      <c r="AA74" s="324" t="s">
        <v>864</v>
      </c>
      <c r="AB74" s="727"/>
      <c r="AC74" s="324">
        <v>27</v>
      </c>
      <c r="AD74" s="324" t="s">
        <v>996</v>
      </c>
      <c r="AE74" s="324" t="s">
        <v>1002</v>
      </c>
      <c r="AF74" s="727"/>
      <c r="AG74" s="324" t="s">
        <v>864</v>
      </c>
      <c r="AH74" s="324" t="s">
        <v>864</v>
      </c>
      <c r="AI74" s="321"/>
      <c r="AJ74" s="317"/>
      <c r="AK74" s="221"/>
      <c r="AO74" s="323"/>
      <c r="AQ74" s="609"/>
    </row>
    <row r="75" spans="1:43" s="322" customFormat="1" ht="15.75" customHeight="1">
      <c r="A75" s="295"/>
      <c r="B75" s="220" t="s">
        <v>260</v>
      </c>
      <c r="C75" s="618"/>
      <c r="D75" s="728"/>
      <c r="E75" s="325">
        <v>103</v>
      </c>
      <c r="F75" s="325">
        <v>90</v>
      </c>
      <c r="G75" s="728"/>
      <c r="H75" s="325">
        <v>114</v>
      </c>
      <c r="I75" s="325">
        <v>103</v>
      </c>
      <c r="J75" s="325">
        <v>103</v>
      </c>
      <c r="K75" s="325">
        <v>103</v>
      </c>
      <c r="L75" s="325">
        <v>90</v>
      </c>
      <c r="M75" s="325">
        <v>90</v>
      </c>
      <c r="N75" s="728"/>
      <c r="O75" s="728"/>
      <c r="P75" s="325">
        <v>103</v>
      </c>
      <c r="Q75" s="325">
        <v>114</v>
      </c>
      <c r="R75" s="325">
        <v>103</v>
      </c>
      <c r="S75" s="325">
        <v>103</v>
      </c>
      <c r="T75" s="325">
        <v>103</v>
      </c>
      <c r="U75" s="728"/>
      <c r="V75" s="325">
        <v>90</v>
      </c>
      <c r="W75" s="325">
        <v>103</v>
      </c>
      <c r="X75" s="325">
        <v>114</v>
      </c>
      <c r="Y75" s="325">
        <v>103</v>
      </c>
      <c r="Z75" s="325">
        <v>103</v>
      </c>
      <c r="AA75" s="325">
        <v>90</v>
      </c>
      <c r="AB75" s="728"/>
      <c r="AC75" s="325">
        <v>90</v>
      </c>
      <c r="AD75" s="325">
        <v>103</v>
      </c>
      <c r="AE75" s="325">
        <v>114</v>
      </c>
      <c r="AF75" s="728"/>
      <c r="AG75" s="325">
        <v>114</v>
      </c>
      <c r="AH75" s="325">
        <v>103</v>
      </c>
      <c r="AI75" s="321">
        <f t="shared" ref="AI75:AI85" si="8">SUM(D75:AH75)</f>
        <v>2449</v>
      </c>
      <c r="AJ75" s="294"/>
      <c r="AK75" s="221"/>
      <c r="AO75" s="323"/>
      <c r="AQ75" s="609"/>
    </row>
    <row r="76" spans="1:43" s="330" customFormat="1" ht="15.75" customHeight="1">
      <c r="A76" s="295"/>
      <c r="B76" s="298" t="s">
        <v>56</v>
      </c>
      <c r="C76" s="620"/>
      <c r="D76" s="729"/>
      <c r="E76" s="327">
        <v>69</v>
      </c>
      <c r="F76" s="327">
        <v>66</v>
      </c>
      <c r="G76" s="729"/>
      <c r="H76" s="327">
        <v>181</v>
      </c>
      <c r="I76" s="327">
        <v>80</v>
      </c>
      <c r="J76" s="327">
        <v>55</v>
      </c>
      <c r="K76" s="327">
        <v>54</v>
      </c>
      <c r="L76" s="327">
        <v>25</v>
      </c>
      <c r="M76" s="327">
        <v>41</v>
      </c>
      <c r="N76" s="729"/>
      <c r="O76" s="729"/>
      <c r="P76" s="327">
        <v>63</v>
      </c>
      <c r="Q76" s="327">
        <v>195</v>
      </c>
      <c r="R76" s="327">
        <v>71</v>
      </c>
      <c r="S76" s="327">
        <f>151+10</f>
        <v>161</v>
      </c>
      <c r="T76" s="327">
        <v>127</v>
      </c>
      <c r="U76" s="729"/>
      <c r="V76" s="327">
        <v>182</v>
      </c>
      <c r="W76" s="327">
        <v>87</v>
      </c>
      <c r="X76" s="327">
        <f>58+2</f>
        <v>60</v>
      </c>
      <c r="Y76" s="327">
        <v>142</v>
      </c>
      <c r="Z76" s="327">
        <v>71</v>
      </c>
      <c r="AA76" s="327">
        <f>26+4+2</f>
        <v>32</v>
      </c>
      <c r="AB76" s="729"/>
      <c r="AC76" s="327">
        <f>44+5</f>
        <v>49</v>
      </c>
      <c r="AD76" s="327">
        <v>48</v>
      </c>
      <c r="AE76" s="327">
        <f>81+2+6</f>
        <v>89</v>
      </c>
      <c r="AF76" s="729"/>
      <c r="AG76" s="327">
        <f>159+3</f>
        <v>162</v>
      </c>
      <c r="AH76" s="327">
        <f>79+2</f>
        <v>81</v>
      </c>
      <c r="AI76" s="328">
        <f t="shared" si="8"/>
        <v>2191</v>
      </c>
      <c r="AJ76" s="296"/>
      <c r="AK76" s="222"/>
      <c r="AL76" s="329"/>
      <c r="AO76" s="331"/>
      <c r="AQ76" s="610"/>
    </row>
    <row r="77" spans="1:43" s="322" customFormat="1" ht="15.75" customHeight="1">
      <c r="A77" s="295"/>
      <c r="B77" s="220" t="s">
        <v>642</v>
      </c>
      <c r="C77" s="618"/>
      <c r="D77" s="728"/>
      <c r="E77" s="325"/>
      <c r="F77" s="325"/>
      <c r="G77" s="728"/>
      <c r="H77" s="325"/>
      <c r="I77" s="325"/>
      <c r="J77" s="325"/>
      <c r="K77" s="325"/>
      <c r="L77" s="325"/>
      <c r="M77" s="325"/>
      <c r="N77" s="728"/>
      <c r="O77" s="728"/>
      <c r="P77" s="325"/>
      <c r="Q77" s="325"/>
      <c r="R77" s="325"/>
      <c r="S77" s="325"/>
      <c r="T77" s="325"/>
      <c r="U77" s="728"/>
      <c r="V77" s="325">
        <f>V76-V75</f>
        <v>92</v>
      </c>
      <c r="W77" s="325"/>
      <c r="X77" s="325"/>
      <c r="Y77" s="325"/>
      <c r="Z77" s="325"/>
      <c r="AA77" s="325"/>
      <c r="AB77" s="728"/>
      <c r="AC77" s="325"/>
      <c r="AD77" s="325"/>
      <c r="AE77" s="325"/>
      <c r="AF77" s="728"/>
      <c r="AG77" s="325"/>
      <c r="AH77" s="325"/>
      <c r="AI77" s="321">
        <f t="shared" si="8"/>
        <v>92</v>
      </c>
      <c r="AJ77" s="317">
        <v>1409</v>
      </c>
      <c r="AK77" s="221">
        <f>AI77*AJ77</f>
        <v>129628</v>
      </c>
      <c r="AO77" s="323"/>
      <c r="AQ77" s="609"/>
    </row>
    <row r="78" spans="1:43" s="322" customFormat="1" ht="15.75" customHeight="1">
      <c r="A78" s="295"/>
      <c r="B78" s="220" t="s">
        <v>721</v>
      </c>
      <c r="C78" s="618"/>
      <c r="D78" s="728"/>
      <c r="E78" s="325"/>
      <c r="F78" s="325"/>
      <c r="G78" s="728"/>
      <c r="H78" s="325"/>
      <c r="I78" s="325"/>
      <c r="J78" s="325"/>
      <c r="K78" s="325"/>
      <c r="L78" s="325"/>
      <c r="M78" s="325"/>
      <c r="N78" s="728"/>
      <c r="O78" s="727"/>
      <c r="P78" s="324"/>
      <c r="Q78" s="325"/>
      <c r="R78" s="325"/>
      <c r="S78" s="325">
        <f>S76-S75</f>
        <v>58</v>
      </c>
      <c r="T78" s="325">
        <f>T76-T75</f>
        <v>24</v>
      </c>
      <c r="U78" s="728"/>
      <c r="V78" s="325"/>
      <c r="W78" s="325"/>
      <c r="X78" s="325"/>
      <c r="Y78" s="325">
        <f>Y76-Y75</f>
        <v>39</v>
      </c>
      <c r="Z78" s="325"/>
      <c r="AA78" s="325"/>
      <c r="AB78" s="728"/>
      <c r="AC78" s="325"/>
      <c r="AD78" s="325"/>
      <c r="AE78" s="325"/>
      <c r="AF78" s="728"/>
      <c r="AG78" s="325"/>
      <c r="AH78" s="325"/>
      <c r="AI78" s="321">
        <f t="shared" si="8"/>
        <v>121</v>
      </c>
      <c r="AJ78" s="317">
        <v>1322</v>
      </c>
      <c r="AK78" s="221">
        <f>AI78*AJ78</f>
        <v>159962</v>
      </c>
      <c r="AO78" s="323"/>
      <c r="AQ78" s="609"/>
    </row>
    <row r="79" spans="1:43" s="322" customFormat="1" ht="15.75" customHeight="1">
      <c r="A79" s="295"/>
      <c r="B79" s="220" t="s">
        <v>366</v>
      </c>
      <c r="C79" s="618"/>
      <c r="D79" s="728"/>
      <c r="E79" s="325"/>
      <c r="F79" s="325"/>
      <c r="G79" s="728"/>
      <c r="H79" s="325">
        <f>H76-H75</f>
        <v>67</v>
      </c>
      <c r="I79" s="325"/>
      <c r="J79" s="325"/>
      <c r="K79" s="325"/>
      <c r="L79" s="325"/>
      <c r="M79" s="325"/>
      <c r="N79" s="728"/>
      <c r="O79" s="728"/>
      <c r="P79" s="325"/>
      <c r="Q79" s="325">
        <f>Q76-Q75</f>
        <v>81</v>
      </c>
      <c r="R79" s="325"/>
      <c r="S79" s="325"/>
      <c r="T79" s="325"/>
      <c r="U79" s="728"/>
      <c r="V79" s="325"/>
      <c r="W79" s="325"/>
      <c r="X79" s="325"/>
      <c r="Y79" s="325"/>
      <c r="Z79" s="325"/>
      <c r="AA79" s="325"/>
      <c r="AB79" s="728"/>
      <c r="AC79" s="325"/>
      <c r="AD79" s="325"/>
      <c r="AE79" s="325"/>
      <c r="AF79" s="728"/>
      <c r="AG79" s="325">
        <f>AG76-AG75</f>
        <v>48</v>
      </c>
      <c r="AH79" s="325"/>
      <c r="AI79" s="321">
        <f t="shared" si="8"/>
        <v>196</v>
      </c>
      <c r="AJ79" s="317">
        <v>1233</v>
      </c>
      <c r="AK79" s="221">
        <f>AI79*AJ79</f>
        <v>241668</v>
      </c>
      <c r="AO79" s="323"/>
      <c r="AQ79" s="609"/>
    </row>
    <row r="80" spans="1:43" s="322" customFormat="1" ht="15.75" customHeight="1">
      <c r="A80" s="295"/>
      <c r="B80" s="220" t="s">
        <v>643</v>
      </c>
      <c r="C80" s="618"/>
      <c r="D80" s="728"/>
      <c r="E80" s="325"/>
      <c r="F80" s="325"/>
      <c r="G80" s="728"/>
      <c r="H80" s="325"/>
      <c r="I80" s="325"/>
      <c r="J80" s="325"/>
      <c r="K80" s="325"/>
      <c r="L80" s="325"/>
      <c r="M80" s="325"/>
      <c r="N80" s="728"/>
      <c r="O80" s="728"/>
      <c r="P80" s="325"/>
      <c r="Q80" s="325"/>
      <c r="R80" s="325"/>
      <c r="S80" s="325"/>
      <c r="T80" s="325"/>
      <c r="U80" s="728"/>
      <c r="V80" s="325"/>
      <c r="W80" s="325"/>
      <c r="X80" s="325"/>
      <c r="Y80" s="325"/>
      <c r="Z80" s="325"/>
      <c r="AA80" s="325"/>
      <c r="AB80" s="728"/>
      <c r="AC80" s="325"/>
      <c r="AD80" s="325"/>
      <c r="AE80" s="325"/>
      <c r="AF80" s="728"/>
      <c r="AG80" s="325"/>
      <c r="AH80" s="325"/>
      <c r="AI80" s="321">
        <f t="shared" si="8"/>
        <v>0</v>
      </c>
      <c r="AJ80" s="317">
        <v>1043</v>
      </c>
      <c r="AK80" s="221">
        <f>AI80*AJ80</f>
        <v>0</v>
      </c>
      <c r="AO80" s="323"/>
      <c r="AQ80" s="609"/>
    </row>
    <row r="81" spans="1:43" s="322" customFormat="1" ht="15.75" customHeight="1">
      <c r="A81" s="295"/>
      <c r="B81" s="220" t="s">
        <v>367</v>
      </c>
      <c r="C81" s="618"/>
      <c r="D81" s="728"/>
      <c r="E81" s="325"/>
      <c r="F81" s="325"/>
      <c r="G81" s="728"/>
      <c r="H81" s="325"/>
      <c r="I81" s="325"/>
      <c r="J81" s="325"/>
      <c r="K81" s="325"/>
      <c r="L81" s="325"/>
      <c r="M81" s="325"/>
      <c r="N81" s="728"/>
      <c r="O81" s="728"/>
      <c r="P81" s="325"/>
      <c r="Q81" s="325"/>
      <c r="R81" s="325"/>
      <c r="S81" s="325"/>
      <c r="T81" s="325"/>
      <c r="U81" s="728"/>
      <c r="V81" s="325"/>
      <c r="W81" s="325"/>
      <c r="X81" s="325"/>
      <c r="Y81" s="325"/>
      <c r="Z81" s="325"/>
      <c r="AA81" s="325"/>
      <c r="AB81" s="728"/>
      <c r="AC81" s="325"/>
      <c r="AD81" s="325"/>
      <c r="AE81" s="325"/>
      <c r="AF81" s="728"/>
      <c r="AG81" s="325"/>
      <c r="AH81" s="325"/>
      <c r="AI81" s="321">
        <f t="shared" si="8"/>
        <v>0</v>
      </c>
      <c r="AJ81" s="317"/>
      <c r="AK81" s="221">
        <f>AI81*AJ81</f>
        <v>0</v>
      </c>
      <c r="AL81" s="326"/>
      <c r="AM81" s="326"/>
      <c r="AN81" s="326"/>
      <c r="AO81" s="323"/>
      <c r="AP81" s="326"/>
      <c r="AQ81" s="609"/>
    </row>
    <row r="82" spans="1:43" s="330" customFormat="1" ht="15.75" customHeight="1">
      <c r="A82" s="295"/>
      <c r="B82" s="298" t="s">
        <v>259</v>
      </c>
      <c r="C82" s="620"/>
      <c r="D82" s="729"/>
      <c r="E82" s="327"/>
      <c r="F82" s="327"/>
      <c r="G82" s="729"/>
      <c r="H82" s="327"/>
      <c r="I82" s="327"/>
      <c r="J82" s="327"/>
      <c r="K82" s="327"/>
      <c r="L82" s="327"/>
      <c r="M82" s="327"/>
      <c r="N82" s="729"/>
      <c r="O82" s="729"/>
      <c r="P82" s="327"/>
      <c r="Q82" s="327"/>
      <c r="R82" s="327"/>
      <c r="S82" s="327"/>
      <c r="T82" s="327"/>
      <c r="U82" s="729"/>
      <c r="V82" s="327"/>
      <c r="W82" s="327"/>
      <c r="X82" s="332"/>
      <c r="Y82" s="327"/>
      <c r="Z82" s="327"/>
      <c r="AA82" s="327"/>
      <c r="AB82" s="729"/>
      <c r="AC82" s="327"/>
      <c r="AD82" s="327"/>
      <c r="AE82" s="327"/>
      <c r="AF82" s="729"/>
      <c r="AG82" s="327"/>
      <c r="AH82" s="327"/>
      <c r="AI82" s="328">
        <f t="shared" si="8"/>
        <v>0</v>
      </c>
      <c r="AJ82" s="333"/>
      <c r="AK82" s="222">
        <f>SUM(AK77:AK81)</f>
        <v>531258</v>
      </c>
      <c r="AL82" s="334"/>
      <c r="AM82" s="334"/>
      <c r="AN82" s="334"/>
      <c r="AO82" s="331"/>
      <c r="AP82" s="334"/>
      <c r="AQ82" s="610"/>
    </row>
    <row r="83" spans="1:43" s="322" customFormat="1" ht="15.75" customHeight="1">
      <c r="A83" s="295"/>
      <c r="B83" s="220" t="s">
        <v>57</v>
      </c>
      <c r="C83" s="618"/>
      <c r="D83" s="728"/>
      <c r="E83" s="325">
        <v>4</v>
      </c>
      <c r="F83" s="325">
        <v>5</v>
      </c>
      <c r="G83" s="728"/>
      <c r="H83" s="325">
        <v>14</v>
      </c>
      <c r="I83" s="325">
        <v>3</v>
      </c>
      <c r="J83" s="325">
        <v>3</v>
      </c>
      <c r="K83" s="325">
        <v>1</v>
      </c>
      <c r="L83" s="325">
        <v>4</v>
      </c>
      <c r="M83" s="325">
        <v>4</v>
      </c>
      <c r="N83" s="728"/>
      <c r="O83" s="728"/>
      <c r="P83" s="325">
        <v>3</v>
      </c>
      <c r="Q83" s="325">
        <v>9</v>
      </c>
      <c r="R83" s="325">
        <v>6</v>
      </c>
      <c r="S83" s="325">
        <v>13</v>
      </c>
      <c r="T83" s="325">
        <v>9</v>
      </c>
      <c r="U83" s="728"/>
      <c r="V83" s="325">
        <v>15</v>
      </c>
      <c r="W83" s="325">
        <v>5</v>
      </c>
      <c r="X83" s="325">
        <v>3</v>
      </c>
      <c r="Y83" s="325">
        <v>9</v>
      </c>
      <c r="Z83" s="325">
        <v>4</v>
      </c>
      <c r="AA83" s="325">
        <v>3</v>
      </c>
      <c r="AB83" s="728"/>
      <c r="AC83" s="325">
        <v>4</v>
      </c>
      <c r="AD83" s="325">
        <v>4</v>
      </c>
      <c r="AE83" s="325">
        <v>3</v>
      </c>
      <c r="AF83" s="728"/>
      <c r="AG83" s="325">
        <v>10</v>
      </c>
      <c r="AH83" s="325">
        <v>7</v>
      </c>
      <c r="AI83" s="321">
        <f t="shared" si="8"/>
        <v>145</v>
      </c>
      <c r="AJ83" s="317">
        <v>1750</v>
      </c>
      <c r="AK83" s="221">
        <f>AI83*AJ83</f>
        <v>253750</v>
      </c>
      <c r="AL83" s="326"/>
      <c r="AM83" s="326"/>
      <c r="AN83" s="326"/>
      <c r="AO83" s="323"/>
      <c r="AP83" s="326"/>
      <c r="AQ83" s="609"/>
    </row>
    <row r="84" spans="1:43" s="360" customFormat="1" ht="15.75" customHeight="1" thickBot="1">
      <c r="A84" s="352"/>
      <c r="B84" s="353" t="s">
        <v>44</v>
      </c>
      <c r="C84" s="621"/>
      <c r="D84" s="730"/>
      <c r="E84" s="354"/>
      <c r="F84" s="354"/>
      <c r="G84" s="730"/>
      <c r="H84" s="354"/>
      <c r="I84" s="354"/>
      <c r="J84" s="354"/>
      <c r="K84" s="354"/>
      <c r="L84" s="354"/>
      <c r="M84" s="354"/>
      <c r="N84" s="730"/>
      <c r="O84" s="730"/>
      <c r="P84" s="354"/>
      <c r="Q84" s="354"/>
      <c r="R84" s="354"/>
      <c r="S84" s="354"/>
      <c r="T84" s="354"/>
      <c r="U84" s="1071"/>
      <c r="V84" s="354"/>
      <c r="W84" s="354"/>
      <c r="X84" s="354"/>
      <c r="Y84" s="354"/>
      <c r="Z84" s="354"/>
      <c r="AA84" s="354"/>
      <c r="AB84" s="730"/>
      <c r="AC84" s="354"/>
      <c r="AD84" s="354"/>
      <c r="AE84" s="354"/>
      <c r="AF84" s="730"/>
      <c r="AG84" s="354"/>
      <c r="AH84" s="354"/>
      <c r="AI84" s="355">
        <f t="shared" si="8"/>
        <v>0</v>
      </c>
      <c r="AJ84" s="356"/>
      <c r="AK84" s="357">
        <f>AI84</f>
        <v>0</v>
      </c>
      <c r="AL84" s="358"/>
      <c r="AM84" s="358"/>
      <c r="AN84" s="358"/>
      <c r="AO84" s="359"/>
      <c r="AP84" s="358"/>
      <c r="AQ84" s="611"/>
    </row>
    <row r="85" spans="1:43" s="216" customFormat="1" ht="24" customHeight="1" thickTop="1">
      <c r="A85" s="293">
        <v>7</v>
      </c>
      <c r="B85" s="223" t="s">
        <v>346</v>
      </c>
      <c r="C85" s="622"/>
      <c r="D85" s="731"/>
      <c r="E85" s="308">
        <v>1</v>
      </c>
      <c r="F85" s="308">
        <v>1</v>
      </c>
      <c r="G85" s="731"/>
      <c r="H85" s="308">
        <v>1</v>
      </c>
      <c r="I85" s="308">
        <v>1</v>
      </c>
      <c r="J85" s="308">
        <v>1</v>
      </c>
      <c r="K85" s="308">
        <v>1</v>
      </c>
      <c r="L85" s="308">
        <v>1</v>
      </c>
      <c r="M85" s="308">
        <v>1</v>
      </c>
      <c r="N85" s="731"/>
      <c r="O85" s="731"/>
      <c r="P85" s="308">
        <v>1</v>
      </c>
      <c r="Q85" s="308">
        <v>1</v>
      </c>
      <c r="R85" s="308">
        <v>1</v>
      </c>
      <c r="S85" s="308">
        <v>1</v>
      </c>
      <c r="T85" s="308">
        <v>1</v>
      </c>
      <c r="U85" s="731"/>
      <c r="V85" s="308">
        <v>1</v>
      </c>
      <c r="W85" s="308">
        <v>1</v>
      </c>
      <c r="X85" s="308">
        <v>1</v>
      </c>
      <c r="Y85" s="308">
        <v>1</v>
      </c>
      <c r="Z85" s="308">
        <v>1</v>
      </c>
      <c r="AA85" s="308">
        <v>1</v>
      </c>
      <c r="AB85" s="731"/>
      <c r="AC85" s="308">
        <v>1</v>
      </c>
      <c r="AD85" s="308">
        <v>1</v>
      </c>
      <c r="AE85" s="308">
        <v>1</v>
      </c>
      <c r="AF85" s="731"/>
      <c r="AG85" s="308">
        <v>1</v>
      </c>
      <c r="AH85" s="308">
        <v>1</v>
      </c>
      <c r="AI85" s="309">
        <f t="shared" si="8"/>
        <v>24</v>
      </c>
      <c r="AJ85" s="310"/>
      <c r="AK85" s="224"/>
      <c r="AL85" s="311"/>
      <c r="AN85" s="312"/>
      <c r="AO85" s="313"/>
      <c r="AP85" s="314"/>
      <c r="AQ85" s="608"/>
    </row>
    <row r="86" spans="1:43" s="322" customFormat="1" ht="61.5" customHeight="1">
      <c r="A86" s="295"/>
      <c r="B86" s="297" t="s">
        <v>188</v>
      </c>
      <c r="C86" s="619"/>
      <c r="D86" s="726"/>
      <c r="E86" s="318" t="s">
        <v>791</v>
      </c>
      <c r="F86" s="318" t="s">
        <v>816</v>
      </c>
      <c r="G86" s="726"/>
      <c r="H86" s="318" t="s">
        <v>810</v>
      </c>
      <c r="I86" s="318" t="s">
        <v>740</v>
      </c>
      <c r="J86" s="318" t="s">
        <v>789</v>
      </c>
      <c r="K86" s="318" t="s">
        <v>791</v>
      </c>
      <c r="L86" s="318" t="s">
        <v>792</v>
      </c>
      <c r="M86" s="318" t="s">
        <v>816</v>
      </c>
      <c r="N86" s="726"/>
      <c r="O86" s="726"/>
      <c r="P86" s="318" t="s">
        <v>801</v>
      </c>
      <c r="Q86" s="318" t="s">
        <v>797</v>
      </c>
      <c r="R86" s="318" t="s">
        <v>795</v>
      </c>
      <c r="S86" s="319" t="s">
        <v>831</v>
      </c>
      <c r="T86" s="318" t="s">
        <v>791</v>
      </c>
      <c r="U86" s="726"/>
      <c r="V86" s="318" t="s">
        <v>792</v>
      </c>
      <c r="W86" s="509" t="s">
        <v>801</v>
      </c>
      <c r="X86" s="318" t="s">
        <v>804</v>
      </c>
      <c r="Y86" s="318" t="s">
        <v>877</v>
      </c>
      <c r="Z86" s="320" t="s">
        <v>903</v>
      </c>
      <c r="AA86" s="318" t="s">
        <v>813</v>
      </c>
      <c r="AB86" s="726"/>
      <c r="AC86" s="318" t="s">
        <v>816</v>
      </c>
      <c r="AD86" s="318" t="s">
        <v>801</v>
      </c>
      <c r="AE86" s="318" t="s">
        <v>804</v>
      </c>
      <c r="AF86" s="726"/>
      <c r="AG86" s="318" t="s">
        <v>912</v>
      </c>
      <c r="AH86" s="318" t="s">
        <v>789</v>
      </c>
      <c r="AI86" s="321"/>
      <c r="AJ86" s="317"/>
      <c r="AK86" s="221"/>
      <c r="AO86" s="323"/>
      <c r="AQ86" s="609"/>
    </row>
    <row r="87" spans="1:43" s="322" customFormat="1" ht="15.75" customHeight="1">
      <c r="A87" s="295"/>
      <c r="B87" s="297" t="s">
        <v>281</v>
      </c>
      <c r="C87" s="619"/>
      <c r="D87" s="727"/>
      <c r="E87" s="324">
        <v>15</v>
      </c>
      <c r="F87" s="324">
        <v>15</v>
      </c>
      <c r="G87" s="727"/>
      <c r="H87" s="324" t="s">
        <v>879</v>
      </c>
      <c r="I87" s="324" t="s">
        <v>76</v>
      </c>
      <c r="J87" s="324" t="s">
        <v>880</v>
      </c>
      <c r="K87" s="324">
        <v>15</v>
      </c>
      <c r="L87" s="324" t="s">
        <v>881</v>
      </c>
      <c r="M87" s="324" t="s">
        <v>882</v>
      </c>
      <c r="N87" s="727"/>
      <c r="O87" s="727"/>
      <c r="P87" s="324">
        <v>15</v>
      </c>
      <c r="Q87" s="324" t="s">
        <v>883</v>
      </c>
      <c r="R87" s="324">
        <v>16</v>
      </c>
      <c r="S87" s="324" t="s">
        <v>917</v>
      </c>
      <c r="T87" s="324" t="s">
        <v>882</v>
      </c>
      <c r="U87" s="727"/>
      <c r="V87" s="324">
        <v>15</v>
      </c>
      <c r="W87" s="460">
        <v>15</v>
      </c>
      <c r="X87" s="324" t="s">
        <v>960</v>
      </c>
      <c r="Y87" s="324" t="s">
        <v>880</v>
      </c>
      <c r="Z87" s="324" t="s">
        <v>883</v>
      </c>
      <c r="AA87" s="324" t="s">
        <v>883</v>
      </c>
      <c r="AB87" s="727"/>
      <c r="AC87" s="324" t="s">
        <v>988</v>
      </c>
      <c r="AD87" s="324" t="s">
        <v>882</v>
      </c>
      <c r="AE87" s="324" t="s">
        <v>882</v>
      </c>
      <c r="AF87" s="727"/>
      <c r="AG87" s="324" t="s">
        <v>1013</v>
      </c>
      <c r="AH87" s="324" t="s">
        <v>76</v>
      </c>
      <c r="AI87" s="321"/>
      <c r="AJ87" s="317"/>
      <c r="AK87" s="221"/>
      <c r="AO87" s="323"/>
      <c r="AQ87" s="609"/>
    </row>
    <row r="88" spans="1:43" s="322" customFormat="1" ht="15.75" customHeight="1">
      <c r="A88" s="295"/>
      <c r="B88" s="220" t="s">
        <v>260</v>
      </c>
      <c r="C88" s="618"/>
      <c r="D88" s="728"/>
      <c r="E88" s="325">
        <v>103</v>
      </c>
      <c r="F88" s="325">
        <v>90</v>
      </c>
      <c r="G88" s="728"/>
      <c r="H88" s="325">
        <v>103</v>
      </c>
      <c r="I88" s="325">
        <v>103</v>
      </c>
      <c r="J88" s="325">
        <v>103</v>
      </c>
      <c r="K88" s="325">
        <v>103</v>
      </c>
      <c r="L88" s="325">
        <v>90</v>
      </c>
      <c r="M88" s="325">
        <v>90</v>
      </c>
      <c r="N88" s="728"/>
      <c r="O88" s="727"/>
      <c r="P88" s="325">
        <v>103</v>
      </c>
      <c r="Q88" s="325">
        <v>114</v>
      </c>
      <c r="R88" s="325">
        <v>114</v>
      </c>
      <c r="S88" s="325">
        <v>103</v>
      </c>
      <c r="T88" s="325">
        <v>103</v>
      </c>
      <c r="U88" s="728"/>
      <c r="V88" s="325">
        <v>90</v>
      </c>
      <c r="W88" s="325">
        <v>103</v>
      </c>
      <c r="X88" s="325">
        <v>114</v>
      </c>
      <c r="Y88" s="325">
        <v>114</v>
      </c>
      <c r="Z88" s="325">
        <v>103</v>
      </c>
      <c r="AA88" s="325">
        <v>103</v>
      </c>
      <c r="AB88" s="728"/>
      <c r="AC88" s="325">
        <v>90</v>
      </c>
      <c r="AD88" s="325">
        <v>103</v>
      </c>
      <c r="AE88" s="325">
        <v>114</v>
      </c>
      <c r="AF88" s="728"/>
      <c r="AG88" s="325">
        <v>90</v>
      </c>
      <c r="AH88" s="325">
        <v>103</v>
      </c>
      <c r="AI88" s="321">
        <f t="shared" ref="AI88:AI97" si="9">SUM(D88:AH88)</f>
        <v>2449</v>
      </c>
      <c r="AJ88" s="294"/>
      <c r="AK88" s="221"/>
      <c r="AO88" s="323"/>
      <c r="AQ88" s="609"/>
    </row>
    <row r="89" spans="1:43" s="330" customFormat="1" ht="15.75" customHeight="1">
      <c r="A89" s="295"/>
      <c r="B89" s="298" t="s">
        <v>56</v>
      </c>
      <c r="C89" s="620"/>
      <c r="D89" s="729"/>
      <c r="E89" s="327">
        <v>152</v>
      </c>
      <c r="F89" s="327">
        <v>77</v>
      </c>
      <c r="G89" s="729"/>
      <c r="H89" s="327">
        <v>188</v>
      </c>
      <c r="I89" s="327">
        <v>152</v>
      </c>
      <c r="J89" s="327">
        <v>127</v>
      </c>
      <c r="K89" s="327">
        <v>27</v>
      </c>
      <c r="L89" s="327">
        <v>42</v>
      </c>
      <c r="M89" s="327">
        <v>44</v>
      </c>
      <c r="N89" s="729"/>
      <c r="O89" s="729"/>
      <c r="P89" s="327">
        <v>54</v>
      </c>
      <c r="Q89" s="327">
        <v>140</v>
      </c>
      <c r="R89" s="327">
        <v>102</v>
      </c>
      <c r="S89" s="327">
        <f>107+5</f>
        <v>112</v>
      </c>
      <c r="T89" s="327">
        <f>126+2</f>
        <v>128</v>
      </c>
      <c r="U89" s="729"/>
      <c r="V89" s="327">
        <v>123</v>
      </c>
      <c r="W89" s="327">
        <v>39</v>
      </c>
      <c r="X89" s="327">
        <f>92+3+4</f>
        <v>99</v>
      </c>
      <c r="Y89" s="327">
        <v>106</v>
      </c>
      <c r="Z89" s="327">
        <v>89</v>
      </c>
      <c r="AA89" s="327">
        <v>46</v>
      </c>
      <c r="AB89" s="729"/>
      <c r="AC89" s="327">
        <v>51</v>
      </c>
      <c r="AD89" s="327">
        <f>60+4</f>
        <v>64</v>
      </c>
      <c r="AE89" s="327">
        <f>98+10</f>
        <v>108</v>
      </c>
      <c r="AF89" s="729"/>
      <c r="AG89" s="327">
        <f>191+2</f>
        <v>193</v>
      </c>
      <c r="AH89" s="327">
        <v>45</v>
      </c>
      <c r="AI89" s="328">
        <f t="shared" si="9"/>
        <v>2308</v>
      </c>
      <c r="AJ89" s="296"/>
      <c r="AK89" s="222"/>
      <c r="AL89" s="329">
        <v>4598</v>
      </c>
      <c r="AM89" s="329">
        <f>AI89-AL89</f>
        <v>-2290</v>
      </c>
      <c r="AO89" s="331"/>
      <c r="AQ89" s="610"/>
    </row>
    <row r="90" spans="1:43" s="322" customFormat="1" ht="15.75" customHeight="1">
      <c r="A90" s="295"/>
      <c r="B90" s="220" t="s">
        <v>642</v>
      </c>
      <c r="C90" s="618"/>
      <c r="D90" s="728"/>
      <c r="E90" s="325"/>
      <c r="F90" s="325"/>
      <c r="G90" s="728"/>
      <c r="H90" s="325"/>
      <c r="I90" s="325"/>
      <c r="J90" s="325"/>
      <c r="K90" s="325"/>
      <c r="L90" s="325"/>
      <c r="M90" s="325"/>
      <c r="N90" s="728"/>
      <c r="O90" s="728"/>
      <c r="P90" s="325"/>
      <c r="Q90" s="325"/>
      <c r="R90" s="325"/>
      <c r="S90" s="325"/>
      <c r="T90" s="325"/>
      <c r="U90" s="728"/>
      <c r="V90" s="325">
        <f>V89-V88</f>
        <v>33</v>
      </c>
      <c r="W90" s="325"/>
      <c r="X90" s="325"/>
      <c r="Y90" s="325"/>
      <c r="Z90" s="325"/>
      <c r="AA90" s="325"/>
      <c r="AB90" s="728"/>
      <c r="AC90" s="325"/>
      <c r="AD90" s="325"/>
      <c r="AE90" s="325"/>
      <c r="AF90" s="728"/>
      <c r="AG90" s="325">
        <f>AG89-AG88</f>
        <v>103</v>
      </c>
      <c r="AH90" s="325"/>
      <c r="AI90" s="321">
        <f t="shared" si="9"/>
        <v>136</v>
      </c>
      <c r="AJ90" s="317">
        <v>1409</v>
      </c>
      <c r="AK90" s="221">
        <f>AI90*AJ90</f>
        <v>191624</v>
      </c>
      <c r="AO90" s="323"/>
      <c r="AQ90" s="609"/>
    </row>
    <row r="91" spans="1:43" s="322" customFormat="1" ht="15.75" customHeight="1">
      <c r="A91" s="295"/>
      <c r="B91" s="220" t="s">
        <v>721</v>
      </c>
      <c r="C91" s="618"/>
      <c r="D91" s="728"/>
      <c r="E91" s="325">
        <f>E89-E88</f>
        <v>49</v>
      </c>
      <c r="F91" s="325"/>
      <c r="G91" s="728"/>
      <c r="H91" s="325">
        <f>H89-H88</f>
        <v>85</v>
      </c>
      <c r="I91" s="325">
        <f>I89-I88</f>
        <v>49</v>
      </c>
      <c r="J91" s="325">
        <f>J89-J88</f>
        <v>24</v>
      </c>
      <c r="K91" s="325"/>
      <c r="L91" s="325"/>
      <c r="M91" s="325"/>
      <c r="N91" s="728"/>
      <c r="O91" s="727"/>
      <c r="P91" s="324"/>
      <c r="Q91" s="325"/>
      <c r="R91" s="325"/>
      <c r="S91" s="325">
        <f>S89-S88</f>
        <v>9</v>
      </c>
      <c r="T91" s="325">
        <f>T89-T88</f>
        <v>25</v>
      </c>
      <c r="U91" s="728"/>
      <c r="V91" s="325"/>
      <c r="W91" s="325"/>
      <c r="X91" s="325"/>
      <c r="Y91" s="325"/>
      <c r="Z91" s="325"/>
      <c r="AA91" s="325"/>
      <c r="AB91" s="728"/>
      <c r="AC91" s="325"/>
      <c r="AD91" s="325"/>
      <c r="AE91" s="325"/>
      <c r="AF91" s="728"/>
      <c r="AG91" s="325"/>
      <c r="AH91" s="325"/>
      <c r="AI91" s="321">
        <f t="shared" si="9"/>
        <v>241</v>
      </c>
      <c r="AJ91" s="317">
        <v>1322</v>
      </c>
      <c r="AK91" s="221">
        <f>AI91*AJ91</f>
        <v>318602</v>
      </c>
      <c r="AO91" s="323"/>
      <c r="AQ91" s="609"/>
    </row>
    <row r="92" spans="1:43" s="322" customFormat="1" ht="15.75" customHeight="1">
      <c r="A92" s="295"/>
      <c r="B92" s="220" t="s">
        <v>366</v>
      </c>
      <c r="C92" s="618"/>
      <c r="D92" s="728"/>
      <c r="E92" s="325"/>
      <c r="F92" s="325"/>
      <c r="G92" s="728"/>
      <c r="H92" s="325"/>
      <c r="I92" s="325"/>
      <c r="J92" s="325"/>
      <c r="K92" s="325"/>
      <c r="L92" s="325"/>
      <c r="M92" s="325"/>
      <c r="N92" s="728"/>
      <c r="O92" s="728"/>
      <c r="P92" s="325"/>
      <c r="Q92" s="325">
        <f>Q89-Q88</f>
        <v>26</v>
      </c>
      <c r="R92" s="325"/>
      <c r="S92" s="325"/>
      <c r="T92" s="325"/>
      <c r="U92" s="728"/>
      <c r="V92" s="325"/>
      <c r="W92" s="325"/>
      <c r="X92" s="325"/>
      <c r="Y92" s="325"/>
      <c r="Z92" s="325"/>
      <c r="AA92" s="325"/>
      <c r="AB92" s="728"/>
      <c r="AC92" s="325"/>
      <c r="AD92" s="325"/>
      <c r="AE92" s="325"/>
      <c r="AF92" s="728"/>
      <c r="AG92" s="325"/>
      <c r="AH92" s="325"/>
      <c r="AI92" s="321">
        <f t="shared" si="9"/>
        <v>26</v>
      </c>
      <c r="AJ92" s="317">
        <v>1233</v>
      </c>
      <c r="AK92" s="221">
        <f>AI92*AJ92</f>
        <v>32058</v>
      </c>
      <c r="AO92" s="323"/>
      <c r="AQ92" s="609"/>
    </row>
    <row r="93" spans="1:43" s="322" customFormat="1" ht="15.75" customHeight="1">
      <c r="A93" s="295"/>
      <c r="B93" s="220" t="s">
        <v>643</v>
      </c>
      <c r="C93" s="618"/>
      <c r="D93" s="728"/>
      <c r="E93" s="325"/>
      <c r="F93" s="325"/>
      <c r="G93" s="728"/>
      <c r="H93" s="325"/>
      <c r="I93" s="325"/>
      <c r="J93" s="325"/>
      <c r="K93" s="325"/>
      <c r="L93" s="325"/>
      <c r="M93" s="325"/>
      <c r="N93" s="728"/>
      <c r="O93" s="728"/>
      <c r="P93" s="325"/>
      <c r="Q93" s="325"/>
      <c r="R93" s="325"/>
      <c r="S93" s="325"/>
      <c r="T93" s="325"/>
      <c r="U93" s="728"/>
      <c r="V93" s="325"/>
      <c r="W93" s="325"/>
      <c r="X93" s="325"/>
      <c r="Y93" s="325"/>
      <c r="Z93" s="325"/>
      <c r="AA93" s="325"/>
      <c r="AB93" s="728"/>
      <c r="AC93" s="325"/>
      <c r="AD93" s="325"/>
      <c r="AE93" s="325"/>
      <c r="AF93" s="728"/>
      <c r="AG93" s="325"/>
      <c r="AH93" s="325"/>
      <c r="AI93" s="321">
        <f t="shared" si="9"/>
        <v>0</v>
      </c>
      <c r="AJ93" s="317">
        <v>1043</v>
      </c>
      <c r="AK93" s="221">
        <f>AI93*AJ93</f>
        <v>0</v>
      </c>
      <c r="AO93" s="323"/>
      <c r="AQ93" s="609"/>
    </row>
    <row r="94" spans="1:43" s="322" customFormat="1" ht="15.75" customHeight="1">
      <c r="A94" s="295"/>
      <c r="B94" s="220" t="s">
        <v>367</v>
      </c>
      <c r="C94" s="618"/>
      <c r="D94" s="728"/>
      <c r="E94" s="325"/>
      <c r="F94" s="325"/>
      <c r="G94" s="728"/>
      <c r="H94" s="325"/>
      <c r="I94" s="325"/>
      <c r="J94" s="325"/>
      <c r="K94" s="325"/>
      <c r="L94" s="325"/>
      <c r="M94" s="325"/>
      <c r="N94" s="728"/>
      <c r="O94" s="728"/>
      <c r="P94" s="325"/>
      <c r="Q94" s="325"/>
      <c r="R94" s="325"/>
      <c r="S94" s="325"/>
      <c r="T94" s="325"/>
      <c r="U94" s="728"/>
      <c r="V94" s="325"/>
      <c r="W94" s="325"/>
      <c r="X94" s="325"/>
      <c r="Y94" s="325"/>
      <c r="Z94" s="325"/>
      <c r="AA94" s="325"/>
      <c r="AB94" s="728"/>
      <c r="AC94" s="325"/>
      <c r="AD94" s="325"/>
      <c r="AE94" s="325"/>
      <c r="AF94" s="728"/>
      <c r="AG94" s="325"/>
      <c r="AH94" s="325"/>
      <c r="AI94" s="321">
        <f t="shared" si="9"/>
        <v>0</v>
      </c>
      <c r="AJ94" s="317"/>
      <c r="AK94" s="221">
        <f>AI94*AJ94</f>
        <v>0</v>
      </c>
      <c r="AL94" s="326"/>
      <c r="AM94" s="326"/>
      <c r="AN94" s="326"/>
      <c r="AO94" s="323"/>
      <c r="AP94" s="326"/>
      <c r="AQ94" s="609"/>
    </row>
    <row r="95" spans="1:43" s="330" customFormat="1" ht="15.75" customHeight="1">
      <c r="A95" s="295"/>
      <c r="B95" s="298" t="s">
        <v>259</v>
      </c>
      <c r="C95" s="620"/>
      <c r="D95" s="729"/>
      <c r="E95" s="327"/>
      <c r="F95" s="327"/>
      <c r="G95" s="729"/>
      <c r="H95" s="327"/>
      <c r="I95" s="327"/>
      <c r="J95" s="327"/>
      <c r="K95" s="327"/>
      <c r="L95" s="327"/>
      <c r="M95" s="327"/>
      <c r="N95" s="729"/>
      <c r="O95" s="729"/>
      <c r="P95" s="327"/>
      <c r="Q95" s="327"/>
      <c r="R95" s="327"/>
      <c r="S95" s="327"/>
      <c r="T95" s="327"/>
      <c r="U95" s="729"/>
      <c r="V95" s="327"/>
      <c r="W95" s="327"/>
      <c r="X95" s="327"/>
      <c r="Y95" s="327"/>
      <c r="Z95" s="327"/>
      <c r="AA95" s="327"/>
      <c r="AB95" s="729"/>
      <c r="AC95" s="327"/>
      <c r="AD95" s="327"/>
      <c r="AE95" s="327"/>
      <c r="AF95" s="729"/>
      <c r="AG95" s="327"/>
      <c r="AH95" s="327"/>
      <c r="AI95" s="328">
        <f t="shared" si="9"/>
        <v>0</v>
      </c>
      <c r="AJ95" s="333"/>
      <c r="AK95" s="222">
        <f>SUM(AK90:AK94)</f>
        <v>542284</v>
      </c>
      <c r="AL95" s="334"/>
      <c r="AM95" s="334"/>
      <c r="AN95" s="334"/>
      <c r="AO95" s="331"/>
      <c r="AP95" s="334"/>
      <c r="AQ95" s="610"/>
    </row>
    <row r="96" spans="1:43" s="322" customFormat="1" ht="15.75" customHeight="1">
      <c r="A96" s="295"/>
      <c r="B96" s="220" t="s">
        <v>57</v>
      </c>
      <c r="C96" s="618"/>
      <c r="D96" s="728"/>
      <c r="E96" s="325">
        <v>19</v>
      </c>
      <c r="F96" s="325">
        <v>9</v>
      </c>
      <c r="G96" s="728"/>
      <c r="H96" s="325">
        <v>26</v>
      </c>
      <c r="I96" s="325">
        <v>13</v>
      </c>
      <c r="J96" s="325">
        <v>10</v>
      </c>
      <c r="K96" s="325">
        <v>1</v>
      </c>
      <c r="L96" s="325">
        <v>7</v>
      </c>
      <c r="M96" s="325">
        <v>6</v>
      </c>
      <c r="N96" s="728"/>
      <c r="O96" s="728"/>
      <c r="P96" s="325">
        <v>4</v>
      </c>
      <c r="Q96" s="325">
        <v>16</v>
      </c>
      <c r="R96" s="325">
        <v>8</v>
      </c>
      <c r="S96" s="325">
        <v>19</v>
      </c>
      <c r="T96" s="325">
        <v>15</v>
      </c>
      <c r="U96" s="728"/>
      <c r="V96" s="325">
        <v>15</v>
      </c>
      <c r="W96" s="325">
        <v>2</v>
      </c>
      <c r="X96" s="325">
        <v>10</v>
      </c>
      <c r="Y96" s="325">
        <v>10</v>
      </c>
      <c r="Z96" s="325">
        <v>9</v>
      </c>
      <c r="AA96" s="325">
        <v>6</v>
      </c>
      <c r="AB96" s="728"/>
      <c r="AC96" s="325">
        <v>6</v>
      </c>
      <c r="AD96" s="325">
        <v>6</v>
      </c>
      <c r="AE96" s="325">
        <v>13</v>
      </c>
      <c r="AF96" s="728"/>
      <c r="AG96" s="325">
        <v>28</v>
      </c>
      <c r="AH96" s="325">
        <v>7</v>
      </c>
      <c r="AI96" s="321">
        <f t="shared" si="9"/>
        <v>265</v>
      </c>
      <c r="AJ96" s="317">
        <v>1750</v>
      </c>
      <c r="AK96" s="221">
        <f>AI96*AJ96</f>
        <v>463750</v>
      </c>
      <c r="AL96" s="326"/>
      <c r="AM96" s="326"/>
      <c r="AN96" s="326"/>
      <c r="AO96" s="323"/>
      <c r="AP96" s="326"/>
      <c r="AQ96" s="609"/>
    </row>
    <row r="97" spans="1:43" s="360" customFormat="1" ht="15.75" customHeight="1" thickBot="1">
      <c r="A97" s="352"/>
      <c r="B97" s="353" t="s">
        <v>44</v>
      </c>
      <c r="C97" s="621"/>
      <c r="D97" s="730"/>
      <c r="E97" s="354"/>
      <c r="F97" s="354"/>
      <c r="G97" s="730"/>
      <c r="H97" s="354"/>
      <c r="I97" s="354"/>
      <c r="J97" s="354"/>
      <c r="K97" s="354"/>
      <c r="L97" s="354"/>
      <c r="M97" s="354"/>
      <c r="N97" s="730"/>
      <c r="O97" s="730"/>
      <c r="P97" s="354"/>
      <c r="Q97" s="354"/>
      <c r="R97" s="354"/>
      <c r="S97" s="354"/>
      <c r="T97" s="354"/>
      <c r="U97" s="1071"/>
      <c r="V97" s="354"/>
      <c r="W97" s="354"/>
      <c r="X97" s="354"/>
      <c r="Y97" s="354">
        <v>9068</v>
      </c>
      <c r="Z97" s="354"/>
      <c r="AA97" s="354"/>
      <c r="AB97" s="730"/>
      <c r="AC97" s="354"/>
      <c r="AD97" s="354"/>
      <c r="AE97" s="354"/>
      <c r="AF97" s="730"/>
      <c r="AG97" s="354"/>
      <c r="AH97" s="354"/>
      <c r="AI97" s="355">
        <f t="shared" si="9"/>
        <v>9068</v>
      </c>
      <c r="AJ97" s="356"/>
      <c r="AK97" s="357">
        <f>AI97</f>
        <v>9068</v>
      </c>
      <c r="AL97" s="358"/>
      <c r="AM97" s="358"/>
      <c r="AN97" s="358"/>
      <c r="AO97" s="359"/>
      <c r="AP97" s="358"/>
      <c r="AQ97" s="611"/>
    </row>
    <row r="98" spans="1:43" s="216" customFormat="1" ht="26.25" customHeight="1" thickTop="1">
      <c r="A98" s="293">
        <v>8</v>
      </c>
      <c r="B98" s="615" t="s">
        <v>370</v>
      </c>
      <c r="C98" s="625"/>
      <c r="D98" s="731"/>
      <c r="E98" s="308">
        <v>1</v>
      </c>
      <c r="F98" s="308">
        <v>1</v>
      </c>
      <c r="G98" s="731"/>
      <c r="H98" s="308">
        <v>1</v>
      </c>
      <c r="I98" s="308">
        <v>1</v>
      </c>
      <c r="J98" s="308">
        <v>1</v>
      </c>
      <c r="K98" s="308">
        <v>1</v>
      </c>
      <c r="L98" s="308">
        <v>1</v>
      </c>
      <c r="M98" s="308">
        <v>1</v>
      </c>
      <c r="N98" s="731"/>
      <c r="O98" s="731"/>
      <c r="P98" s="308">
        <v>1</v>
      </c>
      <c r="Q98" s="308">
        <v>1</v>
      </c>
      <c r="R98" s="308">
        <v>1</v>
      </c>
      <c r="S98" s="308">
        <v>1</v>
      </c>
      <c r="T98" s="308">
        <v>1</v>
      </c>
      <c r="U98" s="731"/>
      <c r="V98" s="308">
        <v>1</v>
      </c>
      <c r="W98" s="308">
        <v>1</v>
      </c>
      <c r="X98" s="308">
        <v>1</v>
      </c>
      <c r="Y98" s="308">
        <v>1</v>
      </c>
      <c r="Z98" s="308">
        <v>1</v>
      </c>
      <c r="AA98" s="308">
        <v>1</v>
      </c>
      <c r="AB98" s="731"/>
      <c r="AC98" s="308">
        <v>1</v>
      </c>
      <c r="AD98" s="308">
        <v>1</v>
      </c>
      <c r="AE98" s="308">
        <v>1</v>
      </c>
      <c r="AF98" s="731"/>
      <c r="AG98" s="308">
        <v>1</v>
      </c>
      <c r="AH98" s="308">
        <v>1</v>
      </c>
      <c r="AI98" s="309">
        <f t="shared" ref="AI98" si="10">SUM(D98:AH98)</f>
        <v>24</v>
      </c>
      <c r="AJ98" s="310"/>
      <c r="AK98" s="224"/>
      <c r="AL98" s="311"/>
      <c r="AN98" s="312"/>
      <c r="AO98" s="313"/>
      <c r="AP98" s="314"/>
      <c r="AQ98" s="608"/>
    </row>
    <row r="99" spans="1:43" s="322" customFormat="1" ht="72.75" customHeight="1">
      <c r="A99" s="295"/>
      <c r="B99" s="297" t="s">
        <v>188</v>
      </c>
      <c r="C99" s="619"/>
      <c r="D99" s="726"/>
      <c r="E99" s="318" t="s">
        <v>813</v>
      </c>
      <c r="F99" s="318" t="s">
        <v>792</v>
      </c>
      <c r="G99" s="726"/>
      <c r="H99" s="318" t="s">
        <v>810</v>
      </c>
      <c r="I99" s="318" t="s">
        <v>740</v>
      </c>
      <c r="J99" s="318" t="s">
        <v>789</v>
      </c>
      <c r="K99" s="318" t="s">
        <v>791</v>
      </c>
      <c r="L99" s="318" t="s">
        <v>792</v>
      </c>
      <c r="M99" s="318" t="s">
        <v>799</v>
      </c>
      <c r="N99" s="726"/>
      <c r="O99" s="726"/>
      <c r="P99" s="318" t="s">
        <v>801</v>
      </c>
      <c r="Q99" s="319" t="s">
        <v>802</v>
      </c>
      <c r="R99" s="318" t="s">
        <v>797</v>
      </c>
      <c r="S99" s="319" t="s">
        <v>740</v>
      </c>
      <c r="T99" s="318" t="s">
        <v>789</v>
      </c>
      <c r="U99" s="726"/>
      <c r="V99" s="318" t="s">
        <v>792</v>
      </c>
      <c r="W99" s="509" t="s">
        <v>801</v>
      </c>
      <c r="X99" s="318" t="s">
        <v>802</v>
      </c>
      <c r="Y99" s="318" t="s">
        <v>795</v>
      </c>
      <c r="Z99" s="320" t="s">
        <v>921</v>
      </c>
      <c r="AA99" s="318" t="s">
        <v>813</v>
      </c>
      <c r="AB99" s="726"/>
      <c r="AC99" s="318" t="s">
        <v>816</v>
      </c>
      <c r="AD99" s="318" t="s">
        <v>801</v>
      </c>
      <c r="AE99" s="318" t="s">
        <v>804</v>
      </c>
      <c r="AF99" s="726"/>
      <c r="AG99" s="318" t="s">
        <v>740</v>
      </c>
      <c r="AH99" s="318" t="s">
        <v>831</v>
      </c>
      <c r="AI99" s="321"/>
      <c r="AJ99" s="317"/>
      <c r="AK99" s="221"/>
      <c r="AO99" s="323"/>
      <c r="AQ99" s="609"/>
    </row>
    <row r="100" spans="1:43" s="322" customFormat="1" ht="15.75" customHeight="1">
      <c r="A100" s="295"/>
      <c r="B100" s="297" t="s">
        <v>281</v>
      </c>
      <c r="C100" s="619"/>
      <c r="D100" s="727"/>
      <c r="E100" s="324" t="s">
        <v>848</v>
      </c>
      <c r="F100" s="324">
        <v>12</v>
      </c>
      <c r="G100" s="727"/>
      <c r="H100" s="324" t="s">
        <v>849</v>
      </c>
      <c r="I100" s="324">
        <v>12</v>
      </c>
      <c r="J100" s="324">
        <v>12</v>
      </c>
      <c r="K100" s="324">
        <v>12</v>
      </c>
      <c r="L100" s="324" t="s">
        <v>850</v>
      </c>
      <c r="M100" s="324" t="s">
        <v>851</v>
      </c>
      <c r="N100" s="727"/>
      <c r="O100" s="727"/>
      <c r="P100" s="324" t="s">
        <v>852</v>
      </c>
      <c r="Q100" s="324" t="s">
        <v>853</v>
      </c>
      <c r="R100" s="324" t="s">
        <v>73</v>
      </c>
      <c r="S100" s="324" t="s">
        <v>73</v>
      </c>
      <c r="T100" s="324" t="s">
        <v>853</v>
      </c>
      <c r="U100" s="727"/>
      <c r="V100" s="324" t="s">
        <v>938</v>
      </c>
      <c r="W100" s="460" t="s">
        <v>849</v>
      </c>
      <c r="X100" s="324" t="s">
        <v>956</v>
      </c>
      <c r="Y100" s="324" t="s">
        <v>971</v>
      </c>
      <c r="Z100" s="324">
        <v>12</v>
      </c>
      <c r="AA100" s="324">
        <v>12</v>
      </c>
      <c r="AB100" s="727"/>
      <c r="AC100" s="324" t="s">
        <v>938</v>
      </c>
      <c r="AD100" s="324">
        <v>12</v>
      </c>
      <c r="AE100" s="324" t="s">
        <v>849</v>
      </c>
      <c r="AF100" s="727"/>
      <c r="AG100" s="324" t="s">
        <v>1010</v>
      </c>
      <c r="AH100" s="324">
        <v>12</v>
      </c>
      <c r="AI100" s="321"/>
      <c r="AJ100" s="317"/>
      <c r="AK100" s="221"/>
      <c r="AO100" s="323"/>
      <c r="AQ100" s="609"/>
    </row>
    <row r="101" spans="1:43" s="322" customFormat="1" ht="15.75" customHeight="1">
      <c r="A101" s="295"/>
      <c r="B101" s="220" t="s">
        <v>260</v>
      </c>
      <c r="C101" s="618"/>
      <c r="D101" s="728"/>
      <c r="E101" s="325">
        <v>103</v>
      </c>
      <c r="F101" s="325">
        <v>90</v>
      </c>
      <c r="G101" s="728"/>
      <c r="H101" s="325">
        <v>103</v>
      </c>
      <c r="I101" s="325">
        <v>103</v>
      </c>
      <c r="J101" s="325">
        <v>103</v>
      </c>
      <c r="K101" s="325">
        <v>103</v>
      </c>
      <c r="L101" s="325">
        <v>90</v>
      </c>
      <c r="M101" s="325">
        <v>90</v>
      </c>
      <c r="N101" s="728"/>
      <c r="O101" s="728"/>
      <c r="P101" s="325">
        <v>103</v>
      </c>
      <c r="Q101" s="325">
        <v>114</v>
      </c>
      <c r="R101" s="325">
        <v>114</v>
      </c>
      <c r="S101" s="325">
        <v>103</v>
      </c>
      <c r="T101" s="325">
        <v>103</v>
      </c>
      <c r="U101" s="728"/>
      <c r="V101" s="325">
        <v>90</v>
      </c>
      <c r="W101" s="325">
        <v>90</v>
      </c>
      <c r="X101" s="325">
        <v>114</v>
      </c>
      <c r="Y101" s="325">
        <v>114</v>
      </c>
      <c r="Z101" s="325">
        <v>103</v>
      </c>
      <c r="AA101" s="325">
        <v>103</v>
      </c>
      <c r="AB101" s="728"/>
      <c r="AC101" s="325">
        <v>90</v>
      </c>
      <c r="AD101" s="325">
        <v>103</v>
      </c>
      <c r="AE101" s="325">
        <v>114</v>
      </c>
      <c r="AF101" s="728"/>
      <c r="AG101" s="325">
        <v>103</v>
      </c>
      <c r="AH101" s="325">
        <v>103</v>
      </c>
      <c r="AI101" s="321">
        <f t="shared" ref="AI101:AI110" si="11">SUM(D101:AH101)</f>
        <v>2449</v>
      </c>
      <c r="AJ101" s="294"/>
      <c r="AK101" s="221"/>
      <c r="AO101" s="323"/>
      <c r="AQ101" s="609"/>
    </row>
    <row r="102" spans="1:43" s="330" customFormat="1" ht="15.75" customHeight="1">
      <c r="A102" s="295"/>
      <c r="B102" s="298" t="s">
        <v>56</v>
      </c>
      <c r="C102" s="620"/>
      <c r="D102" s="729"/>
      <c r="E102" s="327">
        <v>116</v>
      </c>
      <c r="F102" s="327">
        <v>126</v>
      </c>
      <c r="G102" s="729"/>
      <c r="H102" s="327">
        <v>235</v>
      </c>
      <c r="I102" s="327">
        <v>148</v>
      </c>
      <c r="J102" s="327">
        <v>83</v>
      </c>
      <c r="K102" s="327">
        <v>46</v>
      </c>
      <c r="L102" s="327">
        <v>51</v>
      </c>
      <c r="M102" s="327">
        <v>58</v>
      </c>
      <c r="N102" s="729"/>
      <c r="O102" s="729"/>
      <c r="P102" s="327">
        <v>62</v>
      </c>
      <c r="Q102" s="327">
        <v>90</v>
      </c>
      <c r="R102" s="327">
        <v>199</v>
      </c>
      <c r="S102" s="327">
        <v>135</v>
      </c>
      <c r="T102" s="327">
        <f>149+7</f>
        <v>156</v>
      </c>
      <c r="U102" s="729"/>
      <c r="V102" s="327">
        <v>242</v>
      </c>
      <c r="W102" s="327">
        <v>93</v>
      </c>
      <c r="X102" s="327">
        <v>193</v>
      </c>
      <c r="Y102" s="327">
        <f>84+5</f>
        <v>89</v>
      </c>
      <c r="Z102" s="327">
        <f>88+3</f>
        <v>91</v>
      </c>
      <c r="AA102" s="327">
        <f>52+4</f>
        <v>56</v>
      </c>
      <c r="AB102" s="729"/>
      <c r="AC102" s="327">
        <v>28</v>
      </c>
      <c r="AD102" s="327">
        <v>55</v>
      </c>
      <c r="AE102" s="327">
        <f>103+9</f>
        <v>112</v>
      </c>
      <c r="AF102" s="729"/>
      <c r="AG102" s="327">
        <f>145+4</f>
        <v>149</v>
      </c>
      <c r="AH102" s="327">
        <f>68+2</f>
        <v>70</v>
      </c>
      <c r="AI102" s="328">
        <f t="shared" si="11"/>
        <v>2683</v>
      </c>
      <c r="AJ102" s="296"/>
      <c r="AK102" s="222"/>
      <c r="AL102" s="329"/>
      <c r="AO102" s="331"/>
      <c r="AQ102" s="610"/>
    </row>
    <row r="103" spans="1:43" s="322" customFormat="1" ht="15.75" customHeight="1">
      <c r="A103" s="295"/>
      <c r="B103" s="220" t="s">
        <v>642</v>
      </c>
      <c r="C103" s="618"/>
      <c r="D103" s="728"/>
      <c r="E103" s="325"/>
      <c r="F103" s="325">
        <f>F102-F101</f>
        <v>36</v>
      </c>
      <c r="G103" s="728"/>
      <c r="H103" s="325"/>
      <c r="I103" s="325"/>
      <c r="J103" s="325"/>
      <c r="K103" s="325"/>
      <c r="L103" s="325"/>
      <c r="M103" s="325"/>
      <c r="N103" s="728"/>
      <c r="O103" s="728"/>
      <c r="P103" s="325"/>
      <c r="Q103" s="325"/>
      <c r="R103" s="325"/>
      <c r="S103" s="325"/>
      <c r="T103" s="325"/>
      <c r="U103" s="728"/>
      <c r="V103" s="325">
        <f>V102-V101</f>
        <v>152</v>
      </c>
      <c r="W103" s="325"/>
      <c r="X103" s="325"/>
      <c r="Y103" s="325"/>
      <c r="Z103" s="325"/>
      <c r="AA103" s="325"/>
      <c r="AB103" s="728"/>
      <c r="AC103" s="325"/>
      <c r="AD103" s="325"/>
      <c r="AE103" s="325"/>
      <c r="AF103" s="728"/>
      <c r="AG103" s="325"/>
      <c r="AH103" s="325"/>
      <c r="AI103" s="321">
        <f t="shared" si="11"/>
        <v>188</v>
      </c>
      <c r="AJ103" s="317">
        <v>1409</v>
      </c>
      <c r="AK103" s="221">
        <f>AI103*AJ103</f>
        <v>264892</v>
      </c>
      <c r="AO103" s="323"/>
      <c r="AQ103" s="609"/>
    </row>
    <row r="104" spans="1:43" s="322" customFormat="1" ht="15.75" customHeight="1">
      <c r="A104" s="295"/>
      <c r="B104" s="220" t="s">
        <v>721</v>
      </c>
      <c r="C104" s="618"/>
      <c r="D104" s="728"/>
      <c r="E104" s="325">
        <f>E102-E101</f>
        <v>13</v>
      </c>
      <c r="F104" s="325"/>
      <c r="G104" s="728"/>
      <c r="H104" s="325">
        <f>H102-H101</f>
        <v>132</v>
      </c>
      <c r="I104" s="325">
        <f>I102-I101</f>
        <v>45</v>
      </c>
      <c r="J104" s="325"/>
      <c r="K104" s="325"/>
      <c r="L104" s="325"/>
      <c r="M104" s="325"/>
      <c r="N104" s="728"/>
      <c r="O104" s="727"/>
      <c r="P104" s="324"/>
      <c r="Q104" s="325"/>
      <c r="R104" s="325"/>
      <c r="S104" s="325">
        <f>S102-S101</f>
        <v>32</v>
      </c>
      <c r="T104" s="325">
        <f>T102-T101</f>
        <v>53</v>
      </c>
      <c r="U104" s="728"/>
      <c r="V104" s="325"/>
      <c r="W104" s="325"/>
      <c r="X104" s="325"/>
      <c r="Y104" s="325"/>
      <c r="Z104" s="325"/>
      <c r="AA104" s="325"/>
      <c r="AB104" s="728"/>
      <c r="AC104" s="325"/>
      <c r="AD104" s="325"/>
      <c r="AE104" s="325"/>
      <c r="AF104" s="728"/>
      <c r="AG104" s="325">
        <f>AG102-AG101</f>
        <v>46</v>
      </c>
      <c r="AH104" s="325"/>
      <c r="AI104" s="321">
        <f t="shared" si="11"/>
        <v>321</v>
      </c>
      <c r="AJ104" s="317">
        <v>1322</v>
      </c>
      <c r="AK104" s="221">
        <f>AI104*AJ104</f>
        <v>424362</v>
      </c>
      <c r="AO104" s="323"/>
      <c r="AQ104" s="609"/>
    </row>
    <row r="105" spans="1:43" s="322" customFormat="1" ht="15.75" customHeight="1">
      <c r="A105" s="295"/>
      <c r="B105" s="220" t="s">
        <v>366</v>
      </c>
      <c r="C105" s="618"/>
      <c r="D105" s="728"/>
      <c r="E105" s="325"/>
      <c r="F105" s="325"/>
      <c r="G105" s="728"/>
      <c r="H105" s="325"/>
      <c r="I105" s="325"/>
      <c r="J105" s="325"/>
      <c r="K105" s="325"/>
      <c r="L105" s="325"/>
      <c r="M105" s="325"/>
      <c r="N105" s="728"/>
      <c r="O105" s="728"/>
      <c r="P105" s="325"/>
      <c r="Q105" s="325"/>
      <c r="R105" s="325">
        <f>R102-R101</f>
        <v>85</v>
      </c>
      <c r="S105" s="325"/>
      <c r="T105" s="325"/>
      <c r="U105" s="728"/>
      <c r="V105" s="325"/>
      <c r="W105" s="325"/>
      <c r="X105" s="325">
        <f>X102-X101</f>
        <v>79</v>
      </c>
      <c r="Y105" s="325"/>
      <c r="Z105" s="325"/>
      <c r="AA105" s="325"/>
      <c r="AB105" s="728"/>
      <c r="AC105" s="325"/>
      <c r="AD105" s="325"/>
      <c r="AE105" s="325"/>
      <c r="AF105" s="728"/>
      <c r="AG105" s="325"/>
      <c r="AH105" s="325"/>
      <c r="AI105" s="321">
        <f t="shared" si="11"/>
        <v>164</v>
      </c>
      <c r="AJ105" s="317">
        <v>1233</v>
      </c>
      <c r="AK105" s="221">
        <f>AI105*AJ105</f>
        <v>202212</v>
      </c>
      <c r="AO105" s="323"/>
      <c r="AQ105" s="609"/>
    </row>
    <row r="106" spans="1:43" s="322" customFormat="1" ht="15.75" customHeight="1">
      <c r="A106" s="295"/>
      <c r="B106" s="220" t="s">
        <v>643</v>
      </c>
      <c r="C106" s="618"/>
      <c r="D106" s="728"/>
      <c r="E106" s="325"/>
      <c r="F106" s="325"/>
      <c r="G106" s="728"/>
      <c r="H106" s="325"/>
      <c r="I106" s="325"/>
      <c r="J106" s="325"/>
      <c r="K106" s="325"/>
      <c r="L106" s="325"/>
      <c r="M106" s="325"/>
      <c r="N106" s="728"/>
      <c r="O106" s="728"/>
      <c r="P106" s="325"/>
      <c r="Q106" s="325"/>
      <c r="R106" s="325"/>
      <c r="S106" s="325"/>
      <c r="T106" s="325"/>
      <c r="U106" s="728"/>
      <c r="V106" s="325"/>
      <c r="W106" s="325"/>
      <c r="X106" s="325"/>
      <c r="Y106" s="325"/>
      <c r="Z106" s="325"/>
      <c r="AA106" s="325"/>
      <c r="AB106" s="728"/>
      <c r="AC106" s="325"/>
      <c r="AD106" s="325"/>
      <c r="AE106" s="325"/>
      <c r="AF106" s="728"/>
      <c r="AG106" s="325"/>
      <c r="AH106" s="325"/>
      <c r="AI106" s="321">
        <f t="shared" si="11"/>
        <v>0</v>
      </c>
      <c r="AJ106" s="317">
        <v>1043</v>
      </c>
      <c r="AK106" s="221">
        <f>AI106*AJ106</f>
        <v>0</v>
      </c>
      <c r="AO106" s="323"/>
      <c r="AQ106" s="609"/>
    </row>
    <row r="107" spans="1:43" s="322" customFormat="1" ht="15.75" customHeight="1">
      <c r="A107" s="295"/>
      <c r="B107" s="220" t="s">
        <v>367</v>
      </c>
      <c r="C107" s="618"/>
      <c r="D107" s="728"/>
      <c r="E107" s="325"/>
      <c r="F107" s="325"/>
      <c r="G107" s="728"/>
      <c r="H107" s="325"/>
      <c r="I107" s="325"/>
      <c r="J107" s="325"/>
      <c r="K107" s="325"/>
      <c r="L107" s="325"/>
      <c r="M107" s="325"/>
      <c r="N107" s="728"/>
      <c r="O107" s="728"/>
      <c r="P107" s="325"/>
      <c r="Q107" s="325"/>
      <c r="R107" s="325"/>
      <c r="S107" s="325"/>
      <c r="T107" s="325"/>
      <c r="U107" s="728"/>
      <c r="V107" s="325"/>
      <c r="W107" s="325"/>
      <c r="X107" s="325"/>
      <c r="Y107" s="325"/>
      <c r="Z107" s="325"/>
      <c r="AA107" s="325"/>
      <c r="AB107" s="728"/>
      <c r="AC107" s="325"/>
      <c r="AD107" s="325"/>
      <c r="AE107" s="325"/>
      <c r="AF107" s="728"/>
      <c r="AG107" s="325"/>
      <c r="AH107" s="325"/>
      <c r="AI107" s="321">
        <f t="shared" si="11"/>
        <v>0</v>
      </c>
      <c r="AJ107" s="317"/>
      <c r="AK107" s="221">
        <f>AI107*AJ107</f>
        <v>0</v>
      </c>
      <c r="AL107" s="326"/>
      <c r="AM107" s="326"/>
      <c r="AN107" s="326"/>
      <c r="AO107" s="323"/>
      <c r="AP107" s="326"/>
      <c r="AQ107" s="609"/>
    </row>
    <row r="108" spans="1:43" s="330" customFormat="1" ht="15.75" customHeight="1">
      <c r="A108" s="295"/>
      <c r="B108" s="298" t="s">
        <v>259</v>
      </c>
      <c r="C108" s="620"/>
      <c r="D108" s="729"/>
      <c r="E108" s="327"/>
      <c r="F108" s="327"/>
      <c r="G108" s="729"/>
      <c r="H108" s="327"/>
      <c r="I108" s="327"/>
      <c r="J108" s="327"/>
      <c r="K108" s="327"/>
      <c r="L108" s="327"/>
      <c r="M108" s="327"/>
      <c r="N108" s="729"/>
      <c r="O108" s="729"/>
      <c r="P108" s="327"/>
      <c r="Q108" s="327"/>
      <c r="R108" s="327"/>
      <c r="S108" s="327"/>
      <c r="T108" s="327"/>
      <c r="U108" s="729"/>
      <c r="V108" s="327"/>
      <c r="W108" s="327"/>
      <c r="X108" s="332"/>
      <c r="Y108" s="327"/>
      <c r="Z108" s="327"/>
      <c r="AA108" s="327"/>
      <c r="AB108" s="729"/>
      <c r="AC108" s="327"/>
      <c r="AD108" s="327"/>
      <c r="AE108" s="327"/>
      <c r="AF108" s="729"/>
      <c r="AG108" s="327"/>
      <c r="AH108" s="327"/>
      <c r="AI108" s="328">
        <f t="shared" si="11"/>
        <v>0</v>
      </c>
      <c r="AJ108" s="333"/>
      <c r="AK108" s="222">
        <f>SUM(AK103:AK107)</f>
        <v>891466</v>
      </c>
      <c r="AL108" s="334"/>
      <c r="AM108" s="334"/>
      <c r="AN108" s="334"/>
      <c r="AO108" s="331"/>
      <c r="AP108" s="334"/>
      <c r="AQ108" s="610"/>
    </row>
    <row r="109" spans="1:43" s="322" customFormat="1" ht="15.75" customHeight="1">
      <c r="A109" s="295"/>
      <c r="B109" s="220" t="s">
        <v>57</v>
      </c>
      <c r="C109" s="618"/>
      <c r="D109" s="728"/>
      <c r="E109" s="325">
        <v>15</v>
      </c>
      <c r="F109" s="325">
        <v>13</v>
      </c>
      <c r="G109" s="728"/>
      <c r="H109" s="325">
        <v>28</v>
      </c>
      <c r="I109" s="325">
        <v>11</v>
      </c>
      <c r="J109" s="325">
        <v>6</v>
      </c>
      <c r="K109" s="325">
        <v>3</v>
      </c>
      <c r="L109" s="325">
        <v>8</v>
      </c>
      <c r="M109" s="325">
        <v>8</v>
      </c>
      <c r="N109" s="728"/>
      <c r="O109" s="728"/>
      <c r="P109" s="325">
        <v>5</v>
      </c>
      <c r="Q109" s="325">
        <v>6</v>
      </c>
      <c r="R109" s="325">
        <v>15</v>
      </c>
      <c r="S109" s="325">
        <v>12</v>
      </c>
      <c r="T109" s="325">
        <v>17</v>
      </c>
      <c r="U109" s="728"/>
      <c r="V109" s="325">
        <v>28</v>
      </c>
      <c r="W109" s="325">
        <v>11</v>
      </c>
      <c r="X109" s="325">
        <v>20</v>
      </c>
      <c r="Y109" s="325">
        <v>9</v>
      </c>
      <c r="Z109" s="325">
        <v>8</v>
      </c>
      <c r="AA109" s="325">
        <v>2</v>
      </c>
      <c r="AB109" s="728"/>
      <c r="AC109" s="325">
        <v>3</v>
      </c>
      <c r="AD109" s="325">
        <v>4</v>
      </c>
      <c r="AE109" s="325">
        <v>11</v>
      </c>
      <c r="AF109" s="728"/>
      <c r="AG109" s="325">
        <v>15</v>
      </c>
      <c r="AH109" s="325">
        <v>5</v>
      </c>
      <c r="AI109" s="321">
        <f t="shared" si="11"/>
        <v>263</v>
      </c>
      <c r="AJ109" s="317">
        <v>1750</v>
      </c>
      <c r="AK109" s="221">
        <f>AI109*AJ109</f>
        <v>460250</v>
      </c>
      <c r="AL109" s="326"/>
      <c r="AM109" s="326"/>
      <c r="AN109" s="326"/>
      <c r="AO109" s="323"/>
      <c r="AP109" s="326"/>
      <c r="AQ109" s="609"/>
    </row>
    <row r="110" spans="1:43" s="360" customFormat="1" ht="15.75" customHeight="1" thickBot="1">
      <c r="A110" s="352"/>
      <c r="B110" s="353" t="s">
        <v>44</v>
      </c>
      <c r="C110" s="621"/>
      <c r="D110" s="730"/>
      <c r="E110" s="354"/>
      <c r="F110" s="354"/>
      <c r="G110" s="730"/>
      <c r="H110" s="354"/>
      <c r="I110" s="354"/>
      <c r="J110" s="354"/>
      <c r="K110" s="354"/>
      <c r="L110" s="354"/>
      <c r="M110" s="354"/>
      <c r="N110" s="730"/>
      <c r="O110" s="730"/>
      <c r="P110" s="354"/>
      <c r="Q110" s="649"/>
      <c r="R110" s="354"/>
      <c r="S110" s="354"/>
      <c r="T110" s="354"/>
      <c r="U110" s="1071"/>
      <c r="V110" s="354"/>
      <c r="W110" s="354"/>
      <c r="X110" s="354"/>
      <c r="Y110" s="354">
        <v>28338</v>
      </c>
      <c r="Z110" s="354"/>
      <c r="AA110" s="354"/>
      <c r="AB110" s="730"/>
      <c r="AC110" s="354"/>
      <c r="AD110" s="354"/>
      <c r="AE110" s="354"/>
      <c r="AF110" s="730"/>
      <c r="AG110" s="354"/>
      <c r="AH110" s="354"/>
      <c r="AI110" s="355">
        <f t="shared" si="11"/>
        <v>28338</v>
      </c>
      <c r="AJ110" s="356"/>
      <c r="AK110" s="357">
        <f>AI110</f>
        <v>28338</v>
      </c>
      <c r="AL110" s="358"/>
      <c r="AM110" s="358"/>
      <c r="AN110" s="358"/>
      <c r="AO110" s="359"/>
      <c r="AP110" s="358"/>
      <c r="AQ110" s="611"/>
    </row>
    <row r="111" spans="1:43" s="216" customFormat="1" ht="21" customHeight="1" thickTop="1">
      <c r="A111" s="293">
        <v>9</v>
      </c>
      <c r="B111" s="219" t="s">
        <v>577</v>
      </c>
      <c r="C111" s="617"/>
      <c r="D111" s="731"/>
      <c r="E111" s="308">
        <v>1</v>
      </c>
      <c r="F111" s="308">
        <v>1</v>
      </c>
      <c r="G111" s="731"/>
      <c r="H111" s="308">
        <v>1</v>
      </c>
      <c r="I111" s="308">
        <v>1</v>
      </c>
      <c r="J111" s="308">
        <v>1</v>
      </c>
      <c r="K111" s="308">
        <v>1</v>
      </c>
      <c r="L111" s="308">
        <v>1</v>
      </c>
      <c r="M111" s="640">
        <v>1</v>
      </c>
      <c r="N111" s="732"/>
      <c r="O111" s="731"/>
      <c r="P111" s="308">
        <v>1</v>
      </c>
      <c r="Q111" s="308">
        <v>1</v>
      </c>
      <c r="R111" s="308">
        <v>1</v>
      </c>
      <c r="S111" s="308">
        <v>1</v>
      </c>
      <c r="T111" s="1065">
        <v>1</v>
      </c>
      <c r="U111" s="731"/>
      <c r="V111" s="308">
        <v>1</v>
      </c>
      <c r="W111" s="308">
        <v>1</v>
      </c>
      <c r="X111" s="308">
        <v>1</v>
      </c>
      <c r="Y111" s="308">
        <v>1</v>
      </c>
      <c r="Z111" s="308">
        <v>1</v>
      </c>
      <c r="AA111" s="308">
        <v>1</v>
      </c>
      <c r="AB111" s="731"/>
      <c r="AC111" s="308">
        <v>1</v>
      </c>
      <c r="AD111" s="308">
        <v>1</v>
      </c>
      <c r="AE111" s="308">
        <v>1</v>
      </c>
      <c r="AF111" s="731"/>
      <c r="AG111" s="308">
        <v>1</v>
      </c>
      <c r="AH111" s="308">
        <v>1</v>
      </c>
      <c r="AI111" s="309">
        <f t="shared" ref="AI111" si="12">SUM(D111:AH111)</f>
        <v>24</v>
      </c>
      <c r="AJ111" s="310"/>
      <c r="AK111" s="224"/>
      <c r="AL111" s="311"/>
      <c r="AN111" s="312"/>
      <c r="AO111" s="313"/>
      <c r="AP111" s="314"/>
      <c r="AQ111" s="608"/>
    </row>
    <row r="112" spans="1:43" s="322" customFormat="1" ht="48.75" customHeight="1">
      <c r="A112" s="295"/>
      <c r="B112" s="297" t="s">
        <v>188</v>
      </c>
      <c r="C112" s="619"/>
      <c r="D112" s="726"/>
      <c r="E112" s="318" t="s">
        <v>813</v>
      </c>
      <c r="F112" s="318" t="s">
        <v>816</v>
      </c>
      <c r="G112" s="726"/>
      <c r="H112" s="318" t="s">
        <v>810</v>
      </c>
      <c r="I112" s="318" t="s">
        <v>740</v>
      </c>
      <c r="J112" s="318" t="s">
        <v>831</v>
      </c>
      <c r="K112" s="318" t="s">
        <v>791</v>
      </c>
      <c r="L112" s="318" t="s">
        <v>792</v>
      </c>
      <c r="M112" s="750" t="s">
        <v>799</v>
      </c>
      <c r="N112" s="1225"/>
      <c r="O112" s="726"/>
      <c r="P112" s="318" t="s">
        <v>801</v>
      </c>
      <c r="Q112" s="319" t="s">
        <v>867</v>
      </c>
      <c r="R112" s="318" t="s">
        <v>740</v>
      </c>
      <c r="S112" s="319" t="s">
        <v>859</v>
      </c>
      <c r="T112" s="318" t="s">
        <v>791</v>
      </c>
      <c r="U112" s="726"/>
      <c r="V112" s="318" t="s">
        <v>816</v>
      </c>
      <c r="W112" s="509" t="s">
        <v>801</v>
      </c>
      <c r="X112" s="318" t="s">
        <v>802</v>
      </c>
      <c r="Y112" s="318" t="s">
        <v>795</v>
      </c>
      <c r="Z112" s="320" t="s">
        <v>903</v>
      </c>
      <c r="AA112" s="318" t="s">
        <v>792</v>
      </c>
      <c r="AB112" s="726"/>
      <c r="AC112" s="318" t="s">
        <v>816</v>
      </c>
      <c r="AD112" s="318" t="s">
        <v>801</v>
      </c>
      <c r="AE112" s="318" t="s">
        <v>804</v>
      </c>
      <c r="AF112" s="726"/>
      <c r="AG112" s="318" t="s">
        <v>740</v>
      </c>
      <c r="AH112" s="318" t="s">
        <v>831</v>
      </c>
      <c r="AI112" s="321"/>
      <c r="AJ112" s="317"/>
      <c r="AK112" s="221"/>
      <c r="AO112" s="323"/>
      <c r="AQ112" s="609"/>
    </row>
    <row r="113" spans="1:43" s="322" customFormat="1" ht="15.75" customHeight="1">
      <c r="A113" s="295"/>
      <c r="B113" s="297" t="s">
        <v>281</v>
      </c>
      <c r="C113" s="619"/>
      <c r="D113" s="727"/>
      <c r="E113" s="324" t="s">
        <v>93</v>
      </c>
      <c r="F113" s="324" t="s">
        <v>864</v>
      </c>
      <c r="G113" s="727"/>
      <c r="H113" s="324" t="s">
        <v>865</v>
      </c>
      <c r="I113" s="324" t="s">
        <v>864</v>
      </c>
      <c r="J113" s="324">
        <v>28</v>
      </c>
      <c r="K113" s="324" t="s">
        <v>866</v>
      </c>
      <c r="L113" s="324" t="s">
        <v>93</v>
      </c>
      <c r="M113" s="324" t="s">
        <v>93</v>
      </c>
      <c r="N113" s="727"/>
      <c r="O113" s="727"/>
      <c r="P113" s="324">
        <v>28</v>
      </c>
      <c r="Q113" s="324">
        <v>28</v>
      </c>
      <c r="R113" s="324">
        <v>28</v>
      </c>
      <c r="S113" s="324" t="s">
        <v>915</v>
      </c>
      <c r="T113" s="324" t="s">
        <v>920</v>
      </c>
      <c r="U113" s="727"/>
      <c r="V113" s="324">
        <v>28</v>
      </c>
      <c r="W113" s="460" t="s">
        <v>915</v>
      </c>
      <c r="X113" s="324" t="s">
        <v>864</v>
      </c>
      <c r="Y113" s="324">
        <v>28</v>
      </c>
      <c r="Z113" s="324" t="s">
        <v>866</v>
      </c>
      <c r="AA113" s="324">
        <v>28</v>
      </c>
      <c r="AB113" s="727"/>
      <c r="AC113" s="324">
        <v>28</v>
      </c>
      <c r="AD113" s="324" t="s">
        <v>915</v>
      </c>
      <c r="AE113" s="324" t="s">
        <v>866</v>
      </c>
      <c r="AF113" s="727"/>
      <c r="AG113" s="324" t="s">
        <v>855</v>
      </c>
      <c r="AH113" s="324">
        <v>28</v>
      </c>
      <c r="AI113" s="321"/>
      <c r="AJ113" s="317"/>
      <c r="AK113" s="221"/>
      <c r="AO113" s="323"/>
      <c r="AQ113" s="609"/>
    </row>
    <row r="114" spans="1:43" s="322" customFormat="1" ht="15.75" customHeight="1">
      <c r="A114" s="295"/>
      <c r="B114" s="220" t="s">
        <v>260</v>
      </c>
      <c r="C114" s="618"/>
      <c r="D114" s="728"/>
      <c r="E114" s="325">
        <v>103</v>
      </c>
      <c r="F114" s="325">
        <v>90</v>
      </c>
      <c r="G114" s="728"/>
      <c r="H114" s="325">
        <v>103</v>
      </c>
      <c r="I114" s="325">
        <v>103</v>
      </c>
      <c r="J114" s="325">
        <v>103</v>
      </c>
      <c r="K114" s="325">
        <v>103</v>
      </c>
      <c r="L114" s="325">
        <v>90</v>
      </c>
      <c r="M114" s="325">
        <v>90</v>
      </c>
      <c r="N114" s="728"/>
      <c r="O114" s="728"/>
      <c r="P114" s="325">
        <v>103</v>
      </c>
      <c r="Q114" s="325">
        <v>114</v>
      </c>
      <c r="R114" s="325">
        <v>103</v>
      </c>
      <c r="S114" s="325">
        <v>103</v>
      </c>
      <c r="T114" s="325">
        <v>103</v>
      </c>
      <c r="U114" s="728"/>
      <c r="V114" s="325">
        <v>90</v>
      </c>
      <c r="W114" s="325">
        <v>103</v>
      </c>
      <c r="X114" s="325">
        <v>114</v>
      </c>
      <c r="Y114" s="325">
        <v>114</v>
      </c>
      <c r="Z114" s="325">
        <v>103</v>
      </c>
      <c r="AA114" s="325">
        <v>90</v>
      </c>
      <c r="AB114" s="728"/>
      <c r="AC114" s="325">
        <v>90</v>
      </c>
      <c r="AD114" s="325">
        <v>103</v>
      </c>
      <c r="AE114" s="325">
        <v>114</v>
      </c>
      <c r="AF114" s="728"/>
      <c r="AG114" s="325">
        <v>103</v>
      </c>
      <c r="AH114" s="325">
        <v>103</v>
      </c>
      <c r="AI114" s="321">
        <f t="shared" ref="AI114:AI124" si="13">SUM(D114:AH114)</f>
        <v>2438</v>
      </c>
      <c r="AJ114" s="294"/>
      <c r="AK114" s="221"/>
      <c r="AO114" s="323"/>
      <c r="AQ114" s="609"/>
    </row>
    <row r="115" spans="1:43" s="330" customFormat="1" ht="15.75" customHeight="1">
      <c r="A115" s="295"/>
      <c r="B115" s="298" t="s">
        <v>56</v>
      </c>
      <c r="C115" s="620"/>
      <c r="D115" s="729"/>
      <c r="E115" s="327">
        <v>100</v>
      </c>
      <c r="F115" s="327">
        <v>80</v>
      </c>
      <c r="G115" s="729"/>
      <c r="H115" s="327">
        <v>110</v>
      </c>
      <c r="I115" s="327">
        <v>156</v>
      </c>
      <c r="J115" s="327">
        <v>40</v>
      </c>
      <c r="K115" s="327">
        <v>63</v>
      </c>
      <c r="L115" s="327">
        <v>37</v>
      </c>
      <c r="M115" s="327">
        <v>15</v>
      </c>
      <c r="N115" s="729"/>
      <c r="O115" s="729"/>
      <c r="P115" s="327">
        <v>65</v>
      </c>
      <c r="Q115" s="327">
        <v>99</v>
      </c>
      <c r="R115" s="327">
        <v>157</v>
      </c>
      <c r="S115" s="327">
        <f>75+2</f>
        <v>77</v>
      </c>
      <c r="T115" s="327">
        <v>68</v>
      </c>
      <c r="U115" s="729"/>
      <c r="V115" s="327">
        <v>54</v>
      </c>
      <c r="W115" s="327">
        <v>38</v>
      </c>
      <c r="X115" s="327">
        <f>123+9</f>
        <v>132</v>
      </c>
      <c r="Y115" s="327">
        <f>27+1</f>
        <v>28</v>
      </c>
      <c r="Z115" s="327">
        <v>64</v>
      </c>
      <c r="AA115" s="327">
        <f>33+3</f>
        <v>36</v>
      </c>
      <c r="AB115" s="729"/>
      <c r="AC115" s="327">
        <v>23</v>
      </c>
      <c r="AD115" s="327">
        <v>53</v>
      </c>
      <c r="AE115" s="327">
        <f>78+1</f>
        <v>79</v>
      </c>
      <c r="AF115" s="729"/>
      <c r="AG115" s="327">
        <v>114</v>
      </c>
      <c r="AH115" s="327">
        <f>55+5</f>
        <v>60</v>
      </c>
      <c r="AI115" s="328">
        <f t="shared" si="13"/>
        <v>1748</v>
      </c>
      <c r="AJ115" s="296"/>
      <c r="AK115" s="222"/>
      <c r="AL115" s="329"/>
      <c r="AO115" s="331"/>
      <c r="AQ115" s="610"/>
    </row>
    <row r="116" spans="1:43" s="322" customFormat="1" ht="15.75" customHeight="1">
      <c r="A116" s="295"/>
      <c r="B116" s="220" t="s">
        <v>642</v>
      </c>
      <c r="C116" s="618"/>
      <c r="D116" s="728"/>
      <c r="E116" s="325"/>
      <c r="F116" s="325"/>
      <c r="G116" s="728"/>
      <c r="H116" s="325"/>
      <c r="I116" s="325"/>
      <c r="J116" s="325"/>
      <c r="K116" s="325"/>
      <c r="L116" s="325"/>
      <c r="M116" s="325"/>
      <c r="N116" s="728"/>
      <c r="O116" s="728"/>
      <c r="P116" s="325"/>
      <c r="Q116" s="325"/>
      <c r="R116" s="325"/>
      <c r="S116" s="325"/>
      <c r="T116" s="325"/>
      <c r="U116" s="728"/>
      <c r="V116" s="325"/>
      <c r="W116" s="325"/>
      <c r="X116" s="325"/>
      <c r="Y116" s="325"/>
      <c r="Z116" s="325"/>
      <c r="AA116" s="325"/>
      <c r="AB116" s="728"/>
      <c r="AC116" s="325"/>
      <c r="AD116" s="325"/>
      <c r="AE116" s="325"/>
      <c r="AF116" s="728"/>
      <c r="AG116" s="325"/>
      <c r="AH116" s="325"/>
      <c r="AI116" s="321">
        <f t="shared" si="13"/>
        <v>0</v>
      </c>
      <c r="AJ116" s="317">
        <v>1409</v>
      </c>
      <c r="AK116" s="221">
        <f>AI116*AJ116</f>
        <v>0</v>
      </c>
      <c r="AO116" s="323"/>
      <c r="AQ116" s="609"/>
    </row>
    <row r="117" spans="1:43" s="322" customFormat="1" ht="15.75" customHeight="1">
      <c r="A117" s="295"/>
      <c r="B117" s="220" t="s">
        <v>721</v>
      </c>
      <c r="C117" s="618"/>
      <c r="D117" s="728"/>
      <c r="E117" s="325"/>
      <c r="F117" s="325"/>
      <c r="G117" s="728"/>
      <c r="H117" s="325">
        <f>H115-H114</f>
        <v>7</v>
      </c>
      <c r="I117" s="325">
        <f>I115-I114</f>
        <v>53</v>
      </c>
      <c r="J117" s="325"/>
      <c r="K117" s="325"/>
      <c r="L117" s="325"/>
      <c r="M117" s="325"/>
      <c r="N117" s="728"/>
      <c r="O117" s="727"/>
      <c r="P117" s="324"/>
      <c r="Q117" s="325"/>
      <c r="R117" s="325">
        <f>R115-R114</f>
        <v>54</v>
      </c>
      <c r="S117" s="325"/>
      <c r="T117" s="325"/>
      <c r="U117" s="728"/>
      <c r="V117" s="325"/>
      <c r="W117" s="325"/>
      <c r="X117" s="325"/>
      <c r="Y117" s="325"/>
      <c r="Z117" s="325"/>
      <c r="AA117" s="325"/>
      <c r="AB117" s="728"/>
      <c r="AC117" s="325"/>
      <c r="AD117" s="325"/>
      <c r="AE117" s="325"/>
      <c r="AF117" s="728"/>
      <c r="AG117" s="325"/>
      <c r="AH117" s="325"/>
      <c r="AI117" s="321">
        <f t="shared" si="13"/>
        <v>114</v>
      </c>
      <c r="AJ117" s="317">
        <v>1322</v>
      </c>
      <c r="AK117" s="221">
        <f>AI117*AJ117</f>
        <v>150708</v>
      </c>
      <c r="AO117" s="323"/>
      <c r="AQ117" s="609"/>
    </row>
    <row r="118" spans="1:43" s="322" customFormat="1" ht="15.75" customHeight="1">
      <c r="A118" s="295"/>
      <c r="B118" s="220" t="s">
        <v>366</v>
      </c>
      <c r="C118" s="618"/>
      <c r="D118" s="728"/>
      <c r="E118" s="325"/>
      <c r="F118" s="325"/>
      <c r="G118" s="728"/>
      <c r="H118" s="325"/>
      <c r="I118" s="325"/>
      <c r="J118" s="325"/>
      <c r="K118" s="325"/>
      <c r="L118" s="325"/>
      <c r="M118" s="325"/>
      <c r="N118" s="728"/>
      <c r="O118" s="728"/>
      <c r="P118" s="325"/>
      <c r="Q118" s="325"/>
      <c r="R118" s="325"/>
      <c r="S118" s="325"/>
      <c r="T118" s="325"/>
      <c r="U118" s="728"/>
      <c r="V118" s="325"/>
      <c r="W118" s="325"/>
      <c r="X118" s="325">
        <f>X115-X114</f>
        <v>18</v>
      </c>
      <c r="Y118" s="325"/>
      <c r="Z118" s="325"/>
      <c r="AA118" s="325"/>
      <c r="AB118" s="728"/>
      <c r="AC118" s="325"/>
      <c r="AD118" s="325"/>
      <c r="AE118" s="325"/>
      <c r="AF118" s="728"/>
      <c r="AG118" s="325">
        <f>AG115-AG114</f>
        <v>11</v>
      </c>
      <c r="AH118" s="325"/>
      <c r="AI118" s="321">
        <f t="shared" si="13"/>
        <v>29</v>
      </c>
      <c r="AJ118" s="317">
        <v>1233</v>
      </c>
      <c r="AK118" s="221">
        <f>AI118*AJ118</f>
        <v>35757</v>
      </c>
      <c r="AO118" s="323"/>
      <c r="AQ118" s="609"/>
    </row>
    <row r="119" spans="1:43" s="322" customFormat="1" ht="15.75" customHeight="1">
      <c r="A119" s="295"/>
      <c r="B119" s="220" t="s">
        <v>643</v>
      </c>
      <c r="C119" s="618"/>
      <c r="D119" s="728"/>
      <c r="E119" s="325"/>
      <c r="F119" s="325"/>
      <c r="G119" s="728"/>
      <c r="H119" s="325"/>
      <c r="I119" s="325"/>
      <c r="J119" s="325"/>
      <c r="K119" s="325"/>
      <c r="L119" s="325"/>
      <c r="M119" s="325"/>
      <c r="N119" s="728"/>
      <c r="O119" s="728"/>
      <c r="P119" s="325"/>
      <c r="Q119" s="325"/>
      <c r="R119" s="325"/>
      <c r="S119" s="325"/>
      <c r="T119" s="325"/>
      <c r="U119" s="728"/>
      <c r="V119" s="325"/>
      <c r="W119" s="325"/>
      <c r="X119" s="325"/>
      <c r="Y119" s="325"/>
      <c r="Z119" s="325"/>
      <c r="AA119" s="325"/>
      <c r="AB119" s="728"/>
      <c r="AC119" s="325"/>
      <c r="AD119" s="325"/>
      <c r="AE119" s="325"/>
      <c r="AF119" s="728"/>
      <c r="AG119" s="325"/>
      <c r="AH119" s="325"/>
      <c r="AI119" s="321">
        <f t="shared" si="13"/>
        <v>0</v>
      </c>
      <c r="AJ119" s="317">
        <v>1043</v>
      </c>
      <c r="AK119" s="221">
        <f>AI119*AJ119</f>
        <v>0</v>
      </c>
      <c r="AO119" s="323"/>
      <c r="AQ119" s="609"/>
    </row>
    <row r="120" spans="1:43" s="322" customFormat="1" ht="15.75" customHeight="1">
      <c r="A120" s="295"/>
      <c r="B120" s="220" t="s">
        <v>367</v>
      </c>
      <c r="C120" s="618"/>
      <c r="D120" s="728"/>
      <c r="E120" s="325"/>
      <c r="F120" s="325"/>
      <c r="G120" s="728"/>
      <c r="H120" s="325"/>
      <c r="I120" s="325"/>
      <c r="J120" s="325"/>
      <c r="K120" s="325"/>
      <c r="L120" s="325"/>
      <c r="M120" s="325"/>
      <c r="N120" s="728"/>
      <c r="O120" s="728"/>
      <c r="P120" s="325"/>
      <c r="Q120" s="325"/>
      <c r="R120" s="325"/>
      <c r="S120" s="325"/>
      <c r="T120" s="325"/>
      <c r="U120" s="728"/>
      <c r="V120" s="325"/>
      <c r="W120" s="325"/>
      <c r="X120" s="325"/>
      <c r="Y120" s="325"/>
      <c r="Z120" s="325"/>
      <c r="AA120" s="325"/>
      <c r="AB120" s="728"/>
      <c r="AC120" s="325"/>
      <c r="AD120" s="325"/>
      <c r="AE120" s="325"/>
      <c r="AF120" s="728"/>
      <c r="AG120" s="325"/>
      <c r="AH120" s="325"/>
      <c r="AI120" s="321">
        <f t="shared" si="13"/>
        <v>0</v>
      </c>
      <c r="AJ120" s="317"/>
      <c r="AK120" s="221">
        <f>AI120*AJ120</f>
        <v>0</v>
      </c>
      <c r="AL120" s="326"/>
      <c r="AM120" s="326"/>
      <c r="AN120" s="326"/>
      <c r="AO120" s="323"/>
      <c r="AP120" s="326"/>
      <c r="AQ120" s="609"/>
    </row>
    <row r="121" spans="1:43" s="330" customFormat="1" ht="15.75" customHeight="1">
      <c r="A121" s="295"/>
      <c r="B121" s="298" t="s">
        <v>259</v>
      </c>
      <c r="C121" s="620"/>
      <c r="D121" s="729"/>
      <c r="E121" s="327"/>
      <c r="F121" s="327"/>
      <c r="G121" s="729"/>
      <c r="H121" s="327"/>
      <c r="I121" s="327"/>
      <c r="J121" s="327"/>
      <c r="K121" s="327"/>
      <c r="L121" s="327"/>
      <c r="M121" s="327"/>
      <c r="N121" s="729"/>
      <c r="O121" s="729"/>
      <c r="P121" s="327"/>
      <c r="Q121" s="327"/>
      <c r="R121" s="327"/>
      <c r="S121" s="327"/>
      <c r="T121" s="327"/>
      <c r="U121" s="729"/>
      <c r="V121" s="327"/>
      <c r="W121" s="327"/>
      <c r="X121" s="332"/>
      <c r="Y121" s="327"/>
      <c r="Z121" s="327"/>
      <c r="AA121" s="327"/>
      <c r="AB121" s="729"/>
      <c r="AC121" s="327"/>
      <c r="AD121" s="327"/>
      <c r="AE121" s="327"/>
      <c r="AF121" s="729"/>
      <c r="AG121" s="327"/>
      <c r="AH121" s="327"/>
      <c r="AI121" s="328">
        <f t="shared" si="13"/>
        <v>0</v>
      </c>
      <c r="AJ121" s="333"/>
      <c r="AK121" s="222">
        <f>SUM(AK116:AK120)</f>
        <v>186465</v>
      </c>
      <c r="AL121" s="334"/>
      <c r="AM121" s="334"/>
      <c r="AN121" s="334"/>
      <c r="AO121" s="331"/>
      <c r="AP121" s="334"/>
      <c r="AQ121" s="610"/>
    </row>
    <row r="122" spans="1:43" s="322" customFormat="1" ht="15.75" customHeight="1">
      <c r="A122" s="295"/>
      <c r="B122" s="220" t="s">
        <v>57</v>
      </c>
      <c r="C122" s="618"/>
      <c r="D122" s="728"/>
      <c r="E122" s="325">
        <v>8</v>
      </c>
      <c r="F122" s="325">
        <v>20</v>
      </c>
      <c r="G122" s="728"/>
      <c r="H122" s="325">
        <v>8</v>
      </c>
      <c r="I122" s="325">
        <v>9</v>
      </c>
      <c r="J122" s="325">
        <v>2</v>
      </c>
      <c r="K122" s="325">
        <v>3</v>
      </c>
      <c r="L122" s="325">
        <v>3</v>
      </c>
      <c r="M122" s="325">
        <v>1</v>
      </c>
      <c r="N122" s="728"/>
      <c r="O122" s="728"/>
      <c r="P122" s="325">
        <v>5</v>
      </c>
      <c r="Q122" s="325">
        <v>6</v>
      </c>
      <c r="R122" s="325">
        <v>8</v>
      </c>
      <c r="S122" s="325">
        <v>3</v>
      </c>
      <c r="T122" s="325">
        <v>3</v>
      </c>
      <c r="U122" s="728"/>
      <c r="V122" s="325">
        <v>8</v>
      </c>
      <c r="W122" s="325">
        <v>1</v>
      </c>
      <c r="X122" s="325">
        <v>6</v>
      </c>
      <c r="Y122" s="325">
        <v>2</v>
      </c>
      <c r="Z122" s="325">
        <v>4</v>
      </c>
      <c r="AA122" s="325">
        <v>3</v>
      </c>
      <c r="AB122" s="728"/>
      <c r="AC122" s="325">
        <v>3</v>
      </c>
      <c r="AD122" s="325">
        <v>2</v>
      </c>
      <c r="AE122" s="325">
        <v>5</v>
      </c>
      <c r="AF122" s="728"/>
      <c r="AG122" s="325">
        <v>6</v>
      </c>
      <c r="AH122" s="325">
        <v>9</v>
      </c>
      <c r="AI122" s="321">
        <f t="shared" si="13"/>
        <v>128</v>
      </c>
      <c r="AJ122" s="317">
        <v>1750</v>
      </c>
      <c r="AK122" s="221">
        <f>AI122*AJ122</f>
        <v>224000</v>
      </c>
      <c r="AL122" s="326"/>
      <c r="AM122" s="326"/>
      <c r="AN122" s="326"/>
      <c r="AO122" s="323"/>
      <c r="AP122" s="326"/>
      <c r="AQ122" s="609"/>
    </row>
    <row r="123" spans="1:43" s="360" customFormat="1" ht="15.75" customHeight="1" thickBot="1">
      <c r="A123" s="352"/>
      <c r="B123" s="353" t="s">
        <v>44</v>
      </c>
      <c r="C123" s="621"/>
      <c r="D123" s="730"/>
      <c r="E123" s="354"/>
      <c r="F123" s="354"/>
      <c r="G123" s="730"/>
      <c r="H123" s="354"/>
      <c r="I123" s="354"/>
      <c r="J123" s="354"/>
      <c r="K123" s="354"/>
      <c r="L123" s="354"/>
      <c r="M123" s="354"/>
      <c r="N123" s="730"/>
      <c r="O123" s="730"/>
      <c r="P123" s="354"/>
      <c r="Q123" s="325"/>
      <c r="R123" s="354"/>
      <c r="S123" s="354"/>
      <c r="T123" s="354"/>
      <c r="U123" s="1071"/>
      <c r="V123" s="354"/>
      <c r="W123" s="354"/>
      <c r="X123" s="354"/>
      <c r="Y123" s="354"/>
      <c r="Z123" s="354"/>
      <c r="AA123" s="354"/>
      <c r="AB123" s="730"/>
      <c r="AC123" s="354"/>
      <c r="AD123" s="354"/>
      <c r="AE123" s="354"/>
      <c r="AF123" s="730"/>
      <c r="AG123" s="354"/>
      <c r="AH123" s="354"/>
      <c r="AI123" s="355">
        <f t="shared" si="13"/>
        <v>0</v>
      </c>
      <c r="AJ123" s="356"/>
      <c r="AK123" s="357">
        <f>AI123</f>
        <v>0</v>
      </c>
      <c r="AL123" s="358"/>
      <c r="AM123" s="358"/>
      <c r="AN123" s="358"/>
      <c r="AO123" s="359"/>
      <c r="AP123" s="358"/>
      <c r="AQ123" s="611"/>
    </row>
    <row r="124" spans="1:43" s="216" customFormat="1" ht="22.5" customHeight="1" thickTop="1">
      <c r="A124" s="293">
        <v>10</v>
      </c>
      <c r="B124" s="299" t="s">
        <v>409</v>
      </c>
      <c r="C124" s="626"/>
      <c r="D124" s="731"/>
      <c r="E124" s="308">
        <v>1</v>
      </c>
      <c r="F124" s="308">
        <v>1</v>
      </c>
      <c r="G124" s="731"/>
      <c r="H124" s="308">
        <v>1</v>
      </c>
      <c r="I124" s="308">
        <v>1</v>
      </c>
      <c r="J124" s="308">
        <v>1</v>
      </c>
      <c r="K124" s="308">
        <v>1</v>
      </c>
      <c r="L124" s="308">
        <v>1</v>
      </c>
      <c r="M124" s="640">
        <v>1</v>
      </c>
      <c r="N124" s="732"/>
      <c r="O124" s="731"/>
      <c r="P124" s="308">
        <v>1</v>
      </c>
      <c r="Q124" s="308">
        <v>1</v>
      </c>
      <c r="R124" s="308">
        <v>1</v>
      </c>
      <c r="S124" s="308">
        <v>1</v>
      </c>
      <c r="T124" s="308">
        <v>1</v>
      </c>
      <c r="U124" s="731"/>
      <c r="V124" s="308">
        <v>1</v>
      </c>
      <c r="W124" s="308">
        <v>1</v>
      </c>
      <c r="X124" s="308">
        <v>1</v>
      </c>
      <c r="Y124" s="308">
        <v>1</v>
      </c>
      <c r="Z124" s="308">
        <v>1</v>
      </c>
      <c r="AA124" s="308">
        <v>1</v>
      </c>
      <c r="AB124" s="731"/>
      <c r="AC124" s="308">
        <v>1</v>
      </c>
      <c r="AD124" s="308">
        <v>1</v>
      </c>
      <c r="AE124" s="308">
        <v>1</v>
      </c>
      <c r="AF124" s="731"/>
      <c r="AG124" s="308">
        <v>1</v>
      </c>
      <c r="AH124" s="308">
        <v>1</v>
      </c>
      <c r="AI124" s="309">
        <f t="shared" si="13"/>
        <v>24</v>
      </c>
      <c r="AJ124" s="310"/>
      <c r="AK124" s="224"/>
      <c r="AL124" s="311"/>
      <c r="AN124" s="312"/>
      <c r="AO124" s="313"/>
      <c r="AP124" s="314"/>
      <c r="AQ124" s="608"/>
    </row>
    <row r="125" spans="1:43" s="322" customFormat="1" ht="55.5" customHeight="1">
      <c r="A125" s="295"/>
      <c r="B125" s="297" t="s">
        <v>188</v>
      </c>
      <c r="C125" s="619"/>
      <c r="D125" s="726"/>
      <c r="E125" s="318" t="s">
        <v>789</v>
      </c>
      <c r="F125" s="318" t="s">
        <v>791</v>
      </c>
      <c r="G125" s="726"/>
      <c r="H125" s="318" t="s">
        <v>792</v>
      </c>
      <c r="I125" s="318" t="s">
        <v>799</v>
      </c>
      <c r="J125" s="318" t="s">
        <v>859</v>
      </c>
      <c r="K125" s="318" t="s">
        <v>791</v>
      </c>
      <c r="L125" s="318" t="s">
        <v>792</v>
      </c>
      <c r="M125" s="318" t="s">
        <v>799</v>
      </c>
      <c r="N125" s="726"/>
      <c r="O125" s="726"/>
      <c r="P125" s="318" t="s">
        <v>810</v>
      </c>
      <c r="Q125" s="318" t="s">
        <v>797</v>
      </c>
      <c r="R125" s="318" t="s">
        <v>797</v>
      </c>
      <c r="S125" s="319" t="s">
        <v>831</v>
      </c>
      <c r="T125" s="318" t="s">
        <v>791</v>
      </c>
      <c r="U125" s="726"/>
      <c r="V125" s="318" t="s">
        <v>799</v>
      </c>
      <c r="W125" s="509" t="s">
        <v>801</v>
      </c>
      <c r="X125" s="318" t="s">
        <v>804</v>
      </c>
      <c r="Y125" s="318" t="s">
        <v>877</v>
      </c>
      <c r="Z125" s="320" t="s">
        <v>903</v>
      </c>
      <c r="AA125" s="318" t="s">
        <v>813</v>
      </c>
      <c r="AB125" s="726"/>
      <c r="AC125" s="318" t="s">
        <v>816</v>
      </c>
      <c r="AD125" s="318" t="s">
        <v>801</v>
      </c>
      <c r="AE125" s="318" t="s">
        <v>804</v>
      </c>
      <c r="AF125" s="726"/>
      <c r="AG125" s="318" t="s">
        <v>797</v>
      </c>
      <c r="AH125" s="318" t="s">
        <v>831</v>
      </c>
      <c r="AI125" s="321"/>
      <c r="AJ125" s="317"/>
      <c r="AK125" s="221"/>
      <c r="AO125" s="323"/>
      <c r="AQ125" s="609"/>
    </row>
    <row r="126" spans="1:43" s="322" customFormat="1" ht="15.75" customHeight="1">
      <c r="A126" s="295"/>
      <c r="B126" s="297" t="s">
        <v>281</v>
      </c>
      <c r="C126" s="619"/>
      <c r="D126" s="727"/>
      <c r="E126" s="324" t="s">
        <v>886</v>
      </c>
      <c r="F126" s="324" t="s">
        <v>84</v>
      </c>
      <c r="G126" s="727"/>
      <c r="H126" s="324" t="s">
        <v>887</v>
      </c>
      <c r="I126" s="324" t="s">
        <v>886</v>
      </c>
      <c r="J126" s="459" t="s">
        <v>886</v>
      </c>
      <c r="K126" s="324">
        <v>23</v>
      </c>
      <c r="L126" s="324" t="s">
        <v>885</v>
      </c>
      <c r="M126" s="324">
        <v>23</v>
      </c>
      <c r="N126" s="727"/>
      <c r="O126" s="727"/>
      <c r="P126" s="324" t="s">
        <v>884</v>
      </c>
      <c r="Q126" s="324">
        <v>23</v>
      </c>
      <c r="R126" s="324" t="s">
        <v>84</v>
      </c>
      <c r="S126" s="324" t="s">
        <v>886</v>
      </c>
      <c r="T126" s="324" t="s">
        <v>84</v>
      </c>
      <c r="U126" s="727"/>
      <c r="V126" s="324">
        <v>23</v>
      </c>
      <c r="W126" s="460" t="s">
        <v>939</v>
      </c>
      <c r="X126" s="324">
        <v>23</v>
      </c>
      <c r="Y126" s="324" t="s">
        <v>886</v>
      </c>
      <c r="Z126" s="324">
        <v>23</v>
      </c>
      <c r="AA126" s="324" t="s">
        <v>887</v>
      </c>
      <c r="AB126" s="727"/>
      <c r="AC126" s="324">
        <v>23</v>
      </c>
      <c r="AD126" s="324" t="s">
        <v>84</v>
      </c>
      <c r="AE126" s="324" t="s">
        <v>1004</v>
      </c>
      <c r="AF126" s="727"/>
      <c r="AG126" s="324" t="s">
        <v>84</v>
      </c>
      <c r="AH126" s="324">
        <v>23</v>
      </c>
      <c r="AI126" s="321"/>
      <c r="AJ126" s="317"/>
      <c r="AK126" s="221"/>
      <c r="AO126" s="323"/>
      <c r="AQ126" s="609"/>
    </row>
    <row r="127" spans="1:43" s="322" customFormat="1" ht="15.75" customHeight="1">
      <c r="A127" s="295"/>
      <c r="B127" s="220" t="s">
        <v>260</v>
      </c>
      <c r="C127" s="618"/>
      <c r="D127" s="728"/>
      <c r="E127" s="325">
        <v>103</v>
      </c>
      <c r="F127" s="325">
        <v>103</v>
      </c>
      <c r="G127" s="728"/>
      <c r="H127" s="324">
        <v>90</v>
      </c>
      <c r="I127" s="325">
        <v>90</v>
      </c>
      <c r="J127" s="325">
        <v>103</v>
      </c>
      <c r="K127" s="325">
        <v>103</v>
      </c>
      <c r="L127" s="325">
        <v>90</v>
      </c>
      <c r="M127" s="325">
        <v>90</v>
      </c>
      <c r="N127" s="728"/>
      <c r="O127" s="728"/>
      <c r="P127" s="325">
        <v>103</v>
      </c>
      <c r="Q127" s="325">
        <v>114</v>
      </c>
      <c r="R127" s="325">
        <v>114</v>
      </c>
      <c r="S127" s="325">
        <v>103</v>
      </c>
      <c r="T127" s="325">
        <v>103</v>
      </c>
      <c r="U127" s="728"/>
      <c r="V127" s="325">
        <v>90</v>
      </c>
      <c r="W127" s="325">
        <v>103</v>
      </c>
      <c r="X127" s="325">
        <v>114</v>
      </c>
      <c r="Y127" s="325">
        <v>114</v>
      </c>
      <c r="Z127" s="325">
        <v>103</v>
      </c>
      <c r="AA127" s="325">
        <v>103</v>
      </c>
      <c r="AB127" s="728"/>
      <c r="AC127" s="325">
        <v>90</v>
      </c>
      <c r="AD127" s="325">
        <v>103</v>
      </c>
      <c r="AE127" s="325">
        <v>114</v>
      </c>
      <c r="AF127" s="728"/>
      <c r="AG127" s="325">
        <v>114</v>
      </c>
      <c r="AH127" s="325">
        <v>103</v>
      </c>
      <c r="AI127" s="321">
        <f t="shared" ref="AI127:AI137" si="14">SUM(D127:AH127)</f>
        <v>2460</v>
      </c>
      <c r="AJ127" s="294"/>
      <c r="AK127" s="221"/>
      <c r="AO127" s="323"/>
      <c r="AQ127" s="609"/>
    </row>
    <row r="128" spans="1:43" s="330" customFormat="1" ht="15.75" customHeight="1">
      <c r="A128" s="295"/>
      <c r="B128" s="298" t="s">
        <v>56</v>
      </c>
      <c r="C128" s="620"/>
      <c r="D128" s="729"/>
      <c r="E128" s="327">
        <v>91</v>
      </c>
      <c r="F128" s="327">
        <v>75</v>
      </c>
      <c r="G128" s="729"/>
      <c r="H128" s="327">
        <v>183</v>
      </c>
      <c r="I128" s="327">
        <v>162</v>
      </c>
      <c r="J128" s="327">
        <v>65</v>
      </c>
      <c r="K128" s="327">
        <v>45</v>
      </c>
      <c r="L128" s="327">
        <v>36</v>
      </c>
      <c r="M128" s="327">
        <v>13</v>
      </c>
      <c r="N128" s="729"/>
      <c r="O128" s="729"/>
      <c r="P128" s="327">
        <v>103</v>
      </c>
      <c r="Q128" s="327">
        <v>121</v>
      </c>
      <c r="R128" s="327">
        <v>128</v>
      </c>
      <c r="S128" s="327">
        <f>93+2</f>
        <v>95</v>
      </c>
      <c r="T128" s="327">
        <v>51</v>
      </c>
      <c r="U128" s="729"/>
      <c r="V128" s="327">
        <v>103</v>
      </c>
      <c r="W128" s="327">
        <v>52</v>
      </c>
      <c r="X128" s="327">
        <f>53+7</f>
        <v>60</v>
      </c>
      <c r="Y128" s="327">
        <f>67+1</f>
        <v>68</v>
      </c>
      <c r="Z128" s="327">
        <f>56+2</f>
        <v>58</v>
      </c>
      <c r="AA128" s="327">
        <v>34</v>
      </c>
      <c r="AB128" s="729"/>
      <c r="AC128" s="327">
        <v>39</v>
      </c>
      <c r="AD128" s="327">
        <v>29</v>
      </c>
      <c r="AE128" s="327">
        <f>56+6</f>
        <v>62</v>
      </c>
      <c r="AF128" s="729"/>
      <c r="AG128" s="327">
        <f>159+2</f>
        <v>161</v>
      </c>
      <c r="AH128" s="327">
        <f>49+1</f>
        <v>50</v>
      </c>
      <c r="AI128" s="328">
        <f t="shared" si="14"/>
        <v>1884</v>
      </c>
      <c r="AJ128" s="296"/>
      <c r="AK128" s="222"/>
      <c r="AL128" s="329"/>
      <c r="AO128" s="331"/>
      <c r="AQ128" s="610"/>
    </row>
    <row r="129" spans="1:43" s="322" customFormat="1" ht="15.75" customHeight="1">
      <c r="A129" s="295"/>
      <c r="B129" s="220" t="s">
        <v>642</v>
      </c>
      <c r="C129" s="618"/>
      <c r="D129" s="728"/>
      <c r="E129" s="325"/>
      <c r="F129" s="325"/>
      <c r="G129" s="728"/>
      <c r="H129" s="325">
        <f>H128-H127</f>
        <v>93</v>
      </c>
      <c r="I129" s="325">
        <f>I128-I127</f>
        <v>72</v>
      </c>
      <c r="J129" s="325"/>
      <c r="K129" s="325"/>
      <c r="L129" s="325"/>
      <c r="M129" s="325"/>
      <c r="N129" s="728"/>
      <c r="O129" s="728"/>
      <c r="P129" s="325"/>
      <c r="Q129" s="325"/>
      <c r="R129" s="325"/>
      <c r="S129" s="325"/>
      <c r="T129" s="325"/>
      <c r="U129" s="728"/>
      <c r="V129" s="325">
        <f>V128-V127</f>
        <v>13</v>
      </c>
      <c r="W129" s="325"/>
      <c r="X129" s="325"/>
      <c r="Y129" s="325"/>
      <c r="Z129" s="325"/>
      <c r="AA129" s="325"/>
      <c r="AB129" s="728"/>
      <c r="AC129" s="325"/>
      <c r="AD129" s="325"/>
      <c r="AE129" s="325"/>
      <c r="AF129" s="728"/>
      <c r="AG129" s="325"/>
      <c r="AH129" s="325"/>
      <c r="AI129" s="321">
        <f t="shared" si="14"/>
        <v>178</v>
      </c>
      <c r="AJ129" s="317">
        <v>1409</v>
      </c>
      <c r="AK129" s="221">
        <f>AI129*AJ129</f>
        <v>250802</v>
      </c>
      <c r="AO129" s="323"/>
      <c r="AQ129" s="609"/>
    </row>
    <row r="130" spans="1:43" s="322" customFormat="1" ht="15.75" customHeight="1">
      <c r="A130" s="295"/>
      <c r="B130" s="220" t="s">
        <v>721</v>
      </c>
      <c r="C130" s="618"/>
      <c r="D130" s="728"/>
      <c r="E130" s="325"/>
      <c r="F130" s="325"/>
      <c r="G130" s="728"/>
      <c r="H130" s="325"/>
      <c r="I130" s="325"/>
      <c r="J130" s="325"/>
      <c r="K130" s="325"/>
      <c r="L130" s="325"/>
      <c r="M130" s="325"/>
      <c r="N130" s="728"/>
      <c r="O130" s="727"/>
      <c r="P130" s="324"/>
      <c r="Q130" s="325"/>
      <c r="R130" s="325"/>
      <c r="S130" s="325"/>
      <c r="T130" s="325"/>
      <c r="U130" s="728"/>
      <c r="V130" s="325"/>
      <c r="W130" s="325"/>
      <c r="X130" s="325"/>
      <c r="Y130" s="325"/>
      <c r="Z130" s="325"/>
      <c r="AA130" s="325"/>
      <c r="AB130" s="728"/>
      <c r="AC130" s="325"/>
      <c r="AD130" s="325"/>
      <c r="AE130" s="325"/>
      <c r="AF130" s="728"/>
      <c r="AG130" s="325"/>
      <c r="AH130" s="325"/>
      <c r="AI130" s="321">
        <f t="shared" si="14"/>
        <v>0</v>
      </c>
      <c r="AJ130" s="317">
        <v>1322</v>
      </c>
      <c r="AK130" s="221">
        <f>AI130*AJ130</f>
        <v>0</v>
      </c>
      <c r="AO130" s="323"/>
      <c r="AQ130" s="609"/>
    </row>
    <row r="131" spans="1:43" s="322" customFormat="1" ht="15.75" customHeight="1">
      <c r="A131" s="295"/>
      <c r="B131" s="220" t="s">
        <v>366</v>
      </c>
      <c r="C131" s="618"/>
      <c r="D131" s="728"/>
      <c r="E131" s="325"/>
      <c r="F131" s="325"/>
      <c r="G131" s="728"/>
      <c r="H131" s="325"/>
      <c r="I131" s="325"/>
      <c r="J131" s="325"/>
      <c r="K131" s="325"/>
      <c r="L131" s="325"/>
      <c r="M131" s="325"/>
      <c r="N131" s="728"/>
      <c r="O131" s="728"/>
      <c r="P131" s="325"/>
      <c r="Q131" s="325">
        <f>Q128-Q127</f>
        <v>7</v>
      </c>
      <c r="R131" s="325">
        <f>R128-R127</f>
        <v>14</v>
      </c>
      <c r="S131" s="325"/>
      <c r="T131" s="325"/>
      <c r="U131" s="728"/>
      <c r="V131" s="325"/>
      <c r="W131" s="325"/>
      <c r="X131" s="325"/>
      <c r="Y131" s="325"/>
      <c r="Z131" s="325"/>
      <c r="AA131" s="325"/>
      <c r="AB131" s="728"/>
      <c r="AC131" s="325"/>
      <c r="AD131" s="325"/>
      <c r="AE131" s="325"/>
      <c r="AF131" s="728"/>
      <c r="AG131" s="325">
        <f>AG128-AG127</f>
        <v>47</v>
      </c>
      <c r="AH131" s="325"/>
      <c r="AI131" s="321">
        <f t="shared" si="14"/>
        <v>68</v>
      </c>
      <c r="AJ131" s="317">
        <v>1233</v>
      </c>
      <c r="AK131" s="221">
        <f>AI131*AJ131</f>
        <v>83844</v>
      </c>
      <c r="AO131" s="323"/>
      <c r="AQ131" s="609"/>
    </row>
    <row r="132" spans="1:43" s="322" customFormat="1" ht="15.75" customHeight="1">
      <c r="A132" s="295"/>
      <c r="B132" s="220" t="s">
        <v>643</v>
      </c>
      <c r="C132" s="618"/>
      <c r="D132" s="728"/>
      <c r="E132" s="325"/>
      <c r="F132" s="325"/>
      <c r="G132" s="728"/>
      <c r="H132" s="325"/>
      <c r="I132" s="325"/>
      <c r="J132" s="325"/>
      <c r="K132" s="325"/>
      <c r="L132" s="325"/>
      <c r="M132" s="325"/>
      <c r="N132" s="728"/>
      <c r="O132" s="728"/>
      <c r="P132" s="325"/>
      <c r="Q132" s="325"/>
      <c r="R132" s="325"/>
      <c r="S132" s="325"/>
      <c r="T132" s="325"/>
      <c r="U132" s="728"/>
      <c r="V132" s="325"/>
      <c r="W132" s="325"/>
      <c r="X132" s="325"/>
      <c r="Y132" s="325"/>
      <c r="Z132" s="325"/>
      <c r="AA132" s="325"/>
      <c r="AB132" s="728"/>
      <c r="AC132" s="325"/>
      <c r="AD132" s="325"/>
      <c r="AE132" s="325"/>
      <c r="AF132" s="728"/>
      <c r="AG132" s="325"/>
      <c r="AH132" s="325"/>
      <c r="AI132" s="321">
        <f t="shared" si="14"/>
        <v>0</v>
      </c>
      <c r="AJ132" s="317">
        <v>1043</v>
      </c>
      <c r="AK132" s="221">
        <f>AI132*AJ132</f>
        <v>0</v>
      </c>
      <c r="AO132" s="323"/>
      <c r="AQ132" s="609"/>
    </row>
    <row r="133" spans="1:43" s="322" customFormat="1" ht="15.75" customHeight="1">
      <c r="A133" s="295"/>
      <c r="B133" s="220" t="s">
        <v>367</v>
      </c>
      <c r="C133" s="618"/>
      <c r="D133" s="728"/>
      <c r="E133" s="325"/>
      <c r="F133" s="325"/>
      <c r="G133" s="728"/>
      <c r="H133" s="325"/>
      <c r="I133" s="325"/>
      <c r="J133" s="325"/>
      <c r="K133" s="325"/>
      <c r="L133" s="325"/>
      <c r="M133" s="325"/>
      <c r="N133" s="728"/>
      <c r="O133" s="728"/>
      <c r="P133" s="325"/>
      <c r="Q133" s="325"/>
      <c r="R133" s="325"/>
      <c r="S133" s="325"/>
      <c r="T133" s="325"/>
      <c r="U133" s="728"/>
      <c r="V133" s="325"/>
      <c r="W133" s="325"/>
      <c r="X133" s="325"/>
      <c r="Y133" s="325"/>
      <c r="Z133" s="325"/>
      <c r="AA133" s="325"/>
      <c r="AB133" s="728"/>
      <c r="AC133" s="325"/>
      <c r="AD133" s="325"/>
      <c r="AE133" s="325"/>
      <c r="AF133" s="728"/>
      <c r="AG133" s="325"/>
      <c r="AH133" s="325"/>
      <c r="AI133" s="321">
        <f t="shared" si="14"/>
        <v>0</v>
      </c>
      <c r="AJ133" s="317"/>
      <c r="AK133" s="221">
        <f>AI133*AJ133</f>
        <v>0</v>
      </c>
      <c r="AL133" s="326"/>
      <c r="AM133" s="326"/>
      <c r="AN133" s="326"/>
      <c r="AO133" s="323"/>
      <c r="AP133" s="326"/>
      <c r="AQ133" s="609"/>
    </row>
    <row r="134" spans="1:43" s="330" customFormat="1" ht="15.75" customHeight="1">
      <c r="A134" s="295"/>
      <c r="B134" s="298" t="s">
        <v>259</v>
      </c>
      <c r="C134" s="620"/>
      <c r="D134" s="729"/>
      <c r="E134" s="327"/>
      <c r="F134" s="327"/>
      <c r="G134" s="729"/>
      <c r="H134" s="327"/>
      <c r="I134" s="327"/>
      <c r="J134" s="327"/>
      <c r="K134" s="327"/>
      <c r="L134" s="327"/>
      <c r="M134" s="327"/>
      <c r="N134" s="729"/>
      <c r="O134" s="729"/>
      <c r="P134" s="327"/>
      <c r="Q134" s="327"/>
      <c r="R134" s="327"/>
      <c r="S134" s="327"/>
      <c r="T134" s="327"/>
      <c r="U134" s="729"/>
      <c r="V134" s="327"/>
      <c r="W134" s="327"/>
      <c r="X134" s="332"/>
      <c r="Y134" s="327"/>
      <c r="Z134" s="327"/>
      <c r="AA134" s="327"/>
      <c r="AB134" s="729"/>
      <c r="AC134" s="327"/>
      <c r="AD134" s="327"/>
      <c r="AE134" s="327"/>
      <c r="AF134" s="729"/>
      <c r="AG134" s="327"/>
      <c r="AH134" s="327"/>
      <c r="AI134" s="328">
        <f t="shared" si="14"/>
        <v>0</v>
      </c>
      <c r="AJ134" s="333"/>
      <c r="AK134" s="222">
        <f>SUM(AK129:AK133)</f>
        <v>334646</v>
      </c>
      <c r="AL134" s="334"/>
      <c r="AM134" s="334"/>
      <c r="AN134" s="334"/>
      <c r="AO134" s="331"/>
      <c r="AP134" s="334"/>
      <c r="AQ134" s="610"/>
    </row>
    <row r="135" spans="1:43" s="322" customFormat="1" ht="15.75" customHeight="1">
      <c r="A135" s="295"/>
      <c r="B135" s="220" t="s">
        <v>57</v>
      </c>
      <c r="C135" s="618"/>
      <c r="D135" s="728"/>
      <c r="E135" s="325">
        <v>13</v>
      </c>
      <c r="F135" s="325">
        <v>6</v>
      </c>
      <c r="G135" s="728"/>
      <c r="H135" s="325">
        <v>17</v>
      </c>
      <c r="I135" s="325">
        <v>13</v>
      </c>
      <c r="J135" s="325">
        <v>1</v>
      </c>
      <c r="K135" s="325">
        <v>2</v>
      </c>
      <c r="L135" s="325">
        <v>9</v>
      </c>
      <c r="M135" s="325">
        <v>3</v>
      </c>
      <c r="N135" s="728"/>
      <c r="O135" s="728"/>
      <c r="P135" s="325">
        <v>5</v>
      </c>
      <c r="Q135" s="325">
        <v>8</v>
      </c>
      <c r="R135" s="325">
        <v>6</v>
      </c>
      <c r="S135" s="325">
        <v>6</v>
      </c>
      <c r="T135" s="325">
        <v>2</v>
      </c>
      <c r="U135" s="728"/>
      <c r="V135" s="325">
        <v>9</v>
      </c>
      <c r="W135" s="325">
        <v>2</v>
      </c>
      <c r="X135" s="325">
        <v>2</v>
      </c>
      <c r="Y135" s="325">
        <v>4</v>
      </c>
      <c r="Z135" s="325">
        <v>5</v>
      </c>
      <c r="AA135" s="325">
        <v>2</v>
      </c>
      <c r="AB135" s="728"/>
      <c r="AC135" s="325">
        <v>5</v>
      </c>
      <c r="AD135" s="325">
        <v>2</v>
      </c>
      <c r="AE135" s="325">
        <v>3</v>
      </c>
      <c r="AF135" s="728"/>
      <c r="AG135" s="325">
        <v>13</v>
      </c>
      <c r="AH135" s="325">
        <v>2</v>
      </c>
      <c r="AI135" s="321">
        <f t="shared" si="14"/>
        <v>140</v>
      </c>
      <c r="AJ135" s="317">
        <v>1750</v>
      </c>
      <c r="AK135" s="221">
        <f>AI135*AJ135</f>
        <v>245000</v>
      </c>
      <c r="AL135" s="326"/>
      <c r="AM135" s="326"/>
      <c r="AN135" s="326"/>
      <c r="AO135" s="323"/>
      <c r="AP135" s="326"/>
      <c r="AQ135" s="609"/>
    </row>
    <row r="136" spans="1:43" s="360" customFormat="1" ht="15.75" customHeight="1" thickBot="1">
      <c r="A136" s="352"/>
      <c r="B136" s="353" t="s">
        <v>44</v>
      </c>
      <c r="C136" s="621"/>
      <c r="D136" s="730"/>
      <c r="E136" s="354"/>
      <c r="F136" s="354"/>
      <c r="G136" s="730"/>
      <c r="H136" s="354"/>
      <c r="I136" s="354"/>
      <c r="J136" s="354"/>
      <c r="K136" s="354"/>
      <c r="L136" s="354"/>
      <c r="M136" s="354"/>
      <c r="N136" s="730"/>
      <c r="O136" s="730"/>
      <c r="P136" s="354"/>
      <c r="Q136" s="354"/>
      <c r="R136" s="354"/>
      <c r="S136" s="354"/>
      <c r="T136" s="354"/>
      <c r="U136" s="1071"/>
      <c r="V136" s="354"/>
      <c r="W136" s="354"/>
      <c r="X136" s="354"/>
      <c r="Y136" s="354"/>
      <c r="Z136" s="354"/>
      <c r="AA136" s="354"/>
      <c r="AB136" s="730"/>
      <c r="AC136" s="354"/>
      <c r="AD136" s="354"/>
      <c r="AE136" s="354"/>
      <c r="AF136" s="730"/>
      <c r="AG136" s="354"/>
      <c r="AH136" s="354"/>
      <c r="AI136" s="355">
        <f t="shared" si="14"/>
        <v>0</v>
      </c>
      <c r="AJ136" s="356"/>
      <c r="AK136" s="357">
        <f>AI136</f>
        <v>0</v>
      </c>
      <c r="AL136" s="358"/>
      <c r="AM136" s="358"/>
      <c r="AN136" s="358"/>
      <c r="AO136" s="359"/>
      <c r="AP136" s="358"/>
      <c r="AQ136" s="611"/>
    </row>
    <row r="137" spans="1:43" s="216" customFormat="1" ht="15.75" customHeight="1" thickTop="1">
      <c r="A137" s="293">
        <v>11</v>
      </c>
      <c r="B137" s="219" t="s">
        <v>464</v>
      </c>
      <c r="C137" s="617"/>
      <c r="D137" s="731"/>
      <c r="E137" s="308"/>
      <c r="F137" s="308">
        <v>1</v>
      </c>
      <c r="G137" s="731"/>
      <c r="H137" s="308">
        <v>1</v>
      </c>
      <c r="I137" s="308">
        <v>1</v>
      </c>
      <c r="J137" s="308"/>
      <c r="K137" s="308"/>
      <c r="L137" s="308"/>
      <c r="M137" s="308"/>
      <c r="N137" s="731"/>
      <c r="O137" s="731"/>
      <c r="P137" s="308">
        <v>1</v>
      </c>
      <c r="Q137" s="308">
        <v>1</v>
      </c>
      <c r="R137" s="308">
        <v>1</v>
      </c>
      <c r="S137" s="308">
        <v>1</v>
      </c>
      <c r="T137" s="308">
        <v>1</v>
      </c>
      <c r="U137" s="731"/>
      <c r="V137" s="308">
        <v>1</v>
      </c>
      <c r="W137" s="308">
        <v>1</v>
      </c>
      <c r="X137" s="308">
        <v>1</v>
      </c>
      <c r="Y137" s="308">
        <v>1</v>
      </c>
      <c r="Z137" s="308">
        <v>1</v>
      </c>
      <c r="AA137" s="308">
        <v>1</v>
      </c>
      <c r="AB137" s="731"/>
      <c r="AC137" s="308">
        <v>1</v>
      </c>
      <c r="AD137" s="308">
        <v>1</v>
      </c>
      <c r="AE137" s="308">
        <v>1</v>
      </c>
      <c r="AF137" s="731"/>
      <c r="AG137" s="308">
        <v>1</v>
      </c>
      <c r="AH137" s="308">
        <v>1</v>
      </c>
      <c r="AI137" s="309">
        <f t="shared" si="14"/>
        <v>19</v>
      </c>
      <c r="AJ137" s="310"/>
      <c r="AK137" s="224"/>
      <c r="AL137" s="311"/>
      <c r="AN137" s="312"/>
      <c r="AO137" s="313"/>
      <c r="AP137" s="314"/>
      <c r="AQ137" s="608"/>
    </row>
    <row r="138" spans="1:43" s="322" customFormat="1" ht="53.25" customHeight="1">
      <c r="A138" s="295"/>
      <c r="B138" s="297" t="s">
        <v>188</v>
      </c>
      <c r="C138" s="619"/>
      <c r="D138" s="726"/>
      <c r="E138" s="318"/>
      <c r="F138" s="318" t="s">
        <v>816</v>
      </c>
      <c r="G138" s="726"/>
      <c r="H138" s="318" t="s">
        <v>810</v>
      </c>
      <c r="I138" s="318" t="s">
        <v>740</v>
      </c>
      <c r="J138" s="318"/>
      <c r="K138" s="318"/>
      <c r="L138" s="318"/>
      <c r="M138" s="318"/>
      <c r="N138" s="726"/>
      <c r="O138" s="726"/>
      <c r="P138" s="318" t="s">
        <v>801</v>
      </c>
      <c r="Q138" s="319" t="s">
        <v>828</v>
      </c>
      <c r="R138" s="318" t="s">
        <v>740</v>
      </c>
      <c r="S138" s="319" t="s">
        <v>912</v>
      </c>
      <c r="T138" s="318" t="s">
        <v>791</v>
      </c>
      <c r="U138" s="726"/>
      <c r="V138" s="318" t="s">
        <v>792</v>
      </c>
      <c r="W138" s="509" t="s">
        <v>801</v>
      </c>
      <c r="X138" s="318" t="s">
        <v>804</v>
      </c>
      <c r="Y138" s="318" t="s">
        <v>795</v>
      </c>
      <c r="Z138" s="320" t="s">
        <v>903</v>
      </c>
      <c r="AA138" s="318" t="s">
        <v>813</v>
      </c>
      <c r="AB138" s="726"/>
      <c r="AC138" s="318" t="s">
        <v>816</v>
      </c>
      <c r="AD138" s="318" t="s">
        <v>801</v>
      </c>
      <c r="AE138" s="318" t="s">
        <v>804</v>
      </c>
      <c r="AF138" s="726"/>
      <c r="AG138" s="318" t="s">
        <v>912</v>
      </c>
      <c r="AH138" s="318" t="s">
        <v>789</v>
      </c>
      <c r="AI138" s="321"/>
      <c r="AJ138" s="317"/>
      <c r="AK138" s="221"/>
      <c r="AN138" s="322">
        <f>6000*4</f>
        <v>24000</v>
      </c>
      <c r="AO138" s="323"/>
      <c r="AQ138" s="609"/>
    </row>
    <row r="139" spans="1:43" s="322" customFormat="1" ht="15.75" customHeight="1">
      <c r="A139" s="295"/>
      <c r="B139" s="297" t="s">
        <v>281</v>
      </c>
      <c r="C139" s="619"/>
      <c r="D139" s="727"/>
      <c r="E139" s="324"/>
      <c r="F139" s="324" t="s">
        <v>888</v>
      </c>
      <c r="G139" s="727"/>
      <c r="H139" s="324">
        <v>14</v>
      </c>
      <c r="I139" s="324" t="s">
        <v>75</v>
      </c>
      <c r="J139" s="324"/>
      <c r="K139" s="324"/>
      <c r="L139" s="324"/>
      <c r="M139" s="324"/>
      <c r="N139" s="727"/>
      <c r="O139" s="727"/>
      <c r="P139" s="324">
        <v>14</v>
      </c>
      <c r="Q139" s="324">
        <v>14</v>
      </c>
      <c r="R139" s="324" t="s">
        <v>889</v>
      </c>
      <c r="S139" s="324" t="s">
        <v>916</v>
      </c>
      <c r="T139" s="324">
        <v>14</v>
      </c>
      <c r="U139" s="727"/>
      <c r="V139" s="324">
        <v>14</v>
      </c>
      <c r="W139" s="460" t="s">
        <v>940</v>
      </c>
      <c r="X139" s="460" t="s">
        <v>958</v>
      </c>
      <c r="Y139" s="324" t="s">
        <v>972</v>
      </c>
      <c r="Z139" s="324">
        <v>14</v>
      </c>
      <c r="AA139" s="324" t="s">
        <v>978</v>
      </c>
      <c r="AB139" s="727"/>
      <c r="AC139" s="324">
        <v>14</v>
      </c>
      <c r="AD139" s="324" t="s">
        <v>995</v>
      </c>
      <c r="AE139" s="324" t="s">
        <v>984</v>
      </c>
      <c r="AF139" s="727"/>
      <c r="AG139" s="324" t="s">
        <v>1011</v>
      </c>
      <c r="AH139" s="324">
        <v>15</v>
      </c>
      <c r="AI139" s="321"/>
      <c r="AJ139" s="317"/>
      <c r="AK139" s="221"/>
      <c r="AO139" s="323"/>
      <c r="AQ139" s="609"/>
    </row>
    <row r="140" spans="1:43" s="322" customFormat="1" ht="15.75" customHeight="1">
      <c r="A140" s="295"/>
      <c r="B140" s="220" t="s">
        <v>260</v>
      </c>
      <c r="C140" s="618"/>
      <c r="D140" s="728"/>
      <c r="E140" s="325"/>
      <c r="F140" s="325">
        <v>90</v>
      </c>
      <c r="G140" s="728"/>
      <c r="H140" s="325">
        <v>103</v>
      </c>
      <c r="I140" s="325">
        <v>103</v>
      </c>
      <c r="J140" s="325"/>
      <c r="K140" s="325"/>
      <c r="L140" s="325"/>
      <c r="M140" s="325"/>
      <c r="N140" s="728"/>
      <c r="O140" s="728"/>
      <c r="P140" s="325">
        <v>103</v>
      </c>
      <c r="Q140" s="325">
        <v>114</v>
      </c>
      <c r="R140" s="325">
        <v>103</v>
      </c>
      <c r="S140" s="325">
        <v>90</v>
      </c>
      <c r="T140" s="324">
        <v>103</v>
      </c>
      <c r="U140" s="728"/>
      <c r="V140" s="325">
        <v>90</v>
      </c>
      <c r="W140" s="325">
        <v>103</v>
      </c>
      <c r="X140" s="325">
        <v>114</v>
      </c>
      <c r="Y140" s="325">
        <v>114</v>
      </c>
      <c r="Z140" s="325">
        <v>103</v>
      </c>
      <c r="AA140" s="325">
        <v>103</v>
      </c>
      <c r="AB140" s="728"/>
      <c r="AC140" s="325">
        <v>90</v>
      </c>
      <c r="AD140" s="325">
        <v>103</v>
      </c>
      <c r="AE140" s="325">
        <v>114</v>
      </c>
      <c r="AF140" s="728"/>
      <c r="AG140" s="325">
        <v>90</v>
      </c>
      <c r="AH140" s="325">
        <v>103</v>
      </c>
      <c r="AI140" s="321">
        <f t="shared" ref="AI140:AI150" si="15">SUM(D140:AH140)</f>
        <v>1936</v>
      </c>
      <c r="AJ140" s="294"/>
      <c r="AK140" s="221"/>
      <c r="AO140" s="323"/>
      <c r="AQ140" s="609"/>
    </row>
    <row r="141" spans="1:43" s="330" customFormat="1" ht="15.75" customHeight="1">
      <c r="A141" s="295"/>
      <c r="B141" s="298" t="s">
        <v>56</v>
      </c>
      <c r="C141" s="620"/>
      <c r="D141" s="729"/>
      <c r="E141" s="327"/>
      <c r="F141" s="327">
        <v>80</v>
      </c>
      <c r="G141" s="729"/>
      <c r="H141" s="327">
        <v>109</v>
      </c>
      <c r="I141" s="327">
        <v>116</v>
      </c>
      <c r="J141" s="327"/>
      <c r="K141" s="327"/>
      <c r="L141" s="327"/>
      <c r="M141" s="327"/>
      <c r="N141" s="729"/>
      <c r="O141" s="729"/>
      <c r="P141" s="327">
        <v>53</v>
      </c>
      <c r="Q141" s="327">
        <v>173</v>
      </c>
      <c r="R141" s="327">
        <v>153</v>
      </c>
      <c r="S141" s="327">
        <f>83+2</f>
        <v>85</v>
      </c>
      <c r="T141" s="327">
        <f>119+4</f>
        <v>123</v>
      </c>
      <c r="U141" s="729"/>
      <c r="V141" s="327">
        <v>158</v>
      </c>
      <c r="W141" s="327">
        <v>61</v>
      </c>
      <c r="X141" s="327">
        <f>108+4</f>
        <v>112</v>
      </c>
      <c r="Y141" s="327">
        <f>93+2</f>
        <v>95</v>
      </c>
      <c r="Z141" s="327">
        <v>58</v>
      </c>
      <c r="AA141" s="327">
        <v>53</v>
      </c>
      <c r="AB141" s="729"/>
      <c r="AC141" s="327">
        <f>41+1</f>
        <v>42</v>
      </c>
      <c r="AD141" s="327">
        <f>48+1</f>
        <v>49</v>
      </c>
      <c r="AE141" s="327">
        <v>60</v>
      </c>
      <c r="AF141" s="729"/>
      <c r="AG141" s="327">
        <f>142+2</f>
        <v>144</v>
      </c>
      <c r="AH141" s="327">
        <v>51</v>
      </c>
      <c r="AI141" s="328">
        <f t="shared" si="15"/>
        <v>1775</v>
      </c>
      <c r="AJ141" s="296"/>
      <c r="AK141" s="222"/>
      <c r="AL141" s="329"/>
      <c r="AO141" s="331"/>
      <c r="AQ141" s="610"/>
    </row>
    <row r="142" spans="1:43" s="322" customFormat="1" ht="15.75" customHeight="1">
      <c r="A142" s="295"/>
      <c r="B142" s="220" t="s">
        <v>642</v>
      </c>
      <c r="C142" s="618"/>
      <c r="D142" s="728"/>
      <c r="E142" s="325"/>
      <c r="F142" s="325"/>
      <c r="G142" s="728"/>
      <c r="H142" s="325"/>
      <c r="I142" s="325"/>
      <c r="J142" s="325"/>
      <c r="K142" s="325"/>
      <c r="L142" s="325"/>
      <c r="M142" s="325"/>
      <c r="N142" s="728"/>
      <c r="O142" s="728"/>
      <c r="P142" s="325"/>
      <c r="Q142" s="325"/>
      <c r="R142" s="325"/>
      <c r="S142" s="325"/>
      <c r="T142" s="325"/>
      <c r="U142" s="728"/>
      <c r="V142" s="325">
        <f>V141-V140</f>
        <v>68</v>
      </c>
      <c r="W142" s="325"/>
      <c r="X142" s="325"/>
      <c r="Y142" s="325"/>
      <c r="Z142" s="325"/>
      <c r="AA142" s="325"/>
      <c r="AB142" s="728"/>
      <c r="AC142" s="325"/>
      <c r="AD142" s="325"/>
      <c r="AE142" s="325"/>
      <c r="AF142" s="728"/>
      <c r="AG142" s="325">
        <f>AG141-AG140</f>
        <v>54</v>
      </c>
      <c r="AH142" s="325"/>
      <c r="AI142" s="321">
        <f t="shared" si="15"/>
        <v>122</v>
      </c>
      <c r="AJ142" s="317">
        <v>1409</v>
      </c>
      <c r="AK142" s="221">
        <f>AI142*AJ142</f>
        <v>171898</v>
      </c>
      <c r="AO142" s="323"/>
      <c r="AQ142" s="609"/>
    </row>
    <row r="143" spans="1:43" s="322" customFormat="1" ht="15.75" customHeight="1">
      <c r="A143" s="295"/>
      <c r="B143" s="220" t="s">
        <v>721</v>
      </c>
      <c r="C143" s="618"/>
      <c r="D143" s="728"/>
      <c r="E143" s="325"/>
      <c r="F143" s="325"/>
      <c r="G143" s="728"/>
      <c r="H143" s="325">
        <f>H141-H140</f>
        <v>6</v>
      </c>
      <c r="I143" s="325">
        <f>I141-I140</f>
        <v>13</v>
      </c>
      <c r="J143" s="325"/>
      <c r="K143" s="325"/>
      <c r="L143" s="325"/>
      <c r="M143" s="325"/>
      <c r="N143" s="728"/>
      <c r="O143" s="727"/>
      <c r="P143" s="324"/>
      <c r="Q143" s="325">
        <f>Q141-Q140</f>
        <v>59</v>
      </c>
      <c r="R143" s="325">
        <f>R141-R140</f>
        <v>50</v>
      </c>
      <c r="S143" s="325"/>
      <c r="T143" s="325">
        <f>T141-T140</f>
        <v>20</v>
      </c>
      <c r="U143" s="728"/>
      <c r="V143" s="325"/>
      <c r="W143" s="325"/>
      <c r="X143" s="325"/>
      <c r="Y143" s="325"/>
      <c r="Z143" s="325"/>
      <c r="AA143" s="325"/>
      <c r="AB143" s="728"/>
      <c r="AC143" s="325"/>
      <c r="AD143" s="325"/>
      <c r="AE143" s="325"/>
      <c r="AF143" s="728"/>
      <c r="AG143" s="325"/>
      <c r="AH143" s="325"/>
      <c r="AI143" s="321">
        <f t="shared" si="15"/>
        <v>148</v>
      </c>
      <c r="AJ143" s="317">
        <v>1322</v>
      </c>
      <c r="AK143" s="221">
        <f>AI143*AJ143</f>
        <v>195656</v>
      </c>
      <c r="AO143" s="323"/>
      <c r="AQ143" s="609"/>
    </row>
    <row r="144" spans="1:43" s="322" customFormat="1" ht="15.75" customHeight="1">
      <c r="A144" s="295"/>
      <c r="B144" s="220" t="s">
        <v>366</v>
      </c>
      <c r="C144" s="618"/>
      <c r="D144" s="728"/>
      <c r="E144" s="325"/>
      <c r="F144" s="325"/>
      <c r="G144" s="728"/>
      <c r="H144" s="325"/>
      <c r="I144" s="325"/>
      <c r="J144" s="325"/>
      <c r="K144" s="325"/>
      <c r="L144" s="325"/>
      <c r="M144" s="325"/>
      <c r="N144" s="728"/>
      <c r="O144" s="728"/>
      <c r="P144" s="325"/>
      <c r="Q144" s="325"/>
      <c r="R144" s="325"/>
      <c r="S144" s="325"/>
      <c r="T144" s="325"/>
      <c r="U144" s="728"/>
      <c r="V144" s="325"/>
      <c r="W144" s="325"/>
      <c r="X144" s="325"/>
      <c r="Y144" s="325"/>
      <c r="Z144" s="325"/>
      <c r="AA144" s="325"/>
      <c r="AB144" s="728"/>
      <c r="AC144" s="325"/>
      <c r="AD144" s="325"/>
      <c r="AE144" s="325"/>
      <c r="AF144" s="728"/>
      <c r="AG144" s="325"/>
      <c r="AH144" s="325"/>
      <c r="AI144" s="321">
        <f t="shared" si="15"/>
        <v>0</v>
      </c>
      <c r="AJ144" s="317">
        <v>1233</v>
      </c>
      <c r="AK144" s="221">
        <f>AI144*AJ144</f>
        <v>0</v>
      </c>
      <c r="AO144" s="323"/>
      <c r="AQ144" s="609"/>
    </row>
    <row r="145" spans="1:43" s="322" customFormat="1" ht="15.75" customHeight="1">
      <c r="A145" s="295"/>
      <c r="B145" s="220" t="s">
        <v>643</v>
      </c>
      <c r="C145" s="618"/>
      <c r="D145" s="728"/>
      <c r="E145" s="325"/>
      <c r="F145" s="325"/>
      <c r="G145" s="728"/>
      <c r="H145" s="325"/>
      <c r="I145" s="325"/>
      <c r="J145" s="325"/>
      <c r="K145" s="325"/>
      <c r="L145" s="325"/>
      <c r="M145" s="325"/>
      <c r="N145" s="728"/>
      <c r="O145" s="728"/>
      <c r="P145" s="325"/>
      <c r="Q145" s="325"/>
      <c r="R145" s="325"/>
      <c r="S145" s="325"/>
      <c r="T145" s="325"/>
      <c r="U145" s="728"/>
      <c r="V145" s="325"/>
      <c r="W145" s="325"/>
      <c r="X145" s="325"/>
      <c r="Y145" s="325"/>
      <c r="Z145" s="325"/>
      <c r="AA145" s="325"/>
      <c r="AB145" s="728"/>
      <c r="AC145" s="325"/>
      <c r="AD145" s="325"/>
      <c r="AE145" s="325"/>
      <c r="AF145" s="728"/>
      <c r="AG145" s="325"/>
      <c r="AH145" s="325"/>
      <c r="AI145" s="321">
        <f t="shared" si="15"/>
        <v>0</v>
      </c>
      <c r="AJ145" s="317">
        <v>1043</v>
      </c>
      <c r="AK145" s="221">
        <f>AI145*AJ145</f>
        <v>0</v>
      </c>
      <c r="AO145" s="323"/>
      <c r="AQ145" s="609"/>
    </row>
    <row r="146" spans="1:43" s="322" customFormat="1" ht="15.75" customHeight="1">
      <c r="A146" s="295"/>
      <c r="B146" s="220" t="s">
        <v>367</v>
      </c>
      <c r="C146" s="618"/>
      <c r="D146" s="728"/>
      <c r="E146" s="325"/>
      <c r="F146" s="325"/>
      <c r="G146" s="728"/>
      <c r="H146" s="325"/>
      <c r="I146" s="325"/>
      <c r="J146" s="325"/>
      <c r="K146" s="325"/>
      <c r="L146" s="325"/>
      <c r="M146" s="325"/>
      <c r="N146" s="728"/>
      <c r="O146" s="728"/>
      <c r="P146" s="325"/>
      <c r="Q146" s="325"/>
      <c r="R146" s="325"/>
      <c r="S146" s="325"/>
      <c r="T146" s="325"/>
      <c r="U146" s="728"/>
      <c r="V146" s="325"/>
      <c r="W146" s="325"/>
      <c r="X146" s="325"/>
      <c r="Y146" s="325"/>
      <c r="Z146" s="325"/>
      <c r="AA146" s="325"/>
      <c r="AB146" s="728"/>
      <c r="AC146" s="325"/>
      <c r="AD146" s="325"/>
      <c r="AE146" s="325"/>
      <c r="AF146" s="728"/>
      <c r="AG146" s="325"/>
      <c r="AH146" s="325"/>
      <c r="AI146" s="321">
        <f t="shared" si="15"/>
        <v>0</v>
      </c>
      <c r="AJ146" s="317"/>
      <c r="AK146" s="221">
        <f>AI146*AJ146</f>
        <v>0</v>
      </c>
      <c r="AL146" s="326"/>
      <c r="AM146" s="326"/>
      <c r="AN146" s="326"/>
      <c r="AO146" s="323"/>
      <c r="AP146" s="326"/>
      <c r="AQ146" s="609"/>
    </row>
    <row r="147" spans="1:43" s="330" customFormat="1" ht="15.75" customHeight="1">
      <c r="A147" s="295"/>
      <c r="B147" s="298" t="s">
        <v>259</v>
      </c>
      <c r="C147" s="620"/>
      <c r="D147" s="729"/>
      <c r="E147" s="327"/>
      <c r="F147" s="327"/>
      <c r="G147" s="729"/>
      <c r="H147" s="327"/>
      <c r="I147" s="327"/>
      <c r="J147" s="327"/>
      <c r="K147" s="327"/>
      <c r="L147" s="327"/>
      <c r="M147" s="327"/>
      <c r="N147" s="729"/>
      <c r="O147" s="729"/>
      <c r="P147" s="327"/>
      <c r="Q147" s="327"/>
      <c r="R147" s="327"/>
      <c r="S147" s="327"/>
      <c r="T147" s="327"/>
      <c r="U147" s="729"/>
      <c r="V147" s="327"/>
      <c r="W147" s="327"/>
      <c r="X147" s="332"/>
      <c r="Y147" s="327"/>
      <c r="Z147" s="327"/>
      <c r="AA147" s="327"/>
      <c r="AB147" s="729"/>
      <c r="AC147" s="327"/>
      <c r="AD147" s="327"/>
      <c r="AE147" s="327"/>
      <c r="AF147" s="729"/>
      <c r="AG147" s="327"/>
      <c r="AH147" s="327"/>
      <c r="AI147" s="328">
        <f t="shared" si="15"/>
        <v>0</v>
      </c>
      <c r="AJ147" s="333"/>
      <c r="AK147" s="222">
        <f>SUM(AK142:AK146)</f>
        <v>367554</v>
      </c>
      <c r="AL147" s="334"/>
      <c r="AM147" s="334"/>
      <c r="AN147" s="334"/>
      <c r="AO147" s="331"/>
      <c r="AP147" s="334"/>
      <c r="AQ147" s="610"/>
    </row>
    <row r="148" spans="1:43" s="322" customFormat="1" ht="15.75" customHeight="1">
      <c r="A148" s="295"/>
      <c r="B148" s="220" t="s">
        <v>57</v>
      </c>
      <c r="C148" s="618"/>
      <c r="D148" s="728"/>
      <c r="E148" s="325"/>
      <c r="F148" s="325">
        <v>10</v>
      </c>
      <c r="G148" s="728"/>
      <c r="H148" s="325">
        <v>10</v>
      </c>
      <c r="I148" s="325">
        <v>8</v>
      </c>
      <c r="J148" s="325"/>
      <c r="K148" s="325"/>
      <c r="L148" s="325"/>
      <c r="M148" s="325"/>
      <c r="N148" s="728"/>
      <c r="O148" s="728"/>
      <c r="P148" s="325">
        <v>4</v>
      </c>
      <c r="Q148" s="325">
        <v>14</v>
      </c>
      <c r="R148" s="325">
        <v>5</v>
      </c>
      <c r="S148" s="325">
        <v>5</v>
      </c>
      <c r="T148" s="325">
        <v>12</v>
      </c>
      <c r="U148" s="728"/>
      <c r="V148" s="325">
        <v>13</v>
      </c>
      <c r="W148" s="325">
        <v>4</v>
      </c>
      <c r="X148" s="325">
        <v>6</v>
      </c>
      <c r="Y148" s="325">
        <v>7</v>
      </c>
      <c r="Z148" s="325">
        <v>5</v>
      </c>
      <c r="AA148" s="325">
        <v>6</v>
      </c>
      <c r="AB148" s="728"/>
      <c r="AC148" s="325">
        <v>3</v>
      </c>
      <c r="AD148" s="325">
        <v>5</v>
      </c>
      <c r="AE148" s="325">
        <v>7</v>
      </c>
      <c r="AF148" s="728"/>
      <c r="AG148" s="325">
        <v>17</v>
      </c>
      <c r="AH148" s="325">
        <v>9</v>
      </c>
      <c r="AI148" s="321">
        <f t="shared" si="15"/>
        <v>150</v>
      </c>
      <c r="AJ148" s="317">
        <v>1750</v>
      </c>
      <c r="AK148" s="221">
        <f>AI148*AJ148</f>
        <v>262500</v>
      </c>
      <c r="AL148" s="326"/>
      <c r="AM148" s="326"/>
      <c r="AN148" s="326"/>
      <c r="AO148" s="323"/>
      <c r="AP148" s="326"/>
      <c r="AQ148" s="609"/>
    </row>
    <row r="149" spans="1:43" s="360" customFormat="1" ht="15.75" customHeight="1" thickBot="1">
      <c r="A149" s="352"/>
      <c r="B149" s="353" t="s">
        <v>44</v>
      </c>
      <c r="C149" s="621"/>
      <c r="D149" s="730"/>
      <c r="E149" s="354"/>
      <c r="F149" s="354"/>
      <c r="G149" s="730"/>
      <c r="H149" s="354"/>
      <c r="I149" s="354"/>
      <c r="J149" s="354"/>
      <c r="K149" s="354"/>
      <c r="L149" s="354"/>
      <c r="M149" s="354"/>
      <c r="N149" s="730"/>
      <c r="O149" s="730"/>
      <c r="P149" s="354"/>
      <c r="Q149" s="354"/>
      <c r="R149" s="354"/>
      <c r="S149" s="354"/>
      <c r="T149" s="354"/>
      <c r="U149" s="1071"/>
      <c r="V149" s="354"/>
      <c r="W149" s="354"/>
      <c r="X149" s="354"/>
      <c r="Y149" s="354"/>
      <c r="Z149" s="354"/>
      <c r="AA149" s="354"/>
      <c r="AB149" s="730"/>
      <c r="AC149" s="354"/>
      <c r="AD149" s="354"/>
      <c r="AE149" s="354"/>
      <c r="AF149" s="730"/>
      <c r="AG149" s="354"/>
      <c r="AH149" s="354"/>
      <c r="AI149" s="355">
        <f t="shared" si="15"/>
        <v>0</v>
      </c>
      <c r="AJ149" s="356"/>
      <c r="AK149" s="357">
        <f>AI149</f>
        <v>0</v>
      </c>
      <c r="AL149" s="358"/>
      <c r="AM149" s="358"/>
      <c r="AN149" s="358"/>
      <c r="AO149" s="359"/>
      <c r="AP149" s="358"/>
      <c r="AQ149" s="611"/>
    </row>
    <row r="150" spans="1:43" s="216" customFormat="1" ht="15.75" customHeight="1" thickTop="1">
      <c r="A150" s="293">
        <v>12</v>
      </c>
      <c r="B150" s="219" t="s">
        <v>469</v>
      </c>
      <c r="C150" s="617"/>
      <c r="D150" s="731"/>
      <c r="E150" s="308">
        <v>1</v>
      </c>
      <c r="F150" s="308"/>
      <c r="G150" s="731"/>
      <c r="H150" s="308">
        <v>1</v>
      </c>
      <c r="I150" s="308">
        <v>1</v>
      </c>
      <c r="J150" s="308">
        <v>1</v>
      </c>
      <c r="K150" s="308">
        <v>1</v>
      </c>
      <c r="L150" s="308">
        <v>1</v>
      </c>
      <c r="M150" s="308">
        <v>1</v>
      </c>
      <c r="N150" s="731"/>
      <c r="O150" s="731"/>
      <c r="P150" s="308">
        <v>1</v>
      </c>
      <c r="Q150" s="308">
        <v>1</v>
      </c>
      <c r="R150" s="308">
        <v>1</v>
      </c>
      <c r="S150" s="308">
        <v>1</v>
      </c>
      <c r="T150" s="308">
        <v>1</v>
      </c>
      <c r="U150" s="731"/>
      <c r="V150" s="308">
        <v>1</v>
      </c>
      <c r="W150" s="308">
        <v>1</v>
      </c>
      <c r="X150" s="308">
        <v>1</v>
      </c>
      <c r="Y150" s="308">
        <v>1</v>
      </c>
      <c r="Z150" s="308">
        <v>1</v>
      </c>
      <c r="AA150" s="308">
        <v>1</v>
      </c>
      <c r="AB150" s="731"/>
      <c r="AC150" s="308">
        <v>1</v>
      </c>
      <c r="AD150" s="308">
        <v>1</v>
      </c>
      <c r="AE150" s="308">
        <v>1</v>
      </c>
      <c r="AF150" s="731"/>
      <c r="AG150" s="308">
        <v>1</v>
      </c>
      <c r="AH150" s="308">
        <v>1</v>
      </c>
      <c r="AI150" s="309">
        <f t="shared" si="15"/>
        <v>23</v>
      </c>
      <c r="AJ150" s="310"/>
      <c r="AK150" s="224"/>
      <c r="AL150" s="311"/>
      <c r="AN150" s="312"/>
      <c r="AO150" s="313"/>
      <c r="AP150" s="314"/>
      <c r="AQ150" s="608"/>
    </row>
    <row r="151" spans="1:43" s="322" customFormat="1" ht="58.5" customHeight="1">
      <c r="A151" s="295"/>
      <c r="B151" s="297" t="s">
        <v>188</v>
      </c>
      <c r="C151" s="619"/>
      <c r="D151" s="726"/>
      <c r="E151" s="318" t="s">
        <v>813</v>
      </c>
      <c r="F151" s="318"/>
      <c r="G151" s="726"/>
      <c r="H151" s="318" t="s">
        <v>810</v>
      </c>
      <c r="I151" s="318" t="s">
        <v>740</v>
      </c>
      <c r="J151" s="318" t="s">
        <v>831</v>
      </c>
      <c r="K151" s="318" t="s">
        <v>791</v>
      </c>
      <c r="L151" s="318" t="s">
        <v>792</v>
      </c>
      <c r="M151" s="318" t="s">
        <v>799</v>
      </c>
      <c r="N151" s="726"/>
      <c r="O151" s="726"/>
      <c r="P151" s="318" t="s">
        <v>810</v>
      </c>
      <c r="Q151" s="319" t="s">
        <v>802</v>
      </c>
      <c r="R151" s="318" t="s">
        <v>797</v>
      </c>
      <c r="S151" s="319" t="s">
        <v>831</v>
      </c>
      <c r="T151" s="318" t="s">
        <v>791</v>
      </c>
      <c r="U151" s="726"/>
      <c r="V151" s="318" t="s">
        <v>792</v>
      </c>
      <c r="W151" s="509" t="s">
        <v>801</v>
      </c>
      <c r="X151" s="318" t="s">
        <v>797</v>
      </c>
      <c r="Y151" s="318" t="s">
        <v>740</v>
      </c>
      <c r="Z151" s="320" t="s">
        <v>903</v>
      </c>
      <c r="AA151" s="318" t="s">
        <v>792</v>
      </c>
      <c r="AB151" s="726"/>
      <c r="AC151" s="318" t="s">
        <v>816</v>
      </c>
      <c r="AD151" s="318" t="s">
        <v>801</v>
      </c>
      <c r="AE151" s="318" t="s">
        <v>797</v>
      </c>
      <c r="AF151" s="726"/>
      <c r="AG151" s="318" t="s">
        <v>877</v>
      </c>
      <c r="AH151" s="318" t="s">
        <v>903</v>
      </c>
      <c r="AI151" s="321"/>
      <c r="AJ151" s="317"/>
      <c r="AK151" s="221"/>
      <c r="AO151" s="323"/>
      <c r="AQ151" s="609"/>
    </row>
    <row r="152" spans="1:43" s="322" customFormat="1" ht="15.75" customHeight="1">
      <c r="A152" s="295"/>
      <c r="B152" s="297" t="s">
        <v>281</v>
      </c>
      <c r="C152" s="619"/>
      <c r="D152" s="727"/>
      <c r="E152" s="324" t="s">
        <v>893</v>
      </c>
      <c r="F152" s="324"/>
      <c r="G152" s="1223"/>
      <c r="H152" s="324" t="s">
        <v>890</v>
      </c>
      <c r="I152" s="324" t="s">
        <v>891</v>
      </c>
      <c r="J152" s="324" t="s">
        <v>891</v>
      </c>
      <c r="K152" s="324" t="s">
        <v>891</v>
      </c>
      <c r="L152" s="324" t="s">
        <v>891</v>
      </c>
      <c r="M152" s="324" t="s">
        <v>891</v>
      </c>
      <c r="N152" s="727"/>
      <c r="O152" s="727"/>
      <c r="P152" s="324" t="s">
        <v>892</v>
      </c>
      <c r="Q152" s="324" t="s">
        <v>891</v>
      </c>
      <c r="R152" s="324" t="s">
        <v>890</v>
      </c>
      <c r="S152" s="324" t="s">
        <v>891</v>
      </c>
      <c r="T152" s="324" t="s">
        <v>923</v>
      </c>
      <c r="U152" s="727"/>
      <c r="V152" s="324" t="s">
        <v>891</v>
      </c>
      <c r="W152" s="460" t="s">
        <v>941</v>
      </c>
      <c r="X152" s="324" t="s">
        <v>961</v>
      </c>
      <c r="Y152" s="324" t="s">
        <v>890</v>
      </c>
      <c r="Z152" s="324" t="s">
        <v>980</v>
      </c>
      <c r="AA152" s="324" t="s">
        <v>891</v>
      </c>
      <c r="AB152" s="727"/>
      <c r="AC152" s="324" t="s">
        <v>980</v>
      </c>
      <c r="AD152" s="324" t="s">
        <v>890</v>
      </c>
      <c r="AE152" s="324" t="s">
        <v>890</v>
      </c>
      <c r="AF152" s="727"/>
      <c r="AG152" s="324" t="s">
        <v>91</v>
      </c>
      <c r="AH152" s="324" t="s">
        <v>891</v>
      </c>
      <c r="AI152" s="321"/>
      <c r="AJ152" s="317"/>
      <c r="AK152" s="221"/>
      <c r="AO152" s="323"/>
      <c r="AQ152" s="609"/>
    </row>
    <row r="153" spans="1:43" s="322" customFormat="1" ht="15.75" customHeight="1">
      <c r="A153" s="295"/>
      <c r="B153" s="220" t="s">
        <v>260</v>
      </c>
      <c r="C153" s="618"/>
      <c r="D153" s="728"/>
      <c r="E153" s="325">
        <v>103</v>
      </c>
      <c r="F153" s="325"/>
      <c r="G153" s="728"/>
      <c r="H153" s="325">
        <v>103</v>
      </c>
      <c r="I153" s="325">
        <v>103</v>
      </c>
      <c r="J153" s="325">
        <v>103</v>
      </c>
      <c r="K153" s="325">
        <v>103</v>
      </c>
      <c r="L153" s="325">
        <v>90</v>
      </c>
      <c r="M153" s="325">
        <v>90</v>
      </c>
      <c r="N153" s="728"/>
      <c r="O153" s="728"/>
      <c r="P153" s="325">
        <v>103</v>
      </c>
      <c r="Q153" s="325">
        <v>114</v>
      </c>
      <c r="R153" s="325">
        <v>114</v>
      </c>
      <c r="S153" s="325">
        <v>103</v>
      </c>
      <c r="T153" s="325">
        <v>103</v>
      </c>
      <c r="U153" s="728"/>
      <c r="V153" s="325">
        <v>90</v>
      </c>
      <c r="W153" s="325">
        <v>103</v>
      </c>
      <c r="X153" s="325">
        <v>114</v>
      </c>
      <c r="Y153" s="325">
        <v>103</v>
      </c>
      <c r="Z153" s="325">
        <v>103</v>
      </c>
      <c r="AA153" s="325">
        <v>90</v>
      </c>
      <c r="AB153" s="728"/>
      <c r="AC153" s="325">
        <v>90</v>
      </c>
      <c r="AD153" s="325">
        <v>103</v>
      </c>
      <c r="AE153" s="325">
        <v>114</v>
      </c>
      <c r="AF153" s="728"/>
      <c r="AG153" s="325">
        <v>114</v>
      </c>
      <c r="AH153" s="325">
        <v>103</v>
      </c>
      <c r="AI153" s="321">
        <f t="shared" ref="AI153:AI163" si="16">SUM(D153:AH153)</f>
        <v>2359</v>
      </c>
      <c r="AJ153" s="294"/>
      <c r="AK153" s="221"/>
      <c r="AO153" s="323"/>
      <c r="AQ153" s="609"/>
    </row>
    <row r="154" spans="1:43" s="330" customFormat="1" ht="15.75" customHeight="1">
      <c r="A154" s="295"/>
      <c r="B154" s="298" t="s">
        <v>56</v>
      </c>
      <c r="C154" s="620"/>
      <c r="D154" s="729"/>
      <c r="E154" s="327">
        <v>127</v>
      </c>
      <c r="F154" s="327"/>
      <c r="G154" s="729"/>
      <c r="H154" s="327">
        <v>284</v>
      </c>
      <c r="I154" s="327">
        <v>301</v>
      </c>
      <c r="J154" s="327">
        <v>58</v>
      </c>
      <c r="K154" s="327">
        <v>126</v>
      </c>
      <c r="L154" s="327">
        <v>39</v>
      </c>
      <c r="M154" s="327">
        <v>33</v>
      </c>
      <c r="N154" s="729"/>
      <c r="O154" s="729"/>
      <c r="P154" s="327">
        <v>103</v>
      </c>
      <c r="Q154" s="327">
        <v>231</v>
      </c>
      <c r="R154" s="327">
        <v>145</v>
      </c>
      <c r="S154" s="327">
        <v>49</v>
      </c>
      <c r="T154" s="327">
        <f>115+7</f>
        <v>122</v>
      </c>
      <c r="U154" s="729"/>
      <c r="V154" s="327">
        <v>143</v>
      </c>
      <c r="W154" s="327">
        <v>62</v>
      </c>
      <c r="X154" s="327">
        <f>136+5</f>
        <v>141</v>
      </c>
      <c r="Y154" s="327">
        <f>138+2</f>
        <v>140</v>
      </c>
      <c r="Z154" s="327">
        <v>69</v>
      </c>
      <c r="AA154" s="327">
        <f>34+2</f>
        <v>36</v>
      </c>
      <c r="AB154" s="729"/>
      <c r="AC154" s="327">
        <v>27</v>
      </c>
      <c r="AD154" s="327">
        <v>55</v>
      </c>
      <c r="AE154" s="327">
        <f>136+10+2</f>
        <v>148</v>
      </c>
      <c r="AF154" s="729"/>
      <c r="AG154" s="327">
        <v>97</v>
      </c>
      <c r="AH154" s="327">
        <f>89+3</f>
        <v>92</v>
      </c>
      <c r="AI154" s="328">
        <f t="shared" si="16"/>
        <v>2628</v>
      </c>
      <c r="AJ154" s="296"/>
      <c r="AK154" s="222"/>
      <c r="AL154" s="329">
        <v>2855</v>
      </c>
      <c r="AM154" s="329">
        <f>AI154-AL154</f>
        <v>-227</v>
      </c>
      <c r="AO154" s="331"/>
      <c r="AQ154" s="610"/>
    </row>
    <row r="155" spans="1:43" s="322" customFormat="1" ht="15.75" customHeight="1">
      <c r="A155" s="295"/>
      <c r="B155" s="220" t="s">
        <v>642</v>
      </c>
      <c r="C155" s="618"/>
      <c r="D155" s="728"/>
      <c r="E155" s="325"/>
      <c r="F155" s="325"/>
      <c r="G155" s="728"/>
      <c r="H155" s="325"/>
      <c r="I155" s="325"/>
      <c r="J155" s="325"/>
      <c r="K155" s="325"/>
      <c r="L155" s="325"/>
      <c r="M155" s="325"/>
      <c r="N155" s="728"/>
      <c r="O155" s="728"/>
      <c r="P155" s="325"/>
      <c r="Q155" s="325"/>
      <c r="R155" s="325"/>
      <c r="S155" s="325"/>
      <c r="T155" s="325"/>
      <c r="U155" s="728"/>
      <c r="V155" s="325">
        <f>V154-V153</f>
        <v>53</v>
      </c>
      <c r="W155" s="325"/>
      <c r="X155" s="325"/>
      <c r="Y155" s="325"/>
      <c r="Z155" s="325"/>
      <c r="AA155" s="325"/>
      <c r="AB155" s="728"/>
      <c r="AC155" s="325"/>
      <c r="AD155" s="325"/>
      <c r="AE155" s="325"/>
      <c r="AF155" s="728"/>
      <c r="AG155" s="325"/>
      <c r="AH155" s="325"/>
      <c r="AI155" s="321">
        <f t="shared" si="16"/>
        <v>53</v>
      </c>
      <c r="AJ155" s="317">
        <v>1409</v>
      </c>
      <c r="AK155" s="221">
        <f>AI155*AJ155</f>
        <v>74677</v>
      </c>
      <c r="AO155" s="323"/>
      <c r="AQ155" s="609"/>
    </row>
    <row r="156" spans="1:43" s="322" customFormat="1" ht="15.75" customHeight="1">
      <c r="A156" s="295"/>
      <c r="B156" s="220" t="s">
        <v>721</v>
      </c>
      <c r="C156" s="618"/>
      <c r="D156" s="728"/>
      <c r="E156" s="325">
        <f>E154-E153</f>
        <v>24</v>
      </c>
      <c r="F156" s="325"/>
      <c r="G156" s="728"/>
      <c r="H156" s="325">
        <f>H154-H153</f>
        <v>181</v>
      </c>
      <c r="I156" s="325">
        <f>I154-I153</f>
        <v>198</v>
      </c>
      <c r="J156" s="325"/>
      <c r="K156" s="325">
        <f>K154-K153</f>
        <v>23</v>
      </c>
      <c r="L156" s="325"/>
      <c r="M156" s="325"/>
      <c r="N156" s="728"/>
      <c r="O156" s="727"/>
      <c r="P156" s="324"/>
      <c r="Q156" s="325"/>
      <c r="R156" s="325"/>
      <c r="S156" s="325"/>
      <c r="T156" s="325">
        <f>T154-T153</f>
        <v>19</v>
      </c>
      <c r="U156" s="728"/>
      <c r="V156" s="325"/>
      <c r="W156" s="325"/>
      <c r="X156" s="325"/>
      <c r="Y156" s="325">
        <f>Y154-Y153</f>
        <v>37</v>
      </c>
      <c r="Z156" s="325"/>
      <c r="AA156" s="325"/>
      <c r="AB156" s="728"/>
      <c r="AC156" s="325"/>
      <c r="AD156" s="325"/>
      <c r="AE156" s="325"/>
      <c r="AF156" s="728"/>
      <c r="AG156" s="325"/>
      <c r="AH156" s="325"/>
      <c r="AI156" s="321">
        <f t="shared" si="16"/>
        <v>482</v>
      </c>
      <c r="AJ156" s="317">
        <v>1322</v>
      </c>
      <c r="AK156" s="221">
        <f>AI156*AJ156</f>
        <v>637204</v>
      </c>
      <c r="AO156" s="323"/>
      <c r="AQ156" s="609"/>
    </row>
    <row r="157" spans="1:43" s="322" customFormat="1" ht="15.75" customHeight="1">
      <c r="A157" s="295"/>
      <c r="B157" s="220" t="s">
        <v>366</v>
      </c>
      <c r="C157" s="618"/>
      <c r="D157" s="728"/>
      <c r="E157" s="325"/>
      <c r="F157" s="325"/>
      <c r="G157" s="728"/>
      <c r="H157" s="325"/>
      <c r="I157" s="325"/>
      <c r="J157" s="325"/>
      <c r="K157" s="325"/>
      <c r="L157" s="325"/>
      <c r="M157" s="325"/>
      <c r="N157" s="728"/>
      <c r="O157" s="728"/>
      <c r="P157" s="325"/>
      <c r="Q157" s="325">
        <f>Q154-Q153</f>
        <v>117</v>
      </c>
      <c r="R157" s="325">
        <f>R154-R153</f>
        <v>31</v>
      </c>
      <c r="S157" s="325"/>
      <c r="T157" s="325"/>
      <c r="U157" s="728"/>
      <c r="V157" s="325"/>
      <c r="W157" s="325"/>
      <c r="X157" s="325">
        <f>X154-X153</f>
        <v>27</v>
      </c>
      <c r="Y157" s="325"/>
      <c r="Z157" s="325"/>
      <c r="AA157" s="325"/>
      <c r="AB157" s="728"/>
      <c r="AC157" s="325"/>
      <c r="AD157" s="325"/>
      <c r="AE157" s="325">
        <f>AE154-AE153</f>
        <v>34</v>
      </c>
      <c r="AF157" s="728"/>
      <c r="AG157" s="325"/>
      <c r="AH157" s="325"/>
      <c r="AI157" s="321">
        <f t="shared" si="16"/>
        <v>209</v>
      </c>
      <c r="AJ157" s="317">
        <v>1233</v>
      </c>
      <c r="AK157" s="221">
        <f>AI157*AJ157</f>
        <v>257697</v>
      </c>
      <c r="AO157" s="323"/>
      <c r="AQ157" s="609"/>
    </row>
    <row r="158" spans="1:43" s="322" customFormat="1" ht="15.75" customHeight="1">
      <c r="A158" s="295"/>
      <c r="B158" s="220" t="s">
        <v>643</v>
      </c>
      <c r="C158" s="618"/>
      <c r="D158" s="728"/>
      <c r="E158" s="325"/>
      <c r="F158" s="325"/>
      <c r="G158" s="728"/>
      <c r="H158" s="325"/>
      <c r="I158" s="325"/>
      <c r="J158" s="325"/>
      <c r="K158" s="325"/>
      <c r="L158" s="325"/>
      <c r="M158" s="325"/>
      <c r="N158" s="728"/>
      <c r="O158" s="728"/>
      <c r="P158" s="325"/>
      <c r="Q158" s="325"/>
      <c r="R158" s="325"/>
      <c r="S158" s="325"/>
      <c r="T158" s="325"/>
      <c r="U158" s="728"/>
      <c r="V158" s="325"/>
      <c r="W158" s="325"/>
      <c r="X158" s="325"/>
      <c r="Y158" s="325"/>
      <c r="Z158" s="325"/>
      <c r="AA158" s="325"/>
      <c r="AB158" s="728"/>
      <c r="AC158" s="325"/>
      <c r="AD158" s="325"/>
      <c r="AE158" s="325"/>
      <c r="AF158" s="728"/>
      <c r="AG158" s="325"/>
      <c r="AH158" s="325"/>
      <c r="AI158" s="321">
        <f t="shared" si="16"/>
        <v>0</v>
      </c>
      <c r="AJ158" s="317">
        <v>1043</v>
      </c>
      <c r="AK158" s="221">
        <f>AI158*AJ158</f>
        <v>0</v>
      </c>
      <c r="AO158" s="323"/>
      <c r="AQ158" s="609"/>
    </row>
    <row r="159" spans="1:43" s="322" customFormat="1" ht="15.75" customHeight="1">
      <c r="A159" s="295"/>
      <c r="B159" s="220" t="s">
        <v>367</v>
      </c>
      <c r="C159" s="618"/>
      <c r="D159" s="728"/>
      <c r="E159" s="325"/>
      <c r="F159" s="325"/>
      <c r="G159" s="728"/>
      <c r="H159" s="325"/>
      <c r="I159" s="325"/>
      <c r="J159" s="325"/>
      <c r="K159" s="325"/>
      <c r="L159" s="325"/>
      <c r="M159" s="325"/>
      <c r="N159" s="728"/>
      <c r="O159" s="728"/>
      <c r="P159" s="325"/>
      <c r="Q159" s="325"/>
      <c r="R159" s="325"/>
      <c r="S159" s="325"/>
      <c r="T159" s="325"/>
      <c r="U159" s="728"/>
      <c r="V159" s="325"/>
      <c r="W159" s="325"/>
      <c r="X159" s="325"/>
      <c r="Y159" s="325"/>
      <c r="Z159" s="325"/>
      <c r="AA159" s="325"/>
      <c r="AB159" s="728"/>
      <c r="AC159" s="325"/>
      <c r="AD159" s="325"/>
      <c r="AE159" s="325"/>
      <c r="AF159" s="728"/>
      <c r="AG159" s="325"/>
      <c r="AH159" s="325"/>
      <c r="AI159" s="321">
        <f t="shared" si="16"/>
        <v>0</v>
      </c>
      <c r="AJ159" s="317"/>
      <c r="AK159" s="221">
        <f>AI159*AJ159</f>
        <v>0</v>
      </c>
      <c r="AL159" s="326"/>
      <c r="AM159" s="326"/>
      <c r="AN159" s="326"/>
      <c r="AO159" s="323"/>
      <c r="AP159" s="326"/>
      <c r="AQ159" s="609"/>
    </row>
    <row r="160" spans="1:43" s="330" customFormat="1" ht="15.75" customHeight="1">
      <c r="A160" s="295"/>
      <c r="B160" s="298" t="s">
        <v>259</v>
      </c>
      <c r="C160" s="620"/>
      <c r="D160" s="729"/>
      <c r="E160" s="327"/>
      <c r="F160" s="327"/>
      <c r="G160" s="729"/>
      <c r="H160" s="327"/>
      <c r="I160" s="327"/>
      <c r="J160" s="327"/>
      <c r="K160" s="327"/>
      <c r="L160" s="327"/>
      <c r="M160" s="327"/>
      <c r="N160" s="729"/>
      <c r="O160" s="729"/>
      <c r="P160" s="327"/>
      <c r="Q160" s="327"/>
      <c r="R160" s="327"/>
      <c r="S160" s="327"/>
      <c r="T160" s="327"/>
      <c r="U160" s="729"/>
      <c r="V160" s="327"/>
      <c r="W160" s="327"/>
      <c r="X160" s="332"/>
      <c r="Y160" s="327"/>
      <c r="Z160" s="327"/>
      <c r="AA160" s="327"/>
      <c r="AB160" s="729"/>
      <c r="AC160" s="327"/>
      <c r="AD160" s="327"/>
      <c r="AE160" s="327"/>
      <c r="AF160" s="729"/>
      <c r="AG160" s="327"/>
      <c r="AH160" s="327"/>
      <c r="AI160" s="328">
        <f t="shared" si="16"/>
        <v>0</v>
      </c>
      <c r="AJ160" s="333"/>
      <c r="AK160" s="222">
        <f>SUM(AK155:AK159)</f>
        <v>969578</v>
      </c>
      <c r="AL160" s="334"/>
      <c r="AM160" s="334"/>
      <c r="AN160" s="334"/>
      <c r="AO160" s="331"/>
      <c r="AP160" s="334"/>
      <c r="AQ160" s="610"/>
    </row>
    <row r="161" spans="1:43" s="322" customFormat="1" ht="15.75" customHeight="1">
      <c r="A161" s="295"/>
      <c r="B161" s="220" t="s">
        <v>57</v>
      </c>
      <c r="C161" s="618"/>
      <c r="D161" s="728"/>
      <c r="E161" s="325">
        <v>10</v>
      </c>
      <c r="F161" s="325"/>
      <c r="G161" s="728"/>
      <c r="H161" s="325">
        <v>24</v>
      </c>
      <c r="I161" s="325">
        <v>21</v>
      </c>
      <c r="J161" s="325">
        <v>3</v>
      </c>
      <c r="K161" s="325">
        <v>5</v>
      </c>
      <c r="L161" s="325">
        <v>4</v>
      </c>
      <c r="M161" s="325">
        <v>2</v>
      </c>
      <c r="N161" s="728"/>
      <c r="O161" s="728"/>
      <c r="P161" s="325">
        <v>4</v>
      </c>
      <c r="Q161" s="325">
        <v>14</v>
      </c>
      <c r="R161" s="325">
        <v>18</v>
      </c>
      <c r="S161" s="325">
        <v>3</v>
      </c>
      <c r="T161" s="325">
        <v>8</v>
      </c>
      <c r="U161" s="728"/>
      <c r="V161" s="325">
        <v>13</v>
      </c>
      <c r="W161" s="325">
        <v>4</v>
      </c>
      <c r="X161" s="325">
        <v>9</v>
      </c>
      <c r="Y161" s="325">
        <v>12</v>
      </c>
      <c r="Z161" s="325">
        <v>4</v>
      </c>
      <c r="AA161" s="325">
        <v>3</v>
      </c>
      <c r="AB161" s="728"/>
      <c r="AC161" s="325">
        <v>1</v>
      </c>
      <c r="AD161" s="325">
        <v>5</v>
      </c>
      <c r="AE161" s="325">
        <v>10</v>
      </c>
      <c r="AF161" s="728"/>
      <c r="AG161" s="325">
        <v>11</v>
      </c>
      <c r="AH161" s="325">
        <v>8</v>
      </c>
      <c r="AI161" s="321">
        <f t="shared" si="16"/>
        <v>196</v>
      </c>
      <c r="AJ161" s="317">
        <v>1750</v>
      </c>
      <c r="AK161" s="221">
        <f>AI161*AJ161</f>
        <v>343000</v>
      </c>
      <c r="AL161" s="326">
        <v>353</v>
      </c>
      <c r="AM161" s="326">
        <f>AL161-AI161</f>
        <v>157</v>
      </c>
      <c r="AN161" s="326"/>
      <c r="AO161" s="323"/>
      <c r="AP161" s="326"/>
      <c r="AQ161" s="609"/>
    </row>
    <row r="162" spans="1:43" s="360" customFormat="1" ht="15.75" customHeight="1" thickBot="1">
      <c r="A162" s="352"/>
      <c r="B162" s="353" t="s">
        <v>44</v>
      </c>
      <c r="C162" s="621"/>
      <c r="D162" s="730"/>
      <c r="E162" s="354"/>
      <c r="F162" s="354"/>
      <c r="G162" s="730"/>
      <c r="H162" s="354"/>
      <c r="I162" s="354"/>
      <c r="J162" s="354"/>
      <c r="K162" s="354"/>
      <c r="L162" s="354"/>
      <c r="M162" s="354"/>
      <c r="N162" s="730"/>
      <c r="O162" s="730"/>
      <c r="P162" s="354"/>
      <c r="Q162" s="354"/>
      <c r="R162" s="354"/>
      <c r="S162" s="354"/>
      <c r="T162" s="354"/>
      <c r="U162" s="1071"/>
      <c r="V162" s="354"/>
      <c r="W162" s="354"/>
      <c r="X162" s="354"/>
      <c r="Y162" s="354"/>
      <c r="Z162" s="354"/>
      <c r="AA162" s="354"/>
      <c r="AB162" s="730"/>
      <c r="AC162" s="354"/>
      <c r="AD162" s="354"/>
      <c r="AE162" s="354"/>
      <c r="AF162" s="730"/>
      <c r="AG162" s="354"/>
      <c r="AH162" s="354"/>
      <c r="AI162" s="355">
        <f t="shared" si="16"/>
        <v>0</v>
      </c>
      <c r="AJ162" s="356"/>
      <c r="AK162" s="357">
        <f>AI162</f>
        <v>0</v>
      </c>
      <c r="AL162" s="358"/>
      <c r="AM162" s="358"/>
      <c r="AN162" s="358"/>
      <c r="AO162" s="359"/>
      <c r="AP162" s="358"/>
      <c r="AQ162" s="611"/>
    </row>
    <row r="163" spans="1:43" s="216" customFormat="1" ht="20.25" customHeight="1" thickTop="1">
      <c r="A163" s="293">
        <v>13</v>
      </c>
      <c r="B163" s="515" t="s">
        <v>474</v>
      </c>
      <c r="C163" s="627"/>
      <c r="D163" s="731"/>
      <c r="E163" s="308">
        <v>1</v>
      </c>
      <c r="F163" s="308">
        <v>1</v>
      </c>
      <c r="G163" s="731"/>
      <c r="H163" s="308">
        <v>1</v>
      </c>
      <c r="I163" s="308">
        <v>1</v>
      </c>
      <c r="J163" s="308">
        <v>1</v>
      </c>
      <c r="K163" s="308">
        <v>1</v>
      </c>
      <c r="L163" s="308">
        <v>1</v>
      </c>
      <c r="M163" s="308">
        <v>1</v>
      </c>
      <c r="N163" s="731"/>
      <c r="O163" s="731"/>
      <c r="P163" s="308">
        <v>1</v>
      </c>
      <c r="Q163" s="308">
        <v>1</v>
      </c>
      <c r="R163" s="308">
        <v>1</v>
      </c>
      <c r="S163" s="308">
        <v>1</v>
      </c>
      <c r="T163" s="308">
        <v>1</v>
      </c>
      <c r="U163" s="731"/>
      <c r="V163" s="308">
        <v>1</v>
      </c>
      <c r="W163" s="308">
        <v>1</v>
      </c>
      <c r="X163" s="308">
        <v>1</v>
      </c>
      <c r="Y163" s="308">
        <v>1</v>
      </c>
      <c r="Z163" s="308">
        <v>1</v>
      </c>
      <c r="AA163" s="308">
        <v>1</v>
      </c>
      <c r="AB163" s="731"/>
      <c r="AC163" s="308">
        <v>1</v>
      </c>
      <c r="AD163" s="308">
        <v>1</v>
      </c>
      <c r="AE163" s="308">
        <v>1</v>
      </c>
      <c r="AF163" s="731"/>
      <c r="AG163" s="308">
        <v>1</v>
      </c>
      <c r="AH163" s="308">
        <v>1</v>
      </c>
      <c r="AI163" s="309">
        <f t="shared" si="16"/>
        <v>24</v>
      </c>
      <c r="AJ163" s="310"/>
      <c r="AK163" s="224"/>
      <c r="AL163" s="311"/>
      <c r="AN163" s="312"/>
      <c r="AO163" s="313"/>
      <c r="AP163" s="314"/>
      <c r="AQ163" s="608"/>
    </row>
    <row r="164" spans="1:43" s="322" customFormat="1" ht="63.75" customHeight="1">
      <c r="A164" s="295"/>
      <c r="B164" s="297" t="s">
        <v>188</v>
      </c>
      <c r="C164" s="619"/>
      <c r="D164" s="726"/>
      <c r="E164" s="318" t="s">
        <v>791</v>
      </c>
      <c r="F164" s="318" t="s">
        <v>792</v>
      </c>
      <c r="G164" s="726"/>
      <c r="H164" s="318" t="s">
        <v>796</v>
      </c>
      <c r="I164" s="318" t="s">
        <v>797</v>
      </c>
      <c r="J164" s="318" t="s">
        <v>740</v>
      </c>
      <c r="K164" s="318" t="s">
        <v>792</v>
      </c>
      <c r="L164" s="318" t="s">
        <v>791</v>
      </c>
      <c r="M164" s="318" t="s">
        <v>799</v>
      </c>
      <c r="N164" s="726"/>
      <c r="O164" s="726"/>
      <c r="P164" s="318" t="s">
        <v>801</v>
      </c>
      <c r="Q164" s="319" t="s">
        <v>802</v>
      </c>
      <c r="R164" s="318" t="s">
        <v>795</v>
      </c>
      <c r="S164" s="319" t="s">
        <v>788</v>
      </c>
      <c r="T164" s="318" t="s">
        <v>903</v>
      </c>
      <c r="U164" s="726"/>
      <c r="V164" s="318" t="s">
        <v>926</v>
      </c>
      <c r="W164" s="509" t="s">
        <v>801</v>
      </c>
      <c r="X164" s="318" t="s">
        <v>804</v>
      </c>
      <c r="Y164" s="318" t="s">
        <v>797</v>
      </c>
      <c r="Z164" s="320" t="s">
        <v>921</v>
      </c>
      <c r="AA164" s="318" t="s">
        <v>813</v>
      </c>
      <c r="AB164" s="726"/>
      <c r="AC164" s="318" t="s">
        <v>816</v>
      </c>
      <c r="AD164" s="318" t="s">
        <v>801</v>
      </c>
      <c r="AE164" s="318" t="s">
        <v>804</v>
      </c>
      <c r="AF164" s="726"/>
      <c r="AG164" s="318" t="s">
        <v>877</v>
      </c>
      <c r="AH164" s="318" t="s">
        <v>789</v>
      </c>
      <c r="AI164" s="321"/>
      <c r="AJ164" s="317"/>
      <c r="AK164" s="221"/>
      <c r="AO164" s="323"/>
      <c r="AQ164" s="609"/>
    </row>
    <row r="165" spans="1:43" s="322" customFormat="1" ht="15.75" customHeight="1">
      <c r="A165" s="295"/>
      <c r="B165" s="297" t="s">
        <v>281</v>
      </c>
      <c r="C165" s="619"/>
      <c r="D165" s="727"/>
      <c r="E165" s="324">
        <v>21</v>
      </c>
      <c r="F165" s="324">
        <v>21</v>
      </c>
      <c r="G165" s="727"/>
      <c r="H165" s="318">
        <v>21</v>
      </c>
      <c r="I165" s="324">
        <v>21</v>
      </c>
      <c r="J165" s="324">
        <v>210</v>
      </c>
      <c r="K165" s="324">
        <v>21</v>
      </c>
      <c r="L165" s="324" t="s">
        <v>798</v>
      </c>
      <c r="M165" s="324" t="s">
        <v>800</v>
      </c>
      <c r="N165" s="727"/>
      <c r="O165" s="727"/>
      <c r="P165" s="324">
        <v>21</v>
      </c>
      <c r="Q165" s="324">
        <v>21</v>
      </c>
      <c r="R165" s="324">
        <v>21</v>
      </c>
      <c r="S165" s="324">
        <v>21</v>
      </c>
      <c r="T165" s="324">
        <v>21</v>
      </c>
      <c r="U165" s="727"/>
      <c r="V165" s="324">
        <v>21</v>
      </c>
      <c r="W165" s="460" t="s">
        <v>927</v>
      </c>
      <c r="X165" s="324" t="s">
        <v>798</v>
      </c>
      <c r="Y165" s="324" t="s">
        <v>967</v>
      </c>
      <c r="Z165" s="324" t="s">
        <v>976</v>
      </c>
      <c r="AA165" s="324">
        <v>21</v>
      </c>
      <c r="AB165" s="727"/>
      <c r="AC165" s="324" t="s">
        <v>82</v>
      </c>
      <c r="AD165" s="324" t="s">
        <v>798</v>
      </c>
      <c r="AE165" s="324" t="s">
        <v>82</v>
      </c>
      <c r="AF165" s="727"/>
      <c r="AG165" s="324" t="s">
        <v>798</v>
      </c>
      <c r="AH165" s="324" t="s">
        <v>798</v>
      </c>
      <c r="AI165" s="321"/>
      <c r="AJ165" s="317"/>
      <c r="AK165" s="221"/>
      <c r="AO165" s="323"/>
      <c r="AQ165" s="609"/>
    </row>
    <row r="166" spans="1:43" s="322" customFormat="1" ht="15.75" customHeight="1">
      <c r="A166" s="295"/>
      <c r="B166" s="220" t="s">
        <v>260</v>
      </c>
      <c r="C166" s="618"/>
      <c r="D166" s="728"/>
      <c r="E166" s="325">
        <v>103</v>
      </c>
      <c r="F166" s="325">
        <v>90</v>
      </c>
      <c r="G166" s="728"/>
      <c r="H166" s="325">
        <v>103</v>
      </c>
      <c r="I166" s="325">
        <v>114</v>
      </c>
      <c r="J166" s="324">
        <v>103</v>
      </c>
      <c r="K166" s="325">
        <v>90</v>
      </c>
      <c r="L166" s="325">
        <v>103</v>
      </c>
      <c r="M166" s="325">
        <v>90</v>
      </c>
      <c r="N166" s="728"/>
      <c r="O166" s="728"/>
      <c r="P166" s="325">
        <v>103</v>
      </c>
      <c r="Q166" s="325">
        <v>114</v>
      </c>
      <c r="R166" s="325">
        <v>114</v>
      </c>
      <c r="S166" s="325">
        <v>103</v>
      </c>
      <c r="T166" s="325">
        <v>103</v>
      </c>
      <c r="U166" s="728"/>
      <c r="V166" s="325">
        <v>103</v>
      </c>
      <c r="W166" s="325">
        <v>103</v>
      </c>
      <c r="X166" s="325">
        <v>114</v>
      </c>
      <c r="Y166" s="325">
        <v>114</v>
      </c>
      <c r="Z166" s="325">
        <v>103</v>
      </c>
      <c r="AA166" s="325">
        <v>103</v>
      </c>
      <c r="AB166" s="728"/>
      <c r="AC166" s="325">
        <v>90</v>
      </c>
      <c r="AD166" s="325">
        <v>103</v>
      </c>
      <c r="AE166" s="325">
        <v>114</v>
      </c>
      <c r="AF166" s="728"/>
      <c r="AG166" s="325">
        <v>114</v>
      </c>
      <c r="AH166" s="325">
        <v>103</v>
      </c>
      <c r="AI166" s="321">
        <f t="shared" ref="AI166:AI176" si="17">SUM(D166:AH166)</f>
        <v>2497</v>
      </c>
      <c r="AJ166" s="294"/>
      <c r="AK166" s="221"/>
      <c r="AO166" s="323"/>
      <c r="AQ166" s="609"/>
    </row>
    <row r="167" spans="1:43" s="330" customFormat="1" ht="15.75" customHeight="1">
      <c r="A167" s="295"/>
      <c r="B167" s="298" t="s">
        <v>56</v>
      </c>
      <c r="C167" s="620"/>
      <c r="D167" s="729"/>
      <c r="E167" s="327">
        <v>68</v>
      </c>
      <c r="F167" s="327">
        <v>37</v>
      </c>
      <c r="G167" s="729"/>
      <c r="H167" s="327">
        <v>87</v>
      </c>
      <c r="I167" s="327">
        <v>14</v>
      </c>
      <c r="J167" s="327">
        <v>111</v>
      </c>
      <c r="K167" s="327">
        <v>58</v>
      </c>
      <c r="L167" s="327">
        <v>42</v>
      </c>
      <c r="M167" s="327">
        <v>20</v>
      </c>
      <c r="N167" s="729"/>
      <c r="O167" s="729"/>
      <c r="P167" s="327">
        <v>60</v>
      </c>
      <c r="Q167" s="327">
        <v>141</v>
      </c>
      <c r="R167" s="327">
        <v>94</v>
      </c>
      <c r="S167" s="327">
        <f>101+3</f>
        <v>104</v>
      </c>
      <c r="T167" s="327">
        <v>13</v>
      </c>
      <c r="U167" s="729"/>
      <c r="V167" s="327">
        <v>131</v>
      </c>
      <c r="W167" s="327">
        <v>71</v>
      </c>
      <c r="X167" s="327">
        <v>71</v>
      </c>
      <c r="Y167" s="327">
        <v>114</v>
      </c>
      <c r="Z167" s="327">
        <v>57</v>
      </c>
      <c r="AA167" s="327">
        <f>44+2</f>
        <v>46</v>
      </c>
      <c r="AB167" s="729"/>
      <c r="AC167" s="327">
        <v>44</v>
      </c>
      <c r="AD167" s="327">
        <v>49</v>
      </c>
      <c r="AE167" s="327">
        <f>62+1</f>
        <v>63</v>
      </c>
      <c r="AF167" s="729"/>
      <c r="AG167" s="327">
        <v>131</v>
      </c>
      <c r="AH167" s="327">
        <f>53+1</f>
        <v>54</v>
      </c>
      <c r="AI167" s="328">
        <f t="shared" si="17"/>
        <v>1680</v>
      </c>
      <c r="AJ167" s="296"/>
      <c r="AK167" s="222"/>
      <c r="AL167" s="329">
        <v>2943</v>
      </c>
      <c r="AM167" s="329">
        <f>AI167-AL167</f>
        <v>-1263</v>
      </c>
      <c r="AO167" s="331"/>
      <c r="AQ167" s="610"/>
    </row>
    <row r="168" spans="1:43" s="322" customFormat="1" ht="15.75" customHeight="1">
      <c r="A168" s="295"/>
      <c r="B168" s="220" t="s">
        <v>642</v>
      </c>
      <c r="C168" s="618"/>
      <c r="D168" s="728"/>
      <c r="E168" s="325"/>
      <c r="F168" s="325"/>
      <c r="G168" s="728"/>
      <c r="H168" s="325"/>
      <c r="I168" s="325"/>
      <c r="J168" s="325"/>
      <c r="K168" s="325"/>
      <c r="L168" s="325"/>
      <c r="M168" s="325"/>
      <c r="N168" s="728"/>
      <c r="O168" s="728"/>
      <c r="P168" s="325"/>
      <c r="Q168" s="325"/>
      <c r="R168" s="325"/>
      <c r="S168" s="325"/>
      <c r="T168" s="325"/>
      <c r="U168" s="728"/>
      <c r="V168" s="325"/>
      <c r="W168" s="325"/>
      <c r="X168" s="325"/>
      <c r="Y168" s="325"/>
      <c r="Z168" s="325"/>
      <c r="AA168" s="325"/>
      <c r="AB168" s="728"/>
      <c r="AC168" s="325"/>
      <c r="AD168" s="325"/>
      <c r="AE168" s="325"/>
      <c r="AF168" s="728"/>
      <c r="AG168" s="325"/>
      <c r="AH168" s="325"/>
      <c r="AI168" s="321">
        <f t="shared" si="17"/>
        <v>0</v>
      </c>
      <c r="AJ168" s="317">
        <v>1409</v>
      </c>
      <c r="AK168" s="221">
        <f>AI168*AJ168</f>
        <v>0</v>
      </c>
      <c r="AO168" s="323"/>
      <c r="AQ168" s="609"/>
    </row>
    <row r="169" spans="1:43" s="322" customFormat="1" ht="15.75" customHeight="1">
      <c r="A169" s="295"/>
      <c r="B169" s="220" t="s">
        <v>721</v>
      </c>
      <c r="C169" s="618"/>
      <c r="D169" s="728"/>
      <c r="E169" s="325"/>
      <c r="F169" s="325"/>
      <c r="G169" s="728"/>
      <c r="H169" s="325"/>
      <c r="I169" s="325"/>
      <c r="J169" s="325">
        <f>J167-J166</f>
        <v>8</v>
      </c>
      <c r="K169" s="325"/>
      <c r="L169" s="325"/>
      <c r="M169" s="325"/>
      <c r="N169" s="728"/>
      <c r="O169" s="727"/>
      <c r="P169" s="324"/>
      <c r="Q169" s="325"/>
      <c r="R169" s="325"/>
      <c r="S169" s="325">
        <f>S167-S166</f>
        <v>1</v>
      </c>
      <c r="T169" s="325"/>
      <c r="U169" s="728"/>
      <c r="V169" s="325">
        <f>V167-V166</f>
        <v>28</v>
      </c>
      <c r="W169" s="325"/>
      <c r="X169" s="325"/>
      <c r="Y169" s="325"/>
      <c r="Z169" s="325"/>
      <c r="AA169" s="325"/>
      <c r="AB169" s="728"/>
      <c r="AC169" s="325"/>
      <c r="AD169" s="325"/>
      <c r="AE169" s="325"/>
      <c r="AF169" s="728"/>
      <c r="AG169" s="325"/>
      <c r="AH169" s="325"/>
      <c r="AI169" s="321">
        <f t="shared" si="17"/>
        <v>37</v>
      </c>
      <c r="AJ169" s="317">
        <v>1322</v>
      </c>
      <c r="AK169" s="221">
        <f>AI169*AJ169</f>
        <v>48914</v>
      </c>
      <c r="AO169" s="323"/>
      <c r="AQ169" s="609"/>
    </row>
    <row r="170" spans="1:43" s="322" customFormat="1" ht="15.75" customHeight="1">
      <c r="A170" s="295"/>
      <c r="B170" s="220" t="s">
        <v>366</v>
      </c>
      <c r="C170" s="618"/>
      <c r="D170" s="728"/>
      <c r="E170" s="325"/>
      <c r="F170" s="325"/>
      <c r="G170" s="728"/>
      <c r="H170" s="325"/>
      <c r="I170" s="325"/>
      <c r="J170" s="325"/>
      <c r="K170" s="325"/>
      <c r="L170" s="325"/>
      <c r="M170" s="325"/>
      <c r="N170" s="728"/>
      <c r="O170" s="728"/>
      <c r="P170" s="325"/>
      <c r="Q170" s="325">
        <f>Q167-Q166</f>
        <v>27</v>
      </c>
      <c r="R170" s="325"/>
      <c r="S170" s="325"/>
      <c r="T170" s="325"/>
      <c r="U170" s="728"/>
      <c r="V170" s="325"/>
      <c r="W170" s="325"/>
      <c r="X170" s="325"/>
      <c r="Y170" s="325"/>
      <c r="Z170" s="325"/>
      <c r="AA170" s="325"/>
      <c r="AB170" s="728"/>
      <c r="AC170" s="325"/>
      <c r="AD170" s="325"/>
      <c r="AE170" s="325"/>
      <c r="AF170" s="728"/>
      <c r="AG170" s="325">
        <f>AG167-AG166</f>
        <v>17</v>
      </c>
      <c r="AH170" s="325"/>
      <c r="AI170" s="321">
        <f t="shared" si="17"/>
        <v>44</v>
      </c>
      <c r="AJ170" s="317">
        <v>1233</v>
      </c>
      <c r="AK170" s="221">
        <f>AI170*AJ170</f>
        <v>54252</v>
      </c>
      <c r="AO170" s="323"/>
      <c r="AQ170" s="609"/>
    </row>
    <row r="171" spans="1:43" s="322" customFormat="1" ht="15.75" customHeight="1">
      <c r="A171" s="295"/>
      <c r="B171" s="220" t="s">
        <v>643</v>
      </c>
      <c r="C171" s="618"/>
      <c r="D171" s="728"/>
      <c r="E171" s="325"/>
      <c r="F171" s="325"/>
      <c r="G171" s="728"/>
      <c r="H171" s="325"/>
      <c r="I171" s="325"/>
      <c r="J171" s="325"/>
      <c r="K171" s="325"/>
      <c r="L171" s="325"/>
      <c r="M171" s="325"/>
      <c r="N171" s="728"/>
      <c r="O171" s="728"/>
      <c r="P171" s="325"/>
      <c r="Q171" s="325"/>
      <c r="R171" s="325"/>
      <c r="S171" s="325"/>
      <c r="T171" s="325"/>
      <c r="U171" s="728"/>
      <c r="V171" s="325"/>
      <c r="W171" s="325"/>
      <c r="X171" s="325"/>
      <c r="Y171" s="325"/>
      <c r="Z171" s="325"/>
      <c r="AA171" s="325"/>
      <c r="AB171" s="728"/>
      <c r="AC171" s="325"/>
      <c r="AD171" s="325"/>
      <c r="AE171" s="325"/>
      <c r="AF171" s="728"/>
      <c r="AG171" s="325"/>
      <c r="AH171" s="325"/>
      <c r="AI171" s="321">
        <f t="shared" si="17"/>
        <v>0</v>
      </c>
      <c r="AJ171" s="317">
        <v>1043</v>
      </c>
      <c r="AK171" s="221">
        <f>AI171*AJ171</f>
        <v>0</v>
      </c>
      <c r="AO171" s="323"/>
      <c r="AQ171" s="609"/>
    </row>
    <row r="172" spans="1:43" s="322" customFormat="1" ht="15.75" customHeight="1">
      <c r="A172" s="295"/>
      <c r="B172" s="220" t="s">
        <v>367</v>
      </c>
      <c r="C172" s="618"/>
      <c r="D172" s="728"/>
      <c r="E172" s="325"/>
      <c r="F172" s="325"/>
      <c r="G172" s="728"/>
      <c r="H172" s="325"/>
      <c r="I172" s="325"/>
      <c r="J172" s="325"/>
      <c r="K172" s="325"/>
      <c r="L172" s="325"/>
      <c r="M172" s="325"/>
      <c r="N172" s="728"/>
      <c r="O172" s="728"/>
      <c r="P172" s="325"/>
      <c r="Q172" s="325"/>
      <c r="R172" s="325"/>
      <c r="S172" s="325"/>
      <c r="T172" s="325"/>
      <c r="U172" s="728"/>
      <c r="V172" s="325"/>
      <c r="W172" s="325"/>
      <c r="X172" s="325"/>
      <c r="Y172" s="325"/>
      <c r="Z172" s="325"/>
      <c r="AA172" s="325"/>
      <c r="AB172" s="728"/>
      <c r="AC172" s="325"/>
      <c r="AD172" s="325"/>
      <c r="AE172" s="325"/>
      <c r="AF172" s="728"/>
      <c r="AG172" s="325"/>
      <c r="AH172" s="325"/>
      <c r="AI172" s="321">
        <f t="shared" si="17"/>
        <v>0</v>
      </c>
      <c r="AJ172" s="317"/>
      <c r="AK172" s="221">
        <f>AI172*AJ172</f>
        <v>0</v>
      </c>
      <c r="AL172" s="326"/>
      <c r="AM172" s="326"/>
      <c r="AN172" s="326"/>
      <c r="AO172" s="323"/>
      <c r="AP172" s="326"/>
      <c r="AQ172" s="609"/>
    </row>
    <row r="173" spans="1:43" s="330" customFormat="1" ht="15.75" customHeight="1">
      <c r="A173" s="295"/>
      <c r="B173" s="298" t="s">
        <v>259</v>
      </c>
      <c r="C173" s="620"/>
      <c r="D173" s="729"/>
      <c r="E173" s="327"/>
      <c r="F173" s="327"/>
      <c r="G173" s="729"/>
      <c r="H173" s="327"/>
      <c r="I173" s="327"/>
      <c r="J173" s="327"/>
      <c r="K173" s="327"/>
      <c r="L173" s="327"/>
      <c r="M173" s="327"/>
      <c r="N173" s="729"/>
      <c r="O173" s="729"/>
      <c r="P173" s="327"/>
      <c r="Q173" s="327"/>
      <c r="R173" s="327"/>
      <c r="S173" s="327"/>
      <c r="T173" s="327"/>
      <c r="U173" s="729"/>
      <c r="V173" s="327"/>
      <c r="W173" s="327"/>
      <c r="X173" s="332"/>
      <c r="Y173" s="327"/>
      <c r="Z173" s="327"/>
      <c r="AA173" s="327"/>
      <c r="AB173" s="729"/>
      <c r="AC173" s="327"/>
      <c r="AD173" s="327"/>
      <c r="AE173" s="327"/>
      <c r="AF173" s="729"/>
      <c r="AG173" s="327"/>
      <c r="AH173" s="327"/>
      <c r="AI173" s="328">
        <f t="shared" si="17"/>
        <v>0</v>
      </c>
      <c r="AJ173" s="333"/>
      <c r="AK173" s="222">
        <f>SUM(AK168:AK172)</f>
        <v>103166</v>
      </c>
      <c r="AL173" s="334"/>
      <c r="AM173" s="334"/>
      <c r="AN173" s="334"/>
      <c r="AO173" s="331"/>
      <c r="AP173" s="334"/>
      <c r="AQ173" s="610"/>
    </row>
    <row r="174" spans="1:43" s="322" customFormat="1" ht="15.75" customHeight="1">
      <c r="A174" s="295"/>
      <c r="B174" s="220" t="s">
        <v>57</v>
      </c>
      <c r="C174" s="618"/>
      <c r="D174" s="728"/>
      <c r="E174" s="325">
        <v>3</v>
      </c>
      <c r="F174" s="325">
        <v>4</v>
      </c>
      <c r="G174" s="728"/>
      <c r="H174" s="325">
        <v>9</v>
      </c>
      <c r="I174" s="325">
        <v>2</v>
      </c>
      <c r="J174" s="325">
        <v>7</v>
      </c>
      <c r="K174" s="325">
        <v>6</v>
      </c>
      <c r="L174" s="325">
        <v>5</v>
      </c>
      <c r="M174" s="325"/>
      <c r="N174" s="728"/>
      <c r="O174" s="728"/>
      <c r="P174" s="325">
        <v>3</v>
      </c>
      <c r="Q174" s="325">
        <v>8</v>
      </c>
      <c r="R174" s="325">
        <v>6</v>
      </c>
      <c r="S174" s="325">
        <v>6</v>
      </c>
      <c r="T174" s="325">
        <v>2</v>
      </c>
      <c r="U174" s="728"/>
      <c r="V174" s="325">
        <v>12</v>
      </c>
      <c r="W174" s="325">
        <v>3</v>
      </c>
      <c r="X174" s="325">
        <v>6</v>
      </c>
      <c r="Y174" s="325">
        <v>14</v>
      </c>
      <c r="Z174" s="325">
        <v>3</v>
      </c>
      <c r="AA174" s="325">
        <v>5</v>
      </c>
      <c r="AB174" s="728"/>
      <c r="AC174" s="325">
        <v>4</v>
      </c>
      <c r="AD174" s="325">
        <v>3</v>
      </c>
      <c r="AE174" s="325">
        <v>7</v>
      </c>
      <c r="AF174" s="728"/>
      <c r="AG174" s="325">
        <v>9</v>
      </c>
      <c r="AH174" s="325">
        <v>5</v>
      </c>
      <c r="AI174" s="321">
        <f t="shared" si="17"/>
        <v>132</v>
      </c>
      <c r="AJ174" s="317">
        <v>1750</v>
      </c>
      <c r="AK174" s="221">
        <f>AI174*AJ174</f>
        <v>231000</v>
      </c>
      <c r="AL174" s="326">
        <v>337</v>
      </c>
      <c r="AM174" s="326">
        <f>AI174-AL174</f>
        <v>-205</v>
      </c>
      <c r="AN174" s="326"/>
      <c r="AO174" s="323"/>
      <c r="AP174" s="326"/>
      <c r="AQ174" s="609"/>
    </row>
    <row r="175" spans="1:43" s="360" customFormat="1" ht="15.75" customHeight="1" thickBot="1">
      <c r="A175" s="352"/>
      <c r="B175" s="353" t="s">
        <v>44</v>
      </c>
      <c r="C175" s="621"/>
      <c r="D175" s="730"/>
      <c r="E175" s="354"/>
      <c r="F175" s="354"/>
      <c r="G175" s="730"/>
      <c r="H175" s="354"/>
      <c r="I175" s="354"/>
      <c r="J175" s="354"/>
      <c r="K175" s="354"/>
      <c r="L175" s="354"/>
      <c r="M175" s="354"/>
      <c r="N175" s="730"/>
      <c r="O175" s="730"/>
      <c r="P175" s="354"/>
      <c r="Q175" s="354"/>
      <c r="R175" s="354"/>
      <c r="S175" s="354"/>
      <c r="T175" s="354"/>
      <c r="U175" s="1071"/>
      <c r="V175" s="354"/>
      <c r="W175" s="354"/>
      <c r="X175" s="354"/>
      <c r="Y175" s="354"/>
      <c r="Z175" s="354"/>
      <c r="AA175" s="354"/>
      <c r="AB175" s="730"/>
      <c r="AC175" s="354"/>
      <c r="AD175" s="354"/>
      <c r="AE175" s="354"/>
      <c r="AF175" s="730"/>
      <c r="AG175" s="354"/>
      <c r="AH175" s="354"/>
      <c r="AI175" s="355">
        <f t="shared" si="17"/>
        <v>0</v>
      </c>
      <c r="AJ175" s="356"/>
      <c r="AK175" s="357">
        <f>AI175</f>
        <v>0</v>
      </c>
      <c r="AL175" s="358"/>
      <c r="AM175" s="358"/>
      <c r="AN175" s="358"/>
      <c r="AO175" s="359"/>
      <c r="AP175" s="358"/>
      <c r="AQ175" s="611"/>
    </row>
    <row r="176" spans="1:43" s="216" customFormat="1" ht="15.75" customHeight="1" thickTop="1">
      <c r="A176" s="293">
        <v>14</v>
      </c>
      <c r="B176" s="219" t="s">
        <v>555</v>
      </c>
      <c r="C176" s="617"/>
      <c r="D176" s="731"/>
      <c r="E176" s="308">
        <v>1</v>
      </c>
      <c r="F176" s="308">
        <v>1</v>
      </c>
      <c r="G176" s="731"/>
      <c r="H176" s="308">
        <v>1</v>
      </c>
      <c r="I176" s="308">
        <v>1</v>
      </c>
      <c r="J176" s="308">
        <v>1</v>
      </c>
      <c r="K176" s="308">
        <v>1</v>
      </c>
      <c r="L176" s="308">
        <v>1</v>
      </c>
      <c r="M176" s="308">
        <v>1</v>
      </c>
      <c r="N176" s="731"/>
      <c r="O176" s="731"/>
      <c r="P176" s="308">
        <v>1</v>
      </c>
      <c r="Q176" s="308">
        <v>1</v>
      </c>
      <c r="R176" s="308">
        <v>1</v>
      </c>
      <c r="S176" s="308">
        <v>1</v>
      </c>
      <c r="T176" s="308">
        <v>1</v>
      </c>
      <c r="U176" s="731"/>
      <c r="V176" s="308">
        <v>1</v>
      </c>
      <c r="W176" s="308">
        <v>1</v>
      </c>
      <c r="X176" s="308">
        <v>1</v>
      </c>
      <c r="Y176" s="308">
        <v>1</v>
      </c>
      <c r="Z176" s="308">
        <v>1</v>
      </c>
      <c r="AA176" s="308">
        <v>1</v>
      </c>
      <c r="AB176" s="731"/>
      <c r="AC176" s="308">
        <v>1</v>
      </c>
      <c r="AD176" s="308">
        <v>1</v>
      </c>
      <c r="AE176" s="308">
        <v>1</v>
      </c>
      <c r="AF176" s="731"/>
      <c r="AG176" s="308">
        <v>1</v>
      </c>
      <c r="AH176" s="308">
        <v>1</v>
      </c>
      <c r="AI176" s="309">
        <f t="shared" si="17"/>
        <v>24</v>
      </c>
      <c r="AJ176" s="310"/>
      <c r="AK176" s="224"/>
      <c r="AL176" s="311"/>
      <c r="AN176" s="312"/>
      <c r="AO176" s="313"/>
      <c r="AP176" s="314"/>
      <c r="AQ176" s="608"/>
    </row>
    <row r="177" spans="1:43" s="322" customFormat="1" ht="78.75" customHeight="1">
      <c r="A177" s="295"/>
      <c r="B177" s="297" t="s">
        <v>188</v>
      </c>
      <c r="C177" s="619"/>
      <c r="D177" s="726"/>
      <c r="E177" s="318" t="s">
        <v>813</v>
      </c>
      <c r="F177" s="318" t="s">
        <v>816</v>
      </c>
      <c r="G177" s="726"/>
      <c r="H177" s="318" t="s">
        <v>810</v>
      </c>
      <c r="I177" s="318" t="s">
        <v>740</v>
      </c>
      <c r="J177" s="318" t="s">
        <v>789</v>
      </c>
      <c r="K177" s="318" t="s">
        <v>792</v>
      </c>
      <c r="L177" s="318" t="s">
        <v>792</v>
      </c>
      <c r="M177" s="318" t="s">
        <v>799</v>
      </c>
      <c r="N177" s="726"/>
      <c r="O177" s="726"/>
      <c r="P177" s="318" t="s">
        <v>810</v>
      </c>
      <c r="Q177" s="319" t="s">
        <v>802</v>
      </c>
      <c r="R177" s="318" t="s">
        <v>740</v>
      </c>
      <c r="S177" s="319" t="s">
        <v>859</v>
      </c>
      <c r="T177" s="318" t="s">
        <v>789</v>
      </c>
      <c r="U177" s="745"/>
      <c r="V177" s="318" t="s">
        <v>791</v>
      </c>
      <c r="W177" s="509" t="s">
        <v>796</v>
      </c>
      <c r="X177" s="318" t="s">
        <v>867</v>
      </c>
      <c r="Y177" s="318" t="s">
        <v>877</v>
      </c>
      <c r="Z177" s="320" t="s">
        <v>831</v>
      </c>
      <c r="AA177" s="318" t="s">
        <v>930</v>
      </c>
      <c r="AB177" s="726"/>
      <c r="AC177" s="318" t="s">
        <v>816</v>
      </c>
      <c r="AD177" s="318" t="s">
        <v>801</v>
      </c>
      <c r="AE177" s="318" t="s">
        <v>998</v>
      </c>
      <c r="AF177" s="726"/>
      <c r="AG177" s="318" t="s">
        <v>795</v>
      </c>
      <c r="AH177" s="318" t="s">
        <v>789</v>
      </c>
      <c r="AI177" s="321"/>
      <c r="AJ177" s="317"/>
      <c r="AK177" s="221"/>
      <c r="AO177" s="323"/>
      <c r="AQ177" s="609"/>
    </row>
    <row r="178" spans="1:43" s="322" customFormat="1" ht="18" customHeight="1">
      <c r="A178" s="295"/>
      <c r="B178" s="297" t="s">
        <v>281</v>
      </c>
      <c r="C178" s="619"/>
      <c r="D178" s="727"/>
      <c r="E178" s="324" t="s">
        <v>815</v>
      </c>
      <c r="F178" s="324" t="s">
        <v>817</v>
      </c>
      <c r="G178" s="727"/>
      <c r="H178" s="324" t="s">
        <v>815</v>
      </c>
      <c r="I178" s="324" t="s">
        <v>67</v>
      </c>
      <c r="J178" s="324" t="s">
        <v>815</v>
      </c>
      <c r="K178" s="324" t="s">
        <v>815</v>
      </c>
      <c r="L178" s="324" t="s">
        <v>815</v>
      </c>
      <c r="M178" s="324" t="s">
        <v>815</v>
      </c>
      <c r="N178" s="727"/>
      <c r="O178" s="727"/>
      <c r="P178" s="324" t="s">
        <v>815</v>
      </c>
      <c r="Q178" s="324" t="s">
        <v>818</v>
      </c>
      <c r="R178" s="324" t="s">
        <v>819</v>
      </c>
      <c r="S178" s="324" t="s">
        <v>818</v>
      </c>
      <c r="T178" s="324" t="s">
        <v>909</v>
      </c>
      <c r="U178" s="727"/>
      <c r="V178" s="324" t="s">
        <v>818</v>
      </c>
      <c r="W178" s="460" t="s">
        <v>929</v>
      </c>
      <c r="X178" s="324" t="s">
        <v>950</v>
      </c>
      <c r="Y178" s="324" t="s">
        <v>968</v>
      </c>
      <c r="Z178" s="324" t="s">
        <v>977</v>
      </c>
      <c r="AA178" s="324" t="s">
        <v>977</v>
      </c>
      <c r="AB178" s="727"/>
      <c r="AC178" s="324" t="s">
        <v>818</v>
      </c>
      <c r="AD178" s="324" t="s">
        <v>815</v>
      </c>
      <c r="AE178" s="324" t="s">
        <v>815</v>
      </c>
      <c r="AF178" s="727"/>
      <c r="AG178" s="324" t="s">
        <v>1006</v>
      </c>
      <c r="AH178" s="324" t="s">
        <v>1020</v>
      </c>
      <c r="AI178" s="321"/>
      <c r="AJ178" s="317"/>
      <c r="AK178" s="221"/>
      <c r="AO178" s="323"/>
      <c r="AQ178" s="609"/>
    </row>
    <row r="179" spans="1:43" s="322" customFormat="1" ht="15.75" customHeight="1">
      <c r="A179" s="295"/>
      <c r="B179" s="220" t="s">
        <v>260</v>
      </c>
      <c r="C179" s="618"/>
      <c r="D179" s="728"/>
      <c r="E179" s="325">
        <v>103</v>
      </c>
      <c r="F179" s="325">
        <v>90</v>
      </c>
      <c r="G179" s="728"/>
      <c r="H179" s="325">
        <v>103</v>
      </c>
      <c r="I179" s="325">
        <v>103</v>
      </c>
      <c r="J179" s="325">
        <v>103</v>
      </c>
      <c r="K179" s="325">
        <v>90</v>
      </c>
      <c r="L179" s="325">
        <v>90</v>
      </c>
      <c r="M179" s="325">
        <v>90</v>
      </c>
      <c r="N179" s="728"/>
      <c r="O179" s="728"/>
      <c r="P179" s="325">
        <v>103</v>
      </c>
      <c r="Q179" s="325">
        <v>114</v>
      </c>
      <c r="R179" s="325">
        <v>103</v>
      </c>
      <c r="S179" s="325">
        <v>103</v>
      </c>
      <c r="T179" s="325">
        <v>103</v>
      </c>
      <c r="U179" s="728"/>
      <c r="V179" s="325">
        <v>103</v>
      </c>
      <c r="W179" s="325">
        <v>103</v>
      </c>
      <c r="X179" s="325">
        <v>114</v>
      </c>
      <c r="Y179" s="325">
        <v>114</v>
      </c>
      <c r="Z179" s="325">
        <v>103</v>
      </c>
      <c r="AA179" s="324">
        <v>103</v>
      </c>
      <c r="AB179" s="728"/>
      <c r="AC179" s="325">
        <v>90</v>
      </c>
      <c r="AD179" s="325">
        <v>103</v>
      </c>
      <c r="AE179" s="325">
        <v>114</v>
      </c>
      <c r="AF179" s="728"/>
      <c r="AG179" s="325">
        <v>114</v>
      </c>
      <c r="AH179" s="325">
        <v>103</v>
      </c>
      <c r="AI179" s="321">
        <f t="shared" ref="AI179:AI189" si="18">SUM(D179:AH179)</f>
        <v>2462</v>
      </c>
      <c r="AJ179" s="294"/>
      <c r="AK179" s="221"/>
      <c r="AO179" s="323"/>
      <c r="AQ179" s="609"/>
    </row>
    <row r="180" spans="1:43" s="330" customFormat="1" ht="15.75" customHeight="1">
      <c r="A180" s="295"/>
      <c r="B180" s="298" t="s">
        <v>56</v>
      </c>
      <c r="C180" s="620"/>
      <c r="D180" s="729"/>
      <c r="E180" s="327">
        <v>98</v>
      </c>
      <c r="F180" s="327">
        <v>59</v>
      </c>
      <c r="G180" s="729"/>
      <c r="H180" s="327">
        <v>193</v>
      </c>
      <c r="I180" s="327">
        <v>103</v>
      </c>
      <c r="J180" s="327">
        <v>111</v>
      </c>
      <c r="K180" s="327">
        <v>42</v>
      </c>
      <c r="L180" s="327">
        <v>39</v>
      </c>
      <c r="M180" s="327">
        <v>36</v>
      </c>
      <c r="N180" s="729"/>
      <c r="O180" s="729"/>
      <c r="P180" s="327">
        <v>68</v>
      </c>
      <c r="Q180" s="327">
        <v>145</v>
      </c>
      <c r="R180" s="327">
        <v>127</v>
      </c>
      <c r="S180" s="327">
        <f>97+2</f>
        <v>99</v>
      </c>
      <c r="T180" s="327">
        <f>185+5</f>
        <v>190</v>
      </c>
      <c r="U180" s="729"/>
      <c r="V180" s="327">
        <v>175</v>
      </c>
      <c r="W180" s="327">
        <v>68</v>
      </c>
      <c r="X180" s="327">
        <v>101</v>
      </c>
      <c r="Y180" s="327">
        <v>74</v>
      </c>
      <c r="Z180" s="327">
        <v>83</v>
      </c>
      <c r="AA180" s="327">
        <v>74</v>
      </c>
      <c r="AB180" s="729"/>
      <c r="AC180" s="327">
        <v>36</v>
      </c>
      <c r="AD180" s="327">
        <f>67+1+3</f>
        <v>71</v>
      </c>
      <c r="AE180" s="327">
        <f>76+7</f>
        <v>83</v>
      </c>
      <c r="AF180" s="729"/>
      <c r="AG180" s="327">
        <v>113</v>
      </c>
      <c r="AH180" s="327">
        <f>101+4</f>
        <v>105</v>
      </c>
      <c r="AI180" s="328">
        <f t="shared" si="18"/>
        <v>2293</v>
      </c>
      <c r="AJ180" s="296"/>
      <c r="AK180" s="222"/>
      <c r="AL180" s="329"/>
      <c r="AO180" s="331"/>
      <c r="AQ180" s="610"/>
    </row>
    <row r="181" spans="1:43" s="322" customFormat="1" ht="15.75" customHeight="1">
      <c r="A181" s="295"/>
      <c r="B181" s="220" t="s">
        <v>642</v>
      </c>
      <c r="C181" s="618"/>
      <c r="D181" s="728"/>
      <c r="E181" s="325"/>
      <c r="F181" s="325"/>
      <c r="G181" s="728"/>
      <c r="H181" s="325"/>
      <c r="I181" s="325"/>
      <c r="J181" s="325"/>
      <c r="K181" s="325"/>
      <c r="L181" s="325"/>
      <c r="M181" s="325"/>
      <c r="N181" s="728"/>
      <c r="O181" s="728"/>
      <c r="P181" s="325"/>
      <c r="Q181" s="325"/>
      <c r="R181" s="325"/>
      <c r="S181" s="325"/>
      <c r="T181" s="325"/>
      <c r="U181" s="728"/>
      <c r="V181" s="325"/>
      <c r="W181" s="325"/>
      <c r="X181" s="325"/>
      <c r="Y181" s="325"/>
      <c r="Z181" s="325"/>
      <c r="AA181" s="325"/>
      <c r="AB181" s="728"/>
      <c r="AC181" s="325"/>
      <c r="AD181" s="325"/>
      <c r="AE181" s="325"/>
      <c r="AF181" s="728"/>
      <c r="AG181" s="325"/>
      <c r="AH181" s="325">
        <f>AH180-AH179</f>
        <v>2</v>
      </c>
      <c r="AI181" s="321">
        <f t="shared" si="18"/>
        <v>2</v>
      </c>
      <c r="AJ181" s="317">
        <v>1409</v>
      </c>
      <c r="AK181" s="221">
        <f>AI181*AJ181</f>
        <v>2818</v>
      </c>
      <c r="AO181" s="323"/>
      <c r="AQ181" s="609"/>
    </row>
    <row r="182" spans="1:43" s="322" customFormat="1" ht="15.75" customHeight="1">
      <c r="A182" s="295"/>
      <c r="B182" s="220" t="s">
        <v>721</v>
      </c>
      <c r="C182" s="618"/>
      <c r="D182" s="728"/>
      <c r="E182" s="325"/>
      <c r="F182" s="325"/>
      <c r="G182" s="728"/>
      <c r="H182" s="325">
        <f>H180-H179</f>
        <v>90</v>
      </c>
      <c r="I182" s="325"/>
      <c r="J182" s="325">
        <f>J180-J179</f>
        <v>8</v>
      </c>
      <c r="K182" s="325"/>
      <c r="L182" s="325"/>
      <c r="M182" s="325"/>
      <c r="N182" s="728"/>
      <c r="O182" s="727"/>
      <c r="P182" s="324"/>
      <c r="Q182" s="325"/>
      <c r="R182" s="325">
        <f>R180-R179</f>
        <v>24</v>
      </c>
      <c r="S182" s="325"/>
      <c r="T182" s="325">
        <f>T180-T179</f>
        <v>87</v>
      </c>
      <c r="U182" s="728"/>
      <c r="V182" s="325">
        <f>V180-V179</f>
        <v>72</v>
      </c>
      <c r="W182" s="325"/>
      <c r="X182" s="325"/>
      <c r="Y182" s="325"/>
      <c r="Z182" s="325"/>
      <c r="AA182" s="325"/>
      <c r="AB182" s="728"/>
      <c r="AC182" s="325"/>
      <c r="AD182" s="325"/>
      <c r="AE182" s="325"/>
      <c r="AF182" s="728"/>
      <c r="AG182" s="325"/>
      <c r="AH182" s="325"/>
      <c r="AI182" s="321">
        <f t="shared" si="18"/>
        <v>281</v>
      </c>
      <c r="AJ182" s="317">
        <v>1322</v>
      </c>
      <c r="AK182" s="221">
        <f>AI182*AJ182</f>
        <v>371482</v>
      </c>
      <c r="AO182" s="323"/>
      <c r="AQ182" s="609"/>
    </row>
    <row r="183" spans="1:43" s="322" customFormat="1" ht="15.75" customHeight="1">
      <c r="A183" s="295"/>
      <c r="B183" s="220" t="s">
        <v>366</v>
      </c>
      <c r="C183" s="618"/>
      <c r="D183" s="728"/>
      <c r="E183" s="325"/>
      <c r="F183" s="325"/>
      <c r="G183" s="728"/>
      <c r="H183" s="325"/>
      <c r="I183" s="325"/>
      <c r="J183" s="325"/>
      <c r="K183" s="325"/>
      <c r="L183" s="325"/>
      <c r="M183" s="325"/>
      <c r="N183" s="728"/>
      <c r="O183" s="728"/>
      <c r="P183" s="325"/>
      <c r="Q183" s="325">
        <f>Q180-Q179</f>
        <v>31</v>
      </c>
      <c r="R183" s="325"/>
      <c r="S183" s="325"/>
      <c r="T183" s="325"/>
      <c r="U183" s="728"/>
      <c r="V183" s="325"/>
      <c r="W183" s="325"/>
      <c r="X183" s="325"/>
      <c r="Y183" s="325"/>
      <c r="Z183" s="325"/>
      <c r="AA183" s="325"/>
      <c r="AB183" s="728"/>
      <c r="AC183" s="325"/>
      <c r="AD183" s="325"/>
      <c r="AE183" s="325"/>
      <c r="AF183" s="728"/>
      <c r="AG183" s="325"/>
      <c r="AH183" s="325"/>
      <c r="AI183" s="321">
        <f t="shared" si="18"/>
        <v>31</v>
      </c>
      <c r="AJ183" s="317">
        <v>1233</v>
      </c>
      <c r="AK183" s="221">
        <f>AI183*AJ183</f>
        <v>38223</v>
      </c>
      <c r="AO183" s="323"/>
      <c r="AQ183" s="609"/>
    </row>
    <row r="184" spans="1:43" s="322" customFormat="1" ht="15.75" customHeight="1">
      <c r="A184" s="295"/>
      <c r="B184" s="220" t="s">
        <v>643</v>
      </c>
      <c r="C184" s="618"/>
      <c r="D184" s="728"/>
      <c r="E184" s="325"/>
      <c r="F184" s="325"/>
      <c r="G184" s="728"/>
      <c r="H184" s="325"/>
      <c r="I184" s="325"/>
      <c r="J184" s="325"/>
      <c r="K184" s="325"/>
      <c r="L184" s="325"/>
      <c r="M184" s="325"/>
      <c r="N184" s="728"/>
      <c r="O184" s="728"/>
      <c r="P184" s="325"/>
      <c r="Q184" s="325"/>
      <c r="R184" s="325"/>
      <c r="S184" s="325"/>
      <c r="T184" s="325"/>
      <c r="U184" s="728"/>
      <c r="V184" s="325"/>
      <c r="W184" s="325"/>
      <c r="X184" s="325"/>
      <c r="Y184" s="325"/>
      <c r="Z184" s="325"/>
      <c r="AA184" s="325"/>
      <c r="AB184" s="728"/>
      <c r="AC184" s="325"/>
      <c r="AD184" s="325"/>
      <c r="AE184" s="325"/>
      <c r="AF184" s="728"/>
      <c r="AG184" s="325"/>
      <c r="AH184" s="325"/>
      <c r="AI184" s="321">
        <f t="shared" si="18"/>
        <v>0</v>
      </c>
      <c r="AJ184" s="317">
        <v>1043</v>
      </c>
      <c r="AK184" s="221">
        <f>AI184*AJ184</f>
        <v>0</v>
      </c>
      <c r="AO184" s="323"/>
      <c r="AQ184" s="609"/>
    </row>
    <row r="185" spans="1:43" s="322" customFormat="1" ht="15.75" customHeight="1">
      <c r="A185" s="295"/>
      <c r="B185" s="220" t="s">
        <v>367</v>
      </c>
      <c r="C185" s="618"/>
      <c r="D185" s="728"/>
      <c r="E185" s="325"/>
      <c r="F185" s="325"/>
      <c r="G185" s="728"/>
      <c r="H185" s="325"/>
      <c r="I185" s="325"/>
      <c r="J185" s="325"/>
      <c r="K185" s="325"/>
      <c r="L185" s="325"/>
      <c r="M185" s="325"/>
      <c r="N185" s="728"/>
      <c r="O185" s="728"/>
      <c r="P185" s="325"/>
      <c r="Q185" s="325"/>
      <c r="R185" s="325"/>
      <c r="S185" s="325"/>
      <c r="T185" s="325"/>
      <c r="U185" s="728"/>
      <c r="V185" s="325"/>
      <c r="W185" s="325"/>
      <c r="X185" s="325"/>
      <c r="Y185" s="325"/>
      <c r="Z185" s="325"/>
      <c r="AA185" s="325"/>
      <c r="AB185" s="728"/>
      <c r="AC185" s="325"/>
      <c r="AD185" s="325"/>
      <c r="AE185" s="325"/>
      <c r="AF185" s="728"/>
      <c r="AG185" s="325"/>
      <c r="AH185" s="325"/>
      <c r="AI185" s="321">
        <f t="shared" si="18"/>
        <v>0</v>
      </c>
      <c r="AJ185" s="317"/>
      <c r="AK185" s="221">
        <f>AI185*AJ185</f>
        <v>0</v>
      </c>
      <c r="AL185" s="326"/>
      <c r="AM185" s="326"/>
      <c r="AN185" s="326"/>
      <c r="AO185" s="323"/>
      <c r="AP185" s="326"/>
      <c r="AQ185" s="609"/>
    </row>
    <row r="186" spans="1:43" s="330" customFormat="1" ht="15.75" customHeight="1">
      <c r="A186" s="295"/>
      <c r="B186" s="298" t="s">
        <v>259</v>
      </c>
      <c r="C186" s="620"/>
      <c r="D186" s="729"/>
      <c r="E186" s="327"/>
      <c r="F186" s="327"/>
      <c r="G186" s="729"/>
      <c r="H186" s="327"/>
      <c r="I186" s="327"/>
      <c r="J186" s="327"/>
      <c r="K186" s="327"/>
      <c r="L186" s="327"/>
      <c r="M186" s="327"/>
      <c r="N186" s="729"/>
      <c r="O186" s="729"/>
      <c r="P186" s="327"/>
      <c r="Q186" s="327"/>
      <c r="R186" s="327"/>
      <c r="S186" s="327"/>
      <c r="T186" s="327"/>
      <c r="U186" s="729"/>
      <c r="V186" s="327"/>
      <c r="W186" s="327"/>
      <c r="X186" s="332"/>
      <c r="Y186" s="327"/>
      <c r="Z186" s="327"/>
      <c r="AA186" s="325"/>
      <c r="AB186" s="729"/>
      <c r="AC186" s="327"/>
      <c r="AD186" s="327"/>
      <c r="AE186" s="327"/>
      <c r="AF186" s="729"/>
      <c r="AG186" s="327"/>
      <c r="AH186" s="327"/>
      <c r="AI186" s="328">
        <f t="shared" si="18"/>
        <v>0</v>
      </c>
      <c r="AJ186" s="333"/>
      <c r="AK186" s="222">
        <f>SUM(AK181:AK185)</f>
        <v>412523</v>
      </c>
      <c r="AL186" s="334"/>
      <c r="AM186" s="334"/>
      <c r="AN186" s="334"/>
      <c r="AO186" s="331"/>
      <c r="AP186" s="334"/>
      <c r="AQ186" s="610"/>
    </row>
    <row r="187" spans="1:43" s="322" customFormat="1" ht="15.75" customHeight="1">
      <c r="A187" s="295"/>
      <c r="B187" s="220" t="s">
        <v>57</v>
      </c>
      <c r="C187" s="618"/>
      <c r="D187" s="728"/>
      <c r="E187" s="325">
        <v>9</v>
      </c>
      <c r="F187" s="325">
        <v>8</v>
      </c>
      <c r="G187" s="728"/>
      <c r="H187" s="325">
        <v>17</v>
      </c>
      <c r="I187" s="325">
        <v>8</v>
      </c>
      <c r="J187" s="325">
        <v>7</v>
      </c>
      <c r="K187" s="325">
        <v>3</v>
      </c>
      <c r="L187" s="325">
        <v>4</v>
      </c>
      <c r="M187" s="325">
        <v>3</v>
      </c>
      <c r="N187" s="728"/>
      <c r="O187" s="728"/>
      <c r="P187" s="325">
        <v>2</v>
      </c>
      <c r="Q187" s="325">
        <v>8</v>
      </c>
      <c r="R187" s="325">
        <v>11</v>
      </c>
      <c r="S187" s="325">
        <v>7</v>
      </c>
      <c r="T187" s="325">
        <v>16</v>
      </c>
      <c r="U187" s="728"/>
      <c r="V187" s="325">
        <v>20</v>
      </c>
      <c r="W187" s="325">
        <v>5</v>
      </c>
      <c r="X187" s="325">
        <v>8</v>
      </c>
      <c r="Y187" s="325">
        <v>5</v>
      </c>
      <c r="Z187" s="325">
        <v>7</v>
      </c>
      <c r="AA187" s="325">
        <v>4</v>
      </c>
      <c r="AB187" s="728"/>
      <c r="AC187" s="325">
        <v>3</v>
      </c>
      <c r="AD187" s="325">
        <v>8</v>
      </c>
      <c r="AE187" s="325">
        <v>7</v>
      </c>
      <c r="AF187" s="728"/>
      <c r="AG187" s="325">
        <v>7</v>
      </c>
      <c r="AH187" s="325">
        <v>9</v>
      </c>
      <c r="AI187" s="321">
        <f t="shared" si="18"/>
        <v>186</v>
      </c>
      <c r="AJ187" s="317">
        <v>1750</v>
      </c>
      <c r="AK187" s="221">
        <f>AI187*AJ187</f>
        <v>325500</v>
      </c>
      <c r="AL187" s="326"/>
      <c r="AM187" s="326"/>
      <c r="AN187" s="326"/>
      <c r="AO187" s="323"/>
      <c r="AP187" s="326"/>
      <c r="AQ187" s="609"/>
    </row>
    <row r="188" spans="1:43" s="360" customFormat="1" ht="15.75" customHeight="1" thickBot="1">
      <c r="A188" s="352"/>
      <c r="B188" s="353" t="s">
        <v>44</v>
      </c>
      <c r="C188" s="621"/>
      <c r="D188" s="730"/>
      <c r="E188" s="354"/>
      <c r="F188" s="354"/>
      <c r="G188" s="730"/>
      <c r="H188" s="354"/>
      <c r="I188" s="354"/>
      <c r="J188" s="354"/>
      <c r="K188" s="354"/>
      <c r="L188" s="354"/>
      <c r="M188" s="354"/>
      <c r="N188" s="730"/>
      <c r="O188" s="730"/>
      <c r="P188" s="354"/>
      <c r="Q188" s="354"/>
      <c r="R188" s="354"/>
      <c r="S188" s="354"/>
      <c r="T188" s="354"/>
      <c r="U188" s="1071"/>
      <c r="V188" s="354"/>
      <c r="W188" s="354"/>
      <c r="X188" s="354"/>
      <c r="Y188" s="354"/>
      <c r="Z188" s="354"/>
      <c r="AA188" s="325"/>
      <c r="AB188" s="730"/>
      <c r="AC188" s="354"/>
      <c r="AD188" s="354"/>
      <c r="AE188" s="354"/>
      <c r="AF188" s="730"/>
      <c r="AG188" s="354"/>
      <c r="AH188" s="354"/>
      <c r="AI188" s="355">
        <f t="shared" si="18"/>
        <v>0</v>
      </c>
      <c r="AJ188" s="356"/>
      <c r="AK188" s="357">
        <f>AI188</f>
        <v>0</v>
      </c>
      <c r="AL188" s="358"/>
      <c r="AM188" s="358"/>
      <c r="AN188" s="358"/>
      <c r="AO188" s="359"/>
      <c r="AP188" s="358"/>
      <c r="AQ188" s="611"/>
    </row>
    <row r="189" spans="1:43" s="216" customFormat="1" ht="15.75" customHeight="1" thickTop="1">
      <c r="A189" s="293">
        <v>15</v>
      </c>
      <c r="B189" s="516" t="s">
        <v>647</v>
      </c>
      <c r="C189" s="628"/>
      <c r="D189" s="731"/>
      <c r="E189" s="308"/>
      <c r="F189" s="308">
        <v>1</v>
      </c>
      <c r="G189" s="731"/>
      <c r="H189" s="308">
        <v>1</v>
      </c>
      <c r="I189" s="308">
        <v>1</v>
      </c>
      <c r="J189" s="308">
        <v>1</v>
      </c>
      <c r="K189" s="308"/>
      <c r="L189" s="308">
        <v>1</v>
      </c>
      <c r="M189" s="308">
        <v>1</v>
      </c>
      <c r="N189" s="731"/>
      <c r="O189" s="731"/>
      <c r="P189" s="308">
        <v>1</v>
      </c>
      <c r="Q189" s="308">
        <v>1</v>
      </c>
      <c r="R189" s="308">
        <v>1</v>
      </c>
      <c r="S189" s="308">
        <v>1</v>
      </c>
      <c r="T189" s="308">
        <v>1</v>
      </c>
      <c r="U189" s="731"/>
      <c r="V189" s="308">
        <v>1</v>
      </c>
      <c r="W189" s="308">
        <v>1</v>
      </c>
      <c r="X189" s="308">
        <v>1</v>
      </c>
      <c r="Y189" s="308"/>
      <c r="Z189" s="308">
        <v>1</v>
      </c>
      <c r="AA189" s="308">
        <v>1</v>
      </c>
      <c r="AB189" s="731"/>
      <c r="AC189" s="308">
        <v>1</v>
      </c>
      <c r="AD189" s="308"/>
      <c r="AE189" s="308">
        <v>1</v>
      </c>
      <c r="AF189" s="731"/>
      <c r="AG189" s="308">
        <v>1</v>
      </c>
      <c r="AH189" s="308">
        <v>1</v>
      </c>
      <c r="AI189" s="309">
        <f t="shared" si="18"/>
        <v>20</v>
      </c>
      <c r="AJ189" s="310"/>
      <c r="AK189" s="224"/>
      <c r="AL189" s="311"/>
      <c r="AN189" s="312"/>
      <c r="AO189" s="313"/>
      <c r="AP189" s="314"/>
      <c r="AQ189" s="608"/>
    </row>
    <row r="190" spans="1:43" s="322" customFormat="1" ht="59.25" customHeight="1">
      <c r="A190" s="295"/>
      <c r="B190" s="297" t="s">
        <v>188</v>
      </c>
      <c r="C190" s="619"/>
      <c r="D190" s="726"/>
      <c r="E190" s="318"/>
      <c r="F190" s="318" t="s">
        <v>813</v>
      </c>
      <c r="G190" s="726"/>
      <c r="H190" s="318" t="s">
        <v>835</v>
      </c>
      <c r="I190" s="318" t="s">
        <v>740</v>
      </c>
      <c r="J190" s="318" t="s">
        <v>831</v>
      </c>
      <c r="K190" s="318"/>
      <c r="L190" s="318" t="s">
        <v>792</v>
      </c>
      <c r="M190" s="318" t="s">
        <v>799</v>
      </c>
      <c r="N190" s="726"/>
      <c r="O190" s="726"/>
      <c r="P190" s="318" t="s">
        <v>801</v>
      </c>
      <c r="Q190" s="319" t="s">
        <v>802</v>
      </c>
      <c r="R190" s="318" t="s">
        <v>795</v>
      </c>
      <c r="S190" s="319" t="s">
        <v>859</v>
      </c>
      <c r="T190" s="318" t="s">
        <v>903</v>
      </c>
      <c r="U190" s="726"/>
      <c r="V190" s="318" t="s">
        <v>792</v>
      </c>
      <c r="W190" s="509" t="s">
        <v>796</v>
      </c>
      <c r="X190" s="318" t="s">
        <v>867</v>
      </c>
      <c r="Y190" s="318"/>
      <c r="Z190" s="320" t="s">
        <v>831</v>
      </c>
      <c r="AA190" s="318" t="s">
        <v>930</v>
      </c>
      <c r="AB190" s="726"/>
      <c r="AC190" s="318" t="s">
        <v>816</v>
      </c>
      <c r="AD190" s="318"/>
      <c r="AE190" s="318" t="s">
        <v>804</v>
      </c>
      <c r="AF190" s="726"/>
      <c r="AG190" s="318" t="s">
        <v>795</v>
      </c>
      <c r="AH190" s="318" t="s">
        <v>789</v>
      </c>
      <c r="AI190" s="321"/>
      <c r="AJ190" s="317"/>
      <c r="AK190" s="221"/>
      <c r="AO190" s="323"/>
      <c r="AQ190" s="609"/>
    </row>
    <row r="191" spans="1:43" s="322" customFormat="1" ht="15.75" customHeight="1">
      <c r="A191" s="295"/>
      <c r="B191" s="297" t="s">
        <v>281</v>
      </c>
      <c r="C191" s="619"/>
      <c r="D191" s="727"/>
      <c r="E191" s="324"/>
      <c r="F191" s="324">
        <v>10</v>
      </c>
      <c r="G191" s="727"/>
      <c r="H191" s="324" t="s">
        <v>834</v>
      </c>
      <c r="I191" s="324" t="s">
        <v>71</v>
      </c>
      <c r="J191" s="324" t="s">
        <v>833</v>
      </c>
      <c r="K191" s="324"/>
      <c r="L191" s="324">
        <v>10</v>
      </c>
      <c r="M191" s="324" t="s">
        <v>834</v>
      </c>
      <c r="N191" s="727"/>
      <c r="O191" s="727"/>
      <c r="P191" s="324" t="s">
        <v>833</v>
      </c>
      <c r="Q191" s="324">
        <v>10</v>
      </c>
      <c r="R191" s="324" t="s">
        <v>66</v>
      </c>
      <c r="S191" s="324">
        <v>10</v>
      </c>
      <c r="T191" s="324">
        <v>10</v>
      </c>
      <c r="U191" s="727"/>
      <c r="V191" s="324" t="s">
        <v>830</v>
      </c>
      <c r="W191" s="460" t="s">
        <v>829</v>
      </c>
      <c r="X191" s="324" t="s">
        <v>954</v>
      </c>
      <c r="Y191" s="324"/>
      <c r="Z191" s="324" t="s">
        <v>815</v>
      </c>
      <c r="AA191" s="324" t="s">
        <v>833</v>
      </c>
      <c r="AB191" s="727"/>
      <c r="AC191" s="324">
        <v>10</v>
      </c>
      <c r="AD191" s="324"/>
      <c r="AE191" s="324" t="s">
        <v>999</v>
      </c>
      <c r="AF191" s="727"/>
      <c r="AG191" s="324" t="s">
        <v>834</v>
      </c>
      <c r="AH191" s="324" t="s">
        <v>1023</v>
      </c>
      <c r="AI191" s="321"/>
      <c r="AJ191" s="317"/>
      <c r="AK191" s="221"/>
      <c r="AO191" s="323"/>
      <c r="AQ191" s="609"/>
    </row>
    <row r="192" spans="1:43" s="322" customFormat="1" ht="15.75" customHeight="1">
      <c r="A192" s="295"/>
      <c r="B192" s="220" t="s">
        <v>260</v>
      </c>
      <c r="C192" s="618"/>
      <c r="D192" s="728"/>
      <c r="E192" s="325"/>
      <c r="F192" s="325">
        <v>103</v>
      </c>
      <c r="G192" s="728"/>
      <c r="H192" s="325">
        <v>103</v>
      </c>
      <c r="I192" s="325">
        <v>103</v>
      </c>
      <c r="J192" s="325">
        <v>103</v>
      </c>
      <c r="K192" s="325"/>
      <c r="L192" s="325">
        <v>90</v>
      </c>
      <c r="M192" s="325">
        <v>90</v>
      </c>
      <c r="N192" s="728"/>
      <c r="O192" s="728"/>
      <c r="P192" s="325">
        <v>103</v>
      </c>
      <c r="Q192" s="325">
        <v>114</v>
      </c>
      <c r="R192" s="325">
        <v>114</v>
      </c>
      <c r="S192" s="325">
        <v>103</v>
      </c>
      <c r="T192" s="325">
        <v>103</v>
      </c>
      <c r="U192" s="728"/>
      <c r="V192" s="325">
        <v>90</v>
      </c>
      <c r="W192" s="325">
        <v>103</v>
      </c>
      <c r="X192" s="325">
        <v>114</v>
      </c>
      <c r="Y192" s="325"/>
      <c r="Z192" s="325">
        <v>103</v>
      </c>
      <c r="AA192" s="325">
        <v>103</v>
      </c>
      <c r="AB192" s="728"/>
      <c r="AC192" s="325">
        <v>90</v>
      </c>
      <c r="AD192" s="325"/>
      <c r="AE192" s="325">
        <v>114</v>
      </c>
      <c r="AF192" s="728"/>
      <c r="AG192" s="325">
        <v>114</v>
      </c>
      <c r="AH192" s="325">
        <v>103</v>
      </c>
      <c r="AI192" s="321">
        <f t="shared" ref="AI192:AI202" si="19">SUM(D192:AH192)</f>
        <v>2063</v>
      </c>
      <c r="AJ192" s="294"/>
      <c r="AK192" s="221"/>
      <c r="AO192" s="323"/>
      <c r="AQ192" s="609"/>
    </row>
    <row r="193" spans="1:43" s="330" customFormat="1" ht="15.75" customHeight="1">
      <c r="A193" s="295"/>
      <c r="B193" s="298" t="s">
        <v>56</v>
      </c>
      <c r="C193" s="620"/>
      <c r="D193" s="729"/>
      <c r="E193" s="327"/>
      <c r="F193" s="327">
        <v>68</v>
      </c>
      <c r="G193" s="729"/>
      <c r="H193" s="327">
        <v>101</v>
      </c>
      <c r="I193" s="327">
        <v>144</v>
      </c>
      <c r="J193" s="327">
        <v>61</v>
      </c>
      <c r="K193" s="327"/>
      <c r="L193" s="327">
        <v>86</v>
      </c>
      <c r="M193" s="327">
        <v>41</v>
      </c>
      <c r="N193" s="729"/>
      <c r="O193" s="729"/>
      <c r="P193" s="327">
        <v>71</v>
      </c>
      <c r="Q193" s="327">
        <v>140</v>
      </c>
      <c r="R193" s="327">
        <v>95</v>
      </c>
      <c r="S193" s="327">
        <f>91+3</f>
        <v>94</v>
      </c>
      <c r="T193" s="327">
        <v>106</v>
      </c>
      <c r="U193" s="729"/>
      <c r="V193" s="327">
        <v>209</v>
      </c>
      <c r="W193" s="327">
        <v>42</v>
      </c>
      <c r="X193" s="327">
        <v>98</v>
      </c>
      <c r="Y193" s="327"/>
      <c r="Z193" s="327">
        <v>60</v>
      </c>
      <c r="AA193" s="327">
        <v>76</v>
      </c>
      <c r="AB193" s="729"/>
      <c r="AC193" s="327">
        <v>38</v>
      </c>
      <c r="AD193" s="327"/>
      <c r="AE193" s="327">
        <f>96+7</f>
        <v>103</v>
      </c>
      <c r="AF193" s="729"/>
      <c r="AG193" s="327">
        <v>83</v>
      </c>
      <c r="AH193" s="327">
        <f>100+4</f>
        <v>104</v>
      </c>
      <c r="AI193" s="328">
        <f t="shared" si="19"/>
        <v>1820</v>
      </c>
      <c r="AJ193" s="296"/>
      <c r="AK193" s="222"/>
      <c r="AL193" s="329"/>
      <c r="AO193" s="331"/>
      <c r="AQ193" s="610"/>
    </row>
    <row r="194" spans="1:43" s="322" customFormat="1" ht="15.75" customHeight="1">
      <c r="A194" s="295"/>
      <c r="B194" s="220" t="s">
        <v>642</v>
      </c>
      <c r="C194" s="618"/>
      <c r="D194" s="728"/>
      <c r="E194" s="325"/>
      <c r="F194" s="325"/>
      <c r="G194" s="728"/>
      <c r="H194" s="325"/>
      <c r="I194" s="325"/>
      <c r="J194" s="325"/>
      <c r="K194" s="325"/>
      <c r="L194" s="325"/>
      <c r="M194" s="325"/>
      <c r="N194" s="728"/>
      <c r="O194" s="728"/>
      <c r="P194" s="325"/>
      <c r="Q194" s="325"/>
      <c r="R194" s="325"/>
      <c r="S194" s="325"/>
      <c r="T194" s="325"/>
      <c r="U194" s="728"/>
      <c r="V194" s="325">
        <f>V193-V192</f>
        <v>119</v>
      </c>
      <c r="W194" s="325"/>
      <c r="X194" s="325"/>
      <c r="Y194" s="325"/>
      <c r="Z194" s="325"/>
      <c r="AA194" s="325"/>
      <c r="AB194" s="728"/>
      <c r="AC194" s="325"/>
      <c r="AD194" s="325"/>
      <c r="AE194" s="325"/>
      <c r="AF194" s="728"/>
      <c r="AG194" s="325"/>
      <c r="AH194" s="325">
        <f>AH193-AH192</f>
        <v>1</v>
      </c>
      <c r="AI194" s="321">
        <f t="shared" si="19"/>
        <v>120</v>
      </c>
      <c r="AJ194" s="317">
        <v>1409</v>
      </c>
      <c r="AK194" s="221">
        <f>AI194*AJ194</f>
        <v>169080</v>
      </c>
      <c r="AO194" s="323"/>
      <c r="AQ194" s="609"/>
    </row>
    <row r="195" spans="1:43" s="322" customFormat="1" ht="15.75" customHeight="1">
      <c r="A195" s="295"/>
      <c r="B195" s="220" t="s">
        <v>721</v>
      </c>
      <c r="C195" s="618"/>
      <c r="D195" s="728"/>
      <c r="E195" s="325"/>
      <c r="F195" s="325"/>
      <c r="G195" s="728"/>
      <c r="H195" s="325"/>
      <c r="I195" s="325">
        <f>I193-I192</f>
        <v>41</v>
      </c>
      <c r="J195" s="325"/>
      <c r="K195" s="325"/>
      <c r="L195" s="325"/>
      <c r="M195" s="325"/>
      <c r="N195" s="728"/>
      <c r="O195" s="727"/>
      <c r="P195" s="324"/>
      <c r="Q195" s="325"/>
      <c r="R195" s="325"/>
      <c r="S195" s="325"/>
      <c r="T195" s="325">
        <f>T193-T192</f>
        <v>3</v>
      </c>
      <c r="U195" s="728"/>
      <c r="V195" s="325"/>
      <c r="W195" s="325"/>
      <c r="X195" s="325"/>
      <c r="Y195" s="325"/>
      <c r="Z195" s="325"/>
      <c r="AA195" s="325"/>
      <c r="AB195" s="728"/>
      <c r="AC195" s="325"/>
      <c r="AD195" s="325"/>
      <c r="AE195" s="325"/>
      <c r="AF195" s="728"/>
      <c r="AG195" s="325"/>
      <c r="AH195" s="325"/>
      <c r="AI195" s="321">
        <f t="shared" si="19"/>
        <v>44</v>
      </c>
      <c r="AJ195" s="317">
        <v>1322</v>
      </c>
      <c r="AK195" s="221">
        <f>AI195*AJ195</f>
        <v>58168</v>
      </c>
      <c r="AO195" s="323"/>
      <c r="AQ195" s="609"/>
    </row>
    <row r="196" spans="1:43" s="322" customFormat="1" ht="15.75" customHeight="1">
      <c r="A196" s="295"/>
      <c r="B196" s="220" t="s">
        <v>366</v>
      </c>
      <c r="C196" s="618"/>
      <c r="D196" s="728"/>
      <c r="E196" s="325"/>
      <c r="F196" s="325"/>
      <c r="G196" s="728"/>
      <c r="H196" s="325"/>
      <c r="I196" s="325"/>
      <c r="J196" s="325"/>
      <c r="K196" s="325"/>
      <c r="L196" s="325"/>
      <c r="M196" s="325"/>
      <c r="N196" s="728"/>
      <c r="O196" s="728"/>
      <c r="P196" s="325"/>
      <c r="Q196" s="325">
        <f>Q193-Q192</f>
        <v>26</v>
      </c>
      <c r="R196" s="325"/>
      <c r="S196" s="325"/>
      <c r="T196" s="325"/>
      <c r="U196" s="728"/>
      <c r="V196" s="325"/>
      <c r="W196" s="325"/>
      <c r="X196" s="325"/>
      <c r="Y196" s="325"/>
      <c r="Z196" s="325"/>
      <c r="AA196" s="325"/>
      <c r="AB196" s="728"/>
      <c r="AC196" s="325"/>
      <c r="AD196" s="325"/>
      <c r="AE196" s="325"/>
      <c r="AF196" s="728"/>
      <c r="AG196" s="325"/>
      <c r="AH196" s="325"/>
      <c r="AI196" s="321">
        <f t="shared" si="19"/>
        <v>26</v>
      </c>
      <c r="AJ196" s="317">
        <v>1233</v>
      </c>
      <c r="AK196" s="221">
        <f>AI196*AJ196</f>
        <v>32058</v>
      </c>
      <c r="AO196" s="323"/>
      <c r="AQ196" s="609"/>
    </row>
    <row r="197" spans="1:43" s="322" customFormat="1" ht="15.75" customHeight="1">
      <c r="A197" s="295"/>
      <c r="B197" s="220" t="s">
        <v>643</v>
      </c>
      <c r="C197" s="618"/>
      <c r="D197" s="728"/>
      <c r="E197" s="325"/>
      <c r="F197" s="325"/>
      <c r="G197" s="728"/>
      <c r="H197" s="325"/>
      <c r="I197" s="325"/>
      <c r="J197" s="325"/>
      <c r="K197" s="325"/>
      <c r="L197" s="325"/>
      <c r="M197" s="325"/>
      <c r="N197" s="728"/>
      <c r="O197" s="728"/>
      <c r="P197" s="325"/>
      <c r="Q197" s="325"/>
      <c r="R197" s="325"/>
      <c r="S197" s="325"/>
      <c r="T197" s="325"/>
      <c r="U197" s="728"/>
      <c r="V197" s="325"/>
      <c r="W197" s="325"/>
      <c r="X197" s="325"/>
      <c r="Y197" s="325"/>
      <c r="Z197" s="325"/>
      <c r="AA197" s="325"/>
      <c r="AB197" s="728"/>
      <c r="AC197" s="325"/>
      <c r="AD197" s="325"/>
      <c r="AE197" s="325"/>
      <c r="AF197" s="728"/>
      <c r="AG197" s="325"/>
      <c r="AH197" s="325"/>
      <c r="AI197" s="321">
        <f t="shared" si="19"/>
        <v>0</v>
      </c>
      <c r="AJ197" s="317">
        <v>1043</v>
      </c>
      <c r="AK197" s="221">
        <f>AI197*AJ197</f>
        <v>0</v>
      </c>
      <c r="AO197" s="323"/>
      <c r="AQ197" s="609"/>
    </row>
    <row r="198" spans="1:43" s="322" customFormat="1" ht="15.75" customHeight="1">
      <c r="A198" s="295"/>
      <c r="B198" s="220" t="s">
        <v>367</v>
      </c>
      <c r="C198" s="618"/>
      <c r="D198" s="728"/>
      <c r="E198" s="325"/>
      <c r="F198" s="325"/>
      <c r="G198" s="728"/>
      <c r="H198" s="325"/>
      <c r="I198" s="325"/>
      <c r="J198" s="325"/>
      <c r="K198" s="325"/>
      <c r="L198" s="325"/>
      <c r="M198" s="325"/>
      <c r="N198" s="728"/>
      <c r="O198" s="728"/>
      <c r="P198" s="325"/>
      <c r="Q198" s="325"/>
      <c r="R198" s="325"/>
      <c r="S198" s="325"/>
      <c r="T198" s="325"/>
      <c r="U198" s="728"/>
      <c r="V198" s="325"/>
      <c r="W198" s="325"/>
      <c r="X198" s="325"/>
      <c r="Y198" s="325"/>
      <c r="Z198" s="325"/>
      <c r="AA198" s="325"/>
      <c r="AB198" s="728"/>
      <c r="AC198" s="325"/>
      <c r="AD198" s="325"/>
      <c r="AE198" s="325"/>
      <c r="AF198" s="728"/>
      <c r="AG198" s="325"/>
      <c r="AH198" s="325"/>
      <c r="AI198" s="321">
        <f t="shared" si="19"/>
        <v>0</v>
      </c>
      <c r="AJ198" s="317"/>
      <c r="AK198" s="221">
        <f>AI198*AJ198</f>
        <v>0</v>
      </c>
      <c r="AL198" s="326"/>
      <c r="AM198" s="326"/>
      <c r="AN198" s="326"/>
      <c r="AO198" s="323"/>
      <c r="AP198" s="326"/>
      <c r="AQ198" s="609"/>
    </row>
    <row r="199" spans="1:43" s="330" customFormat="1" ht="15.75" customHeight="1">
      <c r="A199" s="295"/>
      <c r="B199" s="298" t="s">
        <v>259</v>
      </c>
      <c r="C199" s="620"/>
      <c r="D199" s="729"/>
      <c r="E199" s="327"/>
      <c r="F199" s="327"/>
      <c r="G199" s="729"/>
      <c r="H199" s="327"/>
      <c r="I199" s="327"/>
      <c r="J199" s="327"/>
      <c r="K199" s="327"/>
      <c r="L199" s="327"/>
      <c r="M199" s="327"/>
      <c r="N199" s="729"/>
      <c r="O199" s="729"/>
      <c r="P199" s="327"/>
      <c r="Q199" s="327"/>
      <c r="R199" s="327"/>
      <c r="S199" s="327"/>
      <c r="T199" s="327"/>
      <c r="U199" s="729"/>
      <c r="V199" s="327"/>
      <c r="W199" s="327"/>
      <c r="X199" s="332"/>
      <c r="Y199" s="332"/>
      <c r="Z199" s="327"/>
      <c r="AA199" s="327"/>
      <c r="AB199" s="729"/>
      <c r="AC199" s="327"/>
      <c r="AD199" s="327"/>
      <c r="AE199" s="327"/>
      <c r="AF199" s="729"/>
      <c r="AG199" s="327"/>
      <c r="AH199" s="327"/>
      <c r="AI199" s="328">
        <f t="shared" si="19"/>
        <v>0</v>
      </c>
      <c r="AJ199" s="333"/>
      <c r="AK199" s="222">
        <f>SUM(AK194:AK198)</f>
        <v>259306</v>
      </c>
      <c r="AL199" s="334"/>
      <c r="AM199" s="334"/>
      <c r="AN199" s="334"/>
      <c r="AO199" s="331"/>
      <c r="AP199" s="334"/>
      <c r="AQ199" s="610"/>
    </row>
    <row r="200" spans="1:43" s="322" customFormat="1" ht="15.75" customHeight="1">
      <c r="A200" s="295"/>
      <c r="B200" s="220" t="s">
        <v>57</v>
      </c>
      <c r="C200" s="618"/>
      <c r="D200" s="728"/>
      <c r="E200" s="325"/>
      <c r="F200" s="325">
        <v>7</v>
      </c>
      <c r="G200" s="728"/>
      <c r="H200" s="325">
        <v>8</v>
      </c>
      <c r="I200" s="325">
        <v>14</v>
      </c>
      <c r="J200" s="325">
        <v>3</v>
      </c>
      <c r="K200" s="325"/>
      <c r="L200" s="325">
        <v>9</v>
      </c>
      <c r="M200" s="325">
        <v>5</v>
      </c>
      <c r="N200" s="728"/>
      <c r="O200" s="728"/>
      <c r="P200" s="325">
        <v>3</v>
      </c>
      <c r="Q200" s="325">
        <v>9</v>
      </c>
      <c r="R200" s="325">
        <v>8</v>
      </c>
      <c r="S200" s="325">
        <v>8</v>
      </c>
      <c r="T200" s="325">
        <v>7</v>
      </c>
      <c r="U200" s="728"/>
      <c r="V200" s="325">
        <v>20</v>
      </c>
      <c r="W200" s="325">
        <v>2</v>
      </c>
      <c r="X200" s="325">
        <v>5</v>
      </c>
      <c r="Y200" s="325"/>
      <c r="Z200" s="325">
        <v>3</v>
      </c>
      <c r="AA200" s="325">
        <v>6</v>
      </c>
      <c r="AB200" s="728"/>
      <c r="AC200" s="325">
        <v>4</v>
      </c>
      <c r="AD200" s="325"/>
      <c r="AE200" s="325">
        <v>11</v>
      </c>
      <c r="AF200" s="728"/>
      <c r="AG200" s="325">
        <v>5</v>
      </c>
      <c r="AH200" s="325">
        <v>6</v>
      </c>
      <c r="AI200" s="321">
        <f t="shared" si="19"/>
        <v>143</v>
      </c>
      <c r="AJ200" s="317">
        <v>1750</v>
      </c>
      <c r="AK200" s="221">
        <f>AI200*AJ200</f>
        <v>250250</v>
      </c>
      <c r="AL200" s="326"/>
      <c r="AM200" s="326"/>
      <c r="AN200" s="326"/>
      <c r="AO200" s="323"/>
      <c r="AP200" s="326"/>
      <c r="AQ200" s="609"/>
    </row>
    <row r="201" spans="1:43" s="360" customFormat="1" ht="15.75" customHeight="1" thickBot="1">
      <c r="A201" s="352"/>
      <c r="B201" s="353" t="s">
        <v>44</v>
      </c>
      <c r="C201" s="621"/>
      <c r="D201" s="730"/>
      <c r="E201" s="354"/>
      <c r="F201" s="354"/>
      <c r="G201" s="730"/>
      <c r="H201" s="354"/>
      <c r="I201" s="354"/>
      <c r="J201" s="354"/>
      <c r="K201" s="354"/>
      <c r="L201" s="354"/>
      <c r="M201" s="354"/>
      <c r="N201" s="730"/>
      <c r="O201" s="730"/>
      <c r="P201" s="354"/>
      <c r="Q201" s="354"/>
      <c r="R201" s="354"/>
      <c r="S201" s="354"/>
      <c r="T201" s="354"/>
      <c r="U201" s="1071"/>
      <c r="V201" s="354"/>
      <c r="W201" s="354"/>
      <c r="X201" s="354"/>
      <c r="Y201" s="354"/>
      <c r="Z201" s="354">
        <v>53946</v>
      </c>
      <c r="AA201" s="354"/>
      <c r="AB201" s="730"/>
      <c r="AC201" s="354"/>
      <c r="AD201" s="354"/>
      <c r="AE201" s="354"/>
      <c r="AF201" s="730"/>
      <c r="AG201" s="354"/>
      <c r="AH201" s="354"/>
      <c r="AI201" s="355">
        <f t="shared" si="19"/>
        <v>53946</v>
      </c>
      <c r="AJ201" s="356"/>
      <c r="AK201" s="357">
        <f>AI201</f>
        <v>53946</v>
      </c>
      <c r="AL201" s="358"/>
      <c r="AM201" s="358"/>
      <c r="AN201" s="358"/>
      <c r="AO201" s="359"/>
      <c r="AP201" s="358"/>
      <c r="AQ201" s="611"/>
    </row>
    <row r="202" spans="1:43" s="216" customFormat="1" ht="15.75" customHeight="1" thickTop="1">
      <c r="A202" s="293">
        <v>16</v>
      </c>
      <c r="B202" s="452" t="s">
        <v>646</v>
      </c>
      <c r="C202" s="629"/>
      <c r="D202" s="731"/>
      <c r="E202" s="308">
        <v>1</v>
      </c>
      <c r="F202" s="308">
        <v>1</v>
      </c>
      <c r="G202" s="731"/>
      <c r="H202" s="308">
        <v>1</v>
      </c>
      <c r="I202" s="308">
        <v>1</v>
      </c>
      <c r="J202" s="308">
        <v>1</v>
      </c>
      <c r="K202" s="308">
        <v>1</v>
      </c>
      <c r="L202" s="308">
        <v>1</v>
      </c>
      <c r="M202" s="308">
        <v>1</v>
      </c>
      <c r="N202" s="731"/>
      <c r="O202" s="731"/>
      <c r="P202" s="308">
        <v>1</v>
      </c>
      <c r="Q202" s="308"/>
      <c r="R202" s="308">
        <v>1</v>
      </c>
      <c r="S202" s="308">
        <v>1</v>
      </c>
      <c r="T202" s="308">
        <v>1</v>
      </c>
      <c r="U202" s="731"/>
      <c r="V202" s="308">
        <v>1</v>
      </c>
      <c r="W202" s="308"/>
      <c r="X202" s="308"/>
      <c r="Y202" s="308"/>
      <c r="Z202" s="308"/>
      <c r="AA202" s="308"/>
      <c r="AB202" s="731"/>
      <c r="AC202" s="308"/>
      <c r="AD202" s="308"/>
      <c r="AE202" s="308"/>
      <c r="AF202" s="731"/>
      <c r="AG202" s="308"/>
      <c r="AH202" s="308"/>
      <c r="AI202" s="309">
        <f t="shared" si="19"/>
        <v>13</v>
      </c>
      <c r="AJ202" s="310"/>
      <c r="AK202" s="224"/>
      <c r="AL202" s="311"/>
      <c r="AN202" s="312"/>
      <c r="AO202" s="313"/>
      <c r="AP202" s="314"/>
      <c r="AQ202" s="608"/>
    </row>
    <row r="203" spans="1:43" s="322" customFormat="1" ht="49.5" customHeight="1">
      <c r="A203" s="295"/>
      <c r="B203" s="297" t="s">
        <v>188</v>
      </c>
      <c r="C203" s="619"/>
      <c r="D203" s="726"/>
      <c r="E203" s="318" t="s">
        <v>792</v>
      </c>
      <c r="F203" s="318" t="s">
        <v>816</v>
      </c>
      <c r="G203" s="726"/>
      <c r="H203" s="318" t="s">
        <v>810</v>
      </c>
      <c r="I203" s="318" t="s">
        <v>797</v>
      </c>
      <c r="J203" s="318" t="s">
        <v>831</v>
      </c>
      <c r="K203" s="318" t="s">
        <v>791</v>
      </c>
      <c r="L203" s="318" t="s">
        <v>792</v>
      </c>
      <c r="M203" s="318" t="s">
        <v>799</v>
      </c>
      <c r="N203" s="726"/>
      <c r="O203" s="726"/>
      <c r="P203" s="318" t="s">
        <v>801</v>
      </c>
      <c r="Q203" s="319"/>
      <c r="R203" s="318" t="s">
        <v>797</v>
      </c>
      <c r="S203" s="319" t="s">
        <v>789</v>
      </c>
      <c r="T203" s="318" t="s">
        <v>791</v>
      </c>
      <c r="U203" s="726"/>
      <c r="V203" s="318" t="s">
        <v>792</v>
      </c>
      <c r="W203" s="509"/>
      <c r="X203" s="318"/>
      <c r="Y203" s="318"/>
      <c r="Z203" s="320"/>
      <c r="AA203" s="318"/>
      <c r="AB203" s="726"/>
      <c r="AC203" s="318"/>
      <c r="AD203" s="318"/>
      <c r="AE203" s="318"/>
      <c r="AF203" s="726"/>
      <c r="AG203" s="318"/>
      <c r="AH203" s="318"/>
      <c r="AI203" s="321"/>
      <c r="AJ203" s="317"/>
      <c r="AK203" s="221"/>
      <c r="AO203" s="323"/>
      <c r="AQ203" s="609"/>
    </row>
    <row r="204" spans="1:43" s="322" customFormat="1" ht="15.75" customHeight="1">
      <c r="A204" s="295"/>
      <c r="B204" s="297" t="s">
        <v>281</v>
      </c>
      <c r="C204" s="619"/>
      <c r="D204" s="727"/>
      <c r="E204" s="324" t="s">
        <v>894</v>
      </c>
      <c r="F204" s="324" t="s">
        <v>895</v>
      </c>
      <c r="G204" s="727"/>
      <c r="H204" s="324" t="s">
        <v>896</v>
      </c>
      <c r="I204" s="324" t="s">
        <v>853</v>
      </c>
      <c r="J204" s="324" t="s">
        <v>897</v>
      </c>
      <c r="K204" s="324" t="s">
        <v>898</v>
      </c>
      <c r="L204" s="324" t="s">
        <v>897</v>
      </c>
      <c r="M204" s="324" t="s">
        <v>898</v>
      </c>
      <c r="N204" s="727"/>
      <c r="O204" s="727"/>
      <c r="P204" s="324" t="s">
        <v>76</v>
      </c>
      <c r="Q204" s="324"/>
      <c r="R204" s="324" t="s">
        <v>899</v>
      </c>
      <c r="S204" s="324" t="s">
        <v>897</v>
      </c>
      <c r="T204" s="324" t="s">
        <v>922</v>
      </c>
      <c r="U204" s="727"/>
      <c r="V204" s="324" t="s">
        <v>897</v>
      </c>
      <c r="W204" s="460"/>
      <c r="X204" s="324"/>
      <c r="Y204" s="324"/>
      <c r="Z204" s="324"/>
      <c r="AA204" s="324"/>
      <c r="AB204" s="727"/>
      <c r="AC204" s="324"/>
      <c r="AD204" s="324"/>
      <c r="AE204" s="324"/>
      <c r="AF204" s="727"/>
      <c r="AG204" s="324"/>
      <c r="AH204" s="324"/>
      <c r="AI204" s="321"/>
      <c r="AJ204" s="317"/>
      <c r="AK204" s="221"/>
      <c r="AO204" s="323"/>
      <c r="AQ204" s="609"/>
    </row>
    <row r="205" spans="1:43" s="322" customFormat="1" ht="15.75" customHeight="1">
      <c r="A205" s="295"/>
      <c r="B205" s="220" t="s">
        <v>260</v>
      </c>
      <c r="C205" s="618"/>
      <c r="D205" s="728"/>
      <c r="E205" s="325">
        <v>90</v>
      </c>
      <c r="F205" s="325">
        <v>90</v>
      </c>
      <c r="G205" s="728"/>
      <c r="H205" s="325">
        <v>103</v>
      </c>
      <c r="I205" s="325">
        <v>114</v>
      </c>
      <c r="J205" s="325">
        <v>103</v>
      </c>
      <c r="K205" s="325">
        <v>103</v>
      </c>
      <c r="L205" s="325">
        <v>90</v>
      </c>
      <c r="M205" s="325">
        <v>90</v>
      </c>
      <c r="N205" s="728"/>
      <c r="O205" s="728"/>
      <c r="P205" s="325">
        <v>103</v>
      </c>
      <c r="Q205" s="325"/>
      <c r="R205" s="325">
        <v>114</v>
      </c>
      <c r="S205" s="325">
        <v>103</v>
      </c>
      <c r="T205" s="325">
        <v>103</v>
      </c>
      <c r="U205" s="728"/>
      <c r="V205" s="325">
        <v>90</v>
      </c>
      <c r="W205" s="325"/>
      <c r="X205" s="325"/>
      <c r="Y205" s="325"/>
      <c r="Z205" s="325"/>
      <c r="AA205" s="325"/>
      <c r="AB205" s="728"/>
      <c r="AC205" s="325"/>
      <c r="AD205" s="325"/>
      <c r="AE205" s="325"/>
      <c r="AF205" s="728"/>
      <c r="AG205" s="325"/>
      <c r="AH205" s="325"/>
      <c r="AI205" s="321">
        <f t="shared" ref="AI205:AI215" si="20">SUM(D205:AH205)</f>
        <v>1296</v>
      </c>
      <c r="AJ205" s="294"/>
      <c r="AK205" s="221"/>
      <c r="AO205" s="323"/>
      <c r="AQ205" s="609"/>
    </row>
    <row r="206" spans="1:43" s="330" customFormat="1" ht="15.75" customHeight="1">
      <c r="A206" s="295"/>
      <c r="B206" s="298" t="s">
        <v>56</v>
      </c>
      <c r="C206" s="620"/>
      <c r="D206" s="729"/>
      <c r="E206" s="327">
        <v>118</v>
      </c>
      <c r="F206" s="327">
        <v>51</v>
      </c>
      <c r="G206" s="729"/>
      <c r="H206" s="327">
        <v>228</v>
      </c>
      <c r="I206" s="327">
        <v>147</v>
      </c>
      <c r="J206" s="327">
        <v>86</v>
      </c>
      <c r="K206" s="327">
        <v>64</v>
      </c>
      <c r="L206" s="327">
        <v>31</v>
      </c>
      <c r="M206" s="327">
        <v>44</v>
      </c>
      <c r="N206" s="729"/>
      <c r="O206" s="729"/>
      <c r="P206" s="327">
        <v>102</v>
      </c>
      <c r="Q206" s="327"/>
      <c r="R206" s="327">
        <v>145</v>
      </c>
      <c r="S206" s="327">
        <f>262+3+13</f>
        <v>278</v>
      </c>
      <c r="T206" s="327">
        <v>55</v>
      </c>
      <c r="U206" s="729"/>
      <c r="V206" s="327">
        <v>107</v>
      </c>
      <c r="W206" s="327"/>
      <c r="X206" s="327"/>
      <c r="Y206" s="327"/>
      <c r="Z206" s="327"/>
      <c r="AA206" s="327"/>
      <c r="AB206" s="729"/>
      <c r="AC206" s="327"/>
      <c r="AD206" s="327"/>
      <c r="AE206" s="327"/>
      <c r="AF206" s="729"/>
      <c r="AG206" s="327"/>
      <c r="AH206" s="327"/>
      <c r="AI206" s="328">
        <f t="shared" si="20"/>
        <v>1456</v>
      </c>
      <c r="AJ206" s="296"/>
      <c r="AK206" s="222"/>
      <c r="AL206" s="329"/>
      <c r="AO206" s="331"/>
      <c r="AQ206" s="610"/>
    </row>
    <row r="207" spans="1:43" s="322" customFormat="1" ht="15.75" customHeight="1">
      <c r="A207" s="295"/>
      <c r="B207" s="220" t="s">
        <v>642</v>
      </c>
      <c r="C207" s="618"/>
      <c r="D207" s="728"/>
      <c r="E207" s="325">
        <f>E206-E205</f>
        <v>28</v>
      </c>
      <c r="F207" s="325"/>
      <c r="G207" s="728"/>
      <c r="H207" s="325"/>
      <c r="I207" s="325"/>
      <c r="J207" s="325"/>
      <c r="K207" s="325"/>
      <c r="L207" s="325"/>
      <c r="M207" s="325"/>
      <c r="N207" s="728"/>
      <c r="O207" s="728"/>
      <c r="P207" s="325"/>
      <c r="Q207" s="325"/>
      <c r="R207" s="325"/>
      <c r="S207" s="325"/>
      <c r="T207" s="325"/>
      <c r="U207" s="728"/>
      <c r="V207" s="325">
        <f>V206-V205</f>
        <v>17</v>
      </c>
      <c r="W207" s="325"/>
      <c r="X207" s="325"/>
      <c r="Y207" s="325"/>
      <c r="Z207" s="325"/>
      <c r="AA207" s="325"/>
      <c r="AB207" s="728"/>
      <c r="AC207" s="325"/>
      <c r="AD207" s="325"/>
      <c r="AE207" s="325"/>
      <c r="AF207" s="728"/>
      <c r="AG207" s="325"/>
      <c r="AH207" s="325"/>
      <c r="AI207" s="321">
        <f t="shared" si="20"/>
        <v>45</v>
      </c>
      <c r="AJ207" s="317">
        <v>1409</v>
      </c>
      <c r="AK207" s="221">
        <f>AI207*AJ207</f>
        <v>63405</v>
      </c>
      <c r="AO207" s="323"/>
      <c r="AQ207" s="609"/>
    </row>
    <row r="208" spans="1:43" s="322" customFormat="1" ht="15.75" customHeight="1">
      <c r="A208" s="295"/>
      <c r="B208" s="220" t="s">
        <v>721</v>
      </c>
      <c r="C208" s="618"/>
      <c r="D208" s="728"/>
      <c r="E208" s="325"/>
      <c r="F208" s="325"/>
      <c r="G208" s="728"/>
      <c r="H208" s="325">
        <f>H206-H205</f>
        <v>125</v>
      </c>
      <c r="I208" s="325"/>
      <c r="J208" s="325"/>
      <c r="K208" s="325"/>
      <c r="L208" s="325"/>
      <c r="M208" s="325"/>
      <c r="N208" s="728"/>
      <c r="O208" s="727"/>
      <c r="P208" s="324"/>
      <c r="Q208" s="325"/>
      <c r="R208" s="325"/>
      <c r="S208" s="325">
        <f>S206-S205</f>
        <v>175</v>
      </c>
      <c r="T208" s="325"/>
      <c r="U208" s="728"/>
      <c r="V208" s="325"/>
      <c r="W208" s="325"/>
      <c r="X208" s="325"/>
      <c r="Y208" s="325"/>
      <c r="Z208" s="325"/>
      <c r="AA208" s="325"/>
      <c r="AB208" s="728"/>
      <c r="AC208" s="325"/>
      <c r="AD208" s="325"/>
      <c r="AE208" s="325"/>
      <c r="AF208" s="728"/>
      <c r="AG208" s="325"/>
      <c r="AH208" s="325"/>
      <c r="AI208" s="321">
        <f t="shared" si="20"/>
        <v>300</v>
      </c>
      <c r="AJ208" s="317">
        <v>1322</v>
      </c>
      <c r="AK208" s="221">
        <f>AI208*AJ208</f>
        <v>396600</v>
      </c>
      <c r="AO208" s="323"/>
      <c r="AQ208" s="609"/>
    </row>
    <row r="209" spans="1:43" s="322" customFormat="1" ht="15.75" customHeight="1">
      <c r="A209" s="295"/>
      <c r="B209" s="220" t="s">
        <v>366</v>
      </c>
      <c r="C209" s="618"/>
      <c r="D209" s="728"/>
      <c r="E209" s="325"/>
      <c r="F209" s="325"/>
      <c r="G209" s="728"/>
      <c r="H209" s="325"/>
      <c r="I209" s="325">
        <f>I206-I205</f>
        <v>33</v>
      </c>
      <c r="J209" s="325"/>
      <c r="K209" s="325"/>
      <c r="L209" s="325"/>
      <c r="M209" s="325"/>
      <c r="N209" s="728"/>
      <c r="O209" s="728"/>
      <c r="P209" s="325"/>
      <c r="Q209" s="325"/>
      <c r="R209" s="325">
        <f>R206-R205</f>
        <v>31</v>
      </c>
      <c r="S209" s="325"/>
      <c r="T209" s="325"/>
      <c r="U209" s="728"/>
      <c r="V209" s="325"/>
      <c r="W209" s="325"/>
      <c r="X209" s="325"/>
      <c r="Y209" s="325"/>
      <c r="Z209" s="325"/>
      <c r="AA209" s="325"/>
      <c r="AB209" s="728"/>
      <c r="AC209" s="325"/>
      <c r="AD209" s="325"/>
      <c r="AE209" s="325"/>
      <c r="AF209" s="728"/>
      <c r="AG209" s="325"/>
      <c r="AH209" s="325"/>
      <c r="AI209" s="321">
        <f t="shared" si="20"/>
        <v>64</v>
      </c>
      <c r="AJ209" s="317">
        <v>1233</v>
      </c>
      <c r="AK209" s="221">
        <f>AI209*AJ209</f>
        <v>78912</v>
      </c>
      <c r="AO209" s="323"/>
      <c r="AQ209" s="609"/>
    </row>
    <row r="210" spans="1:43" s="322" customFormat="1" ht="15.75" customHeight="1">
      <c r="A210" s="295"/>
      <c r="B210" s="220" t="s">
        <v>643</v>
      </c>
      <c r="C210" s="618"/>
      <c r="D210" s="728"/>
      <c r="E210" s="325"/>
      <c r="F210" s="325"/>
      <c r="G210" s="728"/>
      <c r="H210" s="325"/>
      <c r="I210" s="325"/>
      <c r="J210" s="325"/>
      <c r="K210" s="325"/>
      <c r="L210" s="325"/>
      <c r="M210" s="325"/>
      <c r="N210" s="728"/>
      <c r="O210" s="728"/>
      <c r="P210" s="325"/>
      <c r="Q210" s="325"/>
      <c r="R210" s="325"/>
      <c r="S210" s="325"/>
      <c r="T210" s="325"/>
      <c r="U210" s="728"/>
      <c r="V210" s="325"/>
      <c r="W210" s="325"/>
      <c r="X210" s="325"/>
      <c r="Y210" s="325"/>
      <c r="Z210" s="325"/>
      <c r="AA210" s="325"/>
      <c r="AB210" s="728"/>
      <c r="AC210" s="325"/>
      <c r="AD210" s="325"/>
      <c r="AE210" s="325"/>
      <c r="AF210" s="728"/>
      <c r="AG210" s="325"/>
      <c r="AH210" s="325"/>
      <c r="AI210" s="321">
        <f t="shared" si="20"/>
        <v>0</v>
      </c>
      <c r="AJ210" s="317">
        <v>1043</v>
      </c>
      <c r="AK210" s="221">
        <f>AI210*AJ210</f>
        <v>0</v>
      </c>
      <c r="AO210" s="323"/>
      <c r="AQ210" s="609"/>
    </row>
    <row r="211" spans="1:43" s="322" customFormat="1" ht="15.75" customHeight="1">
      <c r="A211" s="295"/>
      <c r="B211" s="220" t="s">
        <v>367</v>
      </c>
      <c r="C211" s="618"/>
      <c r="D211" s="728"/>
      <c r="E211" s="325"/>
      <c r="F211" s="325"/>
      <c r="G211" s="728"/>
      <c r="H211" s="325"/>
      <c r="I211" s="325"/>
      <c r="J211" s="325"/>
      <c r="K211" s="325"/>
      <c r="L211" s="325"/>
      <c r="M211" s="325"/>
      <c r="N211" s="728"/>
      <c r="O211" s="728"/>
      <c r="P211" s="325"/>
      <c r="Q211" s="325"/>
      <c r="R211" s="325"/>
      <c r="S211" s="325"/>
      <c r="T211" s="325"/>
      <c r="U211" s="728"/>
      <c r="V211" s="325"/>
      <c r="W211" s="325"/>
      <c r="X211" s="325"/>
      <c r="Y211" s="325"/>
      <c r="Z211" s="325"/>
      <c r="AA211" s="325"/>
      <c r="AB211" s="728"/>
      <c r="AC211" s="325"/>
      <c r="AD211" s="325"/>
      <c r="AE211" s="325"/>
      <c r="AF211" s="728"/>
      <c r="AG211" s="325"/>
      <c r="AH211" s="325"/>
      <c r="AI211" s="321">
        <f t="shared" si="20"/>
        <v>0</v>
      </c>
      <c r="AJ211" s="317"/>
      <c r="AK211" s="221">
        <f>AI211*AJ211</f>
        <v>0</v>
      </c>
      <c r="AL211" s="326"/>
      <c r="AM211" s="326"/>
      <c r="AN211" s="326"/>
      <c r="AO211" s="323"/>
      <c r="AP211" s="326"/>
      <c r="AQ211" s="609"/>
    </row>
    <row r="212" spans="1:43" s="330" customFormat="1" ht="15.75" customHeight="1">
      <c r="A212" s="295"/>
      <c r="B212" s="298" t="s">
        <v>259</v>
      </c>
      <c r="C212" s="620"/>
      <c r="D212" s="729"/>
      <c r="E212" s="327"/>
      <c r="F212" s="327"/>
      <c r="G212" s="729"/>
      <c r="H212" s="327"/>
      <c r="I212" s="327"/>
      <c r="J212" s="327"/>
      <c r="K212" s="327"/>
      <c r="L212" s="327"/>
      <c r="M212" s="327"/>
      <c r="N212" s="729"/>
      <c r="O212" s="729"/>
      <c r="P212" s="327"/>
      <c r="Q212" s="327"/>
      <c r="R212" s="327"/>
      <c r="S212" s="327"/>
      <c r="T212" s="327"/>
      <c r="U212" s="729"/>
      <c r="V212" s="327"/>
      <c r="W212" s="327"/>
      <c r="X212" s="332"/>
      <c r="Y212" s="327"/>
      <c r="Z212" s="327"/>
      <c r="AA212" s="327"/>
      <c r="AB212" s="729"/>
      <c r="AC212" s="327"/>
      <c r="AD212" s="327"/>
      <c r="AE212" s="327"/>
      <c r="AF212" s="729"/>
      <c r="AG212" s="327"/>
      <c r="AH212" s="327"/>
      <c r="AI212" s="328">
        <f t="shared" si="20"/>
        <v>0</v>
      </c>
      <c r="AJ212" s="333"/>
      <c r="AK212" s="222">
        <f>SUM(AK207:AK211)</f>
        <v>538917</v>
      </c>
      <c r="AL212" s="334"/>
      <c r="AM212" s="334"/>
      <c r="AN212" s="334"/>
      <c r="AO212" s="331"/>
      <c r="AP212" s="334"/>
      <c r="AQ212" s="610"/>
    </row>
    <row r="213" spans="1:43" s="322" customFormat="1" ht="15.75" customHeight="1">
      <c r="A213" s="295"/>
      <c r="B213" s="220" t="s">
        <v>57</v>
      </c>
      <c r="C213" s="618"/>
      <c r="D213" s="728"/>
      <c r="E213" s="325">
        <v>12</v>
      </c>
      <c r="F213" s="325">
        <v>5</v>
      </c>
      <c r="G213" s="728"/>
      <c r="H213" s="325">
        <v>22</v>
      </c>
      <c r="I213" s="325">
        <v>11</v>
      </c>
      <c r="J213" s="325">
        <v>4</v>
      </c>
      <c r="K213" s="325">
        <v>4</v>
      </c>
      <c r="L213" s="325">
        <v>8</v>
      </c>
      <c r="M213" s="325">
        <v>3</v>
      </c>
      <c r="N213" s="728"/>
      <c r="O213" s="728"/>
      <c r="P213" s="325">
        <v>5</v>
      </c>
      <c r="Q213" s="325"/>
      <c r="R213" s="325">
        <v>13</v>
      </c>
      <c r="S213" s="325">
        <v>23</v>
      </c>
      <c r="T213" s="325">
        <v>7</v>
      </c>
      <c r="U213" s="728"/>
      <c r="V213" s="325">
        <v>12</v>
      </c>
      <c r="W213" s="325"/>
      <c r="X213" s="325"/>
      <c r="Y213" s="325"/>
      <c r="Z213" s="325"/>
      <c r="AA213" s="325"/>
      <c r="AB213" s="728"/>
      <c r="AC213" s="325"/>
      <c r="AD213" s="325"/>
      <c r="AE213" s="325"/>
      <c r="AF213" s="728"/>
      <c r="AG213" s="325"/>
      <c r="AH213" s="325"/>
      <c r="AI213" s="321">
        <f t="shared" si="20"/>
        <v>129</v>
      </c>
      <c r="AJ213" s="317">
        <v>1750</v>
      </c>
      <c r="AK213" s="221">
        <f>AI213*AJ213</f>
        <v>225750</v>
      </c>
      <c r="AL213" s="326"/>
      <c r="AM213" s="326"/>
      <c r="AN213" s="326"/>
      <c r="AO213" s="323"/>
      <c r="AP213" s="326"/>
      <c r="AQ213" s="609"/>
    </row>
    <row r="214" spans="1:43" s="360" customFormat="1" ht="15.75" customHeight="1" thickBot="1">
      <c r="A214" s="352"/>
      <c r="B214" s="353" t="s">
        <v>44</v>
      </c>
      <c r="C214" s="621"/>
      <c r="D214" s="730"/>
      <c r="E214" s="354"/>
      <c r="F214" s="354"/>
      <c r="G214" s="730"/>
      <c r="H214" s="354"/>
      <c r="I214" s="354"/>
      <c r="J214" s="354"/>
      <c r="K214" s="354"/>
      <c r="L214" s="354"/>
      <c r="M214" s="354"/>
      <c r="N214" s="730"/>
      <c r="O214" s="730"/>
      <c r="P214" s="354"/>
      <c r="Q214" s="354"/>
      <c r="R214" s="354"/>
      <c r="S214" s="354"/>
      <c r="T214" s="354"/>
      <c r="U214" s="1071"/>
      <c r="V214" s="354"/>
      <c r="W214" s="354"/>
      <c r="X214" s="354"/>
      <c r="Y214" s="354"/>
      <c r="Z214" s="354"/>
      <c r="AA214" s="354"/>
      <c r="AB214" s="730"/>
      <c r="AC214" s="354"/>
      <c r="AD214" s="354"/>
      <c r="AE214" s="354"/>
      <c r="AF214" s="730"/>
      <c r="AG214" s="354"/>
      <c r="AH214" s="354"/>
      <c r="AI214" s="355">
        <f t="shared" si="20"/>
        <v>0</v>
      </c>
      <c r="AJ214" s="356"/>
      <c r="AK214" s="357">
        <f>AI214</f>
        <v>0</v>
      </c>
      <c r="AL214" s="358"/>
      <c r="AM214" s="358"/>
      <c r="AN214" s="358"/>
      <c r="AO214" s="359"/>
      <c r="AP214" s="358"/>
      <c r="AQ214" s="611"/>
    </row>
    <row r="215" spans="1:43" s="216" customFormat="1" ht="15.75" customHeight="1" thickTop="1">
      <c r="A215" s="293">
        <v>17</v>
      </c>
      <c r="B215" s="219" t="s">
        <v>787</v>
      </c>
      <c r="C215" s="617"/>
      <c r="D215" s="731"/>
      <c r="E215" s="308">
        <v>1</v>
      </c>
      <c r="F215" s="308">
        <v>1</v>
      </c>
      <c r="G215" s="731"/>
      <c r="H215" s="308">
        <v>1</v>
      </c>
      <c r="I215" s="308">
        <v>1</v>
      </c>
      <c r="J215" s="308">
        <v>1</v>
      </c>
      <c r="K215" s="308">
        <v>1</v>
      </c>
      <c r="L215" s="308">
        <v>1</v>
      </c>
      <c r="M215" s="308">
        <v>1</v>
      </c>
      <c r="N215" s="731"/>
      <c r="O215" s="731"/>
      <c r="P215" s="308">
        <v>1</v>
      </c>
      <c r="Q215" s="308">
        <v>1</v>
      </c>
      <c r="R215" s="308">
        <v>1</v>
      </c>
      <c r="S215" s="308">
        <v>1</v>
      </c>
      <c r="T215" s="308">
        <v>1</v>
      </c>
      <c r="U215" s="731"/>
      <c r="V215" s="308">
        <v>1</v>
      </c>
      <c r="W215" s="308">
        <v>1</v>
      </c>
      <c r="X215" s="308">
        <v>1</v>
      </c>
      <c r="Y215" s="308">
        <v>1</v>
      </c>
      <c r="Z215" s="308">
        <v>1</v>
      </c>
      <c r="AA215" s="308">
        <v>1</v>
      </c>
      <c r="AB215" s="731"/>
      <c r="AC215" s="308">
        <v>1</v>
      </c>
      <c r="AD215" s="308">
        <v>1</v>
      </c>
      <c r="AE215" s="308">
        <v>1</v>
      </c>
      <c r="AF215" s="731"/>
      <c r="AG215" s="308">
        <v>1</v>
      </c>
      <c r="AH215" s="308">
        <v>1</v>
      </c>
      <c r="AI215" s="309">
        <f t="shared" si="20"/>
        <v>24</v>
      </c>
      <c r="AJ215" s="310"/>
      <c r="AK215" s="224"/>
      <c r="AL215" s="311"/>
      <c r="AN215" s="312"/>
      <c r="AO215" s="313"/>
      <c r="AP215" s="314"/>
      <c r="AQ215" s="608"/>
    </row>
    <row r="216" spans="1:43" s="322" customFormat="1" ht="50.25" customHeight="1">
      <c r="A216" s="295"/>
      <c r="B216" s="297" t="s">
        <v>188</v>
      </c>
      <c r="C216" s="619"/>
      <c r="D216" s="726"/>
      <c r="E216" s="318" t="s">
        <v>791</v>
      </c>
      <c r="F216" s="318" t="s">
        <v>792</v>
      </c>
      <c r="G216" s="726"/>
      <c r="H216" s="318" t="s">
        <v>810</v>
      </c>
      <c r="I216" s="318" t="s">
        <v>795</v>
      </c>
      <c r="J216" s="1228" t="s">
        <v>824</v>
      </c>
      <c r="K216" s="318" t="s">
        <v>791</v>
      </c>
      <c r="L216" s="318" t="s">
        <v>792</v>
      </c>
      <c r="M216" s="318" t="s">
        <v>816</v>
      </c>
      <c r="N216" s="726"/>
      <c r="O216" s="726"/>
      <c r="P216" s="318" t="s">
        <v>801</v>
      </c>
      <c r="Q216" s="319" t="s">
        <v>804</v>
      </c>
      <c r="R216" s="318" t="s">
        <v>795</v>
      </c>
      <c r="S216" s="319" t="s">
        <v>912</v>
      </c>
      <c r="T216" s="318" t="s">
        <v>903</v>
      </c>
      <c r="U216" s="726"/>
      <c r="V216" s="318" t="s">
        <v>907</v>
      </c>
      <c r="W216" s="509" t="s">
        <v>816</v>
      </c>
      <c r="X216" s="318" t="s">
        <v>797</v>
      </c>
      <c r="Y216" s="318" t="s">
        <v>795</v>
      </c>
      <c r="Z216" s="320" t="s">
        <v>912</v>
      </c>
      <c r="AA216" s="1228" t="s">
        <v>983</v>
      </c>
      <c r="AB216" s="726"/>
      <c r="AC216" s="318" t="s">
        <v>816</v>
      </c>
      <c r="AD216" s="318" t="s">
        <v>801</v>
      </c>
      <c r="AE216" s="318" t="s">
        <v>804</v>
      </c>
      <c r="AF216" s="726"/>
      <c r="AG216" s="318" t="s">
        <v>795</v>
      </c>
      <c r="AH216" s="318" t="s">
        <v>831</v>
      </c>
      <c r="AI216" s="321"/>
      <c r="AJ216" s="317"/>
      <c r="AK216" s="221"/>
      <c r="AO216" s="323"/>
      <c r="AQ216" s="609"/>
    </row>
    <row r="217" spans="1:43" s="322" customFormat="1" ht="18.75" customHeight="1">
      <c r="A217" s="295"/>
      <c r="B217" s="297" t="s">
        <v>281</v>
      </c>
      <c r="C217" s="619"/>
      <c r="D217" s="727"/>
      <c r="E217" s="1227" t="s">
        <v>821</v>
      </c>
      <c r="F217" s="324"/>
      <c r="G217" s="727"/>
      <c r="H217" s="324" t="s">
        <v>822</v>
      </c>
      <c r="I217" s="324" t="s">
        <v>823</v>
      </c>
      <c r="J217" s="324">
        <v>19</v>
      </c>
      <c r="K217" s="324" t="s">
        <v>823</v>
      </c>
      <c r="L217" s="324">
        <v>19</v>
      </c>
      <c r="M217" s="324" t="s">
        <v>825</v>
      </c>
      <c r="N217" s="727"/>
      <c r="O217" s="727"/>
      <c r="P217" s="324">
        <v>19</v>
      </c>
      <c r="Q217" s="324" t="s">
        <v>826</v>
      </c>
      <c r="R217" s="324">
        <v>19</v>
      </c>
      <c r="S217" s="324">
        <v>19</v>
      </c>
      <c r="T217" s="324">
        <v>19</v>
      </c>
      <c r="U217" s="727"/>
      <c r="V217" s="324" t="s">
        <v>931</v>
      </c>
      <c r="W217" s="460" t="s">
        <v>932</v>
      </c>
      <c r="X217" s="324" t="s">
        <v>952</v>
      </c>
      <c r="Y217" s="324">
        <v>19</v>
      </c>
      <c r="Z217" s="324">
        <v>2</v>
      </c>
      <c r="AA217" s="324">
        <v>19</v>
      </c>
      <c r="AB217" s="727"/>
      <c r="AC217" s="324" t="s">
        <v>986</v>
      </c>
      <c r="AD217" s="324" t="s">
        <v>991</v>
      </c>
      <c r="AE217" s="324" t="s">
        <v>80</v>
      </c>
      <c r="AF217" s="727"/>
      <c r="AG217" s="324" t="s">
        <v>931</v>
      </c>
      <c r="AH217" s="324">
        <v>19</v>
      </c>
      <c r="AI217" s="321"/>
      <c r="AJ217" s="317"/>
      <c r="AK217" s="221"/>
      <c r="AO217" s="323"/>
      <c r="AQ217" s="609"/>
    </row>
    <row r="218" spans="1:43" s="322" customFormat="1" ht="15.75" customHeight="1">
      <c r="A218" s="295"/>
      <c r="B218" s="220" t="s">
        <v>260</v>
      </c>
      <c r="C218" s="618"/>
      <c r="D218" s="728"/>
      <c r="E218" s="325">
        <v>103</v>
      </c>
      <c r="F218" s="325"/>
      <c r="G218" s="728"/>
      <c r="H218" s="325">
        <v>103</v>
      </c>
      <c r="I218" s="325">
        <v>114</v>
      </c>
      <c r="J218" s="325">
        <v>103</v>
      </c>
      <c r="K218" s="325">
        <v>103</v>
      </c>
      <c r="L218" s="325">
        <v>90</v>
      </c>
      <c r="M218" s="325">
        <v>90</v>
      </c>
      <c r="N218" s="728"/>
      <c r="O218" s="728"/>
      <c r="P218" s="325">
        <v>103</v>
      </c>
      <c r="Q218" s="325">
        <v>114</v>
      </c>
      <c r="R218" s="325">
        <v>114</v>
      </c>
      <c r="S218" s="325">
        <v>90</v>
      </c>
      <c r="T218" s="325">
        <v>103</v>
      </c>
      <c r="U218" s="728"/>
      <c r="V218" s="325">
        <v>103</v>
      </c>
      <c r="W218" s="325">
        <v>90</v>
      </c>
      <c r="X218" s="325">
        <v>114</v>
      </c>
      <c r="Y218" s="325">
        <v>114</v>
      </c>
      <c r="Z218" s="325">
        <v>90</v>
      </c>
      <c r="AA218" s="324">
        <v>103</v>
      </c>
      <c r="AB218" s="727"/>
      <c r="AC218" s="325">
        <v>90</v>
      </c>
      <c r="AD218" s="325">
        <v>103</v>
      </c>
      <c r="AE218" s="325">
        <v>114</v>
      </c>
      <c r="AF218" s="728"/>
      <c r="AG218" s="325">
        <v>114</v>
      </c>
      <c r="AH218" s="325">
        <v>103</v>
      </c>
      <c r="AI218" s="321">
        <f t="shared" ref="AI218:AI228" si="21">SUM(D218:AH218)</f>
        <v>2368</v>
      </c>
      <c r="AJ218" s="294"/>
      <c r="AK218" s="221"/>
      <c r="AO218" s="323"/>
      <c r="AQ218" s="609"/>
    </row>
    <row r="219" spans="1:43" s="330" customFormat="1" ht="15.75" customHeight="1">
      <c r="A219" s="295"/>
      <c r="B219" s="298" t="s">
        <v>56</v>
      </c>
      <c r="C219" s="620"/>
      <c r="D219" s="729"/>
      <c r="E219" s="327">
        <v>97</v>
      </c>
      <c r="F219" s="327">
        <v>43</v>
      </c>
      <c r="G219" s="729"/>
      <c r="H219" s="327">
        <v>103</v>
      </c>
      <c r="I219" s="327">
        <v>54</v>
      </c>
      <c r="J219" s="327">
        <v>84</v>
      </c>
      <c r="K219" s="327">
        <v>38</v>
      </c>
      <c r="L219" s="327">
        <v>33</v>
      </c>
      <c r="M219" s="327">
        <v>25</v>
      </c>
      <c r="N219" s="729"/>
      <c r="O219" s="729"/>
      <c r="P219" s="327">
        <v>72</v>
      </c>
      <c r="Q219" s="327">
        <v>116</v>
      </c>
      <c r="R219" s="327">
        <v>100</v>
      </c>
      <c r="S219" s="327">
        <v>34</v>
      </c>
      <c r="T219" s="327">
        <v>70</v>
      </c>
      <c r="U219" s="729"/>
      <c r="V219" s="327">
        <v>98</v>
      </c>
      <c r="W219" s="327">
        <v>39</v>
      </c>
      <c r="X219" s="327">
        <v>67</v>
      </c>
      <c r="Y219" s="327">
        <v>48</v>
      </c>
      <c r="Z219" s="327">
        <v>76</v>
      </c>
      <c r="AA219" s="327">
        <v>57</v>
      </c>
      <c r="AB219" s="729"/>
      <c r="AC219" s="327">
        <v>32</v>
      </c>
      <c r="AD219" s="327">
        <f>55+3</f>
        <v>58</v>
      </c>
      <c r="AE219" s="327">
        <v>36</v>
      </c>
      <c r="AF219" s="729"/>
      <c r="AG219" s="327">
        <v>89</v>
      </c>
      <c r="AH219" s="327">
        <v>83</v>
      </c>
      <c r="AI219" s="328">
        <f t="shared" si="21"/>
        <v>1552</v>
      </c>
      <c r="AJ219" s="296"/>
      <c r="AK219" s="222"/>
      <c r="AL219" s="329"/>
      <c r="AO219" s="331"/>
      <c r="AQ219" s="610"/>
    </row>
    <row r="220" spans="1:43" s="322" customFormat="1" ht="15.75" customHeight="1">
      <c r="A220" s="295"/>
      <c r="B220" s="220" t="s">
        <v>642</v>
      </c>
      <c r="C220" s="618"/>
      <c r="D220" s="728"/>
      <c r="E220" s="325"/>
      <c r="F220" s="325"/>
      <c r="G220" s="728"/>
      <c r="H220" s="325"/>
      <c r="I220" s="325"/>
      <c r="J220" s="325"/>
      <c r="K220" s="325"/>
      <c r="L220" s="325"/>
      <c r="M220" s="325"/>
      <c r="N220" s="728"/>
      <c r="O220" s="728"/>
      <c r="P220" s="325"/>
      <c r="Q220" s="325"/>
      <c r="R220" s="325"/>
      <c r="S220" s="325"/>
      <c r="T220" s="325"/>
      <c r="U220" s="728"/>
      <c r="V220" s="325"/>
      <c r="W220" s="325"/>
      <c r="X220" s="325"/>
      <c r="Y220" s="325"/>
      <c r="Z220" s="325"/>
      <c r="AA220" s="325"/>
      <c r="AB220" s="728"/>
      <c r="AC220" s="325"/>
      <c r="AD220" s="325"/>
      <c r="AE220" s="325"/>
      <c r="AF220" s="728"/>
      <c r="AG220" s="325"/>
      <c r="AH220" s="325"/>
      <c r="AI220" s="321">
        <f t="shared" si="21"/>
        <v>0</v>
      </c>
      <c r="AJ220" s="317">
        <v>1409</v>
      </c>
      <c r="AK220" s="221">
        <f>AI220*AJ220</f>
        <v>0</v>
      </c>
      <c r="AO220" s="323"/>
      <c r="AQ220" s="609"/>
    </row>
    <row r="221" spans="1:43" s="322" customFormat="1" ht="15.75" customHeight="1">
      <c r="A221" s="295"/>
      <c r="B221" s="220" t="s">
        <v>721</v>
      </c>
      <c r="C221" s="618"/>
      <c r="D221" s="728"/>
      <c r="E221" s="325"/>
      <c r="F221" s="325"/>
      <c r="G221" s="728"/>
      <c r="H221" s="325"/>
      <c r="I221" s="325"/>
      <c r="J221" s="325"/>
      <c r="K221" s="325"/>
      <c r="L221" s="325"/>
      <c r="M221" s="325"/>
      <c r="N221" s="728"/>
      <c r="O221" s="727"/>
      <c r="P221" s="324"/>
      <c r="Q221" s="325"/>
      <c r="R221" s="325"/>
      <c r="S221" s="325"/>
      <c r="T221" s="325"/>
      <c r="U221" s="728"/>
      <c r="V221" s="325"/>
      <c r="W221" s="325"/>
      <c r="X221" s="325"/>
      <c r="Y221" s="325"/>
      <c r="Z221" s="325"/>
      <c r="AA221" s="325"/>
      <c r="AB221" s="728"/>
      <c r="AC221" s="325"/>
      <c r="AD221" s="325"/>
      <c r="AE221" s="325"/>
      <c r="AF221" s="728"/>
      <c r="AG221" s="325"/>
      <c r="AH221" s="325"/>
      <c r="AI221" s="321">
        <f t="shared" si="21"/>
        <v>0</v>
      </c>
      <c r="AJ221" s="317">
        <v>1322</v>
      </c>
      <c r="AK221" s="221">
        <f>AI221*AJ221</f>
        <v>0</v>
      </c>
      <c r="AO221" s="323"/>
      <c r="AQ221" s="609"/>
    </row>
    <row r="222" spans="1:43" s="322" customFormat="1" ht="15.75" customHeight="1">
      <c r="A222" s="295"/>
      <c r="B222" s="220" t="s">
        <v>366</v>
      </c>
      <c r="C222" s="618"/>
      <c r="D222" s="728"/>
      <c r="E222" s="325"/>
      <c r="F222" s="325"/>
      <c r="G222" s="728"/>
      <c r="H222" s="325"/>
      <c r="I222" s="325"/>
      <c r="J222" s="325"/>
      <c r="K222" s="325"/>
      <c r="L222" s="325"/>
      <c r="M222" s="325"/>
      <c r="N222" s="728"/>
      <c r="O222" s="728"/>
      <c r="P222" s="325"/>
      <c r="Q222" s="325">
        <f>Q219-Q218</f>
        <v>2</v>
      </c>
      <c r="R222" s="325"/>
      <c r="S222" s="325"/>
      <c r="T222" s="325"/>
      <c r="U222" s="728"/>
      <c r="V222" s="325"/>
      <c r="W222" s="325"/>
      <c r="X222" s="325"/>
      <c r="Y222" s="325"/>
      <c r="Z222" s="325"/>
      <c r="AA222" s="325"/>
      <c r="AB222" s="728"/>
      <c r="AC222" s="325"/>
      <c r="AD222" s="325"/>
      <c r="AE222" s="325"/>
      <c r="AF222" s="728"/>
      <c r="AG222" s="325"/>
      <c r="AH222" s="325"/>
      <c r="AI222" s="321">
        <f t="shared" si="21"/>
        <v>2</v>
      </c>
      <c r="AJ222" s="317">
        <v>1233</v>
      </c>
      <c r="AK222" s="221">
        <f>AI222*AJ222</f>
        <v>2466</v>
      </c>
      <c r="AO222" s="323"/>
      <c r="AQ222" s="609"/>
    </row>
    <row r="223" spans="1:43" s="322" customFormat="1" ht="15.75" customHeight="1">
      <c r="A223" s="295"/>
      <c r="B223" s="220" t="s">
        <v>643</v>
      </c>
      <c r="C223" s="618"/>
      <c r="D223" s="728"/>
      <c r="E223" s="325"/>
      <c r="F223" s="325"/>
      <c r="G223" s="728"/>
      <c r="H223" s="325"/>
      <c r="I223" s="325"/>
      <c r="J223" s="325"/>
      <c r="K223" s="325"/>
      <c r="L223" s="325"/>
      <c r="M223" s="325"/>
      <c r="N223" s="728"/>
      <c r="O223" s="728"/>
      <c r="P223" s="325"/>
      <c r="Q223" s="325"/>
      <c r="R223" s="325"/>
      <c r="S223" s="325"/>
      <c r="T223" s="325"/>
      <c r="U223" s="728"/>
      <c r="V223" s="325"/>
      <c r="W223" s="325"/>
      <c r="X223" s="325"/>
      <c r="Y223" s="325"/>
      <c r="Z223" s="325"/>
      <c r="AA223" s="325"/>
      <c r="AB223" s="728"/>
      <c r="AC223" s="325"/>
      <c r="AD223" s="325"/>
      <c r="AE223" s="325"/>
      <c r="AF223" s="728"/>
      <c r="AG223" s="325"/>
      <c r="AH223" s="325"/>
      <c r="AI223" s="321">
        <f t="shared" si="21"/>
        <v>0</v>
      </c>
      <c r="AJ223" s="317">
        <v>1043</v>
      </c>
      <c r="AK223" s="221">
        <f>AI223*AJ223</f>
        <v>0</v>
      </c>
      <c r="AO223" s="323"/>
      <c r="AQ223" s="609"/>
    </row>
    <row r="224" spans="1:43" s="322" customFormat="1" ht="15.75" customHeight="1">
      <c r="A224" s="295"/>
      <c r="B224" s="220" t="s">
        <v>367</v>
      </c>
      <c r="C224" s="618"/>
      <c r="D224" s="728"/>
      <c r="E224" s="325"/>
      <c r="F224" s="325"/>
      <c r="G224" s="728"/>
      <c r="H224" s="325"/>
      <c r="I224" s="325"/>
      <c r="J224" s="325"/>
      <c r="K224" s="325"/>
      <c r="L224" s="325"/>
      <c r="M224" s="325"/>
      <c r="N224" s="728"/>
      <c r="O224" s="728"/>
      <c r="P224" s="325"/>
      <c r="Q224" s="325"/>
      <c r="R224" s="325"/>
      <c r="S224" s="325"/>
      <c r="T224" s="325"/>
      <c r="U224" s="728"/>
      <c r="V224" s="325"/>
      <c r="W224" s="325"/>
      <c r="X224" s="325"/>
      <c r="Y224" s="325"/>
      <c r="Z224" s="325"/>
      <c r="AA224" s="325"/>
      <c r="AB224" s="728"/>
      <c r="AC224" s="325"/>
      <c r="AD224" s="325"/>
      <c r="AE224" s="325"/>
      <c r="AF224" s="728"/>
      <c r="AG224" s="325"/>
      <c r="AH224" s="325"/>
      <c r="AI224" s="321">
        <f t="shared" si="21"/>
        <v>0</v>
      </c>
      <c r="AJ224" s="317"/>
      <c r="AK224" s="221">
        <f>AI224*AJ224</f>
        <v>0</v>
      </c>
      <c r="AL224" s="326"/>
      <c r="AM224" s="326"/>
      <c r="AN224" s="326"/>
      <c r="AO224" s="323"/>
      <c r="AP224" s="326"/>
      <c r="AQ224" s="609"/>
    </row>
    <row r="225" spans="1:43" s="330" customFormat="1" ht="15.75" customHeight="1">
      <c r="A225" s="295"/>
      <c r="B225" s="298" t="s">
        <v>259</v>
      </c>
      <c r="C225" s="620"/>
      <c r="D225" s="729"/>
      <c r="E225" s="327"/>
      <c r="F225" s="327"/>
      <c r="G225" s="729"/>
      <c r="H225" s="327"/>
      <c r="I225" s="327"/>
      <c r="J225" s="327"/>
      <c r="K225" s="327"/>
      <c r="L225" s="327"/>
      <c r="M225" s="327"/>
      <c r="N225" s="729"/>
      <c r="O225" s="729"/>
      <c r="P225" s="327"/>
      <c r="Q225" s="327"/>
      <c r="R225" s="327"/>
      <c r="S225" s="327"/>
      <c r="T225" s="327"/>
      <c r="U225" s="729"/>
      <c r="V225" s="327"/>
      <c r="W225" s="327"/>
      <c r="X225" s="332"/>
      <c r="Y225" s="327"/>
      <c r="Z225" s="327"/>
      <c r="AA225" s="327"/>
      <c r="AB225" s="729"/>
      <c r="AC225" s="327"/>
      <c r="AD225" s="327"/>
      <c r="AE225" s="327"/>
      <c r="AF225" s="729"/>
      <c r="AG225" s="327"/>
      <c r="AH225" s="327"/>
      <c r="AI225" s="328">
        <f t="shared" si="21"/>
        <v>0</v>
      </c>
      <c r="AJ225" s="333"/>
      <c r="AK225" s="222">
        <f>SUM(AK220:AK224)</f>
        <v>2466</v>
      </c>
      <c r="AL225" s="334"/>
      <c r="AM225" s="334"/>
      <c r="AN225" s="334"/>
      <c r="AO225" s="331"/>
      <c r="AP225" s="334"/>
      <c r="AQ225" s="610"/>
    </row>
    <row r="226" spans="1:43" s="322" customFormat="1" ht="15.75" customHeight="1">
      <c r="A226" s="295"/>
      <c r="B226" s="220" t="s">
        <v>57</v>
      </c>
      <c r="C226" s="618"/>
      <c r="D226" s="728"/>
      <c r="E226" s="325">
        <v>10</v>
      </c>
      <c r="F226" s="325">
        <v>6</v>
      </c>
      <c r="G226" s="728"/>
      <c r="H226" s="325">
        <v>22</v>
      </c>
      <c r="I226" s="325">
        <v>6</v>
      </c>
      <c r="J226" s="325">
        <v>12</v>
      </c>
      <c r="K226" s="325">
        <v>3</v>
      </c>
      <c r="L226" s="325">
        <v>7</v>
      </c>
      <c r="M226" s="325">
        <v>4</v>
      </c>
      <c r="N226" s="728"/>
      <c r="O226" s="728"/>
      <c r="P226" s="325">
        <v>6</v>
      </c>
      <c r="Q226" s="325">
        <v>7</v>
      </c>
      <c r="R226" s="325">
        <v>12</v>
      </c>
      <c r="S226" s="325">
        <v>3</v>
      </c>
      <c r="T226" s="325">
        <v>7</v>
      </c>
      <c r="U226" s="728"/>
      <c r="V226" s="325">
        <v>10</v>
      </c>
      <c r="W226" s="325">
        <v>1</v>
      </c>
      <c r="X226" s="325">
        <v>5</v>
      </c>
      <c r="Y226" s="325">
        <v>5</v>
      </c>
      <c r="Z226" s="325">
        <v>2</v>
      </c>
      <c r="AA226" s="325">
        <v>5</v>
      </c>
      <c r="AB226" s="728"/>
      <c r="AC226" s="325">
        <v>5</v>
      </c>
      <c r="AD226" s="325">
        <v>8</v>
      </c>
      <c r="AE226" s="325">
        <v>2</v>
      </c>
      <c r="AF226" s="728"/>
      <c r="AG226" s="325">
        <v>11</v>
      </c>
      <c r="AH226" s="325">
        <v>14</v>
      </c>
      <c r="AI226" s="321">
        <f t="shared" si="21"/>
        <v>173</v>
      </c>
      <c r="AJ226" s="317">
        <v>1750</v>
      </c>
      <c r="AK226" s="221">
        <f>AI226*AJ226</f>
        <v>302750</v>
      </c>
      <c r="AL226" s="326"/>
      <c r="AM226" s="326"/>
      <c r="AN226" s="326"/>
      <c r="AO226" s="323"/>
      <c r="AP226" s="326"/>
      <c r="AQ226" s="609"/>
    </row>
    <row r="227" spans="1:43" s="360" customFormat="1" ht="15.75" customHeight="1" thickBot="1">
      <c r="A227" s="352"/>
      <c r="B227" s="353" t="s">
        <v>44</v>
      </c>
      <c r="C227" s="621"/>
      <c r="D227" s="730"/>
      <c r="E227" s="354"/>
      <c r="F227" s="354"/>
      <c r="G227" s="730"/>
      <c r="H227" s="354"/>
      <c r="I227" s="354">
        <v>68011</v>
      </c>
      <c r="J227" s="354"/>
      <c r="K227" s="354"/>
      <c r="L227" s="354"/>
      <c r="M227" s="354"/>
      <c r="N227" s="730"/>
      <c r="O227" s="730"/>
      <c r="P227" s="354"/>
      <c r="Q227" s="354"/>
      <c r="R227" s="354"/>
      <c r="S227" s="354"/>
      <c r="T227" s="354"/>
      <c r="U227" s="1071"/>
      <c r="V227" s="354"/>
      <c r="W227" s="354"/>
      <c r="X227" s="354">
        <v>53275</v>
      </c>
      <c r="Y227" s="354"/>
      <c r="Z227" s="354"/>
      <c r="AA227" s="354"/>
      <c r="AB227" s="730"/>
      <c r="AC227" s="354"/>
      <c r="AD227" s="354"/>
      <c r="AE227" s="354"/>
      <c r="AF227" s="730"/>
      <c r="AG227" s="354"/>
      <c r="AH227" s="354"/>
      <c r="AI227" s="355">
        <f t="shared" si="21"/>
        <v>121286</v>
      </c>
      <c r="AJ227" s="356"/>
      <c r="AK227" s="357">
        <f>AI227</f>
        <v>121286</v>
      </c>
      <c r="AL227" s="358"/>
      <c r="AM227" s="358"/>
      <c r="AN227" s="358"/>
      <c r="AO227" s="359"/>
      <c r="AP227" s="358"/>
      <c r="AQ227" s="611"/>
    </row>
    <row r="228" spans="1:43" s="216" customFormat="1" ht="15.75" customHeight="1" thickTop="1">
      <c r="A228" s="293">
        <v>18</v>
      </c>
      <c r="B228" s="219" t="s">
        <v>691</v>
      </c>
      <c r="C228" s="1221" t="s">
        <v>400</v>
      </c>
      <c r="D228" s="731"/>
      <c r="E228" s="308">
        <v>1</v>
      </c>
      <c r="F228" s="308">
        <v>1</v>
      </c>
      <c r="G228" s="731"/>
      <c r="H228" s="308">
        <v>1</v>
      </c>
      <c r="I228" s="308">
        <v>1</v>
      </c>
      <c r="J228" s="308">
        <v>1</v>
      </c>
      <c r="K228" s="308">
        <v>1</v>
      </c>
      <c r="L228" s="308">
        <v>1</v>
      </c>
      <c r="M228" s="308">
        <v>1</v>
      </c>
      <c r="N228" s="731"/>
      <c r="O228" s="731"/>
      <c r="P228" s="308">
        <v>1</v>
      </c>
      <c r="Q228" s="308">
        <v>1</v>
      </c>
      <c r="R228" s="308">
        <v>1</v>
      </c>
      <c r="S228" s="308">
        <v>1</v>
      </c>
      <c r="T228" s="308">
        <v>1</v>
      </c>
      <c r="U228" s="731"/>
      <c r="V228" s="308">
        <v>1</v>
      </c>
      <c r="W228" s="308">
        <v>1</v>
      </c>
      <c r="X228" s="308">
        <v>1</v>
      </c>
      <c r="Y228" s="308">
        <v>1</v>
      </c>
      <c r="Z228" s="308">
        <v>1</v>
      </c>
      <c r="AA228" s="308">
        <v>1</v>
      </c>
      <c r="AB228" s="731"/>
      <c r="AC228" s="308">
        <v>1</v>
      </c>
      <c r="AD228" s="308">
        <v>1</v>
      </c>
      <c r="AE228" s="308">
        <v>1</v>
      </c>
      <c r="AF228" s="731"/>
      <c r="AG228" s="308">
        <v>1</v>
      </c>
      <c r="AH228" s="308">
        <v>1</v>
      </c>
      <c r="AI228" s="309">
        <f t="shared" si="21"/>
        <v>24</v>
      </c>
      <c r="AJ228" s="310"/>
      <c r="AK228" s="224"/>
      <c r="AL228" s="311"/>
      <c r="AN228" s="312"/>
      <c r="AO228" s="313"/>
      <c r="AP228" s="314"/>
      <c r="AQ228" s="608"/>
    </row>
    <row r="229" spans="1:43" s="322" customFormat="1" ht="50.25" customHeight="1">
      <c r="A229" s="295"/>
      <c r="B229" s="297" t="s">
        <v>188</v>
      </c>
      <c r="C229" s="1222"/>
      <c r="D229" s="726"/>
      <c r="E229" s="318" t="s">
        <v>813</v>
      </c>
      <c r="F229" s="318" t="s">
        <v>799</v>
      </c>
      <c r="G229" s="726"/>
      <c r="H229" s="318" t="s">
        <v>810</v>
      </c>
      <c r="I229" s="318" t="s">
        <v>797</v>
      </c>
      <c r="J229" s="318" t="s">
        <v>789</v>
      </c>
      <c r="K229" s="318" t="s">
        <v>792</v>
      </c>
      <c r="L229" s="318" t="s">
        <v>791</v>
      </c>
      <c r="M229" s="318" t="s">
        <v>799</v>
      </c>
      <c r="N229" s="726"/>
      <c r="O229" s="726"/>
      <c r="P229" s="318" t="s">
        <v>802</v>
      </c>
      <c r="Q229" s="318" t="s">
        <v>804</v>
      </c>
      <c r="R229" s="318" t="s">
        <v>740</v>
      </c>
      <c r="S229" s="319" t="s">
        <v>831</v>
      </c>
      <c r="T229" s="318" t="s">
        <v>903</v>
      </c>
      <c r="U229" s="726"/>
      <c r="V229" s="318" t="s">
        <v>816</v>
      </c>
      <c r="W229" s="509" t="s">
        <v>801</v>
      </c>
      <c r="X229" s="318" t="s">
        <v>804</v>
      </c>
      <c r="Y229" s="318" t="s">
        <v>795</v>
      </c>
      <c r="Z229" s="320" t="s">
        <v>791</v>
      </c>
      <c r="AA229" s="318" t="s">
        <v>930</v>
      </c>
      <c r="AB229" s="726"/>
      <c r="AC229" s="318" t="s">
        <v>816</v>
      </c>
      <c r="AD229" s="318" t="s">
        <v>801</v>
      </c>
      <c r="AE229" s="318" t="s">
        <v>804</v>
      </c>
      <c r="AF229" s="726"/>
      <c r="AG229" s="318" t="s">
        <v>795</v>
      </c>
      <c r="AH229" s="318" t="s">
        <v>789</v>
      </c>
      <c r="AI229" s="321"/>
      <c r="AJ229" s="317"/>
      <c r="AK229" s="221"/>
      <c r="AO229" s="323"/>
      <c r="AQ229" s="609"/>
    </row>
    <row r="230" spans="1:43" s="322" customFormat="1" ht="15.75" customHeight="1">
      <c r="A230" s="295"/>
      <c r="B230" s="297" t="s">
        <v>281</v>
      </c>
      <c r="C230" s="1222"/>
      <c r="D230" s="727"/>
      <c r="E230" s="324" t="s">
        <v>814</v>
      </c>
      <c r="F230" s="324" t="s">
        <v>812</v>
      </c>
      <c r="G230" s="727"/>
      <c r="H230" s="324" t="s">
        <v>811</v>
      </c>
      <c r="I230" s="324" t="s">
        <v>809</v>
      </c>
      <c r="J230" s="324" t="s">
        <v>808</v>
      </c>
      <c r="K230" s="324" t="s">
        <v>807</v>
      </c>
      <c r="L230" s="324">
        <v>20</v>
      </c>
      <c r="M230" s="324" t="s">
        <v>806</v>
      </c>
      <c r="N230" s="727"/>
      <c r="O230" s="727"/>
      <c r="P230" s="324" t="s">
        <v>805</v>
      </c>
      <c r="Q230" s="324">
        <v>20</v>
      </c>
      <c r="R230" s="324" t="s">
        <v>803</v>
      </c>
      <c r="S230" s="324">
        <v>20</v>
      </c>
      <c r="T230" s="324">
        <v>20</v>
      </c>
      <c r="U230" s="727"/>
      <c r="V230" s="324">
        <v>20</v>
      </c>
      <c r="W230" s="460" t="s">
        <v>928</v>
      </c>
      <c r="X230" s="324" t="s">
        <v>81</v>
      </c>
      <c r="Y230" s="324" t="s">
        <v>805</v>
      </c>
      <c r="Z230" s="324" t="s">
        <v>808</v>
      </c>
      <c r="AA230" s="324" t="s">
        <v>981</v>
      </c>
      <c r="AB230" s="727"/>
      <c r="AC230" s="324" t="s">
        <v>985</v>
      </c>
      <c r="AD230" s="324" t="s">
        <v>901</v>
      </c>
      <c r="AE230" s="324" t="s">
        <v>997</v>
      </c>
      <c r="AF230" s="727"/>
      <c r="AG230" s="324" t="s">
        <v>805</v>
      </c>
      <c r="AH230" s="324">
        <v>20</v>
      </c>
      <c r="AI230" s="321"/>
      <c r="AJ230" s="317"/>
      <c r="AK230" s="221"/>
      <c r="AO230" s="323"/>
      <c r="AQ230" s="609"/>
    </row>
    <row r="231" spans="1:43" s="322" customFormat="1" ht="15.75" customHeight="1">
      <c r="A231" s="295"/>
      <c r="B231" s="220" t="s">
        <v>260</v>
      </c>
      <c r="C231" s="1222"/>
      <c r="D231" s="728"/>
      <c r="E231" s="325">
        <v>103</v>
      </c>
      <c r="F231" s="325">
        <v>90</v>
      </c>
      <c r="G231" s="728"/>
      <c r="H231" s="325">
        <v>103</v>
      </c>
      <c r="I231" s="325">
        <v>114</v>
      </c>
      <c r="J231" s="324">
        <v>103</v>
      </c>
      <c r="K231" s="325">
        <v>90</v>
      </c>
      <c r="L231" s="325">
        <v>103</v>
      </c>
      <c r="M231" s="325">
        <v>90</v>
      </c>
      <c r="N231" s="728"/>
      <c r="O231" s="728"/>
      <c r="P231" s="325">
        <v>114</v>
      </c>
      <c r="Q231" s="325">
        <v>114</v>
      </c>
      <c r="R231" s="325">
        <v>103</v>
      </c>
      <c r="S231" s="325">
        <v>103</v>
      </c>
      <c r="T231" s="325">
        <v>103</v>
      </c>
      <c r="U231" s="728"/>
      <c r="V231" s="325">
        <v>90</v>
      </c>
      <c r="W231" s="325">
        <v>103</v>
      </c>
      <c r="X231" s="325">
        <v>114</v>
      </c>
      <c r="Y231" s="325">
        <v>114</v>
      </c>
      <c r="Z231" s="325">
        <v>103</v>
      </c>
      <c r="AA231" s="325">
        <v>103</v>
      </c>
      <c r="AB231" s="728"/>
      <c r="AC231" s="325">
        <v>90</v>
      </c>
      <c r="AD231" s="325">
        <v>103</v>
      </c>
      <c r="AE231" s="325">
        <v>114</v>
      </c>
      <c r="AF231" s="728"/>
      <c r="AG231" s="325">
        <v>114</v>
      </c>
      <c r="AH231" s="325">
        <v>103</v>
      </c>
      <c r="AI231" s="321">
        <f t="shared" ref="AI231:AI240" si="22">SUM(D231:AH231)</f>
        <v>2484</v>
      </c>
      <c r="AJ231" s="294"/>
      <c r="AK231" s="221"/>
      <c r="AO231" s="323"/>
      <c r="AQ231" s="609"/>
    </row>
    <row r="232" spans="1:43" s="330" customFormat="1" ht="15.75" customHeight="1">
      <c r="A232" s="295"/>
      <c r="B232" s="298" t="s">
        <v>56</v>
      </c>
      <c r="C232" s="1222"/>
      <c r="D232" s="729"/>
      <c r="E232" s="327">
        <v>73</v>
      </c>
      <c r="F232" s="327">
        <v>28</v>
      </c>
      <c r="G232" s="729"/>
      <c r="H232" s="327">
        <v>170</v>
      </c>
      <c r="I232" s="327">
        <v>253</v>
      </c>
      <c r="J232" s="327">
        <v>59</v>
      </c>
      <c r="K232" s="327">
        <v>34</v>
      </c>
      <c r="L232" s="327">
        <v>20</v>
      </c>
      <c r="M232" s="327">
        <v>12</v>
      </c>
      <c r="N232" s="729"/>
      <c r="O232" s="729"/>
      <c r="P232" s="327">
        <v>259</v>
      </c>
      <c r="Q232" s="327">
        <v>47</v>
      </c>
      <c r="R232" s="327">
        <v>165</v>
      </c>
      <c r="S232" s="327">
        <v>52</v>
      </c>
      <c r="T232" s="327">
        <v>62</v>
      </c>
      <c r="U232" s="729"/>
      <c r="V232" s="327">
        <f>87+3</f>
        <v>90</v>
      </c>
      <c r="W232" s="327">
        <f>86+3</f>
        <v>89</v>
      </c>
      <c r="X232" s="327">
        <f>23+2</f>
        <v>25</v>
      </c>
      <c r="Y232" s="327">
        <v>80</v>
      </c>
      <c r="Z232" s="327">
        <v>59</v>
      </c>
      <c r="AA232" s="327">
        <v>35</v>
      </c>
      <c r="AB232" s="729"/>
      <c r="AC232" s="327">
        <v>28</v>
      </c>
      <c r="AD232" s="327">
        <v>56</v>
      </c>
      <c r="AE232" s="327">
        <v>73</v>
      </c>
      <c r="AF232" s="729"/>
      <c r="AG232" s="327">
        <f>100+2</f>
        <v>102</v>
      </c>
      <c r="AH232" s="327">
        <v>39</v>
      </c>
      <c r="AI232" s="328">
        <f t="shared" si="22"/>
        <v>1910</v>
      </c>
      <c r="AJ232" s="296"/>
      <c r="AK232" s="222"/>
      <c r="AL232" s="329"/>
      <c r="AO232" s="331"/>
      <c r="AQ232" s="610"/>
    </row>
    <row r="233" spans="1:43" s="322" customFormat="1" ht="15.75" customHeight="1">
      <c r="A233" s="295"/>
      <c r="B233" s="220" t="s">
        <v>642</v>
      </c>
      <c r="C233" s="1222"/>
      <c r="D233" s="728"/>
      <c r="E233" s="325"/>
      <c r="F233" s="325"/>
      <c r="G233" s="728"/>
      <c r="H233" s="325"/>
      <c r="I233" s="325"/>
      <c r="J233" s="325"/>
      <c r="K233" s="325"/>
      <c r="L233" s="325"/>
      <c r="M233" s="325"/>
      <c r="N233" s="728"/>
      <c r="O233" s="728"/>
      <c r="P233" s="325"/>
      <c r="Q233" s="325"/>
      <c r="R233" s="325"/>
      <c r="S233" s="325"/>
      <c r="T233" s="325"/>
      <c r="U233" s="728"/>
      <c r="V233" s="325"/>
      <c r="W233" s="325"/>
      <c r="X233" s="325"/>
      <c r="Y233" s="325"/>
      <c r="Z233" s="325"/>
      <c r="AA233" s="325"/>
      <c r="AB233" s="728"/>
      <c r="AC233" s="325"/>
      <c r="AD233" s="325"/>
      <c r="AE233" s="325"/>
      <c r="AF233" s="728"/>
      <c r="AG233" s="325"/>
      <c r="AH233" s="325"/>
      <c r="AI233" s="321">
        <f t="shared" si="22"/>
        <v>0</v>
      </c>
      <c r="AJ233" s="317">
        <v>1409</v>
      </c>
      <c r="AK233" s="221">
        <f>AI233*AJ233</f>
        <v>0</v>
      </c>
      <c r="AO233" s="323"/>
      <c r="AQ233" s="609"/>
    </row>
    <row r="234" spans="1:43" s="322" customFormat="1" ht="15.75" customHeight="1">
      <c r="A234" s="295"/>
      <c r="B234" s="220" t="s">
        <v>721</v>
      </c>
      <c r="C234" s="1222"/>
      <c r="D234" s="728"/>
      <c r="E234" s="325"/>
      <c r="F234" s="325"/>
      <c r="G234" s="728"/>
      <c r="H234" s="325">
        <f>H232-H231</f>
        <v>67</v>
      </c>
      <c r="I234" s="325"/>
      <c r="J234" s="325"/>
      <c r="K234" s="325"/>
      <c r="L234" s="325"/>
      <c r="M234" s="325"/>
      <c r="N234" s="728"/>
      <c r="O234" s="727"/>
      <c r="P234" s="324"/>
      <c r="Q234" s="325"/>
      <c r="R234" s="325">
        <f>R232-R231</f>
        <v>62</v>
      </c>
      <c r="S234" s="325"/>
      <c r="T234" s="325"/>
      <c r="U234" s="728"/>
      <c r="V234" s="325"/>
      <c r="W234" s="325"/>
      <c r="X234" s="325"/>
      <c r="Y234" s="325"/>
      <c r="Z234" s="325"/>
      <c r="AA234" s="325"/>
      <c r="AB234" s="728"/>
      <c r="AC234" s="325"/>
      <c r="AD234" s="325"/>
      <c r="AE234" s="325"/>
      <c r="AF234" s="728"/>
      <c r="AG234" s="325"/>
      <c r="AH234" s="325"/>
      <c r="AI234" s="321">
        <f t="shared" si="22"/>
        <v>129</v>
      </c>
      <c r="AJ234" s="317">
        <v>1322</v>
      </c>
      <c r="AK234" s="221">
        <f>AI234*AJ234</f>
        <v>170538</v>
      </c>
      <c r="AO234" s="323"/>
      <c r="AQ234" s="609"/>
    </row>
    <row r="235" spans="1:43" s="322" customFormat="1" ht="15.75" customHeight="1">
      <c r="A235" s="295"/>
      <c r="B235" s="220" t="s">
        <v>366</v>
      </c>
      <c r="C235" s="1222"/>
      <c r="D235" s="728"/>
      <c r="E235" s="325"/>
      <c r="F235" s="325"/>
      <c r="G235" s="728"/>
      <c r="H235" s="325"/>
      <c r="I235" s="325">
        <f>I232-I231</f>
        <v>139</v>
      </c>
      <c r="J235" s="325"/>
      <c r="K235" s="325"/>
      <c r="L235" s="325"/>
      <c r="M235" s="325"/>
      <c r="N235" s="728"/>
      <c r="O235" s="728"/>
      <c r="P235" s="325">
        <f>P232-P231</f>
        <v>145</v>
      </c>
      <c r="Q235" s="325"/>
      <c r="R235" s="325"/>
      <c r="S235" s="325"/>
      <c r="T235" s="325"/>
      <c r="U235" s="728"/>
      <c r="V235" s="325"/>
      <c r="W235" s="325"/>
      <c r="X235" s="325"/>
      <c r="Y235" s="325"/>
      <c r="Z235" s="325"/>
      <c r="AA235" s="325"/>
      <c r="AB235" s="728"/>
      <c r="AC235" s="325"/>
      <c r="AD235" s="325"/>
      <c r="AE235" s="325"/>
      <c r="AF235" s="728"/>
      <c r="AG235" s="325"/>
      <c r="AH235" s="325"/>
      <c r="AI235" s="321">
        <f t="shared" si="22"/>
        <v>284</v>
      </c>
      <c r="AJ235" s="317">
        <v>1233</v>
      </c>
      <c r="AK235" s="221">
        <f>AI235*AJ235</f>
        <v>350172</v>
      </c>
      <c r="AO235" s="323"/>
      <c r="AQ235" s="609"/>
    </row>
    <row r="236" spans="1:43" s="322" customFormat="1" ht="15.75" customHeight="1">
      <c r="A236" s="295"/>
      <c r="B236" s="220" t="s">
        <v>643</v>
      </c>
      <c r="C236" s="1222"/>
      <c r="D236" s="728"/>
      <c r="E236" s="325"/>
      <c r="F236" s="325"/>
      <c r="G236" s="728"/>
      <c r="H236" s="325"/>
      <c r="I236" s="325"/>
      <c r="J236" s="325"/>
      <c r="K236" s="325"/>
      <c r="L236" s="325"/>
      <c r="M236" s="325"/>
      <c r="N236" s="728"/>
      <c r="O236" s="728"/>
      <c r="P236" s="325"/>
      <c r="Q236" s="325"/>
      <c r="R236" s="325"/>
      <c r="S236" s="325"/>
      <c r="T236" s="325"/>
      <c r="U236" s="728"/>
      <c r="V236" s="325"/>
      <c r="W236" s="325"/>
      <c r="X236" s="325"/>
      <c r="Y236" s="325"/>
      <c r="Z236" s="325"/>
      <c r="AA236" s="325"/>
      <c r="AB236" s="728"/>
      <c r="AC236" s="325"/>
      <c r="AD236" s="325"/>
      <c r="AE236" s="325"/>
      <c r="AF236" s="728"/>
      <c r="AG236" s="325"/>
      <c r="AH236" s="325"/>
      <c r="AI236" s="321">
        <f t="shared" si="22"/>
        <v>0</v>
      </c>
      <c r="AJ236" s="317">
        <v>1043</v>
      </c>
      <c r="AK236" s="221">
        <f>AI236*AJ236</f>
        <v>0</v>
      </c>
      <c r="AO236" s="323"/>
      <c r="AQ236" s="609"/>
    </row>
    <row r="237" spans="1:43" s="322" customFormat="1" ht="15.75" customHeight="1">
      <c r="A237" s="295"/>
      <c r="B237" s="220" t="s">
        <v>367</v>
      </c>
      <c r="C237" s="1222"/>
      <c r="D237" s="728"/>
      <c r="E237" s="325"/>
      <c r="F237" s="325"/>
      <c r="G237" s="728"/>
      <c r="H237" s="325"/>
      <c r="I237" s="325"/>
      <c r="J237" s="325"/>
      <c r="K237" s="325"/>
      <c r="L237" s="325"/>
      <c r="M237" s="325"/>
      <c r="N237" s="728"/>
      <c r="O237" s="728"/>
      <c r="P237" s="325"/>
      <c r="Q237" s="325"/>
      <c r="R237" s="325"/>
      <c r="S237" s="325"/>
      <c r="T237" s="325"/>
      <c r="U237" s="728"/>
      <c r="V237" s="325"/>
      <c r="W237" s="325"/>
      <c r="X237" s="325"/>
      <c r="Y237" s="325"/>
      <c r="Z237" s="325"/>
      <c r="AA237" s="325"/>
      <c r="AB237" s="728"/>
      <c r="AC237" s="325"/>
      <c r="AD237" s="325"/>
      <c r="AE237" s="325"/>
      <c r="AF237" s="728"/>
      <c r="AG237" s="325"/>
      <c r="AH237" s="325"/>
      <c r="AI237" s="321">
        <f t="shared" si="22"/>
        <v>0</v>
      </c>
      <c r="AJ237" s="317"/>
      <c r="AK237" s="221">
        <f>AI237*AJ237</f>
        <v>0</v>
      </c>
      <c r="AL237" s="326"/>
      <c r="AM237" s="326"/>
      <c r="AN237" s="326"/>
      <c r="AO237" s="323"/>
      <c r="AP237" s="326"/>
      <c r="AQ237" s="609"/>
    </row>
    <row r="238" spans="1:43" s="330" customFormat="1" ht="15.75" customHeight="1">
      <c r="A238" s="295"/>
      <c r="B238" s="298" t="s">
        <v>259</v>
      </c>
      <c r="C238" s="1222"/>
      <c r="D238" s="729"/>
      <c r="E238" s="327"/>
      <c r="F238" s="327"/>
      <c r="G238" s="729"/>
      <c r="H238" s="327"/>
      <c r="I238" s="327"/>
      <c r="J238" s="327"/>
      <c r="K238" s="327"/>
      <c r="L238" s="327"/>
      <c r="M238" s="327"/>
      <c r="N238" s="729"/>
      <c r="O238" s="729"/>
      <c r="P238" s="327"/>
      <c r="Q238" s="327"/>
      <c r="R238" s="327"/>
      <c r="S238" s="327"/>
      <c r="T238" s="327"/>
      <c r="U238" s="729"/>
      <c r="V238" s="327"/>
      <c r="W238" s="327"/>
      <c r="X238" s="332"/>
      <c r="Y238" s="327"/>
      <c r="Z238" s="327"/>
      <c r="AA238" s="327"/>
      <c r="AB238" s="729"/>
      <c r="AC238" s="327"/>
      <c r="AD238" s="327"/>
      <c r="AE238" s="327"/>
      <c r="AF238" s="729"/>
      <c r="AG238" s="327"/>
      <c r="AH238" s="327"/>
      <c r="AI238" s="328">
        <f t="shared" si="22"/>
        <v>0</v>
      </c>
      <c r="AJ238" s="333"/>
      <c r="AK238" s="222">
        <f>SUM(AK233:AK237)</f>
        <v>520710</v>
      </c>
      <c r="AL238" s="334"/>
      <c r="AM238" s="334"/>
      <c r="AN238" s="334"/>
      <c r="AO238" s="331"/>
      <c r="AP238" s="334"/>
      <c r="AQ238" s="610"/>
    </row>
    <row r="239" spans="1:43" s="322" customFormat="1" ht="15.75" customHeight="1">
      <c r="A239" s="295"/>
      <c r="B239" s="220" t="s">
        <v>57</v>
      </c>
      <c r="C239" s="1222"/>
      <c r="D239" s="728"/>
      <c r="E239" s="325">
        <v>6</v>
      </c>
      <c r="F239" s="325">
        <v>4</v>
      </c>
      <c r="G239" s="728"/>
      <c r="H239" s="325">
        <v>16</v>
      </c>
      <c r="I239" s="325">
        <v>16</v>
      </c>
      <c r="J239" s="325"/>
      <c r="K239" s="325">
        <v>3</v>
      </c>
      <c r="L239" s="325">
        <v>3</v>
      </c>
      <c r="M239" s="325">
        <v>1</v>
      </c>
      <c r="N239" s="728"/>
      <c r="O239" s="728"/>
      <c r="P239" s="325">
        <v>4</v>
      </c>
      <c r="Q239" s="325"/>
      <c r="R239" s="325">
        <v>15</v>
      </c>
      <c r="S239" s="325">
        <v>8</v>
      </c>
      <c r="T239" s="325">
        <v>4</v>
      </c>
      <c r="U239" s="728"/>
      <c r="V239" s="325">
        <v>7</v>
      </c>
      <c r="W239" s="325">
        <v>6</v>
      </c>
      <c r="X239" s="325">
        <v>1</v>
      </c>
      <c r="Y239" s="325">
        <v>5</v>
      </c>
      <c r="Z239" s="325">
        <v>3</v>
      </c>
      <c r="AA239" s="325">
        <v>4</v>
      </c>
      <c r="AB239" s="728"/>
      <c r="AC239" s="325">
        <v>1</v>
      </c>
      <c r="AD239" s="325">
        <v>2</v>
      </c>
      <c r="AE239" s="325">
        <v>6</v>
      </c>
      <c r="AF239" s="728"/>
      <c r="AG239" s="325">
        <v>9</v>
      </c>
      <c r="AH239" s="325">
        <v>5</v>
      </c>
      <c r="AI239" s="321">
        <f t="shared" si="22"/>
        <v>129</v>
      </c>
      <c r="AJ239" s="317">
        <v>1750</v>
      </c>
      <c r="AK239" s="221">
        <f>AI239*AJ239</f>
        <v>225750</v>
      </c>
      <c r="AL239" s="326"/>
      <c r="AM239" s="326"/>
      <c r="AN239" s="326"/>
      <c r="AO239" s="323"/>
      <c r="AP239" s="326"/>
      <c r="AQ239" s="609"/>
    </row>
    <row r="240" spans="1:43" s="360" customFormat="1" ht="15.75" customHeight="1" thickBot="1">
      <c r="A240" s="352"/>
      <c r="B240" s="353" t="s">
        <v>44</v>
      </c>
      <c r="C240" s="747"/>
      <c r="D240" s="730"/>
      <c r="E240" s="354"/>
      <c r="F240" s="354"/>
      <c r="G240" s="730"/>
      <c r="H240" s="354"/>
      <c r="I240" s="354"/>
      <c r="J240" s="354"/>
      <c r="K240" s="354"/>
      <c r="L240" s="354"/>
      <c r="M240" s="354"/>
      <c r="N240" s="730"/>
      <c r="O240" s="730"/>
      <c r="P240" s="354"/>
      <c r="Q240" s="354"/>
      <c r="R240" s="354"/>
      <c r="S240" s="354"/>
      <c r="T240" s="354"/>
      <c r="U240" s="728"/>
      <c r="V240" s="354"/>
      <c r="W240" s="354"/>
      <c r="X240" s="354"/>
      <c r="Y240" s="354"/>
      <c r="Z240" s="354"/>
      <c r="AA240" s="354"/>
      <c r="AB240" s="730"/>
      <c r="AC240" s="354"/>
      <c r="AD240" s="354"/>
      <c r="AE240" s="354"/>
      <c r="AF240" s="730"/>
      <c r="AG240" s="354"/>
      <c r="AH240" s="354"/>
      <c r="AI240" s="355">
        <f t="shared" si="22"/>
        <v>0</v>
      </c>
      <c r="AJ240" s="356"/>
      <c r="AK240" s="357">
        <f>AI240</f>
        <v>0</v>
      </c>
      <c r="AL240" s="358"/>
      <c r="AM240" s="358"/>
      <c r="AN240" s="358"/>
      <c r="AO240" s="359"/>
      <c r="AP240" s="358"/>
      <c r="AQ240" s="611"/>
    </row>
    <row r="241" spans="1:43" s="216" customFormat="1" ht="15.75" customHeight="1" thickTop="1">
      <c r="A241" s="293">
        <v>19</v>
      </c>
      <c r="B241" s="616" t="s">
        <v>692</v>
      </c>
      <c r="C241" s="1218" t="s">
        <v>402</v>
      </c>
      <c r="D241" s="731"/>
      <c r="E241" s="308">
        <v>1</v>
      </c>
      <c r="F241" s="308">
        <v>1</v>
      </c>
      <c r="G241" s="731"/>
      <c r="H241" s="308">
        <v>1</v>
      </c>
      <c r="I241" s="308">
        <v>1</v>
      </c>
      <c r="J241" s="308">
        <v>1</v>
      </c>
      <c r="K241" s="308">
        <v>1</v>
      </c>
      <c r="L241" s="308">
        <v>1</v>
      </c>
      <c r="M241" s="308">
        <v>1</v>
      </c>
      <c r="N241" s="731"/>
      <c r="O241" s="731"/>
      <c r="P241" s="308">
        <v>1</v>
      </c>
      <c r="Q241" s="308">
        <v>1</v>
      </c>
      <c r="R241" s="308">
        <v>1</v>
      </c>
      <c r="S241" s="308">
        <v>1</v>
      </c>
      <c r="T241" s="308">
        <v>1</v>
      </c>
      <c r="U241" s="731"/>
      <c r="V241" s="308">
        <v>1</v>
      </c>
      <c r="W241" s="308">
        <v>1</v>
      </c>
      <c r="X241" s="308">
        <v>1</v>
      </c>
      <c r="Y241" s="308">
        <v>1</v>
      </c>
      <c r="Z241" s="308">
        <v>1</v>
      </c>
      <c r="AA241" s="308">
        <v>1</v>
      </c>
      <c r="AB241" s="731"/>
      <c r="AC241" s="308">
        <v>1</v>
      </c>
      <c r="AD241" s="308">
        <v>1</v>
      </c>
      <c r="AE241" s="308">
        <v>1</v>
      </c>
      <c r="AF241" s="731"/>
      <c r="AG241" s="308">
        <v>1</v>
      </c>
      <c r="AH241" s="308">
        <v>1</v>
      </c>
      <c r="AI241" s="309">
        <f>SUM(D241:AH241)</f>
        <v>24</v>
      </c>
      <c r="AJ241" s="310"/>
      <c r="AK241" s="224"/>
      <c r="AL241" s="311"/>
      <c r="AN241" s="312"/>
      <c r="AO241" s="313"/>
      <c r="AP241" s="314"/>
      <c r="AQ241" s="608"/>
    </row>
    <row r="242" spans="1:43" s="322" customFormat="1" ht="51" customHeight="1">
      <c r="A242" s="295"/>
      <c r="B242" s="297" t="s">
        <v>188</v>
      </c>
      <c r="C242" s="1219"/>
      <c r="D242" s="726"/>
      <c r="E242" s="318" t="s">
        <v>791</v>
      </c>
      <c r="F242" s="318" t="s">
        <v>799</v>
      </c>
      <c r="G242" s="726"/>
      <c r="H242" s="318" t="s">
        <v>810</v>
      </c>
      <c r="I242" s="318" t="s">
        <v>877</v>
      </c>
      <c r="J242" s="318" t="s">
        <v>831</v>
      </c>
      <c r="K242" s="318" t="s">
        <v>791</v>
      </c>
      <c r="L242" s="318" t="s">
        <v>792</v>
      </c>
      <c r="M242" s="318" t="s">
        <v>799</v>
      </c>
      <c r="N242" s="726"/>
      <c r="O242" s="726"/>
      <c r="P242" s="318" t="s">
        <v>801</v>
      </c>
      <c r="Q242" s="319" t="s">
        <v>797</v>
      </c>
      <c r="R242" s="318" t="s">
        <v>795</v>
      </c>
      <c r="S242" s="319" t="s">
        <v>912</v>
      </c>
      <c r="T242" s="318" t="s">
        <v>921</v>
      </c>
      <c r="U242" s="726"/>
      <c r="V242" s="318" t="s">
        <v>816</v>
      </c>
      <c r="W242" s="509" t="s">
        <v>796</v>
      </c>
      <c r="X242" s="318" t="s">
        <v>797</v>
      </c>
      <c r="Y242" s="318" t="s">
        <v>795</v>
      </c>
      <c r="Z242" s="320" t="s">
        <v>903</v>
      </c>
      <c r="AA242" s="318" t="s">
        <v>792</v>
      </c>
      <c r="AB242" s="726"/>
      <c r="AC242" s="318" t="s">
        <v>816</v>
      </c>
      <c r="AD242" s="318" t="s">
        <v>801</v>
      </c>
      <c r="AE242" s="318" t="s">
        <v>804</v>
      </c>
      <c r="AF242" s="726"/>
      <c r="AG242" s="318" t="s">
        <v>912</v>
      </c>
      <c r="AH242" s="318" t="s">
        <v>789</v>
      </c>
      <c r="AI242" s="321"/>
      <c r="AJ242" s="317"/>
      <c r="AK242" s="221"/>
      <c r="AO242" s="323"/>
      <c r="AQ242" s="609"/>
    </row>
    <row r="243" spans="1:43" s="322" customFormat="1" ht="15.75" customHeight="1">
      <c r="A243" s="295"/>
      <c r="B243" s="297" t="s">
        <v>281</v>
      </c>
      <c r="C243" s="1219"/>
      <c r="D243" s="727"/>
      <c r="E243" s="324" t="s">
        <v>902</v>
      </c>
      <c r="F243" s="324">
        <v>16</v>
      </c>
      <c r="G243" s="727"/>
      <c r="H243" s="324" t="s">
        <v>901</v>
      </c>
      <c r="I243" s="324" t="s">
        <v>805</v>
      </c>
      <c r="J243" s="324">
        <v>16</v>
      </c>
      <c r="K243" s="324">
        <v>16</v>
      </c>
      <c r="L243" s="324" t="s">
        <v>812</v>
      </c>
      <c r="M243" s="324">
        <v>16</v>
      </c>
      <c r="N243" s="727"/>
      <c r="O243" s="727"/>
      <c r="P243" s="324">
        <v>16</v>
      </c>
      <c r="Q243" s="324" t="s">
        <v>900</v>
      </c>
      <c r="R243" s="324">
        <v>16</v>
      </c>
      <c r="S243" s="324">
        <v>16</v>
      </c>
      <c r="T243" s="324">
        <v>16</v>
      </c>
      <c r="U243" s="727"/>
      <c r="V243" s="324" t="s">
        <v>942</v>
      </c>
      <c r="W243" s="460" t="s">
        <v>943</v>
      </c>
      <c r="X243" s="324" t="s">
        <v>808</v>
      </c>
      <c r="Y243" s="324" t="s">
        <v>974</v>
      </c>
      <c r="Z243" s="324">
        <v>16</v>
      </c>
      <c r="AA243" s="324">
        <v>16</v>
      </c>
      <c r="AB243" s="727"/>
      <c r="AC243" s="324" t="s">
        <v>77</v>
      </c>
      <c r="AD243" s="324" t="s">
        <v>808</v>
      </c>
      <c r="AE243" s="324" t="s">
        <v>997</v>
      </c>
      <c r="AF243" s="727"/>
      <c r="AG243" s="324">
        <v>16</v>
      </c>
      <c r="AH243" s="324" t="s">
        <v>77</v>
      </c>
      <c r="AI243" s="321"/>
      <c r="AJ243" s="317"/>
      <c r="AK243" s="221"/>
      <c r="AO243" s="323"/>
      <c r="AQ243" s="609"/>
    </row>
    <row r="244" spans="1:43" s="322" customFormat="1" ht="15.75" customHeight="1">
      <c r="A244" s="295"/>
      <c r="B244" s="220" t="s">
        <v>260</v>
      </c>
      <c r="C244" s="1219"/>
      <c r="D244" s="728"/>
      <c r="E244" s="325">
        <v>103</v>
      </c>
      <c r="F244" s="325">
        <v>90</v>
      </c>
      <c r="G244" s="728"/>
      <c r="H244" s="325">
        <v>103</v>
      </c>
      <c r="I244" s="325">
        <v>114</v>
      </c>
      <c r="J244" s="325">
        <v>103</v>
      </c>
      <c r="K244" s="325">
        <v>103</v>
      </c>
      <c r="L244" s="325">
        <v>90</v>
      </c>
      <c r="M244" s="325">
        <v>90</v>
      </c>
      <c r="N244" s="728"/>
      <c r="O244" s="728"/>
      <c r="P244" s="325">
        <v>103</v>
      </c>
      <c r="Q244" s="325">
        <v>114</v>
      </c>
      <c r="R244" s="325">
        <v>114</v>
      </c>
      <c r="S244" s="325">
        <v>90</v>
      </c>
      <c r="T244" s="325">
        <v>103</v>
      </c>
      <c r="U244" s="728"/>
      <c r="V244" s="325">
        <v>90</v>
      </c>
      <c r="W244" s="325">
        <v>103</v>
      </c>
      <c r="X244" s="325">
        <v>114</v>
      </c>
      <c r="Y244" s="325">
        <v>114</v>
      </c>
      <c r="Z244" s="325">
        <v>103</v>
      </c>
      <c r="AA244" s="325">
        <v>90</v>
      </c>
      <c r="AB244" s="728"/>
      <c r="AC244" s="325">
        <v>90</v>
      </c>
      <c r="AD244" s="325">
        <v>103</v>
      </c>
      <c r="AE244" s="325">
        <v>114</v>
      </c>
      <c r="AF244" s="728"/>
      <c r="AG244" s="325">
        <v>90</v>
      </c>
      <c r="AH244" s="325">
        <v>103</v>
      </c>
      <c r="AI244" s="321">
        <f t="shared" ref="AI244:AI254" si="23">SUM(D244:AH244)</f>
        <v>2434</v>
      </c>
      <c r="AJ244" s="294"/>
      <c r="AK244" s="221"/>
      <c r="AO244" s="323"/>
      <c r="AQ244" s="609"/>
    </row>
    <row r="245" spans="1:43" s="330" customFormat="1" ht="15.75" customHeight="1">
      <c r="A245" s="295"/>
      <c r="B245" s="298" t="s">
        <v>56</v>
      </c>
      <c r="C245" s="1219"/>
      <c r="D245" s="729"/>
      <c r="E245" s="327">
        <v>324</v>
      </c>
      <c r="F245" s="327">
        <v>28</v>
      </c>
      <c r="G245" s="729"/>
      <c r="H245" s="327">
        <v>107</v>
      </c>
      <c r="I245" s="327">
        <v>68</v>
      </c>
      <c r="J245" s="327">
        <v>56</v>
      </c>
      <c r="K245" s="327">
        <v>22</v>
      </c>
      <c r="L245" s="327">
        <v>38</v>
      </c>
      <c r="M245" s="327">
        <v>17</v>
      </c>
      <c r="N245" s="729"/>
      <c r="O245" s="729"/>
      <c r="P245" s="327">
        <v>85</v>
      </c>
      <c r="Q245" s="327">
        <v>206</v>
      </c>
      <c r="R245" s="327">
        <v>60</v>
      </c>
      <c r="S245" s="327">
        <f>74+2</f>
        <v>76</v>
      </c>
      <c r="T245" s="327">
        <v>59</v>
      </c>
      <c r="U245" s="729"/>
      <c r="V245" s="327">
        <v>83</v>
      </c>
      <c r="W245" s="327">
        <v>65</v>
      </c>
      <c r="X245" s="327">
        <f>33+6</f>
        <v>39</v>
      </c>
      <c r="Y245" s="327">
        <f>68+3</f>
        <v>71</v>
      </c>
      <c r="Z245" s="327">
        <f>55+4</f>
        <v>59</v>
      </c>
      <c r="AA245" s="327">
        <f>36+4</f>
        <v>40</v>
      </c>
      <c r="AB245" s="729"/>
      <c r="AC245" s="327">
        <v>26</v>
      </c>
      <c r="AD245" s="327">
        <v>35</v>
      </c>
      <c r="AE245" s="327">
        <v>79</v>
      </c>
      <c r="AF245" s="729"/>
      <c r="AG245" s="327">
        <v>83</v>
      </c>
      <c r="AH245" s="327">
        <f>42+2</f>
        <v>44</v>
      </c>
      <c r="AI245" s="328">
        <f t="shared" si="23"/>
        <v>1770</v>
      </c>
      <c r="AJ245" s="296"/>
      <c r="AK245" s="222"/>
      <c r="AL245" s="329"/>
      <c r="AO245" s="331"/>
      <c r="AQ245" s="610"/>
    </row>
    <row r="246" spans="1:43" s="322" customFormat="1" ht="15.75" customHeight="1">
      <c r="A246" s="295"/>
      <c r="B246" s="220" t="s">
        <v>642</v>
      </c>
      <c r="C246" s="1219"/>
      <c r="D246" s="728"/>
      <c r="E246" s="325"/>
      <c r="F246" s="325"/>
      <c r="G246" s="728"/>
      <c r="H246" s="325"/>
      <c r="I246" s="325"/>
      <c r="J246" s="325"/>
      <c r="K246" s="325"/>
      <c r="L246" s="325"/>
      <c r="M246" s="325"/>
      <c r="N246" s="728"/>
      <c r="O246" s="728"/>
      <c r="P246" s="325"/>
      <c r="Q246" s="325"/>
      <c r="R246" s="325"/>
      <c r="S246" s="325"/>
      <c r="T246" s="325"/>
      <c r="U246" s="728"/>
      <c r="V246" s="325"/>
      <c r="W246" s="325"/>
      <c r="X246" s="325"/>
      <c r="Y246" s="325"/>
      <c r="Z246" s="325"/>
      <c r="AA246" s="325"/>
      <c r="AB246" s="728"/>
      <c r="AC246" s="325"/>
      <c r="AD246" s="325"/>
      <c r="AE246" s="325"/>
      <c r="AF246" s="728"/>
      <c r="AG246" s="325"/>
      <c r="AH246" s="325"/>
      <c r="AI246" s="321">
        <f t="shared" si="23"/>
        <v>0</v>
      </c>
      <c r="AJ246" s="317">
        <v>1409</v>
      </c>
      <c r="AK246" s="221">
        <f>AI246*AJ246</f>
        <v>0</v>
      </c>
      <c r="AO246" s="323"/>
      <c r="AQ246" s="609"/>
    </row>
    <row r="247" spans="1:43" s="322" customFormat="1" ht="15.75" customHeight="1">
      <c r="A247" s="295"/>
      <c r="B247" s="220" t="s">
        <v>721</v>
      </c>
      <c r="C247" s="1219"/>
      <c r="D247" s="728"/>
      <c r="E247" s="325">
        <f>E245-E244</f>
        <v>221</v>
      </c>
      <c r="F247" s="325"/>
      <c r="G247" s="728"/>
      <c r="H247" s="325">
        <f>H245-H244</f>
        <v>4</v>
      </c>
      <c r="I247" s="325"/>
      <c r="J247" s="325"/>
      <c r="K247" s="325"/>
      <c r="L247" s="325"/>
      <c r="M247" s="325"/>
      <c r="N247" s="728"/>
      <c r="O247" s="727"/>
      <c r="P247" s="324"/>
      <c r="Q247" s="325"/>
      <c r="R247" s="325"/>
      <c r="S247" s="325"/>
      <c r="T247" s="325"/>
      <c r="U247" s="728"/>
      <c r="V247" s="325"/>
      <c r="W247" s="325"/>
      <c r="X247" s="325"/>
      <c r="Y247" s="325"/>
      <c r="Z247" s="325"/>
      <c r="AA247" s="325"/>
      <c r="AB247" s="728"/>
      <c r="AC247" s="325"/>
      <c r="AD247" s="325"/>
      <c r="AE247" s="325"/>
      <c r="AF247" s="728"/>
      <c r="AG247" s="325"/>
      <c r="AH247" s="325"/>
      <c r="AI247" s="321">
        <f t="shared" si="23"/>
        <v>225</v>
      </c>
      <c r="AJ247" s="317">
        <v>1322</v>
      </c>
      <c r="AK247" s="221">
        <f>AI247*AJ247</f>
        <v>297450</v>
      </c>
      <c r="AO247" s="323"/>
      <c r="AQ247" s="609"/>
    </row>
    <row r="248" spans="1:43" s="322" customFormat="1" ht="15.75" customHeight="1">
      <c r="A248" s="295"/>
      <c r="B248" s="220" t="s">
        <v>366</v>
      </c>
      <c r="C248" s="1219"/>
      <c r="D248" s="728"/>
      <c r="E248" s="325"/>
      <c r="F248" s="325"/>
      <c r="G248" s="728"/>
      <c r="H248" s="325"/>
      <c r="I248" s="325"/>
      <c r="J248" s="325"/>
      <c r="K248" s="325"/>
      <c r="L248" s="325"/>
      <c r="M248" s="325"/>
      <c r="N248" s="728"/>
      <c r="O248" s="728"/>
      <c r="P248" s="325"/>
      <c r="Q248" s="325">
        <f>Q245-Q244</f>
        <v>92</v>
      </c>
      <c r="R248" s="325"/>
      <c r="S248" s="325"/>
      <c r="T248" s="325"/>
      <c r="U248" s="728"/>
      <c r="V248" s="325"/>
      <c r="W248" s="325"/>
      <c r="X248" s="325"/>
      <c r="Y248" s="325"/>
      <c r="Z248" s="325"/>
      <c r="AA248" s="325"/>
      <c r="AB248" s="728"/>
      <c r="AC248" s="325"/>
      <c r="AD248" s="325"/>
      <c r="AE248" s="325"/>
      <c r="AF248" s="728"/>
      <c r="AG248" s="325"/>
      <c r="AH248" s="325"/>
      <c r="AI248" s="321">
        <f t="shared" si="23"/>
        <v>92</v>
      </c>
      <c r="AJ248" s="317">
        <v>1233</v>
      </c>
      <c r="AK248" s="221">
        <f>AI248*AJ248</f>
        <v>113436</v>
      </c>
      <c r="AO248" s="323"/>
      <c r="AQ248" s="609"/>
    </row>
    <row r="249" spans="1:43" s="322" customFormat="1" ht="15.75" customHeight="1">
      <c r="A249" s="295"/>
      <c r="B249" s="220" t="s">
        <v>643</v>
      </c>
      <c r="C249" s="1219"/>
      <c r="D249" s="728"/>
      <c r="E249" s="325"/>
      <c r="F249" s="325"/>
      <c r="G249" s="728"/>
      <c r="H249" s="325"/>
      <c r="I249" s="325"/>
      <c r="J249" s="325"/>
      <c r="K249" s="325"/>
      <c r="L249" s="325"/>
      <c r="M249" s="325"/>
      <c r="N249" s="728"/>
      <c r="O249" s="728"/>
      <c r="P249" s="325"/>
      <c r="Q249" s="325"/>
      <c r="R249" s="325"/>
      <c r="S249" s="325"/>
      <c r="T249" s="325"/>
      <c r="U249" s="728"/>
      <c r="V249" s="325"/>
      <c r="W249" s="325"/>
      <c r="X249" s="325"/>
      <c r="Y249" s="325"/>
      <c r="Z249" s="325"/>
      <c r="AA249" s="325"/>
      <c r="AB249" s="728"/>
      <c r="AC249" s="325"/>
      <c r="AD249" s="325"/>
      <c r="AE249" s="325"/>
      <c r="AF249" s="728"/>
      <c r="AG249" s="325"/>
      <c r="AH249" s="325"/>
      <c r="AI249" s="321">
        <f t="shared" si="23"/>
        <v>0</v>
      </c>
      <c r="AJ249" s="317">
        <v>1043</v>
      </c>
      <c r="AK249" s="221">
        <f>AI249*AJ249</f>
        <v>0</v>
      </c>
      <c r="AO249" s="323"/>
      <c r="AQ249" s="609"/>
    </row>
    <row r="250" spans="1:43" s="322" customFormat="1" ht="15.75" customHeight="1">
      <c r="A250" s="295"/>
      <c r="B250" s="220" t="s">
        <v>367</v>
      </c>
      <c r="C250" s="1219"/>
      <c r="D250" s="728"/>
      <c r="E250" s="325"/>
      <c r="F250" s="325"/>
      <c r="G250" s="728"/>
      <c r="H250" s="325"/>
      <c r="I250" s="325"/>
      <c r="J250" s="325"/>
      <c r="K250" s="325"/>
      <c r="L250" s="325"/>
      <c r="M250" s="325"/>
      <c r="N250" s="728"/>
      <c r="O250" s="728"/>
      <c r="P250" s="325"/>
      <c r="Q250" s="325"/>
      <c r="R250" s="325"/>
      <c r="S250" s="325"/>
      <c r="T250" s="325"/>
      <c r="U250" s="728"/>
      <c r="V250" s="325"/>
      <c r="W250" s="325"/>
      <c r="X250" s="325"/>
      <c r="Y250" s="325"/>
      <c r="Z250" s="325"/>
      <c r="AA250" s="325"/>
      <c r="AB250" s="728"/>
      <c r="AC250" s="325"/>
      <c r="AD250" s="325"/>
      <c r="AE250" s="325"/>
      <c r="AF250" s="728"/>
      <c r="AG250" s="325"/>
      <c r="AH250" s="325"/>
      <c r="AI250" s="321">
        <f t="shared" si="23"/>
        <v>0</v>
      </c>
      <c r="AJ250" s="317"/>
      <c r="AK250" s="221">
        <f>AI250*AJ250</f>
        <v>0</v>
      </c>
      <c r="AL250" s="326"/>
      <c r="AM250" s="326"/>
      <c r="AN250" s="326"/>
      <c r="AO250" s="323"/>
      <c r="AP250" s="326"/>
      <c r="AQ250" s="609"/>
    </row>
    <row r="251" spans="1:43" s="330" customFormat="1" ht="15.75" customHeight="1">
      <c r="A251" s="295"/>
      <c r="B251" s="298" t="s">
        <v>259</v>
      </c>
      <c r="C251" s="1219"/>
      <c r="D251" s="729"/>
      <c r="E251" s="327"/>
      <c r="F251" s="327"/>
      <c r="G251" s="729"/>
      <c r="H251" s="327"/>
      <c r="I251" s="327"/>
      <c r="J251" s="327"/>
      <c r="K251" s="327"/>
      <c r="L251" s="327"/>
      <c r="M251" s="327"/>
      <c r="N251" s="729"/>
      <c r="O251" s="729"/>
      <c r="P251" s="327"/>
      <c r="Q251" s="327"/>
      <c r="R251" s="327"/>
      <c r="S251" s="327"/>
      <c r="T251" s="327"/>
      <c r="U251" s="729"/>
      <c r="V251" s="327"/>
      <c r="W251" s="327"/>
      <c r="X251" s="332"/>
      <c r="Y251" s="327"/>
      <c r="Z251" s="327"/>
      <c r="AA251" s="327"/>
      <c r="AB251" s="729"/>
      <c r="AC251" s="327"/>
      <c r="AD251" s="327"/>
      <c r="AE251" s="327"/>
      <c r="AF251" s="729"/>
      <c r="AG251" s="327"/>
      <c r="AH251" s="327"/>
      <c r="AI251" s="328">
        <f t="shared" si="23"/>
        <v>0</v>
      </c>
      <c r="AJ251" s="333"/>
      <c r="AK251" s="222">
        <f>SUM(AK246:AK250)</f>
        <v>410886</v>
      </c>
      <c r="AL251" s="334"/>
      <c r="AM251" s="334"/>
      <c r="AN251" s="334"/>
      <c r="AO251" s="331"/>
      <c r="AP251" s="334"/>
      <c r="AQ251" s="610"/>
    </row>
    <row r="252" spans="1:43" s="322" customFormat="1" ht="15.75" customHeight="1">
      <c r="A252" s="295"/>
      <c r="B252" s="220" t="s">
        <v>57</v>
      </c>
      <c r="C252" s="1219"/>
      <c r="D252" s="728"/>
      <c r="E252" s="325">
        <v>25</v>
      </c>
      <c r="F252" s="325">
        <v>3</v>
      </c>
      <c r="G252" s="728"/>
      <c r="H252" s="325">
        <v>6</v>
      </c>
      <c r="I252" s="325">
        <v>6</v>
      </c>
      <c r="J252" s="325">
        <v>3</v>
      </c>
      <c r="K252" s="325">
        <v>1</v>
      </c>
      <c r="L252" s="325">
        <v>6</v>
      </c>
      <c r="M252" s="325">
        <v>1</v>
      </c>
      <c r="N252" s="728"/>
      <c r="O252" s="728"/>
      <c r="P252" s="325">
        <v>5</v>
      </c>
      <c r="Q252" s="325">
        <v>4</v>
      </c>
      <c r="R252" s="325">
        <v>4</v>
      </c>
      <c r="S252" s="325">
        <v>4</v>
      </c>
      <c r="T252" s="325">
        <v>3</v>
      </c>
      <c r="U252" s="728"/>
      <c r="V252" s="325">
        <v>10</v>
      </c>
      <c r="W252" s="325">
        <v>5</v>
      </c>
      <c r="X252" s="325">
        <v>1</v>
      </c>
      <c r="Y252" s="325">
        <v>3</v>
      </c>
      <c r="Z252" s="325">
        <v>12</v>
      </c>
      <c r="AA252" s="325">
        <v>5</v>
      </c>
      <c r="AB252" s="728"/>
      <c r="AC252" s="325">
        <v>2</v>
      </c>
      <c r="AD252" s="325">
        <v>1</v>
      </c>
      <c r="AE252" s="325">
        <v>9</v>
      </c>
      <c r="AF252" s="728"/>
      <c r="AG252" s="325">
        <v>7</v>
      </c>
      <c r="AH252" s="325">
        <v>5</v>
      </c>
      <c r="AI252" s="321">
        <f t="shared" si="23"/>
        <v>131</v>
      </c>
      <c r="AJ252" s="317">
        <v>1750</v>
      </c>
      <c r="AK252" s="221">
        <f>AI252*AJ252</f>
        <v>229250</v>
      </c>
      <c r="AL252" s="326"/>
      <c r="AM252" s="326"/>
      <c r="AN252" s="326"/>
      <c r="AO252" s="323"/>
      <c r="AP252" s="326"/>
      <c r="AQ252" s="609"/>
    </row>
    <row r="253" spans="1:43" s="360" customFormat="1" ht="15.75" customHeight="1" thickBot="1">
      <c r="A253" s="352"/>
      <c r="B253" s="353" t="s">
        <v>44</v>
      </c>
      <c r="C253" s="1220"/>
      <c r="D253" s="730"/>
      <c r="E253" s="354"/>
      <c r="F253" s="354"/>
      <c r="G253" s="730"/>
      <c r="H253" s="354"/>
      <c r="I253" s="354">
        <v>52141</v>
      </c>
      <c r="J253" s="354"/>
      <c r="K253" s="354"/>
      <c r="L253" s="354"/>
      <c r="M253" s="354"/>
      <c r="N253" s="730"/>
      <c r="O253" s="730"/>
      <c r="P253" s="354"/>
      <c r="Q253" s="354"/>
      <c r="R253" s="354"/>
      <c r="S253" s="354"/>
      <c r="T253" s="354"/>
      <c r="U253" s="1071"/>
      <c r="V253" s="354"/>
      <c r="W253" s="354"/>
      <c r="X253" s="354"/>
      <c r="Y253" s="354"/>
      <c r="Z253" s="354"/>
      <c r="AA253" s="354"/>
      <c r="AB253" s="730"/>
      <c r="AC253" s="354"/>
      <c r="AD253" s="354"/>
      <c r="AE253" s="354"/>
      <c r="AF253" s="730"/>
      <c r="AG253" s="354"/>
      <c r="AH253" s="354"/>
      <c r="AI253" s="355">
        <f t="shared" si="23"/>
        <v>52141</v>
      </c>
      <c r="AJ253" s="356"/>
      <c r="AK253" s="357">
        <f>AI253</f>
        <v>52141</v>
      </c>
      <c r="AL253" s="358"/>
      <c r="AM253" s="358"/>
      <c r="AN253" s="358"/>
      <c r="AO253" s="359"/>
      <c r="AP253" s="358"/>
      <c r="AQ253" s="611"/>
    </row>
    <row r="254" spans="1:43" s="216" customFormat="1" ht="15.75" customHeight="1" thickTop="1">
      <c r="A254" s="293">
        <v>20</v>
      </c>
      <c r="B254" s="268" t="s">
        <v>748</v>
      </c>
      <c r="C254" s="624"/>
      <c r="D254" s="731"/>
      <c r="E254" s="308">
        <v>1</v>
      </c>
      <c r="F254" s="308">
        <v>1</v>
      </c>
      <c r="G254" s="731"/>
      <c r="H254" s="308">
        <v>1</v>
      </c>
      <c r="I254" s="308">
        <v>1</v>
      </c>
      <c r="J254" s="308">
        <v>1</v>
      </c>
      <c r="K254" s="308">
        <v>1</v>
      </c>
      <c r="L254" s="308">
        <v>1</v>
      </c>
      <c r="M254" s="308">
        <v>1</v>
      </c>
      <c r="N254" s="731"/>
      <c r="O254" s="731"/>
      <c r="P254" s="308">
        <v>1</v>
      </c>
      <c r="Q254" s="308">
        <v>1</v>
      </c>
      <c r="R254" s="308">
        <v>1</v>
      </c>
      <c r="S254" s="308">
        <v>1</v>
      </c>
      <c r="T254" s="308">
        <v>1</v>
      </c>
      <c r="U254" s="731"/>
      <c r="V254" s="308">
        <v>1</v>
      </c>
      <c r="W254" s="308">
        <v>1</v>
      </c>
      <c r="X254" s="308">
        <v>1</v>
      </c>
      <c r="Y254" s="308">
        <v>1</v>
      </c>
      <c r="Z254" s="308">
        <v>1</v>
      </c>
      <c r="AA254" s="308">
        <v>1</v>
      </c>
      <c r="AB254" s="731"/>
      <c r="AC254" s="308">
        <v>1</v>
      </c>
      <c r="AD254" s="308">
        <v>1</v>
      </c>
      <c r="AE254" s="308">
        <v>1</v>
      </c>
      <c r="AF254" s="731"/>
      <c r="AG254" s="308">
        <v>1</v>
      </c>
      <c r="AH254" s="308">
        <v>1</v>
      </c>
      <c r="AI254" s="309">
        <f t="shared" si="23"/>
        <v>24</v>
      </c>
      <c r="AJ254" s="310"/>
      <c r="AK254" s="224"/>
      <c r="AL254" s="311"/>
      <c r="AN254" s="312"/>
      <c r="AO254" s="313"/>
      <c r="AP254" s="314"/>
      <c r="AQ254" s="608"/>
    </row>
    <row r="255" spans="1:43" s="322" customFormat="1" ht="46.5" customHeight="1">
      <c r="A255" s="295"/>
      <c r="B255" s="297" t="s">
        <v>188</v>
      </c>
      <c r="C255" s="619"/>
      <c r="D255" s="726"/>
      <c r="E255" s="318" t="s">
        <v>740</v>
      </c>
      <c r="F255" s="318" t="s">
        <v>788</v>
      </c>
      <c r="G255" s="726"/>
      <c r="H255" s="318" t="s">
        <v>789</v>
      </c>
      <c r="I255" s="318" t="s">
        <v>789</v>
      </c>
      <c r="J255" s="318" t="s">
        <v>791</v>
      </c>
      <c r="K255" s="318" t="s">
        <v>792</v>
      </c>
      <c r="L255" s="318" t="s">
        <v>791</v>
      </c>
      <c r="M255" s="318" t="s">
        <v>792</v>
      </c>
      <c r="N255" s="726"/>
      <c r="O255" s="726"/>
      <c r="P255" s="318" t="s">
        <v>793</v>
      </c>
      <c r="Q255" s="319" t="s">
        <v>792</v>
      </c>
      <c r="R255" s="318" t="s">
        <v>795</v>
      </c>
      <c r="S255" s="319" t="s">
        <v>788</v>
      </c>
      <c r="T255" s="318" t="s">
        <v>831</v>
      </c>
      <c r="U255" s="726"/>
      <c r="V255" s="318" t="s">
        <v>789</v>
      </c>
      <c r="W255" s="318" t="s">
        <v>813</v>
      </c>
      <c r="X255" s="509" t="s">
        <v>816</v>
      </c>
      <c r="Y255" s="509" t="s">
        <v>795</v>
      </c>
      <c r="Z255" s="320" t="s">
        <v>921</v>
      </c>
      <c r="AA255" s="318" t="s">
        <v>813</v>
      </c>
      <c r="AB255" s="726"/>
      <c r="AC255" s="318" t="s">
        <v>816</v>
      </c>
      <c r="AD255" s="318" t="s">
        <v>810</v>
      </c>
      <c r="AE255" s="318" t="s">
        <v>804</v>
      </c>
      <c r="AF255" s="726"/>
      <c r="AG255" s="318" t="s">
        <v>795</v>
      </c>
      <c r="AH255" s="318" t="s">
        <v>831</v>
      </c>
      <c r="AI255" s="321"/>
      <c r="AJ255" s="317"/>
      <c r="AK255" s="221"/>
      <c r="AO255" s="323"/>
      <c r="AQ255" s="609"/>
    </row>
    <row r="256" spans="1:43" s="322" customFormat="1" ht="15.75" customHeight="1">
      <c r="A256" s="295"/>
      <c r="B256" s="297" t="s">
        <v>281</v>
      </c>
      <c r="C256" s="619"/>
      <c r="D256" s="727"/>
      <c r="E256" s="324">
        <v>3</v>
      </c>
      <c r="F256" s="324">
        <v>3</v>
      </c>
      <c r="G256" s="727"/>
      <c r="H256" s="324" t="s">
        <v>790</v>
      </c>
      <c r="I256" s="324">
        <v>3</v>
      </c>
      <c r="J256" s="324">
        <v>3</v>
      </c>
      <c r="K256" s="324">
        <v>3</v>
      </c>
      <c r="L256" s="324">
        <v>3</v>
      </c>
      <c r="M256" s="324">
        <v>3</v>
      </c>
      <c r="N256" s="727"/>
      <c r="O256" s="727"/>
      <c r="P256" s="324">
        <v>3</v>
      </c>
      <c r="Q256" s="324" t="s">
        <v>794</v>
      </c>
      <c r="R256" s="324">
        <v>3</v>
      </c>
      <c r="S256" s="324" t="s">
        <v>910</v>
      </c>
      <c r="T256" s="324">
        <v>21</v>
      </c>
      <c r="U256" s="727"/>
      <c r="V256" s="324" t="s">
        <v>925</v>
      </c>
      <c r="W256" s="324" t="s">
        <v>925</v>
      </c>
      <c r="X256" s="460" t="s">
        <v>949</v>
      </c>
      <c r="Y256" s="460">
        <v>3</v>
      </c>
      <c r="Z256" s="324">
        <v>3</v>
      </c>
      <c r="AA256" s="324" t="s">
        <v>949</v>
      </c>
      <c r="AB256" s="727"/>
      <c r="AC256" s="324">
        <v>3</v>
      </c>
      <c r="AD256" s="324" t="s">
        <v>989</v>
      </c>
      <c r="AE256" s="324" t="s">
        <v>949</v>
      </c>
      <c r="AF256" s="727"/>
      <c r="AG256" s="324" t="s">
        <v>64</v>
      </c>
      <c r="AH256" s="324">
        <v>3</v>
      </c>
      <c r="AI256" s="321"/>
      <c r="AJ256" s="317"/>
      <c r="AK256" s="221"/>
      <c r="AO256" s="323"/>
      <c r="AQ256" s="609"/>
    </row>
    <row r="257" spans="1:43" s="322" customFormat="1" ht="15.75" customHeight="1">
      <c r="A257" s="295"/>
      <c r="B257" s="220" t="s">
        <v>260</v>
      </c>
      <c r="C257" s="618"/>
      <c r="D257" s="728"/>
      <c r="E257" s="325">
        <v>103</v>
      </c>
      <c r="F257" s="325">
        <v>103</v>
      </c>
      <c r="G257" s="728"/>
      <c r="H257" s="325">
        <v>103</v>
      </c>
      <c r="I257" s="325">
        <v>103</v>
      </c>
      <c r="J257" s="325">
        <v>103</v>
      </c>
      <c r="K257" s="325">
        <v>90</v>
      </c>
      <c r="L257" s="325">
        <v>103</v>
      </c>
      <c r="M257" s="325">
        <v>90</v>
      </c>
      <c r="N257" s="727"/>
      <c r="O257" s="728"/>
      <c r="P257" s="325">
        <v>103</v>
      </c>
      <c r="Q257" s="325">
        <v>114</v>
      </c>
      <c r="R257" s="325">
        <v>114</v>
      </c>
      <c r="S257" s="325">
        <v>103</v>
      </c>
      <c r="T257" s="325">
        <v>103</v>
      </c>
      <c r="U257" s="728"/>
      <c r="V257" s="325">
        <v>103</v>
      </c>
      <c r="W257" s="325">
        <v>103</v>
      </c>
      <c r="X257" s="325">
        <v>90</v>
      </c>
      <c r="Y257" s="325">
        <v>114</v>
      </c>
      <c r="Z257" s="325">
        <v>103</v>
      </c>
      <c r="AA257" s="325">
        <v>103</v>
      </c>
      <c r="AB257" s="728"/>
      <c r="AC257" s="325">
        <v>90</v>
      </c>
      <c r="AD257" s="325">
        <v>103</v>
      </c>
      <c r="AE257" s="325">
        <v>114</v>
      </c>
      <c r="AF257" s="728"/>
      <c r="AG257" s="325">
        <v>114</v>
      </c>
      <c r="AH257" s="325">
        <v>103</v>
      </c>
      <c r="AI257" s="321">
        <f t="shared" ref="AI257:AI266" si="24">SUM(D257:AH257)</f>
        <v>2475</v>
      </c>
      <c r="AJ257" s="294"/>
      <c r="AK257" s="221"/>
      <c r="AO257" s="323"/>
      <c r="AQ257" s="609"/>
    </row>
    <row r="258" spans="1:43" s="330" customFormat="1" ht="15.75" customHeight="1">
      <c r="A258" s="295"/>
      <c r="B258" s="298" t="s">
        <v>56</v>
      </c>
      <c r="C258" s="620"/>
      <c r="D258" s="729"/>
      <c r="E258" s="327">
        <v>78</v>
      </c>
      <c r="F258" s="327">
        <v>81</v>
      </c>
      <c r="G258" s="729"/>
      <c r="H258" s="327">
        <v>118</v>
      </c>
      <c r="I258" s="327">
        <v>60</v>
      </c>
      <c r="J258" s="327">
        <v>25</v>
      </c>
      <c r="K258" s="327">
        <v>68</v>
      </c>
      <c r="L258" s="327">
        <v>45</v>
      </c>
      <c r="M258" s="327">
        <v>53</v>
      </c>
      <c r="N258" s="729"/>
      <c r="O258" s="729"/>
      <c r="P258" s="327">
        <v>48</v>
      </c>
      <c r="Q258" s="327">
        <v>132</v>
      </c>
      <c r="R258" s="327">
        <v>32</v>
      </c>
      <c r="S258" s="327">
        <v>62</v>
      </c>
      <c r="T258" s="327">
        <v>58</v>
      </c>
      <c r="U258" s="729"/>
      <c r="V258" s="327">
        <f>116+3</f>
        <v>119</v>
      </c>
      <c r="W258" s="327">
        <f>74+2</f>
        <v>76</v>
      </c>
      <c r="X258" s="327">
        <f>64+3</f>
        <v>67</v>
      </c>
      <c r="Y258" s="327">
        <v>45</v>
      </c>
      <c r="Z258" s="327">
        <v>76</v>
      </c>
      <c r="AA258" s="327">
        <v>20</v>
      </c>
      <c r="AB258" s="729"/>
      <c r="AC258" s="327">
        <v>29</v>
      </c>
      <c r="AD258" s="327">
        <f>66+2</f>
        <v>68</v>
      </c>
      <c r="AE258" s="327">
        <f>46+1</f>
        <v>47</v>
      </c>
      <c r="AF258" s="729"/>
      <c r="AG258" s="327">
        <f>93+1+5</f>
        <v>99</v>
      </c>
      <c r="AH258" s="327">
        <f>56+5</f>
        <v>61</v>
      </c>
      <c r="AI258" s="328">
        <f t="shared" si="24"/>
        <v>1567</v>
      </c>
      <c r="AJ258" s="296"/>
      <c r="AK258" s="222"/>
      <c r="AL258" s="329"/>
      <c r="AO258" s="331"/>
      <c r="AQ258" s="610"/>
    </row>
    <row r="259" spans="1:43" s="322" customFormat="1" ht="15.75" customHeight="1">
      <c r="A259" s="295"/>
      <c r="B259" s="220" t="s">
        <v>642</v>
      </c>
      <c r="C259" s="618"/>
      <c r="D259" s="728"/>
      <c r="E259" s="325"/>
      <c r="F259" s="325"/>
      <c r="G259" s="728"/>
      <c r="H259" s="325"/>
      <c r="I259" s="325"/>
      <c r="J259" s="325"/>
      <c r="K259" s="325"/>
      <c r="L259" s="325"/>
      <c r="M259" s="325"/>
      <c r="N259" s="728"/>
      <c r="O259" s="728"/>
      <c r="P259" s="325"/>
      <c r="Q259" s="325"/>
      <c r="R259" s="325"/>
      <c r="S259" s="325"/>
      <c r="T259" s="325"/>
      <c r="U259" s="728"/>
      <c r="V259" s="325"/>
      <c r="W259" s="325"/>
      <c r="X259" s="325"/>
      <c r="Y259" s="325"/>
      <c r="Z259" s="325"/>
      <c r="AA259" s="325"/>
      <c r="AB259" s="728"/>
      <c r="AC259" s="325"/>
      <c r="AD259" s="325"/>
      <c r="AE259" s="325"/>
      <c r="AF259" s="728"/>
      <c r="AG259" s="325"/>
      <c r="AH259" s="325"/>
      <c r="AI259" s="321">
        <f t="shared" si="24"/>
        <v>0</v>
      </c>
      <c r="AJ259" s="317">
        <v>1409</v>
      </c>
      <c r="AK259" s="221">
        <f>AI259*AJ259</f>
        <v>0</v>
      </c>
      <c r="AO259" s="323"/>
      <c r="AQ259" s="609"/>
    </row>
    <row r="260" spans="1:43" s="322" customFormat="1" ht="15.75" customHeight="1">
      <c r="A260" s="295"/>
      <c r="B260" s="220" t="s">
        <v>721</v>
      </c>
      <c r="C260" s="618"/>
      <c r="D260" s="728"/>
      <c r="E260" s="325"/>
      <c r="F260" s="325"/>
      <c r="G260" s="728"/>
      <c r="H260" s="325">
        <f>H258-H257</f>
        <v>15</v>
      </c>
      <c r="I260" s="325"/>
      <c r="J260" s="325"/>
      <c r="K260" s="325"/>
      <c r="L260" s="325"/>
      <c r="M260" s="325"/>
      <c r="N260" s="728"/>
      <c r="O260" s="727"/>
      <c r="P260" s="324"/>
      <c r="Q260" s="325"/>
      <c r="R260" s="325"/>
      <c r="S260" s="325"/>
      <c r="T260" s="325"/>
      <c r="U260" s="728"/>
      <c r="V260" s="325">
        <f>V258-V257</f>
        <v>16</v>
      </c>
      <c r="W260" s="325"/>
      <c r="X260" s="325"/>
      <c r="Y260" s="325"/>
      <c r="Z260" s="325"/>
      <c r="AA260" s="325"/>
      <c r="AB260" s="728"/>
      <c r="AC260" s="325"/>
      <c r="AD260" s="325"/>
      <c r="AE260" s="325"/>
      <c r="AF260" s="728"/>
      <c r="AG260" s="325"/>
      <c r="AH260" s="325"/>
      <c r="AI260" s="321">
        <f t="shared" si="24"/>
        <v>31</v>
      </c>
      <c r="AJ260" s="317">
        <v>1322</v>
      </c>
      <c r="AK260" s="221">
        <f>AI260*AJ260</f>
        <v>40982</v>
      </c>
      <c r="AO260" s="323"/>
      <c r="AQ260" s="609"/>
    </row>
    <row r="261" spans="1:43" s="322" customFormat="1" ht="15.75" customHeight="1">
      <c r="A261" s="295"/>
      <c r="B261" s="220" t="s">
        <v>366</v>
      </c>
      <c r="C261" s="618"/>
      <c r="D261" s="728"/>
      <c r="E261" s="325"/>
      <c r="F261" s="325"/>
      <c r="G261" s="728"/>
      <c r="H261" s="325"/>
      <c r="I261" s="325"/>
      <c r="J261" s="325"/>
      <c r="K261" s="325"/>
      <c r="L261" s="325"/>
      <c r="M261" s="325"/>
      <c r="N261" s="728"/>
      <c r="O261" s="728"/>
      <c r="P261" s="325"/>
      <c r="Q261" s="325">
        <f>Q258-Q257</f>
        <v>18</v>
      </c>
      <c r="R261" s="325"/>
      <c r="S261" s="325"/>
      <c r="T261" s="325"/>
      <c r="U261" s="728"/>
      <c r="V261" s="325"/>
      <c r="W261" s="325"/>
      <c r="X261" s="325"/>
      <c r="Y261" s="325"/>
      <c r="Z261" s="325"/>
      <c r="AA261" s="325"/>
      <c r="AB261" s="728"/>
      <c r="AC261" s="325"/>
      <c r="AD261" s="325"/>
      <c r="AE261" s="325"/>
      <c r="AF261" s="728"/>
      <c r="AG261" s="325"/>
      <c r="AH261" s="325"/>
      <c r="AI261" s="321">
        <f t="shared" si="24"/>
        <v>18</v>
      </c>
      <c r="AJ261" s="317">
        <v>1233</v>
      </c>
      <c r="AK261" s="221">
        <f>AI261*AJ261</f>
        <v>22194</v>
      </c>
      <c r="AO261" s="323"/>
      <c r="AQ261" s="609"/>
    </row>
    <row r="262" spans="1:43" s="322" customFormat="1" ht="15.75" customHeight="1">
      <c r="A262" s="295"/>
      <c r="B262" s="220" t="s">
        <v>643</v>
      </c>
      <c r="C262" s="618"/>
      <c r="D262" s="728"/>
      <c r="E262" s="325"/>
      <c r="F262" s="325"/>
      <c r="G262" s="728"/>
      <c r="H262" s="325"/>
      <c r="I262" s="325"/>
      <c r="J262" s="325"/>
      <c r="K262" s="325"/>
      <c r="L262" s="325"/>
      <c r="M262" s="325"/>
      <c r="N262" s="728"/>
      <c r="O262" s="728"/>
      <c r="P262" s="325"/>
      <c r="Q262" s="325"/>
      <c r="R262" s="325"/>
      <c r="S262" s="325"/>
      <c r="T262" s="325"/>
      <c r="U262" s="728"/>
      <c r="V262" s="325"/>
      <c r="W262" s="325"/>
      <c r="X262" s="325"/>
      <c r="Y262" s="325"/>
      <c r="Z262" s="325"/>
      <c r="AA262" s="325"/>
      <c r="AB262" s="728"/>
      <c r="AC262" s="325"/>
      <c r="AD262" s="325"/>
      <c r="AE262" s="325"/>
      <c r="AF262" s="728"/>
      <c r="AG262" s="325"/>
      <c r="AH262" s="325"/>
      <c r="AI262" s="321">
        <f t="shared" si="24"/>
        <v>0</v>
      </c>
      <c r="AJ262" s="317">
        <v>1043</v>
      </c>
      <c r="AK262" s="221">
        <f>AI262*AJ262</f>
        <v>0</v>
      </c>
      <c r="AO262" s="323"/>
      <c r="AQ262" s="609"/>
    </row>
    <row r="263" spans="1:43" s="322" customFormat="1" ht="15.75" customHeight="1">
      <c r="A263" s="295"/>
      <c r="B263" s="220" t="s">
        <v>367</v>
      </c>
      <c r="C263" s="618"/>
      <c r="D263" s="728"/>
      <c r="E263" s="325"/>
      <c r="F263" s="325"/>
      <c r="G263" s="728"/>
      <c r="H263" s="325"/>
      <c r="I263" s="325"/>
      <c r="J263" s="325"/>
      <c r="K263" s="325"/>
      <c r="L263" s="325"/>
      <c r="M263" s="325"/>
      <c r="N263" s="728"/>
      <c r="O263" s="728"/>
      <c r="P263" s="325"/>
      <c r="Q263" s="325"/>
      <c r="R263" s="325"/>
      <c r="S263" s="325"/>
      <c r="T263" s="325"/>
      <c r="U263" s="728"/>
      <c r="V263" s="325"/>
      <c r="W263" s="325"/>
      <c r="X263" s="325"/>
      <c r="Y263" s="325"/>
      <c r="Z263" s="325"/>
      <c r="AA263" s="325"/>
      <c r="AB263" s="728"/>
      <c r="AC263" s="325"/>
      <c r="AD263" s="325"/>
      <c r="AE263" s="325"/>
      <c r="AF263" s="728"/>
      <c r="AG263" s="325"/>
      <c r="AH263" s="325"/>
      <c r="AI263" s="321">
        <f t="shared" si="24"/>
        <v>0</v>
      </c>
      <c r="AJ263" s="317"/>
      <c r="AK263" s="221">
        <f>AI263*AJ263</f>
        <v>0</v>
      </c>
      <c r="AL263" s="326"/>
      <c r="AM263" s="326"/>
      <c r="AN263" s="326"/>
      <c r="AO263" s="323"/>
      <c r="AP263" s="326"/>
      <c r="AQ263" s="609"/>
    </row>
    <row r="264" spans="1:43" s="330" customFormat="1" ht="15.75" customHeight="1">
      <c r="A264" s="295"/>
      <c r="B264" s="298" t="s">
        <v>259</v>
      </c>
      <c r="C264" s="620"/>
      <c r="D264" s="729"/>
      <c r="E264" s="327"/>
      <c r="F264" s="327"/>
      <c r="G264" s="729"/>
      <c r="H264" s="327"/>
      <c r="I264" s="327"/>
      <c r="J264" s="327"/>
      <c r="K264" s="327"/>
      <c r="L264" s="327"/>
      <c r="M264" s="327"/>
      <c r="N264" s="729"/>
      <c r="O264" s="729"/>
      <c r="P264" s="327"/>
      <c r="Q264" s="327"/>
      <c r="R264" s="327"/>
      <c r="S264" s="327"/>
      <c r="T264" s="327"/>
      <c r="U264" s="729"/>
      <c r="V264" s="327"/>
      <c r="W264" s="327"/>
      <c r="X264" s="327"/>
      <c r="Y264" s="327"/>
      <c r="Z264" s="327"/>
      <c r="AA264" s="327"/>
      <c r="AB264" s="729"/>
      <c r="AC264" s="327"/>
      <c r="AD264" s="327"/>
      <c r="AE264" s="327"/>
      <c r="AF264" s="729"/>
      <c r="AG264" s="327"/>
      <c r="AH264" s="327"/>
      <c r="AI264" s="328">
        <f t="shared" si="24"/>
        <v>0</v>
      </c>
      <c r="AJ264" s="333"/>
      <c r="AK264" s="222">
        <f>SUM(AK259:AK263)</f>
        <v>63176</v>
      </c>
      <c r="AL264" s="334"/>
      <c r="AM264" s="334"/>
      <c r="AN264" s="334"/>
      <c r="AO264" s="331"/>
      <c r="AP264" s="334"/>
      <c r="AQ264" s="610"/>
    </row>
    <row r="265" spans="1:43" s="322" customFormat="1" ht="15.75" customHeight="1">
      <c r="A265" s="295"/>
      <c r="B265" s="220" t="s">
        <v>57</v>
      </c>
      <c r="C265" s="618"/>
      <c r="D265" s="728"/>
      <c r="E265" s="325">
        <v>6</v>
      </c>
      <c r="F265" s="325">
        <v>1</v>
      </c>
      <c r="G265" s="728"/>
      <c r="H265" s="325">
        <v>8</v>
      </c>
      <c r="I265" s="325">
        <v>3</v>
      </c>
      <c r="J265" s="325">
        <v>2</v>
      </c>
      <c r="K265" s="325">
        <v>1</v>
      </c>
      <c r="L265" s="325">
        <v>7</v>
      </c>
      <c r="M265" s="325">
        <v>8</v>
      </c>
      <c r="N265" s="728"/>
      <c r="O265" s="728"/>
      <c r="P265" s="325">
        <v>3</v>
      </c>
      <c r="Q265" s="325">
        <v>10</v>
      </c>
      <c r="R265" s="325">
        <v>1</v>
      </c>
      <c r="S265" s="325">
        <v>5</v>
      </c>
      <c r="T265" s="325">
        <v>6</v>
      </c>
      <c r="U265" s="728"/>
      <c r="V265" s="325">
        <v>13</v>
      </c>
      <c r="W265" s="325">
        <v>7</v>
      </c>
      <c r="X265" s="325">
        <v>6</v>
      </c>
      <c r="Y265" s="325">
        <v>6</v>
      </c>
      <c r="Z265" s="325">
        <v>4</v>
      </c>
      <c r="AA265" s="325">
        <v>1</v>
      </c>
      <c r="AB265" s="728"/>
      <c r="AC265" s="325">
        <v>5</v>
      </c>
      <c r="AD265" s="325">
        <v>12</v>
      </c>
      <c r="AE265" s="325">
        <v>9</v>
      </c>
      <c r="AF265" s="728"/>
      <c r="AG265" s="325">
        <v>7</v>
      </c>
      <c r="AH265" s="325">
        <v>8</v>
      </c>
      <c r="AI265" s="321">
        <f t="shared" si="24"/>
        <v>139</v>
      </c>
      <c r="AJ265" s="317">
        <v>1750</v>
      </c>
      <c r="AK265" s="221">
        <f>AI265*AJ265</f>
        <v>243250</v>
      </c>
      <c r="AL265" s="326"/>
      <c r="AM265" s="326"/>
      <c r="AN265" s="326"/>
      <c r="AO265" s="323"/>
      <c r="AP265" s="326"/>
      <c r="AQ265" s="609"/>
    </row>
    <row r="266" spans="1:43" s="360" customFormat="1" ht="15.75" customHeight="1" thickBot="1">
      <c r="A266" s="352"/>
      <c r="B266" s="353" t="s">
        <v>44</v>
      </c>
      <c r="C266" s="621"/>
      <c r="D266" s="730"/>
      <c r="E266" s="354"/>
      <c r="F266" s="354"/>
      <c r="G266" s="730"/>
      <c r="H266" s="354"/>
      <c r="I266" s="354"/>
      <c r="J266" s="354"/>
      <c r="K266" s="354"/>
      <c r="L266" s="354"/>
      <c r="M266" s="354"/>
      <c r="N266" s="730"/>
      <c r="O266" s="730"/>
      <c r="P266" s="354"/>
      <c r="Q266" s="354"/>
      <c r="R266" s="354"/>
      <c r="S266" s="354"/>
      <c r="T266" s="354"/>
      <c r="U266" s="1071"/>
      <c r="V266" s="354"/>
      <c r="W266" s="354"/>
      <c r="X266" s="354"/>
      <c r="Y266" s="354">
        <v>78212</v>
      </c>
      <c r="Z266" s="354"/>
      <c r="AA266" s="354"/>
      <c r="AB266" s="730"/>
      <c r="AC266" s="354"/>
      <c r="AD266" s="354"/>
      <c r="AE266" s="354"/>
      <c r="AF266" s="730"/>
      <c r="AG266" s="354"/>
      <c r="AH266" s="354"/>
      <c r="AI266" s="355">
        <f t="shared" si="24"/>
        <v>78212</v>
      </c>
      <c r="AJ266" s="356"/>
      <c r="AK266" s="357">
        <f>AI266</f>
        <v>78212</v>
      </c>
      <c r="AL266" s="358"/>
      <c r="AM266" s="358"/>
      <c r="AN266" s="358"/>
      <c r="AO266" s="359"/>
      <c r="AP266" s="358"/>
      <c r="AQ266" s="611"/>
    </row>
    <row r="267" spans="1:43" s="216" customFormat="1" ht="15.75" customHeight="1" thickTop="1">
      <c r="A267" s="293">
        <v>21</v>
      </c>
      <c r="B267" s="219" t="s">
        <v>749</v>
      </c>
      <c r="C267" s="617"/>
      <c r="D267" s="731"/>
      <c r="E267" s="308">
        <v>1</v>
      </c>
      <c r="F267" s="308">
        <v>1</v>
      </c>
      <c r="G267" s="731"/>
      <c r="H267" s="308">
        <v>1</v>
      </c>
      <c r="I267" s="308">
        <v>1</v>
      </c>
      <c r="J267" s="308">
        <v>1</v>
      </c>
      <c r="K267" s="308">
        <v>1</v>
      </c>
      <c r="L267" s="308">
        <v>1</v>
      </c>
      <c r="M267" s="308">
        <v>1</v>
      </c>
      <c r="N267" s="731"/>
      <c r="O267" s="731"/>
      <c r="P267" s="308">
        <v>1</v>
      </c>
      <c r="Q267" s="308">
        <v>1</v>
      </c>
      <c r="R267" s="308">
        <v>1</v>
      </c>
      <c r="S267" s="308">
        <v>1</v>
      </c>
      <c r="T267" s="308">
        <v>1</v>
      </c>
      <c r="U267" s="731"/>
      <c r="V267" s="308">
        <v>1</v>
      </c>
      <c r="W267" s="308">
        <v>1</v>
      </c>
      <c r="X267" s="308">
        <v>1</v>
      </c>
      <c r="Y267" s="308">
        <v>1</v>
      </c>
      <c r="Z267" s="308">
        <v>1</v>
      </c>
      <c r="AA267" s="308">
        <v>1</v>
      </c>
      <c r="AB267" s="731"/>
      <c r="AC267" s="308">
        <v>1</v>
      </c>
      <c r="AD267" s="308">
        <v>1</v>
      </c>
      <c r="AE267" s="308">
        <v>1</v>
      </c>
      <c r="AF267" s="731"/>
      <c r="AG267" s="308">
        <v>1</v>
      </c>
      <c r="AH267" s="308">
        <v>1</v>
      </c>
      <c r="AI267" s="309">
        <f>SUM(D267:AH267)</f>
        <v>24</v>
      </c>
      <c r="AJ267" s="310"/>
      <c r="AK267" s="224"/>
      <c r="AL267" s="311"/>
      <c r="AN267" s="312"/>
      <c r="AO267" s="313"/>
      <c r="AP267" s="314"/>
      <c r="AQ267" s="608"/>
    </row>
    <row r="268" spans="1:43" s="322" customFormat="1" ht="51" customHeight="1">
      <c r="A268" s="295"/>
      <c r="B268" s="297" t="s">
        <v>188</v>
      </c>
      <c r="C268" s="619"/>
      <c r="D268" s="726"/>
      <c r="E268" s="318" t="s">
        <v>740</v>
      </c>
      <c r="F268" s="318" t="s">
        <v>788</v>
      </c>
      <c r="G268" s="726"/>
      <c r="H268" s="318" t="s">
        <v>789</v>
      </c>
      <c r="I268" s="318" t="s">
        <v>802</v>
      </c>
      <c r="J268" s="318" t="s">
        <v>903</v>
      </c>
      <c r="K268" s="318" t="s">
        <v>791</v>
      </c>
      <c r="L268" s="318" t="s">
        <v>792</v>
      </c>
      <c r="M268" s="318" t="s">
        <v>792</v>
      </c>
      <c r="N268" s="726"/>
      <c r="O268" s="726"/>
      <c r="P268" s="318" t="s">
        <v>904</v>
      </c>
      <c r="Q268" s="319" t="s">
        <v>867</v>
      </c>
      <c r="R268" s="318" t="s">
        <v>795</v>
      </c>
      <c r="S268" s="319" t="s">
        <v>918</v>
      </c>
      <c r="T268" s="318" t="s">
        <v>831</v>
      </c>
      <c r="U268" s="726"/>
      <c r="V268" s="318" t="s">
        <v>789</v>
      </c>
      <c r="W268" s="509" t="s">
        <v>813</v>
      </c>
      <c r="X268" s="318" t="s">
        <v>816</v>
      </c>
      <c r="Y268" s="318" t="s">
        <v>795</v>
      </c>
      <c r="Z268" s="320" t="s">
        <v>840</v>
      </c>
      <c r="AA268" s="318" t="s">
        <v>930</v>
      </c>
      <c r="AB268" s="726"/>
      <c r="AC268" s="318" t="s">
        <v>816</v>
      </c>
      <c r="AD268" s="318" t="s">
        <v>801</v>
      </c>
      <c r="AE268" s="318" t="s">
        <v>804</v>
      </c>
      <c r="AF268" s="726"/>
      <c r="AG268" s="318" t="s">
        <v>795</v>
      </c>
      <c r="AH268" s="318" t="s">
        <v>831</v>
      </c>
      <c r="AI268" s="321"/>
      <c r="AJ268" s="317"/>
      <c r="AK268" s="221"/>
      <c r="AO268" s="323"/>
      <c r="AQ268" s="609"/>
    </row>
    <row r="269" spans="1:43" s="322" customFormat="1" ht="15.75" customHeight="1">
      <c r="A269" s="295"/>
      <c r="B269" s="297" t="s">
        <v>281</v>
      </c>
      <c r="C269" s="619"/>
      <c r="D269" s="727"/>
      <c r="E269" s="324">
        <v>4</v>
      </c>
      <c r="F269" s="324">
        <v>4</v>
      </c>
      <c r="G269" s="727"/>
      <c r="H269" s="324">
        <v>4</v>
      </c>
      <c r="I269" s="324">
        <v>4</v>
      </c>
      <c r="J269" s="324">
        <v>4</v>
      </c>
      <c r="K269" s="324">
        <v>4</v>
      </c>
      <c r="L269" s="324">
        <v>4</v>
      </c>
      <c r="M269" s="324">
        <v>4</v>
      </c>
      <c r="N269" s="727"/>
      <c r="O269" s="727"/>
      <c r="P269" s="324">
        <v>4</v>
      </c>
      <c r="Q269" s="324">
        <v>4</v>
      </c>
      <c r="R269" s="324">
        <v>4</v>
      </c>
      <c r="S269" s="324" t="s">
        <v>911</v>
      </c>
      <c r="T269" s="324" t="s">
        <v>924</v>
      </c>
      <c r="U269" s="727"/>
      <c r="V269" s="324" t="s">
        <v>944</v>
      </c>
      <c r="W269" s="460">
        <v>4</v>
      </c>
      <c r="X269" s="324" t="s">
        <v>962</v>
      </c>
      <c r="Y269" s="324">
        <v>4</v>
      </c>
      <c r="Z269" s="324">
        <v>4</v>
      </c>
      <c r="AA269" s="324">
        <v>4</v>
      </c>
      <c r="AB269" s="727"/>
      <c r="AC269" s="324">
        <v>4</v>
      </c>
      <c r="AD269" s="324" t="s">
        <v>989</v>
      </c>
      <c r="AE269" s="324" t="s">
        <v>1005</v>
      </c>
      <c r="AF269" s="727"/>
      <c r="AG269" s="324" t="s">
        <v>1015</v>
      </c>
      <c r="AH269" s="324">
        <v>4</v>
      </c>
      <c r="AI269" s="321"/>
      <c r="AJ269" s="317"/>
      <c r="AK269" s="221"/>
      <c r="AO269" s="323"/>
      <c r="AQ269" s="609"/>
    </row>
    <row r="270" spans="1:43" s="322" customFormat="1" ht="15.75" customHeight="1">
      <c r="A270" s="295"/>
      <c r="B270" s="220" t="s">
        <v>260</v>
      </c>
      <c r="C270" s="618"/>
      <c r="D270" s="728"/>
      <c r="E270" s="325">
        <v>103</v>
      </c>
      <c r="F270" s="325">
        <v>103</v>
      </c>
      <c r="G270" s="728"/>
      <c r="H270" s="325">
        <v>103</v>
      </c>
      <c r="I270" s="325">
        <v>114</v>
      </c>
      <c r="J270" s="325">
        <v>103</v>
      </c>
      <c r="K270" s="325">
        <v>103</v>
      </c>
      <c r="L270" s="325">
        <v>90</v>
      </c>
      <c r="M270" s="325">
        <v>90</v>
      </c>
      <c r="N270" s="728"/>
      <c r="O270" s="728"/>
      <c r="P270" s="325">
        <v>103</v>
      </c>
      <c r="Q270" s="325">
        <v>114</v>
      </c>
      <c r="R270" s="325">
        <v>114</v>
      </c>
      <c r="S270" s="325">
        <v>103</v>
      </c>
      <c r="T270" s="325">
        <v>103</v>
      </c>
      <c r="U270" s="728"/>
      <c r="V270" s="325">
        <v>103</v>
      </c>
      <c r="W270" s="325">
        <v>103</v>
      </c>
      <c r="X270" s="325">
        <v>90</v>
      </c>
      <c r="Y270" s="325">
        <v>114</v>
      </c>
      <c r="Z270" s="325">
        <v>103</v>
      </c>
      <c r="AA270" s="325">
        <v>103</v>
      </c>
      <c r="AB270" s="728"/>
      <c r="AC270" s="325">
        <v>90</v>
      </c>
      <c r="AD270" s="325">
        <v>103</v>
      </c>
      <c r="AE270" s="325">
        <v>114</v>
      </c>
      <c r="AF270" s="728"/>
      <c r="AG270" s="325">
        <v>114</v>
      </c>
      <c r="AH270" s="325">
        <v>103</v>
      </c>
      <c r="AI270" s="321">
        <f t="shared" ref="AI270:AI280" si="25">SUM(D270:AH270)</f>
        <v>2486</v>
      </c>
      <c r="AJ270" s="294"/>
      <c r="AK270" s="221"/>
      <c r="AO270" s="323"/>
      <c r="AQ270" s="609"/>
    </row>
    <row r="271" spans="1:43" s="330" customFormat="1" ht="15.75" customHeight="1">
      <c r="A271" s="295"/>
      <c r="B271" s="298" t="s">
        <v>56</v>
      </c>
      <c r="C271" s="620"/>
      <c r="D271" s="729"/>
      <c r="E271" s="327">
        <v>49</v>
      </c>
      <c r="F271" s="327">
        <v>59</v>
      </c>
      <c r="G271" s="729"/>
      <c r="H271" s="327">
        <v>118</v>
      </c>
      <c r="I271" s="327">
        <v>13</v>
      </c>
      <c r="J271" s="327">
        <v>93</v>
      </c>
      <c r="K271" s="327">
        <v>54</v>
      </c>
      <c r="L271" s="327">
        <v>61</v>
      </c>
      <c r="M271" s="327">
        <v>33</v>
      </c>
      <c r="N271" s="729"/>
      <c r="O271" s="729"/>
      <c r="P271" s="327">
        <v>38</v>
      </c>
      <c r="Q271" s="327">
        <v>64</v>
      </c>
      <c r="R271" s="327">
        <v>56</v>
      </c>
      <c r="S271" s="327">
        <f>81+3</f>
        <v>84</v>
      </c>
      <c r="T271" s="327">
        <f>91+2</f>
        <v>93</v>
      </c>
      <c r="U271" s="729"/>
      <c r="V271" s="327">
        <v>142</v>
      </c>
      <c r="W271" s="327">
        <v>80</v>
      </c>
      <c r="X271" s="327">
        <v>37</v>
      </c>
      <c r="Y271" s="327">
        <f>47+3</f>
        <v>50</v>
      </c>
      <c r="Z271" s="327">
        <v>55</v>
      </c>
      <c r="AA271" s="327">
        <v>38</v>
      </c>
      <c r="AB271" s="729"/>
      <c r="AC271" s="327">
        <v>30</v>
      </c>
      <c r="AD271" s="327">
        <f>53+3</f>
        <v>56</v>
      </c>
      <c r="AE271" s="327">
        <v>54</v>
      </c>
      <c r="AF271" s="729"/>
      <c r="AG271" s="327">
        <f>78+3</f>
        <v>81</v>
      </c>
      <c r="AH271" s="327">
        <f>59+2</f>
        <v>61</v>
      </c>
      <c r="AI271" s="328">
        <f t="shared" si="25"/>
        <v>1499</v>
      </c>
      <c r="AJ271" s="296"/>
      <c r="AK271" s="222"/>
      <c r="AL271" s="329"/>
      <c r="AO271" s="331"/>
      <c r="AQ271" s="610"/>
    </row>
    <row r="272" spans="1:43" s="322" customFormat="1" ht="15.75" customHeight="1">
      <c r="A272" s="295"/>
      <c r="B272" s="220" t="s">
        <v>642</v>
      </c>
      <c r="C272" s="618"/>
      <c r="D272" s="728"/>
      <c r="E272" s="325"/>
      <c r="F272" s="325"/>
      <c r="G272" s="728"/>
      <c r="H272" s="325"/>
      <c r="I272" s="325"/>
      <c r="J272" s="325"/>
      <c r="K272" s="325"/>
      <c r="L272" s="325"/>
      <c r="M272" s="325"/>
      <c r="N272" s="728"/>
      <c r="O272" s="728"/>
      <c r="P272" s="325"/>
      <c r="Q272" s="325"/>
      <c r="R272" s="325"/>
      <c r="S272" s="325"/>
      <c r="T272" s="325"/>
      <c r="U272" s="728"/>
      <c r="V272" s="325"/>
      <c r="W272" s="325"/>
      <c r="X272" s="325"/>
      <c r="Y272" s="325"/>
      <c r="Z272" s="325"/>
      <c r="AA272" s="325"/>
      <c r="AB272" s="728"/>
      <c r="AC272" s="325"/>
      <c r="AD272" s="325"/>
      <c r="AE272" s="325"/>
      <c r="AF272" s="728"/>
      <c r="AG272" s="325"/>
      <c r="AH272" s="325"/>
      <c r="AI272" s="321">
        <f t="shared" si="25"/>
        <v>0</v>
      </c>
      <c r="AJ272" s="317">
        <v>1409</v>
      </c>
      <c r="AK272" s="221">
        <f>AI272*AJ272</f>
        <v>0</v>
      </c>
      <c r="AO272" s="323"/>
      <c r="AQ272" s="609"/>
    </row>
    <row r="273" spans="1:43" s="322" customFormat="1" ht="15.75" customHeight="1">
      <c r="A273" s="295"/>
      <c r="B273" s="220" t="s">
        <v>721</v>
      </c>
      <c r="C273" s="618"/>
      <c r="D273" s="728"/>
      <c r="E273" s="325"/>
      <c r="F273" s="325"/>
      <c r="G273" s="728"/>
      <c r="H273" s="325">
        <f>H271-H270</f>
        <v>15</v>
      </c>
      <c r="I273" s="325"/>
      <c r="J273" s="325"/>
      <c r="K273" s="325"/>
      <c r="L273" s="325"/>
      <c r="M273" s="325"/>
      <c r="N273" s="728"/>
      <c r="O273" s="727"/>
      <c r="P273" s="324"/>
      <c r="Q273" s="325"/>
      <c r="R273" s="325"/>
      <c r="S273" s="325"/>
      <c r="T273" s="325"/>
      <c r="U273" s="728"/>
      <c r="V273" s="325">
        <f>V271-V270</f>
        <v>39</v>
      </c>
      <c r="W273" s="325"/>
      <c r="X273" s="325"/>
      <c r="Y273" s="325"/>
      <c r="Z273" s="325"/>
      <c r="AA273" s="325"/>
      <c r="AB273" s="728"/>
      <c r="AC273" s="325"/>
      <c r="AD273" s="325"/>
      <c r="AE273" s="325"/>
      <c r="AF273" s="728"/>
      <c r="AG273" s="325"/>
      <c r="AH273" s="325"/>
      <c r="AI273" s="321">
        <f t="shared" si="25"/>
        <v>54</v>
      </c>
      <c r="AJ273" s="317">
        <v>1322</v>
      </c>
      <c r="AK273" s="221">
        <f>AI273*AJ273</f>
        <v>71388</v>
      </c>
      <c r="AO273" s="323"/>
      <c r="AQ273" s="609"/>
    </row>
    <row r="274" spans="1:43" s="322" customFormat="1" ht="15.75" customHeight="1">
      <c r="A274" s="295"/>
      <c r="B274" s="220" t="s">
        <v>366</v>
      </c>
      <c r="C274" s="618"/>
      <c r="D274" s="728"/>
      <c r="E274" s="325"/>
      <c r="F274" s="325"/>
      <c r="G274" s="728"/>
      <c r="H274" s="325"/>
      <c r="I274" s="325"/>
      <c r="J274" s="325"/>
      <c r="K274" s="325"/>
      <c r="L274" s="325"/>
      <c r="M274" s="325"/>
      <c r="N274" s="728"/>
      <c r="O274" s="728"/>
      <c r="P274" s="325"/>
      <c r="Q274" s="325"/>
      <c r="R274" s="325"/>
      <c r="S274" s="325"/>
      <c r="T274" s="325"/>
      <c r="U274" s="728"/>
      <c r="V274" s="325"/>
      <c r="W274" s="325"/>
      <c r="X274" s="325"/>
      <c r="Y274" s="325"/>
      <c r="Z274" s="325"/>
      <c r="AA274" s="325"/>
      <c r="AB274" s="728"/>
      <c r="AC274" s="325"/>
      <c r="AD274" s="325"/>
      <c r="AE274" s="325"/>
      <c r="AF274" s="728"/>
      <c r="AG274" s="325"/>
      <c r="AH274" s="325"/>
      <c r="AI274" s="321">
        <f t="shared" si="25"/>
        <v>0</v>
      </c>
      <c r="AJ274" s="317">
        <v>1233</v>
      </c>
      <c r="AK274" s="221">
        <f>AI274*AJ274</f>
        <v>0</v>
      </c>
      <c r="AO274" s="323"/>
      <c r="AQ274" s="609"/>
    </row>
    <row r="275" spans="1:43" s="322" customFormat="1" ht="15.75" customHeight="1">
      <c r="A275" s="295"/>
      <c r="B275" s="220" t="s">
        <v>643</v>
      </c>
      <c r="C275" s="618"/>
      <c r="D275" s="728"/>
      <c r="E275" s="325"/>
      <c r="F275" s="325"/>
      <c r="G275" s="728"/>
      <c r="H275" s="325"/>
      <c r="I275" s="325"/>
      <c r="J275" s="325"/>
      <c r="K275" s="325"/>
      <c r="L275" s="325"/>
      <c r="M275" s="325"/>
      <c r="N275" s="728"/>
      <c r="O275" s="728"/>
      <c r="P275" s="325"/>
      <c r="Q275" s="325"/>
      <c r="R275" s="325"/>
      <c r="S275" s="325"/>
      <c r="T275" s="325"/>
      <c r="U275" s="728"/>
      <c r="V275" s="325"/>
      <c r="W275" s="325"/>
      <c r="X275" s="325"/>
      <c r="Y275" s="325"/>
      <c r="Z275" s="325"/>
      <c r="AA275" s="325"/>
      <c r="AB275" s="728"/>
      <c r="AC275" s="325"/>
      <c r="AD275" s="325"/>
      <c r="AE275" s="325"/>
      <c r="AF275" s="728"/>
      <c r="AG275" s="325"/>
      <c r="AH275" s="325"/>
      <c r="AI275" s="321">
        <f t="shared" si="25"/>
        <v>0</v>
      </c>
      <c r="AJ275" s="317">
        <v>1043</v>
      </c>
      <c r="AK275" s="221">
        <f>AI275*AJ275</f>
        <v>0</v>
      </c>
      <c r="AO275" s="323"/>
      <c r="AQ275" s="609"/>
    </row>
    <row r="276" spans="1:43" s="322" customFormat="1" ht="15.75" customHeight="1">
      <c r="A276" s="295"/>
      <c r="B276" s="220" t="s">
        <v>367</v>
      </c>
      <c r="C276" s="618"/>
      <c r="D276" s="728"/>
      <c r="E276" s="325"/>
      <c r="F276" s="325"/>
      <c r="G276" s="728"/>
      <c r="H276" s="325"/>
      <c r="I276" s="325"/>
      <c r="J276" s="325"/>
      <c r="K276" s="325"/>
      <c r="L276" s="325"/>
      <c r="M276" s="325"/>
      <c r="N276" s="728"/>
      <c r="O276" s="728"/>
      <c r="P276" s="325"/>
      <c r="Q276" s="325"/>
      <c r="R276" s="325"/>
      <c r="S276" s="325"/>
      <c r="T276" s="325"/>
      <c r="U276" s="728"/>
      <c r="V276" s="325"/>
      <c r="W276" s="325"/>
      <c r="X276" s="325"/>
      <c r="Y276" s="325"/>
      <c r="Z276" s="325"/>
      <c r="AA276" s="325"/>
      <c r="AB276" s="728"/>
      <c r="AC276" s="325"/>
      <c r="AD276" s="325"/>
      <c r="AE276" s="325"/>
      <c r="AF276" s="728"/>
      <c r="AG276" s="325"/>
      <c r="AH276" s="325"/>
      <c r="AI276" s="321">
        <f t="shared" si="25"/>
        <v>0</v>
      </c>
      <c r="AJ276" s="317"/>
      <c r="AK276" s="221">
        <f>AI276*AJ276</f>
        <v>0</v>
      </c>
      <c r="AL276" s="326"/>
      <c r="AM276" s="326"/>
      <c r="AN276" s="326"/>
      <c r="AO276" s="323"/>
      <c r="AP276" s="326"/>
      <c r="AQ276" s="609"/>
    </row>
    <row r="277" spans="1:43" s="330" customFormat="1" ht="15.75" customHeight="1">
      <c r="A277" s="295"/>
      <c r="B277" s="298" t="s">
        <v>259</v>
      </c>
      <c r="C277" s="620"/>
      <c r="D277" s="729"/>
      <c r="E277" s="327"/>
      <c r="F277" s="327"/>
      <c r="G277" s="729"/>
      <c r="H277" s="327"/>
      <c r="I277" s="327"/>
      <c r="J277" s="327"/>
      <c r="K277" s="327"/>
      <c r="L277" s="327"/>
      <c r="M277" s="327"/>
      <c r="N277" s="729"/>
      <c r="O277" s="729"/>
      <c r="P277" s="327"/>
      <c r="Q277" s="327"/>
      <c r="R277" s="327"/>
      <c r="S277" s="327"/>
      <c r="T277" s="327"/>
      <c r="U277" s="729"/>
      <c r="V277" s="327"/>
      <c r="W277" s="327"/>
      <c r="X277" s="332"/>
      <c r="Y277" s="327"/>
      <c r="Z277" s="327"/>
      <c r="AA277" s="327"/>
      <c r="AB277" s="729"/>
      <c r="AC277" s="327"/>
      <c r="AD277" s="327"/>
      <c r="AE277" s="327"/>
      <c r="AF277" s="729"/>
      <c r="AG277" s="327"/>
      <c r="AH277" s="327"/>
      <c r="AI277" s="328">
        <f t="shared" si="25"/>
        <v>0</v>
      </c>
      <c r="AJ277" s="333"/>
      <c r="AK277" s="222">
        <f>SUM(AK272:AK276)</f>
        <v>71388</v>
      </c>
      <c r="AL277" s="334"/>
      <c r="AM277" s="334"/>
      <c r="AN277" s="334"/>
      <c r="AO277" s="331"/>
      <c r="AP277" s="334"/>
      <c r="AQ277" s="610"/>
    </row>
    <row r="278" spans="1:43" s="322" customFormat="1" ht="15.75" customHeight="1">
      <c r="A278" s="295"/>
      <c r="B278" s="220" t="s">
        <v>57</v>
      </c>
      <c r="C278" s="618"/>
      <c r="D278" s="728"/>
      <c r="E278" s="325">
        <v>5</v>
      </c>
      <c r="F278" s="325">
        <v>1</v>
      </c>
      <c r="G278" s="728"/>
      <c r="H278" s="325">
        <v>4</v>
      </c>
      <c r="I278" s="325">
        <v>1</v>
      </c>
      <c r="J278" s="325">
        <v>6</v>
      </c>
      <c r="K278" s="325">
        <v>3</v>
      </c>
      <c r="L278" s="325">
        <v>6</v>
      </c>
      <c r="M278" s="325">
        <v>5</v>
      </c>
      <c r="N278" s="728"/>
      <c r="O278" s="728"/>
      <c r="P278" s="325">
        <v>3</v>
      </c>
      <c r="Q278" s="325">
        <v>6</v>
      </c>
      <c r="R278" s="325">
        <v>5</v>
      </c>
      <c r="S278" s="325">
        <v>9</v>
      </c>
      <c r="T278" s="325">
        <v>8</v>
      </c>
      <c r="U278" s="728"/>
      <c r="V278" s="325">
        <v>16</v>
      </c>
      <c r="W278" s="325">
        <v>9</v>
      </c>
      <c r="X278" s="325">
        <v>3</v>
      </c>
      <c r="Y278" s="325">
        <v>5</v>
      </c>
      <c r="Z278" s="325">
        <v>7</v>
      </c>
      <c r="AA278" s="325">
        <v>5</v>
      </c>
      <c r="AB278" s="728"/>
      <c r="AC278" s="325">
        <v>3</v>
      </c>
      <c r="AD278" s="325">
        <v>7</v>
      </c>
      <c r="AE278" s="325">
        <v>10</v>
      </c>
      <c r="AF278" s="728"/>
      <c r="AG278" s="325">
        <v>11</v>
      </c>
      <c r="AH278" s="325">
        <v>8</v>
      </c>
      <c r="AI278" s="321">
        <f t="shared" si="25"/>
        <v>146</v>
      </c>
      <c r="AJ278" s="317">
        <v>1750</v>
      </c>
      <c r="AK278" s="221">
        <f>AI278*AJ278</f>
        <v>255500</v>
      </c>
      <c r="AL278" s="326"/>
      <c r="AM278" s="326"/>
      <c r="AN278" s="326"/>
      <c r="AO278" s="323"/>
      <c r="AP278" s="326"/>
      <c r="AQ278" s="609"/>
    </row>
    <row r="279" spans="1:43" s="360" customFormat="1" ht="15.75" customHeight="1" thickBot="1">
      <c r="A279" s="352"/>
      <c r="B279" s="353" t="s">
        <v>44</v>
      </c>
      <c r="C279" s="621"/>
      <c r="D279" s="730"/>
      <c r="E279" s="354"/>
      <c r="F279" s="354"/>
      <c r="G279" s="730"/>
      <c r="H279" s="354"/>
      <c r="I279" s="354"/>
      <c r="J279" s="354"/>
      <c r="K279" s="354"/>
      <c r="L279" s="354"/>
      <c r="M279" s="354"/>
      <c r="N279" s="730"/>
      <c r="O279" s="730"/>
      <c r="P279" s="354"/>
      <c r="Q279" s="354"/>
      <c r="R279" s="354"/>
      <c r="S279" s="354"/>
      <c r="T279" s="354"/>
      <c r="U279" s="1071"/>
      <c r="V279" s="354"/>
      <c r="W279" s="354"/>
      <c r="X279" s="354"/>
      <c r="Y279" s="354">
        <v>72545</v>
      </c>
      <c r="Z279" s="354"/>
      <c r="AA279" s="354"/>
      <c r="AB279" s="730"/>
      <c r="AC279" s="354"/>
      <c r="AD279" s="354"/>
      <c r="AE279" s="354"/>
      <c r="AF279" s="730"/>
      <c r="AG279" s="354"/>
      <c r="AH279" s="354"/>
      <c r="AI279" s="355">
        <f t="shared" si="25"/>
        <v>72545</v>
      </c>
      <c r="AJ279" s="356"/>
      <c r="AK279" s="357">
        <f>AI279</f>
        <v>72545</v>
      </c>
      <c r="AL279" s="358"/>
      <c r="AM279" s="358"/>
      <c r="AN279" s="358"/>
      <c r="AO279" s="359"/>
      <c r="AP279" s="358"/>
      <c r="AQ279" s="611"/>
    </row>
    <row r="280" spans="1:43" s="216" customFormat="1" ht="15.75" customHeight="1" thickTop="1">
      <c r="A280" s="293">
        <v>22</v>
      </c>
      <c r="B280" s="219" t="s">
        <v>752</v>
      </c>
      <c r="C280" s="617"/>
      <c r="D280" s="731"/>
      <c r="E280" s="308">
        <v>1</v>
      </c>
      <c r="F280" s="308">
        <v>1</v>
      </c>
      <c r="G280" s="731"/>
      <c r="H280" s="308">
        <v>1</v>
      </c>
      <c r="I280" s="308">
        <v>1</v>
      </c>
      <c r="J280" s="308">
        <v>1</v>
      </c>
      <c r="K280" s="308">
        <v>1</v>
      </c>
      <c r="L280" s="308">
        <v>1</v>
      </c>
      <c r="M280" s="308">
        <v>1</v>
      </c>
      <c r="N280" s="731"/>
      <c r="O280" s="731"/>
      <c r="P280" s="308">
        <v>1</v>
      </c>
      <c r="Q280" s="308">
        <v>1</v>
      </c>
      <c r="R280" s="308">
        <v>1</v>
      </c>
      <c r="S280" s="308">
        <v>1</v>
      </c>
      <c r="T280" s="308">
        <v>1</v>
      </c>
      <c r="U280" s="731"/>
      <c r="V280" s="308">
        <v>1</v>
      </c>
      <c r="W280" s="308">
        <v>1</v>
      </c>
      <c r="X280" s="308"/>
      <c r="Y280" s="308"/>
      <c r="Z280" s="308">
        <v>1</v>
      </c>
      <c r="AA280" s="308">
        <v>1</v>
      </c>
      <c r="AB280" s="731"/>
      <c r="AC280" s="308">
        <v>1</v>
      </c>
      <c r="AD280" s="308">
        <v>1</v>
      </c>
      <c r="AE280" s="308">
        <v>1</v>
      </c>
      <c r="AF280" s="731"/>
      <c r="AG280" s="308">
        <v>1</v>
      </c>
      <c r="AH280" s="308"/>
      <c r="AI280" s="309">
        <f t="shared" si="25"/>
        <v>21</v>
      </c>
      <c r="AJ280" s="310"/>
      <c r="AK280" s="224"/>
      <c r="AL280" s="311"/>
      <c r="AN280" s="312"/>
      <c r="AO280" s="313"/>
      <c r="AP280" s="314"/>
      <c r="AQ280" s="608"/>
    </row>
    <row r="281" spans="1:43" s="322" customFormat="1" ht="52.5" customHeight="1">
      <c r="A281" s="295"/>
      <c r="B281" s="297" t="s">
        <v>188</v>
      </c>
      <c r="C281" s="619"/>
      <c r="D281" s="726"/>
      <c r="E281" s="318" t="s">
        <v>791</v>
      </c>
      <c r="F281" s="318" t="s">
        <v>792</v>
      </c>
      <c r="G281" s="726"/>
      <c r="H281" s="318" t="s">
        <v>792</v>
      </c>
      <c r="I281" s="318" t="s">
        <v>867</v>
      </c>
      <c r="J281" s="318" t="s">
        <v>740</v>
      </c>
      <c r="K281" s="318" t="s">
        <v>791</v>
      </c>
      <c r="L281" s="318" t="s">
        <v>740</v>
      </c>
      <c r="M281" s="318" t="s">
        <v>799</v>
      </c>
      <c r="N281" s="726"/>
      <c r="O281" s="726"/>
      <c r="P281" s="318" t="s">
        <v>810</v>
      </c>
      <c r="Q281" s="318" t="s">
        <v>740</v>
      </c>
      <c r="R281" s="318" t="s">
        <v>804</v>
      </c>
      <c r="S281" s="319" t="s">
        <v>788</v>
      </c>
      <c r="T281" s="318" t="s">
        <v>903</v>
      </c>
      <c r="U281" s="726"/>
      <c r="V281" s="318" t="s">
        <v>907</v>
      </c>
      <c r="W281" s="509" t="s">
        <v>946</v>
      </c>
      <c r="X281" s="318"/>
      <c r="Y281" s="318"/>
      <c r="Z281" s="320" t="s">
        <v>921</v>
      </c>
      <c r="AA281" s="318" t="s">
        <v>792</v>
      </c>
      <c r="AB281" s="726"/>
      <c r="AC281" s="318" t="s">
        <v>816</v>
      </c>
      <c r="AD281" s="318" t="s">
        <v>801</v>
      </c>
      <c r="AE281" s="318" t="s">
        <v>804</v>
      </c>
      <c r="AF281" s="726"/>
      <c r="AG281" s="318" t="s">
        <v>797</v>
      </c>
      <c r="AH281" s="318"/>
      <c r="AI281" s="321"/>
      <c r="AJ281" s="317"/>
      <c r="AK281" s="221"/>
      <c r="AO281" s="323"/>
      <c r="AQ281" s="609"/>
    </row>
    <row r="282" spans="1:43" s="322" customFormat="1" ht="15.75" customHeight="1">
      <c r="A282" s="295"/>
      <c r="B282" s="297" t="s">
        <v>281</v>
      </c>
      <c r="C282" s="619"/>
      <c r="D282" s="727"/>
      <c r="E282" s="324" t="s">
        <v>798</v>
      </c>
      <c r="F282" s="324" t="s">
        <v>83</v>
      </c>
      <c r="G282" s="727"/>
      <c r="H282" s="324" t="s">
        <v>798</v>
      </c>
      <c r="I282" s="324" t="s">
        <v>868</v>
      </c>
      <c r="J282" s="324">
        <v>22</v>
      </c>
      <c r="K282" s="460" t="s">
        <v>83</v>
      </c>
      <c r="L282" s="324">
        <v>22</v>
      </c>
      <c r="M282" s="324" t="s">
        <v>83</v>
      </c>
      <c r="N282" s="727"/>
      <c r="O282" s="727"/>
      <c r="P282" s="324">
        <v>22</v>
      </c>
      <c r="Q282" s="324">
        <v>22</v>
      </c>
      <c r="R282" s="324" t="s">
        <v>83</v>
      </c>
      <c r="S282" s="324">
        <v>22</v>
      </c>
      <c r="T282" s="324">
        <v>22</v>
      </c>
      <c r="U282" s="727"/>
      <c r="V282" s="324" t="s">
        <v>945</v>
      </c>
      <c r="W282" s="460">
        <v>22</v>
      </c>
      <c r="X282" s="324"/>
      <c r="Y282" s="324"/>
      <c r="Z282" s="324">
        <v>22</v>
      </c>
      <c r="AA282" s="324">
        <v>22</v>
      </c>
      <c r="AB282" s="727"/>
      <c r="AC282" s="324" t="s">
        <v>945</v>
      </c>
      <c r="AD282" s="324" t="s">
        <v>798</v>
      </c>
      <c r="AE282" s="324" t="s">
        <v>868</v>
      </c>
      <c r="AF282" s="727"/>
      <c r="AG282" s="324" t="s">
        <v>798</v>
      </c>
      <c r="AH282" s="324"/>
      <c r="AI282" s="321"/>
      <c r="AJ282" s="317"/>
      <c r="AK282" s="221"/>
      <c r="AO282" s="323"/>
      <c r="AQ282" s="609"/>
    </row>
    <row r="283" spans="1:43" s="322" customFormat="1" ht="15.75" customHeight="1">
      <c r="A283" s="295"/>
      <c r="B283" s="220" t="s">
        <v>260</v>
      </c>
      <c r="C283" s="618"/>
      <c r="D283" s="728"/>
      <c r="E283" s="325">
        <v>103</v>
      </c>
      <c r="F283" s="325">
        <v>90</v>
      </c>
      <c r="G283" s="728"/>
      <c r="H283" s="325">
        <v>90</v>
      </c>
      <c r="I283" s="325">
        <v>114</v>
      </c>
      <c r="J283" s="325">
        <v>103</v>
      </c>
      <c r="K283" s="325">
        <v>103</v>
      </c>
      <c r="L283" s="325">
        <v>103</v>
      </c>
      <c r="M283" s="325">
        <v>90</v>
      </c>
      <c r="N283" s="728"/>
      <c r="O283" s="728"/>
      <c r="P283" s="325">
        <v>103</v>
      </c>
      <c r="Q283" s="325">
        <v>103</v>
      </c>
      <c r="R283" s="325">
        <v>114</v>
      </c>
      <c r="S283" s="325">
        <v>103</v>
      </c>
      <c r="T283" s="325">
        <v>103</v>
      </c>
      <c r="U283" s="728"/>
      <c r="V283" s="325">
        <v>103</v>
      </c>
      <c r="W283" s="325">
        <v>114</v>
      </c>
      <c r="X283" s="325"/>
      <c r="Y283" s="325"/>
      <c r="Z283" s="325">
        <v>103</v>
      </c>
      <c r="AA283" s="325">
        <v>90</v>
      </c>
      <c r="AB283" s="728"/>
      <c r="AC283" s="325">
        <v>90</v>
      </c>
      <c r="AD283" s="325">
        <v>103</v>
      </c>
      <c r="AE283" s="325">
        <v>114</v>
      </c>
      <c r="AF283" s="728"/>
      <c r="AG283" s="325">
        <v>114</v>
      </c>
      <c r="AH283" s="325"/>
      <c r="AI283" s="321">
        <f t="shared" ref="AI283:AI293" si="26">SUM(D283:AH283)</f>
        <v>2153</v>
      </c>
      <c r="AJ283" s="294"/>
      <c r="AK283" s="221"/>
      <c r="AO283" s="323"/>
      <c r="AQ283" s="609"/>
    </row>
    <row r="284" spans="1:43" s="330" customFormat="1" ht="15.75" customHeight="1">
      <c r="A284" s="295"/>
      <c r="B284" s="298" t="s">
        <v>56</v>
      </c>
      <c r="C284" s="620"/>
      <c r="D284" s="729"/>
      <c r="E284" s="327">
        <v>127</v>
      </c>
      <c r="F284" s="327">
        <v>77</v>
      </c>
      <c r="G284" s="729"/>
      <c r="H284" s="327">
        <v>122</v>
      </c>
      <c r="I284" s="327">
        <v>89</v>
      </c>
      <c r="J284" s="327">
        <v>147</v>
      </c>
      <c r="K284" s="327">
        <v>21</v>
      </c>
      <c r="L284" s="327">
        <v>11</v>
      </c>
      <c r="M284" s="327">
        <v>13</v>
      </c>
      <c r="N284" s="729"/>
      <c r="O284" s="729"/>
      <c r="P284" s="327">
        <v>59</v>
      </c>
      <c r="Q284" s="327">
        <v>110</v>
      </c>
      <c r="R284" s="327">
        <v>111</v>
      </c>
      <c r="S284" s="327">
        <f>74+2</f>
        <v>76</v>
      </c>
      <c r="T284" s="327">
        <f>71+5+2</f>
        <v>78</v>
      </c>
      <c r="U284" s="729"/>
      <c r="V284" s="327">
        <v>69</v>
      </c>
      <c r="W284" s="327">
        <v>25</v>
      </c>
      <c r="X284" s="327"/>
      <c r="Y284" s="327"/>
      <c r="Z284" s="327">
        <v>44</v>
      </c>
      <c r="AA284" s="327">
        <v>22</v>
      </c>
      <c r="AB284" s="729"/>
      <c r="AC284" s="327">
        <f>38+1</f>
        <v>39</v>
      </c>
      <c r="AD284" s="327">
        <v>51</v>
      </c>
      <c r="AE284" s="327">
        <f>38+4+3</f>
        <v>45</v>
      </c>
      <c r="AF284" s="729"/>
      <c r="AG284" s="327">
        <f>151+2</f>
        <v>153</v>
      </c>
      <c r="AH284" s="327"/>
      <c r="AI284" s="328">
        <f t="shared" si="26"/>
        <v>1489</v>
      </c>
      <c r="AJ284" s="296"/>
      <c r="AK284" s="222"/>
      <c r="AL284" s="329"/>
      <c r="AO284" s="331"/>
      <c r="AQ284" s="610"/>
    </row>
    <row r="285" spans="1:43" s="322" customFormat="1" ht="15.75" customHeight="1">
      <c r="A285" s="295"/>
      <c r="B285" s="220" t="s">
        <v>642</v>
      </c>
      <c r="C285" s="618"/>
      <c r="D285" s="728"/>
      <c r="E285" s="325"/>
      <c r="F285" s="325"/>
      <c r="G285" s="728"/>
      <c r="H285" s="325">
        <f>H284-H283</f>
        <v>32</v>
      </c>
      <c r="I285" s="325"/>
      <c r="J285" s="325"/>
      <c r="K285" s="325"/>
      <c r="L285" s="325"/>
      <c r="M285" s="325"/>
      <c r="N285" s="728"/>
      <c r="O285" s="728"/>
      <c r="P285" s="325"/>
      <c r="Q285" s="325"/>
      <c r="R285" s="325"/>
      <c r="S285" s="325"/>
      <c r="T285" s="325"/>
      <c r="U285" s="728"/>
      <c r="V285" s="325"/>
      <c r="W285" s="325"/>
      <c r="X285" s="325"/>
      <c r="Y285" s="325"/>
      <c r="Z285" s="325"/>
      <c r="AA285" s="325"/>
      <c r="AB285" s="728"/>
      <c r="AC285" s="325"/>
      <c r="AD285" s="325"/>
      <c r="AE285" s="325"/>
      <c r="AF285" s="728"/>
      <c r="AG285" s="325"/>
      <c r="AH285" s="325"/>
      <c r="AI285" s="321">
        <f t="shared" si="26"/>
        <v>32</v>
      </c>
      <c r="AJ285" s="317">
        <v>1409</v>
      </c>
      <c r="AK285" s="221">
        <f>AI285*AJ285</f>
        <v>45088</v>
      </c>
      <c r="AO285" s="323"/>
      <c r="AQ285" s="609"/>
    </row>
    <row r="286" spans="1:43" s="322" customFormat="1" ht="15.75" customHeight="1">
      <c r="A286" s="295"/>
      <c r="B286" s="220" t="s">
        <v>721</v>
      </c>
      <c r="C286" s="618"/>
      <c r="D286" s="728"/>
      <c r="E286" s="325">
        <f>E284-E283</f>
        <v>24</v>
      </c>
      <c r="F286" s="325"/>
      <c r="G286" s="728"/>
      <c r="H286" s="325"/>
      <c r="I286" s="325"/>
      <c r="J286" s="325">
        <f>J284+J283</f>
        <v>250</v>
      </c>
      <c r="K286" s="325"/>
      <c r="L286" s="325"/>
      <c r="M286" s="325"/>
      <c r="N286" s="728"/>
      <c r="O286" s="727"/>
      <c r="P286" s="324"/>
      <c r="Q286" s="325"/>
      <c r="R286" s="325"/>
      <c r="S286" s="325"/>
      <c r="T286" s="325"/>
      <c r="U286" s="728"/>
      <c r="V286" s="325"/>
      <c r="W286" s="325"/>
      <c r="X286" s="325"/>
      <c r="Y286" s="325"/>
      <c r="Z286" s="325"/>
      <c r="AA286" s="325"/>
      <c r="AB286" s="728"/>
      <c r="AC286" s="325"/>
      <c r="AD286" s="325"/>
      <c r="AE286" s="325"/>
      <c r="AF286" s="728"/>
      <c r="AG286" s="325"/>
      <c r="AH286" s="325"/>
      <c r="AI286" s="321">
        <f t="shared" si="26"/>
        <v>274</v>
      </c>
      <c r="AJ286" s="317">
        <v>1322</v>
      </c>
      <c r="AK286" s="221">
        <f>AI286*AJ286</f>
        <v>362228</v>
      </c>
      <c r="AO286" s="323"/>
      <c r="AQ286" s="609"/>
    </row>
    <row r="287" spans="1:43" s="322" customFormat="1" ht="15.75" customHeight="1">
      <c r="A287" s="295"/>
      <c r="B287" s="220" t="s">
        <v>366</v>
      </c>
      <c r="C287" s="618"/>
      <c r="D287" s="728"/>
      <c r="E287" s="325"/>
      <c r="F287" s="325"/>
      <c r="G287" s="728"/>
      <c r="H287" s="325"/>
      <c r="I287" s="325"/>
      <c r="J287" s="325"/>
      <c r="K287" s="325"/>
      <c r="L287" s="325"/>
      <c r="M287" s="325"/>
      <c r="N287" s="728"/>
      <c r="O287" s="728"/>
      <c r="P287" s="325"/>
      <c r="Q287" s="325"/>
      <c r="R287" s="325"/>
      <c r="S287" s="325"/>
      <c r="T287" s="325"/>
      <c r="U287" s="728"/>
      <c r="V287" s="325"/>
      <c r="W287" s="325"/>
      <c r="X287" s="325"/>
      <c r="Y287" s="325"/>
      <c r="Z287" s="325"/>
      <c r="AA287" s="325"/>
      <c r="AB287" s="728"/>
      <c r="AC287" s="325"/>
      <c r="AD287" s="325"/>
      <c r="AE287" s="325"/>
      <c r="AF287" s="728"/>
      <c r="AG287" s="325">
        <f>AG284-AG283</f>
        <v>39</v>
      </c>
      <c r="AH287" s="325"/>
      <c r="AI287" s="321">
        <f t="shared" si="26"/>
        <v>39</v>
      </c>
      <c r="AJ287" s="317">
        <v>1233</v>
      </c>
      <c r="AK287" s="221">
        <f>AI287*AJ287</f>
        <v>48087</v>
      </c>
      <c r="AO287" s="323"/>
      <c r="AQ287" s="609"/>
    </row>
    <row r="288" spans="1:43" s="322" customFormat="1" ht="15.75" customHeight="1">
      <c r="A288" s="295"/>
      <c r="B288" s="220" t="s">
        <v>643</v>
      </c>
      <c r="C288" s="618"/>
      <c r="D288" s="728"/>
      <c r="E288" s="325"/>
      <c r="F288" s="325"/>
      <c r="G288" s="728"/>
      <c r="H288" s="325"/>
      <c r="I288" s="325"/>
      <c r="J288" s="325"/>
      <c r="K288" s="325"/>
      <c r="L288" s="325"/>
      <c r="M288" s="325"/>
      <c r="N288" s="728"/>
      <c r="O288" s="728"/>
      <c r="P288" s="325"/>
      <c r="Q288" s="325"/>
      <c r="R288" s="325"/>
      <c r="S288" s="325"/>
      <c r="T288" s="325"/>
      <c r="U288" s="728"/>
      <c r="V288" s="325"/>
      <c r="W288" s="325"/>
      <c r="X288" s="325"/>
      <c r="Y288" s="325"/>
      <c r="Z288" s="325"/>
      <c r="AA288" s="325"/>
      <c r="AB288" s="728"/>
      <c r="AC288" s="325"/>
      <c r="AD288" s="325"/>
      <c r="AE288" s="325"/>
      <c r="AF288" s="728"/>
      <c r="AG288" s="325"/>
      <c r="AH288" s="325"/>
      <c r="AI288" s="321">
        <f t="shared" si="26"/>
        <v>0</v>
      </c>
      <c r="AJ288" s="317">
        <v>1043</v>
      </c>
      <c r="AK288" s="221">
        <f>AI288*AJ288</f>
        <v>0</v>
      </c>
      <c r="AO288" s="323"/>
      <c r="AQ288" s="609"/>
    </row>
    <row r="289" spans="1:43" s="322" customFormat="1" ht="15.75" customHeight="1">
      <c r="A289" s="295"/>
      <c r="B289" s="220" t="s">
        <v>367</v>
      </c>
      <c r="C289" s="618"/>
      <c r="D289" s="728"/>
      <c r="E289" s="325"/>
      <c r="F289" s="325"/>
      <c r="G289" s="728"/>
      <c r="H289" s="325"/>
      <c r="I289" s="325"/>
      <c r="J289" s="325"/>
      <c r="K289" s="325"/>
      <c r="L289" s="325"/>
      <c r="M289" s="325"/>
      <c r="N289" s="728"/>
      <c r="O289" s="728"/>
      <c r="P289" s="325"/>
      <c r="Q289" s="325"/>
      <c r="R289" s="325"/>
      <c r="S289" s="325"/>
      <c r="T289" s="325"/>
      <c r="U289" s="728"/>
      <c r="V289" s="325"/>
      <c r="W289" s="325"/>
      <c r="X289" s="325"/>
      <c r="Y289" s="325"/>
      <c r="Z289" s="325"/>
      <c r="AA289" s="325"/>
      <c r="AB289" s="728"/>
      <c r="AC289" s="325"/>
      <c r="AD289" s="325"/>
      <c r="AE289" s="325"/>
      <c r="AF289" s="728"/>
      <c r="AG289" s="325"/>
      <c r="AH289" s="325"/>
      <c r="AI289" s="321">
        <f t="shared" si="26"/>
        <v>0</v>
      </c>
      <c r="AJ289" s="317"/>
      <c r="AK289" s="221">
        <f>AI289*AJ289</f>
        <v>0</v>
      </c>
      <c r="AL289" s="326"/>
      <c r="AM289" s="326"/>
      <c r="AN289" s="326"/>
      <c r="AO289" s="323"/>
      <c r="AP289" s="326"/>
      <c r="AQ289" s="609"/>
    </row>
    <row r="290" spans="1:43" s="330" customFormat="1" ht="15.75" customHeight="1">
      <c r="A290" s="295"/>
      <c r="B290" s="298" t="s">
        <v>259</v>
      </c>
      <c r="C290" s="620"/>
      <c r="D290" s="729"/>
      <c r="E290" s="327"/>
      <c r="F290" s="327"/>
      <c r="G290" s="729"/>
      <c r="H290" s="327"/>
      <c r="I290" s="327"/>
      <c r="J290" s="327"/>
      <c r="K290" s="327"/>
      <c r="L290" s="327"/>
      <c r="M290" s="327"/>
      <c r="N290" s="729"/>
      <c r="O290" s="729"/>
      <c r="P290" s="327"/>
      <c r="Q290" s="327"/>
      <c r="R290" s="327"/>
      <c r="S290" s="327"/>
      <c r="T290" s="327"/>
      <c r="U290" s="729"/>
      <c r="V290" s="327"/>
      <c r="W290" s="327"/>
      <c r="X290" s="332"/>
      <c r="Y290" s="327"/>
      <c r="Z290" s="327"/>
      <c r="AA290" s="327"/>
      <c r="AB290" s="729"/>
      <c r="AC290" s="327"/>
      <c r="AD290" s="327"/>
      <c r="AE290" s="327"/>
      <c r="AF290" s="729"/>
      <c r="AG290" s="327"/>
      <c r="AH290" s="327"/>
      <c r="AI290" s="328">
        <f t="shared" si="26"/>
        <v>0</v>
      </c>
      <c r="AJ290" s="333"/>
      <c r="AK290" s="222">
        <f>SUM(AK285:AK289)</f>
        <v>455403</v>
      </c>
      <c r="AL290" s="334"/>
      <c r="AM290" s="334"/>
      <c r="AN290" s="334"/>
      <c r="AO290" s="331"/>
      <c r="AP290" s="334"/>
      <c r="AQ290" s="610"/>
    </row>
    <row r="291" spans="1:43" s="322" customFormat="1" ht="15.75" customHeight="1">
      <c r="A291" s="295"/>
      <c r="B291" s="220" t="s">
        <v>57</v>
      </c>
      <c r="C291" s="618"/>
      <c r="D291" s="728"/>
      <c r="E291" s="325">
        <v>9</v>
      </c>
      <c r="F291" s="325">
        <v>10</v>
      </c>
      <c r="G291" s="728"/>
      <c r="H291" s="325">
        <v>6</v>
      </c>
      <c r="I291" s="325">
        <v>5</v>
      </c>
      <c r="J291" s="325">
        <v>10</v>
      </c>
      <c r="K291" s="325">
        <v>2</v>
      </c>
      <c r="L291" s="325"/>
      <c r="M291" s="325">
        <v>2</v>
      </c>
      <c r="N291" s="728"/>
      <c r="O291" s="728"/>
      <c r="P291" s="325">
        <v>4</v>
      </c>
      <c r="Q291" s="325">
        <v>6</v>
      </c>
      <c r="R291" s="325">
        <v>5</v>
      </c>
      <c r="S291" s="325">
        <v>3</v>
      </c>
      <c r="T291" s="325">
        <v>6</v>
      </c>
      <c r="U291" s="728"/>
      <c r="V291" s="325">
        <v>5</v>
      </c>
      <c r="W291" s="325">
        <v>1</v>
      </c>
      <c r="X291" s="325"/>
      <c r="Y291" s="325"/>
      <c r="Z291" s="325">
        <v>4</v>
      </c>
      <c r="AA291" s="325">
        <v>1</v>
      </c>
      <c r="AB291" s="728"/>
      <c r="AC291" s="325">
        <v>6</v>
      </c>
      <c r="AD291" s="325">
        <v>5</v>
      </c>
      <c r="AE291" s="325">
        <v>3</v>
      </c>
      <c r="AF291" s="728"/>
      <c r="AG291" s="325">
        <v>10</v>
      </c>
      <c r="AH291" s="325"/>
      <c r="AI291" s="321">
        <f t="shared" si="26"/>
        <v>103</v>
      </c>
      <c r="AJ291" s="317">
        <v>1750</v>
      </c>
      <c r="AK291" s="221">
        <f>AI291*AJ291</f>
        <v>180250</v>
      </c>
      <c r="AL291" s="326"/>
      <c r="AM291" s="326"/>
      <c r="AN291" s="326"/>
      <c r="AO291" s="323"/>
      <c r="AP291" s="326"/>
      <c r="AQ291" s="609"/>
    </row>
    <row r="292" spans="1:43" s="360" customFormat="1" ht="15.75" customHeight="1" thickBot="1">
      <c r="A292" s="352"/>
      <c r="B292" s="353" t="s">
        <v>44</v>
      </c>
      <c r="C292" s="621"/>
      <c r="D292" s="730"/>
      <c r="E292" s="354"/>
      <c r="F292" s="354"/>
      <c r="G292" s="730"/>
      <c r="H292" s="354"/>
      <c r="I292" s="354"/>
      <c r="J292" s="354"/>
      <c r="K292" s="354"/>
      <c r="L292" s="354"/>
      <c r="M292" s="354"/>
      <c r="N292" s="730"/>
      <c r="O292" s="730"/>
      <c r="P292" s="354"/>
      <c r="Q292" s="354"/>
      <c r="R292" s="354"/>
      <c r="S292" s="354"/>
      <c r="T292" s="354"/>
      <c r="U292" s="1071"/>
      <c r="V292" s="354"/>
      <c r="W292" s="354"/>
      <c r="X292" s="354"/>
      <c r="Y292" s="354"/>
      <c r="Z292" s="354"/>
      <c r="AA292" s="354"/>
      <c r="AB292" s="730"/>
      <c r="AC292" s="354"/>
      <c r="AD292" s="354"/>
      <c r="AE292" s="354"/>
      <c r="AF292" s="730"/>
      <c r="AG292" s="354"/>
      <c r="AH292" s="354"/>
      <c r="AI292" s="355">
        <f t="shared" si="26"/>
        <v>0</v>
      </c>
      <c r="AJ292" s="356"/>
      <c r="AK292" s="357">
        <f>AI292</f>
        <v>0</v>
      </c>
      <c r="AL292" s="358"/>
      <c r="AM292" s="358"/>
      <c r="AN292" s="358"/>
      <c r="AO292" s="359"/>
      <c r="AP292" s="358"/>
      <c r="AQ292" s="611"/>
    </row>
    <row r="293" spans="1:43" s="216" customFormat="1" ht="18.75" customHeight="1" thickTop="1">
      <c r="A293" s="293">
        <v>23</v>
      </c>
      <c r="B293" s="219" t="s">
        <v>751</v>
      </c>
      <c r="C293" s="617"/>
      <c r="D293" s="731"/>
      <c r="E293" s="308">
        <v>1</v>
      </c>
      <c r="F293" s="308">
        <v>1</v>
      </c>
      <c r="G293" s="731"/>
      <c r="H293" s="308">
        <v>1</v>
      </c>
      <c r="I293" s="308">
        <v>1</v>
      </c>
      <c r="J293" s="308">
        <v>1</v>
      </c>
      <c r="K293" s="308">
        <v>1</v>
      </c>
      <c r="L293" s="308">
        <v>1</v>
      </c>
      <c r="M293" s="308">
        <v>1</v>
      </c>
      <c r="N293" s="731"/>
      <c r="O293" s="731"/>
      <c r="P293" s="308">
        <v>1</v>
      </c>
      <c r="Q293" s="308">
        <v>1</v>
      </c>
      <c r="R293" s="308">
        <v>1</v>
      </c>
      <c r="S293" s="308">
        <v>1</v>
      </c>
      <c r="T293" s="308">
        <v>1</v>
      </c>
      <c r="U293" s="731"/>
      <c r="V293" s="308">
        <v>1</v>
      </c>
      <c r="W293" s="308">
        <v>1</v>
      </c>
      <c r="X293" s="308">
        <v>1</v>
      </c>
      <c r="Y293" s="308">
        <v>1</v>
      </c>
      <c r="Z293" s="308">
        <v>1</v>
      </c>
      <c r="AA293" s="308">
        <v>1</v>
      </c>
      <c r="AB293" s="731"/>
      <c r="AC293" s="308">
        <v>1</v>
      </c>
      <c r="AD293" s="308">
        <v>1</v>
      </c>
      <c r="AE293" s="308">
        <v>1</v>
      </c>
      <c r="AF293" s="731"/>
      <c r="AG293" s="308">
        <v>1</v>
      </c>
      <c r="AH293" s="308">
        <v>1</v>
      </c>
      <c r="AI293" s="309">
        <f t="shared" si="26"/>
        <v>24</v>
      </c>
      <c r="AJ293" s="310"/>
      <c r="AK293" s="224"/>
      <c r="AL293" s="311"/>
      <c r="AN293" s="312"/>
      <c r="AO293" s="313"/>
      <c r="AP293" s="314"/>
      <c r="AQ293" s="608"/>
    </row>
    <row r="294" spans="1:43" s="322" customFormat="1" ht="69.75" customHeight="1">
      <c r="A294" s="295"/>
      <c r="B294" s="297" t="s">
        <v>188</v>
      </c>
      <c r="C294" s="619"/>
      <c r="D294" s="726"/>
      <c r="E294" s="318" t="s">
        <v>789</v>
      </c>
      <c r="F294" s="318" t="s">
        <v>791</v>
      </c>
      <c r="G294" s="726"/>
      <c r="H294" s="318" t="s">
        <v>907</v>
      </c>
      <c r="I294" s="318" t="s">
        <v>906</v>
      </c>
      <c r="J294" s="318" t="s">
        <v>859</v>
      </c>
      <c r="K294" s="318" t="s">
        <v>791</v>
      </c>
      <c r="L294" s="318" t="s">
        <v>792</v>
      </c>
      <c r="M294" s="318" t="s">
        <v>799</v>
      </c>
      <c r="N294" s="726"/>
      <c r="O294" s="726"/>
      <c r="P294" s="318" t="s">
        <v>801</v>
      </c>
      <c r="Q294" s="318" t="s">
        <v>802</v>
      </c>
      <c r="R294" s="318" t="s">
        <v>740</v>
      </c>
      <c r="S294" s="319" t="s">
        <v>831</v>
      </c>
      <c r="T294" s="318" t="s">
        <v>791</v>
      </c>
      <c r="U294" s="726"/>
      <c r="V294" s="318" t="s">
        <v>792</v>
      </c>
      <c r="W294" s="509" t="s">
        <v>801</v>
      </c>
      <c r="X294" s="318" t="s">
        <v>804</v>
      </c>
      <c r="Y294" s="318" t="s">
        <v>877</v>
      </c>
      <c r="Z294" s="320" t="s">
        <v>903</v>
      </c>
      <c r="AA294" s="318" t="s">
        <v>792</v>
      </c>
      <c r="AB294" s="726"/>
      <c r="AC294" s="318" t="s">
        <v>816</v>
      </c>
      <c r="AD294" s="318" t="s">
        <v>801</v>
      </c>
      <c r="AE294" s="318" t="s">
        <v>804</v>
      </c>
      <c r="AF294" s="726"/>
      <c r="AG294" s="318" t="s">
        <v>740</v>
      </c>
      <c r="AH294" s="318" t="s">
        <v>789</v>
      </c>
      <c r="AI294" s="321"/>
      <c r="AJ294" s="317"/>
      <c r="AK294" s="221"/>
      <c r="AO294" s="323"/>
      <c r="AQ294" s="609"/>
    </row>
    <row r="295" spans="1:43" s="322" customFormat="1" ht="15.75" customHeight="1">
      <c r="A295" s="295"/>
      <c r="B295" s="297" t="s">
        <v>281</v>
      </c>
      <c r="C295" s="619"/>
      <c r="D295" s="727"/>
      <c r="E295" s="324">
        <v>24</v>
      </c>
      <c r="F295" s="324">
        <v>24</v>
      </c>
      <c r="G295" s="727"/>
      <c r="H295" s="324">
        <v>24</v>
      </c>
      <c r="I295" s="324">
        <v>24</v>
      </c>
      <c r="J295" s="324">
        <v>24</v>
      </c>
      <c r="K295" s="324">
        <v>24</v>
      </c>
      <c r="L295" s="324" t="s">
        <v>905</v>
      </c>
      <c r="M295" s="324">
        <v>24</v>
      </c>
      <c r="N295" s="727"/>
      <c r="O295" s="727"/>
      <c r="P295" s="324">
        <v>24</v>
      </c>
      <c r="Q295" s="324">
        <v>24</v>
      </c>
      <c r="R295" s="324">
        <v>24</v>
      </c>
      <c r="S295" s="324">
        <v>24</v>
      </c>
      <c r="T295" s="324" t="s">
        <v>886</v>
      </c>
      <c r="U295" s="727"/>
      <c r="V295" s="324" t="s">
        <v>947</v>
      </c>
      <c r="W295" s="460" t="s">
        <v>890</v>
      </c>
      <c r="X295" s="324">
        <v>24</v>
      </c>
      <c r="Y295" s="324" t="s">
        <v>947</v>
      </c>
      <c r="Z295" s="324">
        <v>24</v>
      </c>
      <c r="AA295" s="324">
        <v>24</v>
      </c>
      <c r="AB295" s="727"/>
      <c r="AC295" s="324">
        <v>24</v>
      </c>
      <c r="AD295" s="324">
        <v>24</v>
      </c>
      <c r="AE295" s="324" t="s">
        <v>1003</v>
      </c>
      <c r="AF295" s="727"/>
      <c r="AG295" s="324" t="s">
        <v>1014</v>
      </c>
      <c r="AH295" s="324" t="s">
        <v>85</v>
      </c>
      <c r="AI295" s="321"/>
      <c r="AJ295" s="317"/>
      <c r="AK295" s="221"/>
      <c r="AO295" s="323"/>
      <c r="AQ295" s="609"/>
    </row>
    <row r="296" spans="1:43" s="322" customFormat="1" ht="15.75" customHeight="1">
      <c r="A296" s="295"/>
      <c r="B296" s="220" t="s">
        <v>260</v>
      </c>
      <c r="C296" s="618"/>
      <c r="D296" s="728"/>
      <c r="E296" s="325">
        <v>103</v>
      </c>
      <c r="F296" s="325">
        <v>103</v>
      </c>
      <c r="G296" s="728"/>
      <c r="H296" s="325">
        <v>103</v>
      </c>
      <c r="I296" s="325">
        <v>114</v>
      </c>
      <c r="J296" s="325">
        <v>103</v>
      </c>
      <c r="K296" s="325">
        <v>103</v>
      </c>
      <c r="L296" s="325">
        <v>90</v>
      </c>
      <c r="M296" s="325">
        <v>90</v>
      </c>
      <c r="N296" s="728"/>
      <c r="O296" s="728"/>
      <c r="P296" s="325">
        <v>103</v>
      </c>
      <c r="Q296" s="325">
        <v>114</v>
      </c>
      <c r="R296" s="325">
        <v>103</v>
      </c>
      <c r="S296" s="325">
        <v>103</v>
      </c>
      <c r="T296" s="325">
        <v>103</v>
      </c>
      <c r="U296" s="728"/>
      <c r="V296" s="325">
        <v>90</v>
      </c>
      <c r="W296" s="325">
        <v>103</v>
      </c>
      <c r="X296" s="325">
        <v>114</v>
      </c>
      <c r="Y296" s="325">
        <v>114</v>
      </c>
      <c r="Z296" s="325">
        <v>103</v>
      </c>
      <c r="AA296" s="325">
        <v>90</v>
      </c>
      <c r="AB296" s="728"/>
      <c r="AC296" s="325">
        <v>90</v>
      </c>
      <c r="AD296" s="325">
        <v>103</v>
      </c>
      <c r="AE296" s="325">
        <v>114</v>
      </c>
      <c r="AF296" s="728"/>
      <c r="AG296" s="325">
        <v>103</v>
      </c>
      <c r="AH296" s="325">
        <v>103</v>
      </c>
      <c r="AI296" s="321">
        <f t="shared" ref="AI296:AI306" si="27">SUM(D296:AH296)</f>
        <v>2462</v>
      </c>
      <c r="AJ296" s="294"/>
      <c r="AK296" s="221"/>
      <c r="AM296" s="322">
        <v>1885</v>
      </c>
      <c r="AO296" s="323"/>
      <c r="AQ296" s="609"/>
    </row>
    <row r="297" spans="1:43" s="330" customFormat="1" ht="15.75" customHeight="1">
      <c r="A297" s="295"/>
      <c r="B297" s="298" t="s">
        <v>56</v>
      </c>
      <c r="C297" s="620"/>
      <c r="D297" s="729"/>
      <c r="E297" s="327">
        <v>87</v>
      </c>
      <c r="F297" s="327">
        <v>64</v>
      </c>
      <c r="G297" s="729"/>
      <c r="H297" s="327">
        <v>101</v>
      </c>
      <c r="I297" s="327">
        <v>98</v>
      </c>
      <c r="J297" s="327">
        <v>76</v>
      </c>
      <c r="K297" s="327">
        <v>35</v>
      </c>
      <c r="L297" s="327">
        <v>34</v>
      </c>
      <c r="M297" s="327">
        <v>20</v>
      </c>
      <c r="N297" s="729"/>
      <c r="O297" s="729"/>
      <c r="P297" s="327">
        <v>39</v>
      </c>
      <c r="Q297" s="327">
        <v>123</v>
      </c>
      <c r="R297" s="327">
        <v>107</v>
      </c>
      <c r="S297" s="327">
        <f>46+2</f>
        <v>48</v>
      </c>
      <c r="T297" s="327">
        <v>59</v>
      </c>
      <c r="U297" s="729"/>
      <c r="V297" s="327">
        <v>109</v>
      </c>
      <c r="W297" s="327">
        <v>77</v>
      </c>
      <c r="X297" s="327">
        <f>42+3</f>
        <v>45</v>
      </c>
      <c r="Y297" s="327">
        <v>69</v>
      </c>
      <c r="Z297" s="327">
        <f>48+5</f>
        <v>53</v>
      </c>
      <c r="AA297" s="327">
        <v>23</v>
      </c>
      <c r="AB297" s="729"/>
      <c r="AC297" s="327">
        <v>39</v>
      </c>
      <c r="AD297" s="327">
        <v>42</v>
      </c>
      <c r="AE297" s="327">
        <f>86+5</f>
        <v>91</v>
      </c>
      <c r="AF297" s="729"/>
      <c r="AG297" s="327">
        <f>146+3</f>
        <v>149</v>
      </c>
      <c r="AH297" s="327">
        <v>44</v>
      </c>
      <c r="AI297" s="328">
        <f t="shared" si="27"/>
        <v>1632</v>
      </c>
      <c r="AJ297" s="296"/>
      <c r="AK297" s="222"/>
      <c r="AL297" s="329"/>
      <c r="AO297" s="331"/>
      <c r="AQ297" s="610"/>
    </row>
    <row r="298" spans="1:43" s="322" customFormat="1" ht="15.75" customHeight="1">
      <c r="A298" s="295"/>
      <c r="B298" s="220" t="s">
        <v>642</v>
      </c>
      <c r="C298" s="618"/>
      <c r="D298" s="728"/>
      <c r="E298" s="325"/>
      <c r="F298" s="325"/>
      <c r="G298" s="728"/>
      <c r="H298" s="325"/>
      <c r="I298" s="325"/>
      <c r="J298" s="325"/>
      <c r="K298" s="325"/>
      <c r="L298" s="325"/>
      <c r="M298" s="325"/>
      <c r="N298" s="728"/>
      <c r="O298" s="728"/>
      <c r="P298" s="325"/>
      <c r="Q298" s="325"/>
      <c r="R298" s="325"/>
      <c r="S298" s="325"/>
      <c r="T298" s="325"/>
      <c r="U298" s="728"/>
      <c r="V298" s="325">
        <f>V297-V296</f>
        <v>19</v>
      </c>
      <c r="W298" s="325"/>
      <c r="X298" s="325"/>
      <c r="Y298" s="325"/>
      <c r="Z298" s="325"/>
      <c r="AA298" s="325"/>
      <c r="AB298" s="728"/>
      <c r="AC298" s="325"/>
      <c r="AD298" s="325"/>
      <c r="AE298" s="325"/>
      <c r="AF298" s="728"/>
      <c r="AG298" s="325"/>
      <c r="AH298" s="325"/>
      <c r="AI298" s="321">
        <f t="shared" si="27"/>
        <v>19</v>
      </c>
      <c r="AJ298" s="317">
        <v>1409</v>
      </c>
      <c r="AK298" s="221">
        <f>AI298*AJ298</f>
        <v>26771</v>
      </c>
      <c r="AO298" s="323"/>
      <c r="AQ298" s="609"/>
    </row>
    <row r="299" spans="1:43" s="322" customFormat="1" ht="15.75" customHeight="1">
      <c r="A299" s="295"/>
      <c r="B299" s="220" t="s">
        <v>721</v>
      </c>
      <c r="C299" s="618"/>
      <c r="D299" s="728"/>
      <c r="E299" s="325"/>
      <c r="F299" s="325"/>
      <c r="G299" s="728"/>
      <c r="H299" s="325"/>
      <c r="I299" s="325"/>
      <c r="J299" s="325"/>
      <c r="K299" s="325"/>
      <c r="L299" s="325"/>
      <c r="M299" s="325"/>
      <c r="N299" s="728"/>
      <c r="O299" s="727"/>
      <c r="P299" s="324"/>
      <c r="Q299" s="325"/>
      <c r="R299" s="325">
        <f>R297-R296</f>
        <v>4</v>
      </c>
      <c r="S299" s="325"/>
      <c r="T299" s="325"/>
      <c r="U299" s="728"/>
      <c r="V299" s="325"/>
      <c r="W299" s="325"/>
      <c r="X299" s="325"/>
      <c r="Y299" s="325"/>
      <c r="Z299" s="325"/>
      <c r="AA299" s="325"/>
      <c r="AB299" s="728"/>
      <c r="AC299" s="325"/>
      <c r="AD299" s="325"/>
      <c r="AE299" s="325"/>
      <c r="AF299" s="728"/>
      <c r="AG299" s="325">
        <f>AG297-AG296</f>
        <v>46</v>
      </c>
      <c r="AH299" s="325"/>
      <c r="AI299" s="321">
        <f t="shared" si="27"/>
        <v>50</v>
      </c>
      <c r="AJ299" s="317">
        <v>1322</v>
      </c>
      <c r="AK299" s="221">
        <f>AI299*AJ299</f>
        <v>66100</v>
      </c>
      <c r="AO299" s="323"/>
      <c r="AQ299" s="609"/>
    </row>
    <row r="300" spans="1:43" s="322" customFormat="1" ht="15.75" customHeight="1">
      <c r="A300" s="295"/>
      <c r="B300" s="220" t="s">
        <v>366</v>
      </c>
      <c r="C300" s="618"/>
      <c r="D300" s="728"/>
      <c r="E300" s="325"/>
      <c r="F300" s="325"/>
      <c r="G300" s="728"/>
      <c r="H300" s="325"/>
      <c r="I300" s="325"/>
      <c r="J300" s="325"/>
      <c r="K300" s="325"/>
      <c r="L300" s="325"/>
      <c r="M300" s="325"/>
      <c r="N300" s="728"/>
      <c r="O300" s="728"/>
      <c r="P300" s="325"/>
      <c r="Q300" s="325">
        <f>Q297-Q296</f>
        <v>9</v>
      </c>
      <c r="R300" s="325"/>
      <c r="S300" s="325"/>
      <c r="T300" s="325"/>
      <c r="U300" s="728"/>
      <c r="V300" s="325"/>
      <c r="W300" s="325"/>
      <c r="X300" s="325"/>
      <c r="Y300" s="325"/>
      <c r="Z300" s="325"/>
      <c r="AA300" s="325"/>
      <c r="AB300" s="728"/>
      <c r="AC300" s="325"/>
      <c r="AD300" s="325"/>
      <c r="AE300" s="325"/>
      <c r="AF300" s="728"/>
      <c r="AG300" s="325"/>
      <c r="AH300" s="325"/>
      <c r="AI300" s="321">
        <f t="shared" si="27"/>
        <v>9</v>
      </c>
      <c r="AJ300" s="317">
        <v>1233</v>
      </c>
      <c r="AK300" s="221">
        <f>AI300*AJ300</f>
        <v>11097</v>
      </c>
      <c r="AO300" s="323"/>
      <c r="AQ300" s="609"/>
    </row>
    <row r="301" spans="1:43" s="322" customFormat="1" ht="15.75" customHeight="1">
      <c r="A301" s="295"/>
      <c r="B301" s="220" t="s">
        <v>643</v>
      </c>
      <c r="C301" s="618"/>
      <c r="D301" s="728"/>
      <c r="E301" s="325"/>
      <c r="F301" s="325"/>
      <c r="G301" s="728"/>
      <c r="H301" s="325"/>
      <c r="I301" s="325"/>
      <c r="J301" s="325"/>
      <c r="K301" s="325"/>
      <c r="L301" s="325"/>
      <c r="M301" s="325"/>
      <c r="N301" s="728"/>
      <c r="O301" s="728"/>
      <c r="P301" s="325"/>
      <c r="Q301" s="325"/>
      <c r="R301" s="325"/>
      <c r="S301" s="325"/>
      <c r="T301" s="325"/>
      <c r="U301" s="728"/>
      <c r="V301" s="325"/>
      <c r="W301" s="325"/>
      <c r="X301" s="325"/>
      <c r="Y301" s="325"/>
      <c r="Z301" s="325"/>
      <c r="AA301" s="325"/>
      <c r="AB301" s="728"/>
      <c r="AC301" s="325"/>
      <c r="AD301" s="325"/>
      <c r="AE301" s="325"/>
      <c r="AF301" s="728"/>
      <c r="AG301" s="325"/>
      <c r="AH301" s="325"/>
      <c r="AI301" s="321">
        <f t="shared" si="27"/>
        <v>0</v>
      </c>
      <c r="AJ301" s="317">
        <v>1043</v>
      </c>
      <c r="AK301" s="221">
        <f>AI301*AJ301</f>
        <v>0</v>
      </c>
      <c r="AO301" s="323"/>
      <c r="AQ301" s="609"/>
    </row>
    <row r="302" spans="1:43" s="322" customFormat="1" ht="15.75" customHeight="1">
      <c r="A302" s="295"/>
      <c r="B302" s="220" t="s">
        <v>367</v>
      </c>
      <c r="C302" s="618"/>
      <c r="D302" s="728"/>
      <c r="E302" s="325"/>
      <c r="F302" s="325"/>
      <c r="G302" s="728"/>
      <c r="H302" s="325"/>
      <c r="I302" s="325"/>
      <c r="J302" s="325"/>
      <c r="K302" s="325"/>
      <c r="L302" s="325"/>
      <c r="M302" s="325"/>
      <c r="N302" s="728"/>
      <c r="O302" s="728"/>
      <c r="P302" s="325"/>
      <c r="Q302" s="325"/>
      <c r="R302" s="325"/>
      <c r="S302" s="325"/>
      <c r="T302" s="325"/>
      <c r="U302" s="728"/>
      <c r="V302" s="325"/>
      <c r="W302" s="325"/>
      <c r="X302" s="325"/>
      <c r="Y302" s="325"/>
      <c r="Z302" s="325"/>
      <c r="AA302" s="325"/>
      <c r="AB302" s="728"/>
      <c r="AC302" s="325"/>
      <c r="AD302" s="325"/>
      <c r="AE302" s="325"/>
      <c r="AF302" s="728"/>
      <c r="AG302" s="325"/>
      <c r="AH302" s="325"/>
      <c r="AI302" s="321">
        <f t="shared" si="27"/>
        <v>0</v>
      </c>
      <c r="AJ302" s="317"/>
      <c r="AK302" s="221">
        <f>AI302*AJ302</f>
        <v>0</v>
      </c>
      <c r="AL302" s="326"/>
      <c r="AM302" s="326"/>
      <c r="AN302" s="326"/>
      <c r="AO302" s="323"/>
      <c r="AP302" s="326"/>
      <c r="AQ302" s="609"/>
    </row>
    <row r="303" spans="1:43" s="330" customFormat="1" ht="15.75" customHeight="1">
      <c r="A303" s="295"/>
      <c r="B303" s="298" t="s">
        <v>259</v>
      </c>
      <c r="C303" s="620"/>
      <c r="D303" s="729"/>
      <c r="E303" s="327"/>
      <c r="F303" s="327"/>
      <c r="G303" s="729"/>
      <c r="H303" s="327"/>
      <c r="I303" s="327"/>
      <c r="J303" s="327"/>
      <c r="K303" s="327"/>
      <c r="L303" s="327"/>
      <c r="M303" s="327"/>
      <c r="N303" s="729"/>
      <c r="O303" s="729"/>
      <c r="P303" s="327"/>
      <c r="Q303" s="327"/>
      <c r="R303" s="327"/>
      <c r="S303" s="327"/>
      <c r="T303" s="327"/>
      <c r="U303" s="729"/>
      <c r="V303" s="327"/>
      <c r="W303" s="327"/>
      <c r="X303" s="332"/>
      <c r="Y303" s="327"/>
      <c r="Z303" s="327"/>
      <c r="AA303" s="327"/>
      <c r="AB303" s="729"/>
      <c r="AC303" s="327"/>
      <c r="AD303" s="327"/>
      <c r="AE303" s="327"/>
      <c r="AF303" s="729"/>
      <c r="AG303" s="327"/>
      <c r="AH303" s="327"/>
      <c r="AI303" s="328">
        <f t="shared" si="27"/>
        <v>0</v>
      </c>
      <c r="AJ303" s="333"/>
      <c r="AK303" s="222">
        <f>SUM(AK298:AK302)</f>
        <v>103968</v>
      </c>
      <c r="AL303" s="334"/>
      <c r="AM303" s="334"/>
      <c r="AN303" s="334"/>
      <c r="AO303" s="331"/>
      <c r="AP303" s="334"/>
      <c r="AQ303" s="610"/>
    </row>
    <row r="304" spans="1:43" s="322" customFormat="1" ht="15.75" customHeight="1">
      <c r="A304" s="295"/>
      <c r="B304" s="220" t="s">
        <v>57</v>
      </c>
      <c r="C304" s="618"/>
      <c r="D304" s="728"/>
      <c r="E304" s="325">
        <v>14</v>
      </c>
      <c r="F304" s="325">
        <v>6</v>
      </c>
      <c r="G304" s="728"/>
      <c r="H304" s="325">
        <v>14</v>
      </c>
      <c r="I304" s="325">
        <v>7</v>
      </c>
      <c r="J304" s="325">
        <v>4</v>
      </c>
      <c r="K304" s="325">
        <v>2</v>
      </c>
      <c r="L304" s="325">
        <v>3</v>
      </c>
      <c r="M304" s="325">
        <v>1</v>
      </c>
      <c r="N304" s="728"/>
      <c r="O304" s="728"/>
      <c r="P304" s="325">
        <v>3</v>
      </c>
      <c r="Q304" s="325">
        <v>6</v>
      </c>
      <c r="R304" s="325">
        <v>9</v>
      </c>
      <c r="S304" s="325">
        <v>3</v>
      </c>
      <c r="T304" s="325">
        <v>5</v>
      </c>
      <c r="U304" s="728"/>
      <c r="V304" s="325">
        <v>8</v>
      </c>
      <c r="W304" s="325">
        <v>2</v>
      </c>
      <c r="X304" s="325">
        <v>3</v>
      </c>
      <c r="Y304" s="325">
        <v>7</v>
      </c>
      <c r="Z304" s="325">
        <v>3</v>
      </c>
      <c r="AA304" s="325">
        <v>3</v>
      </c>
      <c r="AB304" s="728"/>
      <c r="AC304" s="325">
        <v>6</v>
      </c>
      <c r="AD304" s="325">
        <v>2</v>
      </c>
      <c r="AE304" s="325">
        <v>6</v>
      </c>
      <c r="AF304" s="728"/>
      <c r="AG304" s="325">
        <v>15</v>
      </c>
      <c r="AH304" s="325">
        <v>5</v>
      </c>
      <c r="AI304" s="321">
        <f t="shared" si="27"/>
        <v>137</v>
      </c>
      <c r="AJ304" s="317">
        <v>1750</v>
      </c>
      <c r="AK304" s="221">
        <f>AI304*AJ304</f>
        <v>239750</v>
      </c>
      <c r="AL304" s="326"/>
      <c r="AM304" s="326"/>
      <c r="AN304" s="326"/>
      <c r="AO304" s="323"/>
      <c r="AP304" s="326"/>
      <c r="AQ304" s="609"/>
    </row>
    <row r="305" spans="1:43" s="360" customFormat="1" ht="15.75" customHeight="1" thickBot="1">
      <c r="A305" s="352"/>
      <c r="B305" s="353" t="s">
        <v>44</v>
      </c>
      <c r="C305" s="621"/>
      <c r="D305" s="730"/>
      <c r="E305" s="354"/>
      <c r="F305" s="354"/>
      <c r="G305" s="730"/>
      <c r="H305" s="354"/>
      <c r="I305" s="354"/>
      <c r="J305" s="354"/>
      <c r="K305" s="354"/>
      <c r="L305" s="354"/>
      <c r="M305" s="354"/>
      <c r="N305" s="730"/>
      <c r="O305" s="730"/>
      <c r="P305" s="354"/>
      <c r="Q305" s="354"/>
      <c r="R305" s="354"/>
      <c r="S305" s="354"/>
      <c r="T305" s="354"/>
      <c r="U305" s="1071"/>
      <c r="V305" s="354"/>
      <c r="W305" s="354"/>
      <c r="X305" s="354"/>
      <c r="Y305" s="354"/>
      <c r="Z305" s="354"/>
      <c r="AA305" s="354"/>
      <c r="AB305" s="730"/>
      <c r="AC305" s="354"/>
      <c r="AD305" s="354"/>
      <c r="AE305" s="354"/>
      <c r="AF305" s="730"/>
      <c r="AG305" s="354"/>
      <c r="AH305" s="354"/>
      <c r="AI305" s="355">
        <f t="shared" si="27"/>
        <v>0</v>
      </c>
      <c r="AJ305" s="356"/>
      <c r="AK305" s="357">
        <f>AI305</f>
        <v>0</v>
      </c>
      <c r="AL305" s="358"/>
      <c r="AM305" s="358"/>
      <c r="AN305" s="358"/>
      <c r="AO305" s="359"/>
      <c r="AP305" s="358"/>
      <c r="AQ305" s="611"/>
    </row>
    <row r="306" spans="1:43" s="216" customFormat="1" ht="27.75" customHeight="1" thickTop="1">
      <c r="A306" s="293">
        <v>24</v>
      </c>
      <c r="B306" s="219" t="s">
        <v>786</v>
      </c>
      <c r="C306" s="617"/>
      <c r="D306" s="731"/>
      <c r="E306" s="308">
        <v>1</v>
      </c>
      <c r="F306" s="308">
        <v>1</v>
      </c>
      <c r="G306" s="731"/>
      <c r="H306" s="308">
        <v>1</v>
      </c>
      <c r="I306" s="308">
        <v>1</v>
      </c>
      <c r="J306" s="308">
        <v>1</v>
      </c>
      <c r="K306" s="308">
        <v>1</v>
      </c>
      <c r="L306" s="308">
        <v>1</v>
      </c>
      <c r="M306" s="308">
        <v>1</v>
      </c>
      <c r="N306" s="731"/>
      <c r="O306" s="731"/>
      <c r="P306" s="308">
        <v>1</v>
      </c>
      <c r="Q306" s="308">
        <v>1</v>
      </c>
      <c r="R306" s="308">
        <v>1</v>
      </c>
      <c r="S306" s="308">
        <v>1</v>
      </c>
      <c r="T306" s="308">
        <v>1</v>
      </c>
      <c r="U306" s="731"/>
      <c r="V306" s="308">
        <v>1</v>
      </c>
      <c r="W306" s="308">
        <v>1</v>
      </c>
      <c r="X306" s="308">
        <v>1</v>
      </c>
      <c r="Y306" s="308">
        <v>1</v>
      </c>
      <c r="Z306" s="308">
        <v>1</v>
      </c>
      <c r="AA306" s="308">
        <v>1</v>
      </c>
      <c r="AB306" s="731"/>
      <c r="AC306" s="308">
        <v>1</v>
      </c>
      <c r="AD306" s="308">
        <v>1</v>
      </c>
      <c r="AE306" s="308">
        <v>1</v>
      </c>
      <c r="AF306" s="731"/>
      <c r="AG306" s="308">
        <v>1</v>
      </c>
      <c r="AH306" s="308">
        <v>1</v>
      </c>
      <c r="AI306" s="309">
        <f t="shared" si="27"/>
        <v>24</v>
      </c>
      <c r="AJ306" s="310"/>
      <c r="AK306" s="224"/>
      <c r="AL306" s="311"/>
      <c r="AN306" s="312"/>
      <c r="AO306" s="313"/>
      <c r="AP306" s="314"/>
      <c r="AQ306" s="608"/>
    </row>
    <row r="307" spans="1:43" s="322" customFormat="1" ht="45.75" customHeight="1">
      <c r="A307" s="295"/>
      <c r="B307" s="297" t="s">
        <v>188</v>
      </c>
      <c r="C307" s="619"/>
      <c r="D307" s="726"/>
      <c r="E307" s="318" t="s">
        <v>791</v>
      </c>
      <c r="F307" s="318" t="s">
        <v>799</v>
      </c>
      <c r="G307" s="726"/>
      <c r="H307" s="318" t="s">
        <v>792</v>
      </c>
      <c r="I307" s="318" t="s">
        <v>792</v>
      </c>
      <c r="J307" s="318" t="s">
        <v>816</v>
      </c>
      <c r="K307" s="318" t="s">
        <v>799</v>
      </c>
      <c r="L307" s="318" t="s">
        <v>799</v>
      </c>
      <c r="M307" s="318" t="s">
        <v>791</v>
      </c>
      <c r="N307" s="726"/>
      <c r="O307" s="726"/>
      <c r="P307" s="318" t="s">
        <v>801</v>
      </c>
      <c r="Q307" s="319" t="s">
        <v>801</v>
      </c>
      <c r="R307" s="318" t="s">
        <v>795</v>
      </c>
      <c r="S307" s="319" t="s">
        <v>740</v>
      </c>
      <c r="T307" s="318" t="s">
        <v>912</v>
      </c>
      <c r="U307" s="726"/>
      <c r="V307" s="318" t="s">
        <v>789</v>
      </c>
      <c r="W307" s="509" t="s">
        <v>816</v>
      </c>
      <c r="X307" s="318" t="s">
        <v>951</v>
      </c>
      <c r="Y307" s="318" t="s">
        <v>969</v>
      </c>
      <c r="Z307" s="320" t="s">
        <v>903</v>
      </c>
      <c r="AA307" s="318" t="s">
        <v>982</v>
      </c>
      <c r="AB307" s="726"/>
      <c r="AC307" s="318" t="s">
        <v>816</v>
      </c>
      <c r="AD307" s="318" t="s">
        <v>801</v>
      </c>
      <c r="AE307" s="318" t="s">
        <v>804</v>
      </c>
      <c r="AF307" s="726"/>
      <c r="AG307" s="318" t="s">
        <v>877</v>
      </c>
      <c r="AH307" s="318" t="s">
        <v>831</v>
      </c>
      <c r="AI307" s="321"/>
      <c r="AJ307" s="317"/>
      <c r="AK307" s="221"/>
      <c r="AO307" s="323"/>
      <c r="AQ307" s="609"/>
    </row>
    <row r="308" spans="1:43" s="322" customFormat="1" ht="15.75" customHeight="1">
      <c r="A308" s="295"/>
      <c r="B308" s="297" t="s">
        <v>281</v>
      </c>
      <c r="C308" s="619"/>
      <c r="D308" s="727"/>
      <c r="E308" s="324">
        <v>8</v>
      </c>
      <c r="F308" s="324">
        <v>8</v>
      </c>
      <c r="G308" s="727"/>
      <c r="H308" s="324">
        <v>8</v>
      </c>
      <c r="I308" s="324">
        <v>8</v>
      </c>
      <c r="J308" s="324">
        <v>8</v>
      </c>
      <c r="K308" s="324">
        <v>7</v>
      </c>
      <c r="L308" s="324">
        <v>8</v>
      </c>
      <c r="M308" s="324">
        <v>8</v>
      </c>
      <c r="N308" s="727"/>
      <c r="O308" s="727"/>
      <c r="P308" s="324">
        <v>8</v>
      </c>
      <c r="Q308" s="324" t="s">
        <v>820</v>
      </c>
      <c r="R308" s="324">
        <v>8</v>
      </c>
      <c r="S308" s="324" t="s">
        <v>911</v>
      </c>
      <c r="T308" s="324" t="s">
        <v>820</v>
      </c>
      <c r="U308" s="727"/>
      <c r="V308" s="324" t="s">
        <v>820</v>
      </c>
      <c r="W308" s="460" t="s">
        <v>69</v>
      </c>
      <c r="X308" s="324" t="s">
        <v>69</v>
      </c>
      <c r="Y308" s="324">
        <v>8</v>
      </c>
      <c r="Z308" s="324">
        <v>8</v>
      </c>
      <c r="AA308" s="324">
        <v>8</v>
      </c>
      <c r="AB308" s="727"/>
      <c r="AC308" s="324" t="s">
        <v>818</v>
      </c>
      <c r="AD308" s="324" t="s">
        <v>990</v>
      </c>
      <c r="AE308" s="324" t="s">
        <v>69</v>
      </c>
      <c r="AF308" s="727"/>
      <c r="AG308" s="324" t="s">
        <v>1007</v>
      </c>
      <c r="AH308" s="324" t="s">
        <v>1021</v>
      </c>
      <c r="AI308" s="321"/>
      <c r="AJ308" s="317"/>
      <c r="AK308" s="221"/>
      <c r="AO308" s="323"/>
      <c r="AQ308" s="609"/>
    </row>
    <row r="309" spans="1:43" s="322" customFormat="1" ht="15.75" customHeight="1">
      <c r="A309" s="295"/>
      <c r="B309" s="220" t="s">
        <v>260</v>
      </c>
      <c r="C309" s="618"/>
      <c r="D309" s="728"/>
      <c r="E309" s="325">
        <v>103</v>
      </c>
      <c r="F309" s="325">
        <v>90</v>
      </c>
      <c r="G309" s="728"/>
      <c r="H309" s="325">
        <v>90</v>
      </c>
      <c r="I309" s="325">
        <v>90</v>
      </c>
      <c r="J309" s="325">
        <v>90</v>
      </c>
      <c r="K309" s="325">
        <v>90</v>
      </c>
      <c r="L309" s="325">
        <v>90</v>
      </c>
      <c r="M309" s="325">
        <v>103</v>
      </c>
      <c r="N309" s="728"/>
      <c r="O309" s="728"/>
      <c r="P309" s="325">
        <v>103</v>
      </c>
      <c r="Q309" s="325">
        <v>103</v>
      </c>
      <c r="R309" s="325">
        <v>114</v>
      </c>
      <c r="S309" s="325">
        <v>103</v>
      </c>
      <c r="T309" s="325">
        <v>90</v>
      </c>
      <c r="U309" s="728"/>
      <c r="V309" s="325">
        <v>103</v>
      </c>
      <c r="W309" s="325">
        <v>90</v>
      </c>
      <c r="X309" s="325">
        <v>114</v>
      </c>
      <c r="Y309" s="325">
        <v>114</v>
      </c>
      <c r="Z309" s="325">
        <v>103</v>
      </c>
      <c r="AA309" s="325">
        <v>103</v>
      </c>
      <c r="AB309" s="728"/>
      <c r="AC309" s="325">
        <v>90</v>
      </c>
      <c r="AD309" s="325">
        <v>103</v>
      </c>
      <c r="AE309" s="325">
        <v>114</v>
      </c>
      <c r="AF309" s="728"/>
      <c r="AG309" s="325">
        <v>114</v>
      </c>
      <c r="AH309" s="325">
        <v>103</v>
      </c>
      <c r="AI309" s="321">
        <f t="shared" ref="AI309:AI319" si="28">SUM(D309:AH309)</f>
        <v>2410</v>
      </c>
      <c r="AJ309" s="294"/>
      <c r="AK309" s="221"/>
      <c r="AO309" s="323"/>
      <c r="AQ309" s="609"/>
    </row>
    <row r="310" spans="1:43" s="330" customFormat="1" ht="15.75" customHeight="1">
      <c r="A310" s="295"/>
      <c r="B310" s="298" t="s">
        <v>56</v>
      </c>
      <c r="C310" s="620"/>
      <c r="D310" s="729"/>
      <c r="E310" s="327">
        <v>9</v>
      </c>
      <c r="F310" s="327">
        <v>10</v>
      </c>
      <c r="G310" s="729"/>
      <c r="H310" s="327">
        <v>13</v>
      </c>
      <c r="I310" s="327">
        <v>30</v>
      </c>
      <c r="J310" s="327">
        <v>55</v>
      </c>
      <c r="K310" s="327">
        <v>24</v>
      </c>
      <c r="L310" s="327">
        <v>25</v>
      </c>
      <c r="M310" s="327">
        <v>34</v>
      </c>
      <c r="N310" s="729"/>
      <c r="O310" s="729"/>
      <c r="P310" s="327">
        <v>61</v>
      </c>
      <c r="Q310" s="327">
        <v>59</v>
      </c>
      <c r="R310" s="327">
        <v>73</v>
      </c>
      <c r="S310" s="327">
        <f>102+7</f>
        <v>109</v>
      </c>
      <c r="T310" s="327">
        <f>125+2+10</f>
        <v>137</v>
      </c>
      <c r="U310" s="729"/>
      <c r="V310" s="327">
        <f>136+12</f>
        <v>148</v>
      </c>
      <c r="W310" s="327">
        <v>73</v>
      </c>
      <c r="X310" s="327">
        <f>59+3</f>
        <v>62</v>
      </c>
      <c r="Y310" s="327">
        <v>33</v>
      </c>
      <c r="Z310" s="327">
        <f>68+3</f>
        <v>71</v>
      </c>
      <c r="AA310" s="327">
        <v>34</v>
      </c>
      <c r="AB310" s="729"/>
      <c r="AC310" s="327">
        <v>35</v>
      </c>
      <c r="AD310" s="327">
        <f>82+3</f>
        <v>85</v>
      </c>
      <c r="AE310" s="327">
        <f>94+3</f>
        <v>97</v>
      </c>
      <c r="AF310" s="729"/>
      <c r="AG310" s="327">
        <f>85+1</f>
        <v>86</v>
      </c>
      <c r="AH310" s="327">
        <f>74+7</f>
        <v>81</v>
      </c>
      <c r="AI310" s="328">
        <f t="shared" si="28"/>
        <v>1444</v>
      </c>
      <c r="AJ310" s="296"/>
      <c r="AK310" s="222"/>
      <c r="AL310" s="329"/>
      <c r="AO310" s="331"/>
      <c r="AQ310" s="610"/>
    </row>
    <row r="311" spans="1:43" s="322" customFormat="1" ht="15.75" customHeight="1">
      <c r="A311" s="295"/>
      <c r="B311" s="220" t="s">
        <v>642</v>
      </c>
      <c r="C311" s="618"/>
      <c r="D311" s="728"/>
      <c r="E311" s="325"/>
      <c r="F311" s="325"/>
      <c r="G311" s="728"/>
      <c r="H311" s="325"/>
      <c r="I311" s="325"/>
      <c r="J311" s="325"/>
      <c r="K311" s="325"/>
      <c r="L311" s="325"/>
      <c r="M311" s="325"/>
      <c r="N311" s="728"/>
      <c r="O311" s="728"/>
      <c r="P311" s="325"/>
      <c r="Q311" s="325"/>
      <c r="R311" s="325"/>
      <c r="S311" s="325"/>
      <c r="T311" s="325">
        <f>T310-T309</f>
        <v>47</v>
      </c>
      <c r="U311" s="728"/>
      <c r="V311" s="325"/>
      <c r="W311" s="325"/>
      <c r="X311" s="325"/>
      <c r="Y311" s="325"/>
      <c r="Z311" s="325"/>
      <c r="AA311" s="325"/>
      <c r="AB311" s="728"/>
      <c r="AC311" s="325"/>
      <c r="AD311" s="325"/>
      <c r="AE311" s="325"/>
      <c r="AF311" s="728"/>
      <c r="AG311" s="325"/>
      <c r="AH311" s="325"/>
      <c r="AI311" s="321">
        <f t="shared" si="28"/>
        <v>47</v>
      </c>
      <c r="AJ311" s="317">
        <v>1409</v>
      </c>
      <c r="AK311" s="221">
        <f>AI311*AJ311</f>
        <v>66223</v>
      </c>
      <c r="AO311" s="323"/>
      <c r="AQ311" s="609"/>
    </row>
    <row r="312" spans="1:43" s="322" customFormat="1" ht="15.75" customHeight="1">
      <c r="A312" s="295"/>
      <c r="B312" s="220" t="s">
        <v>721</v>
      </c>
      <c r="C312" s="618"/>
      <c r="D312" s="728"/>
      <c r="E312" s="325"/>
      <c r="F312" s="325"/>
      <c r="G312" s="728"/>
      <c r="H312" s="325"/>
      <c r="I312" s="325"/>
      <c r="J312" s="325"/>
      <c r="K312" s="325"/>
      <c r="L312" s="325"/>
      <c r="M312" s="325"/>
      <c r="N312" s="728"/>
      <c r="O312" s="727"/>
      <c r="P312" s="324"/>
      <c r="Q312" s="325"/>
      <c r="R312" s="325"/>
      <c r="S312" s="325">
        <f>S310-S309</f>
        <v>6</v>
      </c>
      <c r="T312" s="325"/>
      <c r="U312" s="728"/>
      <c r="V312" s="325">
        <f>V310-V309</f>
        <v>45</v>
      </c>
      <c r="W312" s="325"/>
      <c r="X312" s="325"/>
      <c r="Y312" s="325"/>
      <c r="Z312" s="325"/>
      <c r="AA312" s="325"/>
      <c r="AB312" s="728"/>
      <c r="AC312" s="325"/>
      <c r="AD312" s="325"/>
      <c r="AE312" s="325"/>
      <c r="AF312" s="728"/>
      <c r="AG312" s="325"/>
      <c r="AH312" s="325"/>
      <c r="AI312" s="321">
        <f t="shared" si="28"/>
        <v>51</v>
      </c>
      <c r="AJ312" s="317">
        <v>1322</v>
      </c>
      <c r="AK312" s="221">
        <f>AI312*AJ312</f>
        <v>67422</v>
      </c>
      <c r="AO312" s="323"/>
      <c r="AQ312" s="609"/>
    </row>
    <row r="313" spans="1:43" s="322" customFormat="1" ht="15.75" customHeight="1">
      <c r="A313" s="295"/>
      <c r="B313" s="220" t="s">
        <v>366</v>
      </c>
      <c r="C313" s="618"/>
      <c r="D313" s="728"/>
      <c r="E313" s="325"/>
      <c r="F313" s="325"/>
      <c r="G313" s="728"/>
      <c r="H313" s="325"/>
      <c r="I313" s="325"/>
      <c r="J313" s="325"/>
      <c r="K313" s="325"/>
      <c r="L313" s="325"/>
      <c r="M313" s="325"/>
      <c r="N313" s="728"/>
      <c r="O313" s="728"/>
      <c r="P313" s="325"/>
      <c r="Q313" s="325"/>
      <c r="R313" s="325"/>
      <c r="S313" s="325"/>
      <c r="T313" s="325"/>
      <c r="U313" s="728"/>
      <c r="V313" s="325"/>
      <c r="W313" s="325"/>
      <c r="X313" s="325"/>
      <c r="Y313" s="325"/>
      <c r="Z313" s="325"/>
      <c r="AA313" s="325"/>
      <c r="AB313" s="728"/>
      <c r="AC313" s="325"/>
      <c r="AD313" s="325"/>
      <c r="AE313" s="325"/>
      <c r="AF313" s="728"/>
      <c r="AG313" s="325"/>
      <c r="AH313" s="325"/>
      <c r="AI313" s="321">
        <f t="shared" si="28"/>
        <v>0</v>
      </c>
      <c r="AJ313" s="317">
        <v>1233</v>
      </c>
      <c r="AK313" s="221">
        <f>AI313*AJ313</f>
        <v>0</v>
      </c>
      <c r="AO313" s="323"/>
      <c r="AQ313" s="609"/>
    </row>
    <row r="314" spans="1:43" s="322" customFormat="1" ht="15.75" customHeight="1">
      <c r="A314" s="295"/>
      <c r="B314" s="220" t="s">
        <v>643</v>
      </c>
      <c r="C314" s="618"/>
      <c r="D314" s="728"/>
      <c r="E314" s="325"/>
      <c r="F314" s="325"/>
      <c r="G314" s="728"/>
      <c r="H314" s="325"/>
      <c r="I314" s="325"/>
      <c r="J314" s="325"/>
      <c r="K314" s="325"/>
      <c r="L314" s="325"/>
      <c r="M314" s="325"/>
      <c r="N314" s="728"/>
      <c r="O314" s="728"/>
      <c r="P314" s="325"/>
      <c r="Q314" s="325"/>
      <c r="R314" s="325"/>
      <c r="S314" s="325"/>
      <c r="T314" s="325"/>
      <c r="U314" s="728"/>
      <c r="V314" s="325"/>
      <c r="W314" s="325"/>
      <c r="X314" s="325"/>
      <c r="Y314" s="325"/>
      <c r="Z314" s="325"/>
      <c r="AA314" s="325"/>
      <c r="AB314" s="728"/>
      <c r="AC314" s="325"/>
      <c r="AD314" s="325"/>
      <c r="AE314" s="325"/>
      <c r="AF314" s="728"/>
      <c r="AG314" s="325"/>
      <c r="AH314" s="325"/>
      <c r="AI314" s="321">
        <f t="shared" si="28"/>
        <v>0</v>
      </c>
      <c r="AJ314" s="317">
        <v>1043</v>
      </c>
      <c r="AK314" s="221">
        <f>AI314*AJ314</f>
        <v>0</v>
      </c>
      <c r="AO314" s="323"/>
      <c r="AQ314" s="609"/>
    </row>
    <row r="315" spans="1:43" s="322" customFormat="1" ht="15.75" customHeight="1">
      <c r="A315" s="295"/>
      <c r="B315" s="220" t="s">
        <v>367</v>
      </c>
      <c r="C315" s="618"/>
      <c r="D315" s="728"/>
      <c r="E315" s="325"/>
      <c r="F315" s="325"/>
      <c r="G315" s="728"/>
      <c r="H315" s="325"/>
      <c r="I315" s="325"/>
      <c r="J315" s="325"/>
      <c r="K315" s="325"/>
      <c r="L315" s="325"/>
      <c r="M315" s="325"/>
      <c r="N315" s="728"/>
      <c r="O315" s="728"/>
      <c r="P315" s="325"/>
      <c r="Q315" s="325"/>
      <c r="R315" s="325"/>
      <c r="S315" s="325"/>
      <c r="T315" s="325"/>
      <c r="U315" s="728"/>
      <c r="V315" s="325"/>
      <c r="W315" s="325"/>
      <c r="X315" s="325"/>
      <c r="Y315" s="325"/>
      <c r="Z315" s="325"/>
      <c r="AA315" s="325"/>
      <c r="AB315" s="728"/>
      <c r="AC315" s="325"/>
      <c r="AD315" s="325"/>
      <c r="AE315" s="325"/>
      <c r="AF315" s="728"/>
      <c r="AG315" s="325"/>
      <c r="AH315" s="325"/>
      <c r="AI315" s="321">
        <f t="shared" si="28"/>
        <v>0</v>
      </c>
      <c r="AJ315" s="317"/>
      <c r="AK315" s="221">
        <f>AI315*AJ315</f>
        <v>0</v>
      </c>
      <c r="AL315" s="326"/>
      <c r="AM315" s="326"/>
      <c r="AN315" s="326"/>
      <c r="AO315" s="323"/>
      <c r="AP315" s="326"/>
      <c r="AQ315" s="609"/>
    </row>
    <row r="316" spans="1:43" s="330" customFormat="1" ht="15.75" customHeight="1">
      <c r="A316" s="295"/>
      <c r="B316" s="298" t="s">
        <v>259</v>
      </c>
      <c r="C316" s="620"/>
      <c r="D316" s="729"/>
      <c r="E316" s="327"/>
      <c r="F316" s="327"/>
      <c r="G316" s="729"/>
      <c r="H316" s="327"/>
      <c r="I316" s="327"/>
      <c r="J316" s="327"/>
      <c r="K316" s="327"/>
      <c r="L316" s="327"/>
      <c r="M316" s="327"/>
      <c r="N316" s="729"/>
      <c r="O316" s="729"/>
      <c r="P316" s="327"/>
      <c r="Q316" s="327"/>
      <c r="R316" s="327"/>
      <c r="S316" s="327"/>
      <c r="T316" s="327"/>
      <c r="U316" s="729"/>
      <c r="V316" s="327"/>
      <c r="W316" s="327"/>
      <c r="X316" s="332"/>
      <c r="Y316" s="327"/>
      <c r="Z316" s="327"/>
      <c r="AA316" s="327"/>
      <c r="AB316" s="729"/>
      <c r="AC316" s="327"/>
      <c r="AD316" s="327"/>
      <c r="AE316" s="327"/>
      <c r="AF316" s="729"/>
      <c r="AG316" s="327"/>
      <c r="AH316" s="327"/>
      <c r="AI316" s="328">
        <f t="shared" si="28"/>
        <v>0</v>
      </c>
      <c r="AJ316" s="333"/>
      <c r="AK316" s="222">
        <f>SUM(AK311:AK315)</f>
        <v>133645</v>
      </c>
      <c r="AL316" s="334"/>
      <c r="AM316" s="334"/>
      <c r="AN316" s="334"/>
      <c r="AO316" s="331"/>
      <c r="AP316" s="334"/>
      <c r="AQ316" s="610"/>
    </row>
    <row r="317" spans="1:43" s="322" customFormat="1" ht="15.75" customHeight="1">
      <c r="A317" s="295"/>
      <c r="B317" s="220" t="s">
        <v>57</v>
      </c>
      <c r="C317" s="618"/>
      <c r="D317" s="728"/>
      <c r="E317" s="325">
        <v>1</v>
      </c>
      <c r="F317" s="325">
        <v>1</v>
      </c>
      <c r="G317" s="728"/>
      <c r="H317" s="325">
        <v>2</v>
      </c>
      <c r="I317" s="325">
        <v>4</v>
      </c>
      <c r="J317" s="325">
        <v>9</v>
      </c>
      <c r="K317" s="325">
        <v>3</v>
      </c>
      <c r="L317" s="325">
        <v>4</v>
      </c>
      <c r="M317" s="325">
        <v>4</v>
      </c>
      <c r="N317" s="728"/>
      <c r="O317" s="728"/>
      <c r="P317" s="325">
        <v>4</v>
      </c>
      <c r="Q317" s="325">
        <v>2</v>
      </c>
      <c r="R317" s="325">
        <v>6</v>
      </c>
      <c r="S317" s="325">
        <v>7</v>
      </c>
      <c r="T317" s="325">
        <v>11</v>
      </c>
      <c r="U317" s="728"/>
      <c r="V317" s="325">
        <v>19</v>
      </c>
      <c r="W317" s="325">
        <v>9</v>
      </c>
      <c r="X317" s="325">
        <v>6</v>
      </c>
      <c r="Y317" s="325">
        <v>5</v>
      </c>
      <c r="Z317" s="325">
        <v>8</v>
      </c>
      <c r="AA317" s="325">
        <v>7</v>
      </c>
      <c r="AB317" s="728"/>
      <c r="AC317" s="325">
        <v>10</v>
      </c>
      <c r="AD317" s="325">
        <v>9</v>
      </c>
      <c r="AE317" s="325">
        <v>11</v>
      </c>
      <c r="AF317" s="728"/>
      <c r="AG317" s="325">
        <v>13</v>
      </c>
      <c r="AH317" s="325">
        <v>11</v>
      </c>
      <c r="AI317" s="321">
        <f t="shared" si="28"/>
        <v>166</v>
      </c>
      <c r="AJ317" s="317">
        <v>1750</v>
      </c>
      <c r="AK317" s="221">
        <f>AI317*AJ317</f>
        <v>290500</v>
      </c>
      <c r="AL317" s="326"/>
      <c r="AM317" s="326"/>
      <c r="AN317" s="326"/>
      <c r="AO317" s="323"/>
      <c r="AP317" s="326"/>
      <c r="AQ317" s="609"/>
    </row>
    <row r="318" spans="1:43" s="360" customFormat="1" ht="15.75" customHeight="1" thickBot="1">
      <c r="A318" s="352"/>
      <c r="B318" s="353" t="s">
        <v>44</v>
      </c>
      <c r="C318" s="621"/>
      <c r="D318" s="730"/>
      <c r="E318" s="354"/>
      <c r="F318" s="354"/>
      <c r="G318" s="730"/>
      <c r="H318" s="354">
        <v>110555</v>
      </c>
      <c r="I318" s="354"/>
      <c r="J318" s="354"/>
      <c r="K318" s="354"/>
      <c r="L318" s="354"/>
      <c r="M318" s="354"/>
      <c r="N318" s="730"/>
      <c r="O318" s="730"/>
      <c r="P318" s="354"/>
      <c r="Q318" s="354"/>
      <c r="R318" s="354"/>
      <c r="S318" s="354"/>
      <c r="T318" s="354"/>
      <c r="U318" s="1071"/>
      <c r="V318" s="354"/>
      <c r="W318" s="354"/>
      <c r="X318" s="354"/>
      <c r="Y318" s="354"/>
      <c r="Z318" s="354"/>
      <c r="AA318" s="354"/>
      <c r="AB318" s="730"/>
      <c r="AC318" s="354"/>
      <c r="AD318" s="354"/>
      <c r="AE318" s="354"/>
      <c r="AF318" s="730"/>
      <c r="AG318" s="354"/>
      <c r="AH318" s="354"/>
      <c r="AI318" s="355">
        <f t="shared" si="28"/>
        <v>110555</v>
      </c>
      <c r="AJ318" s="356"/>
      <c r="AK318" s="357">
        <f>AI318</f>
        <v>110555</v>
      </c>
      <c r="AL318" s="358"/>
      <c r="AM318" s="358"/>
      <c r="AN318" s="358"/>
      <c r="AO318" s="359"/>
      <c r="AP318" s="358"/>
      <c r="AQ318" s="611"/>
    </row>
    <row r="319" spans="1:43" s="216" customFormat="1" ht="15.75" customHeight="1" thickTop="1">
      <c r="A319" s="293">
        <v>25</v>
      </c>
      <c r="B319" s="268" t="s">
        <v>774</v>
      </c>
      <c r="C319" s="617"/>
      <c r="D319" s="731"/>
      <c r="E319" s="308">
        <v>1</v>
      </c>
      <c r="F319" s="308">
        <v>1</v>
      </c>
      <c r="G319" s="731"/>
      <c r="H319" s="308">
        <v>1</v>
      </c>
      <c r="I319" s="308">
        <v>1</v>
      </c>
      <c r="J319" s="308">
        <v>1</v>
      </c>
      <c r="K319" s="308">
        <v>1</v>
      </c>
      <c r="L319" s="308">
        <v>1</v>
      </c>
      <c r="M319" s="308">
        <v>1</v>
      </c>
      <c r="N319" s="731"/>
      <c r="O319" s="731"/>
      <c r="P319" s="308">
        <v>1</v>
      </c>
      <c r="Q319" s="308">
        <v>1</v>
      </c>
      <c r="R319" s="308">
        <v>1</v>
      </c>
      <c r="S319" s="308">
        <v>1</v>
      </c>
      <c r="T319" s="308">
        <v>1</v>
      </c>
      <c r="U319" s="731"/>
      <c r="V319" s="308">
        <v>1</v>
      </c>
      <c r="W319" s="308">
        <v>1</v>
      </c>
      <c r="X319" s="308">
        <v>1</v>
      </c>
      <c r="Y319" s="308">
        <v>1</v>
      </c>
      <c r="Z319" s="308">
        <v>1</v>
      </c>
      <c r="AA319" s="308">
        <v>1</v>
      </c>
      <c r="AB319" s="731"/>
      <c r="AC319" s="308">
        <v>1</v>
      </c>
      <c r="AD319" s="308">
        <v>1</v>
      </c>
      <c r="AE319" s="308">
        <v>1</v>
      </c>
      <c r="AF319" s="731"/>
      <c r="AG319" s="308">
        <v>1</v>
      </c>
      <c r="AH319" s="308">
        <v>1</v>
      </c>
      <c r="AI319" s="309">
        <f t="shared" si="28"/>
        <v>24</v>
      </c>
      <c r="AJ319" s="310"/>
      <c r="AK319" s="224"/>
      <c r="AL319" s="311"/>
      <c r="AN319" s="312"/>
      <c r="AO319" s="313"/>
      <c r="AP319" s="314"/>
      <c r="AQ319" s="608"/>
    </row>
    <row r="320" spans="1:43" s="322" customFormat="1" ht="51.75" customHeight="1">
      <c r="A320" s="295"/>
      <c r="B320" s="297" t="s">
        <v>188</v>
      </c>
      <c r="C320" s="619"/>
      <c r="D320" s="726"/>
      <c r="E320" s="318" t="s">
        <v>791</v>
      </c>
      <c r="F320" s="318" t="s">
        <v>799</v>
      </c>
      <c r="G320" s="726"/>
      <c r="H320" s="318" t="s">
        <v>792</v>
      </c>
      <c r="I320" s="318" t="s">
        <v>816</v>
      </c>
      <c r="J320" s="318" t="s">
        <v>799</v>
      </c>
      <c r="K320" s="318" t="s">
        <v>799</v>
      </c>
      <c r="L320" s="318" t="s">
        <v>791</v>
      </c>
      <c r="M320" s="318" t="s">
        <v>801</v>
      </c>
      <c r="N320" s="726"/>
      <c r="O320" s="726"/>
      <c r="P320" s="318" t="s">
        <v>801</v>
      </c>
      <c r="Q320" s="319" t="s">
        <v>801</v>
      </c>
      <c r="R320" s="318" t="s">
        <v>795</v>
      </c>
      <c r="S320" s="319" t="s">
        <v>788</v>
      </c>
      <c r="T320" s="318" t="s">
        <v>859</v>
      </c>
      <c r="U320" s="726"/>
      <c r="V320" s="318" t="s">
        <v>930</v>
      </c>
      <c r="W320" s="509" t="s">
        <v>816</v>
      </c>
      <c r="X320" s="318" t="s">
        <v>953</v>
      </c>
      <c r="Y320" s="318" t="s">
        <v>877</v>
      </c>
      <c r="Z320" s="320" t="s">
        <v>903</v>
      </c>
      <c r="AA320" s="1108" t="s">
        <v>813</v>
      </c>
      <c r="AB320" s="726"/>
      <c r="AC320" s="318" t="s">
        <v>816</v>
      </c>
      <c r="AD320" s="318" t="s">
        <v>801</v>
      </c>
      <c r="AE320" s="318" t="s">
        <v>804</v>
      </c>
      <c r="AF320" s="726"/>
      <c r="AG320" s="318" t="s">
        <v>740</v>
      </c>
      <c r="AH320" s="318" t="s">
        <v>831</v>
      </c>
      <c r="AI320" s="321"/>
      <c r="AJ320" s="317"/>
      <c r="AK320" s="221"/>
      <c r="AO320" s="323"/>
      <c r="AQ320" s="609"/>
    </row>
    <row r="321" spans="1:43" s="322" customFormat="1" ht="15.75" customHeight="1">
      <c r="A321" s="295"/>
      <c r="B321" s="297" t="s">
        <v>281</v>
      </c>
      <c r="C321" s="619"/>
      <c r="D321" s="727"/>
      <c r="E321" s="324">
        <v>7</v>
      </c>
      <c r="F321" s="324">
        <v>7</v>
      </c>
      <c r="G321" s="727"/>
      <c r="H321" s="324">
        <v>7</v>
      </c>
      <c r="I321" s="324">
        <v>7</v>
      </c>
      <c r="J321" s="324">
        <v>7</v>
      </c>
      <c r="K321" s="324">
        <v>7</v>
      </c>
      <c r="L321" s="324">
        <v>7</v>
      </c>
      <c r="M321" s="324">
        <v>7</v>
      </c>
      <c r="N321" s="727"/>
      <c r="O321" s="727"/>
      <c r="P321" s="324">
        <v>7</v>
      </c>
      <c r="Q321" s="324" t="s">
        <v>827</v>
      </c>
      <c r="R321" s="324">
        <v>7</v>
      </c>
      <c r="S321" s="324" t="s">
        <v>919</v>
      </c>
      <c r="T321" s="324">
        <v>7</v>
      </c>
      <c r="U321" s="727"/>
      <c r="V321" s="324" t="s">
        <v>820</v>
      </c>
      <c r="W321" s="460">
        <v>7</v>
      </c>
      <c r="X321" s="324">
        <v>7</v>
      </c>
      <c r="Y321" s="324">
        <v>7</v>
      </c>
      <c r="Z321" s="324">
        <v>7</v>
      </c>
      <c r="AA321" s="324">
        <v>7</v>
      </c>
      <c r="AB321" s="727"/>
      <c r="AC321" s="324">
        <v>7</v>
      </c>
      <c r="AD321" s="324" t="s">
        <v>992</v>
      </c>
      <c r="AE321" s="324" t="s">
        <v>827</v>
      </c>
      <c r="AF321" s="727"/>
      <c r="AG321" s="324" t="s">
        <v>1008</v>
      </c>
      <c r="AH321" s="324" t="s">
        <v>1022</v>
      </c>
      <c r="AI321" s="321"/>
      <c r="AJ321" s="317"/>
      <c r="AK321" s="221"/>
      <c r="AO321" s="323"/>
      <c r="AQ321" s="609"/>
    </row>
    <row r="322" spans="1:43" s="322" customFormat="1" ht="15.75" customHeight="1">
      <c r="A322" s="295"/>
      <c r="B322" s="220" t="s">
        <v>260</v>
      </c>
      <c r="C322" s="618"/>
      <c r="D322" s="728"/>
      <c r="E322" s="325">
        <v>103</v>
      </c>
      <c r="F322" s="325">
        <v>90</v>
      </c>
      <c r="G322" s="728"/>
      <c r="H322" s="325">
        <v>90</v>
      </c>
      <c r="I322" s="325">
        <v>90</v>
      </c>
      <c r="J322" s="325">
        <v>90</v>
      </c>
      <c r="K322" s="325">
        <v>90</v>
      </c>
      <c r="L322" s="325">
        <v>103</v>
      </c>
      <c r="M322" s="325">
        <v>103</v>
      </c>
      <c r="N322" s="728"/>
      <c r="O322" s="728"/>
      <c r="P322" s="325">
        <v>103</v>
      </c>
      <c r="Q322" s="325">
        <v>103</v>
      </c>
      <c r="R322" s="325">
        <v>114</v>
      </c>
      <c r="S322" s="325">
        <v>103</v>
      </c>
      <c r="T322" s="325">
        <v>103</v>
      </c>
      <c r="U322" s="728"/>
      <c r="V322" s="325">
        <v>103</v>
      </c>
      <c r="W322" s="325">
        <v>90</v>
      </c>
      <c r="X322" s="325">
        <v>114</v>
      </c>
      <c r="Y322" s="325">
        <v>114</v>
      </c>
      <c r="Z322" s="325">
        <v>103</v>
      </c>
      <c r="AA322" s="325">
        <v>103</v>
      </c>
      <c r="AB322" s="727"/>
      <c r="AC322" s="325">
        <v>90</v>
      </c>
      <c r="AD322" s="325">
        <v>103</v>
      </c>
      <c r="AE322" s="325">
        <v>114</v>
      </c>
      <c r="AF322" s="728"/>
      <c r="AG322" s="325">
        <v>114</v>
      </c>
      <c r="AH322" s="325">
        <v>103</v>
      </c>
      <c r="AI322" s="321">
        <f t="shared" ref="AI322:AI332" si="29">SUM(D322:AH322)</f>
        <v>2436</v>
      </c>
      <c r="AJ322" s="294"/>
      <c r="AK322" s="221"/>
      <c r="AO322" s="323"/>
      <c r="AQ322" s="609"/>
    </row>
    <row r="323" spans="1:43" s="330" customFormat="1" ht="15.75" customHeight="1">
      <c r="A323" s="651"/>
      <c r="B323" s="298" t="s">
        <v>56</v>
      </c>
      <c r="C323" s="620"/>
      <c r="D323" s="729"/>
      <c r="E323" s="327">
        <v>32</v>
      </c>
      <c r="F323" s="327">
        <v>12</v>
      </c>
      <c r="G323" s="729"/>
      <c r="H323" s="327">
        <v>14</v>
      </c>
      <c r="I323" s="327">
        <v>68</v>
      </c>
      <c r="J323" s="327">
        <v>43</v>
      </c>
      <c r="K323" s="327">
        <v>20</v>
      </c>
      <c r="L323" s="327">
        <v>27</v>
      </c>
      <c r="M323" s="327">
        <v>34</v>
      </c>
      <c r="N323" s="729"/>
      <c r="O323" s="729"/>
      <c r="P323" s="327">
        <v>56</v>
      </c>
      <c r="Q323" s="327">
        <v>81</v>
      </c>
      <c r="R323" s="327">
        <v>77</v>
      </c>
      <c r="S323" s="327">
        <f>84+4</f>
        <v>88</v>
      </c>
      <c r="T323" s="327">
        <v>80</v>
      </c>
      <c r="U323" s="729"/>
      <c r="V323" s="327">
        <f>124+5</f>
        <v>129</v>
      </c>
      <c r="W323" s="327">
        <f>83+2</f>
        <v>85</v>
      </c>
      <c r="X323" s="327">
        <f>85+9</f>
        <v>94</v>
      </c>
      <c r="Y323" s="327">
        <v>62</v>
      </c>
      <c r="Z323" s="327">
        <v>61</v>
      </c>
      <c r="AA323" s="327">
        <v>35</v>
      </c>
      <c r="AB323" s="729"/>
      <c r="AC323" s="327">
        <v>66</v>
      </c>
      <c r="AD323" s="327">
        <v>59</v>
      </c>
      <c r="AE323" s="327">
        <f>98+4</f>
        <v>102</v>
      </c>
      <c r="AF323" s="729"/>
      <c r="AG323" s="327">
        <v>144</v>
      </c>
      <c r="AH323" s="327">
        <f>89+6</f>
        <v>95</v>
      </c>
      <c r="AI323" s="328">
        <f t="shared" si="29"/>
        <v>1564</v>
      </c>
      <c r="AJ323" s="296"/>
      <c r="AK323" s="222"/>
      <c r="AL323" s="329"/>
      <c r="AO323" s="331"/>
      <c r="AQ323" s="610"/>
    </row>
    <row r="324" spans="1:43" s="322" customFormat="1" ht="15.75" customHeight="1">
      <c r="A324" s="295"/>
      <c r="B324" s="220" t="s">
        <v>642</v>
      </c>
      <c r="C324" s="618"/>
      <c r="D324" s="728"/>
      <c r="E324" s="325"/>
      <c r="F324" s="325"/>
      <c r="G324" s="728"/>
      <c r="H324" s="325"/>
      <c r="I324" s="325"/>
      <c r="J324" s="325"/>
      <c r="K324" s="325"/>
      <c r="L324" s="325"/>
      <c r="M324" s="325"/>
      <c r="N324" s="728"/>
      <c r="O324" s="728"/>
      <c r="P324" s="325"/>
      <c r="Q324" s="325"/>
      <c r="R324" s="325"/>
      <c r="S324" s="325"/>
      <c r="T324" s="325"/>
      <c r="U324" s="728"/>
      <c r="V324" s="325"/>
      <c r="W324" s="325"/>
      <c r="X324" s="325"/>
      <c r="Y324" s="325"/>
      <c r="Z324" s="325"/>
      <c r="AA324" s="325"/>
      <c r="AB324" s="728"/>
      <c r="AC324" s="325"/>
      <c r="AD324" s="325"/>
      <c r="AE324" s="325"/>
      <c r="AF324" s="728"/>
      <c r="AG324" s="325"/>
      <c r="AH324" s="325"/>
      <c r="AI324" s="321">
        <f t="shared" si="29"/>
        <v>0</v>
      </c>
      <c r="AJ324" s="317">
        <v>1409</v>
      </c>
      <c r="AK324" s="221">
        <f>AI324*AJ324</f>
        <v>0</v>
      </c>
      <c r="AO324" s="323"/>
      <c r="AQ324" s="609"/>
    </row>
    <row r="325" spans="1:43" s="322" customFormat="1" ht="15.75" customHeight="1">
      <c r="A325" s="295"/>
      <c r="B325" s="220" t="s">
        <v>721</v>
      </c>
      <c r="C325" s="618"/>
      <c r="D325" s="728"/>
      <c r="E325" s="325"/>
      <c r="F325" s="325"/>
      <c r="G325" s="728"/>
      <c r="H325" s="325"/>
      <c r="I325" s="325"/>
      <c r="J325" s="325"/>
      <c r="K325" s="325"/>
      <c r="L325" s="325"/>
      <c r="M325" s="325"/>
      <c r="N325" s="728"/>
      <c r="O325" s="727"/>
      <c r="P325" s="324"/>
      <c r="Q325" s="325"/>
      <c r="R325" s="325"/>
      <c r="S325" s="325"/>
      <c r="T325" s="325"/>
      <c r="U325" s="728"/>
      <c r="V325" s="325">
        <f>V323-V322</f>
        <v>26</v>
      </c>
      <c r="W325" s="325"/>
      <c r="X325" s="325"/>
      <c r="Y325" s="325"/>
      <c r="Z325" s="325"/>
      <c r="AA325" s="325"/>
      <c r="AB325" s="728"/>
      <c r="AC325" s="325"/>
      <c r="AD325" s="325"/>
      <c r="AE325" s="325"/>
      <c r="AF325" s="728"/>
      <c r="AG325" s="325"/>
      <c r="AH325" s="325"/>
      <c r="AI325" s="321">
        <f t="shared" si="29"/>
        <v>26</v>
      </c>
      <c r="AJ325" s="317">
        <v>1322</v>
      </c>
      <c r="AK325" s="221">
        <f>AI325*AJ325</f>
        <v>34372</v>
      </c>
      <c r="AO325" s="323"/>
      <c r="AQ325" s="609"/>
    </row>
    <row r="326" spans="1:43" s="322" customFormat="1" ht="15.75" customHeight="1">
      <c r="A326" s="295"/>
      <c r="B326" s="220" t="s">
        <v>366</v>
      </c>
      <c r="C326" s="618"/>
      <c r="D326" s="728"/>
      <c r="E326" s="325"/>
      <c r="F326" s="325"/>
      <c r="G326" s="728"/>
      <c r="H326" s="325"/>
      <c r="I326" s="325"/>
      <c r="J326" s="325"/>
      <c r="K326" s="325"/>
      <c r="L326" s="325"/>
      <c r="M326" s="325"/>
      <c r="N326" s="728"/>
      <c r="O326" s="728"/>
      <c r="P326" s="325"/>
      <c r="Q326" s="325"/>
      <c r="R326" s="325"/>
      <c r="S326" s="325"/>
      <c r="T326" s="325"/>
      <c r="U326" s="728"/>
      <c r="V326" s="325"/>
      <c r="W326" s="325"/>
      <c r="X326" s="325"/>
      <c r="Y326" s="325"/>
      <c r="Z326" s="325"/>
      <c r="AA326" s="325"/>
      <c r="AB326" s="728"/>
      <c r="AC326" s="325"/>
      <c r="AD326" s="325"/>
      <c r="AE326" s="325"/>
      <c r="AF326" s="728"/>
      <c r="AG326" s="325">
        <f>AG323-AG322</f>
        <v>30</v>
      </c>
      <c r="AH326" s="325"/>
      <c r="AI326" s="321">
        <f t="shared" si="29"/>
        <v>30</v>
      </c>
      <c r="AJ326" s="317">
        <v>1233</v>
      </c>
      <c r="AK326" s="221">
        <f>AI326*AJ326</f>
        <v>36990</v>
      </c>
      <c r="AO326" s="323"/>
      <c r="AQ326" s="609"/>
    </row>
    <row r="327" spans="1:43" s="322" customFormat="1" ht="15.75" customHeight="1">
      <c r="A327" s="295"/>
      <c r="B327" s="220" t="s">
        <v>643</v>
      </c>
      <c r="C327" s="618"/>
      <c r="D327" s="728"/>
      <c r="E327" s="325"/>
      <c r="F327" s="325"/>
      <c r="G327" s="728"/>
      <c r="H327" s="325"/>
      <c r="I327" s="325"/>
      <c r="J327" s="325"/>
      <c r="K327" s="325"/>
      <c r="L327" s="325"/>
      <c r="M327" s="325"/>
      <c r="N327" s="728"/>
      <c r="O327" s="728"/>
      <c r="P327" s="325"/>
      <c r="Q327" s="325"/>
      <c r="R327" s="325"/>
      <c r="S327" s="325"/>
      <c r="T327" s="325"/>
      <c r="U327" s="728"/>
      <c r="V327" s="325"/>
      <c r="W327" s="325"/>
      <c r="X327" s="325"/>
      <c r="Y327" s="325"/>
      <c r="Z327" s="325"/>
      <c r="AA327" s="325"/>
      <c r="AB327" s="728"/>
      <c r="AC327" s="325"/>
      <c r="AD327" s="325"/>
      <c r="AE327" s="325"/>
      <c r="AF327" s="728"/>
      <c r="AG327" s="325"/>
      <c r="AH327" s="325"/>
      <c r="AI327" s="321">
        <f t="shared" si="29"/>
        <v>0</v>
      </c>
      <c r="AJ327" s="317">
        <v>1043</v>
      </c>
      <c r="AK327" s="221">
        <f>AI327*AJ327</f>
        <v>0</v>
      </c>
      <c r="AO327" s="323"/>
      <c r="AQ327" s="609"/>
    </row>
    <row r="328" spans="1:43" s="322" customFormat="1" ht="15.75" customHeight="1">
      <c r="A328" s="295"/>
      <c r="B328" s="220" t="s">
        <v>367</v>
      </c>
      <c r="C328" s="618"/>
      <c r="D328" s="728"/>
      <c r="E328" s="325"/>
      <c r="F328" s="325"/>
      <c r="G328" s="728"/>
      <c r="H328" s="325"/>
      <c r="I328" s="325"/>
      <c r="J328" s="325"/>
      <c r="K328" s="325"/>
      <c r="L328" s="325"/>
      <c r="M328" s="325"/>
      <c r="N328" s="728"/>
      <c r="O328" s="728"/>
      <c r="P328" s="325"/>
      <c r="Q328" s="325"/>
      <c r="R328" s="325"/>
      <c r="S328" s="325"/>
      <c r="T328" s="325"/>
      <c r="U328" s="728"/>
      <c r="V328" s="325"/>
      <c r="W328" s="325"/>
      <c r="X328" s="325"/>
      <c r="Y328" s="325"/>
      <c r="Z328" s="325"/>
      <c r="AA328" s="325"/>
      <c r="AB328" s="728"/>
      <c r="AC328" s="325"/>
      <c r="AD328" s="325"/>
      <c r="AE328" s="325"/>
      <c r="AF328" s="728"/>
      <c r="AG328" s="325"/>
      <c r="AH328" s="325"/>
      <c r="AI328" s="321">
        <f t="shared" si="29"/>
        <v>0</v>
      </c>
      <c r="AJ328" s="317"/>
      <c r="AK328" s="221">
        <f>AI328*AJ328</f>
        <v>0</v>
      </c>
      <c r="AL328" s="326"/>
      <c r="AM328" s="326"/>
      <c r="AN328" s="326"/>
      <c r="AO328" s="323"/>
      <c r="AP328" s="326"/>
      <c r="AQ328" s="609"/>
    </row>
    <row r="329" spans="1:43" s="330" customFormat="1" ht="15.75" customHeight="1">
      <c r="A329" s="295"/>
      <c r="B329" s="298" t="s">
        <v>259</v>
      </c>
      <c r="C329" s="620"/>
      <c r="D329" s="729"/>
      <c r="E329" s="327"/>
      <c r="F329" s="327"/>
      <c r="G329" s="729"/>
      <c r="H329" s="327"/>
      <c r="I329" s="327"/>
      <c r="J329" s="327"/>
      <c r="K329" s="327"/>
      <c r="L329" s="327"/>
      <c r="M329" s="327"/>
      <c r="N329" s="729"/>
      <c r="O329" s="729"/>
      <c r="P329" s="327"/>
      <c r="Q329" s="327"/>
      <c r="R329" s="327"/>
      <c r="S329" s="327"/>
      <c r="T329" s="327"/>
      <c r="U329" s="729"/>
      <c r="V329" s="327"/>
      <c r="W329" s="327"/>
      <c r="X329" s="332"/>
      <c r="Y329" s="327"/>
      <c r="Z329" s="327"/>
      <c r="AA329" s="327"/>
      <c r="AB329" s="729"/>
      <c r="AC329" s="327"/>
      <c r="AD329" s="327"/>
      <c r="AE329" s="327"/>
      <c r="AF329" s="729"/>
      <c r="AG329" s="327"/>
      <c r="AH329" s="327"/>
      <c r="AI329" s="328">
        <f t="shared" si="29"/>
        <v>0</v>
      </c>
      <c r="AJ329" s="333"/>
      <c r="AK329" s="222">
        <f>SUM(AK324:AK328)</f>
        <v>71362</v>
      </c>
      <c r="AL329" s="334"/>
      <c r="AM329" s="334"/>
      <c r="AN329" s="334"/>
      <c r="AO329" s="331"/>
      <c r="AP329" s="334"/>
      <c r="AQ329" s="610"/>
    </row>
    <row r="330" spans="1:43" s="322" customFormat="1" ht="15.75" customHeight="1">
      <c r="A330" s="295"/>
      <c r="B330" s="220" t="s">
        <v>57</v>
      </c>
      <c r="C330" s="618"/>
      <c r="D330" s="728"/>
      <c r="E330" s="325">
        <v>5</v>
      </c>
      <c r="F330" s="325">
        <v>2</v>
      </c>
      <c r="G330" s="728"/>
      <c r="H330" s="325">
        <v>1</v>
      </c>
      <c r="I330" s="325">
        <v>6</v>
      </c>
      <c r="J330" s="325">
        <v>6</v>
      </c>
      <c r="K330" s="325">
        <v>2</v>
      </c>
      <c r="L330" s="325">
        <v>5</v>
      </c>
      <c r="M330" s="325">
        <v>4</v>
      </c>
      <c r="N330" s="728"/>
      <c r="O330" s="728"/>
      <c r="P330" s="325">
        <v>8</v>
      </c>
      <c r="Q330" s="325">
        <v>3</v>
      </c>
      <c r="R330" s="325">
        <v>6</v>
      </c>
      <c r="S330" s="325">
        <v>8</v>
      </c>
      <c r="T330" s="325">
        <v>15</v>
      </c>
      <c r="U330" s="728"/>
      <c r="V330" s="325">
        <v>14</v>
      </c>
      <c r="W330" s="325">
        <v>13</v>
      </c>
      <c r="X330" s="325">
        <v>13</v>
      </c>
      <c r="Y330" s="325">
        <v>5</v>
      </c>
      <c r="Z330" s="325">
        <v>6</v>
      </c>
      <c r="AA330" s="325">
        <v>4</v>
      </c>
      <c r="AB330" s="728"/>
      <c r="AC330" s="325">
        <v>7</v>
      </c>
      <c r="AD330" s="325">
        <v>11</v>
      </c>
      <c r="AE330" s="325">
        <v>14</v>
      </c>
      <c r="AF330" s="728"/>
      <c r="AG330" s="325">
        <v>17</v>
      </c>
      <c r="AH330" s="325">
        <v>13</v>
      </c>
      <c r="AI330" s="321">
        <f t="shared" si="29"/>
        <v>188</v>
      </c>
      <c r="AJ330" s="317">
        <v>1750</v>
      </c>
      <c r="AK330" s="221">
        <f>AI330*AJ330</f>
        <v>329000</v>
      </c>
      <c r="AL330" s="326"/>
      <c r="AM330" s="326"/>
      <c r="AN330" s="326"/>
      <c r="AO330" s="323"/>
      <c r="AP330" s="326"/>
      <c r="AQ330" s="609"/>
    </row>
    <row r="331" spans="1:43" s="360" customFormat="1" ht="15.75" customHeight="1" thickBot="1">
      <c r="A331" s="352"/>
      <c r="B331" s="353" t="s">
        <v>44</v>
      </c>
      <c r="C331" s="621"/>
      <c r="D331" s="730"/>
      <c r="E331" s="354"/>
      <c r="F331" s="354"/>
      <c r="G331" s="730"/>
      <c r="H331" s="354">
        <v>109119</v>
      </c>
      <c r="I331" s="354"/>
      <c r="J331" s="354"/>
      <c r="K331" s="354"/>
      <c r="L331" s="354"/>
      <c r="M331" s="354"/>
      <c r="N331" s="730"/>
      <c r="O331" s="730"/>
      <c r="P331" s="354"/>
      <c r="Q331" s="354"/>
      <c r="R331" s="354"/>
      <c r="S331" s="354"/>
      <c r="T331" s="354"/>
      <c r="U331" s="1071"/>
      <c r="V331" s="354"/>
      <c r="W331" s="354"/>
      <c r="X331" s="354"/>
      <c r="Y331" s="354"/>
      <c r="Z331" s="354"/>
      <c r="AA331" s="354"/>
      <c r="AB331" s="730"/>
      <c r="AC331" s="354"/>
      <c r="AD331" s="354"/>
      <c r="AE331" s="354"/>
      <c r="AF331" s="730"/>
      <c r="AG331" s="354"/>
      <c r="AH331" s="354"/>
      <c r="AI331" s="355">
        <f t="shared" si="29"/>
        <v>109119</v>
      </c>
      <c r="AJ331" s="356"/>
      <c r="AK331" s="357">
        <f>AI331</f>
        <v>109119</v>
      </c>
      <c r="AL331" s="358"/>
      <c r="AM331" s="358"/>
      <c r="AN331" s="358"/>
      <c r="AO331" s="359"/>
      <c r="AP331" s="358"/>
      <c r="AQ331" s="611"/>
    </row>
    <row r="332" spans="1:43" s="216" customFormat="1" ht="15.75" customHeight="1" thickTop="1">
      <c r="A332" s="293">
        <v>26</v>
      </c>
      <c r="B332" s="268" t="s">
        <v>776</v>
      </c>
      <c r="C332" s="617"/>
      <c r="D332" s="731"/>
      <c r="E332" s="308">
        <v>1</v>
      </c>
      <c r="F332" s="308">
        <v>1</v>
      </c>
      <c r="G332" s="731"/>
      <c r="H332" s="308">
        <v>1</v>
      </c>
      <c r="I332" s="308">
        <v>1</v>
      </c>
      <c r="J332" s="308">
        <v>1</v>
      </c>
      <c r="K332" s="308">
        <v>1</v>
      </c>
      <c r="L332" s="308">
        <v>1</v>
      </c>
      <c r="M332" s="308">
        <v>1</v>
      </c>
      <c r="N332" s="731"/>
      <c r="O332" s="731"/>
      <c r="P332" s="308"/>
      <c r="Q332" s="308">
        <v>1</v>
      </c>
      <c r="R332" s="308">
        <v>1</v>
      </c>
      <c r="S332" s="308">
        <v>1</v>
      </c>
      <c r="T332" s="308"/>
      <c r="U332" s="731"/>
      <c r="V332" s="308">
        <v>1</v>
      </c>
      <c r="W332" s="308">
        <v>1</v>
      </c>
      <c r="X332" s="308">
        <v>1</v>
      </c>
      <c r="Y332" s="308"/>
      <c r="Z332" s="308"/>
      <c r="AA332" s="308"/>
      <c r="AB332" s="731"/>
      <c r="AC332" s="308"/>
      <c r="AD332" s="308"/>
      <c r="AE332" s="308"/>
      <c r="AF332" s="731"/>
      <c r="AG332" s="308"/>
      <c r="AH332" s="308"/>
      <c r="AI332" s="309">
        <f t="shared" si="29"/>
        <v>14</v>
      </c>
      <c r="AJ332" s="310"/>
      <c r="AK332" s="224"/>
      <c r="AL332" s="311"/>
      <c r="AN332" s="312"/>
      <c r="AO332" s="313"/>
      <c r="AP332" s="314"/>
      <c r="AQ332" s="608"/>
    </row>
    <row r="333" spans="1:43" s="322" customFormat="1" ht="60.75" customHeight="1">
      <c r="A333" s="295"/>
      <c r="B333" s="297" t="s">
        <v>188</v>
      </c>
      <c r="C333" s="619"/>
      <c r="D333" s="726"/>
      <c r="E333" s="318" t="s">
        <v>813</v>
      </c>
      <c r="F333" s="318" t="s">
        <v>791</v>
      </c>
      <c r="G333" s="726"/>
      <c r="H333" s="318" t="s">
        <v>792</v>
      </c>
      <c r="I333" s="318" t="s">
        <v>792</v>
      </c>
      <c r="J333" s="318" t="s">
        <v>792</v>
      </c>
      <c r="K333" s="318" t="s">
        <v>799</v>
      </c>
      <c r="L333" s="318" t="s">
        <v>799</v>
      </c>
      <c r="M333" s="318" t="s">
        <v>799</v>
      </c>
      <c r="N333" s="726"/>
      <c r="O333" s="726"/>
      <c r="P333" s="318"/>
      <c r="Q333" s="318" t="s">
        <v>799</v>
      </c>
      <c r="R333" s="318" t="s">
        <v>804</v>
      </c>
      <c r="S333" s="318" t="s">
        <v>804</v>
      </c>
      <c r="T333" s="318"/>
      <c r="U333" s="726"/>
      <c r="V333" s="318" t="s">
        <v>797</v>
      </c>
      <c r="W333" s="509" t="s">
        <v>948</v>
      </c>
      <c r="X333" s="318" t="s">
        <v>792</v>
      </c>
      <c r="Y333" s="318"/>
      <c r="Z333" s="320"/>
      <c r="AA333" s="318"/>
      <c r="AB333" s="726"/>
      <c r="AC333" s="318"/>
      <c r="AD333" s="318"/>
      <c r="AE333" s="318"/>
      <c r="AF333" s="726"/>
      <c r="AG333" s="318"/>
      <c r="AH333" s="318"/>
      <c r="AI333" s="321"/>
      <c r="AJ333" s="317"/>
      <c r="AK333" s="221"/>
      <c r="AO333" s="323"/>
      <c r="AQ333" s="609"/>
    </row>
    <row r="334" spans="1:43" s="322" customFormat="1" ht="15.75" customHeight="1">
      <c r="A334" s="295"/>
      <c r="B334" s="297" t="s">
        <v>281</v>
      </c>
      <c r="C334" s="619"/>
      <c r="D334" s="727"/>
      <c r="E334" s="324" t="s">
        <v>908</v>
      </c>
      <c r="F334" s="324">
        <v>5</v>
      </c>
      <c r="G334" s="727"/>
      <c r="H334" s="324">
        <v>5</v>
      </c>
      <c r="I334" s="324">
        <v>5</v>
      </c>
      <c r="J334" s="324">
        <v>5</v>
      </c>
      <c r="K334" s="324">
        <v>5</v>
      </c>
      <c r="L334" s="324">
        <v>5</v>
      </c>
      <c r="M334" s="324">
        <v>5</v>
      </c>
      <c r="N334" s="727"/>
      <c r="O334" s="727"/>
      <c r="P334" s="324"/>
      <c r="Q334" s="324">
        <v>5</v>
      </c>
      <c r="R334" s="324" t="s">
        <v>909</v>
      </c>
      <c r="S334" s="324">
        <v>16</v>
      </c>
      <c r="T334" s="324"/>
      <c r="U334" s="727"/>
      <c r="V334" s="324">
        <v>5</v>
      </c>
      <c r="W334" s="460">
        <v>5</v>
      </c>
      <c r="X334" s="324">
        <v>5</v>
      </c>
      <c r="Y334" s="324"/>
      <c r="Z334" s="324"/>
      <c r="AA334" s="324"/>
      <c r="AB334" s="727"/>
      <c r="AC334" s="324"/>
      <c r="AD334" s="324"/>
      <c r="AE334" s="324"/>
      <c r="AF334" s="727"/>
      <c r="AG334" s="324"/>
      <c r="AH334" s="324"/>
      <c r="AI334" s="321"/>
      <c r="AJ334" s="317"/>
      <c r="AK334" s="221"/>
      <c r="AO334" s="323"/>
      <c r="AQ334" s="609"/>
    </row>
    <row r="335" spans="1:43" s="322" customFormat="1" ht="15.75" customHeight="1">
      <c r="A335" s="295"/>
      <c r="B335" s="220" t="s">
        <v>260</v>
      </c>
      <c r="C335" s="618"/>
      <c r="D335" s="728"/>
      <c r="E335" s="325">
        <v>103</v>
      </c>
      <c r="F335" s="325">
        <v>103</v>
      </c>
      <c r="G335" s="728"/>
      <c r="H335" s="325">
        <v>90</v>
      </c>
      <c r="I335" s="325">
        <v>90</v>
      </c>
      <c r="J335" s="325">
        <v>90</v>
      </c>
      <c r="K335" s="325">
        <v>90</v>
      </c>
      <c r="L335" s="325">
        <v>90</v>
      </c>
      <c r="M335" s="325">
        <v>90</v>
      </c>
      <c r="N335" s="728"/>
      <c r="O335" s="728"/>
      <c r="P335" s="325"/>
      <c r="Q335" s="325">
        <v>90</v>
      </c>
      <c r="R335" s="325">
        <v>114</v>
      </c>
      <c r="S335" s="325">
        <v>114</v>
      </c>
      <c r="T335" s="325"/>
      <c r="U335" s="728"/>
      <c r="V335" s="325">
        <v>114</v>
      </c>
      <c r="W335" s="325">
        <v>114</v>
      </c>
      <c r="X335" s="325">
        <v>90</v>
      </c>
      <c r="Y335" s="325"/>
      <c r="Z335" s="325"/>
      <c r="AA335" s="325"/>
      <c r="AB335" s="728"/>
      <c r="AC335" s="325"/>
      <c r="AD335" s="325"/>
      <c r="AE335" s="325"/>
      <c r="AF335" s="728"/>
      <c r="AG335" s="325"/>
      <c r="AH335" s="325"/>
      <c r="AI335" s="321">
        <f t="shared" ref="AI335:AI345" si="30">SUM(D335:AH335)</f>
        <v>1382</v>
      </c>
      <c r="AJ335" s="294"/>
      <c r="AK335" s="221"/>
      <c r="AO335" s="323"/>
      <c r="AQ335" s="609"/>
    </row>
    <row r="336" spans="1:43" s="330" customFormat="1" ht="15.75" customHeight="1">
      <c r="A336" s="295"/>
      <c r="B336" s="298" t="s">
        <v>56</v>
      </c>
      <c r="C336" s="620"/>
      <c r="D336" s="729"/>
      <c r="E336" s="327">
        <v>66</v>
      </c>
      <c r="F336" s="327">
        <v>18</v>
      </c>
      <c r="G336" s="729"/>
      <c r="H336" s="327">
        <v>24</v>
      </c>
      <c r="I336" s="327">
        <v>19</v>
      </c>
      <c r="J336" s="327">
        <v>31</v>
      </c>
      <c r="K336" s="327">
        <v>21</v>
      </c>
      <c r="L336" s="327">
        <v>13</v>
      </c>
      <c r="M336" s="327">
        <v>11</v>
      </c>
      <c r="N336" s="729"/>
      <c r="O336" s="729"/>
      <c r="P336" s="327"/>
      <c r="Q336" s="327">
        <v>14</v>
      </c>
      <c r="R336" s="327">
        <v>36</v>
      </c>
      <c r="S336" s="327">
        <v>44</v>
      </c>
      <c r="T336" s="327"/>
      <c r="U336" s="729"/>
      <c r="V336" s="327">
        <v>12</v>
      </c>
      <c r="W336" s="327">
        <v>34</v>
      </c>
      <c r="X336" s="327">
        <v>8</v>
      </c>
      <c r="Y336" s="327"/>
      <c r="Z336" s="327"/>
      <c r="AA336" s="327"/>
      <c r="AB336" s="729"/>
      <c r="AC336" s="327"/>
      <c r="AD336" s="327"/>
      <c r="AE336" s="327"/>
      <c r="AF336" s="729"/>
      <c r="AG336" s="327"/>
      <c r="AH336" s="327"/>
      <c r="AI336" s="328">
        <f t="shared" si="30"/>
        <v>351</v>
      </c>
      <c r="AJ336" s="296"/>
      <c r="AK336" s="222"/>
      <c r="AL336" s="329"/>
      <c r="AO336" s="331"/>
      <c r="AQ336" s="610"/>
    </row>
    <row r="337" spans="1:43" s="322" customFormat="1" ht="15.75" customHeight="1">
      <c r="A337" s="295"/>
      <c r="B337" s="220" t="s">
        <v>642</v>
      </c>
      <c r="C337" s="618"/>
      <c r="D337" s="728"/>
      <c r="E337" s="325"/>
      <c r="F337" s="325"/>
      <c r="G337" s="728"/>
      <c r="H337" s="325"/>
      <c r="I337" s="325"/>
      <c r="J337" s="325"/>
      <c r="K337" s="325"/>
      <c r="L337" s="325"/>
      <c r="M337" s="325"/>
      <c r="N337" s="728"/>
      <c r="O337" s="728"/>
      <c r="P337" s="325"/>
      <c r="Q337" s="325"/>
      <c r="R337" s="325"/>
      <c r="S337" s="325"/>
      <c r="T337" s="325"/>
      <c r="U337" s="728"/>
      <c r="V337" s="325"/>
      <c r="W337" s="325"/>
      <c r="X337" s="325"/>
      <c r="Y337" s="325"/>
      <c r="Z337" s="325"/>
      <c r="AA337" s="325"/>
      <c r="AB337" s="728"/>
      <c r="AC337" s="325"/>
      <c r="AD337" s="325"/>
      <c r="AE337" s="325"/>
      <c r="AF337" s="728"/>
      <c r="AG337" s="325"/>
      <c r="AH337" s="325"/>
      <c r="AI337" s="321">
        <f t="shared" si="30"/>
        <v>0</v>
      </c>
      <c r="AJ337" s="317">
        <v>1409</v>
      </c>
      <c r="AK337" s="221">
        <f>AI337*AJ337</f>
        <v>0</v>
      </c>
      <c r="AO337" s="323"/>
      <c r="AQ337" s="609"/>
    </row>
    <row r="338" spans="1:43" s="322" customFormat="1" ht="15.75" customHeight="1">
      <c r="A338" s="295"/>
      <c r="B338" s="220" t="s">
        <v>721</v>
      </c>
      <c r="C338" s="618"/>
      <c r="D338" s="728"/>
      <c r="E338" s="325"/>
      <c r="F338" s="325"/>
      <c r="G338" s="728"/>
      <c r="H338" s="325"/>
      <c r="I338" s="325"/>
      <c r="J338" s="325"/>
      <c r="K338" s="325"/>
      <c r="L338" s="325"/>
      <c r="M338" s="325"/>
      <c r="N338" s="728"/>
      <c r="O338" s="727"/>
      <c r="P338" s="324"/>
      <c r="Q338" s="325"/>
      <c r="R338" s="325"/>
      <c r="S338" s="325"/>
      <c r="T338" s="325"/>
      <c r="U338" s="728"/>
      <c r="V338" s="325"/>
      <c r="W338" s="325"/>
      <c r="X338" s="325"/>
      <c r="Y338" s="325"/>
      <c r="Z338" s="325"/>
      <c r="AA338" s="325"/>
      <c r="AB338" s="728"/>
      <c r="AC338" s="325"/>
      <c r="AD338" s="325"/>
      <c r="AE338" s="325"/>
      <c r="AF338" s="728"/>
      <c r="AG338" s="325"/>
      <c r="AH338" s="325"/>
      <c r="AI338" s="321">
        <f t="shared" si="30"/>
        <v>0</v>
      </c>
      <c r="AJ338" s="317">
        <v>1322</v>
      </c>
      <c r="AK338" s="221">
        <f>AI338*AJ338</f>
        <v>0</v>
      </c>
      <c r="AO338" s="323"/>
      <c r="AQ338" s="609"/>
    </row>
    <row r="339" spans="1:43" s="322" customFormat="1" ht="15.75" customHeight="1">
      <c r="A339" s="295"/>
      <c r="B339" s="220" t="s">
        <v>366</v>
      </c>
      <c r="C339" s="618"/>
      <c r="D339" s="728"/>
      <c r="E339" s="325"/>
      <c r="F339" s="325"/>
      <c r="G339" s="728"/>
      <c r="H339" s="325"/>
      <c r="I339" s="325"/>
      <c r="J339" s="325"/>
      <c r="K339" s="325"/>
      <c r="L339" s="325"/>
      <c r="M339" s="325"/>
      <c r="N339" s="728"/>
      <c r="O339" s="728"/>
      <c r="P339" s="325"/>
      <c r="Q339" s="325"/>
      <c r="R339" s="325"/>
      <c r="S339" s="325"/>
      <c r="T339" s="325"/>
      <c r="U339" s="728"/>
      <c r="V339" s="325"/>
      <c r="W339" s="325"/>
      <c r="X339" s="325"/>
      <c r="Y339" s="325"/>
      <c r="Z339" s="325"/>
      <c r="AA339" s="325"/>
      <c r="AB339" s="728"/>
      <c r="AC339" s="325"/>
      <c r="AD339" s="325"/>
      <c r="AE339" s="325"/>
      <c r="AF339" s="728"/>
      <c r="AG339" s="325"/>
      <c r="AH339" s="325"/>
      <c r="AI339" s="321">
        <f t="shared" si="30"/>
        <v>0</v>
      </c>
      <c r="AJ339" s="317">
        <v>1233</v>
      </c>
      <c r="AK339" s="221">
        <f>AI339*AJ339</f>
        <v>0</v>
      </c>
      <c r="AO339" s="323"/>
      <c r="AQ339" s="609"/>
    </row>
    <row r="340" spans="1:43" s="322" customFormat="1" ht="15.75" customHeight="1">
      <c r="A340" s="295"/>
      <c r="B340" s="220" t="s">
        <v>643</v>
      </c>
      <c r="C340" s="618"/>
      <c r="D340" s="728"/>
      <c r="E340" s="325"/>
      <c r="F340" s="325"/>
      <c r="G340" s="728"/>
      <c r="H340" s="325"/>
      <c r="I340" s="325"/>
      <c r="J340" s="325"/>
      <c r="K340" s="325"/>
      <c r="L340" s="325"/>
      <c r="M340" s="325"/>
      <c r="N340" s="728"/>
      <c r="O340" s="728"/>
      <c r="P340" s="325"/>
      <c r="Q340" s="325"/>
      <c r="R340" s="325"/>
      <c r="S340" s="325"/>
      <c r="T340" s="325"/>
      <c r="U340" s="728"/>
      <c r="V340" s="325"/>
      <c r="W340" s="325"/>
      <c r="X340" s="325"/>
      <c r="Y340" s="325"/>
      <c r="Z340" s="325"/>
      <c r="AA340" s="325"/>
      <c r="AB340" s="728"/>
      <c r="AC340" s="325"/>
      <c r="AD340" s="325"/>
      <c r="AE340" s="325"/>
      <c r="AF340" s="728"/>
      <c r="AG340" s="325"/>
      <c r="AH340" s="325"/>
      <c r="AI340" s="321">
        <f t="shared" si="30"/>
        <v>0</v>
      </c>
      <c r="AJ340" s="317">
        <v>1043</v>
      </c>
      <c r="AK340" s="221">
        <f>AI340*AJ340</f>
        <v>0</v>
      </c>
      <c r="AO340" s="323"/>
      <c r="AQ340" s="609"/>
    </row>
    <row r="341" spans="1:43" s="322" customFormat="1" ht="15.75" customHeight="1">
      <c r="A341" s="295"/>
      <c r="B341" s="220" t="s">
        <v>367</v>
      </c>
      <c r="C341" s="618"/>
      <c r="D341" s="728"/>
      <c r="E341" s="325"/>
      <c r="F341" s="325"/>
      <c r="G341" s="728"/>
      <c r="H341" s="325"/>
      <c r="I341" s="325"/>
      <c r="J341" s="325"/>
      <c r="K341" s="325"/>
      <c r="L341" s="325"/>
      <c r="M341" s="325"/>
      <c r="N341" s="728"/>
      <c r="O341" s="728"/>
      <c r="P341" s="325"/>
      <c r="Q341" s="325"/>
      <c r="R341" s="325"/>
      <c r="S341" s="325"/>
      <c r="T341" s="325"/>
      <c r="U341" s="728"/>
      <c r="V341" s="325"/>
      <c r="W341" s="325"/>
      <c r="X341" s="325"/>
      <c r="Y341" s="325"/>
      <c r="Z341" s="325"/>
      <c r="AA341" s="325"/>
      <c r="AB341" s="728"/>
      <c r="AC341" s="325"/>
      <c r="AD341" s="325"/>
      <c r="AE341" s="325"/>
      <c r="AF341" s="728"/>
      <c r="AG341" s="325"/>
      <c r="AH341" s="325"/>
      <c r="AI341" s="321">
        <f t="shared" si="30"/>
        <v>0</v>
      </c>
      <c r="AJ341" s="317"/>
      <c r="AK341" s="221">
        <f>AI341*AJ341</f>
        <v>0</v>
      </c>
      <c r="AL341" s="326"/>
      <c r="AM341" s="326"/>
      <c r="AN341" s="326"/>
      <c r="AO341" s="323"/>
      <c r="AP341" s="326"/>
      <c r="AQ341" s="609"/>
    </row>
    <row r="342" spans="1:43" s="330" customFormat="1" ht="15.75" customHeight="1">
      <c r="A342" s="295"/>
      <c r="B342" s="298" t="s">
        <v>259</v>
      </c>
      <c r="C342" s="620"/>
      <c r="D342" s="729"/>
      <c r="E342" s="327"/>
      <c r="F342" s="327"/>
      <c r="G342" s="729"/>
      <c r="H342" s="327"/>
      <c r="I342" s="327"/>
      <c r="J342" s="327"/>
      <c r="K342" s="327"/>
      <c r="L342" s="327"/>
      <c r="M342" s="327"/>
      <c r="N342" s="729"/>
      <c r="O342" s="729"/>
      <c r="P342" s="327"/>
      <c r="Q342" s="327"/>
      <c r="R342" s="327"/>
      <c r="S342" s="327"/>
      <c r="T342" s="327"/>
      <c r="U342" s="729"/>
      <c r="V342" s="327"/>
      <c r="W342" s="327"/>
      <c r="X342" s="332"/>
      <c r="Y342" s="327"/>
      <c r="Z342" s="327"/>
      <c r="AA342" s="327"/>
      <c r="AB342" s="729"/>
      <c r="AC342" s="327"/>
      <c r="AD342" s="327"/>
      <c r="AE342" s="327"/>
      <c r="AF342" s="729"/>
      <c r="AG342" s="327"/>
      <c r="AH342" s="327"/>
      <c r="AI342" s="328">
        <f t="shared" si="30"/>
        <v>0</v>
      </c>
      <c r="AJ342" s="333"/>
      <c r="AK342" s="222">
        <f>SUM(AK337:AK341)</f>
        <v>0</v>
      </c>
      <c r="AL342" s="334"/>
      <c r="AM342" s="334"/>
      <c r="AN342" s="334"/>
      <c r="AO342" s="331"/>
      <c r="AP342" s="334"/>
      <c r="AQ342" s="610"/>
    </row>
    <row r="343" spans="1:43" s="322" customFormat="1" ht="15.75" customHeight="1">
      <c r="A343" s="295"/>
      <c r="B343" s="220" t="s">
        <v>57</v>
      </c>
      <c r="C343" s="618"/>
      <c r="D343" s="728"/>
      <c r="E343" s="325">
        <v>6</v>
      </c>
      <c r="F343" s="325">
        <v>2</v>
      </c>
      <c r="G343" s="728"/>
      <c r="H343" s="325">
        <v>1</v>
      </c>
      <c r="I343" s="325">
        <v>2</v>
      </c>
      <c r="J343" s="325">
        <v>3</v>
      </c>
      <c r="K343" s="325">
        <v>1</v>
      </c>
      <c r="L343" s="325">
        <v>1</v>
      </c>
      <c r="M343" s="325">
        <v>2</v>
      </c>
      <c r="N343" s="728"/>
      <c r="O343" s="728"/>
      <c r="P343" s="325"/>
      <c r="Q343" s="325">
        <v>2</v>
      </c>
      <c r="R343" s="325">
        <v>3</v>
      </c>
      <c r="S343" s="325">
        <v>3</v>
      </c>
      <c r="T343" s="325"/>
      <c r="U343" s="728"/>
      <c r="V343" s="325">
        <v>1</v>
      </c>
      <c r="W343" s="325">
        <v>3</v>
      </c>
      <c r="X343" s="325">
        <v>1</v>
      </c>
      <c r="Y343" s="325"/>
      <c r="Z343" s="325"/>
      <c r="AA343" s="325"/>
      <c r="AB343" s="728"/>
      <c r="AC343" s="325"/>
      <c r="AD343" s="325"/>
      <c r="AE343" s="325"/>
      <c r="AF343" s="728"/>
      <c r="AG343" s="325"/>
      <c r="AH343" s="325"/>
      <c r="AI343" s="321">
        <f t="shared" si="30"/>
        <v>31</v>
      </c>
      <c r="AJ343" s="317">
        <v>1750</v>
      </c>
      <c r="AK343" s="221">
        <f>AI343*AJ343</f>
        <v>54250</v>
      </c>
      <c r="AL343" s="326"/>
      <c r="AM343" s="326"/>
      <c r="AN343" s="326"/>
      <c r="AO343" s="323"/>
      <c r="AP343" s="326"/>
      <c r="AQ343" s="609"/>
    </row>
    <row r="344" spans="1:43" s="360" customFormat="1" ht="15.75" customHeight="1" thickBot="1">
      <c r="A344" s="352"/>
      <c r="B344" s="353" t="s">
        <v>44</v>
      </c>
      <c r="C344" s="621"/>
      <c r="D344" s="730"/>
      <c r="E344" s="354"/>
      <c r="F344" s="354"/>
      <c r="G344" s="730"/>
      <c r="H344" s="354">
        <v>94761</v>
      </c>
      <c r="I344" s="354">
        <v>101940</v>
      </c>
      <c r="J344" s="354"/>
      <c r="K344" s="354"/>
      <c r="L344" s="354"/>
      <c r="M344" s="354"/>
      <c r="N344" s="730"/>
      <c r="O344" s="730"/>
      <c r="P344" s="354"/>
      <c r="Q344" s="354"/>
      <c r="R344" s="354"/>
      <c r="S344" s="354"/>
      <c r="T344" s="354"/>
      <c r="U344" s="1071"/>
      <c r="V344" s="354"/>
      <c r="W344" s="354"/>
      <c r="X344" s="354"/>
      <c r="Y344" s="354"/>
      <c r="Z344" s="354"/>
      <c r="AA344" s="354"/>
      <c r="AB344" s="730"/>
      <c r="AC344" s="354"/>
      <c r="AD344" s="354"/>
      <c r="AE344" s="354"/>
      <c r="AF344" s="730"/>
      <c r="AG344" s="354"/>
      <c r="AH344" s="354"/>
      <c r="AI344" s="355">
        <f t="shared" si="30"/>
        <v>196701</v>
      </c>
      <c r="AJ344" s="356"/>
      <c r="AK344" s="357">
        <f>AI344</f>
        <v>196701</v>
      </c>
      <c r="AL344" s="358"/>
      <c r="AM344" s="358"/>
      <c r="AN344" s="358"/>
      <c r="AO344" s="359"/>
      <c r="AP344" s="358"/>
      <c r="AQ344" s="611"/>
    </row>
    <row r="345" spans="1:43" s="216" customFormat="1" ht="15.75" customHeight="1" thickTop="1">
      <c r="A345" s="293">
        <v>27</v>
      </c>
      <c r="B345" s="219" t="s">
        <v>963</v>
      </c>
      <c r="C345" s="617"/>
      <c r="D345" s="731"/>
      <c r="E345" s="308"/>
      <c r="F345" s="308"/>
      <c r="G345" s="731"/>
      <c r="H345" s="308"/>
      <c r="I345" s="308"/>
      <c r="J345" s="308"/>
      <c r="K345" s="308"/>
      <c r="L345" s="308"/>
      <c r="M345" s="308"/>
      <c r="N345" s="731"/>
      <c r="O345" s="731"/>
      <c r="P345" s="308"/>
      <c r="Q345" s="308"/>
      <c r="R345" s="308"/>
      <c r="S345" s="308"/>
      <c r="T345" s="308"/>
      <c r="U345" s="731"/>
      <c r="V345" s="308"/>
      <c r="W345" s="308"/>
      <c r="X345" s="308"/>
      <c r="Y345" s="308">
        <v>1</v>
      </c>
      <c r="Z345" s="308">
        <v>1</v>
      </c>
      <c r="AA345" s="308">
        <v>1</v>
      </c>
      <c r="AB345" s="731"/>
      <c r="AC345" s="308">
        <v>1</v>
      </c>
      <c r="AD345" s="308">
        <v>1</v>
      </c>
      <c r="AE345" s="308">
        <v>1</v>
      </c>
      <c r="AF345" s="731"/>
      <c r="AG345" s="308">
        <v>1</v>
      </c>
      <c r="AH345" s="308">
        <v>1</v>
      </c>
      <c r="AI345" s="309">
        <f t="shared" si="30"/>
        <v>8</v>
      </c>
      <c r="AJ345" s="310"/>
      <c r="AK345" s="224"/>
      <c r="AL345" s="311"/>
      <c r="AN345" s="312"/>
      <c r="AO345" s="313"/>
      <c r="AP345" s="314"/>
      <c r="AQ345" s="608"/>
    </row>
    <row r="346" spans="1:43" s="322" customFormat="1" ht="55.5" customHeight="1">
      <c r="A346" s="295"/>
      <c r="B346" s="297" t="s">
        <v>188</v>
      </c>
      <c r="C346" s="619"/>
      <c r="D346" s="726"/>
      <c r="E346" s="318"/>
      <c r="F346" s="318"/>
      <c r="G346" s="726"/>
      <c r="H346" s="318"/>
      <c r="I346" s="318"/>
      <c r="J346" s="318"/>
      <c r="K346" s="318"/>
      <c r="L346" s="318"/>
      <c r="M346" s="318"/>
      <c r="N346" s="726"/>
      <c r="O346" s="726"/>
      <c r="P346" s="318"/>
      <c r="Q346" s="319"/>
      <c r="R346" s="318"/>
      <c r="S346" s="318"/>
      <c r="T346" s="318"/>
      <c r="U346" s="726"/>
      <c r="V346" s="318"/>
      <c r="W346" s="509"/>
      <c r="X346" s="318"/>
      <c r="Y346" s="318" t="s">
        <v>795</v>
      </c>
      <c r="Z346" s="320" t="s">
        <v>859</v>
      </c>
      <c r="AA346" s="318" t="s">
        <v>930</v>
      </c>
      <c r="AB346" s="726"/>
      <c r="AC346" s="318" t="s">
        <v>816</v>
      </c>
      <c r="AD346" s="318" t="s">
        <v>801</v>
      </c>
      <c r="AE346" s="318" t="s">
        <v>804</v>
      </c>
      <c r="AF346" s="726"/>
      <c r="AG346" s="318" t="s">
        <v>877</v>
      </c>
      <c r="AH346" s="318" t="s">
        <v>831</v>
      </c>
      <c r="AI346" s="321"/>
      <c r="AJ346" s="317"/>
      <c r="AK346" s="221"/>
      <c r="AO346" s="323"/>
      <c r="AQ346" s="609"/>
    </row>
    <row r="347" spans="1:43" s="322" customFormat="1" ht="15.75" customHeight="1">
      <c r="A347" s="295"/>
      <c r="B347" s="297" t="s">
        <v>281</v>
      </c>
      <c r="C347" s="619"/>
      <c r="D347" s="727"/>
      <c r="E347" s="324"/>
      <c r="F347" s="324"/>
      <c r="G347" s="727"/>
      <c r="H347" s="324"/>
      <c r="I347" s="324"/>
      <c r="J347" s="324"/>
      <c r="K347" s="324"/>
      <c r="L347" s="324"/>
      <c r="M347" s="324"/>
      <c r="N347" s="727"/>
      <c r="O347" s="727"/>
      <c r="P347" s="324"/>
      <c r="Q347" s="324"/>
      <c r="R347" s="324"/>
      <c r="S347" s="324"/>
      <c r="T347" s="324"/>
      <c r="U347" s="727"/>
      <c r="V347" s="324"/>
      <c r="W347" s="460"/>
      <c r="X347" s="324"/>
      <c r="Y347" s="324">
        <v>5</v>
      </c>
      <c r="Z347" s="324">
        <v>5</v>
      </c>
      <c r="AA347" s="324">
        <v>5</v>
      </c>
      <c r="AB347" s="727"/>
      <c r="AC347" s="324">
        <v>5</v>
      </c>
      <c r="AD347" s="324" t="s">
        <v>994</v>
      </c>
      <c r="AE347" s="324" t="s">
        <v>66</v>
      </c>
      <c r="AF347" s="727"/>
      <c r="AG347" s="324" t="s">
        <v>66</v>
      </c>
      <c r="AH347" s="324">
        <v>5</v>
      </c>
      <c r="AI347" s="321"/>
      <c r="AJ347" s="317"/>
      <c r="AK347" s="221"/>
      <c r="AO347" s="323"/>
      <c r="AQ347" s="609"/>
    </row>
    <row r="348" spans="1:43" s="322" customFormat="1" ht="15.75" customHeight="1">
      <c r="A348" s="295"/>
      <c r="B348" s="220" t="s">
        <v>260</v>
      </c>
      <c r="C348" s="618"/>
      <c r="D348" s="728"/>
      <c r="E348" s="325"/>
      <c r="F348" s="325"/>
      <c r="G348" s="728"/>
      <c r="H348" s="325"/>
      <c r="I348" s="325"/>
      <c r="J348" s="325"/>
      <c r="K348" s="325"/>
      <c r="L348" s="325"/>
      <c r="M348" s="325"/>
      <c r="N348" s="728"/>
      <c r="O348" s="728"/>
      <c r="P348" s="325"/>
      <c r="Q348" s="325"/>
      <c r="R348" s="325"/>
      <c r="S348" s="325"/>
      <c r="T348" s="325"/>
      <c r="U348" s="728"/>
      <c r="V348" s="325"/>
      <c r="W348" s="325"/>
      <c r="X348" s="325"/>
      <c r="Y348" s="325">
        <v>114</v>
      </c>
      <c r="Z348" s="325">
        <v>103</v>
      </c>
      <c r="AA348" s="325">
        <v>103</v>
      </c>
      <c r="AB348" s="728"/>
      <c r="AC348" s="325">
        <v>90</v>
      </c>
      <c r="AD348" s="325">
        <v>103</v>
      </c>
      <c r="AE348" s="325">
        <v>114</v>
      </c>
      <c r="AF348" s="728"/>
      <c r="AG348" s="325">
        <v>114</v>
      </c>
      <c r="AH348" s="325">
        <v>103</v>
      </c>
      <c r="AI348" s="321">
        <f t="shared" ref="AI348:AI358" si="31">SUM(D348:AH348)</f>
        <v>844</v>
      </c>
      <c r="AJ348" s="294"/>
      <c r="AK348" s="221"/>
      <c r="AO348" s="323"/>
      <c r="AQ348" s="609"/>
    </row>
    <row r="349" spans="1:43" s="330" customFormat="1" ht="15.75" customHeight="1">
      <c r="A349" s="295"/>
      <c r="B349" s="298" t="s">
        <v>56</v>
      </c>
      <c r="C349" s="620"/>
      <c r="D349" s="729"/>
      <c r="E349" s="327"/>
      <c r="F349" s="327"/>
      <c r="G349" s="729"/>
      <c r="H349" s="327"/>
      <c r="I349" s="327"/>
      <c r="J349" s="327"/>
      <c r="K349" s="327"/>
      <c r="L349" s="327"/>
      <c r="M349" s="327"/>
      <c r="N349" s="729"/>
      <c r="O349" s="729"/>
      <c r="P349" s="327"/>
      <c r="Q349" s="327"/>
      <c r="R349" s="327"/>
      <c r="S349" s="327"/>
      <c r="T349" s="327"/>
      <c r="U349" s="729"/>
      <c r="V349" s="327"/>
      <c r="W349" s="327"/>
      <c r="X349" s="327"/>
      <c r="Y349" s="327">
        <v>30</v>
      </c>
      <c r="Z349" s="327">
        <v>55</v>
      </c>
      <c r="AA349" s="327">
        <f>51+1</f>
        <v>52</v>
      </c>
      <c r="AB349" s="729"/>
      <c r="AC349" s="327">
        <v>59</v>
      </c>
      <c r="AD349" s="327">
        <f>68+2+5</f>
        <v>75</v>
      </c>
      <c r="AE349" s="327">
        <f>58+2</f>
        <v>60</v>
      </c>
      <c r="AF349" s="729"/>
      <c r="AG349" s="327">
        <f>74+2</f>
        <v>76</v>
      </c>
      <c r="AH349" s="327">
        <f>46+2</f>
        <v>48</v>
      </c>
      <c r="AI349" s="328">
        <f t="shared" si="31"/>
        <v>455</v>
      </c>
      <c r="AJ349" s="296"/>
      <c r="AK349" s="222"/>
      <c r="AL349" s="329"/>
      <c r="AO349" s="331"/>
      <c r="AQ349" s="610"/>
    </row>
    <row r="350" spans="1:43" s="322" customFormat="1" ht="15.75" customHeight="1">
      <c r="A350" s="295"/>
      <c r="B350" s="220" t="s">
        <v>642</v>
      </c>
      <c r="C350" s="618"/>
      <c r="D350" s="728"/>
      <c r="E350" s="325"/>
      <c r="F350" s="325"/>
      <c r="G350" s="728"/>
      <c r="H350" s="325"/>
      <c r="I350" s="325"/>
      <c r="J350" s="325"/>
      <c r="K350" s="325"/>
      <c r="L350" s="325"/>
      <c r="M350" s="325"/>
      <c r="N350" s="728"/>
      <c r="O350" s="728"/>
      <c r="P350" s="325"/>
      <c r="Q350" s="325"/>
      <c r="R350" s="325"/>
      <c r="S350" s="325"/>
      <c r="T350" s="325"/>
      <c r="U350" s="728"/>
      <c r="V350" s="325"/>
      <c r="W350" s="325"/>
      <c r="X350" s="325"/>
      <c r="Y350" s="325"/>
      <c r="Z350" s="325"/>
      <c r="AA350" s="325"/>
      <c r="AB350" s="728"/>
      <c r="AC350" s="325"/>
      <c r="AD350" s="325"/>
      <c r="AE350" s="325"/>
      <c r="AF350" s="728"/>
      <c r="AG350" s="325"/>
      <c r="AH350" s="325"/>
      <c r="AI350" s="321">
        <f t="shared" si="31"/>
        <v>0</v>
      </c>
      <c r="AJ350" s="317">
        <v>1409</v>
      </c>
      <c r="AK350" s="221">
        <f>AI350*AJ350</f>
        <v>0</v>
      </c>
      <c r="AO350" s="323"/>
      <c r="AQ350" s="609"/>
    </row>
    <row r="351" spans="1:43" s="322" customFormat="1" ht="15.75" customHeight="1">
      <c r="A351" s="295"/>
      <c r="B351" s="220" t="s">
        <v>721</v>
      </c>
      <c r="C351" s="618"/>
      <c r="D351" s="728"/>
      <c r="E351" s="325"/>
      <c r="F351" s="325"/>
      <c r="G351" s="728"/>
      <c r="H351" s="325"/>
      <c r="I351" s="325"/>
      <c r="J351" s="325"/>
      <c r="K351" s="325"/>
      <c r="L351" s="325"/>
      <c r="M351" s="325"/>
      <c r="N351" s="728"/>
      <c r="O351" s="727"/>
      <c r="P351" s="324"/>
      <c r="Q351" s="325"/>
      <c r="R351" s="325"/>
      <c r="S351" s="325"/>
      <c r="T351" s="325"/>
      <c r="U351" s="728"/>
      <c r="V351" s="325"/>
      <c r="W351" s="325"/>
      <c r="X351" s="325"/>
      <c r="Y351" s="325"/>
      <c r="Z351" s="325"/>
      <c r="AA351" s="325"/>
      <c r="AB351" s="728"/>
      <c r="AC351" s="325"/>
      <c r="AD351" s="325"/>
      <c r="AE351" s="325"/>
      <c r="AF351" s="728"/>
      <c r="AG351" s="325"/>
      <c r="AH351" s="325"/>
      <c r="AI351" s="321">
        <f t="shared" si="31"/>
        <v>0</v>
      </c>
      <c r="AJ351" s="317">
        <v>1322</v>
      </c>
      <c r="AK351" s="221">
        <f>AI351*AJ351</f>
        <v>0</v>
      </c>
      <c r="AO351" s="323"/>
      <c r="AQ351" s="609"/>
    </row>
    <row r="352" spans="1:43" s="322" customFormat="1" ht="15.75" customHeight="1">
      <c r="A352" s="295"/>
      <c r="B352" s="220" t="s">
        <v>366</v>
      </c>
      <c r="C352" s="618"/>
      <c r="D352" s="728"/>
      <c r="E352" s="325"/>
      <c r="F352" s="325"/>
      <c r="G352" s="728"/>
      <c r="H352" s="325"/>
      <c r="I352" s="325"/>
      <c r="J352" s="325"/>
      <c r="K352" s="325"/>
      <c r="L352" s="325"/>
      <c r="M352" s="325"/>
      <c r="N352" s="728"/>
      <c r="O352" s="728"/>
      <c r="P352" s="325"/>
      <c r="Q352" s="325"/>
      <c r="R352" s="325"/>
      <c r="S352" s="325"/>
      <c r="T352" s="325"/>
      <c r="U352" s="728"/>
      <c r="V352" s="325"/>
      <c r="W352" s="325"/>
      <c r="X352" s="325"/>
      <c r="Y352" s="325"/>
      <c r="Z352" s="325"/>
      <c r="AA352" s="325"/>
      <c r="AB352" s="728"/>
      <c r="AC352" s="325"/>
      <c r="AD352" s="325"/>
      <c r="AE352" s="325"/>
      <c r="AF352" s="728"/>
      <c r="AG352" s="325"/>
      <c r="AH352" s="325"/>
      <c r="AI352" s="321">
        <f t="shared" si="31"/>
        <v>0</v>
      </c>
      <c r="AJ352" s="317">
        <v>1233</v>
      </c>
      <c r="AK352" s="221">
        <f>AI352*AJ352</f>
        <v>0</v>
      </c>
      <c r="AO352" s="323"/>
      <c r="AQ352" s="609"/>
    </row>
    <row r="353" spans="1:43" s="322" customFormat="1" ht="15.75" customHeight="1">
      <c r="A353" s="295"/>
      <c r="B353" s="220" t="s">
        <v>643</v>
      </c>
      <c r="C353" s="618"/>
      <c r="D353" s="728"/>
      <c r="E353" s="325"/>
      <c r="F353" s="325"/>
      <c r="G353" s="728"/>
      <c r="H353" s="325"/>
      <c r="I353" s="325"/>
      <c r="J353" s="325"/>
      <c r="K353" s="325"/>
      <c r="L353" s="325"/>
      <c r="M353" s="325"/>
      <c r="N353" s="728"/>
      <c r="O353" s="728"/>
      <c r="P353" s="325"/>
      <c r="Q353" s="325"/>
      <c r="R353" s="325"/>
      <c r="S353" s="325"/>
      <c r="T353" s="325"/>
      <c r="U353" s="728"/>
      <c r="V353" s="325"/>
      <c r="W353" s="325"/>
      <c r="X353" s="325"/>
      <c r="Y353" s="325"/>
      <c r="Z353" s="325"/>
      <c r="AA353" s="325"/>
      <c r="AB353" s="728"/>
      <c r="AC353" s="325"/>
      <c r="AD353" s="325"/>
      <c r="AE353" s="325"/>
      <c r="AF353" s="728"/>
      <c r="AG353" s="325"/>
      <c r="AH353" s="325"/>
      <c r="AI353" s="321">
        <f t="shared" si="31"/>
        <v>0</v>
      </c>
      <c r="AJ353" s="317">
        <v>1043</v>
      </c>
      <c r="AK353" s="221">
        <f>AI353*AJ353</f>
        <v>0</v>
      </c>
      <c r="AO353" s="323"/>
      <c r="AQ353" s="609"/>
    </row>
    <row r="354" spans="1:43" s="322" customFormat="1" ht="15.75" customHeight="1">
      <c r="A354" s="295"/>
      <c r="B354" s="220" t="s">
        <v>367</v>
      </c>
      <c r="C354" s="618"/>
      <c r="D354" s="728"/>
      <c r="E354" s="325"/>
      <c r="F354" s="325"/>
      <c r="G354" s="728"/>
      <c r="H354" s="325"/>
      <c r="I354" s="325"/>
      <c r="J354" s="325"/>
      <c r="K354" s="325"/>
      <c r="L354" s="325"/>
      <c r="M354" s="325"/>
      <c r="N354" s="728"/>
      <c r="O354" s="728"/>
      <c r="P354" s="325"/>
      <c r="Q354" s="325"/>
      <c r="R354" s="325"/>
      <c r="S354" s="325"/>
      <c r="T354" s="325"/>
      <c r="U354" s="728"/>
      <c r="V354" s="325"/>
      <c r="W354" s="325"/>
      <c r="X354" s="325"/>
      <c r="Y354" s="325"/>
      <c r="Z354" s="325"/>
      <c r="AA354" s="325"/>
      <c r="AB354" s="728"/>
      <c r="AC354" s="325"/>
      <c r="AD354" s="325"/>
      <c r="AE354" s="325"/>
      <c r="AF354" s="728"/>
      <c r="AG354" s="325"/>
      <c r="AH354" s="325"/>
      <c r="AI354" s="321">
        <f t="shared" si="31"/>
        <v>0</v>
      </c>
      <c r="AJ354" s="317"/>
      <c r="AK354" s="221">
        <f>AI354*AJ354</f>
        <v>0</v>
      </c>
      <c r="AL354" s="326"/>
      <c r="AM354" s="326"/>
      <c r="AN354" s="326"/>
      <c r="AO354" s="323"/>
      <c r="AP354" s="326"/>
      <c r="AQ354" s="609"/>
    </row>
    <row r="355" spans="1:43" s="330" customFormat="1" ht="15.75" customHeight="1">
      <c r="A355" s="295"/>
      <c r="B355" s="298" t="s">
        <v>259</v>
      </c>
      <c r="C355" s="620"/>
      <c r="D355" s="729"/>
      <c r="E355" s="327"/>
      <c r="F355" s="327"/>
      <c r="G355" s="729"/>
      <c r="H355" s="327"/>
      <c r="I355" s="327"/>
      <c r="J355" s="327"/>
      <c r="K355" s="327"/>
      <c r="L355" s="327"/>
      <c r="M355" s="327"/>
      <c r="N355" s="729"/>
      <c r="O355" s="729"/>
      <c r="P355" s="327"/>
      <c r="Q355" s="327"/>
      <c r="R355" s="327"/>
      <c r="S355" s="327"/>
      <c r="T355" s="327"/>
      <c r="U355" s="729"/>
      <c r="V355" s="327"/>
      <c r="W355" s="327"/>
      <c r="X355" s="332"/>
      <c r="Y355" s="327"/>
      <c r="Z355" s="327"/>
      <c r="AA355" s="327"/>
      <c r="AB355" s="729"/>
      <c r="AC355" s="327"/>
      <c r="AD355" s="327"/>
      <c r="AE355" s="327"/>
      <c r="AF355" s="729"/>
      <c r="AG355" s="327"/>
      <c r="AH355" s="327"/>
      <c r="AI355" s="328">
        <f t="shared" si="31"/>
        <v>0</v>
      </c>
      <c r="AJ355" s="333"/>
      <c r="AK355" s="222">
        <f>SUM(AK350:AK354)</f>
        <v>0</v>
      </c>
      <c r="AL355" s="334"/>
      <c r="AM355" s="334"/>
      <c r="AN355" s="334"/>
      <c r="AO355" s="331"/>
      <c r="AP355" s="334"/>
      <c r="AQ355" s="610"/>
    </row>
    <row r="356" spans="1:43" s="322" customFormat="1" ht="15.75" customHeight="1">
      <c r="A356" s="295"/>
      <c r="B356" s="220" t="s">
        <v>57</v>
      </c>
      <c r="C356" s="618"/>
      <c r="D356" s="728"/>
      <c r="E356" s="325"/>
      <c r="F356" s="325"/>
      <c r="G356" s="728"/>
      <c r="H356" s="325"/>
      <c r="I356" s="325"/>
      <c r="J356" s="325"/>
      <c r="K356" s="325"/>
      <c r="L356" s="325"/>
      <c r="M356" s="325"/>
      <c r="N356" s="728"/>
      <c r="O356" s="728"/>
      <c r="P356" s="325"/>
      <c r="Q356" s="325"/>
      <c r="R356" s="325"/>
      <c r="S356" s="325"/>
      <c r="T356" s="325"/>
      <c r="U356" s="728"/>
      <c r="V356" s="325"/>
      <c r="W356" s="325"/>
      <c r="X356" s="325"/>
      <c r="Y356" s="325">
        <v>5</v>
      </c>
      <c r="Z356" s="325">
        <v>5</v>
      </c>
      <c r="AA356" s="325">
        <v>8</v>
      </c>
      <c r="AB356" s="728"/>
      <c r="AC356" s="325">
        <v>6</v>
      </c>
      <c r="AD356" s="325">
        <v>17</v>
      </c>
      <c r="AE356" s="325">
        <v>6</v>
      </c>
      <c r="AF356" s="728"/>
      <c r="AG356" s="325">
        <v>11</v>
      </c>
      <c r="AH356" s="325">
        <v>10</v>
      </c>
      <c r="AI356" s="321">
        <f t="shared" si="31"/>
        <v>68</v>
      </c>
      <c r="AJ356" s="317">
        <v>1750</v>
      </c>
      <c r="AK356" s="221">
        <f>AI356*AJ356</f>
        <v>119000</v>
      </c>
      <c r="AL356" s="326"/>
      <c r="AM356" s="326"/>
      <c r="AN356" s="326"/>
      <c r="AO356" s="323"/>
      <c r="AP356" s="326"/>
      <c r="AQ356" s="609"/>
    </row>
    <row r="357" spans="1:43" s="360" customFormat="1" ht="15.75" customHeight="1" thickBot="1">
      <c r="A357" s="352"/>
      <c r="B357" s="353" t="s">
        <v>44</v>
      </c>
      <c r="C357" s="621"/>
      <c r="D357" s="730"/>
      <c r="E357" s="354"/>
      <c r="F357" s="354"/>
      <c r="G357" s="730"/>
      <c r="H357" s="354"/>
      <c r="I357" s="354"/>
      <c r="J357" s="354"/>
      <c r="K357" s="354"/>
      <c r="L357" s="354"/>
      <c r="M357" s="354"/>
      <c r="N357" s="730"/>
      <c r="O357" s="730"/>
      <c r="P357" s="354"/>
      <c r="Q357" s="354"/>
      <c r="R357" s="354"/>
      <c r="S357" s="354"/>
      <c r="T357" s="354"/>
      <c r="U357" s="1071"/>
      <c r="V357" s="354"/>
      <c r="W357" s="354"/>
      <c r="X357" s="354"/>
      <c r="Y357" s="354"/>
      <c r="Z357" s="354"/>
      <c r="AA357" s="354"/>
      <c r="AB357" s="730"/>
      <c r="AC357" s="354"/>
      <c r="AD357" s="354"/>
      <c r="AE357" s="354"/>
      <c r="AF357" s="730"/>
      <c r="AG357" s="354"/>
      <c r="AH357" s="354"/>
      <c r="AI357" s="355">
        <f t="shared" si="31"/>
        <v>0</v>
      </c>
      <c r="AJ357" s="356"/>
      <c r="AK357" s="357">
        <f>AI357</f>
        <v>0</v>
      </c>
      <c r="AL357" s="358"/>
      <c r="AM357" s="358"/>
      <c r="AN357" s="358"/>
      <c r="AO357" s="359"/>
      <c r="AP357" s="358"/>
      <c r="AQ357" s="611"/>
    </row>
    <row r="358" spans="1:43" s="216" customFormat="1" ht="15.75" customHeight="1" thickTop="1">
      <c r="A358" s="293">
        <v>28</v>
      </c>
      <c r="B358" s="219" t="s">
        <v>444</v>
      </c>
      <c r="C358" s="617"/>
      <c r="D358" s="731"/>
      <c r="E358" s="308">
        <v>1</v>
      </c>
      <c r="F358" s="308">
        <v>1</v>
      </c>
      <c r="G358" s="731"/>
      <c r="H358" s="308">
        <v>1</v>
      </c>
      <c r="I358" s="308">
        <v>1</v>
      </c>
      <c r="J358" s="308"/>
      <c r="K358" s="308">
        <v>1</v>
      </c>
      <c r="L358" s="308"/>
      <c r="M358" s="308">
        <v>1</v>
      </c>
      <c r="N358" s="731"/>
      <c r="O358" s="731"/>
      <c r="P358" s="308"/>
      <c r="Q358" s="308"/>
      <c r="R358" s="308">
        <v>1</v>
      </c>
      <c r="S358" s="308">
        <v>1</v>
      </c>
      <c r="T358" s="308">
        <v>1</v>
      </c>
      <c r="U358" s="731"/>
      <c r="V358" s="308"/>
      <c r="W358" s="308"/>
      <c r="X358" s="308"/>
      <c r="Y358" s="308"/>
      <c r="Z358" s="308"/>
      <c r="AA358" s="308"/>
      <c r="AB358" s="731"/>
      <c r="AC358" s="308"/>
      <c r="AD358" s="308"/>
      <c r="AE358" s="308"/>
      <c r="AF358" s="731"/>
      <c r="AG358" s="308"/>
      <c r="AH358" s="308"/>
      <c r="AI358" s="309">
        <f t="shared" si="31"/>
        <v>9</v>
      </c>
      <c r="AJ358" s="310"/>
      <c r="AK358" s="224"/>
      <c r="AL358" s="311"/>
      <c r="AN358" s="312"/>
      <c r="AO358" s="313"/>
      <c r="AP358" s="314"/>
      <c r="AQ358" s="608"/>
    </row>
    <row r="359" spans="1:43" s="322" customFormat="1" ht="35.25" customHeight="1">
      <c r="A359" s="295"/>
      <c r="B359" s="297" t="s">
        <v>188</v>
      </c>
      <c r="C359" s="619"/>
      <c r="D359" s="726"/>
      <c r="E359" s="318" t="s">
        <v>836</v>
      </c>
      <c r="F359" s="318" t="s">
        <v>836</v>
      </c>
      <c r="G359" s="726"/>
      <c r="H359" s="318" t="s">
        <v>801</v>
      </c>
      <c r="I359" s="318" t="s">
        <v>810</v>
      </c>
      <c r="J359" s="318"/>
      <c r="K359" s="318" t="s">
        <v>804</v>
      </c>
      <c r="L359" s="318"/>
      <c r="M359" s="318" t="s">
        <v>799</v>
      </c>
      <c r="N359" s="726"/>
      <c r="O359" s="726"/>
      <c r="P359" s="318"/>
      <c r="Q359" s="319"/>
      <c r="R359" s="318" t="s">
        <v>840</v>
      </c>
      <c r="S359" s="318" t="s">
        <v>831</v>
      </c>
      <c r="T359" s="318" t="s">
        <v>836</v>
      </c>
      <c r="U359" s="726"/>
      <c r="V359" s="318"/>
      <c r="W359" s="509"/>
      <c r="X359" s="318"/>
      <c r="Y359" s="318"/>
      <c r="Z359" s="320"/>
      <c r="AA359" s="318"/>
      <c r="AB359" s="726"/>
      <c r="AC359" s="318"/>
      <c r="AD359" s="318"/>
      <c r="AE359" s="318"/>
      <c r="AF359" s="726"/>
      <c r="AG359" s="318"/>
      <c r="AH359" s="318"/>
      <c r="AI359" s="321"/>
      <c r="AJ359" s="317"/>
      <c r="AK359" s="221"/>
      <c r="AO359" s="323"/>
      <c r="AQ359" s="609"/>
    </row>
    <row r="360" spans="1:43" s="322" customFormat="1" ht="15.75" customHeight="1">
      <c r="A360" s="295"/>
      <c r="B360" s="297" t="s">
        <v>281</v>
      </c>
      <c r="C360" s="619"/>
      <c r="D360" s="727"/>
      <c r="E360" s="324">
        <v>2</v>
      </c>
      <c r="F360" s="324">
        <v>2</v>
      </c>
      <c r="G360" s="727"/>
      <c r="H360" s="324" t="s">
        <v>837</v>
      </c>
      <c r="I360" s="324" t="s">
        <v>838</v>
      </c>
      <c r="J360" s="324"/>
      <c r="K360" s="324" t="s">
        <v>839</v>
      </c>
      <c r="L360" s="324"/>
      <c r="M360" s="324">
        <v>24</v>
      </c>
      <c r="N360" s="727"/>
      <c r="O360" s="727"/>
      <c r="P360" s="324"/>
      <c r="Q360" s="324"/>
      <c r="R360" s="324" t="s">
        <v>841</v>
      </c>
      <c r="S360" s="324" t="s">
        <v>913</v>
      </c>
      <c r="T360" s="324" t="s">
        <v>829</v>
      </c>
      <c r="U360" s="727"/>
      <c r="V360" s="324"/>
      <c r="W360" s="460"/>
      <c r="X360" s="324"/>
      <c r="Y360" s="324"/>
      <c r="Z360" s="324"/>
      <c r="AA360" s="324"/>
      <c r="AB360" s="727"/>
      <c r="AC360" s="324"/>
      <c r="AD360" s="324"/>
      <c r="AE360" s="324"/>
      <c r="AF360" s="727"/>
      <c r="AG360" s="324"/>
      <c r="AH360" s="324"/>
      <c r="AI360" s="321"/>
      <c r="AJ360" s="317"/>
      <c r="AK360" s="221"/>
      <c r="AO360" s="323"/>
      <c r="AQ360" s="609"/>
    </row>
    <row r="361" spans="1:43" s="322" customFormat="1" ht="15.75" customHeight="1">
      <c r="A361" s="295"/>
      <c r="B361" s="220" t="s">
        <v>260</v>
      </c>
      <c r="C361" s="618"/>
      <c r="D361" s="728"/>
      <c r="E361" s="325">
        <v>154</v>
      </c>
      <c r="F361" s="325">
        <v>154</v>
      </c>
      <c r="G361" s="728"/>
      <c r="H361" s="325">
        <v>103</v>
      </c>
      <c r="I361" s="325">
        <v>103</v>
      </c>
      <c r="J361" s="325"/>
      <c r="K361" s="325">
        <v>114</v>
      </c>
      <c r="L361" s="325"/>
      <c r="M361" s="325">
        <v>90</v>
      </c>
      <c r="N361" s="728"/>
      <c r="O361" s="728"/>
      <c r="P361" s="325"/>
      <c r="Q361" s="325"/>
      <c r="R361" s="325">
        <v>103</v>
      </c>
      <c r="S361" s="325">
        <v>103</v>
      </c>
      <c r="T361" s="325">
        <v>154</v>
      </c>
      <c r="U361" s="728"/>
      <c r="V361" s="325"/>
      <c r="W361" s="325"/>
      <c r="X361" s="325"/>
      <c r="Y361" s="325"/>
      <c r="Z361" s="325"/>
      <c r="AA361" s="325"/>
      <c r="AB361" s="728"/>
      <c r="AC361" s="325"/>
      <c r="AD361" s="325"/>
      <c r="AE361" s="325"/>
      <c r="AF361" s="728"/>
      <c r="AG361" s="325"/>
      <c r="AH361" s="325"/>
      <c r="AI361" s="321">
        <f t="shared" ref="AI361:AI370" si="32">SUM(D361:AH361)</f>
        <v>1078</v>
      </c>
      <c r="AJ361" s="294"/>
      <c r="AK361" s="221"/>
      <c r="AO361" s="323"/>
      <c r="AQ361" s="609"/>
    </row>
    <row r="362" spans="1:43" s="330" customFormat="1" ht="15.75" customHeight="1">
      <c r="A362" s="295"/>
      <c r="B362" s="298" t="s">
        <v>56</v>
      </c>
      <c r="C362" s="620"/>
      <c r="D362" s="729"/>
      <c r="E362" s="327">
        <v>180</v>
      </c>
      <c r="F362" s="327">
        <v>180</v>
      </c>
      <c r="G362" s="729"/>
      <c r="H362" s="327">
        <v>92</v>
      </c>
      <c r="I362" s="327">
        <v>109</v>
      </c>
      <c r="J362" s="327"/>
      <c r="K362" s="327">
        <v>127</v>
      </c>
      <c r="L362" s="327"/>
      <c r="M362" s="327">
        <v>21</v>
      </c>
      <c r="N362" s="729"/>
      <c r="O362" s="729"/>
      <c r="P362" s="327"/>
      <c r="Q362" s="327"/>
      <c r="R362" s="327">
        <v>59</v>
      </c>
      <c r="S362" s="327">
        <f>94+3</f>
        <v>97</v>
      </c>
      <c r="T362" s="327">
        <v>39</v>
      </c>
      <c r="U362" s="729"/>
      <c r="V362" s="327"/>
      <c r="W362" s="327"/>
      <c r="X362" s="327"/>
      <c r="Y362" s="327"/>
      <c r="Z362" s="327"/>
      <c r="AA362" s="327"/>
      <c r="AB362" s="729"/>
      <c r="AC362" s="327"/>
      <c r="AD362" s="327"/>
      <c r="AE362" s="327"/>
      <c r="AF362" s="729"/>
      <c r="AG362" s="327"/>
      <c r="AH362" s="327"/>
      <c r="AI362" s="328">
        <f t="shared" si="32"/>
        <v>904</v>
      </c>
      <c r="AJ362" s="296"/>
      <c r="AK362" s="222"/>
      <c r="AL362" s="329"/>
      <c r="AO362" s="331"/>
      <c r="AQ362" s="610"/>
    </row>
    <row r="363" spans="1:43" s="322" customFormat="1" ht="15.75" customHeight="1">
      <c r="A363" s="295"/>
      <c r="B363" s="220" t="s">
        <v>642</v>
      </c>
      <c r="C363" s="618"/>
      <c r="D363" s="728"/>
      <c r="E363" s="325"/>
      <c r="F363" s="325"/>
      <c r="G363" s="728"/>
      <c r="H363" s="325"/>
      <c r="I363" s="325"/>
      <c r="J363" s="325"/>
      <c r="K363" s="325"/>
      <c r="L363" s="325"/>
      <c r="M363" s="325"/>
      <c r="N363" s="728"/>
      <c r="O363" s="728"/>
      <c r="P363" s="325"/>
      <c r="Q363" s="325"/>
      <c r="R363" s="325"/>
      <c r="S363" s="325"/>
      <c r="T363" s="325"/>
      <c r="U363" s="728"/>
      <c r="V363" s="325"/>
      <c r="W363" s="325"/>
      <c r="X363" s="325"/>
      <c r="Y363" s="325"/>
      <c r="Z363" s="325"/>
      <c r="AA363" s="325"/>
      <c r="AB363" s="728"/>
      <c r="AC363" s="325"/>
      <c r="AD363" s="325"/>
      <c r="AE363" s="325"/>
      <c r="AF363" s="728"/>
      <c r="AG363" s="325"/>
      <c r="AH363" s="325"/>
      <c r="AI363" s="321">
        <f t="shared" si="32"/>
        <v>0</v>
      </c>
      <c r="AJ363" s="317">
        <v>1409</v>
      </c>
      <c r="AK363" s="221">
        <f>AI363*AJ363</f>
        <v>0</v>
      </c>
      <c r="AO363" s="323"/>
      <c r="AQ363" s="609"/>
    </row>
    <row r="364" spans="1:43" s="322" customFormat="1" ht="15.75" customHeight="1">
      <c r="A364" s="295"/>
      <c r="B364" s="220" t="s">
        <v>721</v>
      </c>
      <c r="C364" s="618"/>
      <c r="D364" s="728"/>
      <c r="E364" s="325"/>
      <c r="F364" s="325"/>
      <c r="G364" s="728"/>
      <c r="H364" s="325"/>
      <c r="I364" s="325">
        <f>I362-I361</f>
        <v>6</v>
      </c>
      <c r="J364" s="325"/>
      <c r="K364" s="325"/>
      <c r="L364" s="325"/>
      <c r="M364" s="325"/>
      <c r="N364" s="728"/>
      <c r="O364" s="727"/>
      <c r="P364" s="324"/>
      <c r="Q364" s="325"/>
      <c r="R364" s="325"/>
      <c r="S364" s="325"/>
      <c r="T364" s="325"/>
      <c r="U364" s="728"/>
      <c r="V364" s="325"/>
      <c r="W364" s="325"/>
      <c r="X364" s="325"/>
      <c r="Y364" s="325"/>
      <c r="Z364" s="325"/>
      <c r="AA364" s="325"/>
      <c r="AB364" s="728"/>
      <c r="AC364" s="325"/>
      <c r="AD364" s="325"/>
      <c r="AE364" s="325"/>
      <c r="AF364" s="728"/>
      <c r="AG364" s="325"/>
      <c r="AH364" s="325"/>
      <c r="AI364" s="321">
        <f t="shared" si="32"/>
        <v>6</v>
      </c>
      <c r="AJ364" s="317">
        <v>1322</v>
      </c>
      <c r="AK364" s="221">
        <f>AI364*AJ364</f>
        <v>7932</v>
      </c>
      <c r="AO364" s="323"/>
      <c r="AQ364" s="609"/>
    </row>
    <row r="365" spans="1:43" s="322" customFormat="1" ht="15.75" customHeight="1">
      <c r="A365" s="295"/>
      <c r="B365" s="220" t="s">
        <v>366</v>
      </c>
      <c r="C365" s="618"/>
      <c r="D365" s="728"/>
      <c r="E365" s="325"/>
      <c r="F365" s="325"/>
      <c r="G365" s="728"/>
      <c r="H365" s="325"/>
      <c r="I365" s="325"/>
      <c r="J365" s="325"/>
      <c r="K365" s="325">
        <f>K362-K361</f>
        <v>13</v>
      </c>
      <c r="L365" s="325"/>
      <c r="M365" s="325"/>
      <c r="N365" s="728"/>
      <c r="O365" s="728"/>
      <c r="P365" s="325"/>
      <c r="Q365" s="325"/>
      <c r="R365" s="325"/>
      <c r="S365" s="325"/>
      <c r="T365" s="325"/>
      <c r="U365" s="728"/>
      <c r="V365" s="325"/>
      <c r="W365" s="325"/>
      <c r="X365" s="325"/>
      <c r="Y365" s="325"/>
      <c r="Z365" s="325"/>
      <c r="AA365" s="325"/>
      <c r="AB365" s="728"/>
      <c r="AC365" s="325"/>
      <c r="AD365" s="325"/>
      <c r="AE365" s="325"/>
      <c r="AF365" s="728"/>
      <c r="AG365" s="325"/>
      <c r="AH365" s="325"/>
      <c r="AI365" s="321">
        <f t="shared" si="32"/>
        <v>13</v>
      </c>
      <c r="AJ365" s="317">
        <v>1233</v>
      </c>
      <c r="AK365" s="221">
        <f>AI365*AJ365</f>
        <v>16029</v>
      </c>
      <c r="AO365" s="323"/>
      <c r="AQ365" s="609"/>
    </row>
    <row r="366" spans="1:43" s="322" customFormat="1" ht="15.75" customHeight="1">
      <c r="A366" s="295"/>
      <c r="B366" s="220" t="s">
        <v>643</v>
      </c>
      <c r="C366" s="618"/>
      <c r="D366" s="728"/>
      <c r="E366" s="325">
        <f>E362-E361</f>
        <v>26</v>
      </c>
      <c r="F366" s="325">
        <f>F362-F361</f>
        <v>26</v>
      </c>
      <c r="G366" s="728"/>
      <c r="H366" s="325"/>
      <c r="I366" s="325"/>
      <c r="J366" s="325"/>
      <c r="K366" s="325"/>
      <c r="L366" s="325"/>
      <c r="M366" s="325"/>
      <c r="N366" s="728"/>
      <c r="O366" s="728"/>
      <c r="P366" s="325"/>
      <c r="Q366" s="325"/>
      <c r="R366" s="325"/>
      <c r="S366" s="325"/>
      <c r="T366" s="325"/>
      <c r="U366" s="728"/>
      <c r="V366" s="325"/>
      <c r="W366" s="325"/>
      <c r="X366" s="325"/>
      <c r="Y366" s="325"/>
      <c r="Z366" s="325"/>
      <c r="AA366" s="325"/>
      <c r="AB366" s="728"/>
      <c r="AC366" s="325"/>
      <c r="AD366" s="325"/>
      <c r="AE366" s="325"/>
      <c r="AF366" s="728"/>
      <c r="AG366" s="325"/>
      <c r="AH366" s="325"/>
      <c r="AI366" s="321">
        <f t="shared" si="32"/>
        <v>52</v>
      </c>
      <c r="AJ366" s="317">
        <v>1043</v>
      </c>
      <c r="AK366" s="221">
        <f>AI366*AJ366</f>
        <v>54236</v>
      </c>
      <c r="AO366" s="323"/>
      <c r="AQ366" s="609"/>
    </row>
    <row r="367" spans="1:43" s="322" customFormat="1" ht="15.75" customHeight="1">
      <c r="A367" s="295"/>
      <c r="B367" s="220" t="s">
        <v>367</v>
      </c>
      <c r="C367" s="618"/>
      <c r="D367" s="728"/>
      <c r="E367" s="325"/>
      <c r="F367" s="325"/>
      <c r="G367" s="728"/>
      <c r="H367" s="325"/>
      <c r="I367" s="325"/>
      <c r="J367" s="325"/>
      <c r="K367" s="325"/>
      <c r="L367" s="325"/>
      <c r="M367" s="325"/>
      <c r="N367" s="728"/>
      <c r="O367" s="728"/>
      <c r="P367" s="325"/>
      <c r="Q367" s="325"/>
      <c r="R367" s="325"/>
      <c r="S367" s="325"/>
      <c r="T367" s="325"/>
      <c r="U367" s="728"/>
      <c r="V367" s="325"/>
      <c r="W367" s="325"/>
      <c r="X367" s="325"/>
      <c r="Y367" s="325"/>
      <c r="Z367" s="325"/>
      <c r="AA367" s="325"/>
      <c r="AB367" s="728"/>
      <c r="AC367" s="325"/>
      <c r="AD367" s="325"/>
      <c r="AE367" s="325"/>
      <c r="AF367" s="728"/>
      <c r="AG367" s="325"/>
      <c r="AH367" s="325"/>
      <c r="AI367" s="321">
        <f t="shared" si="32"/>
        <v>0</v>
      </c>
      <c r="AJ367" s="317"/>
      <c r="AK367" s="221">
        <f>AI367*AJ367</f>
        <v>0</v>
      </c>
      <c r="AL367" s="326"/>
      <c r="AM367" s="326"/>
      <c r="AN367" s="326"/>
      <c r="AO367" s="323"/>
      <c r="AP367" s="326"/>
      <c r="AQ367" s="609"/>
    </row>
    <row r="368" spans="1:43" s="330" customFormat="1" ht="15.75" customHeight="1">
      <c r="A368" s="295"/>
      <c r="B368" s="298" t="s">
        <v>259</v>
      </c>
      <c r="C368" s="620"/>
      <c r="D368" s="729"/>
      <c r="E368" s="327"/>
      <c r="F368" s="327"/>
      <c r="G368" s="729"/>
      <c r="H368" s="327"/>
      <c r="I368" s="327"/>
      <c r="J368" s="327"/>
      <c r="K368" s="327"/>
      <c r="L368" s="327"/>
      <c r="M368" s="327"/>
      <c r="N368" s="729"/>
      <c r="O368" s="729"/>
      <c r="P368" s="327"/>
      <c r="Q368" s="327"/>
      <c r="R368" s="327"/>
      <c r="S368" s="327"/>
      <c r="T368" s="327"/>
      <c r="U368" s="729"/>
      <c r="V368" s="327"/>
      <c r="W368" s="327"/>
      <c r="X368" s="332"/>
      <c r="Y368" s="327"/>
      <c r="Z368" s="327"/>
      <c r="AA368" s="327"/>
      <c r="AB368" s="729"/>
      <c r="AC368" s="327"/>
      <c r="AD368" s="327"/>
      <c r="AE368" s="327"/>
      <c r="AF368" s="729"/>
      <c r="AG368" s="327"/>
      <c r="AH368" s="327"/>
      <c r="AI368" s="328">
        <f t="shared" si="32"/>
        <v>0</v>
      </c>
      <c r="AJ368" s="333"/>
      <c r="AK368" s="222">
        <f>SUM(AK363:AK367)</f>
        <v>78197</v>
      </c>
      <c r="AL368" s="334"/>
      <c r="AM368" s="334"/>
      <c r="AN368" s="334"/>
      <c r="AO368" s="331"/>
      <c r="AP368" s="334"/>
      <c r="AQ368" s="610"/>
    </row>
    <row r="369" spans="1:43" s="322" customFormat="1" ht="15.75" customHeight="1">
      <c r="A369" s="295"/>
      <c r="B369" s="220" t="s">
        <v>57</v>
      </c>
      <c r="C369" s="618"/>
      <c r="D369" s="728"/>
      <c r="E369" s="325">
        <v>10</v>
      </c>
      <c r="F369" s="325">
        <v>7</v>
      </c>
      <c r="G369" s="728"/>
      <c r="H369" s="325">
        <v>11</v>
      </c>
      <c r="I369" s="325">
        <v>8</v>
      </c>
      <c r="J369" s="325"/>
      <c r="K369" s="325">
        <v>6</v>
      </c>
      <c r="L369" s="325"/>
      <c r="M369" s="325">
        <v>4</v>
      </c>
      <c r="N369" s="728"/>
      <c r="O369" s="728"/>
      <c r="P369" s="325"/>
      <c r="Q369" s="325"/>
      <c r="R369" s="325">
        <v>4</v>
      </c>
      <c r="S369" s="325">
        <v>8</v>
      </c>
      <c r="T369" s="325">
        <v>2</v>
      </c>
      <c r="U369" s="728"/>
      <c r="V369" s="325"/>
      <c r="W369" s="325"/>
      <c r="X369" s="325"/>
      <c r="Y369" s="325"/>
      <c r="Z369" s="325"/>
      <c r="AA369" s="325"/>
      <c r="AB369" s="728"/>
      <c r="AC369" s="325"/>
      <c r="AD369" s="325"/>
      <c r="AE369" s="325"/>
      <c r="AF369" s="728"/>
      <c r="AG369" s="325"/>
      <c r="AH369" s="325"/>
      <c r="AI369" s="321">
        <f t="shared" si="32"/>
        <v>60</v>
      </c>
      <c r="AJ369" s="317">
        <v>1750</v>
      </c>
      <c r="AK369" s="221">
        <f>AI369*AJ369</f>
        <v>105000</v>
      </c>
      <c r="AL369" s="326"/>
      <c r="AM369" s="326"/>
      <c r="AN369" s="326"/>
      <c r="AO369" s="323"/>
      <c r="AP369" s="326"/>
      <c r="AQ369" s="609"/>
    </row>
    <row r="370" spans="1:43" s="360" customFormat="1" ht="15.75" customHeight="1" thickBot="1">
      <c r="A370" s="352"/>
      <c r="B370" s="353" t="s">
        <v>44</v>
      </c>
      <c r="C370" s="621"/>
      <c r="D370" s="730"/>
      <c r="E370" s="354"/>
      <c r="F370" s="354"/>
      <c r="G370" s="730"/>
      <c r="H370" s="354"/>
      <c r="I370" s="354"/>
      <c r="J370" s="354"/>
      <c r="K370" s="354"/>
      <c r="L370" s="354"/>
      <c r="M370" s="354"/>
      <c r="N370" s="730"/>
      <c r="O370" s="730"/>
      <c r="P370" s="354"/>
      <c r="Q370" s="354"/>
      <c r="R370" s="354"/>
      <c r="S370" s="354"/>
      <c r="T370" s="354"/>
      <c r="U370" s="1071"/>
      <c r="V370" s="354"/>
      <c r="W370" s="354"/>
      <c r="X370" s="354"/>
      <c r="Y370" s="354"/>
      <c r="Z370" s="354"/>
      <c r="AA370" s="354"/>
      <c r="AB370" s="730"/>
      <c r="AC370" s="354"/>
      <c r="AD370" s="354"/>
      <c r="AE370" s="354"/>
      <c r="AF370" s="730"/>
      <c r="AG370" s="354"/>
      <c r="AH370" s="354"/>
      <c r="AI370" s="355">
        <f t="shared" si="32"/>
        <v>0</v>
      </c>
      <c r="AJ370" s="356"/>
      <c r="AK370" s="357">
        <f>AI370</f>
        <v>0</v>
      </c>
      <c r="AL370" s="358"/>
      <c r="AM370" s="358"/>
      <c r="AN370" s="358"/>
      <c r="AO370" s="359"/>
      <c r="AP370" s="358"/>
      <c r="AQ370" s="611"/>
    </row>
    <row r="371" spans="1:43" s="216" customFormat="1" ht="15.75" customHeight="1" thickTop="1">
      <c r="A371" s="293">
        <v>29</v>
      </c>
      <c r="B371" s="268" t="s">
        <v>468</v>
      </c>
      <c r="C371" s="617"/>
      <c r="D371" s="731"/>
      <c r="E371" s="308"/>
      <c r="F371" s="308"/>
      <c r="G371" s="731"/>
      <c r="H371" s="308"/>
      <c r="I371" s="308"/>
      <c r="J371" s="308"/>
      <c r="K371" s="308"/>
      <c r="L371" s="308"/>
      <c r="M371" s="308"/>
      <c r="N371" s="731"/>
      <c r="O371" s="731"/>
      <c r="P371" s="308"/>
      <c r="Q371" s="308"/>
      <c r="R371" s="308"/>
      <c r="S371" s="308"/>
      <c r="T371" s="308"/>
      <c r="U371" s="731"/>
      <c r="V371" s="308">
        <v>1</v>
      </c>
      <c r="W371" s="308"/>
      <c r="X371" s="308"/>
      <c r="Y371" s="308"/>
      <c r="Z371" s="308"/>
      <c r="AA371" s="308"/>
      <c r="AB371" s="731"/>
      <c r="AC371" s="308"/>
      <c r="AD371" s="308"/>
      <c r="AE371" s="308"/>
      <c r="AF371" s="731"/>
      <c r="AG371" s="308"/>
      <c r="AH371" s="308"/>
      <c r="AI371" s="309">
        <f t="shared" ref="AI371" si="33">SUM(D371:AH371)</f>
        <v>1</v>
      </c>
      <c r="AJ371" s="310"/>
      <c r="AK371" s="224"/>
      <c r="AL371" s="311"/>
      <c r="AN371" s="312"/>
      <c r="AO371" s="313"/>
      <c r="AP371" s="314"/>
      <c r="AQ371" s="608"/>
    </row>
    <row r="372" spans="1:43" s="322" customFormat="1" ht="45" customHeight="1">
      <c r="A372" s="295"/>
      <c r="B372" s="297" t="s">
        <v>188</v>
      </c>
      <c r="C372" s="619"/>
      <c r="D372" s="726"/>
      <c r="E372" s="318"/>
      <c r="F372" s="318"/>
      <c r="G372" s="726"/>
      <c r="H372" s="318"/>
      <c r="I372" s="318"/>
      <c r="J372" s="318"/>
      <c r="K372" s="318"/>
      <c r="L372" s="318"/>
      <c r="M372" s="318"/>
      <c r="N372" s="726"/>
      <c r="O372" s="726"/>
      <c r="P372" s="318"/>
      <c r="Q372" s="319"/>
      <c r="R372" s="318"/>
      <c r="S372" s="319"/>
      <c r="T372" s="318"/>
      <c r="U372" s="726"/>
      <c r="V372" s="318" t="s">
        <v>836</v>
      </c>
      <c r="W372" s="509"/>
      <c r="X372" s="318"/>
      <c r="Y372" s="318"/>
      <c r="Z372" s="320"/>
      <c r="AA372" s="320"/>
      <c r="AB372" s="726"/>
      <c r="AC372" s="318"/>
      <c r="AD372" s="318"/>
      <c r="AE372" s="318"/>
      <c r="AF372" s="726"/>
      <c r="AG372" s="318"/>
      <c r="AH372" s="318"/>
      <c r="AI372" s="321"/>
      <c r="AJ372" s="317"/>
      <c r="AK372" s="221"/>
      <c r="AO372" s="323"/>
      <c r="AQ372" s="609"/>
    </row>
    <row r="373" spans="1:43" s="322" customFormat="1" ht="15.75" customHeight="1">
      <c r="A373" s="295"/>
      <c r="B373" s="297" t="s">
        <v>281</v>
      </c>
      <c r="C373" s="619"/>
      <c r="D373" s="727"/>
      <c r="E373" s="324"/>
      <c r="F373" s="324"/>
      <c r="G373" s="727"/>
      <c r="H373" s="324"/>
      <c r="I373" s="324"/>
      <c r="J373" s="324"/>
      <c r="K373" s="324"/>
      <c r="L373" s="324"/>
      <c r="M373" s="324"/>
      <c r="N373" s="727"/>
      <c r="O373" s="727"/>
      <c r="P373" s="324"/>
      <c r="Q373" s="324"/>
      <c r="R373" s="324"/>
      <c r="S373" s="324"/>
      <c r="T373" s="324"/>
      <c r="U373" s="727"/>
      <c r="V373" s="324">
        <v>2</v>
      </c>
      <c r="W373" s="460"/>
      <c r="X373" s="324"/>
      <c r="Y373" s="324"/>
      <c r="Z373" s="324"/>
      <c r="AA373" s="324"/>
      <c r="AB373" s="727"/>
      <c r="AC373" s="324"/>
      <c r="AD373" s="324"/>
      <c r="AE373" s="324"/>
      <c r="AF373" s="727"/>
      <c r="AG373" s="324"/>
      <c r="AH373" s="324"/>
      <c r="AI373" s="321"/>
      <c r="AJ373" s="317"/>
      <c r="AK373" s="221"/>
      <c r="AO373" s="323"/>
      <c r="AQ373" s="609"/>
    </row>
    <row r="374" spans="1:43" s="322" customFormat="1" ht="15.75" customHeight="1">
      <c r="A374" s="295"/>
      <c r="B374" s="220" t="s">
        <v>260</v>
      </c>
      <c r="C374" s="618"/>
      <c r="D374" s="728"/>
      <c r="E374" s="325"/>
      <c r="F374" s="325"/>
      <c r="G374" s="728"/>
      <c r="H374" s="325"/>
      <c r="I374" s="325"/>
      <c r="J374" s="325"/>
      <c r="K374" s="325"/>
      <c r="L374" s="325"/>
      <c r="M374" s="325"/>
      <c r="N374" s="728"/>
      <c r="O374" s="728"/>
      <c r="P374" s="325"/>
      <c r="Q374" s="325"/>
      <c r="R374" s="325"/>
      <c r="S374" s="325"/>
      <c r="T374" s="325"/>
      <c r="U374" s="728"/>
      <c r="V374" s="325">
        <v>154</v>
      </c>
      <c r="W374" s="325"/>
      <c r="X374" s="325"/>
      <c r="Y374" s="325"/>
      <c r="Z374" s="325"/>
      <c r="AA374" s="325"/>
      <c r="AB374" s="727"/>
      <c r="AC374" s="325"/>
      <c r="AD374" s="325"/>
      <c r="AE374" s="325"/>
      <c r="AF374" s="728"/>
      <c r="AG374" s="325"/>
      <c r="AH374" s="325"/>
      <c r="AI374" s="321">
        <f t="shared" ref="AI374:AI383" si="34">SUM(D374:AH374)</f>
        <v>154</v>
      </c>
      <c r="AJ374" s="294"/>
      <c r="AK374" s="221"/>
      <c r="AO374" s="323"/>
      <c r="AQ374" s="609"/>
    </row>
    <row r="375" spans="1:43" s="330" customFormat="1" ht="15.75" customHeight="1">
      <c r="A375" s="651"/>
      <c r="B375" s="298" t="s">
        <v>56</v>
      </c>
      <c r="C375" s="620"/>
      <c r="D375" s="729"/>
      <c r="E375" s="327"/>
      <c r="F375" s="327"/>
      <c r="G375" s="729"/>
      <c r="H375" s="327"/>
      <c r="I375" s="327"/>
      <c r="J375" s="327"/>
      <c r="K375" s="327"/>
      <c r="L375" s="327"/>
      <c r="M375" s="327"/>
      <c r="N375" s="729"/>
      <c r="O375" s="729"/>
      <c r="P375" s="327"/>
      <c r="Q375" s="327"/>
      <c r="R375" s="327"/>
      <c r="S375" s="327"/>
      <c r="T375" s="327"/>
      <c r="U375" s="729"/>
      <c r="V375" s="327">
        <v>31</v>
      </c>
      <c r="W375" s="327"/>
      <c r="X375" s="327"/>
      <c r="Y375" s="327"/>
      <c r="Z375" s="327"/>
      <c r="AA375" s="327"/>
      <c r="AB375" s="729"/>
      <c r="AC375" s="327"/>
      <c r="AD375" s="327"/>
      <c r="AE375" s="327"/>
      <c r="AF375" s="729"/>
      <c r="AG375" s="327"/>
      <c r="AH375" s="327"/>
      <c r="AI375" s="328">
        <f t="shared" si="34"/>
        <v>31</v>
      </c>
      <c r="AJ375" s="296"/>
      <c r="AK375" s="222"/>
      <c r="AL375" s="329"/>
      <c r="AO375" s="331"/>
      <c r="AQ375" s="610"/>
    </row>
    <row r="376" spans="1:43" s="322" customFormat="1" ht="15.75" customHeight="1">
      <c r="A376" s="295"/>
      <c r="B376" s="220" t="s">
        <v>642</v>
      </c>
      <c r="C376" s="618"/>
      <c r="D376" s="728"/>
      <c r="E376" s="325"/>
      <c r="F376" s="325"/>
      <c r="G376" s="728"/>
      <c r="H376" s="325"/>
      <c r="I376" s="325"/>
      <c r="J376" s="325"/>
      <c r="K376" s="325"/>
      <c r="L376" s="325"/>
      <c r="M376" s="325"/>
      <c r="N376" s="728"/>
      <c r="O376" s="728"/>
      <c r="P376" s="325"/>
      <c r="Q376" s="325"/>
      <c r="R376" s="325"/>
      <c r="S376" s="325"/>
      <c r="T376" s="325"/>
      <c r="U376" s="728"/>
      <c r="V376" s="325"/>
      <c r="W376" s="325"/>
      <c r="X376" s="325"/>
      <c r="Y376" s="325"/>
      <c r="Z376" s="325"/>
      <c r="AA376" s="325"/>
      <c r="AB376" s="728"/>
      <c r="AC376" s="325"/>
      <c r="AD376" s="325"/>
      <c r="AE376" s="325"/>
      <c r="AF376" s="728"/>
      <c r="AG376" s="325"/>
      <c r="AH376" s="325"/>
      <c r="AI376" s="321">
        <f t="shared" si="34"/>
        <v>0</v>
      </c>
      <c r="AJ376" s="317">
        <v>1409</v>
      </c>
      <c r="AK376" s="221">
        <f>AI376*AJ376</f>
        <v>0</v>
      </c>
      <c r="AO376" s="323"/>
      <c r="AQ376" s="609"/>
    </row>
    <row r="377" spans="1:43" s="322" customFormat="1" ht="15.75" customHeight="1">
      <c r="A377" s="295"/>
      <c r="B377" s="220" t="s">
        <v>721</v>
      </c>
      <c r="C377" s="618"/>
      <c r="D377" s="728"/>
      <c r="E377" s="325"/>
      <c r="F377" s="325"/>
      <c r="G377" s="728"/>
      <c r="H377" s="325"/>
      <c r="I377" s="325"/>
      <c r="J377" s="325"/>
      <c r="K377" s="325"/>
      <c r="L377" s="325"/>
      <c r="M377" s="325"/>
      <c r="N377" s="728"/>
      <c r="O377" s="727"/>
      <c r="P377" s="324"/>
      <c r="Q377" s="325"/>
      <c r="R377" s="325"/>
      <c r="S377" s="325"/>
      <c r="T377" s="325"/>
      <c r="U377" s="728"/>
      <c r="V377" s="325"/>
      <c r="W377" s="325"/>
      <c r="X377" s="325"/>
      <c r="Y377" s="325"/>
      <c r="Z377" s="325"/>
      <c r="AA377" s="325"/>
      <c r="AB377" s="728"/>
      <c r="AC377" s="325"/>
      <c r="AD377" s="325"/>
      <c r="AE377" s="325"/>
      <c r="AF377" s="728"/>
      <c r="AG377" s="325"/>
      <c r="AH377" s="325"/>
      <c r="AI377" s="321">
        <f t="shared" si="34"/>
        <v>0</v>
      </c>
      <c r="AJ377" s="317">
        <v>1322</v>
      </c>
      <c r="AK377" s="221">
        <f>AI377*AJ377</f>
        <v>0</v>
      </c>
      <c r="AO377" s="323"/>
      <c r="AQ377" s="609"/>
    </row>
    <row r="378" spans="1:43" s="322" customFormat="1" ht="15.75" customHeight="1">
      <c r="A378" s="295"/>
      <c r="B378" s="220" t="s">
        <v>366</v>
      </c>
      <c r="C378" s="618"/>
      <c r="D378" s="728"/>
      <c r="E378" s="325"/>
      <c r="F378" s="325"/>
      <c r="G378" s="728"/>
      <c r="H378" s="325"/>
      <c r="I378" s="325"/>
      <c r="J378" s="325"/>
      <c r="K378" s="325"/>
      <c r="L378" s="325"/>
      <c r="M378" s="325"/>
      <c r="N378" s="728"/>
      <c r="O378" s="728"/>
      <c r="P378" s="325"/>
      <c r="Q378" s="325"/>
      <c r="R378" s="325"/>
      <c r="S378" s="325"/>
      <c r="T378" s="325"/>
      <c r="U378" s="728"/>
      <c r="V378" s="325"/>
      <c r="W378" s="325"/>
      <c r="X378" s="325"/>
      <c r="Y378" s="325"/>
      <c r="Z378" s="325"/>
      <c r="AA378" s="325"/>
      <c r="AB378" s="728"/>
      <c r="AC378" s="325"/>
      <c r="AD378" s="325"/>
      <c r="AE378" s="325"/>
      <c r="AF378" s="728"/>
      <c r="AG378" s="325"/>
      <c r="AH378" s="325"/>
      <c r="AI378" s="321">
        <f t="shared" si="34"/>
        <v>0</v>
      </c>
      <c r="AJ378" s="317">
        <v>1233</v>
      </c>
      <c r="AK378" s="221">
        <f>AI378*AJ378</f>
        <v>0</v>
      </c>
      <c r="AO378" s="323"/>
      <c r="AQ378" s="609"/>
    </row>
    <row r="379" spans="1:43" s="322" customFormat="1" ht="15.75" customHeight="1">
      <c r="A379" s="295"/>
      <c r="B379" s="220" t="s">
        <v>643</v>
      </c>
      <c r="C379" s="618"/>
      <c r="D379" s="728"/>
      <c r="E379" s="325"/>
      <c r="F379" s="325"/>
      <c r="G379" s="728"/>
      <c r="H379" s="325"/>
      <c r="I379" s="325"/>
      <c r="J379" s="325"/>
      <c r="K379" s="325"/>
      <c r="L379" s="325"/>
      <c r="M379" s="325"/>
      <c r="N379" s="728"/>
      <c r="O379" s="728"/>
      <c r="P379" s="325"/>
      <c r="Q379" s="325"/>
      <c r="R379" s="325"/>
      <c r="S379" s="325"/>
      <c r="T379" s="325"/>
      <c r="U379" s="728"/>
      <c r="V379" s="325"/>
      <c r="W379" s="325"/>
      <c r="X379" s="325"/>
      <c r="Y379" s="325"/>
      <c r="Z379" s="325"/>
      <c r="AA379" s="325"/>
      <c r="AB379" s="728"/>
      <c r="AC379" s="325"/>
      <c r="AD379" s="325"/>
      <c r="AE379" s="325"/>
      <c r="AF379" s="728"/>
      <c r="AG379" s="325"/>
      <c r="AH379" s="325"/>
      <c r="AI379" s="321">
        <f t="shared" si="34"/>
        <v>0</v>
      </c>
      <c r="AJ379" s="317">
        <v>1043</v>
      </c>
      <c r="AK379" s="221">
        <f>AI379*AJ379</f>
        <v>0</v>
      </c>
      <c r="AO379" s="323"/>
      <c r="AQ379" s="609"/>
    </row>
    <row r="380" spans="1:43" s="322" customFormat="1" ht="15.75" customHeight="1">
      <c r="A380" s="295"/>
      <c r="B380" s="220" t="s">
        <v>367</v>
      </c>
      <c r="C380" s="618"/>
      <c r="D380" s="728"/>
      <c r="E380" s="325"/>
      <c r="F380" s="325"/>
      <c r="G380" s="728"/>
      <c r="H380" s="325"/>
      <c r="I380" s="325"/>
      <c r="J380" s="325"/>
      <c r="K380" s="325"/>
      <c r="L380" s="325"/>
      <c r="M380" s="325"/>
      <c r="N380" s="728"/>
      <c r="O380" s="728"/>
      <c r="P380" s="325"/>
      <c r="Q380" s="325"/>
      <c r="R380" s="325"/>
      <c r="S380" s="325"/>
      <c r="T380" s="325"/>
      <c r="U380" s="728"/>
      <c r="V380" s="325"/>
      <c r="W380" s="325"/>
      <c r="X380" s="325"/>
      <c r="Y380" s="325"/>
      <c r="Z380" s="325"/>
      <c r="AA380" s="325"/>
      <c r="AB380" s="728"/>
      <c r="AC380" s="325"/>
      <c r="AD380" s="325"/>
      <c r="AE380" s="325"/>
      <c r="AF380" s="728"/>
      <c r="AG380" s="325"/>
      <c r="AH380" s="325"/>
      <c r="AI380" s="321">
        <f t="shared" si="34"/>
        <v>0</v>
      </c>
      <c r="AJ380" s="317"/>
      <c r="AK380" s="221">
        <f>AI380*AJ380</f>
        <v>0</v>
      </c>
      <c r="AL380" s="326"/>
      <c r="AM380" s="326"/>
      <c r="AN380" s="326"/>
      <c r="AO380" s="323"/>
      <c r="AP380" s="326"/>
      <c r="AQ380" s="609"/>
    </row>
    <row r="381" spans="1:43" s="330" customFormat="1" ht="15.75" customHeight="1">
      <c r="A381" s="295"/>
      <c r="B381" s="298" t="s">
        <v>259</v>
      </c>
      <c r="C381" s="620"/>
      <c r="D381" s="729"/>
      <c r="E381" s="327"/>
      <c r="F381" s="327"/>
      <c r="G381" s="729"/>
      <c r="H381" s="327"/>
      <c r="I381" s="327"/>
      <c r="J381" s="327"/>
      <c r="K381" s="327"/>
      <c r="L381" s="327"/>
      <c r="M381" s="327"/>
      <c r="N381" s="729"/>
      <c r="O381" s="729"/>
      <c r="P381" s="327"/>
      <c r="Q381" s="327"/>
      <c r="R381" s="327"/>
      <c r="S381" s="327"/>
      <c r="T381" s="327"/>
      <c r="U381" s="729"/>
      <c r="V381" s="327"/>
      <c r="W381" s="327"/>
      <c r="X381" s="332"/>
      <c r="Y381" s="327"/>
      <c r="Z381" s="327"/>
      <c r="AA381" s="327"/>
      <c r="AB381" s="729"/>
      <c r="AC381" s="327"/>
      <c r="AD381" s="327"/>
      <c r="AE381" s="327"/>
      <c r="AF381" s="729"/>
      <c r="AG381" s="327"/>
      <c r="AH381" s="327"/>
      <c r="AI381" s="328">
        <f t="shared" si="34"/>
        <v>0</v>
      </c>
      <c r="AJ381" s="333"/>
      <c r="AK381" s="222">
        <f>SUM(AK376:AK380)</f>
        <v>0</v>
      </c>
      <c r="AL381" s="334"/>
      <c r="AM381" s="334"/>
      <c r="AN381" s="334"/>
      <c r="AO381" s="331"/>
      <c r="AP381" s="334"/>
      <c r="AQ381" s="610"/>
    </row>
    <row r="382" spans="1:43" s="322" customFormat="1" ht="15.75" customHeight="1">
      <c r="A382" s="295"/>
      <c r="B382" s="220" t="s">
        <v>57</v>
      </c>
      <c r="C382" s="618"/>
      <c r="D382" s="728"/>
      <c r="E382" s="325"/>
      <c r="F382" s="325"/>
      <c r="G382" s="728"/>
      <c r="H382" s="325"/>
      <c r="I382" s="325"/>
      <c r="J382" s="325"/>
      <c r="K382" s="325"/>
      <c r="L382" s="325"/>
      <c r="M382" s="325"/>
      <c r="N382" s="728"/>
      <c r="O382" s="728"/>
      <c r="P382" s="325"/>
      <c r="Q382" s="325"/>
      <c r="R382" s="325"/>
      <c r="S382" s="325"/>
      <c r="T382" s="325"/>
      <c r="U382" s="728"/>
      <c r="V382" s="325">
        <v>1</v>
      </c>
      <c r="W382" s="325"/>
      <c r="X382" s="325"/>
      <c r="Y382" s="325"/>
      <c r="Z382" s="325"/>
      <c r="AA382" s="325"/>
      <c r="AB382" s="728"/>
      <c r="AC382" s="325"/>
      <c r="AD382" s="325"/>
      <c r="AE382" s="325"/>
      <c r="AF382" s="728"/>
      <c r="AG382" s="325"/>
      <c r="AH382" s="325"/>
      <c r="AI382" s="321">
        <f t="shared" si="34"/>
        <v>1</v>
      </c>
      <c r="AJ382" s="317">
        <v>1750</v>
      </c>
      <c r="AK382" s="221">
        <f>AI382*AJ382</f>
        <v>1750</v>
      </c>
      <c r="AL382" s="326"/>
      <c r="AM382" s="326"/>
      <c r="AN382" s="326"/>
      <c r="AO382" s="323"/>
      <c r="AP382" s="326"/>
      <c r="AQ382" s="609"/>
    </row>
    <row r="383" spans="1:43" s="360" customFormat="1" ht="15.75" customHeight="1" thickBot="1">
      <c r="A383" s="352"/>
      <c r="B383" s="353" t="s">
        <v>44</v>
      </c>
      <c r="C383" s="621"/>
      <c r="D383" s="730"/>
      <c r="E383" s="354"/>
      <c r="F383" s="354"/>
      <c r="G383" s="730"/>
      <c r="H383" s="354"/>
      <c r="I383" s="354"/>
      <c r="J383" s="354"/>
      <c r="K383" s="354"/>
      <c r="L383" s="354"/>
      <c r="M383" s="354"/>
      <c r="N383" s="730"/>
      <c r="O383" s="730"/>
      <c r="P383" s="354"/>
      <c r="Q383" s="354"/>
      <c r="R383" s="354"/>
      <c r="S383" s="354"/>
      <c r="T383" s="354"/>
      <c r="U383" s="1071"/>
      <c r="V383" s="354"/>
      <c r="W383" s="354"/>
      <c r="X383" s="354"/>
      <c r="Y383" s="354"/>
      <c r="Z383" s="354"/>
      <c r="AA383" s="354"/>
      <c r="AB383" s="730"/>
      <c r="AC383" s="354"/>
      <c r="AD383" s="354"/>
      <c r="AE383" s="354"/>
      <c r="AF383" s="730"/>
      <c r="AG383" s="354"/>
      <c r="AH383" s="354"/>
      <c r="AI383" s="355">
        <f t="shared" si="34"/>
        <v>0</v>
      </c>
      <c r="AJ383" s="356"/>
      <c r="AK383" s="357">
        <f>AI383</f>
        <v>0</v>
      </c>
      <c r="AL383" s="358"/>
      <c r="AM383" s="358"/>
      <c r="AN383" s="358"/>
      <c r="AO383" s="359"/>
      <c r="AP383" s="358"/>
      <c r="AQ383" s="611"/>
    </row>
    <row r="384" spans="1:43" s="216" customFormat="1" ht="15.75" customHeight="1" thickTop="1">
      <c r="A384" s="293">
        <v>30</v>
      </c>
      <c r="B384" s="219"/>
      <c r="C384" s="617"/>
      <c r="D384" s="731"/>
      <c r="E384" s="308"/>
      <c r="F384" s="308"/>
      <c r="G384" s="731"/>
      <c r="H384" s="308"/>
      <c r="I384" s="308"/>
      <c r="J384" s="308"/>
      <c r="K384" s="308"/>
      <c r="L384" s="308"/>
      <c r="M384" s="308"/>
      <c r="N384" s="731"/>
      <c r="O384" s="731"/>
      <c r="P384" s="308"/>
      <c r="Q384" s="308"/>
      <c r="R384" s="308"/>
      <c r="S384" s="308"/>
      <c r="T384" s="308"/>
      <c r="U384" s="731"/>
      <c r="V384" s="308"/>
      <c r="W384" s="308"/>
      <c r="X384" s="308"/>
      <c r="Y384" s="308"/>
      <c r="Z384" s="308"/>
      <c r="AA384" s="308"/>
      <c r="AB384" s="731"/>
      <c r="AC384" s="308"/>
      <c r="AD384" s="308"/>
      <c r="AE384" s="308"/>
      <c r="AF384" s="731"/>
      <c r="AG384" s="308"/>
      <c r="AH384" s="308"/>
      <c r="AI384" s="309">
        <f t="shared" ref="AI384" si="35">SUM(D384:AH384)</f>
        <v>0</v>
      </c>
      <c r="AJ384" s="310"/>
      <c r="AK384" s="224"/>
      <c r="AL384" s="311"/>
      <c r="AN384" s="312"/>
      <c r="AO384" s="313"/>
      <c r="AP384" s="314"/>
      <c r="AQ384" s="608"/>
    </row>
    <row r="385" spans="1:43" s="322" customFormat="1" ht="15.75" customHeight="1">
      <c r="A385" s="295"/>
      <c r="B385" s="297" t="s">
        <v>188</v>
      </c>
      <c r="C385" s="619"/>
      <c r="D385" s="726"/>
      <c r="E385" s="318"/>
      <c r="F385" s="318"/>
      <c r="G385" s="726"/>
      <c r="H385" s="318"/>
      <c r="I385" s="318"/>
      <c r="J385" s="318"/>
      <c r="K385" s="318"/>
      <c r="L385" s="318"/>
      <c r="M385" s="318"/>
      <c r="N385" s="726"/>
      <c r="O385" s="726"/>
      <c r="P385" s="318"/>
      <c r="Q385" s="319"/>
      <c r="R385" s="318"/>
      <c r="S385" s="319"/>
      <c r="T385" s="318"/>
      <c r="U385" s="726"/>
      <c r="V385" s="318"/>
      <c r="W385" s="509"/>
      <c r="X385" s="318"/>
      <c r="Y385" s="318"/>
      <c r="Z385" s="320"/>
      <c r="AA385" s="318"/>
      <c r="AB385" s="726"/>
      <c r="AC385" s="318"/>
      <c r="AD385" s="318"/>
      <c r="AE385" s="318"/>
      <c r="AF385" s="726"/>
      <c r="AG385" s="318"/>
      <c r="AH385" s="318"/>
      <c r="AI385" s="321"/>
      <c r="AJ385" s="317"/>
      <c r="AK385" s="221"/>
      <c r="AO385" s="323"/>
      <c r="AQ385" s="609"/>
    </row>
    <row r="386" spans="1:43" s="322" customFormat="1" ht="15.75" customHeight="1">
      <c r="A386" s="295"/>
      <c r="B386" s="297" t="s">
        <v>281</v>
      </c>
      <c r="C386" s="619"/>
      <c r="D386" s="727"/>
      <c r="E386" s="324"/>
      <c r="F386" s="324"/>
      <c r="G386" s="727"/>
      <c r="H386" s="324"/>
      <c r="I386" s="324"/>
      <c r="J386" s="324"/>
      <c r="K386" s="324"/>
      <c r="L386" s="324"/>
      <c r="M386" s="324"/>
      <c r="N386" s="727"/>
      <c r="O386" s="727"/>
      <c r="P386" s="324"/>
      <c r="Q386" s="324"/>
      <c r="R386" s="324"/>
      <c r="S386" s="324"/>
      <c r="T386" s="324"/>
      <c r="U386" s="727"/>
      <c r="V386" s="324"/>
      <c r="W386" s="460"/>
      <c r="X386" s="324"/>
      <c r="Y386" s="324"/>
      <c r="Z386" s="324"/>
      <c r="AA386" s="324"/>
      <c r="AB386" s="727"/>
      <c r="AC386" s="324"/>
      <c r="AD386" s="324"/>
      <c r="AE386" s="324"/>
      <c r="AF386" s="727"/>
      <c r="AG386" s="324"/>
      <c r="AH386" s="324"/>
      <c r="AI386" s="321"/>
      <c r="AJ386" s="317"/>
      <c r="AK386" s="221"/>
      <c r="AO386" s="323"/>
      <c r="AQ386" s="609"/>
    </row>
    <row r="387" spans="1:43" s="322" customFormat="1" ht="15.75" customHeight="1">
      <c r="A387" s="295"/>
      <c r="B387" s="220" t="s">
        <v>260</v>
      </c>
      <c r="C387" s="618"/>
      <c r="D387" s="728"/>
      <c r="E387" s="325"/>
      <c r="F387" s="325"/>
      <c r="G387" s="728"/>
      <c r="H387" s="325"/>
      <c r="I387" s="325"/>
      <c r="J387" s="325"/>
      <c r="K387" s="325"/>
      <c r="L387" s="325"/>
      <c r="M387" s="325"/>
      <c r="N387" s="728"/>
      <c r="O387" s="728"/>
      <c r="P387" s="325"/>
      <c r="Q387" s="325"/>
      <c r="R387" s="325"/>
      <c r="S387" s="325"/>
      <c r="T387" s="325"/>
      <c r="U387" s="728"/>
      <c r="V387" s="325"/>
      <c r="W387" s="325"/>
      <c r="X387" s="325"/>
      <c r="Y387" s="325"/>
      <c r="Z387" s="325"/>
      <c r="AA387" s="325"/>
      <c r="AB387" s="728"/>
      <c r="AC387" s="325"/>
      <c r="AD387" s="325"/>
      <c r="AE387" s="325"/>
      <c r="AF387" s="728"/>
      <c r="AG387" s="325"/>
      <c r="AH387" s="325"/>
      <c r="AI387" s="321">
        <f t="shared" ref="AI387:AI397" si="36">SUM(D387:AH387)</f>
        <v>0</v>
      </c>
      <c r="AJ387" s="294"/>
      <c r="AK387" s="221"/>
      <c r="AO387" s="323"/>
      <c r="AQ387" s="609"/>
    </row>
    <row r="388" spans="1:43" s="330" customFormat="1" ht="15.75" customHeight="1">
      <c r="A388" s="295"/>
      <c r="B388" s="298" t="s">
        <v>56</v>
      </c>
      <c r="C388" s="620"/>
      <c r="D388" s="729"/>
      <c r="E388" s="327"/>
      <c r="F388" s="327"/>
      <c r="G388" s="729"/>
      <c r="H388" s="327"/>
      <c r="I388" s="327"/>
      <c r="J388" s="327"/>
      <c r="K388" s="327"/>
      <c r="L388" s="327"/>
      <c r="M388" s="327"/>
      <c r="N388" s="729"/>
      <c r="O388" s="729"/>
      <c r="P388" s="327"/>
      <c r="Q388" s="327"/>
      <c r="R388" s="327"/>
      <c r="S388" s="327"/>
      <c r="T388" s="327"/>
      <c r="U388" s="729"/>
      <c r="V388" s="327"/>
      <c r="W388" s="327"/>
      <c r="X388" s="327"/>
      <c r="Y388" s="327"/>
      <c r="Z388" s="327"/>
      <c r="AA388" s="327"/>
      <c r="AB388" s="729"/>
      <c r="AC388" s="327"/>
      <c r="AD388" s="327"/>
      <c r="AE388" s="327"/>
      <c r="AF388" s="729"/>
      <c r="AG388" s="327"/>
      <c r="AH388" s="327"/>
      <c r="AI388" s="328">
        <f t="shared" si="36"/>
        <v>0</v>
      </c>
      <c r="AJ388" s="296"/>
      <c r="AK388" s="222"/>
      <c r="AL388" s="329"/>
      <c r="AO388" s="331"/>
      <c r="AQ388" s="610"/>
    </row>
    <row r="389" spans="1:43" s="322" customFormat="1" ht="15.75" customHeight="1">
      <c r="A389" s="295"/>
      <c r="B389" s="220" t="s">
        <v>642</v>
      </c>
      <c r="C389" s="618"/>
      <c r="D389" s="728"/>
      <c r="E389" s="325"/>
      <c r="F389" s="325"/>
      <c r="G389" s="728"/>
      <c r="H389" s="325"/>
      <c r="I389" s="325"/>
      <c r="J389" s="325"/>
      <c r="K389" s="325"/>
      <c r="L389" s="325"/>
      <c r="M389" s="325"/>
      <c r="N389" s="728"/>
      <c r="O389" s="728"/>
      <c r="P389" s="325"/>
      <c r="Q389" s="325"/>
      <c r="R389" s="325"/>
      <c r="S389" s="325"/>
      <c r="T389" s="325"/>
      <c r="U389" s="728"/>
      <c r="V389" s="325"/>
      <c r="W389" s="325"/>
      <c r="X389" s="325"/>
      <c r="Y389" s="325"/>
      <c r="Z389" s="325"/>
      <c r="AA389" s="325"/>
      <c r="AB389" s="728"/>
      <c r="AC389" s="325"/>
      <c r="AD389" s="325"/>
      <c r="AE389" s="325"/>
      <c r="AF389" s="728"/>
      <c r="AG389" s="325"/>
      <c r="AH389" s="325"/>
      <c r="AI389" s="321">
        <f t="shared" si="36"/>
        <v>0</v>
      </c>
      <c r="AJ389" s="317">
        <v>1409</v>
      </c>
      <c r="AK389" s="221">
        <f>AI389*AJ389</f>
        <v>0</v>
      </c>
      <c r="AO389" s="323"/>
      <c r="AQ389" s="609"/>
    </row>
    <row r="390" spans="1:43" s="322" customFormat="1" ht="15.75" customHeight="1">
      <c r="A390" s="295"/>
      <c r="B390" s="220" t="s">
        <v>721</v>
      </c>
      <c r="C390" s="618"/>
      <c r="D390" s="728"/>
      <c r="E390" s="325"/>
      <c r="F390" s="325"/>
      <c r="G390" s="728"/>
      <c r="H390" s="325"/>
      <c r="I390" s="325"/>
      <c r="J390" s="325"/>
      <c r="K390" s="325"/>
      <c r="L390" s="325"/>
      <c r="M390" s="325"/>
      <c r="N390" s="728"/>
      <c r="O390" s="727"/>
      <c r="P390" s="324"/>
      <c r="Q390" s="325"/>
      <c r="R390" s="325"/>
      <c r="S390" s="325"/>
      <c r="T390" s="325"/>
      <c r="U390" s="728"/>
      <c r="V390" s="325"/>
      <c r="W390" s="325"/>
      <c r="X390" s="325"/>
      <c r="Y390" s="325"/>
      <c r="Z390" s="325"/>
      <c r="AA390" s="325"/>
      <c r="AB390" s="728"/>
      <c r="AC390" s="325"/>
      <c r="AD390" s="325"/>
      <c r="AE390" s="325"/>
      <c r="AF390" s="728"/>
      <c r="AG390" s="325"/>
      <c r="AH390" s="325"/>
      <c r="AI390" s="321">
        <f t="shared" si="36"/>
        <v>0</v>
      </c>
      <c r="AJ390" s="317">
        <v>1322</v>
      </c>
      <c r="AK390" s="221">
        <f>AI390*AJ390</f>
        <v>0</v>
      </c>
      <c r="AO390" s="323"/>
      <c r="AQ390" s="609"/>
    </row>
    <row r="391" spans="1:43" s="322" customFormat="1" ht="15.75" customHeight="1">
      <c r="A391" s="295"/>
      <c r="B391" s="220" t="s">
        <v>366</v>
      </c>
      <c r="C391" s="618"/>
      <c r="D391" s="728"/>
      <c r="E391" s="325"/>
      <c r="F391" s="325"/>
      <c r="G391" s="728"/>
      <c r="H391" s="325"/>
      <c r="I391" s="325"/>
      <c r="J391" s="325"/>
      <c r="K391" s="325"/>
      <c r="L391" s="325"/>
      <c r="M391" s="325"/>
      <c r="N391" s="728"/>
      <c r="O391" s="728"/>
      <c r="P391" s="325"/>
      <c r="Q391" s="325"/>
      <c r="R391" s="325"/>
      <c r="S391" s="325"/>
      <c r="T391" s="325"/>
      <c r="U391" s="728"/>
      <c r="V391" s="325"/>
      <c r="W391" s="325"/>
      <c r="X391" s="325"/>
      <c r="Y391" s="325"/>
      <c r="Z391" s="325"/>
      <c r="AA391" s="325"/>
      <c r="AB391" s="728"/>
      <c r="AC391" s="325"/>
      <c r="AD391" s="325"/>
      <c r="AE391" s="325"/>
      <c r="AF391" s="728"/>
      <c r="AG391" s="325"/>
      <c r="AH391" s="325"/>
      <c r="AI391" s="321">
        <f t="shared" si="36"/>
        <v>0</v>
      </c>
      <c r="AJ391" s="317">
        <v>1233</v>
      </c>
      <c r="AK391" s="221">
        <f>AI391*AJ391</f>
        <v>0</v>
      </c>
      <c r="AO391" s="323"/>
      <c r="AQ391" s="609"/>
    </row>
    <row r="392" spans="1:43" s="322" customFormat="1" ht="15.75" customHeight="1">
      <c r="A392" s="295"/>
      <c r="B392" s="220" t="s">
        <v>643</v>
      </c>
      <c r="C392" s="618"/>
      <c r="D392" s="728"/>
      <c r="E392" s="325"/>
      <c r="F392" s="325"/>
      <c r="G392" s="728"/>
      <c r="H392" s="325"/>
      <c r="I392" s="325"/>
      <c r="J392" s="325"/>
      <c r="K392" s="325"/>
      <c r="L392" s="325"/>
      <c r="M392" s="325"/>
      <c r="N392" s="728"/>
      <c r="O392" s="728"/>
      <c r="P392" s="325"/>
      <c r="Q392" s="325"/>
      <c r="R392" s="325"/>
      <c r="S392" s="325"/>
      <c r="T392" s="325"/>
      <c r="U392" s="728"/>
      <c r="V392" s="325"/>
      <c r="W392" s="325"/>
      <c r="X392" s="325"/>
      <c r="Y392" s="325"/>
      <c r="Z392" s="325"/>
      <c r="AA392" s="325"/>
      <c r="AB392" s="728"/>
      <c r="AC392" s="325"/>
      <c r="AD392" s="325"/>
      <c r="AE392" s="325"/>
      <c r="AF392" s="728"/>
      <c r="AG392" s="325"/>
      <c r="AH392" s="325"/>
      <c r="AI392" s="321">
        <f t="shared" si="36"/>
        <v>0</v>
      </c>
      <c r="AJ392" s="317">
        <v>1043</v>
      </c>
      <c r="AK392" s="221">
        <f>AI392*AJ392</f>
        <v>0</v>
      </c>
      <c r="AO392" s="323"/>
      <c r="AQ392" s="609"/>
    </row>
    <row r="393" spans="1:43" s="322" customFormat="1" ht="15.75" customHeight="1">
      <c r="A393" s="295"/>
      <c r="B393" s="220" t="s">
        <v>367</v>
      </c>
      <c r="C393" s="618"/>
      <c r="D393" s="728"/>
      <c r="E393" s="325"/>
      <c r="F393" s="325"/>
      <c r="G393" s="728"/>
      <c r="H393" s="325"/>
      <c r="I393" s="325"/>
      <c r="J393" s="325"/>
      <c r="K393" s="325"/>
      <c r="L393" s="325"/>
      <c r="M393" s="325"/>
      <c r="N393" s="728"/>
      <c r="O393" s="728"/>
      <c r="P393" s="325"/>
      <c r="Q393" s="325"/>
      <c r="R393" s="325"/>
      <c r="S393" s="325"/>
      <c r="T393" s="325"/>
      <c r="U393" s="728"/>
      <c r="V393" s="325"/>
      <c r="W393" s="325"/>
      <c r="X393" s="325"/>
      <c r="Y393" s="325"/>
      <c r="Z393" s="325"/>
      <c r="AA393" s="325"/>
      <c r="AB393" s="728"/>
      <c r="AC393" s="325"/>
      <c r="AD393" s="325"/>
      <c r="AE393" s="325"/>
      <c r="AF393" s="728"/>
      <c r="AG393" s="325"/>
      <c r="AH393" s="325"/>
      <c r="AI393" s="321">
        <f t="shared" si="36"/>
        <v>0</v>
      </c>
      <c r="AJ393" s="317"/>
      <c r="AK393" s="221">
        <f>AI393*AJ393</f>
        <v>0</v>
      </c>
      <c r="AL393" s="326"/>
      <c r="AM393" s="326"/>
      <c r="AN393" s="326"/>
      <c r="AO393" s="323"/>
      <c r="AP393" s="326"/>
      <c r="AQ393" s="609"/>
    </row>
    <row r="394" spans="1:43" s="330" customFormat="1" ht="15.75" customHeight="1">
      <c r="A394" s="295"/>
      <c r="B394" s="298" t="s">
        <v>259</v>
      </c>
      <c r="C394" s="620"/>
      <c r="D394" s="729"/>
      <c r="E394" s="327"/>
      <c r="F394" s="327"/>
      <c r="G394" s="729"/>
      <c r="H394" s="327"/>
      <c r="I394" s="327"/>
      <c r="J394" s="327"/>
      <c r="K394" s="327"/>
      <c r="L394" s="327"/>
      <c r="M394" s="327"/>
      <c r="N394" s="729"/>
      <c r="O394" s="729"/>
      <c r="P394" s="327"/>
      <c r="Q394" s="327"/>
      <c r="R394" s="327"/>
      <c r="S394" s="327"/>
      <c r="T394" s="327"/>
      <c r="U394" s="729"/>
      <c r="V394" s="327"/>
      <c r="W394" s="327"/>
      <c r="X394" s="332"/>
      <c r="Y394" s="327"/>
      <c r="Z394" s="327"/>
      <c r="AA394" s="327"/>
      <c r="AB394" s="729"/>
      <c r="AC394" s="327"/>
      <c r="AD394" s="327"/>
      <c r="AE394" s="327"/>
      <c r="AF394" s="729"/>
      <c r="AG394" s="327"/>
      <c r="AH394" s="327"/>
      <c r="AI394" s="328">
        <f t="shared" si="36"/>
        <v>0</v>
      </c>
      <c r="AJ394" s="333"/>
      <c r="AK394" s="222">
        <f>SUM(AK389:AK393)</f>
        <v>0</v>
      </c>
      <c r="AL394" s="334"/>
      <c r="AM394" s="334"/>
      <c r="AN394" s="334"/>
      <c r="AO394" s="331"/>
      <c r="AP394" s="334"/>
      <c r="AQ394" s="610"/>
    </row>
    <row r="395" spans="1:43" s="322" customFormat="1" ht="15.75" customHeight="1">
      <c r="A395" s="295"/>
      <c r="B395" s="220" t="s">
        <v>57</v>
      </c>
      <c r="C395" s="618"/>
      <c r="D395" s="728"/>
      <c r="E395" s="325"/>
      <c r="F395" s="325"/>
      <c r="G395" s="728"/>
      <c r="H395" s="325"/>
      <c r="I395" s="325"/>
      <c r="J395" s="325"/>
      <c r="K395" s="325"/>
      <c r="L395" s="325"/>
      <c r="M395" s="325"/>
      <c r="N395" s="728"/>
      <c r="O395" s="728"/>
      <c r="P395" s="325"/>
      <c r="Q395" s="325"/>
      <c r="R395" s="325"/>
      <c r="S395" s="325"/>
      <c r="T395" s="325"/>
      <c r="U395" s="728"/>
      <c r="V395" s="325"/>
      <c r="W395" s="325"/>
      <c r="X395" s="325"/>
      <c r="Y395" s="325"/>
      <c r="Z395" s="325"/>
      <c r="AA395" s="325"/>
      <c r="AB395" s="728"/>
      <c r="AC395" s="325"/>
      <c r="AD395" s="325"/>
      <c r="AE395" s="325"/>
      <c r="AF395" s="728"/>
      <c r="AG395" s="325"/>
      <c r="AH395" s="325"/>
      <c r="AI395" s="321">
        <f t="shared" si="36"/>
        <v>0</v>
      </c>
      <c r="AJ395" s="317">
        <v>1750</v>
      </c>
      <c r="AK395" s="221">
        <f>AI395*AJ395</f>
        <v>0</v>
      </c>
      <c r="AL395" s="326"/>
      <c r="AM395" s="326"/>
      <c r="AN395" s="326"/>
      <c r="AO395" s="323"/>
      <c r="AP395" s="326"/>
      <c r="AQ395" s="609"/>
    </row>
    <row r="396" spans="1:43" s="360" customFormat="1" ht="15.75" customHeight="1" thickBot="1">
      <c r="A396" s="352"/>
      <c r="B396" s="353" t="s">
        <v>44</v>
      </c>
      <c r="C396" s="621"/>
      <c r="D396" s="730"/>
      <c r="E396" s="354"/>
      <c r="F396" s="354"/>
      <c r="G396" s="730"/>
      <c r="H396" s="354"/>
      <c r="I396" s="354"/>
      <c r="J396" s="354"/>
      <c r="K396" s="354"/>
      <c r="L396" s="354"/>
      <c r="M396" s="354"/>
      <c r="N396" s="730"/>
      <c r="O396" s="730"/>
      <c r="P396" s="354"/>
      <c r="Q396" s="354"/>
      <c r="R396" s="354"/>
      <c r="S396" s="354"/>
      <c r="T396" s="354"/>
      <c r="U396" s="1071"/>
      <c r="V396" s="354"/>
      <c r="W396" s="354"/>
      <c r="X396" s="354"/>
      <c r="Y396" s="354"/>
      <c r="Z396" s="354"/>
      <c r="AA396" s="354"/>
      <c r="AB396" s="730"/>
      <c r="AC396" s="354"/>
      <c r="AD396" s="354"/>
      <c r="AE396" s="354"/>
      <c r="AF396" s="730"/>
      <c r="AG396" s="354"/>
      <c r="AH396" s="354"/>
      <c r="AI396" s="355">
        <f t="shared" si="36"/>
        <v>0</v>
      </c>
      <c r="AJ396" s="356"/>
      <c r="AK396" s="357">
        <f>AI396</f>
        <v>0</v>
      </c>
      <c r="AL396" s="358"/>
      <c r="AM396" s="358"/>
      <c r="AN396" s="358"/>
      <c r="AO396" s="359"/>
      <c r="AP396" s="358"/>
      <c r="AQ396" s="611"/>
    </row>
    <row r="397" spans="1:43" s="216" customFormat="1" ht="15.75" customHeight="1" thickTop="1">
      <c r="A397" s="293">
        <v>31</v>
      </c>
      <c r="B397" s="219"/>
      <c r="C397" s="617"/>
      <c r="D397" s="731"/>
      <c r="E397" s="308"/>
      <c r="F397" s="308"/>
      <c r="G397" s="731"/>
      <c r="H397" s="308"/>
      <c r="I397" s="308"/>
      <c r="J397" s="308"/>
      <c r="K397" s="308"/>
      <c r="L397" s="308"/>
      <c r="M397" s="308"/>
      <c r="N397" s="731"/>
      <c r="O397" s="731"/>
      <c r="P397" s="308"/>
      <c r="Q397" s="308"/>
      <c r="R397" s="308"/>
      <c r="S397" s="308"/>
      <c r="T397" s="308"/>
      <c r="U397" s="731"/>
      <c r="V397" s="308"/>
      <c r="W397" s="308"/>
      <c r="X397" s="308"/>
      <c r="Y397" s="308"/>
      <c r="Z397" s="308"/>
      <c r="AA397" s="308"/>
      <c r="AB397" s="731"/>
      <c r="AC397" s="308"/>
      <c r="AD397" s="308"/>
      <c r="AE397" s="308"/>
      <c r="AF397" s="731"/>
      <c r="AG397" s="308"/>
      <c r="AH397" s="308"/>
      <c r="AI397" s="309">
        <f t="shared" si="36"/>
        <v>0</v>
      </c>
      <c r="AJ397" s="310"/>
      <c r="AK397" s="224"/>
      <c r="AL397" s="311"/>
      <c r="AN397" s="312"/>
      <c r="AO397" s="313"/>
      <c r="AP397" s="314"/>
      <c r="AQ397" s="608"/>
    </row>
    <row r="398" spans="1:43" s="322" customFormat="1" ht="15.75" customHeight="1">
      <c r="A398" s="295"/>
      <c r="B398" s="297" t="s">
        <v>188</v>
      </c>
      <c r="C398" s="619"/>
      <c r="D398" s="726"/>
      <c r="E398" s="318"/>
      <c r="F398" s="318"/>
      <c r="G398" s="726"/>
      <c r="H398" s="318"/>
      <c r="I398" s="318"/>
      <c r="J398" s="318"/>
      <c r="K398" s="318"/>
      <c r="L398" s="318"/>
      <c r="M398" s="318"/>
      <c r="N398" s="726"/>
      <c r="O398" s="726"/>
      <c r="P398" s="318"/>
      <c r="Q398" s="319"/>
      <c r="R398" s="318"/>
      <c r="S398" s="319"/>
      <c r="T398" s="318"/>
      <c r="U398" s="726"/>
      <c r="V398" s="318"/>
      <c r="W398" s="509"/>
      <c r="X398" s="318"/>
      <c r="Y398" s="318"/>
      <c r="Z398" s="320"/>
      <c r="AA398" s="318"/>
      <c r="AB398" s="726"/>
      <c r="AC398" s="318"/>
      <c r="AD398" s="318"/>
      <c r="AE398" s="318"/>
      <c r="AF398" s="726"/>
      <c r="AG398" s="318"/>
      <c r="AH398" s="318"/>
      <c r="AI398" s="321"/>
      <c r="AJ398" s="317"/>
      <c r="AK398" s="221"/>
      <c r="AO398" s="323"/>
      <c r="AQ398" s="609"/>
    </row>
    <row r="399" spans="1:43" s="322" customFormat="1" ht="15.75" customHeight="1">
      <c r="A399" s="295"/>
      <c r="B399" s="297" t="s">
        <v>281</v>
      </c>
      <c r="C399" s="619"/>
      <c r="D399" s="727"/>
      <c r="E399" s="324"/>
      <c r="F399" s="324"/>
      <c r="G399" s="727"/>
      <c r="H399" s="324"/>
      <c r="I399" s="324"/>
      <c r="J399" s="324"/>
      <c r="K399" s="324"/>
      <c r="L399" s="324"/>
      <c r="M399" s="324"/>
      <c r="N399" s="727"/>
      <c r="O399" s="727"/>
      <c r="P399" s="324"/>
      <c r="Q399" s="324"/>
      <c r="R399" s="324"/>
      <c r="S399" s="324"/>
      <c r="T399" s="324"/>
      <c r="U399" s="727"/>
      <c r="V399" s="324"/>
      <c r="W399" s="460"/>
      <c r="X399" s="324"/>
      <c r="Y399" s="324"/>
      <c r="Z399" s="324"/>
      <c r="AA399" s="324"/>
      <c r="AB399" s="727"/>
      <c r="AC399" s="324"/>
      <c r="AD399" s="324"/>
      <c r="AE399" s="324"/>
      <c r="AF399" s="727"/>
      <c r="AG399" s="324"/>
      <c r="AH399" s="324"/>
      <c r="AI399" s="321"/>
      <c r="AJ399" s="317"/>
      <c r="AK399" s="221"/>
      <c r="AO399" s="323"/>
      <c r="AQ399" s="609"/>
    </row>
    <row r="400" spans="1:43" s="322" customFormat="1" ht="15.75" customHeight="1">
      <c r="A400" s="295"/>
      <c r="B400" s="220" t="s">
        <v>260</v>
      </c>
      <c r="C400" s="618"/>
      <c r="D400" s="728"/>
      <c r="E400" s="325"/>
      <c r="F400" s="325"/>
      <c r="G400" s="728"/>
      <c r="H400" s="325"/>
      <c r="I400" s="325"/>
      <c r="J400" s="325"/>
      <c r="K400" s="325"/>
      <c r="L400" s="325"/>
      <c r="M400" s="325"/>
      <c r="N400" s="728"/>
      <c r="O400" s="728"/>
      <c r="P400" s="325"/>
      <c r="Q400" s="325"/>
      <c r="R400" s="325"/>
      <c r="S400" s="325"/>
      <c r="T400" s="325"/>
      <c r="U400" s="728"/>
      <c r="V400" s="325"/>
      <c r="W400" s="325"/>
      <c r="X400" s="325"/>
      <c r="Y400" s="325"/>
      <c r="Z400" s="325"/>
      <c r="AA400" s="325"/>
      <c r="AB400" s="728"/>
      <c r="AC400" s="325"/>
      <c r="AD400" s="325"/>
      <c r="AE400" s="325"/>
      <c r="AF400" s="728"/>
      <c r="AG400" s="325"/>
      <c r="AH400" s="325"/>
      <c r="AI400" s="321">
        <f t="shared" ref="AI400:AI409" si="37">SUM(D400:AH400)</f>
        <v>0</v>
      </c>
      <c r="AJ400" s="294"/>
      <c r="AK400" s="221"/>
      <c r="AO400" s="323"/>
      <c r="AQ400" s="609"/>
    </row>
    <row r="401" spans="1:43" s="330" customFormat="1" ht="15.75" customHeight="1">
      <c r="A401" s="295"/>
      <c r="B401" s="298" t="s">
        <v>56</v>
      </c>
      <c r="C401" s="620"/>
      <c r="D401" s="729"/>
      <c r="E401" s="327"/>
      <c r="F401" s="327"/>
      <c r="G401" s="729"/>
      <c r="H401" s="327"/>
      <c r="I401" s="327"/>
      <c r="J401" s="327"/>
      <c r="K401" s="327"/>
      <c r="L401" s="327"/>
      <c r="M401" s="327"/>
      <c r="N401" s="729"/>
      <c r="O401" s="729"/>
      <c r="P401" s="327"/>
      <c r="Q401" s="327"/>
      <c r="R401" s="327"/>
      <c r="S401" s="327"/>
      <c r="T401" s="327"/>
      <c r="U401" s="729"/>
      <c r="V401" s="327"/>
      <c r="W401" s="327"/>
      <c r="X401" s="327"/>
      <c r="Y401" s="327"/>
      <c r="Z401" s="327"/>
      <c r="AA401" s="327"/>
      <c r="AB401" s="729"/>
      <c r="AC401" s="327"/>
      <c r="AD401" s="327"/>
      <c r="AE401" s="327"/>
      <c r="AF401" s="729"/>
      <c r="AG401" s="327"/>
      <c r="AH401" s="327"/>
      <c r="AI401" s="328">
        <f t="shared" si="37"/>
        <v>0</v>
      </c>
      <c r="AJ401" s="296"/>
      <c r="AK401" s="222"/>
      <c r="AL401" s="329"/>
      <c r="AO401" s="331"/>
      <c r="AQ401" s="610"/>
    </row>
    <row r="402" spans="1:43" s="322" customFormat="1" ht="15.75" customHeight="1">
      <c r="A402" s="295"/>
      <c r="B402" s="220" t="s">
        <v>642</v>
      </c>
      <c r="C402" s="618"/>
      <c r="D402" s="728"/>
      <c r="E402" s="325"/>
      <c r="F402" s="325"/>
      <c r="G402" s="728"/>
      <c r="H402" s="325"/>
      <c r="I402" s="325"/>
      <c r="J402" s="325"/>
      <c r="K402" s="325"/>
      <c r="L402" s="325"/>
      <c r="M402" s="325"/>
      <c r="N402" s="728"/>
      <c r="O402" s="728"/>
      <c r="P402" s="325"/>
      <c r="Q402" s="325"/>
      <c r="R402" s="325"/>
      <c r="S402" s="325"/>
      <c r="T402" s="325"/>
      <c r="U402" s="728"/>
      <c r="V402" s="325"/>
      <c r="W402" s="325"/>
      <c r="X402" s="325"/>
      <c r="Y402" s="325"/>
      <c r="Z402" s="325"/>
      <c r="AA402" s="325"/>
      <c r="AB402" s="728"/>
      <c r="AC402" s="325"/>
      <c r="AD402" s="325"/>
      <c r="AE402" s="325"/>
      <c r="AF402" s="728"/>
      <c r="AG402" s="325"/>
      <c r="AH402" s="325"/>
      <c r="AI402" s="321">
        <f t="shared" si="37"/>
        <v>0</v>
      </c>
      <c r="AJ402" s="317">
        <v>1409</v>
      </c>
      <c r="AK402" s="221">
        <f>AI402*AJ402</f>
        <v>0</v>
      </c>
      <c r="AO402" s="323"/>
      <c r="AQ402" s="609"/>
    </row>
    <row r="403" spans="1:43" s="322" customFormat="1" ht="15.75" customHeight="1">
      <c r="A403" s="295"/>
      <c r="B403" s="220" t="s">
        <v>721</v>
      </c>
      <c r="C403" s="618"/>
      <c r="D403" s="728"/>
      <c r="E403" s="325"/>
      <c r="F403" s="325"/>
      <c r="G403" s="728"/>
      <c r="H403" s="325"/>
      <c r="I403" s="325"/>
      <c r="J403" s="325"/>
      <c r="K403" s="325"/>
      <c r="L403" s="325"/>
      <c r="M403" s="325"/>
      <c r="N403" s="728"/>
      <c r="O403" s="727"/>
      <c r="P403" s="324"/>
      <c r="Q403" s="325"/>
      <c r="R403" s="325"/>
      <c r="S403" s="325"/>
      <c r="T403" s="325"/>
      <c r="U403" s="728"/>
      <c r="V403" s="325"/>
      <c r="W403" s="325"/>
      <c r="X403" s="325"/>
      <c r="Y403" s="325"/>
      <c r="Z403" s="325"/>
      <c r="AA403" s="325"/>
      <c r="AB403" s="728"/>
      <c r="AC403" s="325"/>
      <c r="AD403" s="325"/>
      <c r="AE403" s="325"/>
      <c r="AF403" s="728"/>
      <c r="AG403" s="325"/>
      <c r="AH403" s="325"/>
      <c r="AI403" s="321">
        <f t="shared" si="37"/>
        <v>0</v>
      </c>
      <c r="AJ403" s="317">
        <v>1322</v>
      </c>
      <c r="AK403" s="221">
        <f>AI403*AJ403</f>
        <v>0</v>
      </c>
      <c r="AO403" s="323"/>
      <c r="AQ403" s="609"/>
    </row>
    <row r="404" spans="1:43" s="322" customFormat="1" ht="15.75" customHeight="1">
      <c r="A404" s="295"/>
      <c r="B404" s="220" t="s">
        <v>366</v>
      </c>
      <c r="C404" s="618"/>
      <c r="D404" s="728"/>
      <c r="E404" s="325"/>
      <c r="F404" s="325"/>
      <c r="G404" s="728"/>
      <c r="H404" s="325"/>
      <c r="I404" s="325"/>
      <c r="J404" s="325"/>
      <c r="K404" s="325"/>
      <c r="L404" s="325"/>
      <c r="M404" s="325"/>
      <c r="N404" s="728"/>
      <c r="O404" s="728"/>
      <c r="P404" s="325"/>
      <c r="Q404" s="325"/>
      <c r="R404" s="325"/>
      <c r="S404" s="325"/>
      <c r="T404" s="325"/>
      <c r="U404" s="728"/>
      <c r="V404" s="325"/>
      <c r="W404" s="325"/>
      <c r="X404" s="325"/>
      <c r="Y404" s="325"/>
      <c r="Z404" s="325"/>
      <c r="AA404" s="325"/>
      <c r="AB404" s="728"/>
      <c r="AC404" s="325"/>
      <c r="AD404" s="325"/>
      <c r="AE404" s="325"/>
      <c r="AF404" s="728"/>
      <c r="AG404" s="325"/>
      <c r="AH404" s="325"/>
      <c r="AI404" s="321">
        <f t="shared" si="37"/>
        <v>0</v>
      </c>
      <c r="AJ404" s="317">
        <v>1233</v>
      </c>
      <c r="AK404" s="221">
        <f>AI404*AJ404</f>
        <v>0</v>
      </c>
      <c r="AO404" s="323"/>
      <c r="AQ404" s="609"/>
    </row>
    <row r="405" spans="1:43" s="322" customFormat="1" ht="15.75" customHeight="1">
      <c r="A405" s="295"/>
      <c r="B405" s="220" t="s">
        <v>643</v>
      </c>
      <c r="C405" s="618"/>
      <c r="D405" s="728"/>
      <c r="E405" s="325"/>
      <c r="F405" s="325"/>
      <c r="G405" s="728"/>
      <c r="H405" s="325"/>
      <c r="I405" s="325"/>
      <c r="J405" s="325"/>
      <c r="K405" s="325"/>
      <c r="L405" s="325"/>
      <c r="M405" s="325"/>
      <c r="N405" s="728"/>
      <c r="O405" s="728"/>
      <c r="P405" s="325"/>
      <c r="Q405" s="325"/>
      <c r="R405" s="325"/>
      <c r="S405" s="325"/>
      <c r="T405" s="325"/>
      <c r="U405" s="728"/>
      <c r="V405" s="325"/>
      <c r="W405" s="325"/>
      <c r="X405" s="325"/>
      <c r="Y405" s="325"/>
      <c r="Z405" s="325"/>
      <c r="AA405" s="325"/>
      <c r="AB405" s="728"/>
      <c r="AC405" s="325"/>
      <c r="AD405" s="325"/>
      <c r="AE405" s="325"/>
      <c r="AF405" s="728"/>
      <c r="AG405" s="325"/>
      <c r="AH405" s="325"/>
      <c r="AI405" s="321">
        <f t="shared" si="37"/>
        <v>0</v>
      </c>
      <c r="AJ405" s="317">
        <v>1043</v>
      </c>
      <c r="AK405" s="221">
        <f>AI405*AJ405</f>
        <v>0</v>
      </c>
      <c r="AO405" s="323"/>
      <c r="AQ405" s="609"/>
    </row>
    <row r="406" spans="1:43" s="322" customFormat="1" ht="15.75" customHeight="1">
      <c r="A406" s="295"/>
      <c r="B406" s="220" t="s">
        <v>367</v>
      </c>
      <c r="C406" s="618"/>
      <c r="D406" s="728"/>
      <c r="E406" s="325"/>
      <c r="F406" s="325"/>
      <c r="G406" s="728"/>
      <c r="H406" s="325"/>
      <c r="I406" s="325"/>
      <c r="J406" s="325"/>
      <c r="K406" s="325"/>
      <c r="L406" s="325"/>
      <c r="M406" s="325"/>
      <c r="N406" s="728"/>
      <c r="O406" s="728"/>
      <c r="P406" s="325"/>
      <c r="Q406" s="325"/>
      <c r="R406" s="325"/>
      <c r="S406" s="325"/>
      <c r="T406" s="325"/>
      <c r="U406" s="728"/>
      <c r="V406" s="325"/>
      <c r="W406" s="325"/>
      <c r="X406" s="325"/>
      <c r="Y406" s="325"/>
      <c r="Z406" s="325"/>
      <c r="AA406" s="325"/>
      <c r="AB406" s="728"/>
      <c r="AC406" s="325"/>
      <c r="AD406" s="325"/>
      <c r="AE406" s="325"/>
      <c r="AF406" s="728"/>
      <c r="AG406" s="325"/>
      <c r="AH406" s="325"/>
      <c r="AI406" s="321">
        <f t="shared" si="37"/>
        <v>0</v>
      </c>
      <c r="AJ406" s="317"/>
      <c r="AK406" s="221">
        <f>AI406*AJ406</f>
        <v>0</v>
      </c>
      <c r="AL406" s="326"/>
      <c r="AM406" s="326"/>
      <c r="AN406" s="326"/>
      <c r="AO406" s="323"/>
      <c r="AP406" s="326"/>
      <c r="AQ406" s="609"/>
    </row>
    <row r="407" spans="1:43" s="330" customFormat="1" ht="15.75" customHeight="1">
      <c r="A407" s="295"/>
      <c r="B407" s="298" t="s">
        <v>259</v>
      </c>
      <c r="C407" s="620"/>
      <c r="D407" s="729"/>
      <c r="E407" s="327"/>
      <c r="F407" s="327"/>
      <c r="G407" s="729"/>
      <c r="H407" s="327"/>
      <c r="I407" s="327"/>
      <c r="J407" s="327"/>
      <c r="K407" s="327"/>
      <c r="L407" s="327"/>
      <c r="M407" s="327"/>
      <c r="N407" s="729"/>
      <c r="O407" s="729"/>
      <c r="P407" s="327"/>
      <c r="Q407" s="327"/>
      <c r="R407" s="327"/>
      <c r="S407" s="327"/>
      <c r="T407" s="327"/>
      <c r="U407" s="729"/>
      <c r="V407" s="327"/>
      <c r="W407" s="327"/>
      <c r="X407" s="332"/>
      <c r="Y407" s="327"/>
      <c r="Z407" s="327"/>
      <c r="AA407" s="327"/>
      <c r="AB407" s="729"/>
      <c r="AC407" s="327"/>
      <c r="AD407" s="327"/>
      <c r="AE407" s="327"/>
      <c r="AF407" s="729"/>
      <c r="AG407" s="327"/>
      <c r="AH407" s="327"/>
      <c r="AI407" s="328">
        <f t="shared" si="37"/>
        <v>0</v>
      </c>
      <c r="AJ407" s="333"/>
      <c r="AK407" s="222">
        <f>SUM(AK402:AK406)</f>
        <v>0</v>
      </c>
      <c r="AL407" s="334"/>
      <c r="AM407" s="334"/>
      <c r="AN407" s="334"/>
      <c r="AO407" s="331"/>
      <c r="AP407" s="334"/>
      <c r="AQ407" s="610"/>
    </row>
    <row r="408" spans="1:43" s="322" customFormat="1" ht="15.75" customHeight="1">
      <c r="A408" s="295"/>
      <c r="B408" s="220" t="s">
        <v>57</v>
      </c>
      <c r="C408" s="618"/>
      <c r="D408" s="728"/>
      <c r="E408" s="325"/>
      <c r="F408" s="325"/>
      <c r="G408" s="728"/>
      <c r="H408" s="325"/>
      <c r="I408" s="325"/>
      <c r="J408" s="325"/>
      <c r="K408" s="325"/>
      <c r="L408" s="325"/>
      <c r="M408" s="325"/>
      <c r="N408" s="728"/>
      <c r="O408" s="728"/>
      <c r="P408" s="325"/>
      <c r="Q408" s="325"/>
      <c r="R408" s="325"/>
      <c r="S408" s="325"/>
      <c r="T408" s="325"/>
      <c r="U408" s="728"/>
      <c r="V408" s="325"/>
      <c r="W408" s="325"/>
      <c r="X408" s="325"/>
      <c r="Y408" s="325"/>
      <c r="Z408" s="325"/>
      <c r="AA408" s="325"/>
      <c r="AB408" s="728"/>
      <c r="AC408" s="325"/>
      <c r="AD408" s="325"/>
      <c r="AE408" s="325"/>
      <c r="AF408" s="728"/>
      <c r="AG408" s="325"/>
      <c r="AH408" s="325"/>
      <c r="AI408" s="321">
        <f t="shared" si="37"/>
        <v>0</v>
      </c>
      <c r="AJ408" s="317">
        <v>1750</v>
      </c>
      <c r="AK408" s="221">
        <f>AI408*AJ408</f>
        <v>0</v>
      </c>
      <c r="AL408" s="326"/>
      <c r="AM408" s="326"/>
      <c r="AN408" s="326"/>
      <c r="AO408" s="323"/>
      <c r="AP408" s="326"/>
      <c r="AQ408" s="609"/>
    </row>
    <row r="409" spans="1:43" s="360" customFormat="1" ht="15.75" customHeight="1" thickBot="1">
      <c r="A409" s="352"/>
      <c r="B409" s="353" t="s">
        <v>44</v>
      </c>
      <c r="C409" s="621"/>
      <c r="D409" s="730"/>
      <c r="E409" s="354"/>
      <c r="F409" s="354"/>
      <c r="G409" s="730"/>
      <c r="H409" s="354"/>
      <c r="I409" s="354"/>
      <c r="J409" s="354"/>
      <c r="K409" s="354"/>
      <c r="L409" s="354"/>
      <c r="M409" s="354"/>
      <c r="N409" s="730"/>
      <c r="O409" s="730"/>
      <c r="P409" s="354"/>
      <c r="Q409" s="354"/>
      <c r="R409" s="354"/>
      <c r="S409" s="354"/>
      <c r="T409" s="354"/>
      <c r="U409" s="1071"/>
      <c r="V409" s="354"/>
      <c r="W409" s="354"/>
      <c r="X409" s="354"/>
      <c r="Y409" s="354"/>
      <c r="Z409" s="354"/>
      <c r="AA409" s="354"/>
      <c r="AB409" s="730"/>
      <c r="AC409" s="354"/>
      <c r="AD409" s="354"/>
      <c r="AE409" s="354"/>
      <c r="AF409" s="730"/>
      <c r="AG409" s="354"/>
      <c r="AH409" s="354"/>
      <c r="AI409" s="355">
        <f t="shared" si="37"/>
        <v>0</v>
      </c>
      <c r="AJ409" s="356"/>
      <c r="AK409" s="357">
        <f>AI409</f>
        <v>0</v>
      </c>
      <c r="AL409" s="358"/>
      <c r="AM409" s="358"/>
      <c r="AN409" s="358"/>
      <c r="AO409" s="359"/>
      <c r="AP409" s="358"/>
      <c r="AQ409" s="611"/>
    </row>
    <row r="410" spans="1:43" s="216" customFormat="1" ht="15.75" customHeight="1" thickTop="1">
      <c r="A410" s="293">
        <v>32</v>
      </c>
      <c r="B410" s="219"/>
      <c r="C410" s="617"/>
      <c r="D410" s="731"/>
      <c r="E410" s="308"/>
      <c r="F410" s="308"/>
      <c r="G410" s="731"/>
      <c r="H410" s="308"/>
      <c r="I410" s="308"/>
      <c r="J410" s="308"/>
      <c r="K410" s="308"/>
      <c r="L410" s="308"/>
      <c r="M410" s="308"/>
      <c r="N410" s="731"/>
      <c r="O410" s="731"/>
      <c r="P410" s="308"/>
      <c r="Q410" s="308"/>
      <c r="R410" s="308"/>
      <c r="S410" s="308"/>
      <c r="T410" s="308"/>
      <c r="U410" s="731"/>
      <c r="V410" s="308"/>
      <c r="W410" s="308"/>
      <c r="X410" s="308"/>
      <c r="Y410" s="308"/>
      <c r="Z410" s="308"/>
      <c r="AA410" s="308"/>
      <c r="AB410" s="731"/>
      <c r="AC410" s="308"/>
      <c r="AD410" s="308"/>
      <c r="AE410" s="308"/>
      <c r="AF410" s="731"/>
      <c r="AG410" s="308"/>
      <c r="AH410" s="308"/>
      <c r="AI410" s="309">
        <f t="shared" ref="AI410" si="38">SUM(D410:AH410)</f>
        <v>0</v>
      </c>
      <c r="AJ410" s="310"/>
      <c r="AK410" s="224"/>
      <c r="AL410" s="311"/>
      <c r="AN410" s="312"/>
      <c r="AO410" s="313"/>
      <c r="AP410" s="314"/>
      <c r="AQ410" s="608"/>
    </row>
    <row r="411" spans="1:43" s="322" customFormat="1" ht="15.75" customHeight="1">
      <c r="A411" s="295"/>
      <c r="B411" s="297" t="s">
        <v>188</v>
      </c>
      <c r="C411" s="619"/>
      <c r="D411" s="726"/>
      <c r="E411" s="318"/>
      <c r="F411" s="318"/>
      <c r="G411" s="726"/>
      <c r="H411" s="318"/>
      <c r="I411" s="318"/>
      <c r="J411" s="318"/>
      <c r="K411" s="318"/>
      <c r="L411" s="318"/>
      <c r="M411" s="318"/>
      <c r="N411" s="726"/>
      <c r="O411" s="726"/>
      <c r="P411" s="318"/>
      <c r="Q411" s="319"/>
      <c r="R411" s="318"/>
      <c r="S411" s="319"/>
      <c r="T411" s="318"/>
      <c r="U411" s="726"/>
      <c r="V411" s="318"/>
      <c r="W411" s="509"/>
      <c r="X411" s="318"/>
      <c r="Y411" s="318"/>
      <c r="Z411" s="320"/>
      <c r="AA411" s="318"/>
      <c r="AB411" s="726"/>
      <c r="AC411" s="318"/>
      <c r="AD411" s="318"/>
      <c r="AE411" s="318"/>
      <c r="AF411" s="726"/>
      <c r="AG411" s="318"/>
      <c r="AH411" s="318"/>
      <c r="AI411" s="321"/>
      <c r="AJ411" s="317"/>
      <c r="AK411" s="221"/>
      <c r="AO411" s="323"/>
      <c r="AQ411" s="609"/>
    </row>
    <row r="412" spans="1:43" s="322" customFormat="1" ht="15.75" customHeight="1">
      <c r="A412" s="295"/>
      <c r="B412" s="297" t="s">
        <v>281</v>
      </c>
      <c r="C412" s="619"/>
      <c r="D412" s="727"/>
      <c r="E412" s="324"/>
      <c r="F412" s="324"/>
      <c r="G412" s="727"/>
      <c r="H412" s="324"/>
      <c r="I412" s="324"/>
      <c r="J412" s="324"/>
      <c r="K412" s="324"/>
      <c r="L412" s="324"/>
      <c r="M412" s="324"/>
      <c r="N412" s="727"/>
      <c r="O412" s="727"/>
      <c r="P412" s="324"/>
      <c r="Q412" s="324"/>
      <c r="R412" s="324"/>
      <c r="S412" s="324"/>
      <c r="T412" s="324"/>
      <c r="U412" s="727"/>
      <c r="V412" s="324"/>
      <c r="W412" s="460"/>
      <c r="X412" s="324"/>
      <c r="Y412" s="324"/>
      <c r="Z412" s="324"/>
      <c r="AA412" s="324"/>
      <c r="AB412" s="727"/>
      <c r="AC412" s="324"/>
      <c r="AD412" s="324"/>
      <c r="AE412" s="324"/>
      <c r="AF412" s="727"/>
      <c r="AG412" s="324"/>
      <c r="AH412" s="324"/>
      <c r="AI412" s="321"/>
      <c r="AJ412" s="317"/>
      <c r="AK412" s="221"/>
      <c r="AO412" s="323"/>
      <c r="AQ412" s="609"/>
    </row>
    <row r="413" spans="1:43" s="322" customFormat="1" ht="15.75" customHeight="1">
      <c r="A413" s="295"/>
      <c r="B413" s="220" t="s">
        <v>260</v>
      </c>
      <c r="C413" s="618"/>
      <c r="D413" s="728"/>
      <c r="E413" s="325"/>
      <c r="F413" s="325"/>
      <c r="G413" s="728"/>
      <c r="H413" s="325"/>
      <c r="I413" s="325"/>
      <c r="J413" s="325"/>
      <c r="K413" s="325"/>
      <c r="L413" s="325"/>
      <c r="M413" s="325"/>
      <c r="N413" s="728"/>
      <c r="O413" s="728"/>
      <c r="P413" s="325"/>
      <c r="Q413" s="325"/>
      <c r="R413" s="325"/>
      <c r="S413" s="325"/>
      <c r="T413" s="325"/>
      <c r="U413" s="728"/>
      <c r="V413" s="325"/>
      <c r="W413" s="325"/>
      <c r="X413" s="325"/>
      <c r="Y413" s="325"/>
      <c r="Z413" s="325"/>
      <c r="AA413" s="325"/>
      <c r="AB413" s="728"/>
      <c r="AC413" s="325"/>
      <c r="AD413" s="325"/>
      <c r="AE413" s="325"/>
      <c r="AF413" s="728"/>
      <c r="AG413" s="325"/>
      <c r="AH413" s="325"/>
      <c r="AI413" s="321">
        <f t="shared" ref="AI413:AI423" si="39">SUM(D413:AH413)</f>
        <v>0</v>
      </c>
      <c r="AJ413" s="294"/>
      <c r="AK413" s="221"/>
      <c r="AO413" s="323"/>
      <c r="AQ413" s="609"/>
    </row>
    <row r="414" spans="1:43" s="330" customFormat="1" ht="15.75" customHeight="1">
      <c r="A414" s="295"/>
      <c r="B414" s="298" t="s">
        <v>56</v>
      </c>
      <c r="C414" s="620"/>
      <c r="D414" s="729"/>
      <c r="E414" s="327"/>
      <c r="F414" s="327"/>
      <c r="G414" s="729"/>
      <c r="H414" s="327"/>
      <c r="I414" s="327"/>
      <c r="J414" s="327"/>
      <c r="K414" s="327"/>
      <c r="L414" s="327"/>
      <c r="M414" s="327"/>
      <c r="N414" s="729"/>
      <c r="O414" s="729"/>
      <c r="P414" s="327"/>
      <c r="Q414" s="327"/>
      <c r="R414" s="327"/>
      <c r="S414" s="327"/>
      <c r="T414" s="327"/>
      <c r="U414" s="729"/>
      <c r="V414" s="327"/>
      <c r="W414" s="327"/>
      <c r="X414" s="327"/>
      <c r="Y414" s="327"/>
      <c r="Z414" s="327"/>
      <c r="AA414" s="327"/>
      <c r="AB414" s="729"/>
      <c r="AC414" s="327"/>
      <c r="AD414" s="327"/>
      <c r="AE414" s="327"/>
      <c r="AF414" s="729"/>
      <c r="AG414" s="327"/>
      <c r="AH414" s="327"/>
      <c r="AI414" s="328">
        <f t="shared" si="39"/>
        <v>0</v>
      </c>
      <c r="AJ414" s="296"/>
      <c r="AK414" s="222"/>
      <c r="AL414" s="329"/>
      <c r="AO414" s="331"/>
      <c r="AQ414" s="610"/>
    </row>
    <row r="415" spans="1:43" s="322" customFormat="1" ht="15.75" customHeight="1">
      <c r="A415" s="295"/>
      <c r="B415" s="220" t="s">
        <v>642</v>
      </c>
      <c r="C415" s="618"/>
      <c r="D415" s="728"/>
      <c r="E415" s="325"/>
      <c r="F415" s="325"/>
      <c r="G415" s="728"/>
      <c r="H415" s="325"/>
      <c r="I415" s="325"/>
      <c r="J415" s="325"/>
      <c r="K415" s="325"/>
      <c r="L415" s="325"/>
      <c r="M415" s="325"/>
      <c r="N415" s="728"/>
      <c r="O415" s="728"/>
      <c r="P415" s="325"/>
      <c r="Q415" s="325"/>
      <c r="R415" s="325"/>
      <c r="S415" s="325"/>
      <c r="T415" s="325"/>
      <c r="U415" s="728"/>
      <c r="V415" s="325"/>
      <c r="W415" s="325"/>
      <c r="X415" s="325"/>
      <c r="Y415" s="325"/>
      <c r="Z415" s="325"/>
      <c r="AA415" s="325"/>
      <c r="AB415" s="728"/>
      <c r="AC415" s="325"/>
      <c r="AD415" s="325"/>
      <c r="AE415" s="325"/>
      <c r="AF415" s="728"/>
      <c r="AG415" s="325"/>
      <c r="AH415" s="325"/>
      <c r="AI415" s="321">
        <f t="shared" si="39"/>
        <v>0</v>
      </c>
      <c r="AJ415" s="317">
        <v>1409</v>
      </c>
      <c r="AK415" s="221">
        <f>AI415*AJ415</f>
        <v>0</v>
      </c>
      <c r="AO415" s="323"/>
      <c r="AQ415" s="609"/>
    </row>
    <row r="416" spans="1:43" s="322" customFormat="1" ht="15.75" customHeight="1">
      <c r="A416" s="295"/>
      <c r="B416" s="220" t="s">
        <v>721</v>
      </c>
      <c r="C416" s="618"/>
      <c r="D416" s="728"/>
      <c r="E416" s="325"/>
      <c r="F416" s="325"/>
      <c r="G416" s="728"/>
      <c r="H416" s="325"/>
      <c r="I416" s="325"/>
      <c r="J416" s="325"/>
      <c r="K416" s="325"/>
      <c r="L416" s="325"/>
      <c r="M416" s="325"/>
      <c r="N416" s="728"/>
      <c r="O416" s="727"/>
      <c r="P416" s="324"/>
      <c r="Q416" s="325"/>
      <c r="R416" s="325"/>
      <c r="S416" s="325"/>
      <c r="T416" s="325"/>
      <c r="U416" s="728"/>
      <c r="V416" s="325"/>
      <c r="W416" s="325"/>
      <c r="X416" s="325"/>
      <c r="Y416" s="325"/>
      <c r="Z416" s="325"/>
      <c r="AA416" s="325"/>
      <c r="AB416" s="728"/>
      <c r="AC416" s="325"/>
      <c r="AD416" s="325"/>
      <c r="AE416" s="325"/>
      <c r="AF416" s="728"/>
      <c r="AG416" s="325"/>
      <c r="AH416" s="325"/>
      <c r="AI416" s="321">
        <f t="shared" si="39"/>
        <v>0</v>
      </c>
      <c r="AJ416" s="317">
        <v>1322</v>
      </c>
      <c r="AK416" s="221">
        <f>AI416*AJ416</f>
        <v>0</v>
      </c>
      <c r="AO416" s="323"/>
      <c r="AQ416" s="609"/>
    </row>
    <row r="417" spans="1:43" s="322" customFormat="1" ht="15.75" customHeight="1">
      <c r="A417" s="295"/>
      <c r="B417" s="220" t="s">
        <v>366</v>
      </c>
      <c r="C417" s="618"/>
      <c r="D417" s="728"/>
      <c r="E417" s="325"/>
      <c r="F417" s="325"/>
      <c r="G417" s="728"/>
      <c r="H417" s="325"/>
      <c r="I417" s="325"/>
      <c r="J417" s="325"/>
      <c r="K417" s="325"/>
      <c r="L417" s="325"/>
      <c r="M417" s="325"/>
      <c r="N417" s="728"/>
      <c r="O417" s="728"/>
      <c r="P417" s="325"/>
      <c r="Q417" s="325"/>
      <c r="R417" s="325"/>
      <c r="S417" s="325"/>
      <c r="T417" s="325"/>
      <c r="U417" s="728"/>
      <c r="V417" s="325"/>
      <c r="W417" s="325"/>
      <c r="X417" s="325"/>
      <c r="Y417" s="325"/>
      <c r="Z417" s="325"/>
      <c r="AA417" s="325"/>
      <c r="AB417" s="728"/>
      <c r="AC417" s="325"/>
      <c r="AD417" s="325"/>
      <c r="AE417" s="325"/>
      <c r="AF417" s="728"/>
      <c r="AG417" s="325"/>
      <c r="AH417" s="325"/>
      <c r="AI417" s="321">
        <f t="shared" si="39"/>
        <v>0</v>
      </c>
      <c r="AJ417" s="317">
        <v>1233</v>
      </c>
      <c r="AK417" s="221">
        <f>AI417*AJ417</f>
        <v>0</v>
      </c>
      <c r="AO417" s="323"/>
      <c r="AQ417" s="609"/>
    </row>
    <row r="418" spans="1:43" s="322" customFormat="1" ht="15.75" customHeight="1">
      <c r="A418" s="295"/>
      <c r="B418" s="220" t="s">
        <v>643</v>
      </c>
      <c r="C418" s="618"/>
      <c r="D418" s="728"/>
      <c r="E418" s="325"/>
      <c r="F418" s="325"/>
      <c r="G418" s="728"/>
      <c r="H418" s="325"/>
      <c r="I418" s="325"/>
      <c r="J418" s="325"/>
      <c r="K418" s="325"/>
      <c r="L418" s="325"/>
      <c r="M418" s="325"/>
      <c r="N418" s="728"/>
      <c r="O418" s="728"/>
      <c r="P418" s="325"/>
      <c r="Q418" s="325"/>
      <c r="R418" s="325"/>
      <c r="S418" s="325"/>
      <c r="T418" s="325"/>
      <c r="U418" s="728"/>
      <c r="V418" s="325"/>
      <c r="W418" s="325"/>
      <c r="X418" s="325"/>
      <c r="Y418" s="325"/>
      <c r="Z418" s="325"/>
      <c r="AA418" s="325"/>
      <c r="AB418" s="728"/>
      <c r="AC418" s="325"/>
      <c r="AD418" s="325"/>
      <c r="AE418" s="325"/>
      <c r="AF418" s="728"/>
      <c r="AG418" s="325"/>
      <c r="AH418" s="325"/>
      <c r="AI418" s="321">
        <f t="shared" si="39"/>
        <v>0</v>
      </c>
      <c r="AJ418" s="317">
        <v>1043</v>
      </c>
      <c r="AK418" s="221">
        <f>AI418*AJ418</f>
        <v>0</v>
      </c>
      <c r="AO418" s="323"/>
      <c r="AQ418" s="609"/>
    </row>
    <row r="419" spans="1:43" s="322" customFormat="1" ht="15.75" customHeight="1">
      <c r="A419" s="295"/>
      <c r="B419" s="220" t="s">
        <v>367</v>
      </c>
      <c r="C419" s="618"/>
      <c r="D419" s="728"/>
      <c r="E419" s="325"/>
      <c r="F419" s="325"/>
      <c r="G419" s="728"/>
      <c r="H419" s="325"/>
      <c r="I419" s="325"/>
      <c r="J419" s="325"/>
      <c r="K419" s="325"/>
      <c r="L419" s="325"/>
      <c r="M419" s="325"/>
      <c r="N419" s="728"/>
      <c r="O419" s="728"/>
      <c r="P419" s="325"/>
      <c r="Q419" s="325"/>
      <c r="R419" s="325"/>
      <c r="S419" s="325"/>
      <c r="T419" s="325"/>
      <c r="U419" s="728"/>
      <c r="V419" s="325"/>
      <c r="W419" s="325"/>
      <c r="X419" s="325"/>
      <c r="Y419" s="325"/>
      <c r="Z419" s="325"/>
      <c r="AA419" s="325"/>
      <c r="AB419" s="728"/>
      <c r="AC419" s="325"/>
      <c r="AD419" s="325"/>
      <c r="AE419" s="325"/>
      <c r="AF419" s="728"/>
      <c r="AG419" s="325"/>
      <c r="AH419" s="325"/>
      <c r="AI419" s="321">
        <f t="shared" si="39"/>
        <v>0</v>
      </c>
      <c r="AJ419" s="317"/>
      <c r="AK419" s="221">
        <f>AI419*AJ419</f>
        <v>0</v>
      </c>
      <c r="AL419" s="326"/>
      <c r="AM419" s="326"/>
      <c r="AN419" s="326"/>
      <c r="AO419" s="323"/>
      <c r="AP419" s="326"/>
      <c r="AQ419" s="609"/>
    </row>
    <row r="420" spans="1:43" s="330" customFormat="1" ht="15.75" customHeight="1">
      <c r="A420" s="295"/>
      <c r="B420" s="298" t="s">
        <v>259</v>
      </c>
      <c r="C420" s="620"/>
      <c r="D420" s="729"/>
      <c r="E420" s="327"/>
      <c r="F420" s="327"/>
      <c r="G420" s="729"/>
      <c r="H420" s="327"/>
      <c r="I420" s="327"/>
      <c r="J420" s="327"/>
      <c r="K420" s="327"/>
      <c r="L420" s="327"/>
      <c r="M420" s="327"/>
      <c r="N420" s="729"/>
      <c r="O420" s="729"/>
      <c r="P420" s="327"/>
      <c r="Q420" s="327"/>
      <c r="R420" s="327"/>
      <c r="S420" s="327"/>
      <c r="T420" s="327"/>
      <c r="U420" s="729"/>
      <c r="V420" s="327"/>
      <c r="W420" s="327"/>
      <c r="X420" s="332"/>
      <c r="Y420" s="327"/>
      <c r="Z420" s="327"/>
      <c r="AA420" s="327"/>
      <c r="AB420" s="729"/>
      <c r="AC420" s="327"/>
      <c r="AD420" s="327"/>
      <c r="AE420" s="327"/>
      <c r="AF420" s="729"/>
      <c r="AG420" s="327"/>
      <c r="AH420" s="327"/>
      <c r="AI420" s="328">
        <f t="shared" si="39"/>
        <v>0</v>
      </c>
      <c r="AJ420" s="333"/>
      <c r="AK420" s="222">
        <f>SUM(AK415:AK419)</f>
        <v>0</v>
      </c>
      <c r="AL420" s="334"/>
      <c r="AM420" s="334"/>
      <c r="AN420" s="334"/>
      <c r="AO420" s="331"/>
      <c r="AP420" s="334"/>
      <c r="AQ420" s="610"/>
    </row>
    <row r="421" spans="1:43" s="322" customFormat="1" ht="15.75" customHeight="1">
      <c r="A421" s="295"/>
      <c r="B421" s="220" t="s">
        <v>57</v>
      </c>
      <c r="C421" s="618"/>
      <c r="D421" s="728"/>
      <c r="E421" s="325"/>
      <c r="F421" s="325"/>
      <c r="G421" s="728"/>
      <c r="H421" s="325"/>
      <c r="I421" s="325"/>
      <c r="J421" s="325"/>
      <c r="K421" s="325"/>
      <c r="L421" s="325"/>
      <c r="M421" s="325"/>
      <c r="N421" s="728"/>
      <c r="O421" s="728"/>
      <c r="P421" s="325"/>
      <c r="Q421" s="325"/>
      <c r="R421" s="325"/>
      <c r="S421" s="325"/>
      <c r="T421" s="325"/>
      <c r="U421" s="728"/>
      <c r="V421" s="325"/>
      <c r="W421" s="325"/>
      <c r="X421" s="325"/>
      <c r="Y421" s="325"/>
      <c r="Z421" s="325"/>
      <c r="AA421" s="325"/>
      <c r="AB421" s="728"/>
      <c r="AC421" s="325"/>
      <c r="AD421" s="325"/>
      <c r="AE421" s="325"/>
      <c r="AF421" s="728"/>
      <c r="AG421" s="325"/>
      <c r="AH421" s="325"/>
      <c r="AI421" s="321">
        <f t="shared" si="39"/>
        <v>0</v>
      </c>
      <c r="AJ421" s="317">
        <v>1750</v>
      </c>
      <c r="AK421" s="221">
        <f>AI421*AJ421</f>
        <v>0</v>
      </c>
      <c r="AL421" s="326"/>
      <c r="AM421" s="326"/>
      <c r="AN421" s="326"/>
      <c r="AO421" s="323"/>
      <c r="AP421" s="326"/>
      <c r="AQ421" s="609"/>
    </row>
    <row r="422" spans="1:43" s="360" customFormat="1" ht="15.75" customHeight="1" thickBot="1">
      <c r="A422" s="352"/>
      <c r="B422" s="353" t="s">
        <v>44</v>
      </c>
      <c r="C422" s="621"/>
      <c r="D422" s="730"/>
      <c r="E422" s="354"/>
      <c r="F422" s="354"/>
      <c r="G422" s="730"/>
      <c r="H422" s="354"/>
      <c r="I422" s="354"/>
      <c r="J422" s="354"/>
      <c r="K422" s="354"/>
      <c r="L422" s="354"/>
      <c r="M422" s="354"/>
      <c r="N422" s="730"/>
      <c r="O422" s="730"/>
      <c r="P422" s="354"/>
      <c r="Q422" s="354"/>
      <c r="R422" s="354"/>
      <c r="S422" s="354"/>
      <c r="T422" s="354"/>
      <c r="U422" s="1071"/>
      <c r="V422" s="354"/>
      <c r="W422" s="354"/>
      <c r="X422" s="354"/>
      <c r="Y422" s="354"/>
      <c r="Z422" s="354"/>
      <c r="AA422" s="354"/>
      <c r="AB422" s="730"/>
      <c r="AC422" s="354"/>
      <c r="AD422" s="354"/>
      <c r="AE422" s="354"/>
      <c r="AF422" s="730"/>
      <c r="AG422" s="354"/>
      <c r="AH422" s="354"/>
      <c r="AI422" s="355">
        <f t="shared" si="39"/>
        <v>0</v>
      </c>
      <c r="AJ422" s="356"/>
      <c r="AK422" s="357">
        <f>AI422</f>
        <v>0</v>
      </c>
      <c r="AL422" s="358"/>
      <c r="AM422" s="358"/>
      <c r="AN422" s="358"/>
      <c r="AO422" s="359"/>
      <c r="AP422" s="358"/>
      <c r="AQ422" s="611"/>
    </row>
    <row r="423" spans="1:43" s="216" customFormat="1" ht="15.75" customHeight="1" thickTop="1">
      <c r="A423" s="293">
        <v>33</v>
      </c>
      <c r="B423" s="219"/>
      <c r="C423" s="617"/>
      <c r="D423" s="731"/>
      <c r="E423" s="308"/>
      <c r="F423" s="308"/>
      <c r="G423" s="731"/>
      <c r="H423" s="308"/>
      <c r="I423" s="308"/>
      <c r="J423" s="308"/>
      <c r="K423" s="308"/>
      <c r="L423" s="308"/>
      <c r="M423" s="308"/>
      <c r="N423" s="731"/>
      <c r="O423" s="731"/>
      <c r="P423" s="308"/>
      <c r="Q423" s="308"/>
      <c r="R423" s="308"/>
      <c r="S423" s="308"/>
      <c r="T423" s="308"/>
      <c r="U423" s="731"/>
      <c r="V423" s="308"/>
      <c r="W423" s="308"/>
      <c r="X423" s="308"/>
      <c r="Y423" s="308"/>
      <c r="Z423" s="308"/>
      <c r="AA423" s="308"/>
      <c r="AB423" s="731"/>
      <c r="AC423" s="308"/>
      <c r="AD423" s="308"/>
      <c r="AE423" s="308"/>
      <c r="AF423" s="731"/>
      <c r="AG423" s="308"/>
      <c r="AH423" s="308"/>
      <c r="AI423" s="309">
        <f t="shared" si="39"/>
        <v>0</v>
      </c>
      <c r="AJ423" s="310"/>
      <c r="AK423" s="224"/>
      <c r="AL423" s="311"/>
      <c r="AN423" s="312"/>
      <c r="AO423" s="313"/>
      <c r="AP423" s="314"/>
      <c r="AQ423" s="608"/>
    </row>
    <row r="424" spans="1:43" s="322" customFormat="1" ht="15.75" customHeight="1">
      <c r="A424" s="295"/>
      <c r="B424" s="297" t="s">
        <v>188</v>
      </c>
      <c r="C424" s="619"/>
      <c r="D424" s="726"/>
      <c r="E424" s="318"/>
      <c r="F424" s="318"/>
      <c r="G424" s="726"/>
      <c r="H424" s="318"/>
      <c r="I424" s="318"/>
      <c r="J424" s="318"/>
      <c r="K424" s="318"/>
      <c r="L424" s="318"/>
      <c r="M424" s="318"/>
      <c r="N424" s="726"/>
      <c r="O424" s="726"/>
      <c r="P424" s="318"/>
      <c r="Q424" s="319"/>
      <c r="R424" s="318"/>
      <c r="S424" s="319"/>
      <c r="T424" s="318"/>
      <c r="U424" s="726"/>
      <c r="V424" s="318"/>
      <c r="W424" s="509"/>
      <c r="X424" s="318"/>
      <c r="Y424" s="318"/>
      <c r="Z424" s="320"/>
      <c r="AA424" s="318"/>
      <c r="AB424" s="726"/>
      <c r="AC424" s="318"/>
      <c r="AD424" s="318"/>
      <c r="AE424" s="318"/>
      <c r="AF424" s="726"/>
      <c r="AG424" s="318"/>
      <c r="AH424" s="318"/>
      <c r="AI424" s="321"/>
      <c r="AJ424" s="317"/>
      <c r="AK424" s="221"/>
      <c r="AO424" s="323"/>
      <c r="AQ424" s="609"/>
    </row>
    <row r="425" spans="1:43" s="322" customFormat="1" ht="15.75" customHeight="1">
      <c r="A425" s="295"/>
      <c r="B425" s="297" t="s">
        <v>281</v>
      </c>
      <c r="C425" s="619"/>
      <c r="D425" s="727"/>
      <c r="E425" s="324"/>
      <c r="F425" s="324"/>
      <c r="G425" s="727"/>
      <c r="H425" s="324"/>
      <c r="I425" s="324"/>
      <c r="J425" s="324"/>
      <c r="K425" s="324"/>
      <c r="L425" s="324"/>
      <c r="M425" s="324"/>
      <c r="N425" s="727"/>
      <c r="O425" s="727"/>
      <c r="P425" s="324"/>
      <c r="Q425" s="324"/>
      <c r="R425" s="324"/>
      <c r="S425" s="324"/>
      <c r="T425" s="324"/>
      <c r="U425" s="727"/>
      <c r="V425" s="324"/>
      <c r="W425" s="460"/>
      <c r="X425" s="324"/>
      <c r="Y425" s="324"/>
      <c r="Z425" s="324"/>
      <c r="AA425" s="324"/>
      <c r="AB425" s="727"/>
      <c r="AC425" s="324"/>
      <c r="AD425" s="324"/>
      <c r="AE425" s="324"/>
      <c r="AF425" s="727"/>
      <c r="AG425" s="324"/>
      <c r="AH425" s="324"/>
      <c r="AI425" s="321"/>
      <c r="AJ425" s="317"/>
      <c r="AK425" s="221"/>
      <c r="AO425" s="323"/>
      <c r="AQ425" s="609"/>
    </row>
    <row r="426" spans="1:43" s="322" customFormat="1" ht="15.75" customHeight="1">
      <c r="A426" s="295"/>
      <c r="B426" s="220" t="s">
        <v>260</v>
      </c>
      <c r="C426" s="618"/>
      <c r="D426" s="728"/>
      <c r="E426" s="325"/>
      <c r="F426" s="325"/>
      <c r="G426" s="728"/>
      <c r="H426" s="325"/>
      <c r="I426" s="325"/>
      <c r="J426" s="325"/>
      <c r="K426" s="325"/>
      <c r="L426" s="325"/>
      <c r="M426" s="325"/>
      <c r="N426" s="728"/>
      <c r="O426" s="728"/>
      <c r="P426" s="325"/>
      <c r="Q426" s="325"/>
      <c r="R426" s="325"/>
      <c r="S426" s="325"/>
      <c r="T426" s="325"/>
      <c r="U426" s="728"/>
      <c r="V426" s="325"/>
      <c r="W426" s="325"/>
      <c r="X426" s="325"/>
      <c r="Y426" s="325"/>
      <c r="Z426" s="325"/>
      <c r="AA426" s="325"/>
      <c r="AB426" s="728"/>
      <c r="AC426" s="325"/>
      <c r="AD426" s="325"/>
      <c r="AE426" s="325"/>
      <c r="AF426" s="728"/>
      <c r="AG426" s="325"/>
      <c r="AH426" s="325"/>
      <c r="AI426" s="321">
        <f t="shared" ref="AI426:AI436" si="40">SUM(D426:AH426)</f>
        <v>0</v>
      </c>
      <c r="AJ426" s="294"/>
      <c r="AK426" s="221"/>
      <c r="AO426" s="323"/>
      <c r="AQ426" s="609"/>
    </row>
    <row r="427" spans="1:43" s="330" customFormat="1" ht="15.75" customHeight="1">
      <c r="A427" s="295"/>
      <c r="B427" s="298" t="s">
        <v>56</v>
      </c>
      <c r="C427" s="620"/>
      <c r="D427" s="729"/>
      <c r="E427" s="327"/>
      <c r="F427" s="327"/>
      <c r="G427" s="729"/>
      <c r="H427" s="327"/>
      <c r="I427" s="327"/>
      <c r="J427" s="327"/>
      <c r="K427" s="327"/>
      <c r="L427" s="327"/>
      <c r="M427" s="327"/>
      <c r="N427" s="729"/>
      <c r="O427" s="729"/>
      <c r="P427" s="327"/>
      <c r="Q427" s="327"/>
      <c r="R427" s="327"/>
      <c r="S427" s="327"/>
      <c r="T427" s="327"/>
      <c r="U427" s="729"/>
      <c r="V427" s="327"/>
      <c r="W427" s="327"/>
      <c r="X427" s="327"/>
      <c r="Y427" s="327"/>
      <c r="Z427" s="327"/>
      <c r="AA427" s="327"/>
      <c r="AB427" s="729"/>
      <c r="AC427" s="327"/>
      <c r="AD427" s="327"/>
      <c r="AE427" s="327"/>
      <c r="AF427" s="729"/>
      <c r="AG427" s="327"/>
      <c r="AH427" s="327"/>
      <c r="AI427" s="328">
        <f t="shared" si="40"/>
        <v>0</v>
      </c>
      <c r="AJ427" s="296"/>
      <c r="AK427" s="222"/>
      <c r="AL427" s="329"/>
      <c r="AO427" s="331"/>
      <c r="AQ427" s="610"/>
    </row>
    <row r="428" spans="1:43" s="322" customFormat="1" ht="15.75" customHeight="1">
      <c r="A428" s="295"/>
      <c r="B428" s="220" t="s">
        <v>642</v>
      </c>
      <c r="C428" s="618"/>
      <c r="D428" s="728"/>
      <c r="E428" s="325"/>
      <c r="F428" s="325"/>
      <c r="G428" s="728"/>
      <c r="H428" s="325"/>
      <c r="I428" s="325"/>
      <c r="J428" s="325"/>
      <c r="K428" s="325"/>
      <c r="L428" s="325"/>
      <c r="M428" s="325"/>
      <c r="N428" s="728"/>
      <c r="O428" s="728"/>
      <c r="P428" s="325"/>
      <c r="Q428" s="325"/>
      <c r="R428" s="325"/>
      <c r="S428" s="325"/>
      <c r="T428" s="325"/>
      <c r="U428" s="728"/>
      <c r="V428" s="325"/>
      <c r="W428" s="325"/>
      <c r="X428" s="325"/>
      <c r="Y428" s="325"/>
      <c r="Z428" s="325"/>
      <c r="AA428" s="325"/>
      <c r="AB428" s="728"/>
      <c r="AC428" s="325"/>
      <c r="AD428" s="325"/>
      <c r="AE428" s="325"/>
      <c r="AF428" s="728"/>
      <c r="AG428" s="325"/>
      <c r="AH428" s="325"/>
      <c r="AI428" s="321">
        <f t="shared" si="40"/>
        <v>0</v>
      </c>
      <c r="AJ428" s="317">
        <v>1409</v>
      </c>
      <c r="AK428" s="221">
        <f>AI428*AJ428</f>
        <v>0</v>
      </c>
      <c r="AO428" s="323"/>
      <c r="AQ428" s="609"/>
    </row>
    <row r="429" spans="1:43" s="322" customFormat="1" ht="15.75" customHeight="1">
      <c r="A429" s="295"/>
      <c r="B429" s="220" t="s">
        <v>721</v>
      </c>
      <c r="C429" s="618"/>
      <c r="D429" s="728"/>
      <c r="E429" s="325"/>
      <c r="F429" s="325"/>
      <c r="G429" s="728"/>
      <c r="H429" s="325"/>
      <c r="I429" s="325"/>
      <c r="J429" s="325"/>
      <c r="K429" s="325"/>
      <c r="L429" s="325"/>
      <c r="M429" s="325"/>
      <c r="N429" s="728"/>
      <c r="O429" s="727"/>
      <c r="P429" s="324"/>
      <c r="Q429" s="325"/>
      <c r="R429" s="325"/>
      <c r="S429" s="325"/>
      <c r="T429" s="325"/>
      <c r="U429" s="728"/>
      <c r="V429" s="325"/>
      <c r="W429" s="325"/>
      <c r="X429" s="325"/>
      <c r="Y429" s="325"/>
      <c r="Z429" s="325"/>
      <c r="AA429" s="325"/>
      <c r="AB429" s="728"/>
      <c r="AC429" s="325"/>
      <c r="AD429" s="325"/>
      <c r="AE429" s="325"/>
      <c r="AF429" s="728"/>
      <c r="AG429" s="325"/>
      <c r="AH429" s="325"/>
      <c r="AI429" s="321">
        <f t="shared" si="40"/>
        <v>0</v>
      </c>
      <c r="AJ429" s="317">
        <v>1322</v>
      </c>
      <c r="AK429" s="221">
        <f>AI429*AJ429</f>
        <v>0</v>
      </c>
      <c r="AO429" s="323"/>
      <c r="AQ429" s="609"/>
    </row>
    <row r="430" spans="1:43" s="322" customFormat="1" ht="15.75" customHeight="1">
      <c r="A430" s="295"/>
      <c r="B430" s="220" t="s">
        <v>366</v>
      </c>
      <c r="C430" s="618"/>
      <c r="D430" s="728"/>
      <c r="E430" s="325"/>
      <c r="F430" s="325"/>
      <c r="G430" s="728"/>
      <c r="H430" s="325"/>
      <c r="I430" s="325"/>
      <c r="J430" s="325"/>
      <c r="K430" s="325"/>
      <c r="L430" s="325"/>
      <c r="M430" s="325"/>
      <c r="N430" s="728"/>
      <c r="O430" s="728"/>
      <c r="P430" s="325"/>
      <c r="Q430" s="325"/>
      <c r="R430" s="325"/>
      <c r="S430" s="325"/>
      <c r="T430" s="325"/>
      <c r="U430" s="728"/>
      <c r="V430" s="325"/>
      <c r="W430" s="325"/>
      <c r="X430" s="325"/>
      <c r="Y430" s="325"/>
      <c r="Z430" s="325"/>
      <c r="AA430" s="325"/>
      <c r="AB430" s="728"/>
      <c r="AC430" s="325"/>
      <c r="AD430" s="325"/>
      <c r="AE430" s="325"/>
      <c r="AF430" s="728"/>
      <c r="AG430" s="325"/>
      <c r="AH430" s="325"/>
      <c r="AI430" s="321">
        <f t="shared" si="40"/>
        <v>0</v>
      </c>
      <c r="AJ430" s="317">
        <v>1233</v>
      </c>
      <c r="AK430" s="221">
        <f>AI430*AJ430</f>
        <v>0</v>
      </c>
      <c r="AO430" s="323"/>
      <c r="AQ430" s="609"/>
    </row>
    <row r="431" spans="1:43" s="322" customFormat="1" ht="15.75" customHeight="1">
      <c r="A431" s="295"/>
      <c r="B431" s="220" t="s">
        <v>643</v>
      </c>
      <c r="C431" s="618"/>
      <c r="D431" s="728"/>
      <c r="E431" s="325"/>
      <c r="F431" s="325"/>
      <c r="G431" s="728"/>
      <c r="H431" s="325"/>
      <c r="I431" s="325"/>
      <c r="J431" s="325"/>
      <c r="K431" s="325"/>
      <c r="L431" s="325"/>
      <c r="M431" s="325"/>
      <c r="N431" s="728"/>
      <c r="O431" s="728"/>
      <c r="P431" s="325"/>
      <c r="Q431" s="325"/>
      <c r="R431" s="325"/>
      <c r="S431" s="325"/>
      <c r="T431" s="325"/>
      <c r="U431" s="728"/>
      <c r="V431" s="325"/>
      <c r="W431" s="325"/>
      <c r="X431" s="325"/>
      <c r="Y431" s="325"/>
      <c r="Z431" s="325"/>
      <c r="AA431" s="325"/>
      <c r="AB431" s="728"/>
      <c r="AC431" s="325"/>
      <c r="AD431" s="325"/>
      <c r="AE431" s="325"/>
      <c r="AF431" s="728"/>
      <c r="AG431" s="325"/>
      <c r="AH431" s="325"/>
      <c r="AI431" s="321">
        <f t="shared" si="40"/>
        <v>0</v>
      </c>
      <c r="AJ431" s="317">
        <v>1043</v>
      </c>
      <c r="AK431" s="221">
        <f>AI431*AJ431</f>
        <v>0</v>
      </c>
      <c r="AO431" s="323"/>
      <c r="AQ431" s="609"/>
    </row>
    <row r="432" spans="1:43" s="322" customFormat="1" ht="15.75" customHeight="1">
      <c r="A432" s="295"/>
      <c r="B432" s="220" t="s">
        <v>367</v>
      </c>
      <c r="C432" s="618"/>
      <c r="D432" s="728"/>
      <c r="E432" s="325"/>
      <c r="F432" s="325"/>
      <c r="G432" s="728"/>
      <c r="H432" s="325"/>
      <c r="I432" s="325"/>
      <c r="J432" s="325"/>
      <c r="K432" s="325"/>
      <c r="L432" s="325"/>
      <c r="M432" s="325"/>
      <c r="N432" s="728"/>
      <c r="O432" s="728"/>
      <c r="P432" s="325"/>
      <c r="Q432" s="325"/>
      <c r="R432" s="325"/>
      <c r="S432" s="325"/>
      <c r="T432" s="325"/>
      <c r="U432" s="728"/>
      <c r="V432" s="325"/>
      <c r="W432" s="325"/>
      <c r="X432" s="325"/>
      <c r="Y432" s="325"/>
      <c r="Z432" s="325"/>
      <c r="AA432" s="325"/>
      <c r="AB432" s="728"/>
      <c r="AC432" s="325"/>
      <c r="AD432" s="325"/>
      <c r="AE432" s="325"/>
      <c r="AF432" s="728"/>
      <c r="AG432" s="325"/>
      <c r="AH432" s="325"/>
      <c r="AI432" s="321">
        <f t="shared" si="40"/>
        <v>0</v>
      </c>
      <c r="AJ432" s="317"/>
      <c r="AK432" s="221">
        <f>AI432*AJ432</f>
        <v>0</v>
      </c>
      <c r="AL432" s="326"/>
      <c r="AM432" s="326"/>
      <c r="AN432" s="326"/>
      <c r="AO432" s="323"/>
      <c r="AP432" s="326"/>
      <c r="AQ432" s="609"/>
    </row>
    <row r="433" spans="1:43" s="330" customFormat="1" ht="15.75" customHeight="1">
      <c r="A433" s="295"/>
      <c r="B433" s="298" t="s">
        <v>259</v>
      </c>
      <c r="C433" s="620"/>
      <c r="D433" s="729"/>
      <c r="E433" s="327"/>
      <c r="F433" s="327"/>
      <c r="G433" s="729"/>
      <c r="H433" s="327"/>
      <c r="I433" s="327"/>
      <c r="J433" s="327"/>
      <c r="K433" s="327"/>
      <c r="L433" s="327"/>
      <c r="M433" s="327"/>
      <c r="N433" s="729"/>
      <c r="O433" s="729"/>
      <c r="P433" s="327"/>
      <c r="Q433" s="327"/>
      <c r="R433" s="327"/>
      <c r="S433" s="327"/>
      <c r="T433" s="327"/>
      <c r="U433" s="729"/>
      <c r="V433" s="327"/>
      <c r="W433" s="327"/>
      <c r="X433" s="332"/>
      <c r="Y433" s="327"/>
      <c r="Z433" s="327"/>
      <c r="AA433" s="327"/>
      <c r="AB433" s="729"/>
      <c r="AC433" s="327"/>
      <c r="AD433" s="327"/>
      <c r="AE433" s="327"/>
      <c r="AF433" s="729"/>
      <c r="AG433" s="327"/>
      <c r="AH433" s="327"/>
      <c r="AI433" s="328">
        <f t="shared" si="40"/>
        <v>0</v>
      </c>
      <c r="AJ433" s="333"/>
      <c r="AK433" s="222">
        <f>SUM(AK428:AK432)</f>
        <v>0</v>
      </c>
      <c r="AL433" s="334"/>
      <c r="AM433" s="334"/>
      <c r="AN433" s="334"/>
      <c r="AO433" s="331"/>
      <c r="AP433" s="334"/>
      <c r="AQ433" s="610"/>
    </row>
    <row r="434" spans="1:43" s="322" customFormat="1" ht="15.75" customHeight="1">
      <c r="A434" s="295"/>
      <c r="B434" s="220" t="s">
        <v>57</v>
      </c>
      <c r="C434" s="618"/>
      <c r="D434" s="728"/>
      <c r="E434" s="325"/>
      <c r="F434" s="325"/>
      <c r="G434" s="728"/>
      <c r="H434" s="325"/>
      <c r="I434" s="325"/>
      <c r="J434" s="325"/>
      <c r="K434" s="325"/>
      <c r="L434" s="325"/>
      <c r="M434" s="325"/>
      <c r="N434" s="728"/>
      <c r="O434" s="728"/>
      <c r="P434" s="325"/>
      <c r="Q434" s="325"/>
      <c r="R434" s="325"/>
      <c r="S434" s="325"/>
      <c r="T434" s="325"/>
      <c r="U434" s="728"/>
      <c r="V434" s="325"/>
      <c r="W434" s="325"/>
      <c r="X434" s="325"/>
      <c r="Y434" s="325"/>
      <c r="Z434" s="325"/>
      <c r="AA434" s="325"/>
      <c r="AB434" s="728"/>
      <c r="AC434" s="325"/>
      <c r="AD434" s="325"/>
      <c r="AE434" s="325"/>
      <c r="AF434" s="728"/>
      <c r="AG434" s="325"/>
      <c r="AH434" s="325"/>
      <c r="AI434" s="321">
        <f t="shared" si="40"/>
        <v>0</v>
      </c>
      <c r="AJ434" s="317">
        <v>1750</v>
      </c>
      <c r="AK434" s="221">
        <f>AI434*AJ434</f>
        <v>0</v>
      </c>
      <c r="AL434" s="326"/>
      <c r="AM434" s="326"/>
      <c r="AN434" s="326"/>
      <c r="AO434" s="323"/>
      <c r="AP434" s="326"/>
      <c r="AQ434" s="609"/>
    </row>
    <row r="435" spans="1:43" s="360" customFormat="1" ht="15.75" customHeight="1" thickBot="1">
      <c r="A435" s="352"/>
      <c r="B435" s="353" t="s">
        <v>44</v>
      </c>
      <c r="C435" s="621"/>
      <c r="D435" s="730"/>
      <c r="E435" s="354"/>
      <c r="F435" s="354"/>
      <c r="G435" s="730"/>
      <c r="H435" s="354"/>
      <c r="I435" s="354"/>
      <c r="J435" s="354"/>
      <c r="K435" s="354"/>
      <c r="L435" s="354"/>
      <c r="M435" s="354"/>
      <c r="N435" s="730"/>
      <c r="O435" s="730"/>
      <c r="P435" s="354"/>
      <c r="Q435" s="354"/>
      <c r="R435" s="354"/>
      <c r="S435" s="354"/>
      <c r="T435" s="354"/>
      <c r="U435" s="1071"/>
      <c r="V435" s="354"/>
      <c r="W435" s="354"/>
      <c r="X435" s="354"/>
      <c r="Y435" s="354"/>
      <c r="Z435" s="354"/>
      <c r="AA435" s="354"/>
      <c r="AB435" s="730"/>
      <c r="AC435" s="354"/>
      <c r="AD435" s="354"/>
      <c r="AE435" s="354"/>
      <c r="AF435" s="730"/>
      <c r="AG435" s="354"/>
      <c r="AH435" s="354"/>
      <c r="AI435" s="355">
        <f t="shared" si="40"/>
        <v>0</v>
      </c>
      <c r="AJ435" s="356"/>
      <c r="AK435" s="357">
        <f>AI435</f>
        <v>0</v>
      </c>
      <c r="AL435" s="358"/>
      <c r="AM435" s="358"/>
      <c r="AN435" s="358"/>
      <c r="AO435" s="359"/>
      <c r="AP435" s="358"/>
      <c r="AQ435" s="611"/>
    </row>
    <row r="436" spans="1:43" s="216" customFormat="1" ht="15.75" customHeight="1" thickTop="1">
      <c r="A436" s="293">
        <v>34</v>
      </c>
      <c r="B436" s="219"/>
      <c r="C436" s="617"/>
      <c r="D436" s="731"/>
      <c r="E436" s="308"/>
      <c r="F436" s="308"/>
      <c r="G436" s="731"/>
      <c r="H436" s="308"/>
      <c r="I436" s="308"/>
      <c r="J436" s="308"/>
      <c r="K436" s="308"/>
      <c r="L436" s="308"/>
      <c r="M436" s="308"/>
      <c r="N436" s="731"/>
      <c r="O436" s="731"/>
      <c r="P436" s="308"/>
      <c r="Q436" s="308"/>
      <c r="R436" s="308"/>
      <c r="S436" s="308"/>
      <c r="T436" s="308"/>
      <c r="U436" s="731"/>
      <c r="V436" s="308"/>
      <c r="W436" s="308"/>
      <c r="X436" s="308"/>
      <c r="Y436" s="308"/>
      <c r="Z436" s="308"/>
      <c r="AA436" s="308"/>
      <c r="AB436" s="731"/>
      <c r="AC436" s="308"/>
      <c r="AD436" s="308"/>
      <c r="AE436" s="308"/>
      <c r="AF436" s="731"/>
      <c r="AG436" s="308"/>
      <c r="AH436" s="308"/>
      <c r="AI436" s="309">
        <f t="shared" si="40"/>
        <v>0</v>
      </c>
      <c r="AJ436" s="310"/>
      <c r="AK436" s="224"/>
      <c r="AL436" s="311"/>
      <c r="AN436" s="312"/>
      <c r="AO436" s="313"/>
      <c r="AP436" s="314"/>
      <c r="AQ436" s="608"/>
    </row>
    <row r="437" spans="1:43" s="322" customFormat="1" ht="15.75" customHeight="1">
      <c r="A437" s="295"/>
      <c r="B437" s="297" t="s">
        <v>188</v>
      </c>
      <c r="C437" s="619"/>
      <c r="D437" s="726"/>
      <c r="E437" s="318"/>
      <c r="F437" s="318"/>
      <c r="G437" s="726"/>
      <c r="H437" s="318"/>
      <c r="I437" s="318"/>
      <c r="J437" s="318"/>
      <c r="K437" s="318"/>
      <c r="L437" s="318"/>
      <c r="M437" s="318"/>
      <c r="N437" s="726"/>
      <c r="O437" s="726"/>
      <c r="P437" s="319"/>
      <c r="Q437" s="319"/>
      <c r="R437" s="318"/>
      <c r="S437" s="319"/>
      <c r="T437" s="318"/>
      <c r="U437" s="726"/>
      <c r="V437" s="318"/>
      <c r="W437" s="509"/>
      <c r="X437" s="318"/>
      <c r="Y437" s="318"/>
      <c r="Z437" s="320"/>
      <c r="AA437" s="318"/>
      <c r="AB437" s="726"/>
      <c r="AC437" s="318"/>
      <c r="AD437" s="318"/>
      <c r="AE437" s="318"/>
      <c r="AF437" s="726"/>
      <c r="AG437" s="318"/>
      <c r="AH437" s="318"/>
      <c r="AI437" s="321"/>
      <c r="AJ437" s="317"/>
      <c r="AK437" s="221"/>
      <c r="AO437" s="323"/>
      <c r="AQ437" s="609"/>
    </row>
    <row r="438" spans="1:43" s="322" customFormat="1" ht="15.75" customHeight="1">
      <c r="A438" s="295"/>
      <c r="B438" s="297" t="s">
        <v>281</v>
      </c>
      <c r="C438" s="619"/>
      <c r="D438" s="727"/>
      <c r="E438" s="324"/>
      <c r="F438" s="324"/>
      <c r="G438" s="727"/>
      <c r="H438" s="324"/>
      <c r="I438" s="324"/>
      <c r="J438" s="324"/>
      <c r="K438" s="324"/>
      <c r="L438" s="324"/>
      <c r="M438" s="324"/>
      <c r="N438" s="727"/>
      <c r="O438" s="727"/>
      <c r="P438" s="324"/>
      <c r="Q438" s="324"/>
      <c r="R438" s="324"/>
      <c r="S438" s="324"/>
      <c r="T438" s="324"/>
      <c r="U438" s="727"/>
      <c r="V438" s="324"/>
      <c r="W438" s="460"/>
      <c r="X438" s="324"/>
      <c r="Y438" s="324"/>
      <c r="Z438" s="324"/>
      <c r="AA438" s="324"/>
      <c r="AB438" s="727"/>
      <c r="AC438" s="324"/>
      <c r="AD438" s="324"/>
      <c r="AE438" s="324"/>
      <c r="AF438" s="727"/>
      <c r="AG438" s="324"/>
      <c r="AH438" s="324"/>
      <c r="AI438" s="321"/>
      <c r="AJ438" s="317"/>
      <c r="AK438" s="221"/>
      <c r="AO438" s="323"/>
      <c r="AQ438" s="609"/>
    </row>
    <row r="439" spans="1:43" s="322" customFormat="1" ht="15.75" customHeight="1">
      <c r="A439" s="295"/>
      <c r="B439" s="220" t="s">
        <v>260</v>
      </c>
      <c r="C439" s="618"/>
      <c r="D439" s="728"/>
      <c r="E439" s="325"/>
      <c r="F439" s="325"/>
      <c r="G439" s="728"/>
      <c r="H439" s="325"/>
      <c r="I439" s="325"/>
      <c r="J439" s="325"/>
      <c r="K439" s="325"/>
      <c r="L439" s="325"/>
      <c r="M439" s="325"/>
      <c r="N439" s="728"/>
      <c r="O439" s="728"/>
      <c r="P439" s="325"/>
      <c r="Q439" s="325"/>
      <c r="R439" s="325"/>
      <c r="S439" s="325"/>
      <c r="T439" s="325"/>
      <c r="U439" s="728"/>
      <c r="V439" s="325"/>
      <c r="W439" s="325"/>
      <c r="X439" s="325"/>
      <c r="Y439" s="325"/>
      <c r="Z439" s="325"/>
      <c r="AA439" s="325"/>
      <c r="AB439" s="728"/>
      <c r="AC439" s="325"/>
      <c r="AD439" s="325"/>
      <c r="AE439" s="325"/>
      <c r="AF439" s="728"/>
      <c r="AG439" s="325"/>
      <c r="AH439" s="325"/>
      <c r="AI439" s="321">
        <f t="shared" ref="AI439:AI449" si="41">SUM(D439:AH439)</f>
        <v>0</v>
      </c>
      <c r="AJ439" s="294"/>
      <c r="AK439" s="221"/>
      <c r="AO439" s="323"/>
      <c r="AQ439" s="609"/>
    </row>
    <row r="440" spans="1:43" s="330" customFormat="1" ht="15.75" customHeight="1">
      <c r="A440" s="295"/>
      <c r="B440" s="298" t="s">
        <v>56</v>
      </c>
      <c r="C440" s="620"/>
      <c r="D440" s="729"/>
      <c r="E440" s="327"/>
      <c r="F440" s="327"/>
      <c r="G440" s="729"/>
      <c r="H440" s="327"/>
      <c r="I440" s="327"/>
      <c r="J440" s="327"/>
      <c r="K440" s="327"/>
      <c r="L440" s="327"/>
      <c r="M440" s="327"/>
      <c r="N440" s="729"/>
      <c r="O440" s="729"/>
      <c r="P440" s="327"/>
      <c r="Q440" s="327"/>
      <c r="R440" s="327"/>
      <c r="S440" s="327"/>
      <c r="T440" s="327"/>
      <c r="U440" s="729"/>
      <c r="V440" s="327"/>
      <c r="W440" s="327"/>
      <c r="X440" s="327"/>
      <c r="Y440" s="327"/>
      <c r="Z440" s="327"/>
      <c r="AA440" s="327"/>
      <c r="AB440" s="729"/>
      <c r="AC440" s="327"/>
      <c r="AD440" s="327"/>
      <c r="AE440" s="327"/>
      <c r="AF440" s="729"/>
      <c r="AG440" s="327"/>
      <c r="AH440" s="327"/>
      <c r="AI440" s="328">
        <f t="shared" si="41"/>
        <v>0</v>
      </c>
      <c r="AJ440" s="296"/>
      <c r="AK440" s="222"/>
      <c r="AL440" s="329">
        <f>AE440+AG440</f>
        <v>0</v>
      </c>
      <c r="AO440" s="331"/>
      <c r="AQ440" s="610"/>
    </row>
    <row r="441" spans="1:43" s="322" customFormat="1" ht="15.75" customHeight="1">
      <c r="A441" s="295"/>
      <c r="B441" s="220" t="s">
        <v>642</v>
      </c>
      <c r="C441" s="618"/>
      <c r="D441" s="728"/>
      <c r="E441" s="325"/>
      <c r="F441" s="325"/>
      <c r="G441" s="728"/>
      <c r="H441" s="325"/>
      <c r="I441" s="325"/>
      <c r="J441" s="325"/>
      <c r="K441" s="325"/>
      <c r="L441" s="325"/>
      <c r="M441" s="325"/>
      <c r="N441" s="728"/>
      <c r="O441" s="728"/>
      <c r="P441" s="325"/>
      <c r="Q441" s="325"/>
      <c r="R441" s="325"/>
      <c r="S441" s="325"/>
      <c r="T441" s="325"/>
      <c r="U441" s="728"/>
      <c r="V441" s="325"/>
      <c r="W441" s="325"/>
      <c r="X441" s="325"/>
      <c r="Y441" s="325"/>
      <c r="Z441" s="325"/>
      <c r="AA441" s="325"/>
      <c r="AB441" s="728"/>
      <c r="AC441" s="325"/>
      <c r="AD441" s="325"/>
      <c r="AE441" s="325"/>
      <c r="AF441" s="728"/>
      <c r="AG441" s="325"/>
      <c r="AH441" s="325"/>
      <c r="AI441" s="321">
        <f t="shared" si="41"/>
        <v>0</v>
      </c>
      <c r="AJ441" s="317">
        <v>1409</v>
      </c>
      <c r="AK441" s="221">
        <f>AI441*AJ441</f>
        <v>0</v>
      </c>
      <c r="AO441" s="323"/>
      <c r="AQ441" s="609"/>
    </row>
    <row r="442" spans="1:43" s="322" customFormat="1" ht="15.75" customHeight="1">
      <c r="A442" s="295"/>
      <c r="B442" s="220" t="s">
        <v>721</v>
      </c>
      <c r="C442" s="618"/>
      <c r="D442" s="728"/>
      <c r="E442" s="325"/>
      <c r="F442" s="325"/>
      <c r="G442" s="728"/>
      <c r="H442" s="325"/>
      <c r="I442" s="325"/>
      <c r="J442" s="325"/>
      <c r="K442" s="325"/>
      <c r="L442" s="325"/>
      <c r="M442" s="325"/>
      <c r="N442" s="728"/>
      <c r="O442" s="727"/>
      <c r="P442" s="324"/>
      <c r="Q442" s="325"/>
      <c r="R442" s="325"/>
      <c r="S442" s="325"/>
      <c r="T442" s="325"/>
      <c r="U442" s="728"/>
      <c r="V442" s="325"/>
      <c r="W442" s="325"/>
      <c r="X442" s="325"/>
      <c r="Y442" s="325"/>
      <c r="Z442" s="325"/>
      <c r="AA442" s="325"/>
      <c r="AB442" s="728"/>
      <c r="AC442" s="325"/>
      <c r="AD442" s="325"/>
      <c r="AE442" s="325"/>
      <c r="AF442" s="728"/>
      <c r="AG442" s="325"/>
      <c r="AH442" s="325"/>
      <c r="AI442" s="321">
        <f t="shared" si="41"/>
        <v>0</v>
      </c>
      <c r="AJ442" s="317">
        <v>1322</v>
      </c>
      <c r="AK442" s="221">
        <f>AI442*AJ442</f>
        <v>0</v>
      </c>
      <c r="AO442" s="323"/>
      <c r="AQ442" s="609"/>
    </row>
    <row r="443" spans="1:43" s="322" customFormat="1" ht="15.75" customHeight="1">
      <c r="A443" s="295"/>
      <c r="B443" s="220" t="s">
        <v>366</v>
      </c>
      <c r="C443" s="618"/>
      <c r="D443" s="728"/>
      <c r="E443" s="325"/>
      <c r="F443" s="325"/>
      <c r="G443" s="728"/>
      <c r="H443" s="325"/>
      <c r="I443" s="325"/>
      <c r="J443" s="325"/>
      <c r="K443" s="325"/>
      <c r="L443" s="325"/>
      <c r="M443" s="325"/>
      <c r="N443" s="728"/>
      <c r="O443" s="728"/>
      <c r="P443" s="325"/>
      <c r="Q443" s="325"/>
      <c r="R443" s="325"/>
      <c r="S443" s="325"/>
      <c r="T443" s="325"/>
      <c r="U443" s="728"/>
      <c r="V443" s="325"/>
      <c r="W443" s="325"/>
      <c r="X443" s="325"/>
      <c r="Y443" s="325"/>
      <c r="Z443" s="325"/>
      <c r="AA443" s="325"/>
      <c r="AB443" s="728"/>
      <c r="AC443" s="325"/>
      <c r="AD443" s="325"/>
      <c r="AE443" s="325"/>
      <c r="AF443" s="728"/>
      <c r="AG443" s="325"/>
      <c r="AH443" s="325"/>
      <c r="AI443" s="321">
        <f t="shared" si="41"/>
        <v>0</v>
      </c>
      <c r="AJ443" s="317">
        <v>1233</v>
      </c>
      <c r="AK443" s="221">
        <f>AI443*AJ443</f>
        <v>0</v>
      </c>
      <c r="AO443" s="323"/>
      <c r="AQ443" s="609"/>
    </row>
    <row r="444" spans="1:43" s="322" customFormat="1" ht="15.75" customHeight="1">
      <c r="A444" s="295"/>
      <c r="B444" s="220" t="s">
        <v>643</v>
      </c>
      <c r="C444" s="618"/>
      <c r="D444" s="728"/>
      <c r="E444" s="325"/>
      <c r="F444" s="325"/>
      <c r="G444" s="728"/>
      <c r="H444" s="325"/>
      <c r="I444" s="325"/>
      <c r="J444" s="325"/>
      <c r="K444" s="325"/>
      <c r="L444" s="325"/>
      <c r="M444" s="325"/>
      <c r="N444" s="728"/>
      <c r="O444" s="728"/>
      <c r="P444" s="325"/>
      <c r="Q444" s="325"/>
      <c r="R444" s="325"/>
      <c r="S444" s="325"/>
      <c r="T444" s="325"/>
      <c r="U444" s="728"/>
      <c r="V444" s="325"/>
      <c r="W444" s="325"/>
      <c r="X444" s="325"/>
      <c r="Y444" s="325"/>
      <c r="Z444" s="325"/>
      <c r="AA444" s="325"/>
      <c r="AB444" s="728"/>
      <c r="AC444" s="325"/>
      <c r="AD444" s="325"/>
      <c r="AE444" s="325"/>
      <c r="AF444" s="728"/>
      <c r="AG444" s="325"/>
      <c r="AH444" s="325"/>
      <c r="AI444" s="321">
        <f t="shared" si="41"/>
        <v>0</v>
      </c>
      <c r="AJ444" s="317">
        <v>1043</v>
      </c>
      <c r="AK444" s="221">
        <f>AI444*AJ444</f>
        <v>0</v>
      </c>
      <c r="AO444" s="323"/>
      <c r="AQ444" s="609"/>
    </row>
    <row r="445" spans="1:43" s="322" customFormat="1" ht="15.75" customHeight="1">
      <c r="A445" s="295"/>
      <c r="B445" s="220" t="s">
        <v>367</v>
      </c>
      <c r="C445" s="618"/>
      <c r="D445" s="728"/>
      <c r="E445" s="325"/>
      <c r="F445" s="325"/>
      <c r="G445" s="728"/>
      <c r="H445" s="325"/>
      <c r="I445" s="325"/>
      <c r="J445" s="325"/>
      <c r="K445" s="325"/>
      <c r="L445" s="325"/>
      <c r="M445" s="325"/>
      <c r="N445" s="728"/>
      <c r="O445" s="728"/>
      <c r="P445" s="325"/>
      <c r="Q445" s="325"/>
      <c r="R445" s="325"/>
      <c r="S445" s="325"/>
      <c r="T445" s="325"/>
      <c r="U445" s="728"/>
      <c r="V445" s="325"/>
      <c r="W445" s="325"/>
      <c r="X445" s="325"/>
      <c r="Y445" s="325"/>
      <c r="Z445" s="325"/>
      <c r="AA445" s="325"/>
      <c r="AB445" s="728"/>
      <c r="AC445" s="325"/>
      <c r="AD445" s="325"/>
      <c r="AE445" s="325"/>
      <c r="AF445" s="728"/>
      <c r="AG445" s="325"/>
      <c r="AH445" s="325"/>
      <c r="AI445" s="321">
        <f t="shared" si="41"/>
        <v>0</v>
      </c>
      <c r="AJ445" s="317"/>
      <c r="AK445" s="221">
        <f>AI445*AJ445</f>
        <v>0</v>
      </c>
      <c r="AL445" s="326"/>
      <c r="AM445" s="326"/>
      <c r="AN445" s="326"/>
      <c r="AO445" s="323"/>
      <c r="AP445" s="326"/>
      <c r="AQ445" s="609"/>
    </row>
    <row r="446" spans="1:43" s="330" customFormat="1" ht="15.75" customHeight="1">
      <c r="A446" s="295"/>
      <c r="B446" s="298" t="s">
        <v>259</v>
      </c>
      <c r="C446" s="620"/>
      <c r="D446" s="729"/>
      <c r="E446" s="327"/>
      <c r="F446" s="327"/>
      <c r="G446" s="729"/>
      <c r="H446" s="327"/>
      <c r="I446" s="327"/>
      <c r="J446" s="327"/>
      <c r="K446" s="327"/>
      <c r="L446" s="327"/>
      <c r="M446" s="327"/>
      <c r="N446" s="729"/>
      <c r="O446" s="729"/>
      <c r="P446" s="327"/>
      <c r="Q446" s="327"/>
      <c r="R446" s="327"/>
      <c r="S446" s="327"/>
      <c r="T446" s="327"/>
      <c r="U446" s="729"/>
      <c r="V446" s="327"/>
      <c r="W446" s="327"/>
      <c r="X446" s="332"/>
      <c r="Y446" s="327"/>
      <c r="Z446" s="327"/>
      <c r="AA446" s="327"/>
      <c r="AB446" s="729"/>
      <c r="AC446" s="327"/>
      <c r="AD446" s="327"/>
      <c r="AE446" s="327"/>
      <c r="AF446" s="729"/>
      <c r="AG446" s="327"/>
      <c r="AH446" s="327"/>
      <c r="AI446" s="328">
        <f t="shared" si="41"/>
        <v>0</v>
      </c>
      <c r="AJ446" s="333"/>
      <c r="AK446" s="222">
        <f>SUM(AK441:AK445)</f>
        <v>0</v>
      </c>
      <c r="AL446" s="334"/>
      <c r="AM446" s="334"/>
      <c r="AN446" s="334"/>
      <c r="AO446" s="331"/>
      <c r="AP446" s="334"/>
      <c r="AQ446" s="610"/>
    </row>
    <row r="447" spans="1:43" s="322" customFormat="1" ht="15.75" customHeight="1">
      <c r="A447" s="295"/>
      <c r="B447" s="220" t="s">
        <v>57</v>
      </c>
      <c r="C447" s="618"/>
      <c r="D447" s="728"/>
      <c r="E447" s="325"/>
      <c r="F447" s="325"/>
      <c r="G447" s="728"/>
      <c r="H447" s="325"/>
      <c r="I447" s="325"/>
      <c r="J447" s="325"/>
      <c r="K447" s="325"/>
      <c r="L447" s="325"/>
      <c r="M447" s="325"/>
      <c r="N447" s="728"/>
      <c r="O447" s="728"/>
      <c r="P447" s="325"/>
      <c r="Q447" s="325"/>
      <c r="R447" s="325"/>
      <c r="S447" s="325"/>
      <c r="T447" s="325"/>
      <c r="U447" s="728"/>
      <c r="V447" s="325"/>
      <c r="W447" s="325"/>
      <c r="X447" s="325"/>
      <c r="Y447" s="325"/>
      <c r="Z447" s="325"/>
      <c r="AA447" s="325"/>
      <c r="AB447" s="728"/>
      <c r="AC447" s="325"/>
      <c r="AD447" s="325"/>
      <c r="AE447" s="325"/>
      <c r="AF447" s="728"/>
      <c r="AG447" s="325"/>
      <c r="AH447" s="325"/>
      <c r="AI447" s="321">
        <f t="shared" si="41"/>
        <v>0</v>
      </c>
      <c r="AJ447" s="317">
        <v>1750</v>
      </c>
      <c r="AK447" s="221">
        <f>AI447*AJ447</f>
        <v>0</v>
      </c>
      <c r="AL447" s="326"/>
      <c r="AM447" s="326"/>
      <c r="AN447" s="326"/>
      <c r="AO447" s="323"/>
      <c r="AP447" s="326"/>
      <c r="AQ447" s="609"/>
    </row>
    <row r="448" spans="1:43" s="360" customFormat="1" ht="15.75" customHeight="1" thickBot="1">
      <c r="A448" s="352"/>
      <c r="B448" s="353" t="s">
        <v>44</v>
      </c>
      <c r="C448" s="621"/>
      <c r="D448" s="730"/>
      <c r="E448" s="354"/>
      <c r="F448" s="354"/>
      <c r="G448" s="730"/>
      <c r="H448" s="354"/>
      <c r="I448" s="354"/>
      <c r="J448" s="354"/>
      <c r="K448" s="354"/>
      <c r="L448" s="354"/>
      <c r="M448" s="354"/>
      <c r="N448" s="730"/>
      <c r="O448" s="730"/>
      <c r="P448" s="354"/>
      <c r="Q448" s="354"/>
      <c r="R448" s="354"/>
      <c r="S448" s="354"/>
      <c r="T448" s="354"/>
      <c r="U448" s="1071"/>
      <c r="V448" s="354"/>
      <c r="W448" s="354"/>
      <c r="X448" s="354"/>
      <c r="Y448" s="354"/>
      <c r="Z448" s="354"/>
      <c r="AA448" s="354"/>
      <c r="AB448" s="730"/>
      <c r="AC448" s="354"/>
      <c r="AD448" s="354"/>
      <c r="AE448" s="354"/>
      <c r="AF448" s="730"/>
      <c r="AG448" s="354"/>
      <c r="AH448" s="354"/>
      <c r="AI448" s="355">
        <f t="shared" si="41"/>
        <v>0</v>
      </c>
      <c r="AJ448" s="356"/>
      <c r="AK448" s="357">
        <f>AI448</f>
        <v>0</v>
      </c>
      <c r="AL448" s="358"/>
      <c r="AM448" s="358"/>
      <c r="AN448" s="358"/>
      <c r="AO448" s="359"/>
      <c r="AP448" s="358"/>
      <c r="AQ448" s="611"/>
    </row>
    <row r="449" spans="1:43" s="216" customFormat="1" ht="15.75" customHeight="1" thickTop="1">
      <c r="A449" s="293">
        <v>35</v>
      </c>
      <c r="B449" s="219"/>
      <c r="C449" s="617"/>
      <c r="D449" s="731"/>
      <c r="E449" s="308"/>
      <c r="F449" s="308"/>
      <c r="G449" s="731"/>
      <c r="H449" s="308"/>
      <c r="I449" s="308"/>
      <c r="J449" s="308"/>
      <c r="K449" s="308"/>
      <c r="L449" s="308"/>
      <c r="M449" s="308"/>
      <c r="N449" s="731"/>
      <c r="O449" s="731"/>
      <c r="P449" s="308"/>
      <c r="Q449" s="308"/>
      <c r="R449" s="308"/>
      <c r="S449" s="308"/>
      <c r="T449" s="308"/>
      <c r="U449" s="731"/>
      <c r="V449" s="308"/>
      <c r="W449" s="308"/>
      <c r="X449" s="308"/>
      <c r="Y449" s="308"/>
      <c r="Z449" s="308"/>
      <c r="AA449" s="308"/>
      <c r="AB449" s="731"/>
      <c r="AC449" s="308"/>
      <c r="AD449" s="308"/>
      <c r="AE449" s="308"/>
      <c r="AF449" s="731"/>
      <c r="AG449" s="308"/>
      <c r="AH449" s="308"/>
      <c r="AI449" s="309">
        <f t="shared" si="41"/>
        <v>0</v>
      </c>
      <c r="AJ449" s="310"/>
      <c r="AK449" s="224"/>
      <c r="AL449" s="311"/>
      <c r="AN449" s="312"/>
      <c r="AO449" s="313"/>
      <c r="AP449" s="314"/>
      <c r="AQ449" s="608"/>
    </row>
    <row r="450" spans="1:43" s="322" customFormat="1" ht="15.75" customHeight="1">
      <c r="A450" s="295"/>
      <c r="B450" s="297" t="s">
        <v>188</v>
      </c>
      <c r="C450" s="619"/>
      <c r="D450" s="727"/>
      <c r="E450" s="318"/>
      <c r="F450" s="318"/>
      <c r="G450" s="726"/>
      <c r="H450" s="318"/>
      <c r="I450" s="318"/>
      <c r="J450" s="318"/>
      <c r="K450" s="318"/>
      <c r="L450" s="318"/>
      <c r="M450" s="318"/>
      <c r="N450" s="726"/>
      <c r="O450" s="726"/>
      <c r="P450" s="319"/>
      <c r="Q450" s="319"/>
      <c r="R450" s="325"/>
      <c r="S450" s="325"/>
      <c r="T450" s="318"/>
      <c r="U450" s="727"/>
      <c r="V450" s="318"/>
      <c r="W450" s="509"/>
      <c r="X450" s="318"/>
      <c r="Y450" s="318"/>
      <c r="Z450" s="324"/>
      <c r="AA450" s="324"/>
      <c r="AB450" s="727"/>
      <c r="AC450" s="318"/>
      <c r="AD450" s="318"/>
      <c r="AE450" s="318"/>
      <c r="AF450" s="726"/>
      <c r="AG450" s="324"/>
      <c r="AH450" s="318"/>
      <c r="AI450" s="321"/>
      <c r="AJ450" s="317"/>
      <c r="AK450" s="221"/>
      <c r="AO450" s="323"/>
      <c r="AQ450" s="609"/>
    </row>
    <row r="451" spans="1:43" s="322" customFormat="1" ht="15.75" customHeight="1">
      <c r="A451" s="295"/>
      <c r="B451" s="297" t="s">
        <v>281</v>
      </c>
      <c r="C451" s="619"/>
      <c r="D451" s="727"/>
      <c r="E451" s="324"/>
      <c r="F451" s="324"/>
      <c r="G451" s="727"/>
      <c r="H451" s="324"/>
      <c r="I451" s="324"/>
      <c r="J451" s="324"/>
      <c r="K451" s="324"/>
      <c r="L451" s="324"/>
      <c r="M451" s="324"/>
      <c r="N451" s="727"/>
      <c r="O451" s="727"/>
      <c r="P451" s="324"/>
      <c r="Q451" s="324"/>
      <c r="R451" s="324"/>
      <c r="S451" s="324"/>
      <c r="T451" s="324"/>
      <c r="U451" s="727"/>
      <c r="V451" s="324"/>
      <c r="W451" s="460"/>
      <c r="X451" s="324"/>
      <c r="Y451" s="324"/>
      <c r="Z451" s="324"/>
      <c r="AA451" s="324"/>
      <c r="AB451" s="727"/>
      <c r="AC451" s="324"/>
      <c r="AD451" s="324"/>
      <c r="AE451" s="324"/>
      <c r="AF451" s="727"/>
      <c r="AG451" s="324"/>
      <c r="AH451" s="324"/>
      <c r="AI451" s="321"/>
      <c r="AJ451" s="317"/>
      <c r="AK451" s="221"/>
      <c r="AO451" s="323"/>
      <c r="AQ451" s="609"/>
    </row>
    <row r="452" spans="1:43" s="322" customFormat="1" ht="15.75" customHeight="1">
      <c r="A452" s="295"/>
      <c r="B452" s="220" t="s">
        <v>260</v>
      </c>
      <c r="C452" s="618"/>
      <c r="D452" s="728"/>
      <c r="E452" s="325"/>
      <c r="F452" s="325"/>
      <c r="G452" s="728"/>
      <c r="H452" s="325"/>
      <c r="I452" s="325"/>
      <c r="J452" s="325"/>
      <c r="K452" s="325"/>
      <c r="L452" s="325"/>
      <c r="M452" s="325"/>
      <c r="N452" s="728"/>
      <c r="O452" s="728"/>
      <c r="P452" s="325"/>
      <c r="Q452" s="325"/>
      <c r="R452" s="325"/>
      <c r="S452" s="325"/>
      <c r="T452" s="325"/>
      <c r="U452" s="728"/>
      <c r="V452" s="325"/>
      <c r="W452" s="325"/>
      <c r="X452" s="325"/>
      <c r="Y452" s="325"/>
      <c r="Z452" s="325"/>
      <c r="AA452" s="325"/>
      <c r="AB452" s="728"/>
      <c r="AC452" s="325"/>
      <c r="AD452" s="325"/>
      <c r="AE452" s="325"/>
      <c r="AF452" s="728"/>
      <c r="AG452" s="325"/>
      <c r="AH452" s="325"/>
      <c r="AI452" s="321">
        <f t="shared" ref="AI452:AI462" si="42">SUM(D452:AH452)</f>
        <v>0</v>
      </c>
      <c r="AJ452" s="294"/>
      <c r="AK452" s="221"/>
      <c r="AO452" s="323"/>
      <c r="AQ452" s="609"/>
    </row>
    <row r="453" spans="1:43" s="330" customFormat="1" ht="15.75" customHeight="1">
      <c r="A453" s="295"/>
      <c r="B453" s="298" t="s">
        <v>56</v>
      </c>
      <c r="C453" s="620"/>
      <c r="D453" s="729"/>
      <c r="E453" s="327"/>
      <c r="F453" s="327"/>
      <c r="G453" s="729"/>
      <c r="H453" s="327"/>
      <c r="I453" s="327"/>
      <c r="J453" s="327"/>
      <c r="K453" s="327"/>
      <c r="L453" s="327"/>
      <c r="M453" s="327"/>
      <c r="N453" s="729"/>
      <c r="O453" s="729"/>
      <c r="P453" s="327"/>
      <c r="Q453" s="327"/>
      <c r="R453" s="327"/>
      <c r="S453" s="327"/>
      <c r="T453" s="327"/>
      <c r="U453" s="729"/>
      <c r="V453" s="327"/>
      <c r="W453" s="327"/>
      <c r="X453" s="327"/>
      <c r="Y453" s="327"/>
      <c r="Z453" s="327"/>
      <c r="AA453" s="327"/>
      <c r="AB453" s="729"/>
      <c r="AC453" s="327"/>
      <c r="AD453" s="327"/>
      <c r="AE453" s="327"/>
      <c r="AF453" s="729"/>
      <c r="AG453" s="327"/>
      <c r="AH453" s="327"/>
      <c r="AI453" s="328">
        <f t="shared" si="42"/>
        <v>0</v>
      </c>
      <c r="AJ453" s="296"/>
      <c r="AK453" s="222"/>
      <c r="AO453" s="331"/>
      <c r="AQ453" s="610"/>
    </row>
    <row r="454" spans="1:43" s="322" customFormat="1" ht="15.75" customHeight="1">
      <c r="A454" s="295"/>
      <c r="B454" s="220" t="s">
        <v>642</v>
      </c>
      <c r="C454" s="618"/>
      <c r="D454" s="728"/>
      <c r="E454" s="325"/>
      <c r="F454" s="325"/>
      <c r="G454" s="728"/>
      <c r="H454" s="325"/>
      <c r="I454" s="325"/>
      <c r="J454" s="325"/>
      <c r="K454" s="325"/>
      <c r="L454" s="325"/>
      <c r="M454" s="325"/>
      <c r="N454" s="728"/>
      <c r="O454" s="728"/>
      <c r="P454" s="325"/>
      <c r="Q454" s="325"/>
      <c r="R454" s="325"/>
      <c r="S454" s="325"/>
      <c r="T454" s="325"/>
      <c r="U454" s="728"/>
      <c r="V454" s="325"/>
      <c r="W454" s="325"/>
      <c r="X454" s="325"/>
      <c r="Y454" s="325"/>
      <c r="Z454" s="325"/>
      <c r="AA454" s="325"/>
      <c r="AB454" s="728"/>
      <c r="AC454" s="325"/>
      <c r="AD454" s="325"/>
      <c r="AE454" s="325"/>
      <c r="AF454" s="728"/>
      <c r="AG454" s="325"/>
      <c r="AH454" s="325"/>
      <c r="AI454" s="321">
        <f t="shared" si="42"/>
        <v>0</v>
      </c>
      <c r="AJ454" s="317">
        <v>1409</v>
      </c>
      <c r="AK454" s="221">
        <f>AI454*AJ454</f>
        <v>0</v>
      </c>
      <c r="AO454" s="323"/>
      <c r="AQ454" s="609"/>
    </row>
    <row r="455" spans="1:43" s="322" customFormat="1" ht="15.75" customHeight="1">
      <c r="A455" s="295"/>
      <c r="B455" s="220" t="s">
        <v>721</v>
      </c>
      <c r="C455" s="618"/>
      <c r="D455" s="728"/>
      <c r="E455" s="325"/>
      <c r="F455" s="325"/>
      <c r="G455" s="728"/>
      <c r="H455" s="325"/>
      <c r="I455" s="325"/>
      <c r="J455" s="325"/>
      <c r="K455" s="325"/>
      <c r="L455" s="325"/>
      <c r="M455" s="325"/>
      <c r="N455" s="728"/>
      <c r="O455" s="727"/>
      <c r="P455" s="324"/>
      <c r="Q455" s="325"/>
      <c r="R455" s="325"/>
      <c r="S455" s="325"/>
      <c r="T455" s="325"/>
      <c r="U455" s="728"/>
      <c r="V455" s="325"/>
      <c r="W455" s="325"/>
      <c r="X455" s="325"/>
      <c r="Y455" s="325"/>
      <c r="Z455" s="325"/>
      <c r="AA455" s="325"/>
      <c r="AB455" s="728"/>
      <c r="AC455" s="325"/>
      <c r="AD455" s="325"/>
      <c r="AE455" s="325"/>
      <c r="AF455" s="728"/>
      <c r="AG455" s="325"/>
      <c r="AH455" s="325"/>
      <c r="AI455" s="321">
        <f t="shared" si="42"/>
        <v>0</v>
      </c>
      <c r="AJ455" s="317">
        <v>1322</v>
      </c>
      <c r="AK455" s="221">
        <f>AI455*AJ455</f>
        <v>0</v>
      </c>
      <c r="AO455" s="323"/>
      <c r="AQ455" s="609"/>
    </row>
    <row r="456" spans="1:43" s="322" customFormat="1" ht="15.75" customHeight="1">
      <c r="A456" s="295"/>
      <c r="B456" s="220" t="s">
        <v>366</v>
      </c>
      <c r="C456" s="618"/>
      <c r="D456" s="728"/>
      <c r="E456" s="325"/>
      <c r="F456" s="325"/>
      <c r="G456" s="728"/>
      <c r="H456" s="325"/>
      <c r="I456" s="325"/>
      <c r="J456" s="325"/>
      <c r="K456" s="325"/>
      <c r="L456" s="325"/>
      <c r="M456" s="325"/>
      <c r="N456" s="728"/>
      <c r="O456" s="728"/>
      <c r="P456" s="325"/>
      <c r="Q456" s="325"/>
      <c r="R456" s="325"/>
      <c r="S456" s="325"/>
      <c r="T456" s="325"/>
      <c r="U456" s="728"/>
      <c r="V456" s="325"/>
      <c r="W456" s="325"/>
      <c r="X456" s="325"/>
      <c r="Y456" s="325"/>
      <c r="Z456" s="325"/>
      <c r="AA456" s="325"/>
      <c r="AB456" s="728"/>
      <c r="AC456" s="325"/>
      <c r="AD456" s="325"/>
      <c r="AE456" s="325"/>
      <c r="AF456" s="728"/>
      <c r="AG456" s="325"/>
      <c r="AH456" s="325"/>
      <c r="AI456" s="321">
        <f t="shared" si="42"/>
        <v>0</v>
      </c>
      <c r="AJ456" s="317">
        <v>1233</v>
      </c>
      <c r="AK456" s="221">
        <f>AI456*AJ456</f>
        <v>0</v>
      </c>
      <c r="AO456" s="323"/>
      <c r="AQ456" s="609"/>
    </row>
    <row r="457" spans="1:43" s="322" customFormat="1" ht="15.75" customHeight="1">
      <c r="A457" s="295"/>
      <c r="B457" s="220" t="s">
        <v>643</v>
      </c>
      <c r="C457" s="618"/>
      <c r="D457" s="728"/>
      <c r="E457" s="325"/>
      <c r="F457" s="325"/>
      <c r="G457" s="728"/>
      <c r="H457" s="325"/>
      <c r="I457" s="325"/>
      <c r="J457" s="325"/>
      <c r="K457" s="325"/>
      <c r="L457" s="325"/>
      <c r="M457" s="325"/>
      <c r="N457" s="728"/>
      <c r="O457" s="728"/>
      <c r="P457" s="325"/>
      <c r="Q457" s="325"/>
      <c r="R457" s="325"/>
      <c r="S457" s="325"/>
      <c r="T457" s="325"/>
      <c r="U457" s="728"/>
      <c r="V457" s="325"/>
      <c r="W457" s="325"/>
      <c r="X457" s="325"/>
      <c r="Y457" s="325"/>
      <c r="Z457" s="325"/>
      <c r="AA457" s="325"/>
      <c r="AB457" s="728"/>
      <c r="AC457" s="325"/>
      <c r="AD457" s="325"/>
      <c r="AE457" s="325"/>
      <c r="AF457" s="728"/>
      <c r="AG457" s="325"/>
      <c r="AH457" s="325"/>
      <c r="AI457" s="321">
        <f t="shared" si="42"/>
        <v>0</v>
      </c>
      <c r="AJ457" s="317">
        <v>1043</v>
      </c>
      <c r="AK457" s="221">
        <f>AI457*AJ457</f>
        <v>0</v>
      </c>
      <c r="AO457" s="323"/>
      <c r="AQ457" s="609"/>
    </row>
    <row r="458" spans="1:43" s="322" customFormat="1" ht="15.75" customHeight="1">
      <c r="A458" s="295"/>
      <c r="B458" s="220" t="s">
        <v>367</v>
      </c>
      <c r="C458" s="618"/>
      <c r="D458" s="728"/>
      <c r="E458" s="325"/>
      <c r="F458" s="325"/>
      <c r="G458" s="728"/>
      <c r="H458" s="325"/>
      <c r="I458" s="325"/>
      <c r="J458" s="325"/>
      <c r="K458" s="325"/>
      <c r="L458" s="325"/>
      <c r="M458" s="325"/>
      <c r="N458" s="728"/>
      <c r="O458" s="728"/>
      <c r="P458" s="325"/>
      <c r="Q458" s="325"/>
      <c r="R458" s="325"/>
      <c r="S458" s="325"/>
      <c r="T458" s="325"/>
      <c r="U458" s="728"/>
      <c r="V458" s="325"/>
      <c r="W458" s="325"/>
      <c r="X458" s="325"/>
      <c r="Y458" s="325"/>
      <c r="Z458" s="325"/>
      <c r="AA458" s="325"/>
      <c r="AB458" s="728"/>
      <c r="AC458" s="325"/>
      <c r="AD458" s="325"/>
      <c r="AE458" s="325"/>
      <c r="AF458" s="728"/>
      <c r="AG458" s="325"/>
      <c r="AH458" s="325"/>
      <c r="AI458" s="321">
        <f t="shared" si="42"/>
        <v>0</v>
      </c>
      <c r="AJ458" s="317"/>
      <c r="AK458" s="221">
        <f>AI458*AJ458</f>
        <v>0</v>
      </c>
      <c r="AL458" s="326"/>
      <c r="AM458" s="326"/>
      <c r="AN458" s="326"/>
      <c r="AO458" s="323"/>
      <c r="AP458" s="326"/>
      <c r="AQ458" s="609"/>
    </row>
    <row r="459" spans="1:43" s="330" customFormat="1" ht="15.75" customHeight="1">
      <c r="A459" s="295"/>
      <c r="B459" s="298" t="s">
        <v>259</v>
      </c>
      <c r="C459" s="620"/>
      <c r="D459" s="729"/>
      <c r="E459" s="327"/>
      <c r="F459" s="327"/>
      <c r="G459" s="729"/>
      <c r="H459" s="327"/>
      <c r="I459" s="327"/>
      <c r="J459" s="327"/>
      <c r="K459" s="327"/>
      <c r="L459" s="327"/>
      <c r="M459" s="327"/>
      <c r="N459" s="729"/>
      <c r="O459" s="729"/>
      <c r="P459" s="327"/>
      <c r="Q459" s="327"/>
      <c r="R459" s="327"/>
      <c r="S459" s="327"/>
      <c r="T459" s="327"/>
      <c r="U459" s="729"/>
      <c r="V459" s="327"/>
      <c r="W459" s="327"/>
      <c r="X459" s="332"/>
      <c r="Y459" s="327"/>
      <c r="Z459" s="327"/>
      <c r="AA459" s="327"/>
      <c r="AB459" s="729"/>
      <c r="AC459" s="327"/>
      <c r="AD459" s="327"/>
      <c r="AE459" s="327"/>
      <c r="AF459" s="729"/>
      <c r="AG459" s="327"/>
      <c r="AH459" s="327"/>
      <c r="AI459" s="328">
        <f t="shared" si="42"/>
        <v>0</v>
      </c>
      <c r="AJ459" s="333"/>
      <c r="AK459" s="222">
        <f>SUM(AK454:AK458)</f>
        <v>0</v>
      </c>
      <c r="AL459" s="334"/>
      <c r="AM459" s="334"/>
      <c r="AN459" s="334"/>
      <c r="AO459" s="331"/>
      <c r="AP459" s="334"/>
      <c r="AQ459" s="610"/>
    </row>
    <row r="460" spans="1:43" s="322" customFormat="1" ht="15.75" customHeight="1">
      <c r="A460" s="295"/>
      <c r="B460" s="220" t="s">
        <v>57</v>
      </c>
      <c r="C460" s="618"/>
      <c r="D460" s="728"/>
      <c r="E460" s="325"/>
      <c r="F460" s="325"/>
      <c r="G460" s="728"/>
      <c r="H460" s="325"/>
      <c r="I460" s="325"/>
      <c r="J460" s="325"/>
      <c r="K460" s="325"/>
      <c r="L460" s="325"/>
      <c r="M460" s="325"/>
      <c r="N460" s="728"/>
      <c r="O460" s="728"/>
      <c r="P460" s="325"/>
      <c r="Q460" s="325"/>
      <c r="R460" s="325"/>
      <c r="S460" s="325"/>
      <c r="T460" s="325"/>
      <c r="U460" s="728"/>
      <c r="V460" s="325"/>
      <c r="W460" s="325"/>
      <c r="X460" s="325"/>
      <c r="Y460" s="325"/>
      <c r="Z460" s="325"/>
      <c r="AA460" s="325"/>
      <c r="AB460" s="728"/>
      <c r="AC460" s="325"/>
      <c r="AD460" s="325"/>
      <c r="AE460" s="325"/>
      <c r="AF460" s="728"/>
      <c r="AG460" s="325"/>
      <c r="AH460" s="325"/>
      <c r="AI460" s="321">
        <f t="shared" si="42"/>
        <v>0</v>
      </c>
      <c r="AJ460" s="317">
        <v>1750</v>
      </c>
      <c r="AK460" s="221">
        <f>AI460*AJ460</f>
        <v>0</v>
      </c>
      <c r="AL460" s="326"/>
      <c r="AM460" s="326"/>
      <c r="AN460" s="326"/>
      <c r="AO460" s="323"/>
      <c r="AP460" s="326"/>
      <c r="AQ460" s="609"/>
    </row>
    <row r="461" spans="1:43" s="322" customFormat="1" ht="15.75" customHeight="1" thickBot="1">
      <c r="A461" s="295"/>
      <c r="B461" s="353" t="s">
        <v>44</v>
      </c>
      <c r="C461" s="621"/>
      <c r="D461" s="728"/>
      <c r="E461" s="325"/>
      <c r="F461" s="325"/>
      <c r="G461" s="728"/>
      <c r="H461" s="325"/>
      <c r="I461" s="325"/>
      <c r="J461" s="325"/>
      <c r="K461" s="325"/>
      <c r="L461" s="325"/>
      <c r="M461" s="325"/>
      <c r="N461" s="728"/>
      <c r="O461" s="728"/>
      <c r="P461" s="325"/>
      <c r="Q461" s="325"/>
      <c r="R461" s="325"/>
      <c r="S461" s="325"/>
      <c r="T461" s="325"/>
      <c r="U461" s="728"/>
      <c r="V461" s="325"/>
      <c r="W461" s="325"/>
      <c r="X461" s="325"/>
      <c r="Y461" s="325"/>
      <c r="Z461" s="325"/>
      <c r="AA461" s="325"/>
      <c r="AB461" s="728"/>
      <c r="AC461" s="325"/>
      <c r="AD461" s="325"/>
      <c r="AE461" s="325"/>
      <c r="AF461" s="728"/>
      <c r="AG461" s="325"/>
      <c r="AH461" s="325"/>
      <c r="AI461" s="321">
        <f t="shared" si="42"/>
        <v>0</v>
      </c>
      <c r="AJ461" s="356"/>
      <c r="AK461" s="221">
        <f>AI461</f>
        <v>0</v>
      </c>
      <c r="AL461" s="326"/>
      <c r="AM461" s="326"/>
      <c r="AN461" s="326"/>
      <c r="AO461" s="323"/>
      <c r="AP461" s="326"/>
      <c r="AQ461" s="609"/>
    </row>
    <row r="462" spans="1:43" s="216" customFormat="1" ht="15.75" customHeight="1" thickTop="1">
      <c r="A462" s="293">
        <v>36</v>
      </c>
      <c r="B462" s="219"/>
      <c r="C462" s="617"/>
      <c r="D462" s="731"/>
      <c r="E462" s="308"/>
      <c r="F462" s="308"/>
      <c r="G462" s="731"/>
      <c r="H462" s="308"/>
      <c r="I462" s="308"/>
      <c r="J462" s="308"/>
      <c r="K462" s="308"/>
      <c r="L462" s="308"/>
      <c r="M462" s="308"/>
      <c r="N462" s="731"/>
      <c r="O462" s="731"/>
      <c r="P462" s="308"/>
      <c r="Q462" s="308"/>
      <c r="R462" s="308"/>
      <c r="S462" s="308"/>
      <c r="T462" s="308"/>
      <c r="U462" s="731"/>
      <c r="V462" s="308"/>
      <c r="W462" s="308"/>
      <c r="X462" s="308"/>
      <c r="Y462" s="308"/>
      <c r="Z462" s="308"/>
      <c r="AA462" s="308"/>
      <c r="AB462" s="731"/>
      <c r="AC462" s="308"/>
      <c r="AD462" s="308"/>
      <c r="AE462" s="308"/>
      <c r="AF462" s="731"/>
      <c r="AG462" s="308"/>
      <c r="AH462" s="308"/>
      <c r="AI462" s="309">
        <f t="shared" si="42"/>
        <v>0</v>
      </c>
      <c r="AJ462" s="310"/>
      <c r="AK462" s="224"/>
      <c r="AL462" s="311"/>
      <c r="AN462" s="312"/>
      <c r="AO462" s="313"/>
      <c r="AP462" s="314"/>
      <c r="AQ462" s="608"/>
    </row>
    <row r="463" spans="1:43" s="322" customFormat="1" ht="15.75" customHeight="1">
      <c r="A463" s="295"/>
      <c r="B463" s="297" t="s">
        <v>188</v>
      </c>
      <c r="C463" s="619"/>
      <c r="D463" s="726"/>
      <c r="E463" s="318"/>
      <c r="F463" s="318"/>
      <c r="G463" s="726"/>
      <c r="H463" s="318"/>
      <c r="I463" s="318"/>
      <c r="J463" s="318"/>
      <c r="K463" s="318"/>
      <c r="L463" s="318"/>
      <c r="M463" s="318"/>
      <c r="N463" s="726"/>
      <c r="O463" s="726"/>
      <c r="P463" s="319"/>
      <c r="Q463" s="318"/>
      <c r="R463" s="318"/>
      <c r="S463" s="319"/>
      <c r="T463" s="318"/>
      <c r="U463" s="726"/>
      <c r="V463" s="318"/>
      <c r="W463" s="509"/>
      <c r="X463" s="318"/>
      <c r="Y463" s="318"/>
      <c r="Z463" s="320"/>
      <c r="AA463" s="318"/>
      <c r="AB463" s="726"/>
      <c r="AC463" s="318"/>
      <c r="AD463" s="318"/>
      <c r="AE463" s="318"/>
      <c r="AF463" s="726"/>
      <c r="AG463" s="318"/>
      <c r="AH463" s="318"/>
      <c r="AI463" s="321"/>
      <c r="AJ463" s="317"/>
      <c r="AK463" s="221"/>
      <c r="AO463" s="323"/>
      <c r="AQ463" s="609"/>
    </row>
    <row r="464" spans="1:43" s="322" customFormat="1" ht="15.75" customHeight="1">
      <c r="A464" s="295"/>
      <c r="B464" s="297" t="s">
        <v>281</v>
      </c>
      <c r="C464" s="619"/>
      <c r="D464" s="727"/>
      <c r="E464" s="324"/>
      <c r="F464" s="324"/>
      <c r="G464" s="727"/>
      <c r="H464" s="324"/>
      <c r="I464" s="324"/>
      <c r="J464" s="324"/>
      <c r="K464" s="324"/>
      <c r="L464" s="324"/>
      <c r="M464" s="324"/>
      <c r="N464" s="727"/>
      <c r="O464" s="727"/>
      <c r="P464" s="324"/>
      <c r="Q464" s="324"/>
      <c r="R464" s="324"/>
      <c r="S464" s="324"/>
      <c r="T464" s="324"/>
      <c r="U464" s="727"/>
      <c r="V464" s="324"/>
      <c r="W464" s="460"/>
      <c r="X464" s="324"/>
      <c r="Y464" s="324"/>
      <c r="Z464" s="324"/>
      <c r="AA464" s="324"/>
      <c r="AB464" s="727"/>
      <c r="AC464" s="324"/>
      <c r="AD464" s="324"/>
      <c r="AE464" s="324"/>
      <c r="AF464" s="727"/>
      <c r="AG464" s="324"/>
      <c r="AH464" s="324"/>
      <c r="AI464" s="321"/>
      <c r="AJ464" s="317"/>
      <c r="AK464" s="221"/>
      <c r="AO464" s="323"/>
      <c r="AQ464" s="609"/>
    </row>
    <row r="465" spans="1:43" s="322" customFormat="1" ht="15.75" customHeight="1">
      <c r="A465" s="295"/>
      <c r="B465" s="220" t="s">
        <v>260</v>
      </c>
      <c r="C465" s="618"/>
      <c r="D465" s="728"/>
      <c r="E465" s="325"/>
      <c r="F465" s="325"/>
      <c r="G465" s="728"/>
      <c r="H465" s="325"/>
      <c r="I465" s="325"/>
      <c r="J465" s="325"/>
      <c r="K465" s="325"/>
      <c r="L465" s="325"/>
      <c r="M465" s="325"/>
      <c r="N465" s="728"/>
      <c r="O465" s="728"/>
      <c r="P465" s="325"/>
      <c r="Q465" s="325"/>
      <c r="R465" s="325"/>
      <c r="S465" s="325"/>
      <c r="T465" s="325"/>
      <c r="U465" s="728"/>
      <c r="V465" s="325"/>
      <c r="W465" s="325"/>
      <c r="X465" s="325"/>
      <c r="Y465" s="325"/>
      <c r="Z465" s="325"/>
      <c r="AA465" s="325"/>
      <c r="AB465" s="728"/>
      <c r="AC465" s="325"/>
      <c r="AD465" s="325"/>
      <c r="AE465" s="325"/>
      <c r="AF465" s="728"/>
      <c r="AG465" s="325"/>
      <c r="AH465" s="325"/>
      <c r="AI465" s="321">
        <f t="shared" ref="AI465:AI475" si="43">SUM(D465:AH465)</f>
        <v>0</v>
      </c>
      <c r="AJ465" s="294"/>
      <c r="AK465" s="221"/>
      <c r="AO465" s="323"/>
      <c r="AQ465" s="609"/>
    </row>
    <row r="466" spans="1:43" s="330" customFormat="1" ht="15.75" customHeight="1">
      <c r="A466" s="295"/>
      <c r="B466" s="298" t="s">
        <v>56</v>
      </c>
      <c r="C466" s="620"/>
      <c r="D466" s="729"/>
      <c r="E466" s="327"/>
      <c r="F466" s="327"/>
      <c r="G466" s="729"/>
      <c r="H466" s="327"/>
      <c r="I466" s="327"/>
      <c r="J466" s="327"/>
      <c r="K466" s="327"/>
      <c r="L466" s="327"/>
      <c r="M466" s="327"/>
      <c r="N466" s="729"/>
      <c r="O466" s="729"/>
      <c r="P466" s="327"/>
      <c r="Q466" s="327"/>
      <c r="R466" s="327"/>
      <c r="S466" s="327"/>
      <c r="T466" s="327"/>
      <c r="U466" s="729"/>
      <c r="V466" s="327"/>
      <c r="W466" s="327"/>
      <c r="X466" s="327"/>
      <c r="Y466" s="327"/>
      <c r="Z466" s="327"/>
      <c r="AA466" s="327"/>
      <c r="AB466" s="729"/>
      <c r="AC466" s="327"/>
      <c r="AD466" s="327"/>
      <c r="AE466" s="327"/>
      <c r="AF466" s="729"/>
      <c r="AG466" s="327"/>
      <c r="AH466" s="327"/>
      <c r="AI466" s="328">
        <f t="shared" si="43"/>
        <v>0</v>
      </c>
      <c r="AJ466" s="296"/>
      <c r="AK466" s="222"/>
      <c r="AL466" s="329">
        <f>AE466+AG466</f>
        <v>0</v>
      </c>
      <c r="AO466" s="331"/>
      <c r="AQ466" s="610"/>
    </row>
    <row r="467" spans="1:43" s="322" customFormat="1" ht="15.75" customHeight="1">
      <c r="A467" s="295"/>
      <c r="B467" s="220" t="s">
        <v>642</v>
      </c>
      <c r="C467" s="618"/>
      <c r="D467" s="728"/>
      <c r="E467" s="325"/>
      <c r="F467" s="325"/>
      <c r="G467" s="728"/>
      <c r="H467" s="325"/>
      <c r="I467" s="325"/>
      <c r="J467" s="325"/>
      <c r="K467" s="325"/>
      <c r="L467" s="325"/>
      <c r="M467" s="325"/>
      <c r="N467" s="728"/>
      <c r="O467" s="728"/>
      <c r="P467" s="325"/>
      <c r="Q467" s="325"/>
      <c r="R467" s="325"/>
      <c r="S467" s="325"/>
      <c r="T467" s="325"/>
      <c r="U467" s="728"/>
      <c r="V467" s="325"/>
      <c r="W467" s="325"/>
      <c r="X467" s="325"/>
      <c r="Y467" s="325"/>
      <c r="Z467" s="325"/>
      <c r="AA467" s="325"/>
      <c r="AB467" s="728"/>
      <c r="AC467" s="325"/>
      <c r="AD467" s="325"/>
      <c r="AE467" s="325"/>
      <c r="AF467" s="728"/>
      <c r="AG467" s="325"/>
      <c r="AH467" s="325"/>
      <c r="AI467" s="321">
        <f t="shared" si="43"/>
        <v>0</v>
      </c>
      <c r="AJ467" s="317">
        <v>1409</v>
      </c>
      <c r="AK467" s="221">
        <f>AI467*AJ467</f>
        <v>0</v>
      </c>
      <c r="AO467" s="323"/>
      <c r="AQ467" s="609"/>
    </row>
    <row r="468" spans="1:43" s="322" customFormat="1" ht="15.75" customHeight="1">
      <c r="A468" s="295"/>
      <c r="B468" s="220" t="s">
        <v>721</v>
      </c>
      <c r="C468" s="618"/>
      <c r="D468" s="728"/>
      <c r="E468" s="325"/>
      <c r="F468" s="325"/>
      <c r="G468" s="728"/>
      <c r="H468" s="325"/>
      <c r="I468" s="325"/>
      <c r="J468" s="325"/>
      <c r="K468" s="325"/>
      <c r="L468" s="325"/>
      <c r="M468" s="325"/>
      <c r="N468" s="728"/>
      <c r="O468" s="727"/>
      <c r="P468" s="324"/>
      <c r="Q468" s="325"/>
      <c r="R468" s="325"/>
      <c r="S468" s="325"/>
      <c r="T468" s="325"/>
      <c r="U468" s="728"/>
      <c r="V468" s="325"/>
      <c r="W468" s="325"/>
      <c r="X468" s="325"/>
      <c r="Y468" s="325"/>
      <c r="Z468" s="325"/>
      <c r="AA468" s="325"/>
      <c r="AB468" s="728"/>
      <c r="AC468" s="325"/>
      <c r="AD468" s="325"/>
      <c r="AE468" s="325"/>
      <c r="AF468" s="728"/>
      <c r="AG468" s="325"/>
      <c r="AH468" s="325"/>
      <c r="AI468" s="321">
        <f t="shared" si="43"/>
        <v>0</v>
      </c>
      <c r="AJ468" s="317">
        <v>1322</v>
      </c>
      <c r="AK468" s="221">
        <f>AI468*AJ468</f>
        <v>0</v>
      </c>
      <c r="AO468" s="323"/>
      <c r="AQ468" s="609"/>
    </row>
    <row r="469" spans="1:43" s="322" customFormat="1" ht="15.75" customHeight="1">
      <c r="A469" s="295"/>
      <c r="B469" s="220" t="s">
        <v>366</v>
      </c>
      <c r="C469" s="618"/>
      <c r="D469" s="728"/>
      <c r="E469" s="325"/>
      <c r="F469" s="325"/>
      <c r="G469" s="728"/>
      <c r="H469" s="325"/>
      <c r="I469" s="325"/>
      <c r="J469" s="325"/>
      <c r="K469" s="325"/>
      <c r="L469" s="325"/>
      <c r="M469" s="325"/>
      <c r="N469" s="728"/>
      <c r="O469" s="728"/>
      <c r="P469" s="325"/>
      <c r="Q469" s="325"/>
      <c r="R469" s="325"/>
      <c r="S469" s="325"/>
      <c r="T469" s="325"/>
      <c r="U469" s="728"/>
      <c r="V469" s="325"/>
      <c r="W469" s="325"/>
      <c r="X469" s="325"/>
      <c r="Y469" s="325"/>
      <c r="Z469" s="325"/>
      <c r="AA469" s="325"/>
      <c r="AB469" s="728"/>
      <c r="AC469" s="325"/>
      <c r="AD469" s="325"/>
      <c r="AE469" s="325"/>
      <c r="AF469" s="728"/>
      <c r="AG469" s="325"/>
      <c r="AH469" s="325"/>
      <c r="AI469" s="321">
        <f t="shared" si="43"/>
        <v>0</v>
      </c>
      <c r="AJ469" s="317">
        <v>1233</v>
      </c>
      <c r="AK469" s="221">
        <f>AI469*AJ469</f>
        <v>0</v>
      </c>
      <c r="AO469" s="323"/>
      <c r="AQ469" s="609"/>
    </row>
    <row r="470" spans="1:43" s="322" customFormat="1" ht="15.75" customHeight="1">
      <c r="A470" s="295"/>
      <c r="B470" s="220" t="s">
        <v>643</v>
      </c>
      <c r="C470" s="618"/>
      <c r="D470" s="728"/>
      <c r="E470" s="325"/>
      <c r="F470" s="325"/>
      <c r="G470" s="728"/>
      <c r="H470" s="325"/>
      <c r="I470" s="325"/>
      <c r="J470" s="325"/>
      <c r="K470" s="325"/>
      <c r="L470" s="325"/>
      <c r="M470" s="325"/>
      <c r="N470" s="728"/>
      <c r="O470" s="728"/>
      <c r="P470" s="325"/>
      <c r="Q470" s="325"/>
      <c r="R470" s="325"/>
      <c r="S470" s="325"/>
      <c r="T470" s="325"/>
      <c r="U470" s="728"/>
      <c r="V470" s="325"/>
      <c r="W470" s="325"/>
      <c r="X470" s="325"/>
      <c r="Y470" s="325"/>
      <c r="Z470" s="325"/>
      <c r="AA470" s="325"/>
      <c r="AB470" s="728"/>
      <c r="AC470" s="325"/>
      <c r="AD470" s="325"/>
      <c r="AE470" s="325"/>
      <c r="AF470" s="728"/>
      <c r="AG470" s="325"/>
      <c r="AH470" s="325"/>
      <c r="AI470" s="321">
        <f t="shared" si="43"/>
        <v>0</v>
      </c>
      <c r="AJ470" s="317">
        <v>1043</v>
      </c>
      <c r="AK470" s="221">
        <f>AI470*AJ470</f>
        <v>0</v>
      </c>
      <c r="AO470" s="323"/>
      <c r="AQ470" s="609"/>
    </row>
    <row r="471" spans="1:43" s="322" customFormat="1" ht="15.75" customHeight="1">
      <c r="A471" s="295"/>
      <c r="B471" s="220" t="s">
        <v>367</v>
      </c>
      <c r="C471" s="618"/>
      <c r="D471" s="728"/>
      <c r="E471" s="325"/>
      <c r="F471" s="325"/>
      <c r="G471" s="728"/>
      <c r="H471" s="325"/>
      <c r="I471" s="325"/>
      <c r="J471" s="325"/>
      <c r="K471" s="325"/>
      <c r="L471" s="325"/>
      <c r="M471" s="325"/>
      <c r="N471" s="728"/>
      <c r="O471" s="728"/>
      <c r="P471" s="325"/>
      <c r="Q471" s="325"/>
      <c r="R471" s="325"/>
      <c r="S471" s="325"/>
      <c r="T471" s="325"/>
      <c r="U471" s="728"/>
      <c r="V471" s="325"/>
      <c r="W471" s="325"/>
      <c r="X471" s="325"/>
      <c r="Y471" s="325"/>
      <c r="Z471" s="325"/>
      <c r="AA471" s="325"/>
      <c r="AB471" s="728"/>
      <c r="AC471" s="325"/>
      <c r="AD471" s="325"/>
      <c r="AE471" s="325"/>
      <c r="AF471" s="728"/>
      <c r="AG471" s="325"/>
      <c r="AH471" s="325"/>
      <c r="AI471" s="321">
        <f t="shared" si="43"/>
        <v>0</v>
      </c>
      <c r="AJ471" s="317"/>
      <c r="AK471" s="221">
        <f>AI471*AJ471</f>
        <v>0</v>
      </c>
      <c r="AL471" s="326"/>
      <c r="AM471" s="326"/>
      <c r="AN471" s="326"/>
      <c r="AO471" s="323"/>
      <c r="AP471" s="326"/>
      <c r="AQ471" s="609"/>
    </row>
    <row r="472" spans="1:43" s="330" customFormat="1" ht="15.75" customHeight="1">
      <c r="A472" s="295"/>
      <c r="B472" s="298" t="s">
        <v>259</v>
      </c>
      <c r="C472" s="620"/>
      <c r="D472" s="729"/>
      <c r="E472" s="327"/>
      <c r="F472" s="327"/>
      <c r="G472" s="729"/>
      <c r="H472" s="327"/>
      <c r="I472" s="327"/>
      <c r="J472" s="327"/>
      <c r="K472" s="327"/>
      <c r="L472" s="327"/>
      <c r="M472" s="327"/>
      <c r="N472" s="729"/>
      <c r="O472" s="729"/>
      <c r="P472" s="327"/>
      <c r="Q472" s="327"/>
      <c r="R472" s="327"/>
      <c r="S472" s="327"/>
      <c r="T472" s="327"/>
      <c r="U472" s="729"/>
      <c r="V472" s="327"/>
      <c r="W472" s="327"/>
      <c r="X472" s="332"/>
      <c r="Y472" s="327"/>
      <c r="Z472" s="327"/>
      <c r="AA472" s="327"/>
      <c r="AB472" s="729"/>
      <c r="AC472" s="327"/>
      <c r="AD472" s="327"/>
      <c r="AE472" s="327"/>
      <c r="AF472" s="729"/>
      <c r="AG472" s="327"/>
      <c r="AH472" s="327"/>
      <c r="AI472" s="328">
        <f t="shared" si="43"/>
        <v>0</v>
      </c>
      <c r="AJ472" s="333"/>
      <c r="AK472" s="222">
        <f>SUM(AK467:AK471)</f>
        <v>0</v>
      </c>
      <c r="AL472" s="334"/>
      <c r="AM472" s="334"/>
      <c r="AN472" s="334"/>
      <c r="AO472" s="331"/>
      <c r="AP472" s="334"/>
      <c r="AQ472" s="610"/>
    </row>
    <row r="473" spans="1:43" s="322" customFormat="1" ht="15.75" customHeight="1">
      <c r="A473" s="295"/>
      <c r="B473" s="220" t="s">
        <v>57</v>
      </c>
      <c r="C473" s="618"/>
      <c r="D473" s="728"/>
      <c r="E473" s="325"/>
      <c r="F473" s="325"/>
      <c r="G473" s="728"/>
      <c r="H473" s="325"/>
      <c r="I473" s="325"/>
      <c r="J473" s="325"/>
      <c r="K473" s="325"/>
      <c r="L473" s="325"/>
      <c r="M473" s="325"/>
      <c r="N473" s="728"/>
      <c r="O473" s="728"/>
      <c r="P473" s="325"/>
      <c r="Q473" s="325"/>
      <c r="R473" s="325"/>
      <c r="S473" s="325"/>
      <c r="T473" s="325"/>
      <c r="U473" s="728"/>
      <c r="V473" s="325"/>
      <c r="W473" s="325"/>
      <c r="X473" s="325"/>
      <c r="Y473" s="325"/>
      <c r="Z473" s="325"/>
      <c r="AA473" s="325"/>
      <c r="AB473" s="728"/>
      <c r="AC473" s="325"/>
      <c r="AD473" s="325"/>
      <c r="AE473" s="325"/>
      <c r="AF473" s="728"/>
      <c r="AG473" s="325"/>
      <c r="AH473" s="325"/>
      <c r="AI473" s="321">
        <f t="shared" si="43"/>
        <v>0</v>
      </c>
      <c r="AJ473" s="317">
        <v>1750</v>
      </c>
      <c r="AK473" s="221">
        <f>AI473*AJ473</f>
        <v>0</v>
      </c>
      <c r="AL473" s="326"/>
      <c r="AM473" s="326"/>
      <c r="AN473" s="326"/>
      <c r="AO473" s="323"/>
      <c r="AP473" s="326"/>
      <c r="AQ473" s="609"/>
    </row>
    <row r="474" spans="1:43" s="360" customFormat="1" ht="15.75" customHeight="1" thickBot="1">
      <c r="A474" s="352"/>
      <c r="B474" s="353" t="s">
        <v>44</v>
      </c>
      <c r="C474" s="621"/>
      <c r="D474" s="730"/>
      <c r="E474" s="354"/>
      <c r="F474" s="354"/>
      <c r="G474" s="730"/>
      <c r="H474" s="354"/>
      <c r="I474" s="354"/>
      <c r="J474" s="354"/>
      <c r="K474" s="354"/>
      <c r="L474" s="354"/>
      <c r="M474" s="354"/>
      <c r="N474" s="730"/>
      <c r="O474" s="730"/>
      <c r="P474" s="354"/>
      <c r="Q474" s="354"/>
      <c r="R474" s="354"/>
      <c r="S474" s="354"/>
      <c r="T474" s="354"/>
      <c r="U474" s="1071"/>
      <c r="V474" s="354"/>
      <c r="W474" s="354"/>
      <c r="X474" s="354"/>
      <c r="Y474" s="354"/>
      <c r="Z474" s="354"/>
      <c r="AA474" s="354"/>
      <c r="AB474" s="730"/>
      <c r="AC474" s="354"/>
      <c r="AD474" s="354"/>
      <c r="AE474" s="354"/>
      <c r="AF474" s="730"/>
      <c r="AG474" s="354"/>
      <c r="AH474" s="354"/>
      <c r="AI474" s="355">
        <f t="shared" si="43"/>
        <v>0</v>
      </c>
      <c r="AJ474" s="356"/>
      <c r="AK474" s="357">
        <f>AI474</f>
        <v>0</v>
      </c>
      <c r="AL474" s="358"/>
      <c r="AM474" s="358"/>
      <c r="AN474" s="358"/>
      <c r="AO474" s="359"/>
      <c r="AP474" s="358"/>
      <c r="AQ474" s="611"/>
    </row>
    <row r="475" spans="1:43" s="216" customFormat="1" ht="15.75" customHeight="1" thickTop="1">
      <c r="A475" s="293">
        <v>37</v>
      </c>
      <c r="B475" s="219"/>
      <c r="C475" s="617"/>
      <c r="D475" s="731"/>
      <c r="E475" s="308"/>
      <c r="F475" s="308"/>
      <c r="G475" s="731"/>
      <c r="H475" s="308"/>
      <c r="I475" s="308"/>
      <c r="J475" s="308"/>
      <c r="K475" s="308"/>
      <c r="L475" s="308"/>
      <c r="M475" s="308"/>
      <c r="N475" s="731"/>
      <c r="O475" s="731"/>
      <c r="P475" s="308"/>
      <c r="Q475" s="308"/>
      <c r="R475" s="308"/>
      <c r="S475" s="308"/>
      <c r="T475" s="308"/>
      <c r="U475" s="731"/>
      <c r="V475" s="308"/>
      <c r="W475" s="308"/>
      <c r="X475" s="308"/>
      <c r="Y475" s="308"/>
      <c r="Z475" s="308"/>
      <c r="AA475" s="308"/>
      <c r="AB475" s="731"/>
      <c r="AC475" s="308"/>
      <c r="AD475" s="308"/>
      <c r="AE475" s="308"/>
      <c r="AF475" s="731"/>
      <c r="AG475" s="308"/>
      <c r="AH475" s="308"/>
      <c r="AI475" s="309">
        <f t="shared" si="43"/>
        <v>0</v>
      </c>
      <c r="AJ475" s="310"/>
      <c r="AK475" s="224"/>
      <c r="AL475" s="311"/>
      <c r="AN475" s="312"/>
      <c r="AO475" s="313"/>
      <c r="AP475" s="314"/>
      <c r="AQ475" s="608"/>
    </row>
    <row r="476" spans="1:43" s="322" customFormat="1" ht="15.75" customHeight="1">
      <c r="A476" s="295"/>
      <c r="B476" s="297" t="s">
        <v>188</v>
      </c>
      <c r="C476" s="619"/>
      <c r="D476" s="726"/>
      <c r="E476" s="318"/>
      <c r="F476" s="318"/>
      <c r="G476" s="726"/>
      <c r="H476" s="318"/>
      <c r="I476" s="318"/>
      <c r="J476" s="318"/>
      <c r="K476" s="318"/>
      <c r="L476" s="318"/>
      <c r="M476" s="318"/>
      <c r="N476" s="726"/>
      <c r="O476" s="726"/>
      <c r="P476" s="319"/>
      <c r="Q476" s="318"/>
      <c r="R476" s="318"/>
      <c r="S476" s="319"/>
      <c r="T476" s="318"/>
      <c r="U476" s="726"/>
      <c r="V476" s="318"/>
      <c r="W476" s="509"/>
      <c r="X476" s="318"/>
      <c r="Y476" s="318"/>
      <c r="Z476" s="320"/>
      <c r="AA476" s="318"/>
      <c r="AB476" s="726"/>
      <c r="AC476" s="318"/>
      <c r="AD476" s="318"/>
      <c r="AE476" s="318"/>
      <c r="AF476" s="726"/>
      <c r="AG476" s="318"/>
      <c r="AH476" s="318"/>
      <c r="AI476" s="321"/>
      <c r="AJ476" s="317"/>
      <c r="AK476" s="221"/>
      <c r="AO476" s="323"/>
      <c r="AQ476" s="609"/>
    </row>
    <row r="477" spans="1:43" s="322" customFormat="1" ht="15.75" customHeight="1">
      <c r="A477" s="295"/>
      <c r="B477" s="297" t="s">
        <v>281</v>
      </c>
      <c r="C477" s="619"/>
      <c r="D477" s="727"/>
      <c r="E477" s="324"/>
      <c r="F477" s="324"/>
      <c r="G477" s="727"/>
      <c r="H477" s="324"/>
      <c r="I477" s="324"/>
      <c r="J477" s="324"/>
      <c r="K477" s="324"/>
      <c r="L477" s="324"/>
      <c r="M477" s="324"/>
      <c r="N477" s="727"/>
      <c r="O477" s="727"/>
      <c r="P477" s="324"/>
      <c r="Q477" s="324"/>
      <c r="R477" s="324"/>
      <c r="S477" s="324"/>
      <c r="T477" s="324"/>
      <c r="U477" s="727"/>
      <c r="V477" s="324"/>
      <c r="W477" s="460"/>
      <c r="X477" s="324"/>
      <c r="Y477" s="324"/>
      <c r="Z477" s="324"/>
      <c r="AA477" s="324"/>
      <c r="AB477" s="727"/>
      <c r="AC477" s="324"/>
      <c r="AD477" s="324"/>
      <c r="AE477" s="324"/>
      <c r="AF477" s="727"/>
      <c r="AG477" s="324"/>
      <c r="AH477" s="324"/>
      <c r="AI477" s="321"/>
      <c r="AJ477" s="317"/>
      <c r="AK477" s="221"/>
      <c r="AO477" s="323"/>
      <c r="AQ477" s="609"/>
    </row>
    <row r="478" spans="1:43" s="322" customFormat="1" ht="15.75" customHeight="1">
      <c r="A478" s="295"/>
      <c r="B478" s="220" t="s">
        <v>260</v>
      </c>
      <c r="C478" s="618"/>
      <c r="D478" s="728"/>
      <c r="E478" s="325"/>
      <c r="F478" s="325"/>
      <c r="G478" s="728"/>
      <c r="H478" s="325"/>
      <c r="I478" s="325"/>
      <c r="J478" s="325"/>
      <c r="K478" s="325"/>
      <c r="L478" s="325"/>
      <c r="M478" s="325"/>
      <c r="N478" s="728"/>
      <c r="O478" s="728"/>
      <c r="P478" s="325"/>
      <c r="Q478" s="325"/>
      <c r="R478" s="325"/>
      <c r="S478" s="325"/>
      <c r="T478" s="325"/>
      <c r="U478" s="728"/>
      <c r="V478" s="325"/>
      <c r="W478" s="325"/>
      <c r="X478" s="325"/>
      <c r="Y478" s="325"/>
      <c r="Z478" s="325"/>
      <c r="AA478" s="325"/>
      <c r="AB478" s="728"/>
      <c r="AC478" s="325"/>
      <c r="AD478" s="325"/>
      <c r="AE478" s="325"/>
      <c r="AF478" s="728"/>
      <c r="AG478" s="325"/>
      <c r="AH478" s="325"/>
      <c r="AI478" s="321">
        <f t="shared" ref="AI478:AI488" si="44">SUM(D478:AH478)</f>
        <v>0</v>
      </c>
      <c r="AJ478" s="294"/>
      <c r="AK478" s="221"/>
      <c r="AO478" s="323"/>
      <c r="AQ478" s="609"/>
    </row>
    <row r="479" spans="1:43" s="330" customFormat="1" ht="15.75" customHeight="1">
      <c r="A479" s="295"/>
      <c r="B479" s="298" t="s">
        <v>56</v>
      </c>
      <c r="C479" s="620"/>
      <c r="D479" s="729"/>
      <c r="E479" s="327"/>
      <c r="F479" s="327"/>
      <c r="G479" s="729"/>
      <c r="H479" s="327"/>
      <c r="I479" s="327"/>
      <c r="J479" s="327"/>
      <c r="K479" s="327"/>
      <c r="L479" s="327"/>
      <c r="M479" s="327"/>
      <c r="N479" s="729"/>
      <c r="O479" s="729"/>
      <c r="P479" s="327"/>
      <c r="Q479" s="327"/>
      <c r="R479" s="327"/>
      <c r="S479" s="327"/>
      <c r="T479" s="327"/>
      <c r="U479" s="729"/>
      <c r="V479" s="327"/>
      <c r="W479" s="327"/>
      <c r="X479" s="327"/>
      <c r="Y479" s="327"/>
      <c r="Z479" s="327"/>
      <c r="AA479" s="327"/>
      <c r="AB479" s="729"/>
      <c r="AC479" s="327"/>
      <c r="AD479" s="327"/>
      <c r="AE479" s="327"/>
      <c r="AF479" s="729"/>
      <c r="AG479" s="327"/>
      <c r="AH479" s="327"/>
      <c r="AI479" s="328">
        <f t="shared" si="44"/>
        <v>0</v>
      </c>
      <c r="AJ479" s="296"/>
      <c r="AK479" s="222"/>
      <c r="AL479" s="329">
        <f>AE479+AG479</f>
        <v>0</v>
      </c>
      <c r="AO479" s="331"/>
      <c r="AQ479" s="610"/>
    </row>
    <row r="480" spans="1:43" s="322" customFormat="1" ht="15.75" customHeight="1">
      <c r="A480" s="295"/>
      <c r="B480" s="220" t="s">
        <v>642</v>
      </c>
      <c r="C480" s="618"/>
      <c r="D480" s="728"/>
      <c r="E480" s="325"/>
      <c r="F480" s="325"/>
      <c r="G480" s="728"/>
      <c r="H480" s="325"/>
      <c r="I480" s="325"/>
      <c r="J480" s="325"/>
      <c r="K480" s="325"/>
      <c r="L480" s="325"/>
      <c r="M480" s="325"/>
      <c r="N480" s="728"/>
      <c r="O480" s="728"/>
      <c r="P480" s="325"/>
      <c r="Q480" s="325"/>
      <c r="R480" s="325"/>
      <c r="S480" s="325"/>
      <c r="T480" s="325"/>
      <c r="U480" s="728"/>
      <c r="V480" s="325"/>
      <c r="W480" s="325"/>
      <c r="X480" s="325"/>
      <c r="Y480" s="325"/>
      <c r="Z480" s="325"/>
      <c r="AA480" s="325"/>
      <c r="AB480" s="728"/>
      <c r="AC480" s="325"/>
      <c r="AD480" s="325"/>
      <c r="AE480" s="325"/>
      <c r="AF480" s="728"/>
      <c r="AG480" s="325"/>
      <c r="AH480" s="325"/>
      <c r="AI480" s="321">
        <f t="shared" si="44"/>
        <v>0</v>
      </c>
      <c r="AJ480" s="317">
        <v>1409</v>
      </c>
      <c r="AK480" s="221">
        <f>AI480*AJ480</f>
        <v>0</v>
      </c>
      <c r="AO480" s="323"/>
      <c r="AQ480" s="609"/>
    </row>
    <row r="481" spans="1:43" s="322" customFormat="1" ht="15.75" customHeight="1">
      <c r="A481" s="295"/>
      <c r="B481" s="220" t="s">
        <v>721</v>
      </c>
      <c r="C481" s="618"/>
      <c r="D481" s="728"/>
      <c r="E481" s="325"/>
      <c r="F481" s="325"/>
      <c r="G481" s="728"/>
      <c r="H481" s="325"/>
      <c r="I481" s="325"/>
      <c r="J481" s="325"/>
      <c r="K481" s="325"/>
      <c r="L481" s="325"/>
      <c r="M481" s="325"/>
      <c r="N481" s="728"/>
      <c r="O481" s="727"/>
      <c r="P481" s="324"/>
      <c r="Q481" s="325"/>
      <c r="R481" s="325"/>
      <c r="S481" s="325"/>
      <c r="T481" s="325"/>
      <c r="U481" s="728"/>
      <c r="V481" s="325"/>
      <c r="W481" s="325"/>
      <c r="X481" s="325"/>
      <c r="Y481" s="325"/>
      <c r="Z481" s="325"/>
      <c r="AA481" s="325"/>
      <c r="AB481" s="728"/>
      <c r="AC481" s="325"/>
      <c r="AD481" s="325"/>
      <c r="AE481" s="325"/>
      <c r="AF481" s="728"/>
      <c r="AG481" s="325"/>
      <c r="AH481" s="325"/>
      <c r="AI481" s="321">
        <f t="shared" si="44"/>
        <v>0</v>
      </c>
      <c r="AJ481" s="317">
        <v>1322</v>
      </c>
      <c r="AK481" s="221">
        <f>AI481*AJ481</f>
        <v>0</v>
      </c>
      <c r="AO481" s="323"/>
      <c r="AQ481" s="609"/>
    </row>
    <row r="482" spans="1:43" s="322" customFormat="1" ht="15.75" customHeight="1">
      <c r="A482" s="295"/>
      <c r="B482" s="220" t="s">
        <v>366</v>
      </c>
      <c r="C482" s="618"/>
      <c r="D482" s="728"/>
      <c r="E482" s="325"/>
      <c r="F482" s="325"/>
      <c r="G482" s="728"/>
      <c r="H482" s="325"/>
      <c r="I482" s="325"/>
      <c r="J482" s="325"/>
      <c r="K482" s="325"/>
      <c r="L482" s="325"/>
      <c r="M482" s="325"/>
      <c r="N482" s="728"/>
      <c r="O482" s="728"/>
      <c r="P482" s="325"/>
      <c r="Q482" s="325"/>
      <c r="R482" s="325"/>
      <c r="S482" s="325"/>
      <c r="T482" s="325"/>
      <c r="U482" s="728"/>
      <c r="V482" s="325"/>
      <c r="W482" s="325"/>
      <c r="X482" s="325"/>
      <c r="Y482" s="325"/>
      <c r="Z482" s="325"/>
      <c r="AA482" s="325"/>
      <c r="AB482" s="728"/>
      <c r="AC482" s="325"/>
      <c r="AD482" s="325"/>
      <c r="AE482" s="325"/>
      <c r="AF482" s="728"/>
      <c r="AG482" s="325"/>
      <c r="AH482" s="325"/>
      <c r="AI482" s="321">
        <f t="shared" si="44"/>
        <v>0</v>
      </c>
      <c r="AJ482" s="317">
        <v>1233</v>
      </c>
      <c r="AK482" s="221">
        <f>AI482*AJ482</f>
        <v>0</v>
      </c>
      <c r="AO482" s="323"/>
      <c r="AQ482" s="609"/>
    </row>
    <row r="483" spans="1:43" s="322" customFormat="1" ht="15.75" customHeight="1">
      <c r="A483" s="295"/>
      <c r="B483" s="220" t="s">
        <v>643</v>
      </c>
      <c r="C483" s="618"/>
      <c r="D483" s="728"/>
      <c r="E483" s="325"/>
      <c r="F483" s="325"/>
      <c r="G483" s="728"/>
      <c r="H483" s="325"/>
      <c r="I483" s="325"/>
      <c r="J483" s="325"/>
      <c r="K483" s="325"/>
      <c r="L483" s="325"/>
      <c r="M483" s="325"/>
      <c r="N483" s="728"/>
      <c r="O483" s="728"/>
      <c r="P483" s="325"/>
      <c r="Q483" s="325"/>
      <c r="R483" s="325"/>
      <c r="S483" s="325"/>
      <c r="T483" s="325"/>
      <c r="U483" s="728"/>
      <c r="V483" s="325"/>
      <c r="W483" s="325"/>
      <c r="X483" s="325"/>
      <c r="Y483" s="325"/>
      <c r="Z483" s="325"/>
      <c r="AA483" s="325"/>
      <c r="AB483" s="728"/>
      <c r="AC483" s="325"/>
      <c r="AD483" s="325"/>
      <c r="AE483" s="325"/>
      <c r="AF483" s="728"/>
      <c r="AG483" s="325"/>
      <c r="AH483" s="325"/>
      <c r="AI483" s="321">
        <f t="shared" si="44"/>
        <v>0</v>
      </c>
      <c r="AJ483" s="317">
        <v>1043</v>
      </c>
      <c r="AK483" s="221">
        <f>AI483*AJ483</f>
        <v>0</v>
      </c>
      <c r="AO483" s="323"/>
      <c r="AQ483" s="609"/>
    </row>
    <row r="484" spans="1:43" s="322" customFormat="1" ht="15.75" customHeight="1">
      <c r="A484" s="295"/>
      <c r="B484" s="220" t="s">
        <v>367</v>
      </c>
      <c r="C484" s="618"/>
      <c r="D484" s="728"/>
      <c r="E484" s="325"/>
      <c r="F484" s="325"/>
      <c r="G484" s="728"/>
      <c r="H484" s="325"/>
      <c r="I484" s="325"/>
      <c r="J484" s="325"/>
      <c r="K484" s="325"/>
      <c r="L484" s="325"/>
      <c r="M484" s="325"/>
      <c r="N484" s="728"/>
      <c r="O484" s="728"/>
      <c r="P484" s="325"/>
      <c r="Q484" s="325"/>
      <c r="R484" s="325"/>
      <c r="S484" s="325"/>
      <c r="T484" s="325"/>
      <c r="U484" s="728"/>
      <c r="V484" s="325"/>
      <c r="W484" s="325"/>
      <c r="X484" s="325"/>
      <c r="Y484" s="325"/>
      <c r="Z484" s="325"/>
      <c r="AA484" s="325"/>
      <c r="AB484" s="728"/>
      <c r="AC484" s="325"/>
      <c r="AD484" s="325"/>
      <c r="AE484" s="325"/>
      <c r="AF484" s="728"/>
      <c r="AG484" s="325"/>
      <c r="AH484" s="325"/>
      <c r="AI484" s="321">
        <f t="shared" si="44"/>
        <v>0</v>
      </c>
      <c r="AJ484" s="317"/>
      <c r="AK484" s="221">
        <f>AI484*AJ484</f>
        <v>0</v>
      </c>
      <c r="AL484" s="326"/>
      <c r="AM484" s="326"/>
      <c r="AN484" s="326"/>
      <c r="AO484" s="323"/>
      <c r="AP484" s="326"/>
      <c r="AQ484" s="609"/>
    </row>
    <row r="485" spans="1:43" s="330" customFormat="1" ht="15.75" customHeight="1">
      <c r="A485" s="295"/>
      <c r="B485" s="298" t="s">
        <v>259</v>
      </c>
      <c r="C485" s="620"/>
      <c r="D485" s="729"/>
      <c r="E485" s="327"/>
      <c r="F485" s="327"/>
      <c r="G485" s="729"/>
      <c r="H485" s="327"/>
      <c r="I485" s="327"/>
      <c r="J485" s="327"/>
      <c r="K485" s="327"/>
      <c r="L485" s="327"/>
      <c r="M485" s="327"/>
      <c r="N485" s="729"/>
      <c r="O485" s="729"/>
      <c r="P485" s="327"/>
      <c r="Q485" s="327"/>
      <c r="R485" s="327"/>
      <c r="S485" s="327"/>
      <c r="T485" s="327"/>
      <c r="U485" s="729"/>
      <c r="V485" s="327"/>
      <c r="W485" s="327"/>
      <c r="X485" s="332"/>
      <c r="Y485" s="327"/>
      <c r="Z485" s="327"/>
      <c r="AA485" s="327"/>
      <c r="AB485" s="729"/>
      <c r="AC485" s="327"/>
      <c r="AD485" s="327"/>
      <c r="AE485" s="327"/>
      <c r="AF485" s="729"/>
      <c r="AG485" s="327"/>
      <c r="AH485" s="327"/>
      <c r="AI485" s="328">
        <f t="shared" si="44"/>
        <v>0</v>
      </c>
      <c r="AJ485" s="333"/>
      <c r="AK485" s="222">
        <f>SUM(AK480:AK484)</f>
        <v>0</v>
      </c>
      <c r="AL485" s="334"/>
      <c r="AM485" s="334"/>
      <c r="AN485" s="334"/>
      <c r="AO485" s="331"/>
      <c r="AP485" s="334"/>
      <c r="AQ485" s="610"/>
    </row>
    <row r="486" spans="1:43" s="322" customFormat="1" ht="15.75" customHeight="1">
      <c r="A486" s="295"/>
      <c r="B486" s="220" t="s">
        <v>57</v>
      </c>
      <c r="C486" s="618"/>
      <c r="D486" s="728"/>
      <c r="E486" s="325"/>
      <c r="F486" s="325"/>
      <c r="G486" s="728"/>
      <c r="H486" s="325"/>
      <c r="I486" s="325"/>
      <c r="J486" s="325"/>
      <c r="K486" s="325"/>
      <c r="L486" s="325"/>
      <c r="M486" s="325"/>
      <c r="N486" s="728"/>
      <c r="O486" s="728"/>
      <c r="P486" s="325"/>
      <c r="Q486" s="325"/>
      <c r="R486" s="325"/>
      <c r="S486" s="325"/>
      <c r="T486" s="325"/>
      <c r="U486" s="728"/>
      <c r="V486" s="325"/>
      <c r="W486" s="325"/>
      <c r="X486" s="325"/>
      <c r="Y486" s="325"/>
      <c r="Z486" s="325"/>
      <c r="AA486" s="325"/>
      <c r="AB486" s="728"/>
      <c r="AC486" s="325"/>
      <c r="AD486" s="325"/>
      <c r="AE486" s="325"/>
      <c r="AF486" s="728"/>
      <c r="AG486" s="325"/>
      <c r="AH486" s="325"/>
      <c r="AI486" s="321">
        <f t="shared" si="44"/>
        <v>0</v>
      </c>
      <c r="AJ486" s="317">
        <v>1750</v>
      </c>
      <c r="AK486" s="221">
        <f>AI486*AJ486</f>
        <v>0</v>
      </c>
      <c r="AL486" s="326"/>
      <c r="AM486" s="326"/>
      <c r="AN486" s="326"/>
      <c r="AO486" s="323"/>
      <c r="AP486" s="326"/>
      <c r="AQ486" s="609"/>
    </row>
    <row r="487" spans="1:43" s="360" customFormat="1" ht="15.75" customHeight="1" thickBot="1">
      <c r="A487" s="352"/>
      <c r="B487" s="353" t="s">
        <v>44</v>
      </c>
      <c r="C487" s="621"/>
      <c r="D487" s="730"/>
      <c r="E487" s="354"/>
      <c r="F487" s="354"/>
      <c r="G487" s="730"/>
      <c r="H487" s="354"/>
      <c r="I487" s="354"/>
      <c r="J487" s="354"/>
      <c r="K487" s="354"/>
      <c r="L487" s="354"/>
      <c r="M487" s="354"/>
      <c r="N487" s="730"/>
      <c r="O487" s="730"/>
      <c r="P487" s="354"/>
      <c r="Q487" s="354"/>
      <c r="R487" s="354"/>
      <c r="S487" s="354"/>
      <c r="T487" s="354"/>
      <c r="U487" s="1071"/>
      <c r="V487" s="354"/>
      <c r="W487" s="354"/>
      <c r="X487" s="354"/>
      <c r="Y487" s="354"/>
      <c r="Z487" s="354"/>
      <c r="AA487" s="354"/>
      <c r="AB487" s="730"/>
      <c r="AC487" s="354"/>
      <c r="AD487" s="354"/>
      <c r="AE487" s="354"/>
      <c r="AF487" s="730"/>
      <c r="AG487" s="354"/>
      <c r="AH487" s="354"/>
      <c r="AI487" s="355">
        <f t="shared" si="44"/>
        <v>0</v>
      </c>
      <c r="AJ487" s="356"/>
      <c r="AK487" s="357">
        <f>AI487</f>
        <v>0</v>
      </c>
      <c r="AL487" s="358"/>
      <c r="AM487" s="358"/>
      <c r="AN487" s="358"/>
      <c r="AO487" s="359"/>
      <c r="AP487" s="358"/>
      <c r="AQ487" s="611"/>
    </row>
    <row r="488" spans="1:43" s="216" customFormat="1" ht="15.75" customHeight="1" thickTop="1">
      <c r="A488" s="293">
        <v>38</v>
      </c>
      <c r="B488" s="219"/>
      <c r="C488" s="617"/>
      <c r="D488" s="731"/>
      <c r="E488" s="308"/>
      <c r="F488" s="308"/>
      <c r="G488" s="731"/>
      <c r="H488" s="308"/>
      <c r="I488" s="308"/>
      <c r="J488" s="308"/>
      <c r="K488" s="308"/>
      <c r="L488" s="308"/>
      <c r="M488" s="308"/>
      <c r="N488" s="731"/>
      <c r="O488" s="731"/>
      <c r="P488" s="308"/>
      <c r="Q488" s="308"/>
      <c r="R488" s="308"/>
      <c r="S488" s="308"/>
      <c r="T488" s="308"/>
      <c r="U488" s="731"/>
      <c r="V488" s="308"/>
      <c r="W488" s="308"/>
      <c r="X488" s="308"/>
      <c r="Y488" s="308"/>
      <c r="Z488" s="308"/>
      <c r="AA488" s="308"/>
      <c r="AB488" s="731"/>
      <c r="AC488" s="308"/>
      <c r="AD488" s="308"/>
      <c r="AE488" s="308"/>
      <c r="AF488" s="731"/>
      <c r="AG488" s="308"/>
      <c r="AH488" s="308"/>
      <c r="AI488" s="309">
        <f t="shared" si="44"/>
        <v>0</v>
      </c>
      <c r="AJ488" s="310"/>
      <c r="AK488" s="224"/>
      <c r="AL488" s="311"/>
      <c r="AN488" s="312"/>
      <c r="AO488" s="313"/>
      <c r="AP488" s="314"/>
      <c r="AQ488" s="608"/>
    </row>
    <row r="489" spans="1:43" s="322" customFormat="1" ht="15.75" customHeight="1">
      <c r="A489" s="295"/>
      <c r="B489" s="297" t="s">
        <v>188</v>
      </c>
      <c r="C489" s="619"/>
      <c r="D489" s="726"/>
      <c r="E489" s="318"/>
      <c r="F489" s="318"/>
      <c r="G489" s="726"/>
      <c r="H489" s="318"/>
      <c r="I489" s="318"/>
      <c r="J489" s="318"/>
      <c r="K489" s="318"/>
      <c r="L489" s="318"/>
      <c r="M489" s="318"/>
      <c r="N489" s="726"/>
      <c r="O489" s="726"/>
      <c r="P489" s="319"/>
      <c r="Q489" s="318"/>
      <c r="R489" s="318"/>
      <c r="S489" s="319"/>
      <c r="T489" s="318"/>
      <c r="U489" s="726"/>
      <c r="V489" s="318"/>
      <c r="W489" s="509"/>
      <c r="X489" s="318"/>
      <c r="Y489" s="318"/>
      <c r="Z489" s="320"/>
      <c r="AA489" s="318"/>
      <c r="AB489" s="726"/>
      <c r="AC489" s="318"/>
      <c r="AD489" s="318"/>
      <c r="AE489" s="318"/>
      <c r="AF489" s="726"/>
      <c r="AG489" s="318"/>
      <c r="AH489" s="318"/>
      <c r="AI489" s="321"/>
      <c r="AJ489" s="317"/>
      <c r="AK489" s="221"/>
      <c r="AO489" s="323"/>
      <c r="AQ489" s="609"/>
    </row>
    <row r="490" spans="1:43" s="322" customFormat="1" ht="15.75" customHeight="1">
      <c r="A490" s="295"/>
      <c r="B490" s="297" t="s">
        <v>281</v>
      </c>
      <c r="C490" s="619"/>
      <c r="D490" s="727"/>
      <c r="E490" s="324"/>
      <c r="F490" s="324"/>
      <c r="G490" s="727"/>
      <c r="H490" s="324"/>
      <c r="I490" s="324"/>
      <c r="J490" s="324"/>
      <c r="K490" s="324"/>
      <c r="L490" s="324"/>
      <c r="M490" s="324"/>
      <c r="N490" s="727"/>
      <c r="O490" s="727"/>
      <c r="P490" s="324"/>
      <c r="Q490" s="324"/>
      <c r="R490" s="324"/>
      <c r="S490" s="324"/>
      <c r="T490" s="324"/>
      <c r="U490" s="727"/>
      <c r="V490" s="324"/>
      <c r="W490" s="460"/>
      <c r="X490" s="324"/>
      <c r="Y490" s="324"/>
      <c r="Z490" s="324"/>
      <c r="AA490" s="324"/>
      <c r="AB490" s="727"/>
      <c r="AC490" s="324"/>
      <c r="AD490" s="324"/>
      <c r="AE490" s="324"/>
      <c r="AF490" s="727"/>
      <c r="AG490" s="324"/>
      <c r="AH490" s="324"/>
      <c r="AI490" s="321"/>
      <c r="AJ490" s="317"/>
      <c r="AK490" s="221"/>
      <c r="AO490" s="323"/>
      <c r="AQ490" s="609"/>
    </row>
    <row r="491" spans="1:43" s="322" customFormat="1" ht="15.75" customHeight="1">
      <c r="A491" s="295"/>
      <c r="B491" s="220" t="s">
        <v>260</v>
      </c>
      <c r="C491" s="618"/>
      <c r="D491" s="728"/>
      <c r="E491" s="325"/>
      <c r="F491" s="325"/>
      <c r="G491" s="728"/>
      <c r="H491" s="325"/>
      <c r="I491" s="325"/>
      <c r="J491" s="325"/>
      <c r="K491" s="325"/>
      <c r="L491" s="325"/>
      <c r="M491" s="325"/>
      <c r="N491" s="728"/>
      <c r="O491" s="728"/>
      <c r="P491" s="325"/>
      <c r="Q491" s="325"/>
      <c r="R491" s="325"/>
      <c r="S491" s="325"/>
      <c r="T491" s="325"/>
      <c r="U491" s="728"/>
      <c r="V491" s="325"/>
      <c r="W491" s="325"/>
      <c r="X491" s="325"/>
      <c r="Y491" s="325"/>
      <c r="Z491" s="325"/>
      <c r="AA491" s="325"/>
      <c r="AB491" s="728"/>
      <c r="AC491" s="325"/>
      <c r="AD491" s="325"/>
      <c r="AE491" s="325"/>
      <c r="AF491" s="728"/>
      <c r="AG491" s="325"/>
      <c r="AH491" s="325"/>
      <c r="AI491" s="321">
        <f t="shared" ref="AI491:AI501" si="45">SUM(D491:AH491)</f>
        <v>0</v>
      </c>
      <c r="AJ491" s="294"/>
      <c r="AK491" s="221"/>
      <c r="AO491" s="323"/>
      <c r="AQ491" s="609"/>
    </row>
    <row r="492" spans="1:43" s="330" customFormat="1" ht="15.75" customHeight="1">
      <c r="A492" s="295"/>
      <c r="B492" s="298" t="s">
        <v>56</v>
      </c>
      <c r="C492" s="620"/>
      <c r="D492" s="729"/>
      <c r="E492" s="327"/>
      <c r="F492" s="327"/>
      <c r="G492" s="729"/>
      <c r="H492" s="327"/>
      <c r="I492" s="327"/>
      <c r="J492" s="327"/>
      <c r="K492" s="327"/>
      <c r="L492" s="327"/>
      <c r="M492" s="327"/>
      <c r="N492" s="729"/>
      <c r="O492" s="729"/>
      <c r="P492" s="327"/>
      <c r="Q492" s="327"/>
      <c r="R492" s="327"/>
      <c r="S492" s="327"/>
      <c r="T492" s="327"/>
      <c r="U492" s="729"/>
      <c r="V492" s="327"/>
      <c r="W492" s="327"/>
      <c r="X492" s="327"/>
      <c r="Y492" s="327"/>
      <c r="Z492" s="327"/>
      <c r="AA492" s="327"/>
      <c r="AB492" s="729"/>
      <c r="AC492" s="327"/>
      <c r="AD492" s="327"/>
      <c r="AE492" s="327"/>
      <c r="AF492" s="729"/>
      <c r="AG492" s="327"/>
      <c r="AH492" s="327"/>
      <c r="AI492" s="328">
        <f t="shared" si="45"/>
        <v>0</v>
      </c>
      <c r="AJ492" s="296"/>
      <c r="AK492" s="222"/>
      <c r="AL492" s="329">
        <f>AE492+AG492</f>
        <v>0</v>
      </c>
      <c r="AO492" s="331"/>
      <c r="AQ492" s="610"/>
    </row>
    <row r="493" spans="1:43" s="322" customFormat="1" ht="15.75" customHeight="1">
      <c r="A493" s="295"/>
      <c r="B493" s="220" t="s">
        <v>642</v>
      </c>
      <c r="C493" s="618"/>
      <c r="D493" s="728"/>
      <c r="E493" s="325"/>
      <c r="F493" s="325"/>
      <c r="G493" s="728"/>
      <c r="H493" s="325"/>
      <c r="I493" s="325"/>
      <c r="J493" s="325"/>
      <c r="K493" s="325"/>
      <c r="L493" s="325"/>
      <c r="M493" s="325"/>
      <c r="N493" s="728"/>
      <c r="O493" s="728"/>
      <c r="P493" s="325"/>
      <c r="Q493" s="325"/>
      <c r="R493" s="325"/>
      <c r="S493" s="325"/>
      <c r="T493" s="325"/>
      <c r="U493" s="728"/>
      <c r="V493" s="325"/>
      <c r="W493" s="325"/>
      <c r="X493" s="325"/>
      <c r="Y493" s="325"/>
      <c r="Z493" s="325"/>
      <c r="AA493" s="325"/>
      <c r="AB493" s="728"/>
      <c r="AC493" s="325"/>
      <c r="AD493" s="325"/>
      <c r="AE493" s="325"/>
      <c r="AF493" s="728"/>
      <c r="AG493" s="325"/>
      <c r="AH493" s="325"/>
      <c r="AI493" s="321">
        <f t="shared" si="45"/>
        <v>0</v>
      </c>
      <c r="AJ493" s="317">
        <v>1409</v>
      </c>
      <c r="AK493" s="221">
        <f>AI493*AJ493</f>
        <v>0</v>
      </c>
      <c r="AO493" s="323"/>
      <c r="AQ493" s="609"/>
    </row>
    <row r="494" spans="1:43" s="322" customFormat="1" ht="15.75" customHeight="1">
      <c r="A494" s="295"/>
      <c r="B494" s="220" t="s">
        <v>721</v>
      </c>
      <c r="C494" s="618"/>
      <c r="D494" s="728"/>
      <c r="E494" s="325"/>
      <c r="F494" s="325"/>
      <c r="G494" s="728"/>
      <c r="H494" s="325"/>
      <c r="I494" s="325"/>
      <c r="J494" s="325"/>
      <c r="K494" s="325"/>
      <c r="L494" s="325"/>
      <c r="M494" s="325"/>
      <c r="N494" s="728"/>
      <c r="O494" s="727"/>
      <c r="P494" s="324"/>
      <c r="Q494" s="325"/>
      <c r="R494" s="325"/>
      <c r="S494" s="325"/>
      <c r="T494" s="325"/>
      <c r="U494" s="728"/>
      <c r="V494" s="325"/>
      <c r="W494" s="325"/>
      <c r="X494" s="325"/>
      <c r="Y494" s="325"/>
      <c r="Z494" s="325"/>
      <c r="AA494" s="325"/>
      <c r="AB494" s="728"/>
      <c r="AC494" s="325"/>
      <c r="AD494" s="325"/>
      <c r="AE494" s="325"/>
      <c r="AF494" s="728"/>
      <c r="AG494" s="325"/>
      <c r="AH494" s="325"/>
      <c r="AI494" s="321">
        <f t="shared" si="45"/>
        <v>0</v>
      </c>
      <c r="AJ494" s="317">
        <v>1322</v>
      </c>
      <c r="AK494" s="221">
        <f>AI494*AJ494</f>
        <v>0</v>
      </c>
      <c r="AO494" s="323"/>
      <c r="AQ494" s="609"/>
    </row>
    <row r="495" spans="1:43" s="322" customFormat="1" ht="15.75" customHeight="1">
      <c r="A495" s="295"/>
      <c r="B495" s="220" t="s">
        <v>366</v>
      </c>
      <c r="C495" s="618"/>
      <c r="D495" s="728"/>
      <c r="E495" s="325"/>
      <c r="F495" s="325"/>
      <c r="G495" s="728"/>
      <c r="H495" s="325"/>
      <c r="I495" s="325"/>
      <c r="J495" s="325"/>
      <c r="K495" s="325"/>
      <c r="L495" s="325"/>
      <c r="M495" s="325"/>
      <c r="N495" s="728"/>
      <c r="O495" s="728"/>
      <c r="P495" s="325"/>
      <c r="Q495" s="325"/>
      <c r="R495" s="325"/>
      <c r="S495" s="325"/>
      <c r="T495" s="325"/>
      <c r="U495" s="728"/>
      <c r="V495" s="325"/>
      <c r="W495" s="325"/>
      <c r="X495" s="325"/>
      <c r="Y495" s="325"/>
      <c r="Z495" s="325"/>
      <c r="AA495" s="325"/>
      <c r="AB495" s="728"/>
      <c r="AC495" s="325"/>
      <c r="AD495" s="325"/>
      <c r="AE495" s="325"/>
      <c r="AF495" s="728"/>
      <c r="AG495" s="325"/>
      <c r="AH495" s="325"/>
      <c r="AI495" s="321">
        <f t="shared" si="45"/>
        <v>0</v>
      </c>
      <c r="AJ495" s="317">
        <v>1233</v>
      </c>
      <c r="AK495" s="221">
        <f>AI495*AJ495</f>
        <v>0</v>
      </c>
      <c r="AO495" s="323"/>
      <c r="AQ495" s="609"/>
    </row>
    <row r="496" spans="1:43" s="322" customFormat="1" ht="15.75" customHeight="1">
      <c r="A496" s="295"/>
      <c r="B496" s="220" t="s">
        <v>643</v>
      </c>
      <c r="C496" s="618"/>
      <c r="D496" s="728"/>
      <c r="E496" s="325"/>
      <c r="F496" s="325"/>
      <c r="G496" s="728"/>
      <c r="H496" s="325"/>
      <c r="I496" s="325"/>
      <c r="J496" s="325"/>
      <c r="K496" s="325"/>
      <c r="L496" s="325"/>
      <c r="M496" s="325"/>
      <c r="N496" s="728"/>
      <c r="O496" s="728"/>
      <c r="P496" s="325"/>
      <c r="Q496" s="325"/>
      <c r="R496" s="325"/>
      <c r="S496" s="325"/>
      <c r="T496" s="325"/>
      <c r="U496" s="728"/>
      <c r="V496" s="325"/>
      <c r="W496" s="325"/>
      <c r="X496" s="325"/>
      <c r="Y496" s="325"/>
      <c r="Z496" s="325"/>
      <c r="AA496" s="325"/>
      <c r="AB496" s="728"/>
      <c r="AC496" s="325"/>
      <c r="AD496" s="325"/>
      <c r="AE496" s="325"/>
      <c r="AF496" s="728"/>
      <c r="AG496" s="325"/>
      <c r="AH496" s="325"/>
      <c r="AI496" s="321">
        <f t="shared" si="45"/>
        <v>0</v>
      </c>
      <c r="AJ496" s="317">
        <v>1043</v>
      </c>
      <c r="AK496" s="221">
        <f>AI496*AJ496</f>
        <v>0</v>
      </c>
      <c r="AO496" s="323"/>
      <c r="AQ496" s="609"/>
    </row>
    <row r="497" spans="1:43" s="322" customFormat="1" ht="15.75" customHeight="1">
      <c r="A497" s="295"/>
      <c r="B497" s="220" t="s">
        <v>367</v>
      </c>
      <c r="C497" s="618"/>
      <c r="D497" s="728"/>
      <c r="E497" s="325"/>
      <c r="F497" s="325"/>
      <c r="G497" s="728"/>
      <c r="H497" s="325"/>
      <c r="I497" s="325"/>
      <c r="J497" s="325"/>
      <c r="K497" s="325"/>
      <c r="L497" s="325"/>
      <c r="M497" s="325"/>
      <c r="N497" s="728"/>
      <c r="O497" s="728"/>
      <c r="P497" s="325"/>
      <c r="Q497" s="325"/>
      <c r="R497" s="325"/>
      <c r="S497" s="325"/>
      <c r="T497" s="325"/>
      <c r="U497" s="728"/>
      <c r="V497" s="325"/>
      <c r="W497" s="325"/>
      <c r="X497" s="325"/>
      <c r="Y497" s="325"/>
      <c r="Z497" s="325"/>
      <c r="AA497" s="325"/>
      <c r="AB497" s="728"/>
      <c r="AC497" s="325"/>
      <c r="AD497" s="325"/>
      <c r="AE497" s="325"/>
      <c r="AF497" s="728"/>
      <c r="AG497" s="325"/>
      <c r="AH497" s="325"/>
      <c r="AI497" s="321">
        <f t="shared" si="45"/>
        <v>0</v>
      </c>
      <c r="AJ497" s="317"/>
      <c r="AK497" s="221">
        <f>AI497*AJ497</f>
        <v>0</v>
      </c>
      <c r="AL497" s="326"/>
      <c r="AM497" s="326"/>
      <c r="AN497" s="326"/>
      <c r="AO497" s="323"/>
      <c r="AP497" s="326"/>
      <c r="AQ497" s="609"/>
    </row>
    <row r="498" spans="1:43" s="330" customFormat="1" ht="15.75" customHeight="1">
      <c r="A498" s="295"/>
      <c r="B498" s="298" t="s">
        <v>259</v>
      </c>
      <c r="C498" s="620"/>
      <c r="D498" s="729"/>
      <c r="E498" s="327"/>
      <c r="F498" s="327"/>
      <c r="G498" s="729"/>
      <c r="H498" s="327"/>
      <c r="I498" s="327"/>
      <c r="J498" s="327"/>
      <c r="K498" s="327"/>
      <c r="L498" s="327"/>
      <c r="M498" s="327"/>
      <c r="N498" s="729"/>
      <c r="O498" s="729"/>
      <c r="P498" s="327"/>
      <c r="Q498" s="327"/>
      <c r="R498" s="327"/>
      <c r="S498" s="327"/>
      <c r="T498" s="327"/>
      <c r="U498" s="729"/>
      <c r="V498" s="327"/>
      <c r="W498" s="327"/>
      <c r="X498" s="332"/>
      <c r="Y498" s="327"/>
      <c r="Z498" s="327"/>
      <c r="AA498" s="327"/>
      <c r="AB498" s="729"/>
      <c r="AC498" s="327"/>
      <c r="AD498" s="327"/>
      <c r="AE498" s="327"/>
      <c r="AF498" s="729"/>
      <c r="AG498" s="327"/>
      <c r="AH498" s="327"/>
      <c r="AI498" s="328">
        <f t="shared" si="45"/>
        <v>0</v>
      </c>
      <c r="AJ498" s="333"/>
      <c r="AK498" s="222">
        <f>SUM(AK493:AK497)</f>
        <v>0</v>
      </c>
      <c r="AL498" s="334"/>
      <c r="AM498" s="334"/>
      <c r="AN498" s="334"/>
      <c r="AO498" s="331"/>
      <c r="AP498" s="334"/>
      <c r="AQ498" s="610"/>
    </row>
    <row r="499" spans="1:43" s="322" customFormat="1" ht="15.75" customHeight="1">
      <c r="A499" s="295"/>
      <c r="B499" s="220" t="s">
        <v>57</v>
      </c>
      <c r="C499" s="618"/>
      <c r="D499" s="728"/>
      <c r="E499" s="325"/>
      <c r="F499" s="325"/>
      <c r="G499" s="728"/>
      <c r="H499" s="325"/>
      <c r="I499" s="325"/>
      <c r="J499" s="325"/>
      <c r="K499" s="325"/>
      <c r="L499" s="325"/>
      <c r="M499" s="325"/>
      <c r="N499" s="728"/>
      <c r="O499" s="728"/>
      <c r="P499" s="325"/>
      <c r="Q499" s="325"/>
      <c r="R499" s="325"/>
      <c r="S499" s="325"/>
      <c r="T499" s="325"/>
      <c r="U499" s="728"/>
      <c r="V499" s="325"/>
      <c r="W499" s="325"/>
      <c r="X499" s="325"/>
      <c r="Y499" s="325"/>
      <c r="Z499" s="325"/>
      <c r="AA499" s="325"/>
      <c r="AB499" s="728"/>
      <c r="AC499" s="325"/>
      <c r="AD499" s="325"/>
      <c r="AE499" s="325"/>
      <c r="AF499" s="728"/>
      <c r="AG499" s="325"/>
      <c r="AH499" s="325"/>
      <c r="AI499" s="321">
        <f t="shared" si="45"/>
        <v>0</v>
      </c>
      <c r="AJ499" s="317">
        <v>1750</v>
      </c>
      <c r="AK499" s="221">
        <f>AI499*AJ499</f>
        <v>0</v>
      </c>
      <c r="AL499" s="326"/>
      <c r="AM499" s="326"/>
      <c r="AN499" s="326"/>
      <c r="AO499" s="323"/>
      <c r="AP499" s="326"/>
      <c r="AQ499" s="609"/>
    </row>
    <row r="500" spans="1:43" s="360" customFormat="1" ht="15.75" customHeight="1" thickBot="1">
      <c r="A500" s="352"/>
      <c r="B500" s="353" t="s">
        <v>44</v>
      </c>
      <c r="C500" s="621"/>
      <c r="D500" s="730"/>
      <c r="E500" s="354"/>
      <c r="F500" s="354"/>
      <c r="G500" s="730"/>
      <c r="H500" s="354"/>
      <c r="I500" s="354"/>
      <c r="J500" s="354"/>
      <c r="K500" s="354"/>
      <c r="L500" s="354"/>
      <c r="M500" s="354"/>
      <c r="N500" s="730"/>
      <c r="O500" s="730"/>
      <c r="P500" s="354"/>
      <c r="Q500" s="354"/>
      <c r="R500" s="354"/>
      <c r="S500" s="354"/>
      <c r="T500" s="354"/>
      <c r="U500" s="1071"/>
      <c r="V500" s="354"/>
      <c r="W500" s="354"/>
      <c r="X500" s="354"/>
      <c r="Y500" s="354"/>
      <c r="Z500" s="354"/>
      <c r="AA500" s="354"/>
      <c r="AB500" s="730"/>
      <c r="AC500" s="354"/>
      <c r="AD500" s="354"/>
      <c r="AE500" s="354"/>
      <c r="AF500" s="730"/>
      <c r="AG500" s="354"/>
      <c r="AH500" s="354"/>
      <c r="AI500" s="355">
        <f t="shared" si="45"/>
        <v>0</v>
      </c>
      <c r="AJ500" s="356"/>
      <c r="AK500" s="357">
        <f>AI500</f>
        <v>0</v>
      </c>
      <c r="AL500" s="358"/>
      <c r="AM500" s="358"/>
      <c r="AN500" s="358"/>
      <c r="AO500" s="359"/>
      <c r="AP500" s="358"/>
      <c r="AQ500" s="611"/>
    </row>
    <row r="501" spans="1:43" s="216" customFormat="1" ht="15.75" customHeight="1" thickTop="1">
      <c r="A501" s="293">
        <v>39</v>
      </c>
      <c r="B501" s="219"/>
      <c r="C501" s="617"/>
      <c r="D501" s="731"/>
      <c r="E501" s="308"/>
      <c r="F501" s="308"/>
      <c r="G501" s="731"/>
      <c r="H501" s="308"/>
      <c r="I501" s="308"/>
      <c r="J501" s="308"/>
      <c r="K501" s="308"/>
      <c r="L501" s="308"/>
      <c r="M501" s="308"/>
      <c r="N501" s="731"/>
      <c r="O501" s="731"/>
      <c r="P501" s="308"/>
      <c r="Q501" s="308"/>
      <c r="R501" s="308"/>
      <c r="S501" s="308"/>
      <c r="T501" s="308"/>
      <c r="U501" s="731"/>
      <c r="V501" s="308"/>
      <c r="W501" s="308"/>
      <c r="X501" s="308"/>
      <c r="Y501" s="308"/>
      <c r="Z501" s="308"/>
      <c r="AA501" s="308"/>
      <c r="AB501" s="731"/>
      <c r="AC501" s="308"/>
      <c r="AD501" s="308"/>
      <c r="AE501" s="308"/>
      <c r="AF501" s="731"/>
      <c r="AG501" s="308"/>
      <c r="AH501" s="308"/>
      <c r="AI501" s="309">
        <f t="shared" si="45"/>
        <v>0</v>
      </c>
      <c r="AJ501" s="310"/>
      <c r="AK501" s="224"/>
      <c r="AL501" s="311"/>
      <c r="AN501" s="312"/>
      <c r="AO501" s="313"/>
      <c r="AP501" s="314"/>
      <c r="AQ501" s="608"/>
    </row>
    <row r="502" spans="1:43" s="322" customFormat="1" ht="15.75" customHeight="1">
      <c r="A502" s="295"/>
      <c r="B502" s="297" t="s">
        <v>188</v>
      </c>
      <c r="C502" s="619"/>
      <c r="D502" s="726"/>
      <c r="E502" s="318"/>
      <c r="F502" s="318"/>
      <c r="G502" s="726"/>
      <c r="H502" s="318"/>
      <c r="I502" s="318"/>
      <c r="J502" s="318"/>
      <c r="K502" s="318"/>
      <c r="L502" s="318"/>
      <c r="M502" s="318"/>
      <c r="N502" s="726"/>
      <c r="O502" s="726"/>
      <c r="P502" s="319"/>
      <c r="Q502" s="318"/>
      <c r="R502" s="318"/>
      <c r="S502" s="319"/>
      <c r="T502" s="318"/>
      <c r="U502" s="726"/>
      <c r="V502" s="318"/>
      <c r="W502" s="509"/>
      <c r="X502" s="318"/>
      <c r="Y502" s="318"/>
      <c r="Z502" s="320"/>
      <c r="AA502" s="318"/>
      <c r="AB502" s="726"/>
      <c r="AC502" s="318"/>
      <c r="AD502" s="318"/>
      <c r="AE502" s="318"/>
      <c r="AF502" s="726"/>
      <c r="AG502" s="318"/>
      <c r="AH502" s="318"/>
      <c r="AI502" s="321"/>
      <c r="AJ502" s="317"/>
      <c r="AK502" s="221"/>
      <c r="AO502" s="323"/>
      <c r="AQ502" s="609"/>
    </row>
    <row r="503" spans="1:43" s="322" customFormat="1" ht="15.75" customHeight="1">
      <c r="A503" s="295"/>
      <c r="B503" s="297" t="s">
        <v>281</v>
      </c>
      <c r="C503" s="619"/>
      <c r="D503" s="727"/>
      <c r="E503" s="324"/>
      <c r="F503" s="324"/>
      <c r="G503" s="727"/>
      <c r="H503" s="324"/>
      <c r="I503" s="324"/>
      <c r="J503" s="324"/>
      <c r="K503" s="324"/>
      <c r="L503" s="324"/>
      <c r="M503" s="324"/>
      <c r="N503" s="727"/>
      <c r="O503" s="727"/>
      <c r="P503" s="324"/>
      <c r="Q503" s="324"/>
      <c r="R503" s="324"/>
      <c r="S503" s="324"/>
      <c r="T503" s="324"/>
      <c r="U503" s="727"/>
      <c r="V503" s="324"/>
      <c r="W503" s="460"/>
      <c r="X503" s="324"/>
      <c r="Y503" s="324"/>
      <c r="Z503" s="324"/>
      <c r="AA503" s="324"/>
      <c r="AB503" s="727"/>
      <c r="AC503" s="324"/>
      <c r="AD503" s="324"/>
      <c r="AE503" s="324"/>
      <c r="AF503" s="727"/>
      <c r="AG503" s="324"/>
      <c r="AH503" s="324"/>
      <c r="AI503" s="321"/>
      <c r="AJ503" s="317"/>
      <c r="AK503" s="221"/>
      <c r="AO503" s="323"/>
      <c r="AQ503" s="609"/>
    </row>
    <row r="504" spans="1:43" s="322" customFormat="1" ht="15.75" customHeight="1">
      <c r="A504" s="295"/>
      <c r="B504" s="220" t="s">
        <v>260</v>
      </c>
      <c r="C504" s="618"/>
      <c r="D504" s="728"/>
      <c r="E504" s="325"/>
      <c r="F504" s="325"/>
      <c r="G504" s="728"/>
      <c r="H504" s="325"/>
      <c r="I504" s="325"/>
      <c r="J504" s="325"/>
      <c r="K504" s="325"/>
      <c r="L504" s="325"/>
      <c r="M504" s="325"/>
      <c r="N504" s="728"/>
      <c r="O504" s="728"/>
      <c r="P504" s="325"/>
      <c r="Q504" s="325"/>
      <c r="R504" s="325"/>
      <c r="S504" s="325"/>
      <c r="T504" s="325"/>
      <c r="U504" s="728"/>
      <c r="V504" s="325"/>
      <c r="W504" s="325"/>
      <c r="X504" s="325"/>
      <c r="Y504" s="325"/>
      <c r="Z504" s="325"/>
      <c r="AA504" s="325"/>
      <c r="AB504" s="728"/>
      <c r="AC504" s="325"/>
      <c r="AD504" s="325"/>
      <c r="AE504" s="325"/>
      <c r="AF504" s="728"/>
      <c r="AG504" s="325"/>
      <c r="AH504" s="325"/>
      <c r="AI504" s="321">
        <f t="shared" ref="AI504:AI549" si="46">SUM(D504:AH504)</f>
        <v>0</v>
      </c>
      <c r="AJ504" s="294"/>
      <c r="AK504" s="221"/>
      <c r="AO504" s="323"/>
      <c r="AQ504" s="609"/>
    </row>
    <row r="505" spans="1:43" s="330" customFormat="1" ht="15.75" customHeight="1">
      <c r="A505" s="295"/>
      <c r="B505" s="298" t="s">
        <v>56</v>
      </c>
      <c r="C505" s="620"/>
      <c r="D505" s="729"/>
      <c r="E505" s="327"/>
      <c r="F505" s="327"/>
      <c r="G505" s="729"/>
      <c r="H505" s="327"/>
      <c r="I505" s="327"/>
      <c r="J505" s="327"/>
      <c r="K505" s="327"/>
      <c r="L505" s="327"/>
      <c r="M505" s="327"/>
      <c r="N505" s="729"/>
      <c r="O505" s="729"/>
      <c r="P505" s="327"/>
      <c r="Q505" s="327"/>
      <c r="R505" s="327"/>
      <c r="S505" s="327"/>
      <c r="T505" s="327"/>
      <c r="U505" s="729"/>
      <c r="V505" s="327"/>
      <c r="W505" s="327"/>
      <c r="X505" s="327"/>
      <c r="Y505" s="327"/>
      <c r="Z505" s="327"/>
      <c r="AA505" s="327"/>
      <c r="AB505" s="729"/>
      <c r="AC505" s="327"/>
      <c r="AD505" s="327"/>
      <c r="AE505" s="327"/>
      <c r="AF505" s="729"/>
      <c r="AG505" s="327"/>
      <c r="AH505" s="327"/>
      <c r="AI505" s="328">
        <f t="shared" si="46"/>
        <v>0</v>
      </c>
      <c r="AJ505" s="296"/>
      <c r="AK505" s="222"/>
      <c r="AL505" s="329">
        <f>AE505+AG505</f>
        <v>0</v>
      </c>
      <c r="AO505" s="331"/>
      <c r="AQ505" s="610"/>
    </row>
    <row r="506" spans="1:43" s="322" customFormat="1" ht="15.75" customHeight="1">
      <c r="A506" s="295"/>
      <c r="B506" s="220" t="s">
        <v>642</v>
      </c>
      <c r="C506" s="618"/>
      <c r="D506" s="728"/>
      <c r="E506" s="325"/>
      <c r="F506" s="325"/>
      <c r="G506" s="728"/>
      <c r="H506" s="325"/>
      <c r="I506" s="325"/>
      <c r="J506" s="325"/>
      <c r="K506" s="325"/>
      <c r="L506" s="325"/>
      <c r="M506" s="325"/>
      <c r="N506" s="728"/>
      <c r="O506" s="728"/>
      <c r="P506" s="325"/>
      <c r="Q506" s="325"/>
      <c r="R506" s="325"/>
      <c r="S506" s="325"/>
      <c r="T506" s="325"/>
      <c r="U506" s="728"/>
      <c r="V506" s="325"/>
      <c r="W506" s="325"/>
      <c r="X506" s="325"/>
      <c r="Y506" s="325"/>
      <c r="Z506" s="325"/>
      <c r="AA506" s="325"/>
      <c r="AB506" s="728"/>
      <c r="AC506" s="325"/>
      <c r="AD506" s="325"/>
      <c r="AE506" s="325"/>
      <c r="AF506" s="728"/>
      <c r="AG506" s="325"/>
      <c r="AH506" s="325"/>
      <c r="AI506" s="321">
        <f t="shared" si="46"/>
        <v>0</v>
      </c>
      <c r="AJ506" s="317">
        <v>1409</v>
      </c>
      <c r="AK506" s="221">
        <f>AI506*AJ506</f>
        <v>0</v>
      </c>
      <c r="AO506" s="323"/>
      <c r="AQ506" s="609"/>
    </row>
    <row r="507" spans="1:43" s="322" customFormat="1" ht="15.75" customHeight="1">
      <c r="A507" s="295"/>
      <c r="B507" s="220" t="s">
        <v>721</v>
      </c>
      <c r="C507" s="618"/>
      <c r="D507" s="728"/>
      <c r="E507" s="325"/>
      <c r="F507" s="325"/>
      <c r="G507" s="728"/>
      <c r="H507" s="325"/>
      <c r="I507" s="325"/>
      <c r="J507" s="325"/>
      <c r="K507" s="325"/>
      <c r="L507" s="325"/>
      <c r="M507" s="325"/>
      <c r="N507" s="728"/>
      <c r="O507" s="727"/>
      <c r="P507" s="324"/>
      <c r="Q507" s="325"/>
      <c r="R507" s="325"/>
      <c r="S507" s="325"/>
      <c r="T507" s="325"/>
      <c r="U507" s="728"/>
      <c r="V507" s="325"/>
      <c r="W507" s="325"/>
      <c r="X507" s="325"/>
      <c r="Y507" s="325"/>
      <c r="Z507" s="325"/>
      <c r="AA507" s="325"/>
      <c r="AB507" s="728"/>
      <c r="AC507" s="325"/>
      <c r="AD507" s="325"/>
      <c r="AE507" s="325"/>
      <c r="AF507" s="728"/>
      <c r="AG507" s="325"/>
      <c r="AH507" s="325"/>
      <c r="AI507" s="321">
        <f t="shared" si="46"/>
        <v>0</v>
      </c>
      <c r="AJ507" s="317">
        <v>1322</v>
      </c>
      <c r="AK507" s="221">
        <f>AI507*AJ507</f>
        <v>0</v>
      </c>
      <c r="AO507" s="323"/>
      <c r="AQ507" s="609"/>
    </row>
    <row r="508" spans="1:43" s="322" customFormat="1" ht="15.75" customHeight="1">
      <c r="A508" s="295"/>
      <c r="B508" s="220" t="s">
        <v>366</v>
      </c>
      <c r="C508" s="618"/>
      <c r="D508" s="728"/>
      <c r="E508" s="325"/>
      <c r="F508" s="325"/>
      <c r="G508" s="728"/>
      <c r="H508" s="325"/>
      <c r="I508" s="325"/>
      <c r="J508" s="325"/>
      <c r="K508" s="325"/>
      <c r="L508" s="325"/>
      <c r="M508" s="325"/>
      <c r="N508" s="728"/>
      <c r="O508" s="728"/>
      <c r="P508" s="325"/>
      <c r="Q508" s="325"/>
      <c r="R508" s="325"/>
      <c r="S508" s="325"/>
      <c r="T508" s="325"/>
      <c r="U508" s="728"/>
      <c r="V508" s="325"/>
      <c r="W508" s="325"/>
      <c r="X508" s="325"/>
      <c r="Y508" s="325"/>
      <c r="Z508" s="325"/>
      <c r="AA508" s="325"/>
      <c r="AB508" s="728"/>
      <c r="AC508" s="325"/>
      <c r="AD508" s="325"/>
      <c r="AE508" s="325"/>
      <c r="AF508" s="728"/>
      <c r="AG508" s="325"/>
      <c r="AH508" s="325"/>
      <c r="AI508" s="321">
        <f t="shared" si="46"/>
        <v>0</v>
      </c>
      <c r="AJ508" s="317">
        <v>1233</v>
      </c>
      <c r="AK508" s="221">
        <f>AI508*AJ508</f>
        <v>0</v>
      </c>
      <c r="AO508" s="323"/>
      <c r="AQ508" s="609"/>
    </row>
    <row r="509" spans="1:43" s="322" customFormat="1" ht="15.75" customHeight="1">
      <c r="A509" s="295"/>
      <c r="B509" s="220" t="s">
        <v>643</v>
      </c>
      <c r="C509" s="618"/>
      <c r="D509" s="728"/>
      <c r="E509" s="325"/>
      <c r="F509" s="325"/>
      <c r="G509" s="728"/>
      <c r="H509" s="325"/>
      <c r="I509" s="325"/>
      <c r="J509" s="325"/>
      <c r="K509" s="325"/>
      <c r="L509" s="325"/>
      <c r="M509" s="325"/>
      <c r="N509" s="728"/>
      <c r="O509" s="728"/>
      <c r="P509" s="325"/>
      <c r="Q509" s="325"/>
      <c r="R509" s="325"/>
      <c r="S509" s="325"/>
      <c r="T509" s="325"/>
      <c r="U509" s="728"/>
      <c r="V509" s="325"/>
      <c r="W509" s="325"/>
      <c r="X509" s="325"/>
      <c r="Y509" s="325"/>
      <c r="Z509" s="325"/>
      <c r="AA509" s="325"/>
      <c r="AB509" s="728"/>
      <c r="AC509" s="325"/>
      <c r="AD509" s="325"/>
      <c r="AE509" s="325"/>
      <c r="AF509" s="728"/>
      <c r="AG509" s="325"/>
      <c r="AH509" s="325"/>
      <c r="AI509" s="321">
        <f t="shared" si="46"/>
        <v>0</v>
      </c>
      <c r="AJ509" s="317">
        <v>1043</v>
      </c>
      <c r="AK509" s="221">
        <f>AI509*AJ509</f>
        <v>0</v>
      </c>
      <c r="AO509" s="323"/>
      <c r="AQ509" s="609"/>
    </row>
    <row r="510" spans="1:43" s="322" customFormat="1" ht="15.75" customHeight="1">
      <c r="A510" s="295"/>
      <c r="B510" s="220" t="s">
        <v>367</v>
      </c>
      <c r="C510" s="618"/>
      <c r="D510" s="728"/>
      <c r="E510" s="325"/>
      <c r="F510" s="325"/>
      <c r="G510" s="728"/>
      <c r="H510" s="325"/>
      <c r="I510" s="325"/>
      <c r="J510" s="325"/>
      <c r="K510" s="325"/>
      <c r="L510" s="325"/>
      <c r="M510" s="325"/>
      <c r="N510" s="728"/>
      <c r="O510" s="728"/>
      <c r="P510" s="325"/>
      <c r="Q510" s="325"/>
      <c r="R510" s="325"/>
      <c r="S510" s="325"/>
      <c r="T510" s="325"/>
      <c r="U510" s="728"/>
      <c r="V510" s="325"/>
      <c r="W510" s="325"/>
      <c r="X510" s="325"/>
      <c r="Y510" s="325"/>
      <c r="Z510" s="325"/>
      <c r="AA510" s="325"/>
      <c r="AB510" s="728"/>
      <c r="AC510" s="325"/>
      <c r="AD510" s="325"/>
      <c r="AE510" s="325"/>
      <c r="AF510" s="728"/>
      <c r="AG510" s="325"/>
      <c r="AH510" s="325"/>
      <c r="AI510" s="321">
        <f t="shared" si="46"/>
        <v>0</v>
      </c>
      <c r="AJ510" s="317"/>
      <c r="AK510" s="221">
        <f>AI510*AJ510</f>
        <v>0</v>
      </c>
      <c r="AL510" s="326"/>
      <c r="AM510" s="326"/>
      <c r="AN510" s="326"/>
      <c r="AO510" s="323"/>
      <c r="AP510" s="326"/>
      <c r="AQ510" s="609"/>
    </row>
    <row r="511" spans="1:43" s="330" customFormat="1" ht="15.75" customHeight="1">
      <c r="A511" s="295"/>
      <c r="B511" s="298" t="s">
        <v>259</v>
      </c>
      <c r="C511" s="620"/>
      <c r="D511" s="729"/>
      <c r="E511" s="327"/>
      <c r="F511" s="327"/>
      <c r="G511" s="729"/>
      <c r="H511" s="327"/>
      <c r="I511" s="327"/>
      <c r="J511" s="327"/>
      <c r="K511" s="327"/>
      <c r="L511" s="327"/>
      <c r="M511" s="327"/>
      <c r="N511" s="729"/>
      <c r="O511" s="729"/>
      <c r="P511" s="327"/>
      <c r="Q511" s="327"/>
      <c r="R511" s="327"/>
      <c r="S511" s="327"/>
      <c r="T511" s="327"/>
      <c r="U511" s="729"/>
      <c r="V511" s="327"/>
      <c r="W511" s="327"/>
      <c r="X511" s="332"/>
      <c r="Y511" s="327"/>
      <c r="Z511" s="327"/>
      <c r="AA511" s="327"/>
      <c r="AB511" s="729"/>
      <c r="AC511" s="327"/>
      <c r="AD511" s="327"/>
      <c r="AE511" s="327"/>
      <c r="AF511" s="729"/>
      <c r="AG511" s="327"/>
      <c r="AH511" s="327"/>
      <c r="AI511" s="328">
        <f t="shared" si="46"/>
        <v>0</v>
      </c>
      <c r="AJ511" s="333"/>
      <c r="AK511" s="222">
        <f>SUM(AK506:AK510)</f>
        <v>0</v>
      </c>
      <c r="AL511" s="334"/>
      <c r="AM511" s="334"/>
      <c r="AN511" s="334"/>
      <c r="AO511" s="331"/>
      <c r="AP511" s="334"/>
      <c r="AQ511" s="610"/>
    </row>
    <row r="512" spans="1:43" s="322" customFormat="1" ht="15.75" customHeight="1">
      <c r="A512" s="295"/>
      <c r="B512" s="220" t="s">
        <v>57</v>
      </c>
      <c r="C512" s="618"/>
      <c r="D512" s="728"/>
      <c r="E512" s="325"/>
      <c r="F512" s="325"/>
      <c r="G512" s="728"/>
      <c r="H512" s="325"/>
      <c r="I512" s="325"/>
      <c r="J512" s="325"/>
      <c r="K512" s="325"/>
      <c r="L512" s="325"/>
      <c r="M512" s="325"/>
      <c r="N512" s="728"/>
      <c r="O512" s="728"/>
      <c r="P512" s="325"/>
      <c r="Q512" s="325"/>
      <c r="R512" s="325"/>
      <c r="S512" s="325"/>
      <c r="T512" s="325"/>
      <c r="U512" s="728"/>
      <c r="V512" s="325"/>
      <c r="W512" s="325"/>
      <c r="X512" s="325"/>
      <c r="Y512" s="325"/>
      <c r="Z512" s="325"/>
      <c r="AA512" s="325"/>
      <c r="AB512" s="728"/>
      <c r="AC512" s="325"/>
      <c r="AD512" s="325"/>
      <c r="AE512" s="325"/>
      <c r="AF512" s="728"/>
      <c r="AG512" s="325"/>
      <c r="AH512" s="325"/>
      <c r="AI512" s="321">
        <f t="shared" si="46"/>
        <v>0</v>
      </c>
      <c r="AJ512" s="317">
        <v>1750</v>
      </c>
      <c r="AK512" s="221">
        <f>AI512*AJ512</f>
        <v>0</v>
      </c>
      <c r="AL512" s="326"/>
      <c r="AM512" s="326"/>
      <c r="AN512" s="326"/>
      <c r="AO512" s="323"/>
      <c r="AP512" s="326"/>
      <c r="AQ512" s="609"/>
    </row>
    <row r="513" spans="1:48" s="360" customFormat="1" ht="15.75" customHeight="1" thickBot="1">
      <c r="A513" s="352"/>
      <c r="B513" s="353" t="s">
        <v>44</v>
      </c>
      <c r="C513" s="621"/>
      <c r="D513" s="730"/>
      <c r="E513" s="354"/>
      <c r="F513" s="354"/>
      <c r="G513" s="730"/>
      <c r="H513" s="354"/>
      <c r="I513" s="354"/>
      <c r="J513" s="354"/>
      <c r="K513" s="354"/>
      <c r="L513" s="354"/>
      <c r="M513" s="354"/>
      <c r="N513" s="730"/>
      <c r="O513" s="730"/>
      <c r="P513" s="354"/>
      <c r="Q513" s="354"/>
      <c r="R513" s="354"/>
      <c r="S513" s="354"/>
      <c r="T513" s="354"/>
      <c r="U513" s="1071"/>
      <c r="V513" s="354"/>
      <c r="W513" s="354"/>
      <c r="X513" s="354"/>
      <c r="Y513" s="354"/>
      <c r="Z513" s="354"/>
      <c r="AA513" s="354"/>
      <c r="AB513" s="730"/>
      <c r="AC513" s="354"/>
      <c r="AD513" s="354"/>
      <c r="AE513" s="354"/>
      <c r="AF513" s="730"/>
      <c r="AG513" s="354"/>
      <c r="AH513" s="354"/>
      <c r="AI513" s="355">
        <f t="shared" si="46"/>
        <v>0</v>
      </c>
      <c r="AJ513" s="356"/>
      <c r="AK513" s="357">
        <f>AI513</f>
        <v>0</v>
      </c>
      <c r="AL513" s="358"/>
      <c r="AM513" s="358"/>
      <c r="AN513" s="358"/>
      <c r="AO513" s="359"/>
      <c r="AP513" s="358"/>
      <c r="AQ513" s="611"/>
    </row>
    <row r="514" spans="1:48" s="216" customFormat="1" ht="31.5" customHeight="1" thickTop="1">
      <c r="A514" s="639"/>
      <c r="B514" s="268" t="s">
        <v>26</v>
      </c>
      <c r="C514" s="617"/>
      <c r="D514" s="732">
        <f>D7+D254+D20+D33+D46+D267+D59+D72+D85+D98+D280+D111+D124+D137+D150+D163+D176+D189+D202+D215+D228+D241+D293+D306+D319+D332+D345+D358+D371+D384+D397+D410+D423+D436+D449+D462+D475+D488+D501</f>
        <v>0</v>
      </c>
      <c r="E514" s="640">
        <f>E7+E20+E33+E46+E59+E72+E85+E98+E280+E111+E124+E137+E150+E163+E176+E189+E202+E215+E228+E241+E293+E306+E319+E332+E254+E267+E345+E358+E371+E384+E397+E410+E423+E436+E449+E462+E475+E488+E501</f>
        <v>25</v>
      </c>
      <c r="F514" s="640">
        <f>F7+F20+F33+F46+F59+F72+F85+F98+F280+F111+F124+F137+F150+F163+F176+F189+F202+F215+F228+F241+F293+F306+F319+F332+F254+F267+F345+F358+F371+F384+F397+F410+F423+F436+F449+F462+F475+F488+F501</f>
        <v>26</v>
      </c>
      <c r="G514" s="732">
        <f t="shared" ref="G514" si="47">G7+G254+G20+G33+G46+G267+G59+G72+G85+G98+G280+G111+G124+G137+G150+G163+G176+G189+G202+G215+G228+G241+G293+G306+G319+G332+G345+G358+G371+G384+G397+G410+G423+G436+G449+G462+G475+G488+G501</f>
        <v>0</v>
      </c>
      <c r="H514" s="640">
        <f t="shared" ref="H514:O514" si="48">H7+H254+H20+H33+H46+H267+H59+H72+H85+H98+H280+H111+H124+H137+H150+H163+H176+H189+H202+H215+H228+H241+H293+H306+H319+H332+H345+H358+H371+H384+H397+H410+H423+H436+H449+H462+H475+H488+H501</f>
        <v>27</v>
      </c>
      <c r="I514" s="640">
        <f t="shared" si="48"/>
        <v>27</v>
      </c>
      <c r="J514" s="640">
        <f t="shared" si="48"/>
        <v>25</v>
      </c>
      <c r="K514" s="640">
        <f t="shared" si="48"/>
        <v>25</v>
      </c>
      <c r="L514" s="640">
        <f t="shared" si="48"/>
        <v>25</v>
      </c>
      <c r="M514" s="640">
        <f t="shared" si="48"/>
        <v>26</v>
      </c>
      <c r="N514" s="732">
        <f t="shared" si="48"/>
        <v>0</v>
      </c>
      <c r="O514" s="732">
        <f t="shared" si="48"/>
        <v>0</v>
      </c>
      <c r="P514" s="640">
        <f>P7+P254+P20+P33+P46+P267+P59+P72+P85+P98+Q121+P111+P124+P137+P150+P163+P176+P189+P202+P215+P228+P241+P293+P306+P319+P332+P345+P358+P371+P384+P397+P410+P423+P436+P449+P462+P475+P488+P501</f>
        <v>24</v>
      </c>
      <c r="Q514" s="640">
        <f t="shared" ref="Q514:AH514" si="49">Q7+Q254+Q20+Q33+Q46+Q267+Q59+Q72+Q85+Q98+Q280+Q111+Q124+Q137+Q150+Q163+Q176+Q189+Q202+Q215+Q228+Q241+Q293+Q306+Q319+Q332+Q345+Q358+Q371+Q384+Q397+Q410+Q423+Q436+Q449+Q462+Q475+Q488+Q501</f>
        <v>25</v>
      </c>
      <c r="R514" s="640">
        <f t="shared" si="49"/>
        <v>27</v>
      </c>
      <c r="S514" s="640">
        <f t="shared" si="49"/>
        <v>27</v>
      </c>
      <c r="T514" s="640">
        <f t="shared" si="49"/>
        <v>26</v>
      </c>
      <c r="U514" s="732">
        <f t="shared" si="49"/>
        <v>0</v>
      </c>
      <c r="V514" s="640">
        <f t="shared" si="49"/>
        <v>27</v>
      </c>
      <c r="W514" s="640">
        <f t="shared" si="49"/>
        <v>25</v>
      </c>
      <c r="X514" s="640">
        <f t="shared" si="49"/>
        <v>24</v>
      </c>
      <c r="Y514" s="640">
        <f t="shared" si="49"/>
        <v>23</v>
      </c>
      <c r="Z514" s="640">
        <f t="shared" si="49"/>
        <v>25</v>
      </c>
      <c r="AA514" s="640">
        <f t="shared" si="49"/>
        <v>25</v>
      </c>
      <c r="AB514" s="732">
        <f t="shared" si="49"/>
        <v>0</v>
      </c>
      <c r="AC514" s="640">
        <f t="shared" si="49"/>
        <v>25</v>
      </c>
      <c r="AD514" s="640">
        <f t="shared" si="49"/>
        <v>24</v>
      </c>
      <c r="AE514" s="640">
        <f t="shared" si="49"/>
        <v>25</v>
      </c>
      <c r="AF514" s="732">
        <f t="shared" si="49"/>
        <v>0</v>
      </c>
      <c r="AG514" s="640">
        <f t="shared" si="49"/>
        <v>25</v>
      </c>
      <c r="AH514" s="640">
        <f t="shared" si="49"/>
        <v>24</v>
      </c>
      <c r="AI514" s="641">
        <f t="shared" si="46"/>
        <v>607</v>
      </c>
      <c r="AJ514" s="642"/>
      <c r="AK514" s="643"/>
      <c r="AL514" s="349" t="s">
        <v>284</v>
      </c>
      <c r="AM514" s="350" t="s">
        <v>743</v>
      </c>
      <c r="AN514" s="351" t="s">
        <v>551</v>
      </c>
      <c r="AO514" s="351" t="s">
        <v>552</v>
      </c>
      <c r="AP514" s="349" t="s">
        <v>359</v>
      </c>
      <c r="AQ514" s="613" t="s">
        <v>38</v>
      </c>
      <c r="AR514" s="1217" t="s">
        <v>285</v>
      </c>
      <c r="AS514" s="1217" t="s">
        <v>231</v>
      </c>
    </row>
    <row r="515" spans="1:48" s="336" customFormat="1" ht="15.75" customHeight="1">
      <c r="A515" s="644"/>
      <c r="B515" s="298" t="s">
        <v>56</v>
      </c>
      <c r="C515" s="620"/>
      <c r="D515" s="733">
        <f t="shared" ref="D515:D523" si="50">D11++D258+D24+D37+D50+D271+D63+D76+D89+D102+D284+D115+D128+D141+D154+D167+D180+D193+D206+D219+D232+D245+D297+D310+D323+D336+D349+D362+D375+D388+D401+D414+D426+D439+D452+D466+D479+D492+D505</f>
        <v>0</v>
      </c>
      <c r="E515" s="517">
        <f t="shared" ref="E515:AE515" si="51">E11+E24+E37+E50+E63+E76+E89+E102+E284+E115+E128+E141+E154+E167+E180+E193+E206+E219+E232+E245+E297+E310+E323+E336+E258+E271+E349+E362+E375+E388+E401+E414+E427+E440+E453+E466+E479+E492+E505</f>
        <v>2792</v>
      </c>
      <c r="F515" s="517">
        <f t="shared" ref="F515:H515" si="52">F11+F24+F37+F50+F63+F76+F89+F102+F284+F115+F128+F141+F154+F167+F180+F193+F206+F219+F232+F245+F297+F310+F323+F336+F258+F271+F349+F362+F375+F388+F401+F414+F427+F440+F453+F466+F479+F492+F505</f>
        <v>1599</v>
      </c>
      <c r="G515" s="733">
        <f t="shared" si="52"/>
        <v>0</v>
      </c>
      <c r="H515" s="517">
        <f t="shared" si="52"/>
        <v>3523</v>
      </c>
      <c r="I515" s="517">
        <f t="shared" si="51"/>
        <v>2791</v>
      </c>
      <c r="J515" s="517">
        <f t="shared" si="51"/>
        <v>1949</v>
      </c>
      <c r="K515" s="517">
        <f t="shared" ref="K515:O515" si="53">K11+K24+K37+K50+K63+K76+K89+K102+K284+K115+K128+K141+K154+K167+K180+K193+K206+K219+K232+K245+K297+K310+K323+K336+K258+K271+K349+K362+K375+K388+K401+K414+K427+K440+K453+K466+K479+K492+K505</f>
        <v>1238</v>
      </c>
      <c r="L515" s="517">
        <f t="shared" si="53"/>
        <v>962</v>
      </c>
      <c r="M515" s="517">
        <f t="shared" si="53"/>
        <v>775</v>
      </c>
      <c r="N515" s="733">
        <f t="shared" si="53"/>
        <v>0</v>
      </c>
      <c r="O515" s="733">
        <f t="shared" si="53"/>
        <v>0</v>
      </c>
      <c r="P515" s="517">
        <f t="shared" si="51"/>
        <v>1955</v>
      </c>
      <c r="Q515" s="517">
        <f t="shared" si="51"/>
        <v>3117</v>
      </c>
      <c r="R515" s="517">
        <f t="shared" ref="R515:S515" si="54">R11+R24+R37+R50+R63+R76+R89+R102+R284+R115+R128+R141+R154+R167+R180+R193+R206+R219+R232+R245+R297+R310+R323+R336+R258+R271+R349+R362+R375+R388+R401+R414+R427+R440+R453+R466+R479+R492+R505</f>
        <v>2796</v>
      </c>
      <c r="S515" s="517">
        <f t="shared" si="54"/>
        <v>2603</v>
      </c>
      <c r="T515" s="517">
        <f t="shared" ref="T515" si="55">T11+T24+T37+T50+T63+T76+T89+T102+T284+T115+T128+T141+T154+T167+T180+T193+T206+T219+T232+T245+T297+T310+T323+T336+T258+T271+T349+T362+T375+T388+T401+T414+T427+T440+T453+T466+T479+T492+T505</f>
        <v>2221</v>
      </c>
      <c r="U515" s="733">
        <f t="shared" si="51"/>
        <v>0</v>
      </c>
      <c r="V515" s="517">
        <f t="shared" si="51"/>
        <v>3296</v>
      </c>
      <c r="W515" s="517">
        <f t="shared" si="51"/>
        <v>1609</v>
      </c>
      <c r="X515" s="517">
        <f t="shared" si="51"/>
        <v>1941</v>
      </c>
      <c r="Y515" s="517">
        <f t="shared" ref="Y515" si="56">Y11+Y24+Y37+Y50+Y63+Y76+Y89+Y102+Y284+Y115+Y128+Y141+Y154+Y167+Y180+Y193+Y206+Y219+Y232+Y245+Y297+Y310+Y323+Y336+Y258+Y271+Y349+Y362+Y375+Y388+Y401+Y414+Y427+Y440+Y453+Y466+Y479+Y492+Y505</f>
        <v>1730</v>
      </c>
      <c r="Z515" s="517">
        <f t="shared" ref="Z515:AC515" si="57">Z11+Z24+Z37+Z50+Z63+Z76+Z89+Z102+Z284+Z115+Z128+Z141+Z154+Z167+Z180+Z193+Z206+Z219+Z232+Z245+Z297+Z310+Z323+Z336+Z258+Z271+Z349+Z362+Z375+Z388+Z401+Z414+Z427+Z440+Z453+Z466+Z479+Z492+Z505</f>
        <v>1608</v>
      </c>
      <c r="AA515" s="517">
        <f t="shared" si="57"/>
        <v>1039</v>
      </c>
      <c r="AB515" s="733">
        <f t="shared" si="57"/>
        <v>0</v>
      </c>
      <c r="AC515" s="517">
        <f t="shared" si="57"/>
        <v>1020</v>
      </c>
      <c r="AD515" s="517">
        <f t="shared" si="51"/>
        <v>1316</v>
      </c>
      <c r="AE515" s="517">
        <f t="shared" si="51"/>
        <v>2001</v>
      </c>
      <c r="AF515" s="733">
        <f t="shared" ref="AF515:AH515" si="58">AF11+AF24+AF37+AF50+AF63+AF76+AF89+AF102+AF284+AF115+AF128+AF141+AF154+AF167+AF180+AF193+AF206+AF219+AF232+AF245+AF297+AF310+AF323+AF336+AF258+AF271+AF349+AF362+AF375+AF388+AF401+AF414+AF427+AF440+AF453+AF466+AF479+AF492+AF505</f>
        <v>0</v>
      </c>
      <c r="AG515" s="517">
        <f t="shared" si="58"/>
        <v>2925</v>
      </c>
      <c r="AH515" s="517">
        <f t="shared" si="58"/>
        <v>1548</v>
      </c>
      <c r="AI515" s="335">
        <f>SUM(D515:AH515)</f>
        <v>48354</v>
      </c>
      <c r="AJ515" s="296"/>
      <c r="AK515" s="222"/>
      <c r="AL515" s="329">
        <f>AI515</f>
        <v>48354</v>
      </c>
      <c r="AM515" s="329"/>
      <c r="AN515" s="329">
        <f>2502+77+52+136</f>
        <v>2767</v>
      </c>
      <c r="AO515" s="329"/>
      <c r="AP515" s="329">
        <f>AI536</f>
        <v>0</v>
      </c>
      <c r="AQ515" s="638">
        <f>AL515+AM515+AN515-AO515-AP515</f>
        <v>51121</v>
      </c>
      <c r="AR515" s="338">
        <f>51112+9</f>
        <v>51121</v>
      </c>
      <c r="AS515" s="329">
        <f>AR515-AQ515</f>
        <v>0</v>
      </c>
      <c r="AT515" s="337">
        <f>53908+1407</f>
        <v>55315</v>
      </c>
      <c r="AU515" s="337"/>
    </row>
    <row r="516" spans="1:48" s="322" customFormat="1" ht="15.75" customHeight="1">
      <c r="A516" s="295"/>
      <c r="B516" s="220" t="s">
        <v>642</v>
      </c>
      <c r="C516" s="618"/>
      <c r="D516" s="734">
        <f t="shared" si="50"/>
        <v>0</v>
      </c>
      <c r="E516" s="315">
        <f t="shared" ref="E516:J516" si="59">E12+E25+E38+E51+E64+E77+E90+E103+E285+E116+E129+E142+E155+E168+E181+E194+E207+E220+E233+E246+E298+E311+E324+E337+E259+E272+E350+E363+E376+E389+E402+E415+E428+E441+E454+E467+E480+E493+E506</f>
        <v>221</v>
      </c>
      <c r="F516" s="315">
        <f t="shared" si="59"/>
        <v>36</v>
      </c>
      <c r="G516" s="734">
        <f t="shared" si="59"/>
        <v>0</v>
      </c>
      <c r="H516" s="315">
        <f t="shared" si="59"/>
        <v>185</v>
      </c>
      <c r="I516" s="315">
        <f t="shared" si="59"/>
        <v>72</v>
      </c>
      <c r="J516" s="315">
        <f t="shared" si="59"/>
        <v>0</v>
      </c>
      <c r="K516" s="315">
        <f t="shared" ref="K516:Q516" si="60">K12+K25+K38+K51+K64+K77+K90+K103+K285+K116+K129+K142+K155+K168+K181+K194+K207+K220+K233+K246+K298+K311+K324+K337+K259+K272+K350+K363+K376+K389+K402+K415+K428+K441+K454+K467+K480+K493+K506</f>
        <v>0</v>
      </c>
      <c r="L516" s="315">
        <f t="shared" si="60"/>
        <v>0</v>
      </c>
      <c r="M516" s="315">
        <f t="shared" si="60"/>
        <v>0</v>
      </c>
      <c r="N516" s="734">
        <f t="shared" si="60"/>
        <v>0</v>
      </c>
      <c r="O516" s="734">
        <f t="shared" si="60"/>
        <v>0</v>
      </c>
      <c r="P516" s="315">
        <f t="shared" si="60"/>
        <v>0</v>
      </c>
      <c r="Q516" s="315">
        <f t="shared" si="60"/>
        <v>0</v>
      </c>
      <c r="R516" s="315">
        <f t="shared" ref="R516:S516" si="61">R12+R25+R38+R51+R64+R77+R90+R103+R285+R116+R129+R142+R155+R168+R181+R194+R207+R220+R233+R246+R298+R311+R324+R337+R259+R272+R350+R363+R376+R389+R402+R415+R428+R441+R454+R467+R480+R493+R506</f>
        <v>0</v>
      </c>
      <c r="S516" s="315">
        <f t="shared" si="61"/>
        <v>25</v>
      </c>
      <c r="T516" s="315">
        <f t="shared" ref="T516:X516" si="62">T12+T25+T38+T51+T64+T77+T90+T103+T285+T116+T129+T142+T155+T168+T181+T194+T207+T220+T233+T246+T298+T311+T324+T337+T259+T272+T350+T363+T376+T389+T402+T415+T428+T441+T454+T467+T480+T493+T506</f>
        <v>47</v>
      </c>
      <c r="U516" s="734">
        <f t="shared" si="62"/>
        <v>0</v>
      </c>
      <c r="V516" s="315">
        <f t="shared" si="62"/>
        <v>748</v>
      </c>
      <c r="W516" s="315">
        <f t="shared" si="62"/>
        <v>0</v>
      </c>
      <c r="X516" s="315">
        <f t="shared" si="62"/>
        <v>0</v>
      </c>
      <c r="Y516" s="315">
        <f t="shared" ref="Y516" si="63">Y12+Y25+Y38+Y51+Y64+Y77+Y90+Y103+Y285+Y116+Y129+Y142+Y155+Y168+Y181+Y194+Y207+Y220+Y233+Y246+Y298+Y311+Y324+Y337+Y259+Y272+Y350+Y363+Y376+Y389+Y402+Y415+Y428+Y441+Y454+Y467+Y480+Y493+Y506</f>
        <v>0</v>
      </c>
      <c r="Z516" s="315">
        <f t="shared" ref="Z516:AE516" si="64">Z12+Z25+Z38+Z51+Z64+Z77+Z90+Z103+Z285+Z116+Z129+Z142+Z155+Z168+Z181+Z194+Z207+Z220+Z233+Z246+Z298+Z311+Z324+Z337+Z259+Z272+Z350+Z363+Z376+Z389+Z402+Z415+Z428+Z441+Z454+Z467+Z480+Z493+Z506</f>
        <v>0</v>
      </c>
      <c r="AA516" s="315">
        <f t="shared" si="64"/>
        <v>0</v>
      </c>
      <c r="AB516" s="734">
        <f t="shared" si="64"/>
        <v>0</v>
      </c>
      <c r="AC516" s="315">
        <f t="shared" si="64"/>
        <v>0</v>
      </c>
      <c r="AD516" s="315">
        <f t="shared" si="64"/>
        <v>0</v>
      </c>
      <c r="AE516" s="315">
        <f t="shared" si="64"/>
        <v>0</v>
      </c>
      <c r="AF516" s="734">
        <f t="shared" ref="AF516:AH516" si="65">AF12+AF25+AF38+AF51+AF64+AF77+AF90+AF103+AF285+AF116+AF129+AF142+AF155+AF168+AF181+AF194+AF207+AF220+AF233+AF246+AF298+AF311+AF324+AF337+AF259+AF272+AF350+AF363+AF376+AF389+AF402+AF415+AF428+AF441+AF454+AF467+AF480+AF493+AF506</f>
        <v>0</v>
      </c>
      <c r="AG516" s="315">
        <f t="shared" si="65"/>
        <v>157</v>
      </c>
      <c r="AH516" s="315">
        <f t="shared" si="65"/>
        <v>3</v>
      </c>
      <c r="AI516" s="321">
        <f t="shared" ref="AI516:AI519" si="66">SUM(D516:AH516)</f>
        <v>1494</v>
      </c>
      <c r="AJ516" s="317">
        <v>1409</v>
      </c>
      <c r="AK516" s="221">
        <f>AI516*AJ516</f>
        <v>2105046</v>
      </c>
      <c r="AO516" s="323"/>
      <c r="AQ516" s="638">
        <f t="shared" ref="AQ516:AQ522" si="67">AL516+AM516+AN516-AO516-AP516</f>
        <v>0</v>
      </c>
    </row>
    <row r="517" spans="1:48" s="322" customFormat="1" ht="15.75" customHeight="1">
      <c r="A517" s="295"/>
      <c r="B517" s="220" t="s">
        <v>721</v>
      </c>
      <c r="C517" s="618"/>
      <c r="D517" s="734">
        <f t="shared" si="50"/>
        <v>0</v>
      </c>
      <c r="E517" s="315">
        <f t="shared" ref="E517:J517" si="68">E13+E26+E39+E52+E65+E78+E91+E104+E286+E117+E130+E143+E156+E169+E182+E195+E208+E221+E234+E247+E299+E312+E325+E338+E260+E273+E351+E364+E377+E390+E403+E416+E429+E442+E455+E468+E481+E494+E507</f>
        <v>402</v>
      </c>
      <c r="F517" s="315">
        <f t="shared" si="68"/>
        <v>0</v>
      </c>
      <c r="G517" s="734">
        <f t="shared" si="68"/>
        <v>0</v>
      </c>
      <c r="H517" s="315">
        <f t="shared" si="68"/>
        <v>840</v>
      </c>
      <c r="I517" s="315">
        <f t="shared" si="68"/>
        <v>429</v>
      </c>
      <c r="J517" s="315">
        <f t="shared" si="68"/>
        <v>334</v>
      </c>
      <c r="K517" s="315">
        <f t="shared" ref="K517:Q517" si="69">K13+K26+K39+K52+K65+K78+K91+K104+K286+K117+K130+K143+K156+K169+K182+K195+K208+K221+K234+K247+K299+K312+K325+K338+K260+K273+K351+K364+K377+K390+K403+K416+K429+K442+K455+K468+K481+K494+K507</f>
        <v>23</v>
      </c>
      <c r="L517" s="315">
        <f t="shared" si="69"/>
        <v>0</v>
      </c>
      <c r="M517" s="315">
        <f t="shared" si="69"/>
        <v>0</v>
      </c>
      <c r="N517" s="734">
        <f t="shared" si="69"/>
        <v>0</v>
      </c>
      <c r="O517" s="734">
        <f t="shared" si="69"/>
        <v>0</v>
      </c>
      <c r="P517" s="315">
        <f t="shared" si="69"/>
        <v>46</v>
      </c>
      <c r="Q517" s="315">
        <f t="shared" si="69"/>
        <v>59</v>
      </c>
      <c r="R517" s="315">
        <f t="shared" ref="R517:S517" si="70">R13+R26+R39+R52+R65+R78+R91+R104+R286+R117+R130+R143+R156+R169+R182+R195+R208+R221+R234+R247+R299+R312+R325+R338+R260+R273+R351+R364+R377+R390+R403+R416+R429+R442+R455+R468+R481+R494+R507</f>
        <v>224</v>
      </c>
      <c r="S517" s="315">
        <f t="shared" si="70"/>
        <v>403</v>
      </c>
      <c r="T517" s="315">
        <f t="shared" ref="T517:X517" si="71">T13+T26+T39+T52+T65+T78+T91+T104+T286+T117+T130+T143+T156+T169+T182+T195+T208+T221+T234+T247+T299+T312+T325+T338+T260+T273+T351+T364+T377+T390+T403+T416+T429+T442+T455+T468+T481+T494+T507</f>
        <v>231</v>
      </c>
      <c r="U517" s="734">
        <f t="shared" si="71"/>
        <v>0</v>
      </c>
      <c r="V517" s="315">
        <f t="shared" si="71"/>
        <v>226</v>
      </c>
      <c r="W517" s="315">
        <f t="shared" si="71"/>
        <v>0</v>
      </c>
      <c r="X517" s="315">
        <f t="shared" si="71"/>
        <v>0</v>
      </c>
      <c r="Y517" s="315">
        <f t="shared" ref="Y517" si="72">Y13+Y26+Y39+Y52+Y65+Y78+Y91+Y104+Y286+Y117+Y130+Y143+Y156+Y169+Y182+Y195+Y208+Y221+Y234+Y247+Y299+Y312+Y325+Y338+Y260+Y273+Y351+Y364+Y377+Y390+Y403+Y416+Y429+Y442+Y455+Y468+Y481+Y494+Y507</f>
        <v>76</v>
      </c>
      <c r="Z517" s="315">
        <f t="shared" ref="Z517:AE517" si="73">Z13+Z26+Z39+Z52+Z65+Z78+Z91+Z104+Z286+Z117+Z130+Z143+Z156+Z169+Z182+Z195+Z208+Z221+Z234+Z247+Z299+Z312+Z325+Z338+Z260+Z273+Z351+Z364+Z377+Z390+Z403+Z416+Z429+Z442+Z455+Z468+Z481+Z494+Z507</f>
        <v>0</v>
      </c>
      <c r="AA517" s="315">
        <f t="shared" si="73"/>
        <v>0</v>
      </c>
      <c r="AB517" s="734">
        <f t="shared" si="73"/>
        <v>0</v>
      </c>
      <c r="AC517" s="315">
        <f t="shared" si="73"/>
        <v>0</v>
      </c>
      <c r="AD517" s="315">
        <f t="shared" si="73"/>
        <v>0</v>
      </c>
      <c r="AE517" s="315">
        <f t="shared" si="73"/>
        <v>0</v>
      </c>
      <c r="AF517" s="734">
        <f t="shared" ref="AF517:AH517" si="74">AF13+AF26+AF39+AF52+AF65+AF78+AF91+AF104+AF286+AF117+AF130+AF143+AF156+AF169+AF182+AF195+AF208+AF221+AF234+AF247+AF299+AF312+AF325+AF338+AF260+AF273+AF351+AF364+AF377+AF390+AF403+AF416+AF429+AF442+AF455+AF468+AF481+AF494+AF507</f>
        <v>0</v>
      </c>
      <c r="AG517" s="315">
        <f t="shared" si="74"/>
        <v>92</v>
      </c>
      <c r="AH517" s="315">
        <f t="shared" si="74"/>
        <v>0</v>
      </c>
      <c r="AI517" s="321">
        <f t="shared" si="66"/>
        <v>3385</v>
      </c>
      <c r="AJ517" s="317">
        <v>1322</v>
      </c>
      <c r="AK517" s="221">
        <f t="shared" ref="AK517:AK520" si="75">AI517*AJ517</f>
        <v>4474970</v>
      </c>
      <c r="AO517" s="323"/>
      <c r="AQ517" s="638">
        <f t="shared" si="67"/>
        <v>0</v>
      </c>
    </row>
    <row r="518" spans="1:48" s="322" customFormat="1" ht="15.75" customHeight="1">
      <c r="A518" s="295"/>
      <c r="B518" s="220" t="s">
        <v>366</v>
      </c>
      <c r="C518" s="618"/>
      <c r="D518" s="734">
        <f t="shared" si="50"/>
        <v>0</v>
      </c>
      <c r="E518" s="315">
        <f t="shared" ref="E518:J518" si="76">E14+E27+E40+E53+E66+E79+E92+E105+E287+E118+E131+E144+E157+E170+E183+E196+E209+E222+E235+E248+E300+E313+E326+E339+E261+E274+E352+E365+E378+E391+E404+E417+E430+E443+E456+E469+E482+E495+E508</f>
        <v>0</v>
      </c>
      <c r="F518" s="315">
        <f t="shared" si="76"/>
        <v>0</v>
      </c>
      <c r="G518" s="734">
        <f t="shared" si="76"/>
        <v>0</v>
      </c>
      <c r="H518" s="315">
        <f t="shared" si="76"/>
        <v>67</v>
      </c>
      <c r="I518" s="315">
        <f t="shared" si="76"/>
        <v>178</v>
      </c>
      <c r="J518" s="315">
        <f t="shared" si="76"/>
        <v>0</v>
      </c>
      <c r="K518" s="315">
        <f t="shared" ref="K518:Q518" si="77">K14+K27+K40+K53+K66+K79+K92+K105+K287+K118+K131+K144+K157+K170+K183+K196+K209+K222+K235+K248+K300+K313+K326+K339+K261+K274+K352+K365+K378+K391+K404+K417+K430+K443+K456+K469+K482+K495+K508</f>
        <v>13</v>
      </c>
      <c r="L518" s="315">
        <f t="shared" si="77"/>
        <v>0</v>
      </c>
      <c r="M518" s="315">
        <f t="shared" si="77"/>
        <v>0</v>
      </c>
      <c r="N518" s="734">
        <f t="shared" si="77"/>
        <v>0</v>
      </c>
      <c r="O518" s="734">
        <f t="shared" si="77"/>
        <v>0</v>
      </c>
      <c r="P518" s="315">
        <f t="shared" si="77"/>
        <v>145</v>
      </c>
      <c r="Q518" s="315">
        <f t="shared" si="77"/>
        <v>569</v>
      </c>
      <c r="R518" s="315">
        <f t="shared" ref="R518:S518" si="78">R14+R27+R40+R53+R66+R79+R92+R105+R287+R118+R131+R144+R157+R170+R183+R196+R209+R222+R235+R248+R300+R313+R326+R339+R261+R274+R352+R365+R378+R391+R404+R417+R430+R443+R456+R469+R482+R495+R508</f>
        <v>161</v>
      </c>
      <c r="S518" s="315">
        <f t="shared" si="78"/>
        <v>0</v>
      </c>
      <c r="T518" s="315">
        <f t="shared" ref="T518:X518" si="79">T14+T27+T40+T53+T66+T79+T92+T105+T287+T118+T131+T144+T157+T170+T183+T196+T209+T222+T235+T248+T300+T313+T326+T339+T261+T274+T352+T365+T378+T391+T404+T417+T430+T443+T456+T469+T482+T495+T508</f>
        <v>0</v>
      </c>
      <c r="U518" s="734">
        <f t="shared" si="79"/>
        <v>0</v>
      </c>
      <c r="V518" s="315">
        <f t="shared" si="79"/>
        <v>0</v>
      </c>
      <c r="W518" s="315">
        <f t="shared" si="79"/>
        <v>0</v>
      </c>
      <c r="X518" s="315">
        <f t="shared" si="79"/>
        <v>179</v>
      </c>
      <c r="Y518" s="315">
        <f t="shared" ref="Y518" si="80">Y14+Y27+Y40+Y53+Y66+Y79+Y92+Y105+Y287+Y118+Y131+Y144+Y157+Y170+Y183+Y196+Y209+Y222+Y235+Y248+Y300+Y313+Y326+Y339+Y261+Y274+Y352+Y365+Y378+Y391+Y404+Y417+Y430+Y443+Y456+Y469+Y482+Y495+Y508</f>
        <v>0</v>
      </c>
      <c r="Z518" s="315">
        <f t="shared" ref="Z518:AE518" si="81">Z14+Z27+Z40+Z53+Z66+Z79+Z92+Z105+Z287+Z118+Z131+Z144+Z157+Z170+Z183+Z196+Z209+Z222+Z235+Z248+Z300+Z313+Z326+Z339+Z261+Z274+Z352+Z365+Z378+Z391+Z404+Z417+Z430+Z443+Z456+Z469+Z482+Z495+Z508</f>
        <v>0</v>
      </c>
      <c r="AA518" s="315">
        <f t="shared" si="81"/>
        <v>0</v>
      </c>
      <c r="AB518" s="734">
        <f t="shared" si="81"/>
        <v>0</v>
      </c>
      <c r="AC518" s="315">
        <f t="shared" si="81"/>
        <v>0</v>
      </c>
      <c r="AD518" s="315">
        <f t="shared" si="81"/>
        <v>0</v>
      </c>
      <c r="AE518" s="315">
        <f t="shared" si="81"/>
        <v>41</v>
      </c>
      <c r="AF518" s="734">
        <f t="shared" ref="AF518:AH518" si="82">AF14+AF27+AF40+AF53+AF66+AF79+AF92+AF105+AF287+AF118+AF131+AF144+AF157+AF170+AF183+AF196+AF209+AF222+AF235+AF248+AF300+AF313+AF326+AF339+AF261+AF274+AF352+AF365+AF378+AF391+AF404+AF417+AF430+AF443+AF456+AF469+AF482+AF495+AF508</f>
        <v>0</v>
      </c>
      <c r="AG518" s="315">
        <f t="shared" si="82"/>
        <v>267</v>
      </c>
      <c r="AH518" s="315">
        <f t="shared" si="82"/>
        <v>0</v>
      </c>
      <c r="AI518" s="321">
        <f t="shared" si="66"/>
        <v>1620</v>
      </c>
      <c r="AJ518" s="317">
        <v>1233</v>
      </c>
      <c r="AK518" s="221">
        <f t="shared" si="75"/>
        <v>1997460</v>
      </c>
      <c r="AO518" s="323"/>
      <c r="AQ518" s="638">
        <f t="shared" si="67"/>
        <v>0</v>
      </c>
    </row>
    <row r="519" spans="1:48" s="322" customFormat="1" ht="15.75" customHeight="1">
      <c r="A519" s="295"/>
      <c r="B519" s="220" t="s">
        <v>643</v>
      </c>
      <c r="C519" s="618"/>
      <c r="D519" s="734">
        <f t="shared" si="50"/>
        <v>0</v>
      </c>
      <c r="E519" s="315">
        <f t="shared" ref="E519:J519" si="83">E15+E28+E41+E54+E67+E80+E93+E106+E288+E119+E132+E145+E158+E171+E184+E197+E210+E223+E236+E249+E301+E314+E327+E340+E262+E275+E353+E366+E379+E392+E405+E418+E431+E444+E457+E470+E483+E496+E509</f>
        <v>26</v>
      </c>
      <c r="F519" s="315">
        <f t="shared" si="83"/>
        <v>26</v>
      </c>
      <c r="G519" s="734">
        <f t="shared" si="83"/>
        <v>0</v>
      </c>
      <c r="H519" s="315">
        <f t="shared" si="83"/>
        <v>0</v>
      </c>
      <c r="I519" s="315">
        <f t="shared" si="83"/>
        <v>0</v>
      </c>
      <c r="J519" s="315">
        <f t="shared" si="83"/>
        <v>0</v>
      </c>
      <c r="K519" s="315">
        <f t="shared" ref="K519:Q519" si="84">K15+K28+K41+K54+K67+K80+K93+K106+K288+K119+K132+K145+K158+K171+K184+K197+K210+K223+K236+K249+K301+K314+K327+K340+K262+K275+K353+K366+K379+K392+K405+K418+K431+K444+K457+K470+K483+K496+K509</f>
        <v>0</v>
      </c>
      <c r="L519" s="315">
        <f t="shared" si="84"/>
        <v>0</v>
      </c>
      <c r="M519" s="315">
        <f t="shared" si="84"/>
        <v>0</v>
      </c>
      <c r="N519" s="734">
        <f t="shared" si="84"/>
        <v>0</v>
      </c>
      <c r="O519" s="734">
        <f t="shared" si="84"/>
        <v>0</v>
      </c>
      <c r="P519" s="315">
        <f t="shared" si="84"/>
        <v>0</v>
      </c>
      <c r="Q519" s="315">
        <f t="shared" si="84"/>
        <v>0</v>
      </c>
      <c r="R519" s="315">
        <f t="shared" ref="R519:S519" si="85">R15+R28+R41+R54+R67+R80+R93+R106+R288+R119+R132+R145+R158+R171+R184+R197+R210+R223+R236+R249+R301+R314+R327+R340+R262+R275+R353+R366+R379+R392+R405+R418+R431+R444+R457+R470+R483+R496+R509</f>
        <v>0</v>
      </c>
      <c r="S519" s="315">
        <f t="shared" si="85"/>
        <v>0</v>
      </c>
      <c r="T519" s="315">
        <f t="shared" ref="T519:X519" si="86">T15+T28+T41+T54+T67+T80+T93+T106+T288+T119+T132+T145+T158+T171+T184+T197+T210+T223+T236+T249+T301+T314+T327+T340+T262+T275+T353+T366+T379+T392+T405+T418+T431+T444+T457+T470+T483+T496+T509</f>
        <v>0</v>
      </c>
      <c r="U519" s="734">
        <f t="shared" si="86"/>
        <v>0</v>
      </c>
      <c r="V519" s="315">
        <f t="shared" si="86"/>
        <v>0</v>
      </c>
      <c r="W519" s="315">
        <f t="shared" si="86"/>
        <v>0</v>
      </c>
      <c r="X519" s="315">
        <f t="shared" si="86"/>
        <v>0</v>
      </c>
      <c r="Y519" s="315">
        <f t="shared" ref="Y519" si="87">Y15+Y28+Y41+Y54+Y67+Y80+Y93+Y106+Y288+Y119+Y132+Y145+Y158+Y171+Y184+Y197+Y210+Y223+Y236+Y249+Y301+Y314+Y327+Y340+Y262+Y275+Y353+Y366+Y379+Y392+Y405+Y418+Y431+Y444+Y457+Y470+Y483+Y496+Y509</f>
        <v>0</v>
      </c>
      <c r="Z519" s="315">
        <f t="shared" ref="Z519:AE519" si="88">Z15+Z28+Z41+Z54+Z67+Z80+Z93+Z106+Z288+Z119+Z132+Z145+Z158+Z171+Z184+Z197+Z210+Z223+Z236+Z249+Z301+Z314+Z327+Z340+Z262+Z275+Z353+Z366+Z379+Z392+Z405+Z418+Z431+Z444+Z457+Z470+Z483+Z496+Z509</f>
        <v>0</v>
      </c>
      <c r="AA519" s="315">
        <f t="shared" si="88"/>
        <v>0</v>
      </c>
      <c r="AB519" s="734">
        <f t="shared" si="88"/>
        <v>0</v>
      </c>
      <c r="AC519" s="315">
        <f t="shared" si="88"/>
        <v>0</v>
      </c>
      <c r="AD519" s="315">
        <f t="shared" si="88"/>
        <v>0</v>
      </c>
      <c r="AE519" s="315">
        <f t="shared" si="88"/>
        <v>0</v>
      </c>
      <c r="AF519" s="734">
        <f t="shared" ref="AF519:AH519" si="89">AF15+AF28+AF41+AF54+AF67+AF80+AF93+AF106+AF288+AF119+AF132+AF145+AF158+AF171+AF184+AF197+AF210+AF223+AF236+AF249+AF301+AF314+AF327+AF340+AF262+AF275+AF353+AF366+AF379+AF392+AF405+AF418+AF431+AF444+AF457+AF470+AF483+AF496+AF509</f>
        <v>0</v>
      </c>
      <c r="AG519" s="315">
        <f t="shared" si="89"/>
        <v>0</v>
      </c>
      <c r="AH519" s="315">
        <f t="shared" si="89"/>
        <v>0</v>
      </c>
      <c r="AI519" s="321">
        <f t="shared" si="66"/>
        <v>52</v>
      </c>
      <c r="AJ519" s="317">
        <v>1043</v>
      </c>
      <c r="AK519" s="221">
        <f t="shared" si="75"/>
        <v>54236</v>
      </c>
      <c r="AO519" s="323"/>
      <c r="AQ519" s="638">
        <f t="shared" si="67"/>
        <v>0</v>
      </c>
    </row>
    <row r="520" spans="1:48" s="322" customFormat="1" ht="15.75" customHeight="1">
      <c r="A520" s="295"/>
      <c r="B520" s="220" t="s">
        <v>367</v>
      </c>
      <c r="C520" s="618"/>
      <c r="D520" s="734">
        <f t="shared" si="50"/>
        <v>0</v>
      </c>
      <c r="E520" s="315">
        <f t="shared" ref="E520:J520" si="90">E16+E29+E42+E55+E68+E81+E94+E107+E289+E120+E133+E146+E159+E172+E185+E198+E211+E224+E237+E250+E302+E315+E328+E341+E263+E276+E354+E367+E380+E393+E406+E419+E432+E445+E458+E471+E484+E497+E510</f>
        <v>0</v>
      </c>
      <c r="F520" s="315">
        <f t="shared" si="90"/>
        <v>0</v>
      </c>
      <c r="G520" s="734">
        <f t="shared" si="90"/>
        <v>0</v>
      </c>
      <c r="H520" s="315">
        <f t="shared" si="90"/>
        <v>0</v>
      </c>
      <c r="I520" s="315">
        <f t="shared" si="90"/>
        <v>0</v>
      </c>
      <c r="J520" s="315">
        <f t="shared" si="90"/>
        <v>0</v>
      </c>
      <c r="K520" s="315">
        <f t="shared" ref="K520:P520" si="91">K16+K29+K42+K55+K68+K81+K94+K107+K289+K120+K133+K146+K159+K172+K185+K198+K211+K224+K237+K250+K302+K315+K328+K341+K263+K276+K354+K367+K380+K393+K406+K419+K432+K445+K458+K471+K484+K497+K510</f>
        <v>0</v>
      </c>
      <c r="L520" s="315">
        <f t="shared" si="91"/>
        <v>0</v>
      </c>
      <c r="M520" s="315">
        <f t="shared" si="91"/>
        <v>0</v>
      </c>
      <c r="N520" s="734">
        <f t="shared" si="91"/>
        <v>0</v>
      </c>
      <c r="O520" s="734">
        <f t="shared" si="91"/>
        <v>0</v>
      </c>
      <c r="P520" s="315">
        <f t="shared" si="91"/>
        <v>0</v>
      </c>
      <c r="Q520" s="315">
        <f t="shared" ref="Q520:AH520" si="92">Q16+Q29+Q42+Q55+Q68+Q81+Q94+Q107+Q289+Q120+Q133+Q146+Q159+Q172+Q185+Q198+Q211+Q224+Q237+Q250+Q302+Q315+Q328+Q341+Q263+Q276+Q354+Q367+Q380+Q393+Q406+Q419+Q432+Q445+Q458+Q471+Q484+Q497+Q510</f>
        <v>0</v>
      </c>
      <c r="R520" s="315">
        <f t="shared" ref="R520:S520" si="93">R16+R29+R42+R55+R68+R81+R94+R107+R289+R120+R133+R146+R159+R172+R185+R198+R211+R224+R237+R250+R302+R315+R328+R341+R263+R276+R354+R367+R380+R393+R406+R419+R432+R445+R458+R471+R484+R497+R510</f>
        <v>0</v>
      </c>
      <c r="S520" s="315">
        <f t="shared" si="93"/>
        <v>0</v>
      </c>
      <c r="T520" s="315">
        <f t="shared" si="92"/>
        <v>0</v>
      </c>
      <c r="U520" s="734">
        <f t="shared" si="92"/>
        <v>0</v>
      </c>
      <c r="V520" s="315">
        <f t="shared" si="92"/>
        <v>0</v>
      </c>
      <c r="W520" s="315">
        <f t="shared" si="92"/>
        <v>0</v>
      </c>
      <c r="X520" s="315">
        <f t="shared" si="92"/>
        <v>0</v>
      </c>
      <c r="Y520" s="315">
        <f t="shared" ref="Y520" si="94">Y16+Y29+Y42+Y55+Y68+Y81+Y94+Y107+Y289+Y120+Y133+Y146+Y159+Y172+Y185+Y198+Y211+Y224+Y237+Y250+Y302+Y315+Y328+Y341+Y263+Y276+Y354+Y367+Y380+Y393+Y406+Y419+Y432+Y445+Y458+Y471+Y484+Y497+Y510</f>
        <v>0</v>
      </c>
      <c r="Z520" s="315">
        <f t="shared" ref="Z520:AC520" si="95">Z16+Z29+Z42+Z55+Z68+Z81+Z94+Z107+Z289+Z120+Z133+Z146+Z159+Z172+Z185+Z198+Z211+Z224+Z237+Z250+Z302+Z315+Z328+Z341+Z263+Z276+Z354+Z367+Z380+Z393+Z406+Z419+Z432+Z445+Z458+Z471+Z484+Z497+Z510</f>
        <v>0</v>
      </c>
      <c r="AA520" s="315">
        <f t="shared" si="95"/>
        <v>0</v>
      </c>
      <c r="AB520" s="734">
        <f t="shared" si="95"/>
        <v>0</v>
      </c>
      <c r="AC520" s="315">
        <f t="shared" si="95"/>
        <v>0</v>
      </c>
      <c r="AD520" s="315">
        <f t="shared" si="92"/>
        <v>0</v>
      </c>
      <c r="AE520" s="315">
        <f t="shared" si="92"/>
        <v>0</v>
      </c>
      <c r="AF520" s="734">
        <f t="shared" si="92"/>
        <v>0</v>
      </c>
      <c r="AG520" s="315">
        <f t="shared" si="92"/>
        <v>0</v>
      </c>
      <c r="AH520" s="315">
        <f t="shared" si="92"/>
        <v>0</v>
      </c>
      <c r="AI520" s="321">
        <f t="shared" si="46"/>
        <v>0</v>
      </c>
      <c r="AJ520" s="317"/>
      <c r="AK520" s="221">
        <f t="shared" si="75"/>
        <v>0</v>
      </c>
      <c r="AL520" s="326"/>
      <c r="AM520" s="326"/>
      <c r="AN520" s="326"/>
      <c r="AO520" s="323"/>
      <c r="AP520" s="326"/>
      <c r="AQ520" s="638">
        <f t="shared" si="67"/>
        <v>0</v>
      </c>
      <c r="AU520" s="312"/>
    </row>
    <row r="521" spans="1:48" s="336" customFormat="1" ht="15.75" customHeight="1">
      <c r="A521" s="644"/>
      <c r="B521" s="298" t="s">
        <v>259</v>
      </c>
      <c r="C521" s="620"/>
      <c r="D521" s="733">
        <f t="shared" si="50"/>
        <v>0</v>
      </c>
      <c r="E521" s="517">
        <f t="shared" ref="E521:H521" si="96">E17+E30+E43+E56+E69+E82+E95+E108+E290+E121+E134+E147+E160+E173+E186+E199+E212+E225+E238+E251+E303+E316+E329+E342+E264+E277+E355+E368+E381+E394+E407+E420+E433+E446+E459+E472+E485+E498+E511</f>
        <v>0</v>
      </c>
      <c r="F521" s="517">
        <f t="shared" si="96"/>
        <v>0</v>
      </c>
      <c r="G521" s="733">
        <f t="shared" si="96"/>
        <v>0</v>
      </c>
      <c r="H521" s="517">
        <f t="shared" si="96"/>
        <v>0</v>
      </c>
      <c r="I521" s="517">
        <f t="shared" ref="I521:AH521" si="97">I17+I30+I43+I56+I69+I82+I95+I108+I290+I121+I134+I147+I160+I173+I186+I199+I212+I225+I238+I251+I303+I316+I329+I342+I264+I277+I355+I368+I381+I394+I407+I420+I433+I446+I459+I472+I485+I498+I511</f>
        <v>0</v>
      </c>
      <c r="J521" s="517">
        <f t="shared" si="97"/>
        <v>0</v>
      </c>
      <c r="K521" s="517">
        <f t="shared" si="97"/>
        <v>0</v>
      </c>
      <c r="L521" s="517">
        <f t="shared" si="97"/>
        <v>0</v>
      </c>
      <c r="M521" s="517">
        <f t="shared" si="97"/>
        <v>0</v>
      </c>
      <c r="N521" s="733">
        <f t="shared" si="97"/>
        <v>0</v>
      </c>
      <c r="O521" s="733">
        <f t="shared" si="97"/>
        <v>0</v>
      </c>
      <c r="P521" s="517">
        <f t="shared" si="97"/>
        <v>0</v>
      </c>
      <c r="Q521" s="315">
        <f t="shared" si="97"/>
        <v>0</v>
      </c>
      <c r="R521" s="315">
        <f t="shared" ref="R521:S521" si="98">R17+R30+R43+R56+R69+R82+R95+R108+R290+R121+R134+R147+R160+R173+R186+R199+R212+R225+R238+R251+R303+R316+R329+R342+R264+R277+R355+R368+R381+R394+R407+R420+R433+R446+R459+R472+R485+R498+R511</f>
        <v>0</v>
      </c>
      <c r="S521" s="315">
        <f t="shared" si="98"/>
        <v>0</v>
      </c>
      <c r="T521" s="517">
        <f t="shared" si="97"/>
        <v>0</v>
      </c>
      <c r="U521" s="733">
        <f t="shared" si="97"/>
        <v>0</v>
      </c>
      <c r="V521" s="517">
        <f t="shared" si="97"/>
        <v>0</v>
      </c>
      <c r="W521" s="517">
        <f t="shared" si="97"/>
        <v>0</v>
      </c>
      <c r="X521" s="517">
        <f t="shared" si="97"/>
        <v>0</v>
      </c>
      <c r="Y521" s="517">
        <f t="shared" ref="Y521" si="99">Y17+Y30+Y43+Y56+Y69+Y82+Y95+Y108+Y290+Y121+Y134+Y147+Y160+Y173+Y186+Y199+Y212+Y225+Y238+Y251+Y303+Y316+Y329+Y342+Y264+Y277+Y355+Y368+Y381+Y394+Y407+Y420+Y433+Y446+Y459+Y472+Y485+Y498+Y511</f>
        <v>0</v>
      </c>
      <c r="Z521" s="517">
        <f t="shared" si="97"/>
        <v>0</v>
      </c>
      <c r="AA521" s="517">
        <f t="shared" si="97"/>
        <v>0</v>
      </c>
      <c r="AB521" s="733">
        <f t="shared" si="97"/>
        <v>0</v>
      </c>
      <c r="AC521" s="517">
        <f t="shared" si="97"/>
        <v>0</v>
      </c>
      <c r="AD521" s="517">
        <f t="shared" si="97"/>
        <v>0</v>
      </c>
      <c r="AE521" s="517">
        <f t="shared" si="97"/>
        <v>0</v>
      </c>
      <c r="AF521" s="733">
        <f t="shared" si="97"/>
        <v>0</v>
      </c>
      <c r="AG521" s="517">
        <f t="shared" si="97"/>
        <v>0</v>
      </c>
      <c r="AH521" s="517">
        <f t="shared" si="97"/>
        <v>0</v>
      </c>
      <c r="AI521" s="335">
        <f t="shared" si="46"/>
        <v>0</v>
      </c>
      <c r="AJ521" s="333"/>
      <c r="AK521" s="222">
        <f>SUM(AK516:AK520)</f>
        <v>8631712</v>
      </c>
      <c r="AL521" s="338"/>
      <c r="AM521" s="338"/>
      <c r="AN521" s="338"/>
      <c r="AO521" s="338"/>
      <c r="AP521" s="338"/>
      <c r="AQ521" s="638">
        <f t="shared" si="67"/>
        <v>0</v>
      </c>
      <c r="AS521" s="329"/>
      <c r="AU521" s="337"/>
    </row>
    <row r="522" spans="1:48" s="216" customFormat="1" ht="15.75" customHeight="1">
      <c r="A522" s="645"/>
      <c r="B522" s="220" t="s">
        <v>57</v>
      </c>
      <c r="C522" s="618"/>
      <c r="D522" s="734">
        <f>D18++D265+D31+D44+D57+D278+D70+D83+D96+D109+D291+D122+D135+D148+D161+D174+D187+D200+D213+D226+D239+D252+D304+D317+D330+D343+D356+D369+D382+D395+D408+D421+D434+D447+D460+D473+D486+D499+D512</f>
        <v>0</v>
      </c>
      <c r="E522" s="315">
        <f t="shared" ref="E522:AH522" si="100">E18+E31+E44+E57+E70+E83+E96+E109+E291+E122+E135+E148+E161+E174+E187+E200+E213+E226+E239+E252+E304+E317+E330+E343+E265+E278+E356+E369+E382+E395+E408+E421+E434+E447+E460+E473+E486+E499+E512</f>
        <v>257</v>
      </c>
      <c r="F522" s="315">
        <f t="shared" ref="F522:G522" si="101">F18+F31+F44+F57+F70+F83+F96+F109+F291+F122+F135+F148+F161+F174+F187+F200+F213+F226+F239+F252+F304+F317+F330+F343+F265+F278+F356+F369+F382+F395+F408+F421+F434+F447+F460+F473+F486+F499+F512</f>
        <v>160</v>
      </c>
      <c r="G522" s="734">
        <f t="shared" si="101"/>
        <v>0</v>
      </c>
      <c r="H522" s="315">
        <f t="shared" si="100"/>
        <v>343</v>
      </c>
      <c r="I522" s="315">
        <f t="shared" si="100"/>
        <v>206</v>
      </c>
      <c r="J522" s="315">
        <f t="shared" si="100"/>
        <v>133</v>
      </c>
      <c r="K522" s="315">
        <f t="shared" si="100"/>
        <v>72</v>
      </c>
      <c r="L522" s="315">
        <f t="shared" si="100"/>
        <v>130</v>
      </c>
      <c r="M522" s="315">
        <f t="shared" si="100"/>
        <v>91</v>
      </c>
      <c r="N522" s="734">
        <f t="shared" si="100"/>
        <v>0</v>
      </c>
      <c r="O522" s="734">
        <f t="shared" si="100"/>
        <v>0</v>
      </c>
      <c r="P522" s="315">
        <f t="shared" si="100"/>
        <v>119</v>
      </c>
      <c r="Q522" s="315">
        <f t="shared" si="100"/>
        <v>189</v>
      </c>
      <c r="R522" s="315">
        <f t="shared" si="100"/>
        <v>210</v>
      </c>
      <c r="S522" s="315">
        <f t="shared" si="100"/>
        <v>217</v>
      </c>
      <c r="T522" s="315">
        <f t="shared" si="100"/>
        <v>202</v>
      </c>
      <c r="U522" s="734">
        <f t="shared" si="100"/>
        <v>0</v>
      </c>
      <c r="V522" s="315">
        <f t="shared" si="100"/>
        <v>340</v>
      </c>
      <c r="W522" s="315">
        <f t="shared" si="100"/>
        <v>117</v>
      </c>
      <c r="X522" s="315">
        <f t="shared" si="100"/>
        <v>138</v>
      </c>
      <c r="Y522" s="315">
        <f t="shared" si="100"/>
        <v>160</v>
      </c>
      <c r="Z522" s="315">
        <f t="shared" si="100"/>
        <v>140</v>
      </c>
      <c r="AA522" s="315">
        <f t="shared" si="100"/>
        <v>106</v>
      </c>
      <c r="AB522" s="734">
        <f t="shared" si="100"/>
        <v>0</v>
      </c>
      <c r="AC522" s="315">
        <f t="shared" si="100"/>
        <v>117</v>
      </c>
      <c r="AD522" s="315">
        <f t="shared" si="100"/>
        <v>147</v>
      </c>
      <c r="AE522" s="315">
        <f t="shared" si="100"/>
        <v>185</v>
      </c>
      <c r="AF522" s="734">
        <f t="shared" si="100"/>
        <v>0</v>
      </c>
      <c r="AG522" s="315">
        <f t="shared" si="100"/>
        <v>294</v>
      </c>
      <c r="AH522" s="315">
        <f t="shared" si="100"/>
        <v>186</v>
      </c>
      <c r="AI522" s="316">
        <f t="shared" si="46"/>
        <v>4259</v>
      </c>
      <c r="AJ522" s="317">
        <v>1750</v>
      </c>
      <c r="AK522" s="221">
        <f>AI522*AJ522</f>
        <v>7453250</v>
      </c>
      <c r="AL522" s="312">
        <f>AI522</f>
        <v>4259</v>
      </c>
      <c r="AM522" s="312"/>
      <c r="AN522" s="312">
        <f>191+8+3+11</f>
        <v>213</v>
      </c>
      <c r="AO522" s="312"/>
      <c r="AP522" s="312"/>
      <c r="AQ522" s="638">
        <f t="shared" si="67"/>
        <v>4472</v>
      </c>
      <c r="AR522" s="216">
        <f>4471+1</f>
        <v>4472</v>
      </c>
      <c r="AS522" s="326">
        <f t="shared" ref="AS522" si="102">AR522-AQ522</f>
        <v>0</v>
      </c>
      <c r="AT522" s="216">
        <f>3866+73</f>
        <v>3939</v>
      </c>
      <c r="AU522" s="337">
        <v>744970</v>
      </c>
      <c r="AV522" s="216" t="s">
        <v>757</v>
      </c>
    </row>
    <row r="523" spans="1:48" s="590" customFormat="1" ht="15.75" customHeight="1" thickBot="1">
      <c r="A523" s="646"/>
      <c r="B523" s="584" t="s">
        <v>44</v>
      </c>
      <c r="C523" s="630"/>
      <c r="D523" s="1070">
        <f t="shared" si="50"/>
        <v>0</v>
      </c>
      <c r="E523" s="647">
        <f t="shared" ref="E523:AH523" si="103">E19+E32+E45+E58+E71+E84+E97+E110+E292+E123+E136+E149+E162+E175+E188+E201+E214+E227+E240+E253+E305+E318+E331+E344+E266+E279+E357+E370+E383+E396+E409+E422+E435+E448+E461+E474+E487+E500+E513</f>
        <v>0</v>
      </c>
      <c r="F523" s="647">
        <f t="shared" ref="F523:G523" si="104">F19+F32+F45+F58+F71+F84+F97+F110+F292+F123+F136+F149+F162+F175+F188+F201+F214+F227+F240+F253+F305+F318+F331+F344+F266+F279+F357+F370+F383+F396+F409+F422+F435+F448+F461+F474+F487+F500+F513</f>
        <v>0</v>
      </c>
      <c r="G523" s="735">
        <f t="shared" si="104"/>
        <v>0</v>
      </c>
      <c r="H523" s="647">
        <f t="shared" si="103"/>
        <v>314435</v>
      </c>
      <c r="I523" s="647">
        <f t="shared" si="103"/>
        <v>260631</v>
      </c>
      <c r="J523" s="647">
        <f t="shared" si="103"/>
        <v>0</v>
      </c>
      <c r="K523" s="647">
        <f t="shared" si="103"/>
        <v>0</v>
      </c>
      <c r="L523" s="647">
        <f t="shared" si="103"/>
        <v>0</v>
      </c>
      <c r="M523" s="647">
        <f t="shared" si="103"/>
        <v>0</v>
      </c>
      <c r="N523" s="735">
        <f t="shared" si="103"/>
        <v>0</v>
      </c>
      <c r="O523" s="735">
        <f t="shared" si="103"/>
        <v>0</v>
      </c>
      <c r="P523" s="647">
        <f t="shared" si="103"/>
        <v>0</v>
      </c>
      <c r="Q523" s="647">
        <f t="shared" si="103"/>
        <v>0</v>
      </c>
      <c r="R523" s="647">
        <f t="shared" si="103"/>
        <v>0</v>
      </c>
      <c r="S523" s="647">
        <f t="shared" si="103"/>
        <v>0</v>
      </c>
      <c r="T523" s="647">
        <f t="shared" si="103"/>
        <v>0</v>
      </c>
      <c r="U523" s="735">
        <f t="shared" si="103"/>
        <v>0</v>
      </c>
      <c r="V523" s="647">
        <f t="shared" si="103"/>
        <v>0</v>
      </c>
      <c r="W523" s="647">
        <f t="shared" si="103"/>
        <v>0</v>
      </c>
      <c r="X523" s="647">
        <f t="shared" si="103"/>
        <v>53275</v>
      </c>
      <c r="Y523" s="647">
        <f t="shared" si="103"/>
        <v>239171</v>
      </c>
      <c r="Z523" s="647">
        <f t="shared" si="103"/>
        <v>53946</v>
      </c>
      <c r="AA523" s="647">
        <f t="shared" si="103"/>
        <v>0</v>
      </c>
      <c r="AB523" s="735">
        <f t="shared" si="103"/>
        <v>0</v>
      </c>
      <c r="AC523" s="647">
        <f t="shared" si="103"/>
        <v>0</v>
      </c>
      <c r="AD523" s="647">
        <f t="shared" si="103"/>
        <v>0</v>
      </c>
      <c r="AE523" s="647">
        <f t="shared" si="103"/>
        <v>0</v>
      </c>
      <c r="AF523" s="735">
        <f t="shared" si="103"/>
        <v>0</v>
      </c>
      <c r="AG523" s="647">
        <f t="shared" si="103"/>
        <v>0</v>
      </c>
      <c r="AH523" s="647">
        <f t="shared" si="103"/>
        <v>0</v>
      </c>
      <c r="AI523" s="585">
        <f t="shared" si="46"/>
        <v>921458</v>
      </c>
      <c r="AJ523" s="586"/>
      <c r="AK523" s="587">
        <f>AI523</f>
        <v>921458</v>
      </c>
      <c r="AL523" s="588"/>
      <c r="AM523" s="588"/>
      <c r="AN523" s="588"/>
      <c r="AO523" s="588"/>
      <c r="AP523" s="588"/>
      <c r="AQ523" s="614"/>
      <c r="AR523" s="589"/>
      <c r="AU523" s="1332">
        <f>AU522/AR515</f>
        <v>14.572680503120049</v>
      </c>
    </row>
    <row r="524" spans="1:48" s="322" customFormat="1" ht="15" customHeight="1" thickTop="1">
      <c r="B524" s="72"/>
      <c r="C524" s="631"/>
      <c r="D524" s="736"/>
      <c r="E524" s="225"/>
      <c r="F524" s="225"/>
      <c r="G524" s="736"/>
      <c r="H524" s="225"/>
      <c r="I524" s="225"/>
      <c r="J524" s="225"/>
      <c r="K524" s="225"/>
      <c r="L524" s="225"/>
      <c r="M524" s="225"/>
      <c r="N524" s="736"/>
      <c r="O524" s="736"/>
      <c r="P524" s="225"/>
      <c r="Q524" s="225"/>
      <c r="R524" s="225"/>
      <c r="S524" s="225"/>
      <c r="T524" s="225"/>
      <c r="U524" s="736"/>
      <c r="V524" s="225"/>
      <c r="W524" s="225"/>
      <c r="X524" s="225"/>
      <c r="Y524" s="225"/>
      <c r="Z524" s="225"/>
      <c r="AA524" s="225"/>
      <c r="AB524" s="736"/>
      <c r="AC524" s="225"/>
      <c r="AD524" s="225"/>
      <c r="AE524" s="225"/>
      <c r="AF524" s="736"/>
      <c r="AG524" s="225"/>
      <c r="AH524" s="225"/>
      <c r="AI524" s="225">
        <f t="shared" si="46"/>
        <v>0</v>
      </c>
      <c r="AJ524" s="339"/>
      <c r="AK524" s="225"/>
      <c r="AL524" s="326"/>
      <c r="AM524" s="326"/>
      <c r="AN524" s="326"/>
      <c r="AO524" s="326"/>
      <c r="AP524" s="326"/>
      <c r="AQ524" s="609"/>
      <c r="AR524" s="326"/>
      <c r="AS524" s="326"/>
      <c r="AU524" s="346"/>
    </row>
    <row r="525" spans="1:48" s="216" customFormat="1" ht="20.25" customHeight="1">
      <c r="B525" s="75"/>
      <c r="C525" s="632"/>
      <c r="D525" s="737"/>
      <c r="E525" s="339">
        <f>2612+180</f>
        <v>2792</v>
      </c>
      <c r="F525" s="339">
        <f>1419+180</f>
        <v>1599</v>
      </c>
      <c r="G525" s="736"/>
      <c r="H525" s="339">
        <v>3523</v>
      </c>
      <c r="I525" s="339">
        <v>5293</v>
      </c>
      <c r="J525" s="339">
        <v>1949</v>
      </c>
      <c r="K525" s="339">
        <f>1111+127</f>
        <v>1238</v>
      </c>
      <c r="L525" s="339">
        <v>962</v>
      </c>
      <c r="M525" s="339">
        <f>754+21</f>
        <v>775</v>
      </c>
      <c r="N525" s="737"/>
      <c r="O525" s="737"/>
      <c r="P525" s="339">
        <v>1955</v>
      </c>
      <c r="Q525" s="339">
        <v>3117</v>
      </c>
      <c r="R525" s="339">
        <f>2737+59</f>
        <v>2796</v>
      </c>
      <c r="S525" s="339">
        <f>2508+22+73</f>
        <v>2603</v>
      </c>
      <c r="T525" s="339">
        <f>2168+9+44</f>
        <v>2221</v>
      </c>
      <c r="U525" s="737"/>
      <c r="V525" s="339">
        <f>3265+31</f>
        <v>3296</v>
      </c>
      <c r="W525" s="339">
        <v>1609</v>
      </c>
      <c r="X525" s="339">
        <v>1941</v>
      </c>
      <c r="Y525" s="339">
        <f>1696+9+24+1</f>
        <v>1730</v>
      </c>
      <c r="Z525" s="340">
        <f>1657+7+21</f>
        <v>1685</v>
      </c>
      <c r="AA525" s="339">
        <f>1044+23+23+1</f>
        <v>1091</v>
      </c>
      <c r="AB525" s="737"/>
      <c r="AC525" s="339">
        <f>1136+3+17</f>
        <v>1156</v>
      </c>
      <c r="AD525" s="339">
        <f>1278+13+24+1</f>
        <v>1316</v>
      </c>
      <c r="AE525" s="339">
        <v>2001</v>
      </c>
      <c r="AF525" s="737"/>
      <c r="AG525" s="339">
        <f>2875+1+49</f>
        <v>2925</v>
      </c>
      <c r="AH525" s="339">
        <v>1548</v>
      </c>
      <c r="AI525" s="225">
        <f>SUM(D525:AH525)</f>
        <v>51121</v>
      </c>
      <c r="AJ525" s="339"/>
      <c r="AK525" s="225">
        <f>AL515+AM515-AI525</f>
        <v>-2767</v>
      </c>
      <c r="AL525" s="326"/>
      <c r="AM525" s="326"/>
      <c r="AN525" s="326"/>
      <c r="AO525" s="340"/>
      <c r="AP525" s="340"/>
      <c r="AQ525" s="612"/>
      <c r="AR525" s="312"/>
    </row>
    <row r="526" spans="1:48" s="322" customFormat="1" ht="20.25" customHeight="1">
      <c r="B526" s="300"/>
      <c r="C526" s="633"/>
      <c r="D526" s="738">
        <f>D515-D525</f>
        <v>0</v>
      </c>
      <c r="E526" s="341">
        <f t="shared" ref="E526:AH526" si="105">E515-E525</f>
        <v>0</v>
      </c>
      <c r="F526" s="341">
        <f t="shared" ref="F526:G526" si="106">F515-F525</f>
        <v>0</v>
      </c>
      <c r="G526" s="738">
        <f t="shared" si="106"/>
        <v>0</v>
      </c>
      <c r="H526" s="341">
        <f t="shared" si="105"/>
        <v>0</v>
      </c>
      <c r="I526" s="341">
        <f t="shared" si="105"/>
        <v>-2502</v>
      </c>
      <c r="J526" s="341">
        <f t="shared" si="105"/>
        <v>0</v>
      </c>
      <c r="K526" s="341">
        <f t="shared" si="105"/>
        <v>0</v>
      </c>
      <c r="L526" s="341">
        <f t="shared" si="105"/>
        <v>0</v>
      </c>
      <c r="M526" s="341">
        <f t="shared" si="105"/>
        <v>0</v>
      </c>
      <c r="N526" s="738">
        <f t="shared" si="105"/>
        <v>0</v>
      </c>
      <c r="O526" s="738">
        <f t="shared" si="105"/>
        <v>0</v>
      </c>
      <c r="P526" s="341">
        <f t="shared" si="105"/>
        <v>0</v>
      </c>
      <c r="Q526" s="341">
        <f t="shared" si="105"/>
        <v>0</v>
      </c>
      <c r="R526" s="341">
        <f t="shared" si="105"/>
        <v>0</v>
      </c>
      <c r="S526" s="341">
        <f t="shared" si="105"/>
        <v>0</v>
      </c>
      <c r="T526" s="341">
        <f>T515-T525</f>
        <v>0</v>
      </c>
      <c r="U526" s="738">
        <f t="shared" si="105"/>
        <v>0</v>
      </c>
      <c r="V526" s="341">
        <f t="shared" si="105"/>
        <v>0</v>
      </c>
      <c r="W526" s="341">
        <f t="shared" si="105"/>
        <v>0</v>
      </c>
      <c r="X526" s="341">
        <f>X515-X525</f>
        <v>0</v>
      </c>
      <c r="Y526" s="341">
        <f>Y515-Y525</f>
        <v>0</v>
      </c>
      <c r="Z526" s="342">
        <f t="shared" si="105"/>
        <v>-77</v>
      </c>
      <c r="AA526" s="342">
        <f>AA515-AA525</f>
        <v>-52</v>
      </c>
      <c r="AB526" s="738">
        <f t="shared" si="105"/>
        <v>0</v>
      </c>
      <c r="AC526" s="341">
        <f t="shared" si="105"/>
        <v>-136</v>
      </c>
      <c r="AD526" s="341">
        <f t="shared" si="105"/>
        <v>0</v>
      </c>
      <c r="AE526" s="341">
        <f>AE515-AE525</f>
        <v>0</v>
      </c>
      <c r="AF526" s="738">
        <f t="shared" si="105"/>
        <v>0</v>
      </c>
      <c r="AG526" s="341">
        <f t="shared" si="105"/>
        <v>0</v>
      </c>
      <c r="AH526" s="341">
        <f t="shared" si="105"/>
        <v>0</v>
      </c>
      <c r="AI526" s="225">
        <f t="shared" si="46"/>
        <v>-2767</v>
      </c>
      <c r="AJ526" s="339"/>
      <c r="AK526" s="225"/>
      <c r="AL526" s="343"/>
      <c r="AM526" s="343"/>
      <c r="AN526" s="343"/>
      <c r="AO526" s="344"/>
      <c r="AP526" s="344"/>
      <c r="AQ526" s="609"/>
      <c r="AS526" s="326"/>
    </row>
    <row r="527" spans="1:48" s="322" customFormat="1" ht="18">
      <c r="B527" s="300"/>
      <c r="C527" s="633"/>
      <c r="D527" s="738"/>
      <c r="E527" s="344"/>
      <c r="F527" s="344"/>
      <c r="G527" s="739"/>
      <c r="H527" s="341"/>
      <c r="I527" s="341"/>
      <c r="J527" s="341"/>
      <c r="K527" s="341"/>
      <c r="L527" s="341"/>
      <c r="M527" s="341"/>
      <c r="N527" s="738"/>
      <c r="O527" s="738"/>
      <c r="P527" s="341"/>
      <c r="Q527" s="341"/>
      <c r="R527" s="433"/>
      <c r="S527" s="433"/>
      <c r="T527" s="341"/>
      <c r="U527" s="1072"/>
      <c r="V527" s="341"/>
      <c r="W527" s="341"/>
      <c r="X527" s="341"/>
      <c r="Y527" s="341"/>
      <c r="Z527" s="342"/>
      <c r="AA527" s="341"/>
      <c r="AB527" s="738"/>
      <c r="AC527" s="341"/>
      <c r="AD527" s="341"/>
      <c r="AE527" s="341"/>
      <c r="AF527" s="738"/>
      <c r="AG527" s="341"/>
      <c r="AH527" s="341"/>
      <c r="AI527" s="225">
        <f t="shared" si="46"/>
        <v>0</v>
      </c>
      <c r="AJ527" s="339"/>
      <c r="AK527" s="226"/>
      <c r="AL527" s="345"/>
      <c r="AM527" s="345"/>
      <c r="AN527" s="345"/>
      <c r="AO527" s="326"/>
      <c r="AP527" s="326"/>
      <c r="AQ527" s="609"/>
      <c r="AR527" s="326"/>
      <c r="AS527" s="326"/>
    </row>
    <row r="528" spans="1:48" s="216" customFormat="1" ht="18">
      <c r="B528" s="75"/>
      <c r="C528" s="632"/>
      <c r="D528" s="737"/>
      <c r="E528" s="339">
        <f>247+10</f>
        <v>257</v>
      </c>
      <c r="F528" s="339">
        <f>153+7</f>
        <v>160</v>
      </c>
      <c r="G528" s="736"/>
      <c r="H528" s="339">
        <v>343</v>
      </c>
      <c r="I528" s="339">
        <v>397</v>
      </c>
      <c r="J528" s="339">
        <v>133</v>
      </c>
      <c r="K528" s="339">
        <f>6+66</f>
        <v>72</v>
      </c>
      <c r="L528" s="339">
        <v>130</v>
      </c>
      <c r="M528" s="339">
        <f>4+87</f>
        <v>91</v>
      </c>
      <c r="N528" s="737"/>
      <c r="O528" s="737"/>
      <c r="P528" s="339">
        <v>119</v>
      </c>
      <c r="Q528" s="339">
        <v>189</v>
      </c>
      <c r="R528" s="339">
        <f>4+206</f>
        <v>210</v>
      </c>
      <c r="S528" s="339">
        <v>217</v>
      </c>
      <c r="T528" s="339">
        <v>202</v>
      </c>
      <c r="U528" s="737"/>
      <c r="V528" s="339">
        <f>339+1</f>
        <v>340</v>
      </c>
      <c r="W528" s="339">
        <v>117</v>
      </c>
      <c r="X528" s="339">
        <v>138</v>
      </c>
      <c r="Y528" s="339">
        <v>160</v>
      </c>
      <c r="Z528" s="340">
        <v>148</v>
      </c>
      <c r="AA528" s="339">
        <v>109</v>
      </c>
      <c r="AB528" s="737"/>
      <c r="AC528" s="339">
        <v>128</v>
      </c>
      <c r="AD528" s="339">
        <v>147</v>
      </c>
      <c r="AE528" s="339">
        <v>185</v>
      </c>
      <c r="AF528" s="737"/>
      <c r="AG528" s="339">
        <v>294</v>
      </c>
      <c r="AH528" s="339">
        <v>186</v>
      </c>
      <c r="AI528" s="225">
        <f>SUM(D528:AH528)</f>
        <v>4472</v>
      </c>
      <c r="AJ528" s="339"/>
      <c r="AK528" s="227"/>
      <c r="AL528" s="345"/>
      <c r="AM528" s="345"/>
      <c r="AN528" s="346"/>
      <c r="AQ528" s="612"/>
    </row>
    <row r="529" spans="2:44" s="322" customFormat="1" ht="18">
      <c r="B529" s="300"/>
      <c r="C529" s="633"/>
      <c r="D529" s="738">
        <f>D522-D528</f>
        <v>0</v>
      </c>
      <c r="E529" s="341">
        <f t="shared" ref="E529:AH529" si="107">E522-E528</f>
        <v>0</v>
      </c>
      <c r="F529" s="341">
        <f t="shared" ref="F529:G529" si="108">F522-F528</f>
        <v>0</v>
      </c>
      <c r="G529" s="738">
        <f t="shared" si="108"/>
        <v>0</v>
      </c>
      <c r="H529" s="341">
        <f t="shared" si="107"/>
        <v>0</v>
      </c>
      <c r="I529" s="341">
        <f t="shared" si="107"/>
        <v>-191</v>
      </c>
      <c r="J529" s="341">
        <f t="shared" si="107"/>
        <v>0</v>
      </c>
      <c r="K529" s="341">
        <f t="shared" si="107"/>
        <v>0</v>
      </c>
      <c r="L529" s="341">
        <f t="shared" si="107"/>
        <v>0</v>
      </c>
      <c r="M529" s="341">
        <f t="shared" si="107"/>
        <v>0</v>
      </c>
      <c r="N529" s="737"/>
      <c r="O529" s="738">
        <f t="shared" si="107"/>
        <v>0</v>
      </c>
      <c r="P529" s="341">
        <f t="shared" si="107"/>
        <v>0</v>
      </c>
      <c r="Q529" s="341">
        <f t="shared" si="107"/>
        <v>0</v>
      </c>
      <c r="R529" s="341">
        <f t="shared" si="107"/>
        <v>0</v>
      </c>
      <c r="S529" s="341">
        <f t="shared" si="107"/>
        <v>0</v>
      </c>
      <c r="T529" s="341">
        <f>T522-T528</f>
        <v>0</v>
      </c>
      <c r="U529" s="738">
        <f t="shared" si="107"/>
        <v>0</v>
      </c>
      <c r="V529" s="341">
        <f t="shared" si="107"/>
        <v>0</v>
      </c>
      <c r="W529" s="341">
        <f t="shared" si="107"/>
        <v>0</v>
      </c>
      <c r="X529" s="341">
        <f>X522-X528</f>
        <v>0</v>
      </c>
      <c r="Y529" s="341">
        <f t="shared" si="107"/>
        <v>0</v>
      </c>
      <c r="Z529" s="342">
        <f t="shared" si="107"/>
        <v>-8</v>
      </c>
      <c r="AA529" s="341">
        <f t="shared" si="107"/>
        <v>-3</v>
      </c>
      <c r="AB529" s="738">
        <f t="shared" si="107"/>
        <v>0</v>
      </c>
      <c r="AC529" s="341">
        <f t="shared" si="107"/>
        <v>-11</v>
      </c>
      <c r="AD529" s="341">
        <f t="shared" si="107"/>
        <v>0</v>
      </c>
      <c r="AE529" s="341">
        <f t="shared" si="107"/>
        <v>0</v>
      </c>
      <c r="AF529" s="738">
        <f t="shared" si="107"/>
        <v>0</v>
      </c>
      <c r="AG529" s="341">
        <f t="shared" si="107"/>
        <v>0</v>
      </c>
      <c r="AH529" s="341">
        <f t="shared" si="107"/>
        <v>0</v>
      </c>
      <c r="AI529" s="225">
        <f t="shared" si="46"/>
        <v>-213</v>
      </c>
      <c r="AJ529" s="339"/>
      <c r="AK529" s="228"/>
      <c r="AL529" s="344"/>
      <c r="AM529" s="347"/>
      <c r="AN529" s="344"/>
      <c r="AQ529" s="609"/>
    </row>
    <row r="530" spans="2:44" s="322" customFormat="1" ht="18">
      <c r="B530" s="300"/>
      <c r="C530" s="633"/>
      <c r="D530" s="738"/>
      <c r="E530" s="341"/>
      <c r="F530" s="341"/>
      <c r="G530" s="738"/>
      <c r="H530" s="341"/>
      <c r="I530" s="341"/>
      <c r="J530" s="341"/>
      <c r="K530" s="341"/>
      <c r="L530" s="341"/>
      <c r="M530" s="341"/>
      <c r="N530" s="738"/>
      <c r="O530" s="738"/>
      <c r="P530" s="341"/>
      <c r="Q530" s="341"/>
      <c r="R530" s="341"/>
      <c r="S530" s="341"/>
      <c r="T530" s="341"/>
      <c r="U530" s="738"/>
      <c r="V530" s="341"/>
      <c r="W530" s="341"/>
      <c r="X530" s="341"/>
      <c r="Y530" s="341"/>
      <c r="Z530" s="342"/>
      <c r="AA530" s="341"/>
      <c r="AB530" s="738"/>
      <c r="AC530" s="341"/>
      <c r="AD530" s="341"/>
      <c r="AE530" s="341"/>
      <c r="AF530" s="738"/>
      <c r="AG530" s="341"/>
      <c r="AH530" s="341"/>
      <c r="AI530" s="225">
        <f t="shared" si="46"/>
        <v>0</v>
      </c>
      <c r="AJ530" s="339"/>
      <c r="AK530" s="228"/>
      <c r="AM530" s="347"/>
      <c r="AQ530" s="609"/>
    </row>
    <row r="531" spans="2:44" s="216" customFormat="1" ht="20.25" customHeight="1">
      <c r="B531" s="1217" t="s">
        <v>550</v>
      </c>
      <c r="C531" s="634"/>
      <c r="D531" s="740"/>
      <c r="E531" s="339"/>
      <c r="F531" s="339"/>
      <c r="G531" s="741"/>
      <c r="H531" s="227"/>
      <c r="I531" s="227"/>
      <c r="J531" s="341"/>
      <c r="K531" s="227"/>
      <c r="L531" s="227"/>
      <c r="M531" s="227"/>
      <c r="N531" s="740"/>
      <c r="O531" s="740"/>
      <c r="P531" s="227"/>
      <c r="Q531" s="227"/>
      <c r="R531" s="226"/>
      <c r="S531" s="226"/>
      <c r="T531" s="227"/>
      <c r="U531" s="738"/>
      <c r="V531" s="227"/>
      <c r="W531" s="227"/>
      <c r="X531" s="227"/>
      <c r="Y531" s="227"/>
      <c r="Z531" s="342"/>
      <c r="AA531" s="341"/>
      <c r="AB531" s="740"/>
      <c r="AC531" s="227"/>
      <c r="AD531" s="341"/>
      <c r="AE531" s="227"/>
      <c r="AF531" s="740">
        <v>2532</v>
      </c>
      <c r="AG531" s="227"/>
      <c r="AH531" s="227"/>
      <c r="AI531" s="225">
        <f t="shared" si="46"/>
        <v>2532</v>
      </c>
      <c r="AJ531" s="339"/>
      <c r="AK531" s="228"/>
      <c r="AL531" s="312"/>
      <c r="AM531" s="312"/>
      <c r="AN531" s="312"/>
      <c r="AQ531" s="612"/>
    </row>
    <row r="532" spans="2:44" s="216" customFormat="1" ht="20.25" customHeight="1">
      <c r="B532" s="73" t="s">
        <v>231</v>
      </c>
      <c r="C532" s="635"/>
      <c r="D532" s="738"/>
      <c r="E532" s="344"/>
      <c r="F532" s="344"/>
      <c r="G532" s="739"/>
      <c r="H532" s="341"/>
      <c r="I532" s="341"/>
      <c r="J532" s="341"/>
      <c r="K532" s="341"/>
      <c r="L532" s="341"/>
      <c r="M532" s="341"/>
      <c r="N532" s="738"/>
      <c r="O532" s="740"/>
      <c r="P532" s="323"/>
      <c r="Q532" s="341"/>
      <c r="R532" s="433"/>
      <c r="S532" s="433"/>
      <c r="T532" s="341"/>
      <c r="U532" s="1072"/>
      <c r="V532" s="341"/>
      <c r="W532" s="341"/>
      <c r="X532" s="341"/>
      <c r="Y532" s="227"/>
      <c r="Z532" s="342"/>
      <c r="AA532" s="227"/>
      <c r="AB532" s="740"/>
      <c r="AC532" s="227"/>
      <c r="AD532" s="341"/>
      <c r="AE532" s="341"/>
      <c r="AF532" s="738"/>
      <c r="AG532" s="341"/>
      <c r="AH532" s="341"/>
      <c r="AI532" s="225">
        <f t="shared" si="46"/>
        <v>0</v>
      </c>
      <c r="AJ532" s="339"/>
      <c r="AK532" s="227"/>
      <c r="AL532" s="312"/>
      <c r="AM532" s="312"/>
      <c r="AN532" s="312"/>
      <c r="AQ532" s="612"/>
    </row>
    <row r="533" spans="2:44" s="322" customFormat="1" ht="18">
      <c r="B533" s="1217" t="s">
        <v>336</v>
      </c>
      <c r="C533" s="634"/>
      <c r="D533" s="739"/>
      <c r="G533" s="739"/>
      <c r="H533" s="326"/>
      <c r="I533" s="326">
        <v>2502</v>
      </c>
      <c r="L533" s="326"/>
      <c r="N533" s="739"/>
      <c r="O533" s="743"/>
      <c r="P533" s="341"/>
      <c r="T533" s="326"/>
      <c r="U533" s="739"/>
      <c r="X533" s="326"/>
      <c r="Y533" s="326"/>
      <c r="Z533" s="1066">
        <v>77</v>
      </c>
      <c r="AA533" s="322">
        <v>52</v>
      </c>
      <c r="AB533" s="739"/>
      <c r="AF533" s="1226"/>
      <c r="AI533" s="225">
        <f t="shared" si="46"/>
        <v>2631</v>
      </c>
      <c r="AJ533" s="216"/>
      <c r="AK533" s="226"/>
      <c r="AL533" s="326"/>
      <c r="AQ533" s="609"/>
    </row>
    <row r="534" spans="2:44" s="216" customFormat="1" ht="18">
      <c r="B534" s="73" t="s">
        <v>231</v>
      </c>
      <c r="C534" s="635"/>
      <c r="D534" s="740"/>
      <c r="E534" s="339"/>
      <c r="F534" s="339"/>
      <c r="G534" s="741"/>
      <c r="H534" s="227"/>
      <c r="I534" s="227">
        <v>191</v>
      </c>
      <c r="J534" s="227"/>
      <c r="K534" s="227"/>
      <c r="L534" s="227"/>
      <c r="M534" s="227"/>
      <c r="N534" s="740"/>
      <c r="O534" s="740"/>
      <c r="P534" s="227"/>
      <c r="Q534" s="227"/>
      <c r="R534" s="226"/>
      <c r="S534" s="226"/>
      <c r="T534" s="227"/>
      <c r="U534" s="1073"/>
      <c r="V534" s="227"/>
      <c r="W534" s="227"/>
      <c r="X534" s="227"/>
      <c r="Y534" s="227"/>
      <c r="Z534" s="1067">
        <v>9</v>
      </c>
      <c r="AA534" s="227">
        <v>3</v>
      </c>
      <c r="AB534" s="740"/>
      <c r="AC534" s="227"/>
      <c r="AD534" s="227"/>
      <c r="AE534" s="227"/>
      <c r="AF534" s="740"/>
      <c r="AG534" s="227"/>
      <c r="AH534" s="227"/>
      <c r="AI534" s="225">
        <f t="shared" si="46"/>
        <v>203</v>
      </c>
      <c r="AJ534" s="339"/>
      <c r="AK534" s="227"/>
      <c r="AL534" s="312"/>
      <c r="AM534" s="312"/>
      <c r="AN534" s="312"/>
      <c r="AQ534" s="612"/>
    </row>
    <row r="535" spans="2:44" s="216" customFormat="1" ht="18">
      <c r="B535" s="73"/>
      <c r="C535" s="635"/>
      <c r="D535" s="738"/>
      <c r="E535" s="344"/>
      <c r="F535" s="344"/>
      <c r="G535" s="741"/>
      <c r="H535" s="227"/>
      <c r="I535" s="341"/>
      <c r="J535" s="227"/>
      <c r="K535" s="227"/>
      <c r="L535" s="341"/>
      <c r="M535" s="341"/>
      <c r="N535" s="740"/>
      <c r="O535" s="738"/>
      <c r="P535" s="341"/>
      <c r="Q535" s="341"/>
      <c r="R535" s="433"/>
      <c r="S535" s="433"/>
      <c r="T535" s="341"/>
      <c r="U535" s="1072"/>
      <c r="V535" s="227"/>
      <c r="W535" s="341"/>
      <c r="X535" s="341"/>
      <c r="Y535" s="227"/>
      <c r="Z535" s="342"/>
      <c r="AA535" s="341"/>
      <c r="AB535" s="738"/>
      <c r="AC535" s="341"/>
      <c r="AD535" s="341"/>
      <c r="AE535" s="341"/>
      <c r="AF535" s="738"/>
      <c r="AG535" s="341"/>
      <c r="AH535" s="341"/>
      <c r="AI535" s="225">
        <f t="shared" si="46"/>
        <v>0</v>
      </c>
      <c r="AJ535" s="339"/>
      <c r="AK535" s="227"/>
      <c r="AL535" s="312"/>
      <c r="AM535" s="312"/>
      <c r="AN535" s="312"/>
      <c r="AQ535" s="612"/>
    </row>
    <row r="536" spans="2:44" s="216" customFormat="1" ht="18">
      <c r="B536" s="1217" t="s">
        <v>371</v>
      </c>
      <c r="C536" s="634"/>
      <c r="D536" s="741"/>
      <c r="E536" s="339"/>
      <c r="F536" s="339"/>
      <c r="G536" s="741"/>
      <c r="M536" s="341"/>
      <c r="N536" s="741"/>
      <c r="O536" s="741"/>
      <c r="T536" s="341"/>
      <c r="U536" s="741"/>
      <c r="Z536" s="265"/>
      <c r="AA536" s="341"/>
      <c r="AB536" s="741"/>
      <c r="AF536" s="741"/>
      <c r="AI536" s="225">
        <f t="shared" si="46"/>
        <v>0</v>
      </c>
      <c r="AK536" s="226"/>
      <c r="AQ536" s="612"/>
    </row>
    <row r="537" spans="2:44" s="227" customFormat="1" ht="18">
      <c r="B537" s="301" t="s">
        <v>231</v>
      </c>
      <c r="C537" s="636"/>
      <c r="D537" s="740"/>
      <c r="G537" s="740"/>
      <c r="M537" s="341"/>
      <c r="N537" s="740"/>
      <c r="O537" s="740"/>
      <c r="R537" s="226"/>
      <c r="S537" s="226"/>
      <c r="U537" s="1073"/>
      <c r="Z537" s="1067"/>
      <c r="AB537" s="740"/>
      <c r="AF537" s="740"/>
      <c r="AI537" s="225">
        <f t="shared" si="46"/>
        <v>0</v>
      </c>
      <c r="AQ537" s="612"/>
      <c r="AR537" s="227">
        <v>744970</v>
      </c>
    </row>
    <row r="538" spans="2:44" s="216" customFormat="1" ht="18">
      <c r="B538" s="1217" t="s">
        <v>336</v>
      </c>
      <c r="C538" s="634"/>
      <c r="D538" s="741"/>
      <c r="G538" s="741"/>
      <c r="M538" s="341"/>
      <c r="N538" s="741"/>
      <c r="O538" s="741"/>
      <c r="U538" s="741"/>
      <c r="Z538" s="265"/>
      <c r="AB538" s="741"/>
      <c r="AF538" s="741"/>
      <c r="AI538" s="225">
        <f t="shared" si="46"/>
        <v>0</v>
      </c>
      <c r="AK538" s="226"/>
      <c r="AQ538" s="612"/>
      <c r="AR538" s="216">
        <v>706980</v>
      </c>
    </row>
    <row r="539" spans="2:44" s="227" customFormat="1" ht="18">
      <c r="B539" s="301" t="s">
        <v>231</v>
      </c>
      <c r="C539" s="636"/>
      <c r="D539" s="740"/>
      <c r="G539" s="740"/>
      <c r="N539" s="740"/>
      <c r="O539" s="740"/>
      <c r="R539" s="226"/>
      <c r="S539" s="226"/>
      <c r="U539" s="1073"/>
      <c r="Z539" s="1067"/>
      <c r="AB539" s="740"/>
      <c r="AF539" s="740"/>
      <c r="AI539" s="225">
        <f t="shared" si="46"/>
        <v>0</v>
      </c>
      <c r="AQ539" s="612"/>
    </row>
    <row r="540" spans="2:44" s="216" customFormat="1" ht="17.25" customHeight="1">
      <c r="B540" s="73"/>
      <c r="C540" s="635"/>
      <c r="D540" s="738"/>
      <c r="E540" s="344"/>
      <c r="F540" s="344"/>
      <c r="G540" s="741"/>
      <c r="H540" s="341"/>
      <c r="I540" s="341"/>
      <c r="J540" s="341"/>
      <c r="K540" s="341"/>
      <c r="L540" s="341"/>
      <c r="M540" s="341"/>
      <c r="N540" s="738"/>
      <c r="O540" s="738"/>
      <c r="P540" s="341"/>
      <c r="Q540" s="341"/>
      <c r="R540" s="226"/>
      <c r="S540" s="226"/>
      <c r="U540" s="1073"/>
      <c r="V540" s="341"/>
      <c r="W540" s="341"/>
      <c r="X540" s="341"/>
      <c r="Y540" s="341"/>
      <c r="Z540" s="342"/>
      <c r="AA540" s="341"/>
      <c r="AB540" s="738"/>
      <c r="AC540" s="341"/>
      <c r="AD540" s="341"/>
      <c r="AE540" s="341"/>
      <c r="AF540" s="738"/>
      <c r="AG540" s="341"/>
      <c r="AH540" s="341"/>
      <c r="AI540" s="225">
        <f t="shared" si="46"/>
        <v>0</v>
      </c>
      <c r="AJ540" s="339"/>
      <c r="AK540" s="227"/>
      <c r="AL540" s="312"/>
      <c r="AM540" s="312"/>
      <c r="AN540" s="312"/>
      <c r="AQ540" s="612"/>
    </row>
    <row r="541" spans="2:44" s="216" customFormat="1" ht="18">
      <c r="B541" s="1217" t="s">
        <v>342</v>
      </c>
      <c r="C541" s="634"/>
      <c r="D541" s="741"/>
      <c r="E541" s="339"/>
      <c r="F541" s="339"/>
      <c r="G541" s="741"/>
      <c r="M541" s="341"/>
      <c r="N541" s="741"/>
      <c r="O541" s="741"/>
      <c r="U541" s="741"/>
      <c r="Z541" s="265"/>
      <c r="AB541" s="741"/>
      <c r="AF541" s="741"/>
      <c r="AI541" s="225">
        <f t="shared" si="46"/>
        <v>0</v>
      </c>
      <c r="AK541" s="226"/>
      <c r="AQ541" s="612"/>
    </row>
    <row r="542" spans="2:44" s="227" customFormat="1" ht="18">
      <c r="B542" s="301" t="s">
        <v>231</v>
      </c>
      <c r="C542" s="636"/>
      <c r="D542" s="740"/>
      <c r="G542" s="740"/>
      <c r="I542" s="216"/>
      <c r="M542" s="341"/>
      <c r="N542" s="740"/>
      <c r="O542" s="740"/>
      <c r="R542" s="226"/>
      <c r="S542" s="226"/>
      <c r="U542" s="1073"/>
      <c r="Z542" s="1067"/>
      <c r="AB542" s="740"/>
      <c r="AF542" s="740"/>
      <c r="AI542" s="225">
        <f t="shared" si="46"/>
        <v>0</v>
      </c>
      <c r="AQ542" s="612"/>
    </row>
    <row r="543" spans="2:44" s="216" customFormat="1" ht="18">
      <c r="B543" s="1217" t="s">
        <v>336</v>
      </c>
      <c r="C543" s="634"/>
      <c r="D543" s="741"/>
      <c r="G543" s="741"/>
      <c r="M543" s="341"/>
      <c r="N543" s="741"/>
      <c r="O543" s="741"/>
      <c r="U543" s="741"/>
      <c r="Z543" s="265"/>
      <c r="AB543" s="741"/>
      <c r="AF543" s="741"/>
      <c r="AI543" s="225">
        <f t="shared" si="46"/>
        <v>0</v>
      </c>
      <c r="AK543" s="226"/>
      <c r="AQ543" s="612"/>
    </row>
    <row r="544" spans="2:44" s="227" customFormat="1" ht="18">
      <c r="B544" s="301" t="s">
        <v>231</v>
      </c>
      <c r="C544" s="636"/>
      <c r="D544" s="740"/>
      <c r="G544" s="740"/>
      <c r="N544" s="740"/>
      <c r="O544" s="740"/>
      <c r="R544" s="226"/>
      <c r="S544" s="226"/>
      <c r="U544" s="1073"/>
      <c r="Z544" s="1067"/>
      <c r="AB544" s="740"/>
      <c r="AF544" s="740"/>
      <c r="AI544" s="225">
        <f t="shared" si="46"/>
        <v>0</v>
      </c>
      <c r="AQ544" s="612"/>
    </row>
    <row r="545" spans="2:43" s="322" customFormat="1" ht="18">
      <c r="B545" s="70"/>
      <c r="C545" s="637"/>
      <c r="D545" s="739"/>
      <c r="G545" s="739"/>
      <c r="N545" s="739"/>
      <c r="O545" s="739"/>
      <c r="U545" s="739"/>
      <c r="Z545" s="1068"/>
      <c r="AB545" s="739"/>
      <c r="AF545" s="739"/>
      <c r="AI545" s="225">
        <f t="shared" si="46"/>
        <v>0</v>
      </c>
      <c r="AJ545" s="216"/>
      <c r="AK545" s="226"/>
      <c r="AQ545" s="609"/>
    </row>
    <row r="546" spans="2:43" s="322" customFormat="1" ht="18">
      <c r="B546" s="70"/>
      <c r="C546" s="637"/>
      <c r="D546" s="739"/>
      <c r="G546" s="739"/>
      <c r="N546" s="739"/>
      <c r="O546" s="739"/>
      <c r="U546" s="739"/>
      <c r="Z546" s="1068"/>
      <c r="AB546" s="739"/>
      <c r="AF546" s="739"/>
      <c r="AI546" s="225">
        <f t="shared" si="46"/>
        <v>0</v>
      </c>
      <c r="AJ546" s="216"/>
      <c r="AK546" s="226"/>
      <c r="AQ546" s="609"/>
    </row>
    <row r="547" spans="2:43" s="322" customFormat="1" ht="18">
      <c r="B547" s="70"/>
      <c r="C547" s="637"/>
      <c r="D547" s="739"/>
      <c r="G547" s="739"/>
      <c r="N547" s="739"/>
      <c r="O547" s="739"/>
      <c r="U547" s="739"/>
      <c r="Z547" s="1068"/>
      <c r="AB547" s="739"/>
      <c r="AF547" s="739"/>
      <c r="AI547" s="225">
        <f t="shared" si="46"/>
        <v>0</v>
      </c>
      <c r="AJ547" s="216"/>
      <c r="AK547" s="226"/>
      <c r="AQ547" s="609"/>
    </row>
    <row r="548" spans="2:43" s="322" customFormat="1" ht="18">
      <c r="B548" s="70"/>
      <c r="C548" s="637"/>
      <c r="D548" s="739"/>
      <c r="G548" s="739"/>
      <c r="N548" s="739"/>
      <c r="O548" s="739"/>
      <c r="U548" s="739"/>
      <c r="Z548" s="1068"/>
      <c r="AB548" s="739"/>
      <c r="AF548" s="739"/>
      <c r="AI548" s="225">
        <f t="shared" si="46"/>
        <v>0</v>
      </c>
      <c r="AJ548" s="216"/>
      <c r="AK548" s="226"/>
      <c r="AQ548" s="609"/>
    </row>
    <row r="549" spans="2:43" s="322" customFormat="1" ht="18">
      <c r="B549" s="70"/>
      <c r="C549" s="637"/>
      <c r="D549" s="739"/>
      <c r="G549" s="739"/>
      <c r="N549" s="739"/>
      <c r="O549" s="739"/>
      <c r="U549" s="739"/>
      <c r="Z549" s="1068"/>
      <c r="AB549" s="739"/>
      <c r="AF549" s="739"/>
      <c r="AI549" s="225">
        <f t="shared" si="46"/>
        <v>0</v>
      </c>
      <c r="AJ549" s="216"/>
      <c r="AK549" s="226"/>
      <c r="AQ549" s="609"/>
    </row>
    <row r="550" spans="2:43" s="322" customFormat="1" ht="18">
      <c r="B550" s="70"/>
      <c r="C550" s="637"/>
      <c r="D550" s="739"/>
      <c r="G550" s="739"/>
      <c r="N550" s="739"/>
      <c r="O550" s="739"/>
      <c r="U550" s="739"/>
      <c r="Z550" s="1068"/>
      <c r="AB550" s="739"/>
      <c r="AF550" s="739"/>
      <c r="AJ550" s="216"/>
      <c r="AK550" s="227"/>
      <c r="AQ550" s="609"/>
    </row>
    <row r="551" spans="2:43" s="322" customFormat="1" ht="18">
      <c r="B551" s="70"/>
      <c r="C551" s="637"/>
      <c r="D551" s="739"/>
      <c r="G551" s="739"/>
      <c r="N551" s="739"/>
      <c r="O551" s="739"/>
      <c r="U551" s="739"/>
      <c r="Z551" s="1068"/>
      <c r="AB551" s="739"/>
      <c r="AF551" s="739"/>
      <c r="AI551" s="348"/>
      <c r="AJ551" s="216"/>
      <c r="AK551" s="226"/>
      <c r="AQ551" s="609"/>
    </row>
    <row r="552" spans="2:43" s="322" customFormat="1" ht="18">
      <c r="B552" s="70"/>
      <c r="C552" s="637"/>
      <c r="D552" s="739"/>
      <c r="G552" s="739"/>
      <c r="N552" s="739"/>
      <c r="O552" s="739"/>
      <c r="U552" s="739"/>
      <c r="Z552" s="1068"/>
      <c r="AB552" s="739"/>
      <c r="AF552" s="739"/>
      <c r="AJ552" s="216"/>
      <c r="AK552" s="227"/>
      <c r="AQ552" s="609"/>
    </row>
    <row r="553" spans="2:43" s="322" customFormat="1" ht="18">
      <c r="B553" s="70"/>
      <c r="C553" s="637"/>
      <c r="D553" s="739"/>
      <c r="G553" s="739"/>
      <c r="N553" s="739"/>
      <c r="O553" s="739"/>
      <c r="U553" s="739"/>
      <c r="Z553" s="1068"/>
      <c r="AB553" s="739"/>
      <c r="AF553" s="739"/>
      <c r="AI553" s="348"/>
      <c r="AJ553" s="216"/>
      <c r="AK553" s="226"/>
      <c r="AQ553" s="609"/>
    </row>
    <row r="554" spans="2:43" s="322" customFormat="1" ht="18">
      <c r="B554" s="70"/>
      <c r="C554" s="637"/>
      <c r="D554" s="739"/>
      <c r="G554" s="739"/>
      <c r="N554" s="739"/>
      <c r="O554" s="739"/>
      <c r="U554" s="739"/>
      <c r="Z554" s="1068"/>
      <c r="AB554" s="739"/>
      <c r="AF554" s="739"/>
      <c r="AJ554" s="216"/>
      <c r="AK554" s="227"/>
      <c r="AQ554" s="609"/>
    </row>
    <row r="555" spans="2:43" s="322" customFormat="1" ht="18">
      <c r="B555" s="70"/>
      <c r="C555" s="637"/>
      <c r="D555" s="739"/>
      <c r="G555" s="739"/>
      <c r="N555" s="739"/>
      <c r="O555" s="739"/>
      <c r="U555" s="739"/>
      <c r="Z555" s="1068"/>
      <c r="AB555" s="739"/>
      <c r="AF555" s="739"/>
      <c r="AI555" s="348"/>
      <c r="AJ555" s="216"/>
      <c r="AK555" s="226"/>
      <c r="AQ555" s="609"/>
    </row>
    <row r="556" spans="2:43" s="322" customFormat="1" ht="18">
      <c r="B556" s="70"/>
      <c r="C556" s="637"/>
      <c r="D556" s="739"/>
      <c r="G556" s="739"/>
      <c r="N556" s="739"/>
      <c r="O556" s="739"/>
      <c r="U556" s="739"/>
      <c r="Z556" s="1068"/>
      <c r="AB556" s="739"/>
      <c r="AF556" s="739"/>
      <c r="AI556" s="348"/>
      <c r="AJ556" s="216"/>
      <c r="AK556" s="226"/>
      <c r="AQ556" s="609"/>
    </row>
    <row r="557" spans="2:43" s="322" customFormat="1" ht="18">
      <c r="B557" s="70"/>
      <c r="C557" s="637"/>
      <c r="D557" s="739"/>
      <c r="G557" s="739"/>
      <c r="N557" s="739"/>
      <c r="O557" s="739"/>
      <c r="U557" s="739"/>
      <c r="Z557" s="1068"/>
      <c r="AB557" s="739"/>
      <c r="AF557" s="739"/>
      <c r="AJ557" s="216"/>
      <c r="AK557" s="227"/>
      <c r="AQ557" s="609"/>
    </row>
    <row r="558" spans="2:43" s="322" customFormat="1" ht="18">
      <c r="B558" s="70"/>
      <c r="C558" s="637"/>
      <c r="D558" s="739"/>
      <c r="G558" s="739"/>
      <c r="N558" s="739"/>
      <c r="O558" s="739"/>
      <c r="U558" s="739"/>
      <c r="Z558" s="1068"/>
      <c r="AB558" s="739"/>
      <c r="AF558" s="739"/>
      <c r="AI558" s="348"/>
      <c r="AJ558" s="216"/>
      <c r="AK558" s="226"/>
      <c r="AQ558" s="609"/>
    </row>
    <row r="559" spans="2:43" s="322" customFormat="1" ht="18">
      <c r="B559" s="70"/>
      <c r="C559" s="637"/>
      <c r="D559" s="739"/>
      <c r="G559" s="739"/>
      <c r="N559" s="739"/>
      <c r="O559" s="739"/>
      <c r="U559" s="739"/>
      <c r="Z559" s="1068"/>
      <c r="AB559" s="739"/>
      <c r="AF559" s="739"/>
      <c r="AJ559" s="216"/>
      <c r="AK559" s="227"/>
      <c r="AQ559" s="609"/>
    </row>
    <row r="560" spans="2:43" s="322" customFormat="1" ht="18">
      <c r="B560" s="70"/>
      <c r="C560" s="637"/>
      <c r="D560" s="739"/>
      <c r="G560" s="739"/>
      <c r="N560" s="739"/>
      <c r="O560" s="739"/>
      <c r="U560" s="739"/>
      <c r="Z560" s="1068"/>
      <c r="AB560" s="739"/>
      <c r="AF560" s="739"/>
      <c r="AI560" s="348"/>
      <c r="AJ560" s="216"/>
      <c r="AK560" s="226"/>
      <c r="AQ560" s="609"/>
    </row>
    <row r="561" spans="2:43" s="322" customFormat="1" ht="18">
      <c r="B561" s="70"/>
      <c r="C561" s="637"/>
      <c r="D561" s="739"/>
      <c r="G561" s="739"/>
      <c r="N561" s="739"/>
      <c r="O561" s="739"/>
      <c r="U561" s="739"/>
      <c r="Z561" s="1068"/>
      <c r="AB561" s="739"/>
      <c r="AF561" s="739"/>
      <c r="AI561" s="348"/>
      <c r="AJ561" s="216"/>
      <c r="AK561" s="226"/>
      <c r="AQ561" s="609"/>
    </row>
    <row r="562" spans="2:43" s="322" customFormat="1" ht="18">
      <c r="B562" s="70"/>
      <c r="C562" s="637"/>
      <c r="D562" s="739"/>
      <c r="G562" s="739"/>
      <c r="N562" s="739"/>
      <c r="O562" s="739"/>
      <c r="U562" s="739"/>
      <c r="Z562" s="1068"/>
      <c r="AB562" s="739"/>
      <c r="AF562" s="739"/>
      <c r="AJ562" s="216"/>
      <c r="AK562" s="227"/>
      <c r="AQ562" s="609"/>
    </row>
    <row r="563" spans="2:43" s="322" customFormat="1" ht="18">
      <c r="B563" s="70"/>
      <c r="C563" s="637"/>
      <c r="D563" s="739"/>
      <c r="G563" s="739"/>
      <c r="N563" s="739"/>
      <c r="O563" s="739"/>
      <c r="U563" s="739"/>
      <c r="Z563" s="1068"/>
      <c r="AB563" s="739"/>
      <c r="AF563" s="739"/>
      <c r="AI563" s="348"/>
      <c r="AJ563" s="216"/>
      <c r="AK563" s="226"/>
      <c r="AQ563" s="609"/>
    </row>
    <row r="564" spans="2:43" s="322" customFormat="1" ht="18">
      <c r="B564" s="70"/>
      <c r="C564" s="637"/>
      <c r="D564" s="739"/>
      <c r="G564" s="739"/>
      <c r="N564" s="739"/>
      <c r="O564" s="739"/>
      <c r="U564" s="739"/>
      <c r="Z564" s="1068"/>
      <c r="AB564" s="739"/>
      <c r="AF564" s="739"/>
      <c r="AJ564" s="216"/>
      <c r="AK564" s="227"/>
      <c r="AQ564" s="609"/>
    </row>
    <row r="565" spans="2:43" s="322" customFormat="1" ht="18">
      <c r="B565" s="70"/>
      <c r="C565" s="637"/>
      <c r="D565" s="739"/>
      <c r="G565" s="739"/>
      <c r="N565" s="739"/>
      <c r="O565" s="739"/>
      <c r="U565" s="739"/>
      <c r="Z565" s="1068"/>
      <c r="AB565" s="739"/>
      <c r="AF565" s="739"/>
      <c r="AI565" s="348"/>
      <c r="AJ565" s="216"/>
      <c r="AK565" s="226"/>
      <c r="AQ565" s="609"/>
    </row>
    <row r="566" spans="2:43" s="322" customFormat="1" ht="18">
      <c r="B566" s="70"/>
      <c r="C566" s="637"/>
      <c r="D566" s="739"/>
      <c r="G566" s="739"/>
      <c r="N566" s="739"/>
      <c r="O566" s="739"/>
      <c r="U566" s="739"/>
      <c r="Z566" s="1068"/>
      <c r="AB566" s="739"/>
      <c r="AF566" s="739"/>
      <c r="AJ566" s="216"/>
      <c r="AK566" s="227"/>
      <c r="AQ566" s="609"/>
    </row>
    <row r="567" spans="2:43" s="322" customFormat="1" ht="18">
      <c r="B567" s="70"/>
      <c r="C567" s="637"/>
      <c r="D567" s="739"/>
      <c r="G567" s="739"/>
      <c r="N567" s="739"/>
      <c r="O567" s="739"/>
      <c r="U567" s="739"/>
      <c r="Z567" s="1068"/>
      <c r="AB567" s="739"/>
      <c r="AF567" s="739"/>
      <c r="AI567" s="348"/>
      <c r="AJ567" s="216"/>
      <c r="AK567" s="226"/>
      <c r="AQ567" s="609"/>
    </row>
    <row r="568" spans="2:43" s="322" customFormat="1" ht="18">
      <c r="B568" s="70"/>
      <c r="C568" s="637"/>
      <c r="D568" s="739"/>
      <c r="G568" s="739"/>
      <c r="N568" s="739"/>
      <c r="O568" s="739"/>
      <c r="U568" s="739"/>
      <c r="Z568" s="1068"/>
      <c r="AB568" s="739"/>
      <c r="AF568" s="739"/>
      <c r="AJ568" s="216"/>
      <c r="AK568" s="216"/>
      <c r="AQ568" s="609"/>
    </row>
    <row r="569" spans="2:43" s="322" customFormat="1" ht="18">
      <c r="B569" s="70"/>
      <c r="C569" s="637"/>
      <c r="D569" s="739"/>
      <c r="G569" s="739"/>
      <c r="N569" s="739"/>
      <c r="O569" s="739"/>
      <c r="U569" s="739"/>
      <c r="Z569" s="1068"/>
      <c r="AB569" s="739"/>
      <c r="AF569" s="739"/>
      <c r="AI569" s="348"/>
      <c r="AJ569" s="216"/>
      <c r="AK569" s="216"/>
      <c r="AQ569" s="609"/>
    </row>
    <row r="570" spans="2:43" s="322" customFormat="1" ht="18">
      <c r="B570" s="70"/>
      <c r="C570" s="637"/>
      <c r="D570" s="739"/>
      <c r="G570" s="739"/>
      <c r="N570" s="739"/>
      <c r="O570" s="739"/>
      <c r="U570" s="739"/>
      <c r="Z570" s="1068"/>
      <c r="AB570" s="739"/>
      <c r="AF570" s="739"/>
      <c r="AI570" s="348"/>
      <c r="AJ570" s="216"/>
      <c r="AK570" s="216"/>
      <c r="AQ570" s="609"/>
    </row>
    <row r="571" spans="2:43" s="322" customFormat="1" ht="18">
      <c r="B571" s="70"/>
      <c r="C571" s="637"/>
      <c r="D571" s="739"/>
      <c r="G571" s="739"/>
      <c r="N571" s="739"/>
      <c r="O571" s="739"/>
      <c r="U571" s="739"/>
      <c r="Z571" s="1068"/>
      <c r="AB571" s="739"/>
      <c r="AF571" s="739"/>
      <c r="AJ571" s="216"/>
      <c r="AK571" s="216"/>
      <c r="AQ571" s="609"/>
    </row>
    <row r="572" spans="2:43" s="322" customFormat="1" ht="18">
      <c r="B572" s="70"/>
      <c r="C572" s="637"/>
      <c r="D572" s="739"/>
      <c r="G572" s="739"/>
      <c r="N572" s="739"/>
      <c r="O572" s="739"/>
      <c r="U572" s="739"/>
      <c r="Z572" s="1068"/>
      <c r="AB572" s="739"/>
      <c r="AF572" s="739"/>
      <c r="AI572" s="348"/>
      <c r="AJ572" s="216"/>
      <c r="AK572" s="216"/>
      <c r="AQ572" s="609"/>
    </row>
    <row r="573" spans="2:43" s="322" customFormat="1" ht="18">
      <c r="B573" s="70"/>
      <c r="C573" s="637"/>
      <c r="D573" s="739"/>
      <c r="G573" s="739"/>
      <c r="N573" s="739"/>
      <c r="O573" s="739"/>
      <c r="U573" s="739"/>
      <c r="Z573" s="1068"/>
      <c r="AB573" s="739"/>
      <c r="AF573" s="739"/>
      <c r="AI573" s="348"/>
      <c r="AJ573" s="216"/>
      <c r="AK573" s="216"/>
      <c r="AQ573" s="609"/>
    </row>
    <row r="574" spans="2:43" s="322" customFormat="1" ht="18">
      <c r="B574" s="70"/>
      <c r="C574" s="637"/>
      <c r="D574" s="739"/>
      <c r="G574" s="739"/>
      <c r="N574" s="739"/>
      <c r="O574" s="739"/>
      <c r="U574" s="739"/>
      <c r="Z574" s="1068"/>
      <c r="AB574" s="739"/>
      <c r="AF574" s="739"/>
      <c r="AJ574" s="216"/>
      <c r="AK574" s="216"/>
      <c r="AQ574" s="609"/>
    </row>
    <row r="575" spans="2:43" s="322" customFormat="1" ht="18">
      <c r="B575" s="70"/>
      <c r="C575" s="637"/>
      <c r="D575" s="739"/>
      <c r="G575" s="739"/>
      <c r="N575" s="739"/>
      <c r="O575" s="739"/>
      <c r="U575" s="739"/>
      <c r="Z575" s="1068"/>
      <c r="AB575" s="739"/>
      <c r="AF575" s="739"/>
      <c r="AI575" s="348"/>
      <c r="AJ575" s="216"/>
      <c r="AK575" s="216"/>
      <c r="AQ575" s="609"/>
    </row>
    <row r="576" spans="2:43" s="322" customFormat="1" ht="18">
      <c r="B576" s="70"/>
      <c r="C576" s="637"/>
      <c r="D576" s="739"/>
      <c r="G576" s="739"/>
      <c r="N576" s="739"/>
      <c r="O576" s="739"/>
      <c r="U576" s="739"/>
      <c r="Z576" s="1068"/>
      <c r="AB576" s="739"/>
      <c r="AF576" s="739"/>
      <c r="AJ576" s="216"/>
      <c r="AK576" s="216"/>
      <c r="AQ576" s="609"/>
    </row>
    <row r="577" spans="2:43" s="322" customFormat="1" ht="18">
      <c r="B577" s="70"/>
      <c r="C577" s="637"/>
      <c r="D577" s="739"/>
      <c r="G577" s="739"/>
      <c r="N577" s="739"/>
      <c r="O577" s="739"/>
      <c r="U577" s="739"/>
      <c r="Z577" s="1068"/>
      <c r="AB577" s="739"/>
      <c r="AF577" s="739"/>
      <c r="AI577" s="348"/>
      <c r="AJ577" s="216"/>
      <c r="AK577" s="216"/>
      <c r="AQ577" s="609"/>
    </row>
    <row r="578" spans="2:43" s="322" customFormat="1" ht="18">
      <c r="B578" s="70"/>
      <c r="C578" s="637"/>
      <c r="D578" s="739"/>
      <c r="G578" s="739"/>
      <c r="N578" s="739"/>
      <c r="O578" s="739"/>
      <c r="U578" s="739"/>
      <c r="Z578" s="1068"/>
      <c r="AB578" s="739"/>
      <c r="AF578" s="739"/>
      <c r="AI578" s="348"/>
      <c r="AJ578" s="216"/>
      <c r="AK578" s="216"/>
      <c r="AQ578" s="609"/>
    </row>
    <row r="579" spans="2:43" s="322" customFormat="1" ht="18">
      <c r="B579" s="70"/>
      <c r="C579" s="637"/>
      <c r="D579" s="739"/>
      <c r="G579" s="739"/>
      <c r="N579" s="739"/>
      <c r="O579" s="739"/>
      <c r="U579" s="739"/>
      <c r="Z579" s="1068"/>
      <c r="AB579" s="739"/>
      <c r="AF579" s="739"/>
      <c r="AI579" s="348"/>
      <c r="AJ579" s="216"/>
      <c r="AK579" s="216"/>
      <c r="AQ579" s="609"/>
    </row>
    <row r="580" spans="2:43" s="322" customFormat="1" ht="18">
      <c r="B580" s="70"/>
      <c r="C580" s="637"/>
      <c r="D580" s="739"/>
      <c r="G580" s="739"/>
      <c r="N580" s="739"/>
      <c r="O580" s="739"/>
      <c r="U580" s="739"/>
      <c r="Z580" s="1068"/>
      <c r="AB580" s="739"/>
      <c r="AF580" s="739"/>
      <c r="AJ580" s="216"/>
      <c r="AK580" s="216"/>
      <c r="AQ580" s="609"/>
    </row>
    <row r="581" spans="2:43" s="322" customFormat="1" ht="18">
      <c r="B581" s="70"/>
      <c r="C581" s="637"/>
      <c r="D581" s="739"/>
      <c r="G581" s="739"/>
      <c r="N581" s="739"/>
      <c r="O581" s="739"/>
      <c r="U581" s="739"/>
      <c r="Z581" s="1068"/>
      <c r="AB581" s="739"/>
      <c r="AF581" s="739"/>
      <c r="AI581" s="348"/>
      <c r="AJ581" s="216"/>
      <c r="AK581" s="216"/>
      <c r="AQ581" s="609"/>
    </row>
    <row r="582" spans="2:43" s="322" customFormat="1" ht="18">
      <c r="B582" s="70"/>
      <c r="C582" s="637"/>
      <c r="D582" s="739"/>
      <c r="G582" s="739"/>
      <c r="N582" s="739"/>
      <c r="O582" s="739"/>
      <c r="U582" s="739"/>
      <c r="Z582" s="1068"/>
      <c r="AB582" s="739"/>
      <c r="AF582" s="739"/>
      <c r="AJ582" s="216"/>
      <c r="AK582" s="216"/>
      <c r="AQ582" s="609"/>
    </row>
    <row r="583" spans="2:43" s="322" customFormat="1" ht="18">
      <c r="B583" s="70"/>
      <c r="C583" s="637"/>
      <c r="D583" s="739"/>
      <c r="G583" s="739"/>
      <c r="N583" s="739"/>
      <c r="O583" s="739"/>
      <c r="U583" s="739"/>
      <c r="Z583" s="1068"/>
      <c r="AB583" s="739"/>
      <c r="AF583" s="739"/>
      <c r="AI583" s="348"/>
      <c r="AJ583" s="216"/>
      <c r="AK583" s="216"/>
      <c r="AQ583" s="609"/>
    </row>
    <row r="584" spans="2:43" s="322" customFormat="1" ht="18">
      <c r="B584" s="70"/>
      <c r="C584" s="637"/>
      <c r="D584" s="739"/>
      <c r="G584" s="739"/>
      <c r="N584" s="739"/>
      <c r="O584" s="739"/>
      <c r="U584" s="739"/>
      <c r="Z584" s="1068"/>
      <c r="AB584" s="739"/>
      <c r="AF584" s="739"/>
      <c r="AI584" s="348"/>
      <c r="AJ584" s="216"/>
      <c r="AK584" s="216"/>
      <c r="AQ584" s="609"/>
    </row>
    <row r="585" spans="2:43" s="322" customFormat="1" ht="18">
      <c r="B585" s="70"/>
      <c r="C585" s="637"/>
      <c r="D585" s="739"/>
      <c r="G585" s="739"/>
      <c r="N585" s="739"/>
      <c r="O585" s="739"/>
      <c r="U585" s="739"/>
      <c r="Z585" s="1068"/>
      <c r="AB585" s="739"/>
      <c r="AF585" s="739"/>
      <c r="AI585" s="348"/>
      <c r="AJ585" s="216"/>
      <c r="AK585" s="216"/>
      <c r="AQ585" s="609"/>
    </row>
    <row r="586" spans="2:43" s="322" customFormat="1" ht="18">
      <c r="B586" s="70"/>
      <c r="C586" s="637"/>
      <c r="D586" s="739"/>
      <c r="G586" s="739"/>
      <c r="N586" s="739"/>
      <c r="O586" s="739"/>
      <c r="U586" s="739"/>
      <c r="Z586" s="1068"/>
      <c r="AB586" s="739"/>
      <c r="AF586" s="739"/>
      <c r="AI586" s="348"/>
      <c r="AJ586" s="216"/>
      <c r="AK586" s="216"/>
      <c r="AQ586" s="609"/>
    </row>
    <row r="587" spans="2:43" s="322" customFormat="1" ht="18">
      <c r="B587" s="70"/>
      <c r="C587" s="637"/>
      <c r="D587" s="739"/>
      <c r="G587" s="739"/>
      <c r="N587" s="739"/>
      <c r="O587" s="739"/>
      <c r="U587" s="739"/>
      <c r="Z587" s="1068"/>
      <c r="AB587" s="739"/>
      <c r="AF587" s="739"/>
      <c r="AI587" s="348"/>
      <c r="AJ587" s="216"/>
      <c r="AK587" s="216"/>
      <c r="AQ587" s="609"/>
    </row>
    <row r="588" spans="2:43" s="322" customFormat="1" ht="18">
      <c r="B588" s="70"/>
      <c r="C588" s="637"/>
      <c r="D588" s="739"/>
      <c r="G588" s="739"/>
      <c r="N588" s="739"/>
      <c r="O588" s="739"/>
      <c r="U588" s="739"/>
      <c r="Z588" s="1068"/>
      <c r="AB588" s="739"/>
      <c r="AF588" s="739"/>
      <c r="AI588" s="348"/>
      <c r="AJ588" s="216"/>
      <c r="AK588" s="216"/>
      <c r="AQ588" s="609"/>
    </row>
    <row r="589" spans="2:43" s="322" customFormat="1" ht="18">
      <c r="B589" s="70"/>
      <c r="C589" s="637"/>
      <c r="D589" s="739"/>
      <c r="G589" s="739"/>
      <c r="N589" s="739"/>
      <c r="O589" s="739"/>
      <c r="U589" s="739"/>
      <c r="Z589" s="1068"/>
      <c r="AB589" s="739"/>
      <c r="AF589" s="739"/>
      <c r="AI589" s="348"/>
      <c r="AJ589" s="216"/>
      <c r="AK589" s="216"/>
      <c r="AQ589" s="609"/>
    </row>
    <row r="590" spans="2:43" s="322" customFormat="1" ht="18">
      <c r="B590" s="70"/>
      <c r="C590" s="637"/>
      <c r="D590" s="739"/>
      <c r="G590" s="739"/>
      <c r="N590" s="739"/>
      <c r="O590" s="739"/>
      <c r="U590" s="739"/>
      <c r="Z590" s="1068"/>
      <c r="AB590" s="739"/>
      <c r="AF590" s="739"/>
      <c r="AI590" s="348"/>
      <c r="AJ590" s="216"/>
      <c r="AK590" s="216"/>
      <c r="AQ590" s="609"/>
    </row>
    <row r="591" spans="2:43" s="322" customFormat="1" ht="18">
      <c r="B591" s="70"/>
      <c r="C591" s="637"/>
      <c r="D591" s="739"/>
      <c r="G591" s="739"/>
      <c r="N591" s="739"/>
      <c r="O591" s="739"/>
      <c r="U591" s="739"/>
      <c r="Z591" s="1068"/>
      <c r="AB591" s="739"/>
      <c r="AF591" s="739"/>
      <c r="AI591" s="348"/>
      <c r="AJ591" s="216"/>
      <c r="AK591" s="216"/>
      <c r="AQ591" s="609"/>
    </row>
    <row r="592" spans="2:43" s="322" customFormat="1" ht="18">
      <c r="B592" s="70"/>
      <c r="C592" s="637"/>
      <c r="D592" s="739"/>
      <c r="G592" s="739"/>
      <c r="N592" s="739"/>
      <c r="O592" s="739"/>
      <c r="U592" s="739"/>
      <c r="Z592" s="1068"/>
      <c r="AB592" s="739"/>
      <c r="AF592" s="739"/>
      <c r="AI592" s="348"/>
      <c r="AJ592" s="216"/>
      <c r="AK592" s="216"/>
      <c r="AQ592" s="609"/>
    </row>
    <row r="593" spans="2:43" s="322" customFormat="1" ht="18">
      <c r="B593" s="70"/>
      <c r="C593" s="637"/>
      <c r="D593" s="739"/>
      <c r="G593" s="739"/>
      <c r="N593" s="739"/>
      <c r="O593" s="739"/>
      <c r="U593" s="739"/>
      <c r="Z593" s="1068"/>
      <c r="AB593" s="739"/>
      <c r="AF593" s="739"/>
      <c r="AI593" s="348"/>
      <c r="AJ593" s="216"/>
      <c r="AK593" s="216"/>
      <c r="AQ593" s="609"/>
    </row>
    <row r="594" spans="2:43" s="322" customFormat="1" ht="18">
      <c r="B594" s="70"/>
      <c r="C594" s="637"/>
      <c r="D594" s="739"/>
      <c r="G594" s="739"/>
      <c r="N594" s="739"/>
      <c r="O594" s="739"/>
      <c r="U594" s="739"/>
      <c r="Z594" s="1068"/>
      <c r="AB594" s="739"/>
      <c r="AF594" s="739"/>
      <c r="AI594" s="348"/>
      <c r="AJ594" s="216"/>
      <c r="AK594" s="216"/>
      <c r="AQ594" s="609"/>
    </row>
    <row r="595" spans="2:43" s="322" customFormat="1" ht="18">
      <c r="B595" s="70"/>
      <c r="C595" s="637"/>
      <c r="D595" s="739"/>
      <c r="G595" s="739"/>
      <c r="N595" s="739"/>
      <c r="O595" s="739"/>
      <c r="U595" s="739"/>
      <c r="Z595" s="1068"/>
      <c r="AB595" s="739"/>
      <c r="AF595" s="739"/>
      <c r="AI595" s="348"/>
      <c r="AJ595" s="216"/>
      <c r="AK595" s="216"/>
      <c r="AQ595" s="609"/>
    </row>
    <row r="596" spans="2:43" s="322" customFormat="1" ht="18">
      <c r="B596" s="70"/>
      <c r="C596" s="637"/>
      <c r="D596" s="739"/>
      <c r="G596" s="739"/>
      <c r="N596" s="739"/>
      <c r="O596" s="739"/>
      <c r="U596" s="739"/>
      <c r="Z596" s="1068"/>
      <c r="AB596" s="739"/>
      <c r="AF596" s="739"/>
      <c r="AI596" s="348"/>
      <c r="AJ596" s="216"/>
      <c r="AK596" s="216"/>
      <c r="AQ596" s="609"/>
    </row>
    <row r="597" spans="2:43" s="322" customFormat="1" ht="18">
      <c r="B597" s="70"/>
      <c r="C597" s="637"/>
      <c r="D597" s="739"/>
      <c r="G597" s="739"/>
      <c r="N597" s="739"/>
      <c r="O597" s="739"/>
      <c r="U597" s="739"/>
      <c r="Z597" s="1068"/>
      <c r="AB597" s="739"/>
      <c r="AF597" s="739"/>
      <c r="AI597" s="348"/>
      <c r="AJ597" s="216"/>
      <c r="AK597" s="216"/>
      <c r="AQ597" s="609"/>
    </row>
    <row r="598" spans="2:43" s="322" customFormat="1" ht="18">
      <c r="B598" s="70"/>
      <c r="C598" s="637"/>
      <c r="D598" s="739"/>
      <c r="G598" s="739"/>
      <c r="N598" s="739"/>
      <c r="O598" s="739"/>
      <c r="U598" s="739"/>
      <c r="Z598" s="1068"/>
      <c r="AB598" s="739"/>
      <c r="AF598" s="739"/>
      <c r="AI598" s="348"/>
      <c r="AJ598" s="216"/>
      <c r="AK598" s="216"/>
      <c r="AQ598" s="609"/>
    </row>
    <row r="599" spans="2:43" s="322" customFormat="1" ht="18">
      <c r="B599" s="70"/>
      <c r="C599" s="637"/>
      <c r="D599" s="739"/>
      <c r="G599" s="739"/>
      <c r="N599" s="739"/>
      <c r="O599" s="739"/>
      <c r="U599" s="739"/>
      <c r="Z599" s="1068"/>
      <c r="AB599" s="739"/>
      <c r="AF599" s="739"/>
      <c r="AI599" s="348"/>
      <c r="AJ599" s="216"/>
      <c r="AK599" s="216"/>
      <c r="AQ599" s="609"/>
    </row>
    <row r="600" spans="2:43" s="322" customFormat="1" ht="18">
      <c r="B600" s="70"/>
      <c r="C600" s="637"/>
      <c r="D600" s="739"/>
      <c r="G600" s="739"/>
      <c r="N600" s="739"/>
      <c r="O600" s="739"/>
      <c r="U600" s="739"/>
      <c r="Z600" s="1068"/>
      <c r="AB600" s="739"/>
      <c r="AF600" s="739"/>
      <c r="AI600" s="348"/>
      <c r="AJ600" s="216"/>
      <c r="AK600" s="216"/>
      <c r="AQ600" s="609"/>
    </row>
    <row r="601" spans="2:43" s="322" customFormat="1" ht="18">
      <c r="B601" s="70"/>
      <c r="C601" s="637"/>
      <c r="D601" s="739"/>
      <c r="G601" s="739"/>
      <c r="N601" s="739"/>
      <c r="O601" s="739"/>
      <c r="U601" s="739"/>
      <c r="Z601" s="1068"/>
      <c r="AB601" s="739"/>
      <c r="AF601" s="739"/>
      <c r="AI601" s="348"/>
      <c r="AJ601" s="216"/>
      <c r="AK601" s="216"/>
      <c r="AQ601" s="609"/>
    </row>
    <row r="602" spans="2:43" s="322" customFormat="1" ht="18">
      <c r="B602" s="70"/>
      <c r="C602" s="637"/>
      <c r="D602" s="739"/>
      <c r="G602" s="739"/>
      <c r="N602" s="739"/>
      <c r="O602" s="739"/>
      <c r="U602" s="739"/>
      <c r="Z602" s="1068"/>
      <c r="AB602" s="739"/>
      <c r="AF602" s="739"/>
      <c r="AI602" s="348"/>
      <c r="AJ602" s="216"/>
      <c r="AK602" s="216"/>
      <c r="AQ602" s="609"/>
    </row>
    <row r="603" spans="2:43" s="322" customFormat="1" ht="18">
      <c r="B603" s="70"/>
      <c r="C603" s="637"/>
      <c r="D603" s="739"/>
      <c r="G603" s="739"/>
      <c r="N603" s="739"/>
      <c r="O603" s="739"/>
      <c r="U603" s="739"/>
      <c r="Z603" s="1068"/>
      <c r="AB603" s="739"/>
      <c r="AF603" s="739"/>
      <c r="AI603" s="348"/>
      <c r="AJ603" s="216"/>
      <c r="AK603" s="216"/>
      <c r="AQ603" s="609"/>
    </row>
    <row r="604" spans="2:43" s="322" customFormat="1" ht="18">
      <c r="B604" s="70"/>
      <c r="C604" s="637"/>
      <c r="D604" s="739"/>
      <c r="G604" s="739"/>
      <c r="N604" s="739"/>
      <c r="O604" s="739"/>
      <c r="U604" s="739"/>
      <c r="Z604" s="1068"/>
      <c r="AB604" s="739"/>
      <c r="AF604" s="739"/>
      <c r="AI604" s="348"/>
      <c r="AJ604" s="216"/>
      <c r="AK604" s="216"/>
      <c r="AQ604" s="609"/>
    </row>
    <row r="605" spans="2:43" s="322" customFormat="1" ht="18">
      <c r="B605" s="70"/>
      <c r="C605" s="637"/>
      <c r="D605" s="739"/>
      <c r="G605" s="739"/>
      <c r="N605" s="739"/>
      <c r="O605" s="739"/>
      <c r="U605" s="739"/>
      <c r="Z605" s="1068"/>
      <c r="AB605" s="739"/>
      <c r="AF605" s="739"/>
      <c r="AI605" s="348"/>
      <c r="AJ605" s="216"/>
      <c r="AK605" s="216"/>
      <c r="AQ605" s="609"/>
    </row>
    <row r="606" spans="2:43" s="322" customFormat="1" ht="18">
      <c r="B606" s="70"/>
      <c r="C606" s="637"/>
      <c r="D606" s="739"/>
      <c r="G606" s="739"/>
      <c r="N606" s="739"/>
      <c r="O606" s="739"/>
      <c r="U606" s="739"/>
      <c r="Z606" s="1068"/>
      <c r="AB606" s="739"/>
      <c r="AF606" s="739"/>
      <c r="AI606" s="348"/>
      <c r="AJ606" s="216"/>
      <c r="AK606" s="216"/>
      <c r="AQ606" s="609"/>
    </row>
    <row r="607" spans="2:43" s="322" customFormat="1" ht="18">
      <c r="B607" s="70"/>
      <c r="C607" s="637"/>
      <c r="D607" s="739"/>
      <c r="G607" s="739"/>
      <c r="N607" s="739"/>
      <c r="O607" s="739"/>
      <c r="U607" s="739"/>
      <c r="Z607" s="1068"/>
      <c r="AB607" s="739"/>
      <c r="AF607" s="739"/>
      <c r="AI607" s="348"/>
      <c r="AJ607" s="216"/>
      <c r="AK607" s="216"/>
      <c r="AQ607" s="609"/>
    </row>
    <row r="608" spans="2:43" s="322" customFormat="1" ht="18">
      <c r="B608" s="70"/>
      <c r="C608" s="637"/>
      <c r="D608" s="739"/>
      <c r="G608" s="739"/>
      <c r="N608" s="739"/>
      <c r="O608" s="739"/>
      <c r="U608" s="739"/>
      <c r="Z608" s="1068"/>
      <c r="AB608" s="739"/>
      <c r="AF608" s="739"/>
      <c r="AI608" s="348"/>
      <c r="AJ608" s="216"/>
      <c r="AK608" s="216"/>
      <c r="AQ608" s="609"/>
    </row>
    <row r="609" spans="2:43" s="322" customFormat="1" ht="18">
      <c r="B609" s="70"/>
      <c r="C609" s="637"/>
      <c r="D609" s="739"/>
      <c r="G609" s="739"/>
      <c r="N609" s="739"/>
      <c r="O609" s="739"/>
      <c r="U609" s="739"/>
      <c r="Z609" s="1068"/>
      <c r="AB609" s="739"/>
      <c r="AF609" s="739"/>
      <c r="AI609" s="348"/>
      <c r="AJ609" s="216"/>
      <c r="AK609" s="216"/>
      <c r="AQ609" s="609"/>
    </row>
    <row r="610" spans="2:43" s="322" customFormat="1" ht="18">
      <c r="B610" s="70"/>
      <c r="C610" s="637"/>
      <c r="D610" s="739"/>
      <c r="G610" s="739"/>
      <c r="N610" s="739"/>
      <c r="O610" s="739"/>
      <c r="U610" s="739"/>
      <c r="Z610" s="1068"/>
      <c r="AB610" s="739"/>
      <c r="AF610" s="739"/>
      <c r="AI610" s="348"/>
      <c r="AJ610" s="216"/>
      <c r="AK610" s="216"/>
      <c r="AQ610" s="609"/>
    </row>
    <row r="611" spans="2:43" s="322" customFormat="1" ht="18">
      <c r="B611" s="70"/>
      <c r="C611" s="637"/>
      <c r="D611" s="739"/>
      <c r="G611" s="739"/>
      <c r="N611" s="739"/>
      <c r="O611" s="739"/>
      <c r="U611" s="739"/>
      <c r="Z611" s="1068"/>
      <c r="AB611" s="739"/>
      <c r="AF611" s="739"/>
      <c r="AI611" s="348"/>
      <c r="AJ611" s="216"/>
      <c r="AK611" s="216"/>
      <c r="AQ611" s="609"/>
    </row>
    <row r="612" spans="2:43" s="322" customFormat="1" ht="18">
      <c r="B612" s="70"/>
      <c r="C612" s="637"/>
      <c r="D612" s="739"/>
      <c r="G612" s="739"/>
      <c r="N612" s="739"/>
      <c r="O612" s="739"/>
      <c r="U612" s="739"/>
      <c r="Z612" s="1068"/>
      <c r="AB612" s="739"/>
      <c r="AF612" s="739"/>
      <c r="AI612" s="348"/>
      <c r="AJ612" s="216"/>
      <c r="AK612" s="216"/>
      <c r="AQ612" s="609"/>
    </row>
    <row r="613" spans="2:43" s="322" customFormat="1" ht="18">
      <c r="B613" s="70"/>
      <c r="C613" s="637"/>
      <c r="D613" s="739"/>
      <c r="G613" s="739"/>
      <c r="N613" s="739"/>
      <c r="O613" s="739"/>
      <c r="U613" s="739"/>
      <c r="Z613" s="1068"/>
      <c r="AB613" s="739"/>
      <c r="AF613" s="739"/>
      <c r="AI613" s="348"/>
      <c r="AJ613" s="216"/>
      <c r="AK613" s="216"/>
      <c r="AQ613" s="609"/>
    </row>
    <row r="614" spans="2:43" s="322" customFormat="1" ht="18">
      <c r="B614" s="70"/>
      <c r="C614" s="637"/>
      <c r="D614" s="739"/>
      <c r="G614" s="739"/>
      <c r="N614" s="739"/>
      <c r="O614" s="739"/>
      <c r="U614" s="739"/>
      <c r="Z614" s="1068"/>
      <c r="AB614" s="739"/>
      <c r="AF614" s="739"/>
      <c r="AI614" s="348"/>
      <c r="AJ614" s="216"/>
      <c r="AK614" s="216"/>
      <c r="AQ614" s="609"/>
    </row>
    <row r="615" spans="2:43" s="322" customFormat="1" ht="18">
      <c r="B615" s="70"/>
      <c r="C615" s="637"/>
      <c r="D615" s="739"/>
      <c r="G615" s="739"/>
      <c r="N615" s="739"/>
      <c r="O615" s="739"/>
      <c r="U615" s="739"/>
      <c r="Z615" s="1068"/>
      <c r="AB615" s="739"/>
      <c r="AF615" s="739"/>
      <c r="AI615" s="348"/>
      <c r="AJ615" s="216"/>
      <c r="AK615" s="216"/>
      <c r="AQ615" s="609"/>
    </row>
    <row r="616" spans="2:43" s="322" customFormat="1" ht="18">
      <c r="B616" s="70"/>
      <c r="C616" s="637"/>
      <c r="D616" s="739"/>
      <c r="G616" s="739"/>
      <c r="N616" s="739"/>
      <c r="O616" s="739"/>
      <c r="U616" s="739"/>
      <c r="Z616" s="1068"/>
      <c r="AB616" s="739"/>
      <c r="AF616" s="739"/>
      <c r="AI616" s="348"/>
      <c r="AJ616" s="216"/>
      <c r="AK616" s="216"/>
      <c r="AQ616" s="609"/>
    </row>
    <row r="620" spans="2:43" s="215" customFormat="1">
      <c r="B620" s="70"/>
      <c r="C620" s="637"/>
      <c r="D620" s="742"/>
      <c r="E620" s="303"/>
      <c r="F620" s="303"/>
      <c r="G620" s="742"/>
      <c r="H620" s="303"/>
      <c r="I620" s="303"/>
      <c r="J620" s="303"/>
      <c r="K620" s="303"/>
      <c r="L620" s="303"/>
      <c r="M620" s="303"/>
      <c r="N620" s="742"/>
      <c r="O620" s="742"/>
      <c r="P620" s="303"/>
      <c r="Q620" s="303"/>
      <c r="R620" s="303"/>
      <c r="S620" s="303"/>
      <c r="T620" s="303"/>
      <c r="U620" s="742"/>
      <c r="V620" s="303"/>
      <c r="W620" s="303"/>
      <c r="X620" s="303"/>
      <c r="Y620" s="303"/>
      <c r="Z620" s="1062"/>
      <c r="AA620" s="303"/>
      <c r="AB620" s="742"/>
      <c r="AC620" s="303"/>
      <c r="AD620" s="303"/>
      <c r="AE620" s="303"/>
      <c r="AF620" s="742"/>
      <c r="AG620" s="303"/>
      <c r="AH620" s="303"/>
      <c r="AI620" s="305"/>
      <c r="AJ620" s="302"/>
      <c r="AK620" s="302"/>
      <c r="AL620" s="214"/>
      <c r="AM620" s="214"/>
      <c r="AN620" s="214"/>
      <c r="AO620" s="214"/>
      <c r="AP620" s="214"/>
      <c r="AQ620" s="605"/>
    </row>
    <row r="622" spans="2:43" s="215" customFormat="1">
      <c r="B622" s="70"/>
      <c r="C622" s="637"/>
      <c r="D622" s="742"/>
      <c r="E622" s="303"/>
      <c r="F622" s="303"/>
      <c r="G622" s="742"/>
      <c r="H622" s="303"/>
      <c r="I622" s="303"/>
      <c r="J622" s="303"/>
      <c r="K622" s="303"/>
      <c r="L622" s="303"/>
      <c r="M622" s="303"/>
      <c r="N622" s="742"/>
      <c r="O622" s="742"/>
      <c r="P622" s="303"/>
      <c r="Q622" s="303"/>
      <c r="R622" s="303"/>
      <c r="S622" s="303"/>
      <c r="T622" s="303"/>
      <c r="U622" s="742"/>
      <c r="V622" s="303"/>
      <c r="W622" s="303"/>
      <c r="X622" s="303"/>
      <c r="Y622" s="303"/>
      <c r="Z622" s="1062"/>
      <c r="AA622" s="303"/>
      <c r="AB622" s="742"/>
      <c r="AC622" s="303"/>
      <c r="AD622" s="303"/>
      <c r="AE622" s="303"/>
      <c r="AF622" s="742"/>
      <c r="AG622" s="303"/>
      <c r="AH622" s="303"/>
      <c r="AI622" s="305"/>
      <c r="AJ622" s="302"/>
      <c r="AK622" s="302"/>
      <c r="AL622" s="214"/>
      <c r="AM622" s="214"/>
      <c r="AN622" s="214"/>
      <c r="AO622" s="214"/>
      <c r="AP622" s="214"/>
      <c r="AQ622" s="605"/>
    </row>
    <row r="624" spans="2:43" s="215" customFormat="1">
      <c r="B624" s="70"/>
      <c r="C624" s="637"/>
      <c r="D624" s="742"/>
      <c r="E624" s="303"/>
      <c r="F624" s="303"/>
      <c r="G624" s="742"/>
      <c r="H624" s="303"/>
      <c r="I624" s="303"/>
      <c r="J624" s="303"/>
      <c r="K624" s="303"/>
      <c r="L624" s="303"/>
      <c r="M624" s="303"/>
      <c r="N624" s="742"/>
      <c r="O624" s="742"/>
      <c r="P624" s="303"/>
      <c r="Q624" s="303"/>
      <c r="R624" s="303"/>
      <c r="S624" s="303"/>
      <c r="T624" s="303"/>
      <c r="U624" s="742"/>
      <c r="V624" s="303"/>
      <c r="W624" s="303"/>
      <c r="X624" s="303"/>
      <c r="Y624" s="303"/>
      <c r="Z624" s="1062"/>
      <c r="AA624" s="303"/>
      <c r="AB624" s="742"/>
      <c r="AC624" s="303"/>
      <c r="AD624" s="303"/>
      <c r="AE624" s="303"/>
      <c r="AF624" s="742"/>
      <c r="AG624" s="303"/>
      <c r="AH624" s="303"/>
      <c r="AI624" s="305"/>
      <c r="AJ624" s="302"/>
      <c r="AK624" s="302"/>
      <c r="AL624" s="214"/>
      <c r="AM624" s="214"/>
      <c r="AN624" s="214"/>
      <c r="AO624" s="214"/>
      <c r="AP624" s="214"/>
      <c r="AQ624" s="605"/>
    </row>
    <row r="626" spans="2:43" s="215" customFormat="1">
      <c r="B626" s="70"/>
      <c r="C626" s="637"/>
      <c r="D626" s="742"/>
      <c r="E626" s="303"/>
      <c r="F626" s="303"/>
      <c r="G626" s="742"/>
      <c r="H626" s="303"/>
      <c r="I626" s="303"/>
      <c r="J626" s="303"/>
      <c r="K626" s="303"/>
      <c r="L626" s="303"/>
      <c r="M626" s="303"/>
      <c r="N626" s="742"/>
      <c r="O626" s="742"/>
      <c r="P626" s="303"/>
      <c r="Q626" s="303"/>
      <c r="R626" s="303"/>
      <c r="S626" s="303"/>
      <c r="T626" s="303"/>
      <c r="U626" s="742"/>
      <c r="V626" s="303"/>
      <c r="W626" s="303"/>
      <c r="X626" s="303"/>
      <c r="Y626" s="303"/>
      <c r="Z626" s="1062"/>
      <c r="AA626" s="303"/>
      <c r="AB626" s="742"/>
      <c r="AC626" s="303"/>
      <c r="AD626" s="303"/>
      <c r="AE626" s="303"/>
      <c r="AF626" s="742"/>
      <c r="AG626" s="303"/>
      <c r="AH626" s="303"/>
      <c r="AI626" s="305"/>
      <c r="AJ626" s="302"/>
      <c r="AK626" s="302"/>
      <c r="AL626" s="214"/>
      <c r="AM626" s="214"/>
      <c r="AN626" s="214"/>
      <c r="AO626" s="214"/>
      <c r="AP626" s="214"/>
      <c r="AQ626" s="605"/>
    </row>
  </sheetData>
  <autoFilter ref="B1:AI626" xr:uid="{00000000-0009-0000-0000-000003000000}"/>
  <mergeCells count="15">
    <mergeCell ref="C46:C58"/>
    <mergeCell ref="C59:C71"/>
    <mergeCell ref="A4:C4"/>
    <mergeCell ref="A1:C1"/>
    <mergeCell ref="A2:C2"/>
    <mergeCell ref="A3:C3"/>
    <mergeCell ref="C7:C19"/>
    <mergeCell ref="C20:C32"/>
    <mergeCell ref="C33:C44"/>
    <mergeCell ref="AI5:AI6"/>
    <mergeCell ref="AJ5:AJ6"/>
    <mergeCell ref="AK5:AK6"/>
    <mergeCell ref="B5:B6"/>
    <mergeCell ref="A5:A6"/>
    <mergeCell ref="C5:C6"/>
  </mergeCells>
  <conditionalFormatting sqref="R450:S450">
    <cfRule type="iconSet" priority="145">
      <iconSet iconSet="3TrafficLights2">
        <cfvo type="percent" val="0"/>
        <cfvo type="percent" val="33"/>
        <cfvo type="percent" val="67"/>
      </iconSet>
    </cfRule>
  </conditionalFormatting>
  <conditionalFormatting sqref="S8">
    <cfRule type="iconSet" priority="210">
      <iconSet iconSet="3TrafficLights2">
        <cfvo type="percent" val="0"/>
        <cfvo type="percent" val="33"/>
        <cfvo type="percent" val="67"/>
      </iconSet>
    </cfRule>
  </conditionalFormatting>
  <conditionalFormatting sqref="S21">
    <cfRule type="iconSet" priority="64">
      <iconSet iconSet="3TrafficLights2">
        <cfvo type="percent" val="0"/>
        <cfvo type="percent" val="33"/>
        <cfvo type="percent" val="67"/>
      </iconSet>
    </cfRule>
  </conditionalFormatting>
  <conditionalFormatting sqref="S34">
    <cfRule type="iconSet" priority="63">
      <iconSet iconSet="3TrafficLights2">
        <cfvo type="percent" val="0"/>
        <cfvo type="percent" val="33"/>
        <cfvo type="percent" val="67"/>
      </iconSet>
    </cfRule>
  </conditionalFormatting>
  <conditionalFormatting sqref="S47">
    <cfRule type="iconSet" priority="61">
      <iconSet iconSet="3TrafficLights2">
        <cfvo type="percent" val="0"/>
        <cfvo type="percent" val="33"/>
        <cfvo type="percent" val="67"/>
      </iconSet>
    </cfRule>
  </conditionalFormatting>
  <conditionalFormatting sqref="S60">
    <cfRule type="iconSet" priority="24">
      <iconSet iconSet="3TrafficLights2">
        <cfvo type="percent" val="0"/>
        <cfvo type="percent" val="33"/>
        <cfvo type="percent" val="67"/>
      </iconSet>
    </cfRule>
  </conditionalFormatting>
  <conditionalFormatting sqref="S73">
    <cfRule type="iconSet" priority="58">
      <iconSet iconSet="3TrafficLights2">
        <cfvo type="percent" val="0"/>
        <cfvo type="percent" val="33"/>
        <cfvo type="percent" val="67"/>
      </iconSet>
    </cfRule>
  </conditionalFormatting>
  <conditionalFormatting sqref="S86">
    <cfRule type="iconSet" priority="57">
      <iconSet iconSet="3TrafficLights2">
        <cfvo type="percent" val="0"/>
        <cfvo type="percent" val="33"/>
        <cfvo type="percent" val="67"/>
      </iconSet>
    </cfRule>
  </conditionalFormatting>
  <conditionalFormatting sqref="S99">
    <cfRule type="iconSet" priority="55">
      <iconSet iconSet="3TrafficLights2">
        <cfvo type="percent" val="0"/>
        <cfvo type="percent" val="33"/>
        <cfvo type="percent" val="67"/>
      </iconSet>
    </cfRule>
  </conditionalFormatting>
  <conditionalFormatting sqref="S112">
    <cfRule type="iconSet" priority="53">
      <iconSet iconSet="3TrafficLights2">
        <cfvo type="percent" val="0"/>
        <cfvo type="percent" val="33"/>
        <cfvo type="percent" val="67"/>
      </iconSet>
    </cfRule>
  </conditionalFormatting>
  <conditionalFormatting sqref="S125">
    <cfRule type="iconSet" priority="52">
      <iconSet iconSet="3TrafficLights2">
        <cfvo type="percent" val="0"/>
        <cfvo type="percent" val="33"/>
        <cfvo type="percent" val="67"/>
      </iconSet>
    </cfRule>
  </conditionalFormatting>
  <conditionalFormatting sqref="S138">
    <cfRule type="iconSet" priority="51">
      <iconSet iconSet="3TrafficLights2">
        <cfvo type="percent" val="0"/>
        <cfvo type="percent" val="33"/>
        <cfvo type="percent" val="67"/>
      </iconSet>
    </cfRule>
    <cfRule type="iconSet" priority="20">
      <iconSet iconSet="3TrafficLights2">
        <cfvo type="percent" val="0"/>
        <cfvo type="percent" val="33"/>
        <cfvo type="percent" val="67"/>
      </iconSet>
    </cfRule>
  </conditionalFormatting>
  <conditionalFormatting sqref="S151">
    <cfRule type="iconSet" priority="50">
      <iconSet iconSet="3TrafficLights2">
        <cfvo type="percent" val="0"/>
        <cfvo type="percent" val="33"/>
        <cfvo type="percent" val="67"/>
      </iconSet>
    </cfRule>
    <cfRule type="iconSet" priority="19">
      <iconSet iconSet="3TrafficLights2">
        <cfvo type="percent" val="0"/>
        <cfvo type="percent" val="33"/>
        <cfvo type="percent" val="67"/>
      </iconSet>
    </cfRule>
  </conditionalFormatting>
  <conditionalFormatting sqref="S164">
    <cfRule type="iconSet" priority="49">
      <iconSet iconSet="3TrafficLights2">
        <cfvo type="percent" val="0"/>
        <cfvo type="percent" val="33"/>
        <cfvo type="percent" val="67"/>
      </iconSet>
    </cfRule>
    <cfRule type="iconSet" priority="18">
      <iconSet iconSet="3TrafficLights2">
        <cfvo type="percent" val="0"/>
        <cfvo type="percent" val="33"/>
        <cfvo type="percent" val="67"/>
      </iconSet>
    </cfRule>
  </conditionalFormatting>
  <conditionalFormatting sqref="S177">
    <cfRule type="iconSet" priority="17">
      <iconSet iconSet="3TrafficLights2">
        <cfvo type="percent" val="0"/>
        <cfvo type="percent" val="33"/>
        <cfvo type="percent" val="67"/>
      </iconSet>
    </cfRule>
    <cfRule type="iconSet" priority="48">
      <iconSet iconSet="3TrafficLights2">
        <cfvo type="percent" val="0"/>
        <cfvo type="percent" val="33"/>
        <cfvo type="percent" val="67"/>
      </iconSet>
    </cfRule>
  </conditionalFormatting>
  <conditionalFormatting sqref="S190">
    <cfRule type="iconSet" priority="16">
      <iconSet iconSet="3TrafficLights2">
        <cfvo type="percent" val="0"/>
        <cfvo type="percent" val="33"/>
        <cfvo type="percent" val="67"/>
      </iconSet>
    </cfRule>
    <cfRule type="iconSet" priority="46">
      <iconSet iconSet="3TrafficLights2">
        <cfvo type="percent" val="0"/>
        <cfvo type="percent" val="33"/>
        <cfvo type="percent" val="67"/>
      </iconSet>
    </cfRule>
  </conditionalFormatting>
  <conditionalFormatting sqref="S203">
    <cfRule type="iconSet" priority="15">
      <iconSet iconSet="3TrafficLights2">
        <cfvo type="percent" val="0"/>
        <cfvo type="percent" val="33"/>
        <cfvo type="percent" val="67"/>
      </iconSet>
    </cfRule>
    <cfRule type="iconSet" priority="45">
      <iconSet iconSet="3TrafficLights2">
        <cfvo type="percent" val="0"/>
        <cfvo type="percent" val="33"/>
        <cfvo type="percent" val="67"/>
      </iconSet>
    </cfRule>
  </conditionalFormatting>
  <conditionalFormatting sqref="S216">
    <cfRule type="iconSet" priority="14">
      <iconSet iconSet="3TrafficLights2">
        <cfvo type="percent" val="0"/>
        <cfvo type="percent" val="33"/>
        <cfvo type="percent" val="67"/>
      </iconSet>
    </cfRule>
    <cfRule type="iconSet" priority="44">
      <iconSet iconSet="3TrafficLights2">
        <cfvo type="percent" val="0"/>
        <cfvo type="percent" val="33"/>
        <cfvo type="percent" val="67"/>
      </iconSet>
    </cfRule>
  </conditionalFormatting>
  <conditionalFormatting sqref="S229">
    <cfRule type="iconSet" priority="13">
      <iconSet iconSet="3TrafficLights2">
        <cfvo type="percent" val="0"/>
        <cfvo type="percent" val="33"/>
        <cfvo type="percent" val="67"/>
      </iconSet>
    </cfRule>
    <cfRule type="iconSet" priority="43">
      <iconSet iconSet="3TrafficLights2">
        <cfvo type="percent" val="0"/>
        <cfvo type="percent" val="33"/>
        <cfvo type="percent" val="67"/>
      </iconSet>
    </cfRule>
  </conditionalFormatting>
  <conditionalFormatting sqref="S242">
    <cfRule type="iconSet" priority="23">
      <iconSet iconSet="3TrafficLights2">
        <cfvo type="percent" val="0"/>
        <cfvo type="percent" val="33"/>
        <cfvo type="percent" val="67"/>
      </iconSet>
    </cfRule>
    <cfRule type="iconSet" priority="42">
      <iconSet iconSet="3TrafficLights2">
        <cfvo type="percent" val="0"/>
        <cfvo type="percent" val="33"/>
        <cfvo type="percent" val="67"/>
      </iconSet>
    </cfRule>
  </conditionalFormatting>
  <conditionalFormatting sqref="S255">
    <cfRule type="iconSet" priority="65">
      <iconSet iconSet="3TrafficLights2">
        <cfvo type="percent" val="0"/>
        <cfvo type="percent" val="33"/>
        <cfvo type="percent" val="67"/>
      </iconSet>
    </cfRule>
    <cfRule type="iconSet" priority="22">
      <iconSet iconSet="3TrafficLights2">
        <cfvo type="percent" val="0"/>
        <cfvo type="percent" val="33"/>
        <cfvo type="percent" val="67"/>
      </iconSet>
    </cfRule>
  </conditionalFormatting>
  <conditionalFormatting sqref="S268">
    <cfRule type="iconSet" priority="21">
      <iconSet iconSet="3TrafficLights2">
        <cfvo type="percent" val="0"/>
        <cfvo type="percent" val="33"/>
        <cfvo type="percent" val="67"/>
      </iconSet>
    </cfRule>
    <cfRule type="iconSet" priority="60">
      <iconSet iconSet="3TrafficLights2">
        <cfvo type="percent" val="0"/>
        <cfvo type="percent" val="33"/>
        <cfvo type="percent" val="67"/>
      </iconSet>
    </cfRule>
  </conditionalFormatting>
  <conditionalFormatting sqref="S281">
    <cfRule type="iconSet" priority="12">
      <iconSet iconSet="3TrafficLights2">
        <cfvo type="percent" val="0"/>
        <cfvo type="percent" val="33"/>
        <cfvo type="percent" val="67"/>
      </iconSet>
    </cfRule>
    <cfRule type="iconSet" priority="54">
      <iconSet iconSet="3TrafficLights2">
        <cfvo type="percent" val="0"/>
        <cfvo type="percent" val="33"/>
        <cfvo type="percent" val="67"/>
      </iconSet>
    </cfRule>
  </conditionalFormatting>
  <conditionalFormatting sqref="S294">
    <cfRule type="iconSet" priority="11">
      <iconSet iconSet="3TrafficLights2">
        <cfvo type="percent" val="0"/>
        <cfvo type="percent" val="33"/>
        <cfvo type="percent" val="67"/>
      </iconSet>
    </cfRule>
    <cfRule type="iconSet" priority="40">
      <iconSet iconSet="3TrafficLights2">
        <cfvo type="percent" val="0"/>
        <cfvo type="percent" val="33"/>
        <cfvo type="percent" val="67"/>
      </iconSet>
    </cfRule>
  </conditionalFormatting>
  <conditionalFormatting sqref="S307">
    <cfRule type="iconSet" priority="10">
      <iconSet iconSet="3TrafficLights2">
        <cfvo type="percent" val="0"/>
        <cfvo type="percent" val="33"/>
        <cfvo type="percent" val="67"/>
      </iconSet>
    </cfRule>
    <cfRule type="iconSet" priority="39">
      <iconSet iconSet="3TrafficLights2">
        <cfvo type="percent" val="0"/>
        <cfvo type="percent" val="33"/>
        <cfvo type="percent" val="67"/>
      </iconSet>
    </cfRule>
  </conditionalFormatting>
  <conditionalFormatting sqref="S320">
    <cfRule type="iconSet" priority="9">
      <iconSet iconSet="3TrafficLights2">
        <cfvo type="percent" val="0"/>
        <cfvo type="percent" val="33"/>
        <cfvo type="percent" val="67"/>
      </iconSet>
    </cfRule>
    <cfRule type="iconSet" priority="38">
      <iconSet iconSet="3TrafficLights2">
        <cfvo type="percent" val="0"/>
        <cfvo type="percent" val="33"/>
        <cfvo type="percent" val="67"/>
      </iconSet>
    </cfRule>
  </conditionalFormatting>
  <conditionalFormatting sqref="S333">
    <cfRule type="iconSet" priority="37">
      <iconSet iconSet="3TrafficLights2">
        <cfvo type="percent" val="0"/>
        <cfvo type="percent" val="33"/>
        <cfvo type="percent" val="67"/>
      </iconSet>
    </cfRule>
  </conditionalFormatting>
  <conditionalFormatting sqref="S372">
    <cfRule type="iconSet" priority="1">
      <iconSet iconSet="3TrafficLights2">
        <cfvo type="percent" val="0"/>
        <cfvo type="percent" val="33"/>
        <cfvo type="percent" val="67"/>
      </iconSet>
    </cfRule>
    <cfRule type="iconSet" priority="3">
      <iconSet iconSet="3TrafficLights2">
        <cfvo type="percent" val="0"/>
        <cfvo type="percent" val="33"/>
        <cfvo type="percent" val="67"/>
      </iconSet>
    </cfRule>
  </conditionalFormatting>
  <conditionalFormatting sqref="S385">
    <cfRule type="iconSet" priority="6">
      <iconSet iconSet="3TrafficLights2">
        <cfvo type="percent" val="0"/>
        <cfvo type="percent" val="33"/>
        <cfvo type="percent" val="67"/>
      </iconSet>
    </cfRule>
    <cfRule type="iconSet" priority="33">
      <iconSet iconSet="3TrafficLights2">
        <cfvo type="percent" val="0"/>
        <cfvo type="percent" val="33"/>
        <cfvo type="percent" val="67"/>
      </iconSet>
    </cfRule>
  </conditionalFormatting>
  <conditionalFormatting sqref="S398">
    <cfRule type="iconSet" priority="5">
      <iconSet iconSet="3TrafficLights2">
        <cfvo type="percent" val="0"/>
        <cfvo type="percent" val="33"/>
        <cfvo type="percent" val="67"/>
      </iconSet>
    </cfRule>
    <cfRule type="iconSet" priority="32">
      <iconSet iconSet="3TrafficLights2">
        <cfvo type="percent" val="0"/>
        <cfvo type="percent" val="33"/>
        <cfvo type="percent" val="67"/>
      </iconSet>
    </cfRule>
  </conditionalFormatting>
  <conditionalFormatting sqref="S411">
    <cfRule type="iconSet" priority="31">
      <iconSet iconSet="3TrafficLights2">
        <cfvo type="percent" val="0"/>
        <cfvo type="percent" val="33"/>
        <cfvo type="percent" val="67"/>
      </iconSet>
    </cfRule>
  </conditionalFormatting>
  <conditionalFormatting sqref="S424">
    <cfRule type="iconSet" priority="30">
      <iconSet iconSet="3TrafficLights2">
        <cfvo type="percent" val="0"/>
        <cfvo type="percent" val="33"/>
        <cfvo type="percent" val="67"/>
      </iconSet>
    </cfRule>
  </conditionalFormatting>
  <conditionalFormatting sqref="S437">
    <cfRule type="iconSet" priority="29">
      <iconSet iconSet="3TrafficLights2">
        <cfvo type="percent" val="0"/>
        <cfvo type="percent" val="33"/>
        <cfvo type="percent" val="67"/>
      </iconSet>
    </cfRule>
  </conditionalFormatting>
  <conditionalFormatting sqref="S463">
    <cfRule type="iconSet" priority="28">
      <iconSet iconSet="3TrafficLights2">
        <cfvo type="percent" val="0"/>
        <cfvo type="percent" val="33"/>
        <cfvo type="percent" val="67"/>
      </iconSet>
    </cfRule>
  </conditionalFormatting>
  <conditionalFormatting sqref="S476">
    <cfRule type="iconSet" priority="27">
      <iconSet iconSet="3TrafficLights2">
        <cfvo type="percent" val="0"/>
        <cfvo type="percent" val="33"/>
        <cfvo type="percent" val="67"/>
      </iconSet>
    </cfRule>
  </conditionalFormatting>
  <conditionalFormatting sqref="S489">
    <cfRule type="iconSet" priority="26">
      <iconSet iconSet="3TrafficLights2">
        <cfvo type="percent" val="0"/>
        <cfvo type="percent" val="33"/>
        <cfvo type="percent" val="67"/>
      </iconSet>
    </cfRule>
  </conditionalFormatting>
  <conditionalFormatting sqref="S502">
    <cfRule type="iconSet" priority="25">
      <iconSet iconSet="3TrafficLights2">
        <cfvo type="percent" val="0"/>
        <cfvo type="percent" val="33"/>
        <cfvo type="percent" val="67"/>
      </iconSet>
    </cfRule>
  </conditionalFormatting>
  <printOptions horizontalCentered="1"/>
  <pageMargins left="0" right="0" top="0" bottom="0" header="0.11811023622047245" footer="0"/>
  <pageSetup paperSize="9" scale="33" orientation="landscape" horizontalDpi="4294967293" r:id="rId1"/>
  <rowBreaks count="9" manualBreakCount="9">
    <brk id="71" max="36" man="1"/>
    <brk id="123" max="36" man="1"/>
    <brk id="188" max="36" man="1"/>
    <brk id="253" max="36" man="1"/>
    <brk id="318" max="36" man="1"/>
    <brk id="383" max="36" man="1"/>
    <brk id="448" max="36" man="1"/>
    <brk id="513" max="36" man="1"/>
    <brk id="523" max="3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75"/>
  <sheetViews>
    <sheetView zoomScale="50" zoomScaleNormal="50" zoomScaleSheetLayoutView="4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P61" sqref="AP61"/>
    </sheetView>
  </sheetViews>
  <sheetFormatPr defaultColWidth="9" defaultRowHeight="20.25"/>
  <cols>
    <col min="1" max="1" width="6.42578125" style="143" customWidth="1"/>
    <col min="2" max="2" width="41.28515625" style="66" customWidth="1"/>
    <col min="3" max="3" width="8.140625" style="287" customWidth="1"/>
    <col min="4" max="4" width="7.85546875" style="66" customWidth="1"/>
    <col min="5" max="5" width="8.42578125" style="66" customWidth="1"/>
    <col min="6" max="6" width="8.42578125" style="287" customWidth="1"/>
    <col min="7" max="10" width="8.42578125" style="66" customWidth="1"/>
    <col min="11" max="12" width="8.140625" style="66" customWidth="1"/>
    <col min="13" max="13" width="7.5703125" style="287" customWidth="1"/>
    <col min="14" max="14" width="7.85546875" style="287" customWidth="1"/>
    <col min="15" max="15" width="7.85546875" style="66" customWidth="1"/>
    <col min="16" max="16" width="7.5703125" style="66" customWidth="1"/>
    <col min="17" max="18" width="7.85546875" style="66" customWidth="1"/>
    <col min="19" max="19" width="8.140625" style="66" customWidth="1"/>
    <col min="20" max="20" width="7.85546875" style="287" customWidth="1"/>
    <col min="21" max="26" width="7.85546875" style="66" customWidth="1"/>
    <col min="27" max="27" width="7.85546875" style="287" customWidth="1"/>
    <col min="28" max="28" width="7.5703125" style="66" customWidth="1"/>
    <col min="29" max="30" width="7.85546875" style="66" customWidth="1"/>
    <col min="31" max="31" width="7.85546875" style="287" customWidth="1"/>
    <col min="32" max="32" width="7.85546875" style="66" customWidth="1"/>
    <col min="33" max="33" width="7.5703125" style="66" customWidth="1"/>
    <col min="34" max="34" width="12.42578125" style="66" customWidth="1"/>
    <col min="35" max="37" width="8.7109375" style="66" customWidth="1"/>
    <col min="38" max="38" width="10.140625" style="66" customWidth="1"/>
    <col min="39" max="41" width="8.7109375" style="66" customWidth="1"/>
    <col min="42" max="42" width="13.5703125" style="66" customWidth="1"/>
    <col min="43" max="43" width="9.85546875" style="66" customWidth="1"/>
    <col min="44" max="44" width="8.7109375" style="66" customWidth="1"/>
    <col min="45" max="45" width="10.140625" style="66" customWidth="1"/>
    <col min="46" max="46" width="12.28515625" style="66" bestFit="1" customWidth="1"/>
    <col min="47" max="47" width="13" style="66" bestFit="1" customWidth="1"/>
    <col min="48" max="48" width="9.140625" style="66" bestFit="1" customWidth="1"/>
    <col min="49" max="49" width="32.7109375" style="66" customWidth="1"/>
    <col min="50" max="50" width="25.5703125" style="66" customWidth="1"/>
    <col min="51" max="54" width="19.5703125" style="143" customWidth="1"/>
    <col min="55" max="16384" width="9" style="143"/>
  </cols>
  <sheetData>
    <row r="1" spans="1:50" s="66" customFormat="1" ht="24.75" customHeight="1">
      <c r="A1" s="1896" t="s">
        <v>232</v>
      </c>
      <c r="B1" s="1896"/>
      <c r="C1" s="287"/>
      <c r="F1" s="287"/>
      <c r="M1" s="287"/>
      <c r="N1" s="287"/>
      <c r="T1" s="287"/>
      <c r="AA1" s="287"/>
      <c r="AE1" s="287"/>
    </row>
    <row r="2" spans="1:50" s="66" customFormat="1" ht="36.75" customHeight="1">
      <c r="A2" s="64" t="s">
        <v>330</v>
      </c>
      <c r="B2" s="64"/>
      <c r="C2" s="287"/>
      <c r="F2" s="287"/>
      <c r="M2" s="287"/>
      <c r="N2" s="287"/>
      <c r="T2" s="1075"/>
      <c r="AA2" s="287"/>
      <c r="AE2" s="287"/>
    </row>
    <row r="3" spans="1:50" s="66" customFormat="1" ht="21" customHeight="1" thickBot="1">
      <c r="A3" s="1886" t="s">
        <v>773</v>
      </c>
      <c r="B3" s="1886"/>
      <c r="C3" s="1886"/>
      <c r="F3" s="287"/>
      <c r="M3" s="287"/>
      <c r="N3" s="513"/>
      <c r="O3" s="133"/>
      <c r="P3" s="133"/>
      <c r="Q3" s="133"/>
      <c r="R3" s="133"/>
      <c r="S3" s="133"/>
      <c r="T3" s="513"/>
      <c r="U3" s="133"/>
      <c r="V3" s="133"/>
      <c r="W3" s="133"/>
      <c r="X3" s="133"/>
      <c r="Y3" s="133"/>
      <c r="Z3" s="133"/>
      <c r="AA3" s="513"/>
      <c r="AB3" s="133"/>
      <c r="AD3" s="133"/>
      <c r="AE3" s="287"/>
    </row>
    <row r="4" spans="1:50" s="66" customFormat="1" ht="21" thickTop="1">
      <c r="A4" s="1897" t="s">
        <v>158</v>
      </c>
      <c r="B4" s="1900" t="s">
        <v>22</v>
      </c>
      <c r="C4" s="1900" t="s">
        <v>234</v>
      </c>
      <c r="D4" s="1900"/>
      <c r="E4" s="1900"/>
      <c r="F4" s="1900"/>
      <c r="G4" s="1900"/>
      <c r="H4" s="1900"/>
      <c r="I4" s="1900"/>
      <c r="J4" s="1900"/>
      <c r="K4" s="1900"/>
      <c r="L4" s="1900"/>
      <c r="M4" s="1900"/>
      <c r="N4" s="1900"/>
      <c r="O4" s="1900"/>
      <c r="P4" s="1900"/>
      <c r="Q4" s="1900"/>
      <c r="R4" s="1900"/>
      <c r="S4" s="1900"/>
      <c r="T4" s="1900"/>
      <c r="U4" s="1900"/>
      <c r="V4" s="1900"/>
      <c r="W4" s="1900"/>
      <c r="X4" s="1900"/>
      <c r="Y4" s="1900"/>
      <c r="Z4" s="1900"/>
      <c r="AA4" s="1900"/>
      <c r="AB4" s="1900"/>
      <c r="AC4" s="1900"/>
      <c r="AD4" s="1900"/>
      <c r="AE4" s="1900"/>
      <c r="AF4" s="1900"/>
      <c r="AG4" s="1903"/>
      <c r="AH4" s="1914" t="s">
        <v>235</v>
      </c>
      <c r="AI4" s="1905" t="s">
        <v>236</v>
      </c>
      <c r="AJ4" s="1900"/>
      <c r="AK4" s="1900"/>
      <c r="AL4" s="1900"/>
      <c r="AM4" s="1900"/>
      <c r="AN4" s="1900"/>
      <c r="AO4" s="1903"/>
      <c r="AP4" s="1907" t="s">
        <v>4</v>
      </c>
      <c r="AQ4" s="1905" t="s">
        <v>42</v>
      </c>
      <c r="AR4" s="1911" t="s">
        <v>43</v>
      </c>
    </row>
    <row r="5" spans="1:50" s="66" customFormat="1">
      <c r="A5" s="1898"/>
      <c r="B5" s="1901"/>
      <c r="C5" s="1901"/>
      <c r="D5" s="1901"/>
      <c r="E5" s="1901"/>
      <c r="F5" s="1901"/>
      <c r="G5" s="1901"/>
      <c r="H5" s="1901"/>
      <c r="I5" s="1901"/>
      <c r="J5" s="1901"/>
      <c r="K5" s="1901"/>
      <c r="L5" s="1901"/>
      <c r="M5" s="1901"/>
      <c r="N5" s="1901"/>
      <c r="O5" s="1901"/>
      <c r="P5" s="1901"/>
      <c r="Q5" s="1901"/>
      <c r="R5" s="1901"/>
      <c r="S5" s="1901"/>
      <c r="T5" s="1901"/>
      <c r="U5" s="1901"/>
      <c r="V5" s="1901"/>
      <c r="W5" s="1901"/>
      <c r="X5" s="1901"/>
      <c r="Y5" s="1901"/>
      <c r="Z5" s="1901"/>
      <c r="AA5" s="1901"/>
      <c r="AB5" s="1901"/>
      <c r="AC5" s="1901"/>
      <c r="AD5" s="1901"/>
      <c r="AE5" s="1901"/>
      <c r="AF5" s="1901"/>
      <c r="AG5" s="1904"/>
      <c r="AH5" s="1908"/>
      <c r="AI5" s="1906"/>
      <c r="AJ5" s="1901"/>
      <c r="AK5" s="1901"/>
      <c r="AL5" s="1901"/>
      <c r="AM5" s="1901"/>
      <c r="AN5" s="1901"/>
      <c r="AO5" s="1904"/>
      <c r="AP5" s="1908"/>
      <c r="AQ5" s="1906"/>
      <c r="AR5" s="1912"/>
    </row>
    <row r="6" spans="1:50" s="66" customFormat="1" ht="21" thickBot="1">
      <c r="A6" s="1899"/>
      <c r="B6" s="1902"/>
      <c r="C6" s="67">
        <v>1</v>
      </c>
      <c r="D6" s="1183">
        <v>2</v>
      </c>
      <c r="E6" s="1183">
        <v>3</v>
      </c>
      <c r="F6" s="67">
        <v>4</v>
      </c>
      <c r="G6" s="1183">
        <v>5</v>
      </c>
      <c r="H6" s="1183">
        <v>6</v>
      </c>
      <c r="I6" s="1183">
        <v>7</v>
      </c>
      <c r="J6" s="1183">
        <v>8</v>
      </c>
      <c r="K6" s="1183">
        <v>9</v>
      </c>
      <c r="L6" s="1183">
        <v>10</v>
      </c>
      <c r="M6" s="67">
        <v>11</v>
      </c>
      <c r="N6" s="67">
        <v>12</v>
      </c>
      <c r="O6" s="1183">
        <v>13</v>
      </c>
      <c r="P6" s="1183">
        <v>14</v>
      </c>
      <c r="Q6" s="1183">
        <v>15</v>
      </c>
      <c r="R6" s="1183">
        <v>16</v>
      </c>
      <c r="S6" s="1183">
        <v>17</v>
      </c>
      <c r="T6" s="67">
        <v>18</v>
      </c>
      <c r="U6" s="1183">
        <v>19</v>
      </c>
      <c r="V6" s="1183">
        <v>20</v>
      </c>
      <c r="W6" s="1183">
        <v>21</v>
      </c>
      <c r="X6" s="1183">
        <v>22</v>
      </c>
      <c r="Y6" s="1183">
        <v>23</v>
      </c>
      <c r="Z6" s="1183">
        <v>24</v>
      </c>
      <c r="AA6" s="67">
        <v>25</v>
      </c>
      <c r="AB6" s="1183">
        <v>26</v>
      </c>
      <c r="AC6" s="1183">
        <v>27</v>
      </c>
      <c r="AD6" s="1183">
        <v>28</v>
      </c>
      <c r="AE6" s="67">
        <v>29</v>
      </c>
      <c r="AF6" s="1183">
        <v>30</v>
      </c>
      <c r="AG6" s="169">
        <v>31</v>
      </c>
      <c r="AH6" s="1909"/>
      <c r="AI6" s="1184" t="s">
        <v>35</v>
      </c>
      <c r="AJ6" s="1183" t="s">
        <v>237</v>
      </c>
      <c r="AK6" s="1183" t="s">
        <v>12</v>
      </c>
      <c r="AL6" s="1183" t="s">
        <v>238</v>
      </c>
      <c r="AM6" s="1183" t="s">
        <v>239</v>
      </c>
      <c r="AN6" s="1183" t="s">
        <v>240</v>
      </c>
      <c r="AO6" s="169" t="s">
        <v>16</v>
      </c>
      <c r="AP6" s="1909"/>
      <c r="AQ6" s="1910"/>
      <c r="AR6" s="1913"/>
    </row>
    <row r="7" spans="1:50" ht="43.5" customHeight="1">
      <c r="A7" s="170" t="s">
        <v>63</v>
      </c>
      <c r="B7" s="171" t="s">
        <v>250</v>
      </c>
      <c r="C7" s="288" t="s">
        <v>239</v>
      </c>
      <c r="D7" s="167">
        <f>COUNTIF(ABSEN!B:B,"AFRIWANTONI ( Yusna Yetti )")</f>
        <v>1</v>
      </c>
      <c r="E7" s="167">
        <f>COUNTIF(ABSEN!C:C,"AFRIWANTONI ( Yusna Yetti )")</f>
        <v>1</v>
      </c>
      <c r="F7" s="288" t="s">
        <v>238</v>
      </c>
      <c r="G7" s="167">
        <f>COUNTIF(ABSEN!E:E,"AFRIWANTONI ( Yusna Yetti )")</f>
        <v>1</v>
      </c>
      <c r="H7" s="167">
        <f>COUNTIF(ABSEN!F:F,"AFRIWANTONI ( Yusna Yetti )")</f>
        <v>1</v>
      </c>
      <c r="I7" s="1215" t="s">
        <v>777</v>
      </c>
      <c r="J7" s="167">
        <f>COUNTIF(ABSEN!H:H,"AFRIWANTONI ( Yusna Yetti )")</f>
        <v>1</v>
      </c>
      <c r="K7" s="1215" t="s">
        <v>777</v>
      </c>
      <c r="L7" s="167">
        <f>COUNTIF(ABSEN!J:J,"AFRIWANTONI ( Yusna Yetti )")</f>
        <v>1</v>
      </c>
      <c r="M7" s="288" t="s">
        <v>238</v>
      </c>
      <c r="N7" s="288" t="s">
        <v>239</v>
      </c>
      <c r="O7" s="1215" t="s">
        <v>778</v>
      </c>
      <c r="P7" s="1215" t="s">
        <v>778</v>
      </c>
      <c r="Q7" s="1215" t="s">
        <v>778</v>
      </c>
      <c r="R7" s="1215" t="s">
        <v>778</v>
      </c>
      <c r="S7" s="167">
        <f>COUNTIF(ABSEN!Q:Q,"AFRIWANTONI ( Yusna Yetti )")</f>
        <v>1</v>
      </c>
      <c r="T7" s="288" t="s">
        <v>238</v>
      </c>
      <c r="U7" s="167">
        <f>COUNTIF(ABSEN!S:S,"AFRIWANTONI ( Yusna Yetti )")</f>
        <v>1</v>
      </c>
      <c r="V7" s="167">
        <f>COUNTIF(ABSEN!T:T,"AFRIWANTONI ( Yusna Yetti )")</f>
        <v>1</v>
      </c>
      <c r="W7" s="167">
        <f>COUNTIF(ABSEN!U:U,"AFRIWANTONI ( Yusna Yetti )")</f>
        <v>1</v>
      </c>
      <c r="X7" s="167">
        <f>COUNTIF(ABSEN!V:V,"AFRIWANTONI ( Yusna Yetti )")</f>
        <v>1</v>
      </c>
      <c r="Y7" s="167">
        <f>COUNTIF(ABSEN!W:W,"AFRIWANTONI ( Yusna Yetti )")</f>
        <v>1</v>
      </c>
      <c r="Z7" s="167">
        <f>COUNTIF(ABSEN!X:X,"AFRIWANTONI ( Yusna Yetti )")</f>
        <v>1</v>
      </c>
      <c r="AA7" s="288" t="s">
        <v>238</v>
      </c>
      <c r="AB7" s="1215" t="s">
        <v>777</v>
      </c>
      <c r="AC7" s="167">
        <f>COUNTIF(ABSEN!AA:AA,"AFRIWANTONI ( Yusna Yetti )")</f>
        <v>1</v>
      </c>
      <c r="AD7" s="167">
        <f>COUNTIF(ABSEN!AB:AB,"AFRIWANTONI ( Yusna Yetti )")</f>
        <v>1</v>
      </c>
      <c r="AE7" s="288" t="s">
        <v>239</v>
      </c>
      <c r="AF7" s="167">
        <f>COUNTIF(ABSEN!AD:AD,"AFRIWANTONI ( Yusna Yetti )")</f>
        <v>1</v>
      </c>
      <c r="AG7" s="167">
        <f>COUNTIF(ABSEN!AE:AE,"AFRIWANTONI ( Yusna Yetti )")</f>
        <v>1</v>
      </c>
      <c r="AH7" s="168">
        <f>SUM(C7:AG7)</f>
        <v>17</v>
      </c>
      <c r="AI7" s="172">
        <f>COUNTIF(C7:AG7,"CT")</f>
        <v>3</v>
      </c>
      <c r="AJ7" s="167">
        <f t="shared" ref="AJ7" si="0">COUNTIF(C7:AG7,"S")</f>
        <v>4</v>
      </c>
      <c r="AK7" s="167">
        <f t="shared" ref="AK7" si="1">COUNTIF(C7:AG7,"H1")</f>
        <v>0</v>
      </c>
      <c r="AL7" s="167">
        <f>COUNTIF(C7:AG7,"MG")</f>
        <v>4</v>
      </c>
      <c r="AM7" s="167">
        <f>COUNTIF(C7:AG7,"NAS")</f>
        <v>3</v>
      </c>
      <c r="AN7" s="167">
        <f t="shared" ref="AN7" si="2">COUNTIF(C7:AG7,"H2")</f>
        <v>0</v>
      </c>
      <c r="AO7" s="173">
        <f>COUNTIF(C7:AG7,"P1")</f>
        <v>0</v>
      </c>
      <c r="AP7" s="168">
        <f>+AH7+AI7+AJ7+AK7+AL7+AM7+AN7+AO7</f>
        <v>31</v>
      </c>
      <c r="AQ7" s="172">
        <f t="shared" ref="AQ7" si="3">COUNTIF(C7:AG7,"CTH")</f>
        <v>0</v>
      </c>
      <c r="AR7" s="174">
        <f t="shared" ref="AR7" si="4">COUNTIF(C7:AG7,"A")</f>
        <v>0</v>
      </c>
      <c r="AS7" s="141"/>
      <c r="AT7" s="142">
        <f>AP7-AS7</f>
        <v>31</v>
      </c>
      <c r="AU7" s="142"/>
      <c r="AV7" s="142"/>
      <c r="AW7" s="142"/>
    </row>
    <row r="8" spans="1:50" ht="43.5" customHeight="1">
      <c r="A8" s="134" t="s">
        <v>53</v>
      </c>
      <c r="B8" s="135" t="s">
        <v>136</v>
      </c>
      <c r="C8" s="289" t="s">
        <v>239</v>
      </c>
      <c r="D8" s="136">
        <f>COUNTIF(ABSEN!B:B,"ROZI SUSANTO ( SARMINAH )")</f>
        <v>1</v>
      </c>
      <c r="E8" s="136">
        <f>COUNTIF(ABSEN!C:C,"ROZI SUSANTO ( SARMINAH )")</f>
        <v>1</v>
      </c>
      <c r="F8" s="289" t="s">
        <v>238</v>
      </c>
      <c r="G8" s="136">
        <f>COUNTIF(ABSEN!E:E,"ROZI SUSANTO ( SARMINAH )")</f>
        <v>1</v>
      </c>
      <c r="H8" s="136">
        <f>COUNTIF(ABSEN!F:F,"ROZI SUSANTO ( SARMINAH )")</f>
        <v>1</v>
      </c>
      <c r="I8" s="136">
        <f>COUNTIF(ABSEN!G:G,"ROZI SUSANTO ( SARMINAH )")</f>
        <v>1</v>
      </c>
      <c r="J8" s="136">
        <f>COUNTIF(ABSEN!H:H,"ROZI SUSANTO ( SARMINAH )")</f>
        <v>1</v>
      </c>
      <c r="K8" s="136">
        <f>COUNTIF(ABSEN!I:I,"ROZI SUSANTO ( SARMINAH )")</f>
        <v>1</v>
      </c>
      <c r="L8" s="136">
        <f>COUNTIF(ABSEN!J:J,"ROZI SUSANTO ( SARMINAH )")</f>
        <v>1</v>
      </c>
      <c r="M8" s="289" t="s">
        <v>238</v>
      </c>
      <c r="N8" s="289" t="s">
        <v>239</v>
      </c>
      <c r="O8" s="136">
        <f>COUNTIF(ABSEN!M:M,"ROZI SUSANTO ( SARMINAH )")</f>
        <v>1</v>
      </c>
      <c r="P8" s="136">
        <f>COUNTIF(ABSEN!N:N,"ROZI SUSANTO ( SARMINAH )")</f>
        <v>1</v>
      </c>
      <c r="Q8" s="1216" t="s">
        <v>777</v>
      </c>
      <c r="R8" s="136">
        <f>COUNTIF(ABSEN!P:P,"ROZI SUSANTO ( SARMINAH )")</f>
        <v>1</v>
      </c>
      <c r="S8" s="136">
        <f>COUNTIF(ABSEN!Q:Q,"ROZI SUSANTO ( SARMINAH )")</f>
        <v>1</v>
      </c>
      <c r="T8" s="289" t="s">
        <v>238</v>
      </c>
      <c r="U8" s="136">
        <f>COUNTIF(ABSEN!S:S,"ROZI SUSANTO ( SARMINAH )")</f>
        <v>1</v>
      </c>
      <c r="V8" s="136">
        <f>COUNTIF(ABSEN!T:T,"ROZI SUSANTO ( SARMINAH )")</f>
        <v>1</v>
      </c>
      <c r="W8" s="136">
        <f>COUNTIF(ABSEN!U:U,"ROZI SUSANTO ( SARMINAH )")</f>
        <v>1</v>
      </c>
      <c r="X8" s="136">
        <f>COUNTIF(ABSEN!V:V,"ROZI SUSANTO ( SARMINAH )")</f>
        <v>1</v>
      </c>
      <c r="Y8" s="136">
        <f>COUNTIF(ABSEN!W:W,"ROZI SUSANTO ( SARMINAH )")</f>
        <v>1</v>
      </c>
      <c r="Z8" s="136">
        <f>COUNTIF(ABSEN!X:X,"ROZI SUSANTO ( SARMINAH )")</f>
        <v>1</v>
      </c>
      <c r="AA8" s="289" t="s">
        <v>238</v>
      </c>
      <c r="AB8" s="136">
        <f>COUNTIF(ABSEN!Z:Z,"ROZI SUSANTO ( SARMINAH )")</f>
        <v>1</v>
      </c>
      <c r="AC8" s="1216" t="s">
        <v>778</v>
      </c>
      <c r="AD8" s="1216" t="s">
        <v>778</v>
      </c>
      <c r="AE8" s="289" t="s">
        <v>239</v>
      </c>
      <c r="AF8" s="136">
        <f>COUNTIF(ABSEN!AD:AD,"ROZI SUSANTO ( SARMINAH )")</f>
        <v>1</v>
      </c>
      <c r="AG8" s="136">
        <f>COUNTIF(ABSEN!AE:AE,"ROZI SUSANTO ( SARMINAH )")</f>
        <v>1</v>
      </c>
      <c r="AH8" s="137">
        <f>SUM(C8:AG8)</f>
        <v>21</v>
      </c>
      <c r="AI8" s="138">
        <f t="shared" ref="AI8" si="5">COUNTIF(C8:AG8,"CT")</f>
        <v>1</v>
      </c>
      <c r="AJ8" s="136">
        <f t="shared" ref="AJ8" si="6">COUNTIF(C8:AG8,"S")</f>
        <v>2</v>
      </c>
      <c r="AK8" s="136">
        <f t="shared" ref="AK8" si="7">COUNTIF(C8:AG8,"H1")</f>
        <v>0</v>
      </c>
      <c r="AL8" s="136">
        <f t="shared" ref="AL8" si="8">COUNTIF(C8:AG8,"MG")</f>
        <v>4</v>
      </c>
      <c r="AM8" s="136">
        <f t="shared" ref="AM8" si="9">COUNTIF(C8:AG8,"NAS")</f>
        <v>3</v>
      </c>
      <c r="AN8" s="136">
        <f t="shared" ref="AN8" si="10">COUNTIF(C8:AG8,"H2")</f>
        <v>0</v>
      </c>
      <c r="AO8" s="139">
        <f t="shared" ref="AO8" si="11">COUNTIF(C8:AG8,"P1")</f>
        <v>0</v>
      </c>
      <c r="AP8" s="137">
        <f t="shared" ref="AP8:AP9" si="12">+AH8+AI8+AJ8+AK8+AL8+AM8+AN8+AO8</f>
        <v>31</v>
      </c>
      <c r="AQ8" s="138">
        <f t="shared" ref="AQ8:AQ9" si="13">COUNTIF(C8:AG8,"CTH")</f>
        <v>0</v>
      </c>
      <c r="AR8" s="140">
        <f t="shared" ref="AR8:AR9" si="14">COUNTIF(C8:AG8,"A")</f>
        <v>0</v>
      </c>
      <c r="AS8" s="141"/>
      <c r="AT8" s="142">
        <f t="shared" ref="AT8:AT19" si="15">AP8-AS8</f>
        <v>31</v>
      </c>
      <c r="AU8" s="142"/>
      <c r="AV8" s="142"/>
      <c r="AW8" s="142"/>
      <c r="AX8" s="1185"/>
    </row>
    <row r="9" spans="1:50" s="373" customFormat="1" ht="35.25" customHeight="1">
      <c r="A9" s="134" t="s">
        <v>64</v>
      </c>
      <c r="B9" s="657" t="s">
        <v>111</v>
      </c>
      <c r="C9" s="289" t="s">
        <v>239</v>
      </c>
      <c r="D9" s="2">
        <f>COUNTIF(ABSEN!B:B,"SAZELA ( MASTINA )")</f>
        <v>1</v>
      </c>
      <c r="E9" s="2">
        <f>COUNTIF(ABSEN!C:C,"SAZELA ( MASTINA )")</f>
        <v>1</v>
      </c>
      <c r="F9" s="289" t="s">
        <v>238</v>
      </c>
      <c r="G9" s="2">
        <f>COUNTIF(ABSEN!E:E,"SAZELA ( MASTINA )")</f>
        <v>1</v>
      </c>
      <c r="H9" s="2">
        <f>COUNTIF(ABSEN!F:F,"SAZELA ( MASTINA )")</f>
        <v>1</v>
      </c>
      <c r="I9" s="2">
        <f>COUNTIF(ABSEN!G:G,"SAZELA ( MASTINA )")</f>
        <v>1</v>
      </c>
      <c r="J9" s="2">
        <f>COUNTIF(ABSEN!H:H,"SAZELA ( MASTINA )")</f>
        <v>1</v>
      </c>
      <c r="K9" s="1207" t="s">
        <v>778</v>
      </c>
      <c r="L9" s="1207" t="s">
        <v>778</v>
      </c>
      <c r="M9" s="289" t="s">
        <v>238</v>
      </c>
      <c r="N9" s="289" t="s">
        <v>239</v>
      </c>
      <c r="O9" s="2">
        <f>COUNTIF(ABSEN!M:M,"SAZELA ( MASTINA )")</f>
        <v>1</v>
      </c>
      <c r="P9" s="2">
        <f>COUNTIF(ABSEN!N:N,"SAZELA ( MASTINA )")</f>
        <v>1</v>
      </c>
      <c r="Q9" s="2">
        <f>COUNTIF(ABSEN!O:O,"SAZELA ( MASTINA )")</f>
        <v>1</v>
      </c>
      <c r="R9" s="2">
        <f>COUNTIF(ABSEN!P:P,"SAZELA ( MASTINA )")</f>
        <v>1</v>
      </c>
      <c r="S9" s="2">
        <f>COUNTIF(ABSEN!Q:Q,"SAZELA ( MASTINA )")</f>
        <v>1</v>
      </c>
      <c r="T9" s="289" t="s">
        <v>238</v>
      </c>
      <c r="U9" s="1207" t="s">
        <v>779</v>
      </c>
      <c r="V9" s="1207" t="s">
        <v>779</v>
      </c>
      <c r="W9" s="2">
        <f>COUNTIF(ABSEN!U:U,"SAZELA ( MASTINA )")</f>
        <v>1</v>
      </c>
      <c r="X9" s="2">
        <f>COUNTIF(ABSEN!V:V,"SAZELA ( MASTINA )")</f>
        <v>1</v>
      </c>
      <c r="Y9" s="2">
        <f>COUNTIF(ABSEN!W:W,"SAZELA ( MASTINA )")</f>
        <v>1</v>
      </c>
      <c r="Z9" s="2">
        <f>COUNTIF(ABSEN!X:X,"SAZELA ( MASTINA )")</f>
        <v>1</v>
      </c>
      <c r="AA9" s="289" t="s">
        <v>238</v>
      </c>
      <c r="AB9" s="2">
        <f>COUNTIF(ABSEN!Z:Z,"SAZELA ( MASTINA )")</f>
        <v>1</v>
      </c>
      <c r="AC9" s="2">
        <f>COUNTIF(ABSEN!AA:AA,"SAZELA ( MASTINA )")</f>
        <v>1</v>
      </c>
      <c r="AD9" s="2">
        <f>COUNTIF(ABSEN!AB:AB,"SAZELA ( MASTINA )")</f>
        <v>1</v>
      </c>
      <c r="AE9" s="289" t="s">
        <v>239</v>
      </c>
      <c r="AF9" s="2">
        <v>1</v>
      </c>
      <c r="AG9" s="2">
        <f>COUNTIF(ABSEN!AE:AE,"SAZELA ( MASTINA )")</f>
        <v>1</v>
      </c>
      <c r="AH9" s="368">
        <f>SUM(C9:AG9)</f>
        <v>20</v>
      </c>
      <c r="AI9" s="138">
        <f t="shared" ref="AI9:AI13" si="16">COUNTIF(C9:AG9,"CT")</f>
        <v>0</v>
      </c>
      <c r="AJ9" s="136">
        <f t="shared" ref="AJ9:AJ13" si="17">COUNTIF(C9:AG9,"S")</f>
        <v>2</v>
      </c>
      <c r="AK9" s="136">
        <f t="shared" ref="AK9:AK13" si="18">COUNTIF(C9:AG9,"H1")</f>
        <v>2</v>
      </c>
      <c r="AL9" s="136">
        <f t="shared" ref="AL9:AL13" si="19">COUNTIF(C9:AG9,"MG")</f>
        <v>4</v>
      </c>
      <c r="AM9" s="136">
        <f t="shared" ref="AM9:AM13" si="20">COUNTIF(C9:AG9,"NAS")</f>
        <v>3</v>
      </c>
      <c r="AN9" s="136">
        <f t="shared" ref="AN9:AN13" si="21">COUNTIF(C9:AG9,"H2")</f>
        <v>0</v>
      </c>
      <c r="AO9" s="139">
        <f t="shared" ref="AO9:AO13" si="22">COUNTIF(C9:AG9,"P1")</f>
        <v>0</v>
      </c>
      <c r="AP9" s="168">
        <f t="shared" si="12"/>
        <v>31</v>
      </c>
      <c r="AQ9" s="172">
        <f t="shared" si="13"/>
        <v>0</v>
      </c>
      <c r="AR9" s="174">
        <f t="shared" si="14"/>
        <v>0</v>
      </c>
      <c r="AS9" s="650">
        <f>COUNTIF(C9:AG9,"CTH")</f>
        <v>0</v>
      </c>
      <c r="AT9" s="142">
        <f t="shared" si="15"/>
        <v>31</v>
      </c>
      <c r="AV9" s="375"/>
    </row>
    <row r="10" spans="1:50" ht="43.5" customHeight="1">
      <c r="A10" s="134" t="s">
        <v>65</v>
      </c>
      <c r="B10" s="144" t="s">
        <v>138</v>
      </c>
      <c r="C10" s="289" t="s">
        <v>239</v>
      </c>
      <c r="D10" s="136">
        <f>COUNTIF(ABSEN!B:B,"JUMIN")</f>
        <v>1</v>
      </c>
      <c r="E10" s="136">
        <f>COUNTIF(ABSEN!C:C,"JUMIN")</f>
        <v>1</v>
      </c>
      <c r="F10" s="289" t="s">
        <v>238</v>
      </c>
      <c r="G10" s="136">
        <f>COUNTIF(ABSEN!E:E,"JUMIN")</f>
        <v>1</v>
      </c>
      <c r="H10" s="1216" t="s">
        <v>777</v>
      </c>
      <c r="I10" s="136">
        <f>COUNTIF(ABSEN!G:G,"JUMIN")</f>
        <v>1</v>
      </c>
      <c r="J10" s="136">
        <f>COUNTIF(ABSEN!H:H,"JUMIN")</f>
        <v>1</v>
      </c>
      <c r="K10" s="136">
        <f>COUNTIF(ABSEN!I:I,"JUMIN")</f>
        <v>1</v>
      </c>
      <c r="L10" s="136">
        <f>COUNTIF(ABSEN!J:J,"JUMIN")</f>
        <v>1</v>
      </c>
      <c r="M10" s="289" t="s">
        <v>238</v>
      </c>
      <c r="N10" s="289" t="s">
        <v>239</v>
      </c>
      <c r="O10" s="136">
        <f>COUNTIF(ABSEN!M:M,"JUMIN")</f>
        <v>1</v>
      </c>
      <c r="P10" s="136">
        <f>COUNTIF(ABSEN!N:N,"JUMIN")</f>
        <v>1</v>
      </c>
      <c r="Q10" s="136">
        <f>COUNTIF(ABSEN!O:O,"JUMIN")</f>
        <v>1</v>
      </c>
      <c r="R10" s="136">
        <f>COUNTIF(ABSEN!P:P,"JUMIN")</f>
        <v>1</v>
      </c>
      <c r="S10" s="136">
        <f>COUNTIF(ABSEN!Q:Q,"JUMIN")</f>
        <v>1</v>
      </c>
      <c r="T10" s="289" t="s">
        <v>238</v>
      </c>
      <c r="U10" s="136">
        <f>COUNTIF(ABSEN!S:S,"JUMIN")</f>
        <v>1</v>
      </c>
      <c r="V10" s="136">
        <f>COUNTIF(ABSEN!T:T,"JUMIN")</f>
        <v>1</v>
      </c>
      <c r="W10" s="136">
        <f>COUNTIF(ABSEN!U:U,"JUMIN")</f>
        <v>1</v>
      </c>
      <c r="X10" s="136">
        <f>COUNTIF(ABSEN!V:V,"JUMIN")</f>
        <v>1</v>
      </c>
      <c r="Y10" s="136">
        <f>COUNTIF(ABSEN!W:W,"JUMIN")</f>
        <v>1</v>
      </c>
      <c r="Z10" s="136">
        <f>COUNTIF(ABSEN!X:X,"JUMIN")</f>
        <v>1</v>
      </c>
      <c r="AA10" s="289" t="s">
        <v>238</v>
      </c>
      <c r="AB10" s="136">
        <f>COUNTIF(ABSEN!Z:Z,"JUMIN")</f>
        <v>1</v>
      </c>
      <c r="AC10" s="136">
        <f>COUNTIF(ABSEN!AA:AA,"JUMIN")</f>
        <v>1</v>
      </c>
      <c r="AD10" s="136">
        <f>COUNTIF(ABSEN!AB:AB,"JUMIN")</f>
        <v>1</v>
      </c>
      <c r="AE10" s="289" t="s">
        <v>239</v>
      </c>
      <c r="AF10" s="136">
        <f>COUNTIF(ABSEN!AD:AD,"JUMIN")</f>
        <v>1</v>
      </c>
      <c r="AG10" s="136">
        <f>COUNTIF(ABSEN!AE:AE,"JUMIN")</f>
        <v>1</v>
      </c>
      <c r="AH10" s="137">
        <f t="shared" ref="AH10:AH13" si="23">SUM(C10:AG10)</f>
        <v>23</v>
      </c>
      <c r="AI10" s="138">
        <f>COUNTIF(C10:AG10,"CT")</f>
        <v>1</v>
      </c>
      <c r="AJ10" s="136">
        <f t="shared" si="17"/>
        <v>0</v>
      </c>
      <c r="AK10" s="136">
        <f t="shared" si="18"/>
        <v>0</v>
      </c>
      <c r="AL10" s="136">
        <f t="shared" si="19"/>
        <v>4</v>
      </c>
      <c r="AM10" s="136">
        <f t="shared" si="20"/>
        <v>3</v>
      </c>
      <c r="AN10" s="136">
        <f t="shared" si="21"/>
        <v>0</v>
      </c>
      <c r="AO10" s="139">
        <f t="shared" si="22"/>
        <v>0</v>
      </c>
      <c r="AP10" s="137">
        <f t="shared" ref="AP10:AP12" si="24">+AH10+AI10+AJ10+AK10+AL10+AM10+AN10+AO10</f>
        <v>31</v>
      </c>
      <c r="AQ10" s="138">
        <f t="shared" ref="AQ10:AQ12" si="25">COUNTIF(C10:AG10,"CTH")</f>
        <v>0</v>
      </c>
      <c r="AR10" s="140">
        <f t="shared" ref="AR10:AR12" si="26">COUNTIF(C10:AG10,"A")</f>
        <v>0</v>
      </c>
      <c r="AS10" s="141"/>
      <c r="AT10" s="142">
        <f t="shared" si="15"/>
        <v>31</v>
      </c>
      <c r="AU10" s="142"/>
      <c r="AV10" s="142"/>
      <c r="AW10" s="142"/>
      <c r="AX10" s="1185"/>
    </row>
    <row r="11" spans="1:50" ht="43.5" customHeight="1">
      <c r="A11" s="134" t="s">
        <v>66</v>
      </c>
      <c r="B11" s="144" t="s">
        <v>141</v>
      </c>
      <c r="C11" s="289" t="s">
        <v>239</v>
      </c>
      <c r="D11" s="136">
        <f>COUNTIF(ABSEN!B:B,"HENDRI SUSILO ( PARTINI )")</f>
        <v>1</v>
      </c>
      <c r="E11" s="136">
        <f>COUNTIF(ABSEN!C:C,"HENDRI SUSILO ( PARTINI )")</f>
        <v>1</v>
      </c>
      <c r="F11" s="289" t="s">
        <v>238</v>
      </c>
      <c r="G11" s="136">
        <f>COUNTIF(ABSEN!E:E,"HENDRI SUSILO ( PARTINI )")</f>
        <v>1</v>
      </c>
      <c r="H11" s="136">
        <f>COUNTIF(ABSEN!F:F,"HENDRI SUSILO ( PARTINI )")</f>
        <v>1</v>
      </c>
      <c r="I11" s="136">
        <f>COUNTIF(ABSEN!G:G,"HENDRI SUSILO ( PARTINI )")</f>
        <v>1</v>
      </c>
      <c r="J11" s="136">
        <f>COUNTIF(ABSEN!H:H,"HENDRI SUSILO ( PARTINI )")</f>
        <v>1</v>
      </c>
      <c r="K11" s="136">
        <f>COUNTIF(ABSEN!I:I,"HENDRI SUSILO ( PARTINI )")</f>
        <v>1</v>
      </c>
      <c r="L11" s="136">
        <f>COUNTIF(ABSEN!J:J,"HENDRI SUSILO ( PARTINI )")</f>
        <v>1</v>
      </c>
      <c r="M11" s="289" t="s">
        <v>238</v>
      </c>
      <c r="N11" s="289" t="s">
        <v>239</v>
      </c>
      <c r="O11" s="136">
        <f>COUNTIF(ABSEN!M:M,"HENDRI SUSILO ( PARTINI )")</f>
        <v>1</v>
      </c>
      <c r="P11" s="136">
        <f>COUNTIF(ABSEN!N:N,"HENDRI SUSILO ( PARTINI )")</f>
        <v>1</v>
      </c>
      <c r="Q11" s="136">
        <f>COUNTIF(ABSEN!O:O,"HENDRI SUSILO ( PARTINI )")</f>
        <v>1</v>
      </c>
      <c r="R11" s="136">
        <f>COUNTIF(ABSEN!P:P,"HENDRI SUSILO ( PARTINI )")</f>
        <v>1</v>
      </c>
      <c r="S11" s="136">
        <f>COUNTIF(ABSEN!Q:Q,"HENDRI SUSILO ( PARTINI )")</f>
        <v>1</v>
      </c>
      <c r="T11" s="289" t="s">
        <v>238</v>
      </c>
      <c r="U11" s="136">
        <f>COUNTIF(ABSEN!S:S,"HENDRI SUSILO ( PARTINI )")</f>
        <v>1</v>
      </c>
      <c r="V11" s="136">
        <f>COUNTIF(ABSEN!T:T,"HENDRI SUSILO ( PARTINI )")</f>
        <v>1</v>
      </c>
      <c r="W11" s="136">
        <f>COUNTIF(ABSEN!U:U,"HENDRI SUSILO ( PARTINI )")</f>
        <v>1</v>
      </c>
      <c r="X11" s="136">
        <f>COUNTIF(ABSEN!V:V,"HENDRI SUSILO ( PARTINI )")</f>
        <v>1</v>
      </c>
      <c r="Y11" s="136">
        <f>COUNTIF(ABSEN!W:W,"HENDRI SUSILO ( PARTINI )")</f>
        <v>1</v>
      </c>
      <c r="Z11" s="136">
        <f>COUNTIF(ABSEN!X:X,"HENDRI SUSILO ( PARTINI )")</f>
        <v>1</v>
      </c>
      <c r="AA11" s="289" t="s">
        <v>238</v>
      </c>
      <c r="AB11" s="136">
        <f>COUNTIF(ABSEN!Z:Z,"HENDRI SUSILO ( PARTINI )")</f>
        <v>1</v>
      </c>
      <c r="AC11" s="136">
        <f>COUNTIF(ABSEN!AA:AA,"HENDRI SUSILO ( PARTINI )")</f>
        <v>1</v>
      </c>
      <c r="AD11" s="136">
        <f>COUNTIF(ABSEN!AB:AB,"HENDRI SUSILO ( PARTINI )")</f>
        <v>1</v>
      </c>
      <c r="AE11" s="289" t="s">
        <v>239</v>
      </c>
      <c r="AF11" s="136">
        <f>COUNTIF(ABSEN!AD:AD,"HENDRI SUSILO ( PARTINI )")</f>
        <v>1</v>
      </c>
      <c r="AG11" s="136">
        <f>COUNTIF(ABSEN!AE:AE,"HENDRI SUSILO ( PARTINI )")</f>
        <v>1</v>
      </c>
      <c r="AH11" s="137">
        <f t="shared" si="23"/>
        <v>24</v>
      </c>
      <c r="AI11" s="138">
        <f t="shared" si="16"/>
        <v>0</v>
      </c>
      <c r="AJ11" s="136">
        <f t="shared" si="17"/>
        <v>0</v>
      </c>
      <c r="AK11" s="136">
        <f t="shared" si="18"/>
        <v>0</v>
      </c>
      <c r="AL11" s="136">
        <f t="shared" si="19"/>
        <v>4</v>
      </c>
      <c r="AM11" s="136">
        <f t="shared" si="20"/>
        <v>3</v>
      </c>
      <c r="AN11" s="136">
        <f t="shared" si="21"/>
        <v>0</v>
      </c>
      <c r="AO11" s="139">
        <f t="shared" si="22"/>
        <v>0</v>
      </c>
      <c r="AP11" s="168">
        <f t="shared" si="24"/>
        <v>31</v>
      </c>
      <c r="AQ11" s="172">
        <f t="shared" si="25"/>
        <v>0</v>
      </c>
      <c r="AR11" s="174">
        <f t="shared" si="26"/>
        <v>0</v>
      </c>
      <c r="AS11" s="141"/>
      <c r="AT11" s="142">
        <f t="shared" si="15"/>
        <v>31</v>
      </c>
      <c r="AU11" s="142"/>
      <c r="AV11" s="142"/>
      <c r="AW11" s="142"/>
      <c r="AX11" s="1185"/>
    </row>
    <row r="12" spans="1:50" ht="43.5" customHeight="1">
      <c r="A12" s="134" t="s">
        <v>67</v>
      </c>
      <c r="B12" s="145" t="s">
        <v>347</v>
      </c>
      <c r="C12" s="289" t="s">
        <v>239</v>
      </c>
      <c r="D12" s="136">
        <f>COUNTIF(ABSEN!B:B,"HERMANSYAH ( SINARAH )")</f>
        <v>1</v>
      </c>
      <c r="E12" s="136">
        <f>COUNTIF(ABSEN!C:C,"HERMANSYAH ( SINARAH )")</f>
        <v>1</v>
      </c>
      <c r="F12" s="289" t="s">
        <v>238</v>
      </c>
      <c r="G12" s="136">
        <f>COUNTIF(ABSEN!E:E,"HERMANSYAH ( SINARAH )")</f>
        <v>1</v>
      </c>
      <c r="H12" s="136">
        <f>COUNTIF(ABSEN!F:F,"HERMANSYAH ( SINARAH )")</f>
        <v>1</v>
      </c>
      <c r="I12" s="136">
        <f>COUNTIF(ABSEN!G:G,"HERMANSYAH ( SINARAH )")</f>
        <v>1</v>
      </c>
      <c r="J12" s="136">
        <f>COUNTIF(ABSEN!H:H,"HERMANSYAH ( SINARAH )")</f>
        <v>1</v>
      </c>
      <c r="K12" s="136">
        <f>COUNTIF(ABSEN!I:I,"HERMANSYAH ( SINARAH )")</f>
        <v>1</v>
      </c>
      <c r="L12" s="136">
        <f>COUNTIF(ABSEN!J:J,"HERMANSYAH ( SINARAH )")</f>
        <v>1</v>
      </c>
      <c r="M12" s="289" t="s">
        <v>238</v>
      </c>
      <c r="N12" s="289" t="s">
        <v>239</v>
      </c>
      <c r="O12" s="136">
        <f>COUNTIF(ABSEN!M:M,"HERMANSYAH ( SINARAH )")</f>
        <v>1</v>
      </c>
      <c r="P12" s="136">
        <f>COUNTIF(ABSEN!N:N,"HERMANSYAH ( SINARAH )")</f>
        <v>1</v>
      </c>
      <c r="Q12" s="136">
        <f>COUNTIF(ABSEN!O:O,"HERMANSYAH ( SINARAH )")</f>
        <v>1</v>
      </c>
      <c r="R12" s="136">
        <f>COUNTIF(ABSEN!P:P,"HERMANSYAH ( SINARAH )")</f>
        <v>1</v>
      </c>
      <c r="S12" s="136">
        <f>COUNTIF(ABSEN!Q:Q,"HERMANSYAH ( SINARAH )")</f>
        <v>1</v>
      </c>
      <c r="T12" s="289" t="s">
        <v>238</v>
      </c>
      <c r="U12" s="136">
        <f>COUNTIF(ABSEN!S:S,"HERMANSYAH ( SINARAH )")</f>
        <v>1</v>
      </c>
      <c r="V12" s="136">
        <f>COUNTIF(ABSEN!T:T,"HERMANSYAH ( SINARAH )")</f>
        <v>1</v>
      </c>
      <c r="W12" s="136">
        <f>COUNTIF(ABSEN!U:U,"HERMANSYAH ( SINARAH )")</f>
        <v>1</v>
      </c>
      <c r="X12" s="136">
        <f>COUNTIF(ABSEN!V:V,"HERMANSYAH ( SINARAH )")</f>
        <v>1</v>
      </c>
      <c r="Y12" s="136">
        <f>COUNTIF(ABSEN!W:W,"HERMANSYAH ( SINARAH )")</f>
        <v>1</v>
      </c>
      <c r="Z12" s="136">
        <f>COUNTIF(ABSEN!X:X,"HERMANSYAH ( SINARAH )")</f>
        <v>1</v>
      </c>
      <c r="AA12" s="289" t="s">
        <v>238</v>
      </c>
      <c r="AB12" s="136">
        <f>COUNTIF(ABSEN!Z:Z,"HERMANSYAH ( SINARAH )")</f>
        <v>1</v>
      </c>
      <c r="AC12" s="136">
        <f>COUNTIF(ABSEN!AA:AA,"HERMANSYAH ( SINARAH )")</f>
        <v>1</v>
      </c>
      <c r="AD12" s="136">
        <f>COUNTIF(ABSEN!AB:AB,"HERMANSYAH ( SINARAH )")</f>
        <v>1</v>
      </c>
      <c r="AE12" s="289" t="s">
        <v>239</v>
      </c>
      <c r="AF12" s="136">
        <f>COUNTIF(ABSEN!AD:AD,"HERMANSYAH ( SINARAH )")</f>
        <v>1</v>
      </c>
      <c r="AG12" s="136">
        <f>COUNTIF(ABSEN!AE:AE,"HERMANSYAH ( SINARAH )")</f>
        <v>1</v>
      </c>
      <c r="AH12" s="137">
        <f t="shared" si="23"/>
        <v>24</v>
      </c>
      <c r="AI12" s="138">
        <f t="shared" si="16"/>
        <v>0</v>
      </c>
      <c r="AJ12" s="136">
        <f t="shared" si="17"/>
        <v>0</v>
      </c>
      <c r="AK12" s="136">
        <f t="shared" si="18"/>
        <v>0</v>
      </c>
      <c r="AL12" s="136">
        <f t="shared" si="19"/>
        <v>4</v>
      </c>
      <c r="AM12" s="136">
        <f t="shared" si="20"/>
        <v>3</v>
      </c>
      <c r="AN12" s="136">
        <f t="shared" si="21"/>
        <v>0</v>
      </c>
      <c r="AO12" s="139">
        <f t="shared" si="22"/>
        <v>0</v>
      </c>
      <c r="AP12" s="137">
        <f t="shared" si="24"/>
        <v>31</v>
      </c>
      <c r="AQ12" s="138">
        <f t="shared" si="25"/>
        <v>0</v>
      </c>
      <c r="AR12" s="140">
        <f t="shared" si="26"/>
        <v>0</v>
      </c>
      <c r="AS12" s="141"/>
      <c r="AT12" s="142">
        <f t="shared" si="15"/>
        <v>31</v>
      </c>
      <c r="AU12" s="142"/>
      <c r="AV12" s="142"/>
      <c r="AW12" s="142"/>
      <c r="AX12" s="1185"/>
    </row>
    <row r="13" spans="1:50" ht="43.5" customHeight="1">
      <c r="A13" s="134" t="s">
        <v>68</v>
      </c>
      <c r="B13" s="1186" t="s">
        <v>276</v>
      </c>
      <c r="C13" s="289" t="s">
        <v>239</v>
      </c>
      <c r="D13" s="136">
        <f>COUNTIF(ABSEN!B:B,"JUMADIL AWAL (Diasih)")</f>
        <v>1</v>
      </c>
      <c r="E13" s="136">
        <f>COUNTIF(ABSEN!C:C,"JUMADIL AWAL (Diasih)")</f>
        <v>1</v>
      </c>
      <c r="F13" s="289" t="s">
        <v>238</v>
      </c>
      <c r="G13" s="136">
        <f>COUNTIF(ABSEN!E:E,"JUMADIL AWAL (Diasih)")</f>
        <v>1</v>
      </c>
      <c r="H13" s="136">
        <f>COUNTIF(ABSEN!F:F,"JUMADIL AWAL (Diasih)")</f>
        <v>1</v>
      </c>
      <c r="I13" s="136">
        <f>COUNTIF(ABSEN!G:G,"JUMADIL AWAL (Diasih)")</f>
        <v>1</v>
      </c>
      <c r="J13" s="136">
        <f>COUNTIF(ABSEN!H:H,"JUMADIL AWAL (Diasih)")</f>
        <v>1</v>
      </c>
      <c r="K13" s="136">
        <f>COUNTIF(ABSEN!I:I,"JUMADIL AWAL (Diasih)")</f>
        <v>1</v>
      </c>
      <c r="L13" s="136">
        <f>COUNTIF(ABSEN!J:J,"JUMADIL AWAL (Diasih)")</f>
        <v>1</v>
      </c>
      <c r="M13" s="289" t="s">
        <v>238</v>
      </c>
      <c r="N13" s="289" t="s">
        <v>239</v>
      </c>
      <c r="O13" s="136">
        <f>COUNTIF(ABSEN!M:M,"JUMADIL AWAL (Diasih)")</f>
        <v>1</v>
      </c>
      <c r="P13" s="136">
        <f>COUNTIF(ABSEN!N:N,"JUMADIL AWAL (Diasih)")</f>
        <v>1</v>
      </c>
      <c r="Q13" s="136">
        <f>COUNTIF(ABSEN!O:O,"JUMADIL AWAL (Diasih)")</f>
        <v>1</v>
      </c>
      <c r="R13" s="136">
        <f>COUNTIF(ABSEN!P:P,"JUMADIL AWAL (Diasih)")</f>
        <v>1</v>
      </c>
      <c r="S13" s="136">
        <f>COUNTIF(ABSEN!Q:Q,"JUMADIL AWAL (Diasih)")</f>
        <v>1</v>
      </c>
      <c r="T13" s="289" t="s">
        <v>238</v>
      </c>
      <c r="U13" s="136">
        <f>COUNTIF(ABSEN!S:S,"JUMADIL AWAL (Diasih)")</f>
        <v>1</v>
      </c>
      <c r="V13" s="136">
        <f>COUNTIF(ABSEN!T:T,"JUMADIL AWAL (Diasih)")</f>
        <v>1</v>
      </c>
      <c r="W13" s="136">
        <f>COUNTIF(ABSEN!U:U,"JUMADIL AWAL (Diasih)")</f>
        <v>1</v>
      </c>
      <c r="X13" s="136">
        <f>COUNTIF(ABSEN!V:V,"JUMADIL AWAL (Diasih)")</f>
        <v>1</v>
      </c>
      <c r="Y13" s="136">
        <f>COUNTIF(ABSEN!W:W,"JUMADIL AWAL (Diasih)")</f>
        <v>1</v>
      </c>
      <c r="Z13" s="136">
        <f>COUNTIF(ABSEN!X:X,"JUMADIL AWAL (Diasih)")</f>
        <v>1</v>
      </c>
      <c r="AA13" s="289" t="s">
        <v>238</v>
      </c>
      <c r="AB13" s="136">
        <f>COUNTIF(ABSEN!Z:Z,"JUMADIL AWAL (Diasih)")</f>
        <v>1</v>
      </c>
      <c r="AC13" s="136">
        <f>COUNTIF(ABSEN!AA:AA,"JUMADIL AWAL (Diasih)")</f>
        <v>1</v>
      </c>
      <c r="AD13" s="136">
        <f>COUNTIF(ABSEN!AB:AB,"JUMADIL AWAL (Diasih)")</f>
        <v>1</v>
      </c>
      <c r="AE13" s="289" t="s">
        <v>239</v>
      </c>
      <c r="AF13" s="136">
        <f>COUNTIF(ABSEN!AD:AD,"JUMADIL AWAL (Diasih)")</f>
        <v>1</v>
      </c>
      <c r="AG13" s="136">
        <f>COUNTIF(ABSEN!AE:AE,"JUMADIL AWAL (Diasih)")</f>
        <v>1</v>
      </c>
      <c r="AH13" s="137">
        <f t="shared" si="23"/>
        <v>24</v>
      </c>
      <c r="AI13" s="138">
        <f t="shared" si="16"/>
        <v>0</v>
      </c>
      <c r="AJ13" s="136">
        <f t="shared" si="17"/>
        <v>0</v>
      </c>
      <c r="AK13" s="136">
        <f t="shared" si="18"/>
        <v>0</v>
      </c>
      <c r="AL13" s="136">
        <f t="shared" si="19"/>
        <v>4</v>
      </c>
      <c r="AM13" s="136">
        <f t="shared" si="20"/>
        <v>3</v>
      </c>
      <c r="AN13" s="136">
        <f t="shared" si="21"/>
        <v>0</v>
      </c>
      <c r="AO13" s="139">
        <f t="shared" si="22"/>
        <v>0</v>
      </c>
      <c r="AP13" s="137">
        <f t="shared" ref="AP13:AP19" si="27">+AH13+AI13+AJ13+AK13+AL13+AM13+AN13+AO13</f>
        <v>31</v>
      </c>
      <c r="AQ13" s="138">
        <f t="shared" ref="AQ13:AQ19" si="28">COUNTIF(C13:AG13,"CTH")</f>
        <v>0</v>
      </c>
      <c r="AR13" s="140">
        <f t="shared" ref="AR13:AR19" si="29">COUNTIF(C13:AG13,"A")</f>
        <v>0</v>
      </c>
      <c r="AS13" s="141"/>
      <c r="AT13" s="142">
        <f t="shared" si="15"/>
        <v>31</v>
      </c>
      <c r="AU13" s="142"/>
      <c r="AV13" s="142"/>
      <c r="AW13" s="142"/>
    </row>
    <row r="14" spans="1:50" ht="43.5" customHeight="1">
      <c r="A14" s="134" t="s">
        <v>69</v>
      </c>
      <c r="B14" s="1186" t="s">
        <v>340</v>
      </c>
      <c r="C14" s="289" t="s">
        <v>239</v>
      </c>
      <c r="D14" s="136">
        <f>COUNTIF(ABSEN!B:B,"NASRUDIN (Sahnun)")</f>
        <v>1</v>
      </c>
      <c r="E14" s="136">
        <f>COUNTIF(ABSEN!C:C,"NASRUDIN (Sahnun)")</f>
        <v>1</v>
      </c>
      <c r="F14" s="289" t="s">
        <v>238</v>
      </c>
      <c r="G14" s="136">
        <f>COUNTIF(ABSEN!E:E,"NASRUDIN (Sahnun)")</f>
        <v>1</v>
      </c>
      <c r="H14" s="136">
        <f>COUNTIF(ABSEN!F:F,"NASRUDIN (Sahnun)")</f>
        <v>1</v>
      </c>
      <c r="I14" s="136">
        <f>COUNTIF(ABSEN!G:G,"NASRUDIN (Sahnun)")</f>
        <v>1</v>
      </c>
      <c r="J14" s="136">
        <f>COUNTIF(ABSEN!H:H,"NASRUDIN (Sahnun)")</f>
        <v>1</v>
      </c>
      <c r="K14" s="136">
        <f>COUNTIF(ABSEN!I:I,"NASRUDIN (Sahnun)")</f>
        <v>1</v>
      </c>
      <c r="L14" s="136">
        <f>COUNTIF(ABSEN!J:J,"NASRUDIN (Sahnun)")</f>
        <v>1</v>
      </c>
      <c r="M14" s="289" t="s">
        <v>238</v>
      </c>
      <c r="N14" s="289" t="s">
        <v>239</v>
      </c>
      <c r="O14" s="136">
        <f>COUNTIF(ABSEN!M:M,"NASRUDIN (Sahnun)")</f>
        <v>1</v>
      </c>
      <c r="P14" s="136">
        <f>COUNTIF(ABSEN!N:N,"NASRUDIN (Sahnun)")</f>
        <v>1</v>
      </c>
      <c r="Q14" s="136">
        <f>COUNTIF(ABSEN!O:O,"NASRUDIN (Sahnun)")</f>
        <v>1</v>
      </c>
      <c r="R14" s="136">
        <f>COUNTIF(ABSEN!P:P,"NASRUDIN (Sahnun)")</f>
        <v>1</v>
      </c>
      <c r="S14" s="136">
        <f>COUNTIF(ABSEN!Q:Q,"NASRUDIN (Sahnun)")</f>
        <v>1</v>
      </c>
      <c r="T14" s="289" t="s">
        <v>238</v>
      </c>
      <c r="U14" s="136">
        <f>COUNTIF(ABSEN!S:S,"NASRUDIN (Sahnun)")</f>
        <v>1</v>
      </c>
      <c r="V14" s="136">
        <f>COUNTIF(ABSEN!T:T,"NASRUDIN (Sahnun)")</f>
        <v>1</v>
      </c>
      <c r="W14" s="136">
        <f>COUNTIF(ABSEN!U:U,"NASRUDIN (Sahnun)")</f>
        <v>1</v>
      </c>
      <c r="X14" s="136">
        <f>COUNTIF(ABSEN!V:V,"NASRUDIN (Sahnun)")</f>
        <v>1</v>
      </c>
      <c r="Y14" s="136">
        <f>COUNTIF(ABSEN!W:W,"NASRUDIN (Sahnun)")</f>
        <v>1</v>
      </c>
      <c r="Z14" s="136">
        <f>COUNTIF(ABSEN!X:X,"NASRUDIN (Sahnun)")</f>
        <v>1</v>
      </c>
      <c r="AA14" s="289" t="s">
        <v>238</v>
      </c>
      <c r="AB14" s="136">
        <f>COUNTIF(ABSEN!Z:Z,"NASRUDIN (Sahnun)")</f>
        <v>1</v>
      </c>
      <c r="AC14" s="136">
        <f>COUNTIF(ABSEN!AA:AA,"NASRUDIN (Sahnun)")</f>
        <v>1</v>
      </c>
      <c r="AD14" s="136">
        <f>COUNTIF(ABSEN!AB:AB,"NASRUDIN (Sahnun)")</f>
        <v>1</v>
      </c>
      <c r="AE14" s="289" t="s">
        <v>239</v>
      </c>
      <c r="AF14" s="136">
        <f>COUNTIF(ABSEN!AD:AD,"NASRUDIN (Sahnun)")</f>
        <v>1</v>
      </c>
      <c r="AG14" s="136">
        <f>COUNTIF(ABSEN!AE:AE,"NASRUDIN (Sahnun)")</f>
        <v>1</v>
      </c>
      <c r="AH14" s="137">
        <f t="shared" ref="AH14:AH19" si="30">SUM(C14:AG14)</f>
        <v>24</v>
      </c>
      <c r="AI14" s="138">
        <f t="shared" ref="AI14:AI19" si="31">COUNTIF(C14:AG14,"CT")</f>
        <v>0</v>
      </c>
      <c r="AJ14" s="136">
        <f t="shared" ref="AJ14:AJ19" si="32">COUNTIF(C14:AG14,"S")</f>
        <v>0</v>
      </c>
      <c r="AK14" s="136">
        <f t="shared" ref="AK14:AK19" si="33">COUNTIF(C14:AG14,"H1")</f>
        <v>0</v>
      </c>
      <c r="AL14" s="136">
        <f t="shared" ref="AL14:AL19" si="34">COUNTIF(C14:AG14,"MG")</f>
        <v>4</v>
      </c>
      <c r="AM14" s="136">
        <f t="shared" ref="AM14:AM19" si="35">COUNTIF(C14:AG14,"NAS")</f>
        <v>3</v>
      </c>
      <c r="AN14" s="136">
        <f t="shared" ref="AN14:AN19" si="36">COUNTIF(C14:AG14,"H2")</f>
        <v>0</v>
      </c>
      <c r="AO14" s="139">
        <f t="shared" ref="AO14:AO19" si="37">COUNTIF(C14:AG14,"P1")</f>
        <v>0</v>
      </c>
      <c r="AP14" s="137">
        <f t="shared" si="27"/>
        <v>31</v>
      </c>
      <c r="AQ14" s="138">
        <f t="shared" si="28"/>
        <v>0</v>
      </c>
      <c r="AR14" s="140">
        <f t="shared" si="29"/>
        <v>0</v>
      </c>
      <c r="AS14" s="141"/>
      <c r="AT14" s="142">
        <f t="shared" si="15"/>
        <v>31</v>
      </c>
      <c r="AU14" s="142"/>
      <c r="AV14" s="142"/>
      <c r="AW14" s="142"/>
    </row>
    <row r="15" spans="1:50" ht="43.5" customHeight="1">
      <c r="A15" s="134" t="s">
        <v>70</v>
      </c>
      <c r="B15" s="1186" t="s">
        <v>339</v>
      </c>
      <c r="C15" s="289" t="s">
        <v>239</v>
      </c>
      <c r="D15" s="136">
        <f>COUNTIF(ABSEN!B:B,"NASRUDIN (Inak Deni)")</f>
        <v>1</v>
      </c>
      <c r="E15" s="136">
        <f>COUNTIF(ABSEN!C:C,"NASRUDIN (Inak Deni)")</f>
        <v>1</v>
      </c>
      <c r="F15" s="289" t="s">
        <v>238</v>
      </c>
      <c r="G15" s="136">
        <f>COUNTIF(ABSEN!E:E,"NASRUDIN (Inak Deni)")</f>
        <v>1</v>
      </c>
      <c r="H15" s="136">
        <f>COUNTIF(ABSEN!F:F,"NASRUDIN (Inak Deni)")</f>
        <v>1</v>
      </c>
      <c r="I15" s="136">
        <f>COUNTIF(ABSEN!G:G,"NASRUDIN (Inak Deni)")</f>
        <v>1</v>
      </c>
      <c r="J15" s="136">
        <f>COUNTIF(ABSEN!H:H,"NASRUDIN (Inak Deni)")</f>
        <v>1</v>
      </c>
      <c r="K15" s="136">
        <f>COUNTIF(ABSEN!I:I,"NASRUDIN (Inak Deni)")</f>
        <v>1</v>
      </c>
      <c r="L15" s="136">
        <f>COUNTIF(ABSEN!J:J,"NASRUDIN (Inak Deni)")</f>
        <v>1</v>
      </c>
      <c r="M15" s="289" t="s">
        <v>238</v>
      </c>
      <c r="N15" s="289" t="s">
        <v>239</v>
      </c>
      <c r="O15" s="136">
        <f>COUNTIF(ABSEN!M:M,"NASRUDIN (Inak Deni)")</f>
        <v>1</v>
      </c>
      <c r="P15" s="136">
        <f>COUNTIF(ABSEN!N:N,"NASRUDIN (Inak Deni)")</f>
        <v>1</v>
      </c>
      <c r="Q15" s="136">
        <f>COUNTIF(ABSEN!O:O,"NASRUDIN (Inak Deni)")</f>
        <v>1</v>
      </c>
      <c r="R15" s="136">
        <f>COUNTIF(ABSEN!P:P,"NASRUDIN (Inak Deni)")</f>
        <v>1</v>
      </c>
      <c r="S15" s="136">
        <f>COUNTIF(ABSEN!Q:Q,"NASRUDIN (Inak Deni)")</f>
        <v>1</v>
      </c>
      <c r="T15" s="289" t="s">
        <v>238</v>
      </c>
      <c r="U15" s="136">
        <f>COUNTIF(ABSEN!S:S,"NASRUDIN (Inak Deni)")</f>
        <v>1</v>
      </c>
      <c r="V15" s="136">
        <f>COUNTIF(ABSEN!T:T,"NASRUDIN (Inak Deni)")</f>
        <v>1</v>
      </c>
      <c r="W15" s="136">
        <f>COUNTIF(ABSEN!U:U,"NASRUDIN (Inak Deni)")</f>
        <v>1</v>
      </c>
      <c r="X15" s="136">
        <f>COUNTIF(ABSEN!V:V,"NASRUDIN (Inak Deni)")</f>
        <v>1</v>
      </c>
      <c r="Y15" s="136">
        <f>COUNTIF(ABSEN!W:W,"NASRUDIN (Inak Deni)")</f>
        <v>1</v>
      </c>
      <c r="Z15" s="136">
        <f>COUNTIF(ABSEN!X:X,"NASRUDIN (Inak Deni)")</f>
        <v>1</v>
      </c>
      <c r="AA15" s="289" t="s">
        <v>238</v>
      </c>
      <c r="AB15" s="136">
        <f>COUNTIF(ABSEN!Z:Z,"NASRUDIN (Inak Deni)")</f>
        <v>1</v>
      </c>
      <c r="AC15" s="136">
        <f>COUNTIF(ABSEN!AA:AA,"NASRUDIN (Inak Deni)")</f>
        <v>1</v>
      </c>
      <c r="AD15" s="136">
        <f>COUNTIF(ABSEN!AB:AB,"NASRUDIN (Inak Deni)")</f>
        <v>1</v>
      </c>
      <c r="AE15" s="289" t="s">
        <v>239</v>
      </c>
      <c r="AF15" s="136">
        <f>COUNTIF(ABSEN!AD:AD,"NASRUDIN (Inak Deni)")</f>
        <v>1</v>
      </c>
      <c r="AG15" s="136">
        <f>COUNTIF(ABSEN!AE:AE,"NASRUDIN (Inak Deni)")</f>
        <v>1</v>
      </c>
      <c r="AH15" s="137">
        <f t="shared" si="30"/>
        <v>24</v>
      </c>
      <c r="AI15" s="138">
        <f t="shared" si="31"/>
        <v>0</v>
      </c>
      <c r="AJ15" s="136">
        <f t="shared" si="32"/>
        <v>0</v>
      </c>
      <c r="AK15" s="136">
        <f t="shared" si="33"/>
        <v>0</v>
      </c>
      <c r="AL15" s="136">
        <f t="shared" si="34"/>
        <v>4</v>
      </c>
      <c r="AM15" s="136">
        <f t="shared" si="35"/>
        <v>3</v>
      </c>
      <c r="AN15" s="136">
        <f t="shared" si="36"/>
        <v>0</v>
      </c>
      <c r="AO15" s="139">
        <f t="shared" si="37"/>
        <v>0</v>
      </c>
      <c r="AP15" s="137">
        <f t="shared" si="27"/>
        <v>31</v>
      </c>
      <c r="AQ15" s="138">
        <f t="shared" si="28"/>
        <v>0</v>
      </c>
      <c r="AR15" s="140">
        <f t="shared" si="29"/>
        <v>0</v>
      </c>
      <c r="AS15" s="141"/>
      <c r="AT15" s="142">
        <f t="shared" si="15"/>
        <v>31</v>
      </c>
      <c r="AU15" s="142"/>
      <c r="AV15" s="142"/>
      <c r="AW15" s="142"/>
    </row>
    <row r="16" spans="1:50" ht="43.5" customHeight="1">
      <c r="A16" s="134" t="s">
        <v>71</v>
      </c>
      <c r="B16" s="160" t="s">
        <v>346</v>
      </c>
      <c r="C16" s="289" t="s">
        <v>239</v>
      </c>
      <c r="D16" s="136">
        <f>COUNTIF(ABSEN!B:B,"SUDIRMAN (Inaq Muhibin)")</f>
        <v>1</v>
      </c>
      <c r="E16" s="136">
        <f>COUNTIF(ABSEN!C:C,"SUDIRMAN (Inaq Muhibin)")</f>
        <v>1</v>
      </c>
      <c r="F16" s="289" t="s">
        <v>238</v>
      </c>
      <c r="G16" s="136">
        <f>COUNTIF(ABSEN!E:E,"SUDIRMAN (Inaq Muhibin)")</f>
        <v>1</v>
      </c>
      <c r="H16" s="136">
        <f>COUNTIF(ABSEN!F:F,"SUDIRMAN (Inaq Muhibin)")</f>
        <v>1</v>
      </c>
      <c r="I16" s="136">
        <f>COUNTIF(ABSEN!G:G,"SUDIRMAN (Inaq Muhibin)")</f>
        <v>1</v>
      </c>
      <c r="J16" s="136">
        <f>COUNTIF(ABSEN!H:H,"SUDIRMAN (Inaq Muhibin)")</f>
        <v>1</v>
      </c>
      <c r="K16" s="136">
        <f>COUNTIF(ABSEN!I:I,"SUDIRMAN (Inaq Muhibin)")</f>
        <v>1</v>
      </c>
      <c r="L16" s="136">
        <f>COUNTIF(ABSEN!J:J,"SUDIRMAN (Inaq Muhibin)")</f>
        <v>1</v>
      </c>
      <c r="M16" s="289" t="s">
        <v>238</v>
      </c>
      <c r="N16" s="289" t="s">
        <v>239</v>
      </c>
      <c r="O16" s="136">
        <f>COUNTIF(ABSEN!M:M,"SUDIRMAN (Inaq Muhibin)")</f>
        <v>1</v>
      </c>
      <c r="P16" s="136">
        <f>COUNTIF(ABSEN!N:N,"SUDIRMAN (Inaq Muhibin)")</f>
        <v>1</v>
      </c>
      <c r="Q16" s="136">
        <f>COUNTIF(ABSEN!O:O,"SUDIRMAN (Inaq Muhibin)")</f>
        <v>1</v>
      </c>
      <c r="R16" s="136">
        <f>COUNTIF(ABSEN!P:P,"SUDIRMAN (Inaq Muhibin)")</f>
        <v>1</v>
      </c>
      <c r="S16" s="136">
        <f>COUNTIF(ABSEN!Q:Q,"SUDIRMAN (Inaq Muhibin)")</f>
        <v>1</v>
      </c>
      <c r="T16" s="289" t="s">
        <v>238</v>
      </c>
      <c r="U16" s="136">
        <f>COUNTIF(ABSEN!S:S,"SUDIRMAN (Inaq Muhibin)")</f>
        <v>1</v>
      </c>
      <c r="V16" s="136">
        <f>COUNTIF(ABSEN!T:T,"SUDIRMAN (Inaq Muhibin)")</f>
        <v>1</v>
      </c>
      <c r="W16" s="136">
        <f>COUNTIF(ABSEN!U:U,"SUDIRMAN (Inaq Muhibin)")</f>
        <v>1</v>
      </c>
      <c r="X16" s="136">
        <f>COUNTIF(ABSEN!V:V,"SUDIRMAN (Inaq Muhibin)")</f>
        <v>1</v>
      </c>
      <c r="Y16" s="136">
        <f>COUNTIF(ABSEN!W:W,"SUDIRMAN (Inaq Muhibin)")</f>
        <v>1</v>
      </c>
      <c r="Z16" s="136">
        <f>COUNTIF(ABSEN!X:X,"SUDIRMAN (Inaq Muhibin)")</f>
        <v>1</v>
      </c>
      <c r="AA16" s="289" t="s">
        <v>238</v>
      </c>
      <c r="AB16" s="136">
        <f>COUNTIF(ABSEN!Z:Z,"SUDIRMAN (Inaq Muhibin)")</f>
        <v>1</v>
      </c>
      <c r="AC16" s="136">
        <f>COUNTIF(ABSEN!AA:AA,"SUDIRMAN (Inaq Muhibin)")</f>
        <v>1</v>
      </c>
      <c r="AD16" s="136">
        <f>COUNTIF(ABSEN!AB:AB,"SUDIRMAN (Inaq Muhibin)")</f>
        <v>1</v>
      </c>
      <c r="AE16" s="289" t="s">
        <v>239</v>
      </c>
      <c r="AF16" s="136">
        <f>COUNTIF(ABSEN!AD:AD,"SUDIRMAN (Inaq Muhibin)")</f>
        <v>1</v>
      </c>
      <c r="AG16" s="136">
        <f>COUNTIF(ABSEN!AE:AE,"SUDIRMAN (Inaq Muhibin)")</f>
        <v>1</v>
      </c>
      <c r="AH16" s="137">
        <f t="shared" si="30"/>
        <v>24</v>
      </c>
      <c r="AI16" s="138">
        <f t="shared" si="31"/>
        <v>0</v>
      </c>
      <c r="AJ16" s="136">
        <f t="shared" si="32"/>
        <v>0</v>
      </c>
      <c r="AK16" s="136">
        <f t="shared" si="33"/>
        <v>0</v>
      </c>
      <c r="AL16" s="136">
        <f t="shared" si="34"/>
        <v>4</v>
      </c>
      <c r="AM16" s="136">
        <f t="shared" si="35"/>
        <v>3</v>
      </c>
      <c r="AN16" s="136">
        <f t="shared" si="36"/>
        <v>0</v>
      </c>
      <c r="AO16" s="139">
        <f t="shared" si="37"/>
        <v>0</v>
      </c>
      <c r="AP16" s="137">
        <f t="shared" si="27"/>
        <v>31</v>
      </c>
      <c r="AQ16" s="138">
        <f t="shared" si="28"/>
        <v>0</v>
      </c>
      <c r="AR16" s="140">
        <f t="shared" si="29"/>
        <v>0</v>
      </c>
      <c r="AS16" s="141"/>
      <c r="AT16" s="142">
        <f t="shared" si="15"/>
        <v>31</v>
      </c>
      <c r="AU16" s="142"/>
      <c r="AV16" s="142"/>
      <c r="AW16" s="142"/>
    </row>
    <row r="17" spans="1:53" ht="43.5" customHeight="1">
      <c r="A17" s="134" t="s">
        <v>72</v>
      </c>
      <c r="B17" s="194" t="s">
        <v>370</v>
      </c>
      <c r="C17" s="289" t="s">
        <v>239</v>
      </c>
      <c r="D17" s="136">
        <f>COUNTIF(ABSEN!B:B,"JAYA KUSUMA (Masi'ah)")</f>
        <v>1</v>
      </c>
      <c r="E17" s="136">
        <f>COUNTIF(ABSEN!C:C,"JAYA KUSUMA (Masi'ah)")</f>
        <v>1</v>
      </c>
      <c r="F17" s="289" t="s">
        <v>238</v>
      </c>
      <c r="G17" s="136">
        <f>COUNTIF(ABSEN!E:E,"JAYA KUSUMA (Masi'ah)")</f>
        <v>1</v>
      </c>
      <c r="H17" s="136">
        <f>COUNTIF(ABSEN!F:F,"JAYA KUSUMA (Masi'ah)")</f>
        <v>1</v>
      </c>
      <c r="I17" s="136">
        <f>COUNTIF(ABSEN!G:G,"JAYA KUSUMA (Masi'ah)")</f>
        <v>1</v>
      </c>
      <c r="J17" s="136">
        <f>COUNTIF(ABSEN!H:H,"JAYA KUSUMA (Masi'ah)")</f>
        <v>1</v>
      </c>
      <c r="K17" s="136">
        <f>COUNTIF(ABSEN!I:I,"JAYA KUSUMA (Masi'ah)")</f>
        <v>1</v>
      </c>
      <c r="L17" s="136">
        <f>COUNTIF(ABSEN!J:J,"JAYA KUSUMA (Masi'ah)")</f>
        <v>1</v>
      </c>
      <c r="M17" s="289" t="s">
        <v>238</v>
      </c>
      <c r="N17" s="289" t="s">
        <v>239</v>
      </c>
      <c r="O17" s="136">
        <f>COUNTIF(ABSEN!M:M,"JAYA KUSUMA (Masi'ah)")</f>
        <v>1</v>
      </c>
      <c r="P17" s="136">
        <f>COUNTIF(ABSEN!N:N,"JAYA KUSUMA (Masi'ah)")</f>
        <v>1</v>
      </c>
      <c r="Q17" s="136">
        <f>COUNTIF(ABSEN!O:O,"JAYA KUSUMA (Masi'ah)")</f>
        <v>1</v>
      </c>
      <c r="R17" s="136">
        <f>COUNTIF(ABSEN!P:P,"JAYA KUSUMA (Masi'ah)")</f>
        <v>1</v>
      </c>
      <c r="S17" s="136">
        <f>COUNTIF(ABSEN!Q:Q,"JAYA KUSUMA (Masi'ah)")</f>
        <v>1</v>
      </c>
      <c r="T17" s="289" t="s">
        <v>238</v>
      </c>
      <c r="U17" s="136">
        <f>COUNTIF(ABSEN!S:S,"JAYA KUSUMA (Masi'ah)")</f>
        <v>1</v>
      </c>
      <c r="V17" s="136">
        <f>COUNTIF(ABSEN!T:T,"JAYA KUSUMA (Masi'ah)")</f>
        <v>1</v>
      </c>
      <c r="W17" s="136">
        <f>COUNTIF(ABSEN!U:U,"JAYA KUSUMA (Masi'ah)")</f>
        <v>1</v>
      </c>
      <c r="X17" s="136">
        <f>COUNTIF(ABSEN!V:V,"JAYA KUSUMA (Masi'ah)")</f>
        <v>1</v>
      </c>
      <c r="Y17" s="136">
        <f>COUNTIF(ABSEN!W:W,"JAYA KUSUMA (Masi'ah)")</f>
        <v>1</v>
      </c>
      <c r="Z17" s="136">
        <f>COUNTIF(ABSEN!X:X,"JAYA KUSUMA (Masi'ah)")</f>
        <v>1</v>
      </c>
      <c r="AA17" s="289" t="s">
        <v>238</v>
      </c>
      <c r="AB17" s="136">
        <f>COUNTIF(ABSEN!Z:Z,"JAYA KUSUMA (Masi'ah)")</f>
        <v>1</v>
      </c>
      <c r="AC17" s="136">
        <f>COUNTIF(ABSEN!AA:AA,"JAYA KUSUMA (Masi'ah)")</f>
        <v>1</v>
      </c>
      <c r="AD17" s="136">
        <f>COUNTIF(ABSEN!AB:AB,"JAYA KUSUMA (Masi'ah)")</f>
        <v>1</v>
      </c>
      <c r="AE17" s="289" t="s">
        <v>239</v>
      </c>
      <c r="AF17" s="136">
        <f>COUNTIF(ABSEN!AD:AD,"JAYA KUSUMA (Masi'ah)")</f>
        <v>1</v>
      </c>
      <c r="AG17" s="136">
        <f>COUNTIF(ABSEN!AE:AE,"JAYA KUSUMA (Masi'ah)")</f>
        <v>1</v>
      </c>
      <c r="AH17" s="137">
        <f t="shared" si="30"/>
        <v>24</v>
      </c>
      <c r="AI17" s="138">
        <f t="shared" si="31"/>
        <v>0</v>
      </c>
      <c r="AJ17" s="136">
        <f t="shared" si="32"/>
        <v>0</v>
      </c>
      <c r="AK17" s="136">
        <f t="shared" si="33"/>
        <v>0</v>
      </c>
      <c r="AL17" s="136">
        <f t="shared" si="34"/>
        <v>4</v>
      </c>
      <c r="AM17" s="136">
        <f t="shared" si="35"/>
        <v>3</v>
      </c>
      <c r="AN17" s="136">
        <f t="shared" si="36"/>
        <v>0</v>
      </c>
      <c r="AO17" s="139">
        <f t="shared" si="37"/>
        <v>0</v>
      </c>
      <c r="AP17" s="137">
        <f t="shared" si="27"/>
        <v>31</v>
      </c>
      <c r="AQ17" s="138">
        <f t="shared" si="28"/>
        <v>0</v>
      </c>
      <c r="AR17" s="140">
        <f t="shared" si="29"/>
        <v>0</v>
      </c>
      <c r="AS17" s="141"/>
      <c r="AT17" s="142">
        <f t="shared" si="15"/>
        <v>31</v>
      </c>
      <c r="AU17" s="142"/>
      <c r="AV17" s="142"/>
      <c r="AW17" s="142"/>
    </row>
    <row r="18" spans="1:53" ht="43.5" customHeight="1">
      <c r="A18" s="134" t="s">
        <v>73</v>
      </c>
      <c r="B18" s="194" t="s">
        <v>405</v>
      </c>
      <c r="C18" s="289" t="s">
        <v>239</v>
      </c>
      <c r="D18" s="136">
        <f>COUNTIF(ABSEN!B:B,"LALU HERI ISKANDAR (Sri Harwati)")</f>
        <v>1</v>
      </c>
      <c r="E18" s="136">
        <f>COUNTIF(ABSEN!C:C,"LALU HERI ISKANDAR (Sri Harwati)")</f>
        <v>1</v>
      </c>
      <c r="F18" s="289" t="s">
        <v>238</v>
      </c>
      <c r="G18" s="136">
        <f>COUNTIF(ABSEN!E:E,"LALU HERI ISKANDAR (Sri Harwati)")</f>
        <v>1</v>
      </c>
      <c r="H18" s="136">
        <f>COUNTIF(ABSEN!F:F,"LALU HERI ISKANDAR (Sri Harwati)")</f>
        <v>1</v>
      </c>
      <c r="I18" s="136">
        <f>COUNTIF(ABSEN!G:G,"LALU HERI ISKANDAR (Sri Harwati)")</f>
        <v>1</v>
      </c>
      <c r="J18" s="136">
        <f>COUNTIF(ABSEN!H:H,"LALU HERI ISKANDAR (Sri Harwati)")</f>
        <v>1</v>
      </c>
      <c r="K18" s="136">
        <f>COUNTIF(ABSEN!I:I,"LALU HERI ISKANDAR (Sri Harwati)")</f>
        <v>1</v>
      </c>
      <c r="L18" s="136">
        <f>COUNTIF(ABSEN!J:J,"LALU HERI ISKANDAR (Sri Harwati)")</f>
        <v>1</v>
      </c>
      <c r="M18" s="289" t="s">
        <v>238</v>
      </c>
      <c r="N18" s="289" t="s">
        <v>239</v>
      </c>
      <c r="O18" s="136">
        <f>COUNTIF(ABSEN!M:M,"LALU HERI ISKANDAR (Sri Harwati)")</f>
        <v>1</v>
      </c>
      <c r="P18" s="136">
        <f>COUNTIF(ABSEN!N:N,"LALU HERI ISKANDAR (Sri Harwati)")</f>
        <v>1</v>
      </c>
      <c r="Q18" s="136">
        <f>COUNTIF(ABSEN!O:O,"LALU HERI ISKANDAR (Sri Harwati)")</f>
        <v>1</v>
      </c>
      <c r="R18" s="136">
        <f>COUNTIF(ABSEN!P:P,"LALU HERI ISKANDAR (Sri Harwati)")</f>
        <v>1</v>
      </c>
      <c r="S18" s="136">
        <f>COUNTIF(ABSEN!Q:Q,"LALU HERI ISKANDAR (Sri Harwati)")</f>
        <v>1</v>
      </c>
      <c r="T18" s="289" t="s">
        <v>238</v>
      </c>
      <c r="U18" s="136">
        <f>COUNTIF(ABSEN!S:S,"LALU HERI ISKANDAR (Sri Harwati)")</f>
        <v>1</v>
      </c>
      <c r="V18" s="136">
        <f>COUNTIF(ABSEN!T:T,"LALU HERI ISKANDAR (Sri Harwati)")</f>
        <v>1</v>
      </c>
      <c r="W18" s="136">
        <f>COUNTIF(ABSEN!U:U,"LALU HERI ISKANDAR (Sri Harwati)")</f>
        <v>1</v>
      </c>
      <c r="X18" s="136">
        <f>COUNTIF(ABSEN!V:V,"LALU HERI ISKANDAR (Sri Harwati)")</f>
        <v>1</v>
      </c>
      <c r="Y18" s="136">
        <f>COUNTIF(ABSEN!W:W,"LALU HERI ISKANDAR (Sri Harwati)")</f>
        <v>1</v>
      </c>
      <c r="Z18" s="136">
        <f>COUNTIF(ABSEN!X:X,"LALU HERI ISKANDAR (Sri Harwati)")</f>
        <v>1</v>
      </c>
      <c r="AA18" s="289" t="s">
        <v>238</v>
      </c>
      <c r="AB18" s="136">
        <f>COUNTIF(ABSEN!Z:Z,"LALU HERI ISKANDAR (Sri Harwati)")</f>
        <v>1</v>
      </c>
      <c r="AC18" s="136">
        <f>COUNTIF(ABSEN!AA:AA,"LALU HERI ISKANDAR (Sri Harwati)")</f>
        <v>1</v>
      </c>
      <c r="AD18" s="136">
        <f>COUNTIF(ABSEN!AB:AB,"LALU HERI ISKANDAR (Sri Harwati)")</f>
        <v>1</v>
      </c>
      <c r="AE18" s="289" t="s">
        <v>239</v>
      </c>
      <c r="AF18" s="136">
        <f>COUNTIF(ABSEN!AD:AD,"LALU HERI ISKANDAR (Sri Harwati)")</f>
        <v>1</v>
      </c>
      <c r="AG18" s="136">
        <f>COUNTIF(ABSEN!AE:AE,"LALU HERI ISKANDAR (Sri Harwati)")</f>
        <v>1</v>
      </c>
      <c r="AH18" s="137">
        <f t="shared" si="30"/>
        <v>24</v>
      </c>
      <c r="AI18" s="138">
        <f t="shared" si="31"/>
        <v>0</v>
      </c>
      <c r="AJ18" s="136">
        <f t="shared" si="32"/>
        <v>0</v>
      </c>
      <c r="AK18" s="136">
        <f t="shared" si="33"/>
        <v>0</v>
      </c>
      <c r="AL18" s="136">
        <f t="shared" si="34"/>
        <v>4</v>
      </c>
      <c r="AM18" s="136">
        <f t="shared" si="35"/>
        <v>3</v>
      </c>
      <c r="AN18" s="136">
        <f t="shared" si="36"/>
        <v>0</v>
      </c>
      <c r="AO18" s="139">
        <f t="shared" si="37"/>
        <v>0</v>
      </c>
      <c r="AP18" s="137">
        <f t="shared" si="27"/>
        <v>31</v>
      </c>
      <c r="AQ18" s="138">
        <f t="shared" si="28"/>
        <v>0</v>
      </c>
      <c r="AR18" s="140">
        <f t="shared" si="29"/>
        <v>0</v>
      </c>
      <c r="AS18" s="141"/>
      <c r="AT18" s="142">
        <f t="shared" si="15"/>
        <v>31</v>
      </c>
      <c r="AU18" s="142"/>
      <c r="AV18" s="142"/>
      <c r="AW18" s="142"/>
    </row>
    <row r="19" spans="1:53" ht="43.5" customHeight="1">
      <c r="A19" s="134" t="s">
        <v>74</v>
      </c>
      <c r="B19" s="194" t="s">
        <v>409</v>
      </c>
      <c r="C19" s="289" t="s">
        <v>239</v>
      </c>
      <c r="D19" s="136">
        <f>COUNTIF(ABSEN!B:B,"ZAINAL (Mahnun)")</f>
        <v>1</v>
      </c>
      <c r="E19" s="136">
        <f>COUNTIF(ABSEN!C:C,"ZAINAL (Mahnun)")</f>
        <v>1</v>
      </c>
      <c r="F19" s="289" t="s">
        <v>238</v>
      </c>
      <c r="G19" s="136">
        <f>COUNTIF(ABSEN!E:E,"ZAINAL (Mahnun)")</f>
        <v>1</v>
      </c>
      <c r="H19" s="136">
        <f>COUNTIF(ABSEN!F:F,"ZAINAL (Mahnun)")</f>
        <v>1</v>
      </c>
      <c r="I19" s="136">
        <f>COUNTIF(ABSEN!G:G,"ZAINAL (Mahnun)")</f>
        <v>1</v>
      </c>
      <c r="J19" s="136">
        <f>COUNTIF(ABSEN!H:H,"ZAINAL (Mahnun)")</f>
        <v>1</v>
      </c>
      <c r="K19" s="136">
        <f>COUNTIF(ABSEN!I:I,"ZAINAL (Mahnun)")</f>
        <v>1</v>
      </c>
      <c r="L19" s="136">
        <f>COUNTIF(ABSEN!J:J,"ZAINAL (Mahnun)")</f>
        <v>1</v>
      </c>
      <c r="M19" s="289" t="s">
        <v>238</v>
      </c>
      <c r="N19" s="289" t="s">
        <v>239</v>
      </c>
      <c r="O19" s="136">
        <f>COUNTIF(ABSEN!M:M,"ZAINAL (Mahnun)")</f>
        <v>1</v>
      </c>
      <c r="P19" s="136">
        <f>COUNTIF(ABSEN!N:N,"ZAINAL (Mahnun)")</f>
        <v>1</v>
      </c>
      <c r="Q19" s="136">
        <f>COUNTIF(ABSEN!O:O,"ZAINAL (Mahnun)")</f>
        <v>1</v>
      </c>
      <c r="R19" s="136">
        <f>COUNTIF(ABSEN!P:P,"ZAINAL (Mahnun)")</f>
        <v>1</v>
      </c>
      <c r="S19" s="136">
        <f>COUNTIF(ABSEN!Q:Q,"ZAINAL (Mahnun)")</f>
        <v>1</v>
      </c>
      <c r="T19" s="289" t="s">
        <v>238</v>
      </c>
      <c r="U19" s="136">
        <f>COUNTIF(ABSEN!S:S,"ZAINAL (Mahnun)")</f>
        <v>1</v>
      </c>
      <c r="V19" s="136">
        <f>COUNTIF(ABSEN!T:T,"ZAINAL (Mahnun)")</f>
        <v>1</v>
      </c>
      <c r="W19" s="136">
        <f>COUNTIF(ABSEN!U:U,"ZAINAL (Mahnun)")</f>
        <v>1</v>
      </c>
      <c r="X19" s="136">
        <f>COUNTIF(ABSEN!V:V,"ZAINAL (Mahnun)")</f>
        <v>1</v>
      </c>
      <c r="Y19" s="136">
        <f>COUNTIF(ABSEN!W:W,"ZAINAL (Mahnun)")</f>
        <v>1</v>
      </c>
      <c r="Z19" s="136">
        <f>COUNTIF(ABSEN!X:X,"ZAINAL (Mahnun)")</f>
        <v>1</v>
      </c>
      <c r="AA19" s="289" t="s">
        <v>238</v>
      </c>
      <c r="AB19" s="136">
        <f>COUNTIF(ABSEN!Z:Z,"ZAINAL (Mahnun)")</f>
        <v>1</v>
      </c>
      <c r="AC19" s="136">
        <f>COUNTIF(ABSEN!AA:AA,"ZAINAL (Mahnun)")</f>
        <v>1</v>
      </c>
      <c r="AD19" s="136">
        <f>COUNTIF(ABSEN!AB:AB,"ZAINAL (Mahnun)")</f>
        <v>1</v>
      </c>
      <c r="AE19" s="289" t="s">
        <v>239</v>
      </c>
      <c r="AF19" s="136">
        <f>COUNTIF(ABSEN!AD:AD,"ZAINAL (Mahnun)")</f>
        <v>1</v>
      </c>
      <c r="AG19" s="136">
        <f>COUNTIF(ABSEN!AE:AE,"ZAINAL (Mahnun)")</f>
        <v>1</v>
      </c>
      <c r="AH19" s="137">
        <f t="shared" si="30"/>
        <v>24</v>
      </c>
      <c r="AI19" s="138">
        <f t="shared" si="31"/>
        <v>0</v>
      </c>
      <c r="AJ19" s="136">
        <f t="shared" si="32"/>
        <v>0</v>
      </c>
      <c r="AK19" s="136">
        <f t="shared" si="33"/>
        <v>0</v>
      </c>
      <c r="AL19" s="136">
        <f t="shared" si="34"/>
        <v>4</v>
      </c>
      <c r="AM19" s="136">
        <f t="shared" si="35"/>
        <v>3</v>
      </c>
      <c r="AN19" s="136">
        <f t="shared" si="36"/>
        <v>0</v>
      </c>
      <c r="AO19" s="139">
        <f t="shared" si="37"/>
        <v>0</v>
      </c>
      <c r="AP19" s="137">
        <f t="shared" si="27"/>
        <v>31</v>
      </c>
      <c r="AQ19" s="138">
        <f t="shared" si="28"/>
        <v>0</v>
      </c>
      <c r="AR19" s="140">
        <f t="shared" si="29"/>
        <v>0</v>
      </c>
      <c r="AS19" s="141"/>
      <c r="AT19" s="142">
        <f t="shared" si="15"/>
        <v>31</v>
      </c>
      <c r="AU19" s="142"/>
      <c r="AV19" s="142"/>
      <c r="AW19" s="142"/>
    </row>
    <row r="20" spans="1:53" ht="43.5" customHeight="1">
      <c r="A20" s="134" t="s">
        <v>75</v>
      </c>
      <c r="B20" s="194" t="s">
        <v>464</v>
      </c>
      <c r="C20" s="289" t="s">
        <v>239</v>
      </c>
      <c r="D20" s="1216" t="s">
        <v>778</v>
      </c>
      <c r="E20" s="136">
        <f>COUNTIF(ABSEN!C:C,"MUHAMMAD TAHIR (Sahmin)")</f>
        <v>1</v>
      </c>
      <c r="F20" s="289" t="s">
        <v>238</v>
      </c>
      <c r="G20" s="136">
        <f>COUNTIF(ABSEN!E:E,"MUHAMMAD TAHIR (Sahmin)")</f>
        <v>1</v>
      </c>
      <c r="H20" s="136">
        <f>COUNTIF(ABSEN!F:F,"MUHAMMAD TAHIR (Sahmin)")</f>
        <v>1</v>
      </c>
      <c r="I20" s="1216" t="s">
        <v>777</v>
      </c>
      <c r="J20" s="1216" t="s">
        <v>777</v>
      </c>
      <c r="K20" s="1216" t="s">
        <v>778</v>
      </c>
      <c r="L20" s="1216" t="s">
        <v>778</v>
      </c>
      <c r="M20" s="289" t="s">
        <v>238</v>
      </c>
      <c r="N20" s="289" t="s">
        <v>239</v>
      </c>
      <c r="O20" s="136">
        <f>COUNTIF(ABSEN!M:M,"MUHAMMAD TAHIR (Sahmin)")</f>
        <v>1</v>
      </c>
      <c r="P20" s="136">
        <f>COUNTIF(ABSEN!N:N,"MUHAMMAD TAHIR (Sahmin)")</f>
        <v>1</v>
      </c>
      <c r="Q20" s="136">
        <f>COUNTIF(ABSEN!O:O,"MUHAMMAD TAHIR (Sahmin)")</f>
        <v>1</v>
      </c>
      <c r="R20" s="136">
        <f>COUNTIF(ABSEN!P:P,"MUHAMMAD TAHIR (Sahmin)")</f>
        <v>1</v>
      </c>
      <c r="S20" s="136">
        <f>COUNTIF(ABSEN!Q:Q,"MUHAMMAD TAHIR (Sahmin)")</f>
        <v>1</v>
      </c>
      <c r="T20" s="289" t="s">
        <v>238</v>
      </c>
      <c r="U20" s="136">
        <f>COUNTIF(ABSEN!S:S,"MUHAMMAD TAHIR (Sahmin)")</f>
        <v>1</v>
      </c>
      <c r="V20" s="136">
        <f>COUNTIF(ABSEN!T:T,"MUHAMMAD TAHIR (Sahmin)")</f>
        <v>1</v>
      </c>
      <c r="W20" s="136">
        <f>COUNTIF(ABSEN!U:U,"MUHAMMAD TAHIR (Sahmin)")</f>
        <v>1</v>
      </c>
      <c r="X20" s="136">
        <f>COUNTIF(ABSEN!V:V,"MUHAMMAD TAHIR (Sahmin)")</f>
        <v>1</v>
      </c>
      <c r="Y20" s="136">
        <f>COUNTIF(ABSEN!W:W,"MUHAMMAD TAHIR (Sahmin)")</f>
        <v>1</v>
      </c>
      <c r="Z20" s="136">
        <f>COUNTIF(ABSEN!X:X,"MUHAMMAD TAHIR (Sahmin)")</f>
        <v>1</v>
      </c>
      <c r="AA20" s="289" t="s">
        <v>238</v>
      </c>
      <c r="AB20" s="136">
        <f>COUNTIF(ABSEN!Z:Z,"MUHAMMAD TAHIR (Sahmin)")</f>
        <v>1</v>
      </c>
      <c r="AC20" s="136">
        <f>COUNTIF(ABSEN!AA:AA,"MUHAMMAD TAHIR (Sahmin)")</f>
        <v>1</v>
      </c>
      <c r="AD20" s="136">
        <f>COUNTIF(ABSEN!AB:AB,"MUHAMMAD TAHIR (Sahmin)")</f>
        <v>1</v>
      </c>
      <c r="AE20" s="289" t="s">
        <v>239</v>
      </c>
      <c r="AF20" s="136">
        <f>COUNTIF(ABSEN!AD:AD,"MUHAMMAD TAHIR (Sahmin)")</f>
        <v>1</v>
      </c>
      <c r="AG20" s="136">
        <f>COUNTIF(ABSEN!AE:AE,"MUHAMMAD TAHIR (Sahmin)")</f>
        <v>1</v>
      </c>
      <c r="AH20" s="137">
        <f t="shared" ref="AH20" si="38">SUM(C20:AG20)</f>
        <v>19</v>
      </c>
      <c r="AI20" s="138">
        <f t="shared" ref="AI20" si="39">COUNTIF(C20:AG20,"CT")</f>
        <v>2</v>
      </c>
      <c r="AJ20" s="136">
        <f t="shared" ref="AJ20" si="40">COUNTIF(C20:AG20,"S")</f>
        <v>3</v>
      </c>
      <c r="AK20" s="136">
        <f t="shared" ref="AK20" si="41">COUNTIF(C20:AG20,"H1")</f>
        <v>0</v>
      </c>
      <c r="AL20" s="136">
        <f t="shared" ref="AL20" si="42">COUNTIF(C20:AG20,"MG")</f>
        <v>4</v>
      </c>
      <c r="AM20" s="136">
        <f t="shared" ref="AM20" si="43">COUNTIF(C20:AG20,"NAS")</f>
        <v>3</v>
      </c>
      <c r="AN20" s="136">
        <f t="shared" ref="AN20" si="44">COUNTIF(C20:AG20,"H2")</f>
        <v>0</v>
      </c>
      <c r="AO20" s="139">
        <f t="shared" ref="AO20" si="45">COUNTIF(C20:AG20,"P1")</f>
        <v>0</v>
      </c>
      <c r="AP20" s="137">
        <f t="shared" ref="AP20" si="46">+AH20+AI20+AJ20+AK20+AL20+AM20+AN20+AO20</f>
        <v>31</v>
      </c>
      <c r="AQ20" s="138">
        <f t="shared" ref="AQ20" si="47">COUNTIF(C20:AG20,"CTH")</f>
        <v>0</v>
      </c>
      <c r="AR20" s="140">
        <f t="shared" ref="AR20" si="48">COUNTIF(C20:AG20,"A")</f>
        <v>0</v>
      </c>
      <c r="AS20" s="141"/>
      <c r="AT20" s="142">
        <f t="shared" ref="AT20" si="49">AP20-AS20</f>
        <v>31</v>
      </c>
      <c r="AU20" s="142"/>
      <c r="AV20" s="142"/>
      <c r="AW20" s="142"/>
    </row>
    <row r="21" spans="1:53" ht="43.5" customHeight="1">
      <c r="A21" s="134" t="s">
        <v>76</v>
      </c>
      <c r="B21" s="263" t="s">
        <v>469</v>
      </c>
      <c r="C21" s="289" t="s">
        <v>239</v>
      </c>
      <c r="D21" s="136">
        <f>COUNTIF(ABSEN!B:B,"TATO (MINTEN)")</f>
        <v>1</v>
      </c>
      <c r="E21" s="136" t="s">
        <v>780</v>
      </c>
      <c r="F21" s="289" t="s">
        <v>238</v>
      </c>
      <c r="G21" s="136">
        <f>COUNTIF(ABSEN!E:E,"TATO (MINTEN)")</f>
        <v>1</v>
      </c>
      <c r="H21" s="136">
        <f>COUNTIF(ABSEN!F:F,"TATO (MINTEN)")</f>
        <v>1</v>
      </c>
      <c r="I21" s="136">
        <f>COUNTIF(ABSEN!G:G,"TATO (MINTEN)")</f>
        <v>1</v>
      </c>
      <c r="J21" s="136">
        <f>COUNTIF(ABSEN!H:H,"TATO (MINTEN)")</f>
        <v>1</v>
      </c>
      <c r="K21" s="136">
        <f>COUNTIF(ABSEN!I:I,"TATO (MINTEN)")</f>
        <v>1</v>
      </c>
      <c r="L21" s="136">
        <f>COUNTIF(ABSEN!J:J,"TATO (MINTEN)")</f>
        <v>1</v>
      </c>
      <c r="M21" s="289" t="s">
        <v>238</v>
      </c>
      <c r="N21" s="289" t="s">
        <v>239</v>
      </c>
      <c r="O21" s="136">
        <f>COUNTIF(ABSEN!M:M,"TATO (MINTEN)")</f>
        <v>1</v>
      </c>
      <c r="P21" s="136">
        <f>COUNTIF(ABSEN!N:N,"TATO (MINTEN)")</f>
        <v>1</v>
      </c>
      <c r="Q21" s="136">
        <f>COUNTIF(ABSEN!O:O,"TATO (MINTEN)")</f>
        <v>1</v>
      </c>
      <c r="R21" s="136">
        <f>COUNTIF(ABSEN!P:P,"TATO (MINTEN)")</f>
        <v>1</v>
      </c>
      <c r="S21" s="136">
        <f>COUNTIF(ABSEN!Q:Q,"TATO (MINTEN)")</f>
        <v>1</v>
      </c>
      <c r="T21" s="289" t="s">
        <v>238</v>
      </c>
      <c r="U21" s="136">
        <f>COUNTIF(ABSEN!S:S,"TATO (MINTEN)")</f>
        <v>1</v>
      </c>
      <c r="V21" s="136">
        <f>COUNTIF(ABSEN!T:T,"TATO (MINTEN)")</f>
        <v>1</v>
      </c>
      <c r="W21" s="136">
        <f>COUNTIF(ABSEN!U:U,"TATO (MINTEN)")</f>
        <v>1</v>
      </c>
      <c r="X21" s="136">
        <f>COUNTIF(ABSEN!V:V,"TATO (MINTEN)")</f>
        <v>1</v>
      </c>
      <c r="Y21" s="136">
        <f>COUNTIF(ABSEN!W:W,"TATO (MINTEN)")</f>
        <v>1</v>
      </c>
      <c r="Z21" s="136">
        <f>COUNTIF(ABSEN!X:X,"TATO (MINTEN)")</f>
        <v>1</v>
      </c>
      <c r="AA21" s="289" t="s">
        <v>238</v>
      </c>
      <c r="AB21" s="136">
        <f>COUNTIF(ABSEN!Z:Z,"TATO (MINTEN)")</f>
        <v>1</v>
      </c>
      <c r="AC21" s="136">
        <f>COUNTIF(ABSEN!AA:AA,"TATO (MINTEN)")</f>
        <v>1</v>
      </c>
      <c r="AD21" s="136">
        <f>COUNTIF(ABSEN!AB:AB,"TATO (MINTEN)")</f>
        <v>1</v>
      </c>
      <c r="AE21" s="289" t="s">
        <v>239</v>
      </c>
      <c r="AF21" s="136">
        <f>COUNTIF(ABSEN!AD:AD,"TATO (MINTEN)")</f>
        <v>1</v>
      </c>
      <c r="AG21" s="136">
        <f>COUNTIF(ABSEN!AE:AE,"TATO (MINTEN)")</f>
        <v>1</v>
      </c>
      <c r="AH21" s="168">
        <f t="shared" ref="AH21" si="50">SUM(C21:AG21)</f>
        <v>23</v>
      </c>
      <c r="AI21" s="172">
        <f>COUNTIF(C21:AG21,"CT")</f>
        <v>0</v>
      </c>
      <c r="AJ21" s="167">
        <f>COUNTIF(C21:AG21,"S")</f>
        <v>0</v>
      </c>
      <c r="AK21" s="167">
        <f>COUNTIF(C21:AG21,"H1")</f>
        <v>0</v>
      </c>
      <c r="AL21" s="167">
        <f>COUNTIF(C21:AG21,"MG")</f>
        <v>4</v>
      </c>
      <c r="AM21" s="167">
        <f>COUNTIF(C21:AG21,"NAS")</f>
        <v>3</v>
      </c>
      <c r="AN21" s="167">
        <f>COUNTIF(C21:AG21,"H2")</f>
        <v>0</v>
      </c>
      <c r="AO21" s="173">
        <f>COUNTIF(C21:AG21,"P1")</f>
        <v>0</v>
      </c>
      <c r="AP21" s="168">
        <f>+AH21+AI21+AJ21+AK21+AL21+AM21+AN21+AO21</f>
        <v>30</v>
      </c>
      <c r="AQ21" s="172">
        <f>COUNTIF(C21:AG21,"CTH")</f>
        <v>0</v>
      </c>
      <c r="AR21" s="174">
        <f>COUNTIF(C21:AG21,"A")</f>
        <v>1</v>
      </c>
      <c r="AS21" s="141"/>
      <c r="AT21" s="142">
        <f>AP21-AS21</f>
        <v>30</v>
      </c>
      <c r="AU21" s="142"/>
      <c r="AV21" s="142"/>
      <c r="AW21" s="142"/>
    </row>
    <row r="22" spans="1:53" ht="43.5" customHeight="1">
      <c r="A22" s="134" t="s">
        <v>77</v>
      </c>
      <c r="B22" s="263" t="s">
        <v>474</v>
      </c>
      <c r="C22" s="289" t="s">
        <v>239</v>
      </c>
      <c r="D22" s="136">
        <f>COUNTIF(ABSEN!B:B,"AGUS SURYADI (HAINI)")</f>
        <v>1</v>
      </c>
      <c r="E22" s="136">
        <f>COUNTIF(ABSEN!C:C,"AGUS SURYADI (HAINI)")</f>
        <v>1</v>
      </c>
      <c r="F22" s="289" t="s">
        <v>238</v>
      </c>
      <c r="G22" s="136">
        <f>COUNTIF(ABSEN!E:E,"AGUS SURYADI (HAINI)")</f>
        <v>1</v>
      </c>
      <c r="H22" s="136">
        <f>COUNTIF(ABSEN!F:F,"AGUS SURYADI (HAINI)")</f>
        <v>1</v>
      </c>
      <c r="I22" s="136">
        <f>COUNTIF(ABSEN!G:G,"AGUS SURYADI (HAINI)")</f>
        <v>1</v>
      </c>
      <c r="J22" s="136">
        <f>COUNTIF(ABSEN!H:H,"AGUS SURYADI (HAINI)")</f>
        <v>1</v>
      </c>
      <c r="K22" s="136">
        <f>COUNTIF(ABSEN!I:I,"AGUS SURYADI (HAINI)")</f>
        <v>1</v>
      </c>
      <c r="L22" s="136">
        <f>COUNTIF(ABSEN!J:J,"AGUS SURYADI (HAINI)")</f>
        <v>1</v>
      </c>
      <c r="M22" s="289" t="s">
        <v>238</v>
      </c>
      <c r="N22" s="289" t="s">
        <v>239</v>
      </c>
      <c r="O22" s="136">
        <f>COUNTIF(ABSEN!M:M,"AGUS SURYADI (HAINI)")</f>
        <v>1</v>
      </c>
      <c r="P22" s="136">
        <f>COUNTIF(ABSEN!N:N,"AGUS SURYADI (HAINI)")</f>
        <v>1</v>
      </c>
      <c r="Q22" s="136">
        <f>COUNTIF(ABSEN!O:O,"AGUS SURYADI (HAINI)")</f>
        <v>1</v>
      </c>
      <c r="R22" s="136">
        <f>COUNTIF(ABSEN!P:P,"AGUS SURYADI (HAINI)")</f>
        <v>1</v>
      </c>
      <c r="S22" s="136">
        <f>COUNTIF(ABSEN!Q:Q,"AGUS SURYADI (HAINI)")</f>
        <v>1</v>
      </c>
      <c r="T22" s="289" t="s">
        <v>238</v>
      </c>
      <c r="U22" s="136">
        <f>COUNTIF(ABSEN!S:S,"AGUS SURYADI (HAINI)")</f>
        <v>1</v>
      </c>
      <c r="V22" s="136">
        <f>COUNTIF(ABSEN!T:T,"AGUS SURYADI (HAINI)")</f>
        <v>1</v>
      </c>
      <c r="W22" s="136">
        <f>COUNTIF(ABSEN!U:U,"AGUS SURYADI (HAINI)")</f>
        <v>1</v>
      </c>
      <c r="X22" s="136">
        <f>COUNTIF(ABSEN!V:V,"AGUS SURYADI (HAINI)")</f>
        <v>1</v>
      </c>
      <c r="Y22" s="136">
        <f>COUNTIF(ABSEN!W:W,"AGUS SURYADI (HAINI)")</f>
        <v>1</v>
      </c>
      <c r="Z22" s="136">
        <f>COUNTIF(ABSEN!X:X,"AGUS SURYADI (HAINI)")</f>
        <v>1</v>
      </c>
      <c r="AA22" s="289" t="s">
        <v>238</v>
      </c>
      <c r="AB22" s="136">
        <f>COUNTIF(ABSEN!Z:Z,"AGUS SURYADI (HAINI)")</f>
        <v>1</v>
      </c>
      <c r="AC22" s="136">
        <f>COUNTIF(ABSEN!AA:AA,"AGUS SURYADI (HAINI)")</f>
        <v>1</v>
      </c>
      <c r="AD22" s="136">
        <f>COUNTIF(ABSEN!AB:AB,"AGUS SURYADI (HAINI)")</f>
        <v>1</v>
      </c>
      <c r="AE22" s="289" t="s">
        <v>239</v>
      </c>
      <c r="AF22" s="136">
        <f>COUNTIF(ABSEN!AD:AD,"AGUS SURYADI (HAINI)")</f>
        <v>1</v>
      </c>
      <c r="AG22" s="136">
        <f>COUNTIF(ABSEN!AE:AE,"AGUS SURYADI (HAINI)")</f>
        <v>1</v>
      </c>
      <c r="AH22" s="137">
        <f t="shared" ref="AH22:AH23" si="51">SUM(C22:AG22)</f>
        <v>24</v>
      </c>
      <c r="AI22" s="138">
        <f>COUNTIF(C22:AG22,"CT")</f>
        <v>0</v>
      </c>
      <c r="AJ22" s="136">
        <f>COUNTIF(C22:AG22,"S")</f>
        <v>0</v>
      </c>
      <c r="AK22" s="136">
        <f>COUNTIF(C22:AG22,"H1")</f>
        <v>0</v>
      </c>
      <c r="AL22" s="136">
        <f>COUNTIF(C22:AG22,"MG")</f>
        <v>4</v>
      </c>
      <c r="AM22" s="136">
        <f>COUNTIF(C22:AG22,"NAS")</f>
        <v>3</v>
      </c>
      <c r="AN22" s="136">
        <f>COUNTIF(C22:AG22,"H2")</f>
        <v>0</v>
      </c>
      <c r="AO22" s="139">
        <f>COUNTIF(C22:AG22,"P1")</f>
        <v>0</v>
      </c>
      <c r="AP22" s="137">
        <f>+AH22+AI22+AJ22+AK22+AL22+AM22+AN22+AO22</f>
        <v>31</v>
      </c>
      <c r="AQ22" s="138">
        <f>COUNTIF(C22:AG22,"CTH")</f>
        <v>0</v>
      </c>
      <c r="AR22" s="140">
        <f>COUNTIF(C22:AG22,"A")</f>
        <v>0</v>
      </c>
      <c r="AS22" s="141"/>
      <c r="AT22" s="142">
        <f>AP22-AS22</f>
        <v>31</v>
      </c>
      <c r="AU22" s="142"/>
      <c r="AV22" s="142"/>
      <c r="AW22" s="142"/>
    </row>
    <row r="23" spans="1:53" ht="43.5" customHeight="1">
      <c r="A23" s="134" t="s">
        <v>78</v>
      </c>
      <c r="B23" s="262" t="s">
        <v>555</v>
      </c>
      <c r="C23" s="289" t="s">
        <v>239</v>
      </c>
      <c r="D23" s="136">
        <f>COUNTIF(ABSEN!B:B,"ALMAN ( Inaq Alman )")</f>
        <v>1</v>
      </c>
      <c r="E23" s="136">
        <f>COUNTIF(ABSEN!C:C,"ALMAN ( Inaq Alman )")</f>
        <v>1</v>
      </c>
      <c r="F23" s="289" t="s">
        <v>238</v>
      </c>
      <c r="G23" s="136">
        <f>COUNTIF(ABSEN!E:E,"ALMAN ( Inaq Alman )")</f>
        <v>1</v>
      </c>
      <c r="H23" s="136">
        <f>COUNTIF(ABSEN!F:F,"ALMAN ( Inaq Alman )")</f>
        <v>1</v>
      </c>
      <c r="I23" s="136">
        <f>COUNTIF(ABSEN!G:G,"ALMAN ( Inaq Alman )")</f>
        <v>1</v>
      </c>
      <c r="J23" s="136">
        <f>COUNTIF(ABSEN!H:H,"ALMAN ( Inaq Alman )")</f>
        <v>1</v>
      </c>
      <c r="K23" s="136">
        <f>COUNTIF(ABSEN!I:I,"ALMAN ( Inaq Alman )")</f>
        <v>1</v>
      </c>
      <c r="L23" s="136">
        <f>COUNTIF(ABSEN!J:J,"ALMAN ( Inaq Alman )")</f>
        <v>1</v>
      </c>
      <c r="M23" s="289" t="s">
        <v>238</v>
      </c>
      <c r="N23" s="289" t="s">
        <v>239</v>
      </c>
      <c r="O23" s="136">
        <f>COUNTIF(ABSEN!M:M,"ALMAN ( Inaq Alman )")</f>
        <v>1</v>
      </c>
      <c r="P23" s="136">
        <f>COUNTIF(ABSEN!N:N,"ALMAN ( Inaq Alman )")</f>
        <v>1</v>
      </c>
      <c r="Q23" s="136">
        <f>COUNTIF(ABSEN!O:O,"ALMAN ( Inaq Alman )")</f>
        <v>1</v>
      </c>
      <c r="R23" s="136">
        <f>COUNTIF(ABSEN!P:P,"ALMAN ( Inaq Alman )")</f>
        <v>1</v>
      </c>
      <c r="S23" s="136">
        <f>COUNTIF(ABSEN!Q:Q,"ALMAN ( Inaq Alman )")</f>
        <v>1</v>
      </c>
      <c r="T23" s="289" t="s">
        <v>238</v>
      </c>
      <c r="U23" s="136">
        <f>COUNTIF(ABSEN!S:S,"ALMAN ( Inaq Alman )")</f>
        <v>1</v>
      </c>
      <c r="V23" s="136">
        <f>COUNTIF(ABSEN!T:T,"ALMAN ( Inaq Alman )")</f>
        <v>1</v>
      </c>
      <c r="W23" s="136">
        <f>COUNTIF(ABSEN!U:U,"ALMAN ( Inaq Alman )")</f>
        <v>1</v>
      </c>
      <c r="X23" s="136">
        <f>COUNTIF(ABSEN!V:V,"ALMAN ( Inaq Alman )")</f>
        <v>1</v>
      </c>
      <c r="Y23" s="136">
        <f>COUNTIF(ABSEN!W:W,"ALMAN ( Inaq Alman )")</f>
        <v>1</v>
      </c>
      <c r="Z23" s="136">
        <f>COUNTIF(ABSEN!X:X,"ALMAN ( Inaq Alman )")</f>
        <v>1</v>
      </c>
      <c r="AA23" s="289" t="s">
        <v>238</v>
      </c>
      <c r="AB23" s="136">
        <f>COUNTIF(ABSEN!Z:Z,"ALMAN ( Inaq Alman )")</f>
        <v>1</v>
      </c>
      <c r="AC23" s="136">
        <f>COUNTIF(ABSEN!AA:AA,"ALMAN ( Inaq Alman )")</f>
        <v>1</v>
      </c>
      <c r="AD23" s="136">
        <f>COUNTIF(ABSEN!AB:AB,"ALMAN ( Inaq Alman )")</f>
        <v>1</v>
      </c>
      <c r="AE23" s="289" t="s">
        <v>239</v>
      </c>
      <c r="AF23" s="136">
        <f>COUNTIF(ABSEN!AD:AD,"ALMAN ( Inaq Alman )")</f>
        <v>1</v>
      </c>
      <c r="AG23" s="136">
        <f>COUNTIF(ABSEN!AE:AE,"ALMAN ( Inaq Alman )")</f>
        <v>1</v>
      </c>
      <c r="AH23" s="137">
        <f t="shared" si="51"/>
        <v>24</v>
      </c>
      <c r="AI23" s="138">
        <f t="shared" ref="AI23:AI24" si="52">COUNTIF(C23:AG23,"CT")</f>
        <v>0</v>
      </c>
      <c r="AJ23" s="136">
        <f t="shared" ref="AJ23:AJ24" si="53">COUNTIF(C23:AG23,"S")</f>
        <v>0</v>
      </c>
      <c r="AK23" s="136">
        <f t="shared" ref="AK23:AK24" si="54">COUNTIF(C23:AG23,"H1")</f>
        <v>0</v>
      </c>
      <c r="AL23" s="136">
        <f t="shared" ref="AL23:AL24" si="55">COUNTIF(C23:AG23,"MG")</f>
        <v>4</v>
      </c>
      <c r="AM23" s="136">
        <f t="shared" ref="AM23:AM24" si="56">COUNTIF(C23:AG23,"NAS")</f>
        <v>3</v>
      </c>
      <c r="AN23" s="136">
        <f t="shared" ref="AN23:AN24" si="57">COUNTIF(C23:AG23,"H2")</f>
        <v>0</v>
      </c>
      <c r="AO23" s="139">
        <f t="shared" ref="AO23:AO24" si="58">COUNTIF(C23:AG23,"P1")</f>
        <v>0</v>
      </c>
      <c r="AP23" s="137">
        <f t="shared" ref="AP23:AP24" si="59">+AH23+AI23+AJ23+AK23+AL23+AM23+AN23+AO23</f>
        <v>31</v>
      </c>
      <c r="AQ23" s="518">
        <f t="shared" ref="AQ23:AQ24" si="60">COUNTIF(C23:AG23,"CTH")</f>
        <v>0</v>
      </c>
      <c r="AR23" s="519">
        <f t="shared" ref="AR23:AR24" si="61">COUNTIF(C23:AG23,"A")</f>
        <v>0</v>
      </c>
      <c r="AS23" s="141"/>
      <c r="AT23" s="142">
        <f t="shared" ref="AT23:AT24" si="62">AP23-AS23</f>
        <v>31</v>
      </c>
      <c r="AU23" s="142"/>
      <c r="AV23" s="142"/>
      <c r="AW23" s="142"/>
    </row>
    <row r="24" spans="1:53" ht="43.5" customHeight="1">
      <c r="A24" s="134" t="s">
        <v>79</v>
      </c>
      <c r="B24" s="262" t="s">
        <v>647</v>
      </c>
      <c r="C24" s="289" t="s">
        <v>239</v>
      </c>
      <c r="D24" s="1216" t="s">
        <v>778</v>
      </c>
      <c r="E24" s="136">
        <f>COUNTIF(ABSEN!C:C,"HERI SUTANTO (MUSRI)")</f>
        <v>1</v>
      </c>
      <c r="F24" s="289" t="s">
        <v>238</v>
      </c>
      <c r="G24" s="136">
        <f>COUNTIF(ABSEN!E:E,"HERI SUTANTO (MUSRI)")</f>
        <v>1</v>
      </c>
      <c r="H24" s="136">
        <f>COUNTIF(ABSEN!F:F,"HERI SUTANTO (MUSRI)")</f>
        <v>1</v>
      </c>
      <c r="I24" s="136">
        <f>COUNTIF(ABSEN!G:G,"HERI SUTANTO (MUSRI)")</f>
        <v>1</v>
      </c>
      <c r="J24" s="1216" t="s">
        <v>777</v>
      </c>
      <c r="K24" s="136">
        <f>COUNTIF(ABSEN!I:I,"HERI SUTANTO (MUSRI)")</f>
        <v>1</v>
      </c>
      <c r="L24" s="136">
        <f>COUNTIF(ABSEN!J:J,"HERI SUTANTO (MUSRI)")</f>
        <v>1</v>
      </c>
      <c r="M24" s="289" t="s">
        <v>238</v>
      </c>
      <c r="N24" s="289" t="s">
        <v>239</v>
      </c>
      <c r="O24" s="136">
        <f>COUNTIF(ABSEN!M:M,"HERI SUTANTO (MUSRI)")</f>
        <v>1</v>
      </c>
      <c r="P24" s="136">
        <f>COUNTIF(ABSEN!N:N,"HERI SUTANTO (MUSRI)")</f>
        <v>1</v>
      </c>
      <c r="Q24" s="136">
        <f>COUNTIF(ABSEN!O:O,"HERI SUTANTO (MUSRI)")</f>
        <v>1</v>
      </c>
      <c r="R24" s="136">
        <f>COUNTIF(ABSEN!P:P,"HERI SUTANTO (MUSRI)")</f>
        <v>1</v>
      </c>
      <c r="S24" s="136">
        <f>COUNTIF(ABSEN!Q:Q,"HERI SUTANTO (MUSRI)")</f>
        <v>1</v>
      </c>
      <c r="T24" s="289" t="s">
        <v>238</v>
      </c>
      <c r="U24" s="136">
        <f>COUNTIF(ABSEN!S:S,"HERI SUTANTO (MUSRI)")</f>
        <v>1</v>
      </c>
      <c r="V24" s="136">
        <f>COUNTIF(ABSEN!T:T,"HERI SUTANTO (MUSRI)")</f>
        <v>1</v>
      </c>
      <c r="W24" s="136">
        <f>COUNTIF(ABSEN!U:U,"HERI SUTANTO (MUSRI)")</f>
        <v>1</v>
      </c>
      <c r="X24" s="136" t="s">
        <v>780</v>
      </c>
      <c r="Y24" s="136">
        <f>COUNTIF(ABSEN!W:W,"HERI SUTANTO (MUSRI)")</f>
        <v>1</v>
      </c>
      <c r="Z24" s="136">
        <f>COUNTIF(ABSEN!X:X,"HERI SUTANTO (MUSRI)")</f>
        <v>1</v>
      </c>
      <c r="AA24" s="289" t="s">
        <v>238</v>
      </c>
      <c r="AB24" s="136">
        <f>COUNTIF(ABSEN!Z:Z,"HERI SUTANTO (MUSRI)")</f>
        <v>1</v>
      </c>
      <c r="AC24" s="136" t="s">
        <v>780</v>
      </c>
      <c r="AD24" s="136">
        <f>COUNTIF(ABSEN!AB:AB,"HERI SUTANTO (MUSRI)")</f>
        <v>1</v>
      </c>
      <c r="AE24" s="289" t="s">
        <v>239</v>
      </c>
      <c r="AF24" s="136">
        <f>COUNTIF(ABSEN!AD:AD,"HERI SUTANTO (MUSRI)")</f>
        <v>1</v>
      </c>
      <c r="AG24" s="136">
        <f>COUNTIF(ABSEN!AE:AE,"HERI SUTANTO (MUSRI)")</f>
        <v>1</v>
      </c>
      <c r="AH24" s="137">
        <f t="shared" ref="AH24" si="63">SUM(C24:AG24)</f>
        <v>20</v>
      </c>
      <c r="AI24" s="138">
        <f t="shared" si="52"/>
        <v>1</v>
      </c>
      <c r="AJ24" s="136">
        <f t="shared" si="53"/>
        <v>1</v>
      </c>
      <c r="AK24" s="136">
        <f t="shared" si="54"/>
        <v>0</v>
      </c>
      <c r="AL24" s="136">
        <f t="shared" si="55"/>
        <v>4</v>
      </c>
      <c r="AM24" s="136">
        <f t="shared" si="56"/>
        <v>3</v>
      </c>
      <c r="AN24" s="136">
        <f t="shared" si="57"/>
        <v>0</v>
      </c>
      <c r="AO24" s="139">
        <f t="shared" si="58"/>
        <v>0</v>
      </c>
      <c r="AP24" s="137">
        <f t="shared" si="59"/>
        <v>29</v>
      </c>
      <c r="AQ24" s="518">
        <f t="shared" si="60"/>
        <v>0</v>
      </c>
      <c r="AR24" s="519">
        <f t="shared" si="61"/>
        <v>2</v>
      </c>
      <c r="AS24" s="141"/>
      <c r="AT24" s="142">
        <f t="shared" si="62"/>
        <v>29</v>
      </c>
      <c r="AU24" s="142"/>
      <c r="AV24" s="142"/>
      <c r="AW24" s="142"/>
    </row>
    <row r="25" spans="1:53" s="1293" customFormat="1" ht="43.5" customHeight="1">
      <c r="A25" s="1299" t="s">
        <v>80</v>
      </c>
      <c r="B25" s="1283" t="s">
        <v>646</v>
      </c>
      <c r="C25" s="1216" t="s">
        <v>239</v>
      </c>
      <c r="D25" s="1216">
        <f>COUNTIF(ABSEN!B:B,"SUPRIYONO (TURAH)")</f>
        <v>1</v>
      </c>
      <c r="E25" s="1216">
        <f>COUNTIF(ABSEN!C:C,"SUPRIYONO (TURAH)")</f>
        <v>1</v>
      </c>
      <c r="F25" s="1216" t="s">
        <v>238</v>
      </c>
      <c r="G25" s="1216">
        <f>COUNTIF(ABSEN!E:E,"SUPRIYONO (TURAH)")</f>
        <v>1</v>
      </c>
      <c r="H25" s="1216">
        <f>COUNTIF(ABSEN!F:F,"SUPRIYONO (TURAH)")</f>
        <v>1</v>
      </c>
      <c r="I25" s="1216">
        <f>COUNTIF(ABSEN!G:G,"SUPRIYONO (TURAH)")</f>
        <v>1</v>
      </c>
      <c r="J25" s="1216">
        <f>COUNTIF(ABSEN!H:H,"SUPRIYONO (TURAH)")</f>
        <v>1</v>
      </c>
      <c r="K25" s="1216">
        <f>COUNTIF(ABSEN!I:I,"SUPRIYONO (TURAH)")</f>
        <v>1</v>
      </c>
      <c r="L25" s="1216">
        <f>COUNTIF(ABSEN!J:J,"SUPRIYONO (TURAH)")</f>
        <v>1</v>
      </c>
      <c r="M25" s="1216" t="s">
        <v>238</v>
      </c>
      <c r="N25" s="1216" t="s">
        <v>239</v>
      </c>
      <c r="O25" s="1216">
        <f>COUNTIF(ABSEN!M:M,"SUPRIYONO (TURAH)")</f>
        <v>1</v>
      </c>
      <c r="P25" s="1216" t="s">
        <v>780</v>
      </c>
      <c r="Q25" s="1216">
        <f>COUNTIF(ABSEN!O:O,"SUPRIYONO (TURAH)")</f>
        <v>1</v>
      </c>
      <c r="R25" s="1216">
        <f>COUNTIF(ABSEN!P:P,"SUPRIYONO (TURAH)")</f>
        <v>1</v>
      </c>
      <c r="S25" s="1216">
        <f>COUNTIF(ABSEN!Q:Q,"SUPRIYONO (TURAH)")</f>
        <v>1</v>
      </c>
      <c r="T25" s="1216" t="s">
        <v>238</v>
      </c>
      <c r="U25" s="1216">
        <f>COUNTIF(ABSEN!S:S,"SUPRIYONO (TURAH)")</f>
        <v>1</v>
      </c>
      <c r="V25" s="1216" t="s">
        <v>780</v>
      </c>
      <c r="W25" s="1216" t="s">
        <v>780</v>
      </c>
      <c r="X25" s="1216" t="s">
        <v>780</v>
      </c>
      <c r="Y25" s="1216">
        <f>COUNTIF(ABSEN!W:W,"SUPRIYONO (TURAH)")</f>
        <v>0</v>
      </c>
      <c r="Z25" s="1216">
        <f>COUNTIF(ABSEN!X:X,"SUPRIYONO (TURAH)")</f>
        <v>0</v>
      </c>
      <c r="AA25" s="1216"/>
      <c r="AB25" s="1216">
        <f>COUNTIF(ABSEN!Z:Z,"SUPRIYONO (TURAH)")</f>
        <v>0</v>
      </c>
      <c r="AC25" s="1216">
        <f>COUNTIF(ABSEN!AA:AA,"SUPRIYONO (TURAH)")</f>
        <v>0</v>
      </c>
      <c r="AD25" s="1216">
        <f>COUNTIF(ABSEN!AB:AB,"SUPRIYONO (TURAH)")</f>
        <v>0</v>
      </c>
      <c r="AE25" s="1216"/>
      <c r="AF25" s="1216">
        <f>COUNTIF(ABSEN!AD:AD,"SUPRIYONO (TURAH)")</f>
        <v>0</v>
      </c>
      <c r="AG25" s="1216">
        <f>COUNTIF(ABSEN!AE:AE,"SUPRIYONO (TURAH)")</f>
        <v>0</v>
      </c>
      <c r="AH25" s="1284">
        <f t="shared" ref="AH25" si="64">SUM(C25:AG25)</f>
        <v>13</v>
      </c>
      <c r="AI25" s="1285">
        <f t="shared" ref="AI25" si="65">COUNTIF(C25:AG25,"CT")</f>
        <v>0</v>
      </c>
      <c r="AJ25" s="1216">
        <f t="shared" ref="AJ25:AJ28" si="66">COUNTIF(C25:AG25,"S")</f>
        <v>0</v>
      </c>
      <c r="AK25" s="1216">
        <f t="shared" ref="AK25:AK28" si="67">COUNTIF(C25:AG25,"H1")</f>
        <v>0</v>
      </c>
      <c r="AL25" s="1216">
        <f t="shared" ref="AL25" si="68">COUNTIF(C25:AG25,"MG")</f>
        <v>3</v>
      </c>
      <c r="AM25" s="1216">
        <f t="shared" ref="AM25:AM28" si="69">COUNTIF(C25:AG25,"NAS")</f>
        <v>2</v>
      </c>
      <c r="AN25" s="1216">
        <f t="shared" ref="AN25:AN28" si="70">COUNTIF(C25:AG25,"H2")</f>
        <v>0</v>
      </c>
      <c r="AO25" s="1286">
        <f t="shared" ref="AO25:AO28" si="71">COUNTIF(C25:AG25,"P1")</f>
        <v>0</v>
      </c>
      <c r="AP25" s="1284">
        <f t="shared" ref="AP25:AP28" si="72">+AH25+AI25+AJ25+AK25+AL25+AM25+AN25+AO25</f>
        <v>18</v>
      </c>
      <c r="AQ25" s="1287">
        <f t="shared" ref="AQ25:AQ28" si="73">COUNTIF(C25:AG25,"CTH")</f>
        <v>0</v>
      </c>
      <c r="AR25" s="1288">
        <f t="shared" ref="AR25:AR28" si="74">COUNTIF(C25:AG25,"A")</f>
        <v>4</v>
      </c>
      <c r="AS25" s="1289"/>
      <c r="AT25" s="1290">
        <f t="shared" ref="AT25" si="75">AP25-AS25</f>
        <v>18</v>
      </c>
      <c r="AU25" s="1290"/>
      <c r="AV25" s="1290"/>
      <c r="AW25" s="1290" t="s">
        <v>693</v>
      </c>
      <c r="AX25" s="1291">
        <f>3219520+1262000</f>
        <v>4481520</v>
      </c>
      <c r="AY25" s="1292">
        <f>AX25/2</f>
        <v>2240760</v>
      </c>
      <c r="AZ25" s="1292">
        <f>AY25/3</f>
        <v>746920</v>
      </c>
    </row>
    <row r="26" spans="1:53" ht="43.5" customHeight="1">
      <c r="A26" s="603" t="s">
        <v>81</v>
      </c>
      <c r="B26" s="604" t="s">
        <v>688</v>
      </c>
      <c r="C26" s="289" t="s">
        <v>239</v>
      </c>
      <c r="D26" s="136">
        <f>COUNTIF(ABSEN!B:B,"AWALUDIN (INUN)")</f>
        <v>1</v>
      </c>
      <c r="E26" s="136">
        <f>COUNTIF(ABSEN!C:C,"AWALUDIN (INUN)")</f>
        <v>1</v>
      </c>
      <c r="F26" s="289" t="s">
        <v>238</v>
      </c>
      <c r="G26" s="136">
        <f>COUNTIF(ABSEN!E:E,"AWALUDIN (INUN)")</f>
        <v>1</v>
      </c>
      <c r="H26" s="136">
        <f>COUNTIF(ABSEN!F:F,"AWALUDIN (INUN)")</f>
        <v>1</v>
      </c>
      <c r="I26" s="136">
        <f>COUNTIF(ABSEN!G:G,"AWALUDIN (INUN)")</f>
        <v>1</v>
      </c>
      <c r="J26" s="136">
        <f>COUNTIF(ABSEN!H:H,"AWALUDIN (INUN)")</f>
        <v>1</v>
      </c>
      <c r="K26" s="136">
        <f>COUNTIF(ABSEN!I:I,"AWALUDIN (INUN)")</f>
        <v>1</v>
      </c>
      <c r="L26" s="136">
        <f>COUNTIF(ABSEN!J:J,"AWALUDIN (INUN)")</f>
        <v>1</v>
      </c>
      <c r="M26" s="289" t="s">
        <v>238</v>
      </c>
      <c r="N26" s="289" t="s">
        <v>239</v>
      </c>
      <c r="O26" s="136">
        <f>COUNTIF(ABSEN!M:M,"AWALUDIN (INUN)")</f>
        <v>1</v>
      </c>
      <c r="P26" s="136">
        <f>COUNTIF(ABSEN!N:N,"AWALUDIN (INUN)")</f>
        <v>1</v>
      </c>
      <c r="Q26" s="136">
        <f>COUNTIF(ABSEN!O:O,"AWALUDIN (INUN)")</f>
        <v>1</v>
      </c>
      <c r="R26" s="136">
        <f>COUNTIF(ABSEN!P:P,"AWALUDIN (INUN)")</f>
        <v>1</v>
      </c>
      <c r="S26" s="136">
        <f>COUNTIF(ABSEN!Q:Q,"AWALUDIN (INUN)")</f>
        <v>1</v>
      </c>
      <c r="T26" s="289" t="s">
        <v>238</v>
      </c>
      <c r="U26" s="136">
        <f>COUNTIF(ABSEN!S:S,"AWALUDIN (INUN)")</f>
        <v>1</v>
      </c>
      <c r="V26" s="136">
        <f>COUNTIF(ABSEN!T:T,"AWALUDIN (INUN)")</f>
        <v>1</v>
      </c>
      <c r="W26" s="136">
        <f>COUNTIF(ABSEN!U:U,"AWALUDIN (INUN)")</f>
        <v>1</v>
      </c>
      <c r="X26" s="136">
        <f>COUNTIF(ABSEN!V:V,"AWALUDIN (INUN)")</f>
        <v>1</v>
      </c>
      <c r="Y26" s="136">
        <f>COUNTIF(ABSEN!W:W,"AWALUDIN (INUN)")</f>
        <v>1</v>
      </c>
      <c r="Z26" s="136">
        <f>COUNTIF(ABSEN!X:X,"AWALUDIN (INUN)")</f>
        <v>1</v>
      </c>
      <c r="AA26" s="289" t="s">
        <v>238</v>
      </c>
      <c r="AB26" s="136">
        <f>COUNTIF(ABSEN!Z:Z,"AWALUDIN (INUN)")</f>
        <v>1</v>
      </c>
      <c r="AC26" s="136">
        <f>COUNTIF(ABSEN!AA:AA,"AWALUDIN (INUN)")</f>
        <v>1</v>
      </c>
      <c r="AD26" s="136">
        <f>COUNTIF(ABSEN!AB:AB,"AWALUDIN (INUN)")</f>
        <v>1</v>
      </c>
      <c r="AE26" s="289" t="s">
        <v>239</v>
      </c>
      <c r="AF26" s="136">
        <f>COUNTIF(ABSEN!AD:AD,"AWALUDIN (INUN)")</f>
        <v>1</v>
      </c>
      <c r="AG26" s="136">
        <f>COUNTIF(ABSEN!AE:AE,"AWALUDIN (INUN)")</f>
        <v>1</v>
      </c>
      <c r="AH26" s="137">
        <f>SUM(C26:AG26)</f>
        <v>24</v>
      </c>
      <c r="AI26" s="138">
        <f>COUNTIF(C26:AG26,"CT")</f>
        <v>0</v>
      </c>
      <c r="AJ26" s="136">
        <f t="shared" si="66"/>
        <v>0</v>
      </c>
      <c r="AK26" s="136">
        <f t="shared" si="67"/>
        <v>0</v>
      </c>
      <c r="AL26" s="136">
        <f>COUNTIF(C26:AG26,"MG")</f>
        <v>4</v>
      </c>
      <c r="AM26" s="136">
        <f t="shared" si="69"/>
        <v>3</v>
      </c>
      <c r="AN26" s="136">
        <f t="shared" si="70"/>
        <v>0</v>
      </c>
      <c r="AO26" s="139">
        <f t="shared" si="71"/>
        <v>0</v>
      </c>
      <c r="AP26" s="137">
        <f t="shared" si="72"/>
        <v>31</v>
      </c>
      <c r="AQ26" s="518">
        <f t="shared" si="73"/>
        <v>0</v>
      </c>
      <c r="AR26" s="519">
        <f t="shared" si="74"/>
        <v>0</v>
      </c>
      <c r="AS26" s="141"/>
      <c r="AT26" s="142"/>
      <c r="AU26" s="142"/>
      <c r="AV26" s="142"/>
      <c r="AW26" s="142"/>
      <c r="AX26" s="751"/>
      <c r="AY26" s="752"/>
      <c r="AZ26" s="752"/>
    </row>
    <row r="27" spans="1:53" s="1293" customFormat="1" ht="43.5" customHeight="1">
      <c r="A27" s="1282" t="s">
        <v>82</v>
      </c>
      <c r="B27" s="1283" t="s">
        <v>691</v>
      </c>
      <c r="C27" s="1216" t="s">
        <v>239</v>
      </c>
      <c r="D27" s="1216">
        <f>COUNTIF(ABSEN!B:B,"AHYAR RASIDI (NURHAENI)")</f>
        <v>1</v>
      </c>
      <c r="E27" s="1216">
        <f>COUNTIF(ABSEN!C:C,"AHYAR RASIDI (NURHAENI)")</f>
        <v>1</v>
      </c>
      <c r="F27" s="1216" t="s">
        <v>238</v>
      </c>
      <c r="G27" s="1216">
        <f>COUNTIF(ABSEN!E:E,"AHYAR RASIDI (NURHAENI)")</f>
        <v>1</v>
      </c>
      <c r="H27" s="1216">
        <f>COUNTIF(ABSEN!F:F,"AHYAR RASIDI (NURHAENI)")</f>
        <v>1</v>
      </c>
      <c r="I27" s="1216">
        <f>COUNTIF(ABSEN!G:G,"AHYAR RASIDI (NURHAENI)")</f>
        <v>1</v>
      </c>
      <c r="J27" s="1216">
        <f>COUNTIF(ABSEN!H:H,"AHYAR RASIDI (NURHAENI)")</f>
        <v>1</v>
      </c>
      <c r="K27" s="1216">
        <f>COUNTIF(ABSEN!I:I,"AHYAR RASIDI (NURHAENI)")</f>
        <v>1</v>
      </c>
      <c r="L27" s="1216">
        <f>COUNTIF(ABSEN!J:J,"AHYAR RASIDI (NURHAENI)")</f>
        <v>1</v>
      </c>
      <c r="M27" s="1216" t="s">
        <v>238</v>
      </c>
      <c r="N27" s="1216" t="s">
        <v>239</v>
      </c>
      <c r="O27" s="1216">
        <f>COUNTIF(ABSEN!M:M,"AHYAR RASIDI (NURHAENI)")</f>
        <v>1</v>
      </c>
      <c r="P27" s="1216">
        <f>COUNTIF(ABSEN!N:N,"AHYAR RASIDI (NURHAENI)")</f>
        <v>1</v>
      </c>
      <c r="Q27" s="1216">
        <f>COUNTIF(ABSEN!O:O,"AHYAR RASIDI (NURHAENI)")</f>
        <v>1</v>
      </c>
      <c r="R27" s="1216">
        <f>COUNTIF(ABSEN!P:P,"AHYAR RASIDI (NURHAENI)")</f>
        <v>1</v>
      </c>
      <c r="S27" s="1216">
        <f>COUNTIF(ABSEN!Q:Q,"AHYAR RASIDI (NURHAENI)")</f>
        <v>1</v>
      </c>
      <c r="T27" s="1216" t="s">
        <v>238</v>
      </c>
      <c r="U27" s="1216">
        <f>COUNTIF(ABSEN!S:S,"AHYAR RASIDI (NURHAENI)")</f>
        <v>1</v>
      </c>
      <c r="V27" s="1216">
        <f>COUNTIF(ABSEN!T:T,"AHYAR RASIDI (NURHAENI)")</f>
        <v>1</v>
      </c>
      <c r="W27" s="1216">
        <f>COUNTIF(ABSEN!U:U,"AHYAR RASIDI (NURHAENI)")</f>
        <v>1</v>
      </c>
      <c r="X27" s="1216">
        <f>COUNTIF(ABSEN!V:V,"AHYAR RASIDI (NURHAENI)")</f>
        <v>1</v>
      </c>
      <c r="Y27" s="1216">
        <f>COUNTIF(ABSEN!W:W,"AHYAR RASIDI (NURHAENI)")</f>
        <v>1</v>
      </c>
      <c r="Z27" s="1216">
        <f>COUNTIF(ABSEN!X:X,"AHYAR RASIDI (NURHAENI)")</f>
        <v>1</v>
      </c>
      <c r="AA27" s="1216" t="s">
        <v>238</v>
      </c>
      <c r="AB27" s="1216">
        <f>COUNTIF(ABSEN!Z:Z,"AHYAR RASIDI (NURHAENI)")</f>
        <v>1</v>
      </c>
      <c r="AC27" s="1216">
        <f>COUNTIF(ABSEN!AA:AA,"AHYAR RASIDI (NURHAENI)")</f>
        <v>1</v>
      </c>
      <c r="AD27" s="1216">
        <f>COUNTIF(ABSEN!AB:AB,"AHYAR RASIDI (NURHAENI)")</f>
        <v>1</v>
      </c>
      <c r="AE27" s="1216" t="s">
        <v>239</v>
      </c>
      <c r="AF27" s="1216">
        <f>COUNTIF(ABSEN!AD:AD,"AHYAR RASIDI (NURHAENI)")</f>
        <v>1</v>
      </c>
      <c r="AG27" s="1216">
        <f>COUNTIF(ABSEN!AE:AE,"AHYAR RASIDI (NURHAENI)")</f>
        <v>1</v>
      </c>
      <c r="AH27" s="1284">
        <f t="shared" ref="AH27:AH28" si="76">SUM(C27:AG27)</f>
        <v>24</v>
      </c>
      <c r="AI27" s="1285">
        <f t="shared" ref="AI27:AI28" si="77">COUNTIF(C27:AG27,"CT")</f>
        <v>0</v>
      </c>
      <c r="AJ27" s="1216">
        <f t="shared" si="66"/>
        <v>0</v>
      </c>
      <c r="AK27" s="1216">
        <f t="shared" si="67"/>
        <v>0</v>
      </c>
      <c r="AL27" s="1216">
        <f t="shared" ref="AL27:AL28" si="78">COUNTIF(C27:AG27,"MG")</f>
        <v>4</v>
      </c>
      <c r="AM27" s="1216">
        <f t="shared" si="69"/>
        <v>3</v>
      </c>
      <c r="AN27" s="1216">
        <f t="shared" si="70"/>
        <v>0</v>
      </c>
      <c r="AO27" s="1286">
        <f t="shared" si="71"/>
        <v>0</v>
      </c>
      <c r="AP27" s="1284">
        <f t="shared" si="72"/>
        <v>31</v>
      </c>
      <c r="AQ27" s="1287">
        <f t="shared" si="73"/>
        <v>0</v>
      </c>
      <c r="AR27" s="1288">
        <f t="shared" si="74"/>
        <v>0</v>
      </c>
      <c r="AS27" s="1289"/>
      <c r="AT27" s="1290">
        <f t="shared" ref="AT27:AT28" si="79">AP27-AS27</f>
        <v>31</v>
      </c>
      <c r="AU27" s="1290"/>
      <c r="AV27" s="1290"/>
      <c r="AW27" s="1283" t="s">
        <v>691</v>
      </c>
      <c r="AX27" s="1291">
        <v>746920</v>
      </c>
      <c r="AY27" s="1291">
        <v>746920</v>
      </c>
      <c r="AZ27" s="1291">
        <v>746920</v>
      </c>
      <c r="BA27" s="1292">
        <f>SUM(AX27:AZ27)</f>
        <v>2240760</v>
      </c>
    </row>
    <row r="28" spans="1:53" s="1293" customFormat="1" ht="43.5" customHeight="1" thickBot="1">
      <c r="A28" s="1282" t="s">
        <v>83</v>
      </c>
      <c r="B28" s="1283" t="s">
        <v>692</v>
      </c>
      <c r="C28" s="1216" t="s">
        <v>239</v>
      </c>
      <c r="D28" s="1216">
        <f>COUNTIF(ABSEN!B:B,"PAUZIWADI (SAHNUN)")</f>
        <v>1</v>
      </c>
      <c r="E28" s="1216">
        <f>COUNTIF(ABSEN!C:C,"PAUZIWADI (SAHNUN)")</f>
        <v>1</v>
      </c>
      <c r="F28" s="1216" t="s">
        <v>238</v>
      </c>
      <c r="G28" s="1216">
        <f>COUNTIF(ABSEN!E:E,"PAUZIWADI (SAHNUN)")</f>
        <v>1</v>
      </c>
      <c r="H28" s="1216">
        <f>COUNTIF(ABSEN!F:F,"PAUZIWADI (SAHNUN)")</f>
        <v>1</v>
      </c>
      <c r="I28" s="1216">
        <f>COUNTIF(ABSEN!G:G,"PAUZIWADI (SAHNUN)")</f>
        <v>1</v>
      </c>
      <c r="J28" s="1216">
        <f>COUNTIF(ABSEN!H:H,"PAUZIWADI (SAHNUN)")</f>
        <v>1</v>
      </c>
      <c r="K28" s="1216">
        <f>COUNTIF(ABSEN!I:I,"PAUZIWADI (SAHNUN)")</f>
        <v>1</v>
      </c>
      <c r="L28" s="1216">
        <f>COUNTIF(ABSEN!J:J,"PAUZIWADI (SAHNUN)")</f>
        <v>1</v>
      </c>
      <c r="M28" s="1216" t="s">
        <v>238</v>
      </c>
      <c r="N28" s="1216" t="s">
        <v>239</v>
      </c>
      <c r="O28" s="1216">
        <f>COUNTIF(ABSEN!M:M,"PAUZIWADI (SAHNUN)")</f>
        <v>1</v>
      </c>
      <c r="P28" s="1216">
        <f>COUNTIF(ABSEN!N:N,"PAUZIWADI (SAHNUN)")</f>
        <v>1</v>
      </c>
      <c r="Q28" s="1216">
        <f>COUNTIF(ABSEN!O:O,"PAUZIWADI (SAHNUN)")</f>
        <v>1</v>
      </c>
      <c r="R28" s="1216">
        <f>COUNTIF(ABSEN!P:P,"PAUZIWADI (SAHNUN)")</f>
        <v>1</v>
      </c>
      <c r="S28" s="1216">
        <f>COUNTIF(ABSEN!Q:Q,"PAUZIWADI (SAHNUN)")</f>
        <v>1</v>
      </c>
      <c r="T28" s="1216" t="s">
        <v>238</v>
      </c>
      <c r="U28" s="1216">
        <f>COUNTIF(ABSEN!S:S,"PAUZIWADI (SAHNUN)")</f>
        <v>1</v>
      </c>
      <c r="V28" s="1216">
        <f>COUNTIF(ABSEN!T:T,"PAUZIWADI (SAHNUN)")</f>
        <v>1</v>
      </c>
      <c r="W28" s="1216">
        <f>COUNTIF(ABSEN!U:U,"PAUZIWADI (SAHNUN)")</f>
        <v>1</v>
      </c>
      <c r="X28" s="1216">
        <f>COUNTIF(ABSEN!V:V,"PAUZIWADI (SAHNUN)")</f>
        <v>1</v>
      </c>
      <c r="Y28" s="1216">
        <f>COUNTIF(ABSEN!W:W,"PAUZIWADI (SAHNUN)")</f>
        <v>1</v>
      </c>
      <c r="Z28" s="1216">
        <f>COUNTIF(ABSEN!X:X,"PAUZIWADI (SAHNUN)")</f>
        <v>1</v>
      </c>
      <c r="AA28" s="1216" t="s">
        <v>238</v>
      </c>
      <c r="AB28" s="1216">
        <f>COUNTIF(ABSEN!Z:Z,"PAUZIWADI (SAHNUN)")</f>
        <v>1</v>
      </c>
      <c r="AC28" s="1216">
        <f>COUNTIF(ABSEN!AA:AA,"PAUZIWADI (SAHNUN)")</f>
        <v>1</v>
      </c>
      <c r="AD28" s="1216">
        <f>COUNTIF(ABSEN!AB:AB,"PAUZIWADI (SAHNUN)")</f>
        <v>1</v>
      </c>
      <c r="AE28" s="1216" t="s">
        <v>239</v>
      </c>
      <c r="AF28" s="1216">
        <f>COUNTIF(ABSEN!AD:AD,"PAUZIWADI (SAHNUN)")</f>
        <v>1</v>
      </c>
      <c r="AG28" s="1216">
        <f>COUNTIF(ABSEN!AE:AE,"PAUZIWADI (SAHNUN)")</f>
        <v>1</v>
      </c>
      <c r="AH28" s="1284">
        <f t="shared" si="76"/>
        <v>24</v>
      </c>
      <c r="AI28" s="1285">
        <f t="shared" si="77"/>
        <v>0</v>
      </c>
      <c r="AJ28" s="1216">
        <f t="shared" si="66"/>
        <v>0</v>
      </c>
      <c r="AK28" s="1216">
        <f t="shared" si="67"/>
        <v>0</v>
      </c>
      <c r="AL28" s="1216">
        <f t="shared" si="78"/>
        <v>4</v>
      </c>
      <c r="AM28" s="1216">
        <f t="shared" si="69"/>
        <v>3</v>
      </c>
      <c r="AN28" s="1216">
        <f t="shared" si="70"/>
        <v>0</v>
      </c>
      <c r="AO28" s="1286">
        <f t="shared" si="71"/>
        <v>0</v>
      </c>
      <c r="AP28" s="1284">
        <f t="shared" si="72"/>
        <v>31</v>
      </c>
      <c r="AQ28" s="1287">
        <f t="shared" si="73"/>
        <v>0</v>
      </c>
      <c r="AR28" s="1288">
        <f t="shared" si="74"/>
        <v>0</v>
      </c>
      <c r="AS28" s="1289"/>
      <c r="AT28" s="1290">
        <f t="shared" si="79"/>
        <v>31</v>
      </c>
      <c r="AU28" s="1290"/>
      <c r="AV28" s="1290"/>
      <c r="AW28" s="1283" t="s">
        <v>692</v>
      </c>
      <c r="AX28" s="1291">
        <v>746920</v>
      </c>
      <c r="AY28" s="1291">
        <v>746920</v>
      </c>
      <c r="AZ28" s="1291">
        <v>746920</v>
      </c>
      <c r="BA28" s="1292">
        <f>SUM(AX28:AZ28)</f>
        <v>2240760</v>
      </c>
    </row>
    <row r="29" spans="1:53" s="153" customFormat="1" ht="30.75" customHeight="1" thickBot="1">
      <c r="A29" s="147"/>
      <c r="B29" s="152" t="s">
        <v>38</v>
      </c>
      <c r="C29" s="150">
        <f>SUM(C7:C28)</f>
        <v>0</v>
      </c>
      <c r="D29" s="149">
        <f>SUM(D7:D28)</f>
        <v>20</v>
      </c>
      <c r="E29" s="149">
        <f t="shared" ref="E29:AT29" si="80">SUM(E7:E28)</f>
        <v>21</v>
      </c>
      <c r="F29" s="150">
        <f t="shared" si="80"/>
        <v>0</v>
      </c>
      <c r="G29" s="149">
        <f t="shared" si="80"/>
        <v>22</v>
      </c>
      <c r="H29" s="149">
        <f t="shared" si="80"/>
        <v>21</v>
      </c>
      <c r="I29" s="149">
        <f t="shared" si="80"/>
        <v>20</v>
      </c>
      <c r="J29" s="149">
        <f t="shared" si="80"/>
        <v>20</v>
      </c>
      <c r="K29" s="149">
        <f t="shared" si="80"/>
        <v>19</v>
      </c>
      <c r="L29" s="149">
        <f t="shared" si="80"/>
        <v>20</v>
      </c>
      <c r="M29" s="150">
        <f t="shared" si="80"/>
        <v>0</v>
      </c>
      <c r="N29" s="150">
        <f t="shared" si="80"/>
        <v>0</v>
      </c>
      <c r="O29" s="149">
        <f t="shared" si="80"/>
        <v>21</v>
      </c>
      <c r="P29" s="149">
        <f t="shared" si="80"/>
        <v>20</v>
      </c>
      <c r="Q29" s="149">
        <f t="shared" si="80"/>
        <v>20</v>
      </c>
      <c r="R29" s="149">
        <f t="shared" si="80"/>
        <v>21</v>
      </c>
      <c r="S29" s="149">
        <f t="shared" si="80"/>
        <v>22</v>
      </c>
      <c r="T29" s="150">
        <f t="shared" si="80"/>
        <v>0</v>
      </c>
      <c r="U29" s="149">
        <f t="shared" si="80"/>
        <v>21</v>
      </c>
      <c r="V29" s="149">
        <f t="shared" si="80"/>
        <v>20</v>
      </c>
      <c r="W29" s="149">
        <f t="shared" si="80"/>
        <v>21</v>
      </c>
      <c r="X29" s="149">
        <f t="shared" si="80"/>
        <v>20</v>
      </c>
      <c r="Y29" s="149">
        <f t="shared" si="80"/>
        <v>21</v>
      </c>
      <c r="Z29" s="149">
        <f t="shared" si="80"/>
        <v>21</v>
      </c>
      <c r="AA29" s="150">
        <f t="shared" si="80"/>
        <v>0</v>
      </c>
      <c r="AB29" s="149">
        <f t="shared" si="80"/>
        <v>20</v>
      </c>
      <c r="AC29" s="149">
        <f t="shared" si="80"/>
        <v>19</v>
      </c>
      <c r="AD29" s="149">
        <f t="shared" si="80"/>
        <v>20</v>
      </c>
      <c r="AE29" s="150">
        <f t="shared" si="80"/>
        <v>0</v>
      </c>
      <c r="AF29" s="149">
        <f t="shared" si="80"/>
        <v>21</v>
      </c>
      <c r="AG29" s="149">
        <f t="shared" si="80"/>
        <v>21</v>
      </c>
      <c r="AH29" s="151">
        <f t="shared" si="80"/>
        <v>492</v>
      </c>
      <c r="AI29" s="269">
        <f t="shared" si="80"/>
        <v>8</v>
      </c>
      <c r="AJ29" s="149">
        <f t="shared" si="80"/>
        <v>12</v>
      </c>
      <c r="AK29" s="149">
        <f t="shared" si="80"/>
        <v>2</v>
      </c>
      <c r="AL29" s="149">
        <f t="shared" si="80"/>
        <v>87</v>
      </c>
      <c r="AM29" s="149">
        <f t="shared" si="80"/>
        <v>65</v>
      </c>
      <c r="AN29" s="149">
        <f t="shared" si="80"/>
        <v>0</v>
      </c>
      <c r="AO29" s="458">
        <f t="shared" si="80"/>
        <v>0</v>
      </c>
      <c r="AP29" s="269">
        <f t="shared" si="80"/>
        <v>666</v>
      </c>
      <c r="AQ29" s="269">
        <f t="shared" si="80"/>
        <v>0</v>
      </c>
      <c r="AR29" s="148">
        <f t="shared" si="80"/>
        <v>7</v>
      </c>
      <c r="AS29" s="153">
        <f t="shared" si="80"/>
        <v>0</v>
      </c>
      <c r="AT29" s="153">
        <f t="shared" si="80"/>
        <v>635</v>
      </c>
    </row>
    <row r="30" spans="1:53" ht="25.5" customHeight="1">
      <c r="A30" s="134"/>
      <c r="B30" s="165" t="s">
        <v>190</v>
      </c>
      <c r="C30" s="289">
        <f t="shared" ref="C30:AG30" si="81">COUNTIF(C7:C28,"CT")</f>
        <v>0</v>
      </c>
      <c r="D30" s="136">
        <f t="shared" si="81"/>
        <v>0</v>
      </c>
      <c r="E30" s="136">
        <f t="shared" si="81"/>
        <v>0</v>
      </c>
      <c r="F30" s="289">
        <f t="shared" si="81"/>
        <v>0</v>
      </c>
      <c r="G30" s="136">
        <f t="shared" si="81"/>
        <v>0</v>
      </c>
      <c r="H30" s="136">
        <f t="shared" si="81"/>
        <v>1</v>
      </c>
      <c r="I30" s="136">
        <f t="shared" si="81"/>
        <v>2</v>
      </c>
      <c r="J30" s="136">
        <f t="shared" si="81"/>
        <v>2</v>
      </c>
      <c r="K30" s="136">
        <f t="shared" si="81"/>
        <v>1</v>
      </c>
      <c r="L30" s="136">
        <f t="shared" si="81"/>
        <v>0</v>
      </c>
      <c r="M30" s="289">
        <f t="shared" si="81"/>
        <v>0</v>
      </c>
      <c r="N30" s="289">
        <f t="shared" si="81"/>
        <v>0</v>
      </c>
      <c r="O30" s="136">
        <f t="shared" si="81"/>
        <v>0</v>
      </c>
      <c r="P30" s="136">
        <f t="shared" si="81"/>
        <v>0</v>
      </c>
      <c r="Q30" s="136">
        <f t="shared" si="81"/>
        <v>1</v>
      </c>
      <c r="R30" s="136">
        <f t="shared" si="81"/>
        <v>0</v>
      </c>
      <c r="S30" s="136">
        <f t="shared" si="81"/>
        <v>0</v>
      </c>
      <c r="T30" s="289">
        <f t="shared" si="81"/>
        <v>0</v>
      </c>
      <c r="U30" s="136">
        <f t="shared" si="81"/>
        <v>0</v>
      </c>
      <c r="V30" s="136">
        <f t="shared" si="81"/>
        <v>0</v>
      </c>
      <c r="W30" s="136">
        <f t="shared" si="81"/>
        <v>0</v>
      </c>
      <c r="X30" s="136">
        <f t="shared" si="81"/>
        <v>0</v>
      </c>
      <c r="Y30" s="136">
        <f t="shared" si="81"/>
        <v>0</v>
      </c>
      <c r="Z30" s="136">
        <f t="shared" si="81"/>
        <v>0</v>
      </c>
      <c r="AA30" s="289">
        <f t="shared" si="81"/>
        <v>0</v>
      </c>
      <c r="AB30" s="136">
        <f t="shared" si="81"/>
        <v>1</v>
      </c>
      <c r="AC30" s="136">
        <f t="shared" si="81"/>
        <v>0</v>
      </c>
      <c r="AD30" s="136">
        <f t="shared" si="81"/>
        <v>0</v>
      </c>
      <c r="AE30" s="289">
        <f t="shared" si="81"/>
        <v>0</v>
      </c>
      <c r="AF30" s="136">
        <f t="shared" si="81"/>
        <v>0</v>
      </c>
      <c r="AG30" s="136">
        <f t="shared" si="81"/>
        <v>0</v>
      </c>
      <c r="AH30" s="137">
        <f t="shared" ref="AH30:AH38" si="82">SUM(C30:AG30)</f>
        <v>8</v>
      </c>
      <c r="AP30" s="142"/>
    </row>
    <row r="31" spans="1:53" ht="25.5" customHeight="1">
      <c r="A31" s="134"/>
      <c r="B31" s="1182" t="s">
        <v>11</v>
      </c>
      <c r="C31" s="289">
        <f t="shared" ref="C31:AG31" si="83">COUNTIF(C7:C28,"S")</f>
        <v>0</v>
      </c>
      <c r="D31" s="136">
        <f t="shared" si="83"/>
        <v>2</v>
      </c>
      <c r="E31" s="136">
        <f t="shared" si="83"/>
        <v>0</v>
      </c>
      <c r="F31" s="289">
        <f t="shared" si="83"/>
        <v>0</v>
      </c>
      <c r="G31" s="136">
        <f t="shared" si="83"/>
        <v>0</v>
      </c>
      <c r="H31" s="136">
        <f t="shared" si="83"/>
        <v>0</v>
      </c>
      <c r="I31" s="136">
        <f t="shared" si="83"/>
        <v>0</v>
      </c>
      <c r="J31" s="136">
        <f t="shared" si="83"/>
        <v>0</v>
      </c>
      <c r="K31" s="136">
        <f t="shared" si="83"/>
        <v>2</v>
      </c>
      <c r="L31" s="136">
        <f t="shared" si="83"/>
        <v>2</v>
      </c>
      <c r="M31" s="289">
        <f t="shared" si="83"/>
        <v>0</v>
      </c>
      <c r="N31" s="289">
        <f t="shared" si="83"/>
        <v>0</v>
      </c>
      <c r="O31" s="136">
        <f t="shared" si="83"/>
        <v>1</v>
      </c>
      <c r="P31" s="136">
        <f t="shared" si="83"/>
        <v>1</v>
      </c>
      <c r="Q31" s="136">
        <f t="shared" si="83"/>
        <v>1</v>
      </c>
      <c r="R31" s="136">
        <f t="shared" si="83"/>
        <v>1</v>
      </c>
      <c r="S31" s="136">
        <f t="shared" si="83"/>
        <v>0</v>
      </c>
      <c r="T31" s="289">
        <f t="shared" si="83"/>
        <v>0</v>
      </c>
      <c r="U31" s="136">
        <f t="shared" si="83"/>
        <v>0</v>
      </c>
      <c r="V31" s="136">
        <f t="shared" si="83"/>
        <v>0</v>
      </c>
      <c r="W31" s="136">
        <f t="shared" si="83"/>
        <v>0</v>
      </c>
      <c r="X31" s="136">
        <f t="shared" si="83"/>
        <v>0</v>
      </c>
      <c r="Y31" s="136">
        <f t="shared" si="83"/>
        <v>0</v>
      </c>
      <c r="Z31" s="136">
        <f t="shared" si="83"/>
        <v>0</v>
      </c>
      <c r="AA31" s="289">
        <f t="shared" si="83"/>
        <v>0</v>
      </c>
      <c r="AB31" s="136">
        <f t="shared" si="83"/>
        <v>0</v>
      </c>
      <c r="AC31" s="136">
        <f t="shared" si="83"/>
        <v>1</v>
      </c>
      <c r="AD31" s="136">
        <f t="shared" si="83"/>
        <v>1</v>
      </c>
      <c r="AE31" s="289">
        <f t="shared" si="83"/>
        <v>0</v>
      </c>
      <c r="AF31" s="136">
        <f t="shared" si="83"/>
        <v>0</v>
      </c>
      <c r="AG31" s="136">
        <f t="shared" si="83"/>
        <v>0</v>
      </c>
      <c r="AH31" s="137">
        <f t="shared" si="82"/>
        <v>12</v>
      </c>
      <c r="AO31" s="142"/>
      <c r="AP31" s="142"/>
      <c r="AQ31" s="154"/>
      <c r="AR31" s="154"/>
      <c r="AU31" s="142"/>
      <c r="AW31" s="142"/>
    </row>
    <row r="32" spans="1:53" ht="25.5" customHeight="1">
      <c r="A32" s="134"/>
      <c r="B32" s="1182" t="s">
        <v>13</v>
      </c>
      <c r="C32" s="289">
        <f t="shared" ref="C32:AG32" si="84">COUNTIF(C7:C28,"MG")</f>
        <v>0</v>
      </c>
      <c r="D32" s="136">
        <f t="shared" si="84"/>
        <v>0</v>
      </c>
      <c r="E32" s="136">
        <f t="shared" si="84"/>
        <v>0</v>
      </c>
      <c r="F32" s="289">
        <f t="shared" si="84"/>
        <v>22</v>
      </c>
      <c r="G32" s="136">
        <f t="shared" si="84"/>
        <v>0</v>
      </c>
      <c r="H32" s="136">
        <f t="shared" si="84"/>
        <v>0</v>
      </c>
      <c r="I32" s="136">
        <f t="shared" si="84"/>
        <v>0</v>
      </c>
      <c r="J32" s="136">
        <f t="shared" si="84"/>
        <v>0</v>
      </c>
      <c r="K32" s="136">
        <f t="shared" si="84"/>
        <v>0</v>
      </c>
      <c r="L32" s="136">
        <f t="shared" si="84"/>
        <v>0</v>
      </c>
      <c r="M32" s="289">
        <f t="shared" si="84"/>
        <v>22</v>
      </c>
      <c r="N32" s="289">
        <f t="shared" si="84"/>
        <v>0</v>
      </c>
      <c r="O32" s="136">
        <f t="shared" si="84"/>
        <v>0</v>
      </c>
      <c r="P32" s="136">
        <f t="shared" si="84"/>
        <v>0</v>
      </c>
      <c r="Q32" s="136">
        <f t="shared" si="84"/>
        <v>0</v>
      </c>
      <c r="R32" s="136">
        <f t="shared" si="84"/>
        <v>0</v>
      </c>
      <c r="S32" s="136">
        <f t="shared" si="84"/>
        <v>0</v>
      </c>
      <c r="T32" s="289">
        <f t="shared" si="84"/>
        <v>22</v>
      </c>
      <c r="U32" s="136">
        <f t="shared" si="84"/>
        <v>0</v>
      </c>
      <c r="V32" s="136">
        <f t="shared" si="84"/>
        <v>0</v>
      </c>
      <c r="W32" s="136">
        <f t="shared" si="84"/>
        <v>0</v>
      </c>
      <c r="X32" s="136">
        <f t="shared" si="84"/>
        <v>0</v>
      </c>
      <c r="Y32" s="136">
        <f t="shared" si="84"/>
        <v>0</v>
      </c>
      <c r="Z32" s="136">
        <f t="shared" si="84"/>
        <v>0</v>
      </c>
      <c r="AA32" s="289">
        <f t="shared" si="84"/>
        <v>21</v>
      </c>
      <c r="AB32" s="136">
        <f t="shared" si="84"/>
        <v>0</v>
      </c>
      <c r="AC32" s="136">
        <f t="shared" si="84"/>
        <v>0</v>
      </c>
      <c r="AD32" s="136">
        <f t="shared" si="84"/>
        <v>0</v>
      </c>
      <c r="AE32" s="289">
        <f t="shared" si="84"/>
        <v>0</v>
      </c>
      <c r="AF32" s="136">
        <f t="shared" si="84"/>
        <v>0</v>
      </c>
      <c r="AG32" s="136">
        <f t="shared" si="84"/>
        <v>0</v>
      </c>
      <c r="AH32" s="137">
        <f t="shared" si="82"/>
        <v>87</v>
      </c>
      <c r="AJ32" s="142"/>
      <c r="AP32" s="142"/>
      <c r="AQ32" s="142"/>
    </row>
    <row r="33" spans="1:53" ht="25.5" customHeight="1">
      <c r="A33" s="134"/>
      <c r="B33" s="1182" t="s">
        <v>14</v>
      </c>
      <c r="C33" s="289">
        <f t="shared" ref="C33:AG33" si="85">COUNTIF(C7:C28,"NAS")</f>
        <v>22</v>
      </c>
      <c r="D33" s="136">
        <f t="shared" si="85"/>
        <v>0</v>
      </c>
      <c r="E33" s="136">
        <f t="shared" si="85"/>
        <v>0</v>
      </c>
      <c r="F33" s="289">
        <f t="shared" si="85"/>
        <v>0</v>
      </c>
      <c r="G33" s="136">
        <f t="shared" si="85"/>
        <v>0</v>
      </c>
      <c r="H33" s="136">
        <f t="shared" si="85"/>
        <v>0</v>
      </c>
      <c r="I33" s="136">
        <f t="shared" si="85"/>
        <v>0</v>
      </c>
      <c r="J33" s="136">
        <f t="shared" si="85"/>
        <v>0</v>
      </c>
      <c r="K33" s="136">
        <f t="shared" si="85"/>
        <v>0</v>
      </c>
      <c r="L33" s="136">
        <f t="shared" si="85"/>
        <v>0</v>
      </c>
      <c r="M33" s="289">
        <f t="shared" si="85"/>
        <v>0</v>
      </c>
      <c r="N33" s="289">
        <f t="shared" si="85"/>
        <v>22</v>
      </c>
      <c r="O33" s="136">
        <f t="shared" si="85"/>
        <v>0</v>
      </c>
      <c r="P33" s="136">
        <f t="shared" si="85"/>
        <v>0</v>
      </c>
      <c r="Q33" s="136">
        <f t="shared" si="85"/>
        <v>0</v>
      </c>
      <c r="R33" s="136">
        <f t="shared" si="85"/>
        <v>0</v>
      </c>
      <c r="S33" s="136">
        <f t="shared" si="85"/>
        <v>0</v>
      </c>
      <c r="T33" s="289">
        <f t="shared" si="85"/>
        <v>0</v>
      </c>
      <c r="U33" s="136">
        <f t="shared" si="85"/>
        <v>0</v>
      </c>
      <c r="V33" s="136">
        <f t="shared" si="85"/>
        <v>0</v>
      </c>
      <c r="W33" s="136">
        <f t="shared" si="85"/>
        <v>0</v>
      </c>
      <c r="X33" s="136">
        <f t="shared" si="85"/>
        <v>0</v>
      </c>
      <c r="Y33" s="136">
        <f t="shared" si="85"/>
        <v>0</v>
      </c>
      <c r="Z33" s="136">
        <f t="shared" si="85"/>
        <v>0</v>
      </c>
      <c r="AA33" s="289">
        <f t="shared" si="85"/>
        <v>0</v>
      </c>
      <c r="AB33" s="136">
        <f t="shared" si="85"/>
        <v>0</v>
      </c>
      <c r="AC33" s="136">
        <f t="shared" si="85"/>
        <v>0</v>
      </c>
      <c r="AD33" s="136">
        <f t="shared" si="85"/>
        <v>0</v>
      </c>
      <c r="AE33" s="289">
        <f t="shared" si="85"/>
        <v>21</v>
      </c>
      <c r="AF33" s="136">
        <f t="shared" si="85"/>
        <v>0</v>
      </c>
      <c r="AG33" s="136">
        <f t="shared" si="85"/>
        <v>0</v>
      </c>
      <c r="AH33" s="137">
        <f t="shared" si="82"/>
        <v>65</v>
      </c>
      <c r="AL33" s="142"/>
      <c r="AP33" s="142"/>
      <c r="AQ33" s="142"/>
      <c r="AW33" s="66">
        <f>50+50+48+48</f>
        <v>196</v>
      </c>
    </row>
    <row r="34" spans="1:53" ht="25.5" customHeight="1">
      <c r="A34" s="134"/>
      <c r="B34" s="1182" t="s">
        <v>261</v>
      </c>
      <c r="C34" s="289">
        <f t="shared" ref="C34:AG34" si="86">COUNTIF(C7:C28,"P1")</f>
        <v>0</v>
      </c>
      <c r="D34" s="136">
        <f t="shared" si="86"/>
        <v>0</v>
      </c>
      <c r="E34" s="136">
        <f t="shared" si="86"/>
        <v>0</v>
      </c>
      <c r="F34" s="289">
        <f t="shared" si="86"/>
        <v>0</v>
      </c>
      <c r="G34" s="136">
        <f t="shared" si="86"/>
        <v>0</v>
      </c>
      <c r="H34" s="136">
        <f t="shared" si="86"/>
        <v>0</v>
      </c>
      <c r="I34" s="136">
        <f t="shared" si="86"/>
        <v>0</v>
      </c>
      <c r="J34" s="136">
        <f t="shared" si="86"/>
        <v>0</v>
      </c>
      <c r="K34" s="136">
        <f t="shared" si="86"/>
        <v>0</v>
      </c>
      <c r="L34" s="136">
        <f t="shared" si="86"/>
        <v>0</v>
      </c>
      <c r="M34" s="289">
        <f t="shared" si="86"/>
        <v>0</v>
      </c>
      <c r="N34" s="289">
        <f t="shared" si="86"/>
        <v>0</v>
      </c>
      <c r="O34" s="136">
        <f t="shared" si="86"/>
        <v>0</v>
      </c>
      <c r="P34" s="136">
        <f t="shared" si="86"/>
        <v>0</v>
      </c>
      <c r="Q34" s="136">
        <f t="shared" si="86"/>
        <v>0</v>
      </c>
      <c r="R34" s="136">
        <f t="shared" si="86"/>
        <v>0</v>
      </c>
      <c r="S34" s="136">
        <f t="shared" si="86"/>
        <v>0</v>
      </c>
      <c r="T34" s="289">
        <f t="shared" si="86"/>
        <v>0</v>
      </c>
      <c r="U34" s="136">
        <f t="shared" si="86"/>
        <v>0</v>
      </c>
      <c r="V34" s="136">
        <f t="shared" si="86"/>
        <v>0</v>
      </c>
      <c r="W34" s="136">
        <f t="shared" si="86"/>
        <v>0</v>
      </c>
      <c r="X34" s="136">
        <f t="shared" si="86"/>
        <v>0</v>
      </c>
      <c r="Y34" s="136">
        <f t="shared" si="86"/>
        <v>0</v>
      </c>
      <c r="Z34" s="136">
        <f t="shared" si="86"/>
        <v>0</v>
      </c>
      <c r="AA34" s="289">
        <f t="shared" si="86"/>
        <v>0</v>
      </c>
      <c r="AB34" s="136">
        <f t="shared" si="86"/>
        <v>0</v>
      </c>
      <c r="AC34" s="136">
        <f t="shared" si="86"/>
        <v>0</v>
      </c>
      <c r="AD34" s="136">
        <f t="shared" si="86"/>
        <v>0</v>
      </c>
      <c r="AE34" s="289">
        <f t="shared" si="86"/>
        <v>0</v>
      </c>
      <c r="AF34" s="136">
        <f t="shared" si="86"/>
        <v>0</v>
      </c>
      <c r="AG34" s="136">
        <f t="shared" si="86"/>
        <v>0</v>
      </c>
      <c r="AH34" s="137">
        <f t="shared" si="82"/>
        <v>0</v>
      </c>
      <c r="AP34" s="142"/>
      <c r="AQ34" s="142"/>
      <c r="AR34" s="142"/>
      <c r="AU34" s="142"/>
    </row>
    <row r="35" spans="1:53" ht="25.5" customHeight="1">
      <c r="A35" s="134"/>
      <c r="B35" s="1182" t="s">
        <v>262</v>
      </c>
      <c r="C35" s="289">
        <f t="shared" ref="C35:AG35" si="87">COUNTIF(C7:C28,"P2")</f>
        <v>0</v>
      </c>
      <c r="D35" s="136">
        <f t="shared" si="87"/>
        <v>0</v>
      </c>
      <c r="E35" s="136">
        <f t="shared" si="87"/>
        <v>0</v>
      </c>
      <c r="F35" s="289">
        <f t="shared" si="87"/>
        <v>0</v>
      </c>
      <c r="G35" s="136">
        <f t="shared" si="87"/>
        <v>0</v>
      </c>
      <c r="H35" s="136">
        <f t="shared" si="87"/>
        <v>0</v>
      </c>
      <c r="I35" s="136">
        <f t="shared" si="87"/>
        <v>0</v>
      </c>
      <c r="J35" s="136">
        <f t="shared" si="87"/>
        <v>0</v>
      </c>
      <c r="K35" s="136">
        <f t="shared" si="87"/>
        <v>0</v>
      </c>
      <c r="L35" s="136">
        <f t="shared" si="87"/>
        <v>0</v>
      </c>
      <c r="M35" s="289">
        <f t="shared" si="87"/>
        <v>0</v>
      </c>
      <c r="N35" s="289">
        <f t="shared" si="87"/>
        <v>0</v>
      </c>
      <c r="O35" s="136">
        <f t="shared" si="87"/>
        <v>0</v>
      </c>
      <c r="P35" s="136">
        <f t="shared" si="87"/>
        <v>0</v>
      </c>
      <c r="Q35" s="136">
        <f t="shared" si="87"/>
        <v>0</v>
      </c>
      <c r="R35" s="136">
        <f t="shared" si="87"/>
        <v>0</v>
      </c>
      <c r="S35" s="136">
        <f t="shared" si="87"/>
        <v>0</v>
      </c>
      <c r="T35" s="289">
        <f t="shared" si="87"/>
        <v>0</v>
      </c>
      <c r="U35" s="136">
        <f t="shared" si="87"/>
        <v>0</v>
      </c>
      <c r="V35" s="136">
        <f t="shared" si="87"/>
        <v>0</v>
      </c>
      <c r="W35" s="136">
        <f t="shared" si="87"/>
        <v>0</v>
      </c>
      <c r="X35" s="136">
        <f t="shared" si="87"/>
        <v>0</v>
      </c>
      <c r="Y35" s="136">
        <f t="shared" si="87"/>
        <v>0</v>
      </c>
      <c r="Z35" s="136">
        <f t="shared" si="87"/>
        <v>0</v>
      </c>
      <c r="AA35" s="289">
        <f t="shared" si="87"/>
        <v>0</v>
      </c>
      <c r="AB35" s="136">
        <f t="shared" si="87"/>
        <v>0</v>
      </c>
      <c r="AC35" s="136">
        <f t="shared" si="87"/>
        <v>0</v>
      </c>
      <c r="AD35" s="136">
        <f t="shared" si="87"/>
        <v>0</v>
      </c>
      <c r="AE35" s="289">
        <f t="shared" si="87"/>
        <v>0</v>
      </c>
      <c r="AF35" s="136">
        <f t="shared" si="87"/>
        <v>0</v>
      </c>
      <c r="AG35" s="136">
        <f t="shared" si="87"/>
        <v>0</v>
      </c>
      <c r="AH35" s="137">
        <f t="shared" si="82"/>
        <v>0</v>
      </c>
      <c r="AJ35" s="142"/>
      <c r="AP35" s="142"/>
    </row>
    <row r="36" spans="1:53" ht="25.5" customHeight="1">
      <c r="A36" s="134"/>
      <c r="B36" s="1182" t="s">
        <v>263</v>
      </c>
      <c r="C36" s="289">
        <f t="shared" ref="C36:AG36" si="88">COUNTIF(C7:C28,"P3")</f>
        <v>0</v>
      </c>
      <c r="D36" s="136">
        <f t="shared" si="88"/>
        <v>0</v>
      </c>
      <c r="E36" s="136">
        <f t="shared" si="88"/>
        <v>0</v>
      </c>
      <c r="F36" s="289">
        <f t="shared" si="88"/>
        <v>0</v>
      </c>
      <c r="G36" s="136">
        <f t="shared" si="88"/>
        <v>0</v>
      </c>
      <c r="H36" s="136">
        <f t="shared" si="88"/>
        <v>0</v>
      </c>
      <c r="I36" s="136">
        <f t="shared" si="88"/>
        <v>0</v>
      </c>
      <c r="J36" s="136">
        <f t="shared" si="88"/>
        <v>0</v>
      </c>
      <c r="K36" s="136">
        <f t="shared" si="88"/>
        <v>0</v>
      </c>
      <c r="L36" s="136">
        <f t="shared" si="88"/>
        <v>0</v>
      </c>
      <c r="M36" s="289">
        <f t="shared" si="88"/>
        <v>0</v>
      </c>
      <c r="N36" s="289">
        <f t="shared" si="88"/>
        <v>0</v>
      </c>
      <c r="O36" s="136">
        <f t="shared" si="88"/>
        <v>0</v>
      </c>
      <c r="P36" s="136">
        <f t="shared" si="88"/>
        <v>0</v>
      </c>
      <c r="Q36" s="136">
        <f t="shared" si="88"/>
        <v>0</v>
      </c>
      <c r="R36" s="136">
        <f t="shared" si="88"/>
        <v>0</v>
      </c>
      <c r="S36" s="136">
        <f t="shared" si="88"/>
        <v>0</v>
      </c>
      <c r="T36" s="289">
        <f t="shared" si="88"/>
        <v>0</v>
      </c>
      <c r="U36" s="136">
        <f t="shared" si="88"/>
        <v>0</v>
      </c>
      <c r="V36" s="136">
        <f t="shared" si="88"/>
        <v>0</v>
      </c>
      <c r="W36" s="136">
        <f t="shared" si="88"/>
        <v>0</v>
      </c>
      <c r="X36" s="136">
        <f t="shared" si="88"/>
        <v>0</v>
      </c>
      <c r="Y36" s="136">
        <f t="shared" si="88"/>
        <v>0</v>
      </c>
      <c r="Z36" s="136">
        <f t="shared" si="88"/>
        <v>0</v>
      </c>
      <c r="AA36" s="289">
        <f t="shared" si="88"/>
        <v>0</v>
      </c>
      <c r="AB36" s="136">
        <f t="shared" si="88"/>
        <v>0</v>
      </c>
      <c r="AC36" s="136">
        <f t="shared" si="88"/>
        <v>0</v>
      </c>
      <c r="AD36" s="136">
        <f t="shared" si="88"/>
        <v>0</v>
      </c>
      <c r="AE36" s="289">
        <f t="shared" si="88"/>
        <v>0</v>
      </c>
      <c r="AF36" s="136">
        <f t="shared" si="88"/>
        <v>0</v>
      </c>
      <c r="AG36" s="136">
        <f t="shared" si="88"/>
        <v>0</v>
      </c>
      <c r="AH36" s="137">
        <f t="shared" si="82"/>
        <v>0</v>
      </c>
      <c r="AP36" s="142"/>
      <c r="AS36" s="142"/>
      <c r="AT36" s="142"/>
    </row>
    <row r="37" spans="1:53" ht="25.5" customHeight="1">
      <c r="A37" s="134"/>
      <c r="B37" s="1182" t="s">
        <v>246</v>
      </c>
      <c r="C37" s="289">
        <f t="shared" ref="C37:AG37" si="89">COUNTIF(C7:C28,"A")</f>
        <v>0</v>
      </c>
      <c r="D37" s="136">
        <f t="shared" si="89"/>
        <v>0</v>
      </c>
      <c r="E37" s="136">
        <f t="shared" si="89"/>
        <v>1</v>
      </c>
      <c r="F37" s="289">
        <f t="shared" si="89"/>
        <v>0</v>
      </c>
      <c r="G37" s="136">
        <f t="shared" si="89"/>
        <v>0</v>
      </c>
      <c r="H37" s="136">
        <f t="shared" si="89"/>
        <v>0</v>
      </c>
      <c r="I37" s="136">
        <f t="shared" si="89"/>
        <v>0</v>
      </c>
      <c r="J37" s="136">
        <f t="shared" si="89"/>
        <v>0</v>
      </c>
      <c r="K37" s="136">
        <f t="shared" si="89"/>
        <v>0</v>
      </c>
      <c r="L37" s="136">
        <f t="shared" si="89"/>
        <v>0</v>
      </c>
      <c r="M37" s="289">
        <f t="shared" si="89"/>
        <v>0</v>
      </c>
      <c r="N37" s="289">
        <f t="shared" si="89"/>
        <v>0</v>
      </c>
      <c r="O37" s="136">
        <f t="shared" si="89"/>
        <v>0</v>
      </c>
      <c r="P37" s="136">
        <f t="shared" si="89"/>
        <v>1</v>
      </c>
      <c r="Q37" s="136">
        <f t="shared" si="89"/>
        <v>0</v>
      </c>
      <c r="R37" s="136">
        <f t="shared" si="89"/>
        <v>0</v>
      </c>
      <c r="S37" s="136">
        <f t="shared" si="89"/>
        <v>0</v>
      </c>
      <c r="T37" s="289">
        <f t="shared" si="89"/>
        <v>0</v>
      </c>
      <c r="U37" s="136">
        <f t="shared" si="89"/>
        <v>0</v>
      </c>
      <c r="V37" s="136">
        <f t="shared" si="89"/>
        <v>1</v>
      </c>
      <c r="W37" s="136">
        <f t="shared" si="89"/>
        <v>1</v>
      </c>
      <c r="X37" s="136">
        <f t="shared" si="89"/>
        <v>2</v>
      </c>
      <c r="Y37" s="136">
        <f t="shared" si="89"/>
        <v>0</v>
      </c>
      <c r="Z37" s="136">
        <f t="shared" si="89"/>
        <v>0</v>
      </c>
      <c r="AA37" s="289">
        <f t="shared" si="89"/>
        <v>0</v>
      </c>
      <c r="AB37" s="136">
        <f t="shared" si="89"/>
        <v>0</v>
      </c>
      <c r="AC37" s="136">
        <f t="shared" si="89"/>
        <v>1</v>
      </c>
      <c r="AD37" s="136">
        <f t="shared" si="89"/>
        <v>0</v>
      </c>
      <c r="AE37" s="289">
        <f t="shared" si="89"/>
        <v>0</v>
      </c>
      <c r="AF37" s="136">
        <f t="shared" si="89"/>
        <v>0</v>
      </c>
      <c r="AG37" s="136">
        <f t="shared" si="89"/>
        <v>0</v>
      </c>
      <c r="AH37" s="137">
        <f>SUM(C37:AG37)</f>
        <v>7</v>
      </c>
    </row>
    <row r="38" spans="1:53" ht="25.5" customHeight="1" thickBot="1">
      <c r="A38" s="155"/>
      <c r="B38" s="164" t="s">
        <v>42</v>
      </c>
      <c r="C38" s="290">
        <f t="shared" ref="C38:AG38" si="90">COUNTIF(C7:C28,"CTH")</f>
        <v>0</v>
      </c>
      <c r="D38" s="146">
        <f t="shared" si="90"/>
        <v>0</v>
      </c>
      <c r="E38" s="146">
        <f t="shared" si="90"/>
        <v>0</v>
      </c>
      <c r="F38" s="290">
        <f t="shared" si="90"/>
        <v>0</v>
      </c>
      <c r="G38" s="146">
        <f t="shared" si="90"/>
        <v>0</v>
      </c>
      <c r="H38" s="146">
        <f t="shared" si="90"/>
        <v>0</v>
      </c>
      <c r="I38" s="146">
        <f t="shared" si="90"/>
        <v>0</v>
      </c>
      <c r="J38" s="146">
        <f t="shared" si="90"/>
        <v>0</v>
      </c>
      <c r="K38" s="146">
        <f t="shared" si="90"/>
        <v>0</v>
      </c>
      <c r="L38" s="146">
        <f t="shared" si="90"/>
        <v>0</v>
      </c>
      <c r="M38" s="290">
        <f t="shared" si="90"/>
        <v>0</v>
      </c>
      <c r="N38" s="290">
        <f t="shared" si="90"/>
        <v>0</v>
      </c>
      <c r="O38" s="146">
        <f t="shared" si="90"/>
        <v>0</v>
      </c>
      <c r="P38" s="146">
        <f t="shared" si="90"/>
        <v>0</v>
      </c>
      <c r="Q38" s="146">
        <f t="shared" si="90"/>
        <v>0</v>
      </c>
      <c r="R38" s="146">
        <f t="shared" si="90"/>
        <v>0</v>
      </c>
      <c r="S38" s="146">
        <f t="shared" si="90"/>
        <v>0</v>
      </c>
      <c r="T38" s="290">
        <f t="shared" si="90"/>
        <v>0</v>
      </c>
      <c r="U38" s="146">
        <f t="shared" si="90"/>
        <v>0</v>
      </c>
      <c r="V38" s="146">
        <f t="shared" si="90"/>
        <v>0</v>
      </c>
      <c r="W38" s="146">
        <f t="shared" si="90"/>
        <v>0</v>
      </c>
      <c r="X38" s="146">
        <f t="shared" si="90"/>
        <v>0</v>
      </c>
      <c r="Y38" s="146">
        <f t="shared" si="90"/>
        <v>0</v>
      </c>
      <c r="Z38" s="146">
        <f t="shared" si="90"/>
        <v>0</v>
      </c>
      <c r="AA38" s="290">
        <f t="shared" si="90"/>
        <v>0</v>
      </c>
      <c r="AB38" s="146">
        <f t="shared" si="90"/>
        <v>0</v>
      </c>
      <c r="AC38" s="146">
        <f t="shared" si="90"/>
        <v>0</v>
      </c>
      <c r="AD38" s="146">
        <f t="shared" si="90"/>
        <v>0</v>
      </c>
      <c r="AE38" s="290">
        <f t="shared" si="90"/>
        <v>0</v>
      </c>
      <c r="AF38" s="146">
        <f t="shared" si="90"/>
        <v>0</v>
      </c>
      <c r="AG38" s="146">
        <f t="shared" si="90"/>
        <v>0</v>
      </c>
      <c r="AH38" s="137">
        <f t="shared" si="82"/>
        <v>0</v>
      </c>
      <c r="AP38" s="142"/>
      <c r="AS38" s="142"/>
    </row>
    <row r="39" spans="1:53" s="66" customFormat="1" ht="30.75" customHeight="1" thickBot="1">
      <c r="A39" s="156"/>
      <c r="B39" s="157" t="s">
        <v>50</v>
      </c>
      <c r="C39" s="166">
        <f>SUM(C29:C38)</f>
        <v>22</v>
      </c>
      <c r="D39" s="158">
        <f t="shared" ref="D39:AH39" si="91">SUM(D29:D38)</f>
        <v>22</v>
      </c>
      <c r="E39" s="158">
        <f t="shared" si="91"/>
        <v>22</v>
      </c>
      <c r="F39" s="166">
        <f t="shared" si="91"/>
        <v>22</v>
      </c>
      <c r="G39" s="158">
        <f t="shared" si="91"/>
        <v>22</v>
      </c>
      <c r="H39" s="158">
        <f t="shared" si="91"/>
        <v>22</v>
      </c>
      <c r="I39" s="158">
        <f t="shared" si="91"/>
        <v>22</v>
      </c>
      <c r="J39" s="158">
        <f t="shared" si="91"/>
        <v>22</v>
      </c>
      <c r="K39" s="158">
        <f t="shared" si="91"/>
        <v>22</v>
      </c>
      <c r="L39" s="158">
        <f t="shared" si="91"/>
        <v>22</v>
      </c>
      <c r="M39" s="166">
        <f t="shared" si="91"/>
        <v>22</v>
      </c>
      <c r="N39" s="166">
        <f t="shared" si="91"/>
        <v>22</v>
      </c>
      <c r="O39" s="158">
        <f t="shared" si="91"/>
        <v>22</v>
      </c>
      <c r="P39" s="158">
        <f t="shared" si="91"/>
        <v>22</v>
      </c>
      <c r="Q39" s="158">
        <f t="shared" si="91"/>
        <v>22</v>
      </c>
      <c r="R39" s="158">
        <f t="shared" si="91"/>
        <v>22</v>
      </c>
      <c r="S39" s="158">
        <f t="shared" si="91"/>
        <v>22</v>
      </c>
      <c r="T39" s="166">
        <f t="shared" si="91"/>
        <v>22</v>
      </c>
      <c r="U39" s="158">
        <f t="shared" si="91"/>
        <v>21</v>
      </c>
      <c r="V39" s="158">
        <f t="shared" si="91"/>
        <v>21</v>
      </c>
      <c r="W39" s="158">
        <f t="shared" si="91"/>
        <v>22</v>
      </c>
      <c r="X39" s="158">
        <f t="shared" si="91"/>
        <v>22</v>
      </c>
      <c r="Y39" s="158">
        <f t="shared" si="91"/>
        <v>21</v>
      </c>
      <c r="Z39" s="158">
        <f t="shared" si="91"/>
        <v>21</v>
      </c>
      <c r="AA39" s="166">
        <f t="shared" si="91"/>
        <v>21</v>
      </c>
      <c r="AB39" s="158">
        <f t="shared" si="91"/>
        <v>21</v>
      </c>
      <c r="AC39" s="158">
        <f t="shared" si="91"/>
        <v>21</v>
      </c>
      <c r="AD39" s="158">
        <f t="shared" si="91"/>
        <v>21</v>
      </c>
      <c r="AE39" s="166">
        <f t="shared" si="91"/>
        <v>21</v>
      </c>
      <c r="AF39" s="158">
        <f t="shared" si="91"/>
        <v>21</v>
      </c>
      <c r="AG39" s="1074">
        <f t="shared" si="91"/>
        <v>21</v>
      </c>
      <c r="AH39" s="395">
        <f t="shared" si="91"/>
        <v>671</v>
      </c>
      <c r="AP39" s="142"/>
      <c r="AS39" s="142"/>
    </row>
    <row r="42" spans="1:53" s="66" customFormat="1" ht="24.75" customHeight="1">
      <c r="A42" s="1896" t="s">
        <v>232</v>
      </c>
      <c r="B42" s="1896"/>
      <c r="C42" s="287"/>
      <c r="F42" s="287"/>
      <c r="M42" s="287"/>
      <c r="N42" s="287"/>
      <c r="T42" s="287"/>
      <c r="AA42" s="287"/>
      <c r="AE42" s="287"/>
    </row>
    <row r="43" spans="1:53" s="66" customFormat="1" ht="36.75" customHeight="1">
      <c r="A43" s="64" t="s">
        <v>331</v>
      </c>
      <c r="B43" s="64"/>
      <c r="C43" s="287"/>
      <c r="F43" s="287"/>
      <c r="M43" s="287"/>
      <c r="N43" s="287"/>
      <c r="T43" s="1075"/>
      <c r="AA43" s="287"/>
      <c r="AE43" s="287"/>
    </row>
    <row r="44" spans="1:53" s="66" customFormat="1" ht="21" customHeight="1" thickBot="1">
      <c r="A44" s="1924" t="s">
        <v>773</v>
      </c>
      <c r="B44" s="1924"/>
      <c r="C44" s="287"/>
      <c r="F44" s="287"/>
      <c r="M44" s="287"/>
      <c r="N44" s="513"/>
      <c r="O44" s="133"/>
      <c r="P44" s="133"/>
      <c r="Q44" s="133"/>
      <c r="R44" s="133"/>
      <c r="S44" s="133"/>
      <c r="T44" s="513"/>
      <c r="U44" s="133"/>
      <c r="V44" s="133"/>
      <c r="W44" s="133"/>
      <c r="X44" s="133"/>
      <c r="Y44" s="133"/>
      <c r="Z44" s="133"/>
      <c r="AA44" s="513"/>
      <c r="AB44" s="133"/>
      <c r="AD44" s="133"/>
      <c r="AE44" s="287"/>
    </row>
    <row r="45" spans="1:53" s="66" customFormat="1" ht="20.25" customHeight="1">
      <c r="A45" s="1925" t="s">
        <v>158</v>
      </c>
      <c r="B45" s="1900" t="s">
        <v>22</v>
      </c>
      <c r="C45" s="1928" t="s">
        <v>234</v>
      </c>
      <c r="D45" s="1929"/>
      <c r="E45" s="1929"/>
      <c r="F45" s="1929"/>
      <c r="G45" s="1929"/>
      <c r="H45" s="1929"/>
      <c r="I45" s="1929"/>
      <c r="J45" s="1929"/>
      <c r="K45" s="1929"/>
      <c r="L45" s="1929"/>
      <c r="M45" s="1929"/>
      <c r="N45" s="1929"/>
      <c r="O45" s="1929"/>
      <c r="P45" s="1929"/>
      <c r="Q45" s="1929"/>
      <c r="R45" s="1929"/>
      <c r="S45" s="1929"/>
      <c r="T45" s="1929"/>
      <c r="U45" s="1929"/>
      <c r="V45" s="1929"/>
      <c r="W45" s="1929"/>
      <c r="X45" s="1929"/>
      <c r="Y45" s="1929"/>
      <c r="Z45" s="1929"/>
      <c r="AA45" s="1929"/>
      <c r="AB45" s="1929"/>
      <c r="AC45" s="1929"/>
      <c r="AD45" s="1929"/>
      <c r="AE45" s="1929"/>
      <c r="AF45" s="1929"/>
      <c r="AG45" s="1930"/>
      <c r="AH45" s="1935" t="s">
        <v>235</v>
      </c>
      <c r="AI45" s="1918" t="s">
        <v>236</v>
      </c>
      <c r="AJ45" s="1929"/>
      <c r="AK45" s="1929"/>
      <c r="AL45" s="1929"/>
      <c r="AM45" s="1929"/>
      <c r="AN45" s="1929"/>
      <c r="AO45" s="1930"/>
      <c r="AP45" s="1915" t="s">
        <v>4</v>
      </c>
      <c r="AQ45" s="1918" t="s">
        <v>42</v>
      </c>
      <c r="AR45" s="1921" t="s">
        <v>43</v>
      </c>
    </row>
    <row r="46" spans="1:53" s="66" customFormat="1">
      <c r="A46" s="1926"/>
      <c r="B46" s="1901"/>
      <c r="C46" s="1931"/>
      <c r="D46" s="1932"/>
      <c r="E46" s="1932"/>
      <c r="F46" s="1932"/>
      <c r="G46" s="1932"/>
      <c r="H46" s="1932"/>
      <c r="I46" s="1932"/>
      <c r="J46" s="1932"/>
      <c r="K46" s="1932"/>
      <c r="L46" s="1932"/>
      <c r="M46" s="1932"/>
      <c r="N46" s="1932"/>
      <c r="O46" s="1932"/>
      <c r="P46" s="1932"/>
      <c r="Q46" s="1932"/>
      <c r="R46" s="1932"/>
      <c r="S46" s="1932"/>
      <c r="T46" s="1932"/>
      <c r="U46" s="1932"/>
      <c r="V46" s="1932"/>
      <c r="W46" s="1932"/>
      <c r="X46" s="1932"/>
      <c r="Y46" s="1932"/>
      <c r="Z46" s="1932"/>
      <c r="AA46" s="1932"/>
      <c r="AB46" s="1932"/>
      <c r="AC46" s="1932"/>
      <c r="AD46" s="1932"/>
      <c r="AE46" s="1932"/>
      <c r="AF46" s="1932"/>
      <c r="AG46" s="1933"/>
      <c r="AH46" s="1936"/>
      <c r="AI46" s="1934"/>
      <c r="AJ46" s="1932"/>
      <c r="AK46" s="1932"/>
      <c r="AL46" s="1932"/>
      <c r="AM46" s="1932"/>
      <c r="AN46" s="1932"/>
      <c r="AO46" s="1933"/>
      <c r="AP46" s="1916"/>
      <c r="AQ46" s="1919"/>
      <c r="AR46" s="1922"/>
    </row>
    <row r="47" spans="1:53" s="66" customFormat="1" ht="21" thickBot="1">
      <c r="A47" s="1927"/>
      <c r="B47" s="1902"/>
      <c r="C47" s="67">
        <v>1</v>
      </c>
      <c r="D47" s="1183">
        <v>2</v>
      </c>
      <c r="E47" s="1183">
        <v>3</v>
      </c>
      <c r="F47" s="67">
        <v>4</v>
      </c>
      <c r="G47" s="1183">
        <v>5</v>
      </c>
      <c r="H47" s="1183">
        <v>6</v>
      </c>
      <c r="I47" s="1183">
        <v>7</v>
      </c>
      <c r="J47" s="1183">
        <v>8</v>
      </c>
      <c r="K47" s="1183">
        <v>9</v>
      </c>
      <c r="L47" s="1183">
        <v>10</v>
      </c>
      <c r="M47" s="67">
        <v>11</v>
      </c>
      <c r="N47" s="67">
        <v>12</v>
      </c>
      <c r="O47" s="1183">
        <v>13</v>
      </c>
      <c r="P47" s="1183">
        <v>14</v>
      </c>
      <c r="Q47" s="1183">
        <v>15</v>
      </c>
      <c r="R47" s="1183">
        <v>16</v>
      </c>
      <c r="S47" s="1183">
        <v>17</v>
      </c>
      <c r="T47" s="67">
        <v>18</v>
      </c>
      <c r="U47" s="1183">
        <v>19</v>
      </c>
      <c r="V47" s="1183">
        <v>20</v>
      </c>
      <c r="W47" s="1183">
        <v>21</v>
      </c>
      <c r="X47" s="1183">
        <v>22</v>
      </c>
      <c r="Y47" s="1183">
        <v>23</v>
      </c>
      <c r="Z47" s="1183">
        <v>24</v>
      </c>
      <c r="AA47" s="67">
        <v>25</v>
      </c>
      <c r="AB47" s="1183">
        <v>26</v>
      </c>
      <c r="AC47" s="1183">
        <v>27</v>
      </c>
      <c r="AD47" s="1183">
        <v>28</v>
      </c>
      <c r="AE47" s="67">
        <v>29</v>
      </c>
      <c r="AF47" s="1183">
        <v>30</v>
      </c>
      <c r="AG47" s="169">
        <v>31</v>
      </c>
      <c r="AH47" s="1937"/>
      <c r="AI47" s="1184" t="s">
        <v>35</v>
      </c>
      <c r="AJ47" s="1183" t="s">
        <v>237</v>
      </c>
      <c r="AK47" s="1183" t="s">
        <v>12</v>
      </c>
      <c r="AL47" s="1183" t="s">
        <v>238</v>
      </c>
      <c r="AM47" s="1183" t="s">
        <v>239</v>
      </c>
      <c r="AN47" s="1183" t="s">
        <v>240</v>
      </c>
      <c r="AO47" s="169" t="s">
        <v>16</v>
      </c>
      <c r="AP47" s="1917"/>
      <c r="AQ47" s="1920"/>
      <c r="AR47" s="1923"/>
    </row>
    <row r="48" spans="1:53" ht="43.5" customHeight="1">
      <c r="A48" s="603" t="s">
        <v>63</v>
      </c>
      <c r="B48" s="604" t="s">
        <v>748</v>
      </c>
      <c r="C48" s="289" t="s">
        <v>239</v>
      </c>
      <c r="D48" s="136">
        <f>COUNTIF(ABSEN!B:B,"AGUS SATRIAWAN (SUMARNI)")</f>
        <v>1</v>
      </c>
      <c r="E48" s="136">
        <f>COUNTIF(ABSEN!C:C,"AGUS SATRIAWAN (SUMARNI)")</f>
        <v>1</v>
      </c>
      <c r="F48" s="289" t="s">
        <v>238</v>
      </c>
      <c r="G48" s="136">
        <f>COUNTIF(ABSEN!E:E,"AGUS SATRIAWAN (SUMARNI)")</f>
        <v>1</v>
      </c>
      <c r="H48" s="136">
        <f>COUNTIF(ABSEN!F:F,"AGUS SATRIAWAN (SUMARNI)")</f>
        <v>1</v>
      </c>
      <c r="I48" s="136">
        <f>COUNTIF(ABSEN!G:G,"AGUS SATRIAWAN (SUMARNI)")</f>
        <v>1</v>
      </c>
      <c r="J48" s="136">
        <f>COUNTIF(ABSEN!H:H,"AGUS SATRIAWAN (SUMARNI)")</f>
        <v>1</v>
      </c>
      <c r="K48" s="136">
        <f>COUNTIF(ABSEN!I:I,"AGUS SATRIAWAN (SUMARNI)")</f>
        <v>1</v>
      </c>
      <c r="L48" s="136">
        <f>COUNTIF(ABSEN!J:J,"AGUS SATRIAWAN (SUMARNI)")</f>
        <v>1</v>
      </c>
      <c r="M48" s="289" t="s">
        <v>238</v>
      </c>
      <c r="N48" s="289" t="s">
        <v>239</v>
      </c>
      <c r="O48" s="136">
        <f>COUNTIF(ABSEN!M:M,"AGUS SATRIAWAN (SUMARNI)")</f>
        <v>1</v>
      </c>
      <c r="P48" s="136">
        <f>COUNTIF(ABSEN!N:N,"AGUS SATRIAWAN (SUMARNI)")</f>
        <v>1</v>
      </c>
      <c r="Q48" s="136">
        <f>COUNTIF(ABSEN!O:O,"AGUS SATRIAWAN (SUMARNI)")</f>
        <v>1</v>
      </c>
      <c r="R48" s="136">
        <f>COUNTIF(ABSEN!P:P,"AGUS SATRIAWAN (SUMARNI)")</f>
        <v>1</v>
      </c>
      <c r="S48" s="136">
        <f>COUNTIF(ABSEN!Q:Q,"AGUS SATRIAWAN (SUMARNI)")</f>
        <v>1</v>
      </c>
      <c r="T48" s="289" t="s">
        <v>238</v>
      </c>
      <c r="U48" s="136">
        <f>COUNTIF(ABSEN!S:S,"AGUS SATRIAWAN (SUMARNI)")</f>
        <v>1</v>
      </c>
      <c r="V48" s="136">
        <f>COUNTIF(ABSEN!T:T,"AGUS SATRIAWAN (SUMARNI)")</f>
        <v>1</v>
      </c>
      <c r="W48" s="136">
        <f>COUNTIF(ABSEN!U:U,"AGUS SATRIAWAN (SUMARNI)")</f>
        <v>1</v>
      </c>
      <c r="X48" s="136">
        <f>COUNTIF(ABSEN!V:V,"AGUS SATRIAWAN (SUMARNI)")</f>
        <v>1</v>
      </c>
      <c r="Y48" s="136">
        <f>COUNTIF(ABSEN!W:W,"AGUS SATRIAWAN (SUMARNI)")</f>
        <v>1</v>
      </c>
      <c r="Z48" s="136">
        <f>COUNTIF(ABSEN!X:X,"AGUS SATRIAWAN (SUMARNI)")</f>
        <v>1</v>
      </c>
      <c r="AA48" s="289" t="s">
        <v>238</v>
      </c>
      <c r="AB48" s="136">
        <f>COUNTIF(ABSEN!Z:Z,"AGUS SATRIAWAN (SUMARNI)")</f>
        <v>1</v>
      </c>
      <c r="AC48" s="136">
        <f>COUNTIF(ABSEN!AA:AA,"AGUS SATRIAWAN (SUMARNI)")</f>
        <v>1</v>
      </c>
      <c r="AD48" s="136">
        <f>COUNTIF(ABSEN!AB:AB,"AGUS SATRIAWAN (SUMARNI)")</f>
        <v>1</v>
      </c>
      <c r="AE48" s="289" t="s">
        <v>239</v>
      </c>
      <c r="AF48" s="136">
        <f>COUNTIF(ABSEN!AD:AD,"AGUS SATRIAWAN (SUMARNI)")</f>
        <v>1</v>
      </c>
      <c r="AG48" s="136">
        <f>COUNTIF(ABSEN!AE:AE,"AGUS SATRIAWAN (SUMARNI)")</f>
        <v>1</v>
      </c>
      <c r="AH48" s="137">
        <f t="shared" ref="AH48:AH55" si="92">SUM(C48:AG48)</f>
        <v>24</v>
      </c>
      <c r="AI48" s="138">
        <f t="shared" ref="AI48:AI51" si="93">COUNTIF(C48:AG48,"CT")</f>
        <v>0</v>
      </c>
      <c r="AJ48" s="136">
        <f t="shared" ref="AJ48:AJ51" si="94">COUNTIF(C48:AG48,"S")</f>
        <v>0</v>
      </c>
      <c r="AK48" s="136">
        <f t="shared" ref="AK48:AK51" si="95">COUNTIF(C48:AG48,"H1")</f>
        <v>0</v>
      </c>
      <c r="AL48" s="136">
        <f t="shared" ref="AL48:AL51" si="96">COUNTIF(C48:AG48,"MG")</f>
        <v>4</v>
      </c>
      <c r="AM48" s="136">
        <f t="shared" ref="AM48:AM51" si="97">COUNTIF(C48:AG48,"NAS")</f>
        <v>3</v>
      </c>
      <c r="AN48" s="136">
        <f t="shared" ref="AN48:AN51" si="98">COUNTIF(C48:AG48,"H2")</f>
        <v>0</v>
      </c>
      <c r="AO48" s="139">
        <f t="shared" ref="AO48:AO51" si="99">COUNTIF(C48:AG48,"P1")</f>
        <v>0</v>
      </c>
      <c r="AP48" s="137">
        <f t="shared" ref="AP48:AP51" si="100">+AH48+AI48+AJ48+AK48+AL48+AM48+AN48+AO48</f>
        <v>31</v>
      </c>
      <c r="AQ48" s="518">
        <f t="shared" ref="AQ48:AQ51" si="101">COUNTIF(C48:AG48,"CTH")</f>
        <v>0</v>
      </c>
      <c r="AR48" s="519">
        <f t="shared" ref="AR48:AR51" si="102">COUNTIF(C48:AG48,"A")</f>
        <v>0</v>
      </c>
      <c r="AS48" s="141"/>
      <c r="AT48" s="142"/>
      <c r="AU48" s="142"/>
      <c r="AV48" s="142"/>
      <c r="AW48" s="604"/>
      <c r="AX48" s="751"/>
      <c r="AY48" s="751"/>
      <c r="AZ48" s="751"/>
      <c r="BA48" s="752"/>
    </row>
    <row r="49" spans="1:53" ht="43.5" customHeight="1">
      <c r="A49" s="603" t="s">
        <v>53</v>
      </c>
      <c r="B49" s="604" t="s">
        <v>749</v>
      </c>
      <c r="C49" s="289" t="s">
        <v>239</v>
      </c>
      <c r="D49" s="136">
        <f>COUNTIF(ABSEN!B:B,"ZAINUL (SUMARNI)")</f>
        <v>1</v>
      </c>
      <c r="E49" s="136">
        <f>COUNTIF(ABSEN!C:C,"ZAINUL (SUMARNI)")</f>
        <v>1</v>
      </c>
      <c r="F49" s="289" t="s">
        <v>238</v>
      </c>
      <c r="G49" s="136">
        <f>COUNTIF(ABSEN!E:E,"ZAINUL (SUMARNI)")</f>
        <v>1</v>
      </c>
      <c r="H49" s="136">
        <f>COUNTIF(ABSEN!F:F,"ZAINUL (SUMARNI)")</f>
        <v>1</v>
      </c>
      <c r="I49" s="136">
        <f>COUNTIF(ABSEN!G:G,"ZAINUL (SUMARNI)")</f>
        <v>1</v>
      </c>
      <c r="J49" s="136">
        <f>COUNTIF(ABSEN!H:H,"ZAINUL (SUMARNI)")</f>
        <v>1</v>
      </c>
      <c r="K49" s="136">
        <f>COUNTIF(ABSEN!I:I,"ZAINUL (SUMARNI)")</f>
        <v>1</v>
      </c>
      <c r="L49" s="136">
        <f>COUNTIF(ABSEN!J:J,"ZAINUL (SUMARNI)")</f>
        <v>1</v>
      </c>
      <c r="M49" s="289" t="s">
        <v>238</v>
      </c>
      <c r="N49" s="289" t="s">
        <v>239</v>
      </c>
      <c r="O49" s="136">
        <f>COUNTIF(ABSEN!M:M,"ZAINUL (SUMARNI)")</f>
        <v>1</v>
      </c>
      <c r="P49" s="136">
        <f>COUNTIF(ABSEN!N:N,"ZAINUL (SUMARNI)")</f>
        <v>1</v>
      </c>
      <c r="Q49" s="136">
        <f>COUNTIF(ABSEN!O:O,"ZAINUL (SUMARNI)")</f>
        <v>1</v>
      </c>
      <c r="R49" s="136">
        <f>COUNTIF(ABSEN!P:P,"ZAINUL (SUMARNI)")</f>
        <v>1</v>
      </c>
      <c r="S49" s="136">
        <f>COUNTIF(ABSEN!Q:Q,"ZAINUL (SUMARNI)")</f>
        <v>1</v>
      </c>
      <c r="T49" s="289" t="s">
        <v>238</v>
      </c>
      <c r="U49" s="136">
        <f>COUNTIF(ABSEN!S:S,"ZAINUL (SUMARNI)")</f>
        <v>1</v>
      </c>
      <c r="V49" s="136">
        <f>COUNTIF(ABSEN!T:T,"ZAINUL (SUMARNI)")</f>
        <v>1</v>
      </c>
      <c r="W49" s="136">
        <f>COUNTIF(ABSEN!U:U,"ZAINUL (SUMARNI)")</f>
        <v>1</v>
      </c>
      <c r="X49" s="136">
        <f>COUNTIF(ABSEN!V:V,"ZAINUL (SUMARNI)")</f>
        <v>1</v>
      </c>
      <c r="Y49" s="136">
        <f>COUNTIF(ABSEN!W:W,"ZAINUL (SUMARNI)")</f>
        <v>1</v>
      </c>
      <c r="Z49" s="136">
        <f>COUNTIF(ABSEN!X:X,"ZAINUL (SUMARNI)")</f>
        <v>1</v>
      </c>
      <c r="AA49" s="289" t="s">
        <v>238</v>
      </c>
      <c r="AB49" s="136">
        <f>COUNTIF(ABSEN!Z:Z,"ZAINUL (SUMARNI)")</f>
        <v>1</v>
      </c>
      <c r="AC49" s="136">
        <f>COUNTIF(ABSEN!AA:AA,"ZAINUL (SUMARNI)")</f>
        <v>1</v>
      </c>
      <c r="AD49" s="136">
        <f>COUNTIF(ABSEN!AB:AB,"ZAINUL (SUMARNI)")</f>
        <v>1</v>
      </c>
      <c r="AE49" s="289" t="s">
        <v>239</v>
      </c>
      <c r="AF49" s="136">
        <f>COUNTIF(ABSEN!AD:AD,"ZAINUL (SUMARNI)")</f>
        <v>1</v>
      </c>
      <c r="AG49" s="136">
        <f>COUNTIF(ABSEN!AE:AE,"ZAINUL (SUMARNI)")</f>
        <v>1</v>
      </c>
      <c r="AH49" s="137">
        <f t="shared" si="92"/>
        <v>24</v>
      </c>
      <c r="AI49" s="138">
        <f t="shared" si="93"/>
        <v>0</v>
      </c>
      <c r="AJ49" s="136">
        <f t="shared" si="94"/>
        <v>0</v>
      </c>
      <c r="AK49" s="136">
        <f t="shared" si="95"/>
        <v>0</v>
      </c>
      <c r="AL49" s="136">
        <f t="shared" si="96"/>
        <v>4</v>
      </c>
      <c r="AM49" s="136">
        <f t="shared" si="97"/>
        <v>3</v>
      </c>
      <c r="AN49" s="136">
        <f t="shared" si="98"/>
        <v>0</v>
      </c>
      <c r="AO49" s="139">
        <f t="shared" si="99"/>
        <v>0</v>
      </c>
      <c r="AP49" s="137">
        <f t="shared" si="100"/>
        <v>31</v>
      </c>
      <c r="AQ49" s="518">
        <f t="shared" si="101"/>
        <v>0</v>
      </c>
      <c r="AR49" s="519">
        <f t="shared" si="102"/>
        <v>0</v>
      </c>
      <c r="AS49" s="141"/>
      <c r="AT49" s="142"/>
      <c r="AU49" s="142"/>
      <c r="AV49" s="142"/>
      <c r="AW49" s="604"/>
      <c r="AX49" s="751"/>
      <c r="AY49" s="751"/>
      <c r="AZ49" s="751"/>
      <c r="BA49" s="752"/>
    </row>
    <row r="50" spans="1:53" ht="43.5" customHeight="1">
      <c r="A50" s="603" t="s">
        <v>64</v>
      </c>
      <c r="B50" s="604" t="s">
        <v>750</v>
      </c>
      <c r="C50" s="289" t="s">
        <v>239</v>
      </c>
      <c r="D50" s="136">
        <f>COUNTIF(ABSEN!B:B,"M. EZAN FARIZI (MARLINA)")</f>
        <v>1</v>
      </c>
      <c r="E50" s="136">
        <f>COUNTIF(ABSEN!C:C,"M. EZAN FARIZI (MARLINA)")</f>
        <v>1</v>
      </c>
      <c r="F50" s="289" t="s">
        <v>238</v>
      </c>
      <c r="G50" s="136">
        <f>COUNTIF(ABSEN!E:E,"M. EZAN FARIZI (MARLINA)")</f>
        <v>1</v>
      </c>
      <c r="H50" s="136">
        <f>COUNTIF(ABSEN!F:F,"M. EZAN FARIZI (MARLINA)")</f>
        <v>1</v>
      </c>
      <c r="I50" s="136">
        <f>COUNTIF(ABSEN!G:G,"M. EZAN FARIZI (MARLINA)")</f>
        <v>1</v>
      </c>
      <c r="J50" s="136">
        <f>COUNTIF(ABSEN!H:H,"M. EZAN FARIZI (MARLINA)")</f>
        <v>1</v>
      </c>
      <c r="K50" s="136">
        <f>COUNTIF(ABSEN!I:I,"M. EZAN FARIZI (MARLINA)")</f>
        <v>1</v>
      </c>
      <c r="L50" s="136">
        <f>COUNTIF(ABSEN!J:J,"M. EZAN FARIZI (MARLINA)")</f>
        <v>1</v>
      </c>
      <c r="M50" s="289" t="s">
        <v>238</v>
      </c>
      <c r="N50" s="289" t="s">
        <v>239</v>
      </c>
      <c r="O50" s="136">
        <f>COUNTIF(ABSEN!M:M,"M. EZAN FARIZI (MARLINA)")</f>
        <v>1</v>
      </c>
      <c r="P50" s="136">
        <f>COUNTIF(ABSEN!N:N,"M. EZAN FARIZI (MARLINA)")</f>
        <v>1</v>
      </c>
      <c r="Q50" s="136">
        <f>COUNTIF(ABSEN!O:O,"M. EZAN FARIZI (MARLINA)")</f>
        <v>1</v>
      </c>
      <c r="R50" s="136">
        <f>COUNTIF(ABSEN!P:P,"M. EZAN FARIZI (MARLINA)")</f>
        <v>1</v>
      </c>
      <c r="S50" s="136">
        <f>COUNTIF(ABSEN!Q:Q,"M. EZAN FARIZI (MARLINA)")</f>
        <v>1</v>
      </c>
      <c r="T50" s="289" t="s">
        <v>238</v>
      </c>
      <c r="U50" s="136">
        <f>COUNTIF(ABSEN!S:S,"M. EZAN FARIZI (MARLINA)")</f>
        <v>1</v>
      </c>
      <c r="V50" s="136">
        <f>COUNTIF(ABSEN!T:T,"M. EZAN FARIZI (MARLINA)")</f>
        <v>1</v>
      </c>
      <c r="W50" s="1216" t="s">
        <v>42</v>
      </c>
      <c r="X50" s="1216" t="s">
        <v>42</v>
      </c>
      <c r="Y50" s="136">
        <f>COUNTIF(ABSEN!W:W,"M. EZAN FARIZI (MARLINA)")</f>
        <v>1</v>
      </c>
      <c r="Z50" s="136">
        <f>COUNTIF(ABSEN!X:X,"M. EZAN FARIZI (MARLINA)")</f>
        <v>1</v>
      </c>
      <c r="AA50" s="289" t="s">
        <v>238</v>
      </c>
      <c r="AB50" s="136">
        <f>COUNTIF(ABSEN!Z:Z,"M. EZAN FARIZI (MARLINA)")</f>
        <v>1</v>
      </c>
      <c r="AC50" s="136">
        <f>COUNTIF(ABSEN!AA:AA,"M. EZAN FARIZI (MARLINA)")</f>
        <v>1</v>
      </c>
      <c r="AD50" s="136">
        <f>COUNTIF(ABSEN!AB:AB,"M. EZAN FARIZI (MARLINA)")</f>
        <v>1</v>
      </c>
      <c r="AE50" s="289" t="s">
        <v>239</v>
      </c>
      <c r="AF50" s="136">
        <f>COUNTIF(ABSEN!AD:AD,"M. EZAN FARIZI (MARLINA)")</f>
        <v>1</v>
      </c>
      <c r="AG50" s="1216" t="s">
        <v>778</v>
      </c>
      <c r="AH50" s="137">
        <f t="shared" si="92"/>
        <v>21</v>
      </c>
      <c r="AI50" s="138">
        <f t="shared" si="93"/>
        <v>0</v>
      </c>
      <c r="AJ50" s="136">
        <f t="shared" si="94"/>
        <v>1</v>
      </c>
      <c r="AK50" s="136">
        <f t="shared" si="95"/>
        <v>0</v>
      </c>
      <c r="AL50" s="136">
        <f t="shared" si="96"/>
        <v>4</v>
      </c>
      <c r="AM50" s="136">
        <f t="shared" si="97"/>
        <v>3</v>
      </c>
      <c r="AN50" s="136">
        <f t="shared" si="98"/>
        <v>0</v>
      </c>
      <c r="AO50" s="139">
        <f t="shared" si="99"/>
        <v>0</v>
      </c>
      <c r="AP50" s="137">
        <f t="shared" si="100"/>
        <v>29</v>
      </c>
      <c r="AQ50" s="518">
        <f t="shared" si="101"/>
        <v>2</v>
      </c>
      <c r="AR50" s="519">
        <f t="shared" si="102"/>
        <v>0</v>
      </c>
      <c r="AS50" s="141"/>
      <c r="AT50" s="142"/>
      <c r="AU50" s="142"/>
      <c r="AV50" s="142"/>
      <c r="AW50" s="604"/>
      <c r="AX50" s="751"/>
      <c r="AY50" s="751"/>
      <c r="AZ50" s="751"/>
      <c r="BA50" s="752"/>
    </row>
    <row r="51" spans="1:53" ht="43.5" customHeight="1">
      <c r="A51" s="603" t="s">
        <v>65</v>
      </c>
      <c r="B51" s="604" t="s">
        <v>751</v>
      </c>
      <c r="C51" s="289" t="s">
        <v>239</v>
      </c>
      <c r="D51" s="136">
        <f>COUNTIF(ABSEN!B:B,"TAHARUDIN (MAHNUN)")</f>
        <v>1</v>
      </c>
      <c r="E51" s="136">
        <f>COUNTIF(ABSEN!C:C,"TAHARUDIN (MAHNUN)")</f>
        <v>1</v>
      </c>
      <c r="F51" s="289" t="s">
        <v>238</v>
      </c>
      <c r="G51" s="136">
        <f>COUNTIF(ABSEN!E:E,"TAHARUDIN (MAHNUN)")</f>
        <v>1</v>
      </c>
      <c r="H51" s="136">
        <f>COUNTIF(ABSEN!F:F,"TAHARUDIN (MAHNUN)")</f>
        <v>1</v>
      </c>
      <c r="I51" s="136">
        <f>COUNTIF(ABSEN!G:G,"TAHARUDIN (MAHNUN)")</f>
        <v>1</v>
      </c>
      <c r="J51" s="136">
        <f>COUNTIF(ABSEN!H:H,"TAHARUDIN (MAHNUN)")</f>
        <v>1</v>
      </c>
      <c r="K51" s="136">
        <f>COUNTIF(ABSEN!I:I,"TAHARUDIN (MAHNUN)")</f>
        <v>1</v>
      </c>
      <c r="L51" s="136">
        <f>COUNTIF(ABSEN!J:J,"TAHARUDIN (MAHNUN)")</f>
        <v>1</v>
      </c>
      <c r="M51" s="289" t="s">
        <v>238</v>
      </c>
      <c r="N51" s="289" t="s">
        <v>239</v>
      </c>
      <c r="O51" s="136">
        <f>COUNTIF(ABSEN!M:M,"TAHARUDIN (MAHNUN)")</f>
        <v>1</v>
      </c>
      <c r="P51" s="136">
        <f>COUNTIF(ABSEN!N:N,"TAHARUDIN (MAHNUN)")</f>
        <v>1</v>
      </c>
      <c r="Q51" s="136">
        <f>COUNTIF(ABSEN!O:O,"TAHARUDIN (MAHNUN)")</f>
        <v>1</v>
      </c>
      <c r="R51" s="136">
        <f>COUNTIF(ABSEN!P:P,"TAHARUDIN (MAHNUN)")</f>
        <v>1</v>
      </c>
      <c r="S51" s="136">
        <f>COUNTIF(ABSEN!Q:Q,"TAHARUDIN (MAHNUN)")</f>
        <v>1</v>
      </c>
      <c r="T51" s="289" t="s">
        <v>238</v>
      </c>
      <c r="U51" s="136">
        <f>COUNTIF(ABSEN!S:S,"TAHARUDIN (MAHNUN)")</f>
        <v>1</v>
      </c>
      <c r="V51" s="136">
        <f>COUNTIF(ABSEN!T:T,"TAHARUDIN (MAHNUN)")</f>
        <v>1</v>
      </c>
      <c r="W51" s="136">
        <f>COUNTIF(ABSEN!U:U,"TAHARUDIN (MAHNUN)")</f>
        <v>1</v>
      </c>
      <c r="X51" s="136">
        <f>COUNTIF(ABSEN!V:V,"TAHARUDIN (MAHNUN)")</f>
        <v>1</v>
      </c>
      <c r="Y51" s="136">
        <f>COUNTIF(ABSEN!W:W,"TAHARUDIN (MAHNUN)")</f>
        <v>1</v>
      </c>
      <c r="Z51" s="136">
        <f>COUNTIF(ABSEN!X:X,"TAHARUDIN (MAHNUN)")</f>
        <v>1</v>
      </c>
      <c r="AA51" s="289" t="s">
        <v>238</v>
      </c>
      <c r="AB51" s="136">
        <f>COUNTIF(ABSEN!Z:Z,"TAHARUDIN (MAHNUN)")</f>
        <v>1</v>
      </c>
      <c r="AC51" s="136">
        <f>COUNTIF(ABSEN!AA:AA,"TAHARUDIN (MAHNUN)")</f>
        <v>1</v>
      </c>
      <c r="AD51" s="136">
        <f>COUNTIF(ABSEN!AB:AB,"TAHARUDIN (MAHNUN)")</f>
        <v>1</v>
      </c>
      <c r="AE51" s="289" t="s">
        <v>239</v>
      </c>
      <c r="AF51" s="136">
        <f>COUNTIF(ABSEN!AD:AD,"TAHARUDIN (MAHNUN)")</f>
        <v>1</v>
      </c>
      <c r="AG51" s="136">
        <f>COUNTIF(ABSEN!AE:AE,"TAHARUDIN (MAHNUN)")</f>
        <v>1</v>
      </c>
      <c r="AH51" s="137">
        <f t="shared" si="92"/>
        <v>24</v>
      </c>
      <c r="AI51" s="138">
        <f t="shared" si="93"/>
        <v>0</v>
      </c>
      <c r="AJ51" s="136">
        <f t="shared" si="94"/>
        <v>0</v>
      </c>
      <c r="AK51" s="136">
        <f t="shared" si="95"/>
        <v>0</v>
      </c>
      <c r="AL51" s="136">
        <f t="shared" si="96"/>
        <v>4</v>
      </c>
      <c r="AM51" s="136">
        <f t="shared" si="97"/>
        <v>3</v>
      </c>
      <c r="AN51" s="136">
        <f t="shared" si="98"/>
        <v>0</v>
      </c>
      <c r="AO51" s="139">
        <f t="shared" si="99"/>
        <v>0</v>
      </c>
      <c r="AP51" s="137">
        <f t="shared" si="100"/>
        <v>31</v>
      </c>
      <c r="AQ51" s="518">
        <f t="shared" si="101"/>
        <v>0</v>
      </c>
      <c r="AR51" s="519">
        <f t="shared" si="102"/>
        <v>0</v>
      </c>
      <c r="AS51" s="141"/>
      <c r="AT51" s="142"/>
      <c r="AU51" s="142"/>
      <c r="AV51" s="142"/>
      <c r="AW51" s="604"/>
      <c r="AX51" s="751"/>
      <c r="AY51" s="751"/>
      <c r="AZ51" s="751"/>
      <c r="BA51" s="752"/>
    </row>
    <row r="52" spans="1:53" ht="43.5" customHeight="1">
      <c r="A52" s="603" t="s">
        <v>66</v>
      </c>
      <c r="B52" s="604" t="s">
        <v>775</v>
      </c>
      <c r="C52" s="289"/>
      <c r="D52" s="136">
        <f>COUNTIF(ABSEN!B:B,"ANDREAN AGUSTIN HADI")</f>
        <v>1</v>
      </c>
      <c r="E52" s="136">
        <f>COUNTIF(ABSEN!C:C,"ANDREAN AGUSTIN HADI")</f>
        <v>1</v>
      </c>
      <c r="F52" s="289" t="s">
        <v>238</v>
      </c>
      <c r="G52" s="136">
        <f>COUNTIF(ABSEN!E:E,"ANDREAN AGUSTIN HADI")</f>
        <v>1</v>
      </c>
      <c r="H52" s="136">
        <f>COUNTIF(ABSEN!F:F,"ANDREAN AGUSTIN HADI")</f>
        <v>1</v>
      </c>
      <c r="I52" s="136">
        <f>COUNTIF(ABSEN!G:G,"ANDREAN AGUSTIN HADI")</f>
        <v>1</v>
      </c>
      <c r="J52" s="136">
        <f>COUNTIF(ABSEN!H:H,"ANDREAN AGUSTIN HADI")</f>
        <v>1</v>
      </c>
      <c r="K52" s="136">
        <f>COUNTIF(ABSEN!I:I,"ANDREAN AGUSTIN HADI")</f>
        <v>1</v>
      </c>
      <c r="L52" s="136">
        <f>COUNTIF(ABSEN!J:J,"ANDREAN AGUSTIN HADI (NAPISAH)")</f>
        <v>1</v>
      </c>
      <c r="M52" s="289" t="s">
        <v>238</v>
      </c>
      <c r="N52" s="289" t="s">
        <v>239</v>
      </c>
      <c r="O52" s="136">
        <f>COUNTIF(ABSEN!M:M,"AGUS SATRIAWAN (SUMARNI)")</f>
        <v>1</v>
      </c>
      <c r="P52" s="136">
        <f>COUNTIF(ABSEN!N:N,"AGUS SATRIAWAN (SUMARNI)")</f>
        <v>1</v>
      </c>
      <c r="Q52" s="136">
        <f>COUNTIF(ABSEN!O:O,"AGUS SATRIAWAN (SUMARNI)")</f>
        <v>1</v>
      </c>
      <c r="R52" s="136">
        <f>COUNTIF(ABSEN!P:P,"AGUS SATRIAWAN (SUMARNI)")</f>
        <v>1</v>
      </c>
      <c r="S52" s="136">
        <f>COUNTIF(ABSEN!Q:Q,"AGUS SATRIAWAN (SUMARNI)")</f>
        <v>1</v>
      </c>
      <c r="T52" s="289" t="s">
        <v>238</v>
      </c>
      <c r="U52" s="136">
        <f>COUNTIF(ABSEN!S:S,"AGUS SATRIAWAN (SUMARNI)")</f>
        <v>1</v>
      </c>
      <c r="V52" s="136">
        <f>COUNTIF(ABSEN!T:T,"AGUS SATRIAWAN (SUMARNI)")</f>
        <v>1</v>
      </c>
      <c r="W52" s="136">
        <f>COUNTIF(ABSEN!U:U,"AGUS SATRIAWAN (SUMARNI)")</f>
        <v>1</v>
      </c>
      <c r="X52" s="136">
        <f>COUNTIF(ABSEN!V:V,"AGUS SATRIAWAN (SUMARNI)")</f>
        <v>1</v>
      </c>
      <c r="Y52" s="136">
        <f>COUNTIF(ABSEN!W:W,"AGUS SATRIAWAN (SUMARNI)")</f>
        <v>1</v>
      </c>
      <c r="Z52" s="136">
        <f>COUNTIF(ABSEN!X:X,"AGUS SATRIAWAN (SUMARNI)")</f>
        <v>1</v>
      </c>
      <c r="AA52" s="289" t="s">
        <v>238</v>
      </c>
      <c r="AB52" s="136">
        <f>COUNTIF(ABSEN!Z:Z,"AGUS SATRIAWAN (SUMARNI)")</f>
        <v>1</v>
      </c>
      <c r="AC52" s="136">
        <f>COUNTIF(ABSEN!AA:AA,"AGUS SATRIAWAN (SUMARNI)")</f>
        <v>1</v>
      </c>
      <c r="AD52" s="136">
        <f>COUNTIF(ABSEN!AB:AB,"AGUS SATRIAWAN (SUMARNI)")</f>
        <v>1</v>
      </c>
      <c r="AE52" s="289" t="s">
        <v>239</v>
      </c>
      <c r="AF52" s="136">
        <f>COUNTIF(ABSEN!AD:AD,"AGUS SATRIAWAN (SUMARNI)")</f>
        <v>1</v>
      </c>
      <c r="AG52" s="136">
        <f>COUNTIF(ABSEN!AE:AE,"AGUS SATRIAWAN (SUMARNI)")</f>
        <v>1</v>
      </c>
      <c r="AH52" s="137">
        <f t="shared" si="92"/>
        <v>24</v>
      </c>
      <c r="AI52" s="138">
        <f t="shared" ref="AI52:AI54" si="103">COUNTIF(C52:AG52,"CT")</f>
        <v>0</v>
      </c>
      <c r="AJ52" s="136">
        <f t="shared" ref="AJ52:AJ54" si="104">COUNTIF(C52:AG52,"S")</f>
        <v>0</v>
      </c>
      <c r="AK52" s="136">
        <f t="shared" ref="AK52:AK54" si="105">COUNTIF(C52:AG52,"H1")</f>
        <v>0</v>
      </c>
      <c r="AL52" s="136">
        <f t="shared" ref="AL52:AL54" si="106">COUNTIF(C52:AG52,"MG")</f>
        <v>4</v>
      </c>
      <c r="AM52" s="136">
        <f t="shared" ref="AM52:AM54" si="107">COUNTIF(C52:AG52,"NAS")</f>
        <v>2</v>
      </c>
      <c r="AN52" s="136">
        <f t="shared" ref="AN52:AN54" si="108">COUNTIF(C52:AG52,"H2")</f>
        <v>0</v>
      </c>
      <c r="AO52" s="139">
        <f t="shared" ref="AO52:AO54" si="109">COUNTIF(C52:AG52,"P1")</f>
        <v>0</v>
      </c>
      <c r="AP52" s="137">
        <f t="shared" ref="AP52:AP54" si="110">+AH52+AI52+AJ52+AK52+AL52+AM52+AN52+AO52</f>
        <v>30</v>
      </c>
      <c r="AQ52" s="518">
        <f t="shared" ref="AQ52:AQ54" si="111">COUNTIF(C52:AG52,"CTH")</f>
        <v>0</v>
      </c>
      <c r="AR52" s="519">
        <f t="shared" ref="AR52:AR54" si="112">COUNTIF(C52:AG52,"A")</f>
        <v>0</v>
      </c>
      <c r="AS52" s="141"/>
      <c r="AT52" s="142"/>
      <c r="AU52" s="142"/>
      <c r="AV52" s="142"/>
      <c r="AW52" s="604"/>
      <c r="AX52" s="751"/>
      <c r="AY52" s="751"/>
      <c r="AZ52" s="751"/>
      <c r="BA52" s="752"/>
    </row>
    <row r="53" spans="1:53" ht="43.5" customHeight="1">
      <c r="A53" s="603" t="s">
        <v>67</v>
      </c>
      <c r="B53" s="604" t="s">
        <v>774</v>
      </c>
      <c r="C53" s="289"/>
      <c r="D53" s="136">
        <f>COUNTIF(ABSEN!B:B,"HAMDI")</f>
        <v>1</v>
      </c>
      <c r="E53" s="136">
        <f>COUNTIF(ABSEN!C:C,"HAMDI")</f>
        <v>1</v>
      </c>
      <c r="F53" s="289" t="s">
        <v>238</v>
      </c>
      <c r="G53" s="136">
        <f>COUNTIF(ABSEN!E:E,"HAMDI")</f>
        <v>1</v>
      </c>
      <c r="H53" s="136">
        <f>COUNTIF(ABSEN!F:F,"HAMDI")</f>
        <v>1</v>
      </c>
      <c r="I53" s="136">
        <f>COUNTIF(ABSEN!G:G,"HAMDI")</f>
        <v>1</v>
      </c>
      <c r="J53" s="136">
        <f>COUNTIF(ABSEN!H:H,"HAMDI")</f>
        <v>1</v>
      </c>
      <c r="K53" s="136">
        <f>COUNTIF(ABSEN!I:I,"HAMDI")</f>
        <v>1</v>
      </c>
      <c r="L53" s="136">
        <f>COUNTIF(ABSEN!J:J,"HAMDI (NURMAH)")</f>
        <v>1</v>
      </c>
      <c r="M53" s="289" t="s">
        <v>238</v>
      </c>
      <c r="N53" s="289" t="s">
        <v>239</v>
      </c>
      <c r="O53" s="136">
        <f>COUNTIF(ABSEN!M:M,"HAMDI (NURMAH)")</f>
        <v>1</v>
      </c>
      <c r="P53" s="136">
        <f>COUNTIF(ABSEN!N:N,"HAMDI (NURMAH)")</f>
        <v>1</v>
      </c>
      <c r="Q53" s="136">
        <f>COUNTIF(ABSEN!O:O,"HAMDI (NURMAH)")</f>
        <v>1</v>
      </c>
      <c r="R53" s="136">
        <f>COUNTIF(ABSEN!P:P,"HAMDI (NURMAH)")</f>
        <v>1</v>
      </c>
      <c r="S53" s="136">
        <f>COUNTIF(ABSEN!Q:Q,"HAMDI (NURMAH)")</f>
        <v>1</v>
      </c>
      <c r="T53" s="289" t="s">
        <v>238</v>
      </c>
      <c r="U53" s="136">
        <f>COUNTIF(ABSEN!S:S,"HAMDI (NURMAH)")</f>
        <v>1</v>
      </c>
      <c r="V53" s="136">
        <f>COUNTIF(ABSEN!T:T,"HAMDI (NURMAH)")</f>
        <v>1</v>
      </c>
      <c r="W53" s="136">
        <f>COUNTIF(ABSEN!U:U,"HAMDI (NURMAH)")</f>
        <v>1</v>
      </c>
      <c r="X53" s="136">
        <f>COUNTIF(ABSEN!V:V,"HAMDI (NURMAH)")</f>
        <v>1</v>
      </c>
      <c r="Y53" s="136">
        <f>COUNTIF(ABSEN!W:W,"HAMDI (NURMAH)")</f>
        <v>1</v>
      </c>
      <c r="Z53" s="136">
        <f>COUNTIF(ABSEN!X:X,"HAMDI (NURMAH)")</f>
        <v>1</v>
      </c>
      <c r="AA53" s="289" t="s">
        <v>238</v>
      </c>
      <c r="AB53" s="136">
        <f>COUNTIF(ABSEN!Z:Z,"HAMDI (NURMAH)")</f>
        <v>1</v>
      </c>
      <c r="AC53" s="136">
        <f>COUNTIF(ABSEN!AA:AA,"HAMDI (NURMAH)")</f>
        <v>1</v>
      </c>
      <c r="AD53" s="136">
        <f>COUNTIF(ABSEN!AB:AB,"HAMDI (NURMAH)")</f>
        <v>1</v>
      </c>
      <c r="AE53" s="289" t="s">
        <v>239</v>
      </c>
      <c r="AF53" s="136">
        <f>COUNTIF(ABSEN!AD:AD,"HAMDI (NURMAH)")</f>
        <v>1</v>
      </c>
      <c r="AG53" s="136">
        <f>COUNTIF(ABSEN!AE:AE,"HAMDI (NURMAH)")</f>
        <v>1</v>
      </c>
      <c r="AH53" s="137">
        <f t="shared" si="92"/>
        <v>24</v>
      </c>
      <c r="AI53" s="138">
        <f t="shared" si="103"/>
        <v>0</v>
      </c>
      <c r="AJ53" s="136">
        <f t="shared" si="104"/>
        <v>0</v>
      </c>
      <c r="AK53" s="136">
        <f t="shared" si="105"/>
        <v>0</v>
      </c>
      <c r="AL53" s="136">
        <f t="shared" si="106"/>
        <v>4</v>
      </c>
      <c r="AM53" s="136">
        <f t="shared" si="107"/>
        <v>2</v>
      </c>
      <c r="AN53" s="136">
        <f t="shared" si="108"/>
        <v>0</v>
      </c>
      <c r="AO53" s="139">
        <f t="shared" si="109"/>
        <v>0</v>
      </c>
      <c r="AP53" s="137">
        <f t="shared" si="110"/>
        <v>30</v>
      </c>
      <c r="AQ53" s="518">
        <f t="shared" si="111"/>
        <v>0</v>
      </c>
      <c r="AR53" s="519">
        <f t="shared" si="112"/>
        <v>0</v>
      </c>
      <c r="AS53" s="141"/>
      <c r="AT53" s="142"/>
      <c r="AU53" s="142"/>
      <c r="AV53" s="142"/>
      <c r="AW53" s="604"/>
      <c r="AX53" s="751"/>
      <c r="AY53" s="751"/>
      <c r="AZ53" s="751"/>
      <c r="BA53" s="752"/>
    </row>
    <row r="54" spans="1:53" s="1293" customFormat="1" ht="43.5" customHeight="1">
      <c r="A54" s="1282" t="s">
        <v>68</v>
      </c>
      <c r="B54" s="1283" t="s">
        <v>776</v>
      </c>
      <c r="C54" s="1216"/>
      <c r="D54" s="1216">
        <f>COUNTIF(ABSEN!B:B,"SOPIAN HADI")</f>
        <v>1</v>
      </c>
      <c r="E54" s="1216">
        <f>COUNTIF(ABSEN!C:C,"SOPIAN HADI")</f>
        <v>1</v>
      </c>
      <c r="F54" s="1216" t="s">
        <v>238</v>
      </c>
      <c r="G54" s="1216">
        <f>COUNTIF(ABSEN!E:E,"SOPIAN HADI")</f>
        <v>1</v>
      </c>
      <c r="H54" s="1216">
        <f>COUNTIF(ABSEN!F:F,"SOPIAN HADI")</f>
        <v>1</v>
      </c>
      <c r="I54" s="1216">
        <f>COUNTIF(ABSEN!G:G,"SOPIAN HADI")</f>
        <v>1</v>
      </c>
      <c r="J54" s="1216">
        <f>COUNTIF(ABSEN!H:H,"SOPIAN HADI")</f>
        <v>1</v>
      </c>
      <c r="K54" s="1216">
        <f>COUNTIF(ABSEN!I:I,"SOPIAN HADI")</f>
        <v>1</v>
      </c>
      <c r="L54" s="1216">
        <f>COUNTIF(ABSEN!J:J,"SOPIAN HADI (SINARAH)")</f>
        <v>1</v>
      </c>
      <c r="M54" s="1216" t="s">
        <v>238</v>
      </c>
      <c r="N54" s="1216" t="s">
        <v>239</v>
      </c>
      <c r="O54" s="1216" t="s">
        <v>780</v>
      </c>
      <c r="P54" s="1216">
        <f>COUNTIF(ABSEN!N:N,"SOPIAN HADI (SINARAH)")</f>
        <v>1</v>
      </c>
      <c r="Q54" s="1216">
        <f>COUNTIF(ABSEN!O:O,"SOPIAN HADI (SINARAH)")</f>
        <v>1</v>
      </c>
      <c r="R54" s="1216">
        <f>COUNTIF(ABSEN!P:P,"SOPIAN HADI (SINARAH)")</f>
        <v>1</v>
      </c>
      <c r="S54" s="1216" t="s">
        <v>780</v>
      </c>
      <c r="T54" s="1216"/>
      <c r="U54" s="1216">
        <f>COUNTIF(ABSEN!S:S,"SOPIAN HADI (SINARAH)")</f>
        <v>1</v>
      </c>
      <c r="V54" s="1216">
        <f>COUNTIF(ABSEN!T:T,"SOPIAN HADI (SINARAH)")</f>
        <v>1</v>
      </c>
      <c r="W54" s="1216">
        <f>COUNTIF(ABSEN!U:U,"SOPIAN HADI (SINARAH)")</f>
        <v>1</v>
      </c>
      <c r="X54" s="1216">
        <f>COUNTIF(ABSEN!V:V,"SOPIAN HADI (SINARAH)")</f>
        <v>0</v>
      </c>
      <c r="Y54" s="1216">
        <f>COUNTIF(ABSEN!W:W,"SOPIAN HADI (SINARAH)")</f>
        <v>0</v>
      </c>
      <c r="Z54" s="1216">
        <f>COUNTIF(ABSEN!X:X,"SOPIAN HADI (SINARAH)")</f>
        <v>0</v>
      </c>
      <c r="AA54" s="1216"/>
      <c r="AB54" s="1216">
        <f>COUNTIF(ABSEN!Z:Z,"SOPIAN HADI (SINARAH)")</f>
        <v>0</v>
      </c>
      <c r="AC54" s="1216">
        <f>COUNTIF(ABSEN!AA:AA,"SOPIAN HADI (SINARAH)")</f>
        <v>0</v>
      </c>
      <c r="AD54" s="1216">
        <f>COUNTIF(ABSEN!AB:AB,"SOPIAN HADI (SINARAH)")</f>
        <v>0</v>
      </c>
      <c r="AE54" s="1216"/>
      <c r="AF54" s="1216">
        <f>COUNTIF(ABSEN!AD:AD,"SOPIAN HADI (SINARAH)")</f>
        <v>0</v>
      </c>
      <c r="AG54" s="1216">
        <f>COUNTIF(ABSEN!AE:AE,"SOPIAN HADI (SINARAH)")</f>
        <v>0</v>
      </c>
      <c r="AH54" s="1284">
        <f t="shared" ref="AH54" si="113">SUM(C54:AG54)</f>
        <v>14</v>
      </c>
      <c r="AI54" s="1285">
        <f t="shared" si="103"/>
        <v>0</v>
      </c>
      <c r="AJ54" s="1216">
        <f t="shared" si="104"/>
        <v>0</v>
      </c>
      <c r="AK54" s="1216">
        <f t="shared" si="105"/>
        <v>0</v>
      </c>
      <c r="AL54" s="1216">
        <f t="shared" si="106"/>
        <v>2</v>
      </c>
      <c r="AM54" s="1216">
        <f t="shared" si="107"/>
        <v>1</v>
      </c>
      <c r="AN54" s="1216">
        <f t="shared" si="108"/>
        <v>0</v>
      </c>
      <c r="AO54" s="1286">
        <f t="shared" si="109"/>
        <v>0</v>
      </c>
      <c r="AP54" s="1284">
        <f t="shared" si="110"/>
        <v>17</v>
      </c>
      <c r="AQ54" s="1287">
        <f t="shared" si="111"/>
        <v>0</v>
      </c>
      <c r="AR54" s="1288">
        <f t="shared" si="112"/>
        <v>2</v>
      </c>
      <c r="AS54" s="1289"/>
      <c r="AT54" s="1290">
        <f t="shared" ref="AT54" si="114">AP54-AS54</f>
        <v>17</v>
      </c>
      <c r="AU54" s="1290"/>
      <c r="AV54" s="1290"/>
      <c r="AW54" s="1283" t="s">
        <v>692</v>
      </c>
      <c r="AX54" s="1291">
        <v>746920</v>
      </c>
      <c r="AY54" s="1291">
        <v>746920</v>
      </c>
      <c r="AZ54" s="1291">
        <v>746920</v>
      </c>
      <c r="BA54" s="1292">
        <f>SUM(AX54:AZ54)</f>
        <v>2240760</v>
      </c>
    </row>
    <row r="55" spans="1:53" ht="43.5" customHeight="1" thickBot="1">
      <c r="A55" s="603" t="s">
        <v>69</v>
      </c>
      <c r="B55" s="262" t="s">
        <v>963</v>
      </c>
      <c r="C55" s="289"/>
      <c r="D55" s="136">
        <f>COUNTIF(ABSEN!B:B,"MASRON")</f>
        <v>0</v>
      </c>
      <c r="E55" s="136">
        <f>COUNTIF(ABSEN!C:C,"MASRON")</f>
        <v>0</v>
      </c>
      <c r="F55" s="289"/>
      <c r="G55" s="136">
        <f>COUNTIF(ABSEN!E:E,"MASRON")</f>
        <v>0</v>
      </c>
      <c r="H55" s="136">
        <f>COUNTIF(ABSEN!F:F,"MASRON")</f>
        <v>0</v>
      </c>
      <c r="I55" s="136">
        <f>COUNTIF(ABSEN!G:G,"MASRON")</f>
        <v>0</v>
      </c>
      <c r="J55" s="136">
        <f>COUNTIF(ABSEN!H:H,"MASRON")</f>
        <v>0</v>
      </c>
      <c r="K55" s="136">
        <f>COUNTIF(ABSEN!I:I,"MASRON")</f>
        <v>0</v>
      </c>
      <c r="L55" s="136">
        <f>COUNTIF(ABSEN!J:J,"MASRON")</f>
        <v>0</v>
      </c>
      <c r="M55" s="289"/>
      <c r="N55" s="289"/>
      <c r="O55" s="136">
        <f>COUNTIF(ABSEN!M:M,"MASRON")</f>
        <v>0</v>
      </c>
      <c r="P55" s="136">
        <f>COUNTIF(ABSEN!N:N,"MASRON")</f>
        <v>0</v>
      </c>
      <c r="Q55" s="136">
        <f>COUNTIF(ABSEN!O:O,"MASRON")</f>
        <v>0</v>
      </c>
      <c r="R55" s="136">
        <f>COUNTIF(ABSEN!P:P,"MASRON")</f>
        <v>0</v>
      </c>
      <c r="S55" s="136">
        <f>COUNTIF(ABSEN!Q:Q,"MASRON")</f>
        <v>0</v>
      </c>
      <c r="T55" s="289"/>
      <c r="U55" s="136">
        <f>COUNTIF(ABSEN!S:S,"MASRON")</f>
        <v>0</v>
      </c>
      <c r="V55" s="136">
        <f>COUNTIF(ABSEN!T:T,"MASRON")</f>
        <v>0</v>
      </c>
      <c r="W55" s="136">
        <f>COUNTIF(ABSEN!U:U,"MASRON (SAKMAH)")</f>
        <v>0</v>
      </c>
      <c r="X55" s="136">
        <f>COUNTIF(ABSEN!V:V,"MASRON (SAKMAH)")</f>
        <v>1</v>
      </c>
      <c r="Y55" s="136">
        <f>COUNTIF(ABSEN!W:W,"MASRON (SAKMAH)")</f>
        <v>1</v>
      </c>
      <c r="Z55" s="136">
        <f>COUNTIF(ABSEN!X:X,"MASRON (SAKMAH)")</f>
        <v>1</v>
      </c>
      <c r="AA55" s="289" t="s">
        <v>238</v>
      </c>
      <c r="AB55" s="136">
        <f>COUNTIF(ABSEN!Z:Z,"MASRON (SAKMAH)")</f>
        <v>1</v>
      </c>
      <c r="AC55" s="136">
        <f>COUNTIF(ABSEN!AA:AA,"MASRON (SAKMAH)")</f>
        <v>1</v>
      </c>
      <c r="AD55" s="136">
        <f>COUNTIF(ABSEN!AB:AB,"MASRON (SAKMAH)")</f>
        <v>1</v>
      </c>
      <c r="AE55" s="289" t="s">
        <v>239</v>
      </c>
      <c r="AF55" s="136">
        <f>COUNTIF(ABSEN!AD:AD,"MASRON (SAKMAH)")</f>
        <v>1</v>
      </c>
      <c r="AG55" s="136">
        <f>COUNTIF(ABSEN!AE:AE,"MASRON (SAKMAH)")</f>
        <v>1</v>
      </c>
      <c r="AH55" s="137">
        <f t="shared" si="92"/>
        <v>8</v>
      </c>
      <c r="AI55" s="138">
        <f t="shared" ref="AI55" si="115">COUNTIF(C55:AG55,"CT")</f>
        <v>0</v>
      </c>
      <c r="AJ55" s="136">
        <f t="shared" ref="AJ55" si="116">COUNTIF(C55:AG55,"S")</f>
        <v>0</v>
      </c>
      <c r="AK55" s="136">
        <f t="shared" ref="AK55" si="117">COUNTIF(C55:AG55,"H1")</f>
        <v>0</v>
      </c>
      <c r="AL55" s="136">
        <f t="shared" ref="AL55" si="118">COUNTIF(C55:AG55,"MG")</f>
        <v>1</v>
      </c>
      <c r="AM55" s="136">
        <f t="shared" ref="AM55" si="119">COUNTIF(C55:AG55,"NAS")</f>
        <v>1</v>
      </c>
      <c r="AN55" s="136">
        <f t="shared" ref="AN55" si="120">COUNTIF(C55:AG55,"H2")</f>
        <v>0</v>
      </c>
      <c r="AO55" s="139">
        <f t="shared" ref="AO55" si="121">COUNTIF(C55:AG55,"P1")</f>
        <v>0</v>
      </c>
      <c r="AP55" s="137">
        <f t="shared" ref="AP55" si="122">+AH55+AI55+AJ55+AK55+AL55+AM55+AN55+AO55</f>
        <v>10</v>
      </c>
      <c r="AQ55" s="518">
        <f t="shared" ref="AQ55" si="123">COUNTIF(C55:AG55,"CTH")</f>
        <v>0</v>
      </c>
      <c r="AR55" s="519">
        <f t="shared" ref="AR55" si="124">COUNTIF(C55:AG55,"A")</f>
        <v>0</v>
      </c>
      <c r="AS55" s="141"/>
      <c r="AT55" s="142">
        <f t="shared" ref="AT55" si="125">AP55-AS55</f>
        <v>10</v>
      </c>
      <c r="AU55" s="142"/>
      <c r="AV55" s="142"/>
      <c r="AW55" s="262" t="s">
        <v>692</v>
      </c>
      <c r="AX55" s="751">
        <v>746920</v>
      </c>
      <c r="AY55" s="751">
        <v>746920</v>
      </c>
      <c r="AZ55" s="751">
        <v>746920</v>
      </c>
      <c r="BA55" s="752">
        <f>SUM(AX55:AZ55)</f>
        <v>2240760</v>
      </c>
    </row>
    <row r="56" spans="1:53" s="153" customFormat="1" ht="30.75" customHeight="1" thickBot="1">
      <c r="A56" s="147"/>
      <c r="B56" s="148" t="s">
        <v>38</v>
      </c>
      <c r="C56" s="150">
        <f t="shared" ref="C56:AR56" si="126">SUM(C48:C55)</f>
        <v>0</v>
      </c>
      <c r="D56" s="149">
        <f t="shared" si="126"/>
        <v>7</v>
      </c>
      <c r="E56" s="149">
        <f t="shared" si="126"/>
        <v>7</v>
      </c>
      <c r="F56" s="150">
        <f t="shared" si="126"/>
        <v>0</v>
      </c>
      <c r="G56" s="149">
        <f t="shared" si="126"/>
        <v>7</v>
      </c>
      <c r="H56" s="149">
        <f t="shared" si="126"/>
        <v>7</v>
      </c>
      <c r="I56" s="149">
        <f t="shared" si="126"/>
        <v>7</v>
      </c>
      <c r="J56" s="149">
        <f t="shared" si="126"/>
        <v>7</v>
      </c>
      <c r="K56" s="149">
        <f t="shared" si="126"/>
        <v>7</v>
      </c>
      <c r="L56" s="149">
        <f t="shared" si="126"/>
        <v>7</v>
      </c>
      <c r="M56" s="150">
        <f t="shared" si="126"/>
        <v>0</v>
      </c>
      <c r="N56" s="150">
        <f t="shared" si="126"/>
        <v>0</v>
      </c>
      <c r="O56" s="149">
        <f t="shared" si="126"/>
        <v>6</v>
      </c>
      <c r="P56" s="149">
        <f t="shared" si="126"/>
        <v>7</v>
      </c>
      <c r="Q56" s="149">
        <f t="shared" si="126"/>
        <v>7</v>
      </c>
      <c r="R56" s="149">
        <f t="shared" si="126"/>
        <v>7</v>
      </c>
      <c r="S56" s="149">
        <f t="shared" si="126"/>
        <v>6</v>
      </c>
      <c r="T56" s="150">
        <f t="shared" si="126"/>
        <v>0</v>
      </c>
      <c r="U56" s="149">
        <f t="shared" si="126"/>
        <v>7</v>
      </c>
      <c r="V56" s="149">
        <f t="shared" si="126"/>
        <v>7</v>
      </c>
      <c r="W56" s="149">
        <f t="shared" si="126"/>
        <v>6</v>
      </c>
      <c r="X56" s="149">
        <f t="shared" si="126"/>
        <v>6</v>
      </c>
      <c r="Y56" s="149">
        <f t="shared" si="126"/>
        <v>7</v>
      </c>
      <c r="Z56" s="149">
        <f t="shared" si="126"/>
        <v>7</v>
      </c>
      <c r="AA56" s="150">
        <f t="shared" si="126"/>
        <v>0</v>
      </c>
      <c r="AB56" s="149">
        <f t="shared" si="126"/>
        <v>7</v>
      </c>
      <c r="AC56" s="149">
        <f t="shared" si="126"/>
        <v>7</v>
      </c>
      <c r="AD56" s="149">
        <f t="shared" si="126"/>
        <v>7</v>
      </c>
      <c r="AE56" s="150">
        <f t="shared" si="126"/>
        <v>0</v>
      </c>
      <c r="AF56" s="149">
        <f t="shared" si="126"/>
        <v>7</v>
      </c>
      <c r="AG56" s="149">
        <f t="shared" si="126"/>
        <v>6</v>
      </c>
      <c r="AH56" s="149">
        <f t="shared" si="126"/>
        <v>163</v>
      </c>
      <c r="AI56" s="149">
        <f t="shared" si="126"/>
        <v>0</v>
      </c>
      <c r="AJ56" s="149">
        <f t="shared" si="126"/>
        <v>1</v>
      </c>
      <c r="AK56" s="149">
        <f t="shared" si="126"/>
        <v>0</v>
      </c>
      <c r="AL56" s="149">
        <f t="shared" si="126"/>
        <v>27</v>
      </c>
      <c r="AM56" s="149">
        <f t="shared" si="126"/>
        <v>18</v>
      </c>
      <c r="AN56" s="149">
        <f t="shared" si="126"/>
        <v>0</v>
      </c>
      <c r="AO56" s="149">
        <f t="shared" si="126"/>
        <v>0</v>
      </c>
      <c r="AP56" s="149">
        <f t="shared" si="126"/>
        <v>209</v>
      </c>
      <c r="AQ56" s="149">
        <f t="shared" si="126"/>
        <v>2</v>
      </c>
      <c r="AR56" s="149">
        <f t="shared" si="126"/>
        <v>2</v>
      </c>
      <c r="AT56" s="153">
        <f>SUM(AT21:AT55)</f>
        <v>863</v>
      </c>
      <c r="AX56" s="153">
        <f>SUM(AX48:AX55)</f>
        <v>1493840</v>
      </c>
      <c r="AY56" s="153">
        <f>SUM(AY48:AY55)</f>
        <v>1493840</v>
      </c>
      <c r="AZ56" s="153">
        <f>SUM(AZ48:AZ55)</f>
        <v>1493840</v>
      </c>
      <c r="BA56" s="153">
        <f>SUM(BA48:BA55)</f>
        <v>4481520</v>
      </c>
    </row>
    <row r="57" spans="1:53" ht="25.5" customHeight="1">
      <c r="A57" s="134"/>
      <c r="B57" s="165" t="s">
        <v>190</v>
      </c>
      <c r="C57" s="289">
        <f t="shared" ref="C57:AG57" si="127">COUNTIF(C48:C55,"CT")</f>
        <v>0</v>
      </c>
      <c r="D57" s="136">
        <f t="shared" si="127"/>
        <v>0</v>
      </c>
      <c r="E57" s="136">
        <f t="shared" si="127"/>
        <v>0</v>
      </c>
      <c r="F57" s="289">
        <f t="shared" si="127"/>
        <v>0</v>
      </c>
      <c r="G57" s="136">
        <f t="shared" si="127"/>
        <v>0</v>
      </c>
      <c r="H57" s="136">
        <f t="shared" si="127"/>
        <v>0</v>
      </c>
      <c r="I57" s="136">
        <f t="shared" si="127"/>
        <v>0</v>
      </c>
      <c r="J57" s="136">
        <f t="shared" si="127"/>
        <v>0</v>
      </c>
      <c r="K57" s="136">
        <f t="shared" si="127"/>
        <v>0</v>
      </c>
      <c r="L57" s="136">
        <f t="shared" si="127"/>
        <v>0</v>
      </c>
      <c r="M57" s="289">
        <f t="shared" si="127"/>
        <v>0</v>
      </c>
      <c r="N57" s="289">
        <f t="shared" si="127"/>
        <v>0</v>
      </c>
      <c r="O57" s="136">
        <f t="shared" si="127"/>
        <v>0</v>
      </c>
      <c r="P57" s="136">
        <f t="shared" si="127"/>
        <v>0</v>
      </c>
      <c r="Q57" s="136">
        <f t="shared" si="127"/>
        <v>0</v>
      </c>
      <c r="R57" s="136">
        <f t="shared" si="127"/>
        <v>0</v>
      </c>
      <c r="S57" s="136">
        <f t="shared" si="127"/>
        <v>0</v>
      </c>
      <c r="T57" s="289">
        <f t="shared" si="127"/>
        <v>0</v>
      </c>
      <c r="U57" s="136">
        <f t="shared" si="127"/>
        <v>0</v>
      </c>
      <c r="V57" s="136">
        <f t="shared" si="127"/>
        <v>0</v>
      </c>
      <c r="W57" s="136">
        <f t="shared" si="127"/>
        <v>0</v>
      </c>
      <c r="X57" s="136">
        <f t="shared" si="127"/>
        <v>0</v>
      </c>
      <c r="Y57" s="136">
        <f t="shared" si="127"/>
        <v>0</v>
      </c>
      <c r="Z57" s="136">
        <f t="shared" si="127"/>
        <v>0</v>
      </c>
      <c r="AA57" s="289">
        <f t="shared" si="127"/>
        <v>0</v>
      </c>
      <c r="AB57" s="136">
        <f t="shared" si="127"/>
        <v>0</v>
      </c>
      <c r="AC57" s="136">
        <f t="shared" si="127"/>
        <v>0</v>
      </c>
      <c r="AD57" s="136">
        <f t="shared" si="127"/>
        <v>0</v>
      </c>
      <c r="AE57" s="289">
        <f t="shared" si="127"/>
        <v>0</v>
      </c>
      <c r="AF57" s="136">
        <f t="shared" si="127"/>
        <v>0</v>
      </c>
      <c r="AG57" s="136">
        <f t="shared" si="127"/>
        <v>0</v>
      </c>
      <c r="AH57" s="168">
        <f>SUM(C57:AG57)</f>
        <v>0</v>
      </c>
      <c r="AP57" s="142"/>
      <c r="BA57" s="752" t="e">
        <f>#REF!-BA56</f>
        <v>#REF!</v>
      </c>
    </row>
    <row r="58" spans="1:53" ht="25.5" customHeight="1">
      <c r="A58" s="134"/>
      <c r="B58" s="1182" t="s">
        <v>11</v>
      </c>
      <c r="C58" s="289">
        <f t="shared" ref="C58:AG58" si="128">COUNTIF(C48:C55,"S")</f>
        <v>0</v>
      </c>
      <c r="D58" s="136">
        <f t="shared" si="128"/>
        <v>0</v>
      </c>
      <c r="E58" s="136">
        <f t="shared" si="128"/>
        <v>0</v>
      </c>
      <c r="F58" s="289">
        <f t="shared" si="128"/>
        <v>0</v>
      </c>
      <c r="G58" s="136">
        <f t="shared" si="128"/>
        <v>0</v>
      </c>
      <c r="H58" s="136">
        <f t="shared" si="128"/>
        <v>0</v>
      </c>
      <c r="I58" s="136">
        <f t="shared" si="128"/>
        <v>0</v>
      </c>
      <c r="J58" s="136">
        <f t="shared" si="128"/>
        <v>0</v>
      </c>
      <c r="K58" s="136">
        <f t="shared" si="128"/>
        <v>0</v>
      </c>
      <c r="L58" s="136">
        <f t="shared" si="128"/>
        <v>0</v>
      </c>
      <c r="M58" s="289">
        <f t="shared" si="128"/>
        <v>0</v>
      </c>
      <c r="N58" s="289">
        <f t="shared" si="128"/>
        <v>0</v>
      </c>
      <c r="O58" s="136">
        <f t="shared" si="128"/>
        <v>0</v>
      </c>
      <c r="P58" s="136">
        <f t="shared" si="128"/>
        <v>0</v>
      </c>
      <c r="Q58" s="136">
        <f t="shared" si="128"/>
        <v>0</v>
      </c>
      <c r="R58" s="136">
        <f t="shared" si="128"/>
        <v>0</v>
      </c>
      <c r="S58" s="136">
        <f t="shared" si="128"/>
        <v>0</v>
      </c>
      <c r="T58" s="289">
        <f t="shared" si="128"/>
        <v>0</v>
      </c>
      <c r="U58" s="136">
        <f t="shared" si="128"/>
        <v>0</v>
      </c>
      <c r="V58" s="136">
        <f t="shared" si="128"/>
        <v>0</v>
      </c>
      <c r="W58" s="136">
        <f t="shared" si="128"/>
        <v>0</v>
      </c>
      <c r="X58" s="136">
        <f t="shared" si="128"/>
        <v>0</v>
      </c>
      <c r="Y58" s="136">
        <f t="shared" si="128"/>
        <v>0</v>
      </c>
      <c r="Z58" s="136">
        <f t="shared" si="128"/>
        <v>0</v>
      </c>
      <c r="AA58" s="289">
        <f t="shared" si="128"/>
        <v>0</v>
      </c>
      <c r="AB58" s="136">
        <f t="shared" si="128"/>
        <v>0</v>
      </c>
      <c r="AC58" s="136">
        <f t="shared" si="128"/>
        <v>0</v>
      </c>
      <c r="AD58" s="136">
        <f t="shared" si="128"/>
        <v>0</v>
      </c>
      <c r="AE58" s="289">
        <f t="shared" si="128"/>
        <v>0</v>
      </c>
      <c r="AF58" s="136">
        <f t="shared" si="128"/>
        <v>0</v>
      </c>
      <c r="AG58" s="136">
        <f t="shared" si="128"/>
        <v>1</v>
      </c>
      <c r="AH58" s="137">
        <f>SUM(C58:AG58)</f>
        <v>1</v>
      </c>
      <c r="AO58" s="142"/>
      <c r="AP58" s="142"/>
      <c r="AQ58" s="154"/>
      <c r="AR58" s="154"/>
      <c r="AU58" s="142"/>
      <c r="AW58" s="142"/>
    </row>
    <row r="59" spans="1:53" ht="25.5" customHeight="1">
      <c r="A59" s="134"/>
      <c r="B59" s="1182" t="s">
        <v>13</v>
      </c>
      <c r="C59" s="289">
        <f t="shared" ref="C59:AG59" si="129">COUNTIF(C48:C55,"MG")</f>
        <v>0</v>
      </c>
      <c r="D59" s="136">
        <f t="shared" si="129"/>
        <v>0</v>
      </c>
      <c r="E59" s="136">
        <f t="shared" si="129"/>
        <v>0</v>
      </c>
      <c r="F59" s="289">
        <f t="shared" si="129"/>
        <v>7</v>
      </c>
      <c r="G59" s="136">
        <f t="shared" si="129"/>
        <v>0</v>
      </c>
      <c r="H59" s="136">
        <f t="shared" si="129"/>
        <v>0</v>
      </c>
      <c r="I59" s="136">
        <f t="shared" si="129"/>
        <v>0</v>
      </c>
      <c r="J59" s="136">
        <f t="shared" si="129"/>
        <v>0</v>
      </c>
      <c r="K59" s="136">
        <f t="shared" si="129"/>
        <v>0</v>
      </c>
      <c r="L59" s="136">
        <f t="shared" si="129"/>
        <v>0</v>
      </c>
      <c r="M59" s="289">
        <f t="shared" si="129"/>
        <v>7</v>
      </c>
      <c r="N59" s="289">
        <f t="shared" si="129"/>
        <v>0</v>
      </c>
      <c r="O59" s="136">
        <f t="shared" si="129"/>
        <v>0</v>
      </c>
      <c r="P59" s="136">
        <f t="shared" si="129"/>
        <v>0</v>
      </c>
      <c r="Q59" s="136">
        <f t="shared" si="129"/>
        <v>0</v>
      </c>
      <c r="R59" s="136">
        <f t="shared" si="129"/>
        <v>0</v>
      </c>
      <c r="S59" s="136">
        <f t="shared" si="129"/>
        <v>0</v>
      </c>
      <c r="T59" s="289">
        <f t="shared" si="129"/>
        <v>6</v>
      </c>
      <c r="U59" s="136">
        <f t="shared" si="129"/>
        <v>0</v>
      </c>
      <c r="V59" s="136">
        <f t="shared" si="129"/>
        <v>0</v>
      </c>
      <c r="W59" s="136">
        <f t="shared" si="129"/>
        <v>0</v>
      </c>
      <c r="X59" s="136">
        <f t="shared" si="129"/>
        <v>0</v>
      </c>
      <c r="Y59" s="136">
        <f t="shared" si="129"/>
        <v>0</v>
      </c>
      <c r="Z59" s="136">
        <f t="shared" si="129"/>
        <v>0</v>
      </c>
      <c r="AA59" s="289">
        <f t="shared" si="129"/>
        <v>7</v>
      </c>
      <c r="AB59" s="136">
        <f t="shared" si="129"/>
        <v>0</v>
      </c>
      <c r="AC59" s="136">
        <f t="shared" si="129"/>
        <v>0</v>
      </c>
      <c r="AD59" s="136">
        <f t="shared" si="129"/>
        <v>0</v>
      </c>
      <c r="AE59" s="289">
        <f t="shared" si="129"/>
        <v>0</v>
      </c>
      <c r="AF59" s="136">
        <f t="shared" si="129"/>
        <v>0</v>
      </c>
      <c r="AG59" s="136">
        <f t="shared" si="129"/>
        <v>0</v>
      </c>
      <c r="AH59" s="137">
        <f>SUM(C59:AG59)</f>
        <v>27</v>
      </c>
      <c r="AJ59" s="142"/>
      <c r="AL59" s="1938" t="s">
        <v>333</v>
      </c>
      <c r="AM59" s="1938"/>
      <c r="AN59" s="1938"/>
      <c r="AO59" s="1938"/>
      <c r="AP59" s="142">
        <f>AP29+AP56</f>
        <v>875</v>
      </c>
      <c r="AQ59" s="142"/>
      <c r="AR59" s="143"/>
      <c r="AS59" s="195">
        <f>AS56+AS29</f>
        <v>0</v>
      </c>
      <c r="AT59" s="195">
        <f>AT56+AT29</f>
        <v>1498</v>
      </c>
    </row>
    <row r="60" spans="1:53" ht="25.5" customHeight="1">
      <c r="A60" s="134"/>
      <c r="B60" s="1182" t="s">
        <v>14</v>
      </c>
      <c r="C60" s="289">
        <f t="shared" ref="C60:AG60" si="130">COUNTIF(C48:C55,"NAS")</f>
        <v>4</v>
      </c>
      <c r="D60" s="136">
        <f t="shared" si="130"/>
        <v>0</v>
      </c>
      <c r="E60" s="136">
        <f t="shared" si="130"/>
        <v>0</v>
      </c>
      <c r="F60" s="289">
        <f t="shared" si="130"/>
        <v>0</v>
      </c>
      <c r="G60" s="136">
        <f t="shared" si="130"/>
        <v>0</v>
      </c>
      <c r="H60" s="136">
        <f t="shared" si="130"/>
        <v>0</v>
      </c>
      <c r="I60" s="136">
        <f t="shared" si="130"/>
        <v>0</v>
      </c>
      <c r="J60" s="136">
        <f t="shared" si="130"/>
        <v>0</v>
      </c>
      <c r="K60" s="136">
        <f t="shared" si="130"/>
        <v>0</v>
      </c>
      <c r="L60" s="136">
        <f t="shared" si="130"/>
        <v>0</v>
      </c>
      <c r="M60" s="289">
        <f t="shared" si="130"/>
        <v>0</v>
      </c>
      <c r="N60" s="289">
        <f t="shared" si="130"/>
        <v>7</v>
      </c>
      <c r="O60" s="136">
        <f t="shared" si="130"/>
        <v>0</v>
      </c>
      <c r="P60" s="136">
        <f t="shared" si="130"/>
        <v>0</v>
      </c>
      <c r="Q60" s="136">
        <f t="shared" si="130"/>
        <v>0</v>
      </c>
      <c r="R60" s="136">
        <f t="shared" si="130"/>
        <v>0</v>
      </c>
      <c r="S60" s="136">
        <f t="shared" si="130"/>
        <v>0</v>
      </c>
      <c r="T60" s="289">
        <f t="shared" si="130"/>
        <v>0</v>
      </c>
      <c r="U60" s="136">
        <f t="shared" si="130"/>
        <v>0</v>
      </c>
      <c r="V60" s="136">
        <f t="shared" si="130"/>
        <v>0</v>
      </c>
      <c r="W60" s="136">
        <f t="shared" si="130"/>
        <v>0</v>
      </c>
      <c r="X60" s="136">
        <f t="shared" si="130"/>
        <v>0</v>
      </c>
      <c r="Y60" s="136">
        <f t="shared" si="130"/>
        <v>0</v>
      </c>
      <c r="Z60" s="136">
        <f t="shared" si="130"/>
        <v>0</v>
      </c>
      <c r="AA60" s="289">
        <f t="shared" si="130"/>
        <v>0</v>
      </c>
      <c r="AB60" s="136">
        <f t="shared" si="130"/>
        <v>0</v>
      </c>
      <c r="AC60" s="136">
        <f t="shared" si="130"/>
        <v>0</v>
      </c>
      <c r="AD60" s="136">
        <f t="shared" si="130"/>
        <v>0</v>
      </c>
      <c r="AE60" s="289">
        <f t="shared" si="130"/>
        <v>7</v>
      </c>
      <c r="AF60" s="136">
        <f t="shared" si="130"/>
        <v>0</v>
      </c>
      <c r="AG60" s="136">
        <f t="shared" si="130"/>
        <v>0</v>
      </c>
      <c r="AH60" s="137">
        <f t="shared" ref="AH60:AH65" si="131">SUM(C60:AG60)</f>
        <v>18</v>
      </c>
      <c r="AL60" s="455"/>
      <c r="AM60" s="1939" t="s">
        <v>332</v>
      </c>
      <c r="AN60" s="1939"/>
      <c r="AO60" s="1939"/>
      <c r="AP60" s="455">
        <v>875</v>
      </c>
      <c r="AQ60" s="456"/>
      <c r="AR60" s="453"/>
      <c r="AS60" s="453"/>
      <c r="AT60" s="453"/>
    </row>
    <row r="61" spans="1:53" ht="25.5" customHeight="1">
      <c r="A61" s="134"/>
      <c r="B61" s="1182" t="s">
        <v>261</v>
      </c>
      <c r="C61" s="289">
        <f t="shared" ref="C61:AG61" si="132">COUNTIF(C48:C55,"P1")</f>
        <v>0</v>
      </c>
      <c r="D61" s="136">
        <f t="shared" si="132"/>
        <v>0</v>
      </c>
      <c r="E61" s="136">
        <f t="shared" si="132"/>
        <v>0</v>
      </c>
      <c r="F61" s="289">
        <f t="shared" si="132"/>
        <v>0</v>
      </c>
      <c r="G61" s="136">
        <f t="shared" si="132"/>
        <v>0</v>
      </c>
      <c r="H61" s="136">
        <f t="shared" si="132"/>
        <v>0</v>
      </c>
      <c r="I61" s="136">
        <f t="shared" si="132"/>
        <v>0</v>
      </c>
      <c r="J61" s="136">
        <f t="shared" si="132"/>
        <v>0</v>
      </c>
      <c r="K61" s="136">
        <f t="shared" si="132"/>
        <v>0</v>
      </c>
      <c r="L61" s="136">
        <f t="shared" si="132"/>
        <v>0</v>
      </c>
      <c r="M61" s="289">
        <f t="shared" si="132"/>
        <v>0</v>
      </c>
      <c r="N61" s="289">
        <f t="shared" si="132"/>
        <v>0</v>
      </c>
      <c r="O61" s="136">
        <f t="shared" si="132"/>
        <v>0</v>
      </c>
      <c r="P61" s="136">
        <f t="shared" si="132"/>
        <v>0</v>
      </c>
      <c r="Q61" s="136">
        <f t="shared" si="132"/>
        <v>0</v>
      </c>
      <c r="R61" s="136">
        <f t="shared" si="132"/>
        <v>0</v>
      </c>
      <c r="S61" s="136">
        <f t="shared" si="132"/>
        <v>0</v>
      </c>
      <c r="T61" s="289">
        <f t="shared" si="132"/>
        <v>0</v>
      </c>
      <c r="U61" s="136">
        <f t="shared" si="132"/>
        <v>0</v>
      </c>
      <c r="V61" s="136">
        <f t="shared" si="132"/>
        <v>0</v>
      </c>
      <c r="W61" s="136">
        <f t="shared" si="132"/>
        <v>0</v>
      </c>
      <c r="X61" s="136">
        <f t="shared" si="132"/>
        <v>0</v>
      </c>
      <c r="Y61" s="136">
        <f t="shared" si="132"/>
        <v>0</v>
      </c>
      <c r="Z61" s="136">
        <f t="shared" si="132"/>
        <v>0</v>
      </c>
      <c r="AA61" s="289">
        <f t="shared" si="132"/>
        <v>0</v>
      </c>
      <c r="AB61" s="136">
        <f t="shared" si="132"/>
        <v>0</v>
      </c>
      <c r="AC61" s="136">
        <f t="shared" si="132"/>
        <v>0</v>
      </c>
      <c r="AD61" s="136">
        <f t="shared" si="132"/>
        <v>0</v>
      </c>
      <c r="AE61" s="289">
        <f t="shared" si="132"/>
        <v>0</v>
      </c>
      <c r="AF61" s="136">
        <f t="shared" si="132"/>
        <v>0</v>
      </c>
      <c r="AG61" s="136">
        <f t="shared" si="132"/>
        <v>0</v>
      </c>
      <c r="AH61" s="137">
        <f t="shared" si="131"/>
        <v>0</v>
      </c>
      <c r="AL61" s="1938" t="s">
        <v>373</v>
      </c>
      <c r="AM61" s="1938"/>
      <c r="AN61" s="1938"/>
      <c r="AO61" s="1938"/>
      <c r="AQ61" s="179"/>
      <c r="AR61" s="143"/>
      <c r="AS61" s="143"/>
      <c r="AT61" s="143"/>
      <c r="AU61" s="142"/>
    </row>
    <row r="62" spans="1:53" ht="25.5" customHeight="1">
      <c r="A62" s="134"/>
      <c r="B62" s="1182" t="s">
        <v>262</v>
      </c>
      <c r="C62" s="289">
        <f t="shared" ref="C62:AG62" si="133">COUNTIF(C48:C55,"P2")</f>
        <v>0</v>
      </c>
      <c r="D62" s="136">
        <f t="shared" si="133"/>
        <v>0</v>
      </c>
      <c r="E62" s="136">
        <f t="shared" si="133"/>
        <v>0</v>
      </c>
      <c r="F62" s="289">
        <f t="shared" si="133"/>
        <v>0</v>
      </c>
      <c r="G62" s="136">
        <f t="shared" si="133"/>
        <v>0</v>
      </c>
      <c r="H62" s="136">
        <f t="shared" si="133"/>
        <v>0</v>
      </c>
      <c r="I62" s="136">
        <f t="shared" si="133"/>
        <v>0</v>
      </c>
      <c r="J62" s="136">
        <f t="shared" si="133"/>
        <v>0</v>
      </c>
      <c r="K62" s="136">
        <f t="shared" si="133"/>
        <v>0</v>
      </c>
      <c r="L62" s="136">
        <f t="shared" si="133"/>
        <v>0</v>
      </c>
      <c r="M62" s="289">
        <f t="shared" si="133"/>
        <v>0</v>
      </c>
      <c r="N62" s="289">
        <f t="shared" si="133"/>
        <v>0</v>
      </c>
      <c r="O62" s="136">
        <f t="shared" si="133"/>
        <v>0</v>
      </c>
      <c r="P62" s="136">
        <f t="shared" si="133"/>
        <v>0</v>
      </c>
      <c r="Q62" s="136">
        <f t="shared" si="133"/>
        <v>0</v>
      </c>
      <c r="R62" s="136">
        <f t="shared" si="133"/>
        <v>0</v>
      </c>
      <c r="S62" s="136">
        <f t="shared" si="133"/>
        <v>0</v>
      </c>
      <c r="T62" s="289">
        <f t="shared" si="133"/>
        <v>0</v>
      </c>
      <c r="U62" s="136">
        <f t="shared" si="133"/>
        <v>0</v>
      </c>
      <c r="V62" s="136">
        <f t="shared" si="133"/>
        <v>0</v>
      </c>
      <c r="W62" s="136">
        <f t="shared" si="133"/>
        <v>0</v>
      </c>
      <c r="X62" s="136">
        <f t="shared" si="133"/>
        <v>0</v>
      </c>
      <c r="Y62" s="136">
        <f t="shared" si="133"/>
        <v>0</v>
      </c>
      <c r="Z62" s="136">
        <f t="shared" si="133"/>
        <v>0</v>
      </c>
      <c r="AA62" s="289">
        <f t="shared" si="133"/>
        <v>0</v>
      </c>
      <c r="AB62" s="136">
        <f t="shared" si="133"/>
        <v>0</v>
      </c>
      <c r="AC62" s="136">
        <f t="shared" si="133"/>
        <v>0</v>
      </c>
      <c r="AD62" s="136">
        <f t="shared" si="133"/>
        <v>0</v>
      </c>
      <c r="AE62" s="289">
        <f t="shared" si="133"/>
        <v>0</v>
      </c>
      <c r="AF62" s="136">
        <f t="shared" si="133"/>
        <v>0</v>
      </c>
      <c r="AG62" s="136">
        <f t="shared" si="133"/>
        <v>0</v>
      </c>
      <c r="AH62" s="137">
        <f t="shared" si="131"/>
        <v>0</v>
      </c>
      <c r="AJ62" s="142"/>
      <c r="AL62" s="1938" t="s">
        <v>341</v>
      </c>
      <c r="AM62" s="1938"/>
      <c r="AN62" s="1938"/>
      <c r="AO62" s="1938"/>
      <c r="AQ62" s="154"/>
      <c r="AR62" s="143"/>
      <c r="AS62" s="143"/>
      <c r="AT62" s="143"/>
    </row>
    <row r="63" spans="1:53" ht="25.5" customHeight="1">
      <c r="A63" s="134"/>
      <c r="B63" s="1182" t="s">
        <v>263</v>
      </c>
      <c r="C63" s="289">
        <f t="shared" ref="C63:AG63" si="134">COUNTIF(C48:C55,"P3")</f>
        <v>0</v>
      </c>
      <c r="D63" s="136">
        <f t="shared" si="134"/>
        <v>0</v>
      </c>
      <c r="E63" s="136">
        <f t="shared" si="134"/>
        <v>0</v>
      </c>
      <c r="F63" s="289">
        <f t="shared" si="134"/>
        <v>0</v>
      </c>
      <c r="G63" s="136">
        <f t="shared" si="134"/>
        <v>0</v>
      </c>
      <c r="H63" s="136">
        <f t="shared" si="134"/>
        <v>0</v>
      </c>
      <c r="I63" s="136">
        <f t="shared" si="134"/>
        <v>0</v>
      </c>
      <c r="J63" s="136">
        <f t="shared" si="134"/>
        <v>0</v>
      </c>
      <c r="K63" s="136">
        <f t="shared" si="134"/>
        <v>0</v>
      </c>
      <c r="L63" s="136">
        <f t="shared" si="134"/>
        <v>0</v>
      </c>
      <c r="M63" s="289">
        <f t="shared" si="134"/>
        <v>0</v>
      </c>
      <c r="N63" s="289">
        <f t="shared" si="134"/>
        <v>0</v>
      </c>
      <c r="O63" s="136">
        <f t="shared" si="134"/>
        <v>0</v>
      </c>
      <c r="P63" s="136">
        <f t="shared" si="134"/>
        <v>0</v>
      </c>
      <c r="Q63" s="136">
        <f t="shared" si="134"/>
        <v>0</v>
      </c>
      <c r="R63" s="136">
        <f t="shared" si="134"/>
        <v>0</v>
      </c>
      <c r="S63" s="136">
        <f t="shared" si="134"/>
        <v>0</v>
      </c>
      <c r="T63" s="289">
        <f t="shared" si="134"/>
        <v>0</v>
      </c>
      <c r="U63" s="136">
        <f t="shared" si="134"/>
        <v>0</v>
      </c>
      <c r="V63" s="136">
        <f t="shared" si="134"/>
        <v>0</v>
      </c>
      <c r="W63" s="136">
        <f t="shared" si="134"/>
        <v>0</v>
      </c>
      <c r="X63" s="136">
        <f t="shared" si="134"/>
        <v>0</v>
      </c>
      <c r="Y63" s="136">
        <f t="shared" si="134"/>
        <v>0</v>
      </c>
      <c r="Z63" s="136">
        <f t="shared" si="134"/>
        <v>0</v>
      </c>
      <c r="AA63" s="289">
        <f t="shared" si="134"/>
        <v>0</v>
      </c>
      <c r="AB63" s="136">
        <f t="shared" si="134"/>
        <v>0</v>
      </c>
      <c r="AC63" s="136">
        <f t="shared" si="134"/>
        <v>0</v>
      </c>
      <c r="AD63" s="136">
        <f t="shared" si="134"/>
        <v>0</v>
      </c>
      <c r="AE63" s="289">
        <f t="shared" si="134"/>
        <v>0</v>
      </c>
      <c r="AF63" s="136">
        <f t="shared" si="134"/>
        <v>0</v>
      </c>
      <c r="AG63" s="136">
        <f t="shared" si="134"/>
        <v>0</v>
      </c>
      <c r="AH63" s="137">
        <f t="shared" si="131"/>
        <v>0</v>
      </c>
      <c r="AL63" s="1938" t="s">
        <v>334</v>
      </c>
      <c r="AM63" s="1938"/>
      <c r="AN63" s="1938"/>
      <c r="AO63" s="1938"/>
      <c r="AP63" s="142">
        <f>AP59-AP60-AP61-AP62</f>
        <v>0</v>
      </c>
      <c r="AQ63" s="142"/>
      <c r="AR63" s="143"/>
      <c r="AS63" s="143"/>
      <c r="AT63" s="143"/>
    </row>
    <row r="64" spans="1:53" ht="25.5" customHeight="1">
      <c r="A64" s="134"/>
      <c r="B64" s="1182" t="s">
        <v>246</v>
      </c>
      <c r="C64" s="289">
        <f t="shared" ref="C64:AG64" si="135">COUNTIF(C48:C55,"A")</f>
        <v>0</v>
      </c>
      <c r="D64" s="136">
        <f t="shared" si="135"/>
        <v>0</v>
      </c>
      <c r="E64" s="136">
        <f t="shared" si="135"/>
        <v>0</v>
      </c>
      <c r="F64" s="289">
        <f t="shared" si="135"/>
        <v>0</v>
      </c>
      <c r="G64" s="136">
        <f t="shared" si="135"/>
        <v>0</v>
      </c>
      <c r="H64" s="136">
        <f t="shared" si="135"/>
        <v>0</v>
      </c>
      <c r="I64" s="136">
        <f t="shared" si="135"/>
        <v>0</v>
      </c>
      <c r="J64" s="136">
        <f t="shared" si="135"/>
        <v>0</v>
      </c>
      <c r="K64" s="136">
        <f t="shared" si="135"/>
        <v>0</v>
      </c>
      <c r="L64" s="136">
        <f t="shared" si="135"/>
        <v>0</v>
      </c>
      <c r="M64" s="289">
        <f t="shared" si="135"/>
        <v>0</v>
      </c>
      <c r="N64" s="289">
        <f t="shared" si="135"/>
        <v>0</v>
      </c>
      <c r="O64" s="136">
        <f t="shared" si="135"/>
        <v>1</v>
      </c>
      <c r="P64" s="136">
        <f t="shared" si="135"/>
        <v>0</v>
      </c>
      <c r="Q64" s="136">
        <f t="shared" si="135"/>
        <v>0</v>
      </c>
      <c r="R64" s="136">
        <f t="shared" si="135"/>
        <v>0</v>
      </c>
      <c r="S64" s="136">
        <f t="shared" si="135"/>
        <v>1</v>
      </c>
      <c r="T64" s="289">
        <f t="shared" si="135"/>
        <v>0</v>
      </c>
      <c r="U64" s="136">
        <f t="shared" si="135"/>
        <v>0</v>
      </c>
      <c r="V64" s="136">
        <f t="shared" si="135"/>
        <v>0</v>
      </c>
      <c r="W64" s="136">
        <f t="shared" si="135"/>
        <v>0</v>
      </c>
      <c r="X64" s="136">
        <f t="shared" si="135"/>
        <v>0</v>
      </c>
      <c r="Y64" s="136">
        <f t="shared" si="135"/>
        <v>0</v>
      </c>
      <c r="Z64" s="136">
        <f t="shared" si="135"/>
        <v>0</v>
      </c>
      <c r="AA64" s="289">
        <f t="shared" si="135"/>
        <v>0</v>
      </c>
      <c r="AB64" s="136">
        <f t="shared" si="135"/>
        <v>0</v>
      </c>
      <c r="AC64" s="136">
        <f t="shared" si="135"/>
        <v>0</v>
      </c>
      <c r="AD64" s="136">
        <f t="shared" si="135"/>
        <v>0</v>
      </c>
      <c r="AE64" s="289">
        <f t="shared" si="135"/>
        <v>0</v>
      </c>
      <c r="AF64" s="136">
        <f t="shared" si="135"/>
        <v>0</v>
      </c>
      <c r="AG64" s="136">
        <f t="shared" si="135"/>
        <v>0</v>
      </c>
      <c r="AH64" s="137">
        <f t="shared" si="131"/>
        <v>2</v>
      </c>
    </row>
    <row r="65" spans="1:50" ht="25.5" customHeight="1" thickBot="1">
      <c r="A65" s="155"/>
      <c r="B65" s="164" t="s">
        <v>42</v>
      </c>
      <c r="C65" s="289">
        <f t="shared" ref="C65:AG65" si="136">COUNTIF(C48:C55,"CTH")</f>
        <v>0</v>
      </c>
      <c r="D65" s="136">
        <f t="shared" si="136"/>
        <v>0</v>
      </c>
      <c r="E65" s="136">
        <f t="shared" si="136"/>
        <v>0</v>
      </c>
      <c r="F65" s="289">
        <f t="shared" si="136"/>
        <v>0</v>
      </c>
      <c r="G65" s="136">
        <f t="shared" si="136"/>
        <v>0</v>
      </c>
      <c r="H65" s="136">
        <f t="shared" si="136"/>
        <v>0</v>
      </c>
      <c r="I65" s="136">
        <f t="shared" si="136"/>
        <v>0</v>
      </c>
      <c r="J65" s="136">
        <f t="shared" si="136"/>
        <v>0</v>
      </c>
      <c r="K65" s="136">
        <f t="shared" si="136"/>
        <v>0</v>
      </c>
      <c r="L65" s="136">
        <f t="shared" si="136"/>
        <v>0</v>
      </c>
      <c r="M65" s="289">
        <f t="shared" si="136"/>
        <v>0</v>
      </c>
      <c r="N65" s="289">
        <f t="shared" si="136"/>
        <v>0</v>
      </c>
      <c r="O65" s="136">
        <f t="shared" si="136"/>
        <v>0</v>
      </c>
      <c r="P65" s="136">
        <f t="shared" si="136"/>
        <v>0</v>
      </c>
      <c r="Q65" s="136">
        <f t="shared" si="136"/>
        <v>0</v>
      </c>
      <c r="R65" s="136">
        <f t="shared" si="136"/>
        <v>0</v>
      </c>
      <c r="S65" s="136">
        <f t="shared" si="136"/>
        <v>0</v>
      </c>
      <c r="T65" s="289">
        <f t="shared" si="136"/>
        <v>0</v>
      </c>
      <c r="U65" s="136">
        <f t="shared" si="136"/>
        <v>0</v>
      </c>
      <c r="V65" s="136">
        <f t="shared" si="136"/>
        <v>0</v>
      </c>
      <c r="W65" s="136">
        <f t="shared" si="136"/>
        <v>1</v>
      </c>
      <c r="X65" s="136">
        <f t="shared" si="136"/>
        <v>1</v>
      </c>
      <c r="Y65" s="136">
        <f t="shared" si="136"/>
        <v>0</v>
      </c>
      <c r="Z65" s="136">
        <f t="shared" si="136"/>
        <v>0</v>
      </c>
      <c r="AA65" s="289">
        <f t="shared" si="136"/>
        <v>0</v>
      </c>
      <c r="AB65" s="136">
        <f t="shared" si="136"/>
        <v>0</v>
      </c>
      <c r="AC65" s="136">
        <f t="shared" si="136"/>
        <v>0</v>
      </c>
      <c r="AD65" s="136">
        <f t="shared" si="136"/>
        <v>0</v>
      </c>
      <c r="AE65" s="289">
        <f t="shared" si="136"/>
        <v>0</v>
      </c>
      <c r="AF65" s="136">
        <f t="shared" si="136"/>
        <v>0</v>
      </c>
      <c r="AG65" s="136">
        <f t="shared" si="136"/>
        <v>0</v>
      </c>
      <c r="AH65" s="137">
        <f t="shared" si="131"/>
        <v>2</v>
      </c>
      <c r="AP65" s="142"/>
      <c r="AS65" s="142"/>
    </row>
    <row r="66" spans="1:50" s="66" customFormat="1" ht="30.75" customHeight="1" thickBot="1">
      <c r="A66" s="156"/>
      <c r="B66" s="157" t="s">
        <v>50</v>
      </c>
      <c r="C66" s="166">
        <f>SUM(C56:C65)</f>
        <v>4</v>
      </c>
      <c r="D66" s="158">
        <f t="shared" ref="D66:AG66" si="137">SUM(D56:D65)</f>
        <v>7</v>
      </c>
      <c r="E66" s="158">
        <f t="shared" si="137"/>
        <v>7</v>
      </c>
      <c r="F66" s="166">
        <f t="shared" si="137"/>
        <v>7</v>
      </c>
      <c r="G66" s="158">
        <f t="shared" si="137"/>
        <v>7</v>
      </c>
      <c r="H66" s="158">
        <f t="shared" si="137"/>
        <v>7</v>
      </c>
      <c r="I66" s="158">
        <f t="shared" si="137"/>
        <v>7</v>
      </c>
      <c r="J66" s="158">
        <f t="shared" si="137"/>
        <v>7</v>
      </c>
      <c r="K66" s="158">
        <f t="shared" si="137"/>
        <v>7</v>
      </c>
      <c r="L66" s="158">
        <f t="shared" si="137"/>
        <v>7</v>
      </c>
      <c r="M66" s="166">
        <f t="shared" si="137"/>
        <v>7</v>
      </c>
      <c r="N66" s="166">
        <f t="shared" si="137"/>
        <v>7</v>
      </c>
      <c r="O66" s="158">
        <f t="shared" si="137"/>
        <v>7</v>
      </c>
      <c r="P66" s="158">
        <f t="shared" si="137"/>
        <v>7</v>
      </c>
      <c r="Q66" s="158">
        <f t="shared" si="137"/>
        <v>7</v>
      </c>
      <c r="R66" s="158">
        <f t="shared" si="137"/>
        <v>7</v>
      </c>
      <c r="S66" s="158">
        <f t="shared" si="137"/>
        <v>7</v>
      </c>
      <c r="T66" s="166">
        <f t="shared" si="137"/>
        <v>6</v>
      </c>
      <c r="U66" s="158">
        <f t="shared" si="137"/>
        <v>7</v>
      </c>
      <c r="V66" s="158">
        <f t="shared" si="137"/>
        <v>7</v>
      </c>
      <c r="W66" s="158">
        <f t="shared" si="137"/>
        <v>7</v>
      </c>
      <c r="X66" s="158">
        <f t="shared" si="137"/>
        <v>7</v>
      </c>
      <c r="Y66" s="158">
        <f t="shared" si="137"/>
        <v>7</v>
      </c>
      <c r="Z66" s="158">
        <f t="shared" si="137"/>
        <v>7</v>
      </c>
      <c r="AA66" s="166">
        <f t="shared" si="137"/>
        <v>7</v>
      </c>
      <c r="AB66" s="158">
        <f t="shared" si="137"/>
        <v>7</v>
      </c>
      <c r="AC66" s="158">
        <f t="shared" si="137"/>
        <v>7</v>
      </c>
      <c r="AD66" s="158">
        <f t="shared" si="137"/>
        <v>7</v>
      </c>
      <c r="AE66" s="166">
        <f t="shared" si="137"/>
        <v>7</v>
      </c>
      <c r="AF66" s="158">
        <f t="shared" si="137"/>
        <v>7</v>
      </c>
      <c r="AG66" s="158">
        <f t="shared" si="137"/>
        <v>7</v>
      </c>
      <c r="AH66" s="395">
        <f>SUM(AH56:AH65)</f>
        <v>213</v>
      </c>
      <c r="AI66" s="142"/>
      <c r="AP66" s="142"/>
      <c r="AS66" s="142"/>
    </row>
    <row r="67" spans="1:50">
      <c r="C67" s="510"/>
      <c r="D67" s="142"/>
      <c r="E67" s="142"/>
      <c r="F67" s="510"/>
      <c r="G67" s="142"/>
      <c r="H67" s="142"/>
      <c r="I67" s="142"/>
      <c r="J67" s="142"/>
      <c r="K67" s="142"/>
      <c r="L67" s="142"/>
      <c r="M67" s="510"/>
      <c r="N67" s="510"/>
      <c r="O67" s="142"/>
      <c r="P67" s="142"/>
      <c r="Q67" s="142"/>
      <c r="R67" s="142"/>
      <c r="S67" s="142"/>
      <c r="T67" s="510"/>
      <c r="U67" s="142"/>
      <c r="V67" s="142"/>
      <c r="W67" s="142"/>
      <c r="X67" s="142"/>
      <c r="Y67" s="142"/>
      <c r="Z67" s="142"/>
      <c r="AA67" s="510"/>
      <c r="AB67" s="142"/>
      <c r="AC67" s="142"/>
      <c r="AD67" s="142"/>
      <c r="AE67" s="510"/>
      <c r="AF67" s="142"/>
      <c r="AG67" s="142"/>
      <c r="AH67" s="142"/>
    </row>
    <row r="68" spans="1:50">
      <c r="B68" s="143"/>
      <c r="C68" s="511"/>
      <c r="D68" s="195"/>
      <c r="E68" s="195"/>
      <c r="F68" s="511"/>
      <c r="G68" s="195"/>
      <c r="H68" s="195"/>
      <c r="I68" s="195"/>
      <c r="J68" s="195"/>
      <c r="K68" s="195"/>
      <c r="L68" s="195"/>
      <c r="M68" s="511"/>
      <c r="N68" s="511"/>
      <c r="O68" s="195"/>
      <c r="P68" s="195"/>
      <c r="Q68" s="195"/>
      <c r="R68" s="195"/>
      <c r="S68" s="195"/>
      <c r="T68" s="511"/>
      <c r="U68" s="195"/>
      <c r="V68" s="195"/>
      <c r="W68" s="195"/>
      <c r="X68" s="195"/>
      <c r="Y68" s="195"/>
      <c r="Z68" s="195"/>
      <c r="AA68" s="511"/>
      <c r="AB68" s="195"/>
      <c r="AC68" s="195"/>
      <c r="AD68" s="195"/>
      <c r="AE68" s="511"/>
      <c r="AF68" s="195"/>
      <c r="AG68" s="195"/>
      <c r="AH68" s="195"/>
      <c r="AI68" s="143"/>
      <c r="AJ68" s="143"/>
      <c r="AK68" s="143"/>
      <c r="AU68" s="143"/>
      <c r="AV68" s="143"/>
      <c r="AW68" s="143"/>
      <c r="AX68" s="143"/>
    </row>
    <row r="69" spans="1:50" s="453" customFormat="1" ht="18">
      <c r="C69" s="512"/>
      <c r="D69" s="454"/>
      <c r="E69" s="454"/>
      <c r="F69" s="512"/>
      <c r="G69" s="454"/>
      <c r="H69" s="454"/>
      <c r="I69" s="454"/>
      <c r="J69" s="454"/>
      <c r="K69" s="454"/>
      <c r="L69" s="454"/>
      <c r="M69" s="512"/>
      <c r="N69" s="512"/>
      <c r="O69" s="454"/>
      <c r="P69" s="454"/>
      <c r="Q69" s="454"/>
      <c r="R69" s="454"/>
      <c r="S69" s="454"/>
      <c r="T69" s="512"/>
      <c r="U69" s="454"/>
      <c r="V69" s="454"/>
      <c r="W69" s="454"/>
      <c r="X69" s="454"/>
      <c r="Y69" s="454"/>
      <c r="Z69" s="454"/>
      <c r="AA69" s="512"/>
      <c r="AB69" s="454"/>
      <c r="AC69" s="454"/>
      <c r="AD69" s="454"/>
      <c r="AE69" s="512"/>
      <c r="AF69" s="454"/>
      <c r="AG69" s="454"/>
      <c r="AH69" s="454"/>
    </row>
    <row r="70" spans="1:50">
      <c r="B70" s="143"/>
      <c r="C70" s="291"/>
      <c r="D70" s="143"/>
      <c r="E70" s="143"/>
      <c r="F70" s="291"/>
      <c r="G70" s="143"/>
      <c r="H70" s="143"/>
      <c r="I70" s="143"/>
      <c r="J70" s="143"/>
      <c r="K70" s="143"/>
      <c r="L70" s="143"/>
      <c r="M70" s="291"/>
      <c r="N70" s="291"/>
      <c r="O70" s="143"/>
      <c r="P70" s="143"/>
      <c r="Q70" s="143"/>
      <c r="R70" s="143"/>
      <c r="S70" s="143"/>
      <c r="T70" s="291"/>
      <c r="U70" s="143"/>
      <c r="V70" s="143"/>
      <c r="W70" s="143"/>
      <c r="X70" s="143"/>
      <c r="Y70" s="143"/>
      <c r="Z70" s="143"/>
      <c r="AA70" s="291"/>
      <c r="AB70" s="143"/>
      <c r="AC70" s="143"/>
      <c r="AD70" s="143"/>
      <c r="AE70" s="291"/>
      <c r="AF70" s="143"/>
      <c r="AG70" s="143"/>
      <c r="AH70" s="143"/>
      <c r="AI70" s="143"/>
      <c r="AJ70" s="143"/>
      <c r="AK70" s="143"/>
      <c r="AU70" s="143"/>
      <c r="AV70" s="143"/>
      <c r="AW70" s="143"/>
      <c r="AX70" s="143"/>
    </row>
    <row r="71" spans="1:50">
      <c r="B71" s="143"/>
      <c r="C71" s="511"/>
      <c r="D71" s="195"/>
      <c r="E71" s="195"/>
      <c r="F71" s="511"/>
      <c r="G71" s="195"/>
      <c r="H71" s="195"/>
      <c r="I71" s="195"/>
      <c r="J71" s="195"/>
      <c r="K71" s="195"/>
      <c r="L71" s="195"/>
      <c r="M71" s="511"/>
      <c r="N71" s="511"/>
      <c r="O71" s="195"/>
      <c r="P71" s="195"/>
      <c r="Q71" s="195"/>
      <c r="R71" s="195"/>
      <c r="S71" s="195"/>
      <c r="T71" s="511"/>
      <c r="U71" s="195"/>
      <c r="V71" s="195"/>
      <c r="W71" s="195"/>
      <c r="X71" s="195"/>
      <c r="Y71" s="195"/>
      <c r="Z71" s="195"/>
      <c r="AA71" s="511"/>
      <c r="AB71" s="195"/>
      <c r="AC71" s="195"/>
      <c r="AD71" s="195"/>
      <c r="AE71" s="511"/>
      <c r="AF71" s="195"/>
      <c r="AG71" s="195"/>
      <c r="AH71" s="195"/>
      <c r="AI71" s="143"/>
      <c r="AJ71" s="143"/>
      <c r="AK71" s="143"/>
      <c r="AU71" s="143"/>
      <c r="AV71" s="143"/>
      <c r="AW71" s="143"/>
      <c r="AX71" s="143"/>
    </row>
    <row r="72" spans="1:50">
      <c r="B72" s="143"/>
      <c r="C72" s="291"/>
      <c r="D72" s="143"/>
      <c r="E72" s="143"/>
      <c r="F72" s="291"/>
      <c r="G72" s="143"/>
      <c r="H72" s="143"/>
      <c r="I72" s="143"/>
      <c r="J72" s="143"/>
      <c r="K72" s="143"/>
      <c r="L72" s="143"/>
      <c r="M72" s="291"/>
      <c r="N72" s="291"/>
      <c r="O72" s="143"/>
      <c r="P72" s="143"/>
      <c r="Q72" s="143"/>
      <c r="R72" s="143"/>
      <c r="S72" s="143"/>
      <c r="T72" s="291"/>
      <c r="U72" s="143"/>
      <c r="V72" s="143"/>
      <c r="W72" s="143"/>
      <c r="X72" s="143"/>
      <c r="Y72" s="143"/>
      <c r="Z72" s="143"/>
      <c r="AA72" s="291"/>
      <c r="AB72" s="143"/>
      <c r="AC72" s="143"/>
      <c r="AD72" s="143"/>
      <c r="AE72" s="291"/>
      <c r="AF72" s="143"/>
      <c r="AG72" s="143"/>
      <c r="AH72" s="143"/>
      <c r="AI72" s="143"/>
      <c r="AJ72" s="143"/>
      <c r="AK72" s="143"/>
      <c r="AU72" s="143"/>
      <c r="AV72" s="143"/>
      <c r="AW72" s="143"/>
      <c r="AX72" s="143"/>
    </row>
    <row r="73" spans="1:50">
      <c r="B73" s="143"/>
      <c r="C73" s="291"/>
      <c r="D73" s="143"/>
      <c r="E73" s="143"/>
      <c r="F73" s="291"/>
      <c r="G73" s="143"/>
      <c r="H73" s="143"/>
      <c r="I73" s="143"/>
      <c r="J73" s="143"/>
      <c r="K73" s="143"/>
      <c r="L73" s="143"/>
      <c r="M73" s="291"/>
      <c r="N73" s="291"/>
      <c r="O73" s="143"/>
      <c r="P73" s="143"/>
      <c r="Q73" s="143"/>
      <c r="R73" s="143"/>
      <c r="S73" s="143"/>
      <c r="T73" s="291"/>
      <c r="U73" s="143"/>
      <c r="V73" s="143"/>
      <c r="W73" s="143"/>
      <c r="X73" s="143"/>
      <c r="Y73" s="143"/>
      <c r="Z73" s="143"/>
      <c r="AA73" s="291"/>
      <c r="AB73" s="143"/>
      <c r="AC73" s="143"/>
      <c r="AD73" s="143"/>
      <c r="AE73" s="291"/>
      <c r="AF73" s="143"/>
      <c r="AG73" s="143"/>
      <c r="AH73" s="143"/>
      <c r="AI73" s="143"/>
      <c r="AJ73" s="143"/>
      <c r="AK73" s="143"/>
      <c r="AP73" s="154"/>
      <c r="AQ73" s="142"/>
      <c r="AR73" s="143"/>
      <c r="AS73" s="143"/>
      <c r="AT73" s="143"/>
      <c r="AU73" s="143"/>
      <c r="AV73" s="143"/>
      <c r="AW73" s="143"/>
      <c r="AX73" s="143"/>
    </row>
    <row r="74" spans="1:50">
      <c r="B74" s="143"/>
      <c r="C74" s="291"/>
      <c r="D74" s="143"/>
      <c r="E74" s="143"/>
      <c r="F74" s="291"/>
      <c r="G74" s="143"/>
      <c r="H74" s="143"/>
      <c r="I74" s="143"/>
      <c r="J74" s="143"/>
      <c r="K74" s="143"/>
      <c r="L74" s="143"/>
      <c r="M74" s="291"/>
      <c r="N74" s="291"/>
      <c r="O74" s="143"/>
      <c r="P74" s="143"/>
      <c r="Q74" s="143"/>
      <c r="R74" s="143"/>
      <c r="S74" s="143"/>
      <c r="T74" s="291"/>
      <c r="U74" s="143"/>
      <c r="V74" s="143"/>
      <c r="W74" s="143"/>
      <c r="X74" s="143"/>
      <c r="Y74" s="143"/>
      <c r="Z74" s="143"/>
      <c r="AA74" s="291"/>
      <c r="AB74" s="143"/>
      <c r="AC74" s="143"/>
      <c r="AD74" s="143"/>
      <c r="AE74" s="291"/>
      <c r="AF74" s="143"/>
      <c r="AG74" s="143"/>
      <c r="AH74" s="143"/>
      <c r="AI74" s="143"/>
      <c r="AJ74" s="143"/>
      <c r="AK74" s="143"/>
      <c r="AP74" s="142"/>
      <c r="AR74" s="143"/>
      <c r="AS74" s="143"/>
      <c r="AT74" s="143"/>
      <c r="AU74" s="143"/>
      <c r="AV74" s="143"/>
      <c r="AW74" s="143"/>
      <c r="AX74" s="143"/>
    </row>
    <row r="75" spans="1:50">
      <c r="B75" s="143"/>
      <c r="C75" s="291"/>
      <c r="D75" s="143"/>
      <c r="E75" s="143"/>
      <c r="F75" s="291"/>
      <c r="G75" s="143"/>
      <c r="H75" s="143"/>
      <c r="I75" s="143"/>
      <c r="J75" s="143"/>
      <c r="K75" s="143"/>
      <c r="L75" s="143"/>
      <c r="M75" s="291"/>
      <c r="N75" s="291"/>
      <c r="O75" s="143"/>
      <c r="P75" s="143"/>
      <c r="Q75" s="143"/>
      <c r="R75" s="143"/>
      <c r="S75" s="143"/>
      <c r="T75" s="291"/>
      <c r="U75" s="143"/>
      <c r="V75" s="143"/>
      <c r="W75" s="143"/>
      <c r="X75" s="143"/>
      <c r="Y75" s="143"/>
      <c r="Z75" s="143"/>
      <c r="AA75" s="291"/>
      <c r="AB75" s="143"/>
      <c r="AC75" s="143"/>
      <c r="AD75" s="143"/>
      <c r="AE75" s="291"/>
      <c r="AF75" s="143"/>
      <c r="AG75" s="143"/>
      <c r="AH75" s="143"/>
      <c r="AI75" s="143"/>
      <c r="AJ75" s="143"/>
      <c r="AK75" s="143"/>
      <c r="AP75" s="142"/>
      <c r="AR75" s="143"/>
      <c r="AS75" s="143"/>
      <c r="AT75" s="143"/>
      <c r="AU75" s="143"/>
      <c r="AV75" s="143"/>
      <c r="AW75" s="143"/>
      <c r="AX75" s="143"/>
    </row>
  </sheetData>
  <mergeCells count="25">
    <mergeCell ref="AL63:AO63"/>
    <mergeCell ref="AM60:AO60"/>
    <mergeCell ref="AL59:AO59"/>
    <mergeCell ref="AL61:AO61"/>
    <mergeCell ref="AL62:AO62"/>
    <mergeCell ref="AP45:AP47"/>
    <mergeCell ref="AQ45:AQ47"/>
    <mergeCell ref="AR45:AR47"/>
    <mergeCell ref="A42:B42"/>
    <mergeCell ref="A44:B44"/>
    <mergeCell ref="A45:A47"/>
    <mergeCell ref="B45:B47"/>
    <mergeCell ref="C45:AG46"/>
    <mergeCell ref="AI45:AO46"/>
    <mergeCell ref="AH45:AH47"/>
    <mergeCell ref="AI4:AO5"/>
    <mergeCell ref="AP4:AP6"/>
    <mergeCell ref="AQ4:AQ6"/>
    <mergeCell ref="AR4:AR6"/>
    <mergeCell ref="AH4:AH6"/>
    <mergeCell ref="A1:B1"/>
    <mergeCell ref="A4:A6"/>
    <mergeCell ref="B4:B6"/>
    <mergeCell ref="C4:AG5"/>
    <mergeCell ref="A3:C3"/>
  </mergeCells>
  <conditionalFormatting sqref="C55 C48:C53 F48:F53">
    <cfRule type="iconSet" priority="115">
      <iconSet iconSet="3TrafficLights2">
        <cfvo type="percent" val="0"/>
        <cfvo type="percent" val="33"/>
        <cfvo type="percent" val="67"/>
      </iconSet>
    </cfRule>
  </conditionalFormatting>
  <conditionalFormatting sqref="C7:L8 D10:E20 C9:C24 G10:L20 F9:F24 O10:S20 O7:S8 U7:Z8 U10:Z20 AB10:AD20 AB7:AD8 AF7:AG8 AF10:AG20">
    <cfRule type="iconSet" priority="3163">
      <iconSet iconSet="3TrafficLights2">
        <cfvo type="percent" val="0"/>
        <cfvo type="percent" val="33"/>
        <cfvo type="percent" val="67"/>
      </iconSet>
    </cfRule>
  </conditionalFormatting>
  <conditionalFormatting sqref="C26:L26 O26:S26 U26:Z26 AB26:AD26 AF26:AG26">
    <cfRule type="iconSet" priority="13">
      <iconSet iconSet="3TrafficLights2">
        <cfvo type="percent" val="0"/>
        <cfvo type="percent" val="33"/>
        <cfvo type="percent" val="67"/>
      </iconSet>
    </cfRule>
  </conditionalFormatting>
  <conditionalFormatting sqref="C27:L27 O27:S27 U27:Z27 AB27:AD27 AF27:AG27 C28 F28">
    <cfRule type="iconSet" priority="12">
      <iconSet iconSet="3TrafficLights2">
        <cfvo type="percent" val="0"/>
        <cfvo type="percent" val="33"/>
        <cfvo type="percent" val="67"/>
      </iconSet>
    </cfRule>
  </conditionalFormatting>
  <conditionalFormatting sqref="D9:E9 G9:L9 O9:S9 U9:Z9 AB9:AD9 AF9:AG9">
    <cfRule type="iconSet" priority="140">
      <iconSet iconSet="3TrafficLights2">
        <cfvo type="percent" val="0"/>
        <cfvo type="percent" val="33"/>
        <cfvo type="percent" val="67"/>
      </iconSet>
    </cfRule>
  </conditionalFormatting>
  <conditionalFormatting sqref="D21:E21 G21:L21 O21:S21 U21:Z21 AB21:AD21 AF21:AG21">
    <cfRule type="iconSet" priority="2949">
      <iconSet iconSet="3TrafficLights2">
        <cfvo type="percent" val="0"/>
        <cfvo type="percent" val="33"/>
        <cfvo type="percent" val="67"/>
      </iconSet>
    </cfRule>
  </conditionalFormatting>
  <conditionalFormatting sqref="D22:E22 G22:L22 O22:S22 U22:Z22 AB22:AD22 AF22:AG22">
    <cfRule type="iconSet" priority="69">
      <iconSet iconSet="3TrafficLights2">
        <cfvo type="percent" val="0"/>
        <cfvo type="percent" val="33"/>
        <cfvo type="percent" val="67"/>
      </iconSet>
    </cfRule>
  </conditionalFormatting>
  <conditionalFormatting sqref="D23:E23 G23:L23 O23:S23 U23:Z23 AB23:AD23 AF23:AG23">
    <cfRule type="iconSet" priority="68">
      <iconSet iconSet="3TrafficLights2">
        <cfvo type="percent" val="0"/>
        <cfvo type="percent" val="33"/>
        <cfvo type="percent" val="67"/>
      </iconSet>
    </cfRule>
  </conditionalFormatting>
  <conditionalFormatting sqref="D24:E24 G24:L24 O24:S24 U24:Z24 AB24:AD24 AF24:AG24">
    <cfRule type="iconSet" priority="63">
      <iconSet iconSet="3TrafficLights2">
        <cfvo type="percent" val="0"/>
        <cfvo type="percent" val="33"/>
        <cfvo type="percent" val="67"/>
      </iconSet>
    </cfRule>
  </conditionalFormatting>
  <conditionalFormatting sqref="D25:E25 G25:L25 O25:S25 U25:Z25 AB25:AD25 AF25:AG25">
    <cfRule type="iconSet" priority="19">
      <iconSet iconSet="3TrafficLights2">
        <cfvo type="percent" val="0"/>
        <cfvo type="percent" val="33"/>
        <cfvo type="percent" val="67"/>
      </iconSet>
    </cfRule>
  </conditionalFormatting>
  <conditionalFormatting sqref="D28:E28 O28:S28 AB28:AD28 AF28:AG28 G28:L28 U28:Z28">
    <cfRule type="iconSet" priority="11">
      <iconSet iconSet="3TrafficLights2">
        <cfvo type="percent" val="0"/>
        <cfvo type="percent" val="33"/>
        <cfvo type="percent" val="67"/>
      </iconSet>
    </cfRule>
  </conditionalFormatting>
  <conditionalFormatting sqref="D48:E51 O48:S51 AB48:AD51 AF48:AG51 G48:L51 U48:Z51">
    <cfRule type="iconSet" priority="3240">
      <iconSet iconSet="3TrafficLights2">
        <cfvo type="percent" val="0"/>
        <cfvo type="percent" val="33"/>
        <cfvo type="percent" val="67"/>
      </iconSet>
    </cfRule>
  </conditionalFormatting>
  <conditionalFormatting sqref="D52:E53 G52:L53 U52:Z53 AB52:AD53 AF52:AG53 O52:S53 D55:E55 G55:L55 O55:S55 U55:Z55 AB55:AD55 AF55:AG55">
    <cfRule type="iconSet" priority="42">
      <iconSet iconSet="3TrafficLights2">
        <cfvo type="percent" val="0"/>
        <cfvo type="percent" val="33"/>
        <cfvo type="percent" val="67"/>
      </iconSet>
    </cfRule>
  </conditionalFormatting>
  <conditionalFormatting sqref="F25 C25">
    <cfRule type="iconSet" priority="20">
      <iconSet iconSet="3TrafficLights2">
        <cfvo type="percent" val="0"/>
        <cfvo type="percent" val="33"/>
        <cfvo type="percent" val="67"/>
      </iconSet>
    </cfRule>
  </conditionalFormatting>
  <conditionalFormatting sqref="F54 C54">
    <cfRule type="iconSet" priority="38">
      <iconSet iconSet="3TrafficLights2">
        <cfvo type="percent" val="0"/>
        <cfvo type="percent" val="33"/>
        <cfvo type="percent" val="67"/>
      </iconSet>
    </cfRule>
  </conditionalFormatting>
  <conditionalFormatting sqref="F55">
    <cfRule type="iconSet" priority="31">
      <iconSet iconSet="3TrafficLights2">
        <cfvo type="percent" val="0"/>
        <cfvo type="percent" val="33"/>
        <cfvo type="percent" val="67"/>
      </iconSet>
    </cfRule>
  </conditionalFormatting>
  <conditionalFormatting sqref="M7:M24">
    <cfRule type="iconSet" priority="57">
      <iconSet iconSet="3TrafficLights2">
        <cfvo type="percent" val="0"/>
        <cfvo type="percent" val="33"/>
        <cfvo type="percent" val="67"/>
      </iconSet>
    </cfRule>
  </conditionalFormatting>
  <conditionalFormatting sqref="M25">
    <cfRule type="iconSet" priority="18">
      <iconSet iconSet="3TrafficLights2">
        <cfvo type="percent" val="0"/>
        <cfvo type="percent" val="33"/>
        <cfvo type="percent" val="67"/>
      </iconSet>
    </cfRule>
  </conditionalFormatting>
  <conditionalFormatting sqref="M26">
    <cfRule type="iconSet" priority="10">
      <iconSet iconSet="3TrafficLights2">
        <cfvo type="percent" val="0"/>
        <cfvo type="percent" val="33"/>
        <cfvo type="percent" val="67"/>
      </iconSet>
    </cfRule>
  </conditionalFormatting>
  <conditionalFormatting sqref="M27:M28">
    <cfRule type="iconSet" priority="9">
      <iconSet iconSet="3TrafficLights2">
        <cfvo type="percent" val="0"/>
        <cfvo type="percent" val="33"/>
        <cfvo type="percent" val="67"/>
      </iconSet>
    </cfRule>
  </conditionalFormatting>
  <conditionalFormatting sqref="M48:M53">
    <cfRule type="iconSet" priority="3246">
      <iconSet iconSet="3TrafficLights2">
        <cfvo type="percent" val="0"/>
        <cfvo type="percent" val="33"/>
        <cfvo type="percent" val="67"/>
      </iconSet>
    </cfRule>
  </conditionalFormatting>
  <conditionalFormatting sqref="M54">
    <cfRule type="iconSet" priority="37">
      <iconSet iconSet="3TrafficLights2">
        <cfvo type="percent" val="0"/>
        <cfvo type="percent" val="33"/>
        <cfvo type="percent" val="67"/>
      </iconSet>
    </cfRule>
  </conditionalFormatting>
  <conditionalFormatting sqref="M55:N55">
    <cfRule type="iconSet" priority="30">
      <iconSet iconSet="3TrafficLights2">
        <cfvo type="percent" val="0"/>
        <cfvo type="percent" val="33"/>
        <cfvo type="percent" val="67"/>
      </iconSet>
    </cfRule>
  </conditionalFormatting>
  <conditionalFormatting sqref="N7:N24">
    <cfRule type="iconSet" priority="56">
      <iconSet iconSet="3TrafficLights2">
        <cfvo type="percent" val="0"/>
        <cfvo type="percent" val="33"/>
        <cfvo type="percent" val="67"/>
      </iconSet>
    </cfRule>
  </conditionalFormatting>
  <conditionalFormatting sqref="N25">
    <cfRule type="iconSet" priority="17">
      <iconSet iconSet="3TrafficLights2">
        <cfvo type="percent" val="0"/>
        <cfvo type="percent" val="33"/>
        <cfvo type="percent" val="67"/>
      </iconSet>
    </cfRule>
  </conditionalFormatting>
  <conditionalFormatting sqref="N26">
    <cfRule type="iconSet" priority="8">
      <iconSet iconSet="3TrafficLights2">
        <cfvo type="percent" val="0"/>
        <cfvo type="percent" val="33"/>
        <cfvo type="percent" val="67"/>
      </iconSet>
    </cfRule>
  </conditionalFormatting>
  <conditionalFormatting sqref="N27:N28">
    <cfRule type="iconSet" priority="7">
      <iconSet iconSet="3TrafficLights2">
        <cfvo type="percent" val="0"/>
        <cfvo type="percent" val="33"/>
        <cfvo type="percent" val="67"/>
      </iconSet>
    </cfRule>
  </conditionalFormatting>
  <conditionalFormatting sqref="N48:N53">
    <cfRule type="iconSet" priority="3247">
      <iconSet iconSet="3TrafficLights2">
        <cfvo type="percent" val="0"/>
        <cfvo type="percent" val="33"/>
        <cfvo type="percent" val="67"/>
      </iconSet>
    </cfRule>
  </conditionalFormatting>
  <conditionalFormatting sqref="N54">
    <cfRule type="iconSet" priority="36">
      <iconSet iconSet="3TrafficLights2">
        <cfvo type="percent" val="0"/>
        <cfvo type="percent" val="33"/>
        <cfvo type="percent" val="67"/>
      </iconSet>
    </cfRule>
  </conditionalFormatting>
  <conditionalFormatting sqref="O54:S54 AF54:AG54 AB54:AD54 U54:Z54 G54:L54 D54:E54">
    <cfRule type="iconSet" priority="33">
      <iconSet iconSet="3TrafficLights2">
        <cfvo type="percent" val="0"/>
        <cfvo type="percent" val="33"/>
        <cfvo type="percent" val="67"/>
      </iconSet>
    </cfRule>
  </conditionalFormatting>
  <conditionalFormatting sqref="T7:T24">
    <cfRule type="iconSet" priority="51">
      <iconSet iconSet="3TrafficLights2">
        <cfvo type="percent" val="0"/>
        <cfvo type="percent" val="33"/>
        <cfvo type="percent" val="67"/>
      </iconSet>
    </cfRule>
  </conditionalFormatting>
  <conditionalFormatting sqref="T25">
    <cfRule type="iconSet" priority="16">
      <iconSet iconSet="3TrafficLights2">
        <cfvo type="percent" val="0"/>
        <cfvo type="percent" val="33"/>
        <cfvo type="percent" val="67"/>
      </iconSet>
    </cfRule>
  </conditionalFormatting>
  <conditionalFormatting sqref="T26">
    <cfRule type="iconSet" priority="6">
      <iconSet iconSet="3TrafficLights2">
        <cfvo type="percent" val="0"/>
        <cfvo type="percent" val="33"/>
        <cfvo type="percent" val="67"/>
      </iconSet>
    </cfRule>
  </conditionalFormatting>
  <conditionalFormatting sqref="T27:T28">
    <cfRule type="iconSet" priority="5">
      <iconSet iconSet="3TrafficLights2">
        <cfvo type="percent" val="0"/>
        <cfvo type="percent" val="33"/>
        <cfvo type="percent" val="67"/>
      </iconSet>
    </cfRule>
  </conditionalFormatting>
  <conditionalFormatting sqref="T48:T53">
    <cfRule type="iconSet" priority="3248">
      <iconSet iconSet="3TrafficLights2">
        <cfvo type="percent" val="0"/>
        <cfvo type="percent" val="33"/>
        <cfvo type="percent" val="67"/>
      </iconSet>
    </cfRule>
  </conditionalFormatting>
  <conditionalFormatting sqref="T54">
    <cfRule type="iconSet" priority="35">
      <iconSet iconSet="3TrafficLights2">
        <cfvo type="percent" val="0"/>
        <cfvo type="percent" val="33"/>
        <cfvo type="percent" val="67"/>
      </iconSet>
    </cfRule>
  </conditionalFormatting>
  <conditionalFormatting sqref="T55">
    <cfRule type="iconSet" priority="29">
      <iconSet iconSet="3TrafficLights2">
        <cfvo type="percent" val="0"/>
        <cfvo type="percent" val="33"/>
        <cfvo type="percent" val="67"/>
      </iconSet>
    </cfRule>
  </conditionalFormatting>
  <conditionalFormatting sqref="AA7:AA24">
    <cfRule type="iconSet" priority="50">
      <iconSet iconSet="3TrafficLights2">
        <cfvo type="percent" val="0"/>
        <cfvo type="percent" val="33"/>
        <cfvo type="percent" val="67"/>
      </iconSet>
    </cfRule>
  </conditionalFormatting>
  <conditionalFormatting sqref="AA25">
    <cfRule type="iconSet" priority="15">
      <iconSet iconSet="3TrafficLights2">
        <cfvo type="percent" val="0"/>
        <cfvo type="percent" val="33"/>
        <cfvo type="percent" val="67"/>
      </iconSet>
    </cfRule>
  </conditionalFormatting>
  <conditionalFormatting sqref="AA26">
    <cfRule type="iconSet" priority="4">
      <iconSet iconSet="3TrafficLights2">
        <cfvo type="percent" val="0"/>
        <cfvo type="percent" val="33"/>
        <cfvo type="percent" val="67"/>
      </iconSet>
    </cfRule>
  </conditionalFormatting>
  <conditionalFormatting sqref="AA27:AA28">
    <cfRule type="iconSet" priority="3">
      <iconSet iconSet="3TrafficLights2">
        <cfvo type="percent" val="0"/>
        <cfvo type="percent" val="33"/>
        <cfvo type="percent" val="67"/>
      </iconSet>
    </cfRule>
  </conditionalFormatting>
  <conditionalFormatting sqref="AA48:AA53">
    <cfRule type="iconSet" priority="3249">
      <iconSet iconSet="3TrafficLights2">
        <cfvo type="percent" val="0"/>
        <cfvo type="percent" val="33"/>
        <cfvo type="percent" val="67"/>
      </iconSet>
    </cfRule>
  </conditionalFormatting>
  <conditionalFormatting sqref="AA54">
    <cfRule type="iconSet" priority="34">
      <iconSet iconSet="3TrafficLights2">
        <cfvo type="percent" val="0"/>
        <cfvo type="percent" val="33"/>
        <cfvo type="percent" val="67"/>
      </iconSet>
    </cfRule>
  </conditionalFormatting>
  <conditionalFormatting sqref="AA55">
    <cfRule type="iconSet" priority="22">
      <iconSet iconSet="3TrafficLights2">
        <cfvo type="percent" val="0"/>
        <cfvo type="percent" val="33"/>
        <cfvo type="percent" val="67"/>
      </iconSet>
    </cfRule>
  </conditionalFormatting>
  <conditionalFormatting sqref="AE7:AE24">
    <cfRule type="iconSet" priority="41">
      <iconSet iconSet="3TrafficLights2">
        <cfvo type="percent" val="0"/>
        <cfvo type="percent" val="33"/>
        <cfvo type="percent" val="67"/>
      </iconSet>
    </cfRule>
  </conditionalFormatting>
  <conditionalFormatting sqref="AE25">
    <cfRule type="iconSet" priority="14">
      <iconSet iconSet="3TrafficLights2">
        <cfvo type="percent" val="0"/>
        <cfvo type="percent" val="33"/>
        <cfvo type="percent" val="67"/>
      </iconSet>
    </cfRule>
  </conditionalFormatting>
  <conditionalFormatting sqref="AE26">
    <cfRule type="iconSet" priority="2">
      <iconSet iconSet="3TrafficLights2">
        <cfvo type="percent" val="0"/>
        <cfvo type="percent" val="33"/>
        <cfvo type="percent" val="67"/>
      </iconSet>
    </cfRule>
  </conditionalFormatting>
  <conditionalFormatting sqref="AE27:AE28">
    <cfRule type="iconSet" priority="1">
      <iconSet iconSet="3TrafficLights2">
        <cfvo type="percent" val="0"/>
        <cfvo type="percent" val="33"/>
        <cfvo type="percent" val="67"/>
      </iconSet>
    </cfRule>
  </conditionalFormatting>
  <conditionalFormatting sqref="AE48:AE53">
    <cfRule type="iconSet" priority="3261">
      <iconSet iconSet="3TrafficLights2">
        <cfvo type="percent" val="0"/>
        <cfvo type="percent" val="33"/>
        <cfvo type="percent" val="67"/>
      </iconSet>
    </cfRule>
  </conditionalFormatting>
  <conditionalFormatting sqref="AE54">
    <cfRule type="iconSet" priority="32">
      <iconSet iconSet="3TrafficLights2">
        <cfvo type="percent" val="0"/>
        <cfvo type="percent" val="33"/>
        <cfvo type="percent" val="67"/>
      </iconSet>
    </cfRule>
  </conditionalFormatting>
  <conditionalFormatting sqref="AE55">
    <cfRule type="iconSet" priority="21">
      <iconSet iconSet="3TrafficLights2">
        <cfvo type="percent" val="0"/>
        <cfvo type="percent" val="33"/>
        <cfvo type="percent" val="67"/>
      </iconSet>
    </cfRule>
  </conditionalFormatting>
  <printOptions horizontalCentered="1"/>
  <pageMargins left="0" right="0" top="0" bottom="0" header="0" footer="0"/>
  <pageSetup paperSize="9" scale="36" orientation="landscape" horizontalDpi="0" verticalDpi="0" r:id="rId1"/>
  <rowBreaks count="1" manualBreakCount="1">
    <brk id="39" max="43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81"/>
  <sheetViews>
    <sheetView zoomScale="50" zoomScaleNormal="50" zoomScaleSheetLayoutView="5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R42" sqref="AR42"/>
    </sheetView>
  </sheetViews>
  <sheetFormatPr defaultColWidth="9" defaultRowHeight="22.5"/>
  <cols>
    <col min="1" max="1" width="6.42578125" style="369" customWidth="1"/>
    <col min="2" max="2" width="43.28515625" style="369" customWidth="1"/>
    <col min="3" max="3" width="7.7109375" style="184" customWidth="1"/>
    <col min="4" max="4" width="7.7109375" style="369" customWidth="1"/>
    <col min="5" max="5" width="7.7109375" style="143" customWidth="1"/>
    <col min="6" max="6" width="7.7109375" style="184" customWidth="1"/>
    <col min="7" max="12" width="7.7109375" style="369" customWidth="1"/>
    <col min="13" max="13" width="8" style="184" customWidth="1"/>
    <col min="14" max="14" width="8.5703125" style="184" customWidth="1"/>
    <col min="15" max="16" width="8.28515625" style="369" customWidth="1"/>
    <col min="17" max="18" width="8.5703125" style="369" customWidth="1"/>
    <col min="19" max="19" width="8" style="369" customWidth="1"/>
    <col min="20" max="20" width="8" style="184" customWidth="1"/>
    <col min="21" max="21" width="8" style="369" customWidth="1"/>
    <col min="22" max="22" width="7.7109375" style="369" customWidth="1"/>
    <col min="23" max="24" width="8.28515625" style="369" customWidth="1"/>
    <col min="25" max="25" width="8.5703125" style="369" customWidth="1"/>
    <col min="26" max="26" width="8.28515625" style="369" customWidth="1"/>
    <col min="27" max="27" width="8.28515625" style="184" customWidth="1"/>
    <col min="28" max="28" width="8" style="369" customWidth="1"/>
    <col min="29" max="29" width="7.85546875" style="369" customWidth="1"/>
    <col min="30" max="30" width="8.42578125" style="369" customWidth="1"/>
    <col min="31" max="31" width="8.28515625" style="514" customWidth="1"/>
    <col min="32" max="32" width="7.7109375" style="369" customWidth="1"/>
    <col min="33" max="33" width="8.28515625" style="361" customWidth="1"/>
    <col min="34" max="34" width="13" style="361" customWidth="1"/>
    <col min="35" max="37" width="8.42578125" style="369" customWidth="1"/>
    <col min="38" max="38" width="10.140625" style="369" customWidth="1"/>
    <col min="39" max="43" width="8.42578125" style="369" customWidth="1"/>
    <col min="44" max="44" width="14.7109375" style="361" customWidth="1"/>
    <col min="45" max="45" width="10.140625" style="369" customWidth="1"/>
    <col min="46" max="46" width="8.42578125" style="369" customWidth="1"/>
    <col min="47" max="47" width="13.5703125" style="369" bestFit="1" customWidth="1"/>
    <col min="48" max="48" width="11.85546875" style="369" bestFit="1" customWidth="1"/>
    <col min="49" max="16384" width="9" style="369"/>
  </cols>
  <sheetData>
    <row r="1" spans="1:48" s="361" customFormat="1" ht="24.75" customHeight="1">
      <c r="A1" s="1953" t="s">
        <v>232</v>
      </c>
      <c r="B1" s="1953"/>
      <c r="C1" s="514"/>
      <c r="E1" s="66"/>
      <c r="F1" s="514"/>
      <c r="M1" s="514"/>
      <c r="N1" s="514"/>
      <c r="T1" s="514"/>
      <c r="AA1" s="514"/>
      <c r="AE1" s="514"/>
    </row>
    <row r="2" spans="1:48" s="361" customFormat="1" ht="29.25" customHeight="1">
      <c r="A2" s="1200" t="s">
        <v>233</v>
      </c>
      <c r="B2" s="1200"/>
      <c r="C2" s="514"/>
      <c r="E2" s="66"/>
      <c r="F2" s="514"/>
      <c r="M2" s="514"/>
      <c r="N2" s="514"/>
      <c r="T2" s="514"/>
      <c r="AA2" s="514"/>
      <c r="AC2" s="762"/>
      <c r="AD2" s="762"/>
      <c r="AE2" s="1085"/>
      <c r="AN2" s="361" t="s">
        <v>785</v>
      </c>
    </row>
    <row r="3" spans="1:48" s="361" customFormat="1" ht="24" customHeight="1" thickBot="1">
      <c r="A3" s="1886" t="s">
        <v>773</v>
      </c>
      <c r="B3" s="1886"/>
      <c r="C3" s="1886"/>
      <c r="E3" s="66"/>
      <c r="F3" s="514"/>
      <c r="M3" s="514"/>
      <c r="N3" s="514"/>
      <c r="T3" s="514"/>
      <c r="AA3" s="514"/>
      <c r="AE3" s="514"/>
    </row>
    <row r="4" spans="1:48" s="361" customFormat="1" ht="23.25" thickTop="1">
      <c r="A4" s="1954" t="s">
        <v>158</v>
      </c>
      <c r="B4" s="1941" t="s">
        <v>22</v>
      </c>
      <c r="C4" s="1941" t="s">
        <v>234</v>
      </c>
      <c r="D4" s="1941"/>
      <c r="E4" s="1941"/>
      <c r="F4" s="1941"/>
      <c r="G4" s="1941"/>
      <c r="H4" s="1941"/>
      <c r="I4" s="1941"/>
      <c r="J4" s="1941"/>
      <c r="K4" s="1941"/>
      <c r="L4" s="1941"/>
      <c r="M4" s="1941"/>
      <c r="N4" s="1941"/>
      <c r="O4" s="1941"/>
      <c r="P4" s="1941"/>
      <c r="Q4" s="1941"/>
      <c r="R4" s="1941"/>
      <c r="S4" s="1941"/>
      <c r="T4" s="1941"/>
      <c r="U4" s="1941"/>
      <c r="V4" s="1941"/>
      <c r="W4" s="1941"/>
      <c r="X4" s="1941"/>
      <c r="Y4" s="1941"/>
      <c r="Z4" s="1941"/>
      <c r="AA4" s="1941"/>
      <c r="AB4" s="1941"/>
      <c r="AC4" s="1941"/>
      <c r="AD4" s="1941"/>
      <c r="AE4" s="1941"/>
      <c r="AF4" s="1941"/>
      <c r="AG4" s="1942"/>
      <c r="AH4" s="1914" t="s">
        <v>235</v>
      </c>
      <c r="AI4" s="1940" t="s">
        <v>236</v>
      </c>
      <c r="AJ4" s="1941"/>
      <c r="AK4" s="1941"/>
      <c r="AL4" s="1941"/>
      <c r="AM4" s="1941"/>
      <c r="AN4" s="1941"/>
      <c r="AO4" s="1942"/>
      <c r="AP4" s="1942"/>
      <c r="AQ4" s="1942"/>
      <c r="AR4" s="1946" t="s">
        <v>4</v>
      </c>
      <c r="AS4" s="1940" t="s">
        <v>42</v>
      </c>
      <c r="AT4" s="1950" t="s">
        <v>43</v>
      </c>
    </row>
    <row r="5" spans="1:48" s="361" customFormat="1">
      <c r="A5" s="1955"/>
      <c r="B5" s="1944"/>
      <c r="C5" s="1944"/>
      <c r="D5" s="1944"/>
      <c r="E5" s="1944"/>
      <c r="F5" s="1944"/>
      <c r="G5" s="1944"/>
      <c r="H5" s="1944"/>
      <c r="I5" s="1944"/>
      <c r="J5" s="1944"/>
      <c r="K5" s="1944"/>
      <c r="L5" s="1944"/>
      <c r="M5" s="1944"/>
      <c r="N5" s="1944"/>
      <c r="O5" s="1944"/>
      <c r="P5" s="1944"/>
      <c r="Q5" s="1944"/>
      <c r="R5" s="1944"/>
      <c r="S5" s="1944"/>
      <c r="T5" s="1944"/>
      <c r="U5" s="1944"/>
      <c r="V5" s="1944"/>
      <c r="W5" s="1944"/>
      <c r="X5" s="1944"/>
      <c r="Y5" s="1944"/>
      <c r="Z5" s="1944"/>
      <c r="AA5" s="1944"/>
      <c r="AB5" s="1944"/>
      <c r="AC5" s="1944"/>
      <c r="AD5" s="1944"/>
      <c r="AE5" s="1944"/>
      <c r="AF5" s="1944"/>
      <c r="AG5" s="1945"/>
      <c r="AH5" s="1908"/>
      <c r="AI5" s="1943"/>
      <c r="AJ5" s="1944"/>
      <c r="AK5" s="1944"/>
      <c r="AL5" s="1944"/>
      <c r="AM5" s="1944"/>
      <c r="AN5" s="1944"/>
      <c r="AO5" s="1945"/>
      <c r="AP5" s="1945"/>
      <c r="AQ5" s="1945"/>
      <c r="AR5" s="1947"/>
      <c r="AS5" s="1943"/>
      <c r="AT5" s="1951"/>
    </row>
    <row r="6" spans="1:48" s="361" customFormat="1" ht="45.75" thickBot="1">
      <c r="A6" s="1956"/>
      <c r="B6" s="1957"/>
      <c r="C6" s="181">
        <v>1</v>
      </c>
      <c r="D6" s="1203">
        <v>2</v>
      </c>
      <c r="E6" s="1183">
        <v>3</v>
      </c>
      <c r="F6" s="181">
        <v>4</v>
      </c>
      <c r="G6" s="1203">
        <v>5</v>
      </c>
      <c r="H6" s="1203">
        <v>6</v>
      </c>
      <c r="I6" s="1203">
        <v>7</v>
      </c>
      <c r="J6" s="1203">
        <v>8</v>
      </c>
      <c r="K6" s="1203">
        <v>9</v>
      </c>
      <c r="L6" s="1203">
        <v>10</v>
      </c>
      <c r="M6" s="181">
        <v>11</v>
      </c>
      <c r="N6" s="181">
        <v>12</v>
      </c>
      <c r="O6" s="1203">
        <v>13</v>
      </c>
      <c r="P6" s="1203">
        <v>14</v>
      </c>
      <c r="Q6" s="1203">
        <v>15</v>
      </c>
      <c r="R6" s="1203">
        <v>16</v>
      </c>
      <c r="S6" s="1203">
        <v>17</v>
      </c>
      <c r="T6" s="181">
        <v>18</v>
      </c>
      <c r="U6" s="1203">
        <v>19</v>
      </c>
      <c r="V6" s="1203">
        <v>20</v>
      </c>
      <c r="W6" s="1203">
        <v>21</v>
      </c>
      <c r="X6" s="1203">
        <v>22</v>
      </c>
      <c r="Y6" s="1203">
        <v>23</v>
      </c>
      <c r="Z6" s="1203">
        <v>24</v>
      </c>
      <c r="AA6" s="181">
        <v>25</v>
      </c>
      <c r="AB6" s="1203">
        <v>26</v>
      </c>
      <c r="AC6" s="1203">
        <v>27</v>
      </c>
      <c r="AD6" s="1203">
        <v>28</v>
      </c>
      <c r="AE6" s="181">
        <v>29</v>
      </c>
      <c r="AF6" s="1203">
        <v>30</v>
      </c>
      <c r="AG6" s="1076">
        <v>31</v>
      </c>
      <c r="AH6" s="1909"/>
      <c r="AI6" s="1202" t="s">
        <v>35</v>
      </c>
      <c r="AJ6" s="1203" t="s">
        <v>237</v>
      </c>
      <c r="AK6" s="1203" t="s">
        <v>12</v>
      </c>
      <c r="AL6" s="1203" t="s">
        <v>238</v>
      </c>
      <c r="AM6" s="1203" t="s">
        <v>239</v>
      </c>
      <c r="AN6" s="1203" t="s">
        <v>240</v>
      </c>
      <c r="AO6" s="362" t="s">
        <v>348</v>
      </c>
      <c r="AP6" s="362" t="s">
        <v>349</v>
      </c>
      <c r="AQ6" s="362" t="s">
        <v>350</v>
      </c>
      <c r="AR6" s="1948"/>
      <c r="AS6" s="1949"/>
      <c r="AT6" s="1952"/>
    </row>
    <row r="7" spans="1:48" ht="35.25" customHeight="1">
      <c r="A7" s="363" t="s">
        <v>63</v>
      </c>
      <c r="B7" s="1193" t="s">
        <v>438</v>
      </c>
      <c r="C7" s="1083" t="s">
        <v>239</v>
      </c>
      <c r="D7" s="1214" t="s">
        <v>777</v>
      </c>
      <c r="E7" s="1" t="s">
        <v>780</v>
      </c>
      <c r="F7" s="1083" t="s">
        <v>238</v>
      </c>
      <c r="G7" s="1">
        <f>COUNTIF(ABSEN!E:E,"KARYADI ( PONDOK )")</f>
        <v>1</v>
      </c>
      <c r="H7" s="1">
        <f>COUNTIF(ABSEN!F:F,"KARYADI ( PONDOK )")</f>
        <v>1</v>
      </c>
      <c r="I7" s="1">
        <f>COUNTIF(ABSEN!G:G,"KARYADI ( PONDOK )")</f>
        <v>1</v>
      </c>
      <c r="J7" s="1">
        <f>COUNTIF(ABSEN!H:H,"KARYADI ( PONDOK )")</f>
        <v>1</v>
      </c>
      <c r="K7" s="1">
        <f>COUNTIF(ABSEN!I:I,"KARYADI ( PONDOK )")</f>
        <v>1</v>
      </c>
      <c r="L7" s="1">
        <f>COUNTIF(ABSEN!J:J,"KARYADI ( PONDOK )")</f>
        <v>1</v>
      </c>
      <c r="M7" s="1083" t="s">
        <v>239</v>
      </c>
      <c r="N7" s="1083" t="s">
        <v>238</v>
      </c>
      <c r="O7" s="1">
        <f>COUNTIF(ABSEN!M:M,"KARYADI ( PONDOK )")</f>
        <v>1</v>
      </c>
      <c r="P7" s="1">
        <f>COUNTIF(ABSEN!N:N,"KARYADI ( PONDOK )")</f>
        <v>1</v>
      </c>
      <c r="Q7" s="1">
        <f>COUNTIF(ABSEN!O:O,"KARYADI ( PONDOK )")</f>
        <v>1</v>
      </c>
      <c r="R7" s="1" t="s">
        <v>780</v>
      </c>
      <c r="S7" s="1">
        <f>COUNTIF(ABSEN!Q:Q,"KARYADI ( PONDOK )")</f>
        <v>1</v>
      </c>
      <c r="T7" s="1083" t="s">
        <v>238</v>
      </c>
      <c r="U7" s="1">
        <f>COUNTIF(ABSEN!S:S,"KARYADI ( PONDOK )")</f>
        <v>1</v>
      </c>
      <c r="V7" s="1">
        <f>COUNTIF(ABSEN!T:T,"KARYADI ( PONDOK )")</f>
        <v>1</v>
      </c>
      <c r="W7" s="1">
        <f>COUNTIF(ABSEN!U:U,"KARYADI ( PONDOK )")</f>
        <v>1</v>
      </c>
      <c r="X7" s="1214" t="s">
        <v>777</v>
      </c>
      <c r="Y7" s="1214" t="s">
        <v>778</v>
      </c>
      <c r="Z7" s="1214" t="s">
        <v>42</v>
      </c>
      <c r="AA7" s="1083" t="s">
        <v>238</v>
      </c>
      <c r="AB7" s="1">
        <f>COUNTIF(ABSEN!Z:Z,"KARYADI ( PONDOK )")</f>
        <v>1</v>
      </c>
      <c r="AC7" s="1">
        <f>COUNTIF(ABSEN!AA:AA,"KARYADI ( PONDOK )")</f>
        <v>1</v>
      </c>
      <c r="AD7" s="1">
        <f>COUNTIF(ABSEN!AB:AB,"KARYADI ( PONDOK )")</f>
        <v>1</v>
      </c>
      <c r="AE7" s="1083" t="s">
        <v>239</v>
      </c>
      <c r="AF7" s="1214" t="s">
        <v>778</v>
      </c>
      <c r="AG7" s="1214" t="s">
        <v>42</v>
      </c>
      <c r="AH7" s="364">
        <f t="shared" ref="AH7:AH27" si="0">SUM(C7:AG7)</f>
        <v>16</v>
      </c>
      <c r="AI7" s="365">
        <f t="shared" ref="AI7:AI39" si="1">COUNTIF(C7:AG7,"CT")</f>
        <v>2</v>
      </c>
      <c r="AJ7" s="241">
        <f t="shared" ref="AJ7:AJ27" si="2">COUNTIF(C7:AG7,"S")</f>
        <v>2</v>
      </c>
      <c r="AK7" s="241">
        <f t="shared" ref="AK7:AK27" si="3">COUNTIF(C7:AG7,"H1")</f>
        <v>0</v>
      </c>
      <c r="AL7" s="241">
        <f t="shared" ref="AL7:AL27" si="4">COUNTIF(C7:AG7,"MG")</f>
        <v>4</v>
      </c>
      <c r="AM7" s="241">
        <f t="shared" ref="AM7:AM27" si="5">COUNTIF(C7:AG7,"NAS")</f>
        <v>3</v>
      </c>
      <c r="AN7" s="241">
        <f t="shared" ref="AN7:AN27" si="6">COUNTIF(C7:AG7,"H2")</f>
        <v>0</v>
      </c>
      <c r="AO7" s="366">
        <f t="shared" ref="AO7:AO27" si="7">COUNTIF(B7:AF7,"P1")</f>
        <v>0</v>
      </c>
      <c r="AP7" s="366">
        <f t="shared" ref="AP7:AP27" si="8">COUNTIF(B7:AF7,"P2")</f>
        <v>0</v>
      </c>
      <c r="AQ7" s="367">
        <f t="shared" ref="AQ7:AQ27" si="9">COUNTIF(C7:AG7,"P3")</f>
        <v>0</v>
      </c>
      <c r="AR7" s="368">
        <f t="shared" ref="AR7:AR27" si="10">SUM(AH7:AQ7)</f>
        <v>27</v>
      </c>
      <c r="AS7" s="365">
        <f t="shared" ref="AS7:AS27" si="11">COUNTIF(C7:AG7,"CTH")</f>
        <v>2</v>
      </c>
      <c r="AT7" s="367">
        <f t="shared" ref="AT7:AT27" si="12">COUNTIF(C7:AG7,"A")</f>
        <v>2</v>
      </c>
    </row>
    <row r="8" spans="1:48" ht="35.25" customHeight="1">
      <c r="A8" s="370" t="s">
        <v>53</v>
      </c>
      <c r="B8" s="371" t="s">
        <v>101</v>
      </c>
      <c r="C8" s="1084" t="s">
        <v>239</v>
      </c>
      <c r="D8" s="241">
        <f>COUNTIF(ABSEN!B:B,"SARINA ( SRIYATI )")</f>
        <v>1</v>
      </c>
      <c r="E8" s="241">
        <f>COUNTIF(ABSEN!C:C,"SARINA ( SRIYATI )")</f>
        <v>1</v>
      </c>
      <c r="F8" s="1084" t="s">
        <v>238</v>
      </c>
      <c r="G8" s="241">
        <f>COUNTIF(ABSEN!E:E,"SARINA ( SRIYATI )")</f>
        <v>1</v>
      </c>
      <c r="H8" s="241">
        <f>COUNTIF(ABSEN!F:F,"SARINA ( SRIYATI )")</f>
        <v>1</v>
      </c>
      <c r="I8" s="241">
        <f>COUNTIF(ABSEN!G:G,"SARINA ( SRIYATI )")</f>
        <v>1</v>
      </c>
      <c r="J8" s="241">
        <f>COUNTIF(ABSEN!H:H,"SARINA ( SRIYATI )")</f>
        <v>1</v>
      </c>
      <c r="K8" s="1206" t="s">
        <v>777</v>
      </c>
      <c r="L8" s="241">
        <f>COUNTIF(ABSEN!J:J,"SARINA ( SRIYATI )")</f>
        <v>1</v>
      </c>
      <c r="M8" s="1084" t="s">
        <v>239</v>
      </c>
      <c r="N8" s="1084" t="s">
        <v>238</v>
      </c>
      <c r="O8" s="241" t="s">
        <v>780</v>
      </c>
      <c r="P8" s="1206" t="s">
        <v>779</v>
      </c>
      <c r="Q8" s="1206" t="s">
        <v>779</v>
      </c>
      <c r="R8" s="241">
        <f>COUNTIF(ABSEN!P:P,"SARINA ( SRIYATI )")</f>
        <v>1</v>
      </c>
      <c r="S8" s="241">
        <f>COUNTIF(ABSEN!Q:Q,"SARINA ( SRIYATI )")</f>
        <v>1</v>
      </c>
      <c r="T8" s="1084" t="s">
        <v>238</v>
      </c>
      <c r="U8" s="241">
        <f>COUNTIF(ABSEN!S:S,"SARINA ( SRIYATI )")</f>
        <v>1</v>
      </c>
      <c r="V8" s="241">
        <f>COUNTIF(ABSEN!T:T,"SARINA ( SRIYATI )")</f>
        <v>1</v>
      </c>
      <c r="W8" s="1206" t="s">
        <v>42</v>
      </c>
      <c r="X8" s="1206" t="s">
        <v>42</v>
      </c>
      <c r="Y8" s="1206" t="s">
        <v>42</v>
      </c>
      <c r="Z8" s="1206" t="s">
        <v>777</v>
      </c>
      <c r="AA8" s="1084" t="s">
        <v>238</v>
      </c>
      <c r="AB8" s="241">
        <f>COUNTIF(ABSEN!Z:Z,"SARINA ( SRIYATI )")</f>
        <v>1</v>
      </c>
      <c r="AC8" s="241">
        <f>COUNTIF(ABSEN!AA:AA,"SARINA ( SRIYATI )")</f>
        <v>1</v>
      </c>
      <c r="AD8" s="241">
        <f>COUNTIF(ABSEN!AB:AB,"SARINA ( SRIYATI )")</f>
        <v>1</v>
      </c>
      <c r="AE8" s="1084" t="s">
        <v>239</v>
      </c>
      <c r="AF8" s="241">
        <f>COUNTIF(ABSEN!AD:AD,"SARINA ( SRIYATI )")</f>
        <v>1</v>
      </c>
      <c r="AG8" s="241">
        <f>COUNTIF(ABSEN!AE:AE,"SARINA ( SRIYATI )")</f>
        <v>1</v>
      </c>
      <c r="AH8" s="368">
        <f t="shared" si="0"/>
        <v>16</v>
      </c>
      <c r="AI8" s="365">
        <f t="shared" si="1"/>
        <v>2</v>
      </c>
      <c r="AJ8" s="241">
        <f t="shared" si="2"/>
        <v>0</v>
      </c>
      <c r="AK8" s="241">
        <f t="shared" si="3"/>
        <v>2</v>
      </c>
      <c r="AL8" s="241">
        <f t="shared" si="4"/>
        <v>4</v>
      </c>
      <c r="AM8" s="241">
        <f t="shared" si="5"/>
        <v>3</v>
      </c>
      <c r="AN8" s="241">
        <f t="shared" si="6"/>
        <v>0</v>
      </c>
      <c r="AO8" s="366">
        <f t="shared" si="7"/>
        <v>0</v>
      </c>
      <c r="AP8" s="366">
        <f t="shared" si="8"/>
        <v>0</v>
      </c>
      <c r="AQ8" s="367">
        <f t="shared" si="9"/>
        <v>0</v>
      </c>
      <c r="AR8" s="368">
        <f t="shared" si="10"/>
        <v>27</v>
      </c>
      <c r="AS8" s="365">
        <f t="shared" si="11"/>
        <v>3</v>
      </c>
      <c r="AT8" s="367">
        <f t="shared" si="12"/>
        <v>1</v>
      </c>
    </row>
    <row r="9" spans="1:48" s="373" customFormat="1" ht="35.25" customHeight="1">
      <c r="A9" s="370" t="s">
        <v>64</v>
      </c>
      <c r="B9" s="372" t="s">
        <v>187</v>
      </c>
      <c r="C9" s="1084" t="s">
        <v>239</v>
      </c>
      <c r="D9" s="2">
        <f>COUNTIF(ABSEN!B:B,"SUPRIYANI ( SUMIATI )")</f>
        <v>1</v>
      </c>
      <c r="E9" s="2">
        <f>COUNTIF(ABSEN!C:C,"SUPRIYANI ( SUMIATI )")</f>
        <v>1</v>
      </c>
      <c r="F9" s="1084" t="s">
        <v>238</v>
      </c>
      <c r="G9" s="2">
        <f>COUNTIF(ABSEN!E:E,"SUPRIYANI ( SUMIATI )")</f>
        <v>1</v>
      </c>
      <c r="H9" s="2">
        <f>COUNTIF(ABSEN!F:F,"SUPRIYANI ( SUMIATI )")</f>
        <v>1</v>
      </c>
      <c r="I9" s="2">
        <f>COUNTIF(ABSEN!G:G,"SUPRIYANI ( SUMIATI )")</f>
        <v>1</v>
      </c>
      <c r="J9" s="2">
        <f>COUNTIF(ABSEN!H:H,"SUPRIYANI ( SUMIATI )")</f>
        <v>1</v>
      </c>
      <c r="K9" s="2">
        <f>COUNTIF(ABSEN!I:I,"SUPRIYANI ( SUMIATI )")</f>
        <v>1</v>
      </c>
      <c r="L9" s="2">
        <f>COUNTIF(ABSEN!J:J,"SUPRIYANI ( SUMIATI )")</f>
        <v>1</v>
      </c>
      <c r="M9" s="1084" t="s">
        <v>239</v>
      </c>
      <c r="N9" s="1084" t="s">
        <v>238</v>
      </c>
      <c r="O9" s="2">
        <f>COUNTIF(ABSEN!M:M,"SUPRIYANI ( SUMIATI )")</f>
        <v>1</v>
      </c>
      <c r="P9" s="2">
        <f>COUNTIF(ABSEN!N:N,"SUPRIYANI ( SUMIATI )")</f>
        <v>1</v>
      </c>
      <c r="Q9" s="2">
        <f>COUNTIF(ABSEN!O:O,"SUPRIYANI ( SUMIATI )")</f>
        <v>1</v>
      </c>
      <c r="R9" s="2">
        <f>COUNTIF(ABSEN!P:P,"SUPRIYANI ( SUMIATI )")</f>
        <v>1</v>
      </c>
      <c r="S9" s="2">
        <f>COUNTIF(ABSEN!Q:Q,"SUPRIYANI ( SUMIATI )")</f>
        <v>1</v>
      </c>
      <c r="T9" s="1084" t="s">
        <v>238</v>
      </c>
      <c r="U9" s="2">
        <f>COUNTIF(ABSEN!S:S,"SUPRIYANI ( SUMIATI )")</f>
        <v>1</v>
      </c>
      <c r="V9" s="2">
        <f>COUNTIF(ABSEN!T:T,"SUPRIYANI ( SUMIATI )")</f>
        <v>1</v>
      </c>
      <c r="W9" s="2">
        <f>COUNTIF(ABSEN!U:U,"SUPRIYANI ( SUMIATI )")</f>
        <v>1</v>
      </c>
      <c r="X9" s="2">
        <f>COUNTIF(ABSEN!V:V,"SUPRIYANI ( SUMIATI )")</f>
        <v>1</v>
      </c>
      <c r="Y9" s="2">
        <f>COUNTIF(ABSEN!W:W,"SUPRIYANI ( SUMIATI )")</f>
        <v>1</v>
      </c>
      <c r="Z9" s="2">
        <f>COUNTIF(ABSEN!X:X,"SUPRIYANI ( SUMIATI )")</f>
        <v>1</v>
      </c>
      <c r="AA9" s="1084" t="s">
        <v>238</v>
      </c>
      <c r="AB9" s="2">
        <f>COUNTIF(ABSEN!Z:Z,"SUPRIYANI ( SUMIATI )")</f>
        <v>1</v>
      </c>
      <c r="AC9" s="2">
        <f>COUNTIF(ABSEN!AA:AA,"SUPRIYANI ( SUMIATI )")</f>
        <v>1</v>
      </c>
      <c r="AD9" s="2">
        <f>COUNTIF(ABSEN!AB:AB,"SUPRIYANI ( SUMIATI )")</f>
        <v>1</v>
      </c>
      <c r="AE9" s="1084" t="s">
        <v>239</v>
      </c>
      <c r="AF9" s="2">
        <f>COUNTIF(ABSEN!AD:AD,"SUPRIYANI ( SUMIATI )")</f>
        <v>1</v>
      </c>
      <c r="AG9" s="2">
        <f>COUNTIF(ABSEN!AE:AE,"SUPRIYANI ( SUMIATI )")</f>
        <v>1</v>
      </c>
      <c r="AH9" s="368">
        <f t="shared" si="0"/>
        <v>24</v>
      </c>
      <c r="AI9" s="365">
        <f t="shared" si="1"/>
        <v>0</v>
      </c>
      <c r="AJ9" s="241">
        <f t="shared" si="2"/>
        <v>0</v>
      </c>
      <c r="AK9" s="241">
        <f t="shared" si="3"/>
        <v>0</v>
      </c>
      <c r="AL9" s="241">
        <f t="shared" si="4"/>
        <v>4</v>
      </c>
      <c r="AM9" s="241">
        <f t="shared" si="5"/>
        <v>3</v>
      </c>
      <c r="AN9" s="241">
        <f t="shared" si="6"/>
        <v>0</v>
      </c>
      <c r="AO9" s="366">
        <f t="shared" si="7"/>
        <v>0</v>
      </c>
      <c r="AP9" s="366">
        <f t="shared" si="8"/>
        <v>0</v>
      </c>
      <c r="AQ9" s="367">
        <f t="shared" si="9"/>
        <v>0</v>
      </c>
      <c r="AR9" s="368">
        <f t="shared" si="10"/>
        <v>31</v>
      </c>
      <c r="AS9" s="365">
        <f t="shared" si="11"/>
        <v>0</v>
      </c>
      <c r="AT9" s="367">
        <f t="shared" si="12"/>
        <v>0</v>
      </c>
    </row>
    <row r="10" spans="1:48" s="374" customFormat="1" ht="35.25" customHeight="1">
      <c r="A10" s="370" t="s">
        <v>65</v>
      </c>
      <c r="B10" s="1194" t="s">
        <v>479</v>
      </c>
      <c r="C10" s="1084" t="s">
        <v>239</v>
      </c>
      <c r="D10" s="2">
        <f>COUNTIF(ABSEN!B:B,"HELMIADI ( HAYATI )")</f>
        <v>1</v>
      </c>
      <c r="E10" s="2">
        <f>COUNTIF(ABSEN!C:C,"HELMIADI ( HAYATI )")</f>
        <v>1</v>
      </c>
      <c r="F10" s="1084" t="s">
        <v>238</v>
      </c>
      <c r="G10" s="2">
        <f>COUNTIF(ABSEN!E:E,"HELMIADI ( HAYATI )")</f>
        <v>1</v>
      </c>
      <c r="H10" s="2">
        <f>COUNTIF(ABSEN!F:F,"HELMIADI ( HAYATI )")</f>
        <v>1</v>
      </c>
      <c r="I10" s="2">
        <f>COUNTIF(ABSEN!G:G,"HELMIADI ( HAYATI )")</f>
        <v>1</v>
      </c>
      <c r="J10" s="2">
        <f>COUNTIF(ABSEN!H:H,"HELMIADI ( HAYATI )")</f>
        <v>1</v>
      </c>
      <c r="K10" s="2">
        <f>COUNTIF(ABSEN!I:I,"HELMIADI ( HAYATI )")</f>
        <v>1</v>
      </c>
      <c r="L10" s="2">
        <f>COUNTIF(ABSEN!J:J,"HELMIADI ( HAYATI )")</f>
        <v>1</v>
      </c>
      <c r="M10" s="1084" t="s">
        <v>239</v>
      </c>
      <c r="N10" s="1084" t="s">
        <v>238</v>
      </c>
      <c r="O10" s="2">
        <f>COUNTIF(ABSEN!M:M,"HELMIADI ( HAYATI )")</f>
        <v>1</v>
      </c>
      <c r="P10" s="2">
        <f>COUNTIF(ABSEN!N:N,"HELMIADI ( HAYATI )")</f>
        <v>1</v>
      </c>
      <c r="Q10" s="2">
        <f>COUNTIF(ABSEN!O:O,"HELMIADI ( HAYATI )")</f>
        <v>1</v>
      </c>
      <c r="R10" s="2">
        <f>COUNTIF(ABSEN!P:P,"HELMIADI ( HAYATI )")</f>
        <v>1</v>
      </c>
      <c r="S10" s="2">
        <f>COUNTIF(ABSEN!Q:Q,"HELMIADI ( HAYATI )")</f>
        <v>1</v>
      </c>
      <c r="T10" s="1084" t="s">
        <v>238</v>
      </c>
      <c r="U10" s="2">
        <f>COUNTIF(ABSEN!S:S,"HELMIADI ( HAYATI )")</f>
        <v>1</v>
      </c>
      <c r="V10" s="2">
        <f>COUNTIF(ABSEN!T:T,"HELMIADI ( HAYATI )")</f>
        <v>1</v>
      </c>
      <c r="W10" s="2">
        <f>COUNTIF(ABSEN!U:U,"HELMIADI ( HAYATI )")</f>
        <v>1</v>
      </c>
      <c r="X10" s="2">
        <f>COUNTIF(ABSEN!V:V,"HELMIADI ( HAYATI )")</f>
        <v>1</v>
      </c>
      <c r="Y10" s="2">
        <f>COUNTIF(ABSEN!W:W,"HELMIADI ( HAYATI )")</f>
        <v>1</v>
      </c>
      <c r="Z10" s="2">
        <f>COUNTIF(ABSEN!X:X,"HELMIADI ( HAYATI )")</f>
        <v>1</v>
      </c>
      <c r="AA10" s="1084" t="s">
        <v>238</v>
      </c>
      <c r="AB10" s="2">
        <f>COUNTIF(ABSEN!Z:Z,"HELMIADI ( HAYATI )")</f>
        <v>1</v>
      </c>
      <c r="AC10" s="2">
        <f>COUNTIF(ABSEN!AA:AA,"HELMIADI ( HAYATI )")</f>
        <v>1</v>
      </c>
      <c r="AD10" s="2">
        <f>COUNTIF(ABSEN!AB:AB,"HELMIADI ( HAYATI )")</f>
        <v>1</v>
      </c>
      <c r="AE10" s="1084" t="s">
        <v>239</v>
      </c>
      <c r="AF10" s="2">
        <f>COUNTIF(ABSEN!AD:AD,"HELMIADI ( HAYATI )")</f>
        <v>1</v>
      </c>
      <c r="AG10" s="2">
        <f>COUNTIF(ABSEN!AE:AE,"HELMIADI ( HAYATI )")</f>
        <v>1</v>
      </c>
      <c r="AH10" s="368">
        <f t="shared" si="0"/>
        <v>24</v>
      </c>
      <c r="AI10" s="365">
        <f t="shared" si="1"/>
        <v>0</v>
      </c>
      <c r="AJ10" s="241">
        <f t="shared" si="2"/>
        <v>0</v>
      </c>
      <c r="AK10" s="241">
        <f t="shared" si="3"/>
        <v>0</v>
      </c>
      <c r="AL10" s="241">
        <f t="shared" si="4"/>
        <v>4</v>
      </c>
      <c r="AM10" s="241">
        <f t="shared" si="5"/>
        <v>3</v>
      </c>
      <c r="AN10" s="241">
        <f t="shared" si="6"/>
        <v>0</v>
      </c>
      <c r="AO10" s="366">
        <f t="shared" si="7"/>
        <v>0</v>
      </c>
      <c r="AP10" s="366">
        <f t="shared" si="8"/>
        <v>0</v>
      </c>
      <c r="AQ10" s="367">
        <f t="shared" si="9"/>
        <v>0</v>
      </c>
      <c r="AR10" s="368">
        <f t="shared" si="10"/>
        <v>31</v>
      </c>
      <c r="AS10" s="365">
        <f t="shared" si="11"/>
        <v>0</v>
      </c>
      <c r="AT10" s="367">
        <f t="shared" si="12"/>
        <v>0</v>
      </c>
    </row>
    <row r="11" spans="1:48" s="374" customFormat="1" ht="35.25" customHeight="1">
      <c r="A11" s="370" t="s">
        <v>66</v>
      </c>
      <c r="B11" s="1194" t="s">
        <v>628</v>
      </c>
      <c r="C11" s="1084" t="s">
        <v>239</v>
      </c>
      <c r="D11" s="2">
        <f>COUNTIF(ABSEN!B:B,"RHIZA KURNIA ( LISDA )")</f>
        <v>1</v>
      </c>
      <c r="E11" s="1207" t="s">
        <v>778</v>
      </c>
      <c r="F11" s="1084" t="s">
        <v>238</v>
      </c>
      <c r="G11" s="2">
        <f>COUNTIF(ABSEN!E:E,"RHIZA KURNIA ( LISDA )")</f>
        <v>1</v>
      </c>
      <c r="H11" s="2">
        <f>COUNTIF(ABSEN!F:F,"RHIZA KURNIA ( LISDA )")</f>
        <v>1</v>
      </c>
      <c r="I11" s="1207" t="s">
        <v>778</v>
      </c>
      <c r="J11" s="2">
        <f>COUNTIF(ABSEN!H:H,"RHIZA KURNIA ( LISDA )")</f>
        <v>1</v>
      </c>
      <c r="K11" s="2">
        <f>COUNTIF(ABSEN!I:I,"RHIZA KURNIA ( LISDA )")</f>
        <v>1</v>
      </c>
      <c r="L11" s="1207" t="s">
        <v>778</v>
      </c>
      <c r="M11" s="1084" t="s">
        <v>239</v>
      </c>
      <c r="N11" s="1084" t="s">
        <v>238</v>
      </c>
      <c r="O11" s="2">
        <f>COUNTIF(ABSEN!M:M,"RHIZA KURNIA ( LISDA )")</f>
        <v>1</v>
      </c>
      <c r="P11" s="1207" t="s">
        <v>778</v>
      </c>
      <c r="Q11" s="2">
        <f>COUNTIF(ABSEN!O:O,"RHIZA KURNIA ( LISDA )")</f>
        <v>1</v>
      </c>
      <c r="R11" s="2">
        <f>COUNTIF(ABSEN!P:P,"RHIZA KURNIA ( LISDA )")</f>
        <v>1</v>
      </c>
      <c r="S11" s="1207" t="s">
        <v>778</v>
      </c>
      <c r="T11" s="1084" t="s">
        <v>238</v>
      </c>
      <c r="U11" s="2">
        <f>COUNTIF(ABSEN!S:S,"RHIZA KURNIA ( LISDA )")</f>
        <v>1</v>
      </c>
      <c r="V11" s="1207" t="s">
        <v>778</v>
      </c>
      <c r="W11" s="1207" t="s">
        <v>778</v>
      </c>
      <c r="X11" s="2">
        <f>COUNTIF(ABSEN!V:V,"RHIZA KURNIA ( LISDA )")</f>
        <v>1</v>
      </c>
      <c r="Y11" s="2">
        <f>COUNTIF(ABSEN!W:W,"RHIZA KURNIA ( LISDA )")</f>
        <v>1</v>
      </c>
      <c r="Z11" s="1207" t="s">
        <v>778</v>
      </c>
      <c r="AA11" s="1084" t="s">
        <v>238</v>
      </c>
      <c r="AB11" s="2">
        <f>COUNTIF(ABSEN!Z:Z,"RHIZA KURNIA ( LISDA )")</f>
        <v>1</v>
      </c>
      <c r="AC11" s="2">
        <f>COUNTIF(ABSEN!AA:AA,"RHIZA KURNIA ( LISDA )")</f>
        <v>1</v>
      </c>
      <c r="AD11" s="1207" t="s">
        <v>778</v>
      </c>
      <c r="AE11" s="1084" t="s">
        <v>239</v>
      </c>
      <c r="AF11" s="1207" t="s">
        <v>778</v>
      </c>
      <c r="AG11" s="1207" t="s">
        <v>778</v>
      </c>
      <c r="AH11" s="368">
        <f t="shared" si="0"/>
        <v>13</v>
      </c>
      <c r="AI11" s="365">
        <f t="shared" si="1"/>
        <v>0</v>
      </c>
      <c r="AJ11" s="241">
        <f t="shared" si="2"/>
        <v>11</v>
      </c>
      <c r="AK11" s="241">
        <f t="shared" si="3"/>
        <v>0</v>
      </c>
      <c r="AL11" s="241">
        <f t="shared" si="4"/>
        <v>4</v>
      </c>
      <c r="AM11" s="241">
        <f t="shared" si="5"/>
        <v>3</v>
      </c>
      <c r="AN11" s="241">
        <f t="shared" si="6"/>
        <v>0</v>
      </c>
      <c r="AO11" s="366">
        <f t="shared" si="7"/>
        <v>0</v>
      </c>
      <c r="AP11" s="366">
        <f t="shared" si="8"/>
        <v>0</v>
      </c>
      <c r="AQ11" s="367">
        <f t="shared" si="9"/>
        <v>0</v>
      </c>
      <c r="AR11" s="368">
        <f t="shared" si="10"/>
        <v>31</v>
      </c>
      <c r="AS11" s="365">
        <f t="shared" si="11"/>
        <v>0</v>
      </c>
      <c r="AT11" s="367">
        <f t="shared" si="12"/>
        <v>0</v>
      </c>
    </row>
    <row r="12" spans="1:48" s="373" customFormat="1" ht="35.25" customHeight="1">
      <c r="A12" s="370" t="s">
        <v>67</v>
      </c>
      <c r="B12" s="372" t="s">
        <v>198</v>
      </c>
      <c r="C12" s="1084" t="s">
        <v>239</v>
      </c>
      <c r="D12" s="2">
        <f>COUNTIF(ABSEN!B:B,"HENDRI ( UNAYAH )")</f>
        <v>1</v>
      </c>
      <c r="E12" s="2">
        <f>COUNTIF(ABSEN!C:C,"HENDRI ( UNAYAH )")</f>
        <v>1</v>
      </c>
      <c r="F12" s="1084" t="s">
        <v>238</v>
      </c>
      <c r="G12" s="2">
        <f>COUNTIF(ABSEN!E:E,"HENDRI ( UNAYAH )")</f>
        <v>1</v>
      </c>
      <c r="H12" s="2">
        <f>COUNTIF(ABSEN!F:F,"HENDRI ( UNAYAH )")</f>
        <v>1</v>
      </c>
      <c r="I12" s="2">
        <f>COUNTIF(ABSEN!G:G,"HENDRI ( UNAYAH )")</f>
        <v>1</v>
      </c>
      <c r="J12" s="2">
        <f>COUNTIF(ABSEN!H:H,"HENDRI ( UNAYAH )")</f>
        <v>1</v>
      </c>
      <c r="K12" s="2">
        <f>COUNTIF(ABSEN!I:I,"HENDRI ( UNAYAH )")</f>
        <v>1</v>
      </c>
      <c r="L12" s="2">
        <f>COUNTIF(ABSEN!J:J,"HENDRI ( UNAYAH )")</f>
        <v>1</v>
      </c>
      <c r="M12" s="1084" t="s">
        <v>239</v>
      </c>
      <c r="N12" s="1084" t="s">
        <v>238</v>
      </c>
      <c r="O12" s="2">
        <f>COUNTIF(ABSEN!M:M,"HENDRI ( UNAYAH )")</f>
        <v>1</v>
      </c>
      <c r="P12" s="2">
        <f>COUNTIF(ABSEN!N:N,"HENDRI ( UNAYAH )")</f>
        <v>1</v>
      </c>
      <c r="Q12" s="2">
        <f>COUNTIF(ABSEN!O:O,"HENDRI ( UNAYAH )")</f>
        <v>1</v>
      </c>
      <c r="R12" s="2">
        <f>COUNTIF(ABSEN!P:P,"HENDRI ( UNAYAH )")</f>
        <v>1</v>
      </c>
      <c r="S12" s="2">
        <f>COUNTIF(ABSEN!Q:Q,"HENDRI ( UNAYAH )")</f>
        <v>1</v>
      </c>
      <c r="T12" s="1084" t="s">
        <v>238</v>
      </c>
      <c r="U12" s="2">
        <f>COUNTIF(ABSEN!S:S,"HENDRI ( UNAYAH )")</f>
        <v>1</v>
      </c>
      <c r="V12" s="2">
        <f>COUNTIF(ABSEN!T:T,"HENDRI ( UNAYAH )")</f>
        <v>1</v>
      </c>
      <c r="W12" s="2">
        <f>COUNTIF(ABSEN!U:U,"HENDRI ( UNAYAH )")</f>
        <v>1</v>
      </c>
      <c r="X12" s="2">
        <f>COUNTIF(ABSEN!V:V,"HENDRI ( UNAYAH )")</f>
        <v>1</v>
      </c>
      <c r="Y12" s="2">
        <f>COUNTIF(ABSEN!W:W,"HENDRI ( UNAYAH )")</f>
        <v>1</v>
      </c>
      <c r="Z12" s="2">
        <f>COUNTIF(ABSEN!X:X,"HENDRI ( UNAYAH )")</f>
        <v>1</v>
      </c>
      <c r="AA12" s="1084" t="s">
        <v>238</v>
      </c>
      <c r="AB12" s="2">
        <f>COUNTIF(ABSEN!Z:Z,"HENDRI ( UNAYAH )")</f>
        <v>1</v>
      </c>
      <c r="AC12" s="2">
        <f>COUNTIF(ABSEN!AA:AA,"HENDRI ( UNAYAH )")</f>
        <v>1</v>
      </c>
      <c r="AD12" s="2">
        <f>COUNTIF(ABSEN!AB:AB,"HENDRI ( UNAYAH )")</f>
        <v>1</v>
      </c>
      <c r="AE12" s="1084" t="s">
        <v>239</v>
      </c>
      <c r="AF12" s="2">
        <f>COUNTIF(ABSEN!AD:AD,"HENDRI ( UNAYAH )")</f>
        <v>1</v>
      </c>
      <c r="AG12" s="2">
        <f>COUNTIF(ABSEN!AE:AE,"HENDRI ( UNAYAH )")</f>
        <v>1</v>
      </c>
      <c r="AH12" s="368">
        <f t="shared" si="0"/>
        <v>24</v>
      </c>
      <c r="AI12" s="365">
        <f t="shared" si="1"/>
        <v>0</v>
      </c>
      <c r="AJ12" s="241">
        <f t="shared" si="2"/>
        <v>0</v>
      </c>
      <c r="AK12" s="241">
        <f t="shared" si="3"/>
        <v>0</v>
      </c>
      <c r="AL12" s="241">
        <f t="shared" si="4"/>
        <v>4</v>
      </c>
      <c r="AM12" s="241">
        <f t="shared" si="5"/>
        <v>3</v>
      </c>
      <c r="AN12" s="241">
        <f t="shared" si="6"/>
        <v>0</v>
      </c>
      <c r="AO12" s="366">
        <f t="shared" si="7"/>
        <v>0</v>
      </c>
      <c r="AP12" s="366">
        <f t="shared" si="8"/>
        <v>0</v>
      </c>
      <c r="AQ12" s="367">
        <f t="shared" si="9"/>
        <v>0</v>
      </c>
      <c r="AR12" s="368">
        <f t="shared" si="10"/>
        <v>31</v>
      </c>
      <c r="AS12" s="365">
        <f t="shared" si="11"/>
        <v>0</v>
      </c>
      <c r="AT12" s="367">
        <f t="shared" si="12"/>
        <v>0</v>
      </c>
    </row>
    <row r="13" spans="1:48" s="382" customFormat="1" ht="35.25" customHeight="1">
      <c r="A13" s="370" t="s">
        <v>68</v>
      </c>
      <c r="B13" s="381" t="s">
        <v>439</v>
      </c>
      <c r="C13" s="1084" t="s">
        <v>239</v>
      </c>
      <c r="D13" s="2">
        <f>COUNTIF(ABSEN!B:B,"SOLIKAN ( TUPON )")</f>
        <v>1</v>
      </c>
      <c r="E13" s="2">
        <f>COUNTIF(ABSEN!C:C,"SOLIKAN ( TUPON )")</f>
        <v>1</v>
      </c>
      <c r="F13" s="1084" t="s">
        <v>238</v>
      </c>
      <c r="G13" s="1207" t="s">
        <v>777</v>
      </c>
      <c r="H13" s="2">
        <f>COUNTIF(ABSEN!F:F,"SOLIKAN ( TUPON )")</f>
        <v>1</v>
      </c>
      <c r="I13" s="2">
        <f>COUNTIF(ABSEN!G:G,"SOLIKAN ( TUPON )")</f>
        <v>1</v>
      </c>
      <c r="J13" s="2">
        <f>COUNTIF(ABSEN!H:H,"SOLIKAN ( TUPON )")</f>
        <v>1</v>
      </c>
      <c r="K13" s="1207" t="s">
        <v>778</v>
      </c>
      <c r="L13" s="2">
        <f>COUNTIF(ABSEN!J:J,"SOLIKAN ( TUPON )")</f>
        <v>1</v>
      </c>
      <c r="M13" s="1084" t="s">
        <v>239</v>
      </c>
      <c r="N13" s="1084" t="s">
        <v>238</v>
      </c>
      <c r="O13" s="2">
        <f>COUNTIF(ABSEN!M:M,"SOLIKAN ( TUPON )")</f>
        <v>1</v>
      </c>
      <c r="P13" s="2">
        <f>COUNTIF(ABSEN!N:N,"SOLIKAN ( TUPON )")</f>
        <v>1</v>
      </c>
      <c r="Q13" s="2">
        <f>COUNTIF(ABSEN!O:O,"SOLIKAN ( TUPON )")</f>
        <v>1</v>
      </c>
      <c r="R13" s="2">
        <f>COUNTIF(ABSEN!P:P,"SOLIKAN ( TUPON )")</f>
        <v>1</v>
      </c>
      <c r="S13" s="2">
        <f>COUNTIF(ABSEN!Q:Q,"SOLIKAN ( TUPON )")</f>
        <v>1</v>
      </c>
      <c r="T13" s="1084" t="s">
        <v>238</v>
      </c>
      <c r="U13" s="2">
        <f>COUNTIF(ABSEN!S:S,"SOLIKAN ( TUPON )")</f>
        <v>1</v>
      </c>
      <c r="V13" s="2">
        <f>COUNTIF(ABSEN!T:T,"SOLIKAN ( TUPON )")</f>
        <v>1</v>
      </c>
      <c r="W13" s="2">
        <f>COUNTIF(ABSEN!U:U,"SOLIKAN ( TUPON )")</f>
        <v>1</v>
      </c>
      <c r="X13" s="2">
        <f>COUNTIF(ABSEN!V:V,"SOLIKAN ( TUPON )")</f>
        <v>1</v>
      </c>
      <c r="Y13" s="2">
        <f>COUNTIF(ABSEN!W:W,"SOLIKAN ( TUPON )")</f>
        <v>1</v>
      </c>
      <c r="Z13" s="2">
        <f>COUNTIF(ABSEN!X:X,"SOLIKAN ( TUPON )")</f>
        <v>1</v>
      </c>
      <c r="AA13" s="1084" t="s">
        <v>238</v>
      </c>
      <c r="AB13" s="1207" t="s">
        <v>777</v>
      </c>
      <c r="AC13" s="1207" t="s">
        <v>778</v>
      </c>
      <c r="AD13" s="2">
        <f>COUNTIF(ABSEN!AB:AB,"SOLIKAN ( TUPON )")</f>
        <v>1</v>
      </c>
      <c r="AE13" s="1084" t="s">
        <v>239</v>
      </c>
      <c r="AF13" s="2">
        <f>COUNTIF(ABSEN!AD:AD,"SOLIKAN ( TUPON )")</f>
        <v>1</v>
      </c>
      <c r="AG13" s="2">
        <f>COUNTIF(ABSEN!AE:AE,"SOLIKAN ( TUPON )")</f>
        <v>1</v>
      </c>
      <c r="AH13" s="368">
        <f t="shared" si="0"/>
        <v>20</v>
      </c>
      <c r="AI13" s="365">
        <f t="shared" si="1"/>
        <v>2</v>
      </c>
      <c r="AJ13" s="241">
        <f t="shared" si="2"/>
        <v>2</v>
      </c>
      <c r="AK13" s="241">
        <f t="shared" si="3"/>
        <v>0</v>
      </c>
      <c r="AL13" s="241">
        <f t="shared" si="4"/>
        <v>4</v>
      </c>
      <c r="AM13" s="241">
        <f t="shared" si="5"/>
        <v>3</v>
      </c>
      <c r="AN13" s="241">
        <f t="shared" si="6"/>
        <v>0</v>
      </c>
      <c r="AO13" s="366">
        <f t="shared" si="7"/>
        <v>0</v>
      </c>
      <c r="AP13" s="366">
        <f t="shared" si="8"/>
        <v>0</v>
      </c>
      <c r="AQ13" s="367">
        <f t="shared" si="9"/>
        <v>0</v>
      </c>
      <c r="AR13" s="368">
        <f t="shared" si="10"/>
        <v>31</v>
      </c>
      <c r="AS13" s="365">
        <f t="shared" si="11"/>
        <v>0</v>
      </c>
      <c r="AT13" s="367">
        <f t="shared" si="12"/>
        <v>0</v>
      </c>
      <c r="AV13" s="383"/>
    </row>
    <row r="14" spans="1:48" s="373" customFormat="1" ht="35.25" customHeight="1">
      <c r="A14" s="370" t="s">
        <v>69</v>
      </c>
      <c r="B14" s="372" t="s">
        <v>185</v>
      </c>
      <c r="C14" s="1084" t="s">
        <v>239</v>
      </c>
      <c r="D14" s="2">
        <f>COUNTIF(ABSEN!B:B,"ERLANDI EDI SUYANTO ( ASMA )")</f>
        <v>1</v>
      </c>
      <c r="E14" s="1207" t="s">
        <v>777</v>
      </c>
      <c r="F14" s="1084" t="s">
        <v>238</v>
      </c>
      <c r="G14" s="2">
        <f>COUNTIF(ABSEN!E:E,"ERLANDI EDI SUYANTO ( ASMA )")</f>
        <v>1</v>
      </c>
      <c r="H14" s="2">
        <f>COUNTIF(ABSEN!F:F,"ERLANDI EDI SUYANTO ( ASMA )")</f>
        <v>1</v>
      </c>
      <c r="I14" s="2">
        <f>COUNTIF(ABSEN!G:G,"ERLANDI EDI SUYANTO ( ASMA )")</f>
        <v>1</v>
      </c>
      <c r="J14" s="2">
        <f>COUNTIF(ABSEN!H:H,"ERLANDI EDI SUYANTO ( ASMA )")</f>
        <v>1</v>
      </c>
      <c r="K14" s="2">
        <f>COUNTIF(ABSEN!I:I,"ERLANDI EDI SUYANTO ( ASMA )")</f>
        <v>1</v>
      </c>
      <c r="L14" s="2">
        <f>COUNTIF(ABSEN!J:J,"ERLANDI EDI SUYANTO ( ASMA )")</f>
        <v>1</v>
      </c>
      <c r="M14" s="1084" t="s">
        <v>239</v>
      </c>
      <c r="N14" s="1084" t="s">
        <v>238</v>
      </c>
      <c r="O14" s="2">
        <f>COUNTIF(ABSEN!M:M,"ERLANDI EDI SUYANTO ( ASMA )")</f>
        <v>1</v>
      </c>
      <c r="P14" s="2">
        <f>COUNTIF(ABSEN!N:N,"ERLANDI EDI SUYANTO ( ASMA )")</f>
        <v>1</v>
      </c>
      <c r="Q14" s="2">
        <f>COUNTIF(ABSEN!O:O,"ERLANDI EDI SUYANTO ( ASMA )")</f>
        <v>1</v>
      </c>
      <c r="R14" s="2">
        <f>COUNTIF(ABSEN!P:P,"ERLANDI EDI SUYANTO ( ASMA )")</f>
        <v>1</v>
      </c>
      <c r="S14" s="1207" t="s">
        <v>777</v>
      </c>
      <c r="T14" s="1084" t="s">
        <v>238</v>
      </c>
      <c r="U14" s="2">
        <f>COUNTIF(ABSEN!S:S,"ERLANDI EDI SUYANTO ( ASMA )")</f>
        <v>1</v>
      </c>
      <c r="V14" s="2">
        <f>COUNTIF(ABSEN!T:T,"ERLANDI EDI SUYANTO ( ASMA )")</f>
        <v>1</v>
      </c>
      <c r="W14" s="2">
        <f>COUNTIF(ABSEN!U:U,"ERLANDI EDI SUYANTO ( ASMA )")</f>
        <v>1</v>
      </c>
      <c r="X14" s="2">
        <f>COUNTIF(ABSEN!V:V,"ERLANDI EDI SUYANTO ( ASMA )")</f>
        <v>1</v>
      </c>
      <c r="Y14" s="2">
        <f>COUNTIF(ABSEN!W:W,"ERLANDI EDI SUYANTO ( ASMA )")</f>
        <v>1</v>
      </c>
      <c r="Z14" s="2">
        <f>COUNTIF(ABSEN!X:X,"ERLANDI EDI SUYANTO ( ASMA )")</f>
        <v>1</v>
      </c>
      <c r="AA14" s="1084" t="s">
        <v>238</v>
      </c>
      <c r="AB14" s="2">
        <f>COUNTIF(ABSEN!Z:Z,"ERLANDI EDI SUYANTO ( ASMA )")</f>
        <v>1</v>
      </c>
      <c r="AC14" s="2">
        <f>COUNTIF(ABSEN!AA:AA,"ERLANDI EDI SUYANTO ( ASMA )")</f>
        <v>1</v>
      </c>
      <c r="AD14" s="1207" t="s">
        <v>778</v>
      </c>
      <c r="AE14" s="1084" t="s">
        <v>239</v>
      </c>
      <c r="AF14" s="2">
        <f>COUNTIF(ABSEN!AD:AD,"ERLANDI EDI SUYANTO ( ASMA )")</f>
        <v>1</v>
      </c>
      <c r="AG14" s="2">
        <f>COUNTIF(ABSEN!AE:AE,"ERLANDI EDI SUYANTO ( ASMA )")</f>
        <v>1</v>
      </c>
      <c r="AH14" s="368">
        <f t="shared" si="0"/>
        <v>21</v>
      </c>
      <c r="AI14" s="365">
        <f t="shared" si="1"/>
        <v>2</v>
      </c>
      <c r="AJ14" s="241">
        <f t="shared" si="2"/>
        <v>1</v>
      </c>
      <c r="AK14" s="241">
        <f t="shared" si="3"/>
        <v>0</v>
      </c>
      <c r="AL14" s="241">
        <f t="shared" si="4"/>
        <v>4</v>
      </c>
      <c r="AM14" s="241">
        <f t="shared" si="5"/>
        <v>3</v>
      </c>
      <c r="AN14" s="241">
        <f t="shared" si="6"/>
        <v>0</v>
      </c>
      <c r="AO14" s="366">
        <f t="shared" si="7"/>
        <v>0</v>
      </c>
      <c r="AP14" s="366">
        <f t="shared" si="8"/>
        <v>0</v>
      </c>
      <c r="AQ14" s="367">
        <f t="shared" si="9"/>
        <v>0</v>
      </c>
      <c r="AR14" s="368">
        <f t="shared" si="10"/>
        <v>31</v>
      </c>
      <c r="AS14" s="365">
        <f t="shared" si="11"/>
        <v>0</v>
      </c>
      <c r="AT14" s="367">
        <f t="shared" si="12"/>
        <v>0</v>
      </c>
    </row>
    <row r="15" spans="1:48" s="373" customFormat="1" ht="31.5" customHeight="1">
      <c r="A15" s="370" t="s">
        <v>70</v>
      </c>
      <c r="B15" s="372" t="s">
        <v>222</v>
      </c>
      <c r="C15" s="1084" t="s">
        <v>239</v>
      </c>
      <c r="D15" s="2">
        <f>COUNTIF(ABSEN!B:B,"HENNI FRIANTI ( BASNATI )")</f>
        <v>1</v>
      </c>
      <c r="E15" s="2">
        <f>COUNTIF(ABSEN!C:C,"HENNI FRIANTI ( BASNATI )")</f>
        <v>1</v>
      </c>
      <c r="F15" s="1084" t="s">
        <v>238</v>
      </c>
      <c r="G15" s="2">
        <f>COUNTIF(ABSEN!E:E,"HENNI FRIANTI ( BASNATI )")</f>
        <v>1</v>
      </c>
      <c r="H15" s="2">
        <f>COUNTIF(ABSEN!F:F,"HENNI FRIANTI ( BASNATI )")</f>
        <v>1</v>
      </c>
      <c r="I15" s="2">
        <f>COUNTIF(ABSEN!G:G,"HENNI FRIANTI ( BASNATI )")</f>
        <v>1</v>
      </c>
      <c r="J15" s="2">
        <f>COUNTIF(ABSEN!H:H,"HENNI FRIANTI ( BASNATI )")</f>
        <v>1</v>
      </c>
      <c r="K15" s="1207" t="s">
        <v>778</v>
      </c>
      <c r="L15" s="1207" t="s">
        <v>778</v>
      </c>
      <c r="M15" s="1084" t="s">
        <v>239</v>
      </c>
      <c r="N15" s="1084" t="s">
        <v>238</v>
      </c>
      <c r="O15" s="2">
        <f>COUNTIF(ABSEN!M:M,"HENNI FRIANTI ( BASNATI )")</f>
        <v>1</v>
      </c>
      <c r="P15" s="2">
        <f>COUNTIF(ABSEN!N:N,"HENNI FRIANTI ( BASNATI )")</f>
        <v>1</v>
      </c>
      <c r="Q15" s="2">
        <f>COUNTIF(ABSEN!O:O,"HENNI FRIANTI ( BASNATI )")</f>
        <v>1</v>
      </c>
      <c r="R15" s="2">
        <f>COUNTIF(ABSEN!P:P,"HENNI FRIANTI ( BASNATI )")</f>
        <v>1</v>
      </c>
      <c r="S15" s="2">
        <f>COUNTIF(ABSEN!Q:Q,"HENNI FRIANTI ( BASNATI )")</f>
        <v>1</v>
      </c>
      <c r="T15" s="1084" t="s">
        <v>238</v>
      </c>
      <c r="U15" s="2">
        <f>COUNTIF(ABSEN!S:S,"HENNI FRIANTI ( BASNATI )")</f>
        <v>1</v>
      </c>
      <c r="V15" s="2">
        <f>COUNTIF(ABSEN!T:T,"HENNI FRIANTI ( BASNATI )")</f>
        <v>1</v>
      </c>
      <c r="W15" s="2">
        <f>COUNTIF(ABSEN!U:U,"HENNI FRIANTI ( BASNATI )")</f>
        <v>1</v>
      </c>
      <c r="X15" s="1207" t="s">
        <v>778</v>
      </c>
      <c r="Y15" s="1207" t="s">
        <v>779</v>
      </c>
      <c r="Z15" s="1207" t="s">
        <v>779</v>
      </c>
      <c r="AA15" s="1084" t="s">
        <v>238</v>
      </c>
      <c r="AB15" s="2">
        <f>COUNTIF(ABSEN!Z:Z,"HENNI FRIANTI ( BASNATI )")</f>
        <v>1</v>
      </c>
      <c r="AC15" s="2">
        <f>COUNTIF(ABSEN!AA:AA,"HENNI FRIANTI ( BASNATI )")</f>
        <v>1</v>
      </c>
      <c r="AD15" s="2">
        <f>COUNTIF(ABSEN!AB:AB,"HENNI FRIANTI ( BASNATI )")</f>
        <v>1</v>
      </c>
      <c r="AE15" s="1084" t="s">
        <v>239</v>
      </c>
      <c r="AF15" s="2">
        <f>COUNTIF(ABSEN!AD:AD,"HENNI FRIANTI ( BASNATI )")</f>
        <v>1</v>
      </c>
      <c r="AG15" s="2">
        <f>COUNTIF(ABSEN!AE:AE,"HENNI FRIANTI ( BASNATI )")</f>
        <v>1</v>
      </c>
      <c r="AH15" s="368">
        <f t="shared" si="0"/>
        <v>19</v>
      </c>
      <c r="AI15" s="365">
        <f t="shared" si="1"/>
        <v>0</v>
      </c>
      <c r="AJ15" s="241">
        <f t="shared" si="2"/>
        <v>3</v>
      </c>
      <c r="AK15" s="241">
        <f t="shared" si="3"/>
        <v>2</v>
      </c>
      <c r="AL15" s="241">
        <f t="shared" si="4"/>
        <v>4</v>
      </c>
      <c r="AM15" s="241">
        <f t="shared" si="5"/>
        <v>3</v>
      </c>
      <c r="AN15" s="241">
        <f t="shared" si="6"/>
        <v>0</v>
      </c>
      <c r="AO15" s="366">
        <f t="shared" si="7"/>
        <v>0</v>
      </c>
      <c r="AP15" s="366">
        <f t="shared" si="8"/>
        <v>0</v>
      </c>
      <c r="AQ15" s="367">
        <f t="shared" si="9"/>
        <v>0</v>
      </c>
      <c r="AR15" s="368">
        <f t="shared" si="10"/>
        <v>31</v>
      </c>
      <c r="AS15" s="365">
        <f t="shared" si="11"/>
        <v>0</v>
      </c>
      <c r="AT15" s="367">
        <f t="shared" si="12"/>
        <v>0</v>
      </c>
      <c r="AV15" s="375"/>
    </row>
    <row r="16" spans="1:48" s="373" customFormat="1" ht="35.25" customHeight="1">
      <c r="A16" s="370" t="s">
        <v>71</v>
      </c>
      <c r="B16" s="376" t="s">
        <v>102</v>
      </c>
      <c r="C16" s="1084" t="s">
        <v>239</v>
      </c>
      <c r="D16" s="2">
        <f>COUNTIF(ABSEN!B:B,"NELLY MARLINA ( HAZENA )")</f>
        <v>1</v>
      </c>
      <c r="E16" s="2">
        <f>COUNTIF(ABSEN!C:C,"NELLY MARLINA ( HAZENA )")</f>
        <v>1</v>
      </c>
      <c r="F16" s="1084" t="s">
        <v>238</v>
      </c>
      <c r="G16" s="2">
        <f>COUNTIF(ABSEN!E:E,"NELLY MARLINA ( HAZENA )")</f>
        <v>1</v>
      </c>
      <c r="H16" s="2">
        <f>COUNTIF(ABSEN!F:F,"NELLY MARLINA ( HAZENA )")</f>
        <v>1</v>
      </c>
      <c r="I16" s="2">
        <f>COUNTIF(ABSEN!G:G,"NELLY MARLINA ( HAZENA )")</f>
        <v>1</v>
      </c>
      <c r="J16" s="2">
        <f>COUNTIF(ABSEN!H:H,"NELLY MARLINA ( HAZENA )")</f>
        <v>1</v>
      </c>
      <c r="K16" s="2">
        <f>COUNTIF(ABSEN!I:I,"NELLY MARLINA ( HAZENA )")</f>
        <v>1</v>
      </c>
      <c r="L16" s="2">
        <f>COUNTIF(ABSEN!J:J,"NELLY MARLINA ( HAZENA )")</f>
        <v>1</v>
      </c>
      <c r="M16" s="1084" t="s">
        <v>239</v>
      </c>
      <c r="N16" s="1084" t="s">
        <v>238</v>
      </c>
      <c r="O16" s="2">
        <f>COUNTIF(ABSEN!M:M,"NELLY MARLINA ( HAZENA )")</f>
        <v>1</v>
      </c>
      <c r="P16" s="2">
        <f>COUNTIF(ABSEN!N:N,"NELLY MARLINA ( HAZENA )")</f>
        <v>1</v>
      </c>
      <c r="Q16" s="2">
        <f>COUNTIF(ABSEN!O:O,"NELLY MARLINA ( HAZENA )")</f>
        <v>1</v>
      </c>
      <c r="R16" s="2">
        <f>COUNTIF(ABSEN!P:P,"NELLY MARLINA ( HAZENA )")</f>
        <v>1</v>
      </c>
      <c r="S16" s="2">
        <f>COUNTIF(ABSEN!Q:Q,"NELLY MARLINA ( HAZENA )")</f>
        <v>1</v>
      </c>
      <c r="T16" s="1084" t="s">
        <v>238</v>
      </c>
      <c r="U16" s="2">
        <f>COUNTIF(ABSEN!S:S,"NELLY MARLINA ( HAZENA )")</f>
        <v>1</v>
      </c>
      <c r="V16" s="2">
        <f>COUNTIF(ABSEN!T:T,"NELLY MARLINA ( HAZENA )")</f>
        <v>1</v>
      </c>
      <c r="W16" s="2">
        <f>COUNTIF(ABSEN!U:U,"NELLY MARLINA ( HAZENA )")</f>
        <v>1</v>
      </c>
      <c r="X16" s="2">
        <f>COUNTIF(ABSEN!V:V,"NELLY MARLINA ( HAZENA )")</f>
        <v>1</v>
      </c>
      <c r="Y16" s="2">
        <f>COUNTIF(ABSEN!W:W,"NELLY MARLINA ( HAZENA )")</f>
        <v>1</v>
      </c>
      <c r="Z16" s="2">
        <f>COUNTIF(ABSEN!X:X,"NELLY MARLINA ( HAZENA )")</f>
        <v>1</v>
      </c>
      <c r="AA16" s="1084" t="s">
        <v>238</v>
      </c>
      <c r="AB16" s="1207" t="s">
        <v>779</v>
      </c>
      <c r="AC16" s="1207" t="s">
        <v>779</v>
      </c>
      <c r="AD16" s="1207" t="s">
        <v>778</v>
      </c>
      <c r="AE16" s="1084" t="s">
        <v>239</v>
      </c>
      <c r="AF16" s="2">
        <f>COUNTIF(ABSEN!AD:AD,"NELLY MARLINA ( HAZENA )")</f>
        <v>1</v>
      </c>
      <c r="AG16" s="2">
        <f>COUNTIF(ABSEN!AE:AE,"NELLY MARLINA ( HAZENA )")</f>
        <v>1</v>
      </c>
      <c r="AH16" s="368">
        <f t="shared" si="0"/>
        <v>21</v>
      </c>
      <c r="AI16" s="365">
        <f t="shared" si="1"/>
        <v>0</v>
      </c>
      <c r="AJ16" s="241">
        <f t="shared" si="2"/>
        <v>1</v>
      </c>
      <c r="AK16" s="241">
        <f t="shared" si="3"/>
        <v>2</v>
      </c>
      <c r="AL16" s="241">
        <f t="shared" si="4"/>
        <v>4</v>
      </c>
      <c r="AM16" s="241">
        <f t="shared" si="5"/>
        <v>3</v>
      </c>
      <c r="AN16" s="241">
        <f t="shared" si="6"/>
        <v>0</v>
      </c>
      <c r="AO16" s="366">
        <f t="shared" si="7"/>
        <v>0</v>
      </c>
      <c r="AP16" s="366">
        <f t="shared" si="8"/>
        <v>0</v>
      </c>
      <c r="AQ16" s="367">
        <f t="shared" si="9"/>
        <v>0</v>
      </c>
      <c r="AR16" s="368">
        <f t="shared" si="10"/>
        <v>31</v>
      </c>
      <c r="AS16" s="365">
        <f t="shared" si="11"/>
        <v>0</v>
      </c>
      <c r="AT16" s="367">
        <f t="shared" si="12"/>
        <v>0</v>
      </c>
    </row>
    <row r="17" spans="1:48" s="373" customFormat="1" ht="35.25" customHeight="1">
      <c r="A17" s="370" t="s">
        <v>72</v>
      </c>
      <c r="B17" s="372" t="s">
        <v>103</v>
      </c>
      <c r="C17" s="1084" t="s">
        <v>239</v>
      </c>
      <c r="D17" s="2">
        <f>COUNTIF(ABSEN!B:B,"IISNAWATI ( CIAH )")</f>
        <v>1</v>
      </c>
      <c r="E17" s="2">
        <f>COUNTIF(ABSEN!C:C,"IISNAWATI ( CIAH )")</f>
        <v>1</v>
      </c>
      <c r="F17" s="1084" t="s">
        <v>238</v>
      </c>
      <c r="G17" s="2">
        <f>COUNTIF(ABSEN!E:E,"IISNAWATI ( CIAH )")</f>
        <v>1</v>
      </c>
      <c r="H17" s="2">
        <f>COUNTIF(ABSEN!F:F,"IISNAWATI ( CIAH )")</f>
        <v>1</v>
      </c>
      <c r="I17" s="1207" t="s">
        <v>777</v>
      </c>
      <c r="J17" s="2">
        <f>COUNTIF(ABSEN!H:H,"IISNAWATI ( CIAH )")</f>
        <v>1</v>
      </c>
      <c r="K17" s="2">
        <f>COUNTIF(ABSEN!I:I,"IISNAWATI ( CIAH )")</f>
        <v>1</v>
      </c>
      <c r="L17" s="2">
        <f>COUNTIF(ABSEN!J:J,"IISNAWATI ( CIAH )")</f>
        <v>1</v>
      </c>
      <c r="M17" s="1084" t="s">
        <v>239</v>
      </c>
      <c r="N17" s="1084" t="s">
        <v>238</v>
      </c>
      <c r="O17" s="1207" t="s">
        <v>778</v>
      </c>
      <c r="P17" s="2">
        <f>COUNTIF(ABSEN!N:N,"IISNAWATI ( CIAH )")</f>
        <v>1</v>
      </c>
      <c r="Q17" s="2">
        <f>COUNTIF(ABSEN!O:O,"IISNAWATI ( CIAH )")</f>
        <v>1</v>
      </c>
      <c r="R17" s="2">
        <f>COUNTIF(ABSEN!P:P,"IISNAWATI ( CIAH )")</f>
        <v>1</v>
      </c>
      <c r="S17" s="2">
        <f>COUNTIF(ABSEN!Q:Q,"IISNAWATI ( CIAH )")</f>
        <v>1</v>
      </c>
      <c r="T17" s="1084" t="s">
        <v>238</v>
      </c>
      <c r="U17" s="2">
        <f>COUNTIF(ABSEN!S:S,"IISNAWATI ( CIAH )")</f>
        <v>1</v>
      </c>
      <c r="V17" s="2">
        <f>COUNTIF(ABSEN!T:T,"IISNAWATI ( CIAH )")</f>
        <v>1</v>
      </c>
      <c r="W17" s="2">
        <f>COUNTIF(ABSEN!U:U,"IISNAWATI ( CIAH )")</f>
        <v>1</v>
      </c>
      <c r="X17" s="2">
        <f>COUNTIF(ABSEN!V:V,"IISNAWATI ( CIAH )")</f>
        <v>1</v>
      </c>
      <c r="Y17" s="1207" t="s">
        <v>779</v>
      </c>
      <c r="Z17" s="1207" t="s">
        <v>779</v>
      </c>
      <c r="AA17" s="1084" t="s">
        <v>238</v>
      </c>
      <c r="AB17" s="2">
        <f>COUNTIF(ABSEN!Z:Z,"IISNAWATI ( CIAH )")</f>
        <v>1</v>
      </c>
      <c r="AC17" s="2">
        <f>COUNTIF(ABSEN!AA:AA,"IISNAWATI ( CIAH )")</f>
        <v>1</v>
      </c>
      <c r="AD17" s="2">
        <f>COUNTIF(ABSEN!AB:AB,"IISNAWATI ( CIAH )")</f>
        <v>1</v>
      </c>
      <c r="AE17" s="1084" t="s">
        <v>239</v>
      </c>
      <c r="AF17" s="2">
        <f>COUNTIF(ABSEN!AD:AD,"IISNAWATI ( CIAH )")</f>
        <v>1</v>
      </c>
      <c r="AG17" s="2" t="s">
        <v>778</v>
      </c>
      <c r="AH17" s="368">
        <f t="shared" si="0"/>
        <v>19</v>
      </c>
      <c r="AI17" s="365">
        <f t="shared" si="1"/>
        <v>1</v>
      </c>
      <c r="AJ17" s="241">
        <f t="shared" si="2"/>
        <v>2</v>
      </c>
      <c r="AK17" s="241">
        <f t="shared" si="3"/>
        <v>2</v>
      </c>
      <c r="AL17" s="241">
        <f t="shared" si="4"/>
        <v>4</v>
      </c>
      <c r="AM17" s="241">
        <f t="shared" si="5"/>
        <v>3</v>
      </c>
      <c r="AN17" s="241">
        <f t="shared" si="6"/>
        <v>0</v>
      </c>
      <c r="AO17" s="366">
        <f t="shared" si="7"/>
        <v>0</v>
      </c>
      <c r="AP17" s="366">
        <f t="shared" si="8"/>
        <v>0</v>
      </c>
      <c r="AQ17" s="367">
        <f t="shared" si="9"/>
        <v>0</v>
      </c>
      <c r="AR17" s="368">
        <f t="shared" si="10"/>
        <v>31</v>
      </c>
      <c r="AS17" s="365">
        <f t="shared" si="11"/>
        <v>0</v>
      </c>
      <c r="AT17" s="367">
        <f t="shared" si="12"/>
        <v>0</v>
      </c>
      <c r="AV17" s="375"/>
    </row>
    <row r="18" spans="1:48" s="373" customFormat="1" ht="33.75" customHeight="1">
      <c r="A18" s="370" t="s">
        <v>73</v>
      </c>
      <c r="B18" s="377" t="s">
        <v>104</v>
      </c>
      <c r="C18" s="1084" t="s">
        <v>239</v>
      </c>
      <c r="D18" s="2">
        <f>COUNTIF(ABSEN!B:B,"DEWI KOMALASARI ( MORHANI )")</f>
        <v>1</v>
      </c>
      <c r="E18" s="2">
        <f>COUNTIF(ABSEN!C:C,"DEWI KOMALASARI ( MORHANI )")</f>
        <v>1</v>
      </c>
      <c r="F18" s="1084" t="s">
        <v>238</v>
      </c>
      <c r="G18" s="2">
        <f>COUNTIF(ABSEN!E:E,"DEWI KOMALASARI ( MORHANI )")</f>
        <v>1</v>
      </c>
      <c r="H18" s="1207" t="s">
        <v>779</v>
      </c>
      <c r="I18" s="1207" t="s">
        <v>779</v>
      </c>
      <c r="J18" s="2">
        <f>COUNTIF(ABSEN!H:H,"DEWI KOMALASARI ( MORHANI )")</f>
        <v>1</v>
      </c>
      <c r="K18" s="2">
        <f>COUNTIF(ABSEN!I:I,"DEWI KOMALASARI ( MORHANI )")</f>
        <v>1</v>
      </c>
      <c r="L18" s="2">
        <f>COUNTIF(ABSEN!J:J,"DEWI KOMALASARI ( MORHANI )")</f>
        <v>1</v>
      </c>
      <c r="M18" s="1084" t="s">
        <v>239</v>
      </c>
      <c r="N18" s="1084" t="s">
        <v>238</v>
      </c>
      <c r="O18" s="2">
        <f>COUNTIF(ABSEN!M:M,"DEWI KOMALASARI ( MORHANI )")</f>
        <v>1</v>
      </c>
      <c r="P18" s="2">
        <f>COUNTIF(ABSEN!N:N,"DEWI KOMALASARI ( MORHANI )")</f>
        <v>1</v>
      </c>
      <c r="Q18" s="2">
        <f>COUNTIF(ABSEN!O:O,"DEWI KOMALASARI ( MORHANI )")</f>
        <v>1</v>
      </c>
      <c r="R18" s="2">
        <f>COUNTIF(ABSEN!P:P,"DEWI KOMALASARI ( MORHANI )")</f>
        <v>1</v>
      </c>
      <c r="S18" s="2">
        <f>COUNTIF(ABSEN!Q:Q,"DEWI KOMALASARI ( MORHANI )")</f>
        <v>1</v>
      </c>
      <c r="T18" s="1084" t="s">
        <v>238</v>
      </c>
      <c r="U18" s="2">
        <f>COUNTIF(ABSEN!S:S,"DEWI KOMALASARI ( MORHANI )")</f>
        <v>1</v>
      </c>
      <c r="V18" s="2">
        <f>COUNTIF(ABSEN!T:T,"DEWI KOMALASARI ( MORHANI )")</f>
        <v>1</v>
      </c>
      <c r="W18" s="2">
        <f>COUNTIF(ABSEN!U:U,"DEWI KOMALASARI ( MORHANI )")</f>
        <v>1</v>
      </c>
      <c r="X18" s="2">
        <f>COUNTIF(ABSEN!V:V,"DEWI KOMALASARI ( MORHANI )")</f>
        <v>1</v>
      </c>
      <c r="Y18" s="2">
        <f>COUNTIF(ABSEN!W:W,"DEWI KOMALASARI ( MORHANI )")</f>
        <v>1</v>
      </c>
      <c r="Z18" s="2">
        <f>COUNTIF(ABSEN!X:X,"DEWI KOMALASARI ( MORHANI )")</f>
        <v>1</v>
      </c>
      <c r="AA18" s="1084" t="s">
        <v>238</v>
      </c>
      <c r="AB18" s="1207" t="s">
        <v>778</v>
      </c>
      <c r="AC18" s="2">
        <f>COUNTIF(ABSEN!AA:AA,"DEWI KOMALASARI ( MORHANI )")</f>
        <v>1</v>
      </c>
      <c r="AD18" s="2">
        <f>COUNTIF(ABSEN!AB:AB,"DEWI KOMALASARI ( MORHANI )")</f>
        <v>1</v>
      </c>
      <c r="AE18" s="1084" t="s">
        <v>239</v>
      </c>
      <c r="AF18" s="2">
        <f>COUNTIF(ABSEN!AD:AD,"DEWI KOMALASARI ( MORHANI )")</f>
        <v>1</v>
      </c>
      <c r="AG18" s="2">
        <f>COUNTIF(ABSEN!AE:AE,"DEWI KOMALASARI ( MORHANI )")</f>
        <v>1</v>
      </c>
      <c r="AH18" s="368">
        <f t="shared" si="0"/>
        <v>21</v>
      </c>
      <c r="AI18" s="365">
        <f t="shared" si="1"/>
        <v>0</v>
      </c>
      <c r="AJ18" s="241">
        <f t="shared" si="2"/>
        <v>1</v>
      </c>
      <c r="AK18" s="241">
        <f t="shared" si="3"/>
        <v>2</v>
      </c>
      <c r="AL18" s="241">
        <f t="shared" si="4"/>
        <v>4</v>
      </c>
      <c r="AM18" s="241">
        <f t="shared" si="5"/>
        <v>3</v>
      </c>
      <c r="AN18" s="241">
        <f t="shared" si="6"/>
        <v>0</v>
      </c>
      <c r="AO18" s="366">
        <f t="shared" si="7"/>
        <v>0</v>
      </c>
      <c r="AP18" s="366">
        <f t="shared" si="8"/>
        <v>0</v>
      </c>
      <c r="AQ18" s="367">
        <f t="shared" si="9"/>
        <v>0</v>
      </c>
      <c r="AR18" s="368">
        <f t="shared" si="10"/>
        <v>31</v>
      </c>
      <c r="AS18" s="365">
        <f t="shared" si="11"/>
        <v>0</v>
      </c>
      <c r="AT18" s="367">
        <f t="shared" si="12"/>
        <v>0</v>
      </c>
    </row>
    <row r="19" spans="1:48" s="373" customFormat="1" ht="35.25" customHeight="1">
      <c r="A19" s="370" t="s">
        <v>74</v>
      </c>
      <c r="B19" s="376" t="s">
        <v>105</v>
      </c>
      <c r="C19" s="1084" t="s">
        <v>239</v>
      </c>
      <c r="D19" s="2">
        <f>COUNTIF(ABSEN!B:B,"KUSMIATI ( ROSINI )")</f>
        <v>1</v>
      </c>
      <c r="E19" s="2">
        <f>COUNTIF(ABSEN!C:C,"KUSMIATI ( ROSINI )")</f>
        <v>1</v>
      </c>
      <c r="F19" s="1084" t="s">
        <v>238</v>
      </c>
      <c r="G19" s="2">
        <f>COUNTIF(ABSEN!E:E,"KUSMIATI ( ROSINI )")</f>
        <v>1</v>
      </c>
      <c r="H19" s="2">
        <f>COUNTIF(ABSEN!F:F,"KUSMIATI ( ROSINI )")</f>
        <v>1</v>
      </c>
      <c r="I19" s="2">
        <f>COUNTIF(ABSEN!G:G,"KUSMIATI ( ROSINI )")</f>
        <v>1</v>
      </c>
      <c r="J19" s="2">
        <f>COUNTIF(ABSEN!H:H,"KUSMIATI ( ROSINI )")</f>
        <v>1</v>
      </c>
      <c r="K19" s="1207" t="s">
        <v>779</v>
      </c>
      <c r="L19" s="1207" t="s">
        <v>779</v>
      </c>
      <c r="M19" s="1084" t="s">
        <v>239</v>
      </c>
      <c r="N19" s="1084" t="s">
        <v>238</v>
      </c>
      <c r="O19" s="2">
        <f>COUNTIF(ABSEN!M:M,"KUSMIATI ( ROSINI )")</f>
        <v>1</v>
      </c>
      <c r="P19" s="2">
        <v>1</v>
      </c>
      <c r="Q19" s="2">
        <f>COUNTIF(ABSEN!O:O,"KUSMIATI ( ROSINI )")</f>
        <v>1</v>
      </c>
      <c r="R19" s="2">
        <f>COUNTIF(ABSEN!P:P,"KUSMIATI ( ROSINI )")</f>
        <v>1</v>
      </c>
      <c r="S19" s="2">
        <f>COUNTIF(ABSEN!Q:Q,"KUSMIATI ( ROSINI )")</f>
        <v>1</v>
      </c>
      <c r="T19" s="1084" t="s">
        <v>238</v>
      </c>
      <c r="U19" s="1207" t="s">
        <v>777</v>
      </c>
      <c r="V19" s="2">
        <f>COUNTIF(ABSEN!T:T,"KUSMIATI ( ROSINI )")</f>
        <v>1</v>
      </c>
      <c r="W19" s="2">
        <f>COUNTIF(ABSEN!U:U,"KUSMIATI ( ROSINI )")</f>
        <v>1</v>
      </c>
      <c r="X19" s="2">
        <f>COUNTIF(ABSEN!V:V,"KUSMIATI ( ROSINI )")</f>
        <v>1</v>
      </c>
      <c r="Y19" s="2">
        <f>COUNTIF(ABSEN!W:W,"KUSMIATI ( ROSINI )")</f>
        <v>1</v>
      </c>
      <c r="Z19" s="1207" t="s">
        <v>778</v>
      </c>
      <c r="AA19" s="1084" t="s">
        <v>238</v>
      </c>
      <c r="AB19" s="2">
        <f>COUNTIF(ABSEN!Z:Z,"KUSMIATI ( ROSINI )")</f>
        <v>1</v>
      </c>
      <c r="AC19" s="2">
        <f>COUNTIF(ABSEN!AA:AA,"KUSMIATI ( ROSINI )")</f>
        <v>1</v>
      </c>
      <c r="AD19" s="2">
        <f>COUNTIF(ABSEN!AB:AB,"KUSMIATI ( ROSINI )")</f>
        <v>1</v>
      </c>
      <c r="AE19" s="1084" t="s">
        <v>239</v>
      </c>
      <c r="AF19" s="2">
        <f>COUNTIF(ABSEN!AD:AD,"KUSMIATI ( ROSINI )")</f>
        <v>1</v>
      </c>
      <c r="AG19" s="2">
        <f>COUNTIF(ABSEN!AE:AE,"KUSMIATI ( ROSINI )")</f>
        <v>1</v>
      </c>
      <c r="AH19" s="368">
        <f t="shared" si="0"/>
        <v>20</v>
      </c>
      <c r="AI19" s="365">
        <f t="shared" si="1"/>
        <v>1</v>
      </c>
      <c r="AJ19" s="241">
        <f t="shared" si="2"/>
        <v>1</v>
      </c>
      <c r="AK19" s="241">
        <f t="shared" si="3"/>
        <v>2</v>
      </c>
      <c r="AL19" s="241">
        <f t="shared" si="4"/>
        <v>4</v>
      </c>
      <c r="AM19" s="241">
        <f t="shared" si="5"/>
        <v>3</v>
      </c>
      <c r="AN19" s="241">
        <f t="shared" si="6"/>
        <v>0</v>
      </c>
      <c r="AO19" s="366">
        <f t="shared" si="7"/>
        <v>0</v>
      </c>
      <c r="AP19" s="366">
        <f t="shared" si="8"/>
        <v>0</v>
      </c>
      <c r="AQ19" s="367">
        <f t="shared" si="9"/>
        <v>0</v>
      </c>
      <c r="AR19" s="368">
        <f t="shared" si="10"/>
        <v>31</v>
      </c>
      <c r="AS19" s="365">
        <f t="shared" si="11"/>
        <v>0</v>
      </c>
      <c r="AT19" s="367">
        <f t="shared" si="12"/>
        <v>0</v>
      </c>
    </row>
    <row r="20" spans="1:48" s="373" customFormat="1" ht="36.75" customHeight="1">
      <c r="A20" s="370" t="s">
        <v>75</v>
      </c>
      <c r="B20" s="376" t="s">
        <v>209</v>
      </c>
      <c r="C20" s="1084" t="s">
        <v>239</v>
      </c>
      <c r="D20" s="2">
        <f>COUNTIF(ABSEN!B:B,"SANUSI ( ROYANI )")</f>
        <v>1</v>
      </c>
      <c r="E20" s="1207" t="s">
        <v>778</v>
      </c>
      <c r="F20" s="1084" t="s">
        <v>238</v>
      </c>
      <c r="G20" s="2">
        <f>COUNTIF(ABSEN!E:E,"SANUSI ( ROYANI )")</f>
        <v>1</v>
      </c>
      <c r="H20" s="2">
        <f>COUNTIF(ABSEN!F:F,"SANUSI ( ROYANI )")</f>
        <v>1</v>
      </c>
      <c r="I20" s="2">
        <f>COUNTIF(ABSEN!G:G,"SANUSI ( ROYANI )")</f>
        <v>1</v>
      </c>
      <c r="J20" s="2">
        <f>COUNTIF(ABSEN!H:H,"SANUSI ( ROYANI )")</f>
        <v>1</v>
      </c>
      <c r="K20" s="2">
        <f>COUNTIF(ABSEN!I:I,"SANUSI ( ROYANI )")</f>
        <v>1</v>
      </c>
      <c r="L20" s="1207" t="s">
        <v>778</v>
      </c>
      <c r="M20" s="1084" t="s">
        <v>239</v>
      </c>
      <c r="N20" s="1084" t="s">
        <v>238</v>
      </c>
      <c r="O20" s="2">
        <f>COUNTIF(ABSEN!M:M,"SANUSI ( ROYANI )")</f>
        <v>1</v>
      </c>
      <c r="P20" s="1207" t="s">
        <v>777</v>
      </c>
      <c r="Q20" s="2">
        <f>COUNTIF(ABSEN!O:O,"SANUSI ( ROYANI )")</f>
        <v>1</v>
      </c>
      <c r="R20" s="2">
        <f>COUNTIF(ABSEN!P:P,"SANUSI ( ROYANI )")</f>
        <v>1</v>
      </c>
      <c r="S20" s="2">
        <f>COUNTIF(ABSEN!Q:Q,"SANUSI ( ROYANI )")</f>
        <v>1</v>
      </c>
      <c r="T20" s="1084" t="s">
        <v>238</v>
      </c>
      <c r="U20" s="2">
        <f>COUNTIF(ABSEN!S:S,"SANUSI ( ROYANI )")</f>
        <v>1</v>
      </c>
      <c r="V20" s="2">
        <f>COUNTIF(ABSEN!T:T,"SANUSI ( ROYANI )")</f>
        <v>1</v>
      </c>
      <c r="W20" s="2">
        <f>COUNTIF(ABSEN!U:U,"SANUSI ( ROYANI )")</f>
        <v>1</v>
      </c>
      <c r="X20" s="2">
        <f>COUNTIF(ABSEN!V:V,"SANUSI ( ROYANI )")</f>
        <v>1</v>
      </c>
      <c r="Y20" s="2">
        <f>COUNTIF(ABSEN!W:W,"SANUSI ( ROYANI )")</f>
        <v>1</v>
      </c>
      <c r="Z20" s="2">
        <f>COUNTIF(ABSEN!X:X,"SANUSI ( ROYANI )")</f>
        <v>1</v>
      </c>
      <c r="AA20" s="1084" t="s">
        <v>238</v>
      </c>
      <c r="AB20" s="2">
        <f>COUNTIF(ABSEN!Z:Z,"SANUSI ( ROYANI )")</f>
        <v>1</v>
      </c>
      <c r="AC20" s="2">
        <f>COUNTIF(ABSEN!AA:AA,"SANUSI ( ROYANI )")</f>
        <v>1</v>
      </c>
      <c r="AD20" s="2">
        <f>COUNTIF(ABSEN!AB:AB,"SANUSI ( ROYANI )")</f>
        <v>1</v>
      </c>
      <c r="AE20" s="1084" t="s">
        <v>239</v>
      </c>
      <c r="AF20" s="1207" t="s">
        <v>778</v>
      </c>
      <c r="AG20" s="2">
        <f>COUNTIF(ABSEN!AE:AE,"SANUSI ( ROYANI )")</f>
        <v>1</v>
      </c>
      <c r="AH20" s="368">
        <f t="shared" si="0"/>
        <v>20</v>
      </c>
      <c r="AI20" s="365">
        <f t="shared" si="1"/>
        <v>1</v>
      </c>
      <c r="AJ20" s="241">
        <f t="shared" si="2"/>
        <v>3</v>
      </c>
      <c r="AK20" s="241">
        <f t="shared" si="3"/>
        <v>0</v>
      </c>
      <c r="AL20" s="241">
        <f t="shared" si="4"/>
        <v>4</v>
      </c>
      <c r="AM20" s="241">
        <f t="shared" si="5"/>
        <v>3</v>
      </c>
      <c r="AN20" s="241">
        <f t="shared" si="6"/>
        <v>0</v>
      </c>
      <c r="AO20" s="366">
        <f t="shared" si="7"/>
        <v>0</v>
      </c>
      <c r="AP20" s="366">
        <f t="shared" si="8"/>
        <v>0</v>
      </c>
      <c r="AQ20" s="367">
        <f t="shared" si="9"/>
        <v>0</v>
      </c>
      <c r="AR20" s="368">
        <f t="shared" si="10"/>
        <v>31</v>
      </c>
      <c r="AS20" s="365">
        <f t="shared" si="11"/>
        <v>0</v>
      </c>
      <c r="AT20" s="367">
        <f t="shared" si="12"/>
        <v>0</v>
      </c>
    </row>
    <row r="21" spans="1:48" s="373" customFormat="1" ht="35.25" customHeight="1">
      <c r="A21" s="370" t="s">
        <v>76</v>
      </c>
      <c r="B21" s="378" t="s">
        <v>106</v>
      </c>
      <c r="C21" s="1084" t="s">
        <v>239</v>
      </c>
      <c r="D21" s="2">
        <f>COUNTIF(ABSEN!B:B,"YUSNI ( ZAINA )")</f>
        <v>1</v>
      </c>
      <c r="E21" s="1207" t="s">
        <v>777</v>
      </c>
      <c r="F21" s="1084" t="s">
        <v>238</v>
      </c>
      <c r="G21" s="2">
        <f>COUNTIF(ABSEN!E:E,"YUSNI ( ZAINA )")</f>
        <v>1</v>
      </c>
      <c r="H21" s="2">
        <f>COUNTIF(ABSEN!F:F,"YUSNI ( ZAINA )")</f>
        <v>1</v>
      </c>
      <c r="I21" s="1207" t="s">
        <v>778</v>
      </c>
      <c r="J21" s="1207" t="s">
        <v>778</v>
      </c>
      <c r="K21" s="1207" t="s">
        <v>778</v>
      </c>
      <c r="L21" s="2">
        <f>COUNTIF(ABSEN!J:J,"YUSNI ( ZAINA )")</f>
        <v>1</v>
      </c>
      <c r="M21" s="1084" t="s">
        <v>239</v>
      </c>
      <c r="N21" s="1084" t="s">
        <v>238</v>
      </c>
      <c r="O21" s="2">
        <f>COUNTIF(ABSEN!M:M,"YUSNI ( ZAINA )")</f>
        <v>1</v>
      </c>
      <c r="P21" s="1207" t="s">
        <v>778</v>
      </c>
      <c r="Q21" s="2">
        <f>COUNTIF(ABSEN!O:O,"YUSNI ( ZAINA )")</f>
        <v>1</v>
      </c>
      <c r="R21" s="2">
        <f>COUNTIF(ABSEN!P:P,"YUSNI ( ZAINA )")</f>
        <v>1</v>
      </c>
      <c r="S21" s="2">
        <f>COUNTIF(ABSEN!Q:Q,"YUSNI ( ZAINA )")</f>
        <v>1</v>
      </c>
      <c r="T21" s="1084" t="s">
        <v>238</v>
      </c>
      <c r="U21" s="2">
        <f>COUNTIF(ABSEN!S:S,"YUSNI ( ZAINA )")</f>
        <v>1</v>
      </c>
      <c r="V21" s="1207" t="s">
        <v>778</v>
      </c>
      <c r="W21" s="2">
        <f>COUNTIF(ABSEN!U:U,"YUSNI ( ZAINA )")</f>
        <v>1</v>
      </c>
      <c r="X21" s="2">
        <f>COUNTIF(ABSEN!V:V,"YUSNI ( ZAINA )")</f>
        <v>1</v>
      </c>
      <c r="Y21" s="2">
        <f>COUNTIF(ABSEN!W:W,"YUSNI ( ZAINA )")</f>
        <v>1</v>
      </c>
      <c r="Z21" s="2">
        <f>COUNTIF(ABSEN!X:X,"YUSNI ( ZAINA )")</f>
        <v>1</v>
      </c>
      <c r="AA21" s="1084" t="s">
        <v>238</v>
      </c>
      <c r="AB21" s="2">
        <f>COUNTIF(ABSEN!Z:Z,"YUSNI ( ZAINA )")</f>
        <v>1</v>
      </c>
      <c r="AC21" s="2">
        <f>COUNTIF(ABSEN!AA:AA,"YUSNI ( ZAINA )")</f>
        <v>1</v>
      </c>
      <c r="AD21" s="1207" t="s">
        <v>778</v>
      </c>
      <c r="AE21" s="1084" t="s">
        <v>239</v>
      </c>
      <c r="AF21" s="2">
        <f>COUNTIF(ABSEN!AD:AD,"YUSNI ( ZAINA )")</f>
        <v>1</v>
      </c>
      <c r="AG21" s="2">
        <f>COUNTIF(ABSEN!AE:AE,"YUSNI ( ZAINA )")</f>
        <v>1</v>
      </c>
      <c r="AH21" s="368">
        <f t="shared" si="0"/>
        <v>17</v>
      </c>
      <c r="AI21" s="365">
        <f t="shared" si="1"/>
        <v>1</v>
      </c>
      <c r="AJ21" s="241">
        <f t="shared" si="2"/>
        <v>6</v>
      </c>
      <c r="AK21" s="241">
        <f t="shared" si="3"/>
        <v>0</v>
      </c>
      <c r="AL21" s="241">
        <f t="shared" si="4"/>
        <v>4</v>
      </c>
      <c r="AM21" s="241">
        <f t="shared" si="5"/>
        <v>3</v>
      </c>
      <c r="AN21" s="241">
        <f t="shared" si="6"/>
        <v>0</v>
      </c>
      <c r="AO21" s="366">
        <f t="shared" si="7"/>
        <v>0</v>
      </c>
      <c r="AP21" s="366">
        <f t="shared" si="8"/>
        <v>0</v>
      </c>
      <c r="AQ21" s="367">
        <f t="shared" si="9"/>
        <v>0</v>
      </c>
      <c r="AR21" s="368">
        <f t="shared" si="10"/>
        <v>31</v>
      </c>
      <c r="AS21" s="365">
        <f t="shared" si="11"/>
        <v>0</v>
      </c>
      <c r="AT21" s="367">
        <f t="shared" si="12"/>
        <v>0</v>
      </c>
    </row>
    <row r="22" spans="1:48" s="373" customFormat="1" ht="33.75" customHeight="1">
      <c r="A22" s="370" t="s">
        <v>77</v>
      </c>
      <c r="B22" s="376" t="s">
        <v>107</v>
      </c>
      <c r="C22" s="1084" t="s">
        <v>239</v>
      </c>
      <c r="D22" s="2">
        <f>COUNTIF(ABSEN!B:B,"RODIATI ( SERINI )")</f>
        <v>1</v>
      </c>
      <c r="E22" s="2">
        <f>COUNTIF(ABSEN!C:C,"RODIATI ( SERINI )")</f>
        <v>1</v>
      </c>
      <c r="F22" s="1084" t="s">
        <v>238</v>
      </c>
      <c r="G22" s="2">
        <f>COUNTIF(ABSEN!E:E,"RODIATI ( SERINI )")</f>
        <v>1</v>
      </c>
      <c r="H22" s="2">
        <f>COUNTIF(ABSEN!F:F,"RODIATI ( SERINI )")</f>
        <v>1</v>
      </c>
      <c r="I22" s="2">
        <f>COUNTIF(ABSEN!G:G,"RODIATI ( SERINI )")</f>
        <v>1</v>
      </c>
      <c r="J22" s="2">
        <f>COUNTIF(ABSEN!H:H,"RODIATI ( SERINI )")</f>
        <v>1</v>
      </c>
      <c r="K22" s="2">
        <f>COUNTIF(ABSEN!I:I,"RODIATI ( SERINI )")</f>
        <v>1</v>
      </c>
      <c r="L22" s="2">
        <f>COUNTIF(ABSEN!J:J,"RODIATI ( SERINI )")</f>
        <v>1</v>
      </c>
      <c r="M22" s="1084" t="s">
        <v>239</v>
      </c>
      <c r="N22" s="1084" t="s">
        <v>238</v>
      </c>
      <c r="O22" s="2">
        <f>COUNTIF(ABSEN!M:M,"RODIATI ( SERINI )")</f>
        <v>1</v>
      </c>
      <c r="P22" s="1207" t="s">
        <v>777</v>
      </c>
      <c r="Q22" s="2">
        <f>COUNTIF(ABSEN!O:O,"RODIATI ( SERINI )")</f>
        <v>1</v>
      </c>
      <c r="R22" s="2">
        <f>COUNTIF(ABSEN!P:P,"RODIATI ( SERINI )")</f>
        <v>1</v>
      </c>
      <c r="S22" s="2">
        <f>COUNTIF(ABSEN!Q:Q,"RODIATI ( SERINI )")</f>
        <v>1</v>
      </c>
      <c r="T22" s="1084" t="s">
        <v>238</v>
      </c>
      <c r="U22" s="2">
        <f>COUNTIF(ABSEN!S:S,"RODIATI ( SERINI )")</f>
        <v>1</v>
      </c>
      <c r="V22" s="2">
        <f>COUNTIF(ABSEN!T:T,"RODIATI ( SERINI )")</f>
        <v>1</v>
      </c>
      <c r="W22" s="2">
        <f>COUNTIF(ABSEN!U:U,"RODIATI ( SERINI )")</f>
        <v>1</v>
      </c>
      <c r="X22" s="2">
        <f>COUNTIF(ABSEN!V:V,"RODIATI ( SERINI )")</f>
        <v>1</v>
      </c>
      <c r="Y22" s="2">
        <f>COUNTIF(ABSEN!W:W,"RODIATI ( SERINI )")</f>
        <v>1</v>
      </c>
      <c r="Z22" s="2">
        <f>COUNTIF(ABSEN!X:X,"RODIATI ( SERINI )")</f>
        <v>1</v>
      </c>
      <c r="AA22" s="1084" t="s">
        <v>238</v>
      </c>
      <c r="AB22" s="2">
        <f>COUNTIF(ABSEN!Z:Z,"RODIATI ( SERINI )")</f>
        <v>1</v>
      </c>
      <c r="AC22" s="2">
        <f>COUNTIF(ABSEN!AA:AA,"RODIATI ( SERINI )")</f>
        <v>1</v>
      </c>
      <c r="AD22" s="2">
        <f>COUNTIF(ABSEN!AB:AB,"RODIATI ( SERINI )")</f>
        <v>1</v>
      </c>
      <c r="AE22" s="1084" t="s">
        <v>239</v>
      </c>
      <c r="AF22" s="2">
        <f>COUNTIF(ABSEN!AD:AD,"RODIATI ( SERINI )")</f>
        <v>1</v>
      </c>
      <c r="AG22" s="2">
        <f>COUNTIF(ABSEN!AE:AE,"RODIATI ( SERINI )")</f>
        <v>1</v>
      </c>
      <c r="AH22" s="368">
        <f t="shared" si="0"/>
        <v>23</v>
      </c>
      <c r="AI22" s="365">
        <f t="shared" si="1"/>
        <v>1</v>
      </c>
      <c r="AJ22" s="241">
        <f t="shared" si="2"/>
        <v>0</v>
      </c>
      <c r="AK22" s="241">
        <f t="shared" si="3"/>
        <v>0</v>
      </c>
      <c r="AL22" s="241">
        <f t="shared" si="4"/>
        <v>4</v>
      </c>
      <c r="AM22" s="241">
        <f t="shared" si="5"/>
        <v>3</v>
      </c>
      <c r="AN22" s="241">
        <f t="shared" si="6"/>
        <v>0</v>
      </c>
      <c r="AO22" s="366">
        <f t="shared" si="7"/>
        <v>0</v>
      </c>
      <c r="AP22" s="366">
        <f t="shared" si="8"/>
        <v>0</v>
      </c>
      <c r="AQ22" s="367">
        <f t="shared" si="9"/>
        <v>0</v>
      </c>
      <c r="AR22" s="368">
        <f t="shared" si="10"/>
        <v>31</v>
      </c>
      <c r="AS22" s="365">
        <f t="shared" si="11"/>
        <v>0</v>
      </c>
      <c r="AT22" s="367">
        <f t="shared" si="12"/>
        <v>0</v>
      </c>
    </row>
    <row r="23" spans="1:48" s="373" customFormat="1" ht="35.25" customHeight="1">
      <c r="A23" s="370" t="s">
        <v>78</v>
      </c>
      <c r="B23" s="372" t="s">
        <v>108</v>
      </c>
      <c r="C23" s="1084" t="s">
        <v>239</v>
      </c>
      <c r="D23" s="2">
        <f>COUNTIF(ABSEN!B:B,"ERNAWATI ( MARINI )")</f>
        <v>1</v>
      </c>
      <c r="E23" s="2">
        <f>COUNTIF(ABSEN!C:C,"ERNAWATI ( MARINI )")</f>
        <v>1</v>
      </c>
      <c r="F23" s="1084" t="s">
        <v>238</v>
      </c>
      <c r="G23" s="2">
        <f>COUNTIF(ABSEN!E:E,"ERNAWATI ( MARINI )")</f>
        <v>1</v>
      </c>
      <c r="H23" s="1207" t="s">
        <v>777</v>
      </c>
      <c r="I23" s="2">
        <f>COUNTIF(ABSEN!G:G,"ERNAWATI ( MARINI )")</f>
        <v>1</v>
      </c>
      <c r="J23" s="2">
        <f>COUNTIF(ABSEN!H:H,"ERNAWATI ( MARINI )")</f>
        <v>1</v>
      </c>
      <c r="K23" s="2">
        <f>COUNTIF(ABSEN!I:I,"ERNAWATI ( MARINI )")</f>
        <v>1</v>
      </c>
      <c r="L23" s="2" t="s">
        <v>780</v>
      </c>
      <c r="M23" s="1084" t="s">
        <v>239</v>
      </c>
      <c r="N23" s="1084" t="s">
        <v>238</v>
      </c>
      <c r="O23" s="2">
        <f>COUNTIF(ABSEN!M:M,"ERNAWATI ( MARINI )")</f>
        <v>1</v>
      </c>
      <c r="P23" s="1207" t="s">
        <v>779</v>
      </c>
      <c r="Q23" s="1207" t="s">
        <v>779</v>
      </c>
      <c r="R23" s="2">
        <f>COUNTIF(ABSEN!P:P,"ERNAWATI ( MARINI )")</f>
        <v>1</v>
      </c>
      <c r="S23" s="2">
        <f>COUNTIF(ABSEN!Q:Q,"ERNAWATI ( MARINI )")</f>
        <v>1</v>
      </c>
      <c r="T23" s="1084" t="s">
        <v>238</v>
      </c>
      <c r="U23" s="1207" t="s">
        <v>778</v>
      </c>
      <c r="V23" s="2">
        <f>COUNTIF(ABSEN!T:T,"ERNAWATI ( MARINI )")</f>
        <v>1</v>
      </c>
      <c r="W23" s="2">
        <f>COUNTIF(ABSEN!U:U,"ERNAWATI ( MARINI )")</f>
        <v>1</v>
      </c>
      <c r="X23" s="2">
        <f>COUNTIF(ABSEN!V:V,"ERNAWATI ( MARINI )")</f>
        <v>1</v>
      </c>
      <c r="Y23" s="2">
        <f>COUNTIF(ABSEN!W:W,"ERNAWATI ( MARINI )")</f>
        <v>1</v>
      </c>
      <c r="Z23" s="2">
        <f>COUNTIF(ABSEN!X:X,"ERNAWATI ( MARINI )")</f>
        <v>1</v>
      </c>
      <c r="AA23" s="1084" t="s">
        <v>238</v>
      </c>
      <c r="AB23" s="2">
        <f>COUNTIF(ABSEN!Z:Z,"ERNAWATI ( MARINI )")</f>
        <v>1</v>
      </c>
      <c r="AC23" s="2">
        <f>COUNTIF(ABSEN!AA:AA,"ERNAWATI ( MARINI )")</f>
        <v>1</v>
      </c>
      <c r="AD23" s="2">
        <f>COUNTIF(ABSEN!AB:AB,"ERNAWATI ( MARINI )")</f>
        <v>1</v>
      </c>
      <c r="AE23" s="1084" t="s">
        <v>239</v>
      </c>
      <c r="AF23" s="2">
        <f>COUNTIF(ABSEN!AD:AD,"ERNAWATI ( MARINI )")</f>
        <v>1</v>
      </c>
      <c r="AG23" s="2">
        <f>COUNTIF(ABSEN!AE:AE,"ERNAWATI ( MARINI )")</f>
        <v>1</v>
      </c>
      <c r="AH23" s="368">
        <f t="shared" si="0"/>
        <v>19</v>
      </c>
      <c r="AI23" s="365">
        <f t="shared" si="1"/>
        <v>1</v>
      </c>
      <c r="AJ23" s="241">
        <f t="shared" si="2"/>
        <v>1</v>
      </c>
      <c r="AK23" s="241">
        <f t="shared" si="3"/>
        <v>2</v>
      </c>
      <c r="AL23" s="241">
        <f t="shared" si="4"/>
        <v>4</v>
      </c>
      <c r="AM23" s="241">
        <f t="shared" si="5"/>
        <v>3</v>
      </c>
      <c r="AN23" s="241">
        <f t="shared" si="6"/>
        <v>0</v>
      </c>
      <c r="AO23" s="366">
        <f t="shared" si="7"/>
        <v>0</v>
      </c>
      <c r="AP23" s="366">
        <f t="shared" si="8"/>
        <v>0</v>
      </c>
      <c r="AQ23" s="367">
        <f t="shared" si="9"/>
        <v>0</v>
      </c>
      <c r="AR23" s="368">
        <f t="shared" si="10"/>
        <v>30</v>
      </c>
      <c r="AS23" s="365">
        <f t="shared" si="11"/>
        <v>0</v>
      </c>
      <c r="AT23" s="367">
        <f t="shared" si="12"/>
        <v>1</v>
      </c>
      <c r="AV23" s="373">
        <f>260+90</f>
        <v>350</v>
      </c>
    </row>
    <row r="24" spans="1:48" s="373" customFormat="1" ht="35.25" customHeight="1">
      <c r="A24" s="370" t="s">
        <v>79</v>
      </c>
      <c r="B24" s="378" t="s">
        <v>194</v>
      </c>
      <c r="C24" s="1084" t="s">
        <v>239</v>
      </c>
      <c r="D24" s="2">
        <f>COUNTIF(ABSEN!B:B,"ANDRISTIO BUDIMAN ( ISMUNIAR )")</f>
        <v>1</v>
      </c>
      <c r="E24" s="2">
        <f>COUNTIF(ABSEN!C:C,"ANDRISTIO BUDIMAN ( ISMUNIAR )")</f>
        <v>1</v>
      </c>
      <c r="F24" s="1084" t="s">
        <v>238</v>
      </c>
      <c r="G24" s="2">
        <f>COUNTIF(ABSEN!E:E,"ANDRISTIO BUDIMAN ( ISMUNIAR )")</f>
        <v>1</v>
      </c>
      <c r="H24" s="2">
        <f>COUNTIF(ABSEN!F:F,"ANDRISTIO BUDIMAN ( ISMUNIAR )")</f>
        <v>1</v>
      </c>
      <c r="I24" s="2">
        <f>COUNTIF(ABSEN!G:G,"ANDRISTIO BUDIMAN ( ISMUNIAR )")</f>
        <v>1</v>
      </c>
      <c r="J24" s="2">
        <f>COUNTIF(ABSEN!H:H,"ANDRISTIO BUDIMAN ( ISMUNIAR )")</f>
        <v>1</v>
      </c>
      <c r="K24" s="2">
        <f>COUNTIF(ABSEN!I:I,"ANDRISTIO BUDIMAN ( ISMUNIAR )")</f>
        <v>1</v>
      </c>
      <c r="L24" s="2">
        <f>COUNTIF(ABSEN!J:J,"ANDRISTIO BUDIMAN ( ISMUNIAR )")</f>
        <v>1</v>
      </c>
      <c r="M24" s="1084" t="s">
        <v>239</v>
      </c>
      <c r="N24" s="1084" t="s">
        <v>238</v>
      </c>
      <c r="O24" s="2">
        <f>COUNTIF(ABSEN!M:M,"ANDRISTIO BUDIMAN ( ISMUNIAR )")</f>
        <v>1</v>
      </c>
      <c r="P24" s="2">
        <f>COUNTIF(ABSEN!N:N,"ANDRISTIO BUDIMAN ( ISMUNIAR )")</f>
        <v>1</v>
      </c>
      <c r="Q24" s="2">
        <f>COUNTIF(ABSEN!O:O,"ANDRISTIO BUDIMAN ( ISMUNIAR )")</f>
        <v>1</v>
      </c>
      <c r="R24" s="2">
        <f>COUNTIF(ABSEN!P:P,"ANDRISTIO BUDIMAN ( ISMUNIAR )")</f>
        <v>1</v>
      </c>
      <c r="S24" s="2">
        <f>COUNTIF(ABSEN!Q:Q,"ANDRISTIO BUDIMAN ( ISMUNIAR )")</f>
        <v>1</v>
      </c>
      <c r="T24" s="1084" t="s">
        <v>238</v>
      </c>
      <c r="U24" s="2">
        <f>COUNTIF(ABSEN!S:S,"ANDRISTIO BUDIMAN ( ISMUNIAR )")</f>
        <v>1</v>
      </c>
      <c r="V24" s="2">
        <f>COUNTIF(ABSEN!T:T,"ANDRISTIO BUDIMAN ( ISMUNIAR )")</f>
        <v>1</v>
      </c>
      <c r="W24" s="2">
        <f>COUNTIF(ABSEN!U:U,"ANDRISTIO BUDIMAN ( ISMUNIAR )")</f>
        <v>1</v>
      </c>
      <c r="X24" s="2">
        <f>COUNTIF(ABSEN!V:V,"ANDRISTIO BUDIMAN ( ISMUNIAR )")</f>
        <v>1</v>
      </c>
      <c r="Y24" s="2">
        <f>COUNTIF(ABSEN!W:W,"ANDRISTIO BUDIMAN ( ISMUNIAR )")</f>
        <v>1</v>
      </c>
      <c r="Z24" s="2">
        <f>COUNTIF(ABSEN!X:X,"ANDRISTIO BUDIMAN ( ISMUNIAR )")</f>
        <v>1</v>
      </c>
      <c r="AA24" s="1084" t="s">
        <v>238</v>
      </c>
      <c r="AB24" s="2">
        <f>COUNTIF(ABSEN!Z:Z,"ANDRISTIO BUDIMAN ( ISMUNIAR )")</f>
        <v>1</v>
      </c>
      <c r="AC24" s="2">
        <f>COUNTIF(ABSEN!AA:AA,"ANDRISTIO BUDIMAN ( ISMUNIAR )")</f>
        <v>1</v>
      </c>
      <c r="AD24" s="2">
        <f>COUNTIF(ABSEN!AB:AB,"ANDRISTIO BUDIMAN ( ISMUNIAR )")</f>
        <v>1</v>
      </c>
      <c r="AE24" s="1084" t="s">
        <v>239</v>
      </c>
      <c r="AF24" s="2">
        <f>COUNTIF(ABSEN!AD:AD,"ANDRISTIO BUDIMAN ( ISMUNIAR )")</f>
        <v>1</v>
      </c>
      <c r="AG24" s="2">
        <f>COUNTIF(ABSEN!AE:AE,"ANDRISTIO BUDIMAN ( ISMUNIAR )")</f>
        <v>1</v>
      </c>
      <c r="AH24" s="368">
        <f t="shared" si="0"/>
        <v>24</v>
      </c>
      <c r="AI24" s="365">
        <f t="shared" si="1"/>
        <v>0</v>
      </c>
      <c r="AJ24" s="241">
        <f t="shared" si="2"/>
        <v>0</v>
      </c>
      <c r="AK24" s="241">
        <f t="shared" si="3"/>
        <v>0</v>
      </c>
      <c r="AL24" s="241">
        <f t="shared" si="4"/>
        <v>4</v>
      </c>
      <c r="AM24" s="241">
        <f t="shared" si="5"/>
        <v>3</v>
      </c>
      <c r="AN24" s="241">
        <f t="shared" si="6"/>
        <v>0</v>
      </c>
      <c r="AO24" s="366">
        <f t="shared" si="7"/>
        <v>0</v>
      </c>
      <c r="AP24" s="366">
        <f t="shared" si="8"/>
        <v>0</v>
      </c>
      <c r="AQ24" s="367">
        <f t="shared" si="9"/>
        <v>0</v>
      </c>
      <c r="AR24" s="368">
        <f t="shared" si="10"/>
        <v>31</v>
      </c>
      <c r="AS24" s="365">
        <f t="shared" si="11"/>
        <v>0</v>
      </c>
      <c r="AT24" s="367">
        <f t="shared" si="12"/>
        <v>0</v>
      </c>
      <c r="AV24" s="373">
        <v>50</v>
      </c>
    </row>
    <row r="25" spans="1:48" s="373" customFormat="1" ht="35.25" customHeight="1">
      <c r="A25" s="370" t="s">
        <v>80</v>
      </c>
      <c r="B25" s="376" t="s">
        <v>109</v>
      </c>
      <c r="C25" s="1084" t="s">
        <v>239</v>
      </c>
      <c r="D25" s="2">
        <f>COUNTIF(ABSEN!B:B,"SUNITA ( SAIMI )")</f>
        <v>1</v>
      </c>
      <c r="E25" s="2">
        <f>COUNTIF(ABSEN!C:C,"SUNITA ( SAIMI )")</f>
        <v>1</v>
      </c>
      <c r="F25" s="1084" t="s">
        <v>238</v>
      </c>
      <c r="G25" s="2">
        <f>COUNTIF(ABSEN!E:E,"SUNITA ( SAIMI )")</f>
        <v>1</v>
      </c>
      <c r="H25" s="2">
        <f>COUNTIF(ABSEN!F:F,"SUNITA ( SAIMI )")</f>
        <v>1</v>
      </c>
      <c r="I25" s="2">
        <f>COUNTIF(ABSEN!G:G,"SUNITA ( SAIMI )")</f>
        <v>1</v>
      </c>
      <c r="J25" s="2">
        <f>COUNTIF(ABSEN!H:H,"SUNITA ( SAIMI )")</f>
        <v>1</v>
      </c>
      <c r="K25" s="2">
        <f>COUNTIF(ABSEN!I:I,"SUNITA ( SAIMI )")</f>
        <v>1</v>
      </c>
      <c r="L25" s="2">
        <f>COUNTIF(ABSEN!J:J,"SUNITA ( SAIMI )")</f>
        <v>1</v>
      </c>
      <c r="M25" s="1084" t="s">
        <v>239</v>
      </c>
      <c r="N25" s="1084" t="s">
        <v>238</v>
      </c>
      <c r="O25" s="2">
        <f>COUNTIF(ABSEN!M:M,"SUNITA ( SAIMI )")</f>
        <v>1</v>
      </c>
      <c r="P25" s="2">
        <f>COUNTIF(ABSEN!N:N,"SUNITA ( SAIMI )")</f>
        <v>1</v>
      </c>
      <c r="Q25" s="2">
        <f>COUNTIF(ABSEN!O:O,"SUNITA ( SAIMI )")</f>
        <v>1</v>
      </c>
      <c r="R25" s="2">
        <f>COUNTIF(ABSEN!P:P,"SUNITA ( SAIMI )")</f>
        <v>1</v>
      </c>
      <c r="S25" s="2">
        <f>COUNTIF(ABSEN!Q:Q,"SUNITA ( SAIMI )")</f>
        <v>1</v>
      </c>
      <c r="T25" s="1084" t="s">
        <v>238</v>
      </c>
      <c r="U25" s="2">
        <f>COUNTIF(ABSEN!S:S,"SUNITA ( SAIMI )")</f>
        <v>1</v>
      </c>
      <c r="V25" s="2">
        <f>COUNTIF(ABSEN!T:T,"SUNITA ( SAIMI )")</f>
        <v>1</v>
      </c>
      <c r="W25" s="2">
        <f>COUNTIF(ABSEN!U:U,"SUNITA ( SAIMI )")</f>
        <v>1</v>
      </c>
      <c r="X25" s="2">
        <f>COUNTIF(ABSEN!V:V,"SUNITA ( SAIMI )")</f>
        <v>1</v>
      </c>
      <c r="Y25" s="2">
        <f>COUNTIF(ABSEN!W:W,"SUNITA ( SAIMI )")</f>
        <v>1</v>
      </c>
      <c r="Z25" s="2">
        <f>COUNTIF(ABSEN!X:X,"SUNITA ( SAIMI )")</f>
        <v>1</v>
      </c>
      <c r="AA25" s="1084" t="s">
        <v>238</v>
      </c>
      <c r="AB25" s="2">
        <f>COUNTIF(ABSEN!Z:Z,"SUNITA ( SAIMI )")</f>
        <v>1</v>
      </c>
      <c r="AC25" s="2">
        <f>COUNTIF(ABSEN!AA:AA,"SUNITA ( SAIMI )")</f>
        <v>1</v>
      </c>
      <c r="AD25" s="2">
        <f>COUNTIF(ABSEN!AB:AB,"SUNITA ( SAIMI )")</f>
        <v>1</v>
      </c>
      <c r="AE25" s="1084" t="s">
        <v>239</v>
      </c>
      <c r="AF25" s="2">
        <f>COUNTIF(ABSEN!AD:AD,"SUNITA ( SAIMI )")</f>
        <v>1</v>
      </c>
      <c r="AG25" s="2">
        <f>COUNTIF(ABSEN!AE:AE,"SUNITA ( SAIMI )")</f>
        <v>1</v>
      </c>
      <c r="AH25" s="368">
        <f t="shared" si="0"/>
        <v>24</v>
      </c>
      <c r="AI25" s="365">
        <f t="shared" si="1"/>
        <v>0</v>
      </c>
      <c r="AJ25" s="241">
        <f t="shared" si="2"/>
        <v>0</v>
      </c>
      <c r="AK25" s="241">
        <f t="shared" si="3"/>
        <v>0</v>
      </c>
      <c r="AL25" s="241">
        <f t="shared" si="4"/>
        <v>4</v>
      </c>
      <c r="AM25" s="241">
        <f t="shared" si="5"/>
        <v>3</v>
      </c>
      <c r="AN25" s="241">
        <f t="shared" si="6"/>
        <v>0</v>
      </c>
      <c r="AO25" s="366">
        <f t="shared" si="7"/>
        <v>0</v>
      </c>
      <c r="AP25" s="366">
        <f t="shared" si="8"/>
        <v>0</v>
      </c>
      <c r="AQ25" s="367">
        <f t="shared" si="9"/>
        <v>0</v>
      </c>
      <c r="AR25" s="368">
        <f t="shared" si="10"/>
        <v>31</v>
      </c>
      <c r="AS25" s="365">
        <f t="shared" si="11"/>
        <v>0</v>
      </c>
      <c r="AT25" s="367">
        <f t="shared" si="12"/>
        <v>0</v>
      </c>
      <c r="AV25" s="373">
        <f>AV23+AV24</f>
        <v>400</v>
      </c>
    </row>
    <row r="26" spans="1:48" s="373" customFormat="1" ht="36.75" customHeight="1">
      <c r="A26" s="370" t="s">
        <v>81</v>
      </c>
      <c r="B26" s="372" t="s">
        <v>110</v>
      </c>
      <c r="C26" s="1084" t="s">
        <v>239</v>
      </c>
      <c r="D26" s="2">
        <f>COUNTIF(ABSEN!B:B,"MAMAN ( JUMIATI )")</f>
        <v>1</v>
      </c>
      <c r="E26" s="2" t="s">
        <v>780</v>
      </c>
      <c r="F26" s="1084" t="s">
        <v>238</v>
      </c>
      <c r="G26" s="2">
        <f>COUNTIF(ABSEN!E:E,"MAMAN ( JUMIATI )")</f>
        <v>1</v>
      </c>
      <c r="H26" s="2">
        <f>COUNTIF(ABSEN!F:F,"MAMAN ( JUMIATI )")</f>
        <v>1</v>
      </c>
      <c r="I26" s="2">
        <f>COUNTIF(ABSEN!G:G,"MAMAN ( JUMIATI )")</f>
        <v>1</v>
      </c>
      <c r="J26" s="2">
        <f>COUNTIF(ABSEN!H:H,"MAMAN ( JUMIATI )")</f>
        <v>1</v>
      </c>
      <c r="K26" s="2">
        <f>COUNTIF(ABSEN!I:I,"MAMAN ( JUMIATI )")</f>
        <v>1</v>
      </c>
      <c r="L26" s="2">
        <f>COUNTIF(ABSEN!J:J,"MAMAN ( JUMIATI )")</f>
        <v>1</v>
      </c>
      <c r="M26" s="1084" t="s">
        <v>239</v>
      </c>
      <c r="N26" s="1084" t="s">
        <v>238</v>
      </c>
      <c r="O26" s="2">
        <f>COUNTIF(ABSEN!M:M,"MAMAN ( JUMIATI )")</f>
        <v>1</v>
      </c>
      <c r="P26" s="1207" t="s">
        <v>778</v>
      </c>
      <c r="Q26" s="2">
        <f>COUNTIF(ABSEN!O:O,"MAMAN ( JUMIATI )")</f>
        <v>1</v>
      </c>
      <c r="R26" s="2">
        <f>COUNTIF(ABSEN!P:P,"MAMAN ( JUMIATI )")</f>
        <v>1</v>
      </c>
      <c r="S26" s="2">
        <f>COUNTIF(ABSEN!Q:Q,"MAMAN ( JUMIATI )")</f>
        <v>1</v>
      </c>
      <c r="T26" s="1084" t="s">
        <v>238</v>
      </c>
      <c r="U26" s="2">
        <f>COUNTIF(ABSEN!S:S,"MAMAN ( JUMIATI )")</f>
        <v>1</v>
      </c>
      <c r="V26" s="2">
        <f>COUNTIF(ABSEN!T:T,"MAMAN ( JUMIATI )")</f>
        <v>1</v>
      </c>
      <c r="W26" s="2">
        <f>COUNTIF(ABSEN!U:U,"MAMAN ( JUMIATI )")</f>
        <v>1</v>
      </c>
      <c r="X26" s="2">
        <f>COUNTIF(ABSEN!V:V,"MAMAN ( JUMIATI )")</f>
        <v>1</v>
      </c>
      <c r="Y26" s="2">
        <f>COUNTIF(ABSEN!W:W,"MAMAN ( JUMIATI )")</f>
        <v>1</v>
      </c>
      <c r="Z26" s="1207" t="s">
        <v>777</v>
      </c>
      <c r="AA26" s="1084" t="s">
        <v>238</v>
      </c>
      <c r="AB26" s="2">
        <f>COUNTIF(ABSEN!Z:Z,"MAMAN ( JUMIATI )")</f>
        <v>1</v>
      </c>
      <c r="AC26" s="2">
        <f>COUNTIF(ABSEN!AA:AA,"MAMAN ( JUMIATI )")</f>
        <v>1</v>
      </c>
      <c r="AD26" s="2">
        <f>COUNTIF(ABSEN!AB:AB,"MAMAN ( JUMIATI )")</f>
        <v>1</v>
      </c>
      <c r="AE26" s="1084" t="s">
        <v>239</v>
      </c>
      <c r="AF26" s="2">
        <f>COUNTIF(ABSEN!AD:AD,"MAMAN ( JUMIATI )")</f>
        <v>1</v>
      </c>
      <c r="AG26" s="2">
        <f>COUNTIF(ABSEN!AE:AE,"MAMAN ( JUMIATI )")</f>
        <v>1</v>
      </c>
      <c r="AH26" s="368">
        <f t="shared" si="0"/>
        <v>21</v>
      </c>
      <c r="AI26" s="365">
        <f t="shared" si="1"/>
        <v>1</v>
      </c>
      <c r="AJ26" s="241">
        <f t="shared" si="2"/>
        <v>1</v>
      </c>
      <c r="AK26" s="241">
        <f t="shared" si="3"/>
        <v>0</v>
      </c>
      <c r="AL26" s="241">
        <f t="shared" si="4"/>
        <v>4</v>
      </c>
      <c r="AM26" s="241">
        <f t="shared" si="5"/>
        <v>3</v>
      </c>
      <c r="AN26" s="241">
        <f t="shared" si="6"/>
        <v>0</v>
      </c>
      <c r="AO26" s="366">
        <f t="shared" si="7"/>
        <v>0</v>
      </c>
      <c r="AP26" s="366">
        <f t="shared" si="8"/>
        <v>0</v>
      </c>
      <c r="AQ26" s="367">
        <f t="shared" si="9"/>
        <v>0</v>
      </c>
      <c r="AR26" s="368">
        <f t="shared" si="10"/>
        <v>30</v>
      </c>
      <c r="AS26" s="365">
        <f t="shared" si="11"/>
        <v>0</v>
      </c>
      <c r="AT26" s="367">
        <f t="shared" si="12"/>
        <v>1</v>
      </c>
    </row>
    <row r="27" spans="1:48" s="373" customFormat="1" ht="35.25" customHeight="1">
      <c r="A27" s="370" t="s">
        <v>82</v>
      </c>
      <c r="B27" s="372" t="s">
        <v>242</v>
      </c>
      <c r="C27" s="1084" t="s">
        <v>239</v>
      </c>
      <c r="D27" s="2">
        <f>COUNTIF(ABSEN!B:B,"BADIK BAGUS PRIBADI ( NINUK )")</f>
        <v>1</v>
      </c>
      <c r="E27" s="2">
        <f>COUNTIF(ABSEN!C:C,"BADIK BAGUS PRIBADI ( NINUK )")</f>
        <v>1</v>
      </c>
      <c r="F27" s="1084" t="s">
        <v>238</v>
      </c>
      <c r="G27" s="1207" t="s">
        <v>778</v>
      </c>
      <c r="H27" s="2">
        <f>COUNTIF(ABSEN!F:F,"BADIK BAGUS PRIBADI ( NINUK )")</f>
        <v>1</v>
      </c>
      <c r="I27" s="1207" t="s">
        <v>777</v>
      </c>
      <c r="J27" s="2">
        <f>COUNTIF(ABSEN!H:H,"BADIK BAGUS PRIBADI ( NINUK )")</f>
        <v>1</v>
      </c>
      <c r="K27" s="2" t="s">
        <v>780</v>
      </c>
      <c r="L27" s="2">
        <f>COUNTIF(ABSEN!J:J,"BADIK BAGUS PRIBADI ( NINUK )")</f>
        <v>1</v>
      </c>
      <c r="M27" s="1084" t="s">
        <v>239</v>
      </c>
      <c r="N27" s="1084" t="s">
        <v>238</v>
      </c>
      <c r="O27" s="2">
        <f>COUNTIF(ABSEN!M:M,"BADIK BAGUS PRIBADI ( NINUK )")</f>
        <v>1</v>
      </c>
      <c r="P27" s="2" t="s">
        <v>780</v>
      </c>
      <c r="Q27" s="2">
        <f>COUNTIF(ABSEN!O:O,"BADIK BAGUS PRIBADI ( NINUK )")</f>
        <v>1</v>
      </c>
      <c r="R27" s="2">
        <f>COUNTIF(ABSEN!P:P,"BADIK BAGUS PRIBADI ( NINUK )")</f>
        <v>1</v>
      </c>
      <c r="S27" s="1207" t="s">
        <v>778</v>
      </c>
      <c r="T27" s="1084" t="s">
        <v>238</v>
      </c>
      <c r="U27" s="2">
        <f>COUNTIF(ABSEN!S:S,"BADIK BAGUS PRIBADI ( NINUK )")</f>
        <v>1</v>
      </c>
      <c r="V27" s="1207" t="s">
        <v>778</v>
      </c>
      <c r="W27" s="2">
        <f>COUNTIF(ABSEN!U:U,"BADIK BAGUS PRIBADI ( NINUK )")</f>
        <v>1</v>
      </c>
      <c r="X27" s="2">
        <f>COUNTIF(ABSEN!V:V,"BADIK BAGUS PRIBADI ( NINUK )")</f>
        <v>1</v>
      </c>
      <c r="Y27" s="2">
        <f>COUNTIF(ABSEN!W:W,"BADIK BAGUS PRIBADI ( NINUK )")</f>
        <v>1</v>
      </c>
      <c r="Z27" s="1207" t="s">
        <v>778</v>
      </c>
      <c r="AA27" s="1084" t="s">
        <v>238</v>
      </c>
      <c r="AB27" s="2">
        <f>COUNTIF(ABSEN!Z:Z,"BADIK BAGUS PRIBADI ( NINUK )")</f>
        <v>1</v>
      </c>
      <c r="AC27" s="2">
        <f>COUNTIF(ABSEN!AA:AA,"BADIK BAGUS PRIBADI ( NINUK )")</f>
        <v>1</v>
      </c>
      <c r="AD27" s="1207" t="s">
        <v>42</v>
      </c>
      <c r="AE27" s="1084" t="s">
        <v>239</v>
      </c>
      <c r="AF27" s="2">
        <f>COUNTIF(ABSEN!AD:AD,"BADIK BAGUS PRIBADI ( NINUK )")</f>
        <v>1</v>
      </c>
      <c r="AG27" s="2">
        <f>COUNTIF(ABSEN!AE:AE,"BADIK BAGUS PRIBADI ( NINUK )")</f>
        <v>1</v>
      </c>
      <c r="AH27" s="368">
        <f t="shared" si="0"/>
        <v>16</v>
      </c>
      <c r="AI27" s="365">
        <f t="shared" si="1"/>
        <v>1</v>
      </c>
      <c r="AJ27" s="241">
        <f t="shared" si="2"/>
        <v>4</v>
      </c>
      <c r="AK27" s="241">
        <f t="shared" si="3"/>
        <v>0</v>
      </c>
      <c r="AL27" s="241">
        <f t="shared" si="4"/>
        <v>4</v>
      </c>
      <c r="AM27" s="241">
        <f t="shared" si="5"/>
        <v>3</v>
      </c>
      <c r="AN27" s="241">
        <f t="shared" si="6"/>
        <v>0</v>
      </c>
      <c r="AO27" s="366">
        <f t="shared" si="7"/>
        <v>0</v>
      </c>
      <c r="AP27" s="366">
        <f t="shared" si="8"/>
        <v>0</v>
      </c>
      <c r="AQ27" s="367">
        <f t="shared" si="9"/>
        <v>0</v>
      </c>
      <c r="AR27" s="368">
        <f t="shared" si="10"/>
        <v>28</v>
      </c>
      <c r="AS27" s="365">
        <f t="shared" si="11"/>
        <v>1</v>
      </c>
      <c r="AT27" s="367">
        <f t="shared" si="12"/>
        <v>2</v>
      </c>
    </row>
    <row r="28" spans="1:48" s="373" customFormat="1" ht="33.75" customHeight="1">
      <c r="A28" s="370" t="s">
        <v>83</v>
      </c>
      <c r="B28" s="379" t="s">
        <v>112</v>
      </c>
      <c r="C28" s="1084" t="s">
        <v>239</v>
      </c>
      <c r="D28" s="2">
        <f>COUNTIF(ABSEN!B:B,"AGUSTINI ( HAMIMA )")</f>
        <v>1</v>
      </c>
      <c r="E28" s="2">
        <f>COUNTIF(ABSEN!C:C,"AGUSTINI ( HAMIMA )")</f>
        <v>1</v>
      </c>
      <c r="F28" s="1084" t="s">
        <v>238</v>
      </c>
      <c r="G28" s="2">
        <f>COUNTIF(ABSEN!E:E,"AGUSTINI ( HAMIMA )")</f>
        <v>1</v>
      </c>
      <c r="H28" s="2">
        <f>COUNTIF(ABSEN!F:F,"AGUSTINI ( HAMIMA )")</f>
        <v>1</v>
      </c>
      <c r="I28" s="2">
        <f>COUNTIF(ABSEN!G:G,"AGUSTINI ( HAMIMA )")</f>
        <v>1</v>
      </c>
      <c r="J28" s="2">
        <f>COUNTIF(ABSEN!H:H,"AGUSTINI ( HAMIMA )")</f>
        <v>1</v>
      </c>
      <c r="K28" s="2">
        <f>COUNTIF(ABSEN!I:I,"AGUSTINI ( HAMIMA )")</f>
        <v>1</v>
      </c>
      <c r="L28" s="1207" t="s">
        <v>778</v>
      </c>
      <c r="M28" s="1084" t="s">
        <v>239</v>
      </c>
      <c r="N28" s="1084" t="s">
        <v>238</v>
      </c>
      <c r="O28" s="2">
        <f>COUNTIF(ABSEN!M:M,"AGUSTINI ( HAMIMA )")</f>
        <v>1</v>
      </c>
      <c r="P28" s="2">
        <f>COUNTIF(ABSEN!N:N,"AGUSTINI ( HAMIMA )")</f>
        <v>1</v>
      </c>
      <c r="Q28" s="2">
        <f>COUNTIF(ABSEN!O:O,"AGUSTINI ( HAMIMA )")</f>
        <v>1</v>
      </c>
      <c r="R28" s="2">
        <f>COUNTIF(ABSEN!P:P,"AGUSTINI ( HAMIMA )")</f>
        <v>1</v>
      </c>
      <c r="S28" s="2">
        <f>COUNTIF(ABSEN!Q:Q,"AGUSTINI ( HAMIMA )")</f>
        <v>1</v>
      </c>
      <c r="T28" s="1084" t="s">
        <v>238</v>
      </c>
      <c r="U28" s="2">
        <f>COUNTIF(ABSEN!S:S,"AGUSTINI ( HAMIMA )")</f>
        <v>1</v>
      </c>
      <c r="V28" s="2">
        <f>COUNTIF(ABSEN!T:T,"AGUSTINI ( HAMIMA )")</f>
        <v>1</v>
      </c>
      <c r="W28" s="2">
        <f>COUNTIF(ABSEN!U:U,"AGUSTINI ( HAMIMA )")</f>
        <v>1</v>
      </c>
      <c r="X28" s="2">
        <f>COUNTIF(ABSEN!V:V,"AGUSTINI ( HAMIMA )")</f>
        <v>1</v>
      </c>
      <c r="Y28" s="2">
        <f>COUNTIF(ABSEN!W:W,"AGUSTINI ( HAMIMA )")</f>
        <v>1</v>
      </c>
      <c r="Z28" s="1207" t="s">
        <v>777</v>
      </c>
      <c r="AA28" s="1084" t="s">
        <v>238</v>
      </c>
      <c r="AB28" s="2">
        <f>COUNTIF(ABSEN!Z:Z,"AGUSTINI ( HAMIMA )")</f>
        <v>1</v>
      </c>
      <c r="AC28" s="2">
        <f>COUNTIF(ABSEN!AA:AA,"AGUSTINI ( HAMIMA )")</f>
        <v>1</v>
      </c>
      <c r="AD28" s="2">
        <f>COUNTIF(ABSEN!AB:AB,"AGUSTINI ( HAMIMA )")</f>
        <v>1</v>
      </c>
      <c r="AE28" s="1084" t="s">
        <v>239</v>
      </c>
      <c r="AF28" s="1207" t="s">
        <v>778</v>
      </c>
      <c r="AG28" s="2">
        <f>COUNTIF(ABSEN!AE:AE,"AGUSTINI ( HAMIMA )")</f>
        <v>1</v>
      </c>
      <c r="AH28" s="368">
        <f t="shared" ref="AH28:AH38" si="13">SUM(C28:AG28)</f>
        <v>21</v>
      </c>
      <c r="AI28" s="365">
        <f t="shared" si="1"/>
        <v>1</v>
      </c>
      <c r="AJ28" s="241">
        <f t="shared" ref="AJ28:AJ39" si="14">COUNTIF(C28:AG28,"S")</f>
        <v>2</v>
      </c>
      <c r="AK28" s="241">
        <f t="shared" ref="AK28:AK39" si="15">COUNTIF(C28:AG28,"H1")</f>
        <v>0</v>
      </c>
      <c r="AL28" s="241">
        <f t="shared" ref="AL28:AL39" si="16">COUNTIF(C28:AG28,"MG")</f>
        <v>4</v>
      </c>
      <c r="AM28" s="241">
        <f t="shared" ref="AM28:AM39" si="17">COUNTIF(C28:AG28,"NAS")</f>
        <v>3</v>
      </c>
      <c r="AN28" s="241">
        <f t="shared" ref="AN28:AN39" si="18">COUNTIF(C28:AG28,"H2")</f>
        <v>0</v>
      </c>
      <c r="AO28" s="366">
        <f t="shared" ref="AO28:AO39" si="19">COUNTIF(B28:AF28,"P1")</f>
        <v>0</v>
      </c>
      <c r="AP28" s="366">
        <f t="shared" ref="AP28:AP39" si="20">COUNTIF(B28:AF28,"P2")</f>
        <v>0</v>
      </c>
      <c r="AQ28" s="367">
        <f t="shared" ref="AQ28:AQ39" si="21">COUNTIF(C28:AG28,"P3")</f>
        <v>0</v>
      </c>
      <c r="AR28" s="368">
        <f t="shared" ref="AR28:AR38" si="22">SUM(AH28:AQ28)</f>
        <v>31</v>
      </c>
      <c r="AS28" s="365">
        <f t="shared" ref="AS28:AS38" si="23">COUNTIF(C28:AG28,"CTH")</f>
        <v>0</v>
      </c>
      <c r="AT28" s="367">
        <f t="shared" ref="AT28:AT38" si="24">COUNTIF(C28:AG28,"A")</f>
        <v>0</v>
      </c>
    </row>
    <row r="29" spans="1:48" s="373" customFormat="1" ht="35.25" customHeight="1">
      <c r="A29" s="370" t="s">
        <v>84</v>
      </c>
      <c r="B29" s="372" t="s">
        <v>113</v>
      </c>
      <c r="C29" s="1084" t="s">
        <v>239</v>
      </c>
      <c r="D29" s="2">
        <f>COUNTIF(ABSEN!B:B,"DEVI NATALIA ( ZAHIA )")</f>
        <v>1</v>
      </c>
      <c r="E29" s="2">
        <f>COUNTIF(ABSEN!C:C,"DEVI NATALIA ( ZAHIA )")</f>
        <v>1</v>
      </c>
      <c r="F29" s="1084" t="s">
        <v>238</v>
      </c>
      <c r="G29" s="2">
        <f>COUNTIF(ABSEN!E:E,"DEVI NATALIA ( ZAHIA )")</f>
        <v>1</v>
      </c>
      <c r="H29" s="2">
        <f>COUNTIF(ABSEN!F:F,"DEVI NATALIA ( ZAHIA )")</f>
        <v>1</v>
      </c>
      <c r="I29" s="2">
        <f>COUNTIF(ABSEN!G:G,"DEVI NATALIA ( ZAHIA )")</f>
        <v>1</v>
      </c>
      <c r="J29" s="2">
        <f>COUNTIF(ABSEN!H:H,"DEVI NATALIA ( ZAHIA )")</f>
        <v>1</v>
      </c>
      <c r="K29" s="2">
        <f>COUNTIF(ABSEN!I:I,"DEVI NATALIA ( ZAHIA )")</f>
        <v>1</v>
      </c>
      <c r="L29" s="1207" t="s">
        <v>778</v>
      </c>
      <c r="M29" s="1084" t="s">
        <v>239</v>
      </c>
      <c r="N29" s="1084" t="s">
        <v>238</v>
      </c>
      <c r="O29" s="2">
        <f>COUNTIF(ABSEN!M:M,"DEVI NATALIA ( ZAHIA )")</f>
        <v>1</v>
      </c>
      <c r="P29" s="2">
        <f>COUNTIF(ABSEN!N:N,"DEVI NATALIA ( ZAHIA )")</f>
        <v>1</v>
      </c>
      <c r="Q29" s="2">
        <f>COUNTIF(ABSEN!O:O,"DEVI NATALIA ( ZAHIA )")</f>
        <v>1</v>
      </c>
      <c r="R29" s="2">
        <f>COUNTIF(ABSEN!P:P,"DEVI NATALIA ( ZAHIA )")</f>
        <v>1</v>
      </c>
      <c r="S29" s="2">
        <f>COUNTIF(ABSEN!Q:Q,"DEVI NATALIA ( ZAHIA )")</f>
        <v>1</v>
      </c>
      <c r="T29" s="1084" t="s">
        <v>238</v>
      </c>
      <c r="U29" s="2">
        <f>COUNTIF(ABSEN!S:S,"DEVI NATALIA ( ZAHIA )")</f>
        <v>1</v>
      </c>
      <c r="V29" s="2">
        <f>COUNTIF(ABSEN!T:T,"DEVI NATALIA ( ZAHIA )")</f>
        <v>1</v>
      </c>
      <c r="W29" s="2">
        <f>COUNTIF(ABSEN!U:U,"DEVI NATALIA ( ZAHIA )")</f>
        <v>1</v>
      </c>
      <c r="X29" s="2">
        <f>COUNTIF(ABSEN!V:V,"DEVI NATALIA ( ZAHIA )")</f>
        <v>1</v>
      </c>
      <c r="Y29" s="2">
        <f>COUNTIF(ABSEN!W:W,"DEVI NATALIA ( ZAHIA )")</f>
        <v>1</v>
      </c>
      <c r="Z29" s="1207" t="s">
        <v>777</v>
      </c>
      <c r="AA29" s="1084" t="s">
        <v>238</v>
      </c>
      <c r="AB29" s="2">
        <f>COUNTIF(ABSEN!Z:Z,"DEVI NATALIA ( ZAHIA )")</f>
        <v>1</v>
      </c>
      <c r="AC29" s="2">
        <f>COUNTIF(ABSEN!AA:AA,"DEVI NATALIA ( ZAHIA )")</f>
        <v>1</v>
      </c>
      <c r="AD29" s="2">
        <f>COUNTIF(ABSEN!AB:AB,"DEVI NATALIA ( ZAHIA )")</f>
        <v>1</v>
      </c>
      <c r="AE29" s="1084" t="s">
        <v>239</v>
      </c>
      <c r="AF29" s="2">
        <f>COUNTIF(ABSEN!AD:AD,"DEVI NATALIA ( ZAHIA )")</f>
        <v>1</v>
      </c>
      <c r="AG29" s="2">
        <f>COUNTIF(ABSEN!AE:AE,"DEVI NATALIA ( ZAHIA )")</f>
        <v>1</v>
      </c>
      <c r="AH29" s="368">
        <f t="shared" si="13"/>
        <v>22</v>
      </c>
      <c r="AI29" s="365">
        <f t="shared" si="1"/>
        <v>1</v>
      </c>
      <c r="AJ29" s="241">
        <f t="shared" si="14"/>
        <v>1</v>
      </c>
      <c r="AK29" s="241">
        <f t="shared" si="15"/>
        <v>0</v>
      </c>
      <c r="AL29" s="241">
        <f t="shared" si="16"/>
        <v>4</v>
      </c>
      <c r="AM29" s="241">
        <f t="shared" si="17"/>
        <v>3</v>
      </c>
      <c r="AN29" s="241">
        <f t="shared" si="18"/>
        <v>0</v>
      </c>
      <c r="AO29" s="366">
        <f t="shared" si="19"/>
        <v>0</v>
      </c>
      <c r="AP29" s="366">
        <f t="shared" si="20"/>
        <v>0</v>
      </c>
      <c r="AQ29" s="367">
        <f t="shared" si="21"/>
        <v>0</v>
      </c>
      <c r="AR29" s="368">
        <f t="shared" si="22"/>
        <v>31</v>
      </c>
      <c r="AS29" s="365">
        <f t="shared" si="23"/>
        <v>0</v>
      </c>
      <c r="AT29" s="367">
        <f t="shared" si="24"/>
        <v>0</v>
      </c>
    </row>
    <row r="30" spans="1:48" s="373" customFormat="1" ht="35.25" customHeight="1">
      <c r="A30" s="370" t="s">
        <v>85</v>
      </c>
      <c r="B30" s="380" t="s">
        <v>114</v>
      </c>
      <c r="C30" s="1084" t="s">
        <v>239</v>
      </c>
      <c r="D30" s="2">
        <f>COUNTIF(ABSEN!B:B,"HERLINDA ( MORHANA )")</f>
        <v>1</v>
      </c>
      <c r="E30" s="2">
        <f>COUNTIF(ABSEN!C:C,"HERLINDA ( MORHANA )")</f>
        <v>1</v>
      </c>
      <c r="F30" s="1084" t="s">
        <v>238</v>
      </c>
      <c r="G30" s="2">
        <f>COUNTIF(ABSEN!E:E,"HERLINDA ( MORHANA )")</f>
        <v>1</v>
      </c>
      <c r="H30" s="2">
        <f>COUNTIF(ABSEN!F:F,"HERLINDA ( MORHANA )")</f>
        <v>1</v>
      </c>
      <c r="I30" s="2">
        <f>COUNTIF(ABSEN!G:G,"HERLINDA ( MORHANA )")</f>
        <v>1</v>
      </c>
      <c r="J30" s="2">
        <f>COUNTIF(ABSEN!H:H,"HERLINDA ( MORHANA )")</f>
        <v>1</v>
      </c>
      <c r="K30" s="2">
        <f>COUNTIF(ABSEN!I:I,"HERLINDA ( MORHANA )")</f>
        <v>1</v>
      </c>
      <c r="L30" s="2">
        <f>COUNTIF(ABSEN!J:J,"HERLINDA ( MORHANA )")</f>
        <v>1</v>
      </c>
      <c r="M30" s="1084" t="s">
        <v>239</v>
      </c>
      <c r="N30" s="1084" t="s">
        <v>238</v>
      </c>
      <c r="O30" s="2">
        <f>COUNTIF(ABSEN!M:M,"HERLINDA ( MORHANA )")</f>
        <v>1</v>
      </c>
      <c r="P30" s="2">
        <f>COUNTIF(ABSEN!N:N,"HERLINDA ( MORHANA )")</f>
        <v>1</v>
      </c>
      <c r="Q30" s="2">
        <f>COUNTIF(ABSEN!O:O,"HERLINDA ( MORHANA )")</f>
        <v>1</v>
      </c>
      <c r="R30" s="2">
        <f>COUNTIF(ABSEN!P:P,"HERLINDA ( MORHANA )")</f>
        <v>1</v>
      </c>
      <c r="S30" s="2">
        <f>COUNTIF(ABSEN!Q:Q,"HERLINDA ( MORHANA )")</f>
        <v>1</v>
      </c>
      <c r="T30" s="1084" t="s">
        <v>238</v>
      </c>
      <c r="U30" s="2">
        <f>COUNTIF(ABSEN!S:S,"HERLINDA ( MORHANA )")</f>
        <v>1</v>
      </c>
      <c r="V30" s="2">
        <f>COUNTIF(ABSEN!T:T,"HERLINDA ( MORHANA )")</f>
        <v>1</v>
      </c>
      <c r="W30" s="1207" t="s">
        <v>779</v>
      </c>
      <c r="X30" s="1207" t="s">
        <v>779</v>
      </c>
      <c r="Y30" s="2">
        <f>COUNTIF(ABSEN!W:W,"HERLINDA ( MORHANA )")</f>
        <v>1</v>
      </c>
      <c r="Z30" s="2">
        <f>COUNTIF(ABSEN!X:X,"HERLINDA ( MORHANA )")</f>
        <v>1</v>
      </c>
      <c r="AA30" s="1084" t="s">
        <v>238</v>
      </c>
      <c r="AB30" s="2">
        <f>COUNTIF(ABSEN!Z:Z,"HERLINDA ( MORHANA )")</f>
        <v>1</v>
      </c>
      <c r="AC30" s="2">
        <f>COUNTIF(ABSEN!AA:AA,"HERLINDA ( MORHANA )")</f>
        <v>1</v>
      </c>
      <c r="AD30" s="1207" t="s">
        <v>778</v>
      </c>
      <c r="AE30" s="1084" t="s">
        <v>239</v>
      </c>
      <c r="AF30" s="2">
        <f>COUNTIF(ABSEN!AD:AD,"HERLINDA ( MORHANA )")</f>
        <v>1</v>
      </c>
      <c r="AG30" s="2">
        <f>COUNTIF(ABSEN!AE:AE,"HERLINDA ( MORHANA )")</f>
        <v>1</v>
      </c>
      <c r="AH30" s="368">
        <f t="shared" si="13"/>
        <v>21</v>
      </c>
      <c r="AI30" s="365">
        <f t="shared" si="1"/>
        <v>0</v>
      </c>
      <c r="AJ30" s="241">
        <f t="shared" si="14"/>
        <v>1</v>
      </c>
      <c r="AK30" s="241">
        <f t="shared" si="15"/>
        <v>2</v>
      </c>
      <c r="AL30" s="241">
        <f t="shared" si="16"/>
        <v>4</v>
      </c>
      <c r="AM30" s="241">
        <f t="shared" si="17"/>
        <v>3</v>
      </c>
      <c r="AN30" s="241">
        <f t="shared" si="18"/>
        <v>0</v>
      </c>
      <c r="AO30" s="366">
        <f t="shared" si="19"/>
        <v>0</v>
      </c>
      <c r="AP30" s="366">
        <f t="shared" si="20"/>
        <v>0</v>
      </c>
      <c r="AQ30" s="367">
        <f t="shared" si="21"/>
        <v>0</v>
      </c>
      <c r="AR30" s="368">
        <f t="shared" si="22"/>
        <v>31</v>
      </c>
      <c r="AS30" s="365">
        <f t="shared" si="23"/>
        <v>0</v>
      </c>
      <c r="AT30" s="367">
        <f t="shared" si="24"/>
        <v>0</v>
      </c>
    </row>
    <row r="31" spans="1:48" s="373" customFormat="1" ht="35.25" customHeight="1">
      <c r="A31" s="370" t="s">
        <v>86</v>
      </c>
      <c r="B31" s="380" t="s">
        <v>115</v>
      </c>
      <c r="C31" s="1084" t="s">
        <v>239</v>
      </c>
      <c r="D31" s="2">
        <f>COUNTIF(ABSEN!B:B,"ASERI ( LAHAMI )")</f>
        <v>1</v>
      </c>
      <c r="E31" s="2">
        <f>COUNTIF(ABSEN!C:C,"ASERI ( LAHAMI )")</f>
        <v>1</v>
      </c>
      <c r="F31" s="1084" t="s">
        <v>238</v>
      </c>
      <c r="G31" s="2">
        <f>COUNTIF(ABSEN!E:E,"ASERI ( LAHAMI )")</f>
        <v>1</v>
      </c>
      <c r="H31" s="2">
        <f>COUNTIF(ABSEN!F:F,"ASERI ( LAHAMI )")</f>
        <v>1</v>
      </c>
      <c r="I31" s="2">
        <f>COUNTIF(ABSEN!G:G,"ASERI ( LAHAMI )")</f>
        <v>1</v>
      </c>
      <c r="J31" s="2">
        <f>COUNTIF(ABSEN!H:H,"ASERI ( LAHAMI )")</f>
        <v>1</v>
      </c>
      <c r="K31" s="2">
        <f>COUNTIF(ABSEN!I:I,"ASERI ( LAHAMI )")</f>
        <v>1</v>
      </c>
      <c r="L31" s="2">
        <f>COUNTIF(ABSEN!J:J,"ASERI ( LAHAMI )")</f>
        <v>1</v>
      </c>
      <c r="M31" s="1084" t="s">
        <v>239</v>
      </c>
      <c r="N31" s="1084" t="s">
        <v>238</v>
      </c>
      <c r="O31" s="2">
        <f>COUNTIF(ABSEN!M:M,"ASERI ( LAHAMI )")</f>
        <v>1</v>
      </c>
      <c r="P31" s="2">
        <f>COUNTIF(ABSEN!N:N,"ASERI ( LAHAMI )")</f>
        <v>1</v>
      </c>
      <c r="Q31" s="2">
        <f>COUNTIF(ABSEN!O:O,"ASERI ( LAHAMI )")</f>
        <v>1</v>
      </c>
      <c r="R31" s="2">
        <f>COUNTIF(ABSEN!P:P,"ASERI ( LAHAMI )")</f>
        <v>1</v>
      </c>
      <c r="S31" s="2">
        <f>COUNTIF(ABSEN!Q:Q,"ASERI ( LAHAMI )")</f>
        <v>1</v>
      </c>
      <c r="T31" s="1084" t="s">
        <v>238</v>
      </c>
      <c r="U31" s="2">
        <f>COUNTIF(ABSEN!S:S,"ASERI ( LAHAMI )")</f>
        <v>1</v>
      </c>
      <c r="V31" s="2">
        <f>COUNTIF(ABSEN!T:T,"ASERI ( LAHAMI )")</f>
        <v>1</v>
      </c>
      <c r="W31" s="2">
        <f>COUNTIF(ABSEN!U:U,"ASERI ( LAHAMI )")</f>
        <v>1</v>
      </c>
      <c r="X31" s="2">
        <f>COUNTIF(ABSEN!V:V,"ASERI ( LAHAMI )")</f>
        <v>1</v>
      </c>
      <c r="Y31" s="2">
        <f>COUNTIF(ABSEN!W:W,"ASERI ( LAHAMI )")</f>
        <v>1</v>
      </c>
      <c r="Z31" s="2">
        <f>COUNTIF(ABSEN!X:X,"ASERI ( LAHAMI )")</f>
        <v>1</v>
      </c>
      <c r="AA31" s="1084" t="s">
        <v>238</v>
      </c>
      <c r="AB31" s="2">
        <f>COUNTIF(ABSEN!Z:Z,"ASERI ( LAHAMI )")</f>
        <v>1</v>
      </c>
      <c r="AC31" s="2">
        <f>COUNTIF(ABSEN!AA:AA,"ASERI ( LAHAMI )")</f>
        <v>1</v>
      </c>
      <c r="AD31" s="2">
        <f>COUNTIF(ABSEN!AB:AB,"ASERI ( LAHAMI )")</f>
        <v>1</v>
      </c>
      <c r="AE31" s="1084" t="s">
        <v>239</v>
      </c>
      <c r="AF31" s="2">
        <f>COUNTIF(ABSEN!AD:AD,"ASERI ( LAHAMI )")</f>
        <v>1</v>
      </c>
      <c r="AG31" s="2">
        <f>COUNTIF(ABSEN!AE:AE,"ASERI ( LAHAMI )")</f>
        <v>1</v>
      </c>
      <c r="AH31" s="368">
        <f t="shared" si="13"/>
        <v>24</v>
      </c>
      <c r="AI31" s="365">
        <f t="shared" si="1"/>
        <v>0</v>
      </c>
      <c r="AJ31" s="241">
        <f t="shared" si="14"/>
        <v>0</v>
      </c>
      <c r="AK31" s="241">
        <f t="shared" si="15"/>
        <v>0</v>
      </c>
      <c r="AL31" s="241">
        <f t="shared" si="16"/>
        <v>4</v>
      </c>
      <c r="AM31" s="241">
        <f t="shared" si="17"/>
        <v>3</v>
      </c>
      <c r="AN31" s="241">
        <f t="shared" si="18"/>
        <v>0</v>
      </c>
      <c r="AO31" s="366">
        <f t="shared" si="19"/>
        <v>0</v>
      </c>
      <c r="AP31" s="366">
        <f t="shared" si="20"/>
        <v>0</v>
      </c>
      <c r="AQ31" s="367">
        <f t="shared" si="21"/>
        <v>0</v>
      </c>
      <c r="AR31" s="368">
        <f t="shared" si="22"/>
        <v>31</v>
      </c>
      <c r="AS31" s="365">
        <f t="shared" si="23"/>
        <v>0</v>
      </c>
      <c r="AT31" s="367">
        <f t="shared" si="24"/>
        <v>0</v>
      </c>
      <c r="AV31" s="375"/>
    </row>
    <row r="32" spans="1:48" s="373" customFormat="1" ht="35.25" customHeight="1">
      <c r="A32" s="370" t="s">
        <v>91</v>
      </c>
      <c r="B32" s="372" t="s">
        <v>137</v>
      </c>
      <c r="C32" s="1084" t="s">
        <v>239</v>
      </c>
      <c r="D32" s="2">
        <f>COUNTIF(ABSEN!B:B,"ADI SUSANTO ( ROHIDA )")</f>
        <v>1</v>
      </c>
      <c r="E32" s="2">
        <f>COUNTIF(ABSEN!C:C,"ADI SUSANTO ( ROHIDA )")</f>
        <v>1</v>
      </c>
      <c r="F32" s="1084" t="s">
        <v>238</v>
      </c>
      <c r="G32" s="2">
        <f>COUNTIF(ABSEN!E:E,"ADI SUSANTO ( ROHIDA )")</f>
        <v>1</v>
      </c>
      <c r="H32" s="2">
        <f>COUNTIF(ABSEN!F:F,"ADI SUSANTO ( ROHIDA )")</f>
        <v>1</v>
      </c>
      <c r="I32" s="2">
        <f>COUNTIF(ABSEN!G:G,"ADI SUSANTO ( ROHIDA )")</f>
        <v>1</v>
      </c>
      <c r="J32" s="2">
        <f>COUNTIF(ABSEN!H:H,"ADI SUSANTO ( ROHIDA )")</f>
        <v>1</v>
      </c>
      <c r="K32" s="2">
        <f>COUNTIF(ABSEN!I:I,"ADI SUSANTO ( ROHIDA )")</f>
        <v>1</v>
      </c>
      <c r="L32" s="2">
        <f>COUNTIF(ABSEN!J:J,"ADI SUSANTO ( ROHIDA )")</f>
        <v>1</v>
      </c>
      <c r="M32" s="1084" t="s">
        <v>239</v>
      </c>
      <c r="N32" s="1084" t="s">
        <v>238</v>
      </c>
      <c r="O32" s="2">
        <f>COUNTIF(ABSEN!M:M,"ADI SUSANTO ( ROHIDA )")</f>
        <v>1</v>
      </c>
      <c r="P32" s="2">
        <f>COUNTIF(ABSEN!N:N,"ADI SUSANTO ( ROHIDA )")</f>
        <v>1</v>
      </c>
      <c r="Q32" s="2">
        <f>COUNTIF(ABSEN!O:O,"ADI SUSANTO ( ROHIDA )")</f>
        <v>1</v>
      </c>
      <c r="R32" s="2">
        <f>COUNTIF(ABSEN!P:P,"ADI SUSANTO ( ROHIDA )")</f>
        <v>1</v>
      </c>
      <c r="S32" s="2">
        <f>COUNTIF(ABSEN!Q:Q,"ADI SUSANTO ( ROHIDA )")</f>
        <v>1</v>
      </c>
      <c r="T32" s="1084" t="s">
        <v>238</v>
      </c>
      <c r="U32" s="2">
        <f>COUNTIF(ABSEN!S:S,"ADI SUSANTO ( ROHIDA )")</f>
        <v>1</v>
      </c>
      <c r="V32" s="2">
        <f>COUNTIF(ABSEN!T:T,"ADI SUSANTO ( ROHIDA )")</f>
        <v>1</v>
      </c>
      <c r="W32" s="2">
        <f>COUNTIF(ABSEN!U:U,"ADI SUSANTO ( ROHIDA )")</f>
        <v>1</v>
      </c>
      <c r="X32" s="2">
        <f>COUNTIF(ABSEN!V:V,"ADI SUSANTO ( ROHIDA )")</f>
        <v>1</v>
      </c>
      <c r="Y32" s="2">
        <f>COUNTIF(ABSEN!W:W,"ADI SUSANTO ( ROHIDA )")</f>
        <v>1</v>
      </c>
      <c r="Z32" s="2">
        <f>COUNTIF(ABSEN!X:X,"ADI SUSANTO ( ROHIDA )")</f>
        <v>1</v>
      </c>
      <c r="AA32" s="1084" t="s">
        <v>238</v>
      </c>
      <c r="AB32" s="2">
        <f>COUNTIF(ABSEN!Z:Z,"ADI SUSANTO ( ROHIDA )")</f>
        <v>1</v>
      </c>
      <c r="AC32" s="2">
        <f>COUNTIF(ABSEN!AA:AA,"ADI SUSANTO ( ROHIDA )")</f>
        <v>1</v>
      </c>
      <c r="AD32" s="2">
        <f>COUNTIF(ABSEN!AB:AB,"ADI SUSANTO ( ROHIDA )")</f>
        <v>1</v>
      </c>
      <c r="AE32" s="1084" t="s">
        <v>239</v>
      </c>
      <c r="AF32" s="2">
        <f>COUNTIF(ABSEN!AD:AD,"ADI SUSANTO ( ROHIDA )")</f>
        <v>1</v>
      </c>
      <c r="AG32" s="2">
        <f>COUNTIF(ABSEN!AE:AE,"ADI SUSANTO ( ROHIDA )")</f>
        <v>1</v>
      </c>
      <c r="AH32" s="368">
        <f t="shared" si="13"/>
        <v>24</v>
      </c>
      <c r="AI32" s="365">
        <f t="shared" si="1"/>
        <v>0</v>
      </c>
      <c r="AJ32" s="241">
        <f t="shared" si="14"/>
        <v>0</v>
      </c>
      <c r="AK32" s="241">
        <f t="shared" si="15"/>
        <v>0</v>
      </c>
      <c r="AL32" s="241">
        <f t="shared" si="16"/>
        <v>4</v>
      </c>
      <c r="AM32" s="241">
        <f t="shared" si="17"/>
        <v>3</v>
      </c>
      <c r="AN32" s="241">
        <f t="shared" si="18"/>
        <v>0</v>
      </c>
      <c r="AO32" s="366">
        <f t="shared" si="19"/>
        <v>0</v>
      </c>
      <c r="AP32" s="366">
        <f t="shared" si="20"/>
        <v>0</v>
      </c>
      <c r="AQ32" s="367">
        <f t="shared" si="21"/>
        <v>0</v>
      </c>
      <c r="AR32" s="368">
        <f t="shared" si="22"/>
        <v>31</v>
      </c>
      <c r="AS32" s="365">
        <f t="shared" si="23"/>
        <v>0</v>
      </c>
      <c r="AT32" s="367">
        <f t="shared" si="24"/>
        <v>0</v>
      </c>
      <c r="AV32" s="375"/>
    </row>
    <row r="33" spans="1:48" s="373" customFormat="1" ht="35.25" customHeight="1">
      <c r="A33" s="370" t="s">
        <v>92</v>
      </c>
      <c r="B33" s="378" t="s">
        <v>212</v>
      </c>
      <c r="C33" s="1084" t="s">
        <v>239</v>
      </c>
      <c r="D33" s="2">
        <f>COUNTIF(ABSEN!B:B,"ANSITA ( SUMIATI )")</f>
        <v>1</v>
      </c>
      <c r="E33" s="1207" t="s">
        <v>777</v>
      </c>
      <c r="F33" s="1084" t="s">
        <v>238</v>
      </c>
      <c r="G33" s="2">
        <f>COUNTIF(ABSEN!E:E,"ANSITA ( SUMIATI )")</f>
        <v>1</v>
      </c>
      <c r="H33" s="2">
        <f>COUNTIF(ABSEN!F:F,"ANSITA ( SUMIATI )")</f>
        <v>1</v>
      </c>
      <c r="I33" s="2">
        <f>COUNTIF(ABSEN!G:G,"ANSITA ( SUMIATI )")</f>
        <v>1</v>
      </c>
      <c r="J33" s="2">
        <f>COUNTIF(ABSEN!H:H,"ANSITA ( SUMIATI )")</f>
        <v>1</v>
      </c>
      <c r="K33" s="2">
        <f>COUNTIF(ABSEN!I:I,"ANSITA ( SUMIATI )")</f>
        <v>1</v>
      </c>
      <c r="L33" s="2">
        <f>COUNTIF(ABSEN!J:J,"ANSITA ( SUMIATI )")</f>
        <v>1</v>
      </c>
      <c r="M33" s="1084" t="s">
        <v>239</v>
      </c>
      <c r="N33" s="1084" t="s">
        <v>238</v>
      </c>
      <c r="O33" s="2">
        <f>COUNTIF(ABSEN!M:M,"ANSITA ( SUMIATI )")</f>
        <v>1</v>
      </c>
      <c r="P33" s="1207" t="s">
        <v>779</v>
      </c>
      <c r="Q33" s="1207" t="s">
        <v>779</v>
      </c>
      <c r="R33" s="1207" t="s">
        <v>778</v>
      </c>
      <c r="S33" s="2">
        <f>COUNTIF(ABSEN!Q:Q,"ANSITA ( SUMIATI )")</f>
        <v>1</v>
      </c>
      <c r="T33" s="1084" t="s">
        <v>238</v>
      </c>
      <c r="U33" s="2">
        <f>COUNTIF(ABSEN!S:S,"ANSITA ( SUMIATI )")</f>
        <v>1</v>
      </c>
      <c r="V33" s="2">
        <f>COUNTIF(ABSEN!T:T,"ANSITA ( SUMIATI )")</f>
        <v>1</v>
      </c>
      <c r="W33" s="2">
        <f>COUNTIF(ABSEN!U:U,"ANSITA ( SUMIATI )")</f>
        <v>1</v>
      </c>
      <c r="X33" s="2">
        <f>COUNTIF(ABSEN!V:V,"ANSITA ( SUMIATI )")</f>
        <v>1</v>
      </c>
      <c r="Y33" s="2">
        <f>COUNTIF(ABSEN!W:W,"ANSITA ( SUMIATI )")</f>
        <v>1</v>
      </c>
      <c r="Z33" s="2">
        <f>COUNTIF(ABSEN!X:X,"ANSITA ( SUMIATI )")</f>
        <v>1</v>
      </c>
      <c r="AA33" s="1084" t="s">
        <v>238</v>
      </c>
      <c r="AB33" s="2">
        <f>COUNTIF(ABSEN!Z:Z,"ANSITA ( SUMIATI )")</f>
        <v>1</v>
      </c>
      <c r="AC33" s="2">
        <f>COUNTIF(ABSEN!AA:AA,"ANSITA ( SUMIATI )")</f>
        <v>1</v>
      </c>
      <c r="AD33" s="2">
        <f>COUNTIF(ABSEN!AB:AB,"ANSITA ( SUMIATI )")</f>
        <v>1</v>
      </c>
      <c r="AE33" s="1084" t="s">
        <v>239</v>
      </c>
      <c r="AF33" s="2">
        <f>COUNTIF(ABSEN!AD:AD,"ANSITA ( SUMIATI )")</f>
        <v>1</v>
      </c>
      <c r="AG33" s="2">
        <f>COUNTIF(ABSEN!AE:AE,"ANSITA ( SUMIATI )")</f>
        <v>1</v>
      </c>
      <c r="AH33" s="368">
        <f t="shared" si="13"/>
        <v>20</v>
      </c>
      <c r="AI33" s="365">
        <f t="shared" ref="AI33" si="25">COUNTIF(C33:AG33,"CT")</f>
        <v>1</v>
      </c>
      <c r="AJ33" s="241">
        <f t="shared" si="14"/>
        <v>1</v>
      </c>
      <c r="AK33" s="241">
        <f t="shared" si="15"/>
        <v>2</v>
      </c>
      <c r="AL33" s="241">
        <f t="shared" si="16"/>
        <v>4</v>
      </c>
      <c r="AM33" s="241">
        <f t="shared" si="17"/>
        <v>3</v>
      </c>
      <c r="AN33" s="241">
        <f t="shared" si="18"/>
        <v>0</v>
      </c>
      <c r="AO33" s="366">
        <f t="shared" si="19"/>
        <v>0</v>
      </c>
      <c r="AP33" s="366">
        <f t="shared" si="20"/>
        <v>0</v>
      </c>
      <c r="AQ33" s="367">
        <f t="shared" si="21"/>
        <v>0</v>
      </c>
      <c r="AR33" s="368">
        <f t="shared" si="22"/>
        <v>31</v>
      </c>
      <c r="AS33" s="365">
        <f t="shared" si="23"/>
        <v>0</v>
      </c>
      <c r="AT33" s="367">
        <f t="shared" si="24"/>
        <v>0</v>
      </c>
      <c r="AV33" s="375"/>
    </row>
    <row r="34" spans="1:48" s="373" customFormat="1" ht="35.25" customHeight="1">
      <c r="A34" s="370" t="s">
        <v>93</v>
      </c>
      <c r="B34" s="380" t="s">
        <v>375</v>
      </c>
      <c r="C34" s="1084" t="s">
        <v>239</v>
      </c>
      <c r="D34" s="2">
        <f>COUNTIF(ABSEN!B:B,"ASNAWATI ( JERIMA )")</f>
        <v>1</v>
      </c>
      <c r="E34" s="2">
        <f>COUNTIF(ABSEN!C:C,"ASNAWATI ( JERIMA )")</f>
        <v>1</v>
      </c>
      <c r="F34" s="1084" t="s">
        <v>238</v>
      </c>
      <c r="G34" s="2">
        <f>COUNTIF(ABSEN!E:E,"ASNAWATI ( JERIMA )")</f>
        <v>1</v>
      </c>
      <c r="H34" s="2">
        <f>COUNTIF(ABSEN!F:F,"ASNAWATI ( JERIMA )")</f>
        <v>1</v>
      </c>
      <c r="I34" s="2">
        <f>COUNTIF(ABSEN!G:G,"ASNAWATI ( JERIMA )")</f>
        <v>1</v>
      </c>
      <c r="J34" s="1207" t="s">
        <v>778</v>
      </c>
      <c r="K34" s="1207" t="s">
        <v>779</v>
      </c>
      <c r="L34" s="1207" t="s">
        <v>779</v>
      </c>
      <c r="M34" s="1084" t="s">
        <v>239</v>
      </c>
      <c r="N34" s="1084" t="s">
        <v>238</v>
      </c>
      <c r="O34" s="2">
        <f>COUNTIF(ABSEN!M:M,"ASNAWATI ( JERIMA )")</f>
        <v>1</v>
      </c>
      <c r="P34" s="2">
        <f>COUNTIF(ABSEN!N:N,"ASNAWATI ( JERIMA )")</f>
        <v>1</v>
      </c>
      <c r="Q34" s="2">
        <f>COUNTIF(ABSEN!O:O,"ASNAWATI ( JERIMA )")</f>
        <v>1</v>
      </c>
      <c r="R34" s="2">
        <f>COUNTIF(ABSEN!P:P,"ASNAWATI ( JERIMA )")</f>
        <v>1</v>
      </c>
      <c r="S34" s="2">
        <f>COUNTIF(ABSEN!Q:Q,"ASNAWATI ( JERIMA )")</f>
        <v>1</v>
      </c>
      <c r="T34" s="1084" t="s">
        <v>238</v>
      </c>
      <c r="U34" s="2">
        <f>COUNTIF(ABSEN!S:S,"ASNAWATI ( JERIMA )")</f>
        <v>1</v>
      </c>
      <c r="V34" s="2">
        <f>COUNTIF(ABSEN!T:T,"ASNAWATI ( JERIMA )")</f>
        <v>1</v>
      </c>
      <c r="W34" s="2">
        <f>COUNTIF(ABSEN!U:U,"ASNAWATI ( JERIMA )")</f>
        <v>1</v>
      </c>
      <c r="X34" s="2">
        <f>COUNTIF(ABSEN!V:V,"ASNAWATI ( JERIMA )")</f>
        <v>1</v>
      </c>
      <c r="Y34" s="2">
        <f>COUNTIF(ABSEN!W:W,"ASNAWATI ( JERIMA )")</f>
        <v>1</v>
      </c>
      <c r="Z34" s="2">
        <f>COUNTIF(ABSEN!X:X,"ASNAWATI ( JERIMA )")</f>
        <v>1</v>
      </c>
      <c r="AA34" s="1084" t="s">
        <v>238</v>
      </c>
      <c r="AB34" s="2">
        <f>COUNTIF(ABSEN!Z:Z,"ASNAWATI ( JERIMA )")</f>
        <v>1</v>
      </c>
      <c r="AC34" s="2">
        <f>COUNTIF(ABSEN!AA:AA,"ASNAWATI ( JERIMA )")</f>
        <v>1</v>
      </c>
      <c r="AD34" s="2">
        <f>COUNTIF(ABSEN!AB:AB,"ASNAWATI ( JERIMA )")</f>
        <v>1</v>
      </c>
      <c r="AE34" s="1084" t="s">
        <v>239</v>
      </c>
      <c r="AF34" s="2">
        <f>COUNTIF(ABSEN!AD:AD,"ASNAWATI ( JERIMA )")</f>
        <v>1</v>
      </c>
      <c r="AG34" s="2">
        <f>COUNTIF(ABSEN!AE:AE,"ASNAWATI ( JERIMA )")</f>
        <v>1</v>
      </c>
      <c r="AH34" s="368">
        <f t="shared" si="13"/>
        <v>21</v>
      </c>
      <c r="AI34" s="365">
        <f t="shared" si="1"/>
        <v>0</v>
      </c>
      <c r="AJ34" s="241">
        <f t="shared" si="14"/>
        <v>1</v>
      </c>
      <c r="AK34" s="241">
        <f t="shared" si="15"/>
        <v>2</v>
      </c>
      <c r="AL34" s="241">
        <f t="shared" si="16"/>
        <v>4</v>
      </c>
      <c r="AM34" s="241">
        <f t="shared" si="17"/>
        <v>3</v>
      </c>
      <c r="AN34" s="241">
        <f t="shared" si="18"/>
        <v>0</v>
      </c>
      <c r="AO34" s="366">
        <f t="shared" si="19"/>
        <v>0</v>
      </c>
      <c r="AP34" s="366">
        <f t="shared" si="20"/>
        <v>0</v>
      </c>
      <c r="AQ34" s="367">
        <f t="shared" si="21"/>
        <v>0</v>
      </c>
      <c r="AR34" s="368">
        <f t="shared" si="22"/>
        <v>31</v>
      </c>
      <c r="AS34" s="365">
        <f t="shared" si="23"/>
        <v>0</v>
      </c>
      <c r="AT34" s="367">
        <f t="shared" si="24"/>
        <v>0</v>
      </c>
      <c r="AV34" s="375"/>
    </row>
    <row r="35" spans="1:48" s="373" customFormat="1" ht="35.25" customHeight="1">
      <c r="A35" s="370" t="s">
        <v>94</v>
      </c>
      <c r="B35" s="372" t="s">
        <v>376</v>
      </c>
      <c r="C35" s="1084" t="s">
        <v>239</v>
      </c>
      <c r="D35" s="2">
        <f>COUNTIF(ABSEN!B:B,"HATINAH ( MAHINEM )")</f>
        <v>1</v>
      </c>
      <c r="E35" s="2">
        <f>COUNTIF(ABSEN!C:C,"HATINAH ( MAHINEM )")</f>
        <v>1</v>
      </c>
      <c r="F35" s="1084" t="s">
        <v>238</v>
      </c>
      <c r="G35" s="2">
        <f>COUNTIF(ABSEN!E:E,"HATINAH ( MAHINEM )")</f>
        <v>1</v>
      </c>
      <c r="H35" s="2">
        <f>COUNTIF(ABSEN!F:F,"HATINAH ( MAHINEM )")</f>
        <v>1</v>
      </c>
      <c r="I35" s="2">
        <f>COUNTIF(ABSEN!G:G,"HATINAH ( MAHINEM )")</f>
        <v>1</v>
      </c>
      <c r="J35" s="2">
        <f>COUNTIF(ABSEN!H:H,"HATINAH ( MAHINEM )")</f>
        <v>1</v>
      </c>
      <c r="K35" s="1207" t="s">
        <v>778</v>
      </c>
      <c r="L35" s="2">
        <f>COUNTIF(ABSEN!J:J,"HATINAH ( MAHINEM )")</f>
        <v>1</v>
      </c>
      <c r="M35" s="1084" t="s">
        <v>239</v>
      </c>
      <c r="N35" s="1084" t="s">
        <v>238</v>
      </c>
      <c r="O35" s="2">
        <f>COUNTIF(ABSEN!M:M,"HATINAH ( MAHINEM )")</f>
        <v>1</v>
      </c>
      <c r="P35" s="1207" t="s">
        <v>779</v>
      </c>
      <c r="Q35" s="1207" t="s">
        <v>779</v>
      </c>
      <c r="R35" s="2">
        <f>COUNTIF(ABSEN!P:P,"HATINAH ( MAHINEM )")</f>
        <v>1</v>
      </c>
      <c r="S35" s="2">
        <f>COUNTIF(ABSEN!Q:Q,"HATINAH ( MAHINEM )")</f>
        <v>1</v>
      </c>
      <c r="T35" s="1084" t="s">
        <v>238</v>
      </c>
      <c r="U35" s="2">
        <f>COUNTIF(ABSEN!S:S,"HATINAH ( MAHINEM )")</f>
        <v>1</v>
      </c>
      <c r="V35" s="2">
        <f>COUNTIF(ABSEN!T:T,"HATINAH ( MAHINEM )")</f>
        <v>1</v>
      </c>
      <c r="W35" s="2">
        <f>COUNTIF(ABSEN!U:U,"HATINAH ( MAHINEM )")</f>
        <v>1</v>
      </c>
      <c r="X35" s="2">
        <f>COUNTIF(ABSEN!V:V,"HATINAH ( MAHINEM )")</f>
        <v>1</v>
      </c>
      <c r="Y35" s="2">
        <f>COUNTIF(ABSEN!W:W,"HATINAH ( MAHINEM )")</f>
        <v>1</v>
      </c>
      <c r="Z35" s="1207" t="s">
        <v>777</v>
      </c>
      <c r="AA35" s="1084" t="s">
        <v>238</v>
      </c>
      <c r="AB35" s="2">
        <f>COUNTIF(ABSEN!Z:Z,"HATINAH ( MAHINEM )")</f>
        <v>1</v>
      </c>
      <c r="AC35" s="2">
        <f>COUNTIF(ABSEN!AA:AA,"HATINAH ( MAHINEM )")</f>
        <v>1</v>
      </c>
      <c r="AD35" s="2">
        <f>COUNTIF(ABSEN!AB:AB,"HATINAH ( MAHINEM )")</f>
        <v>1</v>
      </c>
      <c r="AE35" s="1084" t="s">
        <v>239</v>
      </c>
      <c r="AF35" s="2">
        <f>COUNTIF(ABSEN!AD:AD,"HATINAH ( MAHINEM )")</f>
        <v>1</v>
      </c>
      <c r="AG35" s="2">
        <f>COUNTIF(ABSEN!AE:AE,"HATINAH ( MAHINEM )")</f>
        <v>1</v>
      </c>
      <c r="AH35" s="368">
        <f t="shared" si="13"/>
        <v>20</v>
      </c>
      <c r="AI35" s="365">
        <f t="shared" si="1"/>
        <v>1</v>
      </c>
      <c r="AJ35" s="241">
        <f t="shared" si="14"/>
        <v>1</v>
      </c>
      <c r="AK35" s="241">
        <f t="shared" si="15"/>
        <v>2</v>
      </c>
      <c r="AL35" s="241">
        <f t="shared" si="16"/>
        <v>4</v>
      </c>
      <c r="AM35" s="241">
        <f t="shared" si="17"/>
        <v>3</v>
      </c>
      <c r="AN35" s="241">
        <f t="shared" si="18"/>
        <v>0</v>
      </c>
      <c r="AO35" s="366">
        <f t="shared" si="19"/>
        <v>0</v>
      </c>
      <c r="AP35" s="366">
        <f t="shared" si="20"/>
        <v>0</v>
      </c>
      <c r="AQ35" s="367">
        <f t="shared" si="21"/>
        <v>0</v>
      </c>
      <c r="AR35" s="368">
        <f t="shared" si="22"/>
        <v>31</v>
      </c>
      <c r="AS35" s="365">
        <f t="shared" si="23"/>
        <v>0</v>
      </c>
      <c r="AT35" s="367">
        <f t="shared" si="24"/>
        <v>0</v>
      </c>
      <c r="AV35" s="375"/>
    </row>
    <row r="36" spans="1:48" s="373" customFormat="1" ht="35.25" customHeight="1">
      <c r="A36" s="370" t="s">
        <v>95</v>
      </c>
      <c r="B36" s="380" t="s">
        <v>377</v>
      </c>
      <c r="C36" s="1084" t="s">
        <v>239</v>
      </c>
      <c r="D36" s="2">
        <f>COUNTIF(ABSEN!B:B,"JUANDI ( PINA )")</f>
        <v>1</v>
      </c>
      <c r="E36" s="1207" t="s">
        <v>777</v>
      </c>
      <c r="F36" s="1084" t="s">
        <v>238</v>
      </c>
      <c r="G36" s="2" t="s">
        <v>780</v>
      </c>
      <c r="H36" s="2">
        <f>COUNTIF(ABSEN!F:F,"JUANDI ( PINA )")</f>
        <v>1</v>
      </c>
      <c r="I36" s="2">
        <f>COUNTIF(ABSEN!G:G,"JUANDI ( PINA )")</f>
        <v>1</v>
      </c>
      <c r="J36" s="2">
        <f>COUNTIF(ABSEN!H:H,"JUANDI ( PINA )")</f>
        <v>1</v>
      </c>
      <c r="K36" s="1207" t="s">
        <v>778</v>
      </c>
      <c r="L36" s="2">
        <f>COUNTIF(ABSEN!J:J,"JUANDI ( PINA )")</f>
        <v>1</v>
      </c>
      <c r="M36" s="1084" t="s">
        <v>239</v>
      </c>
      <c r="N36" s="1084" t="s">
        <v>238</v>
      </c>
      <c r="O36" s="2">
        <f>COUNTIF(ABSEN!M:M,"JUANDI ( PINA )")</f>
        <v>1</v>
      </c>
      <c r="P36" s="2" t="s">
        <v>780</v>
      </c>
      <c r="Q36" s="2">
        <f>COUNTIF(ABSEN!O:O,"JUANDI ( PINA )")</f>
        <v>1</v>
      </c>
      <c r="R36" s="2">
        <f>COUNTIF(ABSEN!P:P,"JUANDI ( PINA )")</f>
        <v>1</v>
      </c>
      <c r="S36" s="2">
        <f>COUNTIF(ABSEN!Q:Q,"JUANDI ( PINA )")</f>
        <v>1</v>
      </c>
      <c r="T36" s="1084" t="s">
        <v>238</v>
      </c>
      <c r="U36" s="2">
        <f>COUNTIF(ABSEN!S:S,"JUANDI ( PINA )")</f>
        <v>1</v>
      </c>
      <c r="V36" s="2">
        <f>COUNTIF(ABSEN!T:T,"JUANDI ( PINA )")</f>
        <v>1</v>
      </c>
      <c r="W36" s="2">
        <f>COUNTIF(ABSEN!U:U,"JUANDI ( PINA )")</f>
        <v>1</v>
      </c>
      <c r="X36" s="1207" t="s">
        <v>778</v>
      </c>
      <c r="Y36" s="2">
        <f>COUNTIF(ABSEN!W:W,"JUANDI ( PINA )")</f>
        <v>1</v>
      </c>
      <c r="Z36" s="2">
        <f>COUNTIF(ABSEN!X:X,"JUANDI ( PINA )")</f>
        <v>1</v>
      </c>
      <c r="AA36" s="1084" t="s">
        <v>238</v>
      </c>
      <c r="AB36" s="2">
        <f>COUNTIF(ABSEN!Z:Z,"JUANDI ( PINA )")</f>
        <v>1</v>
      </c>
      <c r="AC36" s="2">
        <f>COUNTIF(ABSEN!AA:AA,"JUANDI ( PINA )")</f>
        <v>1</v>
      </c>
      <c r="AD36" s="2">
        <f>COUNTIF(ABSEN!AB:AB,"JUANDI ( PINA )")</f>
        <v>1</v>
      </c>
      <c r="AE36" s="1084" t="s">
        <v>239</v>
      </c>
      <c r="AF36" s="1207" t="s">
        <v>42</v>
      </c>
      <c r="AG36" s="2">
        <f>COUNTIF(ABSEN!AE:AE,"JUANDI ( PINA )")</f>
        <v>1</v>
      </c>
      <c r="AH36" s="368">
        <f t="shared" si="13"/>
        <v>18</v>
      </c>
      <c r="AI36" s="365">
        <f t="shared" si="1"/>
        <v>1</v>
      </c>
      <c r="AJ36" s="241">
        <f t="shared" si="14"/>
        <v>2</v>
      </c>
      <c r="AK36" s="241">
        <f t="shared" si="15"/>
        <v>0</v>
      </c>
      <c r="AL36" s="241">
        <f t="shared" si="16"/>
        <v>4</v>
      </c>
      <c r="AM36" s="241">
        <f t="shared" si="17"/>
        <v>3</v>
      </c>
      <c r="AN36" s="241">
        <f t="shared" si="18"/>
        <v>0</v>
      </c>
      <c r="AO36" s="366">
        <f t="shared" si="19"/>
        <v>0</v>
      </c>
      <c r="AP36" s="366">
        <f t="shared" si="20"/>
        <v>0</v>
      </c>
      <c r="AQ36" s="367">
        <f t="shared" si="21"/>
        <v>0</v>
      </c>
      <c r="AR36" s="368">
        <f t="shared" si="22"/>
        <v>28</v>
      </c>
      <c r="AS36" s="365">
        <f t="shared" si="23"/>
        <v>1</v>
      </c>
      <c r="AT36" s="367">
        <f t="shared" si="24"/>
        <v>2</v>
      </c>
      <c r="AV36" s="375"/>
    </row>
    <row r="37" spans="1:48" s="1212" customFormat="1" ht="35.25" customHeight="1">
      <c r="A37" s="1204" t="s">
        <v>96</v>
      </c>
      <c r="B37" s="1205" t="s">
        <v>378</v>
      </c>
      <c r="C37" s="1206" t="s">
        <v>239</v>
      </c>
      <c r="D37" s="1207">
        <f>COUNTIF(ABSEN!B:B,"ALI SADIKIN ( RAHMA )")</f>
        <v>1</v>
      </c>
      <c r="E37" s="1207">
        <f>COUNTIF(ABSEN!C:C,"ALI SADIKIN ( RAHMA )")</f>
        <v>1</v>
      </c>
      <c r="F37" s="1206" t="s">
        <v>238</v>
      </c>
      <c r="G37" s="1207">
        <f>COUNTIF(ABSEN!E:E,"ALI SADIKIN ( RAHMA )")</f>
        <v>1</v>
      </c>
      <c r="H37" s="1207">
        <f>COUNTIF(ABSEN!F:F,"ALI SADIKIN ( RAHMA )")</f>
        <v>0</v>
      </c>
      <c r="I37" s="1207">
        <f>COUNTIF(ABSEN!G:G,"ALI SADIKIN ( RAHMA )")</f>
        <v>0</v>
      </c>
      <c r="J37" s="1207">
        <f>COUNTIF(ABSEN!H:H,"ALI SADIKIN ( RAHMA )")</f>
        <v>0</v>
      </c>
      <c r="K37" s="1207">
        <f>COUNTIF(ABSEN!I:I,"ALI SADIKIN ( RAHMA )")</f>
        <v>0</v>
      </c>
      <c r="L37" s="1207">
        <f>COUNTIF(ABSEN!J:J,"ALI SADIKIN ( RAHMA )")</f>
        <v>0</v>
      </c>
      <c r="M37" s="1206"/>
      <c r="N37" s="1206"/>
      <c r="O37" s="1207">
        <f>COUNTIF(ABSEN!M:M,"ALI SADIKIN ( RAHMA )")</f>
        <v>0</v>
      </c>
      <c r="P37" s="1207">
        <f>COUNTIF(ABSEN!N:N,"ALI SADIKIN ( RAHMA )")</f>
        <v>0</v>
      </c>
      <c r="Q37" s="1207">
        <f>COUNTIF(ABSEN!O:O,"ALI SADIKIN ( RAHMA )")</f>
        <v>0</v>
      </c>
      <c r="R37" s="1207">
        <f>COUNTIF(ABSEN!P:P,"ALI SADIKIN ( RAHMA )")</f>
        <v>0</v>
      </c>
      <c r="S37" s="1207">
        <f>COUNTIF(ABSEN!Q:Q,"ALI SADIKIN ( RAHMA )")</f>
        <v>0</v>
      </c>
      <c r="T37" s="1206"/>
      <c r="U37" s="1207">
        <f>COUNTIF(ABSEN!S:S,"ALI SADIKIN ( RAHMA )")</f>
        <v>0</v>
      </c>
      <c r="V37" s="1207">
        <f>COUNTIF(ABSEN!T:T,"ALI SADIKIN ( RAHMA )")</f>
        <v>0</v>
      </c>
      <c r="W37" s="1207">
        <f>COUNTIF(ABSEN!U:U,"ALI SADIKIN ( RAHMA )")</f>
        <v>0</v>
      </c>
      <c r="X37" s="1207">
        <f>COUNTIF(ABSEN!V:V,"ALI SADIKIN ( RAHMA )")</f>
        <v>0</v>
      </c>
      <c r="Y37" s="1207">
        <f>COUNTIF(ABSEN!W:W,"ALI SADIKIN ( RAHMA )")</f>
        <v>0</v>
      </c>
      <c r="Z37" s="1207">
        <f>COUNTIF(ABSEN!X:X,"ALI SADIKIN ( RAHMA )")</f>
        <v>0</v>
      </c>
      <c r="AA37" s="1206"/>
      <c r="AB37" s="1207">
        <f>COUNTIF(ABSEN!Z:Z,"ALI SADIKIN ( RAHMA )")</f>
        <v>0</v>
      </c>
      <c r="AC37" s="1207">
        <f>COUNTIF(ABSEN!AA:AA,"ALI SADIKIN ( RAHMA )")</f>
        <v>0</v>
      </c>
      <c r="AD37" s="1207">
        <f>COUNTIF(ABSEN!AB:AB,"ALI SADIKIN ( RAHMA )")</f>
        <v>0</v>
      </c>
      <c r="AE37" s="1206"/>
      <c r="AF37" s="1207">
        <f>COUNTIF(ABSEN!AD:AD,"ALI SADIKIN ( RAHMA )")</f>
        <v>0</v>
      </c>
      <c r="AG37" s="1207">
        <f>COUNTIF(ABSEN!AE:AE,"ALI SADIKIN ( RAHMA )")</f>
        <v>0</v>
      </c>
      <c r="AH37" s="1208">
        <f t="shared" si="13"/>
        <v>3</v>
      </c>
      <c r="AI37" s="1209">
        <f t="shared" si="1"/>
        <v>0</v>
      </c>
      <c r="AJ37" s="1206">
        <f t="shared" si="14"/>
        <v>0</v>
      </c>
      <c r="AK37" s="1206">
        <f t="shared" si="15"/>
        <v>0</v>
      </c>
      <c r="AL37" s="1206">
        <f t="shared" si="16"/>
        <v>1</v>
      </c>
      <c r="AM37" s="1206">
        <f t="shared" si="17"/>
        <v>1</v>
      </c>
      <c r="AN37" s="1206">
        <f t="shared" si="18"/>
        <v>0</v>
      </c>
      <c r="AO37" s="1210">
        <f t="shared" si="19"/>
        <v>0</v>
      </c>
      <c r="AP37" s="1210">
        <f t="shared" si="20"/>
        <v>0</v>
      </c>
      <c r="AQ37" s="1211">
        <f t="shared" si="21"/>
        <v>0</v>
      </c>
      <c r="AR37" s="1208">
        <f t="shared" si="22"/>
        <v>5</v>
      </c>
      <c r="AS37" s="1209">
        <f t="shared" si="23"/>
        <v>0</v>
      </c>
      <c r="AT37" s="1211">
        <f t="shared" si="24"/>
        <v>0</v>
      </c>
      <c r="AV37" s="1213"/>
    </row>
    <row r="38" spans="1:48" s="382" customFormat="1" ht="35.25" customHeight="1">
      <c r="A38" s="370" t="s">
        <v>364</v>
      </c>
      <c r="B38" s="384" t="s">
        <v>444</v>
      </c>
      <c r="C38" s="1084" t="s">
        <v>239</v>
      </c>
      <c r="D38" s="2">
        <f>COUNTIF(ABSEN!B:B,"HERIYANTO ( SENUNI )")</f>
        <v>1</v>
      </c>
      <c r="E38" s="2">
        <f>COUNTIF(ABSEN!C:C,"HERIYANTO ( SENUNI )")</f>
        <v>1</v>
      </c>
      <c r="F38" s="1084" t="s">
        <v>238</v>
      </c>
      <c r="G38" s="2">
        <f>COUNTIF(ABSEN!E:E,"HERIYANTO ( SENUNI )")</f>
        <v>1</v>
      </c>
      <c r="H38" s="2">
        <f>COUNTIF(ABSEN!F:F,"HERIYANTO ( SENUNI )")</f>
        <v>1</v>
      </c>
      <c r="I38" s="2">
        <f>COUNTIF(ABSEN!G:G,"HERIYANTO ( SENUNI )")</f>
        <v>1</v>
      </c>
      <c r="J38" s="2">
        <f>COUNTIF(ABSEN!H:H,"HERIYANTO ( SENUNI )")</f>
        <v>1</v>
      </c>
      <c r="K38" s="2">
        <f>COUNTIF(ABSEN!I:I,"HERIYANTO ( SENUNI )")</f>
        <v>1</v>
      </c>
      <c r="L38" s="2">
        <f>COUNTIF(ABSEN!J:J,"HERIYANTO ( SENUNI )")</f>
        <v>1</v>
      </c>
      <c r="M38" s="1084" t="s">
        <v>239</v>
      </c>
      <c r="N38" s="1084" t="s">
        <v>238</v>
      </c>
      <c r="O38" s="2">
        <f>COUNTIF(ABSEN!M:M,"HERIYANTO ( SENUNI )")</f>
        <v>1</v>
      </c>
      <c r="P38" s="2">
        <f>COUNTIF(ABSEN!N:N,"HERIYANTO ( SENUNI )")</f>
        <v>1</v>
      </c>
      <c r="Q38" s="2">
        <f>COUNTIF(ABSEN!O:O,"HERIYANTO ( SENUNI )")</f>
        <v>1</v>
      </c>
      <c r="R38" s="2">
        <f>COUNTIF(ABSEN!P:P,"HERIYANTO ( SENUNI )")</f>
        <v>1</v>
      </c>
      <c r="S38" s="2">
        <f>COUNTIF(ABSEN!Q:Q,"HERIYANTO ( SENUNI )")</f>
        <v>1</v>
      </c>
      <c r="T38" s="1084" t="s">
        <v>238</v>
      </c>
      <c r="U38" s="1207" t="s">
        <v>777</v>
      </c>
      <c r="V38" s="2">
        <f>COUNTIF(ABSEN!T:T,"HERIYANTO ( SENUNI )")</f>
        <v>1</v>
      </c>
      <c r="W38" s="2">
        <f>COUNTIF(ABSEN!U:U,"HERIYANTO ( SENUNI )")</f>
        <v>1</v>
      </c>
      <c r="X38" s="2">
        <f>COUNTIF(ABSEN!V:V,"HERIYANTO ( SENUNI )")</f>
        <v>1</v>
      </c>
      <c r="Y38" s="2">
        <f>COUNTIF(ABSEN!W:W,"HERIYANTO ( SENUNI )")</f>
        <v>1</v>
      </c>
      <c r="Z38" s="2">
        <f>COUNTIF(ABSEN!X:X,"HERIYANTO ( SENUNI )")</f>
        <v>1</v>
      </c>
      <c r="AA38" s="1084" t="s">
        <v>238</v>
      </c>
      <c r="AB38" s="2">
        <f>COUNTIF(ABSEN!Z:Z,"HERIYANTO ( SENUNI )")</f>
        <v>1</v>
      </c>
      <c r="AC38" s="2">
        <f>COUNTIF(ABSEN!AA:AA,"HERIYANTO ( SENUNI )")</f>
        <v>1</v>
      </c>
      <c r="AD38" s="2">
        <f>COUNTIF(ABSEN!AB:AB,"HERIYANTO ( SENUNI )")</f>
        <v>1</v>
      </c>
      <c r="AE38" s="1084" t="s">
        <v>239</v>
      </c>
      <c r="AF38" s="2">
        <f>COUNTIF(ABSEN!AD:AD,"HERIYANTO ( SENUNI )")</f>
        <v>1</v>
      </c>
      <c r="AG38" s="2">
        <f>COUNTIF(ABSEN!AE:AE,"HERIYANTO ( SENUNI )")</f>
        <v>1</v>
      </c>
      <c r="AH38" s="368">
        <f t="shared" si="13"/>
        <v>23</v>
      </c>
      <c r="AI38" s="365">
        <f t="shared" si="1"/>
        <v>1</v>
      </c>
      <c r="AJ38" s="241">
        <f t="shared" si="14"/>
        <v>0</v>
      </c>
      <c r="AK38" s="241">
        <f t="shared" si="15"/>
        <v>0</v>
      </c>
      <c r="AL38" s="241">
        <f t="shared" si="16"/>
        <v>4</v>
      </c>
      <c r="AM38" s="241">
        <f t="shared" si="17"/>
        <v>3</v>
      </c>
      <c r="AN38" s="241">
        <f t="shared" si="18"/>
        <v>0</v>
      </c>
      <c r="AO38" s="366">
        <f t="shared" si="19"/>
        <v>0</v>
      </c>
      <c r="AP38" s="366">
        <f t="shared" si="20"/>
        <v>0</v>
      </c>
      <c r="AQ38" s="367">
        <f t="shared" si="21"/>
        <v>0</v>
      </c>
      <c r="AR38" s="368">
        <f t="shared" si="22"/>
        <v>31</v>
      </c>
      <c r="AS38" s="365">
        <f t="shared" si="23"/>
        <v>0</v>
      </c>
      <c r="AT38" s="367">
        <f t="shared" si="24"/>
        <v>0</v>
      </c>
      <c r="AV38" s="383"/>
    </row>
    <row r="39" spans="1:48" s="382" customFormat="1" ht="35.25" customHeight="1" thickBot="1">
      <c r="A39" s="370" t="s">
        <v>365</v>
      </c>
      <c r="B39" s="384" t="s">
        <v>140</v>
      </c>
      <c r="C39" s="1084" t="s">
        <v>239</v>
      </c>
      <c r="D39" s="2">
        <f>COUNTIF(ABSEN!B:B,"SAHRUL (ZAINA)")</f>
        <v>1</v>
      </c>
      <c r="E39" s="2">
        <f>COUNTIF(ABSEN!C:C,"SAHRUL (ZAINA)")</f>
        <v>1</v>
      </c>
      <c r="F39" s="1084" t="s">
        <v>238</v>
      </c>
      <c r="G39" s="2">
        <f>COUNTIF(ABSEN!E:E,"SAHRUL (ZAINA)")</f>
        <v>1</v>
      </c>
      <c r="H39" s="2" t="s">
        <v>780</v>
      </c>
      <c r="I39" s="2">
        <f>COUNTIF(ABSEN!G:G,"SAHRUL (ZAINA)")</f>
        <v>1</v>
      </c>
      <c r="J39" s="2">
        <f>COUNTIF(ABSEN!H:H,"SAHRUL (ZAINA)")</f>
        <v>1</v>
      </c>
      <c r="K39" s="2">
        <f>COUNTIF(ABSEN!I:I,"SAHRUL (ZAINA)")</f>
        <v>1</v>
      </c>
      <c r="L39" s="2">
        <f>COUNTIF(ABSEN!J:J,"SAHRUL (ZAINA)")</f>
        <v>1</v>
      </c>
      <c r="M39" s="1084" t="s">
        <v>239</v>
      </c>
      <c r="N39" s="1084" t="s">
        <v>238</v>
      </c>
      <c r="O39" s="2">
        <f>COUNTIF(ABSEN!M:M,"SAHRUL (ZAINA)")</f>
        <v>1</v>
      </c>
      <c r="P39" s="2">
        <f>COUNTIF(ABSEN!N:N,"SAHRUL (ZAINA)")</f>
        <v>1</v>
      </c>
      <c r="Q39" s="2">
        <f>COUNTIF(ABSEN!O:O,"SAHRUL (ZAINA)")</f>
        <v>1</v>
      </c>
      <c r="R39" s="2">
        <f>COUNTIF(ABSEN!P:P,"SAHRUL (ZAINA)")</f>
        <v>1</v>
      </c>
      <c r="S39" s="2">
        <f>COUNTIF(ABSEN!Q:Q,"SAHRUL (ZAINA)")</f>
        <v>1</v>
      </c>
      <c r="T39" s="1084" t="s">
        <v>238</v>
      </c>
      <c r="U39" s="2">
        <f>COUNTIF(ABSEN!S:S,"SAHRUL (ZAINA)")</f>
        <v>1</v>
      </c>
      <c r="V39" s="2">
        <f>COUNTIF(ABSEN!T:T,"SAHRUL (ZAINA)")</f>
        <v>1</v>
      </c>
      <c r="W39" s="2">
        <f>COUNTIF(ABSEN!U:U,"SAHRUL (ZAINA)")</f>
        <v>1</v>
      </c>
      <c r="X39" s="1207" t="s">
        <v>777</v>
      </c>
      <c r="Y39" s="1207" t="s">
        <v>778</v>
      </c>
      <c r="Z39" s="2">
        <f>COUNTIF(ABSEN!X:X,"SAHRUL (ZAINA)")</f>
        <v>1</v>
      </c>
      <c r="AA39" s="1084" t="s">
        <v>238</v>
      </c>
      <c r="AB39" s="2">
        <f>COUNTIF(ABSEN!Z:Z,"SAHRUL (ZAINA)")</f>
        <v>1</v>
      </c>
      <c r="AC39" s="2">
        <f>COUNTIF(ABSEN!AA:AA,"SAHRUL (ZAINA)")</f>
        <v>1</v>
      </c>
      <c r="AD39" s="2">
        <f>COUNTIF(ABSEN!AB:AB,"SAHRUL (ZAINA)")</f>
        <v>1</v>
      </c>
      <c r="AE39" s="1084" t="s">
        <v>239</v>
      </c>
      <c r="AF39" s="2">
        <f>COUNTIF(ABSEN!AD:AD,"SAHRUL (ZAINA)")</f>
        <v>1</v>
      </c>
      <c r="AG39" s="2">
        <f>COUNTIF(ABSEN!AE:AE,"SAHRUL (ZAINA)")</f>
        <v>1</v>
      </c>
      <c r="AH39" s="368">
        <f t="shared" ref="AH39" si="26">SUM(C39:AG39)</f>
        <v>21</v>
      </c>
      <c r="AI39" s="365">
        <f t="shared" si="1"/>
        <v>1</v>
      </c>
      <c r="AJ39" s="241">
        <f t="shared" si="14"/>
        <v>1</v>
      </c>
      <c r="AK39" s="241">
        <f t="shared" si="15"/>
        <v>0</v>
      </c>
      <c r="AL39" s="241">
        <f t="shared" si="16"/>
        <v>4</v>
      </c>
      <c r="AM39" s="241">
        <f t="shared" si="17"/>
        <v>3</v>
      </c>
      <c r="AN39" s="241">
        <f t="shared" si="18"/>
        <v>0</v>
      </c>
      <c r="AO39" s="366">
        <f t="shared" si="19"/>
        <v>0</v>
      </c>
      <c r="AP39" s="366">
        <f t="shared" si="20"/>
        <v>0</v>
      </c>
      <c r="AQ39" s="367">
        <f t="shared" si="21"/>
        <v>0</v>
      </c>
      <c r="AR39" s="368">
        <f t="shared" ref="AR39" si="27">SUM(AH39:AQ39)</f>
        <v>30</v>
      </c>
      <c r="AS39" s="365">
        <f t="shared" ref="AS39" si="28">COUNTIF(C39:AG39,"CTH")</f>
        <v>0</v>
      </c>
      <c r="AT39" s="367">
        <f t="shared" ref="AT39" si="29">COUNTIF(C39:AG39,"A")</f>
        <v>1</v>
      </c>
      <c r="AV39" s="383"/>
    </row>
    <row r="40" spans="1:48" s="153" customFormat="1" ht="35.25" customHeight="1" thickBot="1">
      <c r="A40" s="147"/>
      <c r="B40" s="152" t="s">
        <v>38</v>
      </c>
      <c r="C40" s="150">
        <f t="shared" ref="C40:AT40" si="30">SUM(C7:C39)</f>
        <v>0</v>
      </c>
      <c r="D40" s="149">
        <f t="shared" si="30"/>
        <v>32</v>
      </c>
      <c r="E40" s="149">
        <f t="shared" si="30"/>
        <v>25</v>
      </c>
      <c r="F40" s="150">
        <f t="shared" si="30"/>
        <v>0</v>
      </c>
      <c r="G40" s="149">
        <f t="shared" si="30"/>
        <v>30</v>
      </c>
      <c r="H40" s="149">
        <f t="shared" si="30"/>
        <v>29</v>
      </c>
      <c r="I40" s="149">
        <f t="shared" si="30"/>
        <v>27</v>
      </c>
      <c r="J40" s="149">
        <f t="shared" si="30"/>
        <v>30</v>
      </c>
      <c r="K40" s="149">
        <f t="shared" si="30"/>
        <v>23</v>
      </c>
      <c r="L40" s="149">
        <f t="shared" si="30"/>
        <v>24</v>
      </c>
      <c r="M40" s="150">
        <f t="shared" si="30"/>
        <v>0</v>
      </c>
      <c r="N40" s="150">
        <f t="shared" si="30"/>
        <v>0</v>
      </c>
      <c r="O40" s="149">
        <f t="shared" si="30"/>
        <v>30</v>
      </c>
      <c r="P40" s="149">
        <f t="shared" si="30"/>
        <v>21</v>
      </c>
      <c r="Q40" s="149">
        <f t="shared" si="30"/>
        <v>28</v>
      </c>
      <c r="R40" s="149">
        <f t="shared" si="30"/>
        <v>30</v>
      </c>
      <c r="S40" s="149">
        <f t="shared" si="30"/>
        <v>29</v>
      </c>
      <c r="T40" s="150">
        <f t="shared" si="30"/>
        <v>0</v>
      </c>
      <c r="U40" s="149">
        <f t="shared" si="30"/>
        <v>29</v>
      </c>
      <c r="V40" s="149">
        <f t="shared" si="30"/>
        <v>29</v>
      </c>
      <c r="W40" s="149">
        <f t="shared" si="30"/>
        <v>29</v>
      </c>
      <c r="X40" s="149">
        <f t="shared" si="30"/>
        <v>26</v>
      </c>
      <c r="Y40" s="149">
        <f t="shared" si="30"/>
        <v>27</v>
      </c>
      <c r="Z40" s="149">
        <f t="shared" si="30"/>
        <v>21</v>
      </c>
      <c r="AA40" s="150">
        <f t="shared" si="30"/>
        <v>0</v>
      </c>
      <c r="AB40" s="149">
        <f t="shared" si="30"/>
        <v>29</v>
      </c>
      <c r="AC40" s="149">
        <f t="shared" si="30"/>
        <v>30</v>
      </c>
      <c r="AD40" s="149">
        <f t="shared" si="30"/>
        <v>26</v>
      </c>
      <c r="AE40" s="150">
        <f t="shared" si="30"/>
        <v>0</v>
      </c>
      <c r="AF40" s="149">
        <f t="shared" si="30"/>
        <v>27</v>
      </c>
      <c r="AG40" s="152">
        <f t="shared" si="30"/>
        <v>29</v>
      </c>
      <c r="AH40" s="151">
        <f t="shared" si="30"/>
        <v>660</v>
      </c>
      <c r="AI40" s="159">
        <f t="shared" si="30"/>
        <v>23</v>
      </c>
      <c r="AJ40" s="149">
        <f t="shared" si="30"/>
        <v>49</v>
      </c>
      <c r="AK40" s="149">
        <f t="shared" si="30"/>
        <v>22</v>
      </c>
      <c r="AL40" s="149">
        <f t="shared" si="30"/>
        <v>129</v>
      </c>
      <c r="AM40" s="149">
        <f t="shared" si="30"/>
        <v>97</v>
      </c>
      <c r="AN40" s="149">
        <f t="shared" si="30"/>
        <v>0</v>
      </c>
      <c r="AO40" s="149">
        <f t="shared" si="30"/>
        <v>0</v>
      </c>
      <c r="AP40" s="149">
        <f t="shared" si="30"/>
        <v>0</v>
      </c>
      <c r="AQ40" s="152">
        <f t="shared" si="30"/>
        <v>0</v>
      </c>
      <c r="AR40" s="151">
        <f t="shared" si="30"/>
        <v>980</v>
      </c>
      <c r="AS40" s="159">
        <f t="shared" si="30"/>
        <v>7</v>
      </c>
      <c r="AT40" s="148">
        <f t="shared" si="30"/>
        <v>10</v>
      </c>
    </row>
    <row r="41" spans="1:48" ht="33.75" customHeight="1">
      <c r="A41" s="370"/>
      <c r="B41" s="385" t="s">
        <v>190</v>
      </c>
      <c r="C41" s="178">
        <f t="shared" ref="C41:AG41" si="31">COUNTIF(C7:C39,"CT")</f>
        <v>0</v>
      </c>
      <c r="D41" s="2">
        <f t="shared" si="31"/>
        <v>1</v>
      </c>
      <c r="E41" s="2">
        <f t="shared" si="31"/>
        <v>4</v>
      </c>
      <c r="F41" s="178">
        <f t="shared" si="31"/>
        <v>0</v>
      </c>
      <c r="G41" s="2">
        <f t="shared" si="31"/>
        <v>1</v>
      </c>
      <c r="H41" s="2">
        <f t="shared" si="31"/>
        <v>1</v>
      </c>
      <c r="I41" s="2">
        <f t="shared" si="31"/>
        <v>2</v>
      </c>
      <c r="J41" s="2">
        <f t="shared" si="31"/>
        <v>0</v>
      </c>
      <c r="K41" s="2">
        <f t="shared" si="31"/>
        <v>1</v>
      </c>
      <c r="L41" s="2">
        <f t="shared" si="31"/>
        <v>0</v>
      </c>
      <c r="M41" s="178">
        <f t="shared" si="31"/>
        <v>0</v>
      </c>
      <c r="N41" s="178">
        <f t="shared" si="31"/>
        <v>0</v>
      </c>
      <c r="O41" s="2">
        <f t="shared" si="31"/>
        <v>0</v>
      </c>
      <c r="P41" s="2">
        <f t="shared" si="31"/>
        <v>2</v>
      </c>
      <c r="Q41" s="2">
        <f t="shared" si="31"/>
        <v>0</v>
      </c>
      <c r="R41" s="2">
        <f t="shared" si="31"/>
        <v>0</v>
      </c>
      <c r="S41" s="2">
        <f t="shared" si="31"/>
        <v>1</v>
      </c>
      <c r="T41" s="178">
        <f t="shared" si="31"/>
        <v>0</v>
      </c>
      <c r="U41" s="2">
        <f t="shared" si="31"/>
        <v>2</v>
      </c>
      <c r="V41" s="2">
        <f t="shared" si="31"/>
        <v>0</v>
      </c>
      <c r="W41" s="2">
        <f t="shared" si="31"/>
        <v>0</v>
      </c>
      <c r="X41" s="2">
        <f t="shared" si="31"/>
        <v>2</v>
      </c>
      <c r="Y41" s="2">
        <f t="shared" si="31"/>
        <v>0</v>
      </c>
      <c r="Z41" s="2">
        <f t="shared" si="31"/>
        <v>5</v>
      </c>
      <c r="AA41" s="178">
        <f t="shared" si="31"/>
        <v>0</v>
      </c>
      <c r="AB41" s="2">
        <f t="shared" si="31"/>
        <v>1</v>
      </c>
      <c r="AC41" s="2">
        <f t="shared" si="31"/>
        <v>0</v>
      </c>
      <c r="AD41" s="2">
        <f t="shared" si="31"/>
        <v>0</v>
      </c>
      <c r="AE41" s="1195">
        <f t="shared" si="31"/>
        <v>0</v>
      </c>
      <c r="AF41" s="2">
        <f t="shared" si="31"/>
        <v>0</v>
      </c>
      <c r="AG41" s="1077">
        <f t="shared" si="31"/>
        <v>0</v>
      </c>
      <c r="AH41" s="368">
        <f>SUM(C41:AG41)</f>
        <v>23</v>
      </c>
      <c r="AR41" s="64">
        <v>980</v>
      </c>
      <c r="AS41" s="386" t="s">
        <v>272</v>
      </c>
    </row>
    <row r="42" spans="1:48" ht="33.75" customHeight="1">
      <c r="A42" s="370"/>
      <c r="B42" s="387" t="s">
        <v>11</v>
      </c>
      <c r="C42" s="178">
        <f t="shared" ref="C42:AG42" si="32">COUNTIF(C7:C39,"S")</f>
        <v>0</v>
      </c>
      <c r="D42" s="2">
        <f t="shared" si="32"/>
        <v>0</v>
      </c>
      <c r="E42" s="2">
        <f t="shared" si="32"/>
        <v>2</v>
      </c>
      <c r="F42" s="178">
        <f t="shared" si="32"/>
        <v>0</v>
      </c>
      <c r="G42" s="2">
        <f t="shared" si="32"/>
        <v>1</v>
      </c>
      <c r="H42" s="2">
        <f t="shared" si="32"/>
        <v>0</v>
      </c>
      <c r="I42" s="2">
        <f t="shared" si="32"/>
        <v>2</v>
      </c>
      <c r="J42" s="2">
        <f t="shared" si="32"/>
        <v>2</v>
      </c>
      <c r="K42" s="2">
        <f t="shared" si="32"/>
        <v>5</v>
      </c>
      <c r="L42" s="2">
        <f t="shared" si="32"/>
        <v>5</v>
      </c>
      <c r="M42" s="178">
        <f t="shared" si="32"/>
        <v>0</v>
      </c>
      <c r="N42" s="178">
        <f t="shared" si="32"/>
        <v>0</v>
      </c>
      <c r="O42" s="2">
        <f t="shared" si="32"/>
        <v>1</v>
      </c>
      <c r="P42" s="2">
        <f t="shared" si="32"/>
        <v>3</v>
      </c>
      <c r="Q42" s="2">
        <f t="shared" si="32"/>
        <v>0</v>
      </c>
      <c r="R42" s="2">
        <f t="shared" si="32"/>
        <v>1</v>
      </c>
      <c r="S42" s="2">
        <f t="shared" si="32"/>
        <v>2</v>
      </c>
      <c r="T42" s="178">
        <f t="shared" si="32"/>
        <v>0</v>
      </c>
      <c r="U42" s="2">
        <f t="shared" si="32"/>
        <v>1</v>
      </c>
      <c r="V42" s="2">
        <f t="shared" si="32"/>
        <v>3</v>
      </c>
      <c r="W42" s="2">
        <f t="shared" si="32"/>
        <v>1</v>
      </c>
      <c r="X42" s="2">
        <f t="shared" si="32"/>
        <v>2</v>
      </c>
      <c r="Y42" s="2">
        <f t="shared" si="32"/>
        <v>2</v>
      </c>
      <c r="Z42" s="2">
        <f t="shared" si="32"/>
        <v>3</v>
      </c>
      <c r="AA42" s="178">
        <f t="shared" si="32"/>
        <v>0</v>
      </c>
      <c r="AB42" s="2">
        <f t="shared" si="32"/>
        <v>1</v>
      </c>
      <c r="AC42" s="2">
        <f t="shared" si="32"/>
        <v>1</v>
      </c>
      <c r="AD42" s="2">
        <f t="shared" si="32"/>
        <v>5</v>
      </c>
      <c r="AE42" s="1195">
        <f t="shared" si="32"/>
        <v>0</v>
      </c>
      <c r="AF42" s="2">
        <f t="shared" si="32"/>
        <v>4</v>
      </c>
      <c r="AG42" s="1077">
        <f t="shared" si="32"/>
        <v>2</v>
      </c>
      <c r="AH42" s="368">
        <f>SUM(C42:AG42)</f>
        <v>49</v>
      </c>
      <c r="AJ42" s="388"/>
      <c r="AR42" s="389">
        <f>AR40-AR41</f>
        <v>0</v>
      </c>
      <c r="AS42" s="386"/>
    </row>
    <row r="43" spans="1:48" ht="33.75" customHeight="1">
      <c r="A43" s="370"/>
      <c r="B43" s="387" t="s">
        <v>12</v>
      </c>
      <c r="C43" s="178">
        <f t="shared" ref="C43:AG43" si="33">COUNTIF(C7:C39,"H1")</f>
        <v>0</v>
      </c>
      <c r="D43" s="2">
        <f t="shared" si="33"/>
        <v>0</v>
      </c>
      <c r="E43" s="2">
        <f t="shared" si="33"/>
        <v>0</v>
      </c>
      <c r="F43" s="178">
        <f t="shared" si="33"/>
        <v>0</v>
      </c>
      <c r="G43" s="2">
        <f t="shared" si="33"/>
        <v>0</v>
      </c>
      <c r="H43" s="2">
        <f t="shared" si="33"/>
        <v>1</v>
      </c>
      <c r="I43" s="2">
        <f t="shared" si="33"/>
        <v>1</v>
      </c>
      <c r="J43" s="2">
        <f t="shared" si="33"/>
        <v>0</v>
      </c>
      <c r="K43" s="2">
        <f t="shared" si="33"/>
        <v>2</v>
      </c>
      <c r="L43" s="2">
        <f t="shared" si="33"/>
        <v>2</v>
      </c>
      <c r="M43" s="178">
        <f t="shared" si="33"/>
        <v>0</v>
      </c>
      <c r="N43" s="178">
        <f t="shared" si="33"/>
        <v>0</v>
      </c>
      <c r="O43" s="2">
        <f t="shared" si="33"/>
        <v>0</v>
      </c>
      <c r="P43" s="2">
        <f t="shared" si="33"/>
        <v>4</v>
      </c>
      <c r="Q43" s="2">
        <f t="shared" si="33"/>
        <v>4</v>
      </c>
      <c r="R43" s="2">
        <f t="shared" si="33"/>
        <v>0</v>
      </c>
      <c r="S43" s="2">
        <f t="shared" si="33"/>
        <v>0</v>
      </c>
      <c r="T43" s="178">
        <f t="shared" si="33"/>
        <v>0</v>
      </c>
      <c r="U43" s="2">
        <f t="shared" si="33"/>
        <v>0</v>
      </c>
      <c r="V43" s="2">
        <f t="shared" si="33"/>
        <v>0</v>
      </c>
      <c r="W43" s="2">
        <f t="shared" si="33"/>
        <v>1</v>
      </c>
      <c r="X43" s="2">
        <f t="shared" si="33"/>
        <v>1</v>
      </c>
      <c r="Y43" s="2">
        <f t="shared" si="33"/>
        <v>2</v>
      </c>
      <c r="Z43" s="2">
        <f t="shared" si="33"/>
        <v>2</v>
      </c>
      <c r="AA43" s="178">
        <f t="shared" si="33"/>
        <v>0</v>
      </c>
      <c r="AB43" s="2">
        <f t="shared" si="33"/>
        <v>1</v>
      </c>
      <c r="AC43" s="2">
        <f t="shared" si="33"/>
        <v>1</v>
      </c>
      <c r="AD43" s="2">
        <f t="shared" si="33"/>
        <v>0</v>
      </c>
      <c r="AE43" s="1195">
        <f t="shared" si="33"/>
        <v>0</v>
      </c>
      <c r="AF43" s="2">
        <f t="shared" si="33"/>
        <v>0</v>
      </c>
      <c r="AG43" s="1077">
        <f t="shared" si="33"/>
        <v>0</v>
      </c>
      <c r="AH43" s="368">
        <f t="shared" ref="AH43:AH51" si="34">SUM(C43:AG43)</f>
        <v>22</v>
      </c>
      <c r="AR43" s="389"/>
      <c r="AS43" s="386" t="s">
        <v>695</v>
      </c>
    </row>
    <row r="44" spans="1:48" s="143" customFormat="1" ht="33.75" customHeight="1">
      <c r="A44" s="134"/>
      <c r="B44" s="390" t="s">
        <v>13</v>
      </c>
      <c r="C44" s="182">
        <f t="shared" ref="C44:AG44" si="35">COUNTIF(C7:C39,"MG")</f>
        <v>0</v>
      </c>
      <c r="D44" s="391">
        <f t="shared" si="35"/>
        <v>0</v>
      </c>
      <c r="E44" s="391">
        <f t="shared" si="35"/>
        <v>0</v>
      </c>
      <c r="F44" s="182">
        <f t="shared" si="35"/>
        <v>33</v>
      </c>
      <c r="G44" s="391">
        <f t="shared" si="35"/>
        <v>0</v>
      </c>
      <c r="H44" s="391">
        <f t="shared" si="35"/>
        <v>0</v>
      </c>
      <c r="I44" s="391">
        <f t="shared" si="35"/>
        <v>0</v>
      </c>
      <c r="J44" s="391">
        <f t="shared" si="35"/>
        <v>0</v>
      </c>
      <c r="K44" s="391">
        <f t="shared" si="35"/>
        <v>0</v>
      </c>
      <c r="L44" s="391">
        <f t="shared" si="35"/>
        <v>0</v>
      </c>
      <c r="M44" s="182">
        <f t="shared" si="35"/>
        <v>0</v>
      </c>
      <c r="N44" s="182">
        <f t="shared" si="35"/>
        <v>32</v>
      </c>
      <c r="O44" s="391">
        <f t="shared" si="35"/>
        <v>0</v>
      </c>
      <c r="P44" s="391">
        <f t="shared" si="35"/>
        <v>0</v>
      </c>
      <c r="Q44" s="391">
        <f t="shared" si="35"/>
        <v>0</v>
      </c>
      <c r="R44" s="391">
        <f t="shared" si="35"/>
        <v>0</v>
      </c>
      <c r="S44" s="391">
        <f t="shared" si="35"/>
        <v>0</v>
      </c>
      <c r="T44" s="182">
        <f t="shared" si="35"/>
        <v>32</v>
      </c>
      <c r="U44" s="391">
        <f t="shared" si="35"/>
        <v>0</v>
      </c>
      <c r="V44" s="391">
        <f t="shared" si="35"/>
        <v>0</v>
      </c>
      <c r="W44" s="391">
        <f t="shared" si="35"/>
        <v>0</v>
      </c>
      <c r="X44" s="391">
        <f t="shared" si="35"/>
        <v>0</v>
      </c>
      <c r="Y44" s="391">
        <f t="shared" si="35"/>
        <v>0</v>
      </c>
      <c r="Z44" s="391">
        <f t="shared" si="35"/>
        <v>0</v>
      </c>
      <c r="AA44" s="182">
        <f t="shared" si="35"/>
        <v>32</v>
      </c>
      <c r="AB44" s="391">
        <f t="shared" si="35"/>
        <v>0</v>
      </c>
      <c r="AC44" s="391">
        <f t="shared" si="35"/>
        <v>0</v>
      </c>
      <c r="AD44" s="391">
        <f t="shared" si="35"/>
        <v>0</v>
      </c>
      <c r="AE44" s="289">
        <f t="shared" si="35"/>
        <v>0</v>
      </c>
      <c r="AF44" s="391">
        <f t="shared" si="35"/>
        <v>0</v>
      </c>
      <c r="AG44" s="136">
        <f t="shared" si="35"/>
        <v>0</v>
      </c>
      <c r="AH44" s="368">
        <f t="shared" si="34"/>
        <v>129</v>
      </c>
      <c r="AR44" s="142"/>
      <c r="AS44" s="386" t="s">
        <v>289</v>
      </c>
    </row>
    <row r="45" spans="1:48" s="143" customFormat="1" ht="33.75" customHeight="1">
      <c r="A45" s="134"/>
      <c r="B45" s="390" t="s">
        <v>14</v>
      </c>
      <c r="C45" s="182">
        <f t="shared" ref="C45:AG45" si="36">COUNTIF(C7:C39,"NAS")</f>
        <v>33</v>
      </c>
      <c r="D45" s="391">
        <f t="shared" si="36"/>
        <v>0</v>
      </c>
      <c r="E45" s="391">
        <f t="shared" si="36"/>
        <v>0</v>
      </c>
      <c r="F45" s="182">
        <f t="shared" si="36"/>
        <v>0</v>
      </c>
      <c r="G45" s="391">
        <f t="shared" si="36"/>
        <v>0</v>
      </c>
      <c r="H45" s="391">
        <f t="shared" si="36"/>
        <v>0</v>
      </c>
      <c r="I45" s="391">
        <f t="shared" si="36"/>
        <v>0</v>
      </c>
      <c r="J45" s="391">
        <f t="shared" si="36"/>
        <v>0</v>
      </c>
      <c r="K45" s="391">
        <f t="shared" si="36"/>
        <v>0</v>
      </c>
      <c r="L45" s="391">
        <f t="shared" si="36"/>
        <v>0</v>
      </c>
      <c r="M45" s="182">
        <f t="shared" si="36"/>
        <v>32</v>
      </c>
      <c r="N45" s="182">
        <f t="shared" si="36"/>
        <v>0</v>
      </c>
      <c r="O45" s="391">
        <f t="shared" si="36"/>
        <v>0</v>
      </c>
      <c r="P45" s="391">
        <f t="shared" si="36"/>
        <v>0</v>
      </c>
      <c r="Q45" s="391">
        <f t="shared" si="36"/>
        <v>0</v>
      </c>
      <c r="R45" s="391">
        <f t="shared" si="36"/>
        <v>0</v>
      </c>
      <c r="S45" s="391">
        <f t="shared" si="36"/>
        <v>0</v>
      </c>
      <c r="T45" s="182">
        <f t="shared" si="36"/>
        <v>0</v>
      </c>
      <c r="U45" s="391">
        <f t="shared" si="36"/>
        <v>0</v>
      </c>
      <c r="V45" s="391">
        <f t="shared" si="36"/>
        <v>0</v>
      </c>
      <c r="W45" s="391">
        <f t="shared" si="36"/>
        <v>0</v>
      </c>
      <c r="X45" s="391">
        <f t="shared" si="36"/>
        <v>0</v>
      </c>
      <c r="Y45" s="391">
        <f t="shared" si="36"/>
        <v>0</v>
      </c>
      <c r="Z45" s="391">
        <f t="shared" si="36"/>
        <v>0</v>
      </c>
      <c r="AA45" s="182">
        <f t="shared" si="36"/>
        <v>0</v>
      </c>
      <c r="AB45" s="391">
        <f t="shared" si="36"/>
        <v>0</v>
      </c>
      <c r="AC45" s="391">
        <f t="shared" si="36"/>
        <v>0</v>
      </c>
      <c r="AD45" s="391">
        <f t="shared" si="36"/>
        <v>0</v>
      </c>
      <c r="AE45" s="289">
        <f t="shared" si="36"/>
        <v>32</v>
      </c>
      <c r="AF45" s="391">
        <f t="shared" si="36"/>
        <v>0</v>
      </c>
      <c r="AG45" s="136">
        <f t="shared" si="36"/>
        <v>0</v>
      </c>
      <c r="AH45" s="368">
        <f t="shared" si="34"/>
        <v>97</v>
      </c>
      <c r="AR45" s="142">
        <f>AR40-AR41-AR42-AR43-AR44</f>
        <v>0</v>
      </c>
      <c r="AS45" s="143" t="s">
        <v>280</v>
      </c>
      <c r="AT45" s="66"/>
    </row>
    <row r="46" spans="1:48" ht="33.75" customHeight="1">
      <c r="A46" s="370"/>
      <c r="B46" s="387" t="s">
        <v>243</v>
      </c>
      <c r="C46" s="178">
        <f t="shared" ref="C46:AG46" si="37">COUNTIF(C7:C39,"H2")</f>
        <v>0</v>
      </c>
      <c r="D46" s="2">
        <f t="shared" si="37"/>
        <v>0</v>
      </c>
      <c r="E46" s="2">
        <f t="shared" si="37"/>
        <v>0</v>
      </c>
      <c r="F46" s="178">
        <f t="shared" si="37"/>
        <v>0</v>
      </c>
      <c r="G46" s="2">
        <f t="shared" si="37"/>
        <v>0</v>
      </c>
      <c r="H46" s="2">
        <f t="shared" si="37"/>
        <v>0</v>
      </c>
      <c r="I46" s="2">
        <f t="shared" si="37"/>
        <v>0</v>
      </c>
      <c r="J46" s="2">
        <f t="shared" si="37"/>
        <v>0</v>
      </c>
      <c r="K46" s="2">
        <f t="shared" si="37"/>
        <v>0</v>
      </c>
      <c r="L46" s="2">
        <f t="shared" si="37"/>
        <v>0</v>
      </c>
      <c r="M46" s="178">
        <f t="shared" si="37"/>
        <v>0</v>
      </c>
      <c r="N46" s="178">
        <f t="shared" si="37"/>
        <v>0</v>
      </c>
      <c r="O46" s="2">
        <f t="shared" si="37"/>
        <v>0</v>
      </c>
      <c r="P46" s="2">
        <f t="shared" si="37"/>
        <v>0</v>
      </c>
      <c r="Q46" s="2">
        <f t="shared" si="37"/>
        <v>0</v>
      </c>
      <c r="R46" s="2">
        <f t="shared" si="37"/>
        <v>0</v>
      </c>
      <c r="S46" s="2">
        <f t="shared" si="37"/>
        <v>0</v>
      </c>
      <c r="T46" s="178">
        <f t="shared" si="37"/>
        <v>0</v>
      </c>
      <c r="U46" s="2">
        <f t="shared" si="37"/>
        <v>0</v>
      </c>
      <c r="V46" s="2">
        <f t="shared" si="37"/>
        <v>0</v>
      </c>
      <c r="W46" s="2">
        <f t="shared" si="37"/>
        <v>0</v>
      </c>
      <c r="X46" s="2">
        <f t="shared" si="37"/>
        <v>0</v>
      </c>
      <c r="Y46" s="2">
        <f t="shared" si="37"/>
        <v>0</v>
      </c>
      <c r="Z46" s="2">
        <f t="shared" si="37"/>
        <v>0</v>
      </c>
      <c r="AA46" s="178">
        <f t="shared" si="37"/>
        <v>0</v>
      </c>
      <c r="AB46" s="2">
        <f t="shared" si="37"/>
        <v>0</v>
      </c>
      <c r="AC46" s="2">
        <f t="shared" si="37"/>
        <v>0</v>
      </c>
      <c r="AD46" s="2">
        <f t="shared" si="37"/>
        <v>0</v>
      </c>
      <c r="AE46" s="1195">
        <f t="shared" si="37"/>
        <v>0</v>
      </c>
      <c r="AF46" s="2">
        <f t="shared" si="37"/>
        <v>0</v>
      </c>
      <c r="AG46" s="1077">
        <f t="shared" si="37"/>
        <v>0</v>
      </c>
      <c r="AH46" s="368">
        <f t="shared" si="34"/>
        <v>0</v>
      </c>
      <c r="AR46" s="392"/>
    </row>
    <row r="47" spans="1:48" ht="33.75" customHeight="1">
      <c r="A47" s="370"/>
      <c r="B47" s="387" t="s">
        <v>244</v>
      </c>
      <c r="C47" s="178">
        <f t="shared" ref="C47:AG47" si="38">COUNTIF(C7:C39,"P1")</f>
        <v>0</v>
      </c>
      <c r="D47" s="2">
        <f t="shared" si="38"/>
        <v>0</v>
      </c>
      <c r="E47" s="2">
        <f t="shared" si="38"/>
        <v>0</v>
      </c>
      <c r="F47" s="178">
        <f t="shared" si="38"/>
        <v>0</v>
      </c>
      <c r="G47" s="2">
        <f t="shared" si="38"/>
        <v>0</v>
      </c>
      <c r="H47" s="2">
        <f t="shared" si="38"/>
        <v>0</v>
      </c>
      <c r="I47" s="2">
        <f t="shared" si="38"/>
        <v>0</v>
      </c>
      <c r="J47" s="2">
        <f t="shared" si="38"/>
        <v>0</v>
      </c>
      <c r="K47" s="2">
        <f t="shared" si="38"/>
        <v>0</v>
      </c>
      <c r="L47" s="2">
        <f t="shared" si="38"/>
        <v>0</v>
      </c>
      <c r="M47" s="178">
        <f t="shared" si="38"/>
        <v>0</v>
      </c>
      <c r="N47" s="178">
        <f t="shared" si="38"/>
        <v>0</v>
      </c>
      <c r="O47" s="2">
        <f t="shared" si="38"/>
        <v>0</v>
      </c>
      <c r="P47" s="2">
        <f t="shared" si="38"/>
        <v>0</v>
      </c>
      <c r="Q47" s="2">
        <f t="shared" si="38"/>
        <v>0</v>
      </c>
      <c r="R47" s="2">
        <f t="shared" si="38"/>
        <v>0</v>
      </c>
      <c r="S47" s="2">
        <f t="shared" si="38"/>
        <v>0</v>
      </c>
      <c r="T47" s="178">
        <f t="shared" si="38"/>
        <v>0</v>
      </c>
      <c r="U47" s="2">
        <f t="shared" si="38"/>
        <v>0</v>
      </c>
      <c r="V47" s="2">
        <f t="shared" si="38"/>
        <v>0</v>
      </c>
      <c r="W47" s="2">
        <f t="shared" si="38"/>
        <v>0</v>
      </c>
      <c r="X47" s="2">
        <f t="shared" si="38"/>
        <v>0</v>
      </c>
      <c r="Y47" s="2">
        <f t="shared" si="38"/>
        <v>0</v>
      </c>
      <c r="Z47" s="2">
        <f t="shared" si="38"/>
        <v>0</v>
      </c>
      <c r="AA47" s="178">
        <f t="shared" si="38"/>
        <v>0</v>
      </c>
      <c r="AB47" s="2">
        <f t="shared" si="38"/>
        <v>0</v>
      </c>
      <c r="AC47" s="2">
        <f t="shared" si="38"/>
        <v>0</v>
      </c>
      <c r="AD47" s="2">
        <f t="shared" si="38"/>
        <v>0</v>
      </c>
      <c r="AE47" s="1195">
        <f t="shared" si="38"/>
        <v>0</v>
      </c>
      <c r="AF47" s="2">
        <f t="shared" si="38"/>
        <v>0</v>
      </c>
      <c r="AG47" s="1077">
        <f t="shared" si="38"/>
        <v>0</v>
      </c>
      <c r="AH47" s="368">
        <f t="shared" si="34"/>
        <v>0</v>
      </c>
      <c r="AL47" s="369" t="s">
        <v>214</v>
      </c>
    </row>
    <row r="48" spans="1:48" ht="33.75" customHeight="1">
      <c r="A48" s="370"/>
      <c r="B48" s="387" t="s">
        <v>241</v>
      </c>
      <c r="C48" s="178">
        <f t="shared" ref="C48:AG48" si="39">COUNTIF(C7:C39,"P2")</f>
        <v>0</v>
      </c>
      <c r="D48" s="2">
        <f t="shared" si="39"/>
        <v>0</v>
      </c>
      <c r="E48" s="2">
        <f t="shared" si="39"/>
        <v>0</v>
      </c>
      <c r="F48" s="178">
        <f t="shared" si="39"/>
        <v>0</v>
      </c>
      <c r="G48" s="2">
        <f t="shared" si="39"/>
        <v>0</v>
      </c>
      <c r="H48" s="2">
        <f t="shared" si="39"/>
        <v>0</v>
      </c>
      <c r="I48" s="2">
        <f t="shared" si="39"/>
        <v>0</v>
      </c>
      <c r="J48" s="2">
        <f t="shared" si="39"/>
        <v>0</v>
      </c>
      <c r="K48" s="2">
        <f t="shared" si="39"/>
        <v>0</v>
      </c>
      <c r="L48" s="2">
        <f t="shared" si="39"/>
        <v>0</v>
      </c>
      <c r="M48" s="178">
        <f t="shared" si="39"/>
        <v>0</v>
      </c>
      <c r="N48" s="178">
        <f t="shared" si="39"/>
        <v>0</v>
      </c>
      <c r="O48" s="2">
        <f t="shared" si="39"/>
        <v>0</v>
      </c>
      <c r="P48" s="2">
        <f t="shared" si="39"/>
        <v>0</v>
      </c>
      <c r="Q48" s="2">
        <f t="shared" si="39"/>
        <v>0</v>
      </c>
      <c r="R48" s="2">
        <f t="shared" si="39"/>
        <v>0</v>
      </c>
      <c r="S48" s="2">
        <f t="shared" si="39"/>
        <v>0</v>
      </c>
      <c r="T48" s="178">
        <f t="shared" si="39"/>
        <v>0</v>
      </c>
      <c r="U48" s="2">
        <f t="shared" si="39"/>
        <v>0</v>
      </c>
      <c r="V48" s="2">
        <f t="shared" si="39"/>
        <v>0</v>
      </c>
      <c r="W48" s="2">
        <f t="shared" si="39"/>
        <v>0</v>
      </c>
      <c r="X48" s="2">
        <f t="shared" si="39"/>
        <v>0</v>
      </c>
      <c r="Y48" s="2">
        <f t="shared" si="39"/>
        <v>0</v>
      </c>
      <c r="Z48" s="2">
        <f t="shared" si="39"/>
        <v>0</v>
      </c>
      <c r="AA48" s="178">
        <f t="shared" si="39"/>
        <v>0</v>
      </c>
      <c r="AB48" s="2">
        <f t="shared" si="39"/>
        <v>0</v>
      </c>
      <c r="AC48" s="2">
        <f t="shared" si="39"/>
        <v>0</v>
      </c>
      <c r="AD48" s="2">
        <f t="shared" si="39"/>
        <v>0</v>
      </c>
      <c r="AE48" s="1195">
        <f t="shared" si="39"/>
        <v>0</v>
      </c>
      <c r="AF48" s="2">
        <f t="shared" si="39"/>
        <v>0</v>
      </c>
      <c r="AG48" s="1077">
        <f t="shared" si="39"/>
        <v>0</v>
      </c>
      <c r="AH48" s="368">
        <f t="shared" si="34"/>
        <v>0</v>
      </c>
    </row>
    <row r="49" spans="1:46" ht="33.75" customHeight="1">
      <c r="A49" s="370"/>
      <c r="B49" s="387" t="s">
        <v>245</v>
      </c>
      <c r="C49" s="178">
        <f t="shared" ref="C49:AG49" si="40">COUNTIF(C7:C39,"P3")</f>
        <v>0</v>
      </c>
      <c r="D49" s="2">
        <f t="shared" si="40"/>
        <v>0</v>
      </c>
      <c r="E49" s="2">
        <f t="shared" si="40"/>
        <v>0</v>
      </c>
      <c r="F49" s="178">
        <f t="shared" si="40"/>
        <v>0</v>
      </c>
      <c r="G49" s="2">
        <f t="shared" si="40"/>
        <v>0</v>
      </c>
      <c r="H49" s="2">
        <f t="shared" si="40"/>
        <v>0</v>
      </c>
      <c r="I49" s="2">
        <f t="shared" si="40"/>
        <v>0</v>
      </c>
      <c r="J49" s="2">
        <f t="shared" si="40"/>
        <v>0</v>
      </c>
      <c r="K49" s="2">
        <f t="shared" si="40"/>
        <v>0</v>
      </c>
      <c r="L49" s="2">
        <f t="shared" si="40"/>
        <v>0</v>
      </c>
      <c r="M49" s="178">
        <f t="shared" si="40"/>
        <v>0</v>
      </c>
      <c r="N49" s="178">
        <f t="shared" si="40"/>
        <v>0</v>
      </c>
      <c r="O49" s="2">
        <f t="shared" si="40"/>
        <v>0</v>
      </c>
      <c r="P49" s="2">
        <f t="shared" si="40"/>
        <v>0</v>
      </c>
      <c r="Q49" s="2">
        <f t="shared" si="40"/>
        <v>0</v>
      </c>
      <c r="R49" s="2">
        <f t="shared" si="40"/>
        <v>0</v>
      </c>
      <c r="S49" s="2">
        <f t="shared" si="40"/>
        <v>0</v>
      </c>
      <c r="T49" s="178">
        <f t="shared" si="40"/>
        <v>0</v>
      </c>
      <c r="U49" s="2">
        <f t="shared" si="40"/>
        <v>0</v>
      </c>
      <c r="V49" s="2">
        <f t="shared" si="40"/>
        <v>0</v>
      </c>
      <c r="W49" s="2">
        <f t="shared" si="40"/>
        <v>0</v>
      </c>
      <c r="X49" s="2">
        <f t="shared" si="40"/>
        <v>0</v>
      </c>
      <c r="Y49" s="2">
        <f t="shared" si="40"/>
        <v>0</v>
      </c>
      <c r="Z49" s="2">
        <f t="shared" si="40"/>
        <v>0</v>
      </c>
      <c r="AA49" s="178">
        <f t="shared" si="40"/>
        <v>0</v>
      </c>
      <c r="AB49" s="2">
        <f t="shared" si="40"/>
        <v>0</v>
      </c>
      <c r="AC49" s="2">
        <f t="shared" si="40"/>
        <v>0</v>
      </c>
      <c r="AD49" s="2">
        <f t="shared" si="40"/>
        <v>0</v>
      </c>
      <c r="AE49" s="1195">
        <f t="shared" si="40"/>
        <v>0</v>
      </c>
      <c r="AF49" s="2">
        <f t="shared" si="40"/>
        <v>0</v>
      </c>
      <c r="AG49" s="1077">
        <f t="shared" si="40"/>
        <v>0</v>
      </c>
      <c r="AH49" s="368">
        <f t="shared" si="34"/>
        <v>0</v>
      </c>
      <c r="AI49" s="388"/>
    </row>
    <row r="50" spans="1:46" ht="33.75" customHeight="1">
      <c r="A50" s="393"/>
      <c r="B50" s="394" t="s">
        <v>42</v>
      </c>
      <c r="C50" s="183">
        <f t="shared" ref="C50:AG50" si="41">COUNTIF(C7:C39,"CTH")</f>
        <v>0</v>
      </c>
      <c r="D50" s="3">
        <f t="shared" si="41"/>
        <v>0</v>
      </c>
      <c r="E50" s="3">
        <f t="shared" si="41"/>
        <v>0</v>
      </c>
      <c r="F50" s="183">
        <f t="shared" si="41"/>
        <v>0</v>
      </c>
      <c r="G50" s="3">
        <f t="shared" si="41"/>
        <v>0</v>
      </c>
      <c r="H50" s="3">
        <f t="shared" si="41"/>
        <v>0</v>
      </c>
      <c r="I50" s="3">
        <f t="shared" si="41"/>
        <v>0</v>
      </c>
      <c r="J50" s="3">
        <f t="shared" si="41"/>
        <v>0</v>
      </c>
      <c r="K50" s="3">
        <f t="shared" si="41"/>
        <v>0</v>
      </c>
      <c r="L50" s="3">
        <f t="shared" si="41"/>
        <v>0</v>
      </c>
      <c r="M50" s="183">
        <f t="shared" si="41"/>
        <v>0</v>
      </c>
      <c r="N50" s="183">
        <f t="shared" si="41"/>
        <v>0</v>
      </c>
      <c r="O50" s="3">
        <f t="shared" si="41"/>
        <v>0</v>
      </c>
      <c r="P50" s="3">
        <f t="shared" si="41"/>
        <v>0</v>
      </c>
      <c r="Q50" s="3">
        <f t="shared" si="41"/>
        <v>0</v>
      </c>
      <c r="R50" s="3">
        <f t="shared" si="41"/>
        <v>0</v>
      </c>
      <c r="S50" s="3">
        <f t="shared" si="41"/>
        <v>0</v>
      </c>
      <c r="T50" s="183">
        <f t="shared" si="41"/>
        <v>0</v>
      </c>
      <c r="U50" s="3">
        <f t="shared" si="41"/>
        <v>0</v>
      </c>
      <c r="V50" s="3">
        <f t="shared" si="41"/>
        <v>0</v>
      </c>
      <c r="W50" s="3">
        <f t="shared" si="41"/>
        <v>1</v>
      </c>
      <c r="X50" s="3">
        <f t="shared" si="41"/>
        <v>1</v>
      </c>
      <c r="Y50" s="3">
        <f t="shared" si="41"/>
        <v>1</v>
      </c>
      <c r="Z50" s="3">
        <f t="shared" si="41"/>
        <v>1</v>
      </c>
      <c r="AA50" s="183">
        <f t="shared" si="41"/>
        <v>0</v>
      </c>
      <c r="AB50" s="3">
        <f t="shared" si="41"/>
        <v>0</v>
      </c>
      <c r="AC50" s="3">
        <f t="shared" si="41"/>
        <v>0</v>
      </c>
      <c r="AD50" s="3">
        <f t="shared" si="41"/>
        <v>1</v>
      </c>
      <c r="AE50" s="1196">
        <f t="shared" si="41"/>
        <v>0</v>
      </c>
      <c r="AF50" s="3">
        <f t="shared" si="41"/>
        <v>1</v>
      </c>
      <c r="AG50" s="1078">
        <f t="shared" si="41"/>
        <v>1</v>
      </c>
      <c r="AH50" s="368">
        <f t="shared" si="34"/>
        <v>7</v>
      </c>
      <c r="AI50" s="388"/>
    </row>
    <row r="51" spans="1:46" ht="33.75" customHeight="1" thickBot="1">
      <c r="A51" s="370"/>
      <c r="B51" s="387" t="s">
        <v>246</v>
      </c>
      <c r="C51" s="178">
        <f t="shared" ref="C51:AG51" si="42">COUNTIF(C7:C39,"A")</f>
        <v>0</v>
      </c>
      <c r="D51" s="2">
        <f t="shared" si="42"/>
        <v>0</v>
      </c>
      <c r="E51" s="2">
        <f t="shared" si="42"/>
        <v>2</v>
      </c>
      <c r="F51" s="178">
        <f t="shared" si="42"/>
        <v>0</v>
      </c>
      <c r="G51" s="2">
        <f t="shared" si="42"/>
        <v>1</v>
      </c>
      <c r="H51" s="2">
        <f t="shared" si="42"/>
        <v>1</v>
      </c>
      <c r="I51" s="2">
        <f t="shared" si="42"/>
        <v>0</v>
      </c>
      <c r="J51" s="2">
        <f t="shared" si="42"/>
        <v>0</v>
      </c>
      <c r="K51" s="2">
        <f t="shared" si="42"/>
        <v>1</v>
      </c>
      <c r="L51" s="2">
        <f t="shared" si="42"/>
        <v>1</v>
      </c>
      <c r="M51" s="178">
        <f t="shared" si="42"/>
        <v>0</v>
      </c>
      <c r="N51" s="178">
        <f t="shared" si="42"/>
        <v>0</v>
      </c>
      <c r="O51" s="2">
        <f t="shared" si="42"/>
        <v>1</v>
      </c>
      <c r="P51" s="2">
        <f t="shared" si="42"/>
        <v>2</v>
      </c>
      <c r="Q51" s="2">
        <f t="shared" si="42"/>
        <v>0</v>
      </c>
      <c r="R51" s="2">
        <f t="shared" si="42"/>
        <v>1</v>
      </c>
      <c r="S51" s="2">
        <f t="shared" si="42"/>
        <v>0</v>
      </c>
      <c r="T51" s="178">
        <f t="shared" si="42"/>
        <v>0</v>
      </c>
      <c r="U51" s="2">
        <f t="shared" si="42"/>
        <v>0</v>
      </c>
      <c r="V51" s="2">
        <f t="shared" si="42"/>
        <v>0</v>
      </c>
      <c r="W51" s="2">
        <f t="shared" si="42"/>
        <v>0</v>
      </c>
      <c r="X51" s="2">
        <f t="shared" si="42"/>
        <v>0</v>
      </c>
      <c r="Y51" s="2">
        <f t="shared" si="42"/>
        <v>0</v>
      </c>
      <c r="Z51" s="2">
        <f t="shared" si="42"/>
        <v>0</v>
      </c>
      <c r="AA51" s="178">
        <f t="shared" si="42"/>
        <v>0</v>
      </c>
      <c r="AB51" s="2">
        <f t="shared" si="42"/>
        <v>0</v>
      </c>
      <c r="AC51" s="2">
        <f t="shared" si="42"/>
        <v>0</v>
      </c>
      <c r="AD51" s="2">
        <f t="shared" si="42"/>
        <v>0</v>
      </c>
      <c r="AE51" s="1195">
        <f t="shared" si="42"/>
        <v>0</v>
      </c>
      <c r="AF51" s="2">
        <f t="shared" si="42"/>
        <v>0</v>
      </c>
      <c r="AG51" s="1077">
        <f t="shared" si="42"/>
        <v>0</v>
      </c>
      <c r="AH51" s="368">
        <f t="shared" si="34"/>
        <v>10</v>
      </c>
    </row>
    <row r="52" spans="1:46" s="66" customFormat="1" ht="35.25" customHeight="1" thickBot="1">
      <c r="A52" s="156"/>
      <c r="B52" s="157" t="s">
        <v>50</v>
      </c>
      <c r="C52" s="166">
        <f>SUM(C40:C51)</f>
        <v>33</v>
      </c>
      <c r="D52" s="158">
        <f t="shared" ref="D52:AG52" si="43">SUM(D40:D51)</f>
        <v>33</v>
      </c>
      <c r="E52" s="158">
        <f>SUM(E40:E51)</f>
        <v>33</v>
      </c>
      <c r="F52" s="166">
        <f>SUM(F40:F51)</f>
        <v>33</v>
      </c>
      <c r="G52" s="158">
        <f t="shared" si="43"/>
        <v>33</v>
      </c>
      <c r="H52" s="158">
        <f t="shared" si="43"/>
        <v>32</v>
      </c>
      <c r="I52" s="158">
        <f t="shared" si="43"/>
        <v>32</v>
      </c>
      <c r="J52" s="158">
        <f t="shared" si="43"/>
        <v>32</v>
      </c>
      <c r="K52" s="158">
        <f t="shared" si="43"/>
        <v>32</v>
      </c>
      <c r="L52" s="158">
        <f t="shared" si="43"/>
        <v>32</v>
      </c>
      <c r="M52" s="166">
        <f t="shared" si="43"/>
        <v>32</v>
      </c>
      <c r="N52" s="166">
        <f t="shared" si="43"/>
        <v>32</v>
      </c>
      <c r="O52" s="158">
        <f t="shared" si="43"/>
        <v>32</v>
      </c>
      <c r="P52" s="158">
        <f t="shared" si="43"/>
        <v>32</v>
      </c>
      <c r="Q52" s="158">
        <f t="shared" si="43"/>
        <v>32</v>
      </c>
      <c r="R52" s="158">
        <f t="shared" si="43"/>
        <v>32</v>
      </c>
      <c r="S52" s="158">
        <f t="shared" si="43"/>
        <v>32</v>
      </c>
      <c r="T52" s="166">
        <f t="shared" si="43"/>
        <v>32</v>
      </c>
      <c r="U52" s="158">
        <f t="shared" si="43"/>
        <v>32</v>
      </c>
      <c r="V52" s="158">
        <f t="shared" si="43"/>
        <v>32</v>
      </c>
      <c r="W52" s="158">
        <f t="shared" si="43"/>
        <v>32</v>
      </c>
      <c r="X52" s="158">
        <f t="shared" si="43"/>
        <v>32</v>
      </c>
      <c r="Y52" s="158">
        <f t="shared" si="43"/>
        <v>32</v>
      </c>
      <c r="Z52" s="158">
        <f t="shared" si="43"/>
        <v>32</v>
      </c>
      <c r="AA52" s="166">
        <f t="shared" si="43"/>
        <v>32</v>
      </c>
      <c r="AB52" s="158">
        <f t="shared" si="43"/>
        <v>32</v>
      </c>
      <c r="AC52" s="158">
        <f t="shared" si="43"/>
        <v>32</v>
      </c>
      <c r="AD52" s="158">
        <f t="shared" si="43"/>
        <v>32</v>
      </c>
      <c r="AE52" s="166">
        <f t="shared" si="43"/>
        <v>32</v>
      </c>
      <c r="AF52" s="158">
        <f t="shared" si="43"/>
        <v>32</v>
      </c>
      <c r="AG52" s="158">
        <f t="shared" si="43"/>
        <v>32</v>
      </c>
      <c r="AH52" s="395">
        <f>SUM(C52:AG52)</f>
        <v>997</v>
      </c>
      <c r="AI52" s="142"/>
    </row>
    <row r="53" spans="1:46">
      <c r="A53" s="396"/>
      <c r="B53" s="396"/>
      <c r="C53" s="511"/>
      <c r="D53" s="195"/>
      <c r="E53" s="195"/>
      <c r="F53" s="511"/>
      <c r="G53" s="195"/>
      <c r="H53" s="195"/>
      <c r="I53" s="195"/>
      <c r="J53" s="195"/>
      <c r="K53" s="195"/>
      <c r="L53" s="195"/>
      <c r="M53" s="511"/>
      <c r="N53" s="511"/>
      <c r="O53" s="195"/>
      <c r="P53" s="195"/>
      <c r="Q53" s="195"/>
      <c r="R53" s="195"/>
      <c r="S53" s="195"/>
      <c r="T53" s="511"/>
      <c r="U53" s="195"/>
      <c r="V53" s="195"/>
      <c r="W53" s="195"/>
      <c r="X53" s="195"/>
      <c r="Y53" s="195"/>
      <c r="Z53" s="195"/>
      <c r="AA53" s="511"/>
      <c r="AB53" s="195"/>
      <c r="AC53" s="195"/>
      <c r="AD53" s="195"/>
      <c r="AE53" s="510"/>
      <c r="AF53" s="195"/>
      <c r="AG53" s="142"/>
    </row>
    <row r="55" spans="1:46">
      <c r="P55" s="388"/>
      <c r="Q55" s="388"/>
      <c r="R55" s="388"/>
      <c r="S55" s="388"/>
      <c r="T55" s="583"/>
      <c r="U55" s="388"/>
    </row>
    <row r="57" spans="1:46" s="64" customFormat="1" ht="24.75" customHeight="1">
      <c r="A57" s="1896" t="s">
        <v>232</v>
      </c>
      <c r="B57" s="1896"/>
      <c r="C57" s="292"/>
      <c r="F57" s="292"/>
      <c r="M57" s="292"/>
      <c r="N57" s="292"/>
      <c r="S57" s="66"/>
      <c r="T57" s="292"/>
      <c r="Z57" s="66"/>
      <c r="AA57" s="292"/>
      <c r="AE57" s="292"/>
      <c r="AF57" s="66"/>
      <c r="AG57" s="66"/>
    </row>
    <row r="58" spans="1:46" s="64" customFormat="1" ht="36.75" customHeight="1">
      <c r="A58" s="64" t="s">
        <v>233</v>
      </c>
      <c r="C58" s="292"/>
      <c r="F58" s="292"/>
      <c r="L58" s="66"/>
      <c r="M58" s="292"/>
      <c r="N58" s="292"/>
      <c r="S58" s="66"/>
      <c r="T58" s="292"/>
      <c r="Z58" s="66"/>
      <c r="AA58" s="292"/>
      <c r="AE58" s="292"/>
      <c r="AF58" s="66"/>
      <c r="AG58" s="66"/>
    </row>
    <row r="59" spans="1:46" s="64" customFormat="1" ht="21" customHeight="1" thickBot="1">
      <c r="A59" s="1924" t="s">
        <v>773</v>
      </c>
      <c r="B59" s="1924"/>
      <c r="C59" s="292"/>
      <c r="F59" s="292"/>
      <c r="L59" s="1201"/>
      <c r="M59" s="292"/>
      <c r="N59" s="292"/>
      <c r="S59" s="1201"/>
      <c r="T59" s="292"/>
      <c r="Z59" s="1201"/>
      <c r="AA59" s="292"/>
      <c r="AE59" s="292"/>
      <c r="AF59" s="1201"/>
      <c r="AG59" s="1201"/>
      <c r="AH59" s="397"/>
    </row>
    <row r="60" spans="1:46" s="64" customFormat="1" ht="25.5" customHeight="1">
      <c r="A60" s="1958" t="s">
        <v>158</v>
      </c>
      <c r="B60" s="1961" t="s">
        <v>22</v>
      </c>
      <c r="C60" s="1928" t="s">
        <v>234</v>
      </c>
      <c r="D60" s="1929"/>
      <c r="E60" s="1929"/>
      <c r="F60" s="1929"/>
      <c r="G60" s="1929"/>
      <c r="H60" s="1929"/>
      <c r="I60" s="1929"/>
      <c r="J60" s="1929"/>
      <c r="K60" s="1929"/>
      <c r="L60" s="1929"/>
      <c r="M60" s="1929"/>
      <c r="N60" s="1929"/>
      <c r="O60" s="1929"/>
      <c r="P60" s="1929"/>
      <c r="Q60" s="1929"/>
      <c r="R60" s="1929"/>
      <c r="S60" s="1929"/>
      <c r="T60" s="1929"/>
      <c r="U60" s="1929"/>
      <c r="V60" s="1929"/>
      <c r="W60" s="1929"/>
      <c r="X60" s="1929"/>
      <c r="Y60" s="1929"/>
      <c r="Z60" s="1929"/>
      <c r="AA60" s="1929"/>
      <c r="AB60" s="1929"/>
      <c r="AC60" s="1929"/>
      <c r="AD60" s="1929"/>
      <c r="AE60" s="1929"/>
      <c r="AF60" s="1929"/>
      <c r="AG60" s="1929"/>
      <c r="AH60" s="1914" t="s">
        <v>235</v>
      </c>
      <c r="AI60" s="1905" t="s">
        <v>236</v>
      </c>
      <c r="AJ60" s="1900"/>
      <c r="AK60" s="1900"/>
      <c r="AL60" s="1900"/>
      <c r="AM60" s="1900"/>
      <c r="AN60" s="1900"/>
      <c r="AO60" s="1900"/>
      <c r="AP60" s="1900"/>
      <c r="AQ60" s="1900"/>
      <c r="AR60" s="1900" t="s">
        <v>4</v>
      </c>
      <c r="AS60" s="1900" t="s">
        <v>42</v>
      </c>
      <c r="AT60" s="1911" t="s">
        <v>43</v>
      </c>
    </row>
    <row r="61" spans="1:46" s="64" customFormat="1" ht="25.5" customHeight="1">
      <c r="A61" s="1959"/>
      <c r="B61" s="1962"/>
      <c r="C61" s="1931"/>
      <c r="D61" s="1932"/>
      <c r="E61" s="1932"/>
      <c r="F61" s="1932"/>
      <c r="G61" s="1932"/>
      <c r="H61" s="1932"/>
      <c r="I61" s="1932"/>
      <c r="J61" s="1932"/>
      <c r="K61" s="1932"/>
      <c r="L61" s="1932"/>
      <c r="M61" s="1932"/>
      <c r="N61" s="1932"/>
      <c r="O61" s="1932"/>
      <c r="P61" s="1932"/>
      <c r="Q61" s="1932"/>
      <c r="R61" s="1932"/>
      <c r="S61" s="1932"/>
      <c r="T61" s="1932"/>
      <c r="U61" s="1932"/>
      <c r="V61" s="1932"/>
      <c r="W61" s="1932"/>
      <c r="X61" s="1932"/>
      <c r="Y61" s="1932"/>
      <c r="Z61" s="1932"/>
      <c r="AA61" s="1932"/>
      <c r="AB61" s="1932"/>
      <c r="AC61" s="1932"/>
      <c r="AD61" s="1932"/>
      <c r="AE61" s="1932"/>
      <c r="AF61" s="1932"/>
      <c r="AG61" s="1964"/>
      <c r="AH61" s="1908"/>
      <c r="AI61" s="1965"/>
      <c r="AJ61" s="1901"/>
      <c r="AK61" s="1901"/>
      <c r="AL61" s="1901"/>
      <c r="AM61" s="1901"/>
      <c r="AN61" s="1901"/>
      <c r="AO61" s="1901"/>
      <c r="AP61" s="1901"/>
      <c r="AQ61" s="1901"/>
      <c r="AR61" s="1901"/>
      <c r="AS61" s="1901"/>
      <c r="AT61" s="1912"/>
    </row>
    <row r="62" spans="1:46" s="66" customFormat="1" ht="51" customHeight="1" thickBot="1">
      <c r="A62" s="1960"/>
      <c r="B62" s="1963"/>
      <c r="C62" s="67">
        <v>1</v>
      </c>
      <c r="D62" s="1183">
        <v>2</v>
      </c>
      <c r="E62" s="1183">
        <v>3</v>
      </c>
      <c r="F62" s="67">
        <v>4</v>
      </c>
      <c r="G62" s="1183">
        <v>5</v>
      </c>
      <c r="H62" s="1183">
        <v>6</v>
      </c>
      <c r="I62" s="1183">
        <v>7</v>
      </c>
      <c r="J62" s="1183">
        <v>8</v>
      </c>
      <c r="K62" s="1183">
        <v>9</v>
      </c>
      <c r="L62" s="1183">
        <v>10</v>
      </c>
      <c r="M62" s="67">
        <v>11</v>
      </c>
      <c r="N62" s="67">
        <v>12</v>
      </c>
      <c r="O62" s="1183">
        <v>13</v>
      </c>
      <c r="P62" s="1183">
        <v>14</v>
      </c>
      <c r="Q62" s="1183">
        <v>15</v>
      </c>
      <c r="R62" s="1183">
        <v>16</v>
      </c>
      <c r="S62" s="1183">
        <v>17</v>
      </c>
      <c r="T62" s="67">
        <v>18</v>
      </c>
      <c r="U62" s="1183">
        <v>19</v>
      </c>
      <c r="V62" s="1183">
        <v>20</v>
      </c>
      <c r="W62" s="1183">
        <v>21</v>
      </c>
      <c r="X62" s="1183">
        <v>22</v>
      </c>
      <c r="Y62" s="1183">
        <v>23</v>
      </c>
      <c r="Z62" s="1183">
        <v>24</v>
      </c>
      <c r="AA62" s="67">
        <v>25</v>
      </c>
      <c r="AB62" s="1183">
        <v>26</v>
      </c>
      <c r="AC62" s="1183">
        <v>27</v>
      </c>
      <c r="AD62" s="1183">
        <v>28</v>
      </c>
      <c r="AE62" s="67">
        <v>29</v>
      </c>
      <c r="AF62" s="1183">
        <v>30</v>
      </c>
      <c r="AG62" s="169">
        <v>31</v>
      </c>
      <c r="AH62" s="1909"/>
      <c r="AI62" s="1184" t="s">
        <v>35</v>
      </c>
      <c r="AJ62" s="1183" t="s">
        <v>237</v>
      </c>
      <c r="AK62" s="1183" t="s">
        <v>12</v>
      </c>
      <c r="AL62" s="1183" t="s">
        <v>238</v>
      </c>
      <c r="AM62" s="1183" t="s">
        <v>239</v>
      </c>
      <c r="AN62" s="1183" t="s">
        <v>240</v>
      </c>
      <c r="AO62" s="362" t="s">
        <v>348</v>
      </c>
      <c r="AP62" s="362" t="s">
        <v>349</v>
      </c>
      <c r="AQ62" s="362" t="s">
        <v>350</v>
      </c>
      <c r="AR62" s="1902"/>
      <c r="AS62" s="1902"/>
      <c r="AT62" s="1913"/>
    </row>
    <row r="63" spans="1:46" s="386" customFormat="1" ht="34.5" customHeight="1">
      <c r="A63" s="398" t="s">
        <v>63</v>
      </c>
      <c r="B63" s="399" t="s">
        <v>153</v>
      </c>
      <c r="C63" s="1083" t="s">
        <v>239</v>
      </c>
      <c r="D63" s="1">
        <f>COUNTIF(ABSEN!B:B,"JUNAIDI ( SITI )")</f>
        <v>1</v>
      </c>
      <c r="E63" s="1">
        <f>COUNTIF(ABSEN!C:C,"JUNAIDI ( SITI )")</f>
        <v>1</v>
      </c>
      <c r="F63" s="1083" t="s">
        <v>238</v>
      </c>
      <c r="G63" s="1">
        <f>COUNTIF(ABSEN!E:E,"JUNAIDI ( SITI )")</f>
        <v>1</v>
      </c>
      <c r="H63" s="1">
        <f>COUNTIF(ABSEN!F:F,"JUNAIDI ( SITI )")</f>
        <v>1</v>
      </c>
      <c r="I63" s="1">
        <f>COUNTIF(ABSEN!G:G,"JUNAIDI ( SITI )")</f>
        <v>1</v>
      </c>
      <c r="J63" s="1">
        <f>COUNTIF(ABSEN!H:H,"JUNAIDI ( SITI )")</f>
        <v>1</v>
      </c>
      <c r="K63" s="1">
        <f>COUNTIF(ABSEN!I:I,"JUNAIDI ( SITI )")</f>
        <v>1</v>
      </c>
      <c r="L63" s="1">
        <f>COUNTIF(ABSEN!J:J,"JUNAIDI ( SITI )")</f>
        <v>1</v>
      </c>
      <c r="M63" s="1083" t="s">
        <v>238</v>
      </c>
      <c r="N63" s="1083" t="s">
        <v>239</v>
      </c>
      <c r="O63" s="1214" t="s">
        <v>777</v>
      </c>
      <c r="P63" s="1">
        <f>COUNTIF(ABSEN!N:N,"JUNAIDI ( SITI )")</f>
        <v>1</v>
      </c>
      <c r="Q63" s="1">
        <f>COUNTIF(ABSEN!O:O,"JUNAIDI ( SITI )")</f>
        <v>1</v>
      </c>
      <c r="R63" s="1">
        <f>COUNTIF(ABSEN!P:P,"JUNAIDI ( SITI )")</f>
        <v>1</v>
      </c>
      <c r="S63" s="1">
        <f>COUNTIF(ABSEN!Q:Q,"JUNAIDI ( SITI )")</f>
        <v>1</v>
      </c>
      <c r="T63" s="1083" t="s">
        <v>238</v>
      </c>
      <c r="U63" s="1">
        <f>COUNTIF(ABSEN!S:S,"JUNAIDI ( SITI )")</f>
        <v>1</v>
      </c>
      <c r="V63" s="1">
        <f>COUNTIF(ABSEN!T:T,"JUNAIDI ( SITI )")</f>
        <v>1</v>
      </c>
      <c r="W63" s="1">
        <f>COUNTIF(ABSEN!U:U,"JUNAIDI ( SITI )")</f>
        <v>1</v>
      </c>
      <c r="X63" s="1">
        <f>COUNTIF(ABSEN!V:V,"JUNAIDI ( SITI )")</f>
        <v>1</v>
      </c>
      <c r="Y63" s="1">
        <f>COUNTIF(ABSEN!W:W,"JUNAIDI ( SITI )")</f>
        <v>1</v>
      </c>
      <c r="Z63" s="1">
        <f>COUNTIF(ABSEN!X:X,"JUNAIDI ( SITI )")</f>
        <v>1</v>
      </c>
      <c r="AA63" s="1083" t="s">
        <v>238</v>
      </c>
      <c r="AB63" s="1">
        <f>COUNTIF(ABSEN!Z:Z,"JUNAIDI ( SITI )")</f>
        <v>1</v>
      </c>
      <c r="AC63" s="1">
        <f>COUNTIF(ABSEN!AA:AA,"JUNAIDI ( SITI )")</f>
        <v>1</v>
      </c>
      <c r="AD63" s="1">
        <f>COUNTIF(ABSEN!AB:AB,"JUNAIDI ( SITI )")</f>
        <v>1</v>
      </c>
      <c r="AE63" s="1083" t="s">
        <v>239</v>
      </c>
      <c r="AF63" s="1">
        <f>COUNTIF(ABSEN!AD:AD,"JUNAIDI ( SITI )")</f>
        <v>1</v>
      </c>
      <c r="AG63" s="1">
        <f>COUNTIF(ABSEN!AE:AE,"JUNAIDI ( SITI )")</f>
        <v>1</v>
      </c>
      <c r="AH63" s="400">
        <f>SUM(C63:AG63)</f>
        <v>23</v>
      </c>
      <c r="AI63" s="401">
        <f>COUNTIF(C63:AG63,"CT")</f>
        <v>1</v>
      </c>
      <c r="AJ63" s="402">
        <f>COUNTIF(C63:AG63,"S")</f>
        <v>0</v>
      </c>
      <c r="AK63" s="402">
        <f t="shared" ref="AK63:AK64" si="44">COUNTIF(C63:AG63,"H1")</f>
        <v>0</v>
      </c>
      <c r="AL63" s="402">
        <f>COUNTIF(C63:AG63,"MG")</f>
        <v>4</v>
      </c>
      <c r="AM63" s="402">
        <f t="shared" ref="AM63:AM64" si="45">COUNTIF(C63:AG63,"NAS")</f>
        <v>3</v>
      </c>
      <c r="AN63" s="402">
        <f>COUNTIF(C63:AG63,"H2")</f>
        <v>0</v>
      </c>
      <c r="AO63" s="403">
        <f t="shared" ref="AO63:AO64" si="46">COUNTIF(B63:AF63,"P1")</f>
        <v>0</v>
      </c>
      <c r="AP63" s="403">
        <f>COUNTIF(B63:AF63,"P2")</f>
        <v>0</v>
      </c>
      <c r="AQ63" s="403">
        <f t="shared" ref="AQ63:AQ64" si="47">COUNTIF(C63:AG63,"P1")</f>
        <v>0</v>
      </c>
      <c r="AR63" s="404">
        <f>SUM(AH63:AQ63)</f>
        <v>31</v>
      </c>
      <c r="AS63" s="401">
        <f t="shared" ref="AS63:AS64" si="48">COUNTIF(C63:AG63,"CTH")</f>
        <v>0</v>
      </c>
      <c r="AT63" s="405">
        <f t="shared" ref="AT63:AT64" si="49">COUNTIF(C63:AG63,"A")</f>
        <v>0</v>
      </c>
    </row>
    <row r="64" spans="1:46" s="413" customFormat="1" ht="34.5" customHeight="1">
      <c r="A64" s="406" t="s">
        <v>53</v>
      </c>
      <c r="B64" s="407" t="s">
        <v>154</v>
      </c>
      <c r="C64" s="178" t="s">
        <v>239</v>
      </c>
      <c r="D64" s="2">
        <f>COUNTIF(ABSEN!B:B,"DARWIN ( MARYATI )")</f>
        <v>1</v>
      </c>
      <c r="E64" s="2">
        <f>COUNTIF(ABSEN!C:C,"DARWIN ( MARYATI )")</f>
        <v>1</v>
      </c>
      <c r="F64" s="178" t="s">
        <v>238</v>
      </c>
      <c r="G64" s="2">
        <f>COUNTIF(ABSEN!E:E,"DARWIN ( MARYATI )")</f>
        <v>1</v>
      </c>
      <c r="H64" s="2">
        <f>COUNTIF(ABSEN!F:F,"DARWIN ( MARYATI )")</f>
        <v>1</v>
      </c>
      <c r="I64" s="2">
        <f>COUNTIF(ABSEN!G:G,"DARWIN ( MARYATI )")</f>
        <v>1</v>
      </c>
      <c r="J64" s="1207" t="s">
        <v>777</v>
      </c>
      <c r="K64" s="2">
        <f>COUNTIF(ABSEN!I:I,"DARWIN ( MARYATI )")</f>
        <v>1</v>
      </c>
      <c r="L64" s="2">
        <f>COUNTIF(ABSEN!J:J,"DARWIN ( MARYATI )")</f>
        <v>1</v>
      </c>
      <c r="M64" s="178" t="s">
        <v>238</v>
      </c>
      <c r="N64" s="178" t="s">
        <v>239</v>
      </c>
      <c r="O64" s="2">
        <f>COUNTIF(ABSEN!M:M,"DARWIN ( MARYATI )")</f>
        <v>1</v>
      </c>
      <c r="P64" s="2">
        <f>COUNTIF(ABSEN!N:N,"DARWIN ( MARYATI )")</f>
        <v>1</v>
      </c>
      <c r="Q64" s="2">
        <f>COUNTIF(ABSEN!O:O,"DARWIN ( MARYATI )")</f>
        <v>1</v>
      </c>
      <c r="R64" s="2">
        <f>COUNTIF(ABSEN!P:P,"DARWIN ( MARYATI )")</f>
        <v>1</v>
      </c>
      <c r="S64" s="2">
        <f>COUNTIF(ABSEN!Q:Q,"DARWIN ( MARYATI )")</f>
        <v>1</v>
      </c>
      <c r="T64" s="178" t="s">
        <v>238</v>
      </c>
      <c r="U64" s="2">
        <f>COUNTIF(ABSEN!S:S,"DARWIN ( MARYATI )")</f>
        <v>1</v>
      </c>
      <c r="V64" s="2">
        <f>COUNTIF(ABSEN!T:T,"DARWIN ( MARYATI )")</f>
        <v>1</v>
      </c>
      <c r="W64" s="2">
        <f>COUNTIF(ABSEN!U:U,"DARWIN ( MARYATI )")</f>
        <v>1</v>
      </c>
      <c r="X64" s="2">
        <f>COUNTIF(ABSEN!V:V,"DARWIN ( MARYATI )")</f>
        <v>1</v>
      </c>
      <c r="Y64" s="2">
        <f>COUNTIF(ABSEN!W:W,"DARWIN ( MARYATI )")</f>
        <v>1</v>
      </c>
      <c r="Z64" s="2">
        <f>COUNTIF(ABSEN!X:X,"DARWIN ( MARYATI )")</f>
        <v>1</v>
      </c>
      <c r="AA64" s="178" t="s">
        <v>238</v>
      </c>
      <c r="AB64" s="2">
        <f>COUNTIF(ABSEN!Z:Z,"DARWIN ( MARYATI )")</f>
        <v>1</v>
      </c>
      <c r="AC64" s="2">
        <f>COUNTIF(ABSEN!AA:AA,"DARWIN ( MARYATI )")</f>
        <v>1</v>
      </c>
      <c r="AD64" s="2">
        <f>COUNTIF(ABSEN!AB:AB,"DARWIN ( MARYATI )")</f>
        <v>1</v>
      </c>
      <c r="AE64" s="178" t="s">
        <v>239</v>
      </c>
      <c r="AF64" s="2">
        <f>COUNTIF(ABSEN!AD:AD,"DARWIN ( MARYATI )")</f>
        <v>1</v>
      </c>
      <c r="AG64" s="2">
        <f>COUNTIF(ABSEN!AE:AE,"DARWIN ( MARYATI )")</f>
        <v>1</v>
      </c>
      <c r="AH64" s="408">
        <f t="shared" ref="AH64:AH70" si="50">SUM(C64:AG64)</f>
        <v>23</v>
      </c>
      <c r="AI64" s="409">
        <f t="shared" ref="AI64" si="51">COUNTIF(C64:AG64,"CT")</f>
        <v>1</v>
      </c>
      <c r="AJ64" s="410">
        <f t="shared" ref="AJ64" si="52">COUNTIF(C64:AG64,"S")</f>
        <v>0</v>
      </c>
      <c r="AK64" s="410">
        <f t="shared" si="44"/>
        <v>0</v>
      </c>
      <c r="AL64" s="410">
        <f t="shared" ref="AL64" si="53">COUNTIF(C64:AG64,"MG")</f>
        <v>4</v>
      </c>
      <c r="AM64" s="410">
        <f t="shared" si="45"/>
        <v>3</v>
      </c>
      <c r="AN64" s="410">
        <f t="shared" ref="AN64" si="54">COUNTIF(C64:AG64,"H2")</f>
        <v>0</v>
      </c>
      <c r="AO64" s="411">
        <f t="shared" si="46"/>
        <v>0</v>
      </c>
      <c r="AP64" s="411">
        <f t="shared" ref="AP64" si="55">COUNTIF(B64:AF64,"P1")</f>
        <v>0</v>
      </c>
      <c r="AQ64" s="411">
        <f t="shared" si="47"/>
        <v>0</v>
      </c>
      <c r="AR64" s="368">
        <f t="shared" ref="AR64:AR70" si="56">SUM(AH64:AQ64)</f>
        <v>31</v>
      </c>
      <c r="AS64" s="409">
        <f t="shared" si="48"/>
        <v>0</v>
      </c>
      <c r="AT64" s="412">
        <f t="shared" si="49"/>
        <v>0</v>
      </c>
    </row>
    <row r="65" spans="1:47" s="413" customFormat="1" ht="33" customHeight="1">
      <c r="A65" s="406" t="s">
        <v>64</v>
      </c>
      <c r="B65" s="414" t="s">
        <v>220</v>
      </c>
      <c r="C65" s="178" t="s">
        <v>239</v>
      </c>
      <c r="D65" s="2">
        <f>COUNTIF(ABSEN!B:B,"CANDRA WIJAYA ( SUYATI )")</f>
        <v>1</v>
      </c>
      <c r="E65" s="1207" t="s">
        <v>778</v>
      </c>
      <c r="F65" s="178" t="s">
        <v>238</v>
      </c>
      <c r="G65" s="2">
        <f>COUNTIF(ABSEN!E:E,"CANDRA WIJAYA ( SUYATI )")</f>
        <v>1</v>
      </c>
      <c r="H65" s="2">
        <f>COUNTIF(ABSEN!F:F,"CANDRA WIJAYA ( SUYATI )")</f>
        <v>1</v>
      </c>
      <c r="I65" s="2">
        <f>COUNTIF(ABSEN!G:G,"CANDRA WIJAYA ( SUYATI )")</f>
        <v>1</v>
      </c>
      <c r="J65" s="2">
        <f>COUNTIF(ABSEN!H:H,"CANDRA WIJAYA ( SUYATI )")</f>
        <v>1</v>
      </c>
      <c r="K65" s="2">
        <f>COUNTIF(ABSEN!I:I,"CANDRA WIJAYA ( SUYATI )")</f>
        <v>1</v>
      </c>
      <c r="L65" s="2">
        <f>COUNTIF(ABSEN!J:J,"CANDRA WIJAYA ( SUYATI )")</f>
        <v>1</v>
      </c>
      <c r="M65" s="178" t="s">
        <v>238</v>
      </c>
      <c r="N65" s="178" t="s">
        <v>239</v>
      </c>
      <c r="O65" s="1207" t="s">
        <v>777</v>
      </c>
      <c r="P65" s="2">
        <f>COUNTIF(ABSEN!N:N,"CANDRA WIJAYA ( SUYATI )")</f>
        <v>1</v>
      </c>
      <c r="Q65" s="2">
        <f>COUNTIF(ABSEN!O:O,"CANDRA WIJAYA ( SUYATI )")</f>
        <v>1</v>
      </c>
      <c r="R65" s="2">
        <f>COUNTIF(ABSEN!P:P,"CANDRA WIJAYA ( SUYATI )")</f>
        <v>1</v>
      </c>
      <c r="S65" s="2">
        <f>COUNTIF(ABSEN!Q:Q,"CANDRA WIJAYA ( SUYATI )")</f>
        <v>1</v>
      </c>
      <c r="T65" s="178" t="s">
        <v>238</v>
      </c>
      <c r="U65" s="2">
        <f>COUNTIF(ABSEN!S:S,"CANDRA WIJAYA ( SUYATI )")</f>
        <v>1</v>
      </c>
      <c r="V65" s="2">
        <f>COUNTIF(ABSEN!T:T,"CANDRA WIJAYA ( SUYATI )")</f>
        <v>1</v>
      </c>
      <c r="W65" s="2">
        <f>COUNTIF(ABSEN!U:U,"CANDRA WIJAYA ( SUYATI )")</f>
        <v>1</v>
      </c>
      <c r="X65" s="2">
        <f>COUNTIF(ABSEN!V:V,"CANDRA WIJAYA ( SUYATI )")</f>
        <v>1</v>
      </c>
      <c r="Y65" s="2">
        <f>COUNTIF(ABSEN!W:W,"CANDRA WIJAYA ( SUYATI )")</f>
        <v>1</v>
      </c>
      <c r="Z65" s="2">
        <f>COUNTIF(ABSEN!X:X,"CANDRA WIJAYA ( SUYATI )")</f>
        <v>1</v>
      </c>
      <c r="AA65" s="178" t="s">
        <v>238</v>
      </c>
      <c r="AB65" s="2">
        <f>COUNTIF(ABSEN!Z:Z,"CANDRA WIJAYA ( SUYATI )")</f>
        <v>1</v>
      </c>
      <c r="AC65" s="2">
        <f>COUNTIF(ABSEN!AA:AA,"CANDRA WIJAYA ( SUYATI )")</f>
        <v>1</v>
      </c>
      <c r="AD65" s="2">
        <f>COUNTIF(ABSEN!AB:AB,"CANDRA WIJAYA ( SUYATI )")</f>
        <v>1</v>
      </c>
      <c r="AE65" s="178" t="s">
        <v>239</v>
      </c>
      <c r="AF65" s="2">
        <f>COUNTIF(ABSEN!AD:AD,"CANDRA WIJAYA ( SUYATI )")</f>
        <v>1</v>
      </c>
      <c r="AG65" s="2">
        <f>COUNTIF(ABSEN!AE:AE,"CANDRA WIJAYA ( SUYATI )")</f>
        <v>1</v>
      </c>
      <c r="AH65" s="408">
        <f>SUM(C65:AG65)</f>
        <v>22</v>
      </c>
      <c r="AI65" s="409">
        <f t="shared" ref="AI65:AI70" si="57">COUNTIF(C65:AG65,"CT")</f>
        <v>1</v>
      </c>
      <c r="AJ65" s="410">
        <f t="shared" ref="AJ65:AJ70" si="58">COUNTIF(C65:AG65,"S")</f>
        <v>1</v>
      </c>
      <c r="AK65" s="410">
        <f t="shared" ref="AK65:AK70" si="59">COUNTIF(C65:AG65,"H1")</f>
        <v>0</v>
      </c>
      <c r="AL65" s="410">
        <f t="shared" ref="AL65:AL70" si="60">COUNTIF(C65:AG65,"MG")</f>
        <v>4</v>
      </c>
      <c r="AM65" s="410">
        <f t="shared" ref="AM65:AM70" si="61">COUNTIF(C65:AG65,"NAS")</f>
        <v>3</v>
      </c>
      <c r="AN65" s="410">
        <f t="shared" ref="AN65:AN70" si="62">COUNTIF(C65:AG65,"H2")</f>
        <v>0</v>
      </c>
      <c r="AO65" s="411">
        <f t="shared" ref="AO65:AO70" si="63">COUNTIF(B65:AF65,"P1")</f>
        <v>0</v>
      </c>
      <c r="AP65" s="411">
        <f t="shared" ref="AP65:AP70" si="64">COUNTIF(B65:AF65,"P1")</f>
        <v>0</v>
      </c>
      <c r="AQ65" s="411">
        <f t="shared" ref="AQ65:AQ70" si="65">COUNTIF(C65:AG65,"P1")</f>
        <v>0</v>
      </c>
      <c r="AR65" s="368">
        <f t="shared" si="56"/>
        <v>31</v>
      </c>
      <c r="AS65" s="409">
        <f t="shared" ref="AS65:AS69" si="66">COUNTIF(C65:AG65,"CTH")</f>
        <v>0</v>
      </c>
      <c r="AT65" s="412">
        <f t="shared" ref="AT65:AT69" si="67">COUNTIF(C65:AG65,"A")</f>
        <v>0</v>
      </c>
    </row>
    <row r="66" spans="1:47" s="413" customFormat="1" ht="34.5" customHeight="1">
      <c r="A66" s="406" t="s">
        <v>65</v>
      </c>
      <c r="B66" s="407" t="s">
        <v>99</v>
      </c>
      <c r="C66" s="178" t="s">
        <v>239</v>
      </c>
      <c r="D66" s="2">
        <f>COUNTIF(ABSEN!B:B,"ELDI ( USPIA )")</f>
        <v>1</v>
      </c>
      <c r="E66" s="2">
        <f>COUNTIF(ABSEN!C:C,"ELDI ( USPIA )")</f>
        <v>1</v>
      </c>
      <c r="F66" s="178" t="s">
        <v>238</v>
      </c>
      <c r="G66" s="2">
        <f>COUNTIF(ABSEN!E:E,"ELDI ( USPIA )")</f>
        <v>1</v>
      </c>
      <c r="H66" s="2">
        <f>COUNTIF(ABSEN!F:F,"ELDI ( USPIA )")</f>
        <v>1</v>
      </c>
      <c r="I66" s="2">
        <f>COUNTIF(ABSEN!G:G,"ELDI ( USPIA )")</f>
        <v>1</v>
      </c>
      <c r="J66" s="2">
        <f>COUNTIF(ABSEN!H:H,"ELDI ( USPIA )")</f>
        <v>1</v>
      </c>
      <c r="K66" s="2">
        <f>COUNTIF(ABSEN!I:I,"ELDI ( USPIA )")</f>
        <v>1</v>
      </c>
      <c r="L66" s="2">
        <f>COUNTIF(ABSEN!J:J,"ELDI ( USPIA )")</f>
        <v>1</v>
      </c>
      <c r="M66" s="178" t="s">
        <v>238</v>
      </c>
      <c r="N66" s="178" t="s">
        <v>239</v>
      </c>
      <c r="O66" s="2">
        <f>COUNTIF(ABSEN!M:M,"ELDI ( USPIA )")</f>
        <v>1</v>
      </c>
      <c r="P66" s="2">
        <f>COUNTIF(ABSEN!N:N,"ELDI ( USPIA )")</f>
        <v>1</v>
      </c>
      <c r="Q66" s="2">
        <f>COUNTIF(ABSEN!O:O,"ELDI ( USPIA )")</f>
        <v>1</v>
      </c>
      <c r="R66" s="2">
        <f>COUNTIF(ABSEN!P:P,"ELDI ( USPIA )")</f>
        <v>1</v>
      </c>
      <c r="S66" s="2">
        <f>COUNTIF(ABSEN!Q:Q,"ELDI ( USPIA )")</f>
        <v>1</v>
      </c>
      <c r="T66" s="178" t="s">
        <v>238</v>
      </c>
      <c r="U66" s="1207" t="s">
        <v>777</v>
      </c>
      <c r="V66" s="2">
        <f>COUNTIF(ABSEN!T:T,"ELDI ( USPIA )")</f>
        <v>1</v>
      </c>
      <c r="W66" s="2">
        <f>COUNTIF(ABSEN!U:U,"ELDI ( USPIA )")</f>
        <v>1</v>
      </c>
      <c r="X66" s="2">
        <f>COUNTIF(ABSEN!V:V,"ELDI ( USPIA )")</f>
        <v>1</v>
      </c>
      <c r="Y66" s="2">
        <f>COUNTIF(ABSEN!W:W,"ELDI ( USPIA )")</f>
        <v>1</v>
      </c>
      <c r="Z66" s="2">
        <f>COUNTIF(ABSEN!X:X,"ELDI ( USPIA )")</f>
        <v>1</v>
      </c>
      <c r="AA66" s="178" t="s">
        <v>238</v>
      </c>
      <c r="AB66" s="2">
        <f>COUNTIF(ABSEN!Z:Z,"ELDI ( USPIA )")</f>
        <v>1</v>
      </c>
      <c r="AC66" s="2">
        <f>COUNTIF(ABSEN!AA:AA,"ELDI ( USPIA )")</f>
        <v>1</v>
      </c>
      <c r="AD66" s="2">
        <f>COUNTIF(ABSEN!AB:AB,"ELDI ( USPIA )")</f>
        <v>1</v>
      </c>
      <c r="AE66" s="178" t="s">
        <v>239</v>
      </c>
      <c r="AF66" s="2">
        <f>COUNTIF(ABSEN!AD:AD,"ELDI ( USPIA )")</f>
        <v>1</v>
      </c>
      <c r="AG66" s="2">
        <f>COUNTIF(ABSEN!AE:AE,"ELDI ( USPIA )")</f>
        <v>1</v>
      </c>
      <c r="AH66" s="408">
        <f t="shared" ref="AH66:AH69" si="68">SUM(C66:AG66)</f>
        <v>23</v>
      </c>
      <c r="AI66" s="409">
        <f t="shared" si="57"/>
        <v>1</v>
      </c>
      <c r="AJ66" s="410">
        <f t="shared" si="58"/>
        <v>0</v>
      </c>
      <c r="AK66" s="410">
        <f t="shared" si="59"/>
        <v>0</v>
      </c>
      <c r="AL66" s="410">
        <f t="shared" si="60"/>
        <v>4</v>
      </c>
      <c r="AM66" s="410">
        <f t="shared" si="61"/>
        <v>3</v>
      </c>
      <c r="AN66" s="410">
        <f t="shared" si="62"/>
        <v>0</v>
      </c>
      <c r="AO66" s="411">
        <f t="shared" si="63"/>
        <v>0</v>
      </c>
      <c r="AP66" s="411">
        <f t="shared" si="64"/>
        <v>0</v>
      </c>
      <c r="AQ66" s="411">
        <f t="shared" si="65"/>
        <v>0</v>
      </c>
      <c r="AR66" s="368">
        <f t="shared" si="56"/>
        <v>31</v>
      </c>
      <c r="AS66" s="409">
        <f t="shared" si="66"/>
        <v>0</v>
      </c>
      <c r="AT66" s="412">
        <f t="shared" si="67"/>
        <v>0</v>
      </c>
    </row>
    <row r="67" spans="1:47" s="413" customFormat="1" ht="34.5" customHeight="1">
      <c r="A67" s="406" t="s">
        <v>66</v>
      </c>
      <c r="B67" s="415" t="s">
        <v>143</v>
      </c>
      <c r="C67" s="178" t="s">
        <v>239</v>
      </c>
      <c r="D67" s="2">
        <f>COUNTIF(ABSEN!B:B,"ARDIANSYAH PUTERA ( RODIAH )")</f>
        <v>1</v>
      </c>
      <c r="E67" s="1207" t="s">
        <v>777</v>
      </c>
      <c r="F67" s="178" t="s">
        <v>238</v>
      </c>
      <c r="G67" s="2">
        <f>COUNTIF(ABSEN!E:E,"ARDIANSYAH PUTERA ( RODIAH )")</f>
        <v>1</v>
      </c>
      <c r="H67" s="2">
        <f>COUNTIF(ABSEN!F:F,"ARDIANSYAH PUTERA ( RODIAH )")</f>
        <v>1</v>
      </c>
      <c r="I67" s="2">
        <f>COUNTIF(ABSEN!G:G,"ARDIANSYAH PUTERA ( RODIAH )")</f>
        <v>1</v>
      </c>
      <c r="J67" s="2">
        <f>COUNTIF(ABSEN!H:H,"ARDIANSYAH PUTERA ( RODIAH )")</f>
        <v>1</v>
      </c>
      <c r="K67" s="2">
        <f>COUNTIF(ABSEN!I:I,"ARDIANSYAH PUTERA ( RODIAH )")</f>
        <v>1</v>
      </c>
      <c r="L67" s="2">
        <f>COUNTIF(ABSEN!J:J,"ARDIANSYAH PUTERA ( RODIAH )")</f>
        <v>1</v>
      </c>
      <c r="M67" s="178" t="s">
        <v>238</v>
      </c>
      <c r="N67" s="178" t="s">
        <v>239</v>
      </c>
      <c r="O67" s="2">
        <f>COUNTIF(ABSEN!M:M,"ARDIANSYAH PUTERA ( RODIAH )")</f>
        <v>1</v>
      </c>
      <c r="P67" s="2">
        <f>COUNTIF(ABSEN!N:N,"ARDIANSYAH PUTERA ( RODIAH )")</f>
        <v>1</v>
      </c>
      <c r="Q67" s="2">
        <f>COUNTIF(ABSEN!O:O,"ARDIANSYAH PUTERA ( RODIAH )")</f>
        <v>1</v>
      </c>
      <c r="R67" s="2">
        <f>COUNTIF(ABSEN!P:P,"ARDIANSYAH PUTERA ( RODIAH )")</f>
        <v>1</v>
      </c>
      <c r="S67" s="2">
        <f>COUNTIF(ABSEN!Q:Q,"ARDIANSYAH PUTERA ( RODIAH )")</f>
        <v>1</v>
      </c>
      <c r="T67" s="178" t="s">
        <v>238</v>
      </c>
      <c r="U67" s="2">
        <f>COUNTIF(ABSEN!S:S,"ARDIANSYAH PUTERA ( RODIAH )")</f>
        <v>1</v>
      </c>
      <c r="V67" s="2">
        <f>COUNTIF(ABSEN!T:T,"ARDIANSYAH PUTERA ( RODIAH )")</f>
        <v>1</v>
      </c>
      <c r="W67" s="2">
        <f>COUNTIF(ABSEN!U:U,"ARDIANSYAH PUTERA ( RODIAH )")</f>
        <v>1</v>
      </c>
      <c r="X67" s="2">
        <f>COUNTIF(ABSEN!V:V,"ARDIANSYAH PUTERA ( RODIAH )")</f>
        <v>1</v>
      </c>
      <c r="Y67" s="2">
        <f>COUNTIF(ABSEN!W:W,"ARDIANSYAH PUTERA ( RODIAH )")</f>
        <v>1</v>
      </c>
      <c r="Z67" s="2">
        <f>COUNTIF(ABSEN!X:X,"ARDIANSYAH PUTERA ( RODIAH )")</f>
        <v>1</v>
      </c>
      <c r="AA67" s="178" t="s">
        <v>238</v>
      </c>
      <c r="AB67" s="2">
        <f>COUNTIF(ABSEN!Z:Z,"ARDIANSYAH PUTERA ( RODIAH )")</f>
        <v>1</v>
      </c>
      <c r="AC67" s="2">
        <f>COUNTIF(ABSEN!AA:AA,"ARDIANSYAH PUTERA ( RODIAH )")</f>
        <v>1</v>
      </c>
      <c r="AD67" s="2">
        <f>COUNTIF(ABSEN!AB:AB,"ARDIANSYAH PUTERA ( RODIAH )")</f>
        <v>1</v>
      </c>
      <c r="AE67" s="178" t="s">
        <v>239</v>
      </c>
      <c r="AF67" s="1207" t="s">
        <v>777</v>
      </c>
      <c r="AG67" s="2">
        <f>COUNTIF(ABSEN!AE:AE,"ARDIANSYAH PUTERA ( RODIAH )")</f>
        <v>1</v>
      </c>
      <c r="AH67" s="408">
        <f t="shared" si="68"/>
        <v>22</v>
      </c>
      <c r="AI67" s="409">
        <f t="shared" si="57"/>
        <v>2</v>
      </c>
      <c r="AJ67" s="410">
        <f t="shared" si="58"/>
        <v>0</v>
      </c>
      <c r="AK67" s="410">
        <f t="shared" si="59"/>
        <v>0</v>
      </c>
      <c r="AL67" s="410">
        <f t="shared" si="60"/>
        <v>4</v>
      </c>
      <c r="AM67" s="410">
        <f t="shared" si="61"/>
        <v>3</v>
      </c>
      <c r="AN67" s="410">
        <f t="shared" si="62"/>
        <v>0</v>
      </c>
      <c r="AO67" s="411">
        <f t="shared" si="63"/>
        <v>0</v>
      </c>
      <c r="AP67" s="411">
        <f t="shared" si="64"/>
        <v>0</v>
      </c>
      <c r="AQ67" s="411">
        <f t="shared" si="65"/>
        <v>0</v>
      </c>
      <c r="AR67" s="368">
        <f t="shared" si="56"/>
        <v>31</v>
      </c>
      <c r="AS67" s="409">
        <f t="shared" si="66"/>
        <v>0</v>
      </c>
      <c r="AT67" s="412">
        <f t="shared" si="67"/>
        <v>0</v>
      </c>
    </row>
    <row r="68" spans="1:47" s="413" customFormat="1" ht="34.5" customHeight="1">
      <c r="A68" s="406" t="s">
        <v>67</v>
      </c>
      <c r="B68" s="415" t="s">
        <v>224</v>
      </c>
      <c r="C68" s="178" t="s">
        <v>239</v>
      </c>
      <c r="D68" s="2">
        <f>COUNTIF(ABSEN!B:B,"SURIANTO ( INAQ CARACATIH )")</f>
        <v>1</v>
      </c>
      <c r="E68" s="2">
        <f>COUNTIF(ABSEN!C:C,"SURIANTO ( INAQ CARACATIH )")</f>
        <v>1</v>
      </c>
      <c r="F68" s="178" t="s">
        <v>238</v>
      </c>
      <c r="G68" s="2">
        <f>COUNTIF(ABSEN!E:E,"SURIANTO ( INAQ CARACATIH )")</f>
        <v>1</v>
      </c>
      <c r="H68" s="2">
        <f>COUNTIF(ABSEN!F:F,"SURIANTO ( INAQ CARACATIH )")</f>
        <v>1</v>
      </c>
      <c r="I68" s="2">
        <f>COUNTIF(ABSEN!G:G,"SURIANTO ( INAQ CARACATIH )")</f>
        <v>1</v>
      </c>
      <c r="J68" s="2">
        <f>COUNTIF(ABSEN!H:H,"SURIANTO ( INAQ CARACATIH )")</f>
        <v>1</v>
      </c>
      <c r="K68" s="2">
        <f>COUNTIF(ABSEN!I:I,"SURIANTO ( INAQ CARACATIH )")</f>
        <v>1</v>
      </c>
      <c r="L68" s="2">
        <f>COUNTIF(ABSEN!J:J,"SURIANTO ( INAQ CARACATIH )")</f>
        <v>1</v>
      </c>
      <c r="M68" s="178" t="s">
        <v>238</v>
      </c>
      <c r="N68" s="178" t="s">
        <v>239</v>
      </c>
      <c r="O68" s="2">
        <f>COUNTIF(ABSEN!M:M,"SURIANTO ( INAQ CARACATIH )")</f>
        <v>1</v>
      </c>
      <c r="P68" s="2">
        <f>COUNTIF(ABSEN!N:N,"SURIANTO ( INAQ CARACATIH )")</f>
        <v>1</v>
      </c>
      <c r="Q68" s="2">
        <f>COUNTIF(ABSEN!O:O,"SURIANTO ( INAQ CARACATIH )")</f>
        <v>1</v>
      </c>
      <c r="R68" s="2">
        <f>COUNTIF(ABSEN!P:P,"SURIANTO ( INAQ CARACATIH )")</f>
        <v>1</v>
      </c>
      <c r="S68" s="2">
        <f>COUNTIF(ABSEN!Q:Q,"SURIANTO ( INAQ CARACATIH )")</f>
        <v>1</v>
      </c>
      <c r="T68" s="178" t="s">
        <v>238</v>
      </c>
      <c r="U68" s="2">
        <f>COUNTIF(ABSEN!S:S,"SURIANTO ( INAQ CARACATIH )")</f>
        <v>1</v>
      </c>
      <c r="V68" s="2">
        <f>COUNTIF(ABSEN!T:T,"SURIANTO ( INAQ CARACATIH )")</f>
        <v>1</v>
      </c>
      <c r="W68" s="2">
        <f>COUNTIF(ABSEN!U:U,"SURIANTO ( INAQ CARACATIH )")</f>
        <v>1</v>
      </c>
      <c r="X68" s="2">
        <f>COUNTIF(ABSEN!V:V,"SURIANTO ( INAQ CARACATIH )")</f>
        <v>1</v>
      </c>
      <c r="Y68" s="2">
        <f>COUNTIF(ABSEN!W:W,"SURIANTO ( INAQ CARACATIH )")</f>
        <v>1</v>
      </c>
      <c r="Z68" s="2">
        <f>COUNTIF(ABSEN!X:X,"SURIANTO ( INAQ CARACATIH )")</f>
        <v>1</v>
      </c>
      <c r="AA68" s="178" t="s">
        <v>238</v>
      </c>
      <c r="AB68" s="2">
        <f>COUNTIF(ABSEN!Z:Z,"SURIANTO ( INAQ CARACATIH )")</f>
        <v>1</v>
      </c>
      <c r="AC68" s="2">
        <f>COUNTIF(ABSEN!AA:AA,"SURIANTO ( INAQ CARACATIH )")</f>
        <v>1</v>
      </c>
      <c r="AD68" s="2">
        <f>COUNTIF(ABSEN!AB:AB,"SURIANTO ( INAQ CARACATIH )")</f>
        <v>1</v>
      </c>
      <c r="AE68" s="178" t="s">
        <v>239</v>
      </c>
      <c r="AF68" s="2">
        <f>COUNTIF(ABSEN!AD:AD,"SURIANTO ( INAQ CARACATIH )")</f>
        <v>1</v>
      </c>
      <c r="AG68" s="2">
        <f>COUNTIF(ABSEN!AE:AE,"SURIANTO ( INAQ CARACATIH )")</f>
        <v>1</v>
      </c>
      <c r="AH68" s="408">
        <f t="shared" si="68"/>
        <v>24</v>
      </c>
      <c r="AI68" s="409">
        <f t="shared" si="57"/>
        <v>0</v>
      </c>
      <c r="AJ68" s="410">
        <f t="shared" si="58"/>
        <v>0</v>
      </c>
      <c r="AK68" s="410">
        <f t="shared" si="59"/>
        <v>0</v>
      </c>
      <c r="AL68" s="410">
        <f t="shared" si="60"/>
        <v>4</v>
      </c>
      <c r="AM68" s="410">
        <f t="shared" si="61"/>
        <v>3</v>
      </c>
      <c r="AN68" s="410">
        <f t="shared" si="62"/>
        <v>0</v>
      </c>
      <c r="AO68" s="411">
        <f t="shared" si="63"/>
        <v>0</v>
      </c>
      <c r="AP68" s="411">
        <f t="shared" si="64"/>
        <v>0</v>
      </c>
      <c r="AQ68" s="411">
        <f t="shared" si="65"/>
        <v>0</v>
      </c>
      <c r="AR68" s="368">
        <f t="shared" si="56"/>
        <v>31</v>
      </c>
      <c r="AS68" s="409">
        <f t="shared" si="66"/>
        <v>0</v>
      </c>
      <c r="AT68" s="412">
        <f t="shared" si="67"/>
        <v>0</v>
      </c>
      <c r="AU68" s="413">
        <v>21</v>
      </c>
    </row>
    <row r="69" spans="1:47" s="413" customFormat="1" ht="34.5" customHeight="1">
      <c r="A69" s="406" t="s">
        <v>68</v>
      </c>
      <c r="B69" s="414" t="s">
        <v>562</v>
      </c>
      <c r="C69" s="178" t="s">
        <v>239</v>
      </c>
      <c r="D69" s="2">
        <f>COUNTIF(ABSEN!B:B,"RIO ( APNA )")</f>
        <v>1</v>
      </c>
      <c r="E69" s="2">
        <f>COUNTIF(ABSEN!C:C,"RIO ( APNA )")</f>
        <v>1</v>
      </c>
      <c r="F69" s="178" t="s">
        <v>238</v>
      </c>
      <c r="G69" s="2">
        <f>COUNTIF(ABSEN!E:E,"RIO ( APNA )")</f>
        <v>1</v>
      </c>
      <c r="H69" s="2">
        <f>COUNTIF(ABSEN!F:F,"RIO ( APNA )")</f>
        <v>1</v>
      </c>
      <c r="I69" s="2">
        <f>COUNTIF(ABSEN!G:G,"RIO ( APNA )")</f>
        <v>1</v>
      </c>
      <c r="J69" s="2">
        <f>COUNTIF(ABSEN!H:H,"RIO ( APNA )")</f>
        <v>1</v>
      </c>
      <c r="K69" s="2">
        <f>COUNTIF(ABSEN!I:I,"RIO ( APNA )")</f>
        <v>1</v>
      </c>
      <c r="L69" s="2">
        <f>COUNTIF(ABSEN!J:J,"RIO ( APNA )")</f>
        <v>1</v>
      </c>
      <c r="M69" s="178" t="s">
        <v>238</v>
      </c>
      <c r="N69" s="178" t="s">
        <v>239</v>
      </c>
      <c r="O69" s="2">
        <f>COUNTIF(ABSEN!M:M,"RIO ( APNA )")</f>
        <v>1</v>
      </c>
      <c r="P69" s="2">
        <f>COUNTIF(ABSEN!N:N,"RIO ( APNA )")</f>
        <v>1</v>
      </c>
      <c r="Q69" s="2">
        <f>COUNTIF(ABSEN!O:O,"RIO ( APNA )")</f>
        <v>1</v>
      </c>
      <c r="R69" s="1207" t="s">
        <v>777</v>
      </c>
      <c r="S69" s="1207" t="s">
        <v>777</v>
      </c>
      <c r="T69" s="178" t="s">
        <v>238</v>
      </c>
      <c r="U69" s="2">
        <f>COUNTIF(ABSEN!S:S,"RIO ( APNA )")</f>
        <v>1</v>
      </c>
      <c r="V69" s="2">
        <f>COUNTIF(ABSEN!T:T,"RIO ( APNA )")</f>
        <v>1</v>
      </c>
      <c r="W69" s="2">
        <f>COUNTIF(ABSEN!U:U,"RIO ( APNA )")</f>
        <v>1</v>
      </c>
      <c r="X69" s="2">
        <f>COUNTIF(ABSEN!V:V,"RIO ( APNA )")</f>
        <v>1</v>
      </c>
      <c r="Y69" s="2">
        <f>COUNTIF(ABSEN!W:W,"RIO ( APNA )")</f>
        <v>1</v>
      </c>
      <c r="Z69" s="1207" t="s">
        <v>778</v>
      </c>
      <c r="AA69" s="178" t="s">
        <v>238</v>
      </c>
      <c r="AB69" s="2">
        <f>COUNTIF(ABSEN!Z:Z,"RIO ( APNA )")</f>
        <v>1</v>
      </c>
      <c r="AC69" s="2">
        <f>COUNTIF(ABSEN!AA:AA,"RIO ( APNA )")</f>
        <v>1</v>
      </c>
      <c r="AD69" s="2">
        <f>COUNTIF(ABSEN!AB:AB,"RIO ( APNA )")</f>
        <v>1</v>
      </c>
      <c r="AE69" s="178" t="s">
        <v>239</v>
      </c>
      <c r="AF69" s="2">
        <f>COUNTIF(ABSEN!AD:AD,"RIO ( APNA )")</f>
        <v>1</v>
      </c>
      <c r="AG69" s="2">
        <f>COUNTIF(ABSEN!AE:AE,"RIO ( APNA )")</f>
        <v>1</v>
      </c>
      <c r="AH69" s="408">
        <f t="shared" si="68"/>
        <v>21</v>
      </c>
      <c r="AI69" s="409">
        <f t="shared" si="57"/>
        <v>2</v>
      </c>
      <c r="AJ69" s="410">
        <f t="shared" si="58"/>
        <v>1</v>
      </c>
      <c r="AK69" s="410">
        <f t="shared" si="59"/>
        <v>0</v>
      </c>
      <c r="AL69" s="410">
        <f t="shared" si="60"/>
        <v>4</v>
      </c>
      <c r="AM69" s="410">
        <f t="shared" si="61"/>
        <v>3</v>
      </c>
      <c r="AN69" s="410">
        <f t="shared" si="62"/>
        <v>0</v>
      </c>
      <c r="AO69" s="411">
        <f t="shared" si="63"/>
        <v>0</v>
      </c>
      <c r="AP69" s="411">
        <f t="shared" si="64"/>
        <v>0</v>
      </c>
      <c r="AQ69" s="411">
        <f t="shared" si="65"/>
        <v>0</v>
      </c>
      <c r="AR69" s="368">
        <f t="shared" si="56"/>
        <v>31</v>
      </c>
      <c r="AS69" s="409">
        <f t="shared" si="66"/>
        <v>0</v>
      </c>
      <c r="AT69" s="412">
        <f t="shared" si="67"/>
        <v>0</v>
      </c>
      <c r="AU69" s="413">
        <v>22</v>
      </c>
    </row>
    <row r="70" spans="1:47" s="413" customFormat="1" ht="34.5" customHeight="1" thickBot="1">
      <c r="A70" s="406" t="s">
        <v>69</v>
      </c>
      <c r="B70" s="407" t="s">
        <v>561</v>
      </c>
      <c r="C70" s="178" t="s">
        <v>239</v>
      </c>
      <c r="D70" s="1207" t="s">
        <v>777</v>
      </c>
      <c r="E70" s="2">
        <f>COUNTIF(ABSEN!C:C,"DASRI ( MAIPIA )")</f>
        <v>1</v>
      </c>
      <c r="F70" s="178" t="s">
        <v>238</v>
      </c>
      <c r="G70" s="2">
        <f>COUNTIF(ABSEN!E:E,"DASRI ( MAIPIA )")</f>
        <v>1</v>
      </c>
      <c r="H70" s="2">
        <f>COUNTIF(ABSEN!F:F,"DASRI ( MAIPIA )")</f>
        <v>1</v>
      </c>
      <c r="I70" s="2">
        <f>COUNTIF(ABSEN!G:G,"DASRI ( MAIPIA )")</f>
        <v>1</v>
      </c>
      <c r="J70" s="2">
        <f>COUNTIF(ABSEN!H:H,"DASRI ( MAIPIA )")</f>
        <v>1</v>
      </c>
      <c r="K70" s="2">
        <f>COUNTIF(ABSEN!I:I,"DASRI ( MAIPIA )")</f>
        <v>1</v>
      </c>
      <c r="L70" s="2">
        <f>COUNTIF(ABSEN!J:J,"DASRI ( MAIPIA )")</f>
        <v>1</v>
      </c>
      <c r="M70" s="178" t="s">
        <v>238</v>
      </c>
      <c r="N70" s="178" t="s">
        <v>239</v>
      </c>
      <c r="O70" s="2">
        <f>COUNTIF(ABSEN!M:M,"DASRI ( MAIPIA )")</f>
        <v>1</v>
      </c>
      <c r="P70" s="2">
        <f>COUNTIF(ABSEN!N:N,"DASRI ( MAIPIA )")</f>
        <v>1</v>
      </c>
      <c r="Q70" s="2">
        <f>COUNTIF(ABSEN!O:O,"DASRI ( MAIPIA )")</f>
        <v>1</v>
      </c>
      <c r="R70" s="2">
        <f>COUNTIF(ABSEN!P:P,"DASRI ( MAIPIA )")</f>
        <v>1</v>
      </c>
      <c r="S70" s="2">
        <f>COUNTIF(ABSEN!Q:Q,"DASRI ( MAIPIA )")</f>
        <v>1</v>
      </c>
      <c r="T70" s="178" t="s">
        <v>238</v>
      </c>
      <c r="U70" s="2" t="s">
        <v>780</v>
      </c>
      <c r="V70" s="2">
        <f>COUNTIF(ABSEN!T:T,"DASRI ( MAIPIA )")</f>
        <v>1</v>
      </c>
      <c r="W70" s="2">
        <f>COUNTIF(ABSEN!U:U,"DASRI ( MAIPIA )")</f>
        <v>1</v>
      </c>
      <c r="X70" s="2">
        <f>COUNTIF(ABSEN!V:V,"DASRI ( MAIPIA )")</f>
        <v>1</v>
      </c>
      <c r="Y70" s="2">
        <f>COUNTIF(ABSEN!W:W,"DASRI ( MAIPIA )")</f>
        <v>1</v>
      </c>
      <c r="Z70" s="2">
        <f>COUNTIF(ABSEN!X:X,"DASRI ( MAIPIA )")</f>
        <v>1</v>
      </c>
      <c r="AA70" s="178" t="s">
        <v>238</v>
      </c>
      <c r="AB70" s="2">
        <f>COUNTIF(ABSEN!Z:Z,"DASRI ( MAIPIA )")</f>
        <v>1</v>
      </c>
      <c r="AC70" s="2">
        <f>COUNTIF(ABSEN!AA:AA,"DASRI ( MAIPIA )")</f>
        <v>1</v>
      </c>
      <c r="AD70" s="2">
        <f>COUNTIF(ABSEN!AB:AB,"DASRI ( MAIPIA )")</f>
        <v>1</v>
      </c>
      <c r="AE70" s="178" t="s">
        <v>239</v>
      </c>
      <c r="AF70" s="2">
        <f>COUNTIF(ABSEN!AD:AD,"DASRI ( MAIPIA )")</f>
        <v>1</v>
      </c>
      <c r="AG70" s="2">
        <f>COUNTIF(ABSEN!AE:AE,"DASRI ( MAIPIA )")</f>
        <v>1</v>
      </c>
      <c r="AH70" s="408">
        <f t="shared" si="50"/>
        <v>22</v>
      </c>
      <c r="AI70" s="409">
        <f t="shared" si="57"/>
        <v>1</v>
      </c>
      <c r="AJ70" s="410">
        <f t="shared" si="58"/>
        <v>0</v>
      </c>
      <c r="AK70" s="410">
        <f t="shared" si="59"/>
        <v>0</v>
      </c>
      <c r="AL70" s="410">
        <f t="shared" si="60"/>
        <v>4</v>
      </c>
      <c r="AM70" s="410">
        <f t="shared" si="61"/>
        <v>3</v>
      </c>
      <c r="AN70" s="410">
        <f t="shared" si="62"/>
        <v>0</v>
      </c>
      <c r="AO70" s="411">
        <f t="shared" si="63"/>
        <v>0</v>
      </c>
      <c r="AP70" s="411">
        <f t="shared" si="64"/>
        <v>0</v>
      </c>
      <c r="AQ70" s="411">
        <f t="shared" si="65"/>
        <v>0</v>
      </c>
      <c r="AR70" s="368">
        <f t="shared" si="56"/>
        <v>30</v>
      </c>
      <c r="AS70" s="409">
        <f>COUNTIF(C70:AG70,"CTH")</f>
        <v>0</v>
      </c>
      <c r="AT70" s="412">
        <f>COUNTIF(C70:AG70,"A")</f>
        <v>1</v>
      </c>
    </row>
    <row r="71" spans="1:47" s="422" customFormat="1" ht="30.75" customHeight="1" thickBot="1">
      <c r="A71" s="416"/>
      <c r="B71" s="417" t="s">
        <v>38</v>
      </c>
      <c r="C71" s="193">
        <f>SUM(C63:C70)</f>
        <v>0</v>
      </c>
      <c r="D71" s="418">
        <f t="shared" ref="D71:AT71" si="69">SUM(D63:D70)</f>
        <v>7</v>
      </c>
      <c r="E71" s="418">
        <f t="shared" ref="E71:I71" si="70">SUM(E63:E70)</f>
        <v>6</v>
      </c>
      <c r="F71" s="193">
        <f t="shared" si="70"/>
        <v>0</v>
      </c>
      <c r="G71" s="418">
        <f t="shared" si="70"/>
        <v>8</v>
      </c>
      <c r="H71" s="418">
        <f t="shared" si="70"/>
        <v>8</v>
      </c>
      <c r="I71" s="418">
        <f t="shared" si="70"/>
        <v>8</v>
      </c>
      <c r="J71" s="418">
        <f t="shared" si="69"/>
        <v>7</v>
      </c>
      <c r="K71" s="418">
        <f t="shared" ref="K71:P71" si="71">SUM(K63:K70)</f>
        <v>8</v>
      </c>
      <c r="L71" s="418">
        <f t="shared" si="71"/>
        <v>8</v>
      </c>
      <c r="M71" s="193">
        <f t="shared" si="71"/>
        <v>0</v>
      </c>
      <c r="N71" s="193">
        <f t="shared" si="71"/>
        <v>0</v>
      </c>
      <c r="O71" s="418">
        <f t="shared" si="71"/>
        <v>6</v>
      </c>
      <c r="P71" s="418">
        <f t="shared" si="71"/>
        <v>8</v>
      </c>
      <c r="Q71" s="418">
        <f t="shared" si="69"/>
        <v>8</v>
      </c>
      <c r="R71" s="418">
        <f t="shared" si="69"/>
        <v>7</v>
      </c>
      <c r="S71" s="418">
        <f t="shared" si="69"/>
        <v>7</v>
      </c>
      <c r="T71" s="193">
        <f t="shared" si="69"/>
        <v>0</v>
      </c>
      <c r="U71" s="418">
        <f t="shared" si="69"/>
        <v>6</v>
      </c>
      <c r="V71" s="418">
        <f t="shared" si="69"/>
        <v>8</v>
      </c>
      <c r="W71" s="418">
        <f t="shared" si="69"/>
        <v>8</v>
      </c>
      <c r="X71" s="418">
        <f t="shared" si="69"/>
        <v>8</v>
      </c>
      <c r="Y71" s="418">
        <f t="shared" ref="Y71:AD71" si="72">SUM(Y63:Y70)</f>
        <v>8</v>
      </c>
      <c r="Z71" s="418">
        <f t="shared" si="72"/>
        <v>7</v>
      </c>
      <c r="AA71" s="193">
        <f t="shared" si="72"/>
        <v>0</v>
      </c>
      <c r="AB71" s="418">
        <f t="shared" si="72"/>
        <v>8</v>
      </c>
      <c r="AC71" s="418">
        <f t="shared" si="72"/>
        <v>8</v>
      </c>
      <c r="AD71" s="418">
        <f t="shared" si="72"/>
        <v>8</v>
      </c>
      <c r="AE71" s="193">
        <f t="shared" si="69"/>
        <v>0</v>
      </c>
      <c r="AF71" s="418">
        <f t="shared" si="69"/>
        <v>7</v>
      </c>
      <c r="AG71" s="419">
        <f t="shared" si="69"/>
        <v>8</v>
      </c>
      <c r="AH71" s="416">
        <f>SUM(AH63:AH70)</f>
        <v>180</v>
      </c>
      <c r="AI71" s="420">
        <f>SUM(AI63:AI70)</f>
        <v>9</v>
      </c>
      <c r="AJ71" s="418">
        <f t="shared" si="69"/>
        <v>2</v>
      </c>
      <c r="AK71" s="418">
        <f t="shared" si="69"/>
        <v>0</v>
      </c>
      <c r="AL71" s="418">
        <f t="shared" si="69"/>
        <v>32</v>
      </c>
      <c r="AM71" s="418">
        <f t="shared" si="69"/>
        <v>24</v>
      </c>
      <c r="AN71" s="418">
        <f t="shared" si="69"/>
        <v>0</v>
      </c>
      <c r="AO71" s="417">
        <f t="shared" ref="AO71:AP71" si="73">SUM(AO63:AO70)</f>
        <v>0</v>
      </c>
      <c r="AP71" s="418">
        <f t="shared" si="73"/>
        <v>0</v>
      </c>
      <c r="AQ71" s="421">
        <f t="shared" si="69"/>
        <v>0</v>
      </c>
      <c r="AR71" s="419">
        <f>SUM(AR63:AR70)</f>
        <v>247</v>
      </c>
      <c r="AS71" s="416">
        <f t="shared" si="69"/>
        <v>0</v>
      </c>
      <c r="AT71" s="419">
        <f t="shared" si="69"/>
        <v>1</v>
      </c>
    </row>
    <row r="72" spans="1:47" s="386" customFormat="1" ht="36" customHeight="1">
      <c r="A72" s="406"/>
      <c r="B72" s="423" t="s">
        <v>190</v>
      </c>
      <c r="C72" s="188">
        <f>COUNTIF(C63:C70,"CT")</f>
        <v>0</v>
      </c>
      <c r="D72" s="424">
        <f t="shared" ref="D72:AG72" si="74">COUNTIF(D63:D70,"CT")</f>
        <v>1</v>
      </c>
      <c r="E72" s="424">
        <f t="shared" si="74"/>
        <v>1</v>
      </c>
      <c r="F72" s="188">
        <f t="shared" si="74"/>
        <v>0</v>
      </c>
      <c r="G72" s="424">
        <f t="shared" si="74"/>
        <v>0</v>
      </c>
      <c r="H72" s="424">
        <f t="shared" si="74"/>
        <v>0</v>
      </c>
      <c r="I72" s="424">
        <f t="shared" si="74"/>
        <v>0</v>
      </c>
      <c r="J72" s="424">
        <f t="shared" si="74"/>
        <v>1</v>
      </c>
      <c r="K72" s="424">
        <f t="shared" si="74"/>
        <v>0</v>
      </c>
      <c r="L72" s="424">
        <f t="shared" si="74"/>
        <v>0</v>
      </c>
      <c r="M72" s="188">
        <f t="shared" si="74"/>
        <v>0</v>
      </c>
      <c r="N72" s="188">
        <f t="shared" si="74"/>
        <v>0</v>
      </c>
      <c r="O72" s="424">
        <f t="shared" si="74"/>
        <v>2</v>
      </c>
      <c r="P72" s="424">
        <f t="shared" si="74"/>
        <v>0</v>
      </c>
      <c r="Q72" s="424">
        <f t="shared" si="74"/>
        <v>0</v>
      </c>
      <c r="R72" s="424">
        <f t="shared" si="74"/>
        <v>1</v>
      </c>
      <c r="S72" s="424">
        <f t="shared" si="74"/>
        <v>1</v>
      </c>
      <c r="T72" s="188">
        <f t="shared" si="74"/>
        <v>0</v>
      </c>
      <c r="U72" s="424">
        <f t="shared" si="74"/>
        <v>1</v>
      </c>
      <c r="V72" s="424">
        <f t="shared" si="74"/>
        <v>0</v>
      </c>
      <c r="W72" s="424">
        <f t="shared" si="74"/>
        <v>0</v>
      </c>
      <c r="X72" s="424">
        <f t="shared" si="74"/>
        <v>0</v>
      </c>
      <c r="Y72" s="424">
        <f t="shared" si="74"/>
        <v>0</v>
      </c>
      <c r="Z72" s="424">
        <f t="shared" si="74"/>
        <v>0</v>
      </c>
      <c r="AA72" s="188">
        <f t="shared" si="74"/>
        <v>0</v>
      </c>
      <c r="AB72" s="424">
        <f t="shared" si="74"/>
        <v>0</v>
      </c>
      <c r="AC72" s="424">
        <f t="shared" si="74"/>
        <v>0</v>
      </c>
      <c r="AD72" s="424">
        <f t="shared" si="74"/>
        <v>0</v>
      </c>
      <c r="AE72" s="1197">
        <f t="shared" si="74"/>
        <v>0</v>
      </c>
      <c r="AF72" s="424">
        <f t="shared" si="74"/>
        <v>1</v>
      </c>
      <c r="AG72" s="1079">
        <f t="shared" si="74"/>
        <v>0</v>
      </c>
      <c r="AH72" s="408">
        <f>SUM(C72:AG72)</f>
        <v>9</v>
      </c>
      <c r="AR72" s="64">
        <v>247</v>
      </c>
      <c r="AS72" s="386" t="s">
        <v>272</v>
      </c>
    </row>
    <row r="73" spans="1:47" s="386" customFormat="1" ht="36" customHeight="1">
      <c r="A73" s="406"/>
      <c r="B73" s="390" t="s">
        <v>11</v>
      </c>
      <c r="C73" s="185">
        <f>COUNTIF(C63:C70,"S")</f>
        <v>0</v>
      </c>
      <c r="D73" s="410">
        <f t="shared" ref="D73:AG73" si="75">COUNTIF(D63:D70,"S")</f>
        <v>0</v>
      </c>
      <c r="E73" s="410">
        <f t="shared" si="75"/>
        <v>1</v>
      </c>
      <c r="F73" s="185">
        <f t="shared" si="75"/>
        <v>0</v>
      </c>
      <c r="G73" s="410">
        <f t="shared" si="75"/>
        <v>0</v>
      </c>
      <c r="H73" s="410">
        <f t="shared" si="75"/>
        <v>0</v>
      </c>
      <c r="I73" s="410">
        <f t="shared" si="75"/>
        <v>0</v>
      </c>
      <c r="J73" s="410">
        <f t="shared" si="75"/>
        <v>0</v>
      </c>
      <c r="K73" s="410">
        <f t="shared" si="75"/>
        <v>0</v>
      </c>
      <c r="L73" s="410">
        <f t="shared" si="75"/>
        <v>0</v>
      </c>
      <c r="M73" s="185">
        <f t="shared" si="75"/>
        <v>0</v>
      </c>
      <c r="N73" s="185">
        <f t="shared" si="75"/>
        <v>0</v>
      </c>
      <c r="O73" s="410">
        <f t="shared" si="75"/>
        <v>0</v>
      </c>
      <c r="P73" s="410">
        <f t="shared" si="75"/>
        <v>0</v>
      </c>
      <c r="Q73" s="410">
        <f t="shared" si="75"/>
        <v>0</v>
      </c>
      <c r="R73" s="410">
        <f t="shared" si="75"/>
        <v>0</v>
      </c>
      <c r="S73" s="410">
        <f t="shared" si="75"/>
        <v>0</v>
      </c>
      <c r="T73" s="185">
        <f t="shared" si="75"/>
        <v>0</v>
      </c>
      <c r="U73" s="410">
        <f t="shared" si="75"/>
        <v>0</v>
      </c>
      <c r="V73" s="410">
        <f t="shared" si="75"/>
        <v>0</v>
      </c>
      <c r="W73" s="410">
        <f t="shared" si="75"/>
        <v>0</v>
      </c>
      <c r="X73" s="410">
        <f t="shared" si="75"/>
        <v>0</v>
      </c>
      <c r="Y73" s="410">
        <f t="shared" si="75"/>
        <v>0</v>
      </c>
      <c r="Z73" s="410">
        <f t="shared" si="75"/>
        <v>1</v>
      </c>
      <c r="AA73" s="185">
        <f t="shared" si="75"/>
        <v>0</v>
      </c>
      <c r="AB73" s="410">
        <f t="shared" si="75"/>
        <v>0</v>
      </c>
      <c r="AC73" s="410">
        <f t="shared" si="75"/>
        <v>0</v>
      </c>
      <c r="AD73" s="410">
        <f t="shared" si="75"/>
        <v>0</v>
      </c>
      <c r="AE73" s="1198">
        <f t="shared" si="75"/>
        <v>0</v>
      </c>
      <c r="AF73" s="410">
        <f t="shared" si="75"/>
        <v>0</v>
      </c>
      <c r="AG73" s="1080">
        <f t="shared" si="75"/>
        <v>0</v>
      </c>
      <c r="AH73" s="408">
        <f t="shared" ref="AH73:AH80" si="76">SUM(C73:AG73)</f>
        <v>2</v>
      </c>
      <c r="AR73" s="389"/>
      <c r="AS73" s="386" t="s">
        <v>463</v>
      </c>
    </row>
    <row r="74" spans="1:47" s="386" customFormat="1" ht="36" customHeight="1">
      <c r="A74" s="406"/>
      <c r="B74" s="390" t="s">
        <v>13</v>
      </c>
      <c r="C74" s="185">
        <f>COUNTIF(C63:C70,"MG")</f>
        <v>0</v>
      </c>
      <c r="D74" s="410">
        <f t="shared" ref="D74:AG74" si="77">COUNTIF(D63:D70,"MG")</f>
        <v>0</v>
      </c>
      <c r="E74" s="410">
        <f t="shared" si="77"/>
        <v>0</v>
      </c>
      <c r="F74" s="185">
        <f t="shared" si="77"/>
        <v>8</v>
      </c>
      <c r="G74" s="410">
        <f t="shared" si="77"/>
        <v>0</v>
      </c>
      <c r="H74" s="410">
        <f t="shared" si="77"/>
        <v>0</v>
      </c>
      <c r="I74" s="410">
        <f t="shared" si="77"/>
        <v>0</v>
      </c>
      <c r="J74" s="410">
        <f t="shared" si="77"/>
        <v>0</v>
      </c>
      <c r="K74" s="410">
        <f t="shared" si="77"/>
        <v>0</v>
      </c>
      <c r="L74" s="410">
        <f t="shared" si="77"/>
        <v>0</v>
      </c>
      <c r="M74" s="185">
        <f t="shared" si="77"/>
        <v>8</v>
      </c>
      <c r="N74" s="185">
        <f t="shared" si="77"/>
        <v>0</v>
      </c>
      <c r="O74" s="410">
        <f t="shared" si="77"/>
        <v>0</v>
      </c>
      <c r="P74" s="410">
        <f t="shared" si="77"/>
        <v>0</v>
      </c>
      <c r="Q74" s="410">
        <f t="shared" si="77"/>
        <v>0</v>
      </c>
      <c r="R74" s="410">
        <f t="shared" si="77"/>
        <v>0</v>
      </c>
      <c r="S74" s="410">
        <f t="shared" si="77"/>
        <v>0</v>
      </c>
      <c r="T74" s="185">
        <f t="shared" si="77"/>
        <v>8</v>
      </c>
      <c r="U74" s="410">
        <f t="shared" si="77"/>
        <v>0</v>
      </c>
      <c r="V74" s="410">
        <f t="shared" si="77"/>
        <v>0</v>
      </c>
      <c r="W74" s="410">
        <f t="shared" si="77"/>
        <v>0</v>
      </c>
      <c r="X74" s="410">
        <f t="shared" si="77"/>
        <v>0</v>
      </c>
      <c r="Y74" s="410">
        <f t="shared" si="77"/>
        <v>0</v>
      </c>
      <c r="Z74" s="410">
        <f t="shared" si="77"/>
        <v>0</v>
      </c>
      <c r="AA74" s="185">
        <f t="shared" si="77"/>
        <v>8</v>
      </c>
      <c r="AB74" s="410">
        <f t="shared" si="77"/>
        <v>0</v>
      </c>
      <c r="AC74" s="410">
        <f t="shared" si="77"/>
        <v>0</v>
      </c>
      <c r="AD74" s="410">
        <f t="shared" si="77"/>
        <v>0</v>
      </c>
      <c r="AE74" s="1198">
        <f t="shared" si="77"/>
        <v>0</v>
      </c>
      <c r="AF74" s="410">
        <f t="shared" si="77"/>
        <v>0</v>
      </c>
      <c r="AG74" s="1080">
        <f t="shared" si="77"/>
        <v>0</v>
      </c>
      <c r="AH74" s="408">
        <f t="shared" si="76"/>
        <v>32</v>
      </c>
      <c r="AR74" s="389">
        <f>AR71-AR72-AR73</f>
        <v>0</v>
      </c>
      <c r="AS74" s="386" t="s">
        <v>231</v>
      </c>
    </row>
    <row r="75" spans="1:47" s="386" customFormat="1" ht="36" customHeight="1">
      <c r="A75" s="406"/>
      <c r="B75" s="390" t="s">
        <v>14</v>
      </c>
      <c r="C75" s="185">
        <f>COUNTIF(C63:C70,"NAS")</f>
        <v>8</v>
      </c>
      <c r="D75" s="410">
        <f t="shared" ref="D75:AG75" si="78">COUNTIF(D63:D70,"NAS")</f>
        <v>0</v>
      </c>
      <c r="E75" s="410">
        <f t="shared" si="78"/>
        <v>0</v>
      </c>
      <c r="F75" s="185">
        <f t="shared" si="78"/>
        <v>0</v>
      </c>
      <c r="G75" s="410">
        <f t="shared" si="78"/>
        <v>0</v>
      </c>
      <c r="H75" s="410">
        <f t="shared" si="78"/>
        <v>0</v>
      </c>
      <c r="I75" s="410">
        <f t="shared" si="78"/>
        <v>0</v>
      </c>
      <c r="J75" s="410">
        <f t="shared" si="78"/>
        <v>0</v>
      </c>
      <c r="K75" s="410">
        <f t="shared" si="78"/>
        <v>0</v>
      </c>
      <c r="L75" s="410">
        <f t="shared" si="78"/>
        <v>0</v>
      </c>
      <c r="M75" s="185">
        <f t="shared" si="78"/>
        <v>0</v>
      </c>
      <c r="N75" s="185">
        <f t="shared" si="78"/>
        <v>8</v>
      </c>
      <c r="O75" s="410">
        <f t="shared" si="78"/>
        <v>0</v>
      </c>
      <c r="P75" s="410">
        <f t="shared" si="78"/>
        <v>0</v>
      </c>
      <c r="Q75" s="410">
        <f t="shared" si="78"/>
        <v>0</v>
      </c>
      <c r="R75" s="410">
        <f t="shared" si="78"/>
        <v>0</v>
      </c>
      <c r="S75" s="410">
        <f t="shared" si="78"/>
        <v>0</v>
      </c>
      <c r="T75" s="185">
        <f t="shared" si="78"/>
        <v>0</v>
      </c>
      <c r="U75" s="410">
        <f t="shared" si="78"/>
        <v>0</v>
      </c>
      <c r="V75" s="410">
        <f t="shared" si="78"/>
        <v>0</v>
      </c>
      <c r="W75" s="410">
        <f t="shared" si="78"/>
        <v>0</v>
      </c>
      <c r="X75" s="410">
        <f t="shared" si="78"/>
        <v>0</v>
      </c>
      <c r="Y75" s="410">
        <f t="shared" si="78"/>
        <v>0</v>
      </c>
      <c r="Z75" s="410">
        <f t="shared" si="78"/>
        <v>0</v>
      </c>
      <c r="AA75" s="185">
        <f t="shared" si="78"/>
        <v>0</v>
      </c>
      <c r="AB75" s="410">
        <f t="shared" si="78"/>
        <v>0</v>
      </c>
      <c r="AC75" s="410">
        <f t="shared" si="78"/>
        <v>0</v>
      </c>
      <c r="AD75" s="410">
        <f t="shared" si="78"/>
        <v>0</v>
      </c>
      <c r="AE75" s="1198">
        <f t="shared" si="78"/>
        <v>8</v>
      </c>
      <c r="AF75" s="410">
        <f t="shared" si="78"/>
        <v>0</v>
      </c>
      <c r="AG75" s="1080">
        <f t="shared" si="78"/>
        <v>0</v>
      </c>
      <c r="AH75" s="408">
        <f>SUM(C75:AG75)</f>
        <v>24</v>
      </c>
      <c r="AR75" s="64"/>
    </row>
    <row r="76" spans="1:47" s="386" customFormat="1" ht="36" customHeight="1">
      <c r="A76" s="406"/>
      <c r="B76" s="390" t="s">
        <v>244</v>
      </c>
      <c r="C76" s="185">
        <f>COUNTIF(C63:C70,"P1")</f>
        <v>0</v>
      </c>
      <c r="D76" s="410">
        <f t="shared" ref="D76:AG76" si="79">COUNTIF(D63:D70,"P1")</f>
        <v>0</v>
      </c>
      <c r="E76" s="410">
        <f t="shared" si="79"/>
        <v>0</v>
      </c>
      <c r="F76" s="185">
        <f t="shared" si="79"/>
        <v>0</v>
      </c>
      <c r="G76" s="410">
        <f t="shared" si="79"/>
        <v>0</v>
      </c>
      <c r="H76" s="410">
        <f t="shared" si="79"/>
        <v>0</v>
      </c>
      <c r="I76" s="410">
        <f t="shared" si="79"/>
        <v>0</v>
      </c>
      <c r="J76" s="410">
        <f t="shared" si="79"/>
        <v>0</v>
      </c>
      <c r="K76" s="410">
        <f t="shared" si="79"/>
        <v>0</v>
      </c>
      <c r="L76" s="410">
        <f t="shared" si="79"/>
        <v>0</v>
      </c>
      <c r="M76" s="185">
        <f t="shared" si="79"/>
        <v>0</v>
      </c>
      <c r="N76" s="185">
        <f t="shared" si="79"/>
        <v>0</v>
      </c>
      <c r="O76" s="410">
        <f t="shared" si="79"/>
        <v>0</v>
      </c>
      <c r="P76" s="410">
        <f t="shared" si="79"/>
        <v>0</v>
      </c>
      <c r="Q76" s="410">
        <f t="shared" si="79"/>
        <v>0</v>
      </c>
      <c r="R76" s="410">
        <f t="shared" si="79"/>
        <v>0</v>
      </c>
      <c r="S76" s="410">
        <f t="shared" si="79"/>
        <v>0</v>
      </c>
      <c r="T76" s="185">
        <f t="shared" si="79"/>
        <v>0</v>
      </c>
      <c r="U76" s="410">
        <f t="shared" si="79"/>
        <v>0</v>
      </c>
      <c r="V76" s="410">
        <f t="shared" si="79"/>
        <v>0</v>
      </c>
      <c r="W76" s="410">
        <f t="shared" si="79"/>
        <v>0</v>
      </c>
      <c r="X76" s="410">
        <f t="shared" si="79"/>
        <v>0</v>
      </c>
      <c r="Y76" s="410">
        <f t="shared" si="79"/>
        <v>0</v>
      </c>
      <c r="Z76" s="410">
        <f t="shared" si="79"/>
        <v>0</v>
      </c>
      <c r="AA76" s="185">
        <f t="shared" si="79"/>
        <v>0</v>
      </c>
      <c r="AB76" s="410">
        <f t="shared" si="79"/>
        <v>0</v>
      </c>
      <c r="AC76" s="410">
        <f t="shared" si="79"/>
        <v>0</v>
      </c>
      <c r="AD76" s="410">
        <f t="shared" si="79"/>
        <v>0</v>
      </c>
      <c r="AE76" s="1198">
        <f t="shared" si="79"/>
        <v>0</v>
      </c>
      <c r="AF76" s="410">
        <f t="shared" si="79"/>
        <v>0</v>
      </c>
      <c r="AG76" s="1080">
        <f t="shared" si="79"/>
        <v>0</v>
      </c>
      <c r="AH76" s="408">
        <f t="shared" si="76"/>
        <v>0</v>
      </c>
      <c r="AR76" s="64"/>
    </row>
    <row r="77" spans="1:47" s="386" customFormat="1" ht="36" customHeight="1">
      <c r="A77" s="406"/>
      <c r="B77" s="390" t="s">
        <v>241</v>
      </c>
      <c r="C77" s="185">
        <f>COUNTIF(C63:C70,"P2")</f>
        <v>0</v>
      </c>
      <c r="D77" s="410">
        <f t="shared" ref="D77:AG77" si="80">COUNTIF(D63:D70,"P2")</f>
        <v>0</v>
      </c>
      <c r="E77" s="410">
        <f t="shared" si="80"/>
        <v>0</v>
      </c>
      <c r="F77" s="185">
        <f t="shared" si="80"/>
        <v>0</v>
      </c>
      <c r="G77" s="410">
        <f t="shared" si="80"/>
        <v>0</v>
      </c>
      <c r="H77" s="410">
        <f t="shared" si="80"/>
        <v>0</v>
      </c>
      <c r="I77" s="410">
        <f t="shared" si="80"/>
        <v>0</v>
      </c>
      <c r="J77" s="410">
        <f t="shared" si="80"/>
        <v>0</v>
      </c>
      <c r="K77" s="410">
        <f t="shared" si="80"/>
        <v>0</v>
      </c>
      <c r="L77" s="410">
        <f t="shared" si="80"/>
        <v>0</v>
      </c>
      <c r="M77" s="185">
        <f t="shared" si="80"/>
        <v>0</v>
      </c>
      <c r="N77" s="185">
        <f t="shared" si="80"/>
        <v>0</v>
      </c>
      <c r="O77" s="410">
        <f t="shared" si="80"/>
        <v>0</v>
      </c>
      <c r="P77" s="410">
        <f t="shared" si="80"/>
        <v>0</v>
      </c>
      <c r="Q77" s="410">
        <f t="shared" si="80"/>
        <v>0</v>
      </c>
      <c r="R77" s="410">
        <f t="shared" si="80"/>
        <v>0</v>
      </c>
      <c r="S77" s="410">
        <f t="shared" si="80"/>
        <v>0</v>
      </c>
      <c r="T77" s="185">
        <f t="shared" si="80"/>
        <v>0</v>
      </c>
      <c r="U77" s="410">
        <f t="shared" si="80"/>
        <v>0</v>
      </c>
      <c r="V77" s="410">
        <f t="shared" si="80"/>
        <v>0</v>
      </c>
      <c r="W77" s="410">
        <f t="shared" si="80"/>
        <v>0</v>
      </c>
      <c r="X77" s="410">
        <f t="shared" si="80"/>
        <v>0</v>
      </c>
      <c r="Y77" s="410">
        <f t="shared" si="80"/>
        <v>0</v>
      </c>
      <c r="Z77" s="410">
        <f t="shared" si="80"/>
        <v>0</v>
      </c>
      <c r="AA77" s="185">
        <f t="shared" si="80"/>
        <v>0</v>
      </c>
      <c r="AB77" s="410">
        <f t="shared" si="80"/>
        <v>0</v>
      </c>
      <c r="AC77" s="410">
        <f t="shared" si="80"/>
        <v>0</v>
      </c>
      <c r="AD77" s="410">
        <f t="shared" si="80"/>
        <v>0</v>
      </c>
      <c r="AE77" s="1198">
        <f t="shared" si="80"/>
        <v>0</v>
      </c>
      <c r="AF77" s="410">
        <f t="shared" si="80"/>
        <v>0</v>
      </c>
      <c r="AG77" s="1080">
        <f t="shared" si="80"/>
        <v>0</v>
      </c>
      <c r="AH77" s="408">
        <f t="shared" si="76"/>
        <v>0</v>
      </c>
      <c r="AR77" s="64"/>
    </row>
    <row r="78" spans="1:47" s="386" customFormat="1" ht="36" customHeight="1">
      <c r="A78" s="406"/>
      <c r="B78" s="390" t="s">
        <v>245</v>
      </c>
      <c r="C78" s="185">
        <f>COUNTIF(C63:C70,"P3")</f>
        <v>0</v>
      </c>
      <c r="D78" s="410">
        <f t="shared" ref="D78:AG78" si="81">COUNTIF(D63:D70,"P3")</f>
        <v>0</v>
      </c>
      <c r="E78" s="410">
        <f t="shared" si="81"/>
        <v>0</v>
      </c>
      <c r="F78" s="185">
        <f t="shared" si="81"/>
        <v>0</v>
      </c>
      <c r="G78" s="410">
        <f t="shared" si="81"/>
        <v>0</v>
      </c>
      <c r="H78" s="410">
        <f t="shared" si="81"/>
        <v>0</v>
      </c>
      <c r="I78" s="410">
        <f t="shared" si="81"/>
        <v>0</v>
      </c>
      <c r="J78" s="410">
        <f t="shared" si="81"/>
        <v>0</v>
      </c>
      <c r="K78" s="410">
        <f t="shared" si="81"/>
        <v>0</v>
      </c>
      <c r="L78" s="410">
        <f t="shared" si="81"/>
        <v>0</v>
      </c>
      <c r="M78" s="185">
        <f t="shared" si="81"/>
        <v>0</v>
      </c>
      <c r="N78" s="185">
        <f t="shared" si="81"/>
        <v>0</v>
      </c>
      <c r="O78" s="410">
        <f t="shared" si="81"/>
        <v>0</v>
      </c>
      <c r="P78" s="410">
        <f t="shared" si="81"/>
        <v>0</v>
      </c>
      <c r="Q78" s="410">
        <f t="shared" si="81"/>
        <v>0</v>
      </c>
      <c r="R78" s="410">
        <f t="shared" si="81"/>
        <v>0</v>
      </c>
      <c r="S78" s="410">
        <f t="shared" si="81"/>
        <v>0</v>
      </c>
      <c r="T78" s="185">
        <f t="shared" si="81"/>
        <v>0</v>
      </c>
      <c r="U78" s="410">
        <f t="shared" si="81"/>
        <v>0</v>
      </c>
      <c r="V78" s="410">
        <f t="shared" si="81"/>
        <v>0</v>
      </c>
      <c r="W78" s="410">
        <f t="shared" si="81"/>
        <v>0</v>
      </c>
      <c r="X78" s="410">
        <f t="shared" si="81"/>
        <v>0</v>
      </c>
      <c r="Y78" s="410">
        <f t="shared" si="81"/>
        <v>0</v>
      </c>
      <c r="Z78" s="410">
        <f t="shared" si="81"/>
        <v>0</v>
      </c>
      <c r="AA78" s="185">
        <f t="shared" si="81"/>
        <v>0</v>
      </c>
      <c r="AB78" s="410">
        <f t="shared" si="81"/>
        <v>0</v>
      </c>
      <c r="AC78" s="410">
        <f t="shared" si="81"/>
        <v>0</v>
      </c>
      <c r="AD78" s="410">
        <f t="shared" si="81"/>
        <v>0</v>
      </c>
      <c r="AE78" s="1198">
        <f t="shared" si="81"/>
        <v>0</v>
      </c>
      <c r="AF78" s="410">
        <f t="shared" si="81"/>
        <v>0</v>
      </c>
      <c r="AG78" s="1080">
        <f t="shared" si="81"/>
        <v>0</v>
      </c>
      <c r="AH78" s="408">
        <f t="shared" ref="AH78" si="82">SUM(C78:AG78)</f>
        <v>0</v>
      </c>
      <c r="AR78" s="64"/>
    </row>
    <row r="79" spans="1:47" s="386" customFormat="1" ht="36" customHeight="1">
      <c r="A79" s="425"/>
      <c r="B79" s="426" t="s">
        <v>42</v>
      </c>
      <c r="C79" s="186">
        <f>COUNTIF(C63:C70,"CTH")</f>
        <v>0</v>
      </c>
      <c r="D79" s="427">
        <f t="shared" ref="D79:AG79" si="83">COUNTIF(D63:D70,"CTH")</f>
        <v>0</v>
      </c>
      <c r="E79" s="427">
        <f t="shared" si="83"/>
        <v>0</v>
      </c>
      <c r="F79" s="186">
        <f t="shared" si="83"/>
        <v>0</v>
      </c>
      <c r="G79" s="427">
        <f t="shared" si="83"/>
        <v>0</v>
      </c>
      <c r="H79" s="427">
        <f t="shared" si="83"/>
        <v>0</v>
      </c>
      <c r="I79" s="427">
        <f t="shared" si="83"/>
        <v>0</v>
      </c>
      <c r="J79" s="427">
        <f t="shared" si="83"/>
        <v>0</v>
      </c>
      <c r="K79" s="427">
        <f t="shared" si="83"/>
        <v>0</v>
      </c>
      <c r="L79" s="427">
        <f t="shared" si="83"/>
        <v>0</v>
      </c>
      <c r="M79" s="186">
        <f t="shared" si="83"/>
        <v>0</v>
      </c>
      <c r="N79" s="186">
        <f t="shared" si="83"/>
        <v>0</v>
      </c>
      <c r="O79" s="427">
        <f t="shared" si="83"/>
        <v>0</v>
      </c>
      <c r="P79" s="427">
        <f t="shared" si="83"/>
        <v>0</v>
      </c>
      <c r="Q79" s="427">
        <f t="shared" si="83"/>
        <v>0</v>
      </c>
      <c r="R79" s="427">
        <f t="shared" si="83"/>
        <v>0</v>
      </c>
      <c r="S79" s="427">
        <f t="shared" si="83"/>
        <v>0</v>
      </c>
      <c r="T79" s="186">
        <f t="shared" si="83"/>
        <v>0</v>
      </c>
      <c r="U79" s="427">
        <f t="shared" si="83"/>
        <v>0</v>
      </c>
      <c r="V79" s="427">
        <f t="shared" si="83"/>
        <v>0</v>
      </c>
      <c r="W79" s="427">
        <f t="shared" si="83"/>
        <v>0</v>
      </c>
      <c r="X79" s="427">
        <f t="shared" si="83"/>
        <v>0</v>
      </c>
      <c r="Y79" s="427">
        <f t="shared" si="83"/>
        <v>0</v>
      </c>
      <c r="Z79" s="427">
        <f t="shared" si="83"/>
        <v>0</v>
      </c>
      <c r="AA79" s="186">
        <f t="shared" si="83"/>
        <v>0</v>
      </c>
      <c r="AB79" s="427">
        <f t="shared" si="83"/>
        <v>0</v>
      </c>
      <c r="AC79" s="427">
        <f t="shared" si="83"/>
        <v>0</v>
      </c>
      <c r="AD79" s="427">
        <f t="shared" si="83"/>
        <v>0</v>
      </c>
      <c r="AE79" s="1199">
        <f t="shared" si="83"/>
        <v>0</v>
      </c>
      <c r="AF79" s="427">
        <f t="shared" si="83"/>
        <v>0</v>
      </c>
      <c r="AG79" s="1081">
        <f t="shared" si="83"/>
        <v>0</v>
      </c>
      <c r="AH79" s="428">
        <f>SUM(C79:AG79)</f>
        <v>0</v>
      </c>
      <c r="AR79" s="64"/>
    </row>
    <row r="80" spans="1:47" s="386" customFormat="1" ht="36" customHeight="1" thickBot="1">
      <c r="A80" s="406"/>
      <c r="B80" s="390" t="s">
        <v>246</v>
      </c>
      <c r="C80" s="185">
        <f>COUNTIF(C63:C70,"A")</f>
        <v>0</v>
      </c>
      <c r="D80" s="410">
        <f t="shared" ref="D80:AG80" si="84">COUNTIF(D63:D70,"A")</f>
        <v>0</v>
      </c>
      <c r="E80" s="410">
        <f t="shared" si="84"/>
        <v>0</v>
      </c>
      <c r="F80" s="185">
        <f t="shared" si="84"/>
        <v>0</v>
      </c>
      <c r="G80" s="410">
        <f t="shared" si="84"/>
        <v>0</v>
      </c>
      <c r="H80" s="410">
        <f t="shared" si="84"/>
        <v>0</v>
      </c>
      <c r="I80" s="410">
        <f t="shared" si="84"/>
        <v>0</v>
      </c>
      <c r="J80" s="410">
        <f t="shared" si="84"/>
        <v>0</v>
      </c>
      <c r="K80" s="410">
        <f t="shared" si="84"/>
        <v>0</v>
      </c>
      <c r="L80" s="410">
        <f t="shared" si="84"/>
        <v>0</v>
      </c>
      <c r="M80" s="185">
        <f t="shared" si="84"/>
        <v>0</v>
      </c>
      <c r="N80" s="185">
        <f t="shared" si="84"/>
        <v>0</v>
      </c>
      <c r="O80" s="410">
        <f t="shared" si="84"/>
        <v>0</v>
      </c>
      <c r="P80" s="410">
        <f t="shared" si="84"/>
        <v>0</v>
      </c>
      <c r="Q80" s="410">
        <f t="shared" si="84"/>
        <v>0</v>
      </c>
      <c r="R80" s="410">
        <f t="shared" si="84"/>
        <v>0</v>
      </c>
      <c r="S80" s="410">
        <f t="shared" si="84"/>
        <v>0</v>
      </c>
      <c r="T80" s="185">
        <f t="shared" si="84"/>
        <v>0</v>
      </c>
      <c r="U80" s="410">
        <f t="shared" si="84"/>
        <v>1</v>
      </c>
      <c r="V80" s="410">
        <f t="shared" si="84"/>
        <v>0</v>
      </c>
      <c r="W80" s="410">
        <f t="shared" si="84"/>
        <v>0</v>
      </c>
      <c r="X80" s="410">
        <f t="shared" si="84"/>
        <v>0</v>
      </c>
      <c r="Y80" s="410">
        <f t="shared" si="84"/>
        <v>0</v>
      </c>
      <c r="Z80" s="410">
        <f t="shared" si="84"/>
        <v>0</v>
      </c>
      <c r="AA80" s="185">
        <f t="shared" si="84"/>
        <v>0</v>
      </c>
      <c r="AB80" s="410">
        <f t="shared" si="84"/>
        <v>0</v>
      </c>
      <c r="AC80" s="410">
        <f t="shared" si="84"/>
        <v>0</v>
      </c>
      <c r="AD80" s="410">
        <f t="shared" si="84"/>
        <v>0</v>
      </c>
      <c r="AE80" s="1198">
        <f t="shared" si="84"/>
        <v>0</v>
      </c>
      <c r="AF80" s="410">
        <f t="shared" si="84"/>
        <v>0</v>
      </c>
      <c r="AG80" s="1080">
        <f t="shared" si="84"/>
        <v>0</v>
      </c>
      <c r="AH80" s="429">
        <f t="shared" si="76"/>
        <v>1</v>
      </c>
      <c r="AR80" s="64"/>
    </row>
    <row r="81" spans="1:34" s="591" customFormat="1" ht="36" customHeight="1" thickBot="1">
      <c r="A81" s="430"/>
      <c r="B81" s="431" t="s">
        <v>50</v>
      </c>
      <c r="C81" s="187">
        <f t="shared" ref="C81:AG81" si="85">SUM(C71:C80)</f>
        <v>8</v>
      </c>
      <c r="D81" s="431">
        <f t="shared" si="85"/>
        <v>8</v>
      </c>
      <c r="E81" s="431">
        <f t="shared" si="85"/>
        <v>8</v>
      </c>
      <c r="F81" s="187">
        <f t="shared" si="85"/>
        <v>8</v>
      </c>
      <c r="G81" s="431">
        <f t="shared" si="85"/>
        <v>8</v>
      </c>
      <c r="H81" s="431">
        <f t="shared" si="85"/>
        <v>8</v>
      </c>
      <c r="I81" s="431">
        <f t="shared" si="85"/>
        <v>8</v>
      </c>
      <c r="J81" s="431">
        <f t="shared" si="85"/>
        <v>8</v>
      </c>
      <c r="K81" s="431">
        <f t="shared" si="85"/>
        <v>8</v>
      </c>
      <c r="L81" s="431">
        <f t="shared" si="85"/>
        <v>8</v>
      </c>
      <c r="M81" s="187">
        <f t="shared" si="85"/>
        <v>8</v>
      </c>
      <c r="N81" s="187">
        <f t="shared" si="85"/>
        <v>8</v>
      </c>
      <c r="O81" s="431">
        <f t="shared" si="85"/>
        <v>8</v>
      </c>
      <c r="P81" s="431">
        <f t="shared" si="85"/>
        <v>8</v>
      </c>
      <c r="Q81" s="431">
        <f t="shared" si="85"/>
        <v>8</v>
      </c>
      <c r="R81" s="431">
        <f t="shared" si="85"/>
        <v>8</v>
      </c>
      <c r="S81" s="431">
        <f t="shared" si="85"/>
        <v>8</v>
      </c>
      <c r="T81" s="187">
        <f t="shared" si="85"/>
        <v>8</v>
      </c>
      <c r="U81" s="431">
        <f t="shared" si="85"/>
        <v>8</v>
      </c>
      <c r="V81" s="431">
        <f t="shared" si="85"/>
        <v>8</v>
      </c>
      <c r="W81" s="431">
        <f t="shared" si="85"/>
        <v>8</v>
      </c>
      <c r="X81" s="431">
        <f t="shared" si="85"/>
        <v>8</v>
      </c>
      <c r="Y81" s="431">
        <f t="shared" si="85"/>
        <v>8</v>
      </c>
      <c r="Z81" s="431">
        <f t="shared" si="85"/>
        <v>8</v>
      </c>
      <c r="AA81" s="187">
        <f t="shared" si="85"/>
        <v>8</v>
      </c>
      <c r="AB81" s="431">
        <f t="shared" si="85"/>
        <v>8</v>
      </c>
      <c r="AC81" s="431">
        <f t="shared" si="85"/>
        <v>8</v>
      </c>
      <c r="AD81" s="431">
        <f t="shared" si="85"/>
        <v>8</v>
      </c>
      <c r="AE81" s="187">
        <f t="shared" si="85"/>
        <v>8</v>
      </c>
      <c r="AF81" s="431">
        <f t="shared" si="85"/>
        <v>8</v>
      </c>
      <c r="AG81" s="1082">
        <f t="shared" si="85"/>
        <v>8</v>
      </c>
      <c r="AH81" s="432">
        <f>SUM(AH71:AH80)</f>
        <v>248</v>
      </c>
    </row>
  </sheetData>
  <mergeCells count="20">
    <mergeCell ref="AH60:AH62"/>
    <mergeCell ref="AI60:AQ61"/>
    <mergeCell ref="AR60:AR62"/>
    <mergeCell ref="AS60:AS62"/>
    <mergeCell ref="AT60:AT62"/>
    <mergeCell ref="A57:B57"/>
    <mergeCell ref="A59:B59"/>
    <mergeCell ref="A60:A62"/>
    <mergeCell ref="B60:B62"/>
    <mergeCell ref="C60:AG61"/>
    <mergeCell ref="AI4:AQ5"/>
    <mergeCell ref="AR4:AR6"/>
    <mergeCell ref="AS4:AS6"/>
    <mergeCell ref="AT4:AT6"/>
    <mergeCell ref="A1:B1"/>
    <mergeCell ref="A4:A6"/>
    <mergeCell ref="B4:B6"/>
    <mergeCell ref="C4:AG5"/>
    <mergeCell ref="AH4:AH6"/>
    <mergeCell ref="A3:C3"/>
  </mergeCells>
  <conditionalFormatting sqref="C7:L7 O7:S7 U7:Z7 AB7:AD7 AF7:AG7">
    <cfRule type="iconSet" priority="187">
      <iconSet iconSet="3TrafficLights2">
        <cfvo type="percent" val="0"/>
        <cfvo type="percent" val="33"/>
        <cfvo type="percent" val="67"/>
      </iconSet>
    </cfRule>
  </conditionalFormatting>
  <conditionalFormatting sqref="C8:L8 D14:E36 D9:E12 C9:C39 G9:L12 F9:F39 AB8:AD12 AF8:AG12 AF14:AG36 G14:L36 O8:S12 O14:S36 U14:Z36 U8:Z12 AB14:AD36">
    <cfRule type="iconSet" priority="2931">
      <iconSet iconSet="3TrafficLights2">
        <cfvo type="percent" val="0"/>
        <cfvo type="percent" val="33"/>
        <cfvo type="percent" val="67"/>
      </iconSet>
    </cfRule>
  </conditionalFormatting>
  <conditionalFormatting sqref="C63:AG70">
    <cfRule type="iconSet" priority="216">
      <iconSet iconSet="3TrafficLights2">
        <cfvo type="percent" val="0"/>
        <cfvo type="percent" val="33"/>
        <cfvo type="percent" val="67"/>
      </iconSet>
    </cfRule>
  </conditionalFormatting>
  <conditionalFormatting sqref="D37:E37 D13:E13 G13:L13 G37:L37 O37:S37 O13:S13 U13:Z13 U37:Z37 AB37:AD37 AB13:AD13 AF13:AG13 AF37:AG37">
    <cfRule type="iconSet" priority="186">
      <iconSet iconSet="3TrafficLights2">
        <cfvo type="percent" val="0"/>
        <cfvo type="percent" val="33"/>
        <cfvo type="percent" val="67"/>
      </iconSet>
    </cfRule>
  </conditionalFormatting>
  <conditionalFormatting sqref="D38:E38 G38:L38 O38:S38 U38:Z38 AB38:AD38 AF38:AG38">
    <cfRule type="iconSet" priority="2930">
      <iconSet iconSet="3TrafficLights2">
        <cfvo type="percent" val="0"/>
        <cfvo type="percent" val="33"/>
        <cfvo type="percent" val="67"/>
      </iconSet>
    </cfRule>
  </conditionalFormatting>
  <conditionalFormatting sqref="D39:E39 G39:L39 O39:S39 U39:Z39 AB39:AD39 AF39:AG39">
    <cfRule type="iconSet" priority="77">
      <iconSet iconSet="3TrafficLights2">
        <cfvo type="percent" val="0"/>
        <cfvo type="percent" val="33"/>
        <cfvo type="percent" val="67"/>
      </iconSet>
    </cfRule>
  </conditionalFormatting>
  <conditionalFormatting sqref="M7">
    <cfRule type="iconSet" priority="11">
      <iconSet iconSet="3TrafficLights2">
        <cfvo type="percent" val="0"/>
        <cfvo type="percent" val="33"/>
        <cfvo type="percent" val="67"/>
      </iconSet>
    </cfRule>
  </conditionalFormatting>
  <conditionalFormatting sqref="M8:M39">
    <cfRule type="iconSet" priority="12">
      <iconSet iconSet="3TrafficLights2">
        <cfvo type="percent" val="0"/>
        <cfvo type="percent" val="33"/>
        <cfvo type="percent" val="67"/>
      </iconSet>
    </cfRule>
  </conditionalFormatting>
  <conditionalFormatting sqref="N7">
    <cfRule type="iconSet" priority="9">
      <iconSet iconSet="3TrafficLights2">
        <cfvo type="percent" val="0"/>
        <cfvo type="percent" val="33"/>
        <cfvo type="percent" val="67"/>
      </iconSet>
    </cfRule>
  </conditionalFormatting>
  <conditionalFormatting sqref="N8:N39">
    <cfRule type="iconSet" priority="10">
      <iconSet iconSet="3TrafficLights2">
        <cfvo type="percent" val="0"/>
        <cfvo type="percent" val="33"/>
        <cfvo type="percent" val="67"/>
      </iconSet>
    </cfRule>
  </conditionalFormatting>
  <conditionalFormatting sqref="T7">
    <cfRule type="iconSet" priority="7">
      <iconSet iconSet="3TrafficLights2">
        <cfvo type="percent" val="0"/>
        <cfvo type="percent" val="33"/>
        <cfvo type="percent" val="67"/>
      </iconSet>
    </cfRule>
  </conditionalFormatting>
  <conditionalFormatting sqref="T8:T39">
    <cfRule type="iconSet" priority="8">
      <iconSet iconSet="3TrafficLights2">
        <cfvo type="percent" val="0"/>
        <cfvo type="percent" val="33"/>
        <cfvo type="percent" val="67"/>
      </iconSet>
    </cfRule>
  </conditionalFormatting>
  <conditionalFormatting sqref="AA7">
    <cfRule type="iconSet" priority="5">
      <iconSet iconSet="3TrafficLights2">
        <cfvo type="percent" val="0"/>
        <cfvo type="percent" val="33"/>
        <cfvo type="percent" val="67"/>
      </iconSet>
    </cfRule>
  </conditionalFormatting>
  <conditionalFormatting sqref="AA8:AA39">
    <cfRule type="iconSet" priority="6">
      <iconSet iconSet="3TrafficLights2">
        <cfvo type="percent" val="0"/>
        <cfvo type="percent" val="33"/>
        <cfvo type="percent" val="67"/>
      </iconSet>
    </cfRule>
  </conditionalFormatting>
  <conditionalFormatting sqref="AE7">
    <cfRule type="iconSet" priority="1">
      <iconSet iconSet="3TrafficLights2">
        <cfvo type="percent" val="0"/>
        <cfvo type="percent" val="33"/>
        <cfvo type="percent" val="67"/>
      </iconSet>
    </cfRule>
  </conditionalFormatting>
  <conditionalFormatting sqref="AE8:AE39">
    <cfRule type="iconSet" priority="2">
      <iconSet iconSet="3TrafficLights2">
        <cfvo type="percent" val="0"/>
        <cfvo type="percent" val="33"/>
        <cfvo type="percent" val="67"/>
      </iconSet>
    </cfRule>
  </conditionalFormatting>
  <printOptions horizontalCentered="1"/>
  <pageMargins left="0" right="0" top="0" bottom="0" header="0.31496062992125984" footer="0.31496062992125984"/>
  <pageSetup paperSize="9" scale="28" orientation="landscape" horizontalDpi="0" verticalDpi="0" r:id="rId1"/>
  <rowBreaks count="1" manualBreakCount="1">
    <brk id="52" max="4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BI128"/>
  <sheetViews>
    <sheetView topLeftCell="L1" workbookViewId="0">
      <selection activeCell="X27" sqref="X27"/>
    </sheetView>
  </sheetViews>
  <sheetFormatPr defaultRowHeight="15"/>
  <cols>
    <col min="1" max="1" width="9.5703125" style="271" customWidth="1"/>
    <col min="2" max="3" width="9.5703125" style="176" customWidth="1"/>
    <col min="4" max="4" width="9.5703125" style="271" customWidth="1"/>
    <col min="5" max="10" width="9.5703125" style="176" customWidth="1"/>
    <col min="11" max="12" width="9.5703125" style="271" customWidth="1"/>
    <col min="13" max="17" width="9.5703125" style="176" customWidth="1"/>
    <col min="18" max="18" width="9.5703125" style="271" customWidth="1"/>
    <col min="19" max="24" width="9.5703125" style="176" customWidth="1"/>
    <col min="25" max="25" width="9.5703125" style="271" customWidth="1"/>
    <col min="26" max="28" width="9.5703125" style="176" customWidth="1"/>
    <col min="29" max="29" width="9.5703125" style="271" customWidth="1"/>
    <col min="30" max="31" width="9.5703125" style="176" customWidth="1"/>
    <col min="32" max="16384" width="9.140625" style="176"/>
  </cols>
  <sheetData>
    <row r="1" spans="1:61" ht="23.25">
      <c r="A1" s="270">
        <v>1</v>
      </c>
      <c r="B1" s="175" t="s">
        <v>482</v>
      </c>
      <c r="C1" s="175" t="s">
        <v>482</v>
      </c>
      <c r="D1" s="270">
        <v>4</v>
      </c>
      <c r="E1" s="175" t="s">
        <v>482</v>
      </c>
      <c r="F1" s="175" t="s">
        <v>482</v>
      </c>
      <c r="G1" s="175" t="s">
        <v>482</v>
      </c>
      <c r="H1" s="175" t="s">
        <v>482</v>
      </c>
      <c r="I1" s="175" t="s">
        <v>482</v>
      </c>
      <c r="J1" s="175" t="s">
        <v>482</v>
      </c>
      <c r="K1" s="270">
        <v>11</v>
      </c>
      <c r="L1" s="270">
        <v>12</v>
      </c>
      <c r="M1" s="175" t="s">
        <v>482</v>
      </c>
      <c r="N1" s="175" t="s">
        <v>482</v>
      </c>
      <c r="O1" s="175" t="s">
        <v>482</v>
      </c>
      <c r="P1" s="175" t="s">
        <v>482</v>
      </c>
      <c r="Q1" s="175" t="s">
        <v>482</v>
      </c>
      <c r="R1" s="270">
        <v>18</v>
      </c>
      <c r="S1" s="175" t="s">
        <v>482</v>
      </c>
      <c r="T1" s="175" t="s">
        <v>482</v>
      </c>
      <c r="U1" s="175" t="s">
        <v>482</v>
      </c>
      <c r="V1" s="175" t="s">
        <v>482</v>
      </c>
      <c r="W1" s="175" t="s">
        <v>482</v>
      </c>
      <c r="X1" s="175" t="s">
        <v>482</v>
      </c>
      <c r="Y1" s="270">
        <v>25</v>
      </c>
      <c r="Z1" s="175" t="s">
        <v>482</v>
      </c>
      <c r="AA1" s="175" t="s">
        <v>482</v>
      </c>
      <c r="AB1" s="175" t="s">
        <v>482</v>
      </c>
      <c r="AC1" s="270">
        <v>29</v>
      </c>
      <c r="AD1" s="175" t="s">
        <v>482</v>
      </c>
      <c r="AE1" s="175" t="s">
        <v>482</v>
      </c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5"/>
      <c r="AZ1" s="175"/>
      <c r="BA1" s="175"/>
      <c r="BB1" s="175"/>
      <c r="BC1" s="175"/>
      <c r="BD1" s="175"/>
      <c r="BE1" s="175"/>
      <c r="BF1" s="175"/>
      <c r="BG1" s="175"/>
      <c r="BH1" s="175"/>
      <c r="BI1" s="175"/>
    </row>
    <row r="2" spans="1:61">
      <c r="B2" s="176" t="s">
        <v>501</v>
      </c>
      <c r="C2" s="176" t="s">
        <v>518</v>
      </c>
      <c r="E2" s="176" t="s">
        <v>532</v>
      </c>
      <c r="F2" s="176" t="s">
        <v>532</v>
      </c>
      <c r="G2" s="176" t="s">
        <v>519</v>
      </c>
      <c r="H2" s="176" t="s">
        <v>521</v>
      </c>
      <c r="I2" s="176" t="s">
        <v>483</v>
      </c>
      <c r="J2" s="176" t="s">
        <v>782</v>
      </c>
      <c r="M2" s="176" t="s">
        <v>533</v>
      </c>
      <c r="N2" s="176" t="s">
        <v>520</v>
      </c>
      <c r="O2" s="176" t="s">
        <v>610</v>
      </c>
      <c r="P2" s="176" t="s">
        <v>501</v>
      </c>
      <c r="Q2" s="176" t="s">
        <v>532</v>
      </c>
      <c r="S2" s="176" t="s">
        <v>530</v>
      </c>
      <c r="T2" s="176" t="s">
        <v>532</v>
      </c>
      <c r="U2" s="176" t="s">
        <v>532</v>
      </c>
      <c r="V2" s="176" t="s">
        <v>629</v>
      </c>
      <c r="W2" s="176" t="s">
        <v>520</v>
      </c>
      <c r="X2" s="176" t="s">
        <v>487</v>
      </c>
      <c r="Z2" s="176" t="s">
        <v>734</v>
      </c>
      <c r="AA2" s="176" t="s">
        <v>635</v>
      </c>
      <c r="AB2" s="176" t="s">
        <v>501</v>
      </c>
      <c r="AD2" s="176" t="s">
        <v>518</v>
      </c>
      <c r="AE2" s="176" t="s">
        <v>610</v>
      </c>
    </row>
    <row r="3" spans="1:61">
      <c r="B3" s="176" t="s">
        <v>503</v>
      </c>
      <c r="C3" s="176" t="s">
        <v>519</v>
      </c>
      <c r="E3" s="176" t="s">
        <v>533</v>
      </c>
      <c r="F3" s="176" t="s">
        <v>533</v>
      </c>
      <c r="G3" s="176" t="s">
        <v>518</v>
      </c>
      <c r="H3" s="176" t="s">
        <v>776</v>
      </c>
      <c r="I3" s="176" t="s">
        <v>486</v>
      </c>
      <c r="J3" s="176" t="s">
        <v>783</v>
      </c>
      <c r="M3" s="176" t="s">
        <v>517</v>
      </c>
      <c r="N3" s="176" t="s">
        <v>753</v>
      </c>
      <c r="O3" s="176" t="s">
        <v>504</v>
      </c>
      <c r="P3" s="176" t="s">
        <v>503</v>
      </c>
      <c r="Q3" s="176" t="s">
        <v>533</v>
      </c>
      <c r="S3" s="176" t="s">
        <v>528</v>
      </c>
      <c r="T3" s="176" t="s">
        <v>533</v>
      </c>
      <c r="U3" s="176" t="s">
        <v>533</v>
      </c>
      <c r="V3" s="176" t="s">
        <v>722</v>
      </c>
      <c r="W3" s="176" t="s">
        <v>532</v>
      </c>
      <c r="X3" s="176" t="s">
        <v>548</v>
      </c>
      <c r="Z3" s="176" t="s">
        <v>501</v>
      </c>
      <c r="AA3" s="176" t="s">
        <v>753</v>
      </c>
      <c r="AB3" s="176" t="s">
        <v>503</v>
      </c>
      <c r="AD3" s="176" t="s">
        <v>523</v>
      </c>
      <c r="AE3" s="176" t="s">
        <v>504</v>
      </c>
    </row>
    <row r="4" spans="1:61">
      <c r="B4" s="176" t="s">
        <v>735</v>
      </c>
      <c r="C4" s="176" t="s">
        <v>520</v>
      </c>
      <c r="E4" s="176" t="s">
        <v>517</v>
      </c>
      <c r="F4" s="176" t="s">
        <v>517</v>
      </c>
      <c r="G4" s="176" t="s">
        <v>523</v>
      </c>
      <c r="H4" s="176" t="s">
        <v>774</v>
      </c>
      <c r="I4" s="176" t="s">
        <v>547</v>
      </c>
      <c r="J4" s="176" t="s">
        <v>753</v>
      </c>
      <c r="M4" s="176" t="s">
        <v>635</v>
      </c>
      <c r="N4" s="176" t="s">
        <v>539</v>
      </c>
      <c r="O4" s="176" t="s">
        <v>726</v>
      </c>
      <c r="P4" s="176" t="s">
        <v>735</v>
      </c>
      <c r="Q4" s="176" t="s">
        <v>517</v>
      </c>
      <c r="S4" s="176" t="s">
        <v>614</v>
      </c>
      <c r="T4" s="176" t="s">
        <v>784</v>
      </c>
      <c r="U4" s="176" t="s">
        <v>517</v>
      </c>
      <c r="V4" s="176" t="s">
        <v>610</v>
      </c>
      <c r="W4" s="176" t="s">
        <v>753</v>
      </c>
      <c r="X4" s="176" t="s">
        <v>488</v>
      </c>
      <c r="Z4" s="176" t="s">
        <v>503</v>
      </c>
      <c r="AA4" s="176" t="s">
        <v>754</v>
      </c>
      <c r="AB4" s="176" t="s">
        <v>735</v>
      </c>
      <c r="AD4" s="176" t="s">
        <v>501</v>
      </c>
      <c r="AE4" s="176" t="s">
        <v>726</v>
      </c>
    </row>
    <row r="5" spans="1:61" s="177" customFormat="1" ht="15.75">
      <c r="A5" s="271"/>
      <c r="B5" s="176" t="s">
        <v>502</v>
      </c>
      <c r="C5" s="176" t="s">
        <v>531</v>
      </c>
      <c r="D5" s="271"/>
      <c r="E5" s="176" t="s">
        <v>753</v>
      </c>
      <c r="F5" s="176" t="s">
        <v>776</v>
      </c>
      <c r="G5" s="176" t="s">
        <v>520</v>
      </c>
      <c r="H5" s="176" t="s">
        <v>775</v>
      </c>
      <c r="I5" s="176" t="s">
        <v>744</v>
      </c>
      <c r="J5" s="176" t="s">
        <v>754</v>
      </c>
      <c r="K5" s="271"/>
      <c r="L5" s="271"/>
      <c r="M5" s="176" t="s">
        <v>636</v>
      </c>
      <c r="N5" s="176" t="s">
        <v>519</v>
      </c>
      <c r="O5" s="176" t="s">
        <v>507</v>
      </c>
      <c r="P5" s="176" t="s">
        <v>502</v>
      </c>
      <c r="Q5" s="176" t="s">
        <v>753</v>
      </c>
      <c r="R5" s="271"/>
      <c r="S5" s="177" t="s">
        <v>617</v>
      </c>
      <c r="T5" s="176" t="s">
        <v>753</v>
      </c>
      <c r="U5" s="176" t="s">
        <v>784</v>
      </c>
      <c r="V5" s="176" t="s">
        <v>630</v>
      </c>
      <c r="W5" s="177" t="s">
        <v>539</v>
      </c>
      <c r="X5" s="177" t="s">
        <v>489</v>
      </c>
      <c r="Y5" s="272"/>
      <c r="Z5" s="177" t="s">
        <v>484</v>
      </c>
      <c r="AA5" s="177" t="s">
        <v>975</v>
      </c>
      <c r="AB5" s="177" t="s">
        <v>502</v>
      </c>
      <c r="AC5" s="272"/>
      <c r="AD5" s="177" t="s">
        <v>735</v>
      </c>
      <c r="AE5" s="177" t="s">
        <v>506</v>
      </c>
    </row>
    <row r="6" spans="1:61">
      <c r="B6" s="176" t="s">
        <v>615</v>
      </c>
      <c r="C6" s="176" t="s">
        <v>503</v>
      </c>
      <c r="E6" s="176" t="s">
        <v>754</v>
      </c>
      <c r="F6" s="176" t="s">
        <v>774</v>
      </c>
      <c r="G6" s="176" t="s">
        <v>521</v>
      </c>
      <c r="H6" s="176" t="s">
        <v>635</v>
      </c>
      <c r="I6" s="176" t="s">
        <v>497</v>
      </c>
      <c r="J6" s="176" t="s">
        <v>635</v>
      </c>
      <c r="M6" s="176" t="s">
        <v>782</v>
      </c>
      <c r="N6" s="176" t="s">
        <v>556</v>
      </c>
      <c r="O6" s="176" t="s">
        <v>634</v>
      </c>
      <c r="P6" s="176" t="s">
        <v>615</v>
      </c>
      <c r="Q6" s="176" t="s">
        <v>754</v>
      </c>
      <c r="S6" s="176" t="s">
        <v>545</v>
      </c>
      <c r="T6" s="176" t="s">
        <v>754</v>
      </c>
      <c r="U6" s="176" t="s">
        <v>753</v>
      </c>
      <c r="V6" s="176" t="s">
        <v>501</v>
      </c>
      <c r="W6" s="176" t="s">
        <v>519</v>
      </c>
      <c r="X6" s="176" t="s">
        <v>490</v>
      </c>
      <c r="Z6" s="176" t="s">
        <v>502</v>
      </c>
      <c r="AA6" s="176" t="s">
        <v>636</v>
      </c>
      <c r="AB6" s="176" t="s">
        <v>615</v>
      </c>
      <c r="AD6" s="176" t="s">
        <v>502</v>
      </c>
      <c r="AE6" s="176" t="s">
        <v>507</v>
      </c>
    </row>
    <row r="7" spans="1:61">
      <c r="B7" s="176" t="s">
        <v>618</v>
      </c>
      <c r="C7" s="176" t="s">
        <v>502</v>
      </c>
      <c r="E7" s="176" t="s">
        <v>776</v>
      </c>
      <c r="F7" s="176" t="s">
        <v>775</v>
      </c>
      <c r="G7" s="176" t="s">
        <v>630</v>
      </c>
      <c r="H7" s="176" t="s">
        <v>636</v>
      </c>
      <c r="I7" s="176" t="s">
        <v>556</v>
      </c>
      <c r="J7" s="176" t="s">
        <v>784</v>
      </c>
      <c r="M7" s="176" t="s">
        <v>783</v>
      </c>
      <c r="N7" s="176" t="s">
        <v>690</v>
      </c>
      <c r="O7" s="176" t="s">
        <v>512</v>
      </c>
      <c r="P7" s="176" t="s">
        <v>618</v>
      </c>
      <c r="Q7" s="176" t="s">
        <v>782</v>
      </c>
      <c r="S7" s="176" t="s">
        <v>500</v>
      </c>
      <c r="T7" s="176" t="s">
        <v>636</v>
      </c>
      <c r="U7" s="176" t="s">
        <v>754</v>
      </c>
      <c r="V7" s="176" t="s">
        <v>503</v>
      </c>
      <c r="W7" s="176" t="s">
        <v>556</v>
      </c>
      <c r="X7" s="176" t="s">
        <v>741</v>
      </c>
      <c r="Z7" s="176" t="s">
        <v>615</v>
      </c>
      <c r="AA7" s="176" t="s">
        <v>782</v>
      </c>
      <c r="AB7" s="176" t="s">
        <v>734</v>
      </c>
      <c r="AD7" s="176" t="s">
        <v>503</v>
      </c>
      <c r="AE7" s="176" t="s">
        <v>508</v>
      </c>
    </row>
    <row r="8" spans="1:61">
      <c r="B8" s="176" t="s">
        <v>531</v>
      </c>
      <c r="C8" s="176" t="s">
        <v>735</v>
      </c>
      <c r="E8" s="176" t="s">
        <v>774</v>
      </c>
      <c r="F8" s="176" t="s">
        <v>540</v>
      </c>
      <c r="G8" s="176" t="s">
        <v>633</v>
      </c>
      <c r="H8" s="176" t="s">
        <v>651</v>
      </c>
      <c r="I8" s="176" t="s">
        <v>495</v>
      </c>
      <c r="J8" s="176" t="s">
        <v>636</v>
      </c>
      <c r="M8" s="176" t="s">
        <v>651</v>
      </c>
      <c r="N8" s="176" t="s">
        <v>636</v>
      </c>
      <c r="O8" s="176" t="s">
        <v>510</v>
      </c>
      <c r="P8" s="176" t="s">
        <v>521</v>
      </c>
      <c r="Q8" s="176" t="s">
        <v>783</v>
      </c>
      <c r="S8" s="176" t="s">
        <v>727</v>
      </c>
      <c r="T8" s="176" t="s">
        <v>782</v>
      </c>
      <c r="U8" s="176" t="s">
        <v>782</v>
      </c>
      <c r="V8" s="176" t="s">
        <v>502</v>
      </c>
      <c r="W8" s="176" t="s">
        <v>690</v>
      </c>
      <c r="X8" s="176" t="s">
        <v>492</v>
      </c>
      <c r="Z8" s="176" t="s">
        <v>618</v>
      </c>
      <c r="AA8" s="176" t="s">
        <v>783</v>
      </c>
      <c r="AB8" s="176" t="s">
        <v>518</v>
      </c>
      <c r="AD8" s="176" t="s">
        <v>615</v>
      </c>
      <c r="AE8" s="176" t="s">
        <v>611</v>
      </c>
    </row>
    <row r="9" spans="1:61">
      <c r="B9" s="176" t="s">
        <v>630</v>
      </c>
      <c r="C9" s="176" t="s">
        <v>630</v>
      </c>
      <c r="E9" s="176" t="s">
        <v>775</v>
      </c>
      <c r="F9" s="176" t="s">
        <v>756</v>
      </c>
      <c r="G9" s="176" t="s">
        <v>515</v>
      </c>
      <c r="H9" s="176" t="s">
        <v>534</v>
      </c>
      <c r="I9" s="176" t="s">
        <v>485</v>
      </c>
      <c r="J9" s="176" t="s">
        <v>651</v>
      </c>
      <c r="M9" s="176" t="s">
        <v>650</v>
      </c>
      <c r="N9" s="176" t="s">
        <v>783</v>
      </c>
      <c r="O9" s="176" t="s">
        <v>611</v>
      </c>
      <c r="P9" s="176" t="s">
        <v>520</v>
      </c>
      <c r="Q9" s="176" t="s">
        <v>730</v>
      </c>
      <c r="S9" s="176" t="s">
        <v>732</v>
      </c>
      <c r="T9" s="176" t="s">
        <v>783</v>
      </c>
      <c r="U9" s="176" t="s">
        <v>783</v>
      </c>
      <c r="V9" s="176" t="s">
        <v>618</v>
      </c>
      <c r="W9" s="176" t="s">
        <v>636</v>
      </c>
      <c r="X9" s="176" t="s">
        <v>491</v>
      </c>
      <c r="Z9" s="176" t="s">
        <v>733</v>
      </c>
      <c r="AA9" s="176" t="s">
        <v>534</v>
      </c>
      <c r="AB9" s="176" t="s">
        <v>519</v>
      </c>
      <c r="AD9" s="176" t="s">
        <v>629</v>
      </c>
      <c r="AE9" s="176" t="s">
        <v>527</v>
      </c>
    </row>
    <row r="10" spans="1:61">
      <c r="B10" s="176" t="s">
        <v>518</v>
      </c>
      <c r="C10" s="176" t="s">
        <v>613</v>
      </c>
      <c r="E10" s="176" t="s">
        <v>539</v>
      </c>
      <c r="F10" s="176" t="s">
        <v>753</v>
      </c>
      <c r="G10" s="176" t="s">
        <v>512</v>
      </c>
      <c r="H10" s="176" t="s">
        <v>535</v>
      </c>
      <c r="I10" s="176" t="s">
        <v>580</v>
      </c>
      <c r="J10" s="176" t="s">
        <v>650</v>
      </c>
      <c r="M10" s="176" t="s">
        <v>534</v>
      </c>
      <c r="N10" s="176" t="s">
        <v>630</v>
      </c>
      <c r="O10" s="176" t="s">
        <v>527</v>
      </c>
      <c r="P10" s="176" t="s">
        <v>722</v>
      </c>
      <c r="Q10" s="176" t="s">
        <v>636</v>
      </c>
      <c r="S10" s="176" t="s">
        <v>499</v>
      </c>
      <c r="T10" s="176" t="s">
        <v>650</v>
      </c>
      <c r="U10" s="176" t="s">
        <v>635</v>
      </c>
      <c r="V10" s="176" t="s">
        <v>735</v>
      </c>
      <c r="W10" s="176" t="s">
        <v>783</v>
      </c>
      <c r="X10" s="176" t="s">
        <v>746</v>
      </c>
      <c r="Z10" s="176" t="s">
        <v>724</v>
      </c>
      <c r="AA10" s="176" t="s">
        <v>535</v>
      </c>
      <c r="AB10" s="176" t="s">
        <v>523</v>
      </c>
      <c r="AD10" s="176" t="s">
        <v>722</v>
      </c>
      <c r="AE10" s="176" t="s">
        <v>514</v>
      </c>
    </row>
    <row r="11" spans="1:61">
      <c r="B11" s="176" t="s">
        <v>519</v>
      </c>
      <c r="C11" s="176" t="s">
        <v>633</v>
      </c>
      <c r="E11" s="176" t="s">
        <v>755</v>
      </c>
      <c r="F11" s="176" t="s">
        <v>754</v>
      </c>
      <c r="G11" s="176" t="s">
        <v>513</v>
      </c>
      <c r="H11" s="176" t="s">
        <v>537</v>
      </c>
      <c r="I11" s="176" t="s">
        <v>736</v>
      </c>
      <c r="J11" s="176" t="s">
        <v>534</v>
      </c>
      <c r="M11" s="176" t="s">
        <v>535</v>
      </c>
      <c r="N11" s="176" t="s">
        <v>727</v>
      </c>
      <c r="O11" s="176" t="s">
        <v>513</v>
      </c>
      <c r="P11" s="176" t="s">
        <v>629</v>
      </c>
      <c r="Q11" s="176" t="s">
        <v>650</v>
      </c>
      <c r="S11" s="176" t="s">
        <v>498</v>
      </c>
      <c r="T11" s="176" t="s">
        <v>534</v>
      </c>
      <c r="U11" s="176" t="s">
        <v>636</v>
      </c>
      <c r="V11" s="176" t="s">
        <v>615</v>
      </c>
      <c r="W11" s="176" t="s">
        <v>505</v>
      </c>
      <c r="X11" s="176" t="s">
        <v>742</v>
      </c>
      <c r="Z11" s="176" t="s">
        <v>525</v>
      </c>
      <c r="AA11" s="176" t="s">
        <v>536</v>
      </c>
      <c r="AB11" s="176" t="s">
        <v>521</v>
      </c>
      <c r="AD11" s="176" t="s">
        <v>521</v>
      </c>
      <c r="AE11" s="176" t="s">
        <v>634</v>
      </c>
    </row>
    <row r="12" spans="1:61">
      <c r="B12" s="176" t="s">
        <v>523</v>
      </c>
      <c r="C12" s="176" t="s">
        <v>528</v>
      </c>
      <c r="E12" s="176" t="s">
        <v>540</v>
      </c>
      <c r="F12" s="176" t="s">
        <v>650</v>
      </c>
      <c r="G12" s="176" t="s">
        <v>511</v>
      </c>
      <c r="H12" s="176" t="s">
        <v>689</v>
      </c>
      <c r="I12" s="176" t="s">
        <v>491</v>
      </c>
      <c r="J12" s="176" t="s">
        <v>535</v>
      </c>
      <c r="M12" s="176" t="s">
        <v>536</v>
      </c>
      <c r="N12" s="176" t="s">
        <v>495</v>
      </c>
      <c r="O12" s="176" t="s">
        <v>515</v>
      </c>
      <c r="P12" s="176" t="s">
        <v>518</v>
      </c>
      <c r="Q12" s="176" t="s">
        <v>534</v>
      </c>
      <c r="S12" s="176" t="s">
        <v>784</v>
      </c>
      <c r="T12" s="176" t="s">
        <v>730</v>
      </c>
      <c r="U12" s="176" t="s">
        <v>650</v>
      </c>
      <c r="V12" s="176" t="s">
        <v>483</v>
      </c>
      <c r="W12" s="176" t="s">
        <v>630</v>
      </c>
      <c r="X12" s="176" t="s">
        <v>738</v>
      </c>
      <c r="Z12" s="176" t="s">
        <v>613</v>
      </c>
      <c r="AA12" s="176" t="s">
        <v>537</v>
      </c>
      <c r="AB12" s="176" t="s">
        <v>520</v>
      </c>
      <c r="AD12" s="176" t="s">
        <v>520</v>
      </c>
      <c r="AE12" s="176" t="s">
        <v>515</v>
      </c>
    </row>
    <row r="13" spans="1:61">
      <c r="B13" s="176" t="s">
        <v>520</v>
      </c>
      <c r="C13" s="176" t="s">
        <v>529</v>
      </c>
      <c r="E13" s="176" t="s">
        <v>756</v>
      </c>
      <c r="F13" s="176" t="s">
        <v>539</v>
      </c>
      <c r="G13" s="176" t="s">
        <v>632</v>
      </c>
      <c r="H13" s="176" t="s">
        <v>538</v>
      </c>
      <c r="I13" s="176" t="s">
        <v>738</v>
      </c>
      <c r="J13" s="176" t="s">
        <v>537</v>
      </c>
      <c r="M13" s="176" t="s">
        <v>537</v>
      </c>
      <c r="N13" s="176" t="s">
        <v>723</v>
      </c>
      <c r="O13" s="176" t="s">
        <v>509</v>
      </c>
      <c r="P13" s="176" t="s">
        <v>519</v>
      </c>
      <c r="Q13" s="176" t="s">
        <v>538</v>
      </c>
      <c r="S13" s="176" t="s">
        <v>782</v>
      </c>
      <c r="T13" s="176" t="s">
        <v>635</v>
      </c>
      <c r="U13" s="176" t="s">
        <v>534</v>
      </c>
      <c r="V13" s="176" t="s">
        <v>649</v>
      </c>
      <c r="W13" s="176" t="s">
        <v>523</v>
      </c>
      <c r="X13" s="176" t="s">
        <v>747</v>
      </c>
      <c r="Z13" s="176" t="s">
        <v>520</v>
      </c>
      <c r="AA13" s="176" t="s">
        <v>689</v>
      </c>
      <c r="AB13" s="176" t="s">
        <v>633</v>
      </c>
      <c r="AD13" s="176" t="s">
        <v>633</v>
      </c>
      <c r="AE13" s="176" t="s">
        <v>513</v>
      </c>
    </row>
    <row r="14" spans="1:61" ht="15.75">
      <c r="B14" s="176" t="s">
        <v>633</v>
      </c>
      <c r="C14" s="176" t="s">
        <v>530</v>
      </c>
      <c r="E14" s="176" t="s">
        <v>729</v>
      </c>
      <c r="F14" s="176" t="s">
        <v>755</v>
      </c>
      <c r="G14" s="176" t="s">
        <v>516</v>
      </c>
      <c r="H14" s="176" t="s">
        <v>541</v>
      </c>
      <c r="I14" s="176" t="s">
        <v>496</v>
      </c>
      <c r="J14" s="176" t="s">
        <v>689</v>
      </c>
      <c r="K14" s="272"/>
      <c r="M14" s="176" t="s">
        <v>689</v>
      </c>
      <c r="N14" s="176" t="s">
        <v>528</v>
      </c>
      <c r="O14" s="176" t="s">
        <v>514</v>
      </c>
      <c r="P14" s="176" t="s">
        <v>209</v>
      </c>
      <c r="Q14" s="176" t="s">
        <v>541</v>
      </c>
      <c r="S14" s="176" t="s">
        <v>783</v>
      </c>
      <c r="T14" s="176" t="s">
        <v>535</v>
      </c>
      <c r="U14" s="176" t="s">
        <v>535</v>
      </c>
      <c r="V14" s="176" t="s">
        <v>484</v>
      </c>
      <c r="W14" s="176" t="s">
        <v>727</v>
      </c>
      <c r="X14" s="176" t="s">
        <v>556</v>
      </c>
      <c r="Z14" s="176" t="s">
        <v>518</v>
      </c>
      <c r="AA14" s="176" t="s">
        <v>538</v>
      </c>
      <c r="AB14" s="176" t="s">
        <v>722</v>
      </c>
      <c r="AD14" s="176" t="s">
        <v>613</v>
      </c>
      <c r="AE14" s="176" t="s">
        <v>512</v>
      </c>
    </row>
    <row r="15" spans="1:61">
      <c r="B15" s="176" t="s">
        <v>521</v>
      </c>
      <c r="C15" s="176" t="s">
        <v>526</v>
      </c>
      <c r="E15" s="176" t="s">
        <v>730</v>
      </c>
      <c r="F15" s="176" t="s">
        <v>521</v>
      </c>
      <c r="G15" s="176" t="s">
        <v>510</v>
      </c>
      <c r="H15" s="176" t="s">
        <v>687</v>
      </c>
      <c r="I15" s="176" t="s">
        <v>731</v>
      </c>
      <c r="J15" s="176" t="s">
        <v>538</v>
      </c>
      <c r="M15" s="176" t="s">
        <v>538</v>
      </c>
      <c r="N15" s="176" t="s">
        <v>497</v>
      </c>
      <c r="O15" s="176" t="s">
        <v>516</v>
      </c>
      <c r="P15" s="176" t="s">
        <v>723</v>
      </c>
      <c r="Q15" s="176" t="s">
        <v>539</v>
      </c>
      <c r="S15" s="176" t="s">
        <v>635</v>
      </c>
      <c r="T15" s="176" t="s">
        <v>536</v>
      </c>
      <c r="U15" s="176" t="s">
        <v>536</v>
      </c>
      <c r="V15" s="176" t="s">
        <v>495</v>
      </c>
      <c r="W15" s="176" t="s">
        <v>495</v>
      </c>
      <c r="X15" s="176" t="s">
        <v>731</v>
      </c>
      <c r="Z15" s="176" t="s">
        <v>722</v>
      </c>
      <c r="AA15" s="176" t="s">
        <v>541</v>
      </c>
      <c r="AB15" s="176" t="s">
        <v>549</v>
      </c>
      <c r="AD15" s="176" t="s">
        <v>630</v>
      </c>
      <c r="AE15" s="176" t="s">
        <v>510</v>
      </c>
    </row>
    <row r="16" spans="1:61">
      <c r="B16" s="176" t="s">
        <v>629</v>
      </c>
      <c r="C16" s="176" t="s">
        <v>527</v>
      </c>
      <c r="E16" s="176" t="s">
        <v>635</v>
      </c>
      <c r="F16" s="176" t="s">
        <v>534</v>
      </c>
      <c r="G16" s="176" t="s">
        <v>209</v>
      </c>
      <c r="H16" s="176" t="s">
        <v>690</v>
      </c>
      <c r="I16" s="176" t="s">
        <v>494</v>
      </c>
      <c r="J16" s="176" t="s">
        <v>687</v>
      </c>
      <c r="M16" s="176" t="s">
        <v>541</v>
      </c>
      <c r="N16" s="176" t="s">
        <v>687</v>
      </c>
      <c r="O16" s="176" t="s">
        <v>529</v>
      </c>
      <c r="P16" s="176" t="s">
        <v>632</v>
      </c>
      <c r="Q16" s="176" t="s">
        <v>755</v>
      </c>
      <c r="S16" s="176" t="s">
        <v>753</v>
      </c>
      <c r="T16" s="176" t="s">
        <v>537</v>
      </c>
      <c r="U16" s="176" t="s">
        <v>537</v>
      </c>
      <c r="V16" s="176" t="s">
        <v>556</v>
      </c>
      <c r="W16" s="176" t="s">
        <v>723</v>
      </c>
      <c r="X16" s="176" t="s">
        <v>494</v>
      </c>
      <c r="Z16" s="176" t="s">
        <v>630</v>
      </c>
      <c r="AA16" s="176" t="s">
        <v>687</v>
      </c>
      <c r="AB16" s="176" t="s">
        <v>612</v>
      </c>
      <c r="AD16" s="176" t="s">
        <v>549</v>
      </c>
      <c r="AE16" s="176" t="s">
        <v>526</v>
      </c>
    </row>
    <row r="17" spans="2:31">
      <c r="B17" s="176" t="s">
        <v>722</v>
      </c>
      <c r="C17" s="176" t="s">
        <v>614</v>
      </c>
      <c r="E17" s="176" t="s">
        <v>636</v>
      </c>
      <c r="F17" s="176" t="s">
        <v>537</v>
      </c>
      <c r="G17" s="176" t="s">
        <v>723</v>
      </c>
      <c r="H17" s="176" t="s">
        <v>539</v>
      </c>
      <c r="I17" s="176" t="s">
        <v>714</v>
      </c>
      <c r="J17" s="176" t="s">
        <v>690</v>
      </c>
      <c r="M17" s="176" t="s">
        <v>687</v>
      </c>
      <c r="N17" s="176" t="s">
        <v>747</v>
      </c>
      <c r="O17" s="176" t="s">
        <v>508</v>
      </c>
      <c r="P17" s="176" t="s">
        <v>549</v>
      </c>
      <c r="Q17" s="176" t="s">
        <v>635</v>
      </c>
      <c r="S17" s="176" t="s">
        <v>754</v>
      </c>
      <c r="T17" s="176" t="s">
        <v>689</v>
      </c>
      <c r="U17" s="176" t="s">
        <v>689</v>
      </c>
      <c r="V17" s="176" t="s">
        <v>736</v>
      </c>
      <c r="W17" s="176" t="s">
        <v>528</v>
      </c>
      <c r="X17" s="176" t="s">
        <v>495</v>
      </c>
      <c r="Z17" s="176" t="s">
        <v>633</v>
      </c>
      <c r="AA17" s="176" t="s">
        <v>690</v>
      </c>
      <c r="AB17" s="176" t="s">
        <v>725</v>
      </c>
      <c r="AD17" s="176" t="s">
        <v>612</v>
      </c>
      <c r="AE17" s="176" t="s">
        <v>529</v>
      </c>
    </row>
    <row r="18" spans="2:31">
      <c r="B18" s="176" t="s">
        <v>528</v>
      </c>
      <c r="C18" s="176" t="s">
        <v>515</v>
      </c>
      <c r="E18" s="176" t="s">
        <v>651</v>
      </c>
      <c r="F18" s="176" t="s">
        <v>635</v>
      </c>
      <c r="G18" s="176" t="s">
        <v>724</v>
      </c>
      <c r="H18" s="176" t="s">
        <v>755</v>
      </c>
      <c r="I18" s="176" t="s">
        <v>739</v>
      </c>
      <c r="J18" s="176" t="s">
        <v>539</v>
      </c>
      <c r="M18" s="176" t="s">
        <v>690</v>
      </c>
      <c r="N18" s="176" t="s">
        <v>489</v>
      </c>
      <c r="O18" s="176" t="s">
        <v>732</v>
      </c>
      <c r="P18" s="176" t="s">
        <v>612</v>
      </c>
      <c r="Q18" s="176" t="s">
        <v>651</v>
      </c>
      <c r="S18" s="176" t="s">
        <v>636</v>
      </c>
      <c r="T18" s="176" t="s">
        <v>538</v>
      </c>
      <c r="U18" s="176" t="s">
        <v>538</v>
      </c>
      <c r="V18" s="176" t="s">
        <v>580</v>
      </c>
      <c r="W18" s="176" t="s">
        <v>515</v>
      </c>
      <c r="X18" s="176" t="s">
        <v>496</v>
      </c>
      <c r="Z18" s="176" t="s">
        <v>519</v>
      </c>
      <c r="AA18" s="176" t="s">
        <v>539</v>
      </c>
      <c r="AB18" s="176" t="s">
        <v>733</v>
      </c>
      <c r="AD18" s="176" t="s">
        <v>524</v>
      </c>
      <c r="AE18" s="176" t="s">
        <v>528</v>
      </c>
    </row>
    <row r="19" spans="2:31">
      <c r="B19" s="176" t="s">
        <v>530</v>
      </c>
      <c r="C19" s="176" t="s">
        <v>510</v>
      </c>
      <c r="E19" s="176" t="s">
        <v>650</v>
      </c>
      <c r="F19" s="176" t="s">
        <v>636</v>
      </c>
      <c r="G19" s="176" t="s">
        <v>509</v>
      </c>
      <c r="H19" s="176" t="s">
        <v>540</v>
      </c>
      <c r="I19" s="176" t="s">
        <v>488</v>
      </c>
      <c r="J19" s="176" t="s">
        <v>755</v>
      </c>
      <c r="M19" s="176" t="s">
        <v>539</v>
      </c>
      <c r="N19" s="176" t="s">
        <v>545</v>
      </c>
      <c r="O19" s="176" t="s">
        <v>638</v>
      </c>
      <c r="P19" s="176" t="s">
        <v>725</v>
      </c>
      <c r="Q19" s="176" t="s">
        <v>535</v>
      </c>
      <c r="S19" s="176" t="s">
        <v>651</v>
      </c>
      <c r="T19" s="176" t="s">
        <v>541</v>
      </c>
      <c r="U19" s="176" t="s">
        <v>541</v>
      </c>
      <c r="V19" s="176" t="s">
        <v>485</v>
      </c>
      <c r="W19" s="176" t="s">
        <v>497</v>
      </c>
      <c r="X19" s="176" t="s">
        <v>736</v>
      </c>
      <c r="Z19" s="176" t="s">
        <v>629</v>
      </c>
      <c r="AA19" s="176" t="s">
        <v>755</v>
      </c>
      <c r="AB19" s="176" t="s">
        <v>724</v>
      </c>
      <c r="AD19" s="176" t="s">
        <v>525</v>
      </c>
      <c r="AE19" s="176" t="s">
        <v>530</v>
      </c>
    </row>
    <row r="20" spans="2:31">
      <c r="B20" s="176" t="s">
        <v>529</v>
      </c>
      <c r="C20" s="176" t="s">
        <v>483</v>
      </c>
      <c r="E20" s="176" t="s">
        <v>534</v>
      </c>
      <c r="F20" s="176" t="s">
        <v>651</v>
      </c>
      <c r="G20" s="176" t="s">
        <v>517</v>
      </c>
      <c r="H20" s="176" t="s">
        <v>756</v>
      </c>
      <c r="I20" s="176" t="s">
        <v>710</v>
      </c>
      <c r="J20" s="176" t="s">
        <v>540</v>
      </c>
      <c r="M20" s="176" t="s">
        <v>755</v>
      </c>
      <c r="N20" s="176" t="s">
        <v>544</v>
      </c>
      <c r="O20" s="176" t="s">
        <v>499</v>
      </c>
      <c r="P20" s="176" t="s">
        <v>493</v>
      </c>
      <c r="Q20" s="176" t="s">
        <v>536</v>
      </c>
      <c r="S20" s="176" t="s">
        <v>650</v>
      </c>
      <c r="T20" s="176" t="s">
        <v>687</v>
      </c>
      <c r="U20" s="176" t="s">
        <v>687</v>
      </c>
      <c r="V20" s="176" t="s">
        <v>491</v>
      </c>
      <c r="W20" s="176" t="s">
        <v>687</v>
      </c>
      <c r="X20" s="176" t="s">
        <v>739</v>
      </c>
      <c r="Z20" s="176" t="s">
        <v>549</v>
      </c>
      <c r="AA20" s="176" t="s">
        <v>540</v>
      </c>
      <c r="AB20" s="176" t="s">
        <v>632</v>
      </c>
      <c r="AD20" s="176" t="s">
        <v>733</v>
      </c>
      <c r="AE20" s="176" t="s">
        <v>614</v>
      </c>
    </row>
    <row r="21" spans="2:31">
      <c r="B21" s="176" t="s">
        <v>526</v>
      </c>
      <c r="C21" s="176" t="s">
        <v>512</v>
      </c>
      <c r="E21" s="176" t="s">
        <v>535</v>
      </c>
      <c r="F21" s="176" t="s">
        <v>535</v>
      </c>
      <c r="G21" s="176" t="s">
        <v>533</v>
      </c>
      <c r="H21" s="176" t="s">
        <v>729</v>
      </c>
      <c r="I21" s="176" t="s">
        <v>490</v>
      </c>
      <c r="J21" s="176" t="s">
        <v>756</v>
      </c>
      <c r="M21" s="176" t="s">
        <v>540</v>
      </c>
      <c r="N21" s="176" t="s">
        <v>728</v>
      </c>
      <c r="O21" s="176" t="s">
        <v>505</v>
      </c>
      <c r="P21" s="176" t="s">
        <v>548</v>
      </c>
      <c r="Q21" s="176" t="s">
        <v>537</v>
      </c>
      <c r="S21" s="176" t="s">
        <v>534</v>
      </c>
      <c r="T21" s="176" t="s">
        <v>690</v>
      </c>
      <c r="U21" s="176" t="s">
        <v>690</v>
      </c>
      <c r="V21" s="176" t="s">
        <v>490</v>
      </c>
      <c r="W21" s="176" t="s">
        <v>747</v>
      </c>
      <c r="X21" s="176" t="s">
        <v>737</v>
      </c>
      <c r="Z21" s="176" t="s">
        <v>523</v>
      </c>
      <c r="AA21" s="176" t="s">
        <v>756</v>
      </c>
      <c r="AB21" s="176" t="s">
        <v>630</v>
      </c>
      <c r="AD21" s="176" t="s">
        <v>725</v>
      </c>
      <c r="AE21" s="176" t="s">
        <v>509</v>
      </c>
    </row>
    <row r="22" spans="2:31">
      <c r="B22" s="176" t="s">
        <v>527</v>
      </c>
      <c r="C22" s="176" t="s">
        <v>631</v>
      </c>
      <c r="E22" s="176" t="s">
        <v>536</v>
      </c>
      <c r="F22" s="176" t="s">
        <v>536</v>
      </c>
      <c r="G22" s="176" t="s">
        <v>529</v>
      </c>
      <c r="H22" s="176" t="s">
        <v>542</v>
      </c>
      <c r="I22" s="176" t="s">
        <v>694</v>
      </c>
      <c r="J22" s="176" t="s">
        <v>729</v>
      </c>
      <c r="M22" s="176" t="s">
        <v>756</v>
      </c>
      <c r="N22" s="176" t="s">
        <v>518</v>
      </c>
      <c r="O22" s="176" t="s">
        <v>498</v>
      </c>
      <c r="P22" s="176" t="s">
        <v>487</v>
      </c>
      <c r="Q22" s="176" t="s">
        <v>689</v>
      </c>
      <c r="S22" s="176" t="s">
        <v>535</v>
      </c>
      <c r="T22" s="176" t="s">
        <v>539</v>
      </c>
      <c r="U22" s="176" t="s">
        <v>539</v>
      </c>
      <c r="V22" s="176" t="s">
        <v>494</v>
      </c>
      <c r="W22" s="176" t="s">
        <v>489</v>
      </c>
      <c r="X22" s="176" t="s">
        <v>485</v>
      </c>
      <c r="Z22" s="176" t="s">
        <v>725</v>
      </c>
      <c r="AA22" s="176" t="s">
        <v>729</v>
      </c>
      <c r="AB22" s="176" t="s">
        <v>517</v>
      </c>
      <c r="AD22" s="176" t="s">
        <v>632</v>
      </c>
      <c r="AE22" s="176" t="s">
        <v>511</v>
      </c>
    </row>
    <row r="23" spans="2:31">
      <c r="B23" s="176" t="s">
        <v>614</v>
      </c>
      <c r="C23" s="176" t="s">
        <v>511</v>
      </c>
      <c r="E23" s="176" t="s">
        <v>537</v>
      </c>
      <c r="F23" s="176" t="s">
        <v>689</v>
      </c>
      <c r="G23" s="176" t="s">
        <v>526</v>
      </c>
      <c r="H23" s="176" t="s">
        <v>543</v>
      </c>
      <c r="I23" s="176" t="s">
        <v>737</v>
      </c>
      <c r="J23" s="176" t="s">
        <v>542</v>
      </c>
      <c r="M23" s="176" t="s">
        <v>729</v>
      </c>
      <c r="N23" s="176" t="s">
        <v>522</v>
      </c>
      <c r="O23" s="176" t="s">
        <v>616</v>
      </c>
      <c r="P23" s="176" t="s">
        <v>522</v>
      </c>
      <c r="Q23" s="176" t="s">
        <v>687</v>
      </c>
      <c r="S23" s="176" t="s">
        <v>536</v>
      </c>
      <c r="T23" s="176" t="s">
        <v>755</v>
      </c>
      <c r="U23" s="176" t="s">
        <v>540</v>
      </c>
      <c r="V23" s="176" t="s">
        <v>714</v>
      </c>
      <c r="W23" s="176" t="s">
        <v>613</v>
      </c>
      <c r="X23" s="176" t="s">
        <v>580</v>
      </c>
      <c r="Z23" s="176" t="s">
        <v>612</v>
      </c>
      <c r="AA23" s="176" t="s">
        <v>542</v>
      </c>
      <c r="AB23" s="176" t="s">
        <v>532</v>
      </c>
      <c r="AD23" s="176" t="s">
        <v>723</v>
      </c>
      <c r="AE23" s="176" t="s">
        <v>631</v>
      </c>
    </row>
    <row r="24" spans="2:31">
      <c r="B24" s="176" t="s">
        <v>513</v>
      </c>
      <c r="C24" s="176" t="s">
        <v>514</v>
      </c>
      <c r="E24" s="176" t="s">
        <v>689</v>
      </c>
      <c r="F24" s="176" t="s">
        <v>538</v>
      </c>
      <c r="G24" s="176" t="s">
        <v>528</v>
      </c>
      <c r="H24" s="176" t="s">
        <v>730</v>
      </c>
      <c r="I24" s="176" t="s">
        <v>747</v>
      </c>
      <c r="J24" s="176" t="s">
        <v>543</v>
      </c>
      <c r="M24" s="176" t="s">
        <v>542</v>
      </c>
      <c r="N24" s="176" t="s">
        <v>547</v>
      </c>
      <c r="O24" s="176" t="s">
        <v>520</v>
      </c>
      <c r="P24" s="176" t="s">
        <v>524</v>
      </c>
      <c r="Q24" s="176" t="s">
        <v>690</v>
      </c>
      <c r="S24" s="176" t="s">
        <v>537</v>
      </c>
      <c r="T24" s="176" t="s">
        <v>540</v>
      </c>
      <c r="U24" s="176" t="s">
        <v>756</v>
      </c>
      <c r="V24" s="176" t="s">
        <v>713</v>
      </c>
      <c r="W24" s="176" t="s">
        <v>726</v>
      </c>
      <c r="X24" s="176" t="s">
        <v>713</v>
      </c>
      <c r="Z24" s="176" t="s">
        <v>632</v>
      </c>
      <c r="AA24" s="176" t="s">
        <v>543</v>
      </c>
      <c r="AB24" s="176" t="s">
        <v>209</v>
      </c>
      <c r="AD24" s="176" t="s">
        <v>532</v>
      </c>
      <c r="AE24" s="176" t="s">
        <v>516</v>
      </c>
    </row>
    <row r="25" spans="2:31">
      <c r="B25" s="176" t="s">
        <v>511</v>
      </c>
      <c r="C25" s="176" t="s">
        <v>513</v>
      </c>
      <c r="E25" s="176" t="s">
        <v>538</v>
      </c>
      <c r="F25" s="176" t="s">
        <v>541</v>
      </c>
      <c r="G25" s="176" t="s">
        <v>502</v>
      </c>
      <c r="H25" s="176" t="s">
        <v>753</v>
      </c>
      <c r="I25" s="176" t="s">
        <v>741</v>
      </c>
      <c r="J25" s="176" t="s">
        <v>730</v>
      </c>
      <c r="M25" s="176" t="s">
        <v>543</v>
      </c>
      <c r="N25" s="176" t="s">
        <v>546</v>
      </c>
      <c r="O25" s="176" t="s">
        <v>734</v>
      </c>
      <c r="P25" s="176" t="s">
        <v>525</v>
      </c>
      <c r="Q25" s="176" t="s">
        <v>540</v>
      </c>
      <c r="S25" s="176" t="s">
        <v>689</v>
      </c>
      <c r="T25" s="176" t="s">
        <v>756</v>
      </c>
      <c r="U25" s="176" t="s">
        <v>729</v>
      </c>
      <c r="V25" s="176" t="s">
        <v>738</v>
      </c>
      <c r="W25" s="176" t="s">
        <v>545</v>
      </c>
      <c r="X25" s="176" t="s">
        <v>714</v>
      </c>
      <c r="Z25" s="176" t="s">
        <v>521</v>
      </c>
      <c r="AA25" s="176" t="s">
        <v>730</v>
      </c>
      <c r="AB25" s="176" t="s">
        <v>723</v>
      </c>
      <c r="AD25" s="176" t="s">
        <v>533</v>
      </c>
      <c r="AE25" s="176" t="s">
        <v>518</v>
      </c>
    </row>
    <row r="26" spans="2:31">
      <c r="B26" s="176" t="s">
        <v>631</v>
      </c>
      <c r="C26" s="176" t="s">
        <v>723</v>
      </c>
      <c r="E26" s="176" t="s">
        <v>541</v>
      </c>
      <c r="F26" s="176" t="s">
        <v>687</v>
      </c>
      <c r="G26" s="176" t="s">
        <v>501</v>
      </c>
      <c r="H26" s="176" t="s">
        <v>754</v>
      </c>
      <c r="I26" s="176" t="s">
        <v>713</v>
      </c>
      <c r="J26" s="176" t="s">
        <v>521</v>
      </c>
      <c r="M26" s="176" t="s">
        <v>730</v>
      </c>
      <c r="N26" s="176" t="s">
        <v>615</v>
      </c>
      <c r="O26" s="176" t="s">
        <v>501</v>
      </c>
      <c r="P26" s="176" t="s">
        <v>733</v>
      </c>
      <c r="Q26" s="176" t="s">
        <v>756</v>
      </c>
      <c r="S26" s="176" t="s">
        <v>538</v>
      </c>
      <c r="T26" s="176" t="s">
        <v>729</v>
      </c>
      <c r="U26" s="176" t="s">
        <v>542</v>
      </c>
      <c r="V26" s="176" t="s">
        <v>694</v>
      </c>
      <c r="W26" s="176" t="s">
        <v>634</v>
      </c>
      <c r="X26" s="176" t="s">
        <v>710</v>
      </c>
      <c r="Z26" s="176" t="s">
        <v>545</v>
      </c>
      <c r="AA26" s="176" t="s">
        <v>487</v>
      </c>
      <c r="AB26" s="176" t="s">
        <v>545</v>
      </c>
      <c r="AD26" s="176" t="s">
        <v>545</v>
      </c>
      <c r="AE26" s="176" t="s">
        <v>519</v>
      </c>
    </row>
    <row r="27" spans="2:31">
      <c r="B27" s="176" t="s">
        <v>516</v>
      </c>
      <c r="C27" s="176" t="s">
        <v>509</v>
      </c>
      <c r="E27" s="176" t="s">
        <v>687</v>
      </c>
      <c r="F27" s="176" t="s">
        <v>690</v>
      </c>
      <c r="G27" s="176" t="s">
        <v>735</v>
      </c>
      <c r="H27" s="176" t="s">
        <v>483</v>
      </c>
      <c r="I27" s="176" t="s">
        <v>742</v>
      </c>
      <c r="J27" s="176" t="s">
        <v>541</v>
      </c>
      <c r="M27" s="176" t="s">
        <v>753</v>
      </c>
      <c r="N27" s="176" t="s">
        <v>649</v>
      </c>
      <c r="O27" s="176" t="s">
        <v>503</v>
      </c>
      <c r="P27" s="176" t="s">
        <v>633</v>
      </c>
      <c r="Q27" s="176" t="s">
        <v>729</v>
      </c>
      <c r="S27" s="176" t="s">
        <v>541</v>
      </c>
      <c r="T27" s="176" t="s">
        <v>542</v>
      </c>
      <c r="U27" s="176" t="s">
        <v>543</v>
      </c>
      <c r="V27" s="176" t="s">
        <v>737</v>
      </c>
      <c r="W27" s="176" t="s">
        <v>544</v>
      </c>
      <c r="X27" s="176" t="s">
        <v>493</v>
      </c>
      <c r="Z27" s="176" t="s">
        <v>546</v>
      </c>
      <c r="AA27" s="176" t="s">
        <v>548</v>
      </c>
      <c r="AB27" s="176" t="s">
        <v>546</v>
      </c>
      <c r="AD27" s="176" t="s">
        <v>546</v>
      </c>
      <c r="AE27" s="176" t="s">
        <v>523</v>
      </c>
    </row>
    <row r="28" spans="2:31">
      <c r="B28" s="176" t="s">
        <v>514</v>
      </c>
      <c r="C28" s="176" t="s">
        <v>722</v>
      </c>
      <c r="E28" s="176" t="s">
        <v>690</v>
      </c>
      <c r="F28" s="176" t="s">
        <v>729</v>
      </c>
      <c r="G28" s="176" t="s">
        <v>615</v>
      </c>
      <c r="H28" s="176" t="s">
        <v>486</v>
      </c>
      <c r="I28" s="176" t="s">
        <v>746</v>
      </c>
      <c r="J28" s="176" t="s">
        <v>610</v>
      </c>
      <c r="M28" s="176" t="s">
        <v>754</v>
      </c>
      <c r="N28" s="176" t="s">
        <v>713</v>
      </c>
      <c r="O28" s="176" t="s">
        <v>502</v>
      </c>
      <c r="P28" s="176" t="s">
        <v>530</v>
      </c>
      <c r="Q28" s="176" t="s">
        <v>542</v>
      </c>
      <c r="S28" s="176" t="s">
        <v>687</v>
      </c>
      <c r="T28" s="176" t="s">
        <v>543</v>
      </c>
      <c r="U28" s="176" t="s">
        <v>730</v>
      </c>
      <c r="V28" s="176" t="s">
        <v>488</v>
      </c>
      <c r="W28" s="176" t="s">
        <v>728</v>
      </c>
      <c r="X28" s="176" t="s">
        <v>619</v>
      </c>
      <c r="Z28" s="176" t="s">
        <v>727</v>
      </c>
      <c r="AA28" s="176" t="s">
        <v>488</v>
      </c>
      <c r="AB28" s="176" t="s">
        <v>727</v>
      </c>
      <c r="AD28" s="176" t="s">
        <v>727</v>
      </c>
      <c r="AE28" s="176" t="s">
        <v>522</v>
      </c>
    </row>
    <row r="29" spans="2:31">
      <c r="B29" s="176" t="s">
        <v>512</v>
      </c>
      <c r="C29" s="176" t="s">
        <v>532</v>
      </c>
      <c r="E29" s="176" t="s">
        <v>542</v>
      </c>
      <c r="F29" s="176" t="s">
        <v>542</v>
      </c>
      <c r="G29" s="176" t="s">
        <v>503</v>
      </c>
      <c r="H29" s="176" t="s">
        <v>580</v>
      </c>
      <c r="I29" s="176" t="s">
        <v>619</v>
      </c>
      <c r="J29" s="176" t="s">
        <v>504</v>
      </c>
      <c r="M29" s="176" t="s">
        <v>544</v>
      </c>
      <c r="N29" s="176" t="s">
        <v>483</v>
      </c>
      <c r="O29" s="176" t="s">
        <v>615</v>
      </c>
      <c r="P29" s="176" t="s">
        <v>528</v>
      </c>
      <c r="Q29" s="176" t="s">
        <v>543</v>
      </c>
      <c r="S29" s="176" t="s">
        <v>690</v>
      </c>
      <c r="T29" s="176" t="s">
        <v>617</v>
      </c>
      <c r="U29" s="176" t="s">
        <v>617</v>
      </c>
      <c r="V29" s="176" t="s">
        <v>489</v>
      </c>
      <c r="W29" s="176" t="s">
        <v>518</v>
      </c>
      <c r="X29" s="176" t="s">
        <v>484</v>
      </c>
      <c r="Z29" s="176" t="s">
        <v>712</v>
      </c>
      <c r="AA29" s="176" t="s">
        <v>489</v>
      </c>
      <c r="AB29" s="176" t="s">
        <v>712</v>
      </c>
      <c r="AD29" s="176" t="s">
        <v>712</v>
      </c>
      <c r="AE29" s="176" t="s">
        <v>549</v>
      </c>
    </row>
    <row r="30" spans="2:31">
      <c r="B30" s="176" t="s">
        <v>209</v>
      </c>
      <c r="C30" s="176" t="s">
        <v>533</v>
      </c>
      <c r="E30" s="176" t="s">
        <v>543</v>
      </c>
      <c r="F30" s="176" t="s">
        <v>543</v>
      </c>
      <c r="G30" s="176" t="s">
        <v>734</v>
      </c>
      <c r="H30" s="176" t="s">
        <v>556</v>
      </c>
      <c r="I30" s="176" t="s">
        <v>489</v>
      </c>
      <c r="J30" s="176" t="s">
        <v>726</v>
      </c>
      <c r="M30" s="176" t="s">
        <v>546</v>
      </c>
      <c r="N30" s="176" t="s">
        <v>782</v>
      </c>
      <c r="O30" s="176" t="s">
        <v>618</v>
      </c>
      <c r="P30" s="176" t="s">
        <v>526</v>
      </c>
      <c r="Q30" s="176" t="s">
        <v>521</v>
      </c>
      <c r="S30" s="176" t="s">
        <v>539</v>
      </c>
      <c r="T30" s="176" t="s">
        <v>544</v>
      </c>
      <c r="U30" s="176" t="s">
        <v>544</v>
      </c>
      <c r="V30" s="176" t="s">
        <v>619</v>
      </c>
      <c r="W30" s="176" t="s">
        <v>522</v>
      </c>
      <c r="X30" s="176" t="s">
        <v>483</v>
      </c>
      <c r="Z30" s="176" t="s">
        <v>617</v>
      </c>
      <c r="AA30" s="176" t="s">
        <v>490</v>
      </c>
      <c r="AB30" s="176" t="s">
        <v>617</v>
      </c>
      <c r="AD30" s="176" t="s">
        <v>617</v>
      </c>
      <c r="AE30" s="176" t="s">
        <v>612</v>
      </c>
    </row>
    <row r="31" spans="2:31">
      <c r="B31" s="176" t="s">
        <v>632</v>
      </c>
      <c r="C31" s="176" t="s">
        <v>517</v>
      </c>
      <c r="E31" s="176" t="s">
        <v>521</v>
      </c>
      <c r="F31" s="176" t="s">
        <v>617</v>
      </c>
      <c r="G31" s="176" t="s">
        <v>545</v>
      </c>
      <c r="H31" s="176" t="s">
        <v>485</v>
      </c>
      <c r="I31" s="176" t="s">
        <v>487</v>
      </c>
      <c r="J31" s="176" t="s">
        <v>506</v>
      </c>
      <c r="M31" s="176" t="s">
        <v>727</v>
      </c>
      <c r="N31" s="176" t="s">
        <v>487</v>
      </c>
      <c r="O31" s="176" t="s">
        <v>735</v>
      </c>
      <c r="P31" s="176" t="s">
        <v>613</v>
      </c>
      <c r="Q31" s="176" t="s">
        <v>617</v>
      </c>
      <c r="S31" s="176" t="s">
        <v>755</v>
      </c>
      <c r="T31" s="176" t="s">
        <v>545</v>
      </c>
      <c r="U31" s="176" t="s">
        <v>545</v>
      </c>
      <c r="V31" s="176" t="s">
        <v>634</v>
      </c>
      <c r="W31" s="176" t="s">
        <v>499</v>
      </c>
      <c r="X31" s="176" t="s">
        <v>649</v>
      </c>
      <c r="Z31" s="176" t="s">
        <v>544</v>
      </c>
      <c r="AA31" s="176" t="s">
        <v>741</v>
      </c>
      <c r="AB31" s="176" t="s">
        <v>544</v>
      </c>
      <c r="AD31" s="176" t="s">
        <v>544</v>
      </c>
      <c r="AE31" s="176" t="s">
        <v>525</v>
      </c>
    </row>
    <row r="32" spans="2:31">
      <c r="B32" s="176" t="s">
        <v>510</v>
      </c>
      <c r="C32" s="176" t="s">
        <v>733</v>
      </c>
      <c r="E32" s="176" t="s">
        <v>617</v>
      </c>
      <c r="F32" s="176" t="s">
        <v>544</v>
      </c>
      <c r="G32" s="176" t="s">
        <v>546</v>
      </c>
      <c r="H32" s="176" t="s">
        <v>491</v>
      </c>
      <c r="I32" s="176" t="s">
        <v>484</v>
      </c>
      <c r="J32" s="176" t="s">
        <v>507</v>
      </c>
      <c r="M32" s="176" t="s">
        <v>712</v>
      </c>
      <c r="N32" s="176" t="s">
        <v>503</v>
      </c>
      <c r="O32" s="176" t="s">
        <v>521</v>
      </c>
      <c r="P32" s="176" t="s">
        <v>724</v>
      </c>
      <c r="Q32" s="176" t="s">
        <v>544</v>
      </c>
      <c r="S32" s="176" t="s">
        <v>540</v>
      </c>
      <c r="T32" s="176" t="s">
        <v>546</v>
      </c>
      <c r="U32" s="176" t="s">
        <v>546</v>
      </c>
      <c r="V32" s="176" t="s">
        <v>508</v>
      </c>
      <c r="W32" s="176" t="s">
        <v>547</v>
      </c>
      <c r="X32" s="176" t="s">
        <v>532</v>
      </c>
      <c r="Z32" s="176" t="s">
        <v>728</v>
      </c>
      <c r="AA32" s="176" t="s">
        <v>491</v>
      </c>
      <c r="AB32" s="176" t="s">
        <v>500</v>
      </c>
      <c r="AD32" s="176" t="s">
        <v>500</v>
      </c>
      <c r="AE32" s="176" t="s">
        <v>725</v>
      </c>
    </row>
    <row r="33" spans="2:31">
      <c r="B33" s="176" t="s">
        <v>509</v>
      </c>
      <c r="C33" s="176" t="s">
        <v>546</v>
      </c>
      <c r="E33" s="176" t="s">
        <v>544</v>
      </c>
      <c r="F33" s="176" t="s">
        <v>545</v>
      </c>
      <c r="G33" s="176" t="s">
        <v>727</v>
      </c>
      <c r="H33" s="176" t="s">
        <v>737</v>
      </c>
      <c r="I33" s="176" t="s">
        <v>649</v>
      </c>
      <c r="J33" s="176" t="s">
        <v>611</v>
      </c>
      <c r="M33" s="176" t="s">
        <v>500</v>
      </c>
      <c r="N33" s="176" t="s">
        <v>502</v>
      </c>
      <c r="O33" s="176" t="s">
        <v>630</v>
      </c>
      <c r="P33" s="176" t="s">
        <v>630</v>
      </c>
      <c r="Q33" s="176" t="s">
        <v>545</v>
      </c>
      <c r="S33" s="176" t="s">
        <v>756</v>
      </c>
      <c r="T33" s="176" t="s">
        <v>500</v>
      </c>
      <c r="U33" s="176" t="s">
        <v>500</v>
      </c>
      <c r="V33" s="176" t="s">
        <v>611</v>
      </c>
      <c r="W33" s="176" t="s">
        <v>546</v>
      </c>
      <c r="X33" s="176" t="s">
        <v>533</v>
      </c>
      <c r="Z33" s="176" t="s">
        <v>500</v>
      </c>
      <c r="AA33" s="176" t="s">
        <v>746</v>
      </c>
      <c r="AB33" s="176" t="s">
        <v>728</v>
      </c>
      <c r="AD33" s="176" t="s">
        <v>728</v>
      </c>
      <c r="AE33" s="176" t="s">
        <v>524</v>
      </c>
    </row>
    <row r="34" spans="2:31">
      <c r="B34" s="176" t="s">
        <v>723</v>
      </c>
      <c r="C34" s="176" t="s">
        <v>501</v>
      </c>
      <c r="E34" s="176" t="s">
        <v>545</v>
      </c>
      <c r="F34" s="176" t="s">
        <v>546</v>
      </c>
      <c r="G34" s="176" t="s">
        <v>712</v>
      </c>
      <c r="H34" s="176" t="s">
        <v>736</v>
      </c>
      <c r="I34" s="176" t="s">
        <v>548</v>
      </c>
      <c r="J34" s="176" t="s">
        <v>634</v>
      </c>
      <c r="M34" s="176" t="s">
        <v>728</v>
      </c>
      <c r="N34" s="176" t="s">
        <v>635</v>
      </c>
      <c r="O34" s="176" t="s">
        <v>518</v>
      </c>
      <c r="P34" s="176" t="s">
        <v>533</v>
      </c>
      <c r="Q34" s="176" t="s">
        <v>546</v>
      </c>
      <c r="S34" s="176" t="s">
        <v>729</v>
      </c>
      <c r="T34" s="176" t="s">
        <v>728</v>
      </c>
      <c r="U34" s="176" t="s">
        <v>728</v>
      </c>
      <c r="V34" s="176" t="s">
        <v>527</v>
      </c>
      <c r="W34" s="176" t="s">
        <v>615</v>
      </c>
      <c r="X34" s="176" t="s">
        <v>517</v>
      </c>
      <c r="Z34" s="176" t="s">
        <v>533</v>
      </c>
      <c r="AA34" s="176" t="s">
        <v>742</v>
      </c>
      <c r="AB34" s="176" t="s">
        <v>610</v>
      </c>
      <c r="AD34" s="176" t="s">
        <v>610</v>
      </c>
      <c r="AE34" s="176" t="s">
        <v>733</v>
      </c>
    </row>
    <row r="35" spans="2:31">
      <c r="B35" s="176" t="s">
        <v>724</v>
      </c>
      <c r="C35" s="176" t="s">
        <v>712</v>
      </c>
      <c r="E35" s="176" t="s">
        <v>546</v>
      </c>
      <c r="F35" s="176" t="s">
        <v>500</v>
      </c>
      <c r="G35" s="176" t="s">
        <v>617</v>
      </c>
      <c r="H35" s="176" t="s">
        <v>497</v>
      </c>
      <c r="I35" s="176" t="s">
        <v>635</v>
      </c>
      <c r="J35" s="176" t="s">
        <v>549</v>
      </c>
      <c r="M35" s="176" t="s">
        <v>483</v>
      </c>
      <c r="N35" s="176" t="s">
        <v>530</v>
      </c>
      <c r="O35" s="176" t="s">
        <v>519</v>
      </c>
      <c r="P35" s="176" t="s">
        <v>517</v>
      </c>
      <c r="Q35" s="176" t="s">
        <v>728</v>
      </c>
      <c r="S35" s="176" t="s">
        <v>542</v>
      </c>
      <c r="T35" s="176" t="s">
        <v>727</v>
      </c>
      <c r="U35" s="176" t="s">
        <v>727</v>
      </c>
      <c r="V35" s="176" t="s">
        <v>513</v>
      </c>
      <c r="W35" s="176" t="s">
        <v>526</v>
      </c>
      <c r="X35" s="176" t="s">
        <v>635</v>
      </c>
      <c r="Z35" s="176" t="s">
        <v>517</v>
      </c>
      <c r="AA35" s="176" t="s">
        <v>492</v>
      </c>
      <c r="AB35" s="176" t="s">
        <v>504</v>
      </c>
      <c r="AD35" s="176" t="s">
        <v>504</v>
      </c>
      <c r="AE35" s="176" t="s">
        <v>521</v>
      </c>
    </row>
    <row r="36" spans="2:31">
      <c r="B36" s="176" t="s">
        <v>613</v>
      </c>
      <c r="C36" s="176" t="s">
        <v>617</v>
      </c>
      <c r="E36" s="176" t="s">
        <v>500</v>
      </c>
      <c r="F36" s="176" t="s">
        <v>728</v>
      </c>
      <c r="G36" s="176" t="s">
        <v>544</v>
      </c>
      <c r="H36" s="176" t="s">
        <v>744</v>
      </c>
      <c r="I36" s="176" t="s">
        <v>753</v>
      </c>
      <c r="J36" s="176" t="s">
        <v>612</v>
      </c>
      <c r="M36" s="176" t="s">
        <v>486</v>
      </c>
      <c r="N36" s="176" t="s">
        <v>650</v>
      </c>
      <c r="O36" s="176" t="s">
        <v>722</v>
      </c>
      <c r="P36" s="176" t="s">
        <v>545</v>
      </c>
      <c r="Q36" s="176" t="s">
        <v>727</v>
      </c>
      <c r="S36" s="176" t="s">
        <v>543</v>
      </c>
      <c r="T36" s="176" t="s">
        <v>712</v>
      </c>
      <c r="U36" s="176" t="s">
        <v>712</v>
      </c>
      <c r="V36" s="176" t="s">
        <v>516</v>
      </c>
      <c r="W36" s="176" t="s">
        <v>610</v>
      </c>
      <c r="X36" s="176" t="s">
        <v>753</v>
      </c>
      <c r="Z36" s="176" t="s">
        <v>547</v>
      </c>
      <c r="AA36" s="176" t="s">
        <v>738</v>
      </c>
      <c r="AB36" s="176" t="s">
        <v>726</v>
      </c>
      <c r="AD36" s="176" t="s">
        <v>726</v>
      </c>
      <c r="AE36" s="176" t="s">
        <v>520</v>
      </c>
    </row>
    <row r="37" spans="2:31">
      <c r="B37" s="176" t="s">
        <v>533</v>
      </c>
      <c r="C37" s="176" t="s">
        <v>544</v>
      </c>
      <c r="E37" s="176" t="s">
        <v>728</v>
      </c>
      <c r="F37" s="176" t="s">
        <v>727</v>
      </c>
      <c r="G37" s="176" t="s">
        <v>500</v>
      </c>
      <c r="H37" s="176" t="s">
        <v>496</v>
      </c>
      <c r="I37" s="176" t="s">
        <v>754</v>
      </c>
      <c r="J37" s="176" t="s">
        <v>525</v>
      </c>
      <c r="M37" s="176" t="s">
        <v>547</v>
      </c>
      <c r="N37" s="176" t="s">
        <v>488</v>
      </c>
      <c r="O37" s="176" t="s">
        <v>629</v>
      </c>
      <c r="P37" s="176" t="s">
        <v>546</v>
      </c>
      <c r="Q37" s="176" t="s">
        <v>712</v>
      </c>
      <c r="S37" s="176" t="s">
        <v>730</v>
      </c>
      <c r="T37" s="176" t="s">
        <v>483</v>
      </c>
      <c r="U37" s="176" t="s">
        <v>483</v>
      </c>
      <c r="V37" s="176" t="s">
        <v>515</v>
      </c>
      <c r="W37" s="176" t="s">
        <v>649</v>
      </c>
      <c r="X37" s="176" t="s">
        <v>754</v>
      </c>
      <c r="Z37" s="176" t="s">
        <v>486</v>
      </c>
      <c r="AA37" s="176" t="s">
        <v>747</v>
      </c>
      <c r="AB37" s="176" t="s">
        <v>506</v>
      </c>
      <c r="AD37" s="176" t="s">
        <v>506</v>
      </c>
      <c r="AE37" s="176" t="s">
        <v>633</v>
      </c>
    </row>
    <row r="38" spans="2:31">
      <c r="B38" s="176" t="s">
        <v>517</v>
      </c>
      <c r="C38" s="176" t="s">
        <v>500</v>
      </c>
      <c r="E38" s="176" t="s">
        <v>727</v>
      </c>
      <c r="F38" s="176" t="s">
        <v>712</v>
      </c>
      <c r="G38" s="176" t="s">
        <v>728</v>
      </c>
      <c r="H38" s="176" t="s">
        <v>747</v>
      </c>
      <c r="I38" s="176" t="s">
        <v>636</v>
      </c>
      <c r="J38" s="176" t="s">
        <v>725</v>
      </c>
      <c r="M38" s="176" t="s">
        <v>497</v>
      </c>
      <c r="N38" s="176" t="s">
        <v>521</v>
      </c>
      <c r="O38" s="176" t="s">
        <v>549</v>
      </c>
      <c r="P38" s="176" t="s">
        <v>727</v>
      </c>
      <c r="Q38" s="176" t="s">
        <v>483</v>
      </c>
      <c r="S38" s="176" t="s">
        <v>520</v>
      </c>
      <c r="T38" s="176" t="s">
        <v>484</v>
      </c>
      <c r="U38" s="176" t="s">
        <v>484</v>
      </c>
      <c r="V38" s="176" t="s">
        <v>209</v>
      </c>
      <c r="W38" s="176" t="s">
        <v>713</v>
      </c>
      <c r="X38" s="176" t="s">
        <v>975</v>
      </c>
      <c r="Z38" s="176" t="s">
        <v>744</v>
      </c>
      <c r="AA38" s="176" t="s">
        <v>556</v>
      </c>
      <c r="AB38" s="176" t="s">
        <v>507</v>
      </c>
      <c r="AD38" s="176" t="s">
        <v>507</v>
      </c>
      <c r="AE38" s="176" t="s">
        <v>613</v>
      </c>
    </row>
    <row r="39" spans="2:31">
      <c r="B39" s="176" t="s">
        <v>532</v>
      </c>
      <c r="C39" s="176" t="s">
        <v>728</v>
      </c>
      <c r="E39" s="176" t="s">
        <v>712</v>
      </c>
      <c r="F39" s="176" t="s">
        <v>610</v>
      </c>
      <c r="G39" s="176" t="s">
        <v>635</v>
      </c>
      <c r="H39" s="176" t="s">
        <v>548</v>
      </c>
      <c r="I39" s="176" t="s">
        <v>651</v>
      </c>
      <c r="J39" s="176" t="s">
        <v>524</v>
      </c>
      <c r="M39" s="176" t="s">
        <v>744</v>
      </c>
      <c r="N39" s="176" t="s">
        <v>525</v>
      </c>
      <c r="O39" s="176" t="s">
        <v>612</v>
      </c>
      <c r="P39" s="176" t="s">
        <v>712</v>
      </c>
      <c r="Q39" s="176" t="s">
        <v>649</v>
      </c>
      <c r="S39" s="176" t="s">
        <v>486</v>
      </c>
      <c r="T39" s="176" t="s">
        <v>649</v>
      </c>
      <c r="U39" s="176" t="s">
        <v>649</v>
      </c>
      <c r="V39" s="176" t="s">
        <v>509</v>
      </c>
      <c r="W39" s="176" t="s">
        <v>483</v>
      </c>
      <c r="X39" s="176" t="s">
        <v>636</v>
      </c>
      <c r="Z39" s="176" t="s">
        <v>497</v>
      </c>
      <c r="AA39" s="176" t="s">
        <v>493</v>
      </c>
      <c r="AB39" s="176" t="s">
        <v>508</v>
      </c>
      <c r="AD39" s="176" t="s">
        <v>508</v>
      </c>
      <c r="AE39" s="176" t="s">
        <v>629</v>
      </c>
    </row>
    <row r="40" spans="2:31">
      <c r="B40" s="176" t="s">
        <v>545</v>
      </c>
      <c r="C40" s="176" t="s">
        <v>610</v>
      </c>
      <c r="E40" s="176" t="s">
        <v>610</v>
      </c>
      <c r="F40" s="176" t="s">
        <v>506</v>
      </c>
      <c r="G40" s="176" t="s">
        <v>753</v>
      </c>
      <c r="H40" s="176" t="s">
        <v>739</v>
      </c>
      <c r="I40" s="176" t="s">
        <v>650</v>
      </c>
      <c r="J40" s="176" t="s">
        <v>732</v>
      </c>
      <c r="M40" s="176" t="s">
        <v>485</v>
      </c>
      <c r="N40" s="176" t="s">
        <v>535</v>
      </c>
      <c r="O40" s="176" t="s">
        <v>525</v>
      </c>
      <c r="P40" s="176" t="s">
        <v>617</v>
      </c>
      <c r="Q40" s="176" t="s">
        <v>486</v>
      </c>
      <c r="S40" s="176" t="s">
        <v>547</v>
      </c>
      <c r="T40" s="176" t="s">
        <v>486</v>
      </c>
      <c r="U40" s="176" t="s">
        <v>486</v>
      </c>
      <c r="V40" s="176" t="s">
        <v>732</v>
      </c>
      <c r="W40" s="176" t="s">
        <v>782</v>
      </c>
      <c r="X40" s="176" t="s">
        <v>782</v>
      </c>
      <c r="Z40" s="176" t="s">
        <v>635</v>
      </c>
      <c r="AA40" s="176" t="s">
        <v>495</v>
      </c>
      <c r="AB40" s="176" t="s">
        <v>526</v>
      </c>
      <c r="AD40" s="176" t="s">
        <v>611</v>
      </c>
      <c r="AE40" s="176" t="s">
        <v>630</v>
      </c>
    </row>
    <row r="41" spans="2:31">
      <c r="B41" s="176" t="s">
        <v>546</v>
      </c>
      <c r="C41" s="176" t="s">
        <v>504</v>
      </c>
      <c r="E41" s="176" t="s">
        <v>630</v>
      </c>
      <c r="F41" s="176" t="s">
        <v>507</v>
      </c>
      <c r="G41" s="176" t="s">
        <v>754</v>
      </c>
      <c r="H41" s="176" t="s">
        <v>490</v>
      </c>
      <c r="I41" s="176" t="s">
        <v>534</v>
      </c>
      <c r="J41" s="176" t="s">
        <v>638</v>
      </c>
      <c r="M41" s="176" t="s">
        <v>491</v>
      </c>
      <c r="N41" s="176" t="s">
        <v>722</v>
      </c>
      <c r="O41" s="176" t="s">
        <v>522</v>
      </c>
      <c r="P41" s="176" t="s">
        <v>544</v>
      </c>
      <c r="Q41" s="176" t="s">
        <v>744</v>
      </c>
      <c r="S41" s="176" t="s">
        <v>744</v>
      </c>
      <c r="T41" s="176" t="s">
        <v>547</v>
      </c>
      <c r="U41" s="176" t="s">
        <v>497</v>
      </c>
      <c r="V41" s="176" t="s">
        <v>638</v>
      </c>
      <c r="W41" s="176" t="s">
        <v>487</v>
      </c>
      <c r="X41" s="176" t="s">
        <v>783</v>
      </c>
      <c r="Z41" s="176" t="s">
        <v>753</v>
      </c>
      <c r="AA41" s="176" t="s">
        <v>496</v>
      </c>
      <c r="AB41" s="176" t="s">
        <v>528</v>
      </c>
      <c r="AD41" s="176" t="s">
        <v>527</v>
      </c>
      <c r="AE41" s="176" t="s">
        <v>632</v>
      </c>
    </row>
    <row r="42" spans="2:31">
      <c r="B42" s="176" t="s">
        <v>727</v>
      </c>
      <c r="C42" s="176" t="s">
        <v>726</v>
      </c>
      <c r="E42" s="176" t="s">
        <v>508</v>
      </c>
      <c r="F42" s="176" t="s">
        <v>508</v>
      </c>
      <c r="G42" s="176" t="s">
        <v>776</v>
      </c>
      <c r="H42" s="176" t="s">
        <v>713</v>
      </c>
      <c r="I42" s="176" t="s">
        <v>535</v>
      </c>
      <c r="J42" s="176" t="s">
        <v>505</v>
      </c>
      <c r="M42" s="176" t="s">
        <v>490</v>
      </c>
      <c r="N42" s="176" t="s">
        <v>548</v>
      </c>
      <c r="O42" s="176" t="s">
        <v>524</v>
      </c>
      <c r="P42" s="176" t="s">
        <v>728</v>
      </c>
      <c r="Q42" s="176" t="s">
        <v>497</v>
      </c>
      <c r="S42" s="176" t="s">
        <v>497</v>
      </c>
      <c r="T42" s="176" t="s">
        <v>497</v>
      </c>
      <c r="U42" s="176" t="s">
        <v>744</v>
      </c>
      <c r="V42" s="176" t="s">
        <v>499</v>
      </c>
      <c r="W42" s="176" t="s">
        <v>733</v>
      </c>
      <c r="X42" s="176" t="s">
        <v>650</v>
      </c>
      <c r="Z42" s="176" t="s">
        <v>754</v>
      </c>
      <c r="AA42" s="176" t="s">
        <v>736</v>
      </c>
      <c r="AB42" s="176" t="s">
        <v>522</v>
      </c>
      <c r="AD42" s="176" t="s">
        <v>514</v>
      </c>
      <c r="AE42" s="176" t="s">
        <v>723</v>
      </c>
    </row>
    <row r="43" spans="2:31">
      <c r="B43" s="176" t="s">
        <v>712</v>
      </c>
      <c r="C43" s="176" t="s">
        <v>508</v>
      </c>
      <c r="E43" s="176" t="s">
        <v>726</v>
      </c>
      <c r="F43" s="176" t="s">
        <v>726</v>
      </c>
      <c r="G43" s="176" t="s">
        <v>636</v>
      </c>
      <c r="H43" s="176" t="s">
        <v>714</v>
      </c>
      <c r="I43" s="176" t="s">
        <v>537</v>
      </c>
      <c r="J43" s="176" t="s">
        <v>511</v>
      </c>
      <c r="M43" s="176" t="s">
        <v>580</v>
      </c>
      <c r="N43" s="176" t="s">
        <v>496</v>
      </c>
      <c r="O43" s="176" t="s">
        <v>633</v>
      </c>
      <c r="P43" s="176" t="s">
        <v>610</v>
      </c>
      <c r="Q43" s="176" t="s">
        <v>494</v>
      </c>
      <c r="S43" s="176" t="s">
        <v>485</v>
      </c>
      <c r="T43" s="176" t="s">
        <v>744</v>
      </c>
      <c r="U43" s="176" t="s">
        <v>493</v>
      </c>
      <c r="V43" s="176" t="s">
        <v>505</v>
      </c>
      <c r="W43" s="176" t="s">
        <v>503</v>
      </c>
      <c r="X43" s="176" t="s">
        <v>534</v>
      </c>
      <c r="Z43" s="176" t="s">
        <v>975</v>
      </c>
      <c r="AA43" s="176" t="s">
        <v>497</v>
      </c>
      <c r="AB43" s="176" t="s">
        <v>529</v>
      </c>
      <c r="AD43" s="176" t="s">
        <v>634</v>
      </c>
      <c r="AE43" s="176" t="s">
        <v>209</v>
      </c>
    </row>
    <row r="44" spans="2:31">
      <c r="B44" s="176" t="s">
        <v>617</v>
      </c>
      <c r="C44" s="176" t="s">
        <v>507</v>
      </c>
      <c r="E44" s="176" t="s">
        <v>504</v>
      </c>
      <c r="F44" s="176" t="s">
        <v>528</v>
      </c>
      <c r="G44" s="176" t="s">
        <v>774</v>
      </c>
      <c r="H44" s="176" t="s">
        <v>494</v>
      </c>
      <c r="I44" s="176" t="s">
        <v>689</v>
      </c>
      <c r="J44" s="176" t="s">
        <v>483</v>
      </c>
      <c r="M44" s="176" t="s">
        <v>488</v>
      </c>
      <c r="N44" s="176" t="s">
        <v>534</v>
      </c>
      <c r="O44" s="176" t="s">
        <v>723</v>
      </c>
      <c r="P44" s="176" t="s">
        <v>504</v>
      </c>
      <c r="Q44" s="176" t="s">
        <v>714</v>
      </c>
      <c r="S44" s="176" t="s">
        <v>556</v>
      </c>
      <c r="T44" s="176" t="s">
        <v>736</v>
      </c>
      <c r="U44" s="176" t="s">
        <v>485</v>
      </c>
      <c r="V44" s="176" t="s">
        <v>498</v>
      </c>
      <c r="W44" s="176" t="s">
        <v>502</v>
      </c>
      <c r="X44" s="176" t="s">
        <v>535</v>
      </c>
      <c r="Z44" s="176" t="s">
        <v>636</v>
      </c>
      <c r="AA44" s="176" t="s">
        <v>739</v>
      </c>
      <c r="AB44" s="176" t="s">
        <v>530</v>
      </c>
      <c r="AD44" s="176" t="s">
        <v>528</v>
      </c>
      <c r="AE44" s="176" t="s">
        <v>724</v>
      </c>
    </row>
    <row r="45" spans="2:31">
      <c r="B45" s="176" t="s">
        <v>544</v>
      </c>
      <c r="C45" s="176" t="s">
        <v>611</v>
      </c>
      <c r="E45" s="176" t="s">
        <v>506</v>
      </c>
      <c r="F45" s="176" t="s">
        <v>529</v>
      </c>
      <c r="G45" s="176" t="s">
        <v>775</v>
      </c>
      <c r="H45" s="176" t="s">
        <v>741</v>
      </c>
      <c r="I45" s="176" t="s">
        <v>538</v>
      </c>
      <c r="J45" s="176" t="s">
        <v>484</v>
      </c>
      <c r="M45" s="176" t="s">
        <v>739</v>
      </c>
      <c r="N45" s="176" t="s">
        <v>739</v>
      </c>
      <c r="O45" s="176" t="s">
        <v>209</v>
      </c>
      <c r="P45" s="176" t="s">
        <v>726</v>
      </c>
      <c r="Q45" s="176" t="s">
        <v>736</v>
      </c>
      <c r="S45" s="176" t="s">
        <v>580</v>
      </c>
      <c r="T45" s="176" t="s">
        <v>556</v>
      </c>
      <c r="U45" s="176" t="s">
        <v>488</v>
      </c>
      <c r="V45" s="176" t="s">
        <v>616</v>
      </c>
      <c r="W45" s="176" t="s">
        <v>635</v>
      </c>
      <c r="X45" s="176" t="s">
        <v>536</v>
      </c>
      <c r="Z45" s="176" t="s">
        <v>782</v>
      </c>
      <c r="AA45" s="176" t="s">
        <v>737</v>
      </c>
      <c r="AB45" s="176" t="s">
        <v>614</v>
      </c>
      <c r="AD45" s="176" t="s">
        <v>522</v>
      </c>
      <c r="AE45" s="176" t="s">
        <v>501</v>
      </c>
    </row>
    <row r="46" spans="2:31">
      <c r="B46" s="176" t="s">
        <v>500</v>
      </c>
      <c r="C46" s="176" t="s">
        <v>516</v>
      </c>
      <c r="E46" s="176" t="s">
        <v>507</v>
      </c>
      <c r="F46" s="176" t="s">
        <v>530</v>
      </c>
      <c r="G46" s="176" t="s">
        <v>651</v>
      </c>
      <c r="H46" s="176" t="s">
        <v>495</v>
      </c>
      <c r="I46" s="176" t="s">
        <v>541</v>
      </c>
      <c r="J46" s="176" t="s">
        <v>649</v>
      </c>
      <c r="M46" s="176" t="s">
        <v>556</v>
      </c>
      <c r="N46" s="176" t="s">
        <v>541</v>
      </c>
      <c r="O46" s="176" t="s">
        <v>632</v>
      </c>
      <c r="P46" s="176" t="s">
        <v>508</v>
      </c>
      <c r="Q46" s="176" t="s">
        <v>556</v>
      </c>
      <c r="S46" s="176" t="s">
        <v>736</v>
      </c>
      <c r="T46" s="176" t="s">
        <v>580</v>
      </c>
      <c r="U46" s="176" t="s">
        <v>580</v>
      </c>
      <c r="V46" s="176" t="s">
        <v>723</v>
      </c>
      <c r="W46" s="176" t="s">
        <v>509</v>
      </c>
      <c r="X46" s="176" t="s">
        <v>537</v>
      </c>
      <c r="Z46" s="176" t="s">
        <v>783</v>
      </c>
      <c r="AA46" s="176" t="s">
        <v>485</v>
      </c>
      <c r="AB46" s="176" t="s">
        <v>611</v>
      </c>
      <c r="AD46" s="176" t="s">
        <v>529</v>
      </c>
      <c r="AE46" s="176" t="s">
        <v>502</v>
      </c>
    </row>
    <row r="47" spans="2:31">
      <c r="B47" s="176" t="s">
        <v>610</v>
      </c>
      <c r="C47" s="176" t="s">
        <v>634</v>
      </c>
      <c r="E47" s="176" t="s">
        <v>611</v>
      </c>
      <c r="F47" s="176" t="s">
        <v>527</v>
      </c>
      <c r="G47" s="176" t="s">
        <v>650</v>
      </c>
      <c r="H47" s="176" t="s">
        <v>731</v>
      </c>
      <c r="I47" s="176" t="s">
        <v>687</v>
      </c>
      <c r="J47" s="176" t="s">
        <v>486</v>
      </c>
      <c r="M47" s="176" t="s">
        <v>495</v>
      </c>
      <c r="N47" s="176" t="s">
        <v>730</v>
      </c>
      <c r="O47" s="176" t="s">
        <v>724</v>
      </c>
      <c r="P47" s="176" t="s">
        <v>506</v>
      </c>
      <c r="Q47" s="176" t="s">
        <v>485</v>
      </c>
      <c r="S47" s="176" t="s">
        <v>738</v>
      </c>
      <c r="T47" s="176" t="s">
        <v>488</v>
      </c>
      <c r="U47" s="176" t="s">
        <v>556</v>
      </c>
      <c r="V47" s="176" t="s">
        <v>510</v>
      </c>
      <c r="W47" s="176" t="s">
        <v>650</v>
      </c>
      <c r="X47" s="176" t="s">
        <v>689</v>
      </c>
      <c r="Z47" s="176" t="s">
        <v>650</v>
      </c>
      <c r="AA47" s="176" t="s">
        <v>580</v>
      </c>
      <c r="AB47" s="176" t="s">
        <v>527</v>
      </c>
      <c r="AD47" s="176" t="s">
        <v>530</v>
      </c>
      <c r="AE47" s="176" t="s">
        <v>503</v>
      </c>
    </row>
    <row r="48" spans="2:31">
      <c r="B48" s="176" t="s">
        <v>504</v>
      </c>
      <c r="C48" s="176" t="s">
        <v>549</v>
      </c>
      <c r="E48" s="176" t="s">
        <v>513</v>
      </c>
      <c r="F48" s="176" t="s">
        <v>514</v>
      </c>
      <c r="G48" s="176" t="s">
        <v>534</v>
      </c>
      <c r="H48" s="176" t="s">
        <v>489</v>
      </c>
      <c r="I48" s="176" t="s">
        <v>690</v>
      </c>
      <c r="J48" s="176" t="s">
        <v>547</v>
      </c>
      <c r="M48" s="176" t="s">
        <v>736</v>
      </c>
      <c r="N48" s="176" t="s">
        <v>744</v>
      </c>
      <c r="O48" s="176" t="s">
        <v>613</v>
      </c>
      <c r="P48" s="176" t="s">
        <v>507</v>
      </c>
      <c r="Q48" s="176" t="s">
        <v>580</v>
      </c>
      <c r="S48" s="176" t="s">
        <v>494</v>
      </c>
      <c r="T48" s="176" t="s">
        <v>485</v>
      </c>
      <c r="U48" s="176" t="s">
        <v>736</v>
      </c>
      <c r="V48" s="176" t="s">
        <v>632</v>
      </c>
      <c r="W48" s="176" t="s">
        <v>488</v>
      </c>
      <c r="X48" s="176" t="s">
        <v>538</v>
      </c>
      <c r="Z48" s="176" t="s">
        <v>534</v>
      </c>
      <c r="AA48" s="176" t="s">
        <v>744</v>
      </c>
      <c r="AB48" s="176" t="s">
        <v>514</v>
      </c>
      <c r="AD48" s="176" t="s">
        <v>526</v>
      </c>
      <c r="AE48" s="176" t="s">
        <v>615</v>
      </c>
    </row>
    <row r="49" spans="2:31">
      <c r="B49" s="176" t="s">
        <v>726</v>
      </c>
      <c r="C49" s="176" t="s">
        <v>612</v>
      </c>
      <c r="E49" s="176" t="s">
        <v>634</v>
      </c>
      <c r="F49" s="176" t="s">
        <v>515</v>
      </c>
      <c r="G49" s="176" t="s">
        <v>535</v>
      </c>
      <c r="H49" s="176" t="s">
        <v>746</v>
      </c>
      <c r="I49" s="176" t="s">
        <v>539</v>
      </c>
      <c r="J49" s="176" t="s">
        <v>744</v>
      </c>
      <c r="M49" s="176" t="s">
        <v>713</v>
      </c>
      <c r="N49" s="176" t="s">
        <v>617</v>
      </c>
      <c r="O49" s="176" t="s">
        <v>530</v>
      </c>
      <c r="P49" s="176" t="s">
        <v>611</v>
      </c>
      <c r="Q49" s="176" t="s">
        <v>738</v>
      </c>
      <c r="S49" s="176" t="s">
        <v>714</v>
      </c>
      <c r="T49" s="176" t="s">
        <v>492</v>
      </c>
      <c r="U49" s="176" t="s">
        <v>714</v>
      </c>
      <c r="V49" s="176" t="s">
        <v>512</v>
      </c>
      <c r="W49" s="176" t="s">
        <v>521</v>
      </c>
      <c r="X49" s="176" t="s">
        <v>541</v>
      </c>
      <c r="Z49" s="176" t="s">
        <v>535</v>
      </c>
      <c r="AA49" s="176" t="s">
        <v>713</v>
      </c>
      <c r="AB49" s="176" t="s">
        <v>634</v>
      </c>
      <c r="AD49" s="176" t="s">
        <v>614</v>
      </c>
      <c r="AE49" s="176" t="s">
        <v>735</v>
      </c>
    </row>
    <row r="50" spans="2:31">
      <c r="B50" s="176" t="s">
        <v>508</v>
      </c>
      <c r="C50" s="176" t="s">
        <v>725</v>
      </c>
      <c r="E50" s="176" t="s">
        <v>723</v>
      </c>
      <c r="F50" s="176" t="s">
        <v>511</v>
      </c>
      <c r="G50" s="176" t="s">
        <v>537</v>
      </c>
      <c r="H50" s="176" t="s">
        <v>694</v>
      </c>
      <c r="I50" s="176" t="s">
        <v>755</v>
      </c>
      <c r="J50" s="176" t="s">
        <v>497</v>
      </c>
      <c r="M50" s="176" t="s">
        <v>487</v>
      </c>
      <c r="N50" s="176" t="s">
        <v>736</v>
      </c>
      <c r="O50" s="176" t="s">
        <v>528</v>
      </c>
      <c r="P50" s="176" t="s">
        <v>527</v>
      </c>
      <c r="Q50" s="176" t="s">
        <v>488</v>
      </c>
      <c r="S50" s="176" t="s">
        <v>739</v>
      </c>
      <c r="T50" s="176" t="s">
        <v>493</v>
      </c>
      <c r="U50" s="176" t="s">
        <v>494</v>
      </c>
      <c r="V50" s="176" t="s">
        <v>521</v>
      </c>
      <c r="W50" s="176" t="s">
        <v>525</v>
      </c>
      <c r="X50" s="176" t="s">
        <v>687</v>
      </c>
      <c r="Z50" s="176" t="s">
        <v>536</v>
      </c>
      <c r="AA50" s="176" t="s">
        <v>714</v>
      </c>
      <c r="AB50" s="176" t="s">
        <v>512</v>
      </c>
      <c r="AD50" s="176" t="s">
        <v>512</v>
      </c>
      <c r="AE50" s="176" t="s">
        <v>732</v>
      </c>
    </row>
    <row r="51" spans="2:31">
      <c r="B51" s="176" t="s">
        <v>506</v>
      </c>
      <c r="C51" s="176" t="s">
        <v>522</v>
      </c>
      <c r="E51" s="176" t="s">
        <v>209</v>
      </c>
      <c r="F51" s="176" t="s">
        <v>516</v>
      </c>
      <c r="G51" s="176" t="s">
        <v>689</v>
      </c>
      <c r="H51" s="176" t="s">
        <v>492</v>
      </c>
      <c r="I51" s="176" t="s">
        <v>540</v>
      </c>
      <c r="J51" s="176" t="s">
        <v>556</v>
      </c>
      <c r="M51" s="176" t="s">
        <v>738</v>
      </c>
      <c r="N51" s="176" t="s">
        <v>734</v>
      </c>
      <c r="O51" s="176" t="s">
        <v>614</v>
      </c>
      <c r="P51" s="176" t="s">
        <v>529</v>
      </c>
      <c r="Q51" s="176" t="s">
        <v>495</v>
      </c>
      <c r="S51" s="176" t="s">
        <v>495</v>
      </c>
      <c r="T51" s="176" t="s">
        <v>739</v>
      </c>
      <c r="U51" s="176" t="s">
        <v>490</v>
      </c>
      <c r="V51" s="176" t="s">
        <v>520</v>
      </c>
      <c r="W51" s="176" t="s">
        <v>535</v>
      </c>
      <c r="X51" s="176" t="s">
        <v>690</v>
      </c>
      <c r="Z51" s="176" t="s">
        <v>537</v>
      </c>
      <c r="AA51" s="176" t="s">
        <v>710</v>
      </c>
      <c r="AB51" s="176" t="s">
        <v>510</v>
      </c>
      <c r="AD51" s="176" t="s">
        <v>510</v>
      </c>
      <c r="AE51" s="176" t="s">
        <v>638</v>
      </c>
    </row>
    <row r="52" spans="2:31">
      <c r="B52" s="176" t="s">
        <v>507</v>
      </c>
      <c r="C52" s="176" t="s">
        <v>524</v>
      </c>
      <c r="E52" s="176" t="s">
        <v>632</v>
      </c>
      <c r="F52" s="176" t="s">
        <v>513</v>
      </c>
      <c r="G52" s="176" t="s">
        <v>538</v>
      </c>
      <c r="H52" s="176" t="s">
        <v>710</v>
      </c>
      <c r="I52" s="176" t="s">
        <v>756</v>
      </c>
      <c r="J52" s="176" t="s">
        <v>736</v>
      </c>
      <c r="M52" s="176" t="s">
        <v>492</v>
      </c>
      <c r="N52" s="176" t="s">
        <v>741</v>
      </c>
      <c r="O52" s="176" t="s">
        <v>517</v>
      </c>
      <c r="P52" s="176" t="s">
        <v>634</v>
      </c>
      <c r="Q52" s="176" t="s">
        <v>490</v>
      </c>
      <c r="S52" s="176" t="s">
        <v>493</v>
      </c>
      <c r="T52" s="176" t="s">
        <v>490</v>
      </c>
      <c r="U52" s="176" t="s">
        <v>746</v>
      </c>
      <c r="V52" s="176" t="s">
        <v>511</v>
      </c>
      <c r="W52" s="176" t="s">
        <v>616</v>
      </c>
      <c r="X52" s="176" t="s">
        <v>539</v>
      </c>
      <c r="Z52" s="176" t="s">
        <v>689</v>
      </c>
      <c r="AA52" s="176" t="s">
        <v>494</v>
      </c>
      <c r="AB52" s="176" t="s">
        <v>515</v>
      </c>
      <c r="AD52" s="176" t="s">
        <v>515</v>
      </c>
      <c r="AE52" s="176" t="s">
        <v>499</v>
      </c>
    </row>
    <row r="53" spans="2:31">
      <c r="B53" s="176" t="s">
        <v>611</v>
      </c>
      <c r="C53" s="176" t="s">
        <v>525</v>
      </c>
      <c r="E53" s="176" t="s">
        <v>511</v>
      </c>
      <c r="F53" s="176" t="s">
        <v>510</v>
      </c>
      <c r="G53" s="176" t="s">
        <v>541</v>
      </c>
      <c r="H53" s="176" t="s">
        <v>738</v>
      </c>
      <c r="I53" s="176" t="s">
        <v>729</v>
      </c>
      <c r="J53" s="176" t="s">
        <v>485</v>
      </c>
      <c r="M53" s="176" t="s">
        <v>731</v>
      </c>
      <c r="N53" s="176" t="s">
        <v>742</v>
      </c>
      <c r="O53" s="176" t="s">
        <v>545</v>
      </c>
      <c r="P53" s="176" t="s">
        <v>512</v>
      </c>
      <c r="Q53" s="176" t="s">
        <v>491</v>
      </c>
      <c r="S53" s="176" t="s">
        <v>742</v>
      </c>
      <c r="T53" s="176" t="s">
        <v>738</v>
      </c>
      <c r="U53" s="176" t="s">
        <v>694</v>
      </c>
      <c r="V53" s="176" t="s">
        <v>504</v>
      </c>
      <c r="W53" s="176" t="s">
        <v>548</v>
      </c>
      <c r="X53" s="176" t="s">
        <v>755</v>
      </c>
      <c r="Z53" s="176" t="s">
        <v>538</v>
      </c>
      <c r="AA53" s="176" t="s">
        <v>731</v>
      </c>
      <c r="AB53" s="176" t="s">
        <v>511</v>
      </c>
      <c r="AD53" s="176" t="s">
        <v>513</v>
      </c>
      <c r="AE53" s="176" t="s">
        <v>505</v>
      </c>
    </row>
    <row r="54" spans="2:31">
      <c r="B54" s="176" t="s">
        <v>634</v>
      </c>
      <c r="C54" s="176" t="s">
        <v>732</v>
      </c>
      <c r="E54" s="176" t="s">
        <v>631</v>
      </c>
      <c r="F54" s="176" t="s">
        <v>632</v>
      </c>
      <c r="G54" s="176" t="s">
        <v>687</v>
      </c>
      <c r="H54" s="176" t="s">
        <v>742</v>
      </c>
      <c r="I54" s="176" t="s">
        <v>542</v>
      </c>
      <c r="J54" s="176" t="s">
        <v>491</v>
      </c>
      <c r="M54" s="176" t="s">
        <v>496</v>
      </c>
      <c r="N54" s="176" t="s">
        <v>746</v>
      </c>
      <c r="O54" s="176" t="s">
        <v>546</v>
      </c>
      <c r="P54" s="176" t="s">
        <v>510</v>
      </c>
      <c r="Q54" s="176" t="s">
        <v>487</v>
      </c>
      <c r="S54" s="176" t="s">
        <v>737</v>
      </c>
      <c r="T54" s="176" t="s">
        <v>495</v>
      </c>
      <c r="U54" s="176" t="s">
        <v>742</v>
      </c>
      <c r="V54" s="176" t="s">
        <v>532</v>
      </c>
      <c r="W54" s="176" t="s">
        <v>506</v>
      </c>
      <c r="X54" s="176" t="s">
        <v>540</v>
      </c>
      <c r="Z54" s="176" t="s">
        <v>541</v>
      </c>
      <c r="AA54" s="176" t="s">
        <v>619</v>
      </c>
      <c r="AB54" s="176" t="s">
        <v>509</v>
      </c>
      <c r="AD54" s="176" t="s">
        <v>509</v>
      </c>
      <c r="AE54" s="176" t="s">
        <v>498</v>
      </c>
    </row>
    <row r="55" spans="2:31">
      <c r="B55" s="176" t="s">
        <v>515</v>
      </c>
      <c r="C55" s="176" t="s">
        <v>638</v>
      </c>
      <c r="E55" s="176" t="s">
        <v>514</v>
      </c>
      <c r="F55" s="176" t="s">
        <v>512</v>
      </c>
      <c r="G55" s="176" t="s">
        <v>690</v>
      </c>
      <c r="H55" s="176" t="s">
        <v>487</v>
      </c>
      <c r="I55" s="176" t="s">
        <v>543</v>
      </c>
      <c r="J55" s="176" t="s">
        <v>580</v>
      </c>
      <c r="M55" s="176" t="s">
        <v>747</v>
      </c>
      <c r="N55" s="176" t="s">
        <v>543</v>
      </c>
      <c r="O55" s="176" t="s">
        <v>727</v>
      </c>
      <c r="P55" s="176" t="s">
        <v>511</v>
      </c>
      <c r="Q55" s="176" t="s">
        <v>492</v>
      </c>
      <c r="S55" s="176" t="s">
        <v>490</v>
      </c>
      <c r="T55" s="176" t="s">
        <v>491</v>
      </c>
      <c r="U55" s="176" t="s">
        <v>496</v>
      </c>
      <c r="V55" s="176" t="s">
        <v>533</v>
      </c>
      <c r="W55" s="176" t="s">
        <v>496</v>
      </c>
      <c r="X55" s="176" t="s">
        <v>756</v>
      </c>
      <c r="Z55" s="176" t="s">
        <v>687</v>
      </c>
      <c r="AA55" s="176" t="s">
        <v>486</v>
      </c>
      <c r="AB55" s="176" t="s">
        <v>516</v>
      </c>
      <c r="AD55" s="176" t="s">
        <v>511</v>
      </c>
      <c r="AE55" s="176" t="s">
        <v>616</v>
      </c>
    </row>
    <row r="56" spans="2:31">
      <c r="B56" s="176" t="s">
        <v>549</v>
      </c>
      <c r="C56" s="176" t="s">
        <v>499</v>
      </c>
      <c r="E56" s="176" t="s">
        <v>510</v>
      </c>
      <c r="F56" s="176" t="s">
        <v>209</v>
      </c>
      <c r="G56" s="176" t="s">
        <v>539</v>
      </c>
      <c r="H56" s="176" t="s">
        <v>488</v>
      </c>
      <c r="I56" s="176" t="s">
        <v>730</v>
      </c>
      <c r="J56" s="176" t="s">
        <v>548</v>
      </c>
      <c r="M56" s="176" t="s">
        <v>494</v>
      </c>
      <c r="N56" s="176" t="s">
        <v>494</v>
      </c>
      <c r="O56" s="176" t="s">
        <v>712</v>
      </c>
      <c r="P56" s="176" t="s">
        <v>515</v>
      </c>
      <c r="Q56" s="176" t="s">
        <v>747</v>
      </c>
      <c r="S56" s="176" t="s">
        <v>491</v>
      </c>
      <c r="T56" s="176" t="s">
        <v>747</v>
      </c>
      <c r="U56" s="176" t="s">
        <v>731</v>
      </c>
      <c r="V56" s="176" t="s">
        <v>517</v>
      </c>
      <c r="W56" s="176" t="s">
        <v>534</v>
      </c>
      <c r="X56" s="176" t="s">
        <v>729</v>
      </c>
      <c r="Z56" s="176" t="s">
        <v>690</v>
      </c>
      <c r="AA56" s="176" t="s">
        <v>547</v>
      </c>
      <c r="AB56" s="176" t="s">
        <v>631</v>
      </c>
      <c r="AD56" s="176" t="s">
        <v>631</v>
      </c>
      <c r="AE56" s="176" t="s">
        <v>532</v>
      </c>
    </row>
    <row r="57" spans="2:31">
      <c r="B57" s="176" t="s">
        <v>612</v>
      </c>
      <c r="C57" s="176" t="s">
        <v>505</v>
      </c>
      <c r="E57" s="176" t="s">
        <v>512</v>
      </c>
      <c r="F57" s="176" t="s">
        <v>723</v>
      </c>
      <c r="G57" s="176" t="s">
        <v>755</v>
      </c>
      <c r="H57" s="176" t="s">
        <v>649</v>
      </c>
      <c r="I57" s="176" t="s">
        <v>775</v>
      </c>
      <c r="J57" s="176" t="s">
        <v>490</v>
      </c>
      <c r="M57" s="176" t="s">
        <v>714</v>
      </c>
      <c r="N57" s="176" t="s">
        <v>755</v>
      </c>
      <c r="O57" s="176" t="s">
        <v>617</v>
      </c>
      <c r="P57" s="176" t="s">
        <v>516</v>
      </c>
      <c r="Q57" s="176" t="s">
        <v>731</v>
      </c>
      <c r="S57" s="176" t="s">
        <v>713</v>
      </c>
      <c r="T57" s="176" t="s">
        <v>714</v>
      </c>
      <c r="U57" s="176" t="s">
        <v>495</v>
      </c>
      <c r="V57" s="176" t="s">
        <v>635</v>
      </c>
      <c r="W57" s="176" t="s">
        <v>739</v>
      </c>
      <c r="X57" s="176" t="s">
        <v>542</v>
      </c>
      <c r="Z57" s="176" t="s">
        <v>539</v>
      </c>
      <c r="AA57" s="176" t="s">
        <v>649</v>
      </c>
      <c r="AB57" s="176" t="s">
        <v>732</v>
      </c>
      <c r="AD57" s="176" t="s">
        <v>516</v>
      </c>
      <c r="AE57" s="176" t="s">
        <v>533</v>
      </c>
    </row>
    <row r="58" spans="2:31">
      <c r="B58" s="176" t="s">
        <v>525</v>
      </c>
      <c r="C58" s="176" t="s">
        <v>498</v>
      </c>
      <c r="E58" s="176" t="s">
        <v>515</v>
      </c>
      <c r="F58" s="176" t="s">
        <v>724</v>
      </c>
      <c r="G58" s="176" t="s">
        <v>540</v>
      </c>
      <c r="H58" s="176" t="s">
        <v>484</v>
      </c>
      <c r="I58" s="176" t="s">
        <v>774</v>
      </c>
      <c r="J58" s="176" t="s">
        <v>487</v>
      </c>
      <c r="M58" s="176" t="s">
        <v>737</v>
      </c>
      <c r="N58" s="176" t="s">
        <v>694</v>
      </c>
      <c r="O58" s="176" t="s">
        <v>544</v>
      </c>
      <c r="P58" s="176" t="s">
        <v>514</v>
      </c>
      <c r="Q58" s="176" t="s">
        <v>496</v>
      </c>
      <c r="S58" s="176" t="s">
        <v>492</v>
      </c>
      <c r="T58" s="176" t="s">
        <v>494</v>
      </c>
      <c r="U58" s="176" t="s">
        <v>741</v>
      </c>
      <c r="V58" s="176" t="s">
        <v>753</v>
      </c>
      <c r="W58" s="176" t="s">
        <v>504</v>
      </c>
      <c r="X58" s="176" t="s">
        <v>543</v>
      </c>
      <c r="Z58" s="176" t="s">
        <v>755</v>
      </c>
      <c r="AA58" s="176" t="s">
        <v>484</v>
      </c>
      <c r="AB58" s="176" t="s">
        <v>638</v>
      </c>
      <c r="AD58" s="176" t="s">
        <v>732</v>
      </c>
      <c r="AE58" s="176" t="s">
        <v>517</v>
      </c>
    </row>
    <row r="59" spans="2:31">
      <c r="B59" s="176" t="s">
        <v>733</v>
      </c>
      <c r="C59" s="176" t="s">
        <v>616</v>
      </c>
      <c r="E59" s="176" t="s">
        <v>516</v>
      </c>
      <c r="F59" s="176" t="s">
        <v>509</v>
      </c>
      <c r="G59" s="176" t="s">
        <v>756</v>
      </c>
      <c r="H59" s="176" t="s">
        <v>619</v>
      </c>
      <c r="I59" s="176" t="s">
        <v>776</v>
      </c>
      <c r="J59" s="176" t="s">
        <v>747</v>
      </c>
      <c r="M59" s="176" t="s">
        <v>694</v>
      </c>
      <c r="N59" s="176" t="s">
        <v>714</v>
      </c>
      <c r="O59" s="176" t="s">
        <v>500</v>
      </c>
      <c r="P59" s="176" t="s">
        <v>513</v>
      </c>
      <c r="Q59" s="176" t="s">
        <v>741</v>
      </c>
      <c r="S59" s="176" t="s">
        <v>548</v>
      </c>
      <c r="T59" s="176" t="s">
        <v>619</v>
      </c>
      <c r="U59" s="176" t="s">
        <v>619</v>
      </c>
      <c r="V59" s="176" t="s">
        <v>754</v>
      </c>
      <c r="W59" s="176" t="s">
        <v>724</v>
      </c>
      <c r="X59" s="176" t="s">
        <v>730</v>
      </c>
      <c r="Z59" s="176" t="s">
        <v>540</v>
      </c>
      <c r="AA59" s="176" t="s">
        <v>483</v>
      </c>
      <c r="AB59" s="176" t="s">
        <v>498</v>
      </c>
      <c r="AD59" s="176" t="s">
        <v>638</v>
      </c>
      <c r="AE59" s="176" t="s">
        <v>753</v>
      </c>
    </row>
    <row r="60" spans="2:31">
      <c r="B60" s="176" t="s">
        <v>725</v>
      </c>
      <c r="C60" s="176" t="s">
        <v>486</v>
      </c>
      <c r="E60" s="176" t="s">
        <v>509</v>
      </c>
      <c r="F60" s="176" t="s">
        <v>549</v>
      </c>
      <c r="G60" s="176" t="s">
        <v>729</v>
      </c>
      <c r="H60" s="176" t="s">
        <v>518</v>
      </c>
      <c r="I60" s="176" t="s">
        <v>734</v>
      </c>
      <c r="J60" s="176" t="s">
        <v>731</v>
      </c>
      <c r="M60" s="176" t="s">
        <v>741</v>
      </c>
      <c r="N60" s="176" t="s">
        <v>536</v>
      </c>
      <c r="O60" s="176" t="s">
        <v>728</v>
      </c>
      <c r="P60" s="176" t="s">
        <v>509</v>
      </c>
      <c r="Q60" s="176" t="s">
        <v>746</v>
      </c>
      <c r="S60" s="176" t="s">
        <v>488</v>
      </c>
      <c r="T60" s="176" t="s">
        <v>741</v>
      </c>
      <c r="U60" s="176" t="s">
        <v>739</v>
      </c>
      <c r="V60" s="176" t="s">
        <v>975</v>
      </c>
      <c r="W60" s="176" t="s">
        <v>541</v>
      </c>
      <c r="X60" s="176" t="s">
        <v>497</v>
      </c>
      <c r="Z60" s="176" t="s">
        <v>756</v>
      </c>
      <c r="AA60" s="176" t="s">
        <v>610</v>
      </c>
      <c r="AB60" s="176" t="s">
        <v>616</v>
      </c>
      <c r="AD60" s="176" t="s">
        <v>499</v>
      </c>
      <c r="AE60" s="176" t="s">
        <v>754</v>
      </c>
    </row>
    <row r="61" spans="2:31">
      <c r="B61" s="176" t="s">
        <v>524</v>
      </c>
      <c r="C61" s="176" t="s">
        <v>547</v>
      </c>
      <c r="E61" s="176" t="s">
        <v>529</v>
      </c>
      <c r="F61" s="176" t="s">
        <v>612</v>
      </c>
      <c r="G61" s="176" t="s">
        <v>542</v>
      </c>
      <c r="H61" s="176" t="s">
        <v>519</v>
      </c>
      <c r="I61" s="176" t="s">
        <v>501</v>
      </c>
      <c r="J61" s="176" t="s">
        <v>738</v>
      </c>
      <c r="M61" s="176" t="s">
        <v>746</v>
      </c>
      <c r="N61" s="176" t="s">
        <v>542</v>
      </c>
      <c r="O61" s="176" t="s">
        <v>483</v>
      </c>
      <c r="P61" s="176" t="s">
        <v>631</v>
      </c>
      <c r="Q61" s="176" t="s">
        <v>739</v>
      </c>
      <c r="S61" s="176" t="s">
        <v>747</v>
      </c>
      <c r="T61" s="176" t="s">
        <v>496</v>
      </c>
      <c r="U61" s="176" t="s">
        <v>492</v>
      </c>
      <c r="V61" s="176" t="s">
        <v>636</v>
      </c>
      <c r="W61" s="176" t="s">
        <v>730</v>
      </c>
      <c r="X61" s="176" t="s">
        <v>547</v>
      </c>
      <c r="Z61" s="176" t="s">
        <v>729</v>
      </c>
      <c r="AA61" s="176" t="s">
        <v>504</v>
      </c>
      <c r="AB61" s="176" t="s">
        <v>499</v>
      </c>
      <c r="AD61" s="176" t="s">
        <v>505</v>
      </c>
      <c r="AE61" s="176" t="s">
        <v>534</v>
      </c>
    </row>
    <row r="62" spans="2:31">
      <c r="B62" s="176" t="s">
        <v>522</v>
      </c>
      <c r="C62" s="176" t="s">
        <v>556</v>
      </c>
      <c r="E62" s="176" t="s">
        <v>530</v>
      </c>
      <c r="F62" s="176" t="s">
        <v>725</v>
      </c>
      <c r="G62" s="176" t="s">
        <v>543</v>
      </c>
      <c r="H62" s="176" t="s">
        <v>523</v>
      </c>
      <c r="I62" s="176" t="s">
        <v>618</v>
      </c>
      <c r="J62" s="176" t="s">
        <v>494</v>
      </c>
      <c r="M62" s="176" t="s">
        <v>489</v>
      </c>
      <c r="N62" s="176" t="s">
        <v>538</v>
      </c>
      <c r="O62" s="176" t="s">
        <v>649</v>
      </c>
      <c r="P62" s="176" t="s">
        <v>732</v>
      </c>
      <c r="Q62" s="176" t="s">
        <v>713</v>
      </c>
      <c r="S62" s="176" t="s">
        <v>746</v>
      </c>
      <c r="T62" s="176" t="s">
        <v>737</v>
      </c>
      <c r="U62" s="176" t="s">
        <v>489</v>
      </c>
      <c r="V62" s="176" t="s">
        <v>782</v>
      </c>
      <c r="W62" s="176" t="s">
        <v>744</v>
      </c>
      <c r="X62" s="176" t="s">
        <v>744</v>
      </c>
      <c r="Z62" s="176" t="s">
        <v>542</v>
      </c>
      <c r="AA62" s="176" t="s">
        <v>726</v>
      </c>
      <c r="AB62" s="176" t="s">
        <v>505</v>
      </c>
      <c r="AD62" s="176" t="s">
        <v>498</v>
      </c>
      <c r="AE62" s="176" t="s">
        <v>541</v>
      </c>
    </row>
    <row r="63" spans="2:31">
      <c r="B63" s="176" t="s">
        <v>726</v>
      </c>
      <c r="C63" s="176" t="s">
        <v>580</v>
      </c>
      <c r="E63" s="176" t="s">
        <v>528</v>
      </c>
      <c r="F63" s="176" t="s">
        <v>525</v>
      </c>
      <c r="G63" s="176" t="s">
        <v>730</v>
      </c>
      <c r="H63" s="176" t="s">
        <v>734</v>
      </c>
      <c r="I63" s="176" t="s">
        <v>502</v>
      </c>
      <c r="J63" s="176" t="s">
        <v>737</v>
      </c>
      <c r="M63" s="176" t="s">
        <v>619</v>
      </c>
      <c r="N63" s="176" t="s">
        <v>524</v>
      </c>
      <c r="O63" s="176" t="s">
        <v>484</v>
      </c>
      <c r="P63" s="176" t="s">
        <v>638</v>
      </c>
      <c r="Q63" s="176" t="s">
        <v>694</v>
      </c>
      <c r="S63" s="176" t="s">
        <v>489</v>
      </c>
      <c r="T63" s="176" t="s">
        <v>713</v>
      </c>
      <c r="U63" s="176" t="s">
        <v>747</v>
      </c>
      <c r="V63" s="176" t="s">
        <v>783</v>
      </c>
      <c r="W63" s="176" t="s">
        <v>514</v>
      </c>
      <c r="X63" s="176" t="s">
        <v>617</v>
      </c>
      <c r="Z63" s="176" t="s">
        <v>543</v>
      </c>
      <c r="AA63" s="176" t="s">
        <v>506</v>
      </c>
      <c r="AB63" s="176" t="s">
        <v>635</v>
      </c>
      <c r="AD63" s="176" t="s">
        <v>616</v>
      </c>
      <c r="AE63" s="176" t="s">
        <v>687</v>
      </c>
    </row>
    <row r="64" spans="2:31">
      <c r="B64" s="176" t="s">
        <v>732</v>
      </c>
      <c r="C64" s="176" t="s">
        <v>736</v>
      </c>
      <c r="E64" s="176" t="s">
        <v>527</v>
      </c>
      <c r="F64" s="176" t="s">
        <v>524</v>
      </c>
      <c r="G64" s="176" t="s">
        <v>610</v>
      </c>
      <c r="H64" s="176" t="s">
        <v>520</v>
      </c>
      <c r="I64" s="176" t="s">
        <v>503</v>
      </c>
      <c r="J64" s="176" t="s">
        <v>739</v>
      </c>
      <c r="M64" s="176" t="s">
        <v>742</v>
      </c>
      <c r="N64" s="176" t="s">
        <v>619</v>
      </c>
      <c r="O64" s="176" t="s">
        <v>486</v>
      </c>
      <c r="P64" s="176" t="s">
        <v>499</v>
      </c>
      <c r="Q64" s="176" t="s">
        <v>737</v>
      </c>
      <c r="S64" s="176" t="s">
        <v>741</v>
      </c>
      <c r="T64" s="176" t="s">
        <v>489</v>
      </c>
      <c r="U64" s="176" t="s">
        <v>737</v>
      </c>
      <c r="V64" s="176" t="s">
        <v>534</v>
      </c>
      <c r="W64" s="176" t="s">
        <v>617</v>
      </c>
      <c r="X64" s="176" t="s">
        <v>544</v>
      </c>
      <c r="Z64" s="176" t="s">
        <v>730</v>
      </c>
      <c r="AA64" s="176" t="s">
        <v>507</v>
      </c>
      <c r="AB64" s="176" t="s">
        <v>753</v>
      </c>
      <c r="AD64" s="176" t="s">
        <v>635</v>
      </c>
      <c r="AE64" s="176" t="s">
        <v>539</v>
      </c>
    </row>
    <row r="65" spans="1:31">
      <c r="B65" s="176" t="s">
        <v>638</v>
      </c>
      <c r="C65" s="176" t="s">
        <v>744</v>
      </c>
      <c r="E65" s="176" t="s">
        <v>526</v>
      </c>
      <c r="F65" s="176" t="s">
        <v>733</v>
      </c>
      <c r="G65" s="176" t="s">
        <v>726</v>
      </c>
      <c r="H65" s="176" t="s">
        <v>633</v>
      </c>
      <c r="I65" s="176" t="s">
        <v>615</v>
      </c>
      <c r="J65" s="176" t="s">
        <v>496</v>
      </c>
      <c r="M65" s="176" t="s">
        <v>484</v>
      </c>
      <c r="N65" s="176" t="s">
        <v>492</v>
      </c>
      <c r="O65" s="176" t="s">
        <v>547</v>
      </c>
      <c r="P65" s="176" t="s">
        <v>505</v>
      </c>
      <c r="Q65" s="176" t="s">
        <v>619</v>
      </c>
      <c r="S65" s="176" t="s">
        <v>694</v>
      </c>
      <c r="T65" s="176" t="s">
        <v>694</v>
      </c>
      <c r="U65" s="176" t="s">
        <v>713</v>
      </c>
      <c r="V65" s="176" t="s">
        <v>535</v>
      </c>
      <c r="W65" s="176" t="s">
        <v>736</v>
      </c>
      <c r="X65" s="176" t="s">
        <v>545</v>
      </c>
      <c r="Z65" s="176" t="s">
        <v>504</v>
      </c>
      <c r="AA65" s="176" t="s">
        <v>508</v>
      </c>
      <c r="AB65" s="176" t="s">
        <v>754</v>
      </c>
      <c r="AD65" s="176" t="s">
        <v>753</v>
      </c>
      <c r="AE65" s="176" t="s">
        <v>730</v>
      </c>
    </row>
    <row r="66" spans="1:31">
      <c r="B66" s="176" t="s">
        <v>499</v>
      </c>
      <c r="C66" s="176" t="s">
        <v>497</v>
      </c>
      <c r="E66" s="176" t="s">
        <v>614</v>
      </c>
      <c r="F66" s="176" t="s">
        <v>722</v>
      </c>
      <c r="G66" s="176" t="s">
        <v>504</v>
      </c>
      <c r="H66" s="176" t="s">
        <v>613</v>
      </c>
      <c r="I66" s="176" t="s">
        <v>518</v>
      </c>
      <c r="J66" s="176" t="s">
        <v>694</v>
      </c>
      <c r="M66" s="176" t="s">
        <v>649</v>
      </c>
      <c r="N66" s="176" t="s">
        <v>689</v>
      </c>
      <c r="O66" s="176" t="s">
        <v>497</v>
      </c>
      <c r="P66" s="176" t="s">
        <v>498</v>
      </c>
      <c r="Q66" s="176" t="s">
        <v>489</v>
      </c>
      <c r="S66" s="176" t="s">
        <v>731</v>
      </c>
      <c r="T66" s="176" t="s">
        <v>746</v>
      </c>
      <c r="U66" s="176" t="s">
        <v>738</v>
      </c>
      <c r="V66" s="176" t="s">
        <v>536</v>
      </c>
      <c r="W66" s="176" t="s">
        <v>611</v>
      </c>
      <c r="X66" s="176" t="s">
        <v>546</v>
      </c>
      <c r="Z66" s="176" t="s">
        <v>508</v>
      </c>
      <c r="AA66" s="176" t="s">
        <v>528</v>
      </c>
      <c r="AB66" s="176" t="s">
        <v>975</v>
      </c>
      <c r="AD66" s="176" t="s">
        <v>754</v>
      </c>
      <c r="AE66" s="176" t="s">
        <v>635</v>
      </c>
    </row>
    <row r="67" spans="1:31">
      <c r="B67" s="176" t="s">
        <v>505</v>
      </c>
      <c r="C67" s="176" t="s">
        <v>495</v>
      </c>
      <c r="E67" s="176" t="s">
        <v>549</v>
      </c>
      <c r="F67" s="176" t="s">
        <v>629</v>
      </c>
      <c r="G67" s="176" t="s">
        <v>508</v>
      </c>
      <c r="H67" s="176" t="s">
        <v>722</v>
      </c>
      <c r="I67" s="176" t="s">
        <v>519</v>
      </c>
      <c r="J67" s="176" t="s">
        <v>713</v>
      </c>
      <c r="M67" s="176" t="s">
        <v>548</v>
      </c>
      <c r="N67" s="176" t="s">
        <v>500</v>
      </c>
      <c r="O67" s="176" t="s">
        <v>744</v>
      </c>
      <c r="P67" s="176" t="s">
        <v>616</v>
      </c>
      <c r="Q67" s="176" t="s">
        <v>742</v>
      </c>
      <c r="S67" s="176" t="s">
        <v>496</v>
      </c>
      <c r="T67" s="176" t="s">
        <v>742</v>
      </c>
      <c r="U67" s="176" t="s">
        <v>491</v>
      </c>
      <c r="V67" s="176" t="s">
        <v>537</v>
      </c>
      <c r="W67" s="176" t="s">
        <v>516</v>
      </c>
      <c r="X67" s="176" t="s">
        <v>728</v>
      </c>
      <c r="Z67" s="176" t="s">
        <v>506</v>
      </c>
      <c r="AA67" s="176" t="s">
        <v>526</v>
      </c>
      <c r="AB67" s="176" t="s">
        <v>636</v>
      </c>
      <c r="AD67" s="176" t="s">
        <v>975</v>
      </c>
      <c r="AE67" s="176" t="s">
        <v>975</v>
      </c>
    </row>
    <row r="68" spans="1:31">
      <c r="B68" s="176" t="s">
        <v>498</v>
      </c>
      <c r="C68" s="176" t="s">
        <v>496</v>
      </c>
      <c r="E68" s="176" t="s">
        <v>612</v>
      </c>
      <c r="F68" s="176" t="s">
        <v>611</v>
      </c>
      <c r="G68" s="176" t="s">
        <v>506</v>
      </c>
      <c r="H68" s="176" t="s">
        <v>513</v>
      </c>
      <c r="I68" s="176" t="s">
        <v>523</v>
      </c>
      <c r="J68" s="176" t="s">
        <v>495</v>
      </c>
      <c r="M68" s="176" t="s">
        <v>710</v>
      </c>
      <c r="N68" s="176" t="s">
        <v>580</v>
      </c>
      <c r="O68" s="176" t="s">
        <v>714</v>
      </c>
      <c r="P68" s="176" t="s">
        <v>483</v>
      </c>
      <c r="Q68" s="176" t="s">
        <v>493</v>
      </c>
      <c r="S68" s="176" t="s">
        <v>619</v>
      </c>
      <c r="T68" s="176" t="s">
        <v>731</v>
      </c>
      <c r="U68" s="176" t="s">
        <v>548</v>
      </c>
      <c r="V68" s="176" t="s">
        <v>689</v>
      </c>
      <c r="W68" s="176" t="s">
        <v>741</v>
      </c>
      <c r="X68" s="176" t="s">
        <v>727</v>
      </c>
      <c r="Z68" s="176" t="s">
        <v>507</v>
      </c>
      <c r="AA68" s="176" t="s">
        <v>530</v>
      </c>
      <c r="AB68" s="176" t="s">
        <v>782</v>
      </c>
      <c r="AD68" s="176" t="s">
        <v>636</v>
      </c>
      <c r="AE68" s="176" t="s">
        <v>636</v>
      </c>
    </row>
    <row r="69" spans="1:31">
      <c r="B69" s="176" t="s">
        <v>616</v>
      </c>
      <c r="C69" s="176" t="s">
        <v>731</v>
      </c>
      <c r="E69" s="176" t="s">
        <v>725</v>
      </c>
      <c r="F69" s="176" t="s">
        <v>518</v>
      </c>
      <c r="G69" s="176" t="s">
        <v>507</v>
      </c>
      <c r="H69" s="176" t="s">
        <v>631</v>
      </c>
      <c r="I69" s="176" t="s">
        <v>520</v>
      </c>
      <c r="J69" s="176" t="s">
        <v>742</v>
      </c>
      <c r="M69" s="176" t="s">
        <v>610</v>
      </c>
      <c r="N69" s="176" t="s">
        <v>533</v>
      </c>
      <c r="O69" s="176" t="s">
        <v>494</v>
      </c>
      <c r="P69" s="176" t="s">
        <v>486</v>
      </c>
      <c r="Q69" s="176" t="s">
        <v>710</v>
      </c>
      <c r="S69" s="176" t="s">
        <v>487</v>
      </c>
      <c r="T69" s="176" t="s">
        <v>548</v>
      </c>
      <c r="U69" s="176" t="s">
        <v>710</v>
      </c>
      <c r="V69" s="176" t="s">
        <v>538</v>
      </c>
      <c r="W69" s="176" t="s">
        <v>742</v>
      </c>
      <c r="X69" s="176" t="s">
        <v>712</v>
      </c>
      <c r="Z69" s="176" t="s">
        <v>726</v>
      </c>
      <c r="AA69" s="176" t="s">
        <v>529</v>
      </c>
      <c r="AB69" s="176" t="s">
        <v>783</v>
      </c>
      <c r="AD69" s="176" t="s">
        <v>782</v>
      </c>
      <c r="AE69" s="176" t="s">
        <v>782</v>
      </c>
    </row>
    <row r="70" spans="1:31">
      <c r="B70" s="176" t="s">
        <v>483</v>
      </c>
      <c r="C70" s="176" t="s">
        <v>485</v>
      </c>
      <c r="E70" s="176" t="s">
        <v>522</v>
      </c>
      <c r="F70" s="176" t="s">
        <v>519</v>
      </c>
      <c r="G70" s="176" t="s">
        <v>611</v>
      </c>
      <c r="H70" s="176" t="s">
        <v>632</v>
      </c>
      <c r="I70" s="176" t="s">
        <v>521</v>
      </c>
      <c r="J70" s="176" t="s">
        <v>746</v>
      </c>
      <c r="M70" s="176" t="s">
        <v>630</v>
      </c>
      <c r="N70" s="176" t="s">
        <v>490</v>
      </c>
      <c r="O70" s="176" t="s">
        <v>580</v>
      </c>
      <c r="P70" s="176" t="s">
        <v>744</v>
      </c>
      <c r="Q70" s="176" t="s">
        <v>610</v>
      </c>
      <c r="S70" s="176" t="s">
        <v>710</v>
      </c>
      <c r="T70" s="176" t="s">
        <v>710</v>
      </c>
      <c r="U70" s="176" t="s">
        <v>610</v>
      </c>
      <c r="V70" s="176" t="s">
        <v>541</v>
      </c>
      <c r="W70" s="176" t="s">
        <v>746</v>
      </c>
      <c r="X70" s="176" t="s">
        <v>610</v>
      </c>
      <c r="Z70" s="176" t="s">
        <v>610</v>
      </c>
      <c r="AA70" s="176" t="s">
        <v>614</v>
      </c>
      <c r="AB70" s="176" t="s">
        <v>650</v>
      </c>
      <c r="AD70" s="176" t="s">
        <v>783</v>
      </c>
      <c r="AE70" s="176" t="s">
        <v>783</v>
      </c>
    </row>
    <row r="71" spans="1:31">
      <c r="B71" s="176" t="s">
        <v>486</v>
      </c>
      <c r="C71" s="176" t="s">
        <v>548</v>
      </c>
      <c r="E71" s="176" t="s">
        <v>524</v>
      </c>
      <c r="F71" s="176" t="s">
        <v>523</v>
      </c>
      <c r="G71" s="176" t="s">
        <v>634</v>
      </c>
      <c r="H71" s="176" t="s">
        <v>511</v>
      </c>
      <c r="I71" s="176" t="s">
        <v>722</v>
      </c>
      <c r="J71" s="176" t="s">
        <v>488</v>
      </c>
      <c r="M71" s="176" t="s">
        <v>726</v>
      </c>
      <c r="N71" s="176" t="s">
        <v>491</v>
      </c>
      <c r="O71" s="176" t="s">
        <v>736</v>
      </c>
      <c r="P71" s="176" t="s">
        <v>497</v>
      </c>
      <c r="Q71" s="176" t="s">
        <v>726</v>
      </c>
      <c r="S71" s="176" t="s">
        <v>532</v>
      </c>
      <c r="T71" s="176" t="s">
        <v>610</v>
      </c>
      <c r="U71" s="176" t="s">
        <v>630</v>
      </c>
      <c r="V71" s="176" t="s">
        <v>687</v>
      </c>
      <c r="W71" s="176" t="s">
        <v>543</v>
      </c>
      <c r="X71" s="176" t="s">
        <v>630</v>
      </c>
      <c r="Z71" s="176" t="s">
        <v>529</v>
      </c>
      <c r="AA71" s="176" t="s">
        <v>611</v>
      </c>
      <c r="AB71" s="176" t="s">
        <v>534</v>
      </c>
      <c r="AD71" s="176" t="s">
        <v>650</v>
      </c>
      <c r="AE71" s="176" t="s">
        <v>650</v>
      </c>
    </row>
    <row r="72" spans="1:31">
      <c r="B72" s="176" t="s">
        <v>547</v>
      </c>
      <c r="C72" s="176" t="s">
        <v>738</v>
      </c>
      <c r="E72" s="176" t="s">
        <v>525</v>
      </c>
      <c r="F72" s="176" t="s">
        <v>520</v>
      </c>
      <c r="G72" s="176" t="s">
        <v>612</v>
      </c>
      <c r="H72" s="176" t="s">
        <v>515</v>
      </c>
      <c r="I72" s="176" t="s">
        <v>526</v>
      </c>
      <c r="J72" s="176" t="s">
        <v>619</v>
      </c>
      <c r="M72" s="176" t="s">
        <v>504</v>
      </c>
      <c r="N72" s="176" t="s">
        <v>633</v>
      </c>
      <c r="O72" s="176" t="s">
        <v>556</v>
      </c>
      <c r="P72" s="176" t="s">
        <v>547</v>
      </c>
      <c r="Q72" s="176" t="s">
        <v>504</v>
      </c>
      <c r="S72" s="176" t="s">
        <v>483</v>
      </c>
      <c r="T72" s="176" t="s">
        <v>630</v>
      </c>
      <c r="U72" s="176" t="s">
        <v>726</v>
      </c>
      <c r="V72" s="176" t="s">
        <v>690</v>
      </c>
      <c r="W72" s="176" t="s">
        <v>494</v>
      </c>
      <c r="X72" s="176" t="s">
        <v>504</v>
      </c>
      <c r="Z72" s="176" t="s">
        <v>530</v>
      </c>
      <c r="AA72" s="176" t="s">
        <v>527</v>
      </c>
      <c r="AB72" s="176" t="s">
        <v>535</v>
      </c>
      <c r="AD72" s="176" t="s">
        <v>534</v>
      </c>
      <c r="AE72" s="176" t="s">
        <v>535</v>
      </c>
    </row>
    <row r="73" spans="1:31">
      <c r="B73" s="176" t="s">
        <v>556</v>
      </c>
      <c r="C73" s="176" t="s">
        <v>491</v>
      </c>
      <c r="E73" s="176" t="s">
        <v>733</v>
      </c>
      <c r="F73" s="176" t="s">
        <v>613</v>
      </c>
      <c r="G73" s="176" t="s">
        <v>725</v>
      </c>
      <c r="H73" s="176" t="s">
        <v>510</v>
      </c>
      <c r="I73" s="176" t="s">
        <v>529</v>
      </c>
      <c r="J73" s="176" t="s">
        <v>489</v>
      </c>
      <c r="M73" s="176" t="s">
        <v>506</v>
      </c>
      <c r="N73" s="176" t="s">
        <v>710</v>
      </c>
      <c r="O73" s="176" t="s">
        <v>738</v>
      </c>
      <c r="P73" s="176" t="s">
        <v>742</v>
      </c>
      <c r="Q73" s="176" t="s">
        <v>508</v>
      </c>
      <c r="S73" s="176" t="s">
        <v>544</v>
      </c>
      <c r="T73" s="176" t="s">
        <v>504</v>
      </c>
      <c r="U73" s="176" t="s">
        <v>504</v>
      </c>
      <c r="V73" s="176" t="s">
        <v>539</v>
      </c>
      <c r="W73" s="176" t="s">
        <v>755</v>
      </c>
      <c r="X73" s="176" t="s">
        <v>726</v>
      </c>
      <c r="Z73" s="176" t="s">
        <v>526</v>
      </c>
      <c r="AA73" s="176" t="s">
        <v>514</v>
      </c>
      <c r="AB73" s="176" t="s">
        <v>536</v>
      </c>
      <c r="AD73" s="176" t="s">
        <v>535</v>
      </c>
      <c r="AE73" s="176" t="s">
        <v>536</v>
      </c>
    </row>
    <row r="74" spans="1:31">
      <c r="B74" s="176" t="s">
        <v>736</v>
      </c>
      <c r="C74" s="176" t="s">
        <v>747</v>
      </c>
      <c r="E74" s="176" t="s">
        <v>518</v>
      </c>
      <c r="F74" s="176" t="s">
        <v>630</v>
      </c>
      <c r="G74" s="176" t="s">
        <v>525</v>
      </c>
      <c r="H74" s="176" t="s">
        <v>516</v>
      </c>
      <c r="I74" s="176" t="s">
        <v>631</v>
      </c>
      <c r="J74" s="176" t="s">
        <v>741</v>
      </c>
      <c r="M74" s="176" t="s">
        <v>507</v>
      </c>
      <c r="N74" s="176" t="s">
        <v>493</v>
      </c>
      <c r="O74" s="176" t="s">
        <v>485</v>
      </c>
      <c r="P74" s="176" t="s">
        <v>736</v>
      </c>
      <c r="Q74" s="176" t="s">
        <v>506</v>
      </c>
      <c r="S74" s="176" t="s">
        <v>712</v>
      </c>
      <c r="T74" s="176" t="s">
        <v>726</v>
      </c>
      <c r="U74" s="176" t="s">
        <v>508</v>
      </c>
      <c r="V74" s="176" t="s">
        <v>540</v>
      </c>
      <c r="W74" s="176" t="s">
        <v>632</v>
      </c>
      <c r="X74" s="176" t="s">
        <v>508</v>
      </c>
      <c r="Z74" s="176" t="s">
        <v>528</v>
      </c>
      <c r="AA74" s="176" t="s">
        <v>634</v>
      </c>
      <c r="AB74" s="176" t="s">
        <v>537</v>
      </c>
      <c r="AD74" s="176" t="s">
        <v>536</v>
      </c>
      <c r="AE74" s="176" t="s">
        <v>537</v>
      </c>
    </row>
    <row r="75" spans="1:31">
      <c r="B75" s="176" t="s">
        <v>744</v>
      </c>
      <c r="C75" s="176" t="s">
        <v>714</v>
      </c>
      <c r="E75" s="176" t="s">
        <v>519</v>
      </c>
      <c r="F75" s="176" t="s">
        <v>734</v>
      </c>
      <c r="G75" s="176" t="s">
        <v>733</v>
      </c>
      <c r="H75" s="176" t="s">
        <v>723</v>
      </c>
      <c r="I75" s="176" t="s">
        <v>512</v>
      </c>
      <c r="J75" s="176" t="s">
        <v>714</v>
      </c>
      <c r="M75" s="176" t="s">
        <v>508</v>
      </c>
      <c r="N75" s="176" t="s">
        <v>484</v>
      </c>
      <c r="O75" s="176" t="s">
        <v>491</v>
      </c>
      <c r="P75" s="176" t="s">
        <v>556</v>
      </c>
      <c r="Q75" s="176" t="s">
        <v>611</v>
      </c>
      <c r="S75" s="176" t="s">
        <v>638</v>
      </c>
      <c r="T75" s="176" t="s">
        <v>506</v>
      </c>
      <c r="U75" s="176" t="s">
        <v>506</v>
      </c>
      <c r="V75" s="176" t="s">
        <v>756</v>
      </c>
      <c r="W75" s="176" t="s">
        <v>975</v>
      </c>
      <c r="X75" s="176" t="s">
        <v>506</v>
      </c>
      <c r="Z75" s="176" t="s">
        <v>614</v>
      </c>
      <c r="AA75" s="176" t="s">
        <v>512</v>
      </c>
      <c r="AB75" s="176" t="s">
        <v>689</v>
      </c>
      <c r="AD75" s="176" t="s">
        <v>537</v>
      </c>
      <c r="AE75" s="176" t="s">
        <v>689</v>
      </c>
    </row>
    <row r="76" spans="1:31" ht="15.75">
      <c r="A76" s="272"/>
      <c r="B76" s="177" t="s">
        <v>580</v>
      </c>
      <c r="C76" s="177" t="s">
        <v>490</v>
      </c>
      <c r="D76" s="272"/>
      <c r="E76" s="177" t="s">
        <v>523</v>
      </c>
      <c r="F76" s="177" t="s">
        <v>503</v>
      </c>
      <c r="G76" s="177" t="s">
        <v>549</v>
      </c>
      <c r="H76" s="177" t="s">
        <v>209</v>
      </c>
      <c r="I76" s="177" t="s">
        <v>209</v>
      </c>
      <c r="J76" s="177" t="s">
        <v>710</v>
      </c>
      <c r="L76" s="272"/>
      <c r="M76" s="177" t="s">
        <v>611</v>
      </c>
      <c r="N76" s="177" t="s">
        <v>517</v>
      </c>
      <c r="O76" s="177" t="s">
        <v>488</v>
      </c>
      <c r="P76" s="177" t="s">
        <v>580</v>
      </c>
      <c r="Q76" s="177" t="s">
        <v>527</v>
      </c>
      <c r="R76" s="272"/>
      <c r="S76" s="176" t="s">
        <v>505</v>
      </c>
      <c r="T76" s="177" t="s">
        <v>507</v>
      </c>
      <c r="U76" s="177" t="s">
        <v>507</v>
      </c>
      <c r="V76" s="177" t="s">
        <v>729</v>
      </c>
      <c r="W76" s="176" t="s">
        <v>694</v>
      </c>
      <c r="X76" s="176" t="s">
        <v>529</v>
      </c>
      <c r="Z76" s="176" t="s">
        <v>611</v>
      </c>
      <c r="AA76" s="176" t="s">
        <v>510</v>
      </c>
      <c r="AB76" s="176" t="s">
        <v>538</v>
      </c>
      <c r="AD76" s="176" t="s">
        <v>689</v>
      </c>
      <c r="AE76" s="176" t="s">
        <v>538</v>
      </c>
    </row>
    <row r="77" spans="1:31">
      <c r="B77" s="176" t="s">
        <v>485</v>
      </c>
      <c r="C77" s="176" t="s">
        <v>739</v>
      </c>
      <c r="E77" s="176" t="s">
        <v>629</v>
      </c>
      <c r="F77" s="176" t="s">
        <v>615</v>
      </c>
      <c r="G77" s="176" t="s">
        <v>524</v>
      </c>
      <c r="H77" s="176" t="s">
        <v>724</v>
      </c>
      <c r="I77" s="176" t="s">
        <v>723</v>
      </c>
      <c r="J77" s="176" t="s">
        <v>734</v>
      </c>
      <c r="M77" s="176" t="s">
        <v>527</v>
      </c>
      <c r="N77" s="176" t="s">
        <v>735</v>
      </c>
      <c r="O77" s="176" t="s">
        <v>490</v>
      </c>
      <c r="P77" s="176" t="s">
        <v>485</v>
      </c>
      <c r="Q77" s="176" t="s">
        <v>634</v>
      </c>
      <c r="S77" s="176" t="s">
        <v>616</v>
      </c>
      <c r="T77" s="176" t="s">
        <v>508</v>
      </c>
      <c r="U77" s="176" t="s">
        <v>611</v>
      </c>
      <c r="V77" s="176" t="s">
        <v>542</v>
      </c>
      <c r="W77" s="176" t="s">
        <v>511</v>
      </c>
      <c r="X77" s="176" t="s">
        <v>528</v>
      </c>
      <c r="Z77" s="176" t="s">
        <v>527</v>
      </c>
      <c r="AA77" s="176" t="s">
        <v>509</v>
      </c>
      <c r="AB77" s="176" t="s">
        <v>541</v>
      </c>
      <c r="AD77" s="176" t="s">
        <v>538</v>
      </c>
      <c r="AE77" s="176" t="s">
        <v>690</v>
      </c>
    </row>
    <row r="78" spans="1:31">
      <c r="B78" s="176" t="s">
        <v>739</v>
      </c>
      <c r="C78" s="176" t="s">
        <v>493</v>
      </c>
      <c r="E78" s="176" t="s">
        <v>722</v>
      </c>
      <c r="F78" s="176" t="s">
        <v>502</v>
      </c>
      <c r="G78" s="176" t="s">
        <v>527</v>
      </c>
      <c r="H78" s="176" t="s">
        <v>512</v>
      </c>
      <c r="I78" s="176" t="s">
        <v>511</v>
      </c>
      <c r="M78" s="176" t="s">
        <v>634</v>
      </c>
      <c r="N78" s="176" t="s">
        <v>784</v>
      </c>
      <c r="O78" s="176" t="s">
        <v>739</v>
      </c>
      <c r="P78" s="176" t="s">
        <v>491</v>
      </c>
      <c r="Q78" s="176" t="s">
        <v>549</v>
      </c>
      <c r="S78" s="176" t="s">
        <v>508</v>
      </c>
      <c r="T78" s="176" t="s">
        <v>611</v>
      </c>
      <c r="U78" s="176" t="s">
        <v>527</v>
      </c>
      <c r="V78" s="176" t="s">
        <v>543</v>
      </c>
      <c r="W78" s="176" t="s">
        <v>714</v>
      </c>
      <c r="X78" s="176" t="s">
        <v>526</v>
      </c>
      <c r="Z78" s="176" t="s">
        <v>514</v>
      </c>
      <c r="AA78" s="176" t="s">
        <v>511</v>
      </c>
      <c r="AB78" s="176" t="s">
        <v>687</v>
      </c>
      <c r="AD78" s="176" t="s">
        <v>541</v>
      </c>
      <c r="AE78" s="176" t="s">
        <v>540</v>
      </c>
    </row>
    <row r="79" spans="1:31">
      <c r="B79" s="176" t="s">
        <v>738</v>
      </c>
      <c r="C79" s="176" t="s">
        <v>753</v>
      </c>
      <c r="F79" s="176" t="s">
        <v>735</v>
      </c>
      <c r="G79" s="176" t="s">
        <v>530</v>
      </c>
      <c r="H79" s="176" t="s">
        <v>509</v>
      </c>
      <c r="I79" s="176" t="s">
        <v>513</v>
      </c>
      <c r="J79" s="176" t="s">
        <v>520</v>
      </c>
      <c r="M79" s="176" t="s">
        <v>612</v>
      </c>
      <c r="N79" s="176" t="s">
        <v>485</v>
      </c>
      <c r="O79" s="176" t="s">
        <v>713</v>
      </c>
      <c r="P79" s="176" t="s">
        <v>490</v>
      </c>
      <c r="Q79" s="176" t="s">
        <v>612</v>
      </c>
      <c r="S79" s="176" t="s">
        <v>633</v>
      </c>
      <c r="T79" s="176" t="s">
        <v>527</v>
      </c>
      <c r="U79" s="176" t="s">
        <v>634</v>
      </c>
      <c r="V79" s="176" t="s">
        <v>730</v>
      </c>
      <c r="W79" s="176" t="s">
        <v>536</v>
      </c>
      <c r="X79" s="176" t="s">
        <v>614</v>
      </c>
      <c r="Z79" s="176" t="s">
        <v>634</v>
      </c>
      <c r="AA79" s="176" t="s">
        <v>515</v>
      </c>
      <c r="AB79" s="176" t="s">
        <v>690</v>
      </c>
      <c r="AD79" s="176" t="s">
        <v>687</v>
      </c>
      <c r="AE79" s="176" t="s">
        <v>756</v>
      </c>
    </row>
    <row r="80" spans="1:31">
      <c r="B80" s="176" t="s">
        <v>497</v>
      </c>
      <c r="C80" s="176" t="s">
        <v>754</v>
      </c>
      <c r="E80" s="176" t="s">
        <v>520</v>
      </c>
      <c r="F80" s="176" t="s">
        <v>618</v>
      </c>
      <c r="G80" s="176" t="s">
        <v>732</v>
      </c>
      <c r="H80" s="176" t="s">
        <v>526</v>
      </c>
      <c r="I80" s="176" t="s">
        <v>514</v>
      </c>
      <c r="J80" s="176" t="s">
        <v>633</v>
      </c>
      <c r="M80" s="176" t="s">
        <v>522</v>
      </c>
      <c r="N80" s="176" t="s">
        <v>537</v>
      </c>
      <c r="O80" s="176" t="s">
        <v>492</v>
      </c>
      <c r="P80" s="176" t="s">
        <v>714</v>
      </c>
      <c r="Q80" s="176" t="s">
        <v>522</v>
      </c>
      <c r="S80" s="176" t="s">
        <v>506</v>
      </c>
      <c r="T80" s="176" t="s">
        <v>634</v>
      </c>
      <c r="U80" s="176" t="s">
        <v>529</v>
      </c>
      <c r="V80" s="176" t="s">
        <v>617</v>
      </c>
      <c r="W80" s="176" t="s">
        <v>512</v>
      </c>
      <c r="X80" s="176" t="s">
        <v>527</v>
      </c>
      <c r="Z80" s="176" t="s">
        <v>515</v>
      </c>
      <c r="AA80" s="176" t="s">
        <v>516</v>
      </c>
      <c r="AB80" s="176" t="s">
        <v>539</v>
      </c>
      <c r="AD80" s="176" t="s">
        <v>690</v>
      </c>
      <c r="AE80" s="176" t="s">
        <v>729</v>
      </c>
    </row>
    <row r="81" spans="2:31">
      <c r="B81" s="176" t="s">
        <v>742</v>
      </c>
      <c r="C81" s="176" t="s">
        <v>776</v>
      </c>
      <c r="E81" s="176" t="s">
        <v>633</v>
      </c>
      <c r="F81" s="176" t="s">
        <v>501</v>
      </c>
      <c r="G81" s="176" t="s">
        <v>638</v>
      </c>
      <c r="H81" s="176" t="s">
        <v>529</v>
      </c>
      <c r="I81" s="176" t="s">
        <v>510</v>
      </c>
      <c r="J81" s="176" t="s">
        <v>523</v>
      </c>
      <c r="M81" s="176" t="s">
        <v>525</v>
      </c>
      <c r="N81" s="176" t="s">
        <v>614</v>
      </c>
      <c r="O81" s="176" t="s">
        <v>737</v>
      </c>
      <c r="P81" s="176" t="s">
        <v>738</v>
      </c>
      <c r="Q81" s="176" t="s">
        <v>525</v>
      </c>
      <c r="S81" s="176" t="s">
        <v>507</v>
      </c>
      <c r="T81" s="176" t="s">
        <v>209</v>
      </c>
      <c r="U81" s="176" t="s">
        <v>526</v>
      </c>
      <c r="V81" s="176" t="s">
        <v>544</v>
      </c>
      <c r="W81" s="176" t="s">
        <v>542</v>
      </c>
      <c r="X81" s="176" t="s">
        <v>611</v>
      </c>
      <c r="Z81" s="176" t="s">
        <v>511</v>
      </c>
      <c r="AA81" s="176" t="s">
        <v>513</v>
      </c>
      <c r="AB81" s="176" t="s">
        <v>755</v>
      </c>
      <c r="AD81" s="176" t="s">
        <v>539</v>
      </c>
      <c r="AE81" s="176" t="s">
        <v>542</v>
      </c>
    </row>
    <row r="82" spans="2:31">
      <c r="B82" s="176" t="s">
        <v>495</v>
      </c>
      <c r="C82" s="176" t="s">
        <v>774</v>
      </c>
      <c r="E82" s="176" t="s">
        <v>734</v>
      </c>
      <c r="F82" s="176" t="s">
        <v>732</v>
      </c>
      <c r="G82" s="176" t="s">
        <v>499</v>
      </c>
      <c r="H82" s="176" t="s">
        <v>530</v>
      </c>
      <c r="I82" s="176" t="s">
        <v>515</v>
      </c>
      <c r="J82" s="176" t="s">
        <v>733</v>
      </c>
      <c r="M82" s="176" t="s">
        <v>524</v>
      </c>
      <c r="N82" s="176" t="s">
        <v>737</v>
      </c>
      <c r="O82" s="176" t="s">
        <v>495</v>
      </c>
      <c r="P82" s="176" t="s">
        <v>494</v>
      </c>
      <c r="Q82" s="176" t="s">
        <v>725</v>
      </c>
      <c r="S82" s="176" t="s">
        <v>513</v>
      </c>
      <c r="T82" s="176" t="s">
        <v>723</v>
      </c>
      <c r="U82" s="176" t="s">
        <v>530</v>
      </c>
      <c r="V82" s="176" t="s">
        <v>545</v>
      </c>
      <c r="W82" s="176" t="s">
        <v>538</v>
      </c>
      <c r="X82" s="176" t="s">
        <v>634</v>
      </c>
      <c r="Z82" s="176" t="s">
        <v>516</v>
      </c>
      <c r="AA82" s="176" t="s">
        <v>732</v>
      </c>
      <c r="AB82" s="176" t="s">
        <v>540</v>
      </c>
      <c r="AD82" s="176" t="s">
        <v>755</v>
      </c>
      <c r="AE82" s="176" t="s">
        <v>543</v>
      </c>
    </row>
    <row r="83" spans="2:31">
      <c r="B83" s="176" t="s">
        <v>492</v>
      </c>
      <c r="C83" s="176" t="s">
        <v>775</v>
      </c>
      <c r="E83" s="176" t="s">
        <v>618</v>
      </c>
      <c r="F83" s="176" t="s">
        <v>638</v>
      </c>
      <c r="G83" s="176" t="s">
        <v>505</v>
      </c>
      <c r="H83" s="176" t="s">
        <v>614</v>
      </c>
      <c r="I83" s="176" t="s">
        <v>632</v>
      </c>
      <c r="J83" s="176" t="s">
        <v>722</v>
      </c>
      <c r="M83" s="176" t="s">
        <v>733</v>
      </c>
      <c r="N83" s="176" t="s">
        <v>549</v>
      </c>
      <c r="O83" s="176" t="s">
        <v>493</v>
      </c>
      <c r="P83" s="176" t="s">
        <v>619</v>
      </c>
      <c r="Q83" s="176" t="s">
        <v>733</v>
      </c>
      <c r="S83" s="176" t="s">
        <v>724</v>
      </c>
      <c r="T83" s="176" t="s">
        <v>724</v>
      </c>
      <c r="U83" s="176" t="s">
        <v>528</v>
      </c>
      <c r="V83" s="176" t="s">
        <v>546</v>
      </c>
      <c r="W83" s="176" t="s">
        <v>524</v>
      </c>
      <c r="X83" s="176" t="s">
        <v>209</v>
      </c>
      <c r="Z83" s="176" t="s">
        <v>513</v>
      </c>
      <c r="AA83" s="176" t="s">
        <v>638</v>
      </c>
      <c r="AB83" s="176" t="s">
        <v>756</v>
      </c>
      <c r="AD83" s="176" t="s">
        <v>540</v>
      </c>
      <c r="AE83" s="176" t="s">
        <v>617</v>
      </c>
    </row>
    <row r="84" spans="2:31">
      <c r="B84" s="176" t="s">
        <v>713</v>
      </c>
      <c r="C84" s="176" t="s">
        <v>650</v>
      </c>
      <c r="E84" s="176" t="s">
        <v>501</v>
      </c>
      <c r="F84" s="176" t="s">
        <v>499</v>
      </c>
      <c r="G84" s="176" t="s">
        <v>498</v>
      </c>
      <c r="H84" s="176" t="s">
        <v>630</v>
      </c>
      <c r="I84" s="176" t="s">
        <v>509</v>
      </c>
      <c r="J84" s="176" t="s">
        <v>629</v>
      </c>
      <c r="M84" s="176" t="s">
        <v>549</v>
      </c>
      <c r="N84" s="176" t="s">
        <v>738</v>
      </c>
      <c r="O84" s="176" t="s">
        <v>487</v>
      </c>
      <c r="P84" s="176" t="s">
        <v>747</v>
      </c>
      <c r="Q84" s="176" t="s">
        <v>524</v>
      </c>
      <c r="S84" s="176" t="s">
        <v>723</v>
      </c>
      <c r="T84" s="176" t="s">
        <v>511</v>
      </c>
      <c r="U84" s="176" t="s">
        <v>614</v>
      </c>
      <c r="V84" s="176" t="s">
        <v>500</v>
      </c>
      <c r="W84" s="176" t="s">
        <v>619</v>
      </c>
      <c r="X84" s="176" t="s">
        <v>723</v>
      </c>
      <c r="Z84" s="176" t="s">
        <v>209</v>
      </c>
      <c r="AA84" s="176" t="s">
        <v>499</v>
      </c>
      <c r="AB84" s="176" t="s">
        <v>729</v>
      </c>
      <c r="AD84" s="176" t="s">
        <v>756</v>
      </c>
      <c r="AE84" s="176" t="s">
        <v>544</v>
      </c>
    </row>
    <row r="85" spans="2:31">
      <c r="B85" s="176" t="s">
        <v>491</v>
      </c>
      <c r="C85" s="176" t="s">
        <v>534</v>
      </c>
      <c r="E85" s="176" t="s">
        <v>503</v>
      </c>
      <c r="F85" s="176" t="s">
        <v>505</v>
      </c>
      <c r="G85" s="176" t="s">
        <v>616</v>
      </c>
      <c r="H85" s="176" t="s">
        <v>533</v>
      </c>
      <c r="I85" s="176" t="s">
        <v>633</v>
      </c>
      <c r="J85" s="176" t="s">
        <v>613</v>
      </c>
      <c r="M85" s="176" t="s">
        <v>530</v>
      </c>
      <c r="N85" s="176" t="s">
        <v>501</v>
      </c>
      <c r="O85" s="176" t="s">
        <v>548</v>
      </c>
      <c r="P85" s="176" t="s">
        <v>495</v>
      </c>
      <c r="Q85" s="176" t="s">
        <v>526</v>
      </c>
      <c r="S85" s="176" t="s">
        <v>209</v>
      </c>
      <c r="T85" s="176" t="s">
        <v>631</v>
      </c>
      <c r="U85" s="176" t="s">
        <v>724</v>
      </c>
      <c r="V85" s="176" t="s">
        <v>728</v>
      </c>
      <c r="W85" s="176" t="s">
        <v>510</v>
      </c>
      <c r="X85" s="176" t="s">
        <v>512</v>
      </c>
      <c r="Z85" s="176" t="s">
        <v>723</v>
      </c>
      <c r="AA85" s="176" t="s">
        <v>505</v>
      </c>
      <c r="AB85" s="176" t="s">
        <v>542</v>
      </c>
      <c r="AD85" s="176" t="s">
        <v>729</v>
      </c>
      <c r="AE85" s="176" t="s">
        <v>545</v>
      </c>
    </row>
    <row r="86" spans="2:31">
      <c r="B86" s="176" t="s">
        <v>731</v>
      </c>
      <c r="C86" s="176" t="s">
        <v>687</v>
      </c>
      <c r="E86" s="176" t="s">
        <v>502</v>
      </c>
      <c r="F86" s="176" t="s">
        <v>498</v>
      </c>
      <c r="G86" s="176" t="s">
        <v>483</v>
      </c>
      <c r="H86" s="176" t="s">
        <v>517</v>
      </c>
      <c r="I86" s="176" t="s">
        <v>630</v>
      </c>
      <c r="J86" s="176" t="s">
        <v>522</v>
      </c>
      <c r="M86" s="176" t="s">
        <v>528</v>
      </c>
      <c r="N86" s="176" t="s">
        <v>712</v>
      </c>
      <c r="O86" s="176" t="s">
        <v>746</v>
      </c>
      <c r="P86" s="176" t="s">
        <v>694</v>
      </c>
      <c r="Q86" s="176" t="s">
        <v>529</v>
      </c>
      <c r="S86" s="176" t="s">
        <v>631</v>
      </c>
      <c r="T86" s="176" t="s">
        <v>632</v>
      </c>
      <c r="U86" s="176" t="s">
        <v>632</v>
      </c>
      <c r="V86" s="176" t="s">
        <v>727</v>
      </c>
      <c r="W86" s="176" t="s">
        <v>492</v>
      </c>
      <c r="X86" s="176" t="s">
        <v>513</v>
      </c>
      <c r="Z86" s="176" t="s">
        <v>510</v>
      </c>
      <c r="AA86" s="176" t="s">
        <v>498</v>
      </c>
      <c r="AB86" s="176" t="s">
        <v>543</v>
      </c>
      <c r="AD86" s="176" t="s">
        <v>542</v>
      </c>
      <c r="AE86" s="176" t="s">
        <v>546</v>
      </c>
    </row>
    <row r="87" spans="2:31">
      <c r="B87" s="176" t="s">
        <v>747</v>
      </c>
      <c r="C87" s="176" t="s">
        <v>540</v>
      </c>
      <c r="E87" s="176" t="s">
        <v>615</v>
      </c>
      <c r="F87" s="176" t="s">
        <v>616</v>
      </c>
      <c r="G87" s="176" t="s">
        <v>649</v>
      </c>
      <c r="H87" s="176" t="s">
        <v>532</v>
      </c>
      <c r="I87" s="176" t="s">
        <v>533</v>
      </c>
      <c r="J87" s="176" t="s">
        <v>529</v>
      </c>
      <c r="M87" s="176" t="s">
        <v>526</v>
      </c>
      <c r="N87" s="176" t="s">
        <v>731</v>
      </c>
      <c r="O87" s="176" t="s">
        <v>741</v>
      </c>
      <c r="P87" s="176" t="s">
        <v>496</v>
      </c>
      <c r="Q87" s="176" t="s">
        <v>530</v>
      </c>
      <c r="S87" s="176" t="s">
        <v>512</v>
      </c>
      <c r="T87" s="176" t="s">
        <v>510</v>
      </c>
      <c r="U87" s="176" t="s">
        <v>209</v>
      </c>
      <c r="V87" s="176" t="s">
        <v>712</v>
      </c>
      <c r="W87" s="176" t="s">
        <v>689</v>
      </c>
      <c r="X87" s="176" t="s">
        <v>631</v>
      </c>
      <c r="Z87" s="176" t="s">
        <v>512</v>
      </c>
      <c r="AA87" s="176" t="s">
        <v>616</v>
      </c>
      <c r="AB87" s="176" t="s">
        <v>730</v>
      </c>
      <c r="AD87" s="176" t="s">
        <v>543</v>
      </c>
      <c r="AE87" s="176" t="s">
        <v>500</v>
      </c>
    </row>
    <row r="88" spans="2:31">
      <c r="B88" s="176" t="s">
        <v>490</v>
      </c>
      <c r="C88" s="176" t="s">
        <v>756</v>
      </c>
      <c r="E88" s="176" t="s">
        <v>531</v>
      </c>
      <c r="F88" s="176" t="s">
        <v>483</v>
      </c>
      <c r="G88" s="176" t="s">
        <v>484</v>
      </c>
      <c r="H88" s="176" t="s">
        <v>615</v>
      </c>
      <c r="I88" s="176" t="s">
        <v>545</v>
      </c>
      <c r="J88" s="176" t="s">
        <v>614</v>
      </c>
      <c r="M88" s="176" t="s">
        <v>518</v>
      </c>
      <c r="N88" s="176" t="s">
        <v>527</v>
      </c>
      <c r="O88" s="176" t="s">
        <v>694</v>
      </c>
      <c r="P88" s="176" t="s">
        <v>731</v>
      </c>
      <c r="Q88" s="176" t="s">
        <v>528</v>
      </c>
      <c r="S88" s="176" t="s">
        <v>511</v>
      </c>
      <c r="T88" s="176" t="s">
        <v>512</v>
      </c>
      <c r="U88" s="176" t="s">
        <v>723</v>
      </c>
      <c r="V88" s="176" t="s">
        <v>613</v>
      </c>
      <c r="W88" s="176" t="s">
        <v>618</v>
      </c>
      <c r="X88" s="176" t="s">
        <v>510</v>
      </c>
      <c r="Z88" s="176" t="s">
        <v>509</v>
      </c>
      <c r="AA88" s="176" t="s">
        <v>545</v>
      </c>
      <c r="AD88" s="176" t="s">
        <v>730</v>
      </c>
      <c r="AE88" s="176" t="s">
        <v>728</v>
      </c>
    </row>
    <row r="89" spans="2:31">
      <c r="B89" s="176" t="s">
        <v>493</v>
      </c>
      <c r="C89" s="176" t="s">
        <v>539</v>
      </c>
      <c r="E89" s="176" t="s">
        <v>732</v>
      </c>
      <c r="F89" s="176" t="s">
        <v>486</v>
      </c>
      <c r="G89" s="176" t="s">
        <v>486</v>
      </c>
      <c r="H89" s="176" t="s">
        <v>502</v>
      </c>
      <c r="I89" s="176" t="s">
        <v>546</v>
      </c>
      <c r="J89" s="176" t="s">
        <v>631</v>
      </c>
      <c r="M89" s="176" t="s">
        <v>519</v>
      </c>
      <c r="N89" s="176" t="s">
        <v>756</v>
      </c>
      <c r="O89" s="176" t="s">
        <v>489</v>
      </c>
      <c r="P89" s="176" t="s">
        <v>489</v>
      </c>
      <c r="Q89" s="176" t="s">
        <v>614</v>
      </c>
      <c r="S89" s="176" t="s">
        <v>632</v>
      </c>
      <c r="T89" s="176" t="s">
        <v>516</v>
      </c>
      <c r="U89" s="176" t="s">
        <v>512</v>
      </c>
      <c r="V89" s="176" t="s">
        <v>506</v>
      </c>
      <c r="W89" s="176" t="s">
        <v>507</v>
      </c>
      <c r="X89" s="176" t="s">
        <v>520</v>
      </c>
      <c r="Z89" s="176" t="s">
        <v>732</v>
      </c>
      <c r="AA89" s="176" t="s">
        <v>546</v>
      </c>
      <c r="AD89" s="176" t="s">
        <v>483</v>
      </c>
      <c r="AE89" s="176" t="s">
        <v>727</v>
      </c>
    </row>
    <row r="90" spans="2:31">
      <c r="B90" s="176" t="s">
        <v>746</v>
      </c>
      <c r="C90" s="176" t="s">
        <v>755</v>
      </c>
      <c r="E90" s="176" t="s">
        <v>638</v>
      </c>
      <c r="F90" s="176" t="s">
        <v>547</v>
      </c>
      <c r="G90" s="176" t="s">
        <v>547</v>
      </c>
      <c r="H90" s="176" t="s">
        <v>735</v>
      </c>
      <c r="I90" s="176" t="s">
        <v>727</v>
      </c>
      <c r="J90" s="176" t="s">
        <v>723</v>
      </c>
      <c r="M90" s="176" t="s">
        <v>523</v>
      </c>
      <c r="N90" s="176" t="s">
        <v>729</v>
      </c>
      <c r="O90" s="176" t="s">
        <v>747</v>
      </c>
      <c r="P90" s="176" t="s">
        <v>713</v>
      </c>
      <c r="Q90" s="176" t="s">
        <v>631</v>
      </c>
      <c r="S90" s="176" t="s">
        <v>510</v>
      </c>
      <c r="T90" s="176" t="s">
        <v>515</v>
      </c>
      <c r="U90" s="176" t="s">
        <v>631</v>
      </c>
      <c r="V90" s="176" t="s">
        <v>507</v>
      </c>
      <c r="W90" s="176" t="s">
        <v>500</v>
      </c>
      <c r="X90" s="176" t="s">
        <v>521</v>
      </c>
      <c r="Z90" s="176" t="s">
        <v>638</v>
      </c>
      <c r="AA90" s="176" t="s">
        <v>727</v>
      </c>
      <c r="AD90" s="176" t="s">
        <v>649</v>
      </c>
      <c r="AE90" s="176" t="s">
        <v>712</v>
      </c>
    </row>
    <row r="91" spans="2:31">
      <c r="B91" s="176" t="s">
        <v>694</v>
      </c>
      <c r="C91" s="176" t="s">
        <v>730</v>
      </c>
      <c r="E91" s="176" t="s">
        <v>499</v>
      </c>
      <c r="F91" s="176" t="s">
        <v>739</v>
      </c>
      <c r="G91" s="176" t="s">
        <v>485</v>
      </c>
      <c r="H91" s="176" t="s">
        <v>503</v>
      </c>
      <c r="I91" s="176" t="s">
        <v>712</v>
      </c>
      <c r="J91" s="176" t="s">
        <v>632</v>
      </c>
      <c r="M91" s="176" t="s">
        <v>633</v>
      </c>
      <c r="N91" s="176" t="s">
        <v>540</v>
      </c>
      <c r="O91" s="176" t="s">
        <v>731</v>
      </c>
      <c r="P91" s="176" t="s">
        <v>741</v>
      </c>
      <c r="Q91" s="176" t="s">
        <v>723</v>
      </c>
      <c r="S91" s="176" t="s">
        <v>515</v>
      </c>
      <c r="T91" s="176" t="s">
        <v>513</v>
      </c>
      <c r="U91" s="176" t="s">
        <v>516</v>
      </c>
      <c r="V91" s="176" t="s">
        <v>731</v>
      </c>
      <c r="W91" s="176" t="s">
        <v>612</v>
      </c>
      <c r="X91" s="176" t="s">
        <v>511</v>
      </c>
      <c r="Z91" s="176" t="s">
        <v>498</v>
      </c>
      <c r="AA91" s="176" t="s">
        <v>712</v>
      </c>
      <c r="AD91" s="176" t="s">
        <v>484</v>
      </c>
    </row>
    <row r="92" spans="2:31">
      <c r="B92" s="176" t="s">
        <v>737</v>
      </c>
      <c r="C92" s="176" t="s">
        <v>635</v>
      </c>
      <c r="E92" s="176" t="s">
        <v>505</v>
      </c>
      <c r="F92" s="176" t="s">
        <v>737</v>
      </c>
      <c r="G92" s="176" t="s">
        <v>494</v>
      </c>
      <c r="H92" s="176" t="s">
        <v>501</v>
      </c>
      <c r="I92" s="176" t="s">
        <v>617</v>
      </c>
      <c r="J92" s="176" t="s">
        <v>512</v>
      </c>
      <c r="M92" s="176" t="s">
        <v>520</v>
      </c>
      <c r="N92" s="176" t="s">
        <v>754</v>
      </c>
      <c r="O92" s="176" t="s">
        <v>496</v>
      </c>
      <c r="P92" s="176" t="s">
        <v>737</v>
      </c>
      <c r="Q92" s="176" t="s">
        <v>209</v>
      </c>
      <c r="S92" s="176" t="s">
        <v>509</v>
      </c>
      <c r="T92" s="176" t="s">
        <v>509</v>
      </c>
      <c r="U92" s="176" t="s">
        <v>515</v>
      </c>
      <c r="V92" s="176" t="s">
        <v>496</v>
      </c>
      <c r="W92" s="176" t="s">
        <v>580</v>
      </c>
      <c r="X92" s="176" t="s">
        <v>724</v>
      </c>
      <c r="Z92" s="176" t="s">
        <v>499</v>
      </c>
      <c r="AA92" s="176" t="s">
        <v>617</v>
      </c>
      <c r="AD92" s="176" t="s">
        <v>486</v>
      </c>
    </row>
    <row r="93" spans="2:31">
      <c r="B93" s="176" t="s">
        <v>619</v>
      </c>
      <c r="C93" s="176" t="s">
        <v>636</v>
      </c>
      <c r="E93" s="176" t="s">
        <v>498</v>
      </c>
      <c r="F93" s="176" t="s">
        <v>710</v>
      </c>
      <c r="G93" s="176" t="s">
        <v>739</v>
      </c>
      <c r="H93" s="176" t="s">
        <v>618</v>
      </c>
      <c r="I93" s="176" t="s">
        <v>544</v>
      </c>
      <c r="J93" s="176" t="s">
        <v>514</v>
      </c>
      <c r="M93" s="176" t="s">
        <v>521</v>
      </c>
      <c r="O93" s="176" t="s">
        <v>619</v>
      </c>
      <c r="P93" s="176" t="s">
        <v>739</v>
      </c>
      <c r="Q93" s="176" t="s">
        <v>512</v>
      </c>
      <c r="S93" s="176" t="s">
        <v>549</v>
      </c>
      <c r="T93" s="176" t="s">
        <v>530</v>
      </c>
      <c r="U93" s="176" t="s">
        <v>510</v>
      </c>
      <c r="V93" s="176" t="s">
        <v>747</v>
      </c>
      <c r="W93" s="176" t="s">
        <v>533</v>
      </c>
      <c r="X93" s="176" t="s">
        <v>509</v>
      </c>
      <c r="Z93" s="176" t="s">
        <v>505</v>
      </c>
      <c r="AA93" s="176" t="s">
        <v>544</v>
      </c>
      <c r="AD93" s="176" t="s">
        <v>547</v>
      </c>
    </row>
    <row r="94" spans="2:31">
      <c r="B94" s="176" t="s">
        <v>489</v>
      </c>
      <c r="C94" s="176" t="s">
        <v>651</v>
      </c>
      <c r="E94" s="176" t="s">
        <v>616</v>
      </c>
      <c r="F94" s="176" t="s">
        <v>494</v>
      </c>
      <c r="G94" s="176" t="s">
        <v>737</v>
      </c>
      <c r="H94" s="176" t="s">
        <v>545</v>
      </c>
      <c r="I94" s="176" t="s">
        <v>500</v>
      </c>
      <c r="J94" s="176" t="s">
        <v>515</v>
      </c>
      <c r="M94" s="176" t="s">
        <v>613</v>
      </c>
      <c r="O94" s="176" t="s">
        <v>742</v>
      </c>
      <c r="P94" s="176" t="s">
        <v>746</v>
      </c>
      <c r="Q94" s="176" t="s">
        <v>515</v>
      </c>
      <c r="S94" s="176" t="s">
        <v>612</v>
      </c>
      <c r="T94" s="176" t="s">
        <v>528</v>
      </c>
      <c r="U94" s="176" t="s">
        <v>511</v>
      </c>
      <c r="V94" s="176" t="s">
        <v>746</v>
      </c>
      <c r="W94" s="176" t="s">
        <v>490</v>
      </c>
      <c r="X94" s="176" t="s">
        <v>522</v>
      </c>
      <c r="Z94" s="176" t="s">
        <v>649</v>
      </c>
      <c r="AA94" s="176" t="s">
        <v>728</v>
      </c>
      <c r="AD94" s="176" t="s">
        <v>744</v>
      </c>
    </row>
    <row r="95" spans="2:31">
      <c r="B95" s="176" t="s">
        <v>487</v>
      </c>
      <c r="C95" s="176" t="s">
        <v>535</v>
      </c>
      <c r="E95" s="176" t="s">
        <v>484</v>
      </c>
      <c r="F95" s="176" t="s">
        <v>485</v>
      </c>
      <c r="G95" s="176" t="s">
        <v>710</v>
      </c>
      <c r="H95" s="176" t="s">
        <v>546</v>
      </c>
      <c r="I95" s="176" t="s">
        <v>728</v>
      </c>
      <c r="J95" s="176" t="s">
        <v>513</v>
      </c>
      <c r="M95" s="176" t="s">
        <v>629</v>
      </c>
      <c r="O95" s="176" t="s">
        <v>710</v>
      </c>
      <c r="P95" s="176" t="s">
        <v>492</v>
      </c>
      <c r="Q95" s="176" t="s">
        <v>724</v>
      </c>
      <c r="S95" s="176" t="s">
        <v>725</v>
      </c>
      <c r="T95" s="176" t="s">
        <v>529</v>
      </c>
      <c r="U95" s="176" t="s">
        <v>513</v>
      </c>
      <c r="V95" s="176" t="s">
        <v>742</v>
      </c>
      <c r="W95" s="176" t="s">
        <v>491</v>
      </c>
      <c r="X95" s="176" t="s">
        <v>524</v>
      </c>
      <c r="Z95" s="176" t="s">
        <v>487</v>
      </c>
      <c r="AA95" s="176" t="s">
        <v>500</v>
      </c>
      <c r="AD95" s="176" t="s">
        <v>497</v>
      </c>
    </row>
    <row r="96" spans="2:31">
      <c r="B96" s="176" t="s">
        <v>494</v>
      </c>
      <c r="C96" s="176" t="s">
        <v>536</v>
      </c>
      <c r="E96" s="176" t="s">
        <v>649</v>
      </c>
      <c r="F96" s="176" t="s">
        <v>556</v>
      </c>
      <c r="G96" s="176" t="s">
        <v>714</v>
      </c>
      <c r="H96" s="176" t="s">
        <v>727</v>
      </c>
      <c r="I96" s="176" t="s">
        <v>610</v>
      </c>
      <c r="J96" s="176" t="s">
        <v>724</v>
      </c>
      <c r="M96" s="176" t="s">
        <v>724</v>
      </c>
      <c r="O96" s="176" t="s">
        <v>635</v>
      </c>
      <c r="P96" s="176" t="s">
        <v>649</v>
      </c>
      <c r="Q96" s="176" t="s">
        <v>513</v>
      </c>
      <c r="S96" s="176" t="s">
        <v>733</v>
      </c>
      <c r="T96" s="176" t="s">
        <v>614</v>
      </c>
      <c r="U96" s="176" t="s">
        <v>520</v>
      </c>
      <c r="V96" s="176" t="s">
        <v>492</v>
      </c>
      <c r="W96" s="176" t="s">
        <v>498</v>
      </c>
      <c r="X96" s="176" t="s">
        <v>523</v>
      </c>
      <c r="Z96" s="176" t="s">
        <v>548</v>
      </c>
      <c r="AA96" s="176" t="s">
        <v>525</v>
      </c>
      <c r="AD96" s="176" t="s">
        <v>494</v>
      </c>
    </row>
    <row r="97" spans="1:30">
      <c r="B97" s="176" t="s">
        <v>741</v>
      </c>
      <c r="C97" s="176" t="s">
        <v>537</v>
      </c>
      <c r="E97" s="176" t="s">
        <v>547</v>
      </c>
      <c r="F97" s="176" t="s">
        <v>580</v>
      </c>
      <c r="G97" s="176" t="s">
        <v>556</v>
      </c>
      <c r="H97" s="176" t="s">
        <v>712</v>
      </c>
      <c r="I97" s="176" t="s">
        <v>506</v>
      </c>
      <c r="J97" s="176" t="s">
        <v>509</v>
      </c>
      <c r="M97" s="176" t="s">
        <v>632</v>
      </c>
      <c r="O97" s="176" t="s">
        <v>753</v>
      </c>
      <c r="P97" s="176" t="s">
        <v>484</v>
      </c>
      <c r="Q97" s="176" t="s">
        <v>511</v>
      </c>
      <c r="S97" s="176" t="s">
        <v>525</v>
      </c>
      <c r="T97" s="176" t="s">
        <v>518</v>
      </c>
      <c r="U97" s="176" t="s">
        <v>521</v>
      </c>
      <c r="V97" s="176" t="s">
        <v>493</v>
      </c>
      <c r="W97" s="176" t="s">
        <v>732</v>
      </c>
      <c r="X97" s="176" t="s">
        <v>629</v>
      </c>
      <c r="Z97" s="176" t="s">
        <v>488</v>
      </c>
      <c r="AA97" s="176" t="s">
        <v>501</v>
      </c>
      <c r="AD97" s="176" t="s">
        <v>714</v>
      </c>
    </row>
    <row r="98" spans="1:30">
      <c r="B98" s="176" t="s">
        <v>496</v>
      </c>
      <c r="C98" s="176" t="s">
        <v>689</v>
      </c>
      <c r="E98" s="176" t="s">
        <v>486</v>
      </c>
      <c r="F98" s="176" t="s">
        <v>736</v>
      </c>
      <c r="G98" s="176" t="s">
        <v>580</v>
      </c>
      <c r="H98" s="176" t="s">
        <v>617</v>
      </c>
      <c r="I98" s="176" t="s">
        <v>507</v>
      </c>
      <c r="J98" s="176" t="s">
        <v>630</v>
      </c>
      <c r="M98" s="176" t="s">
        <v>209</v>
      </c>
      <c r="O98" s="176" t="s">
        <v>754</v>
      </c>
      <c r="P98" s="176" t="s">
        <v>710</v>
      </c>
      <c r="Q98" s="176" t="s">
        <v>516</v>
      </c>
      <c r="S98" s="176" t="s">
        <v>524</v>
      </c>
      <c r="T98" s="176" t="s">
        <v>519</v>
      </c>
      <c r="U98" s="176" t="s">
        <v>509</v>
      </c>
      <c r="V98" s="176" t="s">
        <v>741</v>
      </c>
      <c r="W98" s="176" t="s">
        <v>710</v>
      </c>
      <c r="X98" s="176" t="s">
        <v>549</v>
      </c>
      <c r="Z98" s="176" t="s">
        <v>489</v>
      </c>
      <c r="AA98" s="176" t="s">
        <v>613</v>
      </c>
      <c r="AD98" s="176" t="s">
        <v>710</v>
      </c>
    </row>
    <row r="99" spans="1:30">
      <c r="B99" s="176" t="s">
        <v>488</v>
      </c>
      <c r="C99" s="176" t="s">
        <v>538</v>
      </c>
      <c r="E99" s="176" t="s">
        <v>487</v>
      </c>
      <c r="F99" s="176" t="s">
        <v>497</v>
      </c>
      <c r="G99" s="176" t="s">
        <v>736</v>
      </c>
      <c r="H99" s="176" t="s">
        <v>500</v>
      </c>
      <c r="I99" s="176" t="s">
        <v>504</v>
      </c>
      <c r="J99" s="176" t="s">
        <v>615</v>
      </c>
      <c r="M99" s="176" t="s">
        <v>723</v>
      </c>
      <c r="O99" s="176" t="s">
        <v>636</v>
      </c>
      <c r="P99" s="176" t="s">
        <v>488</v>
      </c>
      <c r="Q99" s="176" t="s">
        <v>632</v>
      </c>
      <c r="S99" s="176" t="s">
        <v>522</v>
      </c>
      <c r="T99" s="176" t="s">
        <v>523</v>
      </c>
      <c r="U99" s="176" t="s">
        <v>514</v>
      </c>
      <c r="V99" s="176" t="s">
        <v>739</v>
      </c>
      <c r="W99" s="176" t="s">
        <v>493</v>
      </c>
      <c r="X99" s="176" t="s">
        <v>612</v>
      </c>
      <c r="Z99" s="176" t="s">
        <v>490</v>
      </c>
      <c r="AA99" s="176" t="s">
        <v>520</v>
      </c>
      <c r="AD99" s="176" t="s">
        <v>738</v>
      </c>
    </row>
    <row r="100" spans="1:30">
      <c r="B100" s="176" t="s">
        <v>710</v>
      </c>
      <c r="C100" s="176" t="s">
        <v>541</v>
      </c>
      <c r="E100" s="176" t="s">
        <v>548</v>
      </c>
      <c r="F100" s="176" t="s">
        <v>744</v>
      </c>
      <c r="G100" s="176" t="s">
        <v>497</v>
      </c>
      <c r="H100" s="176" t="s">
        <v>728</v>
      </c>
      <c r="I100" s="176" t="s">
        <v>726</v>
      </c>
      <c r="J100" s="176" t="s">
        <v>503</v>
      </c>
      <c r="M100" s="176" t="s">
        <v>510</v>
      </c>
      <c r="O100" s="176" t="s">
        <v>782</v>
      </c>
      <c r="P100" s="176" t="s">
        <v>635</v>
      </c>
      <c r="Q100" s="176" t="s">
        <v>510</v>
      </c>
      <c r="S100" s="176" t="s">
        <v>726</v>
      </c>
      <c r="T100" s="176" t="s">
        <v>521</v>
      </c>
      <c r="U100" s="176" t="s">
        <v>549</v>
      </c>
      <c r="V100" s="176" t="s">
        <v>548</v>
      </c>
      <c r="W100" s="176" t="s">
        <v>209</v>
      </c>
      <c r="X100" s="176" t="s">
        <v>525</v>
      </c>
      <c r="Z100" s="176" t="s">
        <v>741</v>
      </c>
      <c r="AA100" s="176" t="s">
        <v>518</v>
      </c>
      <c r="AD100" s="176" t="s">
        <v>485</v>
      </c>
    </row>
    <row r="101" spans="1:30">
      <c r="B101" s="176" t="s">
        <v>649</v>
      </c>
      <c r="C101" s="176" t="s">
        <v>690</v>
      </c>
      <c r="E101" s="176" t="s">
        <v>488</v>
      </c>
      <c r="F101" s="176" t="s">
        <v>548</v>
      </c>
      <c r="G101" s="176" t="s">
        <v>744</v>
      </c>
      <c r="H101" s="176" t="s">
        <v>610</v>
      </c>
      <c r="I101" s="176" t="s">
        <v>508</v>
      </c>
      <c r="J101" s="176" t="s">
        <v>735</v>
      </c>
      <c r="M101" s="176" t="s">
        <v>512</v>
      </c>
      <c r="O101" s="176" t="s">
        <v>783</v>
      </c>
      <c r="P101" s="176" t="s">
        <v>753</v>
      </c>
      <c r="Q101" s="176" t="s">
        <v>509</v>
      </c>
      <c r="S101" s="176" t="s">
        <v>504</v>
      </c>
      <c r="T101" s="176" t="s">
        <v>520</v>
      </c>
      <c r="U101" s="176" t="s">
        <v>612</v>
      </c>
      <c r="V101" s="176" t="s">
        <v>710</v>
      </c>
      <c r="W101" s="176" t="s">
        <v>484</v>
      </c>
      <c r="X101" s="176" t="s">
        <v>633</v>
      </c>
      <c r="Z101" s="176" t="s">
        <v>491</v>
      </c>
      <c r="AA101" s="176" t="s">
        <v>734</v>
      </c>
      <c r="AD101" s="176" t="s">
        <v>490</v>
      </c>
    </row>
    <row r="102" spans="1:30">
      <c r="B102" s="176" t="s">
        <v>484</v>
      </c>
      <c r="C102" s="176" t="s">
        <v>542</v>
      </c>
      <c r="E102" s="176" t="s">
        <v>489</v>
      </c>
      <c r="F102" s="176" t="s">
        <v>488</v>
      </c>
      <c r="G102" s="176" t="s">
        <v>738</v>
      </c>
      <c r="H102" s="176" t="s">
        <v>504</v>
      </c>
      <c r="I102" s="176" t="s">
        <v>611</v>
      </c>
      <c r="J102" s="176" t="s">
        <v>502</v>
      </c>
      <c r="M102" s="176" t="s">
        <v>631</v>
      </c>
      <c r="O102" s="176" t="s">
        <v>538</v>
      </c>
      <c r="P102" s="176" t="s">
        <v>754</v>
      </c>
      <c r="Q102" s="176" t="s">
        <v>518</v>
      </c>
      <c r="S102" s="176" t="s">
        <v>613</v>
      </c>
      <c r="T102" s="176" t="s">
        <v>633</v>
      </c>
      <c r="U102" s="176" t="s">
        <v>524</v>
      </c>
      <c r="V102" s="176" t="s">
        <v>523</v>
      </c>
      <c r="W102" s="176" t="s">
        <v>513</v>
      </c>
      <c r="X102" s="176" t="s">
        <v>501</v>
      </c>
      <c r="Z102" s="176" t="s">
        <v>746</v>
      </c>
      <c r="AA102" s="176" t="s">
        <v>722</v>
      </c>
      <c r="AD102" s="176" t="s">
        <v>747</v>
      </c>
    </row>
    <row r="103" spans="1:30">
      <c r="B103" s="176" t="s">
        <v>548</v>
      </c>
      <c r="C103" s="176" t="s">
        <v>543</v>
      </c>
      <c r="E103" s="176" t="s">
        <v>490</v>
      </c>
      <c r="F103" s="176" t="s">
        <v>495</v>
      </c>
      <c r="G103" s="176" t="s">
        <v>491</v>
      </c>
      <c r="H103" s="176" t="s">
        <v>726</v>
      </c>
      <c r="I103" s="176" t="s">
        <v>634</v>
      </c>
      <c r="J103" s="176" t="s">
        <v>501</v>
      </c>
      <c r="M103" s="176" t="s">
        <v>511</v>
      </c>
      <c r="O103" s="176" t="s">
        <v>541</v>
      </c>
      <c r="P103" s="176" t="s">
        <v>782</v>
      </c>
      <c r="Q103" s="176" t="s">
        <v>519</v>
      </c>
      <c r="S103" s="176" t="s">
        <v>734</v>
      </c>
      <c r="T103" s="176" t="s">
        <v>722</v>
      </c>
      <c r="U103" s="176" t="s">
        <v>522</v>
      </c>
      <c r="V103" s="176" t="s">
        <v>486</v>
      </c>
      <c r="W103" s="176" t="s">
        <v>517</v>
      </c>
      <c r="X103" s="176" t="s">
        <v>503</v>
      </c>
      <c r="Z103" s="176" t="s">
        <v>742</v>
      </c>
      <c r="AA103" s="176" t="s">
        <v>209</v>
      </c>
      <c r="AD103" s="176" t="s">
        <v>580</v>
      </c>
    </row>
    <row r="104" spans="1:30">
      <c r="B104" s="176" t="s">
        <v>714</v>
      </c>
      <c r="C104" s="176" t="s">
        <v>521</v>
      </c>
      <c r="E104" s="176" t="s">
        <v>741</v>
      </c>
      <c r="F104" s="176" t="s">
        <v>713</v>
      </c>
      <c r="G104" s="176" t="s">
        <v>548</v>
      </c>
      <c r="H104" s="176" t="s">
        <v>507</v>
      </c>
      <c r="I104" s="176" t="s">
        <v>549</v>
      </c>
      <c r="J104" s="176" t="s">
        <v>532</v>
      </c>
      <c r="M104" s="176" t="s">
        <v>514</v>
      </c>
      <c r="O104" s="176" t="s">
        <v>542</v>
      </c>
      <c r="P104" s="176" t="s">
        <v>783</v>
      </c>
      <c r="Q104" s="176" t="s">
        <v>633</v>
      </c>
      <c r="S104" s="176" t="s">
        <v>533</v>
      </c>
      <c r="T104" s="176" t="s">
        <v>549</v>
      </c>
      <c r="U104" s="176" t="s">
        <v>733</v>
      </c>
      <c r="V104" s="176" t="s">
        <v>547</v>
      </c>
      <c r="W104" s="176" t="s">
        <v>735</v>
      </c>
      <c r="X104" s="176" t="s">
        <v>502</v>
      </c>
      <c r="Z104" s="176" t="s">
        <v>492</v>
      </c>
      <c r="AA104" s="176" t="s">
        <v>630</v>
      </c>
      <c r="AD104" s="176" t="s">
        <v>556</v>
      </c>
    </row>
    <row r="105" spans="1:30">
      <c r="B105" s="176" t="s">
        <v>753</v>
      </c>
      <c r="C105" s="176" t="s">
        <v>494</v>
      </c>
      <c r="E105" s="176" t="s">
        <v>491</v>
      </c>
      <c r="F105" s="176" t="s">
        <v>714</v>
      </c>
      <c r="G105" s="176" t="s">
        <v>488</v>
      </c>
      <c r="H105" s="176" t="s">
        <v>508</v>
      </c>
      <c r="I105" s="176" t="s">
        <v>612</v>
      </c>
      <c r="J105" s="176" t="s">
        <v>533</v>
      </c>
      <c r="M105" s="176" t="s">
        <v>516</v>
      </c>
      <c r="O105" s="176" t="s">
        <v>543</v>
      </c>
      <c r="P105" s="176" t="s">
        <v>650</v>
      </c>
      <c r="Q105" s="176" t="s">
        <v>520</v>
      </c>
      <c r="S105" s="176" t="s">
        <v>484</v>
      </c>
      <c r="T105" s="176" t="s">
        <v>612</v>
      </c>
      <c r="U105" s="176" t="s">
        <v>523</v>
      </c>
      <c r="V105" s="176" t="s">
        <v>497</v>
      </c>
      <c r="W105" s="176" t="s">
        <v>486</v>
      </c>
      <c r="X105" s="176" t="s">
        <v>735</v>
      </c>
      <c r="Z105" s="176" t="s">
        <v>738</v>
      </c>
      <c r="AA105" s="176" t="s">
        <v>633</v>
      </c>
      <c r="AD105" s="176" t="s">
        <v>736</v>
      </c>
    </row>
    <row r="106" spans="1:30">
      <c r="B106" s="176" t="s">
        <v>754</v>
      </c>
      <c r="C106" s="176" t="s">
        <v>492</v>
      </c>
      <c r="E106" s="176" t="s">
        <v>746</v>
      </c>
      <c r="F106" s="176" t="s">
        <v>731</v>
      </c>
      <c r="G106" s="176" t="s">
        <v>742</v>
      </c>
      <c r="H106" s="176" t="s">
        <v>611</v>
      </c>
      <c r="I106" s="176" t="s">
        <v>522</v>
      </c>
      <c r="J106" s="176" t="s">
        <v>545</v>
      </c>
      <c r="M106" s="176" t="s">
        <v>513</v>
      </c>
      <c r="O106" s="176" t="s">
        <v>535</v>
      </c>
      <c r="P106" s="176" t="s">
        <v>534</v>
      </c>
      <c r="Q106" s="176" t="s">
        <v>629</v>
      </c>
      <c r="S106" s="176" t="s">
        <v>649</v>
      </c>
      <c r="T106" s="176" t="s">
        <v>725</v>
      </c>
      <c r="U106" s="176" t="s">
        <v>518</v>
      </c>
      <c r="V106" s="176" t="s">
        <v>744</v>
      </c>
      <c r="W106" s="176" t="s">
        <v>485</v>
      </c>
      <c r="X106" s="176" t="s">
        <v>615</v>
      </c>
      <c r="Z106" s="176" t="s">
        <v>747</v>
      </c>
      <c r="AA106" s="176" t="s">
        <v>519</v>
      </c>
      <c r="AD106" s="176" t="s">
        <v>488</v>
      </c>
    </row>
    <row r="107" spans="1:30">
      <c r="B107" s="176" t="s">
        <v>635</v>
      </c>
      <c r="C107" s="176" t="s">
        <v>741</v>
      </c>
      <c r="E107" s="176" t="s">
        <v>742</v>
      </c>
      <c r="F107" s="176" t="s">
        <v>487</v>
      </c>
      <c r="G107" s="176" t="s">
        <v>747</v>
      </c>
      <c r="H107" s="176" t="s">
        <v>527</v>
      </c>
      <c r="I107" s="176" t="s">
        <v>524</v>
      </c>
      <c r="J107" s="176" t="s">
        <v>546</v>
      </c>
      <c r="M107" s="176" t="s">
        <v>734</v>
      </c>
      <c r="O107" s="176" t="s">
        <v>536</v>
      </c>
      <c r="P107" s="176" t="s">
        <v>541</v>
      </c>
      <c r="Q107" s="176" t="s">
        <v>722</v>
      </c>
      <c r="S107" s="176" t="s">
        <v>615</v>
      </c>
      <c r="T107" s="176" t="s">
        <v>522</v>
      </c>
      <c r="U107" s="176" t="s">
        <v>519</v>
      </c>
      <c r="V107" s="176" t="s">
        <v>549</v>
      </c>
      <c r="W107" s="176" t="s">
        <v>537</v>
      </c>
      <c r="X107" s="176" t="s">
        <v>732</v>
      </c>
      <c r="Z107" s="176" t="s">
        <v>556</v>
      </c>
      <c r="AA107" s="176" t="s">
        <v>723</v>
      </c>
      <c r="AD107" s="176" t="s">
        <v>737</v>
      </c>
    </row>
    <row r="108" spans="1:30">
      <c r="B108" s="176" t="s">
        <v>636</v>
      </c>
      <c r="C108" s="176" t="s">
        <v>619</v>
      </c>
      <c r="E108" s="176" t="s">
        <v>492</v>
      </c>
      <c r="F108" s="176" t="s">
        <v>492</v>
      </c>
      <c r="G108" s="176" t="s">
        <v>713</v>
      </c>
      <c r="H108" s="176" t="s">
        <v>634</v>
      </c>
      <c r="I108" s="176" t="s">
        <v>525</v>
      </c>
      <c r="J108" s="176" t="s">
        <v>727</v>
      </c>
      <c r="M108" s="176" t="s">
        <v>501</v>
      </c>
      <c r="O108" s="176" t="s">
        <v>537</v>
      </c>
      <c r="P108" s="176" t="s">
        <v>687</v>
      </c>
      <c r="S108" s="176" t="s">
        <v>501</v>
      </c>
      <c r="T108" s="176" t="s">
        <v>524</v>
      </c>
      <c r="U108" s="176" t="s">
        <v>633</v>
      </c>
      <c r="V108" s="176" t="s">
        <v>612</v>
      </c>
      <c r="W108" s="176" t="s">
        <v>614</v>
      </c>
      <c r="X108" s="176" t="s">
        <v>638</v>
      </c>
      <c r="Z108" s="176" t="s">
        <v>493</v>
      </c>
      <c r="AA108" s="176" t="s">
        <v>522</v>
      </c>
      <c r="AD108" s="176" t="s">
        <v>548</v>
      </c>
    </row>
    <row r="109" spans="1:30">
      <c r="B109" s="176" t="s">
        <v>651</v>
      </c>
      <c r="C109" s="176" t="s">
        <v>489</v>
      </c>
      <c r="E109" s="176" t="s">
        <v>738</v>
      </c>
      <c r="F109" s="176" t="s">
        <v>491</v>
      </c>
      <c r="G109" s="176" t="s">
        <v>496</v>
      </c>
      <c r="H109" s="176" t="s">
        <v>549</v>
      </c>
      <c r="I109" s="176" t="s">
        <v>638</v>
      </c>
      <c r="J109" s="176" t="s">
        <v>712</v>
      </c>
      <c r="M109" s="176" t="s">
        <v>502</v>
      </c>
      <c r="O109" s="176" t="s">
        <v>689</v>
      </c>
      <c r="P109" s="176" t="s">
        <v>539</v>
      </c>
      <c r="Q109" s="176" t="s">
        <v>734</v>
      </c>
      <c r="S109" s="176" t="s">
        <v>618</v>
      </c>
      <c r="T109" s="176" t="s">
        <v>525</v>
      </c>
      <c r="U109" s="176" t="s">
        <v>613</v>
      </c>
      <c r="V109" s="176" t="s">
        <v>522</v>
      </c>
      <c r="W109" s="176" t="s">
        <v>737</v>
      </c>
      <c r="X109" s="176" t="s">
        <v>498</v>
      </c>
      <c r="Z109" s="176" t="s">
        <v>495</v>
      </c>
      <c r="AA109" s="176" t="s">
        <v>549</v>
      </c>
      <c r="AD109" s="176" t="s">
        <v>493</v>
      </c>
    </row>
    <row r="110" spans="1:30">
      <c r="B110" s="176" t="s">
        <v>534</v>
      </c>
      <c r="C110" s="176" t="s">
        <v>713</v>
      </c>
      <c r="E110" s="176" t="s">
        <v>747</v>
      </c>
      <c r="F110" s="176" t="s">
        <v>496</v>
      </c>
      <c r="G110" s="176" t="s">
        <v>495</v>
      </c>
      <c r="H110" s="176" t="s">
        <v>612</v>
      </c>
      <c r="I110" s="176" t="s">
        <v>499</v>
      </c>
      <c r="J110" s="176" t="s">
        <v>617</v>
      </c>
      <c r="M110" s="176" t="s">
        <v>503</v>
      </c>
      <c r="O110" s="176" t="s">
        <v>687</v>
      </c>
      <c r="P110" s="176" t="s">
        <v>755</v>
      </c>
      <c r="Q110" s="176" t="s">
        <v>523</v>
      </c>
      <c r="S110" s="176" t="s">
        <v>502</v>
      </c>
      <c r="T110" s="176" t="s">
        <v>733</v>
      </c>
      <c r="U110" s="176" t="s">
        <v>629</v>
      </c>
      <c r="V110" s="176" t="s">
        <v>733</v>
      </c>
      <c r="W110" s="176" t="s">
        <v>549</v>
      </c>
      <c r="X110" s="176" t="s">
        <v>616</v>
      </c>
      <c r="Z110" s="176" t="s">
        <v>496</v>
      </c>
      <c r="AA110" s="176" t="s">
        <v>615</v>
      </c>
      <c r="AD110" s="176" t="s">
        <v>491</v>
      </c>
    </row>
    <row r="111" spans="1:30">
      <c r="B111" s="176" t="s">
        <v>535</v>
      </c>
      <c r="C111" s="176" t="s">
        <v>694</v>
      </c>
      <c r="E111" s="176" t="s">
        <v>694</v>
      </c>
      <c r="F111" s="176" t="s">
        <v>738</v>
      </c>
      <c r="G111" s="176" t="s">
        <v>490</v>
      </c>
      <c r="H111" s="176" t="s">
        <v>525</v>
      </c>
      <c r="I111" s="176" t="s">
        <v>505</v>
      </c>
      <c r="J111" s="176" t="s">
        <v>544</v>
      </c>
      <c r="M111" s="176" t="s">
        <v>615</v>
      </c>
      <c r="O111" s="176" t="s">
        <v>690</v>
      </c>
      <c r="P111" s="176" t="s">
        <v>729</v>
      </c>
      <c r="Q111" s="176" t="s">
        <v>630</v>
      </c>
      <c r="S111" s="176" t="s">
        <v>503</v>
      </c>
      <c r="T111" s="176" t="s">
        <v>526</v>
      </c>
      <c r="U111" s="176" t="s">
        <v>722</v>
      </c>
      <c r="V111" s="176" t="s">
        <v>524</v>
      </c>
      <c r="W111" s="176" t="s">
        <v>738</v>
      </c>
      <c r="X111" s="176" t="s">
        <v>499</v>
      </c>
      <c r="Z111" s="176" t="s">
        <v>736</v>
      </c>
      <c r="AA111" s="176" t="s">
        <v>502</v>
      </c>
      <c r="AD111" s="176" t="s">
        <v>713</v>
      </c>
    </row>
    <row r="112" spans="1:30" ht="23.25">
      <c r="A112" s="270"/>
      <c r="B112" s="175" t="s">
        <v>537</v>
      </c>
      <c r="C112" s="175" t="s">
        <v>746</v>
      </c>
      <c r="D112" s="270"/>
      <c r="E112" s="175" t="s">
        <v>556</v>
      </c>
      <c r="F112" s="175" t="s">
        <v>742</v>
      </c>
      <c r="G112" s="175" t="s">
        <v>487</v>
      </c>
      <c r="H112" s="175" t="s">
        <v>725</v>
      </c>
      <c r="I112" s="175" t="s">
        <v>498</v>
      </c>
      <c r="J112" s="175" t="s">
        <v>500</v>
      </c>
      <c r="K112" s="270"/>
      <c r="L112" s="270"/>
      <c r="M112" s="175" t="s">
        <v>735</v>
      </c>
      <c r="N112" s="175"/>
      <c r="O112" s="175" t="s">
        <v>539</v>
      </c>
      <c r="P112" s="175" t="s">
        <v>542</v>
      </c>
      <c r="Q112" s="175" t="s">
        <v>502</v>
      </c>
      <c r="R112" s="270"/>
      <c r="S112" s="176" t="s">
        <v>735</v>
      </c>
      <c r="T112" s="175" t="s">
        <v>734</v>
      </c>
      <c r="U112" s="175" t="s">
        <v>503</v>
      </c>
      <c r="V112" s="175" t="s">
        <v>514</v>
      </c>
      <c r="W112" s="176" t="s">
        <v>501</v>
      </c>
      <c r="X112" s="176" t="s">
        <v>505</v>
      </c>
      <c r="Z112" s="176" t="s">
        <v>739</v>
      </c>
      <c r="AA112" s="176" t="s">
        <v>733</v>
      </c>
      <c r="AD112" s="176" t="s">
        <v>489</v>
      </c>
    </row>
    <row r="113" spans="2:30">
      <c r="B113" s="176" t="s">
        <v>538</v>
      </c>
      <c r="C113" s="176" t="s">
        <v>737</v>
      </c>
      <c r="E113" s="176" t="s">
        <v>493</v>
      </c>
      <c r="F113" s="176" t="s">
        <v>747</v>
      </c>
      <c r="G113" s="176" t="s">
        <v>492</v>
      </c>
      <c r="H113" s="176" t="s">
        <v>524</v>
      </c>
      <c r="I113" s="176" t="s">
        <v>616</v>
      </c>
      <c r="J113" s="176" t="s">
        <v>728</v>
      </c>
      <c r="M113" s="176" t="s">
        <v>732</v>
      </c>
      <c r="O113" s="176" t="s">
        <v>755</v>
      </c>
      <c r="P113" s="176" t="s">
        <v>543</v>
      </c>
      <c r="Q113" s="176" t="s">
        <v>503</v>
      </c>
      <c r="S113" s="176" t="s">
        <v>629</v>
      </c>
      <c r="T113" s="176" t="s">
        <v>503</v>
      </c>
      <c r="U113" s="176" t="s">
        <v>502</v>
      </c>
      <c r="V113" s="176" t="s">
        <v>526</v>
      </c>
      <c r="W113" s="176" t="s">
        <v>712</v>
      </c>
      <c r="Z113" s="176" t="s">
        <v>737</v>
      </c>
      <c r="AA113" s="176" t="s">
        <v>523</v>
      </c>
      <c r="AD113" s="176" t="s">
        <v>746</v>
      </c>
    </row>
    <row r="114" spans="2:30">
      <c r="B114" s="176" t="s">
        <v>541</v>
      </c>
      <c r="C114" s="176" t="s">
        <v>487</v>
      </c>
      <c r="E114" s="176" t="s">
        <v>495</v>
      </c>
      <c r="F114" s="176" t="s">
        <v>490</v>
      </c>
      <c r="G114" s="176" t="s">
        <v>619</v>
      </c>
      <c r="H114" s="176" t="s">
        <v>733</v>
      </c>
      <c r="M114" s="176" t="s">
        <v>638</v>
      </c>
      <c r="O114" s="176" t="s">
        <v>756</v>
      </c>
      <c r="P114" s="176" t="s">
        <v>636</v>
      </c>
      <c r="Q114" s="176" t="s">
        <v>735</v>
      </c>
      <c r="S114" s="176" t="s">
        <v>611</v>
      </c>
      <c r="T114" s="176" t="s">
        <v>502</v>
      </c>
      <c r="U114" s="176" t="s">
        <v>735</v>
      </c>
      <c r="V114" s="176" t="s">
        <v>528</v>
      </c>
      <c r="W114" s="176" t="s">
        <v>529</v>
      </c>
      <c r="Z114" s="176" t="s">
        <v>485</v>
      </c>
      <c r="AA114" s="176" t="s">
        <v>725</v>
      </c>
      <c r="AD114" s="176" t="s">
        <v>731</v>
      </c>
    </row>
    <row r="115" spans="2:30">
      <c r="B115" s="176" t="s">
        <v>687</v>
      </c>
      <c r="C115" s="176" t="s">
        <v>742</v>
      </c>
      <c r="E115" s="176" t="s">
        <v>496</v>
      </c>
      <c r="F115" s="176" t="s">
        <v>489</v>
      </c>
      <c r="G115" s="176" t="s">
        <v>731</v>
      </c>
      <c r="H115" s="176" t="s">
        <v>522</v>
      </c>
      <c r="M115" s="176" t="s">
        <v>505</v>
      </c>
      <c r="O115" s="176" t="s">
        <v>540</v>
      </c>
      <c r="P115" s="176" t="s">
        <v>535</v>
      </c>
      <c r="Q115" s="176" t="s">
        <v>732</v>
      </c>
      <c r="S115" s="176" t="s">
        <v>527</v>
      </c>
      <c r="T115" s="176" t="s">
        <v>735</v>
      </c>
      <c r="U115" s="176" t="s">
        <v>501</v>
      </c>
      <c r="V115" s="176" t="s">
        <v>614</v>
      </c>
      <c r="W115" s="176" t="s">
        <v>731</v>
      </c>
      <c r="Z115" s="176" t="s">
        <v>580</v>
      </c>
      <c r="AA115" s="176" t="s">
        <v>612</v>
      </c>
      <c r="AD115" s="176" t="s">
        <v>487</v>
      </c>
    </row>
    <row r="116" spans="2:30">
      <c r="B116" s="176" t="s">
        <v>539</v>
      </c>
      <c r="C116" s="176" t="s">
        <v>488</v>
      </c>
      <c r="E116" s="176" t="s">
        <v>736</v>
      </c>
      <c r="F116" s="176" t="s">
        <v>619</v>
      </c>
      <c r="G116" s="176" t="s">
        <v>746</v>
      </c>
      <c r="H116" s="176" t="s">
        <v>732</v>
      </c>
      <c r="M116" s="176" t="s">
        <v>498</v>
      </c>
      <c r="O116" s="176" t="s">
        <v>729</v>
      </c>
      <c r="P116" s="176" t="s">
        <v>536</v>
      </c>
      <c r="Q116" s="176" t="s">
        <v>638</v>
      </c>
      <c r="S116" s="176" t="s">
        <v>634</v>
      </c>
      <c r="T116" s="176" t="s">
        <v>615</v>
      </c>
      <c r="U116" s="176" t="s">
        <v>615</v>
      </c>
      <c r="V116" s="176" t="s">
        <v>518</v>
      </c>
      <c r="W116" s="176" t="s">
        <v>508</v>
      </c>
      <c r="Z116" s="176" t="s">
        <v>713</v>
      </c>
      <c r="AA116" s="176" t="s">
        <v>632</v>
      </c>
      <c r="AD116" s="176" t="s">
        <v>619</v>
      </c>
    </row>
    <row r="117" spans="2:30">
      <c r="B117" s="176" t="s">
        <v>755</v>
      </c>
      <c r="C117" s="176" t="s">
        <v>710</v>
      </c>
      <c r="E117" s="176" t="s">
        <v>731</v>
      </c>
      <c r="F117" s="176" t="s">
        <v>746</v>
      </c>
      <c r="G117" s="176" t="s">
        <v>741</v>
      </c>
      <c r="H117" s="176" t="s">
        <v>638</v>
      </c>
      <c r="M117" s="176" t="s">
        <v>616</v>
      </c>
      <c r="O117" s="176" t="s">
        <v>784</v>
      </c>
      <c r="P117" s="176" t="s">
        <v>537</v>
      </c>
      <c r="Q117" s="176" t="s">
        <v>499</v>
      </c>
      <c r="S117" s="176" t="s">
        <v>523</v>
      </c>
      <c r="T117" s="176" t="s">
        <v>501</v>
      </c>
      <c r="U117" s="176" t="s">
        <v>734</v>
      </c>
      <c r="V117" s="176" t="s">
        <v>519</v>
      </c>
      <c r="W117" s="176" t="s">
        <v>527</v>
      </c>
      <c r="Z117" s="176" t="s">
        <v>714</v>
      </c>
      <c r="AA117" s="176" t="s">
        <v>521</v>
      </c>
      <c r="AD117" s="176" t="s">
        <v>741</v>
      </c>
    </row>
    <row r="118" spans="2:30">
      <c r="B118" s="176" t="s">
        <v>540</v>
      </c>
      <c r="C118" s="176" t="s">
        <v>484</v>
      </c>
      <c r="E118" s="176" t="s">
        <v>494</v>
      </c>
      <c r="F118" s="176" t="s">
        <v>741</v>
      </c>
      <c r="G118" s="176" t="s">
        <v>694</v>
      </c>
      <c r="H118" s="176" t="s">
        <v>499</v>
      </c>
      <c r="M118" s="176" t="s">
        <v>618</v>
      </c>
      <c r="O118" s="176" t="s">
        <v>651</v>
      </c>
      <c r="P118" s="176" t="s">
        <v>689</v>
      </c>
      <c r="Q118" s="176" t="s">
        <v>505</v>
      </c>
      <c r="S118" s="176" t="s">
        <v>518</v>
      </c>
      <c r="T118" s="176" t="s">
        <v>732</v>
      </c>
      <c r="U118" s="176" t="s">
        <v>732</v>
      </c>
      <c r="W118" s="176" t="s">
        <v>756</v>
      </c>
      <c r="Z118" s="176" t="s">
        <v>710</v>
      </c>
      <c r="AA118" s="176" t="s">
        <v>503</v>
      </c>
      <c r="AD118" s="176" t="s">
        <v>739</v>
      </c>
    </row>
    <row r="119" spans="2:30">
      <c r="B119" s="176" t="s">
        <v>756</v>
      </c>
      <c r="C119" s="176" t="s">
        <v>649</v>
      </c>
      <c r="E119" s="176" t="s">
        <v>714</v>
      </c>
      <c r="F119" s="176" t="s">
        <v>694</v>
      </c>
      <c r="G119" s="176" t="s">
        <v>489</v>
      </c>
      <c r="H119" s="176" t="s">
        <v>505</v>
      </c>
      <c r="M119" s="176" t="s">
        <v>499</v>
      </c>
      <c r="P119" s="176" t="s">
        <v>538</v>
      </c>
      <c r="Q119" s="176" t="s">
        <v>498</v>
      </c>
      <c r="S119" s="176" t="s">
        <v>519</v>
      </c>
      <c r="T119" s="176" t="s">
        <v>638</v>
      </c>
      <c r="U119" s="176" t="s">
        <v>499</v>
      </c>
      <c r="W119" s="176" t="s">
        <v>729</v>
      </c>
      <c r="Z119" s="176" t="s">
        <v>494</v>
      </c>
      <c r="AA119" s="176" t="s">
        <v>724</v>
      </c>
      <c r="AD119" s="176" t="s">
        <v>496</v>
      </c>
    </row>
    <row r="120" spans="2:30">
      <c r="B120" s="176" t="s">
        <v>729</v>
      </c>
      <c r="E120" s="176" t="s">
        <v>619</v>
      </c>
      <c r="F120" s="176" t="s">
        <v>649</v>
      </c>
      <c r="H120" s="176" t="s">
        <v>498</v>
      </c>
      <c r="O120" s="176" t="s">
        <v>730</v>
      </c>
      <c r="P120" s="176" t="s">
        <v>690</v>
      </c>
      <c r="Q120" s="176" t="s">
        <v>616</v>
      </c>
      <c r="S120" s="176" t="s">
        <v>610</v>
      </c>
      <c r="T120" s="176" t="s">
        <v>499</v>
      </c>
      <c r="U120" s="176" t="s">
        <v>505</v>
      </c>
      <c r="W120" s="176" t="s">
        <v>638</v>
      </c>
      <c r="Z120" s="176" t="s">
        <v>731</v>
      </c>
      <c r="AA120" s="176" t="s">
        <v>532</v>
      </c>
      <c r="AD120" s="176" t="s">
        <v>495</v>
      </c>
    </row>
    <row r="121" spans="2:30">
      <c r="B121" s="176" t="s">
        <v>542</v>
      </c>
      <c r="E121" s="176" t="s">
        <v>713</v>
      </c>
      <c r="F121" s="176" t="s">
        <v>484</v>
      </c>
      <c r="H121" s="176" t="s">
        <v>616</v>
      </c>
      <c r="O121" s="176" t="s">
        <v>534</v>
      </c>
      <c r="P121" s="176" t="s">
        <v>540</v>
      </c>
      <c r="Q121" s="176" t="s">
        <v>501</v>
      </c>
      <c r="S121" s="176" t="s">
        <v>630</v>
      </c>
      <c r="T121" s="176" t="s">
        <v>505</v>
      </c>
      <c r="U121" s="176" t="s">
        <v>498</v>
      </c>
      <c r="W121" s="176" t="s">
        <v>629</v>
      </c>
      <c r="Z121" s="176" t="s">
        <v>619</v>
      </c>
      <c r="AA121" s="176" t="s">
        <v>517</v>
      </c>
      <c r="AD121" s="176" t="s">
        <v>742</v>
      </c>
    </row>
    <row r="122" spans="2:30">
      <c r="B122" s="176" t="s">
        <v>543</v>
      </c>
      <c r="E122" s="176" t="s">
        <v>580</v>
      </c>
      <c r="O122" s="176" t="s">
        <v>650</v>
      </c>
      <c r="P122" s="176" t="s">
        <v>756</v>
      </c>
      <c r="Q122" s="176" t="s">
        <v>484</v>
      </c>
      <c r="S122" s="176" t="s">
        <v>722</v>
      </c>
      <c r="T122" s="176" t="s">
        <v>498</v>
      </c>
      <c r="U122" s="176" t="s">
        <v>616</v>
      </c>
      <c r="W122" s="176" t="s">
        <v>540</v>
      </c>
      <c r="Z122" s="176" t="s">
        <v>483</v>
      </c>
      <c r="AA122" s="176" t="s">
        <v>618</v>
      </c>
      <c r="AD122" s="176" t="s">
        <v>492</v>
      </c>
    </row>
    <row r="123" spans="2:30">
      <c r="B123" s="176" t="s">
        <v>730</v>
      </c>
      <c r="E123" s="176" t="s">
        <v>485</v>
      </c>
      <c r="P123" s="176" t="s">
        <v>651</v>
      </c>
      <c r="T123" s="176" t="s">
        <v>616</v>
      </c>
      <c r="U123" s="176" t="s">
        <v>638</v>
      </c>
      <c r="W123" s="176" t="s">
        <v>754</v>
      </c>
      <c r="AA123" s="176" t="s">
        <v>629</v>
      </c>
    </row>
    <row r="124" spans="2:30">
      <c r="B124" s="176" t="s">
        <v>690</v>
      </c>
      <c r="E124" s="176" t="s">
        <v>737</v>
      </c>
      <c r="P124" s="176" t="s">
        <v>784</v>
      </c>
    </row>
    <row r="125" spans="2:30">
      <c r="B125" s="176" t="s">
        <v>689</v>
      </c>
      <c r="E125" s="176" t="s">
        <v>739</v>
      </c>
      <c r="P125" s="176" t="s">
        <v>730</v>
      </c>
    </row>
    <row r="126" spans="2:30">
      <c r="B126" s="176" t="s">
        <v>774</v>
      </c>
      <c r="E126" s="176" t="s">
        <v>497</v>
      </c>
    </row>
    <row r="127" spans="2:30">
      <c r="B127" s="176" t="s">
        <v>775</v>
      </c>
      <c r="E127" s="176" t="s">
        <v>744</v>
      </c>
    </row>
    <row r="128" spans="2:30">
      <c r="B128" s="176" t="s">
        <v>776</v>
      </c>
      <c r="E128" s="176" t="s">
        <v>710</v>
      </c>
    </row>
  </sheetData>
  <autoFilter ref="A1:AE128" xr:uid="{00000000-0009-0000-0000-000006000000}"/>
  <pageMargins left="0.7" right="0.7" top="0.75" bottom="0.75" header="0.3" footer="0.3"/>
  <pageSetup paperSize="10000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141"/>
  <sheetViews>
    <sheetView zoomScale="80" zoomScaleNormal="80" zoomScaleSheetLayoutView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E102" sqref="AE102"/>
    </sheetView>
  </sheetViews>
  <sheetFormatPr defaultColWidth="9.140625" defaultRowHeight="15"/>
  <cols>
    <col min="1" max="1" width="22.28515625" style="45" customWidth="1"/>
    <col min="2" max="2" width="4.85546875" style="45" customWidth="1"/>
    <col min="3" max="3" width="6" style="1099" customWidth="1"/>
    <col min="4" max="5" width="6" style="45" customWidth="1"/>
    <col min="6" max="6" width="6" style="1099" customWidth="1"/>
    <col min="7" max="9" width="6" style="45" customWidth="1"/>
    <col min="10" max="10" width="6.28515625" style="45" customWidth="1"/>
    <col min="11" max="12" width="6" style="45" customWidth="1"/>
    <col min="13" max="14" width="6" style="1099" customWidth="1"/>
    <col min="15" max="19" width="6" style="45" customWidth="1"/>
    <col min="20" max="20" width="6" style="1099" customWidth="1"/>
    <col min="21" max="25" width="6" style="45" customWidth="1"/>
    <col min="26" max="26" width="6.42578125" style="45" customWidth="1"/>
    <col min="27" max="27" width="6.140625" style="1099" customWidth="1"/>
    <col min="28" max="30" width="6" style="45" customWidth="1"/>
    <col min="31" max="31" width="6" style="1099" customWidth="1"/>
    <col min="32" max="32" width="6" style="45" customWidth="1"/>
    <col min="33" max="33" width="6.5703125" style="45" customWidth="1"/>
    <col min="34" max="34" width="9.85546875" style="46" customWidth="1"/>
    <col min="35" max="35" width="10.7109375" style="47" customWidth="1"/>
    <col min="36" max="36" width="15.42578125" style="48" customWidth="1"/>
    <col min="37" max="37" width="19.28515625" style="45" customWidth="1"/>
    <col min="38" max="38" width="12.5703125" style="45" customWidth="1"/>
    <col min="39" max="39" width="12.7109375" style="45" customWidth="1"/>
    <col min="40" max="16384" width="9.140625" style="45"/>
  </cols>
  <sheetData>
    <row r="1" spans="1:38" s="4" customFormat="1" ht="27.75" customHeight="1" thickBot="1">
      <c r="A1" s="1966" t="s">
        <v>253</v>
      </c>
      <c r="B1" s="1966"/>
      <c r="C1" s="1966"/>
      <c r="D1" s="1966"/>
      <c r="F1" s="1107"/>
      <c r="M1" s="1107"/>
      <c r="N1" s="1107"/>
      <c r="T1" s="1107"/>
      <c r="AA1" s="1107"/>
      <c r="AE1" s="1107"/>
      <c r="AH1" s="5"/>
      <c r="AI1" s="6"/>
      <c r="AJ1" s="7"/>
    </row>
    <row r="2" spans="1:38" s="9" customFormat="1">
      <c r="A2" s="1967" t="s">
        <v>7</v>
      </c>
      <c r="B2" s="1969" t="s">
        <v>247</v>
      </c>
      <c r="C2" s="1971" t="s">
        <v>234</v>
      </c>
      <c r="D2" s="1971"/>
      <c r="E2" s="1971"/>
      <c r="F2" s="1971"/>
      <c r="G2" s="1971"/>
      <c r="H2" s="1971"/>
      <c r="I2" s="1971"/>
      <c r="J2" s="1971"/>
      <c r="K2" s="1971"/>
      <c r="L2" s="1971"/>
      <c r="M2" s="1971"/>
      <c r="N2" s="1971"/>
      <c r="O2" s="1971"/>
      <c r="P2" s="1971"/>
      <c r="Q2" s="1971"/>
      <c r="R2" s="1971"/>
      <c r="S2" s="1971"/>
      <c r="T2" s="1971"/>
      <c r="U2" s="1971"/>
      <c r="V2" s="1971"/>
      <c r="W2" s="1971"/>
      <c r="X2" s="1971"/>
      <c r="Y2" s="1971"/>
      <c r="Z2" s="1971"/>
      <c r="AA2" s="1971"/>
      <c r="AB2" s="1971"/>
      <c r="AC2" s="1971"/>
      <c r="AD2" s="1971"/>
      <c r="AE2" s="1971"/>
      <c r="AF2" s="1971"/>
      <c r="AG2" s="1972"/>
      <c r="AH2" s="8" t="s">
        <v>38</v>
      </c>
      <c r="AI2" s="1977" t="s">
        <v>248</v>
      </c>
      <c r="AJ2" s="1979" t="s">
        <v>38</v>
      </c>
    </row>
    <row r="3" spans="1:38" s="9" customFormat="1" ht="15.75" thickBot="1">
      <c r="A3" s="1968"/>
      <c r="B3" s="1970"/>
      <c r="C3" s="1091">
        <v>1</v>
      </c>
      <c r="D3" s="1192">
        <v>2</v>
      </c>
      <c r="E3" s="1192">
        <v>3</v>
      </c>
      <c r="F3" s="1091">
        <v>4</v>
      </c>
      <c r="G3" s="1192">
        <v>5</v>
      </c>
      <c r="H3" s="1192">
        <v>6</v>
      </c>
      <c r="I3" s="1192">
        <v>7</v>
      </c>
      <c r="J3" s="1192">
        <v>8</v>
      </c>
      <c r="K3" s="1192">
        <v>9</v>
      </c>
      <c r="L3" s="1192">
        <v>10</v>
      </c>
      <c r="M3" s="1091">
        <v>11</v>
      </c>
      <c r="N3" s="1091">
        <v>12</v>
      </c>
      <c r="O3" s="1192">
        <v>13</v>
      </c>
      <c r="P3" s="1192">
        <v>14</v>
      </c>
      <c r="Q3" s="1192">
        <v>15</v>
      </c>
      <c r="R3" s="1192">
        <v>16</v>
      </c>
      <c r="S3" s="1192">
        <v>17</v>
      </c>
      <c r="T3" s="1091">
        <v>18</v>
      </c>
      <c r="U3" s="1192">
        <v>19</v>
      </c>
      <c r="V3" s="1192">
        <v>20</v>
      </c>
      <c r="W3" s="1192">
        <v>21</v>
      </c>
      <c r="X3" s="1192">
        <v>22</v>
      </c>
      <c r="Y3" s="1192">
        <v>23</v>
      </c>
      <c r="Z3" s="1192">
        <v>24</v>
      </c>
      <c r="AA3" s="1091">
        <v>25</v>
      </c>
      <c r="AB3" s="1192">
        <v>26</v>
      </c>
      <c r="AC3" s="1192">
        <v>27</v>
      </c>
      <c r="AD3" s="1192">
        <v>28</v>
      </c>
      <c r="AE3" s="1091">
        <v>29</v>
      </c>
      <c r="AF3" s="1192">
        <v>30</v>
      </c>
      <c r="AG3" s="1087">
        <v>31</v>
      </c>
      <c r="AH3" s="10" t="s">
        <v>247</v>
      </c>
      <c r="AI3" s="1978"/>
      <c r="AJ3" s="1980"/>
    </row>
    <row r="4" spans="1:38" s="15" customFormat="1" ht="24" customHeight="1">
      <c r="A4" s="1973" t="s">
        <v>187</v>
      </c>
      <c r="B4" s="11">
        <v>1</v>
      </c>
      <c r="C4" s="1092"/>
      <c r="D4" s="11">
        <v>1</v>
      </c>
      <c r="E4" s="11">
        <v>1</v>
      </c>
      <c r="F4" s="1092"/>
      <c r="G4" s="11">
        <v>1</v>
      </c>
      <c r="H4" s="11">
        <v>1</v>
      </c>
      <c r="I4" s="11">
        <v>1</v>
      </c>
      <c r="J4" s="11">
        <v>1</v>
      </c>
      <c r="K4" s="11">
        <v>1</v>
      </c>
      <c r="L4" s="11">
        <v>1</v>
      </c>
      <c r="M4" s="1092"/>
      <c r="N4" s="1092"/>
      <c r="O4" s="11">
        <v>1</v>
      </c>
      <c r="P4" s="11">
        <v>1</v>
      </c>
      <c r="Q4" s="11">
        <v>1</v>
      </c>
      <c r="R4" s="11">
        <v>1</v>
      </c>
      <c r="S4" s="11">
        <v>1</v>
      </c>
      <c r="T4" s="1092"/>
      <c r="U4" s="11">
        <v>1</v>
      </c>
      <c r="V4" s="11">
        <v>1</v>
      </c>
      <c r="W4" s="11">
        <v>1</v>
      </c>
      <c r="X4" s="11">
        <v>1</v>
      </c>
      <c r="Y4" s="11">
        <v>1</v>
      </c>
      <c r="Z4" s="11">
        <v>1</v>
      </c>
      <c r="AA4" s="1092"/>
      <c r="AB4" s="11">
        <v>1</v>
      </c>
      <c r="AC4" s="11">
        <v>1</v>
      </c>
      <c r="AD4" s="11">
        <v>1</v>
      </c>
      <c r="AE4" s="1092"/>
      <c r="AF4" s="11">
        <v>1</v>
      </c>
      <c r="AG4" s="11">
        <v>1</v>
      </c>
      <c r="AH4" s="12">
        <f>SUM(C4:AG4)</f>
        <v>24</v>
      </c>
      <c r="AI4" s="13">
        <v>33612.14</v>
      </c>
      <c r="AJ4" s="14">
        <f>AH4*AI4</f>
        <v>806691.36</v>
      </c>
    </row>
    <row r="5" spans="1:38" s="20" customFormat="1" ht="24" customHeight="1" thickBot="1">
      <c r="A5" s="1974"/>
      <c r="B5" s="16">
        <v>2</v>
      </c>
      <c r="C5" s="1093"/>
      <c r="D5" s="17">
        <v>4</v>
      </c>
      <c r="E5" s="17">
        <v>3</v>
      </c>
      <c r="F5" s="1093"/>
      <c r="G5" s="17">
        <v>3</v>
      </c>
      <c r="H5" s="17">
        <v>3</v>
      </c>
      <c r="I5" s="17">
        <v>3</v>
      </c>
      <c r="J5" s="17">
        <v>3</v>
      </c>
      <c r="K5" s="17">
        <v>4</v>
      </c>
      <c r="L5" s="17">
        <v>3</v>
      </c>
      <c r="M5" s="1093"/>
      <c r="N5" s="1093"/>
      <c r="O5" s="17">
        <v>3</v>
      </c>
      <c r="P5" s="17">
        <v>3</v>
      </c>
      <c r="Q5" s="17">
        <v>3</v>
      </c>
      <c r="R5" s="17">
        <v>4</v>
      </c>
      <c r="S5" s="17">
        <v>3</v>
      </c>
      <c r="T5" s="1093"/>
      <c r="U5" s="17">
        <v>3</v>
      </c>
      <c r="V5" s="68">
        <v>3</v>
      </c>
      <c r="W5" s="68">
        <v>3</v>
      </c>
      <c r="X5" s="68">
        <v>3</v>
      </c>
      <c r="Y5" s="68">
        <v>4</v>
      </c>
      <c r="Z5" s="17">
        <v>3</v>
      </c>
      <c r="AA5" s="1093"/>
      <c r="AB5" s="17">
        <v>3</v>
      </c>
      <c r="AC5" s="17">
        <v>3</v>
      </c>
      <c r="AD5" s="17">
        <v>3</v>
      </c>
      <c r="AE5" s="1093"/>
      <c r="AF5" s="17">
        <v>3</v>
      </c>
      <c r="AG5" s="17">
        <v>3</v>
      </c>
      <c r="AH5" s="17">
        <f>SUM(C5:AG5)</f>
        <v>76</v>
      </c>
      <c r="AI5" s="18">
        <v>44816.18</v>
      </c>
      <c r="AJ5" s="19">
        <f>AH5*AI5</f>
        <v>3406029.68</v>
      </c>
    </row>
    <row r="6" spans="1:38" s="37" customFormat="1" ht="24" customHeight="1" thickBot="1">
      <c r="A6" s="34" t="s">
        <v>249</v>
      </c>
      <c r="B6" s="23"/>
      <c r="C6" s="1094">
        <f>SUM(C4:C5)</f>
        <v>0</v>
      </c>
      <c r="D6" s="23">
        <f t="shared" ref="D6:AG6" si="0">SUM(D4:D5)</f>
        <v>5</v>
      </c>
      <c r="E6" s="23">
        <f t="shared" si="0"/>
        <v>4</v>
      </c>
      <c r="F6" s="1094">
        <f t="shared" si="0"/>
        <v>0</v>
      </c>
      <c r="G6" s="23">
        <f t="shared" si="0"/>
        <v>4</v>
      </c>
      <c r="H6" s="23">
        <f t="shared" si="0"/>
        <v>4</v>
      </c>
      <c r="I6" s="23">
        <f t="shared" si="0"/>
        <v>4</v>
      </c>
      <c r="J6" s="23">
        <f t="shared" si="0"/>
        <v>4</v>
      </c>
      <c r="K6" s="23">
        <f t="shared" si="0"/>
        <v>5</v>
      </c>
      <c r="L6" s="23">
        <f t="shared" si="0"/>
        <v>4</v>
      </c>
      <c r="M6" s="1094">
        <f t="shared" si="0"/>
        <v>0</v>
      </c>
      <c r="N6" s="1094">
        <f t="shared" si="0"/>
        <v>0</v>
      </c>
      <c r="O6" s="23">
        <f t="shared" si="0"/>
        <v>4</v>
      </c>
      <c r="P6" s="23">
        <f t="shared" si="0"/>
        <v>4</v>
      </c>
      <c r="Q6" s="23">
        <f t="shared" si="0"/>
        <v>4</v>
      </c>
      <c r="R6" s="23">
        <f t="shared" si="0"/>
        <v>5</v>
      </c>
      <c r="S6" s="23">
        <f t="shared" si="0"/>
        <v>4</v>
      </c>
      <c r="T6" s="1094">
        <f t="shared" si="0"/>
        <v>0</v>
      </c>
      <c r="U6" s="23">
        <f t="shared" si="0"/>
        <v>4</v>
      </c>
      <c r="V6" s="23">
        <f t="shared" si="0"/>
        <v>4</v>
      </c>
      <c r="W6" s="23">
        <f t="shared" si="0"/>
        <v>4</v>
      </c>
      <c r="X6" s="23">
        <f t="shared" si="0"/>
        <v>4</v>
      </c>
      <c r="Y6" s="23">
        <f t="shared" si="0"/>
        <v>5</v>
      </c>
      <c r="Z6" s="23">
        <f t="shared" si="0"/>
        <v>4</v>
      </c>
      <c r="AA6" s="1094">
        <f t="shared" si="0"/>
        <v>0</v>
      </c>
      <c r="AB6" s="23">
        <f t="shared" si="0"/>
        <v>4</v>
      </c>
      <c r="AC6" s="23">
        <f t="shared" si="0"/>
        <v>4</v>
      </c>
      <c r="AD6" s="23">
        <f t="shared" si="0"/>
        <v>4</v>
      </c>
      <c r="AE6" s="1094">
        <f t="shared" si="0"/>
        <v>0</v>
      </c>
      <c r="AF6" s="23">
        <f t="shared" si="0"/>
        <v>4</v>
      </c>
      <c r="AG6" s="23">
        <f t="shared" si="0"/>
        <v>4</v>
      </c>
      <c r="AH6" s="23">
        <f>SUM(AH4:AH5)</f>
        <v>100</v>
      </c>
      <c r="AI6" s="35"/>
      <c r="AJ6" s="648">
        <f>SUM(AJ4:AJ5)</f>
        <v>4212721.04</v>
      </c>
    </row>
    <row r="7" spans="1:38" s="15" customFormat="1" ht="24" customHeight="1">
      <c r="A7" s="1981" t="s">
        <v>479</v>
      </c>
      <c r="B7" s="11">
        <v>1</v>
      </c>
      <c r="C7" s="1092"/>
      <c r="D7" s="11">
        <v>1</v>
      </c>
      <c r="E7" s="11">
        <v>1</v>
      </c>
      <c r="F7" s="1092"/>
      <c r="G7" s="11">
        <v>1</v>
      </c>
      <c r="H7" s="11">
        <v>1</v>
      </c>
      <c r="I7" s="11">
        <v>1</v>
      </c>
      <c r="J7" s="11">
        <v>1</v>
      </c>
      <c r="K7" s="11">
        <v>1</v>
      </c>
      <c r="L7" s="11">
        <v>1</v>
      </c>
      <c r="M7" s="1092"/>
      <c r="N7" s="1092"/>
      <c r="O7" s="11">
        <v>1</v>
      </c>
      <c r="P7" s="11">
        <v>1</v>
      </c>
      <c r="Q7" s="11">
        <v>1</v>
      </c>
      <c r="R7" s="11">
        <v>1</v>
      </c>
      <c r="S7" s="11">
        <v>1</v>
      </c>
      <c r="T7" s="1092"/>
      <c r="U7" s="11">
        <v>1</v>
      </c>
      <c r="V7" s="11">
        <v>1</v>
      </c>
      <c r="W7" s="11">
        <v>1</v>
      </c>
      <c r="X7" s="11">
        <v>1</v>
      </c>
      <c r="Y7" s="11">
        <v>1</v>
      </c>
      <c r="Z7" s="11">
        <v>1</v>
      </c>
      <c r="AA7" s="1092"/>
      <c r="AB7" s="11">
        <v>1</v>
      </c>
      <c r="AC7" s="11">
        <v>1</v>
      </c>
      <c r="AD7" s="11">
        <v>1</v>
      </c>
      <c r="AE7" s="1092"/>
      <c r="AF7" s="11">
        <v>1</v>
      </c>
      <c r="AG7" s="11">
        <v>1</v>
      </c>
      <c r="AH7" s="12">
        <f>SUM(C7:AG7)</f>
        <v>24</v>
      </c>
      <c r="AI7" s="13">
        <v>33612.14</v>
      </c>
      <c r="AJ7" s="14">
        <f>AH7*AI7</f>
        <v>806691.36</v>
      </c>
      <c r="AK7" s="15">
        <v>1</v>
      </c>
      <c r="AL7" s="15">
        <f>AI7*AK7</f>
        <v>33612.14</v>
      </c>
    </row>
    <row r="8" spans="1:38" s="15" customFormat="1" ht="24" customHeight="1" thickBot="1">
      <c r="A8" s="1981"/>
      <c r="B8" s="26">
        <v>2</v>
      </c>
      <c r="C8" s="1093"/>
      <c r="D8" s="17">
        <v>4</v>
      </c>
      <c r="E8" s="17">
        <v>4</v>
      </c>
      <c r="F8" s="1093"/>
      <c r="G8" s="17">
        <v>3</v>
      </c>
      <c r="H8" s="17">
        <v>3</v>
      </c>
      <c r="I8" s="17">
        <v>3</v>
      </c>
      <c r="J8" s="17">
        <v>3</v>
      </c>
      <c r="K8" s="17">
        <v>4</v>
      </c>
      <c r="L8" s="17">
        <v>3</v>
      </c>
      <c r="M8" s="1093"/>
      <c r="N8" s="1093"/>
      <c r="O8" s="17">
        <v>3</v>
      </c>
      <c r="P8" s="17">
        <v>3</v>
      </c>
      <c r="Q8" s="17">
        <v>3</v>
      </c>
      <c r="R8" s="17">
        <v>3</v>
      </c>
      <c r="S8" s="17">
        <v>3</v>
      </c>
      <c r="T8" s="1093"/>
      <c r="U8" s="17">
        <v>4</v>
      </c>
      <c r="V8" s="68">
        <v>3</v>
      </c>
      <c r="W8" s="68">
        <v>4</v>
      </c>
      <c r="X8" s="68">
        <v>4</v>
      </c>
      <c r="Y8" s="68">
        <v>4</v>
      </c>
      <c r="Z8" s="17">
        <v>3</v>
      </c>
      <c r="AA8" s="1093"/>
      <c r="AB8" s="17">
        <v>3</v>
      </c>
      <c r="AC8" s="17">
        <v>3</v>
      </c>
      <c r="AD8" s="17">
        <v>3</v>
      </c>
      <c r="AE8" s="1093"/>
      <c r="AF8" s="17">
        <v>3</v>
      </c>
      <c r="AG8" s="17">
        <v>2.5</v>
      </c>
      <c r="AH8" s="17">
        <f>SUM(C8:AG8)</f>
        <v>78.5</v>
      </c>
      <c r="AI8" s="18">
        <v>44816.18</v>
      </c>
      <c r="AJ8" s="27">
        <f>AH8*AI8</f>
        <v>3518070.13</v>
      </c>
      <c r="AK8" s="15">
        <v>6</v>
      </c>
      <c r="AL8" s="15">
        <f t="shared" ref="AL8:AL9" si="1">AI8*AK8</f>
        <v>268897.08</v>
      </c>
    </row>
    <row r="9" spans="1:38" s="9" customFormat="1" ht="24" customHeight="1" thickBot="1">
      <c r="A9" s="21" t="s">
        <v>249</v>
      </c>
      <c r="B9" s="22"/>
      <c r="C9" s="1095">
        <f>SUM(C7:C8)</f>
        <v>0</v>
      </c>
      <c r="D9" s="22">
        <f t="shared" ref="D9:AG9" si="2">SUM(D7:D8)</f>
        <v>5</v>
      </c>
      <c r="E9" s="22">
        <f t="shared" si="2"/>
        <v>5</v>
      </c>
      <c r="F9" s="1095">
        <f t="shared" si="2"/>
        <v>0</v>
      </c>
      <c r="G9" s="22">
        <f t="shared" si="2"/>
        <v>4</v>
      </c>
      <c r="H9" s="22">
        <f t="shared" si="2"/>
        <v>4</v>
      </c>
      <c r="I9" s="22">
        <f t="shared" si="2"/>
        <v>4</v>
      </c>
      <c r="J9" s="22">
        <f t="shared" si="2"/>
        <v>4</v>
      </c>
      <c r="K9" s="22">
        <f t="shared" si="2"/>
        <v>5</v>
      </c>
      <c r="L9" s="22">
        <f t="shared" si="2"/>
        <v>4</v>
      </c>
      <c r="M9" s="1095">
        <f t="shared" si="2"/>
        <v>0</v>
      </c>
      <c r="N9" s="1095">
        <f t="shared" si="2"/>
        <v>0</v>
      </c>
      <c r="O9" s="22">
        <f t="shared" si="2"/>
        <v>4</v>
      </c>
      <c r="P9" s="28">
        <f t="shared" si="2"/>
        <v>4</v>
      </c>
      <c r="Q9" s="28">
        <f t="shared" si="2"/>
        <v>4</v>
      </c>
      <c r="R9" s="22">
        <f t="shared" si="2"/>
        <v>4</v>
      </c>
      <c r="S9" s="763">
        <f t="shared" si="2"/>
        <v>4</v>
      </c>
      <c r="T9" s="1095">
        <f t="shared" si="2"/>
        <v>0</v>
      </c>
      <c r="U9" s="22">
        <f t="shared" si="2"/>
        <v>5</v>
      </c>
      <c r="V9" s="22">
        <f t="shared" si="2"/>
        <v>4</v>
      </c>
      <c r="W9" s="22">
        <f t="shared" si="2"/>
        <v>5</v>
      </c>
      <c r="X9" s="22">
        <f t="shared" si="2"/>
        <v>5</v>
      </c>
      <c r="Y9" s="22">
        <f t="shared" si="2"/>
        <v>5</v>
      </c>
      <c r="Z9" s="22">
        <f t="shared" si="2"/>
        <v>4</v>
      </c>
      <c r="AA9" s="1095">
        <f t="shared" si="2"/>
        <v>0</v>
      </c>
      <c r="AB9" s="22">
        <f t="shared" si="2"/>
        <v>4</v>
      </c>
      <c r="AC9" s="22">
        <f t="shared" si="2"/>
        <v>4</v>
      </c>
      <c r="AD9" s="22">
        <f t="shared" si="2"/>
        <v>4</v>
      </c>
      <c r="AE9" s="1095">
        <f t="shared" si="2"/>
        <v>0</v>
      </c>
      <c r="AF9" s="22">
        <f t="shared" si="2"/>
        <v>4</v>
      </c>
      <c r="AG9" s="22">
        <f t="shared" si="2"/>
        <v>3.5</v>
      </c>
      <c r="AH9" s="23">
        <f>SUM(AH7:AH8)</f>
        <v>102.5</v>
      </c>
      <c r="AI9" s="24"/>
      <c r="AJ9" s="25">
        <f>SUM(AJ7:AJ8)</f>
        <v>4324761.49</v>
      </c>
      <c r="AL9" s="15">
        <f t="shared" si="1"/>
        <v>0</v>
      </c>
    </row>
    <row r="10" spans="1:38" s="15" customFormat="1" ht="24" customHeight="1">
      <c r="A10" s="1982" t="s">
        <v>628</v>
      </c>
      <c r="B10" s="26">
        <v>1</v>
      </c>
      <c r="C10" s="1092"/>
      <c r="D10" s="11">
        <v>1</v>
      </c>
      <c r="E10" s="11"/>
      <c r="F10" s="1092"/>
      <c r="G10" s="11"/>
      <c r="H10" s="11"/>
      <c r="I10" s="11"/>
      <c r="J10" s="11"/>
      <c r="K10" s="11"/>
      <c r="L10" s="11"/>
      <c r="M10" s="1092"/>
      <c r="N10" s="1092"/>
      <c r="O10" s="11">
        <v>1</v>
      </c>
      <c r="P10" s="11"/>
      <c r="Q10" s="11">
        <v>1</v>
      </c>
      <c r="R10" s="11">
        <v>1</v>
      </c>
      <c r="S10" s="11"/>
      <c r="T10" s="1092"/>
      <c r="U10" s="11"/>
      <c r="V10" s="11"/>
      <c r="W10" s="11"/>
      <c r="X10" s="11"/>
      <c r="Y10" s="11"/>
      <c r="Z10" s="11"/>
      <c r="AA10" s="1092"/>
      <c r="AB10" s="11"/>
      <c r="AC10" s="11"/>
      <c r="AD10" s="11"/>
      <c r="AE10" s="1092"/>
      <c r="AF10" s="11"/>
      <c r="AG10" s="11"/>
      <c r="AH10" s="12">
        <f>SUM(C10:AG10)</f>
        <v>4</v>
      </c>
      <c r="AI10" s="13">
        <v>33612.14</v>
      </c>
      <c r="AJ10" s="27">
        <f>AH10*AI10</f>
        <v>134448.56</v>
      </c>
    </row>
    <row r="11" spans="1:38" s="15" customFormat="1" ht="24" customHeight="1" thickBot="1">
      <c r="A11" s="1974"/>
      <c r="B11" s="26">
        <v>2</v>
      </c>
      <c r="C11" s="1093"/>
      <c r="D11" s="17">
        <v>2</v>
      </c>
      <c r="E11" s="17"/>
      <c r="F11" s="1093"/>
      <c r="G11" s="17"/>
      <c r="H11" s="17"/>
      <c r="I11" s="17"/>
      <c r="J11" s="17"/>
      <c r="K11" s="17"/>
      <c r="L11" s="17"/>
      <c r="M11" s="1093"/>
      <c r="N11" s="1093"/>
      <c r="O11" s="17">
        <v>3</v>
      </c>
      <c r="P11" s="17"/>
      <c r="Q11" s="17">
        <v>3</v>
      </c>
      <c r="R11" s="17">
        <v>3</v>
      </c>
      <c r="S11" s="17"/>
      <c r="T11" s="1093"/>
      <c r="U11" s="17"/>
      <c r="V11" s="68"/>
      <c r="W11" s="68"/>
      <c r="X11" s="68"/>
      <c r="Y11" s="68"/>
      <c r="Z11" s="17"/>
      <c r="AA11" s="1093"/>
      <c r="AB11" s="17"/>
      <c r="AC11" s="17"/>
      <c r="AD11" s="17"/>
      <c r="AE11" s="1093"/>
      <c r="AF11" s="17"/>
      <c r="AG11" s="17"/>
      <c r="AH11" s="17">
        <f>SUM(C11:AG11)</f>
        <v>11</v>
      </c>
      <c r="AI11" s="18">
        <v>44816.18</v>
      </c>
      <c r="AJ11" s="27">
        <f>AH11*AI11</f>
        <v>492977.98</v>
      </c>
    </row>
    <row r="12" spans="1:38" s="9" customFormat="1" ht="24" customHeight="1" thickBot="1">
      <c r="A12" s="21" t="s">
        <v>249</v>
      </c>
      <c r="B12" s="22"/>
      <c r="C12" s="1095">
        <f>SUM(C10:C11)</f>
        <v>0</v>
      </c>
      <c r="D12" s="22">
        <f t="shared" ref="D12:AG12" si="3">SUM(D10:D11)</f>
        <v>3</v>
      </c>
      <c r="E12" s="22">
        <f t="shared" si="3"/>
        <v>0</v>
      </c>
      <c r="F12" s="1095">
        <f t="shared" si="3"/>
        <v>0</v>
      </c>
      <c r="G12" s="22">
        <f t="shared" si="3"/>
        <v>0</v>
      </c>
      <c r="H12" s="22">
        <f t="shared" si="3"/>
        <v>0</v>
      </c>
      <c r="I12" s="22">
        <f t="shared" si="3"/>
        <v>0</v>
      </c>
      <c r="J12" s="22">
        <f t="shared" si="3"/>
        <v>0</v>
      </c>
      <c r="K12" s="22">
        <f t="shared" si="3"/>
        <v>0</v>
      </c>
      <c r="L12" s="22">
        <f t="shared" si="3"/>
        <v>0</v>
      </c>
      <c r="M12" s="1095">
        <f t="shared" si="3"/>
        <v>0</v>
      </c>
      <c r="N12" s="1095">
        <f t="shared" si="3"/>
        <v>0</v>
      </c>
      <c r="O12" s="22">
        <f t="shared" si="3"/>
        <v>4</v>
      </c>
      <c r="P12" s="22">
        <f t="shared" si="3"/>
        <v>0</v>
      </c>
      <c r="Q12" s="22">
        <f t="shared" si="3"/>
        <v>4</v>
      </c>
      <c r="R12" s="22">
        <f t="shared" si="3"/>
        <v>4</v>
      </c>
      <c r="S12" s="22">
        <f t="shared" si="3"/>
        <v>0</v>
      </c>
      <c r="T12" s="1095">
        <f t="shared" si="3"/>
        <v>0</v>
      </c>
      <c r="U12" s="22">
        <f t="shared" si="3"/>
        <v>0</v>
      </c>
      <c r="V12" s="22">
        <f t="shared" si="3"/>
        <v>0</v>
      </c>
      <c r="W12" s="22">
        <f t="shared" si="3"/>
        <v>0</v>
      </c>
      <c r="X12" s="22">
        <f t="shared" si="3"/>
        <v>0</v>
      </c>
      <c r="Y12" s="22">
        <f t="shared" si="3"/>
        <v>0</v>
      </c>
      <c r="Z12" s="22">
        <f t="shared" si="3"/>
        <v>0</v>
      </c>
      <c r="AA12" s="1095">
        <f t="shared" si="3"/>
        <v>0</v>
      </c>
      <c r="AB12" s="22">
        <f t="shared" si="3"/>
        <v>0</v>
      </c>
      <c r="AC12" s="22">
        <f t="shared" si="3"/>
        <v>0</v>
      </c>
      <c r="AD12" s="22">
        <f t="shared" si="3"/>
        <v>0</v>
      </c>
      <c r="AE12" s="1095">
        <f t="shared" si="3"/>
        <v>0</v>
      </c>
      <c r="AF12" s="22">
        <f t="shared" si="3"/>
        <v>0</v>
      </c>
      <c r="AG12" s="22">
        <f t="shared" si="3"/>
        <v>0</v>
      </c>
      <c r="AH12" s="23">
        <f>SUM(AH10:AH11)</f>
        <v>15</v>
      </c>
      <c r="AI12" s="24"/>
      <c r="AJ12" s="25">
        <f>SUM(AJ10:AJ11)</f>
        <v>627426.54</v>
      </c>
    </row>
    <row r="13" spans="1:38" s="15" customFormat="1" ht="24" customHeight="1">
      <c r="A13" s="1973" t="s">
        <v>198</v>
      </c>
      <c r="B13" s="26">
        <v>1</v>
      </c>
      <c r="C13" s="1092"/>
      <c r="D13" s="11">
        <v>1</v>
      </c>
      <c r="E13" s="11">
        <v>1</v>
      </c>
      <c r="F13" s="1092"/>
      <c r="G13" s="11">
        <v>1</v>
      </c>
      <c r="H13" s="11">
        <v>1</v>
      </c>
      <c r="I13" s="11">
        <v>1</v>
      </c>
      <c r="J13" s="11"/>
      <c r="K13" s="11">
        <v>1</v>
      </c>
      <c r="L13" s="11">
        <v>1</v>
      </c>
      <c r="M13" s="1092"/>
      <c r="N13" s="1092"/>
      <c r="O13" s="11">
        <v>1</v>
      </c>
      <c r="P13" s="11">
        <v>1</v>
      </c>
      <c r="Q13" s="11">
        <v>1</v>
      </c>
      <c r="R13" s="11">
        <v>1</v>
      </c>
      <c r="S13" s="11">
        <v>1</v>
      </c>
      <c r="T13" s="1092"/>
      <c r="U13" s="11">
        <v>1</v>
      </c>
      <c r="V13" s="11">
        <v>1</v>
      </c>
      <c r="W13" s="11">
        <v>1</v>
      </c>
      <c r="X13" s="11">
        <v>1</v>
      </c>
      <c r="Y13" s="11">
        <v>1</v>
      </c>
      <c r="Z13" s="11">
        <v>1</v>
      </c>
      <c r="AA13" s="1092"/>
      <c r="AB13" s="11">
        <v>1</v>
      </c>
      <c r="AC13" s="11">
        <v>1</v>
      </c>
      <c r="AD13" s="11">
        <v>1</v>
      </c>
      <c r="AE13" s="1092"/>
      <c r="AF13" s="11"/>
      <c r="AG13" s="11">
        <v>1</v>
      </c>
      <c r="AH13" s="12">
        <f>SUM(C13:AG13)</f>
        <v>22</v>
      </c>
      <c r="AI13" s="13">
        <v>33612.14</v>
      </c>
      <c r="AJ13" s="27">
        <f>AH13*AI13</f>
        <v>739467.08</v>
      </c>
    </row>
    <row r="14" spans="1:38" s="15" customFormat="1" ht="24" customHeight="1" thickBot="1">
      <c r="A14" s="1974"/>
      <c r="B14" s="26">
        <v>2</v>
      </c>
      <c r="C14" s="1093"/>
      <c r="D14" s="17">
        <v>4</v>
      </c>
      <c r="E14" s="17">
        <v>2</v>
      </c>
      <c r="F14" s="1093"/>
      <c r="G14" s="17">
        <v>2</v>
      </c>
      <c r="H14" s="17">
        <v>1</v>
      </c>
      <c r="I14" s="17">
        <v>2</v>
      </c>
      <c r="J14" s="17"/>
      <c r="K14" s="17">
        <v>3</v>
      </c>
      <c r="L14" s="17">
        <v>3</v>
      </c>
      <c r="M14" s="1093"/>
      <c r="N14" s="1093"/>
      <c r="O14" s="17">
        <v>2</v>
      </c>
      <c r="P14" s="17">
        <v>2</v>
      </c>
      <c r="Q14" s="17">
        <v>2</v>
      </c>
      <c r="R14" s="17">
        <v>3</v>
      </c>
      <c r="S14" s="17">
        <v>3</v>
      </c>
      <c r="T14" s="1093"/>
      <c r="U14" s="17">
        <v>3</v>
      </c>
      <c r="V14" s="68">
        <v>3</v>
      </c>
      <c r="W14" s="68">
        <v>3</v>
      </c>
      <c r="X14" s="68">
        <v>2</v>
      </c>
      <c r="Y14" s="68">
        <v>4</v>
      </c>
      <c r="Z14" s="17">
        <v>2</v>
      </c>
      <c r="AA14" s="1093"/>
      <c r="AB14" s="17">
        <v>3</v>
      </c>
      <c r="AC14" s="17">
        <v>3</v>
      </c>
      <c r="AD14" s="17">
        <v>1.5</v>
      </c>
      <c r="AE14" s="1093"/>
      <c r="AF14" s="17"/>
      <c r="AG14" s="17">
        <v>1.5</v>
      </c>
      <c r="AH14" s="17">
        <f>SUM(C14:AG14)</f>
        <v>55</v>
      </c>
      <c r="AI14" s="18">
        <v>44816.18</v>
      </c>
      <c r="AJ14" s="27">
        <f>AH14*AI14</f>
        <v>2464889.9</v>
      </c>
    </row>
    <row r="15" spans="1:38" s="31" customFormat="1" ht="24" customHeight="1" thickBot="1">
      <c r="A15" s="29" t="s">
        <v>249</v>
      </c>
      <c r="B15" s="28"/>
      <c r="C15" s="1096">
        <f>SUM(C13:C14)</f>
        <v>0</v>
      </c>
      <c r="D15" s="28">
        <f t="shared" ref="D15:H15" si="4">SUM(D13:D14)</f>
        <v>5</v>
      </c>
      <c r="E15" s="28">
        <f t="shared" si="4"/>
        <v>3</v>
      </c>
      <c r="F15" s="1096">
        <f t="shared" si="4"/>
        <v>0</v>
      </c>
      <c r="G15" s="28">
        <f t="shared" si="4"/>
        <v>3</v>
      </c>
      <c r="H15" s="28">
        <f t="shared" si="4"/>
        <v>2</v>
      </c>
      <c r="I15" s="28">
        <f t="shared" ref="I15:AG15" si="5">SUM(I13:I14)</f>
        <v>3</v>
      </c>
      <c r="J15" s="28">
        <f t="shared" si="5"/>
        <v>0</v>
      </c>
      <c r="K15" s="28">
        <f t="shared" si="5"/>
        <v>4</v>
      </c>
      <c r="L15" s="28">
        <f t="shared" si="5"/>
        <v>4</v>
      </c>
      <c r="M15" s="1096">
        <f t="shared" si="5"/>
        <v>0</v>
      </c>
      <c r="N15" s="1096">
        <f t="shared" si="5"/>
        <v>0</v>
      </c>
      <c r="O15" s="28">
        <f t="shared" si="5"/>
        <v>3</v>
      </c>
      <c r="P15" s="28">
        <f t="shared" si="5"/>
        <v>3</v>
      </c>
      <c r="Q15" s="28">
        <f t="shared" si="5"/>
        <v>3</v>
      </c>
      <c r="R15" s="28">
        <f t="shared" si="5"/>
        <v>4</v>
      </c>
      <c r="S15" s="28">
        <f t="shared" si="5"/>
        <v>4</v>
      </c>
      <c r="T15" s="1096">
        <f t="shared" si="5"/>
        <v>0</v>
      </c>
      <c r="U15" s="28">
        <f t="shared" si="5"/>
        <v>4</v>
      </c>
      <c r="V15" s="28">
        <f t="shared" si="5"/>
        <v>4</v>
      </c>
      <c r="W15" s="28">
        <f t="shared" si="5"/>
        <v>4</v>
      </c>
      <c r="X15" s="28">
        <f t="shared" si="5"/>
        <v>3</v>
      </c>
      <c r="Y15" s="28">
        <f t="shared" si="5"/>
        <v>5</v>
      </c>
      <c r="Z15" s="28">
        <f t="shared" si="5"/>
        <v>3</v>
      </c>
      <c r="AA15" s="1096">
        <f t="shared" si="5"/>
        <v>0</v>
      </c>
      <c r="AB15" s="28">
        <f t="shared" si="5"/>
        <v>4</v>
      </c>
      <c r="AC15" s="28">
        <f t="shared" si="5"/>
        <v>4</v>
      </c>
      <c r="AD15" s="28">
        <f t="shared" si="5"/>
        <v>2.5</v>
      </c>
      <c r="AE15" s="1096">
        <f t="shared" si="5"/>
        <v>0</v>
      </c>
      <c r="AF15" s="28">
        <f t="shared" si="5"/>
        <v>0</v>
      </c>
      <c r="AG15" s="28">
        <f t="shared" si="5"/>
        <v>2.5</v>
      </c>
      <c r="AH15" s="1086">
        <f>SUM(AH13:AH14)</f>
        <v>77</v>
      </c>
      <c r="AI15" s="30"/>
      <c r="AJ15" s="25">
        <f>SUM(AJ13:AJ14)</f>
        <v>3204356.98</v>
      </c>
    </row>
    <row r="16" spans="1:38" s="15" customFormat="1" ht="24" customHeight="1">
      <c r="A16" s="1973" t="s">
        <v>450</v>
      </c>
      <c r="B16" s="26">
        <v>1</v>
      </c>
      <c r="C16" s="1092"/>
      <c r="D16" s="11">
        <v>1</v>
      </c>
      <c r="E16" s="11">
        <v>1</v>
      </c>
      <c r="F16" s="1092"/>
      <c r="G16" s="11"/>
      <c r="H16" s="11">
        <v>1</v>
      </c>
      <c r="I16" s="11">
        <v>1</v>
      </c>
      <c r="J16" s="11">
        <v>1</v>
      </c>
      <c r="K16" s="11"/>
      <c r="L16" s="11">
        <v>1</v>
      </c>
      <c r="M16" s="1092"/>
      <c r="N16" s="1092"/>
      <c r="O16" s="11">
        <v>1</v>
      </c>
      <c r="P16" s="11">
        <v>1</v>
      </c>
      <c r="Q16" s="11">
        <v>1</v>
      </c>
      <c r="R16" s="11">
        <v>1</v>
      </c>
      <c r="S16" s="11">
        <v>1</v>
      </c>
      <c r="T16" s="1092"/>
      <c r="U16" s="11">
        <v>1</v>
      </c>
      <c r="V16" s="11">
        <v>1</v>
      </c>
      <c r="W16" s="11">
        <v>1</v>
      </c>
      <c r="X16" s="11">
        <v>1</v>
      </c>
      <c r="Y16" s="11">
        <v>1</v>
      </c>
      <c r="Z16" s="11">
        <v>1</v>
      </c>
      <c r="AA16" s="1092"/>
      <c r="AB16" s="11"/>
      <c r="AC16" s="11"/>
      <c r="AD16" s="11">
        <v>1</v>
      </c>
      <c r="AE16" s="1092"/>
      <c r="AF16" s="11">
        <v>1</v>
      </c>
      <c r="AG16" s="11">
        <v>1</v>
      </c>
      <c r="AH16" s="32">
        <f>SUM(C16:AG16)</f>
        <v>20</v>
      </c>
      <c r="AI16" s="13">
        <v>33612.14</v>
      </c>
      <c r="AJ16" s="27">
        <f>AH16*AI16</f>
        <v>672242.8</v>
      </c>
    </row>
    <row r="17" spans="1:36" s="15" customFormat="1" ht="24" customHeight="1" thickBot="1">
      <c r="A17" s="1974"/>
      <c r="B17" s="26">
        <v>2</v>
      </c>
      <c r="C17" s="1093"/>
      <c r="D17" s="17">
        <v>2</v>
      </c>
      <c r="E17" s="17">
        <v>2</v>
      </c>
      <c r="F17" s="1093"/>
      <c r="G17" s="17"/>
      <c r="H17" s="17">
        <v>1</v>
      </c>
      <c r="I17" s="17">
        <v>2</v>
      </c>
      <c r="J17" s="17">
        <v>2</v>
      </c>
      <c r="K17" s="17"/>
      <c r="L17" s="17">
        <v>2</v>
      </c>
      <c r="M17" s="1093"/>
      <c r="N17" s="1093"/>
      <c r="O17" s="17">
        <v>2</v>
      </c>
      <c r="P17" s="17">
        <v>1</v>
      </c>
      <c r="Q17" s="17">
        <v>1</v>
      </c>
      <c r="R17" s="17">
        <v>2</v>
      </c>
      <c r="S17" s="17">
        <v>2</v>
      </c>
      <c r="T17" s="1093"/>
      <c r="U17" s="17">
        <v>1</v>
      </c>
      <c r="V17" s="68">
        <v>1</v>
      </c>
      <c r="W17" s="68">
        <v>3</v>
      </c>
      <c r="X17" s="68">
        <v>1.5</v>
      </c>
      <c r="Y17" s="68">
        <v>3</v>
      </c>
      <c r="Z17" s="17">
        <v>2</v>
      </c>
      <c r="AA17" s="1093"/>
      <c r="AB17" s="17"/>
      <c r="AC17" s="17"/>
      <c r="AD17" s="17">
        <v>1.5</v>
      </c>
      <c r="AE17" s="1093"/>
      <c r="AF17" s="17">
        <v>1</v>
      </c>
      <c r="AG17" s="17">
        <v>1</v>
      </c>
      <c r="AH17" s="33">
        <f>SUM(C17:AG17)</f>
        <v>34</v>
      </c>
      <c r="AI17" s="18">
        <v>44816.18</v>
      </c>
      <c r="AJ17" s="27">
        <f>AH17*AI17</f>
        <v>1523750.12</v>
      </c>
    </row>
    <row r="18" spans="1:36" s="37" customFormat="1" ht="24" customHeight="1" thickBot="1">
      <c r="A18" s="34" t="s">
        <v>249</v>
      </c>
      <c r="B18" s="23"/>
      <c r="C18" s="1094">
        <f>SUM(C16:C17)</f>
        <v>0</v>
      </c>
      <c r="D18" s="23">
        <f>SUM(D16:D17)</f>
        <v>3</v>
      </c>
      <c r="E18" s="23">
        <f t="shared" ref="E18:AG18" si="6">SUM(E16:E17)</f>
        <v>3</v>
      </c>
      <c r="F18" s="1094">
        <f t="shared" si="6"/>
        <v>0</v>
      </c>
      <c r="G18" s="23">
        <f t="shared" si="6"/>
        <v>0</v>
      </c>
      <c r="H18" s="23">
        <f t="shared" si="6"/>
        <v>2</v>
      </c>
      <c r="I18" s="23">
        <f t="shared" si="6"/>
        <v>3</v>
      </c>
      <c r="J18" s="23">
        <f t="shared" si="6"/>
        <v>3</v>
      </c>
      <c r="K18" s="23">
        <f t="shared" si="6"/>
        <v>0</v>
      </c>
      <c r="L18" s="23">
        <f t="shared" si="6"/>
        <v>3</v>
      </c>
      <c r="M18" s="1094">
        <f t="shared" si="6"/>
        <v>0</v>
      </c>
      <c r="N18" s="1094">
        <f t="shared" si="6"/>
        <v>0</v>
      </c>
      <c r="O18" s="23">
        <f t="shared" si="6"/>
        <v>3</v>
      </c>
      <c r="P18" s="23">
        <f t="shared" si="6"/>
        <v>2</v>
      </c>
      <c r="Q18" s="23">
        <f t="shared" si="6"/>
        <v>2</v>
      </c>
      <c r="R18" s="23">
        <f t="shared" si="6"/>
        <v>3</v>
      </c>
      <c r="S18" s="23">
        <f t="shared" si="6"/>
        <v>3</v>
      </c>
      <c r="T18" s="1094">
        <f t="shared" si="6"/>
        <v>0</v>
      </c>
      <c r="U18" s="23">
        <f t="shared" si="6"/>
        <v>2</v>
      </c>
      <c r="V18" s="23">
        <f t="shared" si="6"/>
        <v>2</v>
      </c>
      <c r="W18" s="23">
        <f t="shared" si="6"/>
        <v>4</v>
      </c>
      <c r="X18" s="23">
        <f t="shared" si="6"/>
        <v>2.5</v>
      </c>
      <c r="Y18" s="23">
        <f t="shared" si="6"/>
        <v>4</v>
      </c>
      <c r="Z18" s="23">
        <f t="shared" si="6"/>
        <v>3</v>
      </c>
      <c r="AA18" s="1094">
        <f t="shared" si="6"/>
        <v>0</v>
      </c>
      <c r="AB18" s="23">
        <f t="shared" si="6"/>
        <v>0</v>
      </c>
      <c r="AC18" s="23">
        <f t="shared" si="6"/>
        <v>0</v>
      </c>
      <c r="AD18" s="23">
        <f t="shared" si="6"/>
        <v>2.5</v>
      </c>
      <c r="AE18" s="1094">
        <f t="shared" si="6"/>
        <v>0</v>
      </c>
      <c r="AF18" s="23">
        <f t="shared" si="6"/>
        <v>2</v>
      </c>
      <c r="AG18" s="23">
        <f t="shared" si="6"/>
        <v>2</v>
      </c>
      <c r="AH18" s="23">
        <f>SUM(AH16:AH17)</f>
        <v>54</v>
      </c>
      <c r="AI18" s="35"/>
      <c r="AJ18" s="36">
        <f>SUM(AJ16:AJ17)</f>
        <v>2195992.92</v>
      </c>
    </row>
    <row r="19" spans="1:36" s="15" customFormat="1" ht="24" customHeight="1">
      <c r="A19" s="1973" t="s">
        <v>438</v>
      </c>
      <c r="B19" s="26">
        <v>1</v>
      </c>
      <c r="C19" s="1092"/>
      <c r="D19" s="11"/>
      <c r="E19" s="11"/>
      <c r="F19" s="1092"/>
      <c r="G19" s="11"/>
      <c r="H19" s="11"/>
      <c r="I19" s="11"/>
      <c r="J19" s="11"/>
      <c r="K19" s="11"/>
      <c r="L19" s="11"/>
      <c r="M19" s="1092"/>
      <c r="N19" s="1092"/>
      <c r="O19" s="11"/>
      <c r="P19" s="11"/>
      <c r="Q19" s="11"/>
      <c r="R19" s="11"/>
      <c r="S19" s="11"/>
      <c r="T19" s="1092"/>
      <c r="U19" s="11"/>
      <c r="V19" s="11"/>
      <c r="W19" s="11"/>
      <c r="X19" s="11"/>
      <c r="Y19" s="11"/>
      <c r="Z19" s="11"/>
      <c r="AA19" s="1092"/>
      <c r="AB19" s="11">
        <v>1</v>
      </c>
      <c r="AC19" s="11"/>
      <c r="AD19" s="11"/>
      <c r="AE19" s="1092"/>
      <c r="AF19" s="11"/>
      <c r="AG19" s="11"/>
      <c r="AH19" s="12">
        <f>SUM(C19:AG19)</f>
        <v>1</v>
      </c>
      <c r="AI19" s="13">
        <v>33612.14</v>
      </c>
      <c r="AJ19" s="27">
        <f>AH19*AI19</f>
        <v>33612.14</v>
      </c>
    </row>
    <row r="20" spans="1:36" s="15" customFormat="1" ht="24" customHeight="1" thickBot="1">
      <c r="A20" s="1974"/>
      <c r="B20" s="26">
        <v>2</v>
      </c>
      <c r="C20" s="1093"/>
      <c r="D20" s="17"/>
      <c r="E20" s="17"/>
      <c r="F20" s="1093"/>
      <c r="G20" s="17"/>
      <c r="H20" s="17"/>
      <c r="I20" s="17"/>
      <c r="J20" s="17"/>
      <c r="K20" s="17"/>
      <c r="L20" s="17"/>
      <c r="M20" s="1093"/>
      <c r="N20" s="1093"/>
      <c r="O20" s="17"/>
      <c r="P20" s="17"/>
      <c r="Q20" s="17"/>
      <c r="R20" s="17"/>
      <c r="S20" s="17"/>
      <c r="T20" s="1093"/>
      <c r="U20" s="17"/>
      <c r="V20" s="68"/>
      <c r="W20" s="68"/>
      <c r="X20" s="68"/>
      <c r="Y20" s="68"/>
      <c r="Z20" s="17"/>
      <c r="AA20" s="1093"/>
      <c r="AB20" s="17"/>
      <c r="AC20" s="17"/>
      <c r="AD20" s="17"/>
      <c r="AE20" s="1093"/>
      <c r="AF20" s="17"/>
      <c r="AG20" s="17"/>
      <c r="AH20" s="17">
        <f>SUM(C20:AG20)</f>
        <v>0</v>
      </c>
      <c r="AI20" s="18">
        <v>44816.18</v>
      </c>
      <c r="AJ20" s="27">
        <f>AH20*AI20</f>
        <v>0</v>
      </c>
    </row>
    <row r="21" spans="1:36" s="9" customFormat="1" ht="24" customHeight="1" thickBot="1">
      <c r="A21" s="21" t="s">
        <v>249</v>
      </c>
      <c r="B21" s="22"/>
      <c r="C21" s="1095">
        <f>SUM(C19:C20)</f>
        <v>0</v>
      </c>
      <c r="D21" s="22">
        <f t="shared" ref="D21:AG21" si="7">SUM(D19:D20)</f>
        <v>0</v>
      </c>
      <c r="E21" s="22">
        <f t="shared" si="7"/>
        <v>0</v>
      </c>
      <c r="F21" s="1095">
        <f t="shared" si="7"/>
        <v>0</v>
      </c>
      <c r="G21" s="22">
        <f t="shared" si="7"/>
        <v>0</v>
      </c>
      <c r="H21" s="22">
        <f t="shared" si="7"/>
        <v>0</v>
      </c>
      <c r="I21" s="22">
        <f t="shared" si="7"/>
        <v>0</v>
      </c>
      <c r="J21" s="22">
        <f t="shared" si="7"/>
        <v>0</v>
      </c>
      <c r="K21" s="22">
        <f t="shared" si="7"/>
        <v>0</v>
      </c>
      <c r="L21" s="22">
        <f t="shared" si="7"/>
        <v>0</v>
      </c>
      <c r="M21" s="1095">
        <f t="shared" si="7"/>
        <v>0</v>
      </c>
      <c r="N21" s="1095">
        <f t="shared" si="7"/>
        <v>0</v>
      </c>
      <c r="O21" s="22">
        <f t="shared" si="7"/>
        <v>0</v>
      </c>
      <c r="P21" s="22">
        <f t="shared" si="7"/>
        <v>0</v>
      </c>
      <c r="Q21" s="22">
        <f t="shared" si="7"/>
        <v>0</v>
      </c>
      <c r="R21" s="22">
        <f t="shared" si="7"/>
        <v>0</v>
      </c>
      <c r="S21" s="22">
        <f t="shared" si="7"/>
        <v>0</v>
      </c>
      <c r="T21" s="1095">
        <f t="shared" si="7"/>
        <v>0</v>
      </c>
      <c r="U21" s="22">
        <f t="shared" si="7"/>
        <v>0</v>
      </c>
      <c r="V21" s="22">
        <f t="shared" si="7"/>
        <v>0</v>
      </c>
      <c r="W21" s="22">
        <f t="shared" si="7"/>
        <v>0</v>
      </c>
      <c r="X21" s="22">
        <f t="shared" si="7"/>
        <v>0</v>
      </c>
      <c r="Y21" s="22">
        <f t="shared" si="7"/>
        <v>0</v>
      </c>
      <c r="Z21" s="22">
        <f t="shared" si="7"/>
        <v>0</v>
      </c>
      <c r="AA21" s="1095">
        <f t="shared" si="7"/>
        <v>0</v>
      </c>
      <c r="AB21" s="22">
        <f t="shared" si="7"/>
        <v>1</v>
      </c>
      <c r="AC21" s="22">
        <f t="shared" si="7"/>
        <v>0</v>
      </c>
      <c r="AD21" s="22">
        <f t="shared" si="7"/>
        <v>0</v>
      </c>
      <c r="AE21" s="1095">
        <f t="shared" si="7"/>
        <v>0</v>
      </c>
      <c r="AF21" s="22">
        <f t="shared" si="7"/>
        <v>0</v>
      </c>
      <c r="AG21" s="22">
        <f t="shared" si="7"/>
        <v>0</v>
      </c>
      <c r="AH21" s="23">
        <f>SUM(AH19:AH20)</f>
        <v>1</v>
      </c>
      <c r="AI21" s="24"/>
      <c r="AJ21" s="25">
        <f>SUM(AJ19:AJ20)</f>
        <v>33612.14</v>
      </c>
    </row>
    <row r="22" spans="1:36" s="15" customFormat="1" ht="24" customHeight="1">
      <c r="A22" s="1973" t="s">
        <v>468</v>
      </c>
      <c r="B22" s="26">
        <v>1</v>
      </c>
      <c r="C22" s="1092"/>
      <c r="D22" s="11"/>
      <c r="E22" s="11"/>
      <c r="F22" s="1092"/>
      <c r="G22" s="11"/>
      <c r="H22" s="11"/>
      <c r="I22" s="11"/>
      <c r="J22" s="11"/>
      <c r="K22" s="11"/>
      <c r="L22" s="11"/>
      <c r="M22" s="1092"/>
      <c r="N22" s="1092"/>
      <c r="O22" s="11"/>
      <c r="P22" s="11"/>
      <c r="Q22" s="11"/>
      <c r="R22" s="11"/>
      <c r="S22" s="11"/>
      <c r="T22" s="1092"/>
      <c r="U22" s="11"/>
      <c r="V22" s="11"/>
      <c r="W22" s="11"/>
      <c r="X22" s="11"/>
      <c r="Y22" s="11"/>
      <c r="Z22" s="11"/>
      <c r="AA22" s="1092"/>
      <c r="AB22" s="11"/>
      <c r="AC22" s="11"/>
      <c r="AD22" s="11"/>
      <c r="AE22" s="1092"/>
      <c r="AF22" s="11"/>
      <c r="AG22" s="11"/>
      <c r="AH22" s="12">
        <f>SUM(C22:AG22)</f>
        <v>0</v>
      </c>
      <c r="AI22" s="13">
        <v>33612.14</v>
      </c>
      <c r="AJ22" s="27">
        <f>AH22*AI22</f>
        <v>0</v>
      </c>
    </row>
    <row r="23" spans="1:36" s="15" customFormat="1" ht="24" customHeight="1" thickBot="1">
      <c r="A23" s="1974"/>
      <c r="B23" s="26">
        <v>2</v>
      </c>
      <c r="C23" s="1093"/>
      <c r="D23" s="17"/>
      <c r="E23" s="17"/>
      <c r="F23" s="1093"/>
      <c r="G23" s="17"/>
      <c r="H23" s="17"/>
      <c r="I23" s="17"/>
      <c r="J23" s="17"/>
      <c r="K23" s="17"/>
      <c r="L23" s="17"/>
      <c r="M23" s="1093"/>
      <c r="N23" s="1093"/>
      <c r="O23" s="17"/>
      <c r="P23" s="17"/>
      <c r="Q23" s="17"/>
      <c r="R23" s="17"/>
      <c r="S23" s="17"/>
      <c r="T23" s="1093"/>
      <c r="U23" s="17"/>
      <c r="V23" s="68"/>
      <c r="W23" s="68"/>
      <c r="X23" s="68"/>
      <c r="Y23" s="68"/>
      <c r="Z23" s="17"/>
      <c r="AA23" s="1093"/>
      <c r="AB23" s="17"/>
      <c r="AC23" s="17"/>
      <c r="AD23" s="17"/>
      <c r="AE23" s="1093"/>
      <c r="AF23" s="17"/>
      <c r="AG23" s="17"/>
      <c r="AH23" s="17">
        <f>SUM(C23:AG23)</f>
        <v>0</v>
      </c>
      <c r="AI23" s="18">
        <v>44816.18</v>
      </c>
      <c r="AJ23" s="27">
        <f>AH23*AI23</f>
        <v>0</v>
      </c>
    </row>
    <row r="24" spans="1:36" s="9" customFormat="1" ht="24" customHeight="1" thickBot="1">
      <c r="A24" s="21" t="s">
        <v>249</v>
      </c>
      <c r="B24" s="22"/>
      <c r="C24" s="1095">
        <f>SUM(C22:C23)</f>
        <v>0</v>
      </c>
      <c r="D24" s="22">
        <f t="shared" ref="D24:AG24" si="8">SUM(D22:D23)</f>
        <v>0</v>
      </c>
      <c r="E24" s="22">
        <f t="shared" si="8"/>
        <v>0</v>
      </c>
      <c r="F24" s="1095">
        <f t="shared" si="8"/>
        <v>0</v>
      </c>
      <c r="G24" s="22">
        <f t="shared" si="8"/>
        <v>0</v>
      </c>
      <c r="H24" s="22">
        <f t="shared" si="8"/>
        <v>0</v>
      </c>
      <c r="I24" s="22">
        <f t="shared" si="8"/>
        <v>0</v>
      </c>
      <c r="J24" s="22">
        <f t="shared" si="8"/>
        <v>0</v>
      </c>
      <c r="K24" s="22">
        <f t="shared" si="8"/>
        <v>0</v>
      </c>
      <c r="L24" s="22">
        <f t="shared" si="8"/>
        <v>0</v>
      </c>
      <c r="M24" s="1095">
        <f t="shared" si="8"/>
        <v>0</v>
      </c>
      <c r="N24" s="1095">
        <f t="shared" si="8"/>
        <v>0</v>
      </c>
      <c r="O24" s="22">
        <f t="shared" si="8"/>
        <v>0</v>
      </c>
      <c r="P24" s="22">
        <f t="shared" si="8"/>
        <v>0</v>
      </c>
      <c r="Q24" s="22">
        <f t="shared" si="8"/>
        <v>0</v>
      </c>
      <c r="R24" s="22">
        <f t="shared" si="8"/>
        <v>0</v>
      </c>
      <c r="S24" s="22">
        <f t="shared" si="8"/>
        <v>0</v>
      </c>
      <c r="T24" s="1095">
        <f t="shared" si="8"/>
        <v>0</v>
      </c>
      <c r="U24" s="22">
        <f t="shared" si="8"/>
        <v>0</v>
      </c>
      <c r="V24" s="22">
        <f t="shared" si="8"/>
        <v>0</v>
      </c>
      <c r="W24" s="22">
        <f t="shared" si="8"/>
        <v>0</v>
      </c>
      <c r="X24" s="22">
        <f t="shared" si="8"/>
        <v>0</v>
      </c>
      <c r="Y24" s="22">
        <f t="shared" si="8"/>
        <v>0</v>
      </c>
      <c r="Z24" s="22">
        <f t="shared" si="8"/>
        <v>0</v>
      </c>
      <c r="AA24" s="1095">
        <f t="shared" si="8"/>
        <v>0</v>
      </c>
      <c r="AB24" s="22">
        <f t="shared" si="8"/>
        <v>0</v>
      </c>
      <c r="AC24" s="22">
        <f t="shared" si="8"/>
        <v>0</v>
      </c>
      <c r="AD24" s="22">
        <f t="shared" si="8"/>
        <v>0</v>
      </c>
      <c r="AE24" s="1095">
        <f t="shared" si="8"/>
        <v>0</v>
      </c>
      <c r="AF24" s="22">
        <f t="shared" si="8"/>
        <v>0</v>
      </c>
      <c r="AG24" s="22">
        <f t="shared" si="8"/>
        <v>0</v>
      </c>
      <c r="AH24" s="23">
        <f>SUM(AH22:AH23)</f>
        <v>0</v>
      </c>
      <c r="AI24" s="24"/>
      <c r="AJ24" s="25">
        <f>SUM(AJ22:AJ23)</f>
        <v>0</v>
      </c>
    </row>
    <row r="25" spans="1:36" s="15" customFormat="1" ht="24" customHeight="1">
      <c r="A25" s="1973" t="s">
        <v>641</v>
      </c>
      <c r="B25" s="26">
        <v>1</v>
      </c>
      <c r="C25" s="1092"/>
      <c r="D25" s="11"/>
      <c r="E25" s="11"/>
      <c r="F25" s="1092"/>
      <c r="G25" s="11"/>
      <c r="H25" s="11"/>
      <c r="I25" s="11"/>
      <c r="J25" s="11"/>
      <c r="K25" s="11"/>
      <c r="L25" s="11"/>
      <c r="M25" s="1092"/>
      <c r="N25" s="1092"/>
      <c r="O25" s="11"/>
      <c r="P25" s="11"/>
      <c r="Q25" s="11"/>
      <c r="R25" s="11"/>
      <c r="S25" s="11"/>
      <c r="T25" s="1092"/>
      <c r="U25" s="11"/>
      <c r="V25" s="11"/>
      <c r="W25" s="11"/>
      <c r="X25" s="11"/>
      <c r="Y25" s="11"/>
      <c r="Z25" s="11"/>
      <c r="AA25" s="1092"/>
      <c r="AB25" s="11"/>
      <c r="AC25" s="11"/>
      <c r="AD25" s="11"/>
      <c r="AE25" s="1092"/>
      <c r="AF25" s="11"/>
      <c r="AG25" s="11"/>
      <c r="AH25" s="12">
        <f>SUM(C25:AG25)</f>
        <v>0</v>
      </c>
      <c r="AI25" s="13">
        <v>33612.14</v>
      </c>
      <c r="AJ25" s="27">
        <f>AH25*AI25</f>
        <v>0</v>
      </c>
    </row>
    <row r="26" spans="1:36" s="15" customFormat="1" ht="24" customHeight="1" thickBot="1">
      <c r="A26" s="1974"/>
      <c r="B26" s="26">
        <v>2</v>
      </c>
      <c r="C26" s="1093"/>
      <c r="D26" s="17"/>
      <c r="E26" s="17"/>
      <c r="F26" s="1093"/>
      <c r="G26" s="17"/>
      <c r="H26" s="17"/>
      <c r="I26" s="17"/>
      <c r="J26" s="17"/>
      <c r="K26" s="17"/>
      <c r="L26" s="17"/>
      <c r="M26" s="1093"/>
      <c r="N26" s="1093"/>
      <c r="O26" s="17"/>
      <c r="P26" s="17"/>
      <c r="Q26" s="17"/>
      <c r="R26" s="17"/>
      <c r="S26" s="17"/>
      <c r="T26" s="1093"/>
      <c r="U26" s="17"/>
      <c r="V26" s="68"/>
      <c r="W26" s="68"/>
      <c r="X26" s="68"/>
      <c r="Y26" s="68"/>
      <c r="Z26" s="17"/>
      <c r="AA26" s="1093"/>
      <c r="AB26" s="17"/>
      <c r="AC26" s="17"/>
      <c r="AD26" s="17"/>
      <c r="AE26" s="1093"/>
      <c r="AF26" s="17"/>
      <c r="AG26" s="17"/>
      <c r="AH26" s="17">
        <f>SUM(C26:AG26)</f>
        <v>0</v>
      </c>
      <c r="AI26" s="18">
        <v>44816.18</v>
      </c>
      <c r="AJ26" s="27">
        <f>AH26*AI26</f>
        <v>0</v>
      </c>
    </row>
    <row r="27" spans="1:36" s="9" customFormat="1" ht="24" customHeight="1" thickBot="1">
      <c r="A27" s="21" t="s">
        <v>249</v>
      </c>
      <c r="B27" s="22"/>
      <c r="C27" s="1095">
        <f>SUM(C25:C26)</f>
        <v>0</v>
      </c>
      <c r="D27" s="22">
        <f t="shared" ref="D27:AG27" si="9">SUM(D25:D26)</f>
        <v>0</v>
      </c>
      <c r="E27" s="22">
        <f t="shared" si="9"/>
        <v>0</v>
      </c>
      <c r="F27" s="1095">
        <f t="shared" si="9"/>
        <v>0</v>
      </c>
      <c r="G27" s="22">
        <f t="shared" si="9"/>
        <v>0</v>
      </c>
      <c r="H27" s="22">
        <f t="shared" si="9"/>
        <v>0</v>
      </c>
      <c r="I27" s="22">
        <f t="shared" si="9"/>
        <v>0</v>
      </c>
      <c r="J27" s="22">
        <f t="shared" si="9"/>
        <v>0</v>
      </c>
      <c r="K27" s="22">
        <f t="shared" si="9"/>
        <v>0</v>
      </c>
      <c r="L27" s="22">
        <f t="shared" si="9"/>
        <v>0</v>
      </c>
      <c r="M27" s="1095">
        <f t="shared" si="9"/>
        <v>0</v>
      </c>
      <c r="N27" s="1095">
        <f t="shared" si="9"/>
        <v>0</v>
      </c>
      <c r="O27" s="22">
        <f t="shared" si="9"/>
        <v>0</v>
      </c>
      <c r="P27" s="22">
        <f t="shared" si="9"/>
        <v>0</v>
      </c>
      <c r="Q27" s="22">
        <f t="shared" si="9"/>
        <v>0</v>
      </c>
      <c r="R27" s="22">
        <f t="shared" si="9"/>
        <v>0</v>
      </c>
      <c r="S27" s="22">
        <f t="shared" si="9"/>
        <v>0</v>
      </c>
      <c r="T27" s="1095">
        <f t="shared" si="9"/>
        <v>0</v>
      </c>
      <c r="U27" s="22">
        <f t="shared" si="9"/>
        <v>0</v>
      </c>
      <c r="V27" s="22">
        <f t="shared" si="9"/>
        <v>0</v>
      </c>
      <c r="W27" s="22">
        <f t="shared" si="9"/>
        <v>0</v>
      </c>
      <c r="X27" s="22">
        <f t="shared" si="9"/>
        <v>0</v>
      </c>
      <c r="Y27" s="22">
        <f t="shared" si="9"/>
        <v>0</v>
      </c>
      <c r="Z27" s="22">
        <f t="shared" si="9"/>
        <v>0</v>
      </c>
      <c r="AA27" s="1095">
        <f t="shared" si="9"/>
        <v>0</v>
      </c>
      <c r="AB27" s="22">
        <f t="shared" si="9"/>
        <v>0</v>
      </c>
      <c r="AC27" s="22">
        <f t="shared" si="9"/>
        <v>0</v>
      </c>
      <c r="AD27" s="22">
        <f t="shared" si="9"/>
        <v>0</v>
      </c>
      <c r="AE27" s="1095">
        <f t="shared" si="9"/>
        <v>0</v>
      </c>
      <c r="AF27" s="22">
        <f t="shared" si="9"/>
        <v>0</v>
      </c>
      <c r="AG27" s="22">
        <f t="shared" si="9"/>
        <v>0</v>
      </c>
      <c r="AH27" s="23">
        <f>SUM(AH25:AH26)</f>
        <v>0</v>
      </c>
      <c r="AI27" s="24"/>
      <c r="AJ27" s="25">
        <f>SUM(AJ25:AJ26)</f>
        <v>0</v>
      </c>
    </row>
    <row r="28" spans="1:36" s="15" customFormat="1" ht="24" customHeight="1">
      <c r="A28" s="1973" t="s">
        <v>110</v>
      </c>
      <c r="B28" s="26">
        <v>1</v>
      </c>
      <c r="C28" s="1092"/>
      <c r="D28" s="11"/>
      <c r="E28" s="11"/>
      <c r="F28" s="1092"/>
      <c r="G28" s="11"/>
      <c r="H28" s="11"/>
      <c r="I28" s="11"/>
      <c r="J28" s="11"/>
      <c r="K28" s="11"/>
      <c r="L28" s="11"/>
      <c r="M28" s="1092"/>
      <c r="N28" s="1092"/>
      <c r="O28" s="11"/>
      <c r="P28" s="11"/>
      <c r="Q28" s="11"/>
      <c r="R28" s="11"/>
      <c r="S28" s="11"/>
      <c r="T28" s="1092"/>
      <c r="U28" s="11"/>
      <c r="V28" s="11"/>
      <c r="W28" s="11"/>
      <c r="X28" s="11"/>
      <c r="Y28" s="11"/>
      <c r="Z28" s="11"/>
      <c r="AA28" s="1092"/>
      <c r="AB28" s="11"/>
      <c r="AC28" s="11"/>
      <c r="AD28" s="11"/>
      <c r="AE28" s="1092"/>
      <c r="AF28" s="11"/>
      <c r="AG28" s="11"/>
      <c r="AH28" s="12">
        <f>SUM(C28:AG28)</f>
        <v>0</v>
      </c>
      <c r="AI28" s="13">
        <v>33612.14</v>
      </c>
      <c r="AJ28" s="27">
        <f>AH28*AI28</f>
        <v>0</v>
      </c>
    </row>
    <row r="29" spans="1:36" s="15" customFormat="1" ht="24" customHeight="1" thickBot="1">
      <c r="A29" s="1974"/>
      <c r="B29" s="26">
        <v>2</v>
      </c>
      <c r="C29" s="1093"/>
      <c r="D29" s="17"/>
      <c r="E29" s="17"/>
      <c r="F29" s="1093"/>
      <c r="G29" s="17"/>
      <c r="H29" s="17"/>
      <c r="I29" s="17"/>
      <c r="J29" s="17"/>
      <c r="K29" s="17"/>
      <c r="L29" s="17"/>
      <c r="M29" s="1093"/>
      <c r="N29" s="1093"/>
      <c r="O29" s="17"/>
      <c r="P29" s="17"/>
      <c r="Q29" s="17"/>
      <c r="R29" s="17"/>
      <c r="S29" s="17"/>
      <c r="T29" s="1093"/>
      <c r="U29" s="17"/>
      <c r="V29" s="68"/>
      <c r="W29" s="68"/>
      <c r="X29" s="68"/>
      <c r="Y29" s="68"/>
      <c r="Z29" s="17"/>
      <c r="AA29" s="1093"/>
      <c r="AB29" s="17"/>
      <c r="AC29" s="17"/>
      <c r="AD29" s="17"/>
      <c r="AE29" s="1093"/>
      <c r="AF29" s="17"/>
      <c r="AG29" s="17"/>
      <c r="AH29" s="17">
        <f>SUM(C29:AG29)</f>
        <v>0</v>
      </c>
      <c r="AI29" s="18">
        <v>44816.18</v>
      </c>
      <c r="AJ29" s="27">
        <f>AH29*AI29</f>
        <v>0</v>
      </c>
    </row>
    <row r="30" spans="1:36" s="9" customFormat="1" ht="24" customHeight="1" thickBot="1">
      <c r="A30" s="21" t="s">
        <v>249</v>
      </c>
      <c r="B30" s="22"/>
      <c r="C30" s="1095">
        <f>SUM(C28:C29)</f>
        <v>0</v>
      </c>
      <c r="D30" s="22">
        <f t="shared" ref="D30:AG30" si="10">SUM(D28:D29)</f>
        <v>0</v>
      </c>
      <c r="E30" s="22">
        <f t="shared" si="10"/>
        <v>0</v>
      </c>
      <c r="F30" s="1095">
        <f t="shared" si="10"/>
        <v>0</v>
      </c>
      <c r="G30" s="22">
        <f t="shared" si="10"/>
        <v>0</v>
      </c>
      <c r="H30" s="22">
        <f t="shared" si="10"/>
        <v>0</v>
      </c>
      <c r="I30" s="22">
        <f t="shared" si="10"/>
        <v>0</v>
      </c>
      <c r="J30" s="22">
        <f t="shared" si="10"/>
        <v>0</v>
      </c>
      <c r="K30" s="22">
        <f t="shared" si="10"/>
        <v>0</v>
      </c>
      <c r="L30" s="22">
        <f t="shared" si="10"/>
        <v>0</v>
      </c>
      <c r="M30" s="1095">
        <f t="shared" si="10"/>
        <v>0</v>
      </c>
      <c r="N30" s="1095">
        <f t="shared" si="10"/>
        <v>0</v>
      </c>
      <c r="O30" s="22">
        <f t="shared" si="10"/>
        <v>0</v>
      </c>
      <c r="P30" s="22">
        <f t="shared" si="10"/>
        <v>0</v>
      </c>
      <c r="Q30" s="22">
        <f t="shared" si="10"/>
        <v>0</v>
      </c>
      <c r="R30" s="22">
        <f t="shared" si="10"/>
        <v>0</v>
      </c>
      <c r="S30" s="22">
        <f t="shared" si="10"/>
        <v>0</v>
      </c>
      <c r="T30" s="1095">
        <f t="shared" si="10"/>
        <v>0</v>
      </c>
      <c r="U30" s="22">
        <f t="shared" si="10"/>
        <v>0</v>
      </c>
      <c r="V30" s="22">
        <f t="shared" si="10"/>
        <v>0</v>
      </c>
      <c r="W30" s="22">
        <f t="shared" si="10"/>
        <v>0</v>
      </c>
      <c r="X30" s="22">
        <f t="shared" si="10"/>
        <v>0</v>
      </c>
      <c r="Y30" s="22">
        <f t="shared" si="10"/>
        <v>0</v>
      </c>
      <c r="Z30" s="22">
        <f t="shared" si="10"/>
        <v>0</v>
      </c>
      <c r="AA30" s="1095">
        <f t="shared" si="10"/>
        <v>0</v>
      </c>
      <c r="AB30" s="22">
        <f t="shared" si="10"/>
        <v>0</v>
      </c>
      <c r="AC30" s="22">
        <f t="shared" si="10"/>
        <v>0</v>
      </c>
      <c r="AD30" s="22">
        <f t="shared" si="10"/>
        <v>0</v>
      </c>
      <c r="AE30" s="1095">
        <f t="shared" si="10"/>
        <v>0</v>
      </c>
      <c r="AF30" s="22">
        <f t="shared" si="10"/>
        <v>0</v>
      </c>
      <c r="AG30" s="22">
        <f t="shared" si="10"/>
        <v>0</v>
      </c>
      <c r="AH30" s="23">
        <f>SUM(AH28:AH29)</f>
        <v>0</v>
      </c>
      <c r="AI30" s="24"/>
      <c r="AJ30" s="25">
        <f>SUM(AJ28:AJ29)</f>
        <v>0</v>
      </c>
    </row>
    <row r="31" spans="1:36" s="15" customFormat="1" ht="24" customHeight="1">
      <c r="A31" s="1973" t="s">
        <v>140</v>
      </c>
      <c r="B31" s="26">
        <v>1</v>
      </c>
      <c r="C31" s="1092"/>
      <c r="D31" s="11"/>
      <c r="E31" s="11"/>
      <c r="F31" s="1092"/>
      <c r="G31" s="11"/>
      <c r="H31" s="11"/>
      <c r="I31" s="11"/>
      <c r="J31" s="11"/>
      <c r="K31" s="11"/>
      <c r="L31" s="11"/>
      <c r="M31" s="1092"/>
      <c r="N31" s="1092"/>
      <c r="O31" s="11"/>
      <c r="P31" s="11"/>
      <c r="Q31" s="11"/>
      <c r="R31" s="11"/>
      <c r="S31" s="11"/>
      <c r="T31" s="1092"/>
      <c r="U31" s="11"/>
      <c r="V31" s="11"/>
      <c r="W31" s="11"/>
      <c r="X31" s="11"/>
      <c r="Y31" s="11"/>
      <c r="Z31" s="11"/>
      <c r="AA31" s="1092"/>
      <c r="AB31" s="11"/>
      <c r="AC31" s="11"/>
      <c r="AD31" s="11"/>
      <c r="AE31" s="1092"/>
      <c r="AF31" s="11"/>
      <c r="AG31" s="11"/>
      <c r="AH31" s="12">
        <f>SUM(C31:AG31)</f>
        <v>0</v>
      </c>
      <c r="AI31" s="13">
        <v>33612.14</v>
      </c>
      <c r="AJ31" s="27">
        <f>AH31*AI31</f>
        <v>0</v>
      </c>
    </row>
    <row r="32" spans="1:36" s="15" customFormat="1" ht="24" customHeight="1" thickBot="1">
      <c r="A32" s="1974"/>
      <c r="B32" s="26">
        <v>2</v>
      </c>
      <c r="C32" s="1093"/>
      <c r="D32" s="17"/>
      <c r="E32" s="17"/>
      <c r="F32" s="1093"/>
      <c r="G32" s="17"/>
      <c r="H32" s="17"/>
      <c r="I32" s="17"/>
      <c r="J32" s="17"/>
      <c r="K32" s="17"/>
      <c r="L32" s="17"/>
      <c r="M32" s="1093"/>
      <c r="N32" s="1093"/>
      <c r="O32" s="17"/>
      <c r="P32" s="17"/>
      <c r="Q32" s="17"/>
      <c r="R32" s="17"/>
      <c r="S32" s="17"/>
      <c r="T32" s="1093"/>
      <c r="U32" s="17"/>
      <c r="V32" s="68"/>
      <c r="W32" s="68"/>
      <c r="X32" s="68"/>
      <c r="Y32" s="68"/>
      <c r="Z32" s="17"/>
      <c r="AA32" s="1093"/>
      <c r="AB32" s="17"/>
      <c r="AC32" s="17"/>
      <c r="AD32" s="17"/>
      <c r="AE32" s="1093"/>
      <c r="AF32" s="17"/>
      <c r="AG32" s="17"/>
      <c r="AH32" s="17">
        <f>SUM(C32:AG32)</f>
        <v>0</v>
      </c>
      <c r="AI32" s="18">
        <v>44816.18</v>
      </c>
      <c r="AJ32" s="27">
        <f>AH32*AI32</f>
        <v>0</v>
      </c>
    </row>
    <row r="33" spans="1:36" s="9" customFormat="1" ht="24" customHeight="1" thickBot="1">
      <c r="A33" s="21" t="s">
        <v>249</v>
      </c>
      <c r="B33" s="22"/>
      <c r="C33" s="1095">
        <f>SUM(C31:C32)</f>
        <v>0</v>
      </c>
      <c r="D33" s="22">
        <f t="shared" ref="D33:AG33" si="11">SUM(D31:D32)</f>
        <v>0</v>
      </c>
      <c r="E33" s="22">
        <f t="shared" si="11"/>
        <v>0</v>
      </c>
      <c r="F33" s="1095">
        <f t="shared" si="11"/>
        <v>0</v>
      </c>
      <c r="G33" s="22">
        <f t="shared" si="11"/>
        <v>0</v>
      </c>
      <c r="H33" s="22">
        <f t="shared" si="11"/>
        <v>0</v>
      </c>
      <c r="I33" s="22">
        <f t="shared" si="11"/>
        <v>0</v>
      </c>
      <c r="J33" s="22">
        <f t="shared" si="11"/>
        <v>0</v>
      </c>
      <c r="K33" s="22">
        <f t="shared" si="11"/>
        <v>0</v>
      </c>
      <c r="L33" s="22">
        <f t="shared" si="11"/>
        <v>0</v>
      </c>
      <c r="M33" s="1095">
        <f t="shared" si="11"/>
        <v>0</v>
      </c>
      <c r="N33" s="1095">
        <f t="shared" si="11"/>
        <v>0</v>
      </c>
      <c r="O33" s="22">
        <f t="shared" si="11"/>
        <v>0</v>
      </c>
      <c r="P33" s="22">
        <f t="shared" si="11"/>
        <v>0</v>
      </c>
      <c r="Q33" s="22">
        <f t="shared" si="11"/>
        <v>0</v>
      </c>
      <c r="R33" s="22">
        <f t="shared" si="11"/>
        <v>0</v>
      </c>
      <c r="S33" s="22">
        <f t="shared" si="11"/>
        <v>0</v>
      </c>
      <c r="T33" s="1095">
        <f t="shared" si="11"/>
        <v>0</v>
      </c>
      <c r="U33" s="22">
        <f t="shared" si="11"/>
        <v>0</v>
      </c>
      <c r="V33" s="22">
        <f t="shared" si="11"/>
        <v>0</v>
      </c>
      <c r="W33" s="22">
        <f t="shared" si="11"/>
        <v>0</v>
      </c>
      <c r="X33" s="22">
        <f t="shared" si="11"/>
        <v>0</v>
      </c>
      <c r="Y33" s="22">
        <f t="shared" si="11"/>
        <v>0</v>
      </c>
      <c r="Z33" s="22">
        <f t="shared" si="11"/>
        <v>0</v>
      </c>
      <c r="AA33" s="1095">
        <f t="shared" si="11"/>
        <v>0</v>
      </c>
      <c r="AB33" s="22">
        <f t="shared" si="11"/>
        <v>0</v>
      </c>
      <c r="AC33" s="22">
        <f t="shared" si="11"/>
        <v>0</v>
      </c>
      <c r="AD33" s="22">
        <f t="shared" si="11"/>
        <v>0</v>
      </c>
      <c r="AE33" s="1095">
        <f t="shared" si="11"/>
        <v>0</v>
      </c>
      <c r="AF33" s="22">
        <f t="shared" si="11"/>
        <v>0</v>
      </c>
      <c r="AG33" s="22">
        <f t="shared" si="11"/>
        <v>0</v>
      </c>
      <c r="AH33" s="23">
        <f>SUM(AH31:AH32)</f>
        <v>0</v>
      </c>
      <c r="AI33" s="24"/>
      <c r="AJ33" s="25">
        <f>SUM(AJ31:AJ32)</f>
        <v>0</v>
      </c>
    </row>
    <row r="34" spans="1:36" s="9" customFormat="1" ht="24" customHeight="1" thickBot="1">
      <c r="A34" s="38"/>
      <c r="B34" s="39"/>
      <c r="C34" s="1097"/>
      <c r="D34" s="39"/>
      <c r="E34" s="39"/>
      <c r="F34" s="1097"/>
      <c r="G34" s="39"/>
      <c r="H34" s="39"/>
      <c r="I34" s="39"/>
      <c r="J34" s="39"/>
      <c r="K34" s="39"/>
      <c r="L34" s="39"/>
      <c r="M34" s="1097"/>
      <c r="N34" s="1097"/>
      <c r="O34" s="39"/>
      <c r="P34" s="39"/>
      <c r="Q34" s="39"/>
      <c r="R34" s="39"/>
      <c r="S34" s="39"/>
      <c r="T34" s="1097"/>
      <c r="U34" s="39"/>
      <c r="V34" s="39"/>
      <c r="W34" s="39"/>
      <c r="X34" s="39"/>
      <c r="Y34" s="39"/>
      <c r="Z34" s="39"/>
      <c r="AA34" s="1097"/>
      <c r="AB34" s="39"/>
      <c r="AC34" s="39"/>
      <c r="AD34" s="39"/>
      <c r="AE34" s="1097"/>
      <c r="AF34" s="39"/>
      <c r="AG34" s="39"/>
      <c r="AH34" s="40"/>
      <c r="AI34" s="41"/>
      <c r="AJ34" s="42"/>
    </row>
    <row r="35" spans="1:36" s="31" customFormat="1" ht="24" customHeight="1" thickBot="1">
      <c r="A35" s="29" t="s">
        <v>249</v>
      </c>
      <c r="B35" s="28"/>
      <c r="C35" s="1096">
        <f>C6+C9+C12+C15+C18+C21+C24+C27+C30+C33</f>
        <v>0</v>
      </c>
      <c r="D35" s="28">
        <f t="shared" ref="D35:AI35" si="12">D6+D9+D12+D15+D18+D21+D24+D27+D30+D33</f>
        <v>21</v>
      </c>
      <c r="E35" s="28">
        <f t="shared" si="12"/>
        <v>15</v>
      </c>
      <c r="F35" s="1096">
        <f t="shared" si="12"/>
        <v>0</v>
      </c>
      <c r="G35" s="28">
        <f t="shared" si="12"/>
        <v>11</v>
      </c>
      <c r="H35" s="28">
        <f t="shared" si="12"/>
        <v>12</v>
      </c>
      <c r="I35" s="28">
        <f t="shared" si="12"/>
        <v>14</v>
      </c>
      <c r="J35" s="28">
        <f t="shared" si="12"/>
        <v>11</v>
      </c>
      <c r="K35" s="28">
        <f t="shared" si="12"/>
        <v>14</v>
      </c>
      <c r="L35" s="28">
        <f t="shared" si="12"/>
        <v>15</v>
      </c>
      <c r="M35" s="1096">
        <f t="shared" si="12"/>
        <v>0</v>
      </c>
      <c r="N35" s="1096">
        <f t="shared" si="12"/>
        <v>0</v>
      </c>
      <c r="O35" s="28">
        <f t="shared" si="12"/>
        <v>18</v>
      </c>
      <c r="P35" s="28">
        <f t="shared" si="12"/>
        <v>13</v>
      </c>
      <c r="Q35" s="28">
        <f t="shared" si="12"/>
        <v>17</v>
      </c>
      <c r="R35" s="28">
        <f t="shared" si="12"/>
        <v>20</v>
      </c>
      <c r="S35" s="28">
        <f t="shared" si="12"/>
        <v>15</v>
      </c>
      <c r="T35" s="1096">
        <f t="shared" si="12"/>
        <v>0</v>
      </c>
      <c r="U35" s="28">
        <f t="shared" si="12"/>
        <v>15</v>
      </c>
      <c r="V35" s="28">
        <f t="shared" si="12"/>
        <v>14</v>
      </c>
      <c r="W35" s="28">
        <f t="shared" si="12"/>
        <v>17</v>
      </c>
      <c r="X35" s="28">
        <f t="shared" si="12"/>
        <v>14.5</v>
      </c>
      <c r="Y35" s="28">
        <f t="shared" si="12"/>
        <v>19</v>
      </c>
      <c r="Z35" s="28">
        <f t="shared" si="12"/>
        <v>14</v>
      </c>
      <c r="AA35" s="1096">
        <f t="shared" si="12"/>
        <v>0</v>
      </c>
      <c r="AB35" s="28">
        <f t="shared" si="12"/>
        <v>13</v>
      </c>
      <c r="AC35" s="28">
        <f t="shared" si="12"/>
        <v>12</v>
      </c>
      <c r="AD35" s="28">
        <f t="shared" si="12"/>
        <v>13</v>
      </c>
      <c r="AE35" s="1096">
        <f t="shared" si="12"/>
        <v>0</v>
      </c>
      <c r="AF35" s="28">
        <f t="shared" si="12"/>
        <v>10</v>
      </c>
      <c r="AG35" s="28">
        <f t="shared" si="12"/>
        <v>12</v>
      </c>
      <c r="AH35" s="28">
        <f t="shared" si="12"/>
        <v>349.5</v>
      </c>
      <c r="AI35" s="28">
        <f t="shared" si="12"/>
        <v>0</v>
      </c>
      <c r="AJ35" s="43">
        <f>AJ6+AJ9+AJ12+AJ15+AJ18+AJ21+AJ24+AJ27+AJ30+AJ33</f>
        <v>14598871.110000001</v>
      </c>
    </row>
    <row r="36" spans="1:36" s="15" customFormat="1">
      <c r="C36" s="1098"/>
      <c r="F36" s="1098"/>
      <c r="M36" s="1098"/>
      <c r="N36" s="1098"/>
      <c r="T36" s="1098"/>
      <c r="AA36" s="1098"/>
      <c r="AE36" s="1098"/>
      <c r="AH36" s="20">
        <v>349.5</v>
      </c>
      <c r="AI36" s="6" t="s">
        <v>272</v>
      </c>
      <c r="AJ36" s="44"/>
    </row>
    <row r="37" spans="1:36">
      <c r="AI37" s="254" t="s">
        <v>472</v>
      </c>
    </row>
    <row r="38" spans="1:36" s="4" customFormat="1" ht="27.75" customHeight="1" thickBot="1">
      <c r="A38" s="1966" t="s">
        <v>254</v>
      </c>
      <c r="B38" s="1966"/>
      <c r="C38" s="1966"/>
      <c r="D38" s="1966"/>
      <c r="F38" s="1107"/>
      <c r="M38" s="1107"/>
      <c r="N38" s="1107"/>
      <c r="T38" s="1107"/>
      <c r="AA38" s="1107"/>
      <c r="AE38" s="1107"/>
      <c r="AH38" s="4">
        <f>AH35-AH36-AH37</f>
        <v>0</v>
      </c>
      <c r="AI38" s="47" t="s">
        <v>38</v>
      </c>
      <c r="AJ38" s="7"/>
    </row>
    <row r="39" spans="1:36" s="9" customFormat="1">
      <c r="A39" s="1967" t="s">
        <v>7</v>
      </c>
      <c r="B39" s="1969" t="s">
        <v>247</v>
      </c>
      <c r="C39" s="1971" t="s">
        <v>234</v>
      </c>
      <c r="D39" s="1971"/>
      <c r="E39" s="1971"/>
      <c r="F39" s="1971"/>
      <c r="G39" s="1971"/>
      <c r="H39" s="1971"/>
      <c r="I39" s="1971"/>
      <c r="J39" s="1971"/>
      <c r="K39" s="1971"/>
      <c r="L39" s="1971"/>
      <c r="M39" s="1971"/>
      <c r="N39" s="1971"/>
      <c r="O39" s="1971"/>
      <c r="P39" s="1971"/>
      <c r="Q39" s="1971"/>
      <c r="R39" s="1971"/>
      <c r="S39" s="1971"/>
      <c r="T39" s="1971"/>
      <c r="U39" s="1971"/>
      <c r="V39" s="1971"/>
      <c r="W39" s="1971"/>
      <c r="X39" s="1971"/>
      <c r="Y39" s="1971"/>
      <c r="Z39" s="1971"/>
      <c r="AA39" s="1971"/>
      <c r="AB39" s="1971"/>
      <c r="AC39" s="1971"/>
      <c r="AD39" s="1971"/>
      <c r="AE39" s="1971"/>
      <c r="AF39" s="1971"/>
      <c r="AG39" s="1972"/>
      <c r="AH39" s="1187" t="s">
        <v>38</v>
      </c>
      <c r="AI39" s="1983" t="s">
        <v>248</v>
      </c>
      <c r="AJ39" s="1979" t="s">
        <v>38</v>
      </c>
    </row>
    <row r="40" spans="1:36" s="9" customFormat="1" ht="15.75" thickBot="1">
      <c r="A40" s="1968"/>
      <c r="B40" s="1970"/>
      <c r="C40" s="1091">
        <v>1</v>
      </c>
      <c r="D40" s="1192">
        <v>2</v>
      </c>
      <c r="E40" s="1192">
        <v>3</v>
      </c>
      <c r="F40" s="1091">
        <v>4</v>
      </c>
      <c r="G40" s="1192">
        <v>5</v>
      </c>
      <c r="H40" s="1192">
        <v>6</v>
      </c>
      <c r="I40" s="1192">
        <v>7</v>
      </c>
      <c r="J40" s="1192">
        <v>8</v>
      </c>
      <c r="K40" s="1192">
        <v>9</v>
      </c>
      <c r="L40" s="1192">
        <v>10</v>
      </c>
      <c r="M40" s="1091">
        <v>11</v>
      </c>
      <c r="N40" s="1091">
        <v>12</v>
      </c>
      <c r="O40" s="1192">
        <v>13</v>
      </c>
      <c r="P40" s="1192">
        <v>14</v>
      </c>
      <c r="Q40" s="1192">
        <v>15</v>
      </c>
      <c r="R40" s="1192">
        <v>16</v>
      </c>
      <c r="S40" s="1192">
        <v>17</v>
      </c>
      <c r="T40" s="1091">
        <v>18</v>
      </c>
      <c r="U40" s="1192">
        <v>19</v>
      </c>
      <c r="V40" s="1192">
        <v>20</v>
      </c>
      <c r="W40" s="1192">
        <v>21</v>
      </c>
      <c r="X40" s="1192">
        <v>22</v>
      </c>
      <c r="Y40" s="1192">
        <v>23</v>
      </c>
      <c r="Z40" s="1192">
        <v>24</v>
      </c>
      <c r="AA40" s="1091">
        <v>25</v>
      </c>
      <c r="AB40" s="1192">
        <v>26</v>
      </c>
      <c r="AC40" s="1192">
        <v>27</v>
      </c>
      <c r="AD40" s="1192">
        <v>28</v>
      </c>
      <c r="AE40" s="1091">
        <v>29</v>
      </c>
      <c r="AF40" s="1192">
        <v>30</v>
      </c>
      <c r="AG40" s="1087">
        <v>31</v>
      </c>
      <c r="AH40" s="1188" t="s">
        <v>247</v>
      </c>
      <c r="AI40" s="1984"/>
      <c r="AJ40" s="1980"/>
    </row>
    <row r="41" spans="1:36" s="15" customFormat="1" ht="24" customHeight="1">
      <c r="A41" s="1973" t="s">
        <v>153</v>
      </c>
      <c r="B41" s="49">
        <v>1</v>
      </c>
      <c r="C41" s="1092"/>
      <c r="D41" s="11">
        <v>1</v>
      </c>
      <c r="E41" s="11">
        <v>1</v>
      </c>
      <c r="F41" s="1092"/>
      <c r="G41" s="11">
        <v>1</v>
      </c>
      <c r="H41" s="11">
        <v>1</v>
      </c>
      <c r="I41" s="11">
        <v>1</v>
      </c>
      <c r="J41" s="11">
        <v>1</v>
      </c>
      <c r="K41" s="11">
        <v>1</v>
      </c>
      <c r="L41" s="11">
        <v>1</v>
      </c>
      <c r="M41" s="1092"/>
      <c r="N41" s="1092"/>
      <c r="O41" s="11"/>
      <c r="P41" s="11">
        <v>1</v>
      </c>
      <c r="Q41" s="11">
        <v>1</v>
      </c>
      <c r="R41" s="11">
        <v>1</v>
      </c>
      <c r="S41" s="11">
        <v>1</v>
      </c>
      <c r="T41" s="1092"/>
      <c r="U41" s="11">
        <v>1</v>
      </c>
      <c r="V41" s="11">
        <v>1</v>
      </c>
      <c r="W41" s="11">
        <v>1</v>
      </c>
      <c r="X41" s="11">
        <v>1</v>
      </c>
      <c r="Y41" s="11"/>
      <c r="Z41" s="11"/>
      <c r="AA41" s="1092"/>
      <c r="AB41" s="11"/>
      <c r="AC41" s="11"/>
      <c r="AD41" s="11"/>
      <c r="AE41" s="1092"/>
      <c r="AF41" s="11">
        <v>1</v>
      </c>
      <c r="AG41" s="11">
        <v>1</v>
      </c>
      <c r="AH41" s="49">
        <f>SUM(C41:AG41)</f>
        <v>18</v>
      </c>
      <c r="AI41" s="13">
        <v>33612.14</v>
      </c>
      <c r="AJ41" s="50">
        <f>AH41*AI41</f>
        <v>605018.52</v>
      </c>
    </row>
    <row r="42" spans="1:36" s="15" customFormat="1" ht="24" customHeight="1" thickBot="1">
      <c r="A42" s="1974"/>
      <c r="B42" s="51">
        <v>2</v>
      </c>
      <c r="C42" s="1093"/>
      <c r="D42" s="17"/>
      <c r="E42" s="17">
        <v>1</v>
      </c>
      <c r="F42" s="1093"/>
      <c r="G42" s="17"/>
      <c r="H42" s="17">
        <v>1</v>
      </c>
      <c r="I42" s="17"/>
      <c r="J42" s="17"/>
      <c r="K42" s="17"/>
      <c r="L42" s="17">
        <v>1</v>
      </c>
      <c r="M42" s="1093"/>
      <c r="N42" s="1093"/>
      <c r="O42" s="17"/>
      <c r="P42" s="17">
        <v>1</v>
      </c>
      <c r="Q42" s="17"/>
      <c r="R42" s="17">
        <v>1</v>
      </c>
      <c r="S42" s="17">
        <v>1</v>
      </c>
      <c r="T42" s="1093"/>
      <c r="U42" s="17"/>
      <c r="V42" s="68"/>
      <c r="W42" s="68">
        <v>1</v>
      </c>
      <c r="X42" s="68"/>
      <c r="Y42" s="68"/>
      <c r="Z42" s="17"/>
      <c r="AA42" s="1093"/>
      <c r="AB42" s="17"/>
      <c r="AC42" s="17"/>
      <c r="AD42" s="17"/>
      <c r="AE42" s="1093"/>
      <c r="AF42" s="17"/>
      <c r="AG42" s="17">
        <v>1</v>
      </c>
      <c r="AH42" s="52">
        <f>SUM(C42:AG42)</f>
        <v>8</v>
      </c>
      <c r="AI42" s="18">
        <v>44816.18</v>
      </c>
      <c r="AJ42" s="53">
        <f>AH42*AI42</f>
        <v>358529.44</v>
      </c>
    </row>
    <row r="43" spans="1:36" s="9" customFormat="1" ht="24" customHeight="1" thickBot="1">
      <c r="A43" s="38" t="s">
        <v>249</v>
      </c>
      <c r="B43" s="21"/>
      <c r="C43" s="1095">
        <f>SUM(C41:C42)</f>
        <v>0</v>
      </c>
      <c r="D43" s="22">
        <f t="shared" ref="D43:AG43" si="13">SUM(D41:D42)</f>
        <v>1</v>
      </c>
      <c r="E43" s="22">
        <f t="shared" si="13"/>
        <v>2</v>
      </c>
      <c r="F43" s="1095">
        <f t="shared" si="13"/>
        <v>0</v>
      </c>
      <c r="G43" s="22">
        <f t="shared" si="13"/>
        <v>1</v>
      </c>
      <c r="H43" s="22">
        <f t="shared" si="13"/>
        <v>2</v>
      </c>
      <c r="I43" s="22">
        <f t="shared" si="13"/>
        <v>1</v>
      </c>
      <c r="J43" s="22">
        <f>SUM(J41:J42)</f>
        <v>1</v>
      </c>
      <c r="K43" s="22">
        <f t="shared" si="13"/>
        <v>1</v>
      </c>
      <c r="L43" s="22">
        <f t="shared" si="13"/>
        <v>2</v>
      </c>
      <c r="M43" s="1095">
        <f t="shared" si="13"/>
        <v>0</v>
      </c>
      <c r="N43" s="1095">
        <f t="shared" si="13"/>
        <v>0</v>
      </c>
      <c r="O43" s="22">
        <f t="shared" si="13"/>
        <v>0</v>
      </c>
      <c r="P43" s="22">
        <f t="shared" si="13"/>
        <v>2</v>
      </c>
      <c r="Q43" s="22">
        <f t="shared" si="13"/>
        <v>1</v>
      </c>
      <c r="R43" s="22">
        <f t="shared" si="13"/>
        <v>2</v>
      </c>
      <c r="S43" s="22">
        <f t="shared" si="13"/>
        <v>2</v>
      </c>
      <c r="T43" s="1095">
        <f t="shared" si="13"/>
        <v>0</v>
      </c>
      <c r="U43" s="22">
        <f t="shared" si="13"/>
        <v>1</v>
      </c>
      <c r="V43" s="22">
        <f t="shared" si="13"/>
        <v>1</v>
      </c>
      <c r="W43" s="28">
        <f t="shared" si="13"/>
        <v>2</v>
      </c>
      <c r="X43" s="28">
        <f t="shared" si="13"/>
        <v>1</v>
      </c>
      <c r="Y43" s="22">
        <f t="shared" si="13"/>
        <v>0</v>
      </c>
      <c r="Z43" s="22">
        <f t="shared" si="13"/>
        <v>0</v>
      </c>
      <c r="AA43" s="1095">
        <f t="shared" si="13"/>
        <v>0</v>
      </c>
      <c r="AB43" s="22">
        <f t="shared" si="13"/>
        <v>0</v>
      </c>
      <c r="AC43" s="22">
        <f t="shared" si="13"/>
        <v>0</v>
      </c>
      <c r="AD43" s="22">
        <f t="shared" si="13"/>
        <v>0</v>
      </c>
      <c r="AE43" s="1095">
        <f t="shared" si="13"/>
        <v>0</v>
      </c>
      <c r="AF43" s="22">
        <f t="shared" si="13"/>
        <v>1</v>
      </c>
      <c r="AG43" s="1088">
        <f t="shared" si="13"/>
        <v>2</v>
      </c>
      <c r="AH43" s="29">
        <f>SUM(AH41:AH42)</f>
        <v>26</v>
      </c>
      <c r="AI43" s="43"/>
      <c r="AJ43" s="25">
        <f>SUM(AJ41:AJ42)</f>
        <v>963547.96</v>
      </c>
    </row>
    <row r="44" spans="1:36" s="15" customFormat="1" ht="24" customHeight="1">
      <c r="A44" s="1973" t="s">
        <v>154</v>
      </c>
      <c r="B44" s="49">
        <v>1</v>
      </c>
      <c r="C44" s="1092"/>
      <c r="D44" s="11">
        <v>1</v>
      </c>
      <c r="E44" s="11">
        <v>1</v>
      </c>
      <c r="F44" s="1092"/>
      <c r="G44" s="11">
        <v>1</v>
      </c>
      <c r="H44" s="11">
        <v>1</v>
      </c>
      <c r="I44" s="11">
        <v>1</v>
      </c>
      <c r="J44" s="11"/>
      <c r="K44" s="11">
        <v>1</v>
      </c>
      <c r="L44" s="11">
        <v>1</v>
      </c>
      <c r="M44" s="1092"/>
      <c r="N44" s="1092"/>
      <c r="O44" s="11">
        <v>1</v>
      </c>
      <c r="P44" s="11">
        <v>1</v>
      </c>
      <c r="Q44" s="11">
        <v>1</v>
      </c>
      <c r="R44" s="11">
        <v>1</v>
      </c>
      <c r="S44" s="11">
        <v>1</v>
      </c>
      <c r="T44" s="1092"/>
      <c r="U44" s="11">
        <v>1</v>
      </c>
      <c r="V44" s="11">
        <v>1</v>
      </c>
      <c r="W44" s="11">
        <v>1</v>
      </c>
      <c r="X44" s="11">
        <v>1</v>
      </c>
      <c r="Y44" s="11"/>
      <c r="Z44" s="11"/>
      <c r="AA44" s="1092"/>
      <c r="AB44" s="11"/>
      <c r="AC44" s="11"/>
      <c r="AD44" s="11"/>
      <c r="AE44" s="1092"/>
      <c r="AF44" s="11"/>
      <c r="AG44" s="11"/>
      <c r="AH44" s="49">
        <f>SUM(C44:AG44)</f>
        <v>16</v>
      </c>
      <c r="AI44" s="13">
        <v>33612.14</v>
      </c>
      <c r="AJ44" s="50">
        <f>AH44*AI44</f>
        <v>537794.24</v>
      </c>
    </row>
    <row r="45" spans="1:36" s="15" customFormat="1" ht="24" customHeight="1" thickBot="1">
      <c r="A45" s="1974"/>
      <c r="B45" s="51">
        <v>2</v>
      </c>
      <c r="C45" s="1093"/>
      <c r="D45" s="17"/>
      <c r="E45" s="17">
        <v>1</v>
      </c>
      <c r="F45" s="1093"/>
      <c r="G45" s="17"/>
      <c r="H45" s="17">
        <v>1</v>
      </c>
      <c r="I45" s="17"/>
      <c r="J45" s="17"/>
      <c r="K45" s="17"/>
      <c r="L45" s="17">
        <v>1</v>
      </c>
      <c r="M45" s="1093"/>
      <c r="N45" s="1093"/>
      <c r="O45" s="17"/>
      <c r="P45" s="17">
        <v>1</v>
      </c>
      <c r="Q45" s="17"/>
      <c r="R45" s="17">
        <v>1</v>
      </c>
      <c r="S45" s="17">
        <v>1</v>
      </c>
      <c r="T45" s="1093"/>
      <c r="U45" s="17"/>
      <c r="V45" s="68"/>
      <c r="W45" s="68">
        <v>1</v>
      </c>
      <c r="X45" s="68"/>
      <c r="Y45" s="68"/>
      <c r="Z45" s="17"/>
      <c r="AA45" s="1093"/>
      <c r="AB45" s="17"/>
      <c r="AC45" s="17"/>
      <c r="AD45" s="17"/>
      <c r="AE45" s="1093"/>
      <c r="AF45" s="17"/>
      <c r="AG45" s="17"/>
      <c r="AH45" s="51">
        <f>SUM(C45:AG45)</f>
        <v>7</v>
      </c>
      <c r="AI45" s="18">
        <v>44816.18</v>
      </c>
      <c r="AJ45" s="53">
        <f>AH45*AI45</f>
        <v>313713.26</v>
      </c>
    </row>
    <row r="46" spans="1:36" s="9" customFormat="1" ht="24" customHeight="1" thickBot="1">
      <c r="A46" s="38" t="s">
        <v>249</v>
      </c>
      <c r="B46" s="21"/>
      <c r="C46" s="1095">
        <f>SUM(C44:C45)</f>
        <v>0</v>
      </c>
      <c r="D46" s="22">
        <f t="shared" ref="D46:AG46" si="14">SUM(D44:D45)</f>
        <v>1</v>
      </c>
      <c r="E46" s="22">
        <f t="shared" si="14"/>
        <v>2</v>
      </c>
      <c r="F46" s="1095">
        <f t="shared" si="14"/>
        <v>0</v>
      </c>
      <c r="G46" s="22">
        <f t="shared" si="14"/>
        <v>1</v>
      </c>
      <c r="H46" s="22">
        <f t="shared" si="14"/>
        <v>2</v>
      </c>
      <c r="I46" s="22">
        <f t="shared" si="14"/>
        <v>1</v>
      </c>
      <c r="J46" s="22">
        <f>SUM(J44:J45)</f>
        <v>0</v>
      </c>
      <c r="K46" s="22">
        <f t="shared" si="14"/>
        <v>1</v>
      </c>
      <c r="L46" s="22">
        <f t="shared" si="14"/>
        <v>2</v>
      </c>
      <c r="M46" s="1095">
        <f t="shared" si="14"/>
        <v>0</v>
      </c>
      <c r="N46" s="1095">
        <f t="shared" si="14"/>
        <v>0</v>
      </c>
      <c r="O46" s="22">
        <f t="shared" si="14"/>
        <v>1</v>
      </c>
      <c r="P46" s="22">
        <f t="shared" si="14"/>
        <v>2</v>
      </c>
      <c r="Q46" s="22">
        <f t="shared" si="14"/>
        <v>1</v>
      </c>
      <c r="R46" s="22">
        <f t="shared" si="14"/>
        <v>2</v>
      </c>
      <c r="S46" s="22">
        <f t="shared" si="14"/>
        <v>2</v>
      </c>
      <c r="T46" s="1095">
        <f t="shared" si="14"/>
        <v>0</v>
      </c>
      <c r="U46" s="22">
        <f t="shared" si="14"/>
        <v>1</v>
      </c>
      <c r="V46" s="22">
        <f t="shared" si="14"/>
        <v>1</v>
      </c>
      <c r="W46" s="28">
        <f t="shared" si="14"/>
        <v>2</v>
      </c>
      <c r="X46" s="28">
        <f t="shared" si="14"/>
        <v>1</v>
      </c>
      <c r="Y46" s="22">
        <f t="shared" si="14"/>
        <v>0</v>
      </c>
      <c r="Z46" s="22">
        <f t="shared" si="14"/>
        <v>0</v>
      </c>
      <c r="AA46" s="1095">
        <f t="shared" si="14"/>
        <v>0</v>
      </c>
      <c r="AB46" s="22">
        <f t="shared" si="14"/>
        <v>0</v>
      </c>
      <c r="AC46" s="22">
        <f t="shared" si="14"/>
        <v>0</v>
      </c>
      <c r="AD46" s="22">
        <f t="shared" si="14"/>
        <v>0</v>
      </c>
      <c r="AE46" s="1095">
        <f t="shared" si="14"/>
        <v>0</v>
      </c>
      <c r="AF46" s="22">
        <f t="shared" si="14"/>
        <v>0</v>
      </c>
      <c r="AG46" s="22">
        <f t="shared" si="14"/>
        <v>0</v>
      </c>
      <c r="AH46" s="29">
        <f>SUM(AH44:AH45)</f>
        <v>23</v>
      </c>
      <c r="AI46" s="43"/>
      <c r="AJ46" s="25">
        <f>SUM(AJ44:AJ45)</f>
        <v>851507.5</v>
      </c>
    </row>
    <row r="47" spans="1:36" s="15" customFormat="1" ht="24" customHeight="1">
      <c r="A47" s="1973" t="s">
        <v>251</v>
      </c>
      <c r="B47" s="49">
        <v>1</v>
      </c>
      <c r="C47" s="1092"/>
      <c r="D47" s="11">
        <v>1</v>
      </c>
      <c r="E47" s="11"/>
      <c r="F47" s="1092"/>
      <c r="G47" s="11">
        <v>1</v>
      </c>
      <c r="H47" s="11">
        <v>1</v>
      </c>
      <c r="I47" s="11">
        <v>1</v>
      </c>
      <c r="J47" s="11">
        <v>1</v>
      </c>
      <c r="K47" s="11">
        <v>1</v>
      </c>
      <c r="L47" s="11">
        <v>1</v>
      </c>
      <c r="M47" s="1092"/>
      <c r="N47" s="1092"/>
      <c r="O47" s="11"/>
      <c r="P47" s="11">
        <v>1</v>
      </c>
      <c r="Q47" s="11">
        <v>1</v>
      </c>
      <c r="R47" s="11">
        <v>1</v>
      </c>
      <c r="S47" s="11">
        <v>1</v>
      </c>
      <c r="T47" s="1092"/>
      <c r="U47" s="11">
        <v>1</v>
      </c>
      <c r="V47" s="11">
        <v>1</v>
      </c>
      <c r="W47" s="11">
        <v>1</v>
      </c>
      <c r="X47" s="11">
        <v>1</v>
      </c>
      <c r="Y47" s="11">
        <v>1</v>
      </c>
      <c r="Z47" s="11">
        <v>1</v>
      </c>
      <c r="AA47" s="1092"/>
      <c r="AB47" s="11">
        <v>1</v>
      </c>
      <c r="AC47" s="11">
        <v>1</v>
      </c>
      <c r="AD47" s="11"/>
      <c r="AE47" s="1092"/>
      <c r="AF47" s="11"/>
      <c r="AG47" s="11">
        <v>1</v>
      </c>
      <c r="AH47" s="49">
        <f>SUM(C47:AG47)</f>
        <v>20</v>
      </c>
      <c r="AI47" s="13">
        <v>33612.14</v>
      </c>
      <c r="AJ47" s="50">
        <f>AH47*AI47</f>
        <v>672242.8</v>
      </c>
    </row>
    <row r="48" spans="1:36" s="15" customFormat="1" ht="24" customHeight="1">
      <c r="A48" s="1981"/>
      <c r="B48" s="1191">
        <v>2</v>
      </c>
      <c r="C48" s="1093"/>
      <c r="D48" s="17"/>
      <c r="E48" s="17"/>
      <c r="F48" s="1093"/>
      <c r="G48" s="17">
        <v>1</v>
      </c>
      <c r="H48" s="17">
        <v>1</v>
      </c>
      <c r="I48" s="17"/>
      <c r="J48" s="17"/>
      <c r="K48" s="17">
        <v>1</v>
      </c>
      <c r="L48" s="17">
        <v>1</v>
      </c>
      <c r="M48" s="1093"/>
      <c r="N48" s="1093"/>
      <c r="O48" s="17"/>
      <c r="P48" s="17">
        <v>1</v>
      </c>
      <c r="Q48" s="17"/>
      <c r="R48" s="17">
        <v>1</v>
      </c>
      <c r="S48" s="17">
        <v>1</v>
      </c>
      <c r="T48" s="1093"/>
      <c r="U48" s="17">
        <v>1</v>
      </c>
      <c r="V48" s="68"/>
      <c r="W48" s="68">
        <v>1</v>
      </c>
      <c r="X48" s="68">
        <v>1</v>
      </c>
      <c r="Y48" s="68"/>
      <c r="Z48" s="17">
        <v>1</v>
      </c>
      <c r="AA48" s="1093"/>
      <c r="AB48" s="17"/>
      <c r="AC48" s="17"/>
      <c r="AD48" s="17"/>
      <c r="AE48" s="1093"/>
      <c r="AF48" s="17"/>
      <c r="AG48" s="17">
        <v>3</v>
      </c>
      <c r="AH48" s="252">
        <f>SUM(C48:AG48)</f>
        <v>14</v>
      </c>
      <c r="AI48" s="18">
        <v>44816.18</v>
      </c>
      <c r="AJ48" s="56">
        <f>AH48*AI48</f>
        <v>627426.52</v>
      </c>
    </row>
    <row r="49" spans="1:36" s="15" customFormat="1" ht="24" customHeight="1" thickBot="1">
      <c r="A49" s="1974"/>
      <c r="B49" s="51">
        <v>3</v>
      </c>
      <c r="C49" s="1093"/>
      <c r="D49" s="17"/>
      <c r="E49" s="17"/>
      <c r="F49" s="1093"/>
      <c r="G49" s="17"/>
      <c r="H49" s="17"/>
      <c r="I49" s="17"/>
      <c r="J49" s="17"/>
      <c r="K49" s="17"/>
      <c r="L49" s="17"/>
      <c r="M49" s="1093"/>
      <c r="N49" s="1093"/>
      <c r="O49" s="17"/>
      <c r="P49" s="17"/>
      <c r="Q49" s="17"/>
      <c r="R49" s="17"/>
      <c r="S49" s="17"/>
      <c r="T49" s="1093"/>
      <c r="U49" s="68"/>
      <c r="V49" s="68"/>
      <c r="W49" s="68"/>
      <c r="X49" s="68"/>
      <c r="Y49" s="68"/>
      <c r="Z49" s="17"/>
      <c r="AA49" s="1093"/>
      <c r="AB49" s="17"/>
      <c r="AC49" s="17"/>
      <c r="AD49" s="17"/>
      <c r="AE49" s="1093"/>
      <c r="AF49" s="17"/>
      <c r="AG49" s="17"/>
      <c r="AH49" s="52">
        <f>SUM(C49:AG49)</f>
        <v>0</v>
      </c>
      <c r="AI49" s="253">
        <v>67224.28</v>
      </c>
      <c r="AJ49" s="53">
        <f>AH49*AI49</f>
        <v>0</v>
      </c>
    </row>
    <row r="50" spans="1:36" s="9" customFormat="1" ht="24" customHeight="1" thickBot="1">
      <c r="A50" s="38" t="s">
        <v>249</v>
      </c>
      <c r="B50" s="21"/>
      <c r="C50" s="1095">
        <f t="shared" ref="C50:AG50" si="15">SUM(C47:C49)</f>
        <v>0</v>
      </c>
      <c r="D50" s="22">
        <f t="shared" si="15"/>
        <v>1</v>
      </c>
      <c r="E50" s="22">
        <f t="shared" si="15"/>
        <v>0</v>
      </c>
      <c r="F50" s="1095">
        <f t="shared" si="15"/>
        <v>0</v>
      </c>
      <c r="G50" s="22">
        <f t="shared" si="15"/>
        <v>2</v>
      </c>
      <c r="H50" s="22">
        <f t="shared" si="15"/>
        <v>2</v>
      </c>
      <c r="I50" s="22">
        <f t="shared" si="15"/>
        <v>1</v>
      </c>
      <c r="J50" s="22">
        <f t="shared" si="15"/>
        <v>1</v>
      </c>
      <c r="K50" s="22">
        <f t="shared" si="15"/>
        <v>2</v>
      </c>
      <c r="L50" s="22">
        <f t="shared" si="15"/>
        <v>2</v>
      </c>
      <c r="M50" s="1095">
        <f t="shared" si="15"/>
        <v>0</v>
      </c>
      <c r="N50" s="1094">
        <f t="shared" si="15"/>
        <v>0</v>
      </c>
      <c r="O50" s="22">
        <f t="shared" si="15"/>
        <v>0</v>
      </c>
      <c r="P50" s="22">
        <f t="shared" si="15"/>
        <v>2</v>
      </c>
      <c r="Q50" s="22">
        <f t="shared" si="15"/>
        <v>1</v>
      </c>
      <c r="R50" s="22">
        <f t="shared" si="15"/>
        <v>2</v>
      </c>
      <c r="S50" s="22">
        <f t="shared" si="15"/>
        <v>2</v>
      </c>
      <c r="T50" s="1095">
        <f t="shared" si="15"/>
        <v>0</v>
      </c>
      <c r="U50" s="22">
        <f t="shared" si="15"/>
        <v>2</v>
      </c>
      <c r="V50" s="22">
        <f t="shared" si="15"/>
        <v>1</v>
      </c>
      <c r="W50" s="22">
        <f t="shared" si="15"/>
        <v>2</v>
      </c>
      <c r="X50" s="28">
        <f t="shared" si="15"/>
        <v>2</v>
      </c>
      <c r="Y50" s="28">
        <f t="shared" si="15"/>
        <v>1</v>
      </c>
      <c r="Z50" s="28">
        <f t="shared" si="15"/>
        <v>2</v>
      </c>
      <c r="AA50" s="1096">
        <f t="shared" si="15"/>
        <v>0</v>
      </c>
      <c r="AB50" s="28">
        <f t="shared" si="15"/>
        <v>1</v>
      </c>
      <c r="AC50" s="22">
        <f t="shared" si="15"/>
        <v>1</v>
      </c>
      <c r="AD50" s="22">
        <f t="shared" si="15"/>
        <v>0</v>
      </c>
      <c r="AE50" s="1095">
        <f t="shared" si="15"/>
        <v>0</v>
      </c>
      <c r="AF50" s="22">
        <f t="shared" si="15"/>
        <v>0</v>
      </c>
      <c r="AG50" s="1088">
        <f t="shared" si="15"/>
        <v>4</v>
      </c>
      <c r="AH50" s="29">
        <f>SUM(AH47:AH49)</f>
        <v>34</v>
      </c>
      <c r="AI50" s="43"/>
      <c r="AJ50" s="25">
        <f>SUM(AJ47:AJ49)</f>
        <v>1299669.32</v>
      </c>
    </row>
    <row r="51" spans="1:36" s="15" customFormat="1" ht="24" customHeight="1">
      <c r="A51" s="1973" t="s">
        <v>99</v>
      </c>
      <c r="B51" s="49">
        <v>1</v>
      </c>
      <c r="C51" s="1092"/>
      <c r="D51" s="11">
        <v>1</v>
      </c>
      <c r="E51" s="11">
        <v>1</v>
      </c>
      <c r="F51" s="1092"/>
      <c r="G51" s="11">
        <v>1</v>
      </c>
      <c r="H51" s="11">
        <v>1</v>
      </c>
      <c r="I51" s="11">
        <v>1</v>
      </c>
      <c r="J51" s="11">
        <v>1</v>
      </c>
      <c r="K51" s="11">
        <v>1</v>
      </c>
      <c r="L51" s="11">
        <v>1</v>
      </c>
      <c r="M51" s="1092"/>
      <c r="N51" s="1092"/>
      <c r="O51" s="11">
        <v>1</v>
      </c>
      <c r="P51" s="11">
        <v>1</v>
      </c>
      <c r="Q51" s="11">
        <v>1</v>
      </c>
      <c r="R51" s="11">
        <v>1</v>
      </c>
      <c r="S51" s="11">
        <v>1</v>
      </c>
      <c r="T51" s="1092"/>
      <c r="U51" s="11"/>
      <c r="V51" s="11">
        <v>1</v>
      </c>
      <c r="W51" s="11">
        <v>1</v>
      </c>
      <c r="X51" s="11">
        <v>1</v>
      </c>
      <c r="Y51" s="11">
        <v>1</v>
      </c>
      <c r="Z51" s="11">
        <v>1</v>
      </c>
      <c r="AA51" s="1092"/>
      <c r="AB51" s="11">
        <v>1</v>
      </c>
      <c r="AC51" s="11">
        <v>1</v>
      </c>
      <c r="AD51" s="11">
        <v>1</v>
      </c>
      <c r="AE51" s="1092"/>
      <c r="AF51" s="11"/>
      <c r="AG51" s="11">
        <v>1</v>
      </c>
      <c r="AH51" s="49">
        <f>SUM(C51:AG51)</f>
        <v>22</v>
      </c>
      <c r="AI51" s="13">
        <v>33612.14</v>
      </c>
      <c r="AJ51" s="50">
        <f>AH51*AI51</f>
        <v>739467.08</v>
      </c>
    </row>
    <row r="52" spans="1:36" s="15" customFormat="1" ht="24" customHeight="1" thickBot="1">
      <c r="A52" s="1981"/>
      <c r="B52" s="1191">
        <v>2</v>
      </c>
      <c r="C52" s="1093"/>
      <c r="D52" s="17"/>
      <c r="E52" s="17"/>
      <c r="F52" s="1093"/>
      <c r="G52" s="17">
        <v>1</v>
      </c>
      <c r="H52" s="17">
        <v>1</v>
      </c>
      <c r="I52" s="17"/>
      <c r="J52" s="17"/>
      <c r="K52" s="17">
        <v>1</v>
      </c>
      <c r="L52" s="17">
        <v>1</v>
      </c>
      <c r="M52" s="1093"/>
      <c r="N52" s="1093"/>
      <c r="O52" s="17"/>
      <c r="P52" s="17">
        <v>2</v>
      </c>
      <c r="Q52" s="17"/>
      <c r="R52" s="17">
        <v>1</v>
      </c>
      <c r="S52" s="17">
        <v>1</v>
      </c>
      <c r="T52" s="1093"/>
      <c r="U52" s="17"/>
      <c r="V52" s="68"/>
      <c r="W52" s="68">
        <v>1</v>
      </c>
      <c r="X52" s="68">
        <v>1</v>
      </c>
      <c r="Y52" s="68"/>
      <c r="Z52" s="17">
        <v>1</v>
      </c>
      <c r="AA52" s="1093"/>
      <c r="AB52" s="17"/>
      <c r="AC52" s="17"/>
      <c r="AD52" s="17">
        <v>2</v>
      </c>
      <c r="AE52" s="1093"/>
      <c r="AF52" s="17"/>
      <c r="AG52" s="17">
        <v>3</v>
      </c>
      <c r="AH52" s="252">
        <f>SUM(C52:AG52)</f>
        <v>16</v>
      </c>
      <c r="AI52" s="18">
        <v>44816.18</v>
      </c>
      <c r="AJ52" s="56">
        <f>AH52*AI52</f>
        <v>717058.88</v>
      </c>
    </row>
    <row r="53" spans="1:36" s="15" customFormat="1" ht="24" hidden="1" customHeight="1" thickBot="1">
      <c r="A53" s="1974"/>
      <c r="B53" s="51"/>
      <c r="C53" s="1093"/>
      <c r="D53" s="17"/>
      <c r="E53" s="17"/>
      <c r="F53" s="1093"/>
      <c r="G53" s="17"/>
      <c r="H53" s="17"/>
      <c r="I53" s="17"/>
      <c r="J53" s="17"/>
      <c r="K53" s="17"/>
      <c r="L53" s="17"/>
      <c r="M53" s="1093"/>
      <c r="N53" s="1093"/>
      <c r="O53" s="17"/>
      <c r="P53" s="17"/>
      <c r="Q53" s="17"/>
      <c r="R53" s="17"/>
      <c r="S53" s="17"/>
      <c r="T53" s="1093"/>
      <c r="U53" s="68"/>
      <c r="V53" s="68"/>
      <c r="W53" s="68"/>
      <c r="X53" s="68"/>
      <c r="Y53" s="68"/>
      <c r="Z53" s="17"/>
      <c r="AA53" s="1093"/>
      <c r="AB53" s="17"/>
      <c r="AC53" s="17"/>
      <c r="AD53" s="17"/>
      <c r="AE53" s="1093"/>
      <c r="AF53" s="17"/>
      <c r="AG53" s="17"/>
      <c r="AH53" s="52">
        <f>SUM(C53:AG53)</f>
        <v>0</v>
      </c>
      <c r="AI53" s="253">
        <v>63121.39</v>
      </c>
      <c r="AJ53" s="53">
        <f>AH53*AI53</f>
        <v>0</v>
      </c>
    </row>
    <row r="54" spans="1:36" s="9" customFormat="1" ht="24" customHeight="1" thickBot="1">
      <c r="A54" s="38" t="s">
        <v>249</v>
      </c>
      <c r="B54" s="21"/>
      <c r="C54" s="1095">
        <f>SUM(C51:C53)</f>
        <v>0</v>
      </c>
      <c r="D54" s="22">
        <f t="shared" ref="D54:AG54" si="16">SUM(D51:D53)</f>
        <v>1</v>
      </c>
      <c r="E54" s="22">
        <f t="shared" si="16"/>
        <v>1</v>
      </c>
      <c r="F54" s="1095">
        <f t="shared" si="16"/>
        <v>0</v>
      </c>
      <c r="G54" s="22">
        <f t="shared" si="16"/>
        <v>2</v>
      </c>
      <c r="H54" s="22">
        <f t="shared" si="16"/>
        <v>2</v>
      </c>
      <c r="I54" s="22">
        <f t="shared" si="16"/>
        <v>1</v>
      </c>
      <c r="J54" s="22">
        <f t="shared" si="16"/>
        <v>1</v>
      </c>
      <c r="K54" s="22">
        <f t="shared" si="16"/>
        <v>2</v>
      </c>
      <c r="L54" s="22">
        <f t="shared" si="16"/>
        <v>2</v>
      </c>
      <c r="M54" s="1095">
        <f t="shared" si="16"/>
        <v>0</v>
      </c>
      <c r="N54" s="1094">
        <f t="shared" si="16"/>
        <v>0</v>
      </c>
      <c r="O54" s="22">
        <f t="shared" si="16"/>
        <v>1</v>
      </c>
      <c r="P54" s="22">
        <f t="shared" si="16"/>
        <v>3</v>
      </c>
      <c r="Q54" s="22">
        <f t="shared" si="16"/>
        <v>1</v>
      </c>
      <c r="R54" s="22">
        <f t="shared" si="16"/>
        <v>2</v>
      </c>
      <c r="S54" s="22">
        <f t="shared" si="16"/>
        <v>2</v>
      </c>
      <c r="T54" s="1095">
        <f t="shared" si="16"/>
        <v>0</v>
      </c>
      <c r="U54" s="22">
        <f t="shared" si="16"/>
        <v>0</v>
      </c>
      <c r="V54" s="22">
        <f t="shared" si="16"/>
        <v>1</v>
      </c>
      <c r="W54" s="22">
        <f t="shared" si="16"/>
        <v>2</v>
      </c>
      <c r="X54" s="28">
        <f t="shared" si="16"/>
        <v>2</v>
      </c>
      <c r="Y54" s="22">
        <f t="shared" si="16"/>
        <v>1</v>
      </c>
      <c r="Z54" s="22">
        <f t="shared" si="16"/>
        <v>2</v>
      </c>
      <c r="AA54" s="1095">
        <f t="shared" si="16"/>
        <v>0</v>
      </c>
      <c r="AB54" s="22">
        <f t="shared" si="16"/>
        <v>1</v>
      </c>
      <c r="AC54" s="22">
        <f t="shared" si="16"/>
        <v>1</v>
      </c>
      <c r="AD54" s="22">
        <f t="shared" si="16"/>
        <v>3</v>
      </c>
      <c r="AE54" s="1095">
        <f t="shared" si="16"/>
        <v>0</v>
      </c>
      <c r="AF54" s="22">
        <f t="shared" si="16"/>
        <v>0</v>
      </c>
      <c r="AG54" s="1088">
        <f t="shared" si="16"/>
        <v>4</v>
      </c>
      <c r="AH54" s="29">
        <f>SUM(AH51:AH53)</f>
        <v>38</v>
      </c>
      <c r="AI54" s="43"/>
      <c r="AJ54" s="25">
        <f>SUM(AJ51:AJ53)</f>
        <v>1456525.96</v>
      </c>
    </row>
    <row r="55" spans="1:36" s="15" customFormat="1" ht="24" customHeight="1">
      <c r="A55" s="1973" t="s">
        <v>270</v>
      </c>
      <c r="B55" s="49">
        <v>1</v>
      </c>
      <c r="C55" s="1092"/>
      <c r="D55" s="11">
        <v>1</v>
      </c>
      <c r="E55" s="11"/>
      <c r="F55" s="1092"/>
      <c r="G55" s="11">
        <v>1</v>
      </c>
      <c r="H55" s="11">
        <v>1</v>
      </c>
      <c r="I55" s="11">
        <v>1</v>
      </c>
      <c r="J55" s="11">
        <v>1</v>
      </c>
      <c r="K55" s="11">
        <v>1</v>
      </c>
      <c r="L55" s="11">
        <v>1</v>
      </c>
      <c r="M55" s="1092"/>
      <c r="N55" s="1092"/>
      <c r="O55" s="11">
        <v>1</v>
      </c>
      <c r="P55" s="11">
        <v>1</v>
      </c>
      <c r="Q55" s="11">
        <v>1</v>
      </c>
      <c r="R55" s="11">
        <v>1</v>
      </c>
      <c r="S55" s="11">
        <v>1</v>
      </c>
      <c r="T55" s="1092"/>
      <c r="U55" s="11">
        <v>1</v>
      </c>
      <c r="V55" s="11">
        <v>1</v>
      </c>
      <c r="W55" s="11">
        <v>1</v>
      </c>
      <c r="X55" s="11">
        <v>1</v>
      </c>
      <c r="Y55" s="11">
        <v>1</v>
      </c>
      <c r="Z55" s="11">
        <v>1</v>
      </c>
      <c r="AA55" s="1092"/>
      <c r="AB55" s="11">
        <v>1</v>
      </c>
      <c r="AC55" s="11"/>
      <c r="AD55" s="11">
        <v>1</v>
      </c>
      <c r="AE55" s="1092"/>
      <c r="AF55" s="11"/>
      <c r="AG55" s="11">
        <v>1</v>
      </c>
      <c r="AH55" s="49">
        <f>SUM(C55:AG55)</f>
        <v>21</v>
      </c>
      <c r="AI55" s="13">
        <v>33612.14</v>
      </c>
      <c r="AJ55" s="50">
        <f>AH55*AI55</f>
        <v>705854.94</v>
      </c>
    </row>
    <row r="56" spans="1:36" s="15" customFormat="1" ht="24" customHeight="1" thickBot="1">
      <c r="A56" s="1974"/>
      <c r="B56" s="51">
        <v>2</v>
      </c>
      <c r="C56" s="1093"/>
      <c r="D56" s="17">
        <v>1</v>
      </c>
      <c r="E56" s="17"/>
      <c r="F56" s="1093"/>
      <c r="G56" s="17">
        <v>1</v>
      </c>
      <c r="H56" s="17">
        <v>1</v>
      </c>
      <c r="I56" s="17">
        <v>1</v>
      </c>
      <c r="J56" s="17">
        <v>1</v>
      </c>
      <c r="K56" s="17">
        <v>1</v>
      </c>
      <c r="L56" s="17">
        <v>1</v>
      </c>
      <c r="M56" s="1093"/>
      <c r="N56" s="1093"/>
      <c r="O56" s="17">
        <v>2</v>
      </c>
      <c r="P56" s="17">
        <v>1</v>
      </c>
      <c r="Q56" s="17">
        <v>2</v>
      </c>
      <c r="R56" s="17">
        <v>1</v>
      </c>
      <c r="S56" s="17">
        <v>1</v>
      </c>
      <c r="T56" s="1093"/>
      <c r="U56" s="17">
        <v>1</v>
      </c>
      <c r="V56" s="68">
        <v>3</v>
      </c>
      <c r="W56" s="68"/>
      <c r="X56" s="68">
        <v>2</v>
      </c>
      <c r="Y56" s="68">
        <v>1</v>
      </c>
      <c r="Z56" s="17">
        <v>3</v>
      </c>
      <c r="AA56" s="1093"/>
      <c r="AB56" s="17">
        <v>1</v>
      </c>
      <c r="AC56" s="17"/>
      <c r="AD56" s="17">
        <v>1</v>
      </c>
      <c r="AE56" s="1093"/>
      <c r="AF56" s="17"/>
      <c r="AG56" s="17">
        <v>3</v>
      </c>
      <c r="AH56" s="51">
        <f>SUM(C56:AG56)</f>
        <v>29</v>
      </c>
      <c r="AI56" s="18">
        <v>44816.18</v>
      </c>
      <c r="AJ56" s="53">
        <f>AH56*AI56</f>
        <v>1299669.22</v>
      </c>
    </row>
    <row r="57" spans="1:36" s="9" customFormat="1" ht="24" customHeight="1" thickBot="1">
      <c r="A57" s="38" t="s">
        <v>249</v>
      </c>
      <c r="B57" s="21"/>
      <c r="C57" s="1095">
        <f>SUM(C55:C56)</f>
        <v>0</v>
      </c>
      <c r="D57" s="22">
        <f t="shared" ref="D57:AG57" si="17">SUM(D55:D56)</f>
        <v>2</v>
      </c>
      <c r="E57" s="22">
        <f t="shared" si="17"/>
        <v>0</v>
      </c>
      <c r="F57" s="1095">
        <f t="shared" si="17"/>
        <v>0</v>
      </c>
      <c r="G57" s="22">
        <f t="shared" si="17"/>
        <v>2</v>
      </c>
      <c r="H57" s="22">
        <f t="shared" si="17"/>
        <v>2</v>
      </c>
      <c r="I57" s="22">
        <f t="shared" si="17"/>
        <v>2</v>
      </c>
      <c r="J57" s="22">
        <f>SUM(J55:J56)</f>
        <v>2</v>
      </c>
      <c r="K57" s="22">
        <f t="shared" si="17"/>
        <v>2</v>
      </c>
      <c r="L57" s="22">
        <f t="shared" si="17"/>
        <v>2</v>
      </c>
      <c r="M57" s="1095">
        <f t="shared" si="17"/>
        <v>0</v>
      </c>
      <c r="N57" s="1095">
        <f t="shared" si="17"/>
        <v>0</v>
      </c>
      <c r="O57" s="22">
        <f t="shared" si="17"/>
        <v>3</v>
      </c>
      <c r="P57" s="22">
        <f t="shared" si="17"/>
        <v>2</v>
      </c>
      <c r="Q57" s="22">
        <f t="shared" si="17"/>
        <v>3</v>
      </c>
      <c r="R57" s="22">
        <f t="shared" si="17"/>
        <v>2</v>
      </c>
      <c r="S57" s="22">
        <f t="shared" si="17"/>
        <v>2</v>
      </c>
      <c r="T57" s="1095">
        <f t="shared" si="17"/>
        <v>0</v>
      </c>
      <c r="U57" s="22">
        <f t="shared" si="17"/>
        <v>2</v>
      </c>
      <c r="V57" s="22">
        <f t="shared" si="17"/>
        <v>4</v>
      </c>
      <c r="W57" s="22">
        <f t="shared" si="17"/>
        <v>1</v>
      </c>
      <c r="X57" s="28">
        <f t="shared" si="17"/>
        <v>3</v>
      </c>
      <c r="Y57" s="22">
        <f t="shared" si="17"/>
        <v>2</v>
      </c>
      <c r="Z57" s="22">
        <f t="shared" si="17"/>
        <v>4</v>
      </c>
      <c r="AA57" s="1095">
        <f t="shared" si="17"/>
        <v>0</v>
      </c>
      <c r="AB57" s="22">
        <f t="shared" si="17"/>
        <v>2</v>
      </c>
      <c r="AC57" s="22">
        <f t="shared" si="17"/>
        <v>0</v>
      </c>
      <c r="AD57" s="22">
        <f t="shared" si="17"/>
        <v>2</v>
      </c>
      <c r="AE57" s="1095">
        <f t="shared" si="17"/>
        <v>0</v>
      </c>
      <c r="AF57" s="22">
        <f t="shared" si="17"/>
        <v>0</v>
      </c>
      <c r="AG57" s="1088">
        <f t="shared" si="17"/>
        <v>4</v>
      </c>
      <c r="AH57" s="21">
        <f>SUM(AH55:AH56)</f>
        <v>50</v>
      </c>
      <c r="AI57" s="43"/>
      <c r="AJ57" s="25">
        <f>SUM(AJ55:AJ56)</f>
        <v>2005524.16</v>
      </c>
    </row>
    <row r="58" spans="1:36" s="15" customFormat="1" ht="24" customHeight="1">
      <c r="A58" s="1973" t="s">
        <v>224</v>
      </c>
      <c r="B58" s="49">
        <v>1</v>
      </c>
      <c r="C58" s="1092"/>
      <c r="D58" s="11">
        <v>1</v>
      </c>
      <c r="E58" s="11">
        <v>1</v>
      </c>
      <c r="F58" s="1092"/>
      <c r="G58" s="11">
        <v>1</v>
      </c>
      <c r="H58" s="11">
        <v>1</v>
      </c>
      <c r="I58" s="11">
        <v>1</v>
      </c>
      <c r="J58" s="11">
        <v>1</v>
      </c>
      <c r="K58" s="11">
        <v>1</v>
      </c>
      <c r="L58" s="11">
        <v>1</v>
      </c>
      <c r="M58" s="1092"/>
      <c r="N58" s="1092"/>
      <c r="O58" s="11">
        <v>1</v>
      </c>
      <c r="P58" s="11">
        <v>1</v>
      </c>
      <c r="Q58" s="11">
        <v>1</v>
      </c>
      <c r="R58" s="11">
        <v>1</v>
      </c>
      <c r="S58" s="11">
        <v>1</v>
      </c>
      <c r="T58" s="1092"/>
      <c r="U58" s="11">
        <v>1</v>
      </c>
      <c r="V58" s="11">
        <v>1</v>
      </c>
      <c r="W58" s="11">
        <v>1</v>
      </c>
      <c r="X58" s="11">
        <v>1</v>
      </c>
      <c r="Y58" s="11">
        <v>1</v>
      </c>
      <c r="Z58" s="11">
        <v>1</v>
      </c>
      <c r="AA58" s="1092"/>
      <c r="AB58" s="11">
        <v>1</v>
      </c>
      <c r="AC58" s="11"/>
      <c r="AD58" s="11">
        <v>1</v>
      </c>
      <c r="AE58" s="1092"/>
      <c r="AF58" s="11">
        <v>1</v>
      </c>
      <c r="AG58" s="11">
        <v>1</v>
      </c>
      <c r="AH58" s="49">
        <f>SUM(C58:AG58)</f>
        <v>23</v>
      </c>
      <c r="AI58" s="13">
        <v>33612.14</v>
      </c>
      <c r="AJ58" s="50">
        <f>AH58*AI58</f>
        <v>773079.22</v>
      </c>
    </row>
    <row r="59" spans="1:36" s="15" customFormat="1" ht="24" customHeight="1" thickBot="1">
      <c r="A59" s="1981"/>
      <c r="B59" s="1191">
        <v>2</v>
      </c>
      <c r="C59" s="1093"/>
      <c r="D59" s="17">
        <v>1</v>
      </c>
      <c r="E59" s="17">
        <v>2</v>
      </c>
      <c r="F59" s="1093"/>
      <c r="G59" s="17">
        <v>1</v>
      </c>
      <c r="H59" s="17">
        <v>1</v>
      </c>
      <c r="I59" s="17">
        <v>1</v>
      </c>
      <c r="J59" s="17">
        <v>1</v>
      </c>
      <c r="K59" s="17">
        <v>1</v>
      </c>
      <c r="L59" s="17">
        <v>1</v>
      </c>
      <c r="M59" s="1093"/>
      <c r="N59" s="1093"/>
      <c r="O59" s="17">
        <v>2</v>
      </c>
      <c r="P59" s="17">
        <v>1</v>
      </c>
      <c r="Q59" s="17">
        <v>2</v>
      </c>
      <c r="R59" s="17">
        <v>1</v>
      </c>
      <c r="S59" s="17">
        <v>1</v>
      </c>
      <c r="T59" s="1093"/>
      <c r="U59" s="17">
        <v>1</v>
      </c>
      <c r="V59" s="68">
        <v>3</v>
      </c>
      <c r="W59" s="68"/>
      <c r="X59" s="68">
        <v>2</v>
      </c>
      <c r="Y59" s="68">
        <v>1</v>
      </c>
      <c r="Z59" s="17">
        <v>3</v>
      </c>
      <c r="AA59" s="1093"/>
      <c r="AB59" s="17">
        <v>1</v>
      </c>
      <c r="AC59" s="17"/>
      <c r="AD59" s="17">
        <v>2</v>
      </c>
      <c r="AE59" s="1093"/>
      <c r="AF59" s="17">
        <v>2</v>
      </c>
      <c r="AG59" s="17">
        <v>3</v>
      </c>
      <c r="AH59" s="1191">
        <f>SUM(C59:AG59)</f>
        <v>34</v>
      </c>
      <c r="AI59" s="18">
        <v>44816.18</v>
      </c>
      <c r="AJ59" s="56">
        <f>AH59*AI59</f>
        <v>1523750.12</v>
      </c>
    </row>
    <row r="60" spans="1:36" s="15" customFormat="1" ht="24" hidden="1" customHeight="1" thickBot="1">
      <c r="A60" s="1974"/>
      <c r="B60" s="51">
        <v>3</v>
      </c>
      <c r="C60" s="1093"/>
      <c r="D60" s="17"/>
      <c r="E60" s="17"/>
      <c r="F60" s="1093"/>
      <c r="G60" s="17"/>
      <c r="H60" s="17"/>
      <c r="I60" s="17"/>
      <c r="J60" s="17"/>
      <c r="K60" s="17"/>
      <c r="L60" s="17"/>
      <c r="M60" s="1093"/>
      <c r="N60" s="1093"/>
      <c r="O60" s="17"/>
      <c r="P60" s="17"/>
      <c r="Q60" s="17"/>
      <c r="R60" s="17"/>
      <c r="S60" s="17"/>
      <c r="T60" s="1093"/>
      <c r="U60" s="68"/>
      <c r="V60" s="68"/>
      <c r="W60" s="68"/>
      <c r="X60" s="68"/>
      <c r="Y60" s="68"/>
      <c r="Z60" s="17"/>
      <c r="AA60" s="1093"/>
      <c r="AB60" s="17"/>
      <c r="AC60" s="17"/>
      <c r="AD60" s="17"/>
      <c r="AE60" s="1093"/>
      <c r="AF60" s="17"/>
      <c r="AG60" s="17"/>
      <c r="AH60" s="51">
        <f>SUM(C60:AG60)</f>
        <v>0</v>
      </c>
      <c r="AI60" s="253">
        <v>63121.39</v>
      </c>
      <c r="AJ60" s="53">
        <f>AH60*AI60</f>
        <v>0</v>
      </c>
    </row>
    <row r="61" spans="1:36" s="9" customFormat="1" ht="24" customHeight="1" thickBot="1">
      <c r="A61" s="38" t="s">
        <v>249</v>
      </c>
      <c r="B61" s="21"/>
      <c r="C61" s="1095">
        <f t="shared" ref="C61:AG61" si="18">SUM(C58:C60)</f>
        <v>0</v>
      </c>
      <c r="D61" s="22">
        <f t="shared" si="18"/>
        <v>2</v>
      </c>
      <c r="E61" s="22">
        <f t="shared" si="18"/>
        <v>3</v>
      </c>
      <c r="F61" s="1095">
        <f t="shared" si="18"/>
        <v>0</v>
      </c>
      <c r="G61" s="22">
        <f t="shared" si="18"/>
        <v>2</v>
      </c>
      <c r="H61" s="22">
        <f t="shared" si="18"/>
        <v>2</v>
      </c>
      <c r="I61" s="22">
        <f t="shared" si="18"/>
        <v>2</v>
      </c>
      <c r="J61" s="22">
        <f t="shared" si="18"/>
        <v>2</v>
      </c>
      <c r="K61" s="22">
        <f t="shared" si="18"/>
        <v>2</v>
      </c>
      <c r="L61" s="22">
        <f t="shared" si="18"/>
        <v>2</v>
      </c>
      <c r="M61" s="1095">
        <f t="shared" si="18"/>
        <v>0</v>
      </c>
      <c r="N61" s="1095">
        <f t="shared" si="18"/>
        <v>0</v>
      </c>
      <c r="O61" s="22">
        <f t="shared" si="18"/>
        <v>3</v>
      </c>
      <c r="P61" s="22">
        <f t="shared" si="18"/>
        <v>2</v>
      </c>
      <c r="Q61" s="22">
        <f t="shared" si="18"/>
        <v>3</v>
      </c>
      <c r="R61" s="22">
        <f t="shared" si="18"/>
        <v>2</v>
      </c>
      <c r="S61" s="22">
        <f t="shared" si="18"/>
        <v>2</v>
      </c>
      <c r="T61" s="1095">
        <f t="shared" si="18"/>
        <v>0</v>
      </c>
      <c r="U61" s="22">
        <f t="shared" si="18"/>
        <v>2</v>
      </c>
      <c r="V61" s="22">
        <f t="shared" si="18"/>
        <v>4</v>
      </c>
      <c r="W61" s="22">
        <f t="shared" si="18"/>
        <v>1</v>
      </c>
      <c r="X61" s="28">
        <f t="shared" si="18"/>
        <v>3</v>
      </c>
      <c r="Y61" s="22">
        <f t="shared" si="18"/>
        <v>2</v>
      </c>
      <c r="Z61" s="22">
        <f t="shared" si="18"/>
        <v>4</v>
      </c>
      <c r="AA61" s="1095">
        <f t="shared" si="18"/>
        <v>0</v>
      </c>
      <c r="AB61" s="22">
        <f t="shared" si="18"/>
        <v>2</v>
      </c>
      <c r="AC61" s="22">
        <f t="shared" si="18"/>
        <v>0</v>
      </c>
      <c r="AD61" s="22">
        <f t="shared" si="18"/>
        <v>3</v>
      </c>
      <c r="AE61" s="1095">
        <f t="shared" si="18"/>
        <v>0</v>
      </c>
      <c r="AF61" s="22">
        <f t="shared" si="18"/>
        <v>3</v>
      </c>
      <c r="AG61" s="1088">
        <f t="shared" si="18"/>
        <v>4</v>
      </c>
      <c r="AH61" s="21">
        <f>SUM(AH58:AH60)</f>
        <v>57</v>
      </c>
      <c r="AI61" s="43"/>
      <c r="AJ61" s="25">
        <f>SUM(AJ58:AJ60)</f>
        <v>2296829.34</v>
      </c>
    </row>
    <row r="62" spans="1:36" s="15" customFormat="1" ht="24" customHeight="1">
      <c r="A62" s="1973" t="s">
        <v>560</v>
      </c>
      <c r="B62" s="49">
        <v>1</v>
      </c>
      <c r="C62" s="1092"/>
      <c r="D62" s="11">
        <v>1</v>
      </c>
      <c r="E62" s="11">
        <v>1</v>
      </c>
      <c r="F62" s="1092"/>
      <c r="G62" s="11">
        <v>1</v>
      </c>
      <c r="H62" s="11">
        <v>1</v>
      </c>
      <c r="I62" s="11">
        <v>1</v>
      </c>
      <c r="J62" s="11">
        <v>1</v>
      </c>
      <c r="K62" s="11">
        <v>1</v>
      </c>
      <c r="L62" s="11">
        <v>1</v>
      </c>
      <c r="M62" s="1092"/>
      <c r="N62" s="1092"/>
      <c r="O62" s="11">
        <v>1</v>
      </c>
      <c r="P62" s="11">
        <v>1</v>
      </c>
      <c r="Q62" s="11">
        <v>1</v>
      </c>
      <c r="R62" s="11"/>
      <c r="S62" s="11"/>
      <c r="T62" s="1092"/>
      <c r="U62" s="11">
        <v>1</v>
      </c>
      <c r="V62" s="11">
        <v>1</v>
      </c>
      <c r="W62" s="11">
        <v>1</v>
      </c>
      <c r="X62" s="11">
        <v>1</v>
      </c>
      <c r="Y62" s="11">
        <v>1</v>
      </c>
      <c r="Z62" s="11"/>
      <c r="AA62" s="1092"/>
      <c r="AB62" s="11">
        <v>1</v>
      </c>
      <c r="AC62" s="11">
        <v>1</v>
      </c>
      <c r="AD62" s="11">
        <v>1</v>
      </c>
      <c r="AE62" s="1092"/>
      <c r="AF62" s="11">
        <v>1</v>
      </c>
      <c r="AG62" s="11">
        <v>1</v>
      </c>
      <c r="AH62" s="49">
        <f>SUM(C62:AG62)</f>
        <v>21</v>
      </c>
      <c r="AI62" s="13">
        <v>33612.14</v>
      </c>
      <c r="AJ62" s="50">
        <f>AH62*AI62</f>
        <v>705854.94</v>
      </c>
    </row>
    <row r="63" spans="1:36" s="15" customFormat="1" ht="24" customHeight="1" thickBot="1">
      <c r="A63" s="1974"/>
      <c r="B63" s="51">
        <v>2</v>
      </c>
      <c r="C63" s="1093"/>
      <c r="D63" s="17">
        <v>1</v>
      </c>
      <c r="E63" s="17">
        <v>1</v>
      </c>
      <c r="F63" s="1093"/>
      <c r="G63" s="17">
        <v>1</v>
      </c>
      <c r="H63" s="17">
        <v>1</v>
      </c>
      <c r="I63" s="17">
        <v>1</v>
      </c>
      <c r="J63" s="17"/>
      <c r="K63" s="17">
        <v>1</v>
      </c>
      <c r="L63" s="17">
        <v>1</v>
      </c>
      <c r="M63" s="1093"/>
      <c r="N63" s="1093"/>
      <c r="O63" s="17">
        <v>1</v>
      </c>
      <c r="P63" s="17">
        <v>1</v>
      </c>
      <c r="Q63" s="17"/>
      <c r="R63" s="17"/>
      <c r="S63" s="17"/>
      <c r="T63" s="1093"/>
      <c r="U63" s="17">
        <v>1</v>
      </c>
      <c r="V63" s="68"/>
      <c r="W63" s="68">
        <v>1</v>
      </c>
      <c r="X63" s="68">
        <v>1</v>
      </c>
      <c r="Y63" s="68"/>
      <c r="Z63" s="17"/>
      <c r="AA63" s="1093"/>
      <c r="AB63" s="17">
        <v>1</v>
      </c>
      <c r="AC63" s="17"/>
      <c r="AD63" s="17">
        <v>1</v>
      </c>
      <c r="AE63" s="1093"/>
      <c r="AF63" s="17">
        <v>1</v>
      </c>
      <c r="AG63" s="17">
        <v>3</v>
      </c>
      <c r="AH63" s="51">
        <f>SUM(C63:AG63)</f>
        <v>18</v>
      </c>
      <c r="AI63" s="18">
        <v>44816.18</v>
      </c>
      <c r="AJ63" s="53">
        <f>AH63*AI63</f>
        <v>806691.24</v>
      </c>
    </row>
    <row r="64" spans="1:36" s="9" customFormat="1" ht="24" customHeight="1" thickBot="1">
      <c r="A64" s="38" t="s">
        <v>249</v>
      </c>
      <c r="B64" s="21"/>
      <c r="C64" s="1095">
        <f>SUM(C62:C63)</f>
        <v>0</v>
      </c>
      <c r="D64" s="22">
        <f t="shared" ref="D64:AG64" si="19">SUM(D62:D63)</f>
        <v>2</v>
      </c>
      <c r="E64" s="22">
        <f t="shared" si="19"/>
        <v>2</v>
      </c>
      <c r="F64" s="1095">
        <f t="shared" si="19"/>
        <v>0</v>
      </c>
      <c r="G64" s="22">
        <f t="shared" si="19"/>
        <v>2</v>
      </c>
      <c r="H64" s="22">
        <f t="shared" si="19"/>
        <v>2</v>
      </c>
      <c r="I64" s="22">
        <f t="shared" si="19"/>
        <v>2</v>
      </c>
      <c r="J64" s="22">
        <f>SUM(J62:J63)</f>
        <v>1</v>
      </c>
      <c r="K64" s="22">
        <f t="shared" si="19"/>
        <v>2</v>
      </c>
      <c r="L64" s="22">
        <f t="shared" si="19"/>
        <v>2</v>
      </c>
      <c r="M64" s="1095">
        <f t="shared" si="19"/>
        <v>0</v>
      </c>
      <c r="N64" s="1095">
        <f t="shared" si="19"/>
        <v>0</v>
      </c>
      <c r="O64" s="22">
        <f t="shared" si="19"/>
        <v>2</v>
      </c>
      <c r="P64" s="22">
        <f t="shared" si="19"/>
        <v>2</v>
      </c>
      <c r="Q64" s="22">
        <f t="shared" si="19"/>
        <v>1</v>
      </c>
      <c r="R64" s="22">
        <f t="shared" si="19"/>
        <v>0</v>
      </c>
      <c r="S64" s="22">
        <f t="shared" si="19"/>
        <v>0</v>
      </c>
      <c r="T64" s="1095">
        <f t="shared" si="19"/>
        <v>0</v>
      </c>
      <c r="U64" s="22">
        <f t="shared" si="19"/>
        <v>2</v>
      </c>
      <c r="V64" s="22">
        <f t="shared" si="19"/>
        <v>1</v>
      </c>
      <c r="W64" s="28">
        <f t="shared" si="19"/>
        <v>2</v>
      </c>
      <c r="X64" s="28">
        <f t="shared" si="19"/>
        <v>2</v>
      </c>
      <c r="Y64" s="22">
        <f t="shared" si="19"/>
        <v>1</v>
      </c>
      <c r="Z64" s="22">
        <f t="shared" si="19"/>
        <v>0</v>
      </c>
      <c r="AA64" s="1095">
        <f t="shared" si="19"/>
        <v>0</v>
      </c>
      <c r="AB64" s="22">
        <f t="shared" si="19"/>
        <v>2</v>
      </c>
      <c r="AC64" s="22">
        <f t="shared" si="19"/>
        <v>1</v>
      </c>
      <c r="AD64" s="22">
        <f t="shared" si="19"/>
        <v>2</v>
      </c>
      <c r="AE64" s="1095">
        <f t="shared" si="19"/>
        <v>0</v>
      </c>
      <c r="AF64" s="22">
        <f t="shared" si="19"/>
        <v>2</v>
      </c>
      <c r="AG64" s="1088">
        <f t="shared" si="19"/>
        <v>4</v>
      </c>
      <c r="AH64" s="29">
        <f>SUM(AH62:AH63)</f>
        <v>39</v>
      </c>
      <c r="AI64" s="43"/>
      <c r="AJ64" s="25">
        <f>SUM(AJ62:AJ63)</f>
        <v>1512546.18</v>
      </c>
    </row>
    <row r="65" spans="1:39" s="15" customFormat="1" ht="24" customHeight="1">
      <c r="A65" s="1973" t="s">
        <v>561</v>
      </c>
      <c r="B65" s="49">
        <v>1</v>
      </c>
      <c r="C65" s="1092"/>
      <c r="D65" s="11"/>
      <c r="E65" s="11">
        <v>1</v>
      </c>
      <c r="F65" s="1092"/>
      <c r="G65" s="11">
        <v>1</v>
      </c>
      <c r="H65" s="11">
        <v>1</v>
      </c>
      <c r="I65" s="11">
        <v>1</v>
      </c>
      <c r="J65" s="11">
        <v>1</v>
      </c>
      <c r="K65" s="11">
        <v>1</v>
      </c>
      <c r="L65" s="11">
        <v>1</v>
      </c>
      <c r="M65" s="1092"/>
      <c r="N65" s="1092"/>
      <c r="O65" s="11">
        <v>1</v>
      </c>
      <c r="P65" s="11">
        <v>1</v>
      </c>
      <c r="Q65" s="11">
        <v>1</v>
      </c>
      <c r="R65" s="11">
        <v>1</v>
      </c>
      <c r="S65" s="11">
        <v>1</v>
      </c>
      <c r="T65" s="1092"/>
      <c r="U65" s="11"/>
      <c r="V65" s="11">
        <v>1</v>
      </c>
      <c r="W65" s="11">
        <v>1</v>
      </c>
      <c r="X65" s="11">
        <v>1</v>
      </c>
      <c r="Y65" s="11">
        <v>1</v>
      </c>
      <c r="Z65" s="11">
        <v>1</v>
      </c>
      <c r="AA65" s="1092"/>
      <c r="AB65" s="11">
        <v>1</v>
      </c>
      <c r="AC65" s="11">
        <v>1</v>
      </c>
      <c r="AD65" s="11">
        <v>1</v>
      </c>
      <c r="AE65" s="1092"/>
      <c r="AF65" s="11">
        <v>1</v>
      </c>
      <c r="AG65" s="11">
        <v>1</v>
      </c>
      <c r="AH65" s="49">
        <f>SUM(C65:AG65)</f>
        <v>22</v>
      </c>
      <c r="AI65" s="13">
        <v>33612.14</v>
      </c>
      <c r="AJ65" s="50">
        <f>AH65*AI65</f>
        <v>739467.08</v>
      </c>
      <c r="AM65" s="1089">
        <v>401</v>
      </c>
    </row>
    <row r="66" spans="1:39" s="15" customFormat="1" ht="24" customHeight="1" thickBot="1">
      <c r="A66" s="1974"/>
      <c r="B66" s="51">
        <v>2</v>
      </c>
      <c r="C66" s="1093"/>
      <c r="D66" s="17"/>
      <c r="E66" s="17">
        <v>1</v>
      </c>
      <c r="F66" s="1093"/>
      <c r="G66" s="17">
        <v>1</v>
      </c>
      <c r="H66" s="17">
        <v>1</v>
      </c>
      <c r="I66" s="17">
        <v>1</v>
      </c>
      <c r="J66" s="17"/>
      <c r="K66" s="17">
        <v>1</v>
      </c>
      <c r="L66" s="17">
        <v>1</v>
      </c>
      <c r="M66" s="1093"/>
      <c r="N66" s="1093"/>
      <c r="O66" s="17">
        <v>1</v>
      </c>
      <c r="P66" s="17">
        <v>1</v>
      </c>
      <c r="Q66" s="17"/>
      <c r="R66" s="17">
        <v>1</v>
      </c>
      <c r="S66" s="17">
        <v>1</v>
      </c>
      <c r="T66" s="1093"/>
      <c r="U66" s="17"/>
      <c r="V66" s="68"/>
      <c r="W66" s="68">
        <v>1</v>
      </c>
      <c r="X66" s="68">
        <v>1</v>
      </c>
      <c r="Y66" s="68"/>
      <c r="Z66" s="17">
        <v>1</v>
      </c>
      <c r="AA66" s="1093"/>
      <c r="AB66" s="17">
        <v>1</v>
      </c>
      <c r="AC66" s="17"/>
      <c r="AD66" s="17">
        <v>1</v>
      </c>
      <c r="AE66" s="1093"/>
      <c r="AF66" s="17">
        <v>1</v>
      </c>
      <c r="AG66" s="17">
        <v>3</v>
      </c>
      <c r="AH66" s="51">
        <f>SUM(C66:AG66)</f>
        <v>19</v>
      </c>
      <c r="AI66" s="18">
        <v>44816.18</v>
      </c>
      <c r="AJ66" s="53">
        <f>AH66*AI66</f>
        <v>851507.42</v>
      </c>
    </row>
    <row r="67" spans="1:39" s="9" customFormat="1" ht="24" customHeight="1" thickBot="1">
      <c r="A67" s="38" t="s">
        <v>249</v>
      </c>
      <c r="B67" s="21"/>
      <c r="C67" s="1095">
        <f>SUM(C65:C66)</f>
        <v>0</v>
      </c>
      <c r="D67" s="22">
        <f t="shared" ref="D67:AG67" si="20">SUM(D65:D66)</f>
        <v>0</v>
      </c>
      <c r="E67" s="22">
        <f t="shared" si="20"/>
        <v>2</v>
      </c>
      <c r="F67" s="1095">
        <f t="shared" si="20"/>
        <v>0</v>
      </c>
      <c r="G67" s="22">
        <f t="shared" si="20"/>
        <v>2</v>
      </c>
      <c r="H67" s="22">
        <f t="shared" si="20"/>
        <v>2</v>
      </c>
      <c r="I67" s="22">
        <f t="shared" si="20"/>
        <v>2</v>
      </c>
      <c r="J67" s="22">
        <f>SUM(J65:J66)</f>
        <v>1</v>
      </c>
      <c r="K67" s="22">
        <f t="shared" si="20"/>
        <v>2</v>
      </c>
      <c r="L67" s="22">
        <f t="shared" si="20"/>
        <v>2</v>
      </c>
      <c r="M67" s="1095">
        <f t="shared" si="20"/>
        <v>0</v>
      </c>
      <c r="N67" s="1095">
        <f t="shared" si="20"/>
        <v>0</v>
      </c>
      <c r="O67" s="22">
        <f t="shared" si="20"/>
        <v>2</v>
      </c>
      <c r="P67" s="22">
        <f t="shared" si="20"/>
        <v>2</v>
      </c>
      <c r="Q67" s="22">
        <f t="shared" si="20"/>
        <v>1</v>
      </c>
      <c r="R67" s="22">
        <f t="shared" si="20"/>
        <v>2</v>
      </c>
      <c r="S67" s="22">
        <f t="shared" si="20"/>
        <v>2</v>
      </c>
      <c r="T67" s="1095">
        <f t="shared" si="20"/>
        <v>0</v>
      </c>
      <c r="U67" s="22">
        <f t="shared" si="20"/>
        <v>0</v>
      </c>
      <c r="V67" s="22">
        <f t="shared" si="20"/>
        <v>1</v>
      </c>
      <c r="W67" s="28">
        <f t="shared" si="20"/>
        <v>2</v>
      </c>
      <c r="X67" s="28">
        <f t="shared" si="20"/>
        <v>2</v>
      </c>
      <c r="Y67" s="28">
        <f t="shared" si="20"/>
        <v>1</v>
      </c>
      <c r="Z67" s="28">
        <f t="shared" si="20"/>
        <v>2</v>
      </c>
      <c r="AA67" s="1095">
        <f t="shared" si="20"/>
        <v>0</v>
      </c>
      <c r="AB67" s="22">
        <f t="shared" si="20"/>
        <v>2</v>
      </c>
      <c r="AC67" s="22">
        <f t="shared" si="20"/>
        <v>1</v>
      </c>
      <c r="AD67" s="22">
        <f t="shared" si="20"/>
        <v>2</v>
      </c>
      <c r="AE67" s="1095">
        <f t="shared" si="20"/>
        <v>0</v>
      </c>
      <c r="AF67" s="22">
        <f t="shared" si="20"/>
        <v>2</v>
      </c>
      <c r="AG67" s="1088">
        <f t="shared" si="20"/>
        <v>4</v>
      </c>
      <c r="AH67" s="29">
        <f>SUM(AH65:AH66)</f>
        <v>41</v>
      </c>
      <c r="AI67" s="43"/>
      <c r="AJ67" s="25">
        <f>SUM(AJ65:AJ66)</f>
        <v>1590974.5</v>
      </c>
    </row>
    <row r="68" spans="1:39" s="9" customFormat="1" ht="24" customHeight="1" thickBot="1">
      <c r="A68" s="38"/>
      <c r="B68" s="38"/>
      <c r="C68" s="1097"/>
      <c r="D68" s="39"/>
      <c r="E68" s="39"/>
      <c r="F68" s="1097"/>
      <c r="G68" s="39"/>
      <c r="H68" s="39"/>
      <c r="I68" s="39"/>
      <c r="J68" s="39"/>
      <c r="K68" s="39"/>
      <c r="L68" s="39"/>
      <c r="M68" s="1097"/>
      <c r="N68" s="1097"/>
      <c r="O68" s="39"/>
      <c r="P68" s="39"/>
      <c r="Q68" s="39"/>
      <c r="R68" s="39"/>
      <c r="S68" s="39"/>
      <c r="T68" s="1097"/>
      <c r="U68" s="39"/>
      <c r="V68" s="39"/>
      <c r="W68" s="39"/>
      <c r="X68" s="39"/>
      <c r="Y68" s="39"/>
      <c r="Z68" s="39"/>
      <c r="AA68" s="1097"/>
      <c r="AB68" s="39"/>
      <c r="AC68" s="39"/>
      <c r="AD68" s="39"/>
      <c r="AE68" s="1097"/>
      <c r="AF68" s="39"/>
      <c r="AG68" s="39"/>
      <c r="AH68" s="38"/>
      <c r="AI68" s="54"/>
      <c r="AJ68" s="42"/>
    </row>
    <row r="69" spans="1:39" s="31" customFormat="1" ht="24" customHeight="1" thickBot="1">
      <c r="A69" s="55" t="s">
        <v>252</v>
      </c>
      <c r="B69" s="29"/>
      <c r="C69" s="1096">
        <f t="shared" ref="C69:AG69" si="21">C43+C46+C57+C61+C50+C54+C64+C67</f>
        <v>0</v>
      </c>
      <c r="D69" s="28">
        <f t="shared" si="21"/>
        <v>10</v>
      </c>
      <c r="E69" s="28">
        <f t="shared" si="21"/>
        <v>12</v>
      </c>
      <c r="F69" s="1096">
        <f t="shared" si="21"/>
        <v>0</v>
      </c>
      <c r="G69" s="28">
        <f t="shared" si="21"/>
        <v>14</v>
      </c>
      <c r="H69" s="28">
        <f t="shared" si="21"/>
        <v>16</v>
      </c>
      <c r="I69" s="28">
        <f t="shared" si="21"/>
        <v>12</v>
      </c>
      <c r="J69" s="28">
        <f t="shared" si="21"/>
        <v>9</v>
      </c>
      <c r="K69" s="28">
        <f t="shared" si="21"/>
        <v>14</v>
      </c>
      <c r="L69" s="28">
        <f t="shared" si="21"/>
        <v>16</v>
      </c>
      <c r="M69" s="1096">
        <f t="shared" si="21"/>
        <v>0</v>
      </c>
      <c r="N69" s="1096">
        <f t="shared" si="21"/>
        <v>0</v>
      </c>
      <c r="O69" s="28">
        <f t="shared" si="21"/>
        <v>12</v>
      </c>
      <c r="P69" s="28">
        <f t="shared" si="21"/>
        <v>17</v>
      </c>
      <c r="Q69" s="28">
        <f t="shared" si="21"/>
        <v>12</v>
      </c>
      <c r="R69" s="28">
        <f t="shared" si="21"/>
        <v>14</v>
      </c>
      <c r="S69" s="28">
        <f t="shared" si="21"/>
        <v>14</v>
      </c>
      <c r="T69" s="1096">
        <f t="shared" si="21"/>
        <v>0</v>
      </c>
      <c r="U69" s="28">
        <f t="shared" si="21"/>
        <v>10</v>
      </c>
      <c r="V69" s="28">
        <f t="shared" si="21"/>
        <v>14</v>
      </c>
      <c r="W69" s="28">
        <f t="shared" si="21"/>
        <v>14</v>
      </c>
      <c r="X69" s="28">
        <f t="shared" si="21"/>
        <v>16</v>
      </c>
      <c r="Y69" s="28">
        <f t="shared" si="21"/>
        <v>8</v>
      </c>
      <c r="Z69" s="28">
        <f t="shared" si="21"/>
        <v>14</v>
      </c>
      <c r="AA69" s="1096">
        <f t="shared" si="21"/>
        <v>0</v>
      </c>
      <c r="AB69" s="28">
        <f t="shared" si="21"/>
        <v>10</v>
      </c>
      <c r="AC69" s="28">
        <f t="shared" si="21"/>
        <v>4</v>
      </c>
      <c r="AD69" s="28">
        <f t="shared" si="21"/>
        <v>12</v>
      </c>
      <c r="AE69" s="1096">
        <f t="shared" si="21"/>
        <v>0</v>
      </c>
      <c r="AF69" s="28">
        <f t="shared" si="21"/>
        <v>8</v>
      </c>
      <c r="AG69" s="28">
        <f t="shared" si="21"/>
        <v>26</v>
      </c>
      <c r="AH69" s="28">
        <f>AH43+AH46+AH50+AH54+AH57+AH61+AH64+AH67</f>
        <v>308</v>
      </c>
      <c r="AI69" s="28">
        <f>AI43+AI46+AI57+AI61+AI50+AI54+AI64+AI67</f>
        <v>0</v>
      </c>
      <c r="AJ69" s="43">
        <f>AJ43+AJ46+AJ57+AJ61+AJ50+AJ54+AJ64+AJ67</f>
        <v>11977124.92</v>
      </c>
    </row>
    <row r="70" spans="1:39">
      <c r="AH70" s="57">
        <v>308</v>
      </c>
      <c r="AI70" s="260" t="s">
        <v>272</v>
      </c>
    </row>
    <row r="71" spans="1:39">
      <c r="AH71" s="15"/>
      <c r="AI71" s="260" t="s">
        <v>581</v>
      </c>
    </row>
    <row r="72" spans="1:39" s="4" customFormat="1" ht="27.75" customHeight="1" thickBot="1">
      <c r="A72" s="1966" t="s">
        <v>264</v>
      </c>
      <c r="B72" s="1966"/>
      <c r="C72" s="1966"/>
      <c r="D72" s="1966"/>
      <c r="F72" s="1107"/>
      <c r="M72" s="1107"/>
      <c r="N72" s="1107"/>
      <c r="T72" s="1107"/>
      <c r="AA72" s="1107"/>
      <c r="AE72" s="1107"/>
      <c r="AH72" s="45">
        <f>AH69-AH70-AH71</f>
        <v>0</v>
      </c>
      <c r="AI72" s="261" t="s">
        <v>424</v>
      </c>
      <c r="AJ72" s="7"/>
    </row>
    <row r="73" spans="1:39" s="9" customFormat="1">
      <c r="A73" s="1987" t="s">
        <v>7</v>
      </c>
      <c r="B73" s="1971" t="s">
        <v>247</v>
      </c>
      <c r="C73" s="1971" t="s">
        <v>234</v>
      </c>
      <c r="D73" s="1971"/>
      <c r="E73" s="1971"/>
      <c r="F73" s="1971"/>
      <c r="G73" s="1971"/>
      <c r="H73" s="1971"/>
      <c r="I73" s="1971"/>
      <c r="J73" s="1971"/>
      <c r="K73" s="1971"/>
      <c r="L73" s="1971"/>
      <c r="M73" s="1971"/>
      <c r="N73" s="1971"/>
      <c r="O73" s="1971"/>
      <c r="P73" s="1971"/>
      <c r="Q73" s="1971"/>
      <c r="R73" s="1971"/>
      <c r="S73" s="1971"/>
      <c r="T73" s="1971"/>
      <c r="U73" s="1971"/>
      <c r="V73" s="1971"/>
      <c r="W73" s="1971"/>
      <c r="X73" s="1971"/>
      <c r="Y73" s="1971"/>
      <c r="Z73" s="1971"/>
      <c r="AA73" s="1971"/>
      <c r="AB73" s="1971"/>
      <c r="AC73" s="1971"/>
      <c r="AD73" s="1971"/>
      <c r="AE73" s="1971"/>
      <c r="AF73" s="1971"/>
      <c r="AG73" s="1971"/>
      <c r="AH73" s="1189" t="s">
        <v>38</v>
      </c>
      <c r="AI73" s="1983" t="s">
        <v>248</v>
      </c>
      <c r="AJ73" s="1990" t="s">
        <v>38</v>
      </c>
    </row>
    <row r="74" spans="1:39" s="9" customFormat="1" ht="15.75" thickBot="1">
      <c r="A74" s="1988"/>
      <c r="B74" s="1989"/>
      <c r="C74" s="1091">
        <v>1</v>
      </c>
      <c r="D74" s="1192">
        <v>2</v>
      </c>
      <c r="E74" s="1192">
        <v>3</v>
      </c>
      <c r="F74" s="1091">
        <v>4</v>
      </c>
      <c r="G74" s="1192">
        <v>5</v>
      </c>
      <c r="H74" s="1192">
        <v>6</v>
      </c>
      <c r="I74" s="1192">
        <v>7</v>
      </c>
      <c r="J74" s="1192">
        <v>8</v>
      </c>
      <c r="K74" s="1192">
        <v>9</v>
      </c>
      <c r="L74" s="1192">
        <v>10</v>
      </c>
      <c r="M74" s="1091">
        <v>11</v>
      </c>
      <c r="N74" s="1091">
        <v>12</v>
      </c>
      <c r="O74" s="1192">
        <v>13</v>
      </c>
      <c r="P74" s="1192">
        <v>14</v>
      </c>
      <c r="Q74" s="1192">
        <v>15</v>
      </c>
      <c r="R74" s="1192">
        <v>16</v>
      </c>
      <c r="S74" s="1192">
        <v>17</v>
      </c>
      <c r="T74" s="1091">
        <v>18</v>
      </c>
      <c r="U74" s="1192">
        <v>19</v>
      </c>
      <c r="V74" s="1192">
        <v>20</v>
      </c>
      <c r="W74" s="1192">
        <v>21</v>
      </c>
      <c r="X74" s="1192">
        <v>22</v>
      </c>
      <c r="Y74" s="1192">
        <v>23</v>
      </c>
      <c r="Z74" s="1192">
        <v>24</v>
      </c>
      <c r="AA74" s="1091">
        <v>25</v>
      </c>
      <c r="AB74" s="1192">
        <v>26</v>
      </c>
      <c r="AC74" s="1192">
        <v>27</v>
      </c>
      <c r="AD74" s="1192">
        <v>28</v>
      </c>
      <c r="AE74" s="1091">
        <v>29</v>
      </c>
      <c r="AF74" s="1192">
        <v>30</v>
      </c>
      <c r="AG74" s="1192">
        <v>31</v>
      </c>
      <c r="AH74" s="1192" t="s">
        <v>247</v>
      </c>
      <c r="AI74" s="1984"/>
      <c r="AJ74" s="1991"/>
    </row>
    <row r="75" spans="1:39" s="15" customFormat="1" ht="24" customHeight="1">
      <c r="A75" s="1985" t="s">
        <v>250</v>
      </c>
      <c r="B75" s="11"/>
      <c r="C75" s="1092"/>
      <c r="D75" s="11">
        <v>1</v>
      </c>
      <c r="E75" s="11">
        <v>1</v>
      </c>
      <c r="F75" s="1092"/>
      <c r="G75" s="11"/>
      <c r="H75" s="11">
        <v>1</v>
      </c>
      <c r="I75" s="11"/>
      <c r="J75" s="11"/>
      <c r="K75" s="11"/>
      <c r="L75" s="11"/>
      <c r="M75" s="1092"/>
      <c r="N75" s="1092"/>
      <c r="O75" s="11"/>
      <c r="P75" s="11"/>
      <c r="Q75" s="11"/>
      <c r="R75" s="11"/>
      <c r="S75" s="11">
        <v>1</v>
      </c>
      <c r="T75" s="1092"/>
      <c r="U75" s="11">
        <v>1</v>
      </c>
      <c r="V75" s="11">
        <v>1</v>
      </c>
      <c r="W75" s="11">
        <v>1</v>
      </c>
      <c r="X75" s="11">
        <v>1</v>
      </c>
      <c r="Y75" s="11">
        <v>1</v>
      </c>
      <c r="Z75" s="11">
        <v>1</v>
      </c>
      <c r="AA75" s="1092"/>
      <c r="AB75" s="11"/>
      <c r="AC75" s="11"/>
      <c r="AD75" s="11">
        <v>1</v>
      </c>
      <c r="AE75" s="1092"/>
      <c r="AF75" s="11">
        <v>1</v>
      </c>
      <c r="AG75" s="11">
        <v>1</v>
      </c>
      <c r="AH75" s="32">
        <f>SUM(C75:AG75)</f>
        <v>13</v>
      </c>
      <c r="AI75" s="13">
        <v>33612.14</v>
      </c>
      <c r="AJ75" s="14">
        <f>AH75*AI75</f>
        <v>436957.82</v>
      </c>
    </row>
    <row r="76" spans="1:39" s="57" customFormat="1" ht="24" customHeight="1" thickBot="1">
      <c r="A76" s="1986"/>
      <c r="B76" s="33"/>
      <c r="C76" s="1093"/>
      <c r="D76" s="17">
        <v>3</v>
      </c>
      <c r="E76" s="17">
        <v>1.5</v>
      </c>
      <c r="F76" s="1093"/>
      <c r="G76" s="17"/>
      <c r="H76" s="17"/>
      <c r="I76" s="17"/>
      <c r="J76" s="17"/>
      <c r="K76" s="17"/>
      <c r="L76" s="17"/>
      <c r="M76" s="1093"/>
      <c r="N76" s="1093"/>
      <c r="O76" s="17"/>
      <c r="P76" s="17"/>
      <c r="Q76" s="17"/>
      <c r="R76" s="17"/>
      <c r="S76" s="17"/>
      <c r="T76" s="1093"/>
      <c r="U76" s="17">
        <v>1</v>
      </c>
      <c r="V76" s="68">
        <v>0.5</v>
      </c>
      <c r="W76" s="68"/>
      <c r="X76" s="68">
        <v>1</v>
      </c>
      <c r="Y76" s="68">
        <v>2</v>
      </c>
      <c r="Z76" s="17"/>
      <c r="AA76" s="1093"/>
      <c r="AB76" s="17"/>
      <c r="AC76" s="17"/>
      <c r="AD76" s="17"/>
      <c r="AE76" s="1093"/>
      <c r="AF76" s="17">
        <v>3</v>
      </c>
      <c r="AG76" s="17">
        <v>1.5</v>
      </c>
      <c r="AH76" s="33">
        <f>SUM(C76:AG76)</f>
        <v>13.5</v>
      </c>
      <c r="AI76" s="18">
        <v>44816.18</v>
      </c>
      <c r="AJ76" s="56">
        <f>AH76*AI76</f>
        <v>605018.43000000005</v>
      </c>
    </row>
    <row r="77" spans="1:39" s="37" customFormat="1" ht="24" customHeight="1" thickBot="1">
      <c r="A77" s="34" t="s">
        <v>249</v>
      </c>
      <c r="B77" s="23"/>
      <c r="C77" s="1094">
        <f>SUM(C75:C76)</f>
        <v>0</v>
      </c>
      <c r="D77" s="23">
        <f t="shared" ref="D77:G77" si="22">SUM(D75:D76)</f>
        <v>4</v>
      </c>
      <c r="E77" s="23">
        <f t="shared" si="22"/>
        <v>2.5</v>
      </c>
      <c r="F77" s="1094">
        <f t="shared" si="22"/>
        <v>0</v>
      </c>
      <c r="G77" s="23">
        <f t="shared" si="22"/>
        <v>0</v>
      </c>
      <c r="H77" s="23">
        <f>SUM(H75:H76)</f>
        <v>1</v>
      </c>
      <c r="I77" s="23">
        <f>SUM(I75:I76)</f>
        <v>0</v>
      </c>
      <c r="J77" s="23">
        <f t="shared" ref="J77:N77" si="23">SUM(J75:J76)</f>
        <v>0</v>
      </c>
      <c r="K77" s="23">
        <f t="shared" si="23"/>
        <v>0</v>
      </c>
      <c r="L77" s="23">
        <f t="shared" si="23"/>
        <v>0</v>
      </c>
      <c r="M77" s="1094">
        <f t="shared" si="23"/>
        <v>0</v>
      </c>
      <c r="N77" s="1094">
        <f t="shared" si="23"/>
        <v>0</v>
      </c>
      <c r="O77" s="23">
        <f>SUM(O75:O76)</f>
        <v>0</v>
      </c>
      <c r="P77" s="23">
        <f>SUM(P75:P76)</f>
        <v>0</v>
      </c>
      <c r="Q77" s="23">
        <f t="shared" ref="Q77:U77" si="24">SUM(Q75:Q76)</f>
        <v>0</v>
      </c>
      <c r="R77" s="23">
        <f t="shared" si="24"/>
        <v>0</v>
      </c>
      <c r="S77" s="23">
        <f t="shared" si="24"/>
        <v>1</v>
      </c>
      <c r="T77" s="1094">
        <f t="shared" si="24"/>
        <v>0</v>
      </c>
      <c r="U77" s="23">
        <f t="shared" si="24"/>
        <v>2</v>
      </c>
      <c r="V77" s="23">
        <f>SUM(V75:V76)</f>
        <v>1.5</v>
      </c>
      <c r="W77" s="23">
        <f>SUM(W75:W76)</f>
        <v>1</v>
      </c>
      <c r="X77" s="23">
        <f t="shared" ref="X77:AB77" si="25">SUM(X75:X76)</f>
        <v>2</v>
      </c>
      <c r="Y77" s="23">
        <f t="shared" si="25"/>
        <v>3</v>
      </c>
      <c r="Z77" s="23">
        <f t="shared" si="25"/>
        <v>1</v>
      </c>
      <c r="AA77" s="1094">
        <f t="shared" si="25"/>
        <v>0</v>
      </c>
      <c r="AB77" s="23">
        <f t="shared" si="25"/>
        <v>0</v>
      </c>
      <c r="AC77" s="23">
        <f>SUM(AC75:AC76)</f>
        <v>0</v>
      </c>
      <c r="AD77" s="23">
        <f>SUM(AD75:AD76)</f>
        <v>1</v>
      </c>
      <c r="AE77" s="1094">
        <f t="shared" ref="AE77:AG77" si="26">SUM(AE75:AE76)</f>
        <v>0</v>
      </c>
      <c r="AF77" s="23">
        <f t="shared" si="26"/>
        <v>4</v>
      </c>
      <c r="AG77" s="23">
        <f t="shared" si="26"/>
        <v>2.5</v>
      </c>
      <c r="AH77" s="23">
        <f>SUM(AH75:AH76)</f>
        <v>26.5</v>
      </c>
      <c r="AI77" s="23"/>
      <c r="AJ77" s="648">
        <f>SUM(AJ75:AJ76)</f>
        <v>1041976.25</v>
      </c>
    </row>
    <row r="78" spans="1:39" s="15" customFormat="1" ht="24" customHeight="1">
      <c r="A78" s="1985" t="s">
        <v>136</v>
      </c>
      <c r="B78" s="11"/>
      <c r="C78" s="1092"/>
      <c r="D78" s="11">
        <v>1</v>
      </c>
      <c r="E78" s="11">
        <v>1</v>
      </c>
      <c r="F78" s="1092"/>
      <c r="G78" s="11">
        <v>1</v>
      </c>
      <c r="H78" s="11">
        <v>1</v>
      </c>
      <c r="I78" s="11">
        <v>1</v>
      </c>
      <c r="J78" s="11"/>
      <c r="K78" s="11">
        <v>1</v>
      </c>
      <c r="L78" s="11">
        <v>1</v>
      </c>
      <c r="M78" s="1092"/>
      <c r="N78" s="1092"/>
      <c r="O78" s="11">
        <v>1</v>
      </c>
      <c r="P78" s="11">
        <v>1</v>
      </c>
      <c r="Q78" s="11"/>
      <c r="R78" s="11">
        <v>1</v>
      </c>
      <c r="S78" s="11">
        <v>1</v>
      </c>
      <c r="T78" s="1092"/>
      <c r="U78" s="11">
        <v>1</v>
      </c>
      <c r="V78" s="11"/>
      <c r="W78" s="11">
        <v>1</v>
      </c>
      <c r="X78" s="11">
        <v>1</v>
      </c>
      <c r="Y78" s="11">
        <v>1</v>
      </c>
      <c r="Z78" s="11">
        <v>1</v>
      </c>
      <c r="AA78" s="1092"/>
      <c r="AB78" s="11">
        <v>1</v>
      </c>
      <c r="AC78" s="11"/>
      <c r="AD78" s="11"/>
      <c r="AE78" s="1092"/>
      <c r="AF78" s="11">
        <v>1</v>
      </c>
      <c r="AG78" s="11">
        <v>1</v>
      </c>
      <c r="AH78" s="32">
        <f>SUM(C78:AG78)</f>
        <v>19</v>
      </c>
      <c r="AI78" s="13">
        <v>33612.14</v>
      </c>
      <c r="AJ78" s="14">
        <f>AH78*AI78</f>
        <v>638630.66</v>
      </c>
    </row>
    <row r="79" spans="1:39" s="15" customFormat="1" ht="24" customHeight="1" thickBot="1">
      <c r="A79" s="1992"/>
      <c r="B79" s="33"/>
      <c r="C79" s="1093"/>
      <c r="D79" s="17">
        <v>3</v>
      </c>
      <c r="E79" s="17">
        <v>1</v>
      </c>
      <c r="F79" s="1093"/>
      <c r="G79" s="17">
        <v>2</v>
      </c>
      <c r="H79" s="17">
        <v>1</v>
      </c>
      <c r="I79" s="17">
        <v>1</v>
      </c>
      <c r="J79" s="17"/>
      <c r="K79" s="17">
        <v>2</v>
      </c>
      <c r="L79" s="17">
        <v>0.5</v>
      </c>
      <c r="M79" s="1093"/>
      <c r="N79" s="1093"/>
      <c r="O79" s="17">
        <v>1</v>
      </c>
      <c r="P79" s="17">
        <v>1</v>
      </c>
      <c r="Q79" s="17"/>
      <c r="R79" s="17">
        <v>3</v>
      </c>
      <c r="S79" s="17"/>
      <c r="T79" s="1093"/>
      <c r="U79" s="17"/>
      <c r="V79" s="68"/>
      <c r="W79" s="68"/>
      <c r="X79" s="68"/>
      <c r="Y79" s="68">
        <v>2</v>
      </c>
      <c r="Z79" s="17"/>
      <c r="AA79" s="1093"/>
      <c r="AB79" s="17"/>
      <c r="AC79" s="17"/>
      <c r="AD79" s="17"/>
      <c r="AE79" s="1093"/>
      <c r="AF79" s="17">
        <v>3</v>
      </c>
      <c r="AG79" s="17">
        <v>1</v>
      </c>
      <c r="AH79" s="33">
        <f>SUM(C79:AG79)</f>
        <v>21.5</v>
      </c>
      <c r="AI79" s="18">
        <v>44816.18</v>
      </c>
      <c r="AJ79" s="56">
        <f>AH79*AI79</f>
        <v>963547.87</v>
      </c>
      <c r="AK79" s="57">
        <f>35+5.5</f>
        <v>40.5</v>
      </c>
    </row>
    <row r="80" spans="1:39" s="37" customFormat="1" ht="24" customHeight="1" thickBot="1">
      <c r="A80" s="34" t="s">
        <v>249</v>
      </c>
      <c r="B80" s="23"/>
      <c r="C80" s="1094">
        <f t="shared" ref="C80:AH80" si="27">SUM(C78:C79)</f>
        <v>0</v>
      </c>
      <c r="D80" s="23">
        <f t="shared" si="27"/>
        <v>4</v>
      </c>
      <c r="E80" s="23">
        <f t="shared" si="27"/>
        <v>2</v>
      </c>
      <c r="F80" s="1094">
        <f t="shared" si="27"/>
        <v>0</v>
      </c>
      <c r="G80" s="23">
        <f t="shared" si="27"/>
        <v>3</v>
      </c>
      <c r="H80" s="23">
        <f t="shared" si="27"/>
        <v>2</v>
      </c>
      <c r="I80" s="23">
        <f t="shared" si="27"/>
        <v>2</v>
      </c>
      <c r="J80" s="23">
        <f t="shared" si="27"/>
        <v>0</v>
      </c>
      <c r="K80" s="23">
        <f t="shared" si="27"/>
        <v>3</v>
      </c>
      <c r="L80" s="23">
        <f t="shared" si="27"/>
        <v>1.5</v>
      </c>
      <c r="M80" s="1094">
        <f t="shared" si="27"/>
        <v>0</v>
      </c>
      <c r="N80" s="1094">
        <f t="shared" si="27"/>
        <v>0</v>
      </c>
      <c r="O80" s="23">
        <f t="shared" si="27"/>
        <v>2</v>
      </c>
      <c r="P80" s="23">
        <f t="shared" si="27"/>
        <v>2</v>
      </c>
      <c r="Q80" s="23">
        <f t="shared" si="27"/>
        <v>0</v>
      </c>
      <c r="R80" s="23">
        <f t="shared" si="27"/>
        <v>4</v>
      </c>
      <c r="S80" s="23">
        <f t="shared" si="27"/>
        <v>1</v>
      </c>
      <c r="T80" s="1094">
        <f t="shared" si="27"/>
        <v>0</v>
      </c>
      <c r="U80" s="23">
        <f t="shared" si="27"/>
        <v>1</v>
      </c>
      <c r="V80" s="23">
        <f t="shared" si="27"/>
        <v>0</v>
      </c>
      <c r="W80" s="23">
        <f t="shared" si="27"/>
        <v>1</v>
      </c>
      <c r="X80" s="23">
        <f t="shared" si="27"/>
        <v>1</v>
      </c>
      <c r="Y80" s="23">
        <f t="shared" si="27"/>
        <v>3</v>
      </c>
      <c r="Z80" s="23">
        <f t="shared" si="27"/>
        <v>1</v>
      </c>
      <c r="AA80" s="1094">
        <f t="shared" si="27"/>
        <v>0</v>
      </c>
      <c r="AB80" s="23">
        <f t="shared" si="27"/>
        <v>1</v>
      </c>
      <c r="AC80" s="23">
        <f t="shared" si="27"/>
        <v>0</v>
      </c>
      <c r="AD80" s="23">
        <f t="shared" si="27"/>
        <v>0</v>
      </c>
      <c r="AE80" s="1094">
        <f t="shared" si="27"/>
        <v>0</v>
      </c>
      <c r="AF80" s="23">
        <f t="shared" si="27"/>
        <v>4</v>
      </c>
      <c r="AG80" s="23">
        <f t="shared" si="27"/>
        <v>2</v>
      </c>
      <c r="AH80" s="23">
        <f t="shared" si="27"/>
        <v>40.5</v>
      </c>
      <c r="AI80" s="23"/>
      <c r="AJ80" s="648">
        <f>SUM(AJ78:AJ79)</f>
        <v>1602178.53</v>
      </c>
    </row>
    <row r="81" spans="1:36" s="15" customFormat="1" ht="24" customHeight="1">
      <c r="A81" s="1985" t="s">
        <v>111</v>
      </c>
      <c r="B81" s="11"/>
      <c r="C81" s="1092"/>
      <c r="D81" s="11">
        <v>1</v>
      </c>
      <c r="E81" s="11">
        <v>1</v>
      </c>
      <c r="F81" s="1092"/>
      <c r="G81" s="11">
        <v>1</v>
      </c>
      <c r="H81" s="11">
        <v>1</v>
      </c>
      <c r="I81" s="11">
        <v>1</v>
      </c>
      <c r="J81" s="11"/>
      <c r="K81" s="11"/>
      <c r="L81" s="11"/>
      <c r="M81" s="1092"/>
      <c r="N81" s="1092"/>
      <c r="O81" s="11">
        <v>1</v>
      </c>
      <c r="P81" s="11">
        <v>1</v>
      </c>
      <c r="Q81" s="11">
        <v>1</v>
      </c>
      <c r="R81" s="11">
        <v>1</v>
      </c>
      <c r="S81" s="11">
        <v>1</v>
      </c>
      <c r="T81" s="1092"/>
      <c r="U81" s="11"/>
      <c r="V81" s="11"/>
      <c r="W81" s="11">
        <v>1</v>
      </c>
      <c r="X81" s="11">
        <v>1</v>
      </c>
      <c r="Y81" s="11">
        <v>1</v>
      </c>
      <c r="Z81" s="11">
        <v>1</v>
      </c>
      <c r="AA81" s="1092"/>
      <c r="AB81" s="11">
        <v>1</v>
      </c>
      <c r="AC81" s="11">
        <v>1</v>
      </c>
      <c r="AD81" s="11">
        <v>1</v>
      </c>
      <c r="AE81" s="1092"/>
      <c r="AF81" s="11">
        <v>1</v>
      </c>
      <c r="AG81" s="11">
        <v>1</v>
      </c>
      <c r="AH81" s="32">
        <f>SUM(C81:AG81)</f>
        <v>19</v>
      </c>
      <c r="AI81" s="13">
        <v>33612.14</v>
      </c>
      <c r="AJ81" s="14">
        <f>AH81*AI81</f>
        <v>638630.66</v>
      </c>
    </row>
    <row r="82" spans="1:36" s="15" customFormat="1" ht="24" customHeight="1" thickBot="1">
      <c r="A82" s="1986"/>
      <c r="B82" s="58"/>
      <c r="C82" s="1093"/>
      <c r="D82" s="17">
        <v>3</v>
      </c>
      <c r="E82" s="17">
        <v>1</v>
      </c>
      <c r="F82" s="1093"/>
      <c r="G82" s="17">
        <v>2</v>
      </c>
      <c r="H82" s="17">
        <v>1</v>
      </c>
      <c r="I82" s="17">
        <v>1</v>
      </c>
      <c r="J82" s="17"/>
      <c r="K82" s="17"/>
      <c r="L82" s="17"/>
      <c r="M82" s="1093"/>
      <c r="N82" s="1093"/>
      <c r="O82" s="17">
        <v>1</v>
      </c>
      <c r="P82" s="17">
        <v>1</v>
      </c>
      <c r="Q82" s="17">
        <v>1</v>
      </c>
      <c r="R82" s="17">
        <v>3</v>
      </c>
      <c r="S82" s="17"/>
      <c r="T82" s="1093"/>
      <c r="U82" s="17"/>
      <c r="V82" s="68"/>
      <c r="W82" s="68">
        <v>1</v>
      </c>
      <c r="X82" s="68"/>
      <c r="Y82" s="68">
        <v>2</v>
      </c>
      <c r="Z82" s="17"/>
      <c r="AA82" s="1093"/>
      <c r="AB82" s="17"/>
      <c r="AC82" s="17">
        <v>1</v>
      </c>
      <c r="AD82" s="17">
        <v>1</v>
      </c>
      <c r="AE82" s="1093"/>
      <c r="AF82" s="17">
        <v>3</v>
      </c>
      <c r="AG82" s="17">
        <v>2</v>
      </c>
      <c r="AH82" s="33">
        <f>SUM(C82:AG82)</f>
        <v>24</v>
      </c>
      <c r="AI82" s="18">
        <v>44816.18</v>
      </c>
      <c r="AJ82" s="56">
        <f>AH82*AI82</f>
        <v>1075588.32</v>
      </c>
    </row>
    <row r="83" spans="1:36" s="9" customFormat="1" ht="24" customHeight="1" thickBot="1">
      <c r="A83" s="21" t="s">
        <v>249</v>
      </c>
      <c r="B83" s="22"/>
      <c r="C83" s="1095">
        <f>SUM(C81:C82)</f>
        <v>0</v>
      </c>
      <c r="D83" s="22">
        <f t="shared" ref="D83:H83" si="28">SUM(D81:D82)</f>
        <v>4</v>
      </c>
      <c r="E83" s="22">
        <f t="shared" si="28"/>
        <v>2</v>
      </c>
      <c r="F83" s="1095">
        <f t="shared" si="28"/>
        <v>0</v>
      </c>
      <c r="G83" s="22">
        <f t="shared" si="28"/>
        <v>3</v>
      </c>
      <c r="H83" s="22">
        <f t="shared" si="28"/>
        <v>2</v>
      </c>
      <c r="I83" s="22">
        <f>SUM(I81:I82)</f>
        <v>2</v>
      </c>
      <c r="J83" s="22">
        <f t="shared" ref="J83:AG83" si="29">SUM(J81:J82)</f>
        <v>0</v>
      </c>
      <c r="K83" s="22">
        <f t="shared" si="29"/>
        <v>0</v>
      </c>
      <c r="L83" s="22">
        <f t="shared" si="29"/>
        <v>0</v>
      </c>
      <c r="M83" s="1095">
        <f t="shared" si="29"/>
        <v>0</v>
      </c>
      <c r="N83" s="1095">
        <f t="shared" si="29"/>
        <v>0</v>
      </c>
      <c r="O83" s="22">
        <f t="shared" si="29"/>
        <v>2</v>
      </c>
      <c r="P83" s="22">
        <f t="shared" si="29"/>
        <v>2</v>
      </c>
      <c r="Q83" s="22">
        <f t="shared" si="29"/>
        <v>2</v>
      </c>
      <c r="R83" s="22">
        <f t="shared" si="29"/>
        <v>4</v>
      </c>
      <c r="S83" s="22">
        <f t="shared" si="29"/>
        <v>1</v>
      </c>
      <c r="T83" s="1095">
        <f t="shared" si="29"/>
        <v>0</v>
      </c>
      <c r="U83" s="22">
        <f t="shared" si="29"/>
        <v>0</v>
      </c>
      <c r="V83" s="22">
        <f t="shared" si="29"/>
        <v>0</v>
      </c>
      <c r="W83" s="22">
        <f t="shared" si="29"/>
        <v>2</v>
      </c>
      <c r="X83" s="22">
        <f t="shared" si="29"/>
        <v>1</v>
      </c>
      <c r="Y83" s="22">
        <f t="shared" si="29"/>
        <v>3</v>
      </c>
      <c r="Z83" s="22">
        <f t="shared" si="29"/>
        <v>1</v>
      </c>
      <c r="AA83" s="1095">
        <f t="shared" si="29"/>
        <v>0</v>
      </c>
      <c r="AB83" s="22">
        <f t="shared" si="29"/>
        <v>1</v>
      </c>
      <c r="AC83" s="22">
        <f t="shared" si="29"/>
        <v>2</v>
      </c>
      <c r="AD83" s="22">
        <f t="shared" si="29"/>
        <v>2</v>
      </c>
      <c r="AE83" s="1095">
        <f t="shared" si="29"/>
        <v>0</v>
      </c>
      <c r="AF83" s="22">
        <f t="shared" si="29"/>
        <v>4</v>
      </c>
      <c r="AG83" s="22">
        <f t="shared" si="29"/>
        <v>3</v>
      </c>
      <c r="AH83" s="43">
        <f>SUM(AH81:AH82)</f>
        <v>43</v>
      </c>
      <c r="AI83" s="43"/>
      <c r="AJ83" s="25">
        <f>SUM(AJ81:AJ82)</f>
        <v>1714218.98</v>
      </c>
    </row>
    <row r="84" spans="1:36" s="15" customFormat="1" ht="24" customHeight="1">
      <c r="A84" s="1985" t="s">
        <v>688</v>
      </c>
      <c r="B84" s="11"/>
      <c r="C84" s="1092"/>
      <c r="D84" s="11"/>
      <c r="E84" s="11"/>
      <c r="F84" s="1092"/>
      <c r="G84" s="11"/>
      <c r="H84" s="11"/>
      <c r="I84" s="11"/>
      <c r="J84" s="11"/>
      <c r="K84" s="11"/>
      <c r="L84" s="11"/>
      <c r="M84" s="1092"/>
      <c r="N84" s="1092"/>
      <c r="O84" s="11"/>
      <c r="P84" s="11"/>
      <c r="Q84" s="11"/>
      <c r="R84" s="11"/>
      <c r="S84" s="11"/>
      <c r="T84" s="1092"/>
      <c r="U84" s="11"/>
      <c r="V84" s="11"/>
      <c r="W84" s="11"/>
      <c r="X84" s="11"/>
      <c r="Y84" s="11"/>
      <c r="Z84" s="11"/>
      <c r="AA84" s="1092"/>
      <c r="AB84" s="11"/>
      <c r="AC84" s="11"/>
      <c r="AD84" s="11"/>
      <c r="AE84" s="1092"/>
      <c r="AF84" s="11"/>
      <c r="AG84" s="11"/>
      <c r="AH84" s="11">
        <f>SUM(C84:AG84)</f>
        <v>0</v>
      </c>
      <c r="AI84" s="13">
        <v>33612.14</v>
      </c>
      <c r="AJ84" s="14">
        <f>AH84*AI84</f>
        <v>0</v>
      </c>
    </row>
    <row r="85" spans="1:36" s="15" customFormat="1" ht="24" customHeight="1" thickBot="1">
      <c r="A85" s="1986"/>
      <c r="B85" s="58"/>
      <c r="C85" s="1093"/>
      <c r="D85" s="17"/>
      <c r="E85" s="17"/>
      <c r="F85" s="1093"/>
      <c r="G85" s="17"/>
      <c r="H85" s="17"/>
      <c r="I85" s="17"/>
      <c r="J85" s="17"/>
      <c r="K85" s="17"/>
      <c r="L85" s="17"/>
      <c r="M85" s="1093"/>
      <c r="N85" s="1093"/>
      <c r="O85" s="17"/>
      <c r="P85" s="17"/>
      <c r="Q85" s="17"/>
      <c r="R85" s="17"/>
      <c r="S85" s="17"/>
      <c r="T85" s="1093"/>
      <c r="U85" s="17"/>
      <c r="V85" s="68"/>
      <c r="W85" s="68"/>
      <c r="X85" s="68"/>
      <c r="Y85" s="68"/>
      <c r="Z85" s="17"/>
      <c r="AA85" s="1093"/>
      <c r="AB85" s="17"/>
      <c r="AC85" s="17"/>
      <c r="AD85" s="17"/>
      <c r="AE85" s="1093"/>
      <c r="AF85" s="17"/>
      <c r="AG85" s="17"/>
      <c r="AH85" s="58">
        <f>SUM(C85:AG85)</f>
        <v>0</v>
      </c>
      <c r="AI85" s="18">
        <v>44816.18</v>
      </c>
      <c r="AJ85" s="56">
        <f>AH85*AI85</f>
        <v>0</v>
      </c>
    </row>
    <row r="86" spans="1:36" s="9" customFormat="1" ht="24" customHeight="1" thickBot="1">
      <c r="A86" s="21" t="s">
        <v>249</v>
      </c>
      <c r="B86" s="22"/>
      <c r="C86" s="1095">
        <f>SUM(C84:C85)</f>
        <v>0</v>
      </c>
      <c r="D86" s="22">
        <f t="shared" ref="D86:H86" si="30">SUM(D84:D85)</f>
        <v>0</v>
      </c>
      <c r="E86" s="22">
        <f t="shared" si="30"/>
        <v>0</v>
      </c>
      <c r="F86" s="1095">
        <f t="shared" si="30"/>
        <v>0</v>
      </c>
      <c r="G86" s="22">
        <f t="shared" si="30"/>
        <v>0</v>
      </c>
      <c r="H86" s="22">
        <f t="shared" si="30"/>
        <v>0</v>
      </c>
      <c r="I86" s="22">
        <f>SUM(I84:I85)</f>
        <v>0</v>
      </c>
      <c r="J86" s="22">
        <f t="shared" ref="J86:AG86" si="31">SUM(J84:J85)</f>
        <v>0</v>
      </c>
      <c r="K86" s="22">
        <f t="shared" si="31"/>
        <v>0</v>
      </c>
      <c r="L86" s="22">
        <f t="shared" si="31"/>
        <v>0</v>
      </c>
      <c r="M86" s="1095">
        <f t="shared" si="31"/>
        <v>0</v>
      </c>
      <c r="N86" s="1095">
        <f t="shared" si="31"/>
        <v>0</v>
      </c>
      <c r="O86" s="22">
        <f t="shared" si="31"/>
        <v>0</v>
      </c>
      <c r="P86" s="22">
        <f t="shared" si="31"/>
        <v>0</v>
      </c>
      <c r="Q86" s="22">
        <f t="shared" si="31"/>
        <v>0</v>
      </c>
      <c r="R86" s="22">
        <f t="shared" si="31"/>
        <v>0</v>
      </c>
      <c r="S86" s="22">
        <f t="shared" si="31"/>
        <v>0</v>
      </c>
      <c r="T86" s="1095">
        <f t="shared" si="31"/>
        <v>0</v>
      </c>
      <c r="U86" s="22">
        <f t="shared" si="31"/>
        <v>0</v>
      </c>
      <c r="V86" s="22">
        <f t="shared" si="31"/>
        <v>0</v>
      </c>
      <c r="W86" s="22">
        <f t="shared" si="31"/>
        <v>0</v>
      </c>
      <c r="X86" s="22">
        <f t="shared" si="31"/>
        <v>0</v>
      </c>
      <c r="Y86" s="22">
        <f t="shared" si="31"/>
        <v>0</v>
      </c>
      <c r="Z86" s="22">
        <f t="shared" si="31"/>
        <v>0</v>
      </c>
      <c r="AA86" s="1095">
        <f t="shared" si="31"/>
        <v>0</v>
      </c>
      <c r="AB86" s="22">
        <f t="shared" si="31"/>
        <v>0</v>
      </c>
      <c r="AC86" s="22">
        <f t="shared" si="31"/>
        <v>0</v>
      </c>
      <c r="AD86" s="22">
        <f t="shared" si="31"/>
        <v>0</v>
      </c>
      <c r="AE86" s="1095">
        <f t="shared" si="31"/>
        <v>0</v>
      </c>
      <c r="AF86" s="22">
        <f t="shared" si="31"/>
        <v>0</v>
      </c>
      <c r="AG86" s="22">
        <f t="shared" si="31"/>
        <v>0</v>
      </c>
      <c r="AH86" s="22">
        <f>SUM(AH84:AH85)</f>
        <v>0</v>
      </c>
      <c r="AI86" s="43"/>
      <c r="AJ86" s="25">
        <f>SUM(AJ84:AJ85)</f>
        <v>0</v>
      </c>
    </row>
    <row r="87" spans="1:36" s="15" customFormat="1" ht="24" customHeight="1">
      <c r="A87" s="1985" t="s">
        <v>692</v>
      </c>
      <c r="B87" s="11"/>
      <c r="C87" s="1092"/>
      <c r="D87" s="11"/>
      <c r="E87" s="11"/>
      <c r="F87" s="1092"/>
      <c r="G87" s="11"/>
      <c r="H87" s="11"/>
      <c r="I87" s="11"/>
      <c r="J87" s="11"/>
      <c r="K87" s="11"/>
      <c r="L87" s="11"/>
      <c r="M87" s="1092"/>
      <c r="N87" s="1092"/>
      <c r="O87" s="11"/>
      <c r="P87" s="11"/>
      <c r="Q87" s="11"/>
      <c r="R87" s="11"/>
      <c r="S87" s="11"/>
      <c r="T87" s="1092"/>
      <c r="U87" s="11"/>
      <c r="V87" s="11"/>
      <c r="W87" s="11"/>
      <c r="X87" s="11"/>
      <c r="Y87" s="11"/>
      <c r="Z87" s="11"/>
      <c r="AA87" s="1092"/>
      <c r="AB87" s="11"/>
      <c r="AC87" s="11"/>
      <c r="AD87" s="11"/>
      <c r="AE87" s="1092"/>
      <c r="AF87" s="11"/>
      <c r="AG87" s="11"/>
      <c r="AH87" s="11">
        <f>SUM(C87:AG87)</f>
        <v>0</v>
      </c>
      <c r="AI87" s="13">
        <v>33612.14</v>
      </c>
      <c r="AJ87" s="14">
        <f>AH87*AI87</f>
        <v>0</v>
      </c>
    </row>
    <row r="88" spans="1:36" s="15" customFormat="1" ht="24" customHeight="1" thickBot="1">
      <c r="A88" s="1986"/>
      <c r="B88" s="58"/>
      <c r="C88" s="1093"/>
      <c r="D88" s="17"/>
      <c r="E88" s="17"/>
      <c r="F88" s="1093"/>
      <c r="G88" s="17"/>
      <c r="H88" s="17"/>
      <c r="I88" s="17"/>
      <c r="J88" s="17"/>
      <c r="K88" s="17"/>
      <c r="L88" s="17"/>
      <c r="M88" s="1093"/>
      <c r="N88" s="1093"/>
      <c r="O88" s="17"/>
      <c r="P88" s="17"/>
      <c r="Q88" s="17"/>
      <c r="R88" s="17"/>
      <c r="S88" s="17"/>
      <c r="T88" s="1093"/>
      <c r="U88" s="17"/>
      <c r="V88" s="68"/>
      <c r="W88" s="68"/>
      <c r="X88" s="68"/>
      <c r="Y88" s="68"/>
      <c r="Z88" s="17"/>
      <c r="AA88" s="1093"/>
      <c r="AB88" s="17"/>
      <c r="AC88" s="17"/>
      <c r="AD88" s="17"/>
      <c r="AE88" s="1093"/>
      <c r="AF88" s="17"/>
      <c r="AG88" s="17"/>
      <c r="AH88" s="58">
        <f>SUM(C88:AG88)</f>
        <v>0</v>
      </c>
      <c r="AI88" s="18">
        <v>44816.18</v>
      </c>
      <c r="AJ88" s="56">
        <f>AH88*AI88</f>
        <v>0</v>
      </c>
    </row>
    <row r="89" spans="1:36" s="9" customFormat="1" ht="24" customHeight="1" thickBot="1">
      <c r="A89" s="21" t="s">
        <v>249</v>
      </c>
      <c r="B89" s="22"/>
      <c r="C89" s="1095">
        <f>SUM(C87:C88)</f>
        <v>0</v>
      </c>
      <c r="D89" s="22">
        <f t="shared" ref="D89:AG89" si="32">SUM(D87:D88)</f>
        <v>0</v>
      </c>
      <c r="E89" s="22">
        <f t="shared" si="32"/>
        <v>0</v>
      </c>
      <c r="F89" s="1095">
        <f t="shared" si="32"/>
        <v>0</v>
      </c>
      <c r="G89" s="22">
        <f t="shared" si="32"/>
        <v>0</v>
      </c>
      <c r="H89" s="22">
        <f t="shared" si="32"/>
        <v>0</v>
      </c>
      <c r="I89" s="22">
        <f>SUM(I87:I88)</f>
        <v>0</v>
      </c>
      <c r="J89" s="22">
        <f t="shared" si="32"/>
        <v>0</v>
      </c>
      <c r="K89" s="22">
        <f t="shared" si="32"/>
        <v>0</v>
      </c>
      <c r="L89" s="22">
        <f t="shared" si="32"/>
        <v>0</v>
      </c>
      <c r="M89" s="1095">
        <f t="shared" si="32"/>
        <v>0</v>
      </c>
      <c r="N89" s="1095">
        <f t="shared" si="32"/>
        <v>0</v>
      </c>
      <c r="O89" s="22">
        <f t="shared" si="32"/>
        <v>0</v>
      </c>
      <c r="P89" s="22">
        <f t="shared" si="32"/>
        <v>0</v>
      </c>
      <c r="Q89" s="22">
        <f t="shared" si="32"/>
        <v>0</v>
      </c>
      <c r="R89" s="22">
        <f t="shared" si="32"/>
        <v>0</v>
      </c>
      <c r="S89" s="22">
        <f t="shared" si="32"/>
        <v>0</v>
      </c>
      <c r="T89" s="1095">
        <f t="shared" si="32"/>
        <v>0</v>
      </c>
      <c r="U89" s="22">
        <f t="shared" si="32"/>
        <v>0</v>
      </c>
      <c r="V89" s="22">
        <f t="shared" si="32"/>
        <v>0</v>
      </c>
      <c r="W89" s="22">
        <f t="shared" si="32"/>
        <v>0</v>
      </c>
      <c r="X89" s="22">
        <f t="shared" si="32"/>
        <v>0</v>
      </c>
      <c r="Y89" s="22">
        <f t="shared" si="32"/>
        <v>0</v>
      </c>
      <c r="Z89" s="22">
        <f t="shared" si="32"/>
        <v>0</v>
      </c>
      <c r="AA89" s="1095">
        <f t="shared" si="32"/>
        <v>0</v>
      </c>
      <c r="AB89" s="22">
        <f t="shared" si="32"/>
        <v>0</v>
      </c>
      <c r="AC89" s="22">
        <f t="shared" si="32"/>
        <v>0</v>
      </c>
      <c r="AD89" s="22">
        <f t="shared" si="32"/>
        <v>0</v>
      </c>
      <c r="AE89" s="1095">
        <f t="shared" si="32"/>
        <v>0</v>
      </c>
      <c r="AF89" s="22">
        <f t="shared" si="32"/>
        <v>0</v>
      </c>
      <c r="AG89" s="22">
        <f t="shared" si="32"/>
        <v>0</v>
      </c>
      <c r="AH89" s="22">
        <f>SUM(AH87:AH88)</f>
        <v>0</v>
      </c>
      <c r="AI89" s="43"/>
      <c r="AJ89" s="25">
        <f>SUM(AJ87:AJ88)</f>
        <v>0</v>
      </c>
    </row>
    <row r="90" spans="1:36" s="15" customFormat="1" ht="24" customHeight="1">
      <c r="A90" s="1985" t="s">
        <v>409</v>
      </c>
      <c r="B90" s="11"/>
      <c r="C90" s="1092"/>
      <c r="D90" s="11"/>
      <c r="E90" s="11"/>
      <c r="F90" s="1092"/>
      <c r="G90" s="11"/>
      <c r="H90" s="11"/>
      <c r="I90" s="11"/>
      <c r="J90" s="11"/>
      <c r="K90" s="11"/>
      <c r="L90" s="11"/>
      <c r="M90" s="1092"/>
      <c r="N90" s="1092"/>
      <c r="O90" s="11"/>
      <c r="P90" s="11"/>
      <c r="Q90" s="11"/>
      <c r="R90" s="11"/>
      <c r="S90" s="11"/>
      <c r="T90" s="1092"/>
      <c r="U90" s="11"/>
      <c r="V90" s="11"/>
      <c r="W90" s="11"/>
      <c r="X90" s="11"/>
      <c r="Y90" s="11"/>
      <c r="Z90" s="11"/>
      <c r="AA90" s="1092"/>
      <c r="AB90" s="11"/>
      <c r="AC90" s="11"/>
      <c r="AD90" s="11"/>
      <c r="AE90" s="1092"/>
      <c r="AF90" s="11"/>
      <c r="AG90" s="11"/>
      <c r="AH90" s="11">
        <f>SUM(C90:AG90)</f>
        <v>0</v>
      </c>
      <c r="AI90" s="13">
        <v>33612.14</v>
      </c>
      <c r="AJ90" s="14">
        <f>AH90*AI90</f>
        <v>0</v>
      </c>
    </row>
    <row r="91" spans="1:36" s="15" customFormat="1" ht="24" customHeight="1" thickBot="1">
      <c r="A91" s="1986"/>
      <c r="B91" s="58"/>
      <c r="C91" s="1093"/>
      <c r="D91" s="17"/>
      <c r="E91" s="17"/>
      <c r="F91" s="1093"/>
      <c r="G91" s="17"/>
      <c r="H91" s="17"/>
      <c r="I91" s="17"/>
      <c r="J91" s="17"/>
      <c r="K91" s="17"/>
      <c r="L91" s="17"/>
      <c r="M91" s="1093"/>
      <c r="N91" s="1093"/>
      <c r="O91" s="17"/>
      <c r="P91" s="17"/>
      <c r="Q91" s="17"/>
      <c r="R91" s="17"/>
      <c r="S91" s="17"/>
      <c r="T91" s="1093"/>
      <c r="U91" s="17"/>
      <c r="V91" s="68"/>
      <c r="W91" s="68"/>
      <c r="X91" s="68"/>
      <c r="Y91" s="68"/>
      <c r="Z91" s="17"/>
      <c r="AA91" s="1093"/>
      <c r="AB91" s="17"/>
      <c r="AC91" s="17"/>
      <c r="AD91" s="17"/>
      <c r="AE91" s="1093"/>
      <c r="AF91" s="17"/>
      <c r="AG91" s="17"/>
      <c r="AH91" s="58">
        <f>SUM(C91:AG91)</f>
        <v>0</v>
      </c>
      <c r="AI91" s="18">
        <v>44816.18</v>
      </c>
      <c r="AJ91" s="56">
        <f>AH91*AI91</f>
        <v>0</v>
      </c>
    </row>
    <row r="92" spans="1:36" s="9" customFormat="1" ht="24" customHeight="1" thickBot="1">
      <c r="A92" s="21" t="s">
        <v>249</v>
      </c>
      <c r="B92" s="22"/>
      <c r="C92" s="1095">
        <f>SUM(C90:C91)</f>
        <v>0</v>
      </c>
      <c r="D92" s="22">
        <f t="shared" ref="D92:AG92" si="33">SUM(D90:D91)</f>
        <v>0</v>
      </c>
      <c r="E92" s="22">
        <f t="shared" si="33"/>
        <v>0</v>
      </c>
      <c r="F92" s="1095">
        <f t="shared" si="33"/>
        <v>0</v>
      </c>
      <c r="G92" s="22">
        <f t="shared" si="33"/>
        <v>0</v>
      </c>
      <c r="H92" s="22">
        <f t="shared" si="33"/>
        <v>0</v>
      </c>
      <c r="I92" s="22">
        <f t="shared" si="33"/>
        <v>0</v>
      </c>
      <c r="J92" s="22">
        <f t="shared" si="33"/>
        <v>0</v>
      </c>
      <c r="K92" s="22">
        <f t="shared" si="33"/>
        <v>0</v>
      </c>
      <c r="L92" s="22">
        <f t="shared" si="33"/>
        <v>0</v>
      </c>
      <c r="M92" s="1095">
        <f t="shared" si="33"/>
        <v>0</v>
      </c>
      <c r="N92" s="1095">
        <f t="shared" si="33"/>
        <v>0</v>
      </c>
      <c r="O92" s="22">
        <f t="shared" si="33"/>
        <v>0</v>
      </c>
      <c r="P92" s="22">
        <f t="shared" si="33"/>
        <v>0</v>
      </c>
      <c r="Q92" s="22">
        <f t="shared" si="33"/>
        <v>0</v>
      </c>
      <c r="R92" s="22">
        <f t="shared" si="33"/>
        <v>0</v>
      </c>
      <c r="S92" s="22">
        <f t="shared" si="33"/>
        <v>0</v>
      </c>
      <c r="T92" s="1095">
        <f t="shared" si="33"/>
        <v>0</v>
      </c>
      <c r="U92" s="22">
        <f t="shared" si="33"/>
        <v>0</v>
      </c>
      <c r="V92" s="22">
        <f t="shared" si="33"/>
        <v>0</v>
      </c>
      <c r="W92" s="22">
        <f t="shared" si="33"/>
        <v>0</v>
      </c>
      <c r="X92" s="22">
        <f t="shared" si="33"/>
        <v>0</v>
      </c>
      <c r="Y92" s="22">
        <f t="shared" si="33"/>
        <v>0</v>
      </c>
      <c r="Z92" s="22">
        <f t="shared" si="33"/>
        <v>0</v>
      </c>
      <c r="AA92" s="1095">
        <f t="shared" si="33"/>
        <v>0</v>
      </c>
      <c r="AB92" s="22">
        <f t="shared" si="33"/>
        <v>0</v>
      </c>
      <c r="AC92" s="22">
        <f t="shared" si="33"/>
        <v>0</v>
      </c>
      <c r="AD92" s="22">
        <f t="shared" si="33"/>
        <v>0</v>
      </c>
      <c r="AE92" s="1095">
        <f t="shared" si="33"/>
        <v>0</v>
      </c>
      <c r="AF92" s="22">
        <f t="shared" si="33"/>
        <v>0</v>
      </c>
      <c r="AG92" s="22">
        <f t="shared" si="33"/>
        <v>0</v>
      </c>
      <c r="AH92" s="22">
        <f>SUM(AH90:AH91)</f>
        <v>0</v>
      </c>
      <c r="AI92" s="43"/>
      <c r="AJ92" s="25">
        <f>SUM(AJ90:AJ91)</f>
        <v>0</v>
      </c>
    </row>
    <row r="93" spans="1:36" s="15" customFormat="1" ht="24" customHeight="1">
      <c r="A93" s="1985" t="s">
        <v>745</v>
      </c>
      <c r="B93" s="11"/>
      <c r="C93" s="1092"/>
      <c r="D93" s="11"/>
      <c r="E93" s="11"/>
      <c r="F93" s="1092"/>
      <c r="G93" s="11"/>
      <c r="H93" s="11"/>
      <c r="I93" s="11"/>
      <c r="J93" s="11"/>
      <c r="K93" s="11"/>
      <c r="L93" s="11"/>
      <c r="M93" s="1092"/>
      <c r="N93" s="1092"/>
      <c r="O93" s="11"/>
      <c r="P93" s="11"/>
      <c r="Q93" s="11"/>
      <c r="R93" s="11"/>
      <c r="S93" s="11"/>
      <c r="T93" s="1092"/>
      <c r="U93" s="11"/>
      <c r="V93" s="11"/>
      <c r="W93" s="11"/>
      <c r="X93" s="11"/>
      <c r="Y93" s="11"/>
      <c r="Z93" s="11"/>
      <c r="AA93" s="1092"/>
      <c r="AB93" s="11"/>
      <c r="AC93" s="11"/>
      <c r="AD93" s="11"/>
      <c r="AE93" s="1092"/>
      <c r="AF93" s="11"/>
      <c r="AG93" s="11"/>
      <c r="AH93" s="11">
        <f>SUM(C93:AG93)</f>
        <v>0</v>
      </c>
      <c r="AI93" s="13">
        <v>33612.14</v>
      </c>
      <c r="AJ93" s="14">
        <f>AH93*AI93</f>
        <v>0</v>
      </c>
    </row>
    <row r="94" spans="1:36" s="15" customFormat="1" ht="24" customHeight="1" thickBot="1">
      <c r="A94" s="1986"/>
      <c r="B94" s="58"/>
      <c r="C94" s="1093"/>
      <c r="D94" s="17"/>
      <c r="E94" s="17"/>
      <c r="F94" s="1093"/>
      <c r="G94" s="17"/>
      <c r="H94" s="17"/>
      <c r="I94" s="17"/>
      <c r="J94" s="17"/>
      <c r="K94" s="17"/>
      <c r="L94" s="17"/>
      <c r="M94" s="1093"/>
      <c r="N94" s="1093"/>
      <c r="O94" s="17"/>
      <c r="P94" s="17"/>
      <c r="Q94" s="17"/>
      <c r="R94" s="17"/>
      <c r="S94" s="17"/>
      <c r="T94" s="1093"/>
      <c r="U94" s="17"/>
      <c r="V94" s="68"/>
      <c r="W94" s="68"/>
      <c r="X94" s="68"/>
      <c r="Y94" s="68"/>
      <c r="Z94" s="17"/>
      <c r="AA94" s="1093"/>
      <c r="AB94" s="17"/>
      <c r="AC94" s="17"/>
      <c r="AD94" s="17"/>
      <c r="AE94" s="1093"/>
      <c r="AF94" s="17"/>
      <c r="AG94" s="17"/>
      <c r="AH94" s="58">
        <f>SUM(C94:AG94)</f>
        <v>0</v>
      </c>
      <c r="AI94" s="18">
        <v>44816.18</v>
      </c>
      <c r="AJ94" s="56">
        <f>AH94*AI94</f>
        <v>0</v>
      </c>
    </row>
    <row r="95" spans="1:36" s="9" customFormat="1" ht="24" customHeight="1" thickBot="1">
      <c r="A95" s="21" t="s">
        <v>249</v>
      </c>
      <c r="B95" s="22"/>
      <c r="C95" s="1095">
        <f>SUM(C93:C94)</f>
        <v>0</v>
      </c>
      <c r="D95" s="22">
        <f t="shared" ref="D95:AG95" si="34">SUM(D93:D94)</f>
        <v>0</v>
      </c>
      <c r="E95" s="22">
        <f t="shared" si="34"/>
        <v>0</v>
      </c>
      <c r="F95" s="1095">
        <f t="shared" si="34"/>
        <v>0</v>
      </c>
      <c r="G95" s="22">
        <f t="shared" si="34"/>
        <v>0</v>
      </c>
      <c r="H95" s="22">
        <f t="shared" si="34"/>
        <v>0</v>
      </c>
      <c r="I95" s="22">
        <f t="shared" si="34"/>
        <v>0</v>
      </c>
      <c r="J95" s="22">
        <f t="shared" si="34"/>
        <v>0</v>
      </c>
      <c r="K95" s="22">
        <f t="shared" si="34"/>
        <v>0</v>
      </c>
      <c r="L95" s="22">
        <f t="shared" si="34"/>
        <v>0</v>
      </c>
      <c r="M95" s="1095">
        <f t="shared" si="34"/>
        <v>0</v>
      </c>
      <c r="N95" s="1095">
        <f t="shared" si="34"/>
        <v>0</v>
      </c>
      <c r="O95" s="22">
        <f t="shared" si="34"/>
        <v>0</v>
      </c>
      <c r="P95" s="22">
        <f t="shared" si="34"/>
        <v>0</v>
      </c>
      <c r="Q95" s="22">
        <f t="shared" si="34"/>
        <v>0</v>
      </c>
      <c r="R95" s="22">
        <f t="shared" si="34"/>
        <v>0</v>
      </c>
      <c r="S95" s="22">
        <f t="shared" si="34"/>
        <v>0</v>
      </c>
      <c r="T95" s="1095">
        <f t="shared" si="34"/>
        <v>0</v>
      </c>
      <c r="U95" s="22">
        <f t="shared" si="34"/>
        <v>0</v>
      </c>
      <c r="V95" s="22">
        <f t="shared" si="34"/>
        <v>0</v>
      </c>
      <c r="W95" s="22">
        <f t="shared" si="34"/>
        <v>0</v>
      </c>
      <c r="X95" s="22">
        <f t="shared" si="34"/>
        <v>0</v>
      </c>
      <c r="Y95" s="22">
        <f t="shared" si="34"/>
        <v>0</v>
      </c>
      <c r="Z95" s="22">
        <f t="shared" si="34"/>
        <v>0</v>
      </c>
      <c r="AA95" s="1095">
        <f t="shared" si="34"/>
        <v>0</v>
      </c>
      <c r="AB95" s="22">
        <f t="shared" si="34"/>
        <v>0</v>
      </c>
      <c r="AC95" s="22">
        <f t="shared" si="34"/>
        <v>0</v>
      </c>
      <c r="AD95" s="22">
        <f t="shared" si="34"/>
        <v>0</v>
      </c>
      <c r="AE95" s="1095">
        <f t="shared" si="34"/>
        <v>0</v>
      </c>
      <c r="AF95" s="22">
        <f t="shared" si="34"/>
        <v>0</v>
      </c>
      <c r="AG95" s="22">
        <f t="shared" si="34"/>
        <v>0</v>
      </c>
      <c r="AH95" s="22">
        <f>SUM(AH93:AH94)</f>
        <v>0</v>
      </c>
      <c r="AI95" s="43"/>
      <c r="AJ95" s="25">
        <f>SUM(AJ93:AJ94)</f>
        <v>0</v>
      </c>
    </row>
    <row r="96" spans="1:36" s="9" customFormat="1" ht="24" customHeight="1" thickBot="1">
      <c r="A96" s="59"/>
      <c r="B96" s="60"/>
      <c r="C96" s="1100"/>
      <c r="D96" s="60"/>
      <c r="E96" s="60"/>
      <c r="F96" s="1100"/>
      <c r="G96" s="60"/>
      <c r="H96" s="60"/>
      <c r="I96" s="60"/>
      <c r="J96" s="60"/>
      <c r="K96" s="60"/>
      <c r="L96" s="60"/>
      <c r="M96" s="1100"/>
      <c r="N96" s="1100"/>
      <c r="O96" s="60"/>
      <c r="P96" s="60"/>
      <c r="Q96" s="60"/>
      <c r="R96" s="60"/>
      <c r="S96" s="60"/>
      <c r="T96" s="1100"/>
      <c r="U96" s="60"/>
      <c r="V96" s="60"/>
      <c r="W96" s="60"/>
      <c r="X96" s="60"/>
      <c r="Y96" s="60"/>
      <c r="Z96" s="60"/>
      <c r="AA96" s="1100"/>
      <c r="AB96" s="60"/>
      <c r="AC96" s="60"/>
      <c r="AD96" s="60"/>
      <c r="AE96" s="1100"/>
      <c r="AF96" s="60"/>
      <c r="AG96" s="60"/>
      <c r="AH96" s="60"/>
      <c r="AI96" s="61"/>
      <c r="AJ96" s="62"/>
    </row>
    <row r="97" spans="1:36" s="9" customFormat="1" ht="24" customHeight="1" thickBot="1">
      <c r="A97" s="21" t="s">
        <v>252</v>
      </c>
      <c r="B97" s="22"/>
      <c r="C97" s="1096">
        <f t="shared" ref="C97:AG97" si="35">C77+C80+C89+C95</f>
        <v>0</v>
      </c>
      <c r="D97" s="28">
        <f t="shared" si="35"/>
        <v>8</v>
      </c>
      <c r="E97" s="28">
        <f t="shared" si="35"/>
        <v>4.5</v>
      </c>
      <c r="F97" s="1096">
        <f t="shared" si="35"/>
        <v>0</v>
      </c>
      <c r="G97" s="28">
        <f t="shared" si="35"/>
        <v>3</v>
      </c>
      <c r="H97" s="28">
        <f t="shared" si="35"/>
        <v>3</v>
      </c>
      <c r="I97" s="28">
        <f t="shared" si="35"/>
        <v>2</v>
      </c>
      <c r="J97" s="28">
        <f t="shared" si="35"/>
        <v>0</v>
      </c>
      <c r="K97" s="28">
        <f t="shared" si="35"/>
        <v>3</v>
      </c>
      <c r="L97" s="28">
        <f t="shared" si="35"/>
        <v>1.5</v>
      </c>
      <c r="M97" s="1096">
        <f t="shared" si="35"/>
        <v>0</v>
      </c>
      <c r="N97" s="1096">
        <f t="shared" si="35"/>
        <v>0</v>
      </c>
      <c r="O97" s="28">
        <f t="shared" si="35"/>
        <v>2</v>
      </c>
      <c r="P97" s="28">
        <f t="shared" si="35"/>
        <v>2</v>
      </c>
      <c r="Q97" s="28">
        <f t="shared" si="35"/>
        <v>0</v>
      </c>
      <c r="R97" s="28">
        <f t="shared" si="35"/>
        <v>4</v>
      </c>
      <c r="S97" s="28">
        <f t="shared" si="35"/>
        <v>2</v>
      </c>
      <c r="T97" s="1096">
        <f t="shared" si="35"/>
        <v>0</v>
      </c>
      <c r="U97" s="28">
        <f t="shared" si="35"/>
        <v>3</v>
      </c>
      <c r="V97" s="28">
        <f t="shared" si="35"/>
        <v>1.5</v>
      </c>
      <c r="W97" s="28">
        <f t="shared" si="35"/>
        <v>2</v>
      </c>
      <c r="X97" s="28">
        <f t="shared" si="35"/>
        <v>3</v>
      </c>
      <c r="Y97" s="28">
        <f t="shared" si="35"/>
        <v>6</v>
      </c>
      <c r="Z97" s="28">
        <f t="shared" si="35"/>
        <v>2</v>
      </c>
      <c r="AA97" s="1096">
        <f t="shared" si="35"/>
        <v>0</v>
      </c>
      <c r="AB97" s="28">
        <f t="shared" si="35"/>
        <v>1</v>
      </c>
      <c r="AC97" s="28">
        <f t="shared" si="35"/>
        <v>0</v>
      </c>
      <c r="AD97" s="28">
        <f t="shared" si="35"/>
        <v>1</v>
      </c>
      <c r="AE97" s="1096">
        <f t="shared" si="35"/>
        <v>0</v>
      </c>
      <c r="AF97" s="28">
        <f t="shared" si="35"/>
        <v>8</v>
      </c>
      <c r="AG97" s="28">
        <f t="shared" si="35"/>
        <v>4.5</v>
      </c>
      <c r="AH97" s="28">
        <f>AH77+AH80+AH89+AH86+AH95+AH83+AH92</f>
        <v>110</v>
      </c>
      <c r="AI97" s="43"/>
      <c r="AJ97" s="25">
        <f>AJ77+AJ80+AJ89+AJ86+AJ95+AJ83+AJ92</f>
        <v>4358373.76</v>
      </c>
    </row>
    <row r="98" spans="1:36" s="15" customFormat="1">
      <c r="C98" s="1098"/>
      <c r="F98" s="1098"/>
      <c r="M98" s="1098"/>
      <c r="N98" s="1098"/>
      <c r="T98" s="1098"/>
      <c r="AA98" s="1098"/>
      <c r="AE98" s="1098"/>
      <c r="AH98" s="20">
        <v>110</v>
      </c>
      <c r="AI98" s="44" t="s">
        <v>272</v>
      </c>
      <c r="AJ98" s="44"/>
    </row>
    <row r="99" spans="1:36" s="15" customFormat="1">
      <c r="C99" s="1098"/>
      <c r="F99" s="1098"/>
      <c r="M99" s="1098"/>
      <c r="N99" s="1098"/>
      <c r="T99" s="1098"/>
      <c r="AA99" s="1098"/>
      <c r="AE99" s="1098"/>
      <c r="AI99" s="44" t="s">
        <v>343</v>
      </c>
      <c r="AJ99" s="44"/>
    </row>
    <row r="100" spans="1:36">
      <c r="AH100" s="45">
        <f>AH97-AH98-AH99</f>
        <v>0</v>
      </c>
      <c r="AI100" s="48" t="s">
        <v>424</v>
      </c>
    </row>
    <row r="101" spans="1:36">
      <c r="A101" s="63" t="s">
        <v>273</v>
      </c>
      <c r="C101" s="1099">
        <f t="shared" ref="C101:AH101" si="36">C35+C69+C97</f>
        <v>0</v>
      </c>
      <c r="D101" s="45">
        <f t="shared" si="36"/>
        <v>39</v>
      </c>
      <c r="E101" s="45">
        <f t="shared" si="36"/>
        <v>31.5</v>
      </c>
      <c r="F101" s="1099">
        <f t="shared" si="36"/>
        <v>0</v>
      </c>
      <c r="G101" s="45">
        <f t="shared" si="36"/>
        <v>28</v>
      </c>
      <c r="H101" s="45">
        <f t="shared" si="36"/>
        <v>31</v>
      </c>
      <c r="I101" s="45">
        <f t="shared" si="36"/>
        <v>28</v>
      </c>
      <c r="J101" s="45">
        <f t="shared" si="36"/>
        <v>20</v>
      </c>
      <c r="K101" s="45">
        <f t="shared" si="36"/>
        <v>31</v>
      </c>
      <c r="L101" s="45">
        <f t="shared" si="36"/>
        <v>32.5</v>
      </c>
      <c r="M101" s="1099">
        <f t="shared" si="36"/>
        <v>0</v>
      </c>
      <c r="N101" s="1099">
        <f t="shared" si="36"/>
        <v>0</v>
      </c>
      <c r="O101" s="45">
        <f t="shared" si="36"/>
        <v>32</v>
      </c>
      <c r="P101" s="45">
        <f t="shared" si="36"/>
        <v>32</v>
      </c>
      <c r="Q101" s="45">
        <f t="shared" si="36"/>
        <v>29</v>
      </c>
      <c r="R101" s="45">
        <f t="shared" si="36"/>
        <v>38</v>
      </c>
      <c r="S101" s="45">
        <f t="shared" si="36"/>
        <v>31</v>
      </c>
      <c r="T101" s="1099">
        <f t="shared" si="36"/>
        <v>0</v>
      </c>
      <c r="U101" s="45">
        <f t="shared" si="36"/>
        <v>28</v>
      </c>
      <c r="V101" s="45">
        <f t="shared" si="36"/>
        <v>29.5</v>
      </c>
      <c r="W101" s="45">
        <f t="shared" si="36"/>
        <v>33</v>
      </c>
      <c r="X101" s="45">
        <f t="shared" si="36"/>
        <v>33.5</v>
      </c>
      <c r="Y101" s="45">
        <f t="shared" si="36"/>
        <v>33</v>
      </c>
      <c r="Z101" s="45">
        <f t="shared" si="36"/>
        <v>30</v>
      </c>
      <c r="AA101" s="1099">
        <f t="shared" si="36"/>
        <v>0</v>
      </c>
      <c r="AB101" s="45">
        <f t="shared" si="36"/>
        <v>24</v>
      </c>
      <c r="AC101" s="45">
        <f t="shared" si="36"/>
        <v>16</v>
      </c>
      <c r="AD101" s="45">
        <f t="shared" si="36"/>
        <v>26</v>
      </c>
      <c r="AE101" s="1099">
        <f t="shared" si="36"/>
        <v>0</v>
      </c>
      <c r="AF101" s="45">
        <f t="shared" si="36"/>
        <v>26</v>
      </c>
      <c r="AG101" s="45">
        <f t="shared" si="36"/>
        <v>42.5</v>
      </c>
      <c r="AH101" s="45">
        <f t="shared" si="36"/>
        <v>767.5</v>
      </c>
      <c r="AI101" s="48"/>
    </row>
    <row r="102" spans="1:36">
      <c r="AH102" s="45"/>
      <c r="AI102" s="48"/>
    </row>
    <row r="103" spans="1:36">
      <c r="AH103" s="45"/>
      <c r="AI103" s="48"/>
    </row>
    <row r="104" spans="1:36">
      <c r="AH104" s="45"/>
      <c r="AI104" s="48"/>
    </row>
    <row r="105" spans="1:36" ht="24" thickBot="1">
      <c r="A105" s="267" t="s">
        <v>471</v>
      </c>
      <c r="AH105" s="45"/>
      <c r="AI105" s="48"/>
    </row>
    <row r="106" spans="1:36" s="9" customFormat="1">
      <c r="A106" s="1967" t="s">
        <v>7</v>
      </c>
      <c r="B106" s="1969" t="s">
        <v>158</v>
      </c>
      <c r="C106" s="1971" t="s">
        <v>234</v>
      </c>
      <c r="D106" s="1971"/>
      <c r="E106" s="1971"/>
      <c r="F106" s="1971"/>
      <c r="G106" s="1971"/>
      <c r="H106" s="1971"/>
      <c r="I106" s="1971"/>
      <c r="J106" s="1971"/>
      <c r="K106" s="1971"/>
      <c r="L106" s="1971"/>
      <c r="M106" s="1971"/>
      <c r="N106" s="1971"/>
      <c r="O106" s="1971"/>
      <c r="P106" s="1971"/>
      <c r="Q106" s="1971"/>
      <c r="R106" s="1971"/>
      <c r="S106" s="1971"/>
      <c r="T106" s="1971"/>
      <c r="U106" s="1971"/>
      <c r="V106" s="1971"/>
      <c r="W106" s="1971"/>
      <c r="X106" s="1971"/>
      <c r="Y106" s="1971"/>
      <c r="Z106" s="1971"/>
      <c r="AA106" s="1971"/>
      <c r="AB106" s="1971"/>
      <c r="AC106" s="1971"/>
      <c r="AD106" s="1971"/>
      <c r="AE106" s="1971"/>
      <c r="AF106" s="1971"/>
      <c r="AG106" s="1972"/>
      <c r="AH106" s="8" t="s">
        <v>38</v>
      </c>
      <c r="AI106" s="1977" t="s">
        <v>248</v>
      </c>
      <c r="AJ106" s="1979" t="s">
        <v>38</v>
      </c>
    </row>
    <row r="107" spans="1:36" s="9" customFormat="1" ht="15.75" thickBot="1">
      <c r="A107" s="1968"/>
      <c r="B107" s="1970"/>
      <c r="C107" s="1091">
        <v>1</v>
      </c>
      <c r="D107" s="1192">
        <v>2</v>
      </c>
      <c r="E107" s="1192">
        <v>3</v>
      </c>
      <c r="F107" s="1091">
        <v>4</v>
      </c>
      <c r="G107" s="1192">
        <v>5</v>
      </c>
      <c r="H107" s="1192">
        <v>6</v>
      </c>
      <c r="I107" s="1192">
        <v>7</v>
      </c>
      <c r="J107" s="1192">
        <v>8</v>
      </c>
      <c r="K107" s="1192">
        <v>9</v>
      </c>
      <c r="L107" s="1192">
        <v>10</v>
      </c>
      <c r="M107" s="1091">
        <v>11</v>
      </c>
      <c r="N107" s="1091">
        <v>12</v>
      </c>
      <c r="O107" s="1192">
        <v>13</v>
      </c>
      <c r="P107" s="1192">
        <v>14</v>
      </c>
      <c r="Q107" s="1192">
        <v>15</v>
      </c>
      <c r="R107" s="1192">
        <v>16</v>
      </c>
      <c r="S107" s="1192">
        <v>17</v>
      </c>
      <c r="T107" s="1091">
        <v>18</v>
      </c>
      <c r="U107" s="1192">
        <v>19</v>
      </c>
      <c r="V107" s="1192">
        <v>20</v>
      </c>
      <c r="W107" s="1192">
        <v>21</v>
      </c>
      <c r="X107" s="1192">
        <v>22</v>
      </c>
      <c r="Y107" s="1192">
        <v>23</v>
      </c>
      <c r="Z107" s="1192">
        <v>24</v>
      </c>
      <c r="AA107" s="1091">
        <v>25</v>
      </c>
      <c r="AB107" s="1192">
        <v>26</v>
      </c>
      <c r="AC107" s="1192">
        <v>27</v>
      </c>
      <c r="AD107" s="1192">
        <v>28</v>
      </c>
      <c r="AE107" s="1091">
        <v>29</v>
      </c>
      <c r="AF107" s="1192">
        <v>30</v>
      </c>
      <c r="AG107" s="1087">
        <v>31</v>
      </c>
      <c r="AH107" s="10" t="s">
        <v>247</v>
      </c>
      <c r="AI107" s="1978"/>
      <c r="AJ107" s="1980"/>
    </row>
    <row r="108" spans="1:36" s="9" customFormat="1" ht="29.25" customHeight="1">
      <c r="A108" s="274" t="s">
        <v>569</v>
      </c>
      <c r="B108" s="1189">
        <v>1</v>
      </c>
      <c r="C108" s="1101"/>
      <c r="D108" s="275"/>
      <c r="E108" s="275"/>
      <c r="F108" s="1102"/>
      <c r="G108" s="275"/>
      <c r="H108" s="275"/>
      <c r="I108" s="1189"/>
      <c r="J108" s="1189"/>
      <c r="K108" s="1189"/>
      <c r="L108" s="1189"/>
      <c r="M108" s="1101"/>
      <c r="N108" s="1101"/>
      <c r="O108" s="1189"/>
      <c r="P108" s="1189"/>
      <c r="Q108" s="1189"/>
      <c r="R108" s="1189"/>
      <c r="S108" s="1189"/>
      <c r="T108" s="1101"/>
      <c r="U108" s="1189"/>
      <c r="V108" s="1189"/>
      <c r="W108" s="1189"/>
      <c r="X108" s="1189"/>
      <c r="Y108" s="1189"/>
      <c r="Z108" s="1189"/>
      <c r="AA108" s="1101"/>
      <c r="AB108" s="1189"/>
      <c r="AC108" s="1189"/>
      <c r="AD108" s="1189"/>
      <c r="AE108" s="1101"/>
      <c r="AF108" s="1189"/>
      <c r="AG108" s="1189"/>
      <c r="AH108" s="1189">
        <f>SUM(C108:AG108)</f>
        <v>0</v>
      </c>
      <c r="AI108" s="276">
        <v>5000</v>
      </c>
      <c r="AJ108" s="277">
        <f>AH108*AI108</f>
        <v>0</v>
      </c>
    </row>
    <row r="109" spans="1:36" s="9" customFormat="1" ht="29.25" customHeight="1">
      <c r="A109" s="274" t="s">
        <v>115</v>
      </c>
      <c r="B109" s="275">
        <v>2</v>
      </c>
      <c r="C109" s="1102"/>
      <c r="D109" s="275"/>
      <c r="E109" s="275"/>
      <c r="F109" s="1102"/>
      <c r="G109" s="275"/>
      <c r="H109" s="275"/>
      <c r="I109" s="275"/>
      <c r="J109" s="275"/>
      <c r="K109" s="275"/>
      <c r="L109" s="275"/>
      <c r="M109" s="1102"/>
      <c r="N109" s="1102"/>
      <c r="O109" s="275"/>
      <c r="P109" s="275"/>
      <c r="Q109" s="275"/>
      <c r="R109" s="275"/>
      <c r="S109" s="275"/>
      <c r="T109" s="1102"/>
      <c r="U109" s="275"/>
      <c r="V109" s="275"/>
      <c r="W109" s="275"/>
      <c r="X109" s="275"/>
      <c r="Y109" s="275"/>
      <c r="Z109" s="275"/>
      <c r="AA109" s="1102"/>
      <c r="AB109" s="275"/>
      <c r="AC109" s="275"/>
      <c r="AD109" s="275"/>
      <c r="AE109" s="1102"/>
      <c r="AF109" s="275"/>
      <c r="AG109" s="275"/>
      <c r="AH109" s="275">
        <f>SUM(C109:AG109)</f>
        <v>0</v>
      </c>
      <c r="AI109" s="278">
        <v>5000</v>
      </c>
      <c r="AJ109" s="279">
        <f>AH109*AI109</f>
        <v>0</v>
      </c>
    </row>
    <row r="110" spans="1:36" s="9" customFormat="1" ht="29.25" customHeight="1">
      <c r="A110" s="274" t="s">
        <v>377</v>
      </c>
      <c r="B110" s="275">
        <v>3</v>
      </c>
      <c r="C110" s="1102"/>
      <c r="D110" s="275"/>
      <c r="E110" s="275"/>
      <c r="F110" s="1102"/>
      <c r="G110" s="275"/>
      <c r="H110" s="275"/>
      <c r="I110" s="275"/>
      <c r="J110" s="275"/>
      <c r="K110" s="275"/>
      <c r="L110" s="275"/>
      <c r="M110" s="1102"/>
      <c r="N110" s="1102"/>
      <c r="O110" s="275"/>
      <c r="P110" s="275"/>
      <c r="Q110" s="275"/>
      <c r="R110" s="275"/>
      <c r="S110" s="275"/>
      <c r="T110" s="1102"/>
      <c r="U110" s="275"/>
      <c r="V110" s="275"/>
      <c r="W110" s="275"/>
      <c r="X110" s="275"/>
      <c r="Y110" s="275"/>
      <c r="Z110" s="275"/>
      <c r="AA110" s="1102"/>
      <c r="AB110" s="275"/>
      <c r="AC110" s="275"/>
      <c r="AD110" s="275"/>
      <c r="AE110" s="1102"/>
      <c r="AF110" s="275"/>
      <c r="AG110" s="275"/>
      <c r="AH110" s="275">
        <f>SUM(C110:AG110)</f>
        <v>0</v>
      </c>
      <c r="AI110" s="278">
        <v>5000</v>
      </c>
      <c r="AJ110" s="279">
        <f>AH110*AI110</f>
        <v>0</v>
      </c>
    </row>
    <row r="111" spans="1:36" s="9" customFormat="1" ht="29.25" customHeight="1">
      <c r="A111" s="274"/>
      <c r="B111" s="275">
        <v>4</v>
      </c>
      <c r="C111" s="1102"/>
      <c r="D111" s="275"/>
      <c r="E111" s="275"/>
      <c r="F111" s="1102"/>
      <c r="G111" s="275"/>
      <c r="H111" s="275"/>
      <c r="I111" s="275"/>
      <c r="J111" s="275"/>
      <c r="K111" s="275"/>
      <c r="L111" s="275"/>
      <c r="M111" s="1102"/>
      <c r="N111" s="1102"/>
      <c r="O111" s="275"/>
      <c r="P111" s="275"/>
      <c r="Q111" s="275"/>
      <c r="R111" s="275"/>
      <c r="S111" s="275"/>
      <c r="T111" s="1102"/>
      <c r="U111" s="275"/>
      <c r="V111" s="275"/>
      <c r="W111" s="275"/>
      <c r="X111" s="275"/>
      <c r="Y111" s="275"/>
      <c r="Z111" s="275"/>
      <c r="AA111" s="1102"/>
      <c r="AB111" s="275"/>
      <c r="AC111" s="275"/>
      <c r="AD111" s="275"/>
      <c r="AE111" s="1102"/>
      <c r="AF111" s="275"/>
      <c r="AG111" s="275"/>
      <c r="AH111" s="275">
        <f>SUM(C111:AG111)</f>
        <v>0</v>
      </c>
      <c r="AI111" s="278">
        <v>5000</v>
      </c>
      <c r="AJ111" s="279">
        <f>AH111*AI111</f>
        <v>0</v>
      </c>
    </row>
    <row r="112" spans="1:36" s="9" customFormat="1" ht="29.25" customHeight="1" thickBot="1">
      <c r="A112" s="280"/>
      <c r="B112" s="281">
        <v>5</v>
      </c>
      <c r="C112" s="1103"/>
      <c r="D112" s="281"/>
      <c r="E112" s="281"/>
      <c r="F112" s="1103"/>
      <c r="G112" s="281"/>
      <c r="H112" s="281"/>
      <c r="I112" s="281"/>
      <c r="J112" s="281"/>
      <c r="K112" s="281"/>
      <c r="L112" s="281"/>
      <c r="M112" s="1103"/>
      <c r="N112" s="1103"/>
      <c r="O112" s="281"/>
      <c r="P112" s="281"/>
      <c r="Q112" s="281"/>
      <c r="R112" s="281"/>
      <c r="S112" s="281"/>
      <c r="T112" s="1103"/>
      <c r="U112" s="281"/>
      <c r="V112" s="281"/>
      <c r="W112" s="281"/>
      <c r="X112" s="281"/>
      <c r="Y112" s="281"/>
      <c r="Z112" s="281"/>
      <c r="AA112" s="1103"/>
      <c r="AB112" s="281"/>
      <c r="AC112" s="281"/>
      <c r="AD112" s="281"/>
      <c r="AE112" s="1103"/>
      <c r="AF112" s="281"/>
      <c r="AG112" s="281"/>
      <c r="AH112" s="281">
        <f>SUM(C112:AG112)</f>
        <v>0</v>
      </c>
      <c r="AI112" s="282">
        <v>5000</v>
      </c>
      <c r="AJ112" s="283">
        <f>AH112*AI112</f>
        <v>0</v>
      </c>
    </row>
    <row r="113" spans="1:37" s="9" customFormat="1" ht="29.25" customHeight="1" thickBot="1">
      <c r="A113" s="284" t="s">
        <v>252</v>
      </c>
      <c r="B113" s="285"/>
      <c r="C113" s="1104">
        <f>SUM(C108:C112)</f>
        <v>0</v>
      </c>
      <c r="D113" s="285">
        <f t="shared" ref="D113:AJ113" si="37">SUM(D108:D112)</f>
        <v>0</v>
      </c>
      <c r="E113" s="285">
        <f t="shared" si="37"/>
        <v>0</v>
      </c>
      <c r="F113" s="1104">
        <f t="shared" si="37"/>
        <v>0</v>
      </c>
      <c r="G113" s="285">
        <f t="shared" si="37"/>
        <v>0</v>
      </c>
      <c r="H113" s="285">
        <f t="shared" si="37"/>
        <v>0</v>
      </c>
      <c r="I113" s="285">
        <f t="shared" si="37"/>
        <v>0</v>
      </c>
      <c r="J113" s="285">
        <f t="shared" si="37"/>
        <v>0</v>
      </c>
      <c r="K113" s="285">
        <f t="shared" si="37"/>
        <v>0</v>
      </c>
      <c r="L113" s="285">
        <f t="shared" si="37"/>
        <v>0</v>
      </c>
      <c r="M113" s="1104">
        <f t="shared" si="37"/>
        <v>0</v>
      </c>
      <c r="N113" s="1104">
        <f t="shared" si="37"/>
        <v>0</v>
      </c>
      <c r="O113" s="285">
        <f t="shared" si="37"/>
        <v>0</v>
      </c>
      <c r="P113" s="285">
        <f t="shared" si="37"/>
        <v>0</v>
      </c>
      <c r="Q113" s="285">
        <f t="shared" si="37"/>
        <v>0</v>
      </c>
      <c r="R113" s="285">
        <f t="shared" si="37"/>
        <v>0</v>
      </c>
      <c r="S113" s="285">
        <f t="shared" si="37"/>
        <v>0</v>
      </c>
      <c r="T113" s="1104">
        <f t="shared" si="37"/>
        <v>0</v>
      </c>
      <c r="U113" s="285">
        <f t="shared" si="37"/>
        <v>0</v>
      </c>
      <c r="V113" s="285">
        <f t="shared" si="37"/>
        <v>0</v>
      </c>
      <c r="W113" s="285">
        <f t="shared" si="37"/>
        <v>0</v>
      </c>
      <c r="X113" s="285">
        <f t="shared" si="37"/>
        <v>0</v>
      </c>
      <c r="Y113" s="285">
        <f t="shared" si="37"/>
        <v>0</v>
      </c>
      <c r="Z113" s="285">
        <f t="shared" si="37"/>
        <v>0</v>
      </c>
      <c r="AA113" s="1104">
        <f t="shared" si="37"/>
        <v>0</v>
      </c>
      <c r="AB113" s="285">
        <f t="shared" si="37"/>
        <v>0</v>
      </c>
      <c r="AC113" s="285">
        <f t="shared" si="37"/>
        <v>0</v>
      </c>
      <c r="AD113" s="285">
        <f t="shared" si="37"/>
        <v>0</v>
      </c>
      <c r="AE113" s="1104">
        <f t="shared" si="37"/>
        <v>0</v>
      </c>
      <c r="AF113" s="285">
        <f t="shared" si="37"/>
        <v>0</v>
      </c>
      <c r="AG113" s="285">
        <f t="shared" si="37"/>
        <v>0</v>
      </c>
      <c r="AH113" s="285">
        <f t="shared" si="37"/>
        <v>0</v>
      </c>
      <c r="AI113" s="285">
        <f t="shared" si="37"/>
        <v>25000</v>
      </c>
      <c r="AJ113" s="286">
        <f t="shared" si="37"/>
        <v>0</v>
      </c>
    </row>
    <row r="114" spans="1:37">
      <c r="AH114" s="45"/>
      <c r="AI114" s="48"/>
    </row>
    <row r="115" spans="1:37">
      <c r="AH115" s="45"/>
      <c r="AI115" s="48"/>
    </row>
    <row r="116" spans="1:37" ht="24" thickBot="1">
      <c r="A116" s="463" t="s">
        <v>675</v>
      </c>
      <c r="B116" s="463"/>
      <c r="C116" s="1105"/>
      <c r="D116" s="463"/>
      <c r="E116" s="463"/>
      <c r="F116" s="1105"/>
      <c r="G116" s="463"/>
      <c r="AH116" s="45"/>
      <c r="AI116" s="48"/>
    </row>
    <row r="117" spans="1:37" s="9" customFormat="1">
      <c r="A117" s="1967" t="s">
        <v>7</v>
      </c>
      <c r="B117" s="1969" t="s">
        <v>158</v>
      </c>
      <c r="C117" s="1971" t="s">
        <v>234</v>
      </c>
      <c r="D117" s="1971"/>
      <c r="E117" s="1971"/>
      <c r="F117" s="1971"/>
      <c r="G117" s="1971"/>
      <c r="H117" s="1971"/>
      <c r="I117" s="1971"/>
      <c r="J117" s="1971"/>
      <c r="K117" s="1971"/>
      <c r="L117" s="1971"/>
      <c r="M117" s="1971"/>
      <c r="N117" s="1971"/>
      <c r="O117" s="1971"/>
      <c r="P117" s="1971"/>
      <c r="Q117" s="1971"/>
      <c r="R117" s="1971"/>
      <c r="S117" s="1971"/>
      <c r="T117" s="1971"/>
      <c r="U117" s="1971"/>
      <c r="V117" s="1971"/>
      <c r="W117" s="1971"/>
      <c r="X117" s="1971"/>
      <c r="Y117" s="1971"/>
      <c r="Z117" s="1971"/>
      <c r="AA117" s="1971"/>
      <c r="AB117" s="1971"/>
      <c r="AC117" s="1971"/>
      <c r="AD117" s="1971"/>
      <c r="AE117" s="1971"/>
      <c r="AF117" s="1971"/>
      <c r="AG117" s="1972"/>
      <c r="AH117" s="8" t="s">
        <v>38</v>
      </c>
      <c r="AI117" s="1977" t="s">
        <v>248</v>
      </c>
      <c r="AJ117" s="1979" t="s">
        <v>38</v>
      </c>
      <c r="AK117" s="1975" t="s">
        <v>583</v>
      </c>
    </row>
    <row r="118" spans="1:37" s="9" customFormat="1" ht="15.75" thickBot="1">
      <c r="A118" s="1968"/>
      <c r="B118" s="1970"/>
      <c r="C118" s="1091">
        <v>1</v>
      </c>
      <c r="D118" s="1192">
        <v>2</v>
      </c>
      <c r="E118" s="1192">
        <v>3</v>
      </c>
      <c r="F118" s="1091">
        <v>4</v>
      </c>
      <c r="G118" s="1192">
        <v>5</v>
      </c>
      <c r="H118" s="1192">
        <v>6</v>
      </c>
      <c r="I118" s="1192">
        <v>7</v>
      </c>
      <c r="J118" s="1192">
        <v>8</v>
      </c>
      <c r="K118" s="1192">
        <v>9</v>
      </c>
      <c r="L118" s="1192">
        <v>10</v>
      </c>
      <c r="M118" s="1091">
        <v>11</v>
      </c>
      <c r="N118" s="1091">
        <v>12</v>
      </c>
      <c r="O118" s="1192">
        <v>13</v>
      </c>
      <c r="P118" s="1192">
        <v>14</v>
      </c>
      <c r="Q118" s="1192">
        <v>15</v>
      </c>
      <c r="R118" s="1192">
        <v>16</v>
      </c>
      <c r="S118" s="1192">
        <v>17</v>
      </c>
      <c r="T118" s="1091">
        <v>18</v>
      </c>
      <c r="U118" s="1192">
        <v>19</v>
      </c>
      <c r="V118" s="1192">
        <v>20</v>
      </c>
      <c r="W118" s="1192">
        <v>21</v>
      </c>
      <c r="X118" s="1192">
        <v>22</v>
      </c>
      <c r="Y118" s="1192">
        <v>23</v>
      </c>
      <c r="Z118" s="1192">
        <v>24</v>
      </c>
      <c r="AA118" s="1091">
        <v>25</v>
      </c>
      <c r="AB118" s="1192">
        <v>26</v>
      </c>
      <c r="AC118" s="1192">
        <v>27</v>
      </c>
      <c r="AD118" s="1192">
        <v>28</v>
      </c>
      <c r="AE118" s="1091">
        <v>29</v>
      </c>
      <c r="AF118" s="1192">
        <v>30</v>
      </c>
      <c r="AG118" s="1087">
        <v>31</v>
      </c>
      <c r="AH118" s="10" t="s">
        <v>247</v>
      </c>
      <c r="AI118" s="1978"/>
      <c r="AJ118" s="1980"/>
      <c r="AK118" s="1976"/>
    </row>
    <row r="119" spans="1:37" s="9" customFormat="1" ht="29.25" customHeight="1">
      <c r="A119" s="273" t="s">
        <v>569</v>
      </c>
      <c r="B119" s="1189">
        <v>1</v>
      </c>
      <c r="C119" s="1101"/>
      <c r="D119" s="1189"/>
      <c r="E119" s="1189"/>
      <c r="F119" s="1101"/>
      <c r="G119" s="1189"/>
      <c r="H119" s="1189"/>
      <c r="I119" s="1189"/>
      <c r="J119" s="1189"/>
      <c r="K119" s="1189"/>
      <c r="L119" s="1189"/>
      <c r="M119" s="1101"/>
      <c r="N119" s="1101"/>
      <c r="O119" s="1189"/>
      <c r="P119" s="1189"/>
      <c r="Q119" s="1189"/>
      <c r="R119" s="1189"/>
      <c r="S119" s="1189"/>
      <c r="T119" s="1101"/>
      <c r="U119" s="1189"/>
      <c r="V119" s="1189"/>
      <c r="W119" s="1189"/>
      <c r="X119" s="1189"/>
      <c r="Y119" s="1189"/>
      <c r="Z119" s="1189"/>
      <c r="AA119" s="1101"/>
      <c r="AB119" s="1189"/>
      <c r="AC119" s="1189"/>
      <c r="AD119" s="1189"/>
      <c r="AE119" s="1101"/>
      <c r="AF119" s="1189"/>
      <c r="AG119" s="1189"/>
      <c r="AH119" s="1189">
        <f>SUM(C119:AG119)</f>
        <v>0</v>
      </c>
      <c r="AI119" s="276">
        <v>15000</v>
      </c>
      <c r="AJ119" s="277">
        <f>AH119*AI119</f>
        <v>0</v>
      </c>
      <c r="AK119" s="1190">
        <f>AJ119+AJ130</f>
        <v>0</v>
      </c>
    </row>
    <row r="120" spans="1:37" s="9" customFormat="1" ht="29.25" customHeight="1">
      <c r="A120" s="274" t="s">
        <v>377</v>
      </c>
      <c r="B120" s="275">
        <v>2</v>
      </c>
      <c r="C120" s="1102"/>
      <c r="D120" s="275"/>
      <c r="E120" s="275"/>
      <c r="F120" s="1102"/>
      <c r="G120" s="275"/>
      <c r="H120" s="275"/>
      <c r="I120" s="275"/>
      <c r="J120" s="275"/>
      <c r="K120" s="275"/>
      <c r="L120" s="275"/>
      <c r="M120" s="1102"/>
      <c r="N120" s="1102"/>
      <c r="O120" s="275"/>
      <c r="P120" s="275"/>
      <c r="Q120" s="275"/>
      <c r="R120" s="275"/>
      <c r="S120" s="275"/>
      <c r="T120" s="1102"/>
      <c r="U120" s="275"/>
      <c r="V120" s="275"/>
      <c r="W120" s="275"/>
      <c r="X120" s="275"/>
      <c r="Y120" s="275"/>
      <c r="Z120" s="275"/>
      <c r="AA120" s="1102"/>
      <c r="AB120" s="275"/>
      <c r="AC120" s="275"/>
      <c r="AD120" s="275"/>
      <c r="AE120" s="1102"/>
      <c r="AF120" s="275"/>
      <c r="AG120" s="275"/>
      <c r="AH120" s="275">
        <f>SUM(C120:AG120)</f>
        <v>0</v>
      </c>
      <c r="AI120" s="278">
        <v>15000</v>
      </c>
      <c r="AJ120" s="279">
        <f>AH120*AI120</f>
        <v>0</v>
      </c>
      <c r="AK120" s="520">
        <f>+AJ120+AJ131</f>
        <v>0</v>
      </c>
    </row>
    <row r="121" spans="1:37" s="9" customFormat="1" ht="29.25" customHeight="1">
      <c r="A121" s="465" t="s">
        <v>110</v>
      </c>
      <c r="B121" s="275">
        <v>3</v>
      </c>
      <c r="C121" s="1106"/>
      <c r="D121" s="466"/>
      <c r="E121" s="466"/>
      <c r="F121" s="1106"/>
      <c r="G121" s="466"/>
      <c r="H121" s="466"/>
      <c r="I121" s="466"/>
      <c r="J121" s="466"/>
      <c r="K121" s="466"/>
      <c r="L121" s="466"/>
      <c r="M121" s="1106"/>
      <c r="N121" s="1106"/>
      <c r="O121" s="466"/>
      <c r="P121" s="466"/>
      <c r="Q121" s="466"/>
      <c r="R121" s="466"/>
      <c r="S121" s="466"/>
      <c r="T121" s="1106"/>
      <c r="U121" s="466"/>
      <c r="V121" s="466"/>
      <c r="W121" s="466"/>
      <c r="X121" s="466"/>
      <c r="Y121" s="466"/>
      <c r="Z121" s="466"/>
      <c r="AA121" s="1106"/>
      <c r="AB121" s="466"/>
      <c r="AC121" s="466"/>
      <c r="AD121" s="466"/>
      <c r="AE121" s="1106"/>
      <c r="AF121" s="466"/>
      <c r="AG121" s="466"/>
      <c r="AH121" s="275">
        <f t="shared" ref="AH121:AH124" si="38">SUM(C121:AG121)</f>
        <v>0</v>
      </c>
      <c r="AI121" s="278">
        <v>15000</v>
      </c>
      <c r="AJ121" s="279">
        <f t="shared" ref="AJ121:AJ124" si="39">AH121*AI121</f>
        <v>0</v>
      </c>
      <c r="AK121" s="520">
        <f>+AJ121+AJ132</f>
        <v>0</v>
      </c>
    </row>
    <row r="122" spans="1:37" s="9" customFormat="1" ht="29.25" customHeight="1">
      <c r="A122" s="465" t="s">
        <v>115</v>
      </c>
      <c r="B122" s="275">
        <v>4</v>
      </c>
      <c r="C122" s="1106"/>
      <c r="D122" s="466"/>
      <c r="E122" s="466"/>
      <c r="F122" s="1106"/>
      <c r="G122" s="466"/>
      <c r="H122" s="466"/>
      <c r="I122" s="466"/>
      <c r="J122" s="466"/>
      <c r="K122" s="466"/>
      <c r="L122" s="466"/>
      <c r="M122" s="1106"/>
      <c r="N122" s="1106"/>
      <c r="O122" s="466"/>
      <c r="P122" s="466"/>
      <c r="Q122" s="466"/>
      <c r="R122" s="466"/>
      <c r="S122" s="466"/>
      <c r="T122" s="1106"/>
      <c r="U122" s="466"/>
      <c r="V122" s="466"/>
      <c r="W122" s="466"/>
      <c r="X122" s="466"/>
      <c r="Y122" s="466"/>
      <c r="Z122" s="466"/>
      <c r="AA122" s="1106"/>
      <c r="AB122" s="466"/>
      <c r="AC122" s="466"/>
      <c r="AD122" s="466"/>
      <c r="AE122" s="1106"/>
      <c r="AF122" s="466"/>
      <c r="AG122" s="466"/>
      <c r="AH122" s="275">
        <f t="shared" si="38"/>
        <v>0</v>
      </c>
      <c r="AI122" s="278">
        <v>15000</v>
      </c>
      <c r="AJ122" s="279">
        <f t="shared" si="39"/>
        <v>0</v>
      </c>
      <c r="AK122" s="520">
        <f>AJ122+AJ133</f>
        <v>0</v>
      </c>
    </row>
    <row r="123" spans="1:37" s="9" customFormat="1" ht="29.25" customHeight="1">
      <c r="A123" s="465" t="s">
        <v>570</v>
      </c>
      <c r="B123" s="275">
        <v>6</v>
      </c>
      <c r="C123" s="1106"/>
      <c r="D123" s="466"/>
      <c r="E123" s="466"/>
      <c r="F123" s="1106"/>
      <c r="G123" s="466"/>
      <c r="H123" s="466"/>
      <c r="I123" s="466"/>
      <c r="J123" s="466"/>
      <c r="K123" s="466"/>
      <c r="L123" s="466"/>
      <c r="M123" s="1106"/>
      <c r="N123" s="1106"/>
      <c r="O123" s="466"/>
      <c r="P123" s="466"/>
      <c r="Q123" s="466"/>
      <c r="R123" s="466"/>
      <c r="S123" s="466"/>
      <c r="T123" s="1106"/>
      <c r="U123" s="466"/>
      <c r="V123" s="466"/>
      <c r="W123" s="466"/>
      <c r="X123" s="466"/>
      <c r="Y123" s="466"/>
      <c r="Z123" s="466"/>
      <c r="AA123" s="1106"/>
      <c r="AB123" s="466"/>
      <c r="AC123" s="466"/>
      <c r="AD123" s="466"/>
      <c r="AE123" s="1106"/>
      <c r="AF123" s="466"/>
      <c r="AG123" s="466"/>
      <c r="AH123" s="275">
        <f t="shared" si="38"/>
        <v>0</v>
      </c>
      <c r="AI123" s="278">
        <v>15000</v>
      </c>
      <c r="AJ123" s="279">
        <f t="shared" si="39"/>
        <v>0</v>
      </c>
      <c r="AK123" s="520">
        <f>AJ123+AJ134</f>
        <v>0</v>
      </c>
    </row>
    <row r="124" spans="1:37" s="9" customFormat="1" ht="29.25" customHeight="1" thickBot="1">
      <c r="A124" s="465" t="s">
        <v>468</v>
      </c>
      <c r="B124" s="275">
        <v>7</v>
      </c>
      <c r="C124" s="1106"/>
      <c r="D124" s="466"/>
      <c r="E124" s="466"/>
      <c r="F124" s="1106"/>
      <c r="G124" s="466"/>
      <c r="H124" s="466"/>
      <c r="I124" s="466"/>
      <c r="J124" s="466"/>
      <c r="K124" s="466"/>
      <c r="L124" s="466"/>
      <c r="M124" s="1106"/>
      <c r="N124" s="1106"/>
      <c r="O124" s="466"/>
      <c r="P124" s="466"/>
      <c r="Q124" s="466"/>
      <c r="R124" s="466"/>
      <c r="S124" s="466"/>
      <c r="T124" s="1106"/>
      <c r="U124" s="466"/>
      <c r="V124" s="466"/>
      <c r="W124" s="466"/>
      <c r="X124" s="466"/>
      <c r="Y124" s="466"/>
      <c r="Z124" s="466"/>
      <c r="AA124" s="1106"/>
      <c r="AB124" s="466"/>
      <c r="AC124" s="466"/>
      <c r="AD124" s="466"/>
      <c r="AE124" s="1106"/>
      <c r="AF124" s="466"/>
      <c r="AG124" s="466"/>
      <c r="AH124" s="275">
        <f t="shared" si="38"/>
        <v>0</v>
      </c>
      <c r="AI124" s="278">
        <v>15000</v>
      </c>
      <c r="AJ124" s="279">
        <f t="shared" si="39"/>
        <v>0</v>
      </c>
      <c r="AK124" s="521">
        <f>AJ124+AJ135</f>
        <v>0</v>
      </c>
    </row>
    <row r="125" spans="1:37" s="9" customFormat="1" ht="29.25" customHeight="1" thickBot="1">
      <c r="A125" s="284" t="s">
        <v>252</v>
      </c>
      <c r="B125" s="285"/>
      <c r="C125" s="1104">
        <f t="shared" ref="C125:AJ125" si="40">SUM(C119:C124)</f>
        <v>0</v>
      </c>
      <c r="D125" s="285">
        <f t="shared" si="40"/>
        <v>0</v>
      </c>
      <c r="E125" s="285">
        <f t="shared" si="40"/>
        <v>0</v>
      </c>
      <c r="F125" s="1104">
        <f t="shared" si="40"/>
        <v>0</v>
      </c>
      <c r="G125" s="285">
        <f t="shared" si="40"/>
        <v>0</v>
      </c>
      <c r="H125" s="285">
        <f t="shared" si="40"/>
        <v>0</v>
      </c>
      <c r="I125" s="285">
        <f t="shared" si="40"/>
        <v>0</v>
      </c>
      <c r="J125" s="285">
        <f t="shared" si="40"/>
        <v>0</v>
      </c>
      <c r="K125" s="285">
        <f t="shared" si="40"/>
        <v>0</v>
      </c>
      <c r="L125" s="285">
        <f t="shared" si="40"/>
        <v>0</v>
      </c>
      <c r="M125" s="1104">
        <f t="shared" si="40"/>
        <v>0</v>
      </c>
      <c r="N125" s="1104">
        <f t="shared" si="40"/>
        <v>0</v>
      </c>
      <c r="O125" s="285">
        <f t="shared" si="40"/>
        <v>0</v>
      </c>
      <c r="P125" s="285">
        <f t="shared" si="40"/>
        <v>0</v>
      </c>
      <c r="Q125" s="285">
        <f t="shared" si="40"/>
        <v>0</v>
      </c>
      <c r="R125" s="285">
        <f t="shared" si="40"/>
        <v>0</v>
      </c>
      <c r="S125" s="285">
        <f t="shared" si="40"/>
        <v>0</v>
      </c>
      <c r="T125" s="1104">
        <f t="shared" si="40"/>
        <v>0</v>
      </c>
      <c r="U125" s="285">
        <f t="shared" si="40"/>
        <v>0</v>
      </c>
      <c r="V125" s="285">
        <f t="shared" si="40"/>
        <v>0</v>
      </c>
      <c r="W125" s="285">
        <f t="shared" si="40"/>
        <v>0</v>
      </c>
      <c r="X125" s="285">
        <f t="shared" si="40"/>
        <v>0</v>
      </c>
      <c r="Y125" s="285">
        <f t="shared" si="40"/>
        <v>0</v>
      </c>
      <c r="Z125" s="285">
        <f t="shared" si="40"/>
        <v>0</v>
      </c>
      <c r="AA125" s="1104">
        <f t="shared" si="40"/>
        <v>0</v>
      </c>
      <c r="AB125" s="285">
        <f t="shared" si="40"/>
        <v>0</v>
      </c>
      <c r="AC125" s="285">
        <f t="shared" si="40"/>
        <v>0</v>
      </c>
      <c r="AD125" s="285">
        <f t="shared" si="40"/>
        <v>0</v>
      </c>
      <c r="AE125" s="1104">
        <f t="shared" si="40"/>
        <v>0</v>
      </c>
      <c r="AF125" s="285">
        <f t="shared" si="40"/>
        <v>0</v>
      </c>
      <c r="AG125" s="285">
        <f t="shared" si="40"/>
        <v>0</v>
      </c>
      <c r="AH125" s="285">
        <f t="shared" si="40"/>
        <v>0</v>
      </c>
      <c r="AI125" s="285">
        <f t="shared" si="40"/>
        <v>90000</v>
      </c>
      <c r="AJ125" s="286">
        <f t="shared" si="40"/>
        <v>0</v>
      </c>
      <c r="AK125" s="522">
        <f>+AJ125+AJ136</f>
        <v>0</v>
      </c>
    </row>
    <row r="126" spans="1:37">
      <c r="AH126" s="45"/>
      <c r="AI126" s="48"/>
    </row>
    <row r="127" spans="1:37" ht="24" thickBot="1">
      <c r="A127" s="463" t="s">
        <v>676</v>
      </c>
      <c r="B127" s="463"/>
      <c r="C127" s="1105"/>
      <c r="D127" s="463"/>
      <c r="E127" s="463"/>
      <c r="F127" s="1105"/>
      <c r="G127" s="463"/>
      <c r="AH127" s="45"/>
      <c r="AI127" s="48"/>
    </row>
    <row r="128" spans="1:37" s="9" customFormat="1">
      <c r="A128" s="1967" t="s">
        <v>7</v>
      </c>
      <c r="B128" s="1969" t="s">
        <v>158</v>
      </c>
      <c r="C128" s="1971" t="s">
        <v>234</v>
      </c>
      <c r="D128" s="1971"/>
      <c r="E128" s="1971"/>
      <c r="F128" s="1971"/>
      <c r="G128" s="1971"/>
      <c r="H128" s="1971"/>
      <c r="I128" s="1971"/>
      <c r="J128" s="1971"/>
      <c r="K128" s="1971"/>
      <c r="L128" s="1971"/>
      <c r="M128" s="1971"/>
      <c r="N128" s="1971"/>
      <c r="O128" s="1971"/>
      <c r="P128" s="1971"/>
      <c r="Q128" s="1971"/>
      <c r="R128" s="1971"/>
      <c r="S128" s="1971"/>
      <c r="T128" s="1971"/>
      <c r="U128" s="1971"/>
      <c r="V128" s="1971"/>
      <c r="W128" s="1971"/>
      <c r="X128" s="1971"/>
      <c r="Y128" s="1971"/>
      <c r="Z128" s="1971"/>
      <c r="AA128" s="1971"/>
      <c r="AB128" s="1971"/>
      <c r="AC128" s="1971"/>
      <c r="AD128" s="1971"/>
      <c r="AE128" s="1971"/>
      <c r="AF128" s="1971"/>
      <c r="AG128" s="1972"/>
      <c r="AH128" s="8" t="s">
        <v>38</v>
      </c>
      <c r="AI128" s="1977" t="s">
        <v>248</v>
      </c>
      <c r="AJ128" s="1979" t="s">
        <v>38</v>
      </c>
    </row>
    <row r="129" spans="1:39" s="9" customFormat="1" ht="15.75" thickBot="1">
      <c r="A129" s="1968"/>
      <c r="B129" s="1970"/>
      <c r="C129" s="1091">
        <v>1</v>
      </c>
      <c r="D129" s="1192">
        <v>2</v>
      </c>
      <c r="E129" s="1192">
        <v>3</v>
      </c>
      <c r="F129" s="1091">
        <v>4</v>
      </c>
      <c r="G129" s="1192">
        <v>5</v>
      </c>
      <c r="H129" s="1192">
        <v>6</v>
      </c>
      <c r="I129" s="1192">
        <v>7</v>
      </c>
      <c r="J129" s="1192">
        <v>8</v>
      </c>
      <c r="K129" s="1192">
        <v>9</v>
      </c>
      <c r="L129" s="1192">
        <v>10</v>
      </c>
      <c r="M129" s="1091">
        <v>11</v>
      </c>
      <c r="N129" s="1091">
        <v>12</v>
      </c>
      <c r="O129" s="1192">
        <v>13</v>
      </c>
      <c r="P129" s="1192">
        <v>14</v>
      </c>
      <c r="Q129" s="1192">
        <v>15</v>
      </c>
      <c r="R129" s="1192">
        <v>16</v>
      </c>
      <c r="S129" s="1192">
        <v>17</v>
      </c>
      <c r="T129" s="1091">
        <v>18</v>
      </c>
      <c r="U129" s="1192">
        <v>19</v>
      </c>
      <c r="V129" s="1192">
        <v>20</v>
      </c>
      <c r="W129" s="1192">
        <v>21</v>
      </c>
      <c r="X129" s="1192">
        <v>22</v>
      </c>
      <c r="Y129" s="1192">
        <v>23</v>
      </c>
      <c r="Z129" s="1192">
        <v>24</v>
      </c>
      <c r="AA129" s="1091">
        <v>25</v>
      </c>
      <c r="AB129" s="1192">
        <v>26</v>
      </c>
      <c r="AC129" s="1192">
        <v>27</v>
      </c>
      <c r="AD129" s="1192">
        <v>28</v>
      </c>
      <c r="AE129" s="1091">
        <v>29</v>
      </c>
      <c r="AF129" s="1192">
        <v>30</v>
      </c>
      <c r="AG129" s="1087">
        <v>31</v>
      </c>
      <c r="AH129" s="10" t="s">
        <v>247</v>
      </c>
      <c r="AI129" s="1978"/>
      <c r="AJ129" s="1980"/>
    </row>
    <row r="130" spans="1:39" s="9" customFormat="1" ht="29.25" customHeight="1">
      <c r="A130" s="273" t="s">
        <v>569</v>
      </c>
      <c r="B130" s="1189">
        <v>1</v>
      </c>
      <c r="C130" s="1101"/>
      <c r="D130" s="1189"/>
      <c r="E130" s="1189"/>
      <c r="F130" s="1101"/>
      <c r="G130" s="1189"/>
      <c r="H130" s="1189"/>
      <c r="I130" s="1189"/>
      <c r="J130" s="1189"/>
      <c r="K130" s="1189"/>
      <c r="L130" s="1189"/>
      <c r="M130" s="1101"/>
      <c r="N130" s="1101"/>
      <c r="O130" s="1189"/>
      <c r="P130" s="1189"/>
      <c r="Q130" s="1189"/>
      <c r="R130" s="1189"/>
      <c r="S130" s="1189"/>
      <c r="T130" s="1101"/>
      <c r="U130" s="1189"/>
      <c r="V130" s="1189"/>
      <c r="W130" s="1189"/>
      <c r="X130" s="1189"/>
      <c r="Y130" s="1189"/>
      <c r="Z130" s="1189"/>
      <c r="AA130" s="1101"/>
      <c r="AB130" s="1189"/>
      <c r="AC130" s="1189"/>
      <c r="AD130" s="1189"/>
      <c r="AE130" s="1101"/>
      <c r="AF130" s="1189"/>
      <c r="AG130" s="1189"/>
      <c r="AH130" s="1189">
        <f>SUM(C130:AG130)</f>
        <v>0</v>
      </c>
      <c r="AI130" s="276">
        <v>3000</v>
      </c>
      <c r="AJ130" s="277">
        <f>AH130*AI130</f>
        <v>0</v>
      </c>
    </row>
    <row r="131" spans="1:39" s="9" customFormat="1" ht="29.25" customHeight="1">
      <c r="A131" s="274" t="s">
        <v>377</v>
      </c>
      <c r="B131" s="275">
        <v>2</v>
      </c>
      <c r="C131" s="1102"/>
      <c r="D131" s="275"/>
      <c r="E131" s="275"/>
      <c r="F131" s="1102"/>
      <c r="G131" s="275"/>
      <c r="H131" s="275"/>
      <c r="I131" s="275"/>
      <c r="J131" s="275"/>
      <c r="K131" s="275"/>
      <c r="L131" s="275"/>
      <c r="M131" s="1102"/>
      <c r="N131" s="1102"/>
      <c r="O131" s="275"/>
      <c r="P131" s="275"/>
      <c r="Q131" s="275"/>
      <c r="R131" s="275"/>
      <c r="S131" s="275"/>
      <c r="T131" s="1102"/>
      <c r="U131" s="275"/>
      <c r="V131" s="275"/>
      <c r="W131" s="275"/>
      <c r="X131" s="275"/>
      <c r="Y131" s="275"/>
      <c r="Z131" s="275"/>
      <c r="AA131" s="1102"/>
      <c r="AB131" s="275"/>
      <c r="AC131" s="275"/>
      <c r="AD131" s="275"/>
      <c r="AE131" s="1102"/>
      <c r="AF131" s="275"/>
      <c r="AG131" s="275"/>
      <c r="AH131" s="275">
        <f>SUM(C131:AG131)</f>
        <v>0</v>
      </c>
      <c r="AI131" s="278">
        <v>3000</v>
      </c>
      <c r="AJ131" s="279">
        <f>AH131*AI131</f>
        <v>0</v>
      </c>
    </row>
    <row r="132" spans="1:39" s="9" customFormat="1" ht="29.25" customHeight="1">
      <c r="A132" s="465" t="s">
        <v>110</v>
      </c>
      <c r="B132" s="466">
        <v>3</v>
      </c>
      <c r="C132" s="1106"/>
      <c r="D132" s="466"/>
      <c r="E132" s="466"/>
      <c r="F132" s="1106"/>
      <c r="G132" s="466"/>
      <c r="H132" s="466"/>
      <c r="I132" s="466"/>
      <c r="J132" s="466"/>
      <c r="K132" s="466"/>
      <c r="L132" s="466"/>
      <c r="M132" s="1106"/>
      <c r="N132" s="1106"/>
      <c r="O132" s="466"/>
      <c r="P132" s="466"/>
      <c r="Q132" s="466"/>
      <c r="R132" s="466"/>
      <c r="S132" s="466"/>
      <c r="T132" s="1106"/>
      <c r="U132" s="466"/>
      <c r="V132" s="466"/>
      <c r="W132" s="466"/>
      <c r="X132" s="466"/>
      <c r="Y132" s="466"/>
      <c r="Z132" s="466"/>
      <c r="AA132" s="1106"/>
      <c r="AB132" s="466"/>
      <c r="AC132" s="466"/>
      <c r="AD132" s="466"/>
      <c r="AE132" s="1106"/>
      <c r="AF132" s="466"/>
      <c r="AG132" s="466"/>
      <c r="AH132" s="275">
        <f t="shared" ref="AH132:AH135" si="41">SUM(C132:AG132)</f>
        <v>0</v>
      </c>
      <c r="AI132" s="278">
        <v>3000</v>
      </c>
      <c r="AJ132" s="279">
        <f t="shared" ref="AJ132:AJ135" si="42">AH132*AI132</f>
        <v>0</v>
      </c>
    </row>
    <row r="133" spans="1:39" s="9" customFormat="1" ht="29.25" customHeight="1">
      <c r="A133" s="465" t="s">
        <v>115</v>
      </c>
      <c r="B133" s="466">
        <v>4</v>
      </c>
      <c r="C133" s="1106"/>
      <c r="D133" s="466"/>
      <c r="E133" s="466"/>
      <c r="F133" s="1106"/>
      <c r="G133" s="466"/>
      <c r="H133" s="466"/>
      <c r="I133" s="466"/>
      <c r="J133" s="466"/>
      <c r="K133" s="466"/>
      <c r="L133" s="466"/>
      <c r="M133" s="1106"/>
      <c r="N133" s="1106"/>
      <c r="O133" s="466"/>
      <c r="P133" s="466"/>
      <c r="Q133" s="466"/>
      <c r="R133" s="466"/>
      <c r="S133" s="466"/>
      <c r="T133" s="1106"/>
      <c r="U133" s="466"/>
      <c r="V133" s="466"/>
      <c r="W133" s="466"/>
      <c r="X133" s="466"/>
      <c r="Y133" s="466"/>
      <c r="Z133" s="466"/>
      <c r="AA133" s="1106"/>
      <c r="AB133" s="466"/>
      <c r="AC133" s="466"/>
      <c r="AD133" s="466"/>
      <c r="AE133" s="1106"/>
      <c r="AF133" s="466"/>
      <c r="AG133" s="466"/>
      <c r="AH133" s="275">
        <f t="shared" si="41"/>
        <v>0</v>
      </c>
      <c r="AI133" s="278">
        <v>3000</v>
      </c>
      <c r="AJ133" s="279">
        <f t="shared" si="42"/>
        <v>0</v>
      </c>
    </row>
    <row r="134" spans="1:39" s="9" customFormat="1" ht="29.25" customHeight="1">
      <c r="A134" s="465" t="s">
        <v>570</v>
      </c>
      <c r="B134" s="466">
        <v>5</v>
      </c>
      <c r="C134" s="1106"/>
      <c r="D134" s="466"/>
      <c r="E134" s="466"/>
      <c r="F134" s="1106"/>
      <c r="G134" s="466"/>
      <c r="H134" s="466"/>
      <c r="I134" s="466"/>
      <c r="J134" s="466"/>
      <c r="K134" s="466"/>
      <c r="L134" s="466"/>
      <c r="M134" s="1106"/>
      <c r="N134" s="1106"/>
      <c r="O134" s="466"/>
      <c r="P134" s="466"/>
      <c r="Q134" s="466"/>
      <c r="R134" s="466"/>
      <c r="S134" s="466"/>
      <c r="T134" s="1106"/>
      <c r="U134" s="466"/>
      <c r="V134" s="466"/>
      <c r="W134" s="466"/>
      <c r="X134" s="466"/>
      <c r="Y134" s="466"/>
      <c r="Z134" s="466"/>
      <c r="AA134" s="1106"/>
      <c r="AB134" s="466"/>
      <c r="AC134" s="466"/>
      <c r="AD134" s="466"/>
      <c r="AE134" s="1106"/>
      <c r="AF134" s="466"/>
      <c r="AG134" s="466"/>
      <c r="AH134" s="275">
        <f t="shared" si="41"/>
        <v>0</v>
      </c>
      <c r="AI134" s="278">
        <v>3000</v>
      </c>
      <c r="AJ134" s="279">
        <f t="shared" si="42"/>
        <v>0</v>
      </c>
    </row>
    <row r="135" spans="1:39" s="9" customFormat="1" ht="29.25" customHeight="1" thickBot="1">
      <c r="A135" s="465" t="s">
        <v>468</v>
      </c>
      <c r="B135" s="466">
        <v>6</v>
      </c>
      <c r="C135" s="1106"/>
      <c r="D135" s="466"/>
      <c r="E135" s="466"/>
      <c r="F135" s="1106"/>
      <c r="G135" s="466"/>
      <c r="H135" s="466"/>
      <c r="I135" s="466"/>
      <c r="J135" s="466"/>
      <c r="K135" s="466"/>
      <c r="L135" s="466"/>
      <c r="M135" s="1106"/>
      <c r="N135" s="1106"/>
      <c r="O135" s="466"/>
      <c r="P135" s="466"/>
      <c r="Q135" s="466"/>
      <c r="R135" s="466"/>
      <c r="S135" s="466"/>
      <c r="T135" s="1106"/>
      <c r="U135" s="466"/>
      <c r="V135" s="466"/>
      <c r="W135" s="466"/>
      <c r="X135" s="466"/>
      <c r="Y135" s="466"/>
      <c r="Z135" s="466"/>
      <c r="AA135" s="1106"/>
      <c r="AB135" s="466"/>
      <c r="AC135" s="466"/>
      <c r="AD135" s="466"/>
      <c r="AE135" s="1106"/>
      <c r="AF135" s="466"/>
      <c r="AG135" s="466"/>
      <c r="AH135" s="275">
        <f t="shared" si="41"/>
        <v>0</v>
      </c>
      <c r="AI135" s="278">
        <v>3000</v>
      </c>
      <c r="AJ135" s="279">
        <f t="shared" si="42"/>
        <v>0</v>
      </c>
    </row>
    <row r="136" spans="1:39" s="9" customFormat="1" ht="29.25" customHeight="1" thickBot="1">
      <c r="A136" s="284" t="s">
        <v>252</v>
      </c>
      <c r="B136" s="285"/>
      <c r="C136" s="1104">
        <f t="shared" ref="C136:AJ136" si="43">SUM(C130:C135)</f>
        <v>0</v>
      </c>
      <c r="D136" s="285">
        <f t="shared" si="43"/>
        <v>0</v>
      </c>
      <c r="E136" s="285">
        <f t="shared" si="43"/>
        <v>0</v>
      </c>
      <c r="F136" s="1104">
        <f t="shared" si="43"/>
        <v>0</v>
      </c>
      <c r="G136" s="285">
        <f t="shared" si="43"/>
        <v>0</v>
      </c>
      <c r="H136" s="285">
        <f t="shared" si="43"/>
        <v>0</v>
      </c>
      <c r="I136" s="285">
        <f t="shared" si="43"/>
        <v>0</v>
      </c>
      <c r="J136" s="285">
        <f t="shared" si="43"/>
        <v>0</v>
      </c>
      <c r="K136" s="285">
        <f t="shared" si="43"/>
        <v>0</v>
      </c>
      <c r="L136" s="285">
        <f t="shared" si="43"/>
        <v>0</v>
      </c>
      <c r="M136" s="1104">
        <f t="shared" si="43"/>
        <v>0</v>
      </c>
      <c r="N136" s="1104">
        <f t="shared" si="43"/>
        <v>0</v>
      </c>
      <c r="O136" s="285">
        <f t="shared" si="43"/>
        <v>0</v>
      </c>
      <c r="P136" s="285">
        <f t="shared" si="43"/>
        <v>0</v>
      </c>
      <c r="Q136" s="285">
        <f t="shared" si="43"/>
        <v>0</v>
      </c>
      <c r="R136" s="285">
        <f t="shared" si="43"/>
        <v>0</v>
      </c>
      <c r="S136" s="285">
        <f t="shared" si="43"/>
        <v>0</v>
      </c>
      <c r="T136" s="1104">
        <f t="shared" si="43"/>
        <v>0</v>
      </c>
      <c r="U136" s="285">
        <f t="shared" si="43"/>
        <v>0</v>
      </c>
      <c r="V136" s="285">
        <f t="shared" si="43"/>
        <v>0</v>
      </c>
      <c r="W136" s="285">
        <f t="shared" si="43"/>
        <v>0</v>
      </c>
      <c r="X136" s="285">
        <f t="shared" si="43"/>
        <v>0</v>
      </c>
      <c r="Y136" s="285">
        <f t="shared" si="43"/>
        <v>0</v>
      </c>
      <c r="Z136" s="285">
        <f t="shared" si="43"/>
        <v>0</v>
      </c>
      <c r="AA136" s="1104">
        <f t="shared" si="43"/>
        <v>0</v>
      </c>
      <c r="AB136" s="285">
        <f t="shared" si="43"/>
        <v>0</v>
      </c>
      <c r="AC136" s="285">
        <f t="shared" si="43"/>
        <v>0</v>
      </c>
      <c r="AD136" s="285">
        <f t="shared" si="43"/>
        <v>0</v>
      </c>
      <c r="AE136" s="1104">
        <f t="shared" si="43"/>
        <v>0</v>
      </c>
      <c r="AF136" s="285">
        <f t="shared" si="43"/>
        <v>0</v>
      </c>
      <c r="AG136" s="285">
        <f t="shared" si="43"/>
        <v>0</v>
      </c>
      <c r="AH136" s="285">
        <f t="shared" si="43"/>
        <v>0</v>
      </c>
      <c r="AI136" s="285">
        <f t="shared" si="43"/>
        <v>18000</v>
      </c>
      <c r="AJ136" s="286">
        <f t="shared" si="43"/>
        <v>0</v>
      </c>
    </row>
    <row r="137" spans="1:39" ht="50.25" customHeight="1">
      <c r="AH137" s="45"/>
      <c r="AI137" s="48"/>
      <c r="AM137" s="1090">
        <v>409</v>
      </c>
    </row>
    <row r="138" spans="1:39">
      <c r="AH138" s="45"/>
      <c r="AI138" s="48"/>
      <c r="AJ138" s="45">
        <f>AJ125+AJ136</f>
        <v>0</v>
      </c>
    </row>
    <row r="139" spans="1:39">
      <c r="AH139" s="45"/>
      <c r="AI139" s="48"/>
      <c r="AJ139" s="48">
        <f>AK125-AJ138</f>
        <v>0</v>
      </c>
    </row>
    <row r="140" spans="1:39">
      <c r="AH140" s="45"/>
      <c r="AI140" s="48"/>
    </row>
    <row r="141" spans="1:39">
      <c r="AH141" s="45"/>
      <c r="AI141" s="48"/>
    </row>
  </sheetData>
  <mergeCells count="59">
    <mergeCell ref="A128:A129"/>
    <mergeCell ref="B128:B129"/>
    <mergeCell ref="C128:AG128"/>
    <mergeCell ref="AI128:AI129"/>
    <mergeCell ref="AJ128:AJ129"/>
    <mergeCell ref="A117:A118"/>
    <mergeCell ref="B117:B118"/>
    <mergeCell ref="C117:AG117"/>
    <mergeCell ref="AI117:AI118"/>
    <mergeCell ref="AJ117:AJ118"/>
    <mergeCell ref="A106:A107"/>
    <mergeCell ref="B106:B107"/>
    <mergeCell ref="C106:AG106"/>
    <mergeCell ref="AI106:AI107"/>
    <mergeCell ref="AJ106:AJ107"/>
    <mergeCell ref="AI73:AI74"/>
    <mergeCell ref="AJ73:AJ74"/>
    <mergeCell ref="A75:A76"/>
    <mergeCell ref="A78:A79"/>
    <mergeCell ref="A87:A88"/>
    <mergeCell ref="A93:A94"/>
    <mergeCell ref="A47:A49"/>
    <mergeCell ref="A51:A53"/>
    <mergeCell ref="A62:A63"/>
    <mergeCell ref="A65:A66"/>
    <mergeCell ref="A72:D72"/>
    <mergeCell ref="A73:A74"/>
    <mergeCell ref="B73:B74"/>
    <mergeCell ref="C73:AG73"/>
    <mergeCell ref="A58:A60"/>
    <mergeCell ref="A84:A85"/>
    <mergeCell ref="A81:A82"/>
    <mergeCell ref="A90:A91"/>
    <mergeCell ref="A44:A45"/>
    <mergeCell ref="A55:A56"/>
    <mergeCell ref="A39:A40"/>
    <mergeCell ref="B39:B40"/>
    <mergeCell ref="C39:AG39"/>
    <mergeCell ref="A25:A26"/>
    <mergeCell ref="A28:A29"/>
    <mergeCell ref="AK117:AK118"/>
    <mergeCell ref="AI2:AI3"/>
    <mergeCell ref="AJ2:AJ3"/>
    <mergeCell ref="A19:A20"/>
    <mergeCell ref="A7:A8"/>
    <mergeCell ref="A10:A11"/>
    <mergeCell ref="A13:A14"/>
    <mergeCell ref="A16:A17"/>
    <mergeCell ref="A22:A23"/>
    <mergeCell ref="A31:A32"/>
    <mergeCell ref="A38:D38"/>
    <mergeCell ref="AI39:AI40"/>
    <mergeCell ref="AJ39:AJ40"/>
    <mergeCell ref="A41:A42"/>
    <mergeCell ref="A1:D1"/>
    <mergeCell ref="A2:A3"/>
    <mergeCell ref="B2:B3"/>
    <mergeCell ref="C2:AG2"/>
    <mergeCell ref="A4:A5"/>
  </mergeCells>
  <printOptions horizontalCentered="1"/>
  <pageMargins left="0" right="0" top="0" bottom="0" header="0.31496062992125984" footer="0.31496062992125984"/>
  <pageSetup paperSize="9" scale="59" orientation="landscape" horizontalDpi="0" verticalDpi="0" r:id="rId1"/>
  <rowBreaks count="2" manualBreakCount="2">
    <brk id="37" max="35" man="1"/>
    <brk id="101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O280"/>
  <sheetViews>
    <sheetView zoomScale="60" zoomScaleNormal="60" workbookViewId="0">
      <selection activeCell="P140" sqref="P140"/>
    </sheetView>
  </sheetViews>
  <sheetFormatPr defaultColWidth="9.140625" defaultRowHeight="16.5"/>
  <cols>
    <col min="1" max="2" width="9.140625" style="78"/>
    <col min="3" max="3" width="32.5703125" style="761" customWidth="1"/>
    <col min="4" max="4" width="25.42578125" style="78" customWidth="1"/>
    <col min="5" max="5" width="10.85546875" style="1133" customWidth="1"/>
    <col min="6" max="7" width="10.85546875" style="78" customWidth="1"/>
    <col min="8" max="8" width="10.85546875" style="1133" customWidth="1"/>
    <col min="9" max="15" width="10.85546875" style="78" customWidth="1"/>
    <col min="16" max="16" width="10.85546875" style="1133" customWidth="1"/>
    <col min="17" max="21" width="10.85546875" style="78" customWidth="1"/>
    <col min="22" max="22" width="10.85546875" style="1133" customWidth="1"/>
    <col min="23" max="24" width="10.85546875" style="78" customWidth="1"/>
    <col min="25" max="25" width="11.42578125" style="78" customWidth="1"/>
    <col min="26" max="28" width="10.85546875" style="78" customWidth="1"/>
    <col min="29" max="29" width="10.85546875" style="1133" customWidth="1"/>
    <col min="30" max="32" width="10.85546875" style="78" customWidth="1"/>
    <col min="33" max="33" width="10.85546875" style="1133" customWidth="1"/>
    <col min="34" max="35" width="10.85546875" style="78" customWidth="1"/>
    <col min="36" max="36" width="15.28515625" style="78" bestFit="1" customWidth="1"/>
    <col min="37" max="37" width="14.140625" style="78" customWidth="1"/>
    <col min="38" max="38" width="19.140625" style="467" customWidth="1"/>
    <col min="39" max="39" width="9.140625" style="78"/>
    <col min="40" max="40" width="18.7109375" style="78" bestFit="1" customWidth="1"/>
    <col min="41" max="16384" width="9.140625" style="78"/>
  </cols>
  <sheetData>
    <row r="1" spans="1:40" ht="23.25">
      <c r="A1" s="88" t="s">
        <v>47</v>
      </c>
      <c r="D1" s="79"/>
      <c r="E1" s="1116"/>
      <c r="F1" s="80"/>
      <c r="G1" s="80"/>
      <c r="H1" s="1116"/>
      <c r="I1" s="80"/>
      <c r="J1" s="80"/>
      <c r="K1" s="80"/>
      <c r="L1" s="80"/>
      <c r="M1" s="80"/>
      <c r="N1" s="80"/>
      <c r="O1" s="80"/>
      <c r="P1" s="1116"/>
      <c r="Q1" s="1300"/>
      <c r="R1" s="80"/>
      <c r="S1" s="80"/>
      <c r="T1" s="80"/>
      <c r="U1" s="80"/>
      <c r="V1" s="1116"/>
      <c r="W1" s="80"/>
      <c r="X1" s="80"/>
      <c r="Y1" s="80"/>
      <c r="Z1" s="80"/>
      <c r="AA1" s="80"/>
      <c r="AB1" s="80"/>
      <c r="AC1" s="1116"/>
      <c r="AD1" s="80"/>
      <c r="AE1" s="80"/>
      <c r="AF1" s="80"/>
      <c r="AG1" s="1116"/>
      <c r="AH1" s="80"/>
      <c r="AI1" s="80"/>
      <c r="AJ1" s="80"/>
      <c r="AK1" s="80"/>
    </row>
    <row r="2" spans="1:40" ht="23.25">
      <c r="A2" s="88" t="s">
        <v>255</v>
      </c>
      <c r="D2" s="79"/>
      <c r="E2" s="1116"/>
      <c r="F2" s="80"/>
      <c r="G2" s="80"/>
      <c r="H2" s="1116"/>
      <c r="I2" s="80"/>
      <c r="J2" s="80"/>
      <c r="K2" s="80"/>
      <c r="L2" s="80"/>
      <c r="M2" s="80"/>
      <c r="N2" s="80"/>
      <c r="O2" s="80"/>
      <c r="P2" s="1116"/>
      <c r="Q2" s="1300"/>
      <c r="R2" s="80"/>
      <c r="S2" s="80"/>
      <c r="T2" s="80"/>
      <c r="U2" s="80"/>
      <c r="V2" s="1116"/>
      <c r="W2" s="80"/>
      <c r="X2" s="80"/>
      <c r="Y2" s="80"/>
      <c r="Z2" s="80"/>
      <c r="AA2" s="80"/>
      <c r="AB2" s="80"/>
      <c r="AC2" s="1116"/>
      <c r="AD2" s="80"/>
      <c r="AE2" s="80"/>
      <c r="AF2" s="80"/>
      <c r="AG2" s="1116"/>
      <c r="AH2" s="80"/>
      <c r="AI2" s="80"/>
      <c r="AJ2" s="80"/>
      <c r="AK2" s="80"/>
    </row>
    <row r="3" spans="1:40" ht="23.25">
      <c r="A3" s="88" t="s">
        <v>305</v>
      </c>
      <c r="D3" s="79"/>
      <c r="E3" s="1116"/>
      <c r="F3" s="80"/>
      <c r="G3" s="80"/>
      <c r="H3" s="1116"/>
      <c r="I3" s="80"/>
      <c r="J3" s="80"/>
      <c r="K3" s="80"/>
      <c r="L3" s="80"/>
      <c r="M3" s="80"/>
      <c r="N3" s="80"/>
      <c r="O3" s="80"/>
      <c r="P3" s="1116"/>
      <c r="Q3" s="1300"/>
      <c r="R3" s="80"/>
      <c r="S3" s="80"/>
      <c r="T3" s="80"/>
      <c r="U3" s="80"/>
      <c r="V3" s="1116"/>
      <c r="W3" s="80"/>
      <c r="X3" s="80"/>
      <c r="Y3" s="80"/>
      <c r="Z3" s="80"/>
      <c r="AA3" s="80"/>
      <c r="AB3" s="80"/>
      <c r="AC3" s="1116"/>
      <c r="AD3" s="80"/>
      <c r="AE3" s="80"/>
      <c r="AF3" s="80"/>
      <c r="AG3" s="1301"/>
      <c r="AH3" s="80"/>
      <c r="AI3" s="80"/>
      <c r="AJ3" s="80"/>
      <c r="AK3" s="80"/>
    </row>
    <row r="4" spans="1:40" ht="24" thickBot="1">
      <c r="A4" s="1993" t="s">
        <v>773</v>
      </c>
      <c r="B4" s="1993"/>
      <c r="C4" s="1993"/>
      <c r="D4" s="79"/>
      <c r="E4" s="1116"/>
      <c r="F4" s="80"/>
      <c r="G4" s="80"/>
      <c r="H4" s="1116"/>
      <c r="I4" s="80"/>
      <c r="J4" s="80"/>
      <c r="K4" s="80"/>
      <c r="L4" s="80"/>
      <c r="M4" s="80"/>
      <c r="N4" s="80"/>
      <c r="O4" s="80"/>
      <c r="P4" s="1116"/>
      <c r="Q4" s="1300"/>
      <c r="R4" s="80"/>
      <c r="S4" s="80"/>
      <c r="T4" s="80"/>
      <c r="U4" s="80"/>
      <c r="V4" s="1116"/>
      <c r="W4" s="80"/>
      <c r="X4" s="80"/>
      <c r="Y4" s="80"/>
      <c r="Z4" s="80"/>
      <c r="AA4" s="80"/>
      <c r="AB4" s="80"/>
      <c r="AC4" s="1116"/>
      <c r="AD4" s="80"/>
      <c r="AE4" s="80"/>
      <c r="AF4" s="80"/>
      <c r="AG4" s="1116"/>
      <c r="AH4" s="80"/>
      <c r="AI4" s="80"/>
      <c r="AJ4" s="80"/>
      <c r="AK4" s="80"/>
    </row>
    <row r="5" spans="1:40" s="81" customFormat="1" ht="36" customHeight="1" thickTop="1">
      <c r="A5" s="2002" t="s">
        <v>309</v>
      </c>
      <c r="B5" s="2008" t="s">
        <v>7</v>
      </c>
      <c r="C5" s="2004" t="s">
        <v>230</v>
      </c>
      <c r="D5" s="2005"/>
      <c r="E5" s="1117" t="s">
        <v>234</v>
      </c>
      <c r="F5" s="92"/>
      <c r="G5" s="92"/>
      <c r="H5" s="1135"/>
      <c r="I5" s="92"/>
      <c r="J5" s="92"/>
      <c r="K5" s="92"/>
      <c r="L5" s="92"/>
      <c r="M5" s="92"/>
      <c r="N5" s="92"/>
      <c r="O5" s="92"/>
      <c r="P5" s="1135"/>
      <c r="Q5" s="92"/>
      <c r="R5" s="92"/>
      <c r="S5" s="92"/>
      <c r="T5" s="92"/>
      <c r="U5" s="92"/>
      <c r="V5" s="1135"/>
      <c r="W5" s="92"/>
      <c r="X5" s="92"/>
      <c r="Y5" s="92"/>
      <c r="Z5" s="92"/>
      <c r="AA5" s="92"/>
      <c r="AB5" s="92"/>
      <c r="AC5" s="1135"/>
      <c r="AD5" s="92"/>
      <c r="AE5" s="92"/>
      <c r="AF5" s="92"/>
      <c r="AG5" s="1135"/>
      <c r="AH5" s="92"/>
      <c r="AI5" s="92"/>
      <c r="AJ5" s="2034" t="s">
        <v>38</v>
      </c>
      <c r="AK5" s="2034" t="s">
        <v>304</v>
      </c>
      <c r="AL5" s="468" t="s">
        <v>4</v>
      </c>
    </row>
    <row r="6" spans="1:40" s="81" customFormat="1" ht="36" customHeight="1" thickBot="1">
      <c r="A6" s="2003"/>
      <c r="B6" s="2014"/>
      <c r="C6" s="2006"/>
      <c r="D6" s="2007"/>
      <c r="E6" s="1118">
        <v>1</v>
      </c>
      <c r="F6" s="96">
        <v>2</v>
      </c>
      <c r="G6" s="96">
        <v>3</v>
      </c>
      <c r="H6" s="1118">
        <v>4</v>
      </c>
      <c r="I6" s="96">
        <v>5</v>
      </c>
      <c r="J6" s="96">
        <v>6</v>
      </c>
      <c r="K6" s="96">
        <v>7</v>
      </c>
      <c r="L6" s="96">
        <v>8</v>
      </c>
      <c r="M6" s="96">
        <v>9</v>
      </c>
      <c r="N6" s="96">
        <v>10</v>
      </c>
      <c r="O6" s="96">
        <v>11</v>
      </c>
      <c r="P6" s="1118">
        <v>12</v>
      </c>
      <c r="Q6" s="96">
        <v>13</v>
      </c>
      <c r="R6" s="96">
        <v>14</v>
      </c>
      <c r="S6" s="96">
        <v>15</v>
      </c>
      <c r="T6" s="96">
        <v>16</v>
      </c>
      <c r="U6" s="96">
        <v>17</v>
      </c>
      <c r="V6" s="1118">
        <v>18</v>
      </c>
      <c r="W6" s="96">
        <v>19</v>
      </c>
      <c r="X6" s="96">
        <v>20</v>
      </c>
      <c r="Y6" s="96">
        <v>21</v>
      </c>
      <c r="Z6" s="96">
        <v>22</v>
      </c>
      <c r="AA6" s="96">
        <v>23</v>
      </c>
      <c r="AB6" s="96">
        <v>24</v>
      </c>
      <c r="AC6" s="1118">
        <v>25</v>
      </c>
      <c r="AD6" s="96">
        <v>26</v>
      </c>
      <c r="AE6" s="96">
        <v>27</v>
      </c>
      <c r="AF6" s="96">
        <v>28</v>
      </c>
      <c r="AG6" s="1118">
        <v>29</v>
      </c>
      <c r="AH6" s="96">
        <v>30</v>
      </c>
      <c r="AI6" s="96">
        <v>31</v>
      </c>
      <c r="AJ6" s="2035"/>
      <c r="AK6" s="2035"/>
      <c r="AL6" s="469" t="s">
        <v>189</v>
      </c>
    </row>
    <row r="7" spans="1:40" s="106" customFormat="1" ht="27" customHeight="1">
      <c r="A7" s="1999" t="s">
        <v>319</v>
      </c>
      <c r="B7" s="2008" t="s">
        <v>153</v>
      </c>
      <c r="C7" s="102" t="s">
        <v>306</v>
      </c>
      <c r="D7" s="103"/>
      <c r="E7" s="1119"/>
      <c r="F7" s="104">
        <v>6.18</v>
      </c>
      <c r="G7" s="104">
        <v>11.75</v>
      </c>
      <c r="H7" s="1119"/>
      <c r="I7" s="104">
        <v>14.25</v>
      </c>
      <c r="J7" s="104">
        <v>12.82</v>
      </c>
      <c r="K7" s="104">
        <v>5.13</v>
      </c>
      <c r="L7" s="104">
        <v>8.43</v>
      </c>
      <c r="M7" s="104">
        <v>10.039999999999999</v>
      </c>
      <c r="N7" s="104">
        <v>13.32</v>
      </c>
      <c r="O7" s="104"/>
      <c r="P7" s="1119"/>
      <c r="Q7" s="104">
        <v>5.59</v>
      </c>
      <c r="R7" s="104">
        <v>10.75</v>
      </c>
      <c r="S7" s="104">
        <v>5.95</v>
      </c>
      <c r="T7" s="104"/>
      <c r="U7" s="104">
        <v>11.6</v>
      </c>
      <c r="V7" s="1119"/>
      <c r="W7" s="104">
        <v>13.37</v>
      </c>
      <c r="X7" s="104">
        <f>5.98+5.52</f>
        <v>11.5</v>
      </c>
      <c r="Y7" s="104">
        <v>11.81</v>
      </c>
      <c r="Z7" s="104"/>
      <c r="AA7" s="104"/>
      <c r="AB7" s="104"/>
      <c r="AC7" s="1119"/>
      <c r="AD7" s="104"/>
      <c r="AE7" s="104"/>
      <c r="AF7" s="104"/>
      <c r="AG7" s="1119"/>
      <c r="AH7" s="104"/>
      <c r="AI7" s="104"/>
      <c r="AJ7" s="105">
        <f>SUM(E7:AI7)</f>
        <v>152.48999999999998</v>
      </c>
      <c r="AK7" s="108"/>
      <c r="AL7" s="470"/>
      <c r="AN7" s="106">
        <f>1468.94+AF7</f>
        <v>1468.94</v>
      </c>
    </row>
    <row r="8" spans="1:40" s="106" customFormat="1" ht="27" customHeight="1" thickBot="1">
      <c r="A8" s="2000"/>
      <c r="B8" s="2009"/>
      <c r="C8" s="2032" t="s">
        <v>317</v>
      </c>
      <c r="D8" s="2033"/>
      <c r="E8" s="1120"/>
      <c r="F8" s="105">
        <v>6</v>
      </c>
      <c r="G8" s="105">
        <v>6</v>
      </c>
      <c r="H8" s="1120"/>
      <c r="I8" s="105">
        <v>6</v>
      </c>
      <c r="J8" s="105">
        <v>6</v>
      </c>
      <c r="K8" s="105"/>
      <c r="L8" s="105">
        <v>6</v>
      </c>
      <c r="M8" s="105">
        <v>6</v>
      </c>
      <c r="N8" s="105">
        <v>6</v>
      </c>
      <c r="O8" s="105"/>
      <c r="P8" s="1120"/>
      <c r="Q8" s="105"/>
      <c r="R8" s="105">
        <v>6</v>
      </c>
      <c r="S8" s="105">
        <v>6</v>
      </c>
      <c r="T8" s="105"/>
      <c r="U8" s="105">
        <v>6</v>
      </c>
      <c r="V8" s="1120"/>
      <c r="W8" s="105">
        <v>6</v>
      </c>
      <c r="X8" s="105">
        <v>6</v>
      </c>
      <c r="Y8" s="105">
        <v>6</v>
      </c>
      <c r="Z8" s="105"/>
      <c r="AA8" s="105"/>
      <c r="AB8" s="105"/>
      <c r="AC8" s="1120"/>
      <c r="AD8" s="105"/>
      <c r="AE8" s="105"/>
      <c r="AF8" s="105"/>
      <c r="AG8" s="1120"/>
      <c r="AH8" s="105"/>
      <c r="AI8" s="105"/>
      <c r="AJ8" s="105">
        <f>SUM(E8:AI8)</f>
        <v>78</v>
      </c>
      <c r="AK8" s="105"/>
      <c r="AL8" s="471"/>
    </row>
    <row r="9" spans="1:40" s="90" customFormat="1" ht="27" customHeight="1" thickBot="1">
      <c r="A9" s="2000"/>
      <c r="B9" s="2009"/>
      <c r="C9" s="2025" t="s">
        <v>310</v>
      </c>
      <c r="D9" s="2026"/>
      <c r="E9" s="1121">
        <f t="shared" ref="E9" si="0">E7-E8</f>
        <v>0</v>
      </c>
      <c r="F9" s="99">
        <f>F7-F8</f>
        <v>0.17999999999999972</v>
      </c>
      <c r="G9" s="99">
        <f t="shared" ref="G9:I9" si="1">G7-G8</f>
        <v>5.75</v>
      </c>
      <c r="H9" s="1121">
        <f t="shared" si="1"/>
        <v>0</v>
      </c>
      <c r="I9" s="99">
        <f t="shared" si="1"/>
        <v>8.25</v>
      </c>
      <c r="J9" s="99">
        <f>J7-J8</f>
        <v>6.82</v>
      </c>
      <c r="K9" s="99">
        <f t="shared" ref="K9" si="2">K7-K8</f>
        <v>5.13</v>
      </c>
      <c r="L9" s="99">
        <f t="shared" ref="L9" si="3">L7-L8</f>
        <v>2.4299999999999997</v>
      </c>
      <c r="M9" s="99">
        <f>M7-M8</f>
        <v>4.0399999999999991</v>
      </c>
      <c r="N9" s="99">
        <f t="shared" ref="N9" si="4">N7-N8</f>
        <v>7.32</v>
      </c>
      <c r="O9" s="99">
        <f t="shared" ref="O9:Q9" si="5">O7-O8</f>
        <v>0</v>
      </c>
      <c r="P9" s="1121">
        <f t="shared" si="5"/>
        <v>0</v>
      </c>
      <c r="Q9" s="99">
        <f t="shared" si="5"/>
        <v>5.59</v>
      </c>
      <c r="R9" s="99">
        <f t="shared" ref="R9" si="6">R7-R8</f>
        <v>4.75</v>
      </c>
      <c r="S9" s="99">
        <f t="shared" ref="S9" si="7">S7-S8</f>
        <v>-4.9999999999999822E-2</v>
      </c>
      <c r="T9" s="99">
        <f>T7-T8</f>
        <v>0</v>
      </c>
      <c r="U9" s="99">
        <f t="shared" ref="U9" si="8">U7-U8</f>
        <v>5.6</v>
      </c>
      <c r="V9" s="1121">
        <f t="shared" ref="V9" si="9">V7-V8</f>
        <v>0</v>
      </c>
      <c r="W9" s="99">
        <f t="shared" ref="W9" si="10">W7-W8</f>
        <v>7.3699999999999992</v>
      </c>
      <c r="X9" s="99">
        <f t="shared" ref="X9" si="11">X7-X8</f>
        <v>5.5</v>
      </c>
      <c r="Y9" s="99">
        <f t="shared" ref="Y9" si="12">Y7-Y8</f>
        <v>5.8100000000000005</v>
      </c>
      <c r="Z9" s="99">
        <f t="shared" ref="Z9" si="13">Z7-Z8</f>
        <v>0</v>
      </c>
      <c r="AA9" s="99">
        <f>AA7-AA8</f>
        <v>0</v>
      </c>
      <c r="AB9" s="99">
        <f>AB7-AB8</f>
        <v>0</v>
      </c>
      <c r="AC9" s="1121">
        <f t="shared" ref="AC9:AI9" si="14">AC7-AC8</f>
        <v>0</v>
      </c>
      <c r="AD9" s="99">
        <f t="shared" si="14"/>
        <v>0</v>
      </c>
      <c r="AE9" s="99">
        <f t="shared" si="14"/>
        <v>0</v>
      </c>
      <c r="AF9" s="99">
        <f t="shared" si="14"/>
        <v>0</v>
      </c>
      <c r="AG9" s="1121">
        <f t="shared" si="14"/>
        <v>0</v>
      </c>
      <c r="AH9" s="99">
        <f t="shared" si="14"/>
        <v>0</v>
      </c>
      <c r="AI9" s="99">
        <f t="shared" si="14"/>
        <v>0</v>
      </c>
      <c r="AJ9" s="99">
        <f>SUM(E9:AI9)</f>
        <v>74.489999999999995</v>
      </c>
      <c r="AK9" s="99">
        <f>AJ7-AJ8</f>
        <v>74.489999999999981</v>
      </c>
      <c r="AL9" s="472"/>
    </row>
    <row r="10" spans="1:40" s="82" customFormat="1" ht="33" customHeight="1">
      <c r="A10" s="2000"/>
      <c r="B10" s="2009"/>
      <c r="C10" s="100" t="s">
        <v>312</v>
      </c>
      <c r="D10" s="2027" t="s">
        <v>298</v>
      </c>
      <c r="E10" s="1122"/>
      <c r="F10" s="91"/>
      <c r="G10" s="91"/>
      <c r="H10" s="1122"/>
      <c r="I10" s="91"/>
      <c r="J10" s="91"/>
      <c r="K10" s="91"/>
      <c r="L10" s="91"/>
      <c r="M10" s="91"/>
      <c r="N10" s="91"/>
      <c r="O10" s="91"/>
      <c r="P10" s="1122"/>
      <c r="Q10" s="91"/>
      <c r="R10" s="91"/>
      <c r="S10" s="91"/>
      <c r="T10" s="91"/>
      <c r="U10" s="91"/>
      <c r="V10" s="1122"/>
      <c r="W10" s="91"/>
      <c r="X10" s="91"/>
      <c r="Y10" s="91"/>
      <c r="Z10" s="91"/>
      <c r="AA10" s="91"/>
      <c r="AB10" s="91"/>
      <c r="AC10" s="1122"/>
      <c r="AD10" s="91"/>
      <c r="AE10" s="91"/>
      <c r="AF10" s="91"/>
      <c r="AG10" s="1122"/>
      <c r="AH10" s="91"/>
      <c r="AI10" s="91"/>
      <c r="AJ10" s="91">
        <f t="shared" ref="AJ10:AJ13" si="15">SUM(E10:AI10)</f>
        <v>0</v>
      </c>
      <c r="AK10" s="92">
        <v>5500</v>
      </c>
      <c r="AL10" s="468">
        <f>AJ10*AK10</f>
        <v>0</v>
      </c>
    </row>
    <row r="11" spans="1:40" s="82" customFormat="1" ht="33" customHeight="1">
      <c r="A11" s="2000"/>
      <c r="B11" s="2009"/>
      <c r="C11" s="89" t="s">
        <v>314</v>
      </c>
      <c r="D11" s="2028"/>
      <c r="E11" s="1123"/>
      <c r="F11" s="83"/>
      <c r="G11" s="83"/>
      <c r="H11" s="1123"/>
      <c r="I11" s="83"/>
      <c r="J11" s="83"/>
      <c r="K11" s="83"/>
      <c r="L11" s="83"/>
      <c r="M11" s="83"/>
      <c r="N11" s="83"/>
      <c r="O11" s="83"/>
      <c r="P11" s="1123"/>
      <c r="Q11" s="83"/>
      <c r="R11" s="83"/>
      <c r="S11" s="83"/>
      <c r="T11" s="83"/>
      <c r="U11" s="83"/>
      <c r="V11" s="1123"/>
      <c r="W11" s="83"/>
      <c r="X11" s="83"/>
      <c r="Y11" s="83"/>
      <c r="Z11" s="83"/>
      <c r="AA11" s="83"/>
      <c r="AB11" s="83"/>
      <c r="AC11" s="1123"/>
      <c r="AD11" s="83"/>
      <c r="AE11" s="83"/>
      <c r="AF11" s="83"/>
      <c r="AG11" s="1123"/>
      <c r="AH11" s="83"/>
      <c r="AI11" s="83"/>
      <c r="AJ11" s="83">
        <f t="shared" si="15"/>
        <v>0</v>
      </c>
      <c r="AK11" s="85">
        <v>11500</v>
      </c>
      <c r="AL11" s="473">
        <f>AJ11*AK11</f>
        <v>0</v>
      </c>
    </row>
    <row r="12" spans="1:40" s="82" customFormat="1" ht="33" customHeight="1">
      <c r="A12" s="2000"/>
      <c r="B12" s="2009"/>
      <c r="C12" s="89" t="s">
        <v>299</v>
      </c>
      <c r="D12" s="2028"/>
      <c r="E12" s="1123"/>
      <c r="F12" s="83"/>
      <c r="G12" s="83"/>
      <c r="H12" s="1123"/>
      <c r="I12" s="83"/>
      <c r="J12" s="83"/>
      <c r="K12" s="83"/>
      <c r="L12" s="83"/>
      <c r="M12" s="83"/>
      <c r="N12" s="83"/>
      <c r="O12" s="83"/>
      <c r="P12" s="1123"/>
      <c r="Q12" s="83"/>
      <c r="R12" s="83"/>
      <c r="S12" s="83"/>
      <c r="T12" s="83"/>
      <c r="U12" s="83"/>
      <c r="V12" s="1123"/>
      <c r="W12" s="83"/>
      <c r="X12" s="83"/>
      <c r="Y12" s="83"/>
      <c r="Z12" s="83"/>
      <c r="AA12" s="83"/>
      <c r="AB12" s="83"/>
      <c r="AC12" s="1123"/>
      <c r="AD12" s="83"/>
      <c r="AE12" s="83"/>
      <c r="AF12" s="83"/>
      <c r="AG12" s="1123"/>
      <c r="AH12" s="83"/>
      <c r="AI12" s="83"/>
      <c r="AJ12" s="84">
        <f t="shared" si="15"/>
        <v>0</v>
      </c>
      <c r="AK12" s="87">
        <v>16000</v>
      </c>
      <c r="AL12" s="473">
        <f t="shared" ref="AL12:AL15" si="16">AJ12*AK12</f>
        <v>0</v>
      </c>
    </row>
    <row r="13" spans="1:40" s="90" customFormat="1" ht="33" customHeight="1">
      <c r="A13" s="2000"/>
      <c r="B13" s="2009"/>
      <c r="C13" s="112" t="s">
        <v>301</v>
      </c>
      <c r="D13" s="2029"/>
      <c r="E13" s="1124"/>
      <c r="F13" s="113"/>
      <c r="G13" s="113"/>
      <c r="H13" s="1124"/>
      <c r="I13" s="113"/>
      <c r="J13" s="116"/>
      <c r="K13" s="116">
        <v>2.57</v>
      </c>
      <c r="L13" s="113">
        <v>1.22</v>
      </c>
      <c r="M13" s="113">
        <v>2.02</v>
      </c>
      <c r="N13" s="113"/>
      <c r="O13" s="113"/>
      <c r="P13" s="1124"/>
      <c r="Q13" s="113"/>
      <c r="R13" s="113"/>
      <c r="S13" s="113"/>
      <c r="T13" s="113"/>
      <c r="U13" s="113">
        <v>2.8</v>
      </c>
      <c r="V13" s="1124"/>
      <c r="W13" s="113">
        <v>3.69</v>
      </c>
      <c r="X13" s="113">
        <v>2.75</v>
      </c>
      <c r="Y13" s="113"/>
      <c r="Z13" s="113"/>
      <c r="AA13" s="113"/>
      <c r="AB13" s="113"/>
      <c r="AC13" s="1124"/>
      <c r="AD13" s="113"/>
      <c r="AE13" s="113"/>
      <c r="AF13" s="113"/>
      <c r="AG13" s="1124"/>
      <c r="AH13" s="113">
        <v>5</v>
      </c>
      <c r="AI13" s="113"/>
      <c r="AJ13" s="113">
        <f t="shared" si="15"/>
        <v>20.049999999999997</v>
      </c>
      <c r="AK13" s="114">
        <v>18000</v>
      </c>
      <c r="AL13" s="474">
        <f t="shared" si="16"/>
        <v>360899.99999999994</v>
      </c>
    </row>
    <row r="14" spans="1:40" s="90" customFormat="1" ht="33" customHeight="1">
      <c r="A14" s="2000"/>
      <c r="B14" s="2009"/>
      <c r="C14" s="115" t="s">
        <v>303</v>
      </c>
      <c r="D14" s="2030"/>
      <c r="E14" s="1125"/>
      <c r="F14" s="113">
        <f>F9/2</f>
        <v>8.9999999999999858E-2</v>
      </c>
      <c r="G14" s="116">
        <v>2.88</v>
      </c>
      <c r="H14" s="1125"/>
      <c r="I14" s="116">
        <v>4.13</v>
      </c>
      <c r="J14" s="116">
        <v>3.41</v>
      </c>
      <c r="K14" s="116"/>
      <c r="L14" s="116"/>
      <c r="M14" s="116"/>
      <c r="N14" s="113">
        <v>3.66</v>
      </c>
      <c r="O14" s="116"/>
      <c r="P14" s="1125"/>
      <c r="Q14" s="116"/>
      <c r="R14" s="116">
        <v>2.38</v>
      </c>
      <c r="S14" s="116"/>
      <c r="T14" s="116"/>
      <c r="U14" s="116"/>
      <c r="V14" s="1125"/>
      <c r="W14" s="116"/>
      <c r="X14" s="113"/>
      <c r="Y14" s="116">
        <v>2.91</v>
      </c>
      <c r="Z14" s="116"/>
      <c r="AA14" s="116"/>
      <c r="AB14" s="116"/>
      <c r="AC14" s="1125"/>
      <c r="AD14" s="116"/>
      <c r="AE14" s="116"/>
      <c r="AF14" s="116"/>
      <c r="AG14" s="1125"/>
      <c r="AH14" s="116"/>
      <c r="AI14" s="116"/>
      <c r="AJ14" s="113">
        <f t="shared" ref="AJ14:AJ27" si="17">SUM(E14:AI14)</f>
        <v>19.46</v>
      </c>
      <c r="AK14" s="114">
        <v>20000</v>
      </c>
      <c r="AL14" s="474">
        <f t="shared" si="16"/>
        <v>389200</v>
      </c>
    </row>
    <row r="15" spans="1:40" s="82" customFormat="1" ht="33" customHeight="1" thickBot="1">
      <c r="A15" s="2000"/>
      <c r="B15" s="2009"/>
      <c r="C15" s="94" t="s">
        <v>313</v>
      </c>
      <c r="D15" s="2031"/>
      <c r="E15" s="1126"/>
      <c r="F15" s="95"/>
      <c r="G15" s="95"/>
      <c r="H15" s="1126"/>
      <c r="I15" s="95"/>
      <c r="J15" s="95"/>
      <c r="K15" s="95"/>
      <c r="L15" s="95"/>
      <c r="M15" s="95"/>
      <c r="N15" s="95"/>
      <c r="O15" s="95"/>
      <c r="P15" s="1126"/>
      <c r="Q15" s="95"/>
      <c r="R15" s="95"/>
      <c r="S15" s="95"/>
      <c r="T15" s="95"/>
      <c r="U15" s="95"/>
      <c r="V15" s="1126"/>
      <c r="W15" s="95"/>
      <c r="X15" s="95"/>
      <c r="Y15" s="95"/>
      <c r="Z15" s="95"/>
      <c r="AA15" s="95"/>
      <c r="AB15" s="95"/>
      <c r="AC15" s="1126"/>
      <c r="AD15" s="95"/>
      <c r="AE15" s="95"/>
      <c r="AF15" s="95"/>
      <c r="AG15" s="1126"/>
      <c r="AH15" s="95"/>
      <c r="AI15" s="95"/>
      <c r="AJ15" s="95">
        <f t="shared" si="17"/>
        <v>0</v>
      </c>
      <c r="AK15" s="96">
        <v>30000</v>
      </c>
      <c r="AL15" s="473">
        <f t="shared" si="16"/>
        <v>0</v>
      </c>
    </row>
    <row r="16" spans="1:40" s="82" customFormat="1" ht="33" customHeight="1">
      <c r="A16" s="2000"/>
      <c r="B16" s="2009"/>
      <c r="C16" s="100" t="s">
        <v>312</v>
      </c>
      <c r="D16" s="2027" t="s">
        <v>300</v>
      </c>
      <c r="E16" s="1122"/>
      <c r="F16" s="91"/>
      <c r="G16" s="91"/>
      <c r="H16" s="1122"/>
      <c r="I16" s="91"/>
      <c r="J16" s="91"/>
      <c r="K16" s="91"/>
      <c r="L16" s="91"/>
      <c r="M16" s="91"/>
      <c r="N16" s="91"/>
      <c r="O16" s="91"/>
      <c r="P16" s="1122"/>
      <c r="Q16" s="91"/>
      <c r="R16" s="91"/>
      <c r="S16" s="91"/>
      <c r="T16" s="91"/>
      <c r="U16" s="91"/>
      <c r="V16" s="1122"/>
      <c r="W16" s="91"/>
      <c r="X16" s="91"/>
      <c r="Y16" s="91"/>
      <c r="Z16" s="91"/>
      <c r="AA16" s="91"/>
      <c r="AB16" s="91"/>
      <c r="AC16" s="1122"/>
      <c r="AD16" s="91"/>
      <c r="AE16" s="91"/>
      <c r="AF16" s="91"/>
      <c r="AG16" s="1122"/>
      <c r="AH16" s="91"/>
      <c r="AI16" s="91"/>
      <c r="AJ16" s="83">
        <f t="shared" si="17"/>
        <v>0</v>
      </c>
      <c r="AK16" s="85">
        <v>14500</v>
      </c>
      <c r="AL16" s="468">
        <f>AJ16*AK16</f>
        <v>0</v>
      </c>
    </row>
    <row r="17" spans="1:38" s="82" customFormat="1" ht="33" customHeight="1">
      <c r="A17" s="2000"/>
      <c r="B17" s="2009"/>
      <c r="C17" s="89" t="s">
        <v>314</v>
      </c>
      <c r="D17" s="2028"/>
      <c r="E17" s="1123"/>
      <c r="F17" s="83"/>
      <c r="G17" s="83"/>
      <c r="H17" s="1123"/>
      <c r="I17" s="83"/>
      <c r="J17" s="83"/>
      <c r="K17" s="83"/>
      <c r="L17" s="83"/>
      <c r="M17" s="83"/>
      <c r="N17" s="83"/>
      <c r="O17" s="83"/>
      <c r="P17" s="1123"/>
      <c r="Q17" s="83"/>
      <c r="R17" s="83"/>
      <c r="S17" s="83"/>
      <c r="T17" s="83"/>
      <c r="U17" s="83"/>
      <c r="V17" s="1123"/>
      <c r="W17" s="83"/>
      <c r="X17" s="83"/>
      <c r="Y17" s="83"/>
      <c r="Z17" s="83"/>
      <c r="AA17" s="83"/>
      <c r="AB17" s="83"/>
      <c r="AC17" s="1123"/>
      <c r="AD17" s="83"/>
      <c r="AE17" s="83"/>
      <c r="AF17" s="83"/>
      <c r="AG17" s="1123"/>
      <c r="AH17" s="83"/>
      <c r="AI17" s="83"/>
      <c r="AJ17" s="84">
        <f t="shared" si="17"/>
        <v>0</v>
      </c>
      <c r="AK17" s="87">
        <v>17500</v>
      </c>
      <c r="AL17" s="473">
        <f>AJ17*AK17</f>
        <v>0</v>
      </c>
    </row>
    <row r="18" spans="1:38" s="82" customFormat="1" ht="33" customHeight="1">
      <c r="A18" s="2000"/>
      <c r="B18" s="2009"/>
      <c r="C18" s="89" t="s">
        <v>299</v>
      </c>
      <c r="D18" s="2029"/>
      <c r="E18" s="1123"/>
      <c r="F18" s="83"/>
      <c r="G18" s="83"/>
      <c r="H18" s="1123"/>
      <c r="I18" s="83"/>
      <c r="J18" s="83"/>
      <c r="K18" s="83"/>
      <c r="L18" s="83"/>
      <c r="M18" s="83"/>
      <c r="N18" s="83"/>
      <c r="O18" s="83"/>
      <c r="P18" s="1123"/>
      <c r="Q18" s="83"/>
      <c r="R18" s="83"/>
      <c r="S18" s="83"/>
      <c r="T18" s="83"/>
      <c r="U18" s="83"/>
      <c r="V18" s="1123"/>
      <c r="W18" s="113"/>
      <c r="X18" s="83"/>
      <c r="Y18" s="83"/>
      <c r="Z18" s="83"/>
      <c r="AA18" s="83"/>
      <c r="AB18" s="83"/>
      <c r="AC18" s="1123"/>
      <c r="AD18" s="83"/>
      <c r="AE18" s="83"/>
      <c r="AF18" s="83"/>
      <c r="AG18" s="1123"/>
      <c r="AH18" s="83"/>
      <c r="AI18" s="83"/>
      <c r="AJ18" s="84">
        <f t="shared" si="17"/>
        <v>0</v>
      </c>
      <c r="AK18" s="87">
        <v>20500</v>
      </c>
      <c r="AL18" s="473">
        <f t="shared" ref="AL18:AL21" si="18">AJ18*AK18</f>
        <v>0</v>
      </c>
    </row>
    <row r="19" spans="1:38" s="90" customFormat="1" ht="33" customHeight="1">
      <c r="A19" s="2000"/>
      <c r="B19" s="2009"/>
      <c r="C19" s="112" t="s">
        <v>301</v>
      </c>
      <c r="D19" s="2030"/>
      <c r="E19" s="1124"/>
      <c r="F19" s="113"/>
      <c r="G19" s="113"/>
      <c r="H19" s="1124"/>
      <c r="I19" s="113"/>
      <c r="J19" s="113"/>
      <c r="K19" s="113"/>
      <c r="L19" s="113"/>
      <c r="M19" s="113"/>
      <c r="N19" s="113"/>
      <c r="O19" s="113"/>
      <c r="P19" s="1124"/>
      <c r="Q19" s="113"/>
      <c r="R19" s="113"/>
      <c r="S19" s="113"/>
      <c r="T19" s="113"/>
      <c r="U19" s="113"/>
      <c r="V19" s="1124"/>
      <c r="W19" s="113"/>
      <c r="X19" s="113"/>
      <c r="Y19" s="113"/>
      <c r="Z19" s="113"/>
      <c r="AA19" s="113"/>
      <c r="AB19" s="113"/>
      <c r="AC19" s="1124"/>
      <c r="AD19" s="113"/>
      <c r="AE19" s="113"/>
      <c r="AF19" s="113"/>
      <c r="AG19" s="1124"/>
      <c r="AH19" s="113">
        <v>2.39</v>
      </c>
      <c r="AI19" s="113"/>
      <c r="AJ19" s="113">
        <f t="shared" si="17"/>
        <v>2.39</v>
      </c>
      <c r="AK19" s="114">
        <v>20750</v>
      </c>
      <c r="AL19" s="474">
        <f t="shared" si="18"/>
        <v>49592.5</v>
      </c>
    </row>
    <row r="20" spans="1:38" s="90" customFormat="1" ht="33" customHeight="1">
      <c r="A20" s="2000"/>
      <c r="B20" s="2009"/>
      <c r="C20" s="112" t="s">
        <v>303</v>
      </c>
      <c r="D20" s="2030"/>
      <c r="E20" s="1125"/>
      <c r="F20" s="113"/>
      <c r="G20" s="116"/>
      <c r="H20" s="1125"/>
      <c r="I20" s="116"/>
      <c r="J20" s="116"/>
      <c r="K20" s="116"/>
      <c r="L20" s="116"/>
      <c r="M20" s="116"/>
      <c r="N20" s="116"/>
      <c r="O20" s="116"/>
      <c r="P20" s="1125"/>
      <c r="Q20" s="116"/>
      <c r="R20" s="116"/>
      <c r="S20" s="116"/>
      <c r="T20" s="116"/>
      <c r="U20" s="116"/>
      <c r="V20" s="1125"/>
      <c r="W20" s="116"/>
      <c r="X20" s="116"/>
      <c r="Y20" s="116"/>
      <c r="Z20" s="116"/>
      <c r="AA20" s="116"/>
      <c r="AB20" s="116"/>
      <c r="AC20" s="1125"/>
      <c r="AD20" s="116"/>
      <c r="AE20" s="116"/>
      <c r="AF20" s="116"/>
      <c r="AG20" s="1125"/>
      <c r="AH20" s="116"/>
      <c r="AI20" s="116"/>
      <c r="AJ20" s="113">
        <f t="shared" si="17"/>
        <v>0</v>
      </c>
      <c r="AK20" s="114">
        <v>25000</v>
      </c>
      <c r="AL20" s="474">
        <f t="shared" si="18"/>
        <v>0</v>
      </c>
    </row>
    <row r="21" spans="1:38" s="82" customFormat="1" ht="33" customHeight="1" thickBot="1">
      <c r="A21" s="2000"/>
      <c r="B21" s="2009"/>
      <c r="C21" s="97" t="s">
        <v>313</v>
      </c>
      <c r="D21" s="2030"/>
      <c r="E21" s="1126"/>
      <c r="F21" s="95"/>
      <c r="G21" s="95"/>
      <c r="H21" s="1126"/>
      <c r="I21" s="95"/>
      <c r="J21" s="95"/>
      <c r="K21" s="95"/>
      <c r="L21" s="95"/>
      <c r="M21" s="95"/>
      <c r="N21" s="95"/>
      <c r="O21" s="95"/>
      <c r="P21" s="1126"/>
      <c r="Q21" s="95"/>
      <c r="R21" s="95"/>
      <c r="S21" s="95"/>
      <c r="T21" s="95"/>
      <c r="U21" s="95"/>
      <c r="V21" s="1126"/>
      <c r="W21" s="95"/>
      <c r="X21" s="95"/>
      <c r="Y21" s="95"/>
      <c r="Z21" s="95"/>
      <c r="AA21" s="95"/>
      <c r="AB21" s="95"/>
      <c r="AC21" s="1126"/>
      <c r="AD21" s="95"/>
      <c r="AE21" s="95"/>
      <c r="AF21" s="95"/>
      <c r="AG21" s="1126"/>
      <c r="AH21" s="95"/>
      <c r="AI21" s="95"/>
      <c r="AJ21" s="86">
        <f t="shared" si="17"/>
        <v>0</v>
      </c>
      <c r="AK21" s="98">
        <v>35000</v>
      </c>
      <c r="AL21" s="475">
        <f t="shared" si="18"/>
        <v>0</v>
      </c>
    </row>
    <row r="22" spans="1:38" s="82" customFormat="1" ht="33" customHeight="1">
      <c r="A22" s="2000"/>
      <c r="B22" s="2009"/>
      <c r="C22" s="100" t="s">
        <v>312</v>
      </c>
      <c r="D22" s="2027" t="s">
        <v>302</v>
      </c>
      <c r="E22" s="1122"/>
      <c r="F22" s="91"/>
      <c r="G22" s="91"/>
      <c r="H22" s="1122"/>
      <c r="I22" s="91"/>
      <c r="J22" s="91"/>
      <c r="K22" s="91"/>
      <c r="L22" s="91"/>
      <c r="M22" s="91"/>
      <c r="N22" s="91"/>
      <c r="O22" s="91"/>
      <c r="P22" s="1122"/>
      <c r="Q22" s="91"/>
      <c r="R22" s="91"/>
      <c r="S22" s="91"/>
      <c r="T22" s="91"/>
      <c r="U22" s="91"/>
      <c r="V22" s="1122"/>
      <c r="W22" s="91"/>
      <c r="X22" s="91"/>
      <c r="Y22" s="91"/>
      <c r="Z22" s="91"/>
      <c r="AA22" s="91"/>
      <c r="AB22" s="91"/>
      <c r="AC22" s="1122"/>
      <c r="AD22" s="91"/>
      <c r="AE22" s="91"/>
      <c r="AF22" s="91"/>
      <c r="AG22" s="1122"/>
      <c r="AH22" s="91"/>
      <c r="AI22" s="91"/>
      <c r="AJ22" s="91">
        <f t="shared" si="17"/>
        <v>0</v>
      </c>
      <c r="AK22" s="92">
        <v>16000</v>
      </c>
      <c r="AL22" s="468">
        <f>AJ22*AK22</f>
        <v>0</v>
      </c>
    </row>
    <row r="23" spans="1:38" s="82" customFormat="1" ht="33" customHeight="1">
      <c r="A23" s="2000"/>
      <c r="B23" s="2009"/>
      <c r="C23" s="93" t="s">
        <v>314</v>
      </c>
      <c r="D23" s="2029"/>
      <c r="E23" s="1123"/>
      <c r="F23" s="83"/>
      <c r="G23" s="83"/>
      <c r="H23" s="1123"/>
      <c r="I23" s="83"/>
      <c r="J23" s="83"/>
      <c r="K23" s="83"/>
      <c r="L23" s="83"/>
      <c r="M23" s="83"/>
      <c r="N23" s="83"/>
      <c r="O23" s="83"/>
      <c r="P23" s="1123"/>
      <c r="Q23" s="83"/>
      <c r="R23" s="83"/>
      <c r="S23" s="83"/>
      <c r="T23" s="83"/>
      <c r="U23" s="83"/>
      <c r="V23" s="1123"/>
      <c r="W23" s="83"/>
      <c r="X23" s="83"/>
      <c r="Y23" s="83"/>
      <c r="Z23" s="83"/>
      <c r="AA23" s="83"/>
      <c r="AB23" s="83"/>
      <c r="AC23" s="1123"/>
      <c r="AD23" s="83"/>
      <c r="AE23" s="83"/>
      <c r="AF23" s="83"/>
      <c r="AG23" s="1123"/>
      <c r="AH23" s="83"/>
      <c r="AI23" s="83"/>
      <c r="AJ23" s="84">
        <f t="shared" si="17"/>
        <v>0</v>
      </c>
      <c r="AK23" s="87">
        <v>19000</v>
      </c>
      <c r="AL23" s="476">
        <f>AJ23*AK23</f>
        <v>0</v>
      </c>
    </row>
    <row r="24" spans="1:38" s="90" customFormat="1" ht="33" customHeight="1">
      <c r="A24" s="2000"/>
      <c r="B24" s="2009"/>
      <c r="C24" s="112" t="s">
        <v>299</v>
      </c>
      <c r="D24" s="2029"/>
      <c r="E24" s="1127"/>
      <c r="F24" s="110"/>
      <c r="G24" s="110"/>
      <c r="H24" s="1127"/>
      <c r="I24" s="110"/>
      <c r="J24" s="110"/>
      <c r="K24" s="110"/>
      <c r="L24" s="110"/>
      <c r="M24" s="110"/>
      <c r="N24" s="110"/>
      <c r="O24" s="110"/>
      <c r="P24" s="1127"/>
      <c r="Q24" s="110"/>
      <c r="R24" s="110"/>
      <c r="S24" s="83"/>
      <c r="T24" s="83"/>
      <c r="U24" s="110"/>
      <c r="V24" s="1127"/>
      <c r="W24" s="110"/>
      <c r="X24" s="110"/>
      <c r="Y24" s="110"/>
      <c r="Z24" s="110"/>
      <c r="AA24" s="110"/>
      <c r="AB24" s="110"/>
      <c r="AC24" s="1127"/>
      <c r="AD24" s="110"/>
      <c r="AE24" s="110"/>
      <c r="AF24" s="110"/>
      <c r="AG24" s="1127"/>
      <c r="AH24" s="110"/>
      <c r="AI24" s="110"/>
      <c r="AJ24" s="113">
        <f t="shared" si="17"/>
        <v>0</v>
      </c>
      <c r="AK24" s="114">
        <v>22000</v>
      </c>
      <c r="AL24" s="477">
        <f t="shared" ref="AL24:AL27" si="19">AJ24*AK24</f>
        <v>0</v>
      </c>
    </row>
    <row r="25" spans="1:38" s="90" customFormat="1" ht="33" customHeight="1">
      <c r="A25" s="2000"/>
      <c r="B25" s="2009"/>
      <c r="C25" s="112" t="s">
        <v>301</v>
      </c>
      <c r="D25" s="2029"/>
      <c r="E25" s="1124"/>
      <c r="F25" s="113"/>
      <c r="G25" s="113"/>
      <c r="H25" s="1124"/>
      <c r="I25" s="113"/>
      <c r="J25" s="113"/>
      <c r="K25" s="113"/>
      <c r="L25" s="113"/>
      <c r="M25" s="113"/>
      <c r="N25" s="113"/>
      <c r="O25" s="113"/>
      <c r="P25" s="1124"/>
      <c r="Q25" s="113"/>
      <c r="R25" s="113"/>
      <c r="S25" s="113"/>
      <c r="T25" s="113"/>
      <c r="U25" s="113"/>
      <c r="V25" s="1124"/>
      <c r="W25" s="113"/>
      <c r="X25" s="113"/>
      <c r="Y25" s="113"/>
      <c r="Z25" s="113"/>
      <c r="AA25" s="113"/>
      <c r="AB25" s="113"/>
      <c r="AC25" s="1124"/>
      <c r="AD25" s="113"/>
      <c r="AE25" s="113"/>
      <c r="AF25" s="113"/>
      <c r="AG25" s="1124"/>
      <c r="AH25" s="113"/>
      <c r="AI25" s="113"/>
      <c r="AJ25" s="113">
        <f t="shared" si="17"/>
        <v>0</v>
      </c>
      <c r="AK25" s="114">
        <v>23000</v>
      </c>
      <c r="AL25" s="477">
        <f t="shared" si="19"/>
        <v>0</v>
      </c>
    </row>
    <row r="26" spans="1:38" s="90" customFormat="1" ht="33" customHeight="1">
      <c r="A26" s="2000"/>
      <c r="B26" s="2009"/>
      <c r="C26" s="112" t="s">
        <v>303</v>
      </c>
      <c r="D26" s="2029"/>
      <c r="E26" s="1125"/>
      <c r="F26" s="113"/>
      <c r="G26" s="116"/>
      <c r="H26" s="1125"/>
      <c r="I26" s="116"/>
      <c r="J26" s="116"/>
      <c r="K26" s="116"/>
      <c r="L26" s="116"/>
      <c r="M26" s="116"/>
      <c r="N26" s="116"/>
      <c r="O26" s="116"/>
      <c r="P26" s="1125"/>
      <c r="Q26" s="116"/>
      <c r="R26" s="116"/>
      <c r="S26" s="116"/>
      <c r="T26" s="116"/>
      <c r="U26" s="116"/>
      <c r="V26" s="1125"/>
      <c r="W26" s="116"/>
      <c r="X26" s="116"/>
      <c r="Y26" s="116"/>
      <c r="Z26" s="116"/>
      <c r="AA26" s="116"/>
      <c r="AB26" s="116"/>
      <c r="AC26" s="1125"/>
      <c r="AD26" s="116"/>
      <c r="AE26" s="116"/>
      <c r="AF26" s="116"/>
      <c r="AG26" s="1125"/>
      <c r="AH26" s="116"/>
      <c r="AI26" s="116"/>
      <c r="AJ26" s="113">
        <f t="shared" si="17"/>
        <v>0</v>
      </c>
      <c r="AK26" s="114">
        <v>30000</v>
      </c>
      <c r="AL26" s="477">
        <f t="shared" si="19"/>
        <v>0</v>
      </c>
    </row>
    <row r="27" spans="1:38" s="82" customFormat="1" ht="33" customHeight="1" thickBot="1">
      <c r="A27" s="2000"/>
      <c r="B27" s="2009"/>
      <c r="C27" s="94" t="s">
        <v>313</v>
      </c>
      <c r="D27" s="2031"/>
      <c r="E27" s="1126"/>
      <c r="F27" s="95"/>
      <c r="G27" s="95"/>
      <c r="H27" s="1126"/>
      <c r="I27" s="95"/>
      <c r="J27" s="95"/>
      <c r="K27" s="95"/>
      <c r="L27" s="95"/>
      <c r="M27" s="95"/>
      <c r="N27" s="95"/>
      <c r="O27" s="95"/>
      <c r="P27" s="1126"/>
      <c r="Q27" s="95"/>
      <c r="R27" s="95"/>
      <c r="S27" s="95"/>
      <c r="T27" s="95"/>
      <c r="U27" s="95"/>
      <c r="V27" s="1126"/>
      <c r="W27" s="95"/>
      <c r="X27" s="95"/>
      <c r="Y27" s="95"/>
      <c r="Z27" s="95"/>
      <c r="AA27" s="95"/>
      <c r="AB27" s="95"/>
      <c r="AC27" s="1126"/>
      <c r="AD27" s="95"/>
      <c r="AE27" s="95"/>
      <c r="AF27" s="95"/>
      <c r="AG27" s="1126"/>
      <c r="AH27" s="95"/>
      <c r="AI27" s="95"/>
      <c r="AJ27" s="95">
        <f t="shared" si="17"/>
        <v>0</v>
      </c>
      <c r="AK27" s="96">
        <v>40000</v>
      </c>
      <c r="AL27" s="469">
        <f t="shared" si="19"/>
        <v>0</v>
      </c>
    </row>
    <row r="28" spans="1:38" s="127" customFormat="1" ht="28.5" customHeight="1" thickBot="1">
      <c r="A28" s="2000"/>
      <c r="B28" s="2009"/>
      <c r="C28" s="2021" t="s">
        <v>323</v>
      </c>
      <c r="D28" s="2022"/>
      <c r="E28" s="1128"/>
      <c r="F28" s="126"/>
      <c r="G28" s="126"/>
      <c r="H28" s="1128"/>
      <c r="I28" s="126"/>
      <c r="J28" s="126"/>
      <c r="K28" s="126"/>
      <c r="L28" s="126"/>
      <c r="M28" s="126"/>
      <c r="N28" s="126"/>
      <c r="O28" s="126"/>
      <c r="P28" s="1128"/>
      <c r="Q28" s="126"/>
      <c r="R28" s="126"/>
      <c r="S28" s="126"/>
      <c r="T28" s="126"/>
      <c r="U28" s="126"/>
      <c r="V28" s="1128"/>
      <c r="W28" s="126"/>
      <c r="X28" s="126"/>
      <c r="Y28" s="126"/>
      <c r="Z28" s="126"/>
      <c r="AA28" s="126"/>
      <c r="AB28" s="126"/>
      <c r="AC28" s="1128"/>
      <c r="AD28" s="126"/>
      <c r="AE28" s="126"/>
      <c r="AF28" s="126"/>
      <c r="AG28" s="1128"/>
      <c r="AH28" s="126"/>
      <c r="AI28" s="126"/>
      <c r="AJ28" s="126">
        <f t="shared" ref="AJ28" si="20">SUM(AJ10:AJ27)</f>
        <v>41.9</v>
      </c>
      <c r="AK28" s="126"/>
      <c r="AL28" s="478">
        <f>SUM(AL10:AL27)</f>
        <v>799692.5</v>
      </c>
    </row>
    <row r="29" spans="1:38" s="82" customFormat="1" ht="35.25" customHeight="1">
      <c r="A29" s="2000"/>
      <c r="B29" s="2009"/>
      <c r="C29" s="93" t="s">
        <v>271</v>
      </c>
      <c r="D29" s="1296"/>
      <c r="E29" s="1123"/>
      <c r="F29" s="84"/>
      <c r="G29" s="84">
        <v>60</v>
      </c>
      <c r="H29" s="1130"/>
      <c r="I29" s="84">
        <v>60</v>
      </c>
      <c r="J29" s="84"/>
      <c r="K29" s="84"/>
      <c r="L29" s="83">
        <v>60</v>
      </c>
      <c r="M29" s="84">
        <v>60</v>
      </c>
      <c r="N29" s="84"/>
      <c r="O29" s="84"/>
      <c r="P29" s="1130"/>
      <c r="Q29" s="84"/>
      <c r="R29" s="84"/>
      <c r="S29" s="83"/>
      <c r="T29" s="84"/>
      <c r="U29" s="84"/>
      <c r="V29" s="1130"/>
      <c r="W29" s="84">
        <v>65</v>
      </c>
      <c r="X29" s="84"/>
      <c r="Y29" s="84">
        <v>73</v>
      </c>
      <c r="Z29" s="83">
        <v>73</v>
      </c>
      <c r="AA29" s="84"/>
      <c r="AB29" s="84"/>
      <c r="AC29" s="1130"/>
      <c r="AD29" s="84"/>
      <c r="AE29" s="84"/>
      <c r="AF29" s="84"/>
      <c r="AG29" s="1123"/>
      <c r="AH29" s="84"/>
      <c r="AI29" s="84"/>
      <c r="AJ29" s="84">
        <f t="shared" ref="AJ29" si="21">SUM(E29:AI29)</f>
        <v>451</v>
      </c>
      <c r="AK29" s="87">
        <v>200</v>
      </c>
      <c r="AL29" s="468">
        <f>AJ29*AK29</f>
        <v>90200</v>
      </c>
    </row>
    <row r="30" spans="1:38" s="82" customFormat="1" ht="35.25" customHeight="1">
      <c r="A30" s="2000"/>
      <c r="B30" s="2009"/>
      <c r="C30" s="65" t="s">
        <v>307</v>
      </c>
      <c r="D30" s="1295"/>
      <c r="E30" s="1123"/>
      <c r="F30" s="83"/>
      <c r="G30" s="83"/>
      <c r="H30" s="1123"/>
      <c r="I30" s="83"/>
      <c r="J30" s="83"/>
      <c r="K30" s="83"/>
      <c r="L30" s="83"/>
      <c r="M30" s="83"/>
      <c r="N30" s="83"/>
      <c r="O30" s="83"/>
      <c r="P30" s="1123"/>
      <c r="Q30" s="83"/>
      <c r="R30" s="83"/>
      <c r="S30" s="83"/>
      <c r="T30" s="83"/>
      <c r="U30" s="83"/>
      <c r="V30" s="1123"/>
      <c r="W30" s="83"/>
      <c r="X30" s="83">
        <f>5.64/2</f>
        <v>2.82</v>
      </c>
      <c r="Y30" s="83"/>
      <c r="Z30" s="83"/>
      <c r="AA30" s="83"/>
      <c r="AB30" s="83"/>
      <c r="AC30" s="1123"/>
      <c r="AD30" s="83"/>
      <c r="AE30" s="83"/>
      <c r="AF30" s="83"/>
      <c r="AG30" s="1123"/>
      <c r="AH30" s="83"/>
      <c r="AI30" s="83"/>
      <c r="AJ30" s="83">
        <f t="shared" ref="AJ30:AJ31" si="22">SUM(E30:AI30)</f>
        <v>2.82</v>
      </c>
      <c r="AK30" s="85">
        <v>15000</v>
      </c>
      <c r="AL30" s="473">
        <f>AJ30*AK30</f>
        <v>42300</v>
      </c>
    </row>
    <row r="31" spans="1:38" s="82" customFormat="1" ht="35.25" customHeight="1" thickBot="1">
      <c r="A31" s="2000"/>
      <c r="B31" s="2009"/>
      <c r="C31" s="119" t="s">
        <v>308</v>
      </c>
      <c r="D31" s="1297"/>
      <c r="E31" s="1129"/>
      <c r="F31" s="86"/>
      <c r="G31" s="84"/>
      <c r="H31" s="1129"/>
      <c r="I31" s="86"/>
      <c r="J31" s="86"/>
      <c r="K31" s="86"/>
      <c r="L31" s="86"/>
      <c r="M31" s="86"/>
      <c r="N31" s="86"/>
      <c r="O31" s="86"/>
      <c r="P31" s="1129"/>
      <c r="Q31" s="86"/>
      <c r="R31" s="86"/>
      <c r="S31" s="86"/>
      <c r="T31" s="86"/>
      <c r="U31" s="86"/>
      <c r="V31" s="1129"/>
      <c r="X31" s="86"/>
      <c r="Y31" s="86"/>
      <c r="Z31" s="86"/>
      <c r="AA31" s="86"/>
      <c r="AB31" s="86"/>
      <c r="AC31" s="1129"/>
      <c r="AD31" s="86"/>
      <c r="AE31" s="86"/>
      <c r="AF31" s="86"/>
      <c r="AG31" s="1129"/>
      <c r="AH31" s="86"/>
      <c r="AI31" s="86"/>
      <c r="AJ31" s="86">
        <f t="shared" si="22"/>
        <v>0</v>
      </c>
      <c r="AK31" s="98">
        <v>11000</v>
      </c>
      <c r="AL31" s="475">
        <f>AJ31*AK31</f>
        <v>0</v>
      </c>
    </row>
    <row r="32" spans="1:38" s="127" customFormat="1" ht="35.25" customHeight="1" thickBot="1">
      <c r="A32" s="2000"/>
      <c r="B32" s="2009"/>
      <c r="C32" s="2015" t="s">
        <v>322</v>
      </c>
      <c r="D32" s="2016"/>
      <c r="E32" s="1128">
        <f>SUM(E30:E31)</f>
        <v>0</v>
      </c>
      <c r="F32" s="126">
        <f>SUM(F30:F31)</f>
        <v>0</v>
      </c>
      <c r="G32" s="126">
        <f t="shared" ref="G32" si="23">SUM(G30:G31)</f>
        <v>0</v>
      </c>
      <c r="H32" s="1128">
        <f t="shared" ref="H32:K32" si="24">SUM(H30:H31)</f>
        <v>0</v>
      </c>
      <c r="I32" s="126">
        <f t="shared" si="24"/>
        <v>0</v>
      </c>
      <c r="J32" s="126">
        <f t="shared" si="24"/>
        <v>0</v>
      </c>
      <c r="K32" s="126">
        <f t="shared" si="24"/>
        <v>0</v>
      </c>
      <c r="L32" s="126">
        <f>SUM(L30:L31)</f>
        <v>0</v>
      </c>
      <c r="M32" s="126">
        <f>SUM(M30:M31)</f>
        <v>0</v>
      </c>
      <c r="N32" s="126">
        <f t="shared" ref="N32" si="25">SUM(N30:N31)</f>
        <v>0</v>
      </c>
      <c r="O32" s="126">
        <f t="shared" ref="O32" si="26">SUM(O30:O31)</f>
        <v>0</v>
      </c>
      <c r="P32" s="1128">
        <f t="shared" ref="P32" si="27">SUM(P30:P31)</f>
        <v>0</v>
      </c>
      <c r="Q32" s="126">
        <f t="shared" ref="Q32" si="28">SUM(Q30:Q31)</f>
        <v>0</v>
      </c>
      <c r="R32" s="126">
        <f t="shared" ref="R32" si="29">SUM(R30:R31)</f>
        <v>0</v>
      </c>
      <c r="S32" s="126">
        <f>SUM(S30:S31)</f>
        <v>0</v>
      </c>
      <c r="T32" s="126">
        <f>SUM(T30:T31)</f>
        <v>0</v>
      </c>
      <c r="U32" s="126">
        <f t="shared" ref="U32" si="30">SUM(U30:U31)</f>
        <v>0</v>
      </c>
      <c r="V32" s="1128">
        <f t="shared" ref="V32" si="31">SUM(V30:V31)</f>
        <v>0</v>
      </c>
      <c r="W32" s="126">
        <f t="shared" ref="W32" si="32">SUM(W30:W31)</f>
        <v>0</v>
      </c>
      <c r="X32" s="126">
        <f t="shared" ref="X32" si="33">SUM(X30:X31)</f>
        <v>2.82</v>
      </c>
      <c r="Y32" s="126">
        <f t="shared" ref="Y32" si="34">SUM(Y30:Y31)</f>
        <v>0</v>
      </c>
      <c r="Z32" s="126">
        <f>SUM(Z30:Z31)</f>
        <v>0</v>
      </c>
      <c r="AA32" s="126">
        <f>SUM(AA30:AA31)</f>
        <v>0</v>
      </c>
      <c r="AB32" s="126">
        <f t="shared" ref="AB32" si="35">SUM(AB30:AB31)</f>
        <v>0</v>
      </c>
      <c r="AC32" s="1128">
        <f t="shared" ref="AC32" si="36">SUM(AC30:AC31)</f>
        <v>0</v>
      </c>
      <c r="AD32" s="126">
        <f t="shared" ref="AD32" si="37">SUM(AD30:AD31)</f>
        <v>0</v>
      </c>
      <c r="AE32" s="126">
        <f t="shared" ref="AE32" si="38">SUM(AE30:AE31)</f>
        <v>0</v>
      </c>
      <c r="AF32" s="126">
        <f t="shared" ref="AF32" si="39">SUM(AF30:AF31)</f>
        <v>0</v>
      </c>
      <c r="AG32" s="1128">
        <f>SUM(AG30:AG31)</f>
        <v>0</v>
      </c>
      <c r="AH32" s="126">
        <f>SUM(AH30:AH31)</f>
        <v>0</v>
      </c>
      <c r="AI32" s="126">
        <f t="shared" ref="AI32" si="40">SUM(AI30:AI31)</f>
        <v>0</v>
      </c>
      <c r="AJ32" s="126"/>
      <c r="AK32" s="128"/>
      <c r="AL32" s="478">
        <f>SUM(AL29:AL31)</f>
        <v>132500</v>
      </c>
    </row>
    <row r="33" spans="1:38" s="82" customFormat="1" ht="32.25" customHeight="1">
      <c r="A33" s="2000"/>
      <c r="B33" s="2009"/>
      <c r="C33" s="123" t="s">
        <v>320</v>
      </c>
      <c r="D33" s="1295"/>
      <c r="E33" s="1123"/>
      <c r="F33" s="83"/>
      <c r="G33" s="84"/>
      <c r="H33" s="1123"/>
      <c r="I33" s="83"/>
      <c r="J33" s="83"/>
      <c r="K33" s="83"/>
      <c r="L33" s="83"/>
      <c r="M33" s="83"/>
      <c r="N33" s="83"/>
      <c r="O33" s="83"/>
      <c r="P33" s="1123"/>
      <c r="Q33" s="83"/>
      <c r="R33" s="83"/>
      <c r="S33" s="83"/>
      <c r="T33" s="83"/>
      <c r="U33" s="83"/>
      <c r="V33" s="1123"/>
      <c r="W33" s="83"/>
      <c r="X33" s="83"/>
      <c r="Y33" s="83"/>
      <c r="Z33" s="83"/>
      <c r="AA33" s="83"/>
      <c r="AB33" s="83"/>
      <c r="AC33" s="1123"/>
      <c r="AD33" s="83"/>
      <c r="AE33" s="83"/>
      <c r="AF33" s="83"/>
      <c r="AG33" s="1123"/>
      <c r="AH33" s="83"/>
      <c r="AI33" s="83"/>
      <c r="AJ33" s="83">
        <f t="shared" ref="AJ33:AJ35" si="41">SUM(E33:AI33)</f>
        <v>0</v>
      </c>
      <c r="AK33" s="85">
        <v>4814</v>
      </c>
      <c r="AL33" s="473">
        <f>AJ33*AK33</f>
        <v>0</v>
      </c>
    </row>
    <row r="34" spans="1:38" s="82" customFormat="1" ht="32.25" customHeight="1">
      <c r="A34" s="2000"/>
      <c r="B34" s="2009"/>
      <c r="C34" s="101" t="s">
        <v>267</v>
      </c>
      <c r="D34" s="1296"/>
      <c r="E34" s="1129"/>
      <c r="F34" s="86"/>
      <c r="G34" s="86"/>
      <c r="H34" s="1130"/>
      <c r="I34" s="84"/>
      <c r="J34" s="84"/>
      <c r="K34" s="84"/>
      <c r="L34" s="86"/>
      <c r="M34" s="84"/>
      <c r="N34" s="84"/>
      <c r="O34" s="84"/>
      <c r="P34" s="1130"/>
      <c r="Q34" s="84"/>
      <c r="R34" s="84"/>
      <c r="S34" s="86"/>
      <c r="T34" s="84"/>
      <c r="U34" s="84"/>
      <c r="V34" s="1130"/>
      <c r="W34" s="84"/>
      <c r="X34" s="84"/>
      <c r="Y34" s="84"/>
      <c r="Z34" s="86"/>
      <c r="AA34" s="84"/>
      <c r="AB34" s="84"/>
      <c r="AC34" s="1130"/>
      <c r="AD34" s="84"/>
      <c r="AE34" s="84"/>
      <c r="AF34" s="84"/>
      <c r="AG34" s="1129"/>
      <c r="AH34" s="84"/>
      <c r="AI34" s="84"/>
      <c r="AJ34" s="84">
        <f t="shared" si="41"/>
        <v>0</v>
      </c>
      <c r="AK34" s="87">
        <v>7217</v>
      </c>
      <c r="AL34" s="471">
        <f t="shared" ref="AL34:AL35" si="42">AJ34*AK34</f>
        <v>0</v>
      </c>
    </row>
    <row r="35" spans="1:38" s="82" customFormat="1" ht="32.25" customHeight="1" thickBot="1">
      <c r="A35" s="2000"/>
      <c r="B35" s="2009"/>
      <c r="C35" s="101" t="s">
        <v>268</v>
      </c>
      <c r="D35" s="1296"/>
      <c r="E35" s="1130"/>
      <c r="F35" s="84">
        <v>0.5</v>
      </c>
      <c r="G35" s="84"/>
      <c r="H35" s="1130"/>
      <c r="I35" s="84"/>
      <c r="J35" s="84">
        <v>0.5</v>
      </c>
      <c r="K35" s="84"/>
      <c r="L35" s="84"/>
      <c r="M35" s="84"/>
      <c r="N35" s="84">
        <v>1</v>
      </c>
      <c r="O35" s="84"/>
      <c r="P35" s="1130"/>
      <c r="Q35" s="84"/>
      <c r="R35" s="84"/>
      <c r="S35" s="84">
        <v>0.5</v>
      </c>
      <c r="T35" s="84"/>
      <c r="U35" s="84"/>
      <c r="V35" s="1130"/>
      <c r="W35" s="84"/>
      <c r="X35" s="84"/>
      <c r="Y35" s="84"/>
      <c r="Z35" s="84"/>
      <c r="AA35" s="84"/>
      <c r="AB35" s="84"/>
      <c r="AC35" s="1130"/>
      <c r="AD35" s="84"/>
      <c r="AE35" s="84"/>
      <c r="AF35" s="84"/>
      <c r="AG35" s="1126"/>
      <c r="AH35" s="84">
        <v>0.5</v>
      </c>
      <c r="AI35" s="84"/>
      <c r="AJ35" s="86">
        <f t="shared" si="41"/>
        <v>3</v>
      </c>
      <c r="AK35" s="87">
        <v>9029</v>
      </c>
      <c r="AL35" s="469">
        <f t="shared" si="42"/>
        <v>27087</v>
      </c>
    </row>
    <row r="36" spans="1:38" s="125" customFormat="1" ht="28.5" customHeight="1" thickBot="1">
      <c r="A36" s="2000"/>
      <c r="B36" s="2009"/>
      <c r="C36" s="2012" t="s">
        <v>316</v>
      </c>
      <c r="D36" s="2013"/>
      <c r="E36" s="1131">
        <f>SUM(E33:E35)</f>
        <v>0</v>
      </c>
      <c r="F36" s="124">
        <f>SUM(F33:F35)</f>
        <v>0.5</v>
      </c>
      <c r="G36" s="124">
        <f t="shared" ref="G36:K36" si="43">SUM(G33:G35)</f>
        <v>0</v>
      </c>
      <c r="H36" s="1131">
        <f t="shared" si="43"/>
        <v>0</v>
      </c>
      <c r="I36" s="124">
        <f t="shared" si="43"/>
        <v>0</v>
      </c>
      <c r="J36" s="124">
        <f t="shared" si="43"/>
        <v>0.5</v>
      </c>
      <c r="K36" s="124">
        <f t="shared" si="43"/>
        <v>0</v>
      </c>
      <c r="L36" s="124">
        <f>SUM(L33:L35)</f>
        <v>0</v>
      </c>
      <c r="M36" s="124">
        <f t="shared" ref="M36:R36" si="44">SUM(M33:M35)</f>
        <v>0</v>
      </c>
      <c r="N36" s="124">
        <f t="shared" si="44"/>
        <v>1</v>
      </c>
      <c r="O36" s="124">
        <f t="shared" si="44"/>
        <v>0</v>
      </c>
      <c r="P36" s="1131">
        <f t="shared" si="44"/>
        <v>0</v>
      </c>
      <c r="Q36" s="124">
        <f t="shared" si="44"/>
        <v>0</v>
      </c>
      <c r="R36" s="124">
        <f t="shared" si="44"/>
        <v>0</v>
      </c>
      <c r="S36" s="124">
        <f>SUM(S33:S35)</f>
        <v>0.5</v>
      </c>
      <c r="T36" s="124">
        <f t="shared" ref="T36:Y36" si="45">SUM(T33:T35)</f>
        <v>0</v>
      </c>
      <c r="U36" s="124">
        <f t="shared" si="45"/>
        <v>0</v>
      </c>
      <c r="V36" s="1131">
        <f t="shared" si="45"/>
        <v>0</v>
      </c>
      <c r="W36" s="124">
        <f t="shared" si="45"/>
        <v>0</v>
      </c>
      <c r="X36" s="124">
        <f t="shared" si="45"/>
        <v>0</v>
      </c>
      <c r="Y36" s="124">
        <f t="shared" si="45"/>
        <v>0</v>
      </c>
      <c r="Z36" s="124">
        <f>SUM(Z33:Z35)</f>
        <v>0</v>
      </c>
      <c r="AA36" s="124">
        <f t="shared" ref="AA36:AF36" si="46">SUM(AA33:AA35)</f>
        <v>0</v>
      </c>
      <c r="AB36" s="124">
        <f t="shared" si="46"/>
        <v>0</v>
      </c>
      <c r="AC36" s="1131">
        <f t="shared" si="46"/>
        <v>0</v>
      </c>
      <c r="AD36" s="124">
        <f t="shared" si="46"/>
        <v>0</v>
      </c>
      <c r="AE36" s="124">
        <f t="shared" si="46"/>
        <v>0</v>
      </c>
      <c r="AF36" s="124">
        <f t="shared" si="46"/>
        <v>0</v>
      </c>
      <c r="AG36" s="1131">
        <f>SUM(AG33:AG35)</f>
        <v>0</v>
      </c>
      <c r="AH36" s="124">
        <f t="shared" ref="AH36:AI36" si="47">SUM(AH33:AH35)</f>
        <v>0.5</v>
      </c>
      <c r="AI36" s="124">
        <f t="shared" si="47"/>
        <v>0</v>
      </c>
      <c r="AJ36" s="124">
        <f>SUM(E36:AI36)</f>
        <v>3</v>
      </c>
      <c r="AK36" s="124"/>
      <c r="AL36" s="479">
        <f>SUM(AL33:AL35)</f>
        <v>27087</v>
      </c>
    </row>
    <row r="37" spans="1:38" s="82" customFormat="1" ht="35.25" customHeight="1" thickBot="1">
      <c r="A37" s="2000"/>
      <c r="B37" s="2009"/>
      <c r="C37" s="93" t="s">
        <v>265</v>
      </c>
      <c r="D37" s="1296"/>
      <c r="E37" s="1130"/>
      <c r="F37" s="84"/>
      <c r="G37" s="84"/>
      <c r="H37" s="1130"/>
      <c r="I37" s="84"/>
      <c r="J37" s="84"/>
      <c r="K37" s="84"/>
      <c r="L37" s="84"/>
      <c r="M37" s="84"/>
      <c r="N37" s="84"/>
      <c r="O37" s="84"/>
      <c r="P37" s="1130"/>
      <c r="Q37" s="84"/>
      <c r="R37" s="84"/>
      <c r="S37" s="84"/>
      <c r="T37" s="84"/>
      <c r="U37" s="84"/>
      <c r="V37" s="1130"/>
      <c r="W37" s="84"/>
      <c r="X37" s="84"/>
      <c r="Y37" s="84"/>
      <c r="Z37" s="84"/>
      <c r="AA37" s="84"/>
      <c r="AB37" s="84"/>
      <c r="AC37" s="1130"/>
      <c r="AD37" s="84"/>
      <c r="AE37" s="84"/>
      <c r="AF37" s="84"/>
      <c r="AG37" s="1130"/>
      <c r="AH37" s="84"/>
      <c r="AI37" s="84"/>
      <c r="AJ37" s="84">
        <f t="shared" ref="AJ37" si="48">SUM(E37:AI37)</f>
        <v>0</v>
      </c>
      <c r="AK37" s="87">
        <v>20000</v>
      </c>
      <c r="AL37" s="476">
        <f>AJ37*AK37</f>
        <v>0</v>
      </c>
    </row>
    <row r="38" spans="1:38" s="125" customFormat="1" ht="28.5" customHeight="1" thickBot="1">
      <c r="A38" s="2000"/>
      <c r="B38" s="2009"/>
      <c r="C38" s="2012" t="s">
        <v>321</v>
      </c>
      <c r="D38" s="2013"/>
      <c r="E38" s="1131">
        <f t="shared" ref="E38:AI38" si="49">SUM(E37:E37)</f>
        <v>0</v>
      </c>
      <c r="F38" s="124">
        <f t="shared" si="49"/>
        <v>0</v>
      </c>
      <c r="G38" s="124">
        <f t="shared" si="49"/>
        <v>0</v>
      </c>
      <c r="H38" s="1131">
        <f t="shared" si="49"/>
        <v>0</v>
      </c>
      <c r="I38" s="124">
        <f t="shared" si="49"/>
        <v>0</v>
      </c>
      <c r="J38" s="124">
        <f t="shared" si="49"/>
        <v>0</v>
      </c>
      <c r="K38" s="124">
        <f t="shared" si="49"/>
        <v>0</v>
      </c>
      <c r="L38" s="124">
        <f t="shared" si="49"/>
        <v>0</v>
      </c>
      <c r="M38" s="124">
        <f t="shared" si="49"/>
        <v>0</v>
      </c>
      <c r="N38" s="124">
        <f t="shared" si="49"/>
        <v>0</v>
      </c>
      <c r="O38" s="124">
        <f t="shared" si="49"/>
        <v>0</v>
      </c>
      <c r="P38" s="1131">
        <f t="shared" si="49"/>
        <v>0</v>
      </c>
      <c r="Q38" s="124">
        <f t="shared" si="49"/>
        <v>0</v>
      </c>
      <c r="R38" s="124">
        <f t="shared" si="49"/>
        <v>0</v>
      </c>
      <c r="S38" s="124">
        <f t="shared" si="49"/>
        <v>0</v>
      </c>
      <c r="T38" s="124">
        <f t="shared" si="49"/>
        <v>0</v>
      </c>
      <c r="U38" s="124">
        <f t="shared" si="49"/>
        <v>0</v>
      </c>
      <c r="V38" s="1131">
        <f t="shared" si="49"/>
        <v>0</v>
      </c>
      <c r="W38" s="124">
        <f t="shared" si="49"/>
        <v>0</v>
      </c>
      <c r="X38" s="124">
        <f t="shared" si="49"/>
        <v>0</v>
      </c>
      <c r="Y38" s="124">
        <f t="shared" si="49"/>
        <v>0</v>
      </c>
      <c r="Z38" s="124">
        <f t="shared" si="49"/>
        <v>0</v>
      </c>
      <c r="AA38" s="124">
        <f t="shared" si="49"/>
        <v>0</v>
      </c>
      <c r="AB38" s="124">
        <f t="shared" si="49"/>
        <v>0</v>
      </c>
      <c r="AC38" s="1131">
        <f t="shared" si="49"/>
        <v>0</v>
      </c>
      <c r="AD38" s="124">
        <f t="shared" si="49"/>
        <v>0</v>
      </c>
      <c r="AE38" s="124">
        <f t="shared" si="49"/>
        <v>0</v>
      </c>
      <c r="AF38" s="124">
        <f t="shared" si="49"/>
        <v>0</v>
      </c>
      <c r="AG38" s="1131">
        <f t="shared" si="49"/>
        <v>0</v>
      </c>
      <c r="AH38" s="124">
        <f t="shared" si="49"/>
        <v>0</v>
      </c>
      <c r="AI38" s="124">
        <f t="shared" si="49"/>
        <v>0</v>
      </c>
      <c r="AJ38" s="124">
        <f>SUM(E38:AI38)</f>
        <v>0</v>
      </c>
      <c r="AK38" s="124"/>
      <c r="AL38" s="479">
        <f>SUM(AL37:AL37)</f>
        <v>0</v>
      </c>
    </row>
    <row r="39" spans="1:38" s="90" customFormat="1" ht="35.25" customHeight="1" thickBot="1">
      <c r="A39" s="2000"/>
      <c r="B39" s="2009"/>
      <c r="C39" s="94" t="s">
        <v>311</v>
      </c>
      <c r="D39" s="129"/>
      <c r="E39" s="1132"/>
      <c r="F39" s="130"/>
      <c r="G39" s="130"/>
      <c r="H39" s="1132"/>
      <c r="I39" s="130"/>
      <c r="J39" s="130"/>
      <c r="K39" s="130"/>
      <c r="L39" s="130"/>
      <c r="M39" s="130"/>
      <c r="N39" s="130"/>
      <c r="O39" s="130"/>
      <c r="P39" s="1132"/>
      <c r="Q39" s="130"/>
      <c r="R39" s="130"/>
      <c r="S39" s="130"/>
      <c r="T39" s="130"/>
      <c r="U39" s="130"/>
      <c r="V39" s="1132"/>
      <c r="W39" s="130"/>
      <c r="X39" s="130"/>
      <c r="Y39" s="130"/>
      <c r="Z39" s="130"/>
      <c r="AA39" s="130"/>
      <c r="AB39" s="130"/>
      <c r="AC39" s="1132"/>
      <c r="AD39" s="130"/>
      <c r="AE39" s="130"/>
      <c r="AF39" s="130"/>
      <c r="AG39" s="1132"/>
      <c r="AH39" s="130"/>
      <c r="AI39" s="130"/>
      <c r="AJ39" s="130">
        <f t="shared" ref="AJ39:AJ58" si="50">SUM(E39:AI39)</f>
        <v>0</v>
      </c>
      <c r="AK39" s="131">
        <v>6000</v>
      </c>
      <c r="AL39" s="480">
        <f>AJ39*AK39</f>
        <v>0</v>
      </c>
    </row>
    <row r="40" spans="1:38" s="90" customFormat="1" ht="48.75" customHeight="1" thickBot="1">
      <c r="A40" s="1996" t="s">
        <v>357</v>
      </c>
      <c r="B40" s="1997"/>
      <c r="C40" s="1997"/>
      <c r="D40" s="1998"/>
      <c r="E40" s="1121"/>
      <c r="F40" s="99"/>
      <c r="G40" s="99"/>
      <c r="H40" s="1121"/>
      <c r="I40" s="99"/>
      <c r="J40" s="99"/>
      <c r="K40" s="99"/>
      <c r="L40" s="99"/>
      <c r="M40" s="99"/>
      <c r="N40" s="99"/>
      <c r="O40" s="99"/>
      <c r="P40" s="1121"/>
      <c r="Q40" s="99"/>
      <c r="R40" s="99"/>
      <c r="S40" s="99"/>
      <c r="T40" s="99"/>
      <c r="U40" s="99"/>
      <c r="V40" s="1121"/>
      <c r="W40" s="99"/>
      <c r="X40" s="99"/>
      <c r="Y40" s="99"/>
      <c r="Z40" s="99"/>
      <c r="AA40" s="99"/>
      <c r="AB40" s="99"/>
      <c r="AC40" s="1121"/>
      <c r="AD40" s="99"/>
      <c r="AE40" s="99"/>
      <c r="AF40" s="99"/>
      <c r="AG40" s="1121"/>
      <c r="AH40" s="99"/>
      <c r="AI40" s="99"/>
      <c r="AJ40" s="99"/>
      <c r="AK40" s="189"/>
      <c r="AL40" s="481">
        <f>AL36+AL38+AL39</f>
        <v>27087</v>
      </c>
    </row>
    <row r="41" spans="1:38" s="82" customFormat="1" ht="33" customHeight="1">
      <c r="A41" s="1999" t="s">
        <v>319</v>
      </c>
      <c r="B41" s="2009" t="s">
        <v>154</v>
      </c>
      <c r="C41" s="100" t="s">
        <v>312</v>
      </c>
      <c r="D41" s="2027" t="s">
        <v>298</v>
      </c>
      <c r="E41" s="1122"/>
      <c r="F41" s="91"/>
      <c r="G41" s="91"/>
      <c r="H41" s="1122"/>
      <c r="I41" s="91"/>
      <c r="J41" s="91"/>
      <c r="K41" s="91"/>
      <c r="L41" s="91"/>
      <c r="M41" s="91"/>
      <c r="N41" s="91"/>
      <c r="O41" s="91"/>
      <c r="P41" s="1122"/>
      <c r="Q41" s="91"/>
      <c r="R41" s="91"/>
      <c r="S41" s="91"/>
      <c r="T41" s="91"/>
      <c r="U41" s="91"/>
      <c r="V41" s="1122"/>
      <c r="W41" s="91"/>
      <c r="X41" s="91"/>
      <c r="Y41" s="91"/>
      <c r="Z41" s="91"/>
      <c r="AA41" s="91"/>
      <c r="AB41" s="91"/>
      <c r="AC41" s="1122"/>
      <c r="AD41" s="91"/>
      <c r="AE41" s="91"/>
      <c r="AF41" s="91"/>
      <c r="AG41" s="1122"/>
      <c r="AH41" s="91"/>
      <c r="AI41" s="91"/>
      <c r="AJ41" s="91">
        <f t="shared" si="50"/>
        <v>0</v>
      </c>
      <c r="AK41" s="92">
        <v>5500</v>
      </c>
      <c r="AL41" s="468">
        <f>AJ41*AK41</f>
        <v>0</v>
      </c>
    </row>
    <row r="42" spans="1:38" s="82" customFormat="1" ht="33" customHeight="1">
      <c r="A42" s="2000"/>
      <c r="B42" s="2009"/>
      <c r="C42" s="89" t="s">
        <v>314</v>
      </c>
      <c r="D42" s="2028"/>
      <c r="E42" s="1123"/>
      <c r="F42" s="83"/>
      <c r="G42" s="83"/>
      <c r="H42" s="1123"/>
      <c r="I42" s="83"/>
      <c r="J42" s="83"/>
      <c r="K42" s="83"/>
      <c r="L42" s="83"/>
      <c r="M42" s="83"/>
      <c r="N42" s="83"/>
      <c r="O42" s="83"/>
      <c r="P42" s="1123"/>
      <c r="Q42" s="83"/>
      <c r="R42" s="83"/>
      <c r="S42" s="83"/>
      <c r="T42" s="83"/>
      <c r="U42" s="83"/>
      <c r="V42" s="1123"/>
      <c r="W42" s="83"/>
      <c r="X42" s="83"/>
      <c r="Y42" s="83"/>
      <c r="Z42" s="83"/>
      <c r="AA42" s="83"/>
      <c r="AB42" s="83"/>
      <c r="AC42" s="1123"/>
      <c r="AD42" s="83"/>
      <c r="AE42" s="83"/>
      <c r="AF42" s="83"/>
      <c r="AG42" s="1123"/>
      <c r="AH42" s="83"/>
      <c r="AI42" s="83"/>
      <c r="AJ42" s="83">
        <f t="shared" si="50"/>
        <v>0</v>
      </c>
      <c r="AK42" s="85">
        <v>11500</v>
      </c>
      <c r="AL42" s="473">
        <f>AJ42*AK42</f>
        <v>0</v>
      </c>
    </row>
    <row r="43" spans="1:38" s="82" customFormat="1" ht="33" customHeight="1">
      <c r="A43" s="2000"/>
      <c r="B43" s="2009"/>
      <c r="C43" s="89" t="s">
        <v>299</v>
      </c>
      <c r="D43" s="2028"/>
      <c r="E43" s="1123"/>
      <c r="F43" s="83"/>
      <c r="G43" s="83"/>
      <c r="H43" s="1123"/>
      <c r="I43" s="83"/>
      <c r="J43" s="83"/>
      <c r="K43" s="83"/>
      <c r="L43" s="83"/>
      <c r="M43" s="83"/>
      <c r="N43" s="83"/>
      <c r="O43" s="83"/>
      <c r="P43" s="1123"/>
      <c r="Q43" s="83"/>
      <c r="R43" s="83"/>
      <c r="S43" s="83"/>
      <c r="T43" s="83"/>
      <c r="U43" s="83"/>
      <c r="V43" s="1123"/>
      <c r="W43" s="83"/>
      <c r="X43" s="191"/>
      <c r="Y43" s="83"/>
      <c r="Z43" s="83"/>
      <c r="AA43" s="83"/>
      <c r="AB43" s="83"/>
      <c r="AC43" s="1123"/>
      <c r="AD43" s="83"/>
      <c r="AE43" s="113"/>
      <c r="AF43" s="83"/>
      <c r="AG43" s="1123"/>
      <c r="AH43" s="83"/>
      <c r="AI43" s="83"/>
      <c r="AJ43" s="83">
        <f t="shared" si="50"/>
        <v>0</v>
      </c>
      <c r="AK43" s="85">
        <v>16000</v>
      </c>
      <c r="AL43" s="473">
        <f t="shared" ref="AL43:AL46" si="51">AJ43*AK43</f>
        <v>0</v>
      </c>
    </row>
    <row r="44" spans="1:38" s="90" customFormat="1" ht="33" customHeight="1">
      <c r="A44" s="2000"/>
      <c r="B44" s="2009"/>
      <c r="C44" s="112" t="s">
        <v>301</v>
      </c>
      <c r="D44" s="2029"/>
      <c r="E44" s="1124"/>
      <c r="F44" s="113"/>
      <c r="G44" s="113"/>
      <c r="H44" s="1124"/>
      <c r="I44" s="113"/>
      <c r="J44" s="116"/>
      <c r="K44" s="116">
        <v>2.56</v>
      </c>
      <c r="L44" s="113"/>
      <c r="M44" s="113">
        <v>2.02</v>
      </c>
      <c r="N44" s="113"/>
      <c r="O44" s="113"/>
      <c r="P44" s="1124"/>
      <c r="Q44" s="113"/>
      <c r="R44" s="113"/>
      <c r="S44" s="113"/>
      <c r="T44" s="113"/>
      <c r="U44" s="113">
        <v>2.8</v>
      </c>
      <c r="V44" s="1124"/>
      <c r="W44" s="113">
        <v>3.68</v>
      </c>
      <c r="X44" s="113">
        <v>2.75</v>
      </c>
      <c r="Y44" s="113"/>
      <c r="Z44" s="113"/>
      <c r="AA44" s="113"/>
      <c r="AB44" s="113"/>
      <c r="AC44" s="1124"/>
      <c r="AD44" s="113"/>
      <c r="AE44" s="113"/>
      <c r="AF44" s="113"/>
      <c r="AG44" s="1124"/>
      <c r="AH44" s="113"/>
      <c r="AI44" s="113"/>
      <c r="AJ44" s="113">
        <f t="shared" si="50"/>
        <v>13.81</v>
      </c>
      <c r="AK44" s="114">
        <v>18000</v>
      </c>
      <c r="AL44" s="474">
        <f t="shared" si="51"/>
        <v>248580</v>
      </c>
    </row>
    <row r="45" spans="1:38" s="90" customFormat="1" ht="33" customHeight="1">
      <c r="A45" s="2000"/>
      <c r="B45" s="2009"/>
      <c r="C45" s="115" t="s">
        <v>303</v>
      </c>
      <c r="D45" s="2030"/>
      <c r="E45" s="1125"/>
      <c r="F45" s="113">
        <v>0.09</v>
      </c>
      <c r="G45" s="116">
        <v>2.87</v>
      </c>
      <c r="H45" s="1125"/>
      <c r="I45" s="116">
        <v>4.12</v>
      </c>
      <c r="J45" s="116">
        <v>3.41</v>
      </c>
      <c r="K45" s="116"/>
      <c r="L45" s="116"/>
      <c r="M45" s="116"/>
      <c r="N45" s="116">
        <v>3.66</v>
      </c>
      <c r="O45" s="116"/>
      <c r="P45" s="1125"/>
      <c r="Q45" s="116"/>
      <c r="R45" s="116">
        <v>2.37</v>
      </c>
      <c r="S45" s="116"/>
      <c r="T45" s="116"/>
      <c r="U45" s="116"/>
      <c r="V45" s="1125"/>
      <c r="W45" s="116"/>
      <c r="X45" s="113"/>
      <c r="Y45" s="116">
        <v>2.9</v>
      </c>
      <c r="Z45" s="116"/>
      <c r="AA45" s="116"/>
      <c r="AB45" s="116"/>
      <c r="AC45" s="1125"/>
      <c r="AD45" s="116"/>
      <c r="AE45" s="116"/>
      <c r="AF45" s="116"/>
      <c r="AG45" s="1125"/>
      <c r="AH45" s="116"/>
      <c r="AI45" s="116"/>
      <c r="AJ45" s="116">
        <f t="shared" si="50"/>
        <v>19.419999999999998</v>
      </c>
      <c r="AK45" s="117">
        <v>20000</v>
      </c>
      <c r="AL45" s="474">
        <f t="shared" si="51"/>
        <v>388399.99999999994</v>
      </c>
    </row>
    <row r="46" spans="1:38" s="82" customFormat="1" ht="33" customHeight="1" thickBot="1">
      <c r="A46" s="2000"/>
      <c r="B46" s="2009"/>
      <c r="C46" s="94" t="s">
        <v>313</v>
      </c>
      <c r="D46" s="2031"/>
      <c r="E46" s="1126"/>
      <c r="F46" s="95"/>
      <c r="G46" s="95"/>
      <c r="H46" s="1126"/>
      <c r="I46" s="95"/>
      <c r="J46" s="95"/>
      <c r="K46" s="95"/>
      <c r="L46" s="95"/>
      <c r="M46" s="95"/>
      <c r="N46" s="95"/>
      <c r="O46" s="95"/>
      <c r="P46" s="1126"/>
      <c r="Q46" s="95"/>
      <c r="R46" s="95"/>
      <c r="S46" s="95"/>
      <c r="T46" s="95"/>
      <c r="U46" s="95"/>
      <c r="V46" s="1126"/>
      <c r="W46" s="95"/>
      <c r="X46" s="95"/>
      <c r="Y46" s="95"/>
      <c r="Z46" s="95"/>
      <c r="AA46" s="95"/>
      <c r="AB46" s="95"/>
      <c r="AC46" s="1126"/>
      <c r="AD46" s="95"/>
      <c r="AE46" s="95"/>
      <c r="AF46" s="95"/>
      <c r="AG46" s="1126"/>
      <c r="AH46" s="95"/>
      <c r="AI46" s="95"/>
      <c r="AJ46" s="95">
        <f t="shared" si="50"/>
        <v>0</v>
      </c>
      <c r="AK46" s="96">
        <v>30000</v>
      </c>
      <c r="AL46" s="473">
        <f t="shared" si="51"/>
        <v>0</v>
      </c>
    </row>
    <row r="47" spans="1:38" s="82" customFormat="1" ht="33" customHeight="1">
      <c r="A47" s="2000"/>
      <c r="B47" s="2009"/>
      <c r="C47" s="100" t="s">
        <v>312</v>
      </c>
      <c r="D47" s="2027" t="s">
        <v>300</v>
      </c>
      <c r="E47" s="1122"/>
      <c r="F47" s="91"/>
      <c r="G47" s="91"/>
      <c r="H47" s="1122"/>
      <c r="I47" s="91"/>
      <c r="J47" s="91"/>
      <c r="K47" s="91"/>
      <c r="L47" s="91"/>
      <c r="M47" s="91"/>
      <c r="N47" s="91"/>
      <c r="O47" s="91"/>
      <c r="P47" s="1122"/>
      <c r="Q47" s="91"/>
      <c r="R47" s="91"/>
      <c r="S47" s="91"/>
      <c r="T47" s="91"/>
      <c r="U47" s="91"/>
      <c r="V47" s="1122"/>
      <c r="W47" s="91"/>
      <c r="X47" s="91"/>
      <c r="Y47" s="91"/>
      <c r="Z47" s="91"/>
      <c r="AA47" s="91"/>
      <c r="AB47" s="91"/>
      <c r="AC47" s="1122"/>
      <c r="AD47" s="91"/>
      <c r="AE47" s="91"/>
      <c r="AF47" s="91"/>
      <c r="AG47" s="1122"/>
      <c r="AH47" s="91"/>
      <c r="AI47" s="91"/>
      <c r="AJ47" s="91">
        <f t="shared" si="50"/>
        <v>0</v>
      </c>
      <c r="AK47" s="92">
        <v>14500</v>
      </c>
      <c r="AL47" s="468">
        <f>AJ47*AK47</f>
        <v>0</v>
      </c>
    </row>
    <row r="48" spans="1:38" s="82" customFormat="1" ht="33" customHeight="1">
      <c r="A48" s="2000"/>
      <c r="B48" s="2009"/>
      <c r="C48" s="89" t="s">
        <v>314</v>
      </c>
      <c r="D48" s="2028"/>
      <c r="E48" s="1123"/>
      <c r="F48" s="83"/>
      <c r="G48" s="83"/>
      <c r="H48" s="1123"/>
      <c r="I48" s="83"/>
      <c r="J48" s="83"/>
      <c r="K48" s="83"/>
      <c r="L48" s="83"/>
      <c r="M48" s="83"/>
      <c r="N48" s="83"/>
      <c r="O48" s="83"/>
      <c r="P48" s="1123"/>
      <c r="Q48" s="83"/>
      <c r="R48" s="83"/>
      <c r="S48" s="83"/>
      <c r="T48" s="83"/>
      <c r="U48" s="83"/>
      <c r="V48" s="1123"/>
      <c r="W48" s="83"/>
      <c r="X48" s="83"/>
      <c r="Y48" s="83"/>
      <c r="Z48" s="83"/>
      <c r="AA48" s="83"/>
      <c r="AB48" s="83"/>
      <c r="AC48" s="1123"/>
      <c r="AD48" s="83"/>
      <c r="AE48" s="83"/>
      <c r="AF48" s="83"/>
      <c r="AG48" s="1123"/>
      <c r="AH48" s="83"/>
      <c r="AI48" s="83"/>
      <c r="AJ48" s="83">
        <f t="shared" si="50"/>
        <v>0</v>
      </c>
      <c r="AK48" s="85">
        <v>17500</v>
      </c>
      <c r="AL48" s="473">
        <f>AJ48*AK48</f>
        <v>0</v>
      </c>
    </row>
    <row r="49" spans="1:38" s="82" customFormat="1" ht="33" customHeight="1">
      <c r="A49" s="2000"/>
      <c r="B49" s="2009"/>
      <c r="C49" s="89" t="s">
        <v>299</v>
      </c>
      <c r="D49" s="2029"/>
      <c r="E49" s="1123"/>
      <c r="F49" s="83"/>
      <c r="G49" s="83"/>
      <c r="H49" s="1123"/>
      <c r="I49" s="83"/>
      <c r="J49" s="83"/>
      <c r="K49" s="83"/>
      <c r="L49" s="83"/>
      <c r="M49" s="83"/>
      <c r="N49" s="83"/>
      <c r="O49" s="83"/>
      <c r="P49" s="1123"/>
      <c r="Q49" s="83"/>
      <c r="R49" s="83"/>
      <c r="S49" s="83"/>
      <c r="T49" s="83"/>
      <c r="U49" s="83"/>
      <c r="V49" s="1123"/>
      <c r="W49" s="113"/>
      <c r="X49" s="83"/>
      <c r="Y49" s="83"/>
      <c r="Z49" s="83"/>
      <c r="AA49" s="83"/>
      <c r="AB49" s="83"/>
      <c r="AC49" s="1123"/>
      <c r="AD49" s="83"/>
      <c r="AE49" s="83"/>
      <c r="AF49" s="83"/>
      <c r="AG49" s="1123"/>
      <c r="AH49" s="83"/>
      <c r="AI49" s="83"/>
      <c r="AJ49" s="83">
        <f t="shared" si="50"/>
        <v>0</v>
      </c>
      <c r="AK49" s="87">
        <v>20500</v>
      </c>
      <c r="AL49" s="473">
        <f t="shared" ref="AL49:AL52" si="52">AJ49*AK49</f>
        <v>0</v>
      </c>
    </row>
    <row r="50" spans="1:38" s="90" customFormat="1" ht="33" customHeight="1">
      <c r="A50" s="2000"/>
      <c r="B50" s="2009"/>
      <c r="C50" s="112" t="s">
        <v>301</v>
      </c>
      <c r="D50" s="2030"/>
      <c r="E50" s="1124"/>
      <c r="F50" s="113"/>
      <c r="G50" s="113"/>
      <c r="H50" s="1124"/>
      <c r="I50" s="113"/>
      <c r="J50" s="113"/>
      <c r="K50" s="113"/>
      <c r="L50" s="113"/>
      <c r="M50" s="113"/>
      <c r="N50" s="113"/>
      <c r="O50" s="113"/>
      <c r="P50" s="1124"/>
      <c r="Q50" s="113"/>
      <c r="R50" s="113"/>
      <c r="S50" s="113"/>
      <c r="T50" s="113"/>
      <c r="U50" s="113"/>
      <c r="V50" s="1124"/>
      <c r="W50" s="113"/>
      <c r="X50" s="113"/>
      <c r="Y50" s="113"/>
      <c r="Z50" s="113"/>
      <c r="AA50" s="113"/>
      <c r="AB50" s="113"/>
      <c r="AC50" s="1124"/>
      <c r="AD50" s="113"/>
      <c r="AE50" s="113"/>
      <c r="AF50" s="113"/>
      <c r="AG50" s="1124"/>
      <c r="AH50" s="113"/>
      <c r="AI50" s="113"/>
      <c r="AJ50" s="113">
        <f t="shared" si="50"/>
        <v>0</v>
      </c>
      <c r="AK50" s="117">
        <v>20750</v>
      </c>
      <c r="AL50" s="474">
        <f t="shared" si="52"/>
        <v>0</v>
      </c>
    </row>
    <row r="51" spans="1:38" s="90" customFormat="1" ht="33" customHeight="1">
      <c r="A51" s="2000"/>
      <c r="B51" s="2009"/>
      <c r="C51" s="115" t="s">
        <v>303</v>
      </c>
      <c r="D51" s="2030"/>
      <c r="E51" s="1125"/>
      <c r="F51" s="113"/>
      <c r="G51" s="116"/>
      <c r="H51" s="1125"/>
      <c r="I51" s="116"/>
      <c r="J51" s="116"/>
      <c r="K51" s="116"/>
      <c r="L51" s="116"/>
      <c r="M51" s="116"/>
      <c r="N51" s="116"/>
      <c r="O51" s="116"/>
      <c r="P51" s="1125"/>
      <c r="Q51" s="116"/>
      <c r="R51" s="116"/>
      <c r="S51" s="116"/>
      <c r="T51" s="116"/>
      <c r="U51" s="116"/>
      <c r="V51" s="1125"/>
      <c r="W51" s="116"/>
      <c r="X51" s="116"/>
      <c r="Y51" s="116"/>
      <c r="Z51" s="116"/>
      <c r="AA51" s="116"/>
      <c r="AB51" s="116"/>
      <c r="AC51" s="1125"/>
      <c r="AD51" s="116"/>
      <c r="AE51" s="116"/>
      <c r="AF51" s="116"/>
      <c r="AG51" s="1125"/>
      <c r="AH51" s="116"/>
      <c r="AI51" s="116"/>
      <c r="AJ51" s="116">
        <f t="shared" si="50"/>
        <v>0</v>
      </c>
      <c r="AK51" s="117">
        <v>25000</v>
      </c>
      <c r="AL51" s="474">
        <f t="shared" si="52"/>
        <v>0</v>
      </c>
    </row>
    <row r="52" spans="1:38" s="82" customFormat="1" ht="33" customHeight="1" thickBot="1">
      <c r="A52" s="2000"/>
      <c r="B52" s="2009"/>
      <c r="C52" s="94" t="s">
        <v>313</v>
      </c>
      <c r="D52" s="2031"/>
      <c r="E52" s="1126"/>
      <c r="F52" s="95"/>
      <c r="G52" s="95"/>
      <c r="H52" s="1126"/>
      <c r="I52" s="95"/>
      <c r="J52" s="95"/>
      <c r="K52" s="95"/>
      <c r="L52" s="95"/>
      <c r="M52" s="95"/>
      <c r="N52" s="95"/>
      <c r="O52" s="95"/>
      <c r="P52" s="1126"/>
      <c r="Q52" s="95"/>
      <c r="R52" s="95"/>
      <c r="S52" s="95"/>
      <c r="T52" s="95"/>
      <c r="U52" s="95"/>
      <c r="V52" s="1126"/>
      <c r="W52" s="95"/>
      <c r="X52" s="95"/>
      <c r="Y52" s="95"/>
      <c r="Z52" s="95"/>
      <c r="AA52" s="95"/>
      <c r="AB52" s="95"/>
      <c r="AC52" s="1126"/>
      <c r="AD52" s="95"/>
      <c r="AE52" s="95"/>
      <c r="AF52" s="95"/>
      <c r="AG52" s="1126"/>
      <c r="AH52" s="95"/>
      <c r="AI52" s="95"/>
      <c r="AJ52" s="95">
        <f t="shared" si="50"/>
        <v>0</v>
      </c>
      <c r="AK52" s="96">
        <v>35000</v>
      </c>
      <c r="AL52" s="473">
        <f t="shared" si="52"/>
        <v>0</v>
      </c>
    </row>
    <row r="53" spans="1:38" s="82" customFormat="1" ht="33" customHeight="1">
      <c r="A53" s="2000"/>
      <c r="B53" s="2009"/>
      <c r="C53" s="100" t="s">
        <v>312</v>
      </c>
      <c r="D53" s="2028" t="s">
        <v>302</v>
      </c>
      <c r="E53" s="1122"/>
      <c r="F53" s="91"/>
      <c r="G53" s="91"/>
      <c r="H53" s="1122"/>
      <c r="I53" s="91"/>
      <c r="J53" s="91"/>
      <c r="K53" s="91"/>
      <c r="L53" s="91"/>
      <c r="M53" s="91"/>
      <c r="N53" s="91"/>
      <c r="O53" s="91"/>
      <c r="P53" s="1122"/>
      <c r="Q53" s="91"/>
      <c r="R53" s="91"/>
      <c r="S53" s="91"/>
      <c r="T53" s="91"/>
      <c r="U53" s="91"/>
      <c r="V53" s="1122"/>
      <c r="W53" s="91"/>
      <c r="X53" s="91"/>
      <c r="Y53" s="91"/>
      <c r="Z53" s="91"/>
      <c r="AA53" s="91"/>
      <c r="AB53" s="91"/>
      <c r="AC53" s="1122"/>
      <c r="AD53" s="91"/>
      <c r="AE53" s="91"/>
      <c r="AF53" s="91"/>
      <c r="AG53" s="1122"/>
      <c r="AH53" s="91"/>
      <c r="AI53" s="91"/>
      <c r="AJ53" s="91">
        <f t="shared" si="50"/>
        <v>0</v>
      </c>
      <c r="AK53" s="85">
        <v>16000</v>
      </c>
      <c r="AL53" s="468">
        <f>AJ53*AK53</f>
        <v>0</v>
      </c>
    </row>
    <row r="54" spans="1:38" s="82" customFormat="1" ht="33" customHeight="1">
      <c r="A54" s="2000"/>
      <c r="B54" s="2009"/>
      <c r="C54" s="89" t="s">
        <v>314</v>
      </c>
      <c r="D54" s="2028"/>
      <c r="E54" s="1123"/>
      <c r="F54" s="83"/>
      <c r="G54" s="83"/>
      <c r="H54" s="1123"/>
      <c r="I54" s="83"/>
      <c r="J54" s="83"/>
      <c r="K54" s="83"/>
      <c r="L54" s="83"/>
      <c r="M54" s="83"/>
      <c r="N54" s="83"/>
      <c r="O54" s="83"/>
      <c r="P54" s="1123"/>
      <c r="Q54" s="83"/>
      <c r="R54" s="83"/>
      <c r="S54" s="83"/>
      <c r="T54" s="83"/>
      <c r="U54" s="83"/>
      <c r="V54" s="1123"/>
      <c r="W54" s="83"/>
      <c r="X54" s="83"/>
      <c r="Y54" s="83"/>
      <c r="Z54" s="83"/>
      <c r="AA54" s="83"/>
      <c r="AB54" s="83"/>
      <c r="AC54" s="1123"/>
      <c r="AD54" s="83"/>
      <c r="AE54" s="83"/>
      <c r="AF54" s="83"/>
      <c r="AG54" s="1123"/>
      <c r="AH54" s="83"/>
      <c r="AI54" s="83"/>
      <c r="AJ54" s="83">
        <f t="shared" si="50"/>
        <v>0</v>
      </c>
      <c r="AK54" s="85">
        <v>19000</v>
      </c>
      <c r="AL54" s="473">
        <f>AJ54*AK54</f>
        <v>0</v>
      </c>
    </row>
    <row r="55" spans="1:38" s="90" customFormat="1" ht="33" customHeight="1">
      <c r="A55" s="2000"/>
      <c r="B55" s="2009"/>
      <c r="C55" s="109" t="s">
        <v>299</v>
      </c>
      <c r="D55" s="2028"/>
      <c r="E55" s="1127"/>
      <c r="F55" s="110"/>
      <c r="G55" s="110"/>
      <c r="H55" s="1127"/>
      <c r="I55" s="110"/>
      <c r="J55" s="110"/>
      <c r="K55" s="110"/>
      <c r="L55" s="110"/>
      <c r="M55" s="110"/>
      <c r="N55" s="110"/>
      <c r="O55" s="110"/>
      <c r="P55" s="1127"/>
      <c r="Q55" s="110"/>
      <c r="R55" s="110"/>
      <c r="S55" s="110"/>
      <c r="T55" s="110"/>
      <c r="U55" s="110"/>
      <c r="V55" s="1127"/>
      <c r="W55" s="110"/>
      <c r="X55" s="110"/>
      <c r="Y55" s="110"/>
      <c r="Z55" s="110"/>
      <c r="AA55" s="110"/>
      <c r="AB55" s="110"/>
      <c r="AC55" s="1127"/>
      <c r="AD55" s="110"/>
      <c r="AE55" s="110"/>
      <c r="AF55" s="110"/>
      <c r="AG55" s="1127"/>
      <c r="AH55" s="110"/>
      <c r="AI55" s="110"/>
      <c r="AJ55" s="110">
        <f t="shared" si="50"/>
        <v>0</v>
      </c>
      <c r="AK55" s="111">
        <v>22000</v>
      </c>
      <c r="AL55" s="474">
        <f t="shared" ref="AL55:AL58" si="53">AJ55*AK55</f>
        <v>0</v>
      </c>
    </row>
    <row r="56" spans="1:38" s="90" customFormat="1" ht="33" customHeight="1">
      <c r="A56" s="2000"/>
      <c r="B56" s="2009"/>
      <c r="C56" s="112" t="s">
        <v>301</v>
      </c>
      <c r="D56" s="2028"/>
      <c r="E56" s="1124"/>
      <c r="F56" s="113"/>
      <c r="G56" s="113"/>
      <c r="H56" s="1124"/>
      <c r="I56" s="113"/>
      <c r="J56" s="113"/>
      <c r="K56" s="113"/>
      <c r="L56" s="113"/>
      <c r="M56" s="113"/>
      <c r="N56" s="113"/>
      <c r="O56" s="113"/>
      <c r="P56" s="1124"/>
      <c r="Q56" s="113"/>
      <c r="R56" s="113"/>
      <c r="S56" s="113"/>
      <c r="T56" s="113"/>
      <c r="U56" s="113"/>
      <c r="V56" s="1124"/>
      <c r="W56" s="110"/>
      <c r="X56" s="113"/>
      <c r="Y56" s="113"/>
      <c r="Z56" s="113"/>
      <c r="AA56" s="113"/>
      <c r="AB56" s="113"/>
      <c r="AC56" s="1124"/>
      <c r="AD56" s="113"/>
      <c r="AE56" s="113"/>
      <c r="AF56" s="113"/>
      <c r="AG56" s="1124"/>
      <c r="AH56" s="113"/>
      <c r="AI56" s="113"/>
      <c r="AJ56" s="113">
        <f t="shared" si="50"/>
        <v>0</v>
      </c>
      <c r="AK56" s="111">
        <v>23000</v>
      </c>
      <c r="AL56" s="474">
        <f t="shared" si="53"/>
        <v>0</v>
      </c>
    </row>
    <row r="57" spans="1:38" s="90" customFormat="1" ht="33" customHeight="1">
      <c r="A57" s="2000"/>
      <c r="B57" s="2009"/>
      <c r="C57" s="115" t="s">
        <v>303</v>
      </c>
      <c r="D57" s="2029"/>
      <c r="E57" s="1125"/>
      <c r="F57" s="113"/>
      <c r="G57" s="116"/>
      <c r="H57" s="1125"/>
      <c r="I57" s="116"/>
      <c r="J57" s="116"/>
      <c r="K57" s="116"/>
      <c r="L57" s="116"/>
      <c r="M57" s="116"/>
      <c r="N57" s="116"/>
      <c r="O57" s="116"/>
      <c r="P57" s="1125"/>
      <c r="Q57" s="116"/>
      <c r="R57" s="116"/>
      <c r="S57" s="116"/>
      <c r="T57" s="116"/>
      <c r="U57" s="116"/>
      <c r="V57" s="1125"/>
      <c r="W57" s="116"/>
      <c r="X57" s="116"/>
      <c r="Y57" s="116"/>
      <c r="Z57" s="116"/>
      <c r="AA57" s="116"/>
      <c r="AB57" s="116"/>
      <c r="AC57" s="1125"/>
      <c r="AD57" s="116"/>
      <c r="AE57" s="116"/>
      <c r="AF57" s="116"/>
      <c r="AG57" s="1125"/>
      <c r="AH57" s="116"/>
      <c r="AI57" s="116"/>
      <c r="AJ57" s="116">
        <f t="shared" si="50"/>
        <v>0</v>
      </c>
      <c r="AK57" s="114">
        <v>30000</v>
      </c>
      <c r="AL57" s="474">
        <f t="shared" si="53"/>
        <v>0</v>
      </c>
    </row>
    <row r="58" spans="1:38" s="82" customFormat="1" ht="33" customHeight="1" thickBot="1">
      <c r="A58" s="2000"/>
      <c r="B58" s="2009"/>
      <c r="C58" s="94" t="s">
        <v>313</v>
      </c>
      <c r="D58" s="2030"/>
      <c r="E58" s="1126"/>
      <c r="F58" s="95"/>
      <c r="G58" s="95"/>
      <c r="H58" s="1126"/>
      <c r="I58" s="95"/>
      <c r="J58" s="95"/>
      <c r="K58" s="95"/>
      <c r="L58" s="95"/>
      <c r="M58" s="95"/>
      <c r="N58" s="95"/>
      <c r="O58" s="95"/>
      <c r="P58" s="1126"/>
      <c r="Q58" s="95"/>
      <c r="R58" s="95"/>
      <c r="S58" s="95"/>
      <c r="T58" s="95"/>
      <c r="U58" s="95"/>
      <c r="V58" s="1126"/>
      <c r="W58" s="95"/>
      <c r="X58" s="95"/>
      <c r="Y58" s="95"/>
      <c r="Z58" s="95"/>
      <c r="AA58" s="95"/>
      <c r="AB58" s="95"/>
      <c r="AC58" s="1126"/>
      <c r="AD58" s="95"/>
      <c r="AE58" s="95"/>
      <c r="AF58" s="95"/>
      <c r="AG58" s="1126"/>
      <c r="AH58" s="95"/>
      <c r="AI58" s="95"/>
      <c r="AJ58" s="95">
        <f t="shared" si="50"/>
        <v>0</v>
      </c>
      <c r="AK58" s="98">
        <v>40000</v>
      </c>
      <c r="AL58" s="473">
        <f t="shared" si="53"/>
        <v>0</v>
      </c>
    </row>
    <row r="59" spans="1:38" s="127" customFormat="1" ht="28.5" customHeight="1" thickBot="1">
      <c r="A59" s="2000"/>
      <c r="B59" s="2009"/>
      <c r="C59" s="2021" t="s">
        <v>323</v>
      </c>
      <c r="D59" s="2022"/>
      <c r="E59" s="1128">
        <f t="shared" ref="E59:AJ59" si="54">SUM(E41:E58)</f>
        <v>0</v>
      </c>
      <c r="F59" s="126">
        <f t="shared" si="54"/>
        <v>0.09</v>
      </c>
      <c r="G59" s="126">
        <f t="shared" si="54"/>
        <v>2.87</v>
      </c>
      <c r="H59" s="1128">
        <f t="shared" si="54"/>
        <v>0</v>
      </c>
      <c r="I59" s="126">
        <f t="shared" si="54"/>
        <v>4.12</v>
      </c>
      <c r="J59" s="126">
        <f t="shared" si="54"/>
        <v>3.41</v>
      </c>
      <c r="K59" s="126">
        <f t="shared" si="54"/>
        <v>2.56</v>
      </c>
      <c r="L59" s="126">
        <f t="shared" si="54"/>
        <v>0</v>
      </c>
      <c r="M59" s="126">
        <f t="shared" si="54"/>
        <v>2.02</v>
      </c>
      <c r="N59" s="126">
        <f t="shared" si="54"/>
        <v>3.66</v>
      </c>
      <c r="O59" s="126">
        <f t="shared" si="54"/>
        <v>0</v>
      </c>
      <c r="P59" s="1128">
        <f t="shared" si="54"/>
        <v>0</v>
      </c>
      <c r="Q59" s="126">
        <f t="shared" si="54"/>
        <v>0</v>
      </c>
      <c r="R59" s="126">
        <f t="shared" si="54"/>
        <v>2.37</v>
      </c>
      <c r="S59" s="126">
        <f t="shared" si="54"/>
        <v>0</v>
      </c>
      <c r="T59" s="126">
        <f t="shared" si="54"/>
        <v>0</v>
      </c>
      <c r="U59" s="126">
        <f t="shared" si="54"/>
        <v>2.8</v>
      </c>
      <c r="V59" s="1128">
        <f t="shared" si="54"/>
        <v>0</v>
      </c>
      <c r="W59" s="126">
        <f t="shared" si="54"/>
        <v>3.68</v>
      </c>
      <c r="X59" s="126">
        <f t="shared" si="54"/>
        <v>2.75</v>
      </c>
      <c r="Y59" s="126">
        <f t="shared" si="54"/>
        <v>2.9</v>
      </c>
      <c r="Z59" s="126">
        <f t="shared" si="54"/>
        <v>0</v>
      </c>
      <c r="AA59" s="126">
        <f t="shared" si="54"/>
        <v>0</v>
      </c>
      <c r="AB59" s="126">
        <f t="shared" si="54"/>
        <v>0</v>
      </c>
      <c r="AC59" s="1128">
        <f t="shared" si="54"/>
        <v>0</v>
      </c>
      <c r="AD59" s="126">
        <f t="shared" si="54"/>
        <v>0</v>
      </c>
      <c r="AE59" s="126">
        <f t="shared" si="54"/>
        <v>0</v>
      </c>
      <c r="AF59" s="126">
        <f t="shared" si="54"/>
        <v>0</v>
      </c>
      <c r="AG59" s="1128">
        <f t="shared" si="54"/>
        <v>0</v>
      </c>
      <c r="AH59" s="126">
        <f t="shared" si="54"/>
        <v>0</v>
      </c>
      <c r="AI59" s="126">
        <f t="shared" si="54"/>
        <v>0</v>
      </c>
      <c r="AJ59" s="126">
        <f t="shared" si="54"/>
        <v>33.229999999999997</v>
      </c>
      <c r="AK59" s="126"/>
      <c r="AL59" s="478">
        <f>SUM(AL41:AL58)</f>
        <v>636980</v>
      </c>
    </row>
    <row r="60" spans="1:38" s="82" customFormat="1" ht="35.25" customHeight="1">
      <c r="A60" s="2000"/>
      <c r="B60" s="2009"/>
      <c r="C60" s="93" t="s">
        <v>271</v>
      </c>
      <c r="D60" s="1296"/>
      <c r="E60" s="1123"/>
      <c r="F60" s="84"/>
      <c r="G60" s="84">
        <v>60</v>
      </c>
      <c r="H60" s="1130"/>
      <c r="I60" s="84">
        <v>60</v>
      </c>
      <c r="J60" s="84"/>
      <c r="K60" s="84"/>
      <c r="L60" s="83"/>
      <c r="M60" s="84">
        <v>60</v>
      </c>
      <c r="N60" s="84"/>
      <c r="O60" s="84"/>
      <c r="P60" s="1130"/>
      <c r="Q60" s="84"/>
      <c r="R60" s="84"/>
      <c r="S60" s="83"/>
      <c r="T60" s="84"/>
      <c r="U60" s="84"/>
      <c r="V60" s="1130"/>
      <c r="W60" s="84">
        <v>65</v>
      </c>
      <c r="X60" s="84"/>
      <c r="Y60" s="84">
        <v>73</v>
      </c>
      <c r="Z60" s="83">
        <v>73</v>
      </c>
      <c r="AA60" s="84"/>
      <c r="AB60" s="84"/>
      <c r="AC60" s="1130"/>
      <c r="AD60" s="84"/>
      <c r="AE60" s="84"/>
      <c r="AF60" s="84"/>
      <c r="AG60" s="1123"/>
      <c r="AH60" s="84"/>
      <c r="AI60" s="84"/>
      <c r="AJ60" s="84">
        <f>SUM(E60:AI60)</f>
        <v>391</v>
      </c>
      <c r="AK60" s="87">
        <v>200</v>
      </c>
      <c r="AL60" s="471">
        <f>AJ60*AK60</f>
        <v>78200</v>
      </c>
    </row>
    <row r="61" spans="1:38" s="82" customFormat="1" ht="35.25" customHeight="1">
      <c r="A61" s="2000"/>
      <c r="B61" s="2009"/>
      <c r="C61" s="65" t="s">
        <v>307</v>
      </c>
      <c r="D61" s="1295"/>
      <c r="E61" s="1123"/>
      <c r="F61" s="83"/>
      <c r="G61" s="83"/>
      <c r="H61" s="1123"/>
      <c r="I61" s="83"/>
      <c r="J61" s="83"/>
      <c r="K61" s="83"/>
      <c r="L61" s="83"/>
      <c r="M61" s="83"/>
      <c r="N61" s="83"/>
      <c r="O61" s="83"/>
      <c r="P61" s="1123"/>
      <c r="Q61" s="83"/>
      <c r="R61" s="83"/>
      <c r="S61" s="83"/>
      <c r="T61" s="83"/>
      <c r="U61" s="83"/>
      <c r="V61" s="1123"/>
      <c r="W61" s="83"/>
      <c r="X61" s="83">
        <f>5.64/2</f>
        <v>2.82</v>
      </c>
      <c r="Y61" s="83"/>
      <c r="Z61" s="83"/>
      <c r="AA61" s="83"/>
      <c r="AB61" s="83"/>
      <c r="AC61" s="1123"/>
      <c r="AD61" s="83"/>
      <c r="AE61" s="83"/>
      <c r="AF61" s="83"/>
      <c r="AG61" s="1123"/>
      <c r="AH61" s="83"/>
      <c r="AI61" s="83"/>
      <c r="AJ61" s="83">
        <f t="shared" ref="AJ61:AJ62" si="55">SUM(E61:AI61)</f>
        <v>2.82</v>
      </c>
      <c r="AK61" s="85">
        <v>15000</v>
      </c>
      <c r="AL61" s="482">
        <f>AJ61*AK61</f>
        <v>42300</v>
      </c>
    </row>
    <row r="62" spans="1:38" s="82" customFormat="1" ht="35.25" customHeight="1" thickBot="1">
      <c r="A62" s="2000"/>
      <c r="B62" s="2009"/>
      <c r="C62" s="118" t="s">
        <v>308</v>
      </c>
      <c r="D62" s="1296"/>
      <c r="E62" s="1130"/>
      <c r="F62" s="84"/>
      <c r="G62" s="84"/>
      <c r="H62" s="1130"/>
      <c r="I62" s="84"/>
      <c r="J62" s="86"/>
      <c r="K62" s="86"/>
      <c r="L62" s="84"/>
      <c r="M62" s="84"/>
      <c r="N62" s="84"/>
      <c r="O62" s="84"/>
      <c r="P62" s="1129"/>
      <c r="Q62" s="86"/>
      <c r="R62" s="84"/>
      <c r="S62" s="84"/>
      <c r="T62" s="86"/>
      <c r="U62" s="84"/>
      <c r="V62" s="1129"/>
      <c r="W62" s="84"/>
      <c r="X62" s="86"/>
      <c r="Y62" s="86"/>
      <c r="Z62" s="84"/>
      <c r="AA62" s="86"/>
      <c r="AB62" s="86"/>
      <c r="AC62" s="1130"/>
      <c r="AD62" s="86"/>
      <c r="AE62" s="84"/>
      <c r="AF62" s="86"/>
      <c r="AG62" s="1129"/>
      <c r="AH62" s="84"/>
      <c r="AI62" s="84"/>
      <c r="AJ62" s="86">
        <f t="shared" si="55"/>
        <v>0</v>
      </c>
      <c r="AK62" s="98">
        <v>11000</v>
      </c>
      <c r="AL62" s="475">
        <f>AJ62*AK62</f>
        <v>0</v>
      </c>
    </row>
    <row r="63" spans="1:38" s="127" customFormat="1" ht="35.25" customHeight="1" thickBot="1">
      <c r="A63" s="2000"/>
      <c r="B63" s="2009"/>
      <c r="C63" s="2015" t="s">
        <v>322</v>
      </c>
      <c r="D63" s="2016"/>
      <c r="E63" s="1128">
        <f>SUM(E61:E62)</f>
        <v>0</v>
      </c>
      <c r="F63" s="126">
        <f>SUM(F61:F62)</f>
        <v>0</v>
      </c>
      <c r="G63" s="126">
        <f t="shared" ref="G63" si="56">SUM(G61:G62)</f>
        <v>0</v>
      </c>
      <c r="H63" s="1128">
        <f t="shared" ref="H63" si="57">SUM(H61:H62)</f>
        <v>0</v>
      </c>
      <c r="I63" s="126">
        <f t="shared" ref="I63" si="58">SUM(I61:I62)</f>
        <v>0</v>
      </c>
      <c r="J63" s="126">
        <f t="shared" ref="J63" si="59">SUM(J61:J62)</f>
        <v>0</v>
      </c>
      <c r="K63" s="126">
        <f t="shared" ref="K63" si="60">SUM(K61:K62)</f>
        <v>0</v>
      </c>
      <c r="L63" s="126">
        <f>SUM(L61:L62)</f>
        <v>0</v>
      </c>
      <c r="M63" s="126">
        <f>SUM(M61:M62)</f>
        <v>0</v>
      </c>
      <c r="N63" s="126">
        <f t="shared" ref="N63" si="61">SUM(N61:N62)</f>
        <v>0</v>
      </c>
      <c r="O63" s="126">
        <f t="shared" ref="O63" si="62">SUM(O61:O62)</f>
        <v>0</v>
      </c>
      <c r="P63" s="1128">
        <f t="shared" ref="P63:Q63" si="63">SUM(P61:P62)</f>
        <v>0</v>
      </c>
      <c r="Q63" s="126">
        <f t="shared" si="63"/>
        <v>0</v>
      </c>
      <c r="R63" s="126">
        <f t="shared" ref="R63" si="64">SUM(R61:R62)</f>
        <v>0</v>
      </c>
      <c r="S63" s="126">
        <f>SUM(S61:S62)</f>
        <v>0</v>
      </c>
      <c r="T63" s="126">
        <f>SUM(T61:T62)</f>
        <v>0</v>
      </c>
      <c r="U63" s="126">
        <f t="shared" ref="U63" si="65">SUM(U61:U62)</f>
        <v>0</v>
      </c>
      <c r="V63" s="1128">
        <f>SUM(V61:V62)</f>
        <v>0</v>
      </c>
      <c r="W63" s="126">
        <f t="shared" ref="W63" si="66">SUM(W61:W62)</f>
        <v>0</v>
      </c>
      <c r="X63" s="126">
        <f t="shared" ref="X63" si="67">SUM(X61:X62)</f>
        <v>2.82</v>
      </c>
      <c r="Y63" s="126">
        <f t="shared" ref="Y63" si="68">SUM(Y61:Y62)</f>
        <v>0</v>
      </c>
      <c r="Z63" s="126">
        <f>SUM(Z61:Z62)</f>
        <v>0</v>
      </c>
      <c r="AA63" s="126">
        <f>SUM(AA61:AA62)</f>
        <v>0</v>
      </c>
      <c r="AB63" s="126">
        <f t="shared" ref="AB63" si="69">SUM(AB61:AB62)</f>
        <v>0</v>
      </c>
      <c r="AC63" s="1128">
        <f t="shared" ref="AC63" si="70">SUM(AC61:AC62)</f>
        <v>0</v>
      </c>
      <c r="AD63" s="126">
        <f t="shared" ref="AD63" si="71">SUM(AD61:AD62)</f>
        <v>0</v>
      </c>
      <c r="AE63" s="126">
        <f t="shared" ref="AE63" si="72">SUM(AE61:AE62)</f>
        <v>0</v>
      </c>
      <c r="AF63" s="126">
        <f t="shared" ref="AF63:AH63" si="73">SUM(AF61:AF62)</f>
        <v>0</v>
      </c>
      <c r="AG63" s="1128">
        <f>SUM(AG61:AG62)</f>
        <v>0</v>
      </c>
      <c r="AH63" s="126">
        <f t="shared" si="73"/>
        <v>0</v>
      </c>
      <c r="AI63" s="126">
        <f t="shared" ref="AI63" si="74">SUM(AI61:AI62)</f>
        <v>0</v>
      </c>
      <c r="AJ63" s="126"/>
      <c r="AK63" s="128"/>
      <c r="AL63" s="478">
        <f>SUM(AL60:AL62)</f>
        <v>120500</v>
      </c>
    </row>
    <row r="64" spans="1:38" s="82" customFormat="1" ht="38.25" customHeight="1">
      <c r="A64" s="2000"/>
      <c r="B64" s="2009"/>
      <c r="C64" s="123" t="s">
        <v>368</v>
      </c>
      <c r="D64" s="1296"/>
      <c r="E64" s="1130"/>
      <c r="F64" s="84"/>
      <c r="G64" s="84"/>
      <c r="H64" s="1130"/>
      <c r="I64" s="84"/>
      <c r="J64" s="83"/>
      <c r="K64" s="84"/>
      <c r="L64" s="84"/>
      <c r="M64" s="84"/>
      <c r="N64" s="84"/>
      <c r="O64" s="84"/>
      <c r="P64" s="1123"/>
      <c r="Q64" s="83"/>
      <c r="R64" s="84"/>
      <c r="S64" s="84"/>
      <c r="T64" s="84"/>
      <c r="U64" s="84"/>
      <c r="V64" s="1130"/>
      <c r="W64" s="84"/>
      <c r="X64" s="84"/>
      <c r="Y64" s="84"/>
      <c r="Z64" s="84"/>
      <c r="AA64" s="84"/>
      <c r="AB64" s="84"/>
      <c r="AC64" s="1130"/>
      <c r="AD64" s="84"/>
      <c r="AE64" s="84"/>
      <c r="AF64" s="84"/>
      <c r="AG64" s="1130"/>
      <c r="AH64" s="84"/>
      <c r="AI64" s="84"/>
      <c r="AJ64" s="83">
        <f t="shared" ref="AJ64:AJ66" si="75">SUM(E64:AI64)</f>
        <v>0</v>
      </c>
      <c r="AK64" s="85">
        <v>4814</v>
      </c>
      <c r="AL64" s="473">
        <f>AJ64*AK64</f>
        <v>0</v>
      </c>
    </row>
    <row r="65" spans="1:38" s="82" customFormat="1" ht="29.25" customHeight="1">
      <c r="A65" s="2000"/>
      <c r="B65" s="2009"/>
      <c r="C65" s="101" t="s">
        <v>267</v>
      </c>
      <c r="D65" s="1296"/>
      <c r="E65" s="1129"/>
      <c r="F65" s="84"/>
      <c r="G65" s="86"/>
      <c r="H65" s="1130"/>
      <c r="I65" s="84"/>
      <c r="J65" s="84"/>
      <c r="K65" s="84"/>
      <c r="L65" s="86"/>
      <c r="M65" s="84"/>
      <c r="N65" s="84"/>
      <c r="O65" s="84"/>
      <c r="P65" s="1130"/>
      <c r="Q65" s="84"/>
      <c r="R65" s="84"/>
      <c r="S65" s="86"/>
      <c r="T65" s="84"/>
      <c r="U65" s="84"/>
      <c r="V65" s="1130"/>
      <c r="W65" s="84"/>
      <c r="X65" s="84"/>
      <c r="Y65" s="84"/>
      <c r="Z65" s="86"/>
      <c r="AA65" s="84"/>
      <c r="AB65" s="84"/>
      <c r="AC65" s="1130"/>
      <c r="AD65" s="84"/>
      <c r="AE65" s="84"/>
      <c r="AF65" s="84"/>
      <c r="AG65" s="1129"/>
      <c r="AH65" s="84"/>
      <c r="AI65" s="84"/>
      <c r="AJ65" s="84">
        <f t="shared" si="75"/>
        <v>0</v>
      </c>
      <c r="AK65" s="87">
        <v>7217</v>
      </c>
      <c r="AL65" s="471">
        <f t="shared" ref="AL65:AL66" si="76">AJ65*AK65</f>
        <v>0</v>
      </c>
    </row>
    <row r="66" spans="1:38" s="82" customFormat="1" ht="29.25" customHeight="1" thickBot="1">
      <c r="A66" s="2000"/>
      <c r="B66" s="2009"/>
      <c r="C66" s="101" t="s">
        <v>268</v>
      </c>
      <c r="D66" s="1296"/>
      <c r="E66" s="1130"/>
      <c r="F66" s="84">
        <v>0.5</v>
      </c>
      <c r="G66" s="84"/>
      <c r="H66" s="1130"/>
      <c r="I66" s="84"/>
      <c r="J66" s="84">
        <v>0.5</v>
      </c>
      <c r="K66" s="84"/>
      <c r="L66" s="84"/>
      <c r="M66" s="84"/>
      <c r="N66" s="84">
        <v>1</v>
      </c>
      <c r="O66" s="84"/>
      <c r="P66" s="1130"/>
      <c r="Q66" s="84"/>
      <c r="R66" s="84"/>
      <c r="S66" s="84">
        <v>0.5</v>
      </c>
      <c r="T66" s="84"/>
      <c r="U66" s="84"/>
      <c r="V66" s="1130"/>
      <c r="W66" s="84"/>
      <c r="X66" s="84"/>
      <c r="Y66" s="86"/>
      <c r="Z66" s="84"/>
      <c r="AA66" s="86"/>
      <c r="AB66" s="86"/>
      <c r="AC66" s="1130"/>
      <c r="AD66" s="84"/>
      <c r="AE66" s="84"/>
      <c r="AF66" s="84"/>
      <c r="AG66" s="1126"/>
      <c r="AH66" s="84"/>
      <c r="AI66" s="84"/>
      <c r="AJ66" s="86">
        <f t="shared" si="75"/>
        <v>2.5</v>
      </c>
      <c r="AK66" s="87">
        <v>9029</v>
      </c>
      <c r="AL66" s="469">
        <f t="shared" si="76"/>
        <v>22572.5</v>
      </c>
    </row>
    <row r="67" spans="1:38" s="125" customFormat="1" ht="28.5" customHeight="1" thickBot="1">
      <c r="A67" s="2000"/>
      <c r="B67" s="2009"/>
      <c r="C67" s="2012" t="s">
        <v>316</v>
      </c>
      <c r="D67" s="2013"/>
      <c r="E67" s="1131">
        <f>SUM(E64:E66)</f>
        <v>0</v>
      </c>
      <c r="F67" s="124">
        <f>SUM(F64:F66)</f>
        <v>0.5</v>
      </c>
      <c r="G67" s="124">
        <f t="shared" ref="G67:K67" si="77">SUM(G64:G66)</f>
        <v>0</v>
      </c>
      <c r="H67" s="1131">
        <f t="shared" si="77"/>
        <v>0</v>
      </c>
      <c r="I67" s="124">
        <f t="shared" si="77"/>
        <v>0</v>
      </c>
      <c r="J67" s="124">
        <f t="shared" si="77"/>
        <v>0.5</v>
      </c>
      <c r="K67" s="124">
        <f t="shared" si="77"/>
        <v>0</v>
      </c>
      <c r="L67" s="124">
        <f>SUM(L64:L66)</f>
        <v>0</v>
      </c>
      <c r="M67" s="124">
        <f t="shared" ref="M67:R67" si="78">SUM(M64:M66)</f>
        <v>0</v>
      </c>
      <c r="N67" s="124">
        <f t="shared" si="78"/>
        <v>1</v>
      </c>
      <c r="O67" s="124">
        <f t="shared" si="78"/>
        <v>0</v>
      </c>
      <c r="P67" s="1131">
        <f t="shared" si="78"/>
        <v>0</v>
      </c>
      <c r="Q67" s="124">
        <f t="shared" si="78"/>
        <v>0</v>
      </c>
      <c r="R67" s="124">
        <f t="shared" si="78"/>
        <v>0</v>
      </c>
      <c r="S67" s="124">
        <f>SUM(S64:S66)</f>
        <v>0.5</v>
      </c>
      <c r="T67" s="124">
        <f t="shared" ref="T67:Y67" si="79">SUM(T64:T66)</f>
        <v>0</v>
      </c>
      <c r="U67" s="124">
        <f t="shared" si="79"/>
        <v>0</v>
      </c>
      <c r="V67" s="1131">
        <f t="shared" si="79"/>
        <v>0</v>
      </c>
      <c r="W67" s="124">
        <f t="shared" si="79"/>
        <v>0</v>
      </c>
      <c r="X67" s="124">
        <f t="shared" si="79"/>
        <v>0</v>
      </c>
      <c r="Y67" s="124">
        <f t="shared" si="79"/>
        <v>0</v>
      </c>
      <c r="Z67" s="124">
        <f>SUM(Z64:Z66)</f>
        <v>0</v>
      </c>
      <c r="AA67" s="124">
        <f t="shared" ref="AA67:AF67" si="80">SUM(AA64:AA66)</f>
        <v>0</v>
      </c>
      <c r="AB67" s="124">
        <f t="shared" si="80"/>
        <v>0</v>
      </c>
      <c r="AC67" s="1131">
        <f t="shared" si="80"/>
        <v>0</v>
      </c>
      <c r="AD67" s="124">
        <f t="shared" si="80"/>
        <v>0</v>
      </c>
      <c r="AE67" s="124">
        <f t="shared" si="80"/>
        <v>0</v>
      </c>
      <c r="AF67" s="124">
        <f t="shared" si="80"/>
        <v>0</v>
      </c>
      <c r="AG67" s="1131">
        <f>SUM(AG64:AG66)</f>
        <v>0</v>
      </c>
      <c r="AH67" s="124">
        <f t="shared" ref="AH67:AI67" si="81">SUM(AH64:AH66)</f>
        <v>0</v>
      </c>
      <c r="AI67" s="124">
        <f t="shared" si="81"/>
        <v>0</v>
      </c>
      <c r="AJ67" s="124">
        <f>SUM(E67:AI67)</f>
        <v>2.5</v>
      </c>
      <c r="AK67" s="124"/>
      <c r="AL67" s="479">
        <f>SUM(AL64:AL66)</f>
        <v>22572.5</v>
      </c>
    </row>
    <row r="68" spans="1:38" s="82" customFormat="1" ht="35.25" customHeight="1" thickBot="1">
      <c r="A68" s="2000"/>
      <c r="B68" s="2009"/>
      <c r="C68" s="93" t="s">
        <v>265</v>
      </c>
      <c r="D68" s="1296"/>
      <c r="E68" s="1130"/>
      <c r="F68" s="84"/>
      <c r="G68" s="84"/>
      <c r="H68" s="1130"/>
      <c r="I68" s="84"/>
      <c r="J68" s="84"/>
      <c r="K68" s="84"/>
      <c r="L68" s="84"/>
      <c r="M68" s="84"/>
      <c r="N68" s="84"/>
      <c r="O68" s="84"/>
      <c r="P68" s="1130"/>
      <c r="Q68" s="84"/>
      <c r="R68" s="84"/>
      <c r="S68" s="84"/>
      <c r="T68" s="84"/>
      <c r="U68" s="84"/>
      <c r="V68" s="1130"/>
      <c r="W68" s="84"/>
      <c r="X68" s="84"/>
      <c r="Y68" s="84"/>
      <c r="Z68" s="84"/>
      <c r="AA68" s="84"/>
      <c r="AB68" s="84"/>
      <c r="AC68" s="1130"/>
      <c r="AD68" s="84"/>
      <c r="AE68" s="84"/>
      <c r="AF68" s="84"/>
      <c r="AG68" s="1130"/>
      <c r="AH68" s="84"/>
      <c r="AI68" s="84"/>
      <c r="AJ68" s="84">
        <f t="shared" ref="AJ68" si="82">SUM(E68:AI68)</f>
        <v>0</v>
      </c>
      <c r="AK68" s="87">
        <v>20000</v>
      </c>
      <c r="AL68" s="476">
        <f t="shared" ref="AL68" si="83">AJ68*AK68</f>
        <v>0</v>
      </c>
    </row>
    <row r="69" spans="1:38" s="125" customFormat="1" ht="28.5" customHeight="1" thickBot="1">
      <c r="A69" s="2000"/>
      <c r="B69" s="2009"/>
      <c r="C69" s="2012" t="s">
        <v>321</v>
      </c>
      <c r="D69" s="2013"/>
      <c r="E69" s="1131">
        <f t="shared" ref="E69:AI69" si="84">SUM(E68:E68)</f>
        <v>0</v>
      </c>
      <c r="F69" s="124">
        <f t="shared" si="84"/>
        <v>0</v>
      </c>
      <c r="G69" s="124">
        <f t="shared" si="84"/>
        <v>0</v>
      </c>
      <c r="H69" s="1131">
        <f t="shared" si="84"/>
        <v>0</v>
      </c>
      <c r="I69" s="124">
        <f t="shared" si="84"/>
        <v>0</v>
      </c>
      <c r="J69" s="124">
        <f t="shared" si="84"/>
        <v>0</v>
      </c>
      <c r="K69" s="124">
        <f t="shared" si="84"/>
        <v>0</v>
      </c>
      <c r="L69" s="124">
        <f t="shared" si="84"/>
        <v>0</v>
      </c>
      <c r="M69" s="124">
        <f t="shared" si="84"/>
        <v>0</v>
      </c>
      <c r="N69" s="124">
        <f t="shared" si="84"/>
        <v>0</v>
      </c>
      <c r="O69" s="124">
        <f t="shared" si="84"/>
        <v>0</v>
      </c>
      <c r="P69" s="1131">
        <f t="shared" si="84"/>
        <v>0</v>
      </c>
      <c r="Q69" s="124">
        <f t="shared" si="84"/>
        <v>0</v>
      </c>
      <c r="R69" s="124">
        <f t="shared" si="84"/>
        <v>0</v>
      </c>
      <c r="S69" s="124">
        <f t="shared" si="84"/>
        <v>0</v>
      </c>
      <c r="T69" s="124">
        <f t="shared" si="84"/>
        <v>0</v>
      </c>
      <c r="U69" s="124">
        <f t="shared" si="84"/>
        <v>0</v>
      </c>
      <c r="V69" s="1131">
        <f t="shared" si="84"/>
        <v>0</v>
      </c>
      <c r="W69" s="124">
        <f t="shared" si="84"/>
        <v>0</v>
      </c>
      <c r="X69" s="124">
        <f t="shared" si="84"/>
        <v>0</v>
      </c>
      <c r="Y69" s="124">
        <f t="shared" si="84"/>
        <v>0</v>
      </c>
      <c r="Z69" s="124">
        <f t="shared" si="84"/>
        <v>0</v>
      </c>
      <c r="AA69" s="124">
        <f t="shared" si="84"/>
        <v>0</v>
      </c>
      <c r="AB69" s="124">
        <f t="shared" si="84"/>
        <v>0</v>
      </c>
      <c r="AC69" s="1131">
        <f t="shared" si="84"/>
        <v>0</v>
      </c>
      <c r="AD69" s="124">
        <f t="shared" si="84"/>
        <v>0</v>
      </c>
      <c r="AE69" s="124">
        <f t="shared" si="84"/>
        <v>0</v>
      </c>
      <c r="AF69" s="124">
        <f t="shared" si="84"/>
        <v>0</v>
      </c>
      <c r="AG69" s="1131">
        <f t="shared" si="84"/>
        <v>0</v>
      </c>
      <c r="AH69" s="124">
        <f t="shared" si="84"/>
        <v>0</v>
      </c>
      <c r="AI69" s="124">
        <f t="shared" si="84"/>
        <v>0</v>
      </c>
      <c r="AJ69" s="124">
        <f>SUM(E69:AI69)</f>
        <v>0</v>
      </c>
      <c r="AK69" s="124"/>
      <c r="AL69" s="479">
        <f>SUM(AL68:AL68)</f>
        <v>0</v>
      </c>
    </row>
    <row r="70" spans="1:38" s="82" customFormat="1" ht="35.25" customHeight="1" thickBot="1">
      <c r="A70" s="2000"/>
      <c r="B70" s="2014"/>
      <c r="C70" s="94" t="s">
        <v>311</v>
      </c>
      <c r="D70" s="1298"/>
      <c r="E70" s="1126"/>
      <c r="F70" s="95"/>
      <c r="G70" s="95"/>
      <c r="H70" s="1126"/>
      <c r="I70" s="95"/>
      <c r="J70" s="95"/>
      <c r="K70" s="95"/>
      <c r="L70" s="95"/>
      <c r="M70" s="95"/>
      <c r="N70" s="95"/>
      <c r="O70" s="95"/>
      <c r="P70" s="1126"/>
      <c r="Q70" s="95"/>
      <c r="R70" s="95"/>
      <c r="S70" s="95"/>
      <c r="T70" s="95"/>
      <c r="U70" s="95"/>
      <c r="V70" s="1126"/>
      <c r="W70" s="95"/>
      <c r="X70" s="95"/>
      <c r="Y70" s="95"/>
      <c r="Z70" s="95"/>
      <c r="AA70" s="95"/>
      <c r="AB70" s="95"/>
      <c r="AC70" s="1126"/>
      <c r="AD70" s="95"/>
      <c r="AE70" s="95"/>
      <c r="AF70" s="95"/>
      <c r="AG70" s="1126"/>
      <c r="AH70" s="95"/>
      <c r="AI70" s="95"/>
      <c r="AJ70" s="95">
        <f t="shared" ref="AJ70" si="85">SUM(E70:AI70)</f>
        <v>0</v>
      </c>
      <c r="AK70" s="96">
        <v>6000</v>
      </c>
      <c r="AL70" s="469">
        <f t="shared" ref="AL70" si="86">AJ70*AK70</f>
        <v>0</v>
      </c>
    </row>
    <row r="71" spans="1:38" s="90" customFormat="1" ht="48.75" customHeight="1" thickBot="1">
      <c r="A71" s="1996" t="s">
        <v>357</v>
      </c>
      <c r="B71" s="1997"/>
      <c r="C71" s="1997"/>
      <c r="D71" s="1998"/>
      <c r="E71" s="1121"/>
      <c r="F71" s="99"/>
      <c r="G71" s="99"/>
      <c r="H71" s="1121"/>
      <c r="I71" s="99"/>
      <c r="J71" s="99"/>
      <c r="K71" s="99"/>
      <c r="L71" s="99"/>
      <c r="M71" s="99"/>
      <c r="N71" s="99"/>
      <c r="O71" s="99"/>
      <c r="P71" s="1121"/>
      <c r="Q71" s="99"/>
      <c r="R71" s="99"/>
      <c r="S71" s="99"/>
      <c r="T71" s="99"/>
      <c r="U71" s="99"/>
      <c r="V71" s="1121"/>
      <c r="W71" s="99"/>
      <c r="X71" s="99"/>
      <c r="Y71" s="99"/>
      <c r="Z71" s="99"/>
      <c r="AA71" s="99"/>
      <c r="AB71" s="99"/>
      <c r="AC71" s="1121"/>
      <c r="AD71" s="99"/>
      <c r="AE71" s="99"/>
      <c r="AF71" s="99"/>
      <c r="AG71" s="1121"/>
      <c r="AH71" s="99"/>
      <c r="AI71" s="99"/>
      <c r="AJ71" s="99"/>
      <c r="AK71" s="189"/>
      <c r="AL71" s="481">
        <f>AL67+AL69+AL70</f>
        <v>22572.5</v>
      </c>
    </row>
    <row r="72" spans="1:38" ht="60" customHeight="1" thickBot="1">
      <c r="A72" s="2020" t="s">
        <v>677</v>
      </c>
      <c r="B72" s="2020"/>
      <c r="C72" s="2020"/>
      <c r="D72" s="2020"/>
    </row>
    <row r="73" spans="1:38" s="81" customFormat="1" ht="36" customHeight="1">
      <c r="A73" s="2002" t="s">
        <v>309</v>
      </c>
      <c r="B73" s="2008" t="s">
        <v>7</v>
      </c>
      <c r="C73" s="2004" t="s">
        <v>230</v>
      </c>
      <c r="D73" s="2005"/>
      <c r="E73" s="1117" t="s">
        <v>234</v>
      </c>
      <c r="F73" s="92"/>
      <c r="G73" s="92"/>
      <c r="H73" s="1135"/>
      <c r="I73" s="92"/>
      <c r="J73" s="92"/>
      <c r="K73" s="92"/>
      <c r="L73" s="92"/>
      <c r="M73" s="92"/>
      <c r="N73" s="92"/>
      <c r="O73" s="92"/>
      <c r="P73" s="1135"/>
      <c r="Q73" s="92"/>
      <c r="R73" s="92"/>
      <c r="S73" s="92"/>
      <c r="T73" s="92"/>
      <c r="U73" s="92"/>
      <c r="V73" s="1135"/>
      <c r="W73" s="92"/>
      <c r="X73" s="92"/>
      <c r="Y73" s="92"/>
      <c r="Z73" s="92"/>
      <c r="AA73" s="92"/>
      <c r="AB73" s="92"/>
      <c r="AC73" s="1135"/>
      <c r="AD73" s="92"/>
      <c r="AE73" s="92"/>
      <c r="AF73" s="92"/>
      <c r="AG73" s="1135"/>
      <c r="AH73" s="92"/>
      <c r="AI73" s="92"/>
      <c r="AJ73" s="1994" t="s">
        <v>38</v>
      </c>
      <c r="AK73" s="1994" t="s">
        <v>304</v>
      </c>
      <c r="AL73" s="468" t="s">
        <v>4</v>
      </c>
    </row>
    <row r="74" spans="1:38" s="81" customFormat="1" ht="36" customHeight="1" thickBot="1">
      <c r="A74" s="2003"/>
      <c r="B74" s="2014"/>
      <c r="C74" s="2006"/>
      <c r="D74" s="2007"/>
      <c r="E74" s="1118">
        <v>1</v>
      </c>
      <c r="F74" s="96">
        <v>2</v>
      </c>
      <c r="G74" s="96">
        <v>3</v>
      </c>
      <c r="H74" s="1118">
        <v>4</v>
      </c>
      <c r="I74" s="96">
        <v>5</v>
      </c>
      <c r="J74" s="96">
        <v>6</v>
      </c>
      <c r="K74" s="96">
        <v>7</v>
      </c>
      <c r="L74" s="96">
        <v>8</v>
      </c>
      <c r="M74" s="96">
        <v>9</v>
      </c>
      <c r="N74" s="96">
        <v>10</v>
      </c>
      <c r="O74" s="96">
        <v>11</v>
      </c>
      <c r="P74" s="1118">
        <v>12</v>
      </c>
      <c r="Q74" s="96">
        <v>13</v>
      </c>
      <c r="R74" s="96">
        <v>14</v>
      </c>
      <c r="S74" s="96">
        <v>15</v>
      </c>
      <c r="T74" s="96">
        <v>16</v>
      </c>
      <c r="U74" s="96">
        <v>17</v>
      </c>
      <c r="V74" s="1118">
        <v>18</v>
      </c>
      <c r="W74" s="96">
        <v>19</v>
      </c>
      <c r="X74" s="96">
        <v>20</v>
      </c>
      <c r="Y74" s="96">
        <v>21</v>
      </c>
      <c r="Z74" s="96">
        <v>22</v>
      </c>
      <c r="AA74" s="96">
        <v>23</v>
      </c>
      <c r="AB74" s="96">
        <v>24</v>
      </c>
      <c r="AC74" s="1118">
        <v>25</v>
      </c>
      <c r="AD74" s="96">
        <v>26</v>
      </c>
      <c r="AE74" s="96">
        <v>27</v>
      </c>
      <c r="AF74" s="96">
        <v>28</v>
      </c>
      <c r="AG74" s="1118">
        <v>29</v>
      </c>
      <c r="AH74" s="96">
        <v>30</v>
      </c>
      <c r="AI74" s="96">
        <v>31</v>
      </c>
      <c r="AJ74" s="1995"/>
      <c r="AK74" s="1995"/>
      <c r="AL74" s="469" t="s">
        <v>189</v>
      </c>
    </row>
    <row r="75" spans="1:38" s="106" customFormat="1" ht="24.75" customHeight="1">
      <c r="A75" s="1999" t="s">
        <v>677</v>
      </c>
      <c r="B75" s="2008" t="s">
        <v>315</v>
      </c>
      <c r="C75" s="102" t="s">
        <v>306</v>
      </c>
      <c r="D75" s="103"/>
      <c r="E75" s="1119"/>
      <c r="F75" s="104">
        <f>7.14+3.7</f>
        <v>10.84</v>
      </c>
      <c r="G75" s="104">
        <f>6.9+6.89</f>
        <v>13.79</v>
      </c>
      <c r="H75" s="1119"/>
      <c r="I75" s="104">
        <f>6.78+6.4+6.8</f>
        <v>19.98</v>
      </c>
      <c r="J75" s="104">
        <f>7.22+5.3+6.25</f>
        <v>18.77</v>
      </c>
      <c r="K75" s="104">
        <v>8.06</v>
      </c>
      <c r="L75" s="104">
        <v>4.2300000000000004</v>
      </c>
      <c r="M75" s="104">
        <f>7.07+6.74</f>
        <v>13.81</v>
      </c>
      <c r="N75" s="104">
        <v>6.84</v>
      </c>
      <c r="O75" s="104">
        <f>6.99+7.93</f>
        <v>14.92</v>
      </c>
      <c r="P75" s="1119"/>
      <c r="Q75" s="104">
        <f>6.99+7.93</f>
        <v>14.92</v>
      </c>
      <c r="R75" s="104">
        <f>5.51+6.33+6.65</f>
        <v>18.490000000000002</v>
      </c>
      <c r="S75" s="104">
        <f>6.27+7.25</f>
        <v>13.52</v>
      </c>
      <c r="T75" s="104">
        <f>7.1+6.65</f>
        <v>13.75</v>
      </c>
      <c r="U75" s="104">
        <f>6.16+4.89</f>
        <v>11.05</v>
      </c>
      <c r="V75" s="1119"/>
      <c r="W75" s="104">
        <f>6.31+5.88+6.42</f>
        <v>18.61</v>
      </c>
      <c r="X75" s="104">
        <f>6.79+6.11</f>
        <v>12.9</v>
      </c>
      <c r="Y75" s="104">
        <f>5.51+5.87</f>
        <v>11.379999999999999</v>
      </c>
      <c r="Z75" s="104">
        <f>6.61+6.7</f>
        <v>13.31</v>
      </c>
      <c r="AA75" s="104">
        <f>5.72+8.66</f>
        <v>14.379999999999999</v>
      </c>
      <c r="AB75" s="104">
        <v>6.94</v>
      </c>
      <c r="AC75" s="1119"/>
      <c r="AD75" s="104">
        <v>8.9600000000000009</v>
      </c>
      <c r="AE75" s="104">
        <f>3.62+6.88</f>
        <v>10.5</v>
      </c>
      <c r="AF75" s="104">
        <f>6.35+6.88</f>
        <v>13.23</v>
      </c>
      <c r="AG75" s="1119"/>
      <c r="AH75" s="104">
        <f>6.84+6.18+7.76</f>
        <v>20.78</v>
      </c>
      <c r="AI75" s="104">
        <f>6.63+6.03+6.27+6.81</f>
        <v>25.74</v>
      </c>
      <c r="AJ75" s="105">
        <f t="shared" ref="AJ75:AJ81" si="87">SUM(E75:AI75)</f>
        <v>339.70000000000005</v>
      </c>
      <c r="AK75" s="108"/>
      <c r="AL75" s="470"/>
    </row>
    <row r="76" spans="1:38" s="106" customFormat="1" ht="24.75" customHeight="1" thickBot="1">
      <c r="A76" s="2000"/>
      <c r="B76" s="2009"/>
      <c r="C76" s="2023" t="s">
        <v>317</v>
      </c>
      <c r="D76" s="2024"/>
      <c r="E76" s="1120"/>
      <c r="F76" s="105">
        <v>6</v>
      </c>
      <c r="G76" s="105">
        <v>6</v>
      </c>
      <c r="H76" s="1120"/>
      <c r="I76" s="105">
        <v>6</v>
      </c>
      <c r="J76" s="105">
        <v>6</v>
      </c>
      <c r="K76" s="105">
        <v>6</v>
      </c>
      <c r="L76" s="105">
        <v>6</v>
      </c>
      <c r="M76" s="105">
        <v>6</v>
      </c>
      <c r="N76" s="105">
        <v>6</v>
      </c>
      <c r="O76" s="105">
        <v>6</v>
      </c>
      <c r="P76" s="1120"/>
      <c r="Q76" s="105">
        <v>6</v>
      </c>
      <c r="R76" s="105">
        <v>6</v>
      </c>
      <c r="S76" s="105">
        <v>6</v>
      </c>
      <c r="T76" s="105">
        <v>6</v>
      </c>
      <c r="U76" s="105">
        <v>6</v>
      </c>
      <c r="V76" s="1120"/>
      <c r="W76" s="105">
        <v>6</v>
      </c>
      <c r="X76" s="105">
        <v>6</v>
      </c>
      <c r="Y76" s="105">
        <v>6</v>
      </c>
      <c r="Z76" s="105">
        <v>6</v>
      </c>
      <c r="AA76" s="105">
        <v>6</v>
      </c>
      <c r="AB76" s="105">
        <v>6</v>
      </c>
      <c r="AC76" s="1120"/>
      <c r="AD76" s="105">
        <v>6</v>
      </c>
      <c r="AE76" s="105">
        <v>6</v>
      </c>
      <c r="AF76" s="962">
        <v>6</v>
      </c>
      <c r="AG76" s="1120"/>
      <c r="AH76" s="105">
        <v>6</v>
      </c>
      <c r="AI76" s="105">
        <v>6</v>
      </c>
      <c r="AJ76" s="105">
        <f t="shared" si="87"/>
        <v>150</v>
      </c>
      <c r="AK76" s="105"/>
      <c r="AL76" s="471"/>
    </row>
    <row r="77" spans="1:38" s="90" customFormat="1" ht="23.25" customHeight="1" thickBot="1">
      <c r="A77" s="2000"/>
      <c r="B77" s="2009"/>
      <c r="C77" s="2025" t="s">
        <v>310</v>
      </c>
      <c r="D77" s="2026"/>
      <c r="E77" s="1121">
        <f>E75-E76</f>
        <v>0</v>
      </c>
      <c r="F77" s="99">
        <f>F75-F76</f>
        <v>4.84</v>
      </c>
      <c r="G77" s="99">
        <f t="shared" ref="G77:T77" si="88">G75-G76</f>
        <v>7.7899999999999991</v>
      </c>
      <c r="H77" s="1121">
        <f t="shared" si="88"/>
        <v>0</v>
      </c>
      <c r="I77" s="99">
        <f t="shared" si="88"/>
        <v>13.98</v>
      </c>
      <c r="J77" s="99">
        <f t="shared" si="88"/>
        <v>12.77</v>
      </c>
      <c r="K77" s="99">
        <f t="shared" si="88"/>
        <v>2.0600000000000005</v>
      </c>
      <c r="L77" s="99">
        <f t="shared" si="88"/>
        <v>-1.7699999999999996</v>
      </c>
      <c r="M77" s="99">
        <f t="shared" si="88"/>
        <v>7.8100000000000005</v>
      </c>
      <c r="N77" s="99">
        <f t="shared" si="88"/>
        <v>0.83999999999999986</v>
      </c>
      <c r="O77" s="99">
        <f t="shared" si="88"/>
        <v>8.92</v>
      </c>
      <c r="P77" s="1121">
        <f t="shared" si="88"/>
        <v>0</v>
      </c>
      <c r="Q77" s="99">
        <f t="shared" si="88"/>
        <v>8.92</v>
      </c>
      <c r="R77" s="99">
        <f t="shared" si="88"/>
        <v>12.490000000000002</v>
      </c>
      <c r="S77" s="99">
        <f t="shared" si="88"/>
        <v>7.52</v>
      </c>
      <c r="T77" s="99">
        <f t="shared" si="88"/>
        <v>7.75</v>
      </c>
      <c r="U77" s="99">
        <f t="shared" ref="U77:Z77" si="89">U75-U76</f>
        <v>5.0500000000000007</v>
      </c>
      <c r="V77" s="1121">
        <f t="shared" si="89"/>
        <v>0</v>
      </c>
      <c r="W77" s="99">
        <f t="shared" si="89"/>
        <v>12.61</v>
      </c>
      <c r="X77" s="99">
        <f t="shared" si="89"/>
        <v>6.9</v>
      </c>
      <c r="Y77" s="99">
        <f t="shared" si="89"/>
        <v>5.379999999999999</v>
      </c>
      <c r="Z77" s="99">
        <f t="shared" si="89"/>
        <v>7.3100000000000005</v>
      </c>
      <c r="AA77" s="99">
        <f t="shared" ref="AA77:AG77" si="90">AA75-AA76</f>
        <v>8.379999999999999</v>
      </c>
      <c r="AB77" s="99">
        <f t="shared" si="90"/>
        <v>0.94000000000000039</v>
      </c>
      <c r="AC77" s="1121">
        <f t="shared" si="90"/>
        <v>0</v>
      </c>
      <c r="AD77" s="99">
        <f t="shared" si="90"/>
        <v>2.9600000000000009</v>
      </c>
      <c r="AE77" s="99">
        <f t="shared" si="90"/>
        <v>4.5</v>
      </c>
      <c r="AF77" s="99">
        <f t="shared" si="90"/>
        <v>7.23</v>
      </c>
      <c r="AG77" s="1121">
        <f t="shared" si="90"/>
        <v>0</v>
      </c>
      <c r="AH77" s="99">
        <f>AH75-AH76</f>
        <v>14.780000000000001</v>
      </c>
      <c r="AI77" s="99">
        <f>AI75-AI76</f>
        <v>19.739999999999998</v>
      </c>
      <c r="AJ77" s="99">
        <f t="shared" si="87"/>
        <v>189.7</v>
      </c>
      <c r="AK77" s="99"/>
      <c r="AL77" s="472"/>
    </row>
    <row r="78" spans="1:38" s="82" customFormat="1" ht="33" customHeight="1">
      <c r="A78" s="2000"/>
      <c r="B78" s="2009"/>
      <c r="C78" s="100" t="s">
        <v>312</v>
      </c>
      <c r="D78" s="2017" t="s">
        <v>298</v>
      </c>
      <c r="E78" s="1122"/>
      <c r="F78" s="91"/>
      <c r="G78" s="91"/>
      <c r="H78" s="1122"/>
      <c r="I78" s="91"/>
      <c r="J78" s="91"/>
      <c r="K78" s="91"/>
      <c r="L78" s="91"/>
      <c r="M78" s="91"/>
      <c r="N78" s="91"/>
      <c r="O78" s="91"/>
      <c r="P78" s="1122"/>
      <c r="Q78" s="91"/>
      <c r="R78" s="91"/>
      <c r="S78" s="91"/>
      <c r="T78" s="91"/>
      <c r="U78" s="91"/>
      <c r="V78" s="1122"/>
      <c r="W78" s="91"/>
      <c r="X78" s="91"/>
      <c r="Y78" s="91"/>
      <c r="Z78" s="91"/>
      <c r="AA78" s="91"/>
      <c r="AB78" s="91"/>
      <c r="AC78" s="1122"/>
      <c r="AD78" s="91"/>
      <c r="AE78" s="91"/>
      <c r="AF78" s="91"/>
      <c r="AG78" s="1122"/>
      <c r="AH78" s="91"/>
      <c r="AI78" s="91"/>
      <c r="AJ78" s="91">
        <f t="shared" si="87"/>
        <v>0</v>
      </c>
      <c r="AK78" s="92">
        <v>5500</v>
      </c>
      <c r="AL78" s="468">
        <f>AJ78*AK78</f>
        <v>0</v>
      </c>
    </row>
    <row r="79" spans="1:38" s="82" customFormat="1" ht="33" customHeight="1">
      <c r="A79" s="2000"/>
      <c r="B79" s="2009"/>
      <c r="C79" s="89" t="s">
        <v>314</v>
      </c>
      <c r="D79" s="2018"/>
      <c r="E79" s="1123"/>
      <c r="F79" s="83"/>
      <c r="G79" s="83"/>
      <c r="H79" s="1123"/>
      <c r="I79" s="83"/>
      <c r="J79" s="83"/>
      <c r="K79" s="83"/>
      <c r="L79" s="83"/>
      <c r="M79" s="83"/>
      <c r="N79" s="83"/>
      <c r="O79" s="83"/>
      <c r="P79" s="1123"/>
      <c r="Q79" s="83"/>
      <c r="R79" s="83"/>
      <c r="S79" s="83"/>
      <c r="T79" s="83"/>
      <c r="U79" s="83"/>
      <c r="V79" s="1123"/>
      <c r="W79" s="83"/>
      <c r="X79" s="83"/>
      <c r="Y79" s="83"/>
      <c r="Z79" s="83"/>
      <c r="AA79" s="83"/>
      <c r="AB79" s="83"/>
      <c r="AC79" s="1123"/>
      <c r="AD79" s="83"/>
      <c r="AE79" s="83"/>
      <c r="AF79" s="83"/>
      <c r="AG79" s="1123"/>
      <c r="AH79" s="83"/>
      <c r="AI79" s="83"/>
      <c r="AJ79" s="83">
        <f t="shared" si="87"/>
        <v>0</v>
      </c>
      <c r="AK79" s="85">
        <v>11500</v>
      </c>
      <c r="AL79" s="473">
        <f>AJ79*AK79</f>
        <v>0</v>
      </c>
    </row>
    <row r="80" spans="1:38" s="90" customFormat="1" ht="33" customHeight="1">
      <c r="A80" s="2000"/>
      <c r="B80" s="2009"/>
      <c r="C80" s="89" t="s">
        <v>299</v>
      </c>
      <c r="D80" s="2018"/>
      <c r="E80" s="1127"/>
      <c r="F80" s="110"/>
      <c r="G80" s="110"/>
      <c r="H80" s="1127"/>
      <c r="I80" s="110"/>
      <c r="J80" s="110"/>
      <c r="K80" s="110"/>
      <c r="L80" s="110"/>
      <c r="M80" s="110"/>
      <c r="N80" s="110"/>
      <c r="O80" s="110"/>
      <c r="P80" s="1127"/>
      <c r="Q80" s="110"/>
      <c r="R80" s="110"/>
      <c r="S80" s="110"/>
      <c r="T80" s="110"/>
      <c r="U80" s="110"/>
      <c r="V80" s="1127"/>
      <c r="W80" s="110"/>
      <c r="X80" s="110"/>
      <c r="Y80" s="110">
        <v>2.69</v>
      </c>
      <c r="Z80" s="110"/>
      <c r="AA80" s="110"/>
      <c r="AB80" s="110"/>
      <c r="AC80" s="1127"/>
      <c r="AD80" s="110"/>
      <c r="AE80" s="110"/>
      <c r="AF80" s="110"/>
      <c r="AG80" s="1127"/>
      <c r="AH80" s="110"/>
      <c r="AI80" s="110"/>
      <c r="AJ80" s="110">
        <f t="shared" si="87"/>
        <v>2.69</v>
      </c>
      <c r="AK80" s="111">
        <v>16000</v>
      </c>
      <c r="AL80" s="474">
        <f t="shared" ref="AL80:AL83" si="91">AJ80*AK80</f>
        <v>43040</v>
      </c>
    </row>
    <row r="81" spans="1:38" s="90" customFormat="1" ht="33" customHeight="1">
      <c r="A81" s="2000"/>
      <c r="B81" s="2009"/>
      <c r="C81" s="112" t="s">
        <v>301</v>
      </c>
      <c r="D81" s="2018"/>
      <c r="E81" s="1124"/>
      <c r="F81" s="113">
        <v>2.42</v>
      </c>
      <c r="G81" s="113"/>
      <c r="H81" s="1124"/>
      <c r="I81" s="113"/>
      <c r="J81" s="113"/>
      <c r="K81" s="113">
        <v>1.03</v>
      </c>
      <c r="L81" s="113"/>
      <c r="M81" s="113"/>
      <c r="N81" s="113">
        <v>0.42</v>
      </c>
      <c r="O81" s="113"/>
      <c r="P81" s="1124"/>
      <c r="Q81" s="113"/>
      <c r="R81" s="113"/>
      <c r="S81" s="113">
        <v>3.76</v>
      </c>
      <c r="T81" s="113">
        <v>3.88</v>
      </c>
      <c r="U81" s="113">
        <v>2.5299999999999998</v>
      </c>
      <c r="V81" s="1124"/>
      <c r="W81" s="113"/>
      <c r="X81" s="113"/>
      <c r="Y81" s="113"/>
      <c r="Z81" s="113">
        <v>3.66</v>
      </c>
      <c r="AA81" s="113">
        <v>4.1900000000000004</v>
      </c>
      <c r="AB81" s="113">
        <v>0.47</v>
      </c>
      <c r="AC81" s="1124"/>
      <c r="AD81" s="113">
        <v>1.48</v>
      </c>
      <c r="AE81" s="113">
        <v>2.25</v>
      </c>
      <c r="AF81" s="113"/>
      <c r="AG81" s="1124"/>
      <c r="AH81" s="113">
        <v>5</v>
      </c>
      <c r="AI81" s="113">
        <v>5</v>
      </c>
      <c r="AJ81" s="113">
        <f t="shared" si="87"/>
        <v>36.090000000000003</v>
      </c>
      <c r="AK81" s="114">
        <v>18000</v>
      </c>
      <c r="AL81" s="474">
        <f t="shared" si="91"/>
        <v>649620.00000000012</v>
      </c>
    </row>
    <row r="82" spans="1:38" s="90" customFormat="1" ht="33" customHeight="1">
      <c r="A82" s="2000"/>
      <c r="B82" s="2009"/>
      <c r="C82" s="115" t="s">
        <v>303</v>
      </c>
      <c r="D82" s="2018"/>
      <c r="E82" s="1125"/>
      <c r="F82" s="113"/>
      <c r="G82" s="113"/>
      <c r="H82" s="1125"/>
      <c r="I82" s="116">
        <v>5</v>
      </c>
      <c r="J82" s="116">
        <v>5</v>
      </c>
      <c r="K82" s="116"/>
      <c r="L82" s="113"/>
      <c r="M82" s="116">
        <v>3.91</v>
      </c>
      <c r="N82" s="116"/>
      <c r="O82" s="116"/>
      <c r="P82" s="1125"/>
      <c r="Q82" s="116"/>
      <c r="R82" s="116">
        <v>5</v>
      </c>
      <c r="S82" s="116"/>
      <c r="T82" s="116"/>
      <c r="U82" s="116"/>
      <c r="V82" s="1125"/>
      <c r="W82" s="116">
        <v>5</v>
      </c>
      <c r="X82" s="116">
        <v>3.45</v>
      </c>
      <c r="Y82" s="116"/>
      <c r="Z82" s="116"/>
      <c r="AA82" s="116"/>
      <c r="AB82" s="116"/>
      <c r="AC82" s="1125"/>
      <c r="AD82" s="116"/>
      <c r="AE82" s="116"/>
      <c r="AF82" s="116"/>
      <c r="AG82" s="1125"/>
      <c r="AH82" s="116"/>
      <c r="AI82" s="116"/>
      <c r="AJ82" s="116">
        <f t="shared" ref="AJ82:AJ104" si="92">SUM(E82:AI82)</f>
        <v>27.36</v>
      </c>
      <c r="AK82" s="117">
        <v>20000</v>
      </c>
      <c r="AL82" s="474">
        <f t="shared" si="91"/>
        <v>547200</v>
      </c>
    </row>
    <row r="83" spans="1:38" s="82" customFormat="1" ht="33" customHeight="1" thickBot="1">
      <c r="A83" s="2000"/>
      <c r="B83" s="2009"/>
      <c r="C83" s="94" t="s">
        <v>313</v>
      </c>
      <c r="D83" s="2019"/>
      <c r="E83" s="1126"/>
      <c r="F83" s="95"/>
      <c r="G83" s="95"/>
      <c r="H83" s="1126"/>
      <c r="I83" s="95"/>
      <c r="J83" s="95"/>
      <c r="K83" s="95"/>
      <c r="L83" s="95"/>
      <c r="M83" s="95"/>
      <c r="N83" s="95"/>
      <c r="O83" s="95"/>
      <c r="P83" s="1126"/>
      <c r="Q83" s="95"/>
      <c r="R83" s="95"/>
      <c r="S83" s="95"/>
      <c r="T83" s="95"/>
      <c r="U83" s="95"/>
      <c r="V83" s="1126"/>
      <c r="W83" s="95"/>
      <c r="X83" s="95"/>
      <c r="Y83" s="95"/>
      <c r="Z83" s="95"/>
      <c r="AA83" s="95"/>
      <c r="AB83" s="95"/>
      <c r="AC83" s="1126"/>
      <c r="AD83" s="95"/>
      <c r="AE83" s="95"/>
      <c r="AF83" s="95"/>
      <c r="AG83" s="1126"/>
      <c r="AH83" s="95"/>
      <c r="AI83" s="95"/>
      <c r="AJ83" s="95">
        <f t="shared" si="92"/>
        <v>0</v>
      </c>
      <c r="AK83" s="96">
        <v>30000</v>
      </c>
      <c r="AL83" s="473">
        <f t="shared" si="91"/>
        <v>0</v>
      </c>
    </row>
    <row r="84" spans="1:38" s="82" customFormat="1" ht="33" customHeight="1">
      <c r="A84" s="2000"/>
      <c r="B84" s="2009"/>
      <c r="C84" s="100" t="s">
        <v>312</v>
      </c>
      <c r="D84" s="2017" t="s">
        <v>300</v>
      </c>
      <c r="E84" s="1122"/>
      <c r="F84" s="91"/>
      <c r="G84" s="91"/>
      <c r="H84" s="1122"/>
      <c r="I84" s="91"/>
      <c r="J84" s="91"/>
      <c r="K84" s="91"/>
      <c r="L84" s="91"/>
      <c r="M84" s="91"/>
      <c r="N84" s="91"/>
      <c r="O84" s="91"/>
      <c r="P84" s="1122"/>
      <c r="Q84" s="91"/>
      <c r="R84" s="91"/>
      <c r="S84" s="91"/>
      <c r="T84" s="91"/>
      <c r="U84" s="91"/>
      <c r="V84" s="1122"/>
      <c r="W84" s="91"/>
      <c r="X84" s="91"/>
      <c r="Y84" s="91"/>
      <c r="Z84" s="91"/>
      <c r="AA84" s="91"/>
      <c r="AB84" s="91"/>
      <c r="AC84" s="1122"/>
      <c r="AD84" s="91"/>
      <c r="AE84" s="91"/>
      <c r="AF84" s="91"/>
      <c r="AG84" s="1122"/>
      <c r="AH84" s="91"/>
      <c r="AI84" s="91"/>
      <c r="AJ84" s="91">
        <f t="shared" si="92"/>
        <v>0</v>
      </c>
      <c r="AK84" s="92">
        <v>14500</v>
      </c>
      <c r="AL84" s="468">
        <f>AJ84*AK84</f>
        <v>0</v>
      </c>
    </row>
    <row r="85" spans="1:38" s="82" customFormat="1" ht="33" customHeight="1">
      <c r="A85" s="2000"/>
      <c r="B85" s="2009"/>
      <c r="C85" s="89" t="s">
        <v>314</v>
      </c>
      <c r="D85" s="2018"/>
      <c r="E85" s="1123"/>
      <c r="F85" s="83"/>
      <c r="G85" s="83"/>
      <c r="H85" s="1123"/>
      <c r="I85" s="83"/>
      <c r="J85" s="83"/>
      <c r="K85" s="83"/>
      <c r="L85" s="83"/>
      <c r="M85" s="83"/>
      <c r="N85" s="83"/>
      <c r="O85" s="83"/>
      <c r="P85" s="1123"/>
      <c r="Q85" s="83"/>
      <c r="R85" s="83"/>
      <c r="S85" s="83"/>
      <c r="T85" s="83"/>
      <c r="U85" s="83"/>
      <c r="V85" s="1123"/>
      <c r="W85" s="83"/>
      <c r="X85" s="83"/>
      <c r="Y85" s="83"/>
      <c r="Z85" s="83"/>
      <c r="AA85" s="83"/>
      <c r="AB85" s="83"/>
      <c r="AC85" s="1123"/>
      <c r="AD85" s="83"/>
      <c r="AE85" s="83"/>
      <c r="AF85" s="83"/>
      <c r="AG85" s="1123"/>
      <c r="AH85" s="83"/>
      <c r="AI85" s="83"/>
      <c r="AJ85" s="83">
        <f t="shared" si="92"/>
        <v>0</v>
      </c>
      <c r="AK85" s="85">
        <v>17500</v>
      </c>
      <c r="AL85" s="473">
        <f>AJ85*AK85</f>
        <v>0</v>
      </c>
    </row>
    <row r="86" spans="1:38" s="82" customFormat="1" ht="33" customHeight="1">
      <c r="A86" s="2000"/>
      <c r="B86" s="2009"/>
      <c r="C86" s="89" t="s">
        <v>299</v>
      </c>
      <c r="D86" s="2018"/>
      <c r="E86" s="1123"/>
      <c r="F86" s="83"/>
      <c r="G86" s="110"/>
      <c r="H86" s="1123"/>
      <c r="I86" s="83"/>
      <c r="J86" s="83"/>
      <c r="K86" s="83"/>
      <c r="L86" s="83"/>
      <c r="M86" s="110"/>
      <c r="N86" s="110"/>
      <c r="O86" s="83"/>
      <c r="P86" s="1123"/>
      <c r="Q86" s="83"/>
      <c r="R86" s="83"/>
      <c r="S86" s="83"/>
      <c r="T86" s="83"/>
      <c r="U86" s="83"/>
      <c r="V86" s="1127"/>
      <c r="W86" s="83"/>
      <c r="X86" s="110"/>
      <c r="Y86" s="83"/>
      <c r="Z86" s="83"/>
      <c r="AA86" s="83"/>
      <c r="AB86" s="83"/>
      <c r="AC86" s="1127"/>
      <c r="AD86" s="83"/>
      <c r="AE86" s="83"/>
      <c r="AF86" s="83"/>
      <c r="AG86" s="1123"/>
      <c r="AH86" s="83"/>
      <c r="AI86" s="83"/>
      <c r="AJ86" s="83">
        <f t="shared" si="92"/>
        <v>0</v>
      </c>
      <c r="AK86" s="87">
        <v>20500</v>
      </c>
      <c r="AL86" s="473">
        <f t="shared" ref="AL86:AL89" si="93">AJ86*AK86</f>
        <v>0</v>
      </c>
    </row>
    <row r="87" spans="1:38" s="90" customFormat="1" ht="33" customHeight="1">
      <c r="A87" s="2000"/>
      <c r="B87" s="2009"/>
      <c r="C87" s="112" t="s">
        <v>301</v>
      </c>
      <c r="D87" s="2018"/>
      <c r="E87" s="1124"/>
      <c r="F87" s="113"/>
      <c r="G87" s="113"/>
      <c r="H87" s="1124"/>
      <c r="I87" s="113"/>
      <c r="J87" s="113"/>
      <c r="K87" s="113"/>
      <c r="L87" s="113"/>
      <c r="M87" s="113"/>
      <c r="N87" s="113"/>
      <c r="O87" s="113"/>
      <c r="P87" s="1124"/>
      <c r="Q87" s="113"/>
      <c r="R87" s="113"/>
      <c r="S87" s="113"/>
      <c r="T87" s="113"/>
      <c r="U87" s="113"/>
      <c r="V87" s="1124"/>
      <c r="W87" s="113"/>
      <c r="X87" s="113"/>
      <c r="Y87" s="113"/>
      <c r="Z87" s="113"/>
      <c r="AA87" s="113"/>
      <c r="AB87" s="113"/>
      <c r="AC87" s="1124"/>
      <c r="AD87" s="113"/>
      <c r="AE87" s="113"/>
      <c r="AF87" s="113"/>
      <c r="AG87" s="1124"/>
      <c r="AH87" s="113">
        <v>2.39</v>
      </c>
      <c r="AI87" s="113">
        <v>4.87</v>
      </c>
      <c r="AJ87" s="113">
        <f t="shared" si="92"/>
        <v>7.26</v>
      </c>
      <c r="AK87" s="117">
        <v>20750</v>
      </c>
      <c r="AL87" s="474">
        <f t="shared" si="93"/>
        <v>150645</v>
      </c>
    </row>
    <row r="88" spans="1:38" s="90" customFormat="1" ht="33" customHeight="1">
      <c r="A88" s="2000"/>
      <c r="B88" s="2009"/>
      <c r="C88" s="115" t="s">
        <v>303</v>
      </c>
      <c r="D88" s="2018"/>
      <c r="E88" s="1125"/>
      <c r="F88" s="113"/>
      <c r="G88" s="116"/>
      <c r="H88" s="1125"/>
      <c r="I88" s="116">
        <v>1.99</v>
      </c>
      <c r="J88" s="116">
        <v>1.39</v>
      </c>
      <c r="K88" s="116"/>
      <c r="L88" s="116"/>
      <c r="M88" s="116"/>
      <c r="N88" s="116"/>
      <c r="O88" s="116"/>
      <c r="P88" s="1125"/>
      <c r="Q88" s="116"/>
      <c r="R88" s="116">
        <v>1.25</v>
      </c>
      <c r="S88" s="116"/>
      <c r="T88" s="116"/>
      <c r="U88" s="116"/>
      <c r="V88" s="1125"/>
      <c r="W88" s="116">
        <v>1.31</v>
      </c>
      <c r="X88" s="116"/>
      <c r="Y88" s="116"/>
      <c r="Z88" s="116"/>
      <c r="AA88" s="116"/>
      <c r="AB88" s="116"/>
      <c r="AC88" s="1125"/>
      <c r="AD88" s="116"/>
      <c r="AE88" s="116"/>
      <c r="AF88" s="116"/>
      <c r="AG88" s="1125"/>
      <c r="AH88" s="116"/>
      <c r="AI88" s="116"/>
      <c r="AJ88" s="116">
        <f t="shared" si="92"/>
        <v>5.9399999999999995</v>
      </c>
      <c r="AK88" s="117">
        <v>25000</v>
      </c>
      <c r="AL88" s="474">
        <f t="shared" si="93"/>
        <v>148500</v>
      </c>
    </row>
    <row r="89" spans="1:38" s="82" customFormat="1" ht="33" customHeight="1" thickBot="1">
      <c r="A89" s="2000"/>
      <c r="B89" s="2009"/>
      <c r="C89" s="94" t="s">
        <v>313</v>
      </c>
      <c r="D89" s="2019"/>
      <c r="E89" s="1126"/>
      <c r="F89" s="95"/>
      <c r="G89" s="95"/>
      <c r="H89" s="1126"/>
      <c r="I89" s="95"/>
      <c r="J89" s="95"/>
      <c r="K89" s="95"/>
      <c r="L89" s="95"/>
      <c r="M89" s="95"/>
      <c r="N89" s="95"/>
      <c r="O89" s="95"/>
      <c r="P89" s="1126"/>
      <c r="Q89" s="95"/>
      <c r="R89" s="95"/>
      <c r="S89" s="95"/>
      <c r="T89" s="95"/>
      <c r="U89" s="95"/>
      <c r="V89" s="1126"/>
      <c r="W89" s="95"/>
      <c r="X89" s="95"/>
      <c r="Y89" s="95"/>
      <c r="Z89" s="95"/>
      <c r="AA89" s="95"/>
      <c r="AB89" s="95"/>
      <c r="AC89" s="1126"/>
      <c r="AD89" s="95"/>
      <c r="AE89" s="95"/>
      <c r="AF89" s="95"/>
      <c r="AG89" s="1126"/>
      <c r="AH89" s="95"/>
      <c r="AI89" s="95"/>
      <c r="AJ89" s="95">
        <f t="shared" si="92"/>
        <v>0</v>
      </c>
      <c r="AK89" s="96">
        <v>35000</v>
      </c>
      <c r="AL89" s="473">
        <f t="shared" si="93"/>
        <v>0</v>
      </c>
    </row>
    <row r="90" spans="1:38" s="82" customFormat="1" ht="33" customHeight="1">
      <c r="A90" s="2000"/>
      <c r="B90" s="2009"/>
      <c r="C90" s="100" t="s">
        <v>312</v>
      </c>
      <c r="D90" s="2017" t="s">
        <v>302</v>
      </c>
      <c r="E90" s="1122"/>
      <c r="F90" s="91"/>
      <c r="G90" s="91"/>
      <c r="H90" s="1122"/>
      <c r="I90" s="91"/>
      <c r="J90" s="91"/>
      <c r="K90" s="91"/>
      <c r="L90" s="91"/>
      <c r="M90" s="91"/>
      <c r="N90" s="91"/>
      <c r="O90" s="91"/>
      <c r="P90" s="1122"/>
      <c r="Q90" s="91"/>
      <c r="R90" s="91"/>
      <c r="S90" s="91"/>
      <c r="T90" s="91"/>
      <c r="U90" s="91"/>
      <c r="V90" s="1122"/>
      <c r="W90" s="91"/>
      <c r="X90" s="91"/>
      <c r="Y90" s="91"/>
      <c r="Z90" s="91"/>
      <c r="AA90" s="91"/>
      <c r="AB90" s="91"/>
      <c r="AC90" s="1122"/>
      <c r="AD90" s="91"/>
      <c r="AE90" s="91"/>
      <c r="AF90" s="91"/>
      <c r="AG90" s="1122"/>
      <c r="AH90" s="91"/>
      <c r="AI90" s="91"/>
      <c r="AJ90" s="91">
        <f t="shared" si="92"/>
        <v>0</v>
      </c>
      <c r="AK90" s="85">
        <v>16000</v>
      </c>
      <c r="AL90" s="468">
        <f>AJ90*AK90</f>
        <v>0</v>
      </c>
    </row>
    <row r="91" spans="1:38" s="82" customFormat="1" ht="33" customHeight="1">
      <c r="A91" s="2000"/>
      <c r="B91" s="2009"/>
      <c r="C91" s="89" t="s">
        <v>314</v>
      </c>
      <c r="D91" s="2018"/>
      <c r="E91" s="1123"/>
      <c r="F91" s="83"/>
      <c r="G91" s="83"/>
      <c r="H91" s="1123"/>
      <c r="I91" s="83"/>
      <c r="J91" s="83"/>
      <c r="K91" s="83"/>
      <c r="L91" s="83"/>
      <c r="M91" s="83"/>
      <c r="N91" s="83"/>
      <c r="O91" s="83"/>
      <c r="P91" s="1123"/>
      <c r="Q91" s="83"/>
      <c r="R91" s="83"/>
      <c r="S91" s="83"/>
      <c r="T91" s="83"/>
      <c r="U91" s="83"/>
      <c r="V91" s="1123"/>
      <c r="W91" s="83"/>
      <c r="X91" s="83"/>
      <c r="Y91" s="83"/>
      <c r="Z91" s="83"/>
      <c r="AA91" s="83"/>
      <c r="AB91" s="83"/>
      <c r="AC91" s="1123"/>
      <c r="AD91" s="83"/>
      <c r="AE91" s="83"/>
      <c r="AF91" s="83"/>
      <c r="AG91" s="1123"/>
      <c r="AH91" s="83"/>
      <c r="AI91" s="83"/>
      <c r="AJ91" s="83">
        <f t="shared" si="92"/>
        <v>0</v>
      </c>
      <c r="AK91" s="85">
        <v>19000</v>
      </c>
      <c r="AL91" s="473">
        <f>AJ91*AK91</f>
        <v>0</v>
      </c>
    </row>
    <row r="92" spans="1:38" s="82" customFormat="1" ht="33" customHeight="1">
      <c r="A92" s="2000"/>
      <c r="B92" s="2009"/>
      <c r="C92" s="89" t="s">
        <v>299</v>
      </c>
      <c r="D92" s="2018"/>
      <c r="E92" s="1123"/>
      <c r="F92" s="83"/>
      <c r="G92" s="83"/>
      <c r="H92" s="1123"/>
      <c r="I92" s="83"/>
      <c r="J92" s="83"/>
      <c r="K92" s="83"/>
      <c r="L92" s="83"/>
      <c r="M92" s="83"/>
      <c r="N92" s="83"/>
      <c r="O92" s="83"/>
      <c r="P92" s="1123"/>
      <c r="Q92" s="83"/>
      <c r="R92" s="83"/>
      <c r="S92" s="83"/>
      <c r="T92" s="83"/>
      <c r="U92" s="83"/>
      <c r="V92" s="1123"/>
      <c r="W92" s="83"/>
      <c r="X92" s="83"/>
      <c r="Y92" s="83"/>
      <c r="Z92" s="83"/>
      <c r="AA92" s="83"/>
      <c r="AB92" s="83"/>
      <c r="AC92" s="1123"/>
      <c r="AD92" s="83"/>
      <c r="AE92" s="83"/>
      <c r="AF92" s="83"/>
      <c r="AG92" s="1123"/>
      <c r="AH92" s="83"/>
      <c r="AI92" s="83"/>
      <c r="AJ92" s="83">
        <f t="shared" si="92"/>
        <v>0</v>
      </c>
      <c r="AK92" s="85">
        <v>22000</v>
      </c>
      <c r="AL92" s="473">
        <f t="shared" ref="AL92:AL95" si="94">AJ92*AK92</f>
        <v>0</v>
      </c>
    </row>
    <row r="93" spans="1:38" s="90" customFormat="1" ht="33" customHeight="1">
      <c r="A93" s="2000"/>
      <c r="B93" s="2009"/>
      <c r="C93" s="112" t="s">
        <v>301</v>
      </c>
      <c r="D93" s="2018"/>
      <c r="E93" s="1124"/>
      <c r="F93" s="113"/>
      <c r="G93" s="113"/>
      <c r="H93" s="1124"/>
      <c r="I93" s="113"/>
      <c r="J93" s="113"/>
      <c r="K93" s="113"/>
      <c r="L93" s="113"/>
      <c r="M93" s="113"/>
      <c r="N93" s="113"/>
      <c r="O93" s="113"/>
      <c r="P93" s="1124"/>
      <c r="Q93" s="113"/>
      <c r="R93" s="113"/>
      <c r="S93" s="113"/>
      <c r="T93" s="113"/>
      <c r="U93" s="113"/>
      <c r="V93" s="1124"/>
      <c r="W93" s="113"/>
      <c r="X93" s="113"/>
      <c r="Y93" s="113"/>
      <c r="Z93" s="113"/>
      <c r="AA93" s="113"/>
      <c r="AB93" s="113"/>
      <c r="AC93" s="1124"/>
      <c r="AD93" s="113"/>
      <c r="AE93" s="113"/>
      <c r="AF93" s="113"/>
      <c r="AG93" s="1124"/>
      <c r="AH93" s="113"/>
      <c r="AI93" s="113"/>
      <c r="AJ93" s="113">
        <f t="shared" si="92"/>
        <v>0</v>
      </c>
      <c r="AK93" s="111">
        <v>23000</v>
      </c>
      <c r="AL93" s="474">
        <f t="shared" si="94"/>
        <v>0</v>
      </c>
    </row>
    <row r="94" spans="1:38" s="90" customFormat="1" ht="33" customHeight="1">
      <c r="A94" s="2000"/>
      <c r="B94" s="2009"/>
      <c r="C94" s="115" t="s">
        <v>303</v>
      </c>
      <c r="D94" s="2018"/>
      <c r="E94" s="1125"/>
      <c r="F94" s="113"/>
      <c r="G94" s="116"/>
      <c r="H94" s="1125"/>
      <c r="I94" s="116"/>
      <c r="J94" s="116"/>
      <c r="K94" s="116"/>
      <c r="L94" s="116"/>
      <c r="M94" s="116"/>
      <c r="N94" s="116"/>
      <c r="O94" s="116"/>
      <c r="P94" s="1125"/>
      <c r="Q94" s="116"/>
      <c r="R94" s="116"/>
      <c r="S94" s="116"/>
      <c r="T94" s="116"/>
      <c r="U94" s="116"/>
      <c r="V94" s="1125"/>
      <c r="W94" s="116"/>
      <c r="X94" s="116"/>
      <c r="Y94" s="116"/>
      <c r="Z94" s="116"/>
      <c r="AA94" s="116"/>
      <c r="AB94" s="116"/>
      <c r="AC94" s="1125"/>
      <c r="AD94" s="116"/>
      <c r="AE94" s="116"/>
      <c r="AF94" s="116"/>
      <c r="AG94" s="1125"/>
      <c r="AH94" s="116"/>
      <c r="AI94" s="116"/>
      <c r="AJ94" s="116">
        <f t="shared" si="92"/>
        <v>0</v>
      </c>
      <c r="AK94" s="114">
        <v>30000</v>
      </c>
      <c r="AL94" s="474">
        <f t="shared" si="94"/>
        <v>0</v>
      </c>
    </row>
    <row r="95" spans="1:38" s="82" customFormat="1" ht="33" customHeight="1" thickBot="1">
      <c r="A95" s="2000"/>
      <c r="B95" s="2009"/>
      <c r="C95" s="94" t="s">
        <v>313</v>
      </c>
      <c r="D95" s="2019"/>
      <c r="E95" s="1126"/>
      <c r="F95" s="95"/>
      <c r="G95" s="95"/>
      <c r="H95" s="1126"/>
      <c r="I95" s="95"/>
      <c r="J95" s="95"/>
      <c r="K95" s="95"/>
      <c r="L95" s="95"/>
      <c r="M95" s="95"/>
      <c r="N95" s="95"/>
      <c r="O95" s="95"/>
      <c r="P95" s="1126"/>
      <c r="Q95" s="95"/>
      <c r="R95" s="95"/>
      <c r="S95" s="95"/>
      <c r="T95" s="95"/>
      <c r="U95" s="95"/>
      <c r="V95" s="1126"/>
      <c r="W95" s="95"/>
      <c r="X95" s="95"/>
      <c r="Y95" s="95"/>
      <c r="Z95" s="95"/>
      <c r="AA95" s="95"/>
      <c r="AB95" s="95"/>
      <c r="AC95" s="1126"/>
      <c r="AD95" s="95"/>
      <c r="AE95" s="95"/>
      <c r="AF95" s="95"/>
      <c r="AG95" s="1126"/>
      <c r="AH95" s="95"/>
      <c r="AI95" s="95"/>
      <c r="AJ95" s="95">
        <f t="shared" si="92"/>
        <v>0</v>
      </c>
      <c r="AK95" s="98">
        <v>40000</v>
      </c>
      <c r="AL95" s="473">
        <f t="shared" si="94"/>
        <v>0</v>
      </c>
    </row>
    <row r="96" spans="1:38" s="127" customFormat="1" ht="28.5" customHeight="1" thickBot="1">
      <c r="A96" s="2000"/>
      <c r="B96" s="2009"/>
      <c r="C96" s="2021" t="s">
        <v>323</v>
      </c>
      <c r="D96" s="2022"/>
      <c r="E96" s="1128">
        <f>SUM(E78:E95)</f>
        <v>0</v>
      </c>
      <c r="F96" s="126">
        <f>SUM(F78:F95)</f>
        <v>2.42</v>
      </c>
      <c r="G96" s="126">
        <f t="shared" ref="G96:K96" si="95">SUM(G78:G95)</f>
        <v>0</v>
      </c>
      <c r="H96" s="1128">
        <f t="shared" si="95"/>
        <v>0</v>
      </c>
      <c r="I96" s="126">
        <f t="shared" si="95"/>
        <v>6.99</v>
      </c>
      <c r="J96" s="126">
        <f t="shared" si="95"/>
        <v>6.39</v>
      </c>
      <c r="K96" s="126">
        <f t="shared" si="95"/>
        <v>1.03</v>
      </c>
      <c r="L96" s="126">
        <f>SUM(L78:L95)</f>
        <v>0</v>
      </c>
      <c r="M96" s="126">
        <f>SUM(M78:M95)</f>
        <v>3.91</v>
      </c>
      <c r="N96" s="126">
        <f t="shared" ref="N96" si="96">SUM(N78:N95)</f>
        <v>0.42</v>
      </c>
      <c r="O96" s="126">
        <f t="shared" ref="O96" si="97">SUM(O78:O95)</f>
        <v>0</v>
      </c>
      <c r="P96" s="1128">
        <f t="shared" ref="P96" si="98">SUM(P78:P95)</f>
        <v>0</v>
      </c>
      <c r="Q96" s="126">
        <f t="shared" ref="Q96" si="99">SUM(Q78:Q95)</f>
        <v>0</v>
      </c>
      <c r="R96" s="126">
        <f t="shared" ref="R96" si="100">SUM(R78:R95)</f>
        <v>6.25</v>
      </c>
      <c r="S96" s="126">
        <f>SUM(S78:S95)</f>
        <v>3.76</v>
      </c>
      <c r="T96" s="126">
        <f>SUM(T78:T95)</f>
        <v>3.88</v>
      </c>
      <c r="U96" s="126">
        <f t="shared" ref="U96" si="101">SUM(U78:U95)</f>
        <v>2.5299999999999998</v>
      </c>
      <c r="V96" s="1128">
        <f t="shared" ref="V96" si="102">SUM(V78:V95)</f>
        <v>0</v>
      </c>
      <c r="W96" s="126">
        <f t="shared" ref="W96" si="103">SUM(W78:W95)</f>
        <v>6.3100000000000005</v>
      </c>
      <c r="X96" s="126">
        <f t="shared" ref="X96" si="104">SUM(X78:X95)</f>
        <v>3.45</v>
      </c>
      <c r="Y96" s="126">
        <f t="shared" ref="Y96" si="105">SUM(Y78:Y95)</f>
        <v>2.69</v>
      </c>
      <c r="Z96" s="126">
        <f>SUM(Z78:Z95)</f>
        <v>3.66</v>
      </c>
      <c r="AA96" s="126">
        <f>SUM(AA78:AA95)</f>
        <v>4.1900000000000004</v>
      </c>
      <c r="AB96" s="126">
        <f t="shared" ref="AB96" si="106">SUM(AB78:AB95)</f>
        <v>0.47</v>
      </c>
      <c r="AC96" s="1128">
        <f t="shared" ref="AC96" si="107">SUM(AC78:AC95)</f>
        <v>0</v>
      </c>
      <c r="AD96" s="126">
        <f t="shared" ref="AD96" si="108">SUM(AD78:AD95)</f>
        <v>1.48</v>
      </c>
      <c r="AE96" s="126">
        <f t="shared" ref="AE96" si="109">SUM(AE78:AE95)</f>
        <v>2.25</v>
      </c>
      <c r="AF96" s="126">
        <f t="shared" ref="AF96" si="110">SUM(AF78:AF95)</f>
        <v>0</v>
      </c>
      <c r="AG96" s="1128">
        <f>SUM(AG78:AG95)</f>
        <v>0</v>
      </c>
      <c r="AH96" s="126">
        <f>SUM(AH78:AH95)</f>
        <v>7.3900000000000006</v>
      </c>
      <c r="AI96" s="126">
        <f t="shared" ref="AI96" si="111">SUM(AI78:AI95)</f>
        <v>9.870000000000001</v>
      </c>
      <c r="AJ96" s="126">
        <f>SUM(AJ78:AJ95)</f>
        <v>79.34</v>
      </c>
      <c r="AK96" s="126"/>
      <c r="AL96" s="478">
        <f>SUM(AL78:AL95)</f>
        <v>1539005</v>
      </c>
    </row>
    <row r="97" spans="1:38" s="82" customFormat="1" ht="35.25" customHeight="1">
      <c r="A97" s="2000"/>
      <c r="B97" s="2009"/>
      <c r="C97" s="93" t="s">
        <v>271</v>
      </c>
      <c r="D97" s="1296"/>
      <c r="E97" s="1123"/>
      <c r="F97" s="84"/>
      <c r="G97" s="84"/>
      <c r="H97" s="1130"/>
      <c r="I97" s="84"/>
      <c r="J97" s="84"/>
      <c r="K97" s="84"/>
      <c r="L97" s="83"/>
      <c r="M97" s="84"/>
      <c r="N97" s="84"/>
      <c r="O97" s="84"/>
      <c r="P97" s="1130"/>
      <c r="Q97" s="84"/>
      <c r="R97" s="84"/>
      <c r="S97" s="83"/>
      <c r="T97" s="84">
        <v>60</v>
      </c>
      <c r="U97" s="84">
        <v>66.5</v>
      </c>
      <c r="V97" s="1130"/>
      <c r="W97" s="746"/>
      <c r="X97" s="84">
        <v>70.5</v>
      </c>
      <c r="Y97" s="84"/>
      <c r="Z97" s="83"/>
      <c r="AA97" s="84"/>
      <c r="AB97" s="84"/>
      <c r="AC97" s="1130"/>
      <c r="AD97" s="84"/>
      <c r="AE97" s="84"/>
      <c r="AF97" s="84"/>
      <c r="AG97" s="1123"/>
      <c r="AH97" s="84"/>
      <c r="AI97" s="84"/>
      <c r="AJ97" s="84">
        <f t="shared" ref="AJ97" si="112">SUM(E97:AI97)</f>
        <v>197</v>
      </c>
      <c r="AK97" s="87">
        <v>200</v>
      </c>
      <c r="AL97" s="471">
        <f>AJ97*AK97</f>
        <v>39400</v>
      </c>
    </row>
    <row r="98" spans="1:38" s="82" customFormat="1" ht="35.25" customHeight="1">
      <c r="A98" s="2000"/>
      <c r="B98" s="2009"/>
      <c r="C98" s="65" t="s">
        <v>307</v>
      </c>
      <c r="D98" s="1295"/>
      <c r="E98" s="1123"/>
      <c r="F98" s="83"/>
      <c r="G98" s="83"/>
      <c r="H98" s="1123"/>
      <c r="I98" s="83"/>
      <c r="J98" s="83"/>
      <c r="K98" s="83"/>
      <c r="L98" s="83"/>
      <c r="M98" s="83"/>
      <c r="N98" s="83"/>
      <c r="O98" s="83"/>
      <c r="P98" s="1123"/>
      <c r="Q98" s="83"/>
      <c r="R98" s="83"/>
      <c r="S98" s="83"/>
      <c r="T98" s="83"/>
      <c r="U98" s="83"/>
      <c r="V98" s="1123"/>
      <c r="W98" s="83"/>
      <c r="X98" s="83"/>
      <c r="Y98" s="83">
        <v>2.92</v>
      </c>
      <c r="Z98" s="83"/>
      <c r="AA98" s="83"/>
      <c r="AB98" s="83">
        <v>3.94</v>
      </c>
      <c r="AC98" s="1123"/>
      <c r="AD98" s="83">
        <v>3.52</v>
      </c>
      <c r="AE98" s="83">
        <v>4.2300000000000004</v>
      </c>
      <c r="AF98" s="83"/>
      <c r="AG98" s="1123"/>
      <c r="AH98" s="83"/>
      <c r="AI98" s="83"/>
      <c r="AJ98" s="83">
        <f t="shared" si="92"/>
        <v>14.61</v>
      </c>
      <c r="AK98" s="85">
        <v>15000</v>
      </c>
      <c r="AL98" s="482">
        <f>AJ98*AK98</f>
        <v>219150</v>
      </c>
    </row>
    <row r="99" spans="1:38" s="82" customFormat="1" ht="35.25" customHeight="1">
      <c r="A99" s="2000"/>
      <c r="B99" s="2009"/>
      <c r="C99" s="65" t="s">
        <v>571</v>
      </c>
      <c r="D99" s="1295"/>
      <c r="E99" s="1123"/>
      <c r="F99" s="83"/>
      <c r="G99" s="83"/>
      <c r="H99" s="1123"/>
      <c r="I99" s="83"/>
      <c r="J99" s="83"/>
      <c r="K99" s="83"/>
      <c r="L99" s="83"/>
      <c r="M99" s="83"/>
      <c r="N99" s="83"/>
      <c r="O99" s="83"/>
      <c r="P99" s="1123"/>
      <c r="Q99" s="83"/>
      <c r="R99" s="83"/>
      <c r="S99" s="83"/>
      <c r="T99" s="83"/>
      <c r="U99" s="83"/>
      <c r="V99" s="1129"/>
      <c r="W99" s="191"/>
      <c r="X99" s="83"/>
      <c r="Y99" s="83"/>
      <c r="Z99" s="83"/>
      <c r="AA99" s="83"/>
      <c r="AB99" s="83"/>
      <c r="AC99" s="1123"/>
      <c r="AD99" s="191"/>
      <c r="AE99" s="83"/>
      <c r="AF99" s="83"/>
      <c r="AG99" s="1123"/>
      <c r="AH99" s="191"/>
      <c r="AI99" s="83"/>
      <c r="AJ99" s="83">
        <f t="shared" si="92"/>
        <v>0</v>
      </c>
      <c r="AK99" s="192">
        <v>17000</v>
      </c>
      <c r="AL99" s="482">
        <f>AJ99*AK99</f>
        <v>0</v>
      </c>
    </row>
    <row r="100" spans="1:38" s="82" customFormat="1" ht="35.25" customHeight="1" thickBot="1">
      <c r="A100" s="2000"/>
      <c r="B100" s="2009"/>
      <c r="C100" s="119" t="s">
        <v>308</v>
      </c>
      <c r="D100" s="1297"/>
      <c r="E100" s="1130"/>
      <c r="F100" s="86"/>
      <c r="G100" s="86"/>
      <c r="H100" s="1129"/>
      <c r="I100" s="86"/>
      <c r="J100" s="86"/>
      <c r="K100" s="86"/>
      <c r="L100" s="86"/>
      <c r="M100" s="86"/>
      <c r="N100" s="86"/>
      <c r="O100" s="86"/>
      <c r="P100" s="1129"/>
      <c r="Q100" s="86"/>
      <c r="R100" s="86"/>
      <c r="S100" s="86"/>
      <c r="T100" s="86"/>
      <c r="U100" s="86"/>
      <c r="V100" s="1129"/>
      <c r="W100" s="86"/>
      <c r="X100" s="86"/>
      <c r="Y100" s="86"/>
      <c r="Z100" s="86"/>
      <c r="AA100" s="86"/>
      <c r="AB100" s="86"/>
      <c r="AC100" s="1130"/>
      <c r="AD100" s="86"/>
      <c r="AE100" s="86"/>
      <c r="AF100" s="86"/>
      <c r="AG100" s="1129"/>
      <c r="AH100" s="86"/>
      <c r="AI100" s="86"/>
      <c r="AJ100" s="86">
        <f t="shared" si="92"/>
        <v>0</v>
      </c>
      <c r="AK100" s="98">
        <v>11000</v>
      </c>
      <c r="AL100" s="475">
        <f>AJ100*AK100</f>
        <v>0</v>
      </c>
    </row>
    <row r="101" spans="1:38" s="127" customFormat="1" ht="35.25" customHeight="1" thickBot="1">
      <c r="A101" s="2000"/>
      <c r="B101" s="2009"/>
      <c r="C101" s="2015" t="s">
        <v>322</v>
      </c>
      <c r="D101" s="2016"/>
      <c r="E101" s="1128">
        <f>SUM(E98:E100)</f>
        <v>0</v>
      </c>
      <c r="F101" s="126">
        <f>SUM(F98:F100)</f>
        <v>0</v>
      </c>
      <c r="G101" s="126">
        <f t="shared" ref="G101:K101" si="113">SUM(G98:G100)</f>
        <v>0</v>
      </c>
      <c r="H101" s="1128">
        <f t="shared" si="113"/>
        <v>0</v>
      </c>
      <c r="I101" s="126">
        <f t="shared" si="113"/>
        <v>0</v>
      </c>
      <c r="J101" s="126">
        <f t="shared" si="113"/>
        <v>0</v>
      </c>
      <c r="K101" s="126">
        <f t="shared" si="113"/>
        <v>0</v>
      </c>
      <c r="L101" s="126">
        <f>SUM(L98:L100)</f>
        <v>0</v>
      </c>
      <c r="M101" s="126">
        <f>SUM(M98:M100)</f>
        <v>0</v>
      </c>
      <c r="N101" s="126">
        <f t="shared" ref="N101" si="114">SUM(N98:N100)</f>
        <v>0</v>
      </c>
      <c r="O101" s="126">
        <f t="shared" ref="O101" si="115">SUM(O98:O100)</f>
        <v>0</v>
      </c>
      <c r="P101" s="1128">
        <f t="shared" ref="P101" si="116">SUM(P98:P100)</f>
        <v>0</v>
      </c>
      <c r="Q101" s="126">
        <f t="shared" ref="Q101" si="117">SUM(Q98:Q100)</f>
        <v>0</v>
      </c>
      <c r="R101" s="126">
        <f t="shared" ref="R101" si="118">SUM(R98:R100)</f>
        <v>0</v>
      </c>
      <c r="S101" s="126">
        <f>SUM(S98:S100)</f>
        <v>0</v>
      </c>
      <c r="T101" s="126">
        <f>SUM(T98:T100)</f>
        <v>0</v>
      </c>
      <c r="U101" s="126">
        <f t="shared" ref="U101" si="119">SUM(U98:U100)</f>
        <v>0</v>
      </c>
      <c r="V101" s="1128">
        <f t="shared" ref="V101" si="120">SUM(V98:V100)</f>
        <v>0</v>
      </c>
      <c r="W101" s="126">
        <f t="shared" ref="W101" si="121">SUM(W98:W100)</f>
        <v>0</v>
      </c>
      <c r="X101" s="126">
        <f t="shared" ref="X101" si="122">SUM(X98:X100)</f>
        <v>0</v>
      </c>
      <c r="Y101" s="126">
        <f t="shared" ref="Y101:AH101" si="123">SUM(Y98:Y100)</f>
        <v>2.92</v>
      </c>
      <c r="Z101" s="126">
        <f t="shared" si="123"/>
        <v>0</v>
      </c>
      <c r="AA101" s="126">
        <f t="shared" si="123"/>
        <v>0</v>
      </c>
      <c r="AB101" s="126">
        <f t="shared" si="123"/>
        <v>3.94</v>
      </c>
      <c r="AC101" s="1128">
        <f t="shared" si="123"/>
        <v>0</v>
      </c>
      <c r="AD101" s="126">
        <f>SUM(AD98:AD100)</f>
        <v>3.52</v>
      </c>
      <c r="AE101" s="126">
        <f t="shared" si="123"/>
        <v>4.2300000000000004</v>
      </c>
      <c r="AF101" s="126">
        <f t="shared" si="123"/>
        <v>0</v>
      </c>
      <c r="AG101" s="1128">
        <f t="shared" si="123"/>
        <v>0</v>
      </c>
      <c r="AH101" s="126">
        <f t="shared" si="123"/>
        <v>0</v>
      </c>
      <c r="AI101" s="126">
        <f t="shared" ref="AI101" si="124">SUM(AI98:AI100)</f>
        <v>0</v>
      </c>
      <c r="AJ101" s="126"/>
      <c r="AK101" s="128"/>
      <c r="AL101" s="478">
        <f>SUM(AL97:AL100)</f>
        <v>258550</v>
      </c>
    </row>
    <row r="102" spans="1:38" s="82" customFormat="1" ht="35.25" customHeight="1">
      <c r="A102" s="2000"/>
      <c r="B102" s="2009"/>
      <c r="C102" s="123" t="s">
        <v>324</v>
      </c>
      <c r="D102" s="1295"/>
      <c r="E102" s="1130"/>
      <c r="F102" s="83"/>
      <c r="G102" s="83"/>
      <c r="H102" s="1123"/>
      <c r="I102" s="83"/>
      <c r="J102" s="83"/>
      <c r="K102" s="83"/>
      <c r="L102" s="83"/>
      <c r="M102" s="83"/>
      <c r="N102" s="83"/>
      <c r="O102" s="83"/>
      <c r="P102" s="1123"/>
      <c r="Q102" s="83"/>
      <c r="R102" s="83"/>
      <c r="S102" s="83"/>
      <c r="T102" s="83"/>
      <c r="U102" s="83"/>
      <c r="V102" s="1123"/>
      <c r="W102" s="83"/>
      <c r="X102" s="83"/>
      <c r="Y102" s="83"/>
      <c r="Z102" s="83"/>
      <c r="AA102" s="83"/>
      <c r="AB102" s="83"/>
      <c r="AC102" s="1130"/>
      <c r="AD102" s="83"/>
      <c r="AE102" s="83"/>
      <c r="AF102" s="83"/>
      <c r="AG102" s="1123"/>
      <c r="AH102" s="83"/>
      <c r="AI102" s="83"/>
      <c r="AJ102" s="83">
        <f t="shared" si="92"/>
        <v>0</v>
      </c>
      <c r="AK102" s="85">
        <v>4814</v>
      </c>
      <c r="AL102" s="473">
        <f>AJ102*AK102</f>
        <v>0</v>
      </c>
    </row>
    <row r="103" spans="1:38" s="82" customFormat="1" ht="35.25" customHeight="1">
      <c r="A103" s="2000"/>
      <c r="B103" s="2009"/>
      <c r="C103" s="101" t="s">
        <v>267</v>
      </c>
      <c r="D103" s="1296"/>
      <c r="E103" s="1129"/>
      <c r="F103" s="86">
        <v>1</v>
      </c>
      <c r="G103" s="84"/>
      <c r="H103" s="1130"/>
      <c r="I103" s="84"/>
      <c r="J103" s="84"/>
      <c r="K103" s="84"/>
      <c r="L103" s="86"/>
      <c r="M103" s="84"/>
      <c r="N103" s="84"/>
      <c r="O103" s="84"/>
      <c r="P103" s="1130"/>
      <c r="Q103" s="84"/>
      <c r="R103" s="84"/>
      <c r="S103" s="86"/>
      <c r="T103" s="84"/>
      <c r="U103" s="84"/>
      <c r="V103" s="1130"/>
      <c r="W103" s="84"/>
      <c r="X103" s="84"/>
      <c r="Y103" s="84"/>
      <c r="Z103" s="86"/>
      <c r="AA103" s="84"/>
      <c r="AB103" s="84"/>
      <c r="AC103" s="1130"/>
      <c r="AD103" s="84"/>
      <c r="AE103" s="84"/>
      <c r="AF103" s="84"/>
      <c r="AG103" s="1129"/>
      <c r="AH103" s="84"/>
      <c r="AI103" s="84"/>
      <c r="AJ103" s="84">
        <f t="shared" si="92"/>
        <v>1</v>
      </c>
      <c r="AK103" s="87">
        <v>7217</v>
      </c>
      <c r="AL103" s="471">
        <f t="shared" ref="AL103:AL104" si="125">AJ103*AK103</f>
        <v>7217</v>
      </c>
    </row>
    <row r="104" spans="1:38" s="82" customFormat="1" ht="35.25" customHeight="1" thickBot="1">
      <c r="A104" s="2000"/>
      <c r="B104" s="2009"/>
      <c r="C104" s="101" t="s">
        <v>268</v>
      </c>
      <c r="D104" s="1296"/>
      <c r="E104" s="1129"/>
      <c r="F104" s="86"/>
      <c r="G104" s="84">
        <v>0.5</v>
      </c>
      <c r="H104" s="1130"/>
      <c r="I104" s="84">
        <v>0.5</v>
      </c>
      <c r="J104" s="84">
        <v>0.5</v>
      </c>
      <c r="K104" s="84">
        <v>1</v>
      </c>
      <c r="L104" s="84"/>
      <c r="M104" s="84">
        <v>0.5</v>
      </c>
      <c r="N104" s="84">
        <v>0.5</v>
      </c>
      <c r="O104" s="84"/>
      <c r="P104" s="1130"/>
      <c r="Q104" s="84">
        <v>0.5</v>
      </c>
      <c r="R104" s="84">
        <v>1</v>
      </c>
      <c r="S104" s="84">
        <v>1</v>
      </c>
      <c r="T104" s="84"/>
      <c r="U104" s="84"/>
      <c r="V104" s="1130"/>
      <c r="W104" s="84">
        <v>0.5</v>
      </c>
      <c r="X104" s="84">
        <v>0.5</v>
      </c>
      <c r="Y104" s="84">
        <v>0.5</v>
      </c>
      <c r="Z104" s="84">
        <v>0.5</v>
      </c>
      <c r="AA104" s="84">
        <v>0.5</v>
      </c>
      <c r="AB104" s="84">
        <v>0.5</v>
      </c>
      <c r="AC104" s="1130"/>
      <c r="AD104" s="84">
        <v>0.5</v>
      </c>
      <c r="AE104" s="84">
        <v>0.5</v>
      </c>
      <c r="AF104" s="84"/>
      <c r="AG104" s="1126"/>
      <c r="AH104" s="95">
        <v>0.5</v>
      </c>
      <c r="AI104" s="95"/>
      <c r="AJ104" s="86">
        <f t="shared" si="92"/>
        <v>10.5</v>
      </c>
      <c r="AK104" s="87">
        <v>9029</v>
      </c>
      <c r="AL104" s="469">
        <f t="shared" si="125"/>
        <v>94804.5</v>
      </c>
    </row>
    <row r="105" spans="1:38" s="125" customFormat="1" ht="28.5" customHeight="1" thickBot="1">
      <c r="A105" s="2000"/>
      <c r="B105" s="2009"/>
      <c r="C105" s="2012" t="s">
        <v>316</v>
      </c>
      <c r="D105" s="2013"/>
      <c r="E105" s="1131">
        <f>SUM(E102:E104)</f>
        <v>0</v>
      </c>
      <c r="F105" s="124">
        <f>SUM(F102:F104)</f>
        <v>1</v>
      </c>
      <c r="G105" s="124">
        <f t="shared" ref="G105:K105" si="126">SUM(G102:G104)</f>
        <v>0.5</v>
      </c>
      <c r="H105" s="1131">
        <f t="shared" si="126"/>
        <v>0</v>
      </c>
      <c r="I105" s="124">
        <f t="shared" si="126"/>
        <v>0.5</v>
      </c>
      <c r="J105" s="124">
        <f t="shared" si="126"/>
        <v>0.5</v>
      </c>
      <c r="K105" s="124">
        <f t="shared" si="126"/>
        <v>1</v>
      </c>
      <c r="L105" s="124">
        <f>SUM(L102:L104)</f>
        <v>0</v>
      </c>
      <c r="M105" s="124">
        <f>SUM(M102:M104)</f>
        <v>0.5</v>
      </c>
      <c r="N105" s="124">
        <f t="shared" ref="N105" si="127">SUM(N102:N104)</f>
        <v>0.5</v>
      </c>
      <c r="O105" s="124">
        <f t="shared" ref="O105" si="128">SUM(O102:O104)</f>
        <v>0</v>
      </c>
      <c r="P105" s="1131">
        <f t="shared" ref="P105" si="129">SUM(P102:P104)</f>
        <v>0</v>
      </c>
      <c r="Q105" s="124">
        <f t="shared" ref="Q105" si="130">SUM(Q102:Q104)</f>
        <v>0.5</v>
      </c>
      <c r="R105" s="124">
        <f t="shared" ref="R105" si="131">SUM(R102:R104)</f>
        <v>1</v>
      </c>
      <c r="S105" s="124">
        <f>SUM(S102:S104)</f>
        <v>1</v>
      </c>
      <c r="T105" s="124">
        <f>SUM(T102:T104)</f>
        <v>0</v>
      </c>
      <c r="U105" s="124">
        <f t="shared" ref="U105" si="132">SUM(U102:U104)</f>
        <v>0</v>
      </c>
      <c r="V105" s="1131">
        <f t="shared" ref="V105" si="133">SUM(V102:V104)</f>
        <v>0</v>
      </c>
      <c r="W105" s="124">
        <f t="shared" ref="W105" si="134">SUM(W102:W104)</f>
        <v>0.5</v>
      </c>
      <c r="X105" s="124">
        <f t="shared" ref="X105" si="135">SUM(X102:X104)</f>
        <v>0.5</v>
      </c>
      <c r="Y105" s="124">
        <f t="shared" ref="Y105" si="136">SUM(Y102:Y104)</f>
        <v>0.5</v>
      </c>
      <c r="Z105" s="124">
        <f>SUM(Z102:Z104)</f>
        <v>0.5</v>
      </c>
      <c r="AA105" s="124">
        <f>SUM(AA102:AA104)</f>
        <v>0.5</v>
      </c>
      <c r="AB105" s="124">
        <f t="shared" ref="AB105:AG105" si="137">SUM(AB102:AB104)</f>
        <v>0.5</v>
      </c>
      <c r="AC105" s="1131">
        <f t="shared" si="137"/>
        <v>0</v>
      </c>
      <c r="AD105" s="124">
        <f t="shared" si="137"/>
        <v>0.5</v>
      </c>
      <c r="AE105" s="124">
        <f t="shared" si="137"/>
        <v>0.5</v>
      </c>
      <c r="AF105" s="124">
        <f t="shared" si="137"/>
        <v>0</v>
      </c>
      <c r="AG105" s="1131">
        <f t="shared" si="137"/>
        <v>0</v>
      </c>
      <c r="AH105" s="124">
        <f>SUM(AH102:AH104)</f>
        <v>0.5</v>
      </c>
      <c r="AI105" s="124">
        <f t="shared" ref="AI105" si="138">SUM(AI102:AI104)</f>
        <v>0</v>
      </c>
      <c r="AJ105" s="124">
        <f>SUM(E105:AI105)</f>
        <v>11.5</v>
      </c>
      <c r="AK105" s="124"/>
      <c r="AL105" s="479">
        <f>SUM(AL102:AL104)</f>
        <v>102021.5</v>
      </c>
    </row>
    <row r="106" spans="1:38" s="82" customFormat="1" ht="35.25" customHeight="1" thickBot="1">
      <c r="A106" s="2000"/>
      <c r="B106" s="2009"/>
      <c r="C106" s="93" t="s">
        <v>265</v>
      </c>
      <c r="D106" s="1296"/>
      <c r="E106" s="1130"/>
      <c r="F106" s="84"/>
      <c r="G106" s="84"/>
      <c r="H106" s="1130"/>
      <c r="I106" s="84"/>
      <c r="J106" s="84"/>
      <c r="K106" s="84"/>
      <c r="L106" s="84"/>
      <c r="M106" s="84"/>
      <c r="N106" s="84"/>
      <c r="O106" s="84"/>
      <c r="P106" s="1130"/>
      <c r="Q106" s="84"/>
      <c r="R106" s="84"/>
      <c r="S106" s="84"/>
      <c r="T106" s="84"/>
      <c r="U106" s="84"/>
      <c r="V106" s="1130"/>
      <c r="W106" s="84"/>
      <c r="X106" s="84"/>
      <c r="Y106" s="84"/>
      <c r="Z106" s="84"/>
      <c r="AA106" s="84"/>
      <c r="AB106" s="84"/>
      <c r="AC106" s="1130"/>
      <c r="AD106" s="84"/>
      <c r="AE106" s="84"/>
      <c r="AF106" s="84"/>
      <c r="AG106" s="1130"/>
      <c r="AH106" s="84"/>
      <c r="AI106" s="84"/>
      <c r="AJ106" s="84">
        <f t="shared" ref="AJ106:AJ128" si="139">SUM(E106:AI106)</f>
        <v>0</v>
      </c>
      <c r="AK106" s="87">
        <v>20000</v>
      </c>
      <c r="AL106" s="476">
        <f t="shared" ref="AL106" si="140">AJ106*AK106</f>
        <v>0</v>
      </c>
    </row>
    <row r="107" spans="1:38" s="125" customFormat="1" ht="28.5" customHeight="1" thickBot="1">
      <c r="A107" s="2000"/>
      <c r="B107" s="2009"/>
      <c r="C107" s="2012" t="s">
        <v>321</v>
      </c>
      <c r="D107" s="2013"/>
      <c r="E107" s="1131">
        <f t="shared" ref="E107:AI107" si="141">SUM(E106:E106)</f>
        <v>0</v>
      </c>
      <c r="F107" s="124">
        <f t="shared" si="141"/>
        <v>0</v>
      </c>
      <c r="G107" s="124">
        <f t="shared" si="141"/>
        <v>0</v>
      </c>
      <c r="H107" s="1131">
        <f t="shared" si="141"/>
        <v>0</v>
      </c>
      <c r="I107" s="124">
        <f t="shared" si="141"/>
        <v>0</v>
      </c>
      <c r="J107" s="124">
        <f t="shared" si="141"/>
        <v>0</v>
      </c>
      <c r="K107" s="124">
        <f t="shared" si="141"/>
        <v>0</v>
      </c>
      <c r="L107" s="124">
        <f t="shared" si="141"/>
        <v>0</v>
      </c>
      <c r="M107" s="124">
        <f t="shared" si="141"/>
        <v>0</v>
      </c>
      <c r="N107" s="124">
        <f t="shared" si="141"/>
        <v>0</v>
      </c>
      <c r="O107" s="124">
        <f t="shared" si="141"/>
        <v>0</v>
      </c>
      <c r="P107" s="1131">
        <f t="shared" si="141"/>
        <v>0</v>
      </c>
      <c r="Q107" s="124">
        <f t="shared" si="141"/>
        <v>0</v>
      </c>
      <c r="R107" s="124">
        <f t="shared" si="141"/>
        <v>0</v>
      </c>
      <c r="S107" s="124">
        <f t="shared" si="141"/>
        <v>0</v>
      </c>
      <c r="T107" s="124">
        <f t="shared" si="141"/>
        <v>0</v>
      </c>
      <c r="U107" s="124">
        <f t="shared" si="141"/>
        <v>0</v>
      </c>
      <c r="V107" s="1131">
        <f t="shared" si="141"/>
        <v>0</v>
      </c>
      <c r="W107" s="124">
        <f t="shared" si="141"/>
        <v>0</v>
      </c>
      <c r="X107" s="124">
        <f t="shared" si="141"/>
        <v>0</v>
      </c>
      <c r="Y107" s="124">
        <f t="shared" si="141"/>
        <v>0</v>
      </c>
      <c r="Z107" s="124">
        <f t="shared" si="141"/>
        <v>0</v>
      </c>
      <c r="AA107" s="124">
        <f t="shared" si="141"/>
        <v>0</v>
      </c>
      <c r="AB107" s="124">
        <f t="shared" si="141"/>
        <v>0</v>
      </c>
      <c r="AC107" s="1131">
        <f t="shared" si="141"/>
        <v>0</v>
      </c>
      <c r="AD107" s="124">
        <f t="shared" si="141"/>
        <v>0</v>
      </c>
      <c r="AE107" s="124">
        <f t="shared" si="141"/>
        <v>0</v>
      </c>
      <c r="AF107" s="124">
        <f t="shared" si="141"/>
        <v>0</v>
      </c>
      <c r="AG107" s="1131">
        <f t="shared" si="141"/>
        <v>0</v>
      </c>
      <c r="AH107" s="124">
        <f t="shared" si="141"/>
        <v>0</v>
      </c>
      <c r="AI107" s="124">
        <f t="shared" si="141"/>
        <v>0</v>
      </c>
      <c r="AJ107" s="124">
        <f>SUM(E107:AI107)</f>
        <v>0</v>
      </c>
      <c r="AK107" s="124"/>
      <c r="AL107" s="479">
        <f>SUM(AL106:AL106)</f>
        <v>0</v>
      </c>
    </row>
    <row r="108" spans="1:38" s="82" customFormat="1" ht="35.25" customHeight="1" thickBot="1">
      <c r="A108" s="2001"/>
      <c r="B108" s="2014"/>
      <c r="C108" s="94" t="s">
        <v>311</v>
      </c>
      <c r="D108" s="1298"/>
      <c r="E108" s="1126"/>
      <c r="F108" s="95"/>
      <c r="G108" s="95"/>
      <c r="H108" s="1126"/>
      <c r="I108" s="95"/>
      <c r="J108" s="95"/>
      <c r="K108" s="95"/>
      <c r="L108" s="95"/>
      <c r="M108" s="95"/>
      <c r="N108" s="95"/>
      <c r="O108" s="95"/>
      <c r="P108" s="1126"/>
      <c r="Q108" s="95"/>
      <c r="R108" s="95"/>
      <c r="S108" s="95"/>
      <c r="T108" s="95"/>
      <c r="U108" s="95"/>
      <c r="V108" s="1126"/>
      <c r="W108" s="95"/>
      <c r="X108" s="95"/>
      <c r="Y108" s="95"/>
      <c r="Z108" s="95"/>
      <c r="AA108" s="95"/>
      <c r="AB108" s="95"/>
      <c r="AC108" s="1126"/>
      <c r="AD108" s="95"/>
      <c r="AE108" s="95"/>
      <c r="AF108" s="95"/>
      <c r="AG108" s="1126"/>
      <c r="AH108" s="95"/>
      <c r="AI108" s="95"/>
      <c r="AJ108" s="95">
        <f t="shared" si="139"/>
        <v>0</v>
      </c>
      <c r="AK108" s="96">
        <v>6000</v>
      </c>
      <c r="AL108" s="469">
        <f>AJ108*AK108</f>
        <v>0</v>
      </c>
    </row>
    <row r="109" spans="1:38" s="90" customFormat="1" ht="48.75" customHeight="1" thickBot="1">
      <c r="A109" s="1996" t="s">
        <v>357</v>
      </c>
      <c r="B109" s="1997"/>
      <c r="C109" s="1997"/>
      <c r="D109" s="1998"/>
      <c r="E109" s="1121"/>
      <c r="F109" s="99"/>
      <c r="G109" s="99"/>
      <c r="H109" s="1121"/>
      <c r="I109" s="99"/>
      <c r="J109" s="99"/>
      <c r="K109" s="99"/>
      <c r="L109" s="99"/>
      <c r="M109" s="99"/>
      <c r="N109" s="99"/>
      <c r="O109" s="99"/>
      <c r="P109" s="1121"/>
      <c r="Q109" s="99"/>
      <c r="R109" s="99"/>
      <c r="S109" s="99"/>
      <c r="T109" s="99"/>
      <c r="U109" s="99"/>
      <c r="V109" s="1121"/>
      <c r="W109" s="99"/>
      <c r="X109" s="99"/>
      <c r="Y109" s="99"/>
      <c r="Z109" s="99"/>
      <c r="AA109" s="99"/>
      <c r="AB109" s="99"/>
      <c r="AC109" s="1121"/>
      <c r="AD109" s="99"/>
      <c r="AE109" s="99"/>
      <c r="AF109" s="99"/>
      <c r="AG109" s="1121"/>
      <c r="AH109" s="99"/>
      <c r="AI109" s="99"/>
      <c r="AJ109" s="99"/>
      <c r="AK109" s="189"/>
      <c r="AL109" s="481"/>
    </row>
    <row r="110" spans="1:38" s="82" customFormat="1" ht="35.25" customHeight="1" thickBot="1">
      <c r="A110" s="1999" t="s">
        <v>677</v>
      </c>
      <c r="B110" s="2008" t="s">
        <v>99</v>
      </c>
      <c r="C110" s="190"/>
      <c r="D110" s="1294"/>
      <c r="E110" s="1134"/>
      <c r="F110" s="191"/>
      <c r="G110" s="191"/>
      <c r="H110" s="1134"/>
      <c r="I110" s="191"/>
      <c r="J110" s="191"/>
      <c r="K110" s="191"/>
      <c r="L110" s="191"/>
      <c r="M110" s="191"/>
      <c r="N110" s="191"/>
      <c r="O110" s="191"/>
      <c r="P110" s="1134"/>
      <c r="Q110" s="191"/>
      <c r="R110" s="191"/>
      <c r="S110" s="191"/>
      <c r="T110" s="191"/>
      <c r="U110" s="191"/>
      <c r="V110" s="1134"/>
      <c r="W110" s="191"/>
      <c r="X110" s="191"/>
      <c r="Y110" s="191"/>
      <c r="Z110" s="191"/>
      <c r="AA110" s="191"/>
      <c r="AB110" s="191"/>
      <c r="AC110" s="1134"/>
      <c r="AD110" s="191"/>
      <c r="AE110" s="191"/>
      <c r="AF110" s="191"/>
      <c r="AG110" s="1134"/>
      <c r="AH110" s="191"/>
      <c r="AI110" s="191"/>
      <c r="AJ110" s="191"/>
      <c r="AK110" s="192"/>
      <c r="AL110" s="475"/>
    </row>
    <row r="111" spans="1:38" s="82" customFormat="1" ht="33" customHeight="1">
      <c r="A111" s="2000"/>
      <c r="B111" s="2009"/>
      <c r="C111" s="100" t="s">
        <v>312</v>
      </c>
      <c r="D111" s="2017" t="s">
        <v>298</v>
      </c>
      <c r="E111" s="1122"/>
      <c r="F111" s="91"/>
      <c r="G111" s="91"/>
      <c r="H111" s="1122"/>
      <c r="I111" s="91"/>
      <c r="J111" s="91"/>
      <c r="K111" s="91"/>
      <c r="L111" s="91"/>
      <c r="M111" s="91"/>
      <c r="N111" s="91"/>
      <c r="O111" s="91"/>
      <c r="P111" s="1122"/>
      <c r="Q111" s="91"/>
      <c r="R111" s="91"/>
      <c r="S111" s="91"/>
      <c r="T111" s="91"/>
      <c r="U111" s="91"/>
      <c r="V111" s="1122"/>
      <c r="W111" s="91"/>
      <c r="X111" s="91"/>
      <c r="Y111" s="91"/>
      <c r="Z111" s="91"/>
      <c r="AA111" s="91"/>
      <c r="AB111" s="91"/>
      <c r="AC111" s="1122"/>
      <c r="AD111" s="91"/>
      <c r="AE111" s="91"/>
      <c r="AF111" s="91"/>
      <c r="AG111" s="1122"/>
      <c r="AH111" s="91"/>
      <c r="AI111" s="91"/>
      <c r="AJ111" s="91">
        <f t="shared" si="139"/>
        <v>0</v>
      </c>
      <c r="AK111" s="92">
        <v>5500</v>
      </c>
      <c r="AL111" s="468">
        <f>AJ111*AK111</f>
        <v>0</v>
      </c>
    </row>
    <row r="112" spans="1:38" s="82" customFormat="1" ht="33" customHeight="1">
      <c r="A112" s="2000"/>
      <c r="B112" s="2009"/>
      <c r="C112" s="89" t="s">
        <v>314</v>
      </c>
      <c r="D112" s="2018"/>
      <c r="E112" s="1123"/>
      <c r="F112" s="83"/>
      <c r="G112" s="83"/>
      <c r="H112" s="1123"/>
      <c r="I112" s="83"/>
      <c r="J112" s="83"/>
      <c r="K112" s="83"/>
      <c r="L112" s="83"/>
      <c r="M112" s="83"/>
      <c r="N112" s="83"/>
      <c r="O112" s="83"/>
      <c r="P112" s="1123"/>
      <c r="Q112" s="83"/>
      <c r="R112" s="83"/>
      <c r="S112" s="83"/>
      <c r="T112" s="83"/>
      <c r="U112" s="83"/>
      <c r="V112" s="1123"/>
      <c r="W112" s="83"/>
      <c r="X112" s="83"/>
      <c r="Y112" s="83"/>
      <c r="Z112" s="83"/>
      <c r="AA112" s="83"/>
      <c r="AB112" s="83"/>
      <c r="AC112" s="1123"/>
      <c r="AD112" s="83"/>
      <c r="AE112" s="83"/>
      <c r="AF112" s="83"/>
      <c r="AG112" s="1123"/>
      <c r="AH112" s="83"/>
      <c r="AI112" s="83"/>
      <c r="AJ112" s="83">
        <f t="shared" si="139"/>
        <v>0</v>
      </c>
      <c r="AK112" s="85">
        <v>11500</v>
      </c>
      <c r="AL112" s="473">
        <f>AJ112*AK112</f>
        <v>0</v>
      </c>
    </row>
    <row r="113" spans="1:38" s="90" customFormat="1" ht="33" customHeight="1">
      <c r="A113" s="2000"/>
      <c r="B113" s="2009"/>
      <c r="C113" s="89" t="s">
        <v>299</v>
      </c>
      <c r="D113" s="2018"/>
      <c r="E113" s="1123"/>
      <c r="F113" s="83"/>
      <c r="G113" s="83"/>
      <c r="H113" s="1123"/>
      <c r="I113" s="83"/>
      <c r="J113" s="110"/>
      <c r="K113" s="110"/>
      <c r="L113" s="110"/>
      <c r="M113" s="110"/>
      <c r="N113" s="110"/>
      <c r="O113" s="110"/>
      <c r="P113" s="1127"/>
      <c r="Q113" s="110"/>
      <c r="R113" s="110"/>
      <c r="S113" s="110"/>
      <c r="T113" s="110"/>
      <c r="U113" s="110"/>
      <c r="V113" s="1127"/>
      <c r="W113" s="110"/>
      <c r="X113" s="110"/>
      <c r="Y113" s="110">
        <v>2.69</v>
      </c>
      <c r="Z113" s="110"/>
      <c r="AA113" s="110"/>
      <c r="AB113" s="110"/>
      <c r="AC113" s="1127"/>
      <c r="AD113" s="110"/>
      <c r="AE113" s="110"/>
      <c r="AF113" s="110"/>
      <c r="AG113" s="1127"/>
      <c r="AH113" s="110"/>
      <c r="AI113" s="110"/>
      <c r="AJ113" s="110">
        <f t="shared" si="139"/>
        <v>2.69</v>
      </c>
      <c r="AK113" s="111">
        <v>16000</v>
      </c>
      <c r="AL113" s="474">
        <f t="shared" ref="AL113:AL116" si="142">AJ113*AK113</f>
        <v>43040</v>
      </c>
    </row>
    <row r="114" spans="1:38" s="90" customFormat="1" ht="33" customHeight="1">
      <c r="A114" s="2000"/>
      <c r="B114" s="2009"/>
      <c r="C114" s="112" t="s">
        <v>301</v>
      </c>
      <c r="D114" s="2018"/>
      <c r="E114" s="1124"/>
      <c r="F114" s="113">
        <v>2.42</v>
      </c>
      <c r="G114" s="113"/>
      <c r="H114" s="1124"/>
      <c r="I114" s="113"/>
      <c r="J114" s="113"/>
      <c r="K114" s="113">
        <v>1.03</v>
      </c>
      <c r="L114" s="113"/>
      <c r="M114" s="113"/>
      <c r="N114" s="113">
        <v>0.42</v>
      </c>
      <c r="O114" s="113"/>
      <c r="P114" s="1124"/>
      <c r="Q114" s="113"/>
      <c r="R114" s="113"/>
      <c r="S114" s="113">
        <v>3.76</v>
      </c>
      <c r="T114" s="113">
        <v>3.88</v>
      </c>
      <c r="U114" s="113">
        <v>2.52</v>
      </c>
      <c r="V114" s="1124"/>
      <c r="W114" s="113"/>
      <c r="X114" s="113"/>
      <c r="Y114" s="113"/>
      <c r="Z114" s="113">
        <v>3.66</v>
      </c>
      <c r="AA114" s="113">
        <v>4.1900000000000004</v>
      </c>
      <c r="AB114" s="113">
        <v>0.47</v>
      </c>
      <c r="AC114" s="1125"/>
      <c r="AD114" s="113">
        <v>1.48</v>
      </c>
      <c r="AE114" s="113">
        <v>2.25</v>
      </c>
      <c r="AF114" s="113"/>
      <c r="AG114" s="1124"/>
      <c r="AH114" s="113"/>
      <c r="AI114" s="113">
        <v>5</v>
      </c>
      <c r="AJ114" s="113">
        <f t="shared" si="139"/>
        <v>31.08</v>
      </c>
      <c r="AK114" s="114">
        <v>18000</v>
      </c>
      <c r="AL114" s="474">
        <f t="shared" si="142"/>
        <v>559440</v>
      </c>
    </row>
    <row r="115" spans="1:38" s="90" customFormat="1" ht="33" customHeight="1">
      <c r="A115" s="2000"/>
      <c r="B115" s="2009"/>
      <c r="C115" s="115" t="s">
        <v>303</v>
      </c>
      <c r="D115" s="2018"/>
      <c r="E115" s="1125"/>
      <c r="F115" s="113"/>
      <c r="G115" s="113">
        <v>3.9</v>
      </c>
      <c r="H115" s="1125"/>
      <c r="I115" s="116">
        <v>5</v>
      </c>
      <c r="J115" s="116">
        <v>5</v>
      </c>
      <c r="K115" s="116"/>
      <c r="L115" s="113"/>
      <c r="M115" s="116">
        <v>3.9</v>
      </c>
      <c r="N115" s="116"/>
      <c r="O115" s="116">
        <v>4.46</v>
      </c>
      <c r="P115" s="1125"/>
      <c r="Q115" s="116">
        <v>4.46</v>
      </c>
      <c r="R115" s="116">
        <v>5</v>
      </c>
      <c r="S115" s="116"/>
      <c r="T115" s="116"/>
      <c r="U115" s="116"/>
      <c r="V115" s="1125"/>
      <c r="W115" s="116">
        <v>5</v>
      </c>
      <c r="X115" s="116">
        <v>3.44</v>
      </c>
      <c r="Y115" s="116"/>
      <c r="Z115" s="116"/>
      <c r="AA115" s="116"/>
      <c r="AB115" s="116"/>
      <c r="AC115" s="1125"/>
      <c r="AD115" s="116"/>
      <c r="AE115" s="113"/>
      <c r="AF115" s="116">
        <v>3.62</v>
      </c>
      <c r="AG115" s="1125"/>
      <c r="AH115" s="116"/>
      <c r="AI115" s="116"/>
      <c r="AJ115" s="116">
        <f t="shared" si="139"/>
        <v>43.779999999999994</v>
      </c>
      <c r="AK115" s="117">
        <v>20000</v>
      </c>
      <c r="AL115" s="474">
        <f t="shared" si="142"/>
        <v>875599.99999999988</v>
      </c>
    </row>
    <row r="116" spans="1:38" s="82" customFormat="1" ht="33" customHeight="1" thickBot="1">
      <c r="A116" s="2000"/>
      <c r="B116" s="2009"/>
      <c r="C116" s="94" t="s">
        <v>313</v>
      </c>
      <c r="D116" s="2019"/>
      <c r="E116" s="1126"/>
      <c r="F116" s="95"/>
      <c r="G116" s="95"/>
      <c r="H116" s="1126"/>
      <c r="I116" s="95"/>
      <c r="J116" s="95"/>
      <c r="K116" s="95"/>
      <c r="L116" s="95"/>
      <c r="M116" s="95"/>
      <c r="N116" s="95"/>
      <c r="O116" s="95"/>
      <c r="P116" s="1126"/>
      <c r="Q116" s="95"/>
      <c r="R116" s="95"/>
      <c r="S116" s="95"/>
      <c r="T116" s="95"/>
      <c r="U116" s="95"/>
      <c r="V116" s="1126"/>
      <c r="W116" s="95"/>
      <c r="X116" s="95"/>
      <c r="Y116" s="95"/>
      <c r="Z116" s="95"/>
      <c r="AA116" s="95"/>
      <c r="AB116" s="95"/>
      <c r="AC116" s="1126"/>
      <c r="AD116" s="95"/>
      <c r="AE116" s="95"/>
      <c r="AF116" s="95"/>
      <c r="AG116" s="1126"/>
      <c r="AH116" s="95"/>
      <c r="AI116" s="95"/>
      <c r="AJ116" s="95">
        <f t="shared" si="139"/>
        <v>0</v>
      </c>
      <c r="AK116" s="96">
        <v>30000</v>
      </c>
      <c r="AL116" s="473">
        <f t="shared" si="142"/>
        <v>0</v>
      </c>
    </row>
    <row r="117" spans="1:38" s="82" customFormat="1" ht="33" customHeight="1">
      <c r="A117" s="2000"/>
      <c r="B117" s="2009"/>
      <c r="C117" s="100" t="s">
        <v>312</v>
      </c>
      <c r="D117" s="2017" t="s">
        <v>300</v>
      </c>
      <c r="E117" s="1122"/>
      <c r="F117" s="91"/>
      <c r="G117" s="91"/>
      <c r="H117" s="1122"/>
      <c r="I117" s="91"/>
      <c r="J117" s="91"/>
      <c r="K117" s="91"/>
      <c r="L117" s="91"/>
      <c r="M117" s="91"/>
      <c r="N117" s="91"/>
      <c r="O117" s="91"/>
      <c r="P117" s="1122"/>
      <c r="Q117" s="91"/>
      <c r="R117" s="91"/>
      <c r="S117" s="91"/>
      <c r="T117" s="91"/>
      <c r="U117" s="91"/>
      <c r="V117" s="1122"/>
      <c r="W117" s="91"/>
      <c r="X117" s="91"/>
      <c r="Y117" s="91"/>
      <c r="Z117" s="91"/>
      <c r="AA117" s="91"/>
      <c r="AB117" s="91"/>
      <c r="AC117" s="1122"/>
      <c r="AD117" s="91"/>
      <c r="AE117" s="91"/>
      <c r="AF117" s="91"/>
      <c r="AG117" s="1122"/>
      <c r="AH117" s="91"/>
      <c r="AI117" s="91"/>
      <c r="AJ117" s="91">
        <f t="shared" si="139"/>
        <v>0</v>
      </c>
      <c r="AK117" s="92">
        <v>14500</v>
      </c>
      <c r="AL117" s="468">
        <f>AJ117*AK117</f>
        <v>0</v>
      </c>
    </row>
    <row r="118" spans="1:38" s="82" customFormat="1" ht="33" customHeight="1">
      <c r="A118" s="2000"/>
      <c r="B118" s="2009"/>
      <c r="C118" s="89" t="s">
        <v>314</v>
      </c>
      <c r="D118" s="2018"/>
      <c r="E118" s="1123"/>
      <c r="F118" s="83"/>
      <c r="G118" s="83"/>
      <c r="H118" s="1123"/>
      <c r="I118" s="83"/>
      <c r="J118" s="83"/>
      <c r="K118" s="83"/>
      <c r="L118" s="83"/>
      <c r="M118" s="83"/>
      <c r="N118" s="83"/>
      <c r="O118" s="83"/>
      <c r="P118" s="1123"/>
      <c r="Q118" s="83"/>
      <c r="R118" s="83"/>
      <c r="S118" s="83"/>
      <c r="T118" s="83"/>
      <c r="U118" s="83"/>
      <c r="V118" s="1123"/>
      <c r="W118" s="83"/>
      <c r="X118" s="83"/>
      <c r="Y118" s="83"/>
      <c r="Z118" s="83"/>
      <c r="AA118" s="83"/>
      <c r="AB118" s="83"/>
      <c r="AC118" s="1123"/>
      <c r="AD118" s="83"/>
      <c r="AE118" s="83"/>
      <c r="AF118" s="83"/>
      <c r="AG118" s="1123"/>
      <c r="AH118" s="83"/>
      <c r="AI118" s="83"/>
      <c r="AJ118" s="83">
        <f t="shared" si="139"/>
        <v>0</v>
      </c>
      <c r="AK118" s="85">
        <v>17500</v>
      </c>
      <c r="AL118" s="473">
        <f>AJ118*AK118</f>
        <v>0</v>
      </c>
    </row>
    <row r="119" spans="1:38" s="90" customFormat="1" ht="33" customHeight="1">
      <c r="A119" s="2000"/>
      <c r="B119" s="2009"/>
      <c r="C119" s="89" t="s">
        <v>299</v>
      </c>
      <c r="D119" s="2018"/>
      <c r="E119" s="1127"/>
      <c r="F119" s="110"/>
      <c r="G119" s="110"/>
      <c r="H119" s="1123"/>
      <c r="I119" s="83"/>
      <c r="J119" s="83"/>
      <c r="K119" s="83"/>
      <c r="L119" s="110"/>
      <c r="M119" s="110"/>
      <c r="N119" s="110"/>
      <c r="O119" s="83"/>
      <c r="P119" s="1127"/>
      <c r="Q119" s="83"/>
      <c r="R119" s="83"/>
      <c r="S119" s="110"/>
      <c r="T119" s="110"/>
      <c r="U119" s="83"/>
      <c r="V119" s="1127"/>
      <c r="W119" s="83"/>
      <c r="X119" s="110"/>
      <c r="Y119" s="110"/>
      <c r="Z119" s="83"/>
      <c r="AA119" s="83"/>
      <c r="AB119" s="83"/>
      <c r="AC119" s="1127"/>
      <c r="AD119" s="83"/>
      <c r="AE119" s="110"/>
      <c r="AF119" s="83"/>
      <c r="AG119" s="1123"/>
      <c r="AH119" s="83"/>
      <c r="AI119" s="83"/>
      <c r="AJ119" s="110">
        <f t="shared" si="139"/>
        <v>0</v>
      </c>
      <c r="AK119" s="114">
        <v>20500</v>
      </c>
      <c r="AL119" s="474">
        <f t="shared" ref="AL119:AL122" si="143">AJ119*AK119</f>
        <v>0</v>
      </c>
    </row>
    <row r="120" spans="1:38" s="90" customFormat="1" ht="33" customHeight="1">
      <c r="A120" s="2000"/>
      <c r="B120" s="2009"/>
      <c r="C120" s="112" t="s">
        <v>301</v>
      </c>
      <c r="D120" s="2018"/>
      <c r="E120" s="1124"/>
      <c r="F120" s="113"/>
      <c r="G120" s="113"/>
      <c r="H120" s="1124"/>
      <c r="I120" s="113"/>
      <c r="J120" s="113"/>
      <c r="K120" s="113"/>
      <c r="L120" s="113"/>
      <c r="M120" s="113"/>
      <c r="N120" s="113"/>
      <c r="O120" s="113"/>
      <c r="P120" s="1124"/>
      <c r="Q120" s="113"/>
      <c r="R120" s="113"/>
      <c r="S120" s="113"/>
      <c r="T120" s="113"/>
      <c r="U120" s="113"/>
      <c r="V120" s="1124"/>
      <c r="W120" s="113"/>
      <c r="X120" s="113"/>
      <c r="Y120" s="113"/>
      <c r="Z120" s="113"/>
      <c r="AA120" s="113"/>
      <c r="AB120" s="113"/>
      <c r="AC120" s="1124"/>
      <c r="AD120" s="113"/>
      <c r="AE120" s="113"/>
      <c r="AF120" s="113"/>
      <c r="AG120" s="1124"/>
      <c r="AH120" s="113"/>
      <c r="AI120" s="113">
        <v>4.87</v>
      </c>
      <c r="AJ120" s="113">
        <f t="shared" si="139"/>
        <v>4.87</v>
      </c>
      <c r="AK120" s="117">
        <v>20750</v>
      </c>
      <c r="AL120" s="474">
        <f t="shared" si="143"/>
        <v>101052.5</v>
      </c>
    </row>
    <row r="121" spans="1:38" s="90" customFormat="1" ht="33" customHeight="1">
      <c r="A121" s="2000"/>
      <c r="B121" s="2009"/>
      <c r="C121" s="115" t="s">
        <v>303</v>
      </c>
      <c r="D121" s="2018"/>
      <c r="E121" s="1125"/>
      <c r="F121" s="113"/>
      <c r="G121" s="116"/>
      <c r="H121" s="1125"/>
      <c r="I121" s="116">
        <v>1.98</v>
      </c>
      <c r="J121" s="116">
        <v>1.39</v>
      </c>
      <c r="K121" s="116"/>
      <c r="L121" s="116"/>
      <c r="M121" s="116"/>
      <c r="N121" s="116"/>
      <c r="O121" s="116"/>
      <c r="P121" s="1125"/>
      <c r="Q121" s="116"/>
      <c r="R121" s="116">
        <v>1.25</v>
      </c>
      <c r="S121" s="116"/>
      <c r="T121" s="116"/>
      <c r="U121" s="116"/>
      <c r="V121" s="1125"/>
      <c r="W121" s="116">
        <v>1.3</v>
      </c>
      <c r="X121" s="116"/>
      <c r="Y121" s="116"/>
      <c r="Z121" s="116"/>
      <c r="AA121" s="116"/>
      <c r="AB121" s="116"/>
      <c r="AC121" s="1125"/>
      <c r="AD121" s="116"/>
      <c r="AE121" s="116"/>
      <c r="AF121" s="116"/>
      <c r="AG121" s="1125"/>
      <c r="AH121" s="116"/>
      <c r="AI121" s="116"/>
      <c r="AJ121" s="116">
        <f t="shared" si="139"/>
        <v>5.92</v>
      </c>
      <c r="AK121" s="117">
        <v>25000</v>
      </c>
      <c r="AL121" s="474">
        <f t="shared" si="143"/>
        <v>148000</v>
      </c>
    </row>
    <row r="122" spans="1:38" s="82" customFormat="1" ht="33" customHeight="1" thickBot="1">
      <c r="A122" s="2000"/>
      <c r="B122" s="2009"/>
      <c r="C122" s="94" t="s">
        <v>313</v>
      </c>
      <c r="D122" s="2019"/>
      <c r="E122" s="1126"/>
      <c r="F122" s="95"/>
      <c r="G122" s="95"/>
      <c r="H122" s="1126"/>
      <c r="I122" s="95"/>
      <c r="J122" s="95"/>
      <c r="K122" s="95"/>
      <c r="L122" s="95"/>
      <c r="M122" s="95"/>
      <c r="N122" s="95"/>
      <c r="O122" s="95"/>
      <c r="P122" s="1126"/>
      <c r="Q122" s="95"/>
      <c r="R122" s="95"/>
      <c r="S122" s="95"/>
      <c r="T122" s="95"/>
      <c r="U122" s="95"/>
      <c r="V122" s="1126"/>
      <c r="W122" s="95"/>
      <c r="X122" s="95"/>
      <c r="Y122" s="95"/>
      <c r="Z122" s="95"/>
      <c r="AA122" s="95"/>
      <c r="AB122" s="95"/>
      <c r="AC122" s="1126"/>
      <c r="AD122" s="95"/>
      <c r="AE122" s="95"/>
      <c r="AF122" s="95"/>
      <c r="AG122" s="1126"/>
      <c r="AH122" s="95"/>
      <c r="AI122" s="95"/>
      <c r="AJ122" s="95">
        <f t="shared" si="139"/>
        <v>0</v>
      </c>
      <c r="AK122" s="96">
        <v>35000</v>
      </c>
      <c r="AL122" s="473">
        <f t="shared" si="143"/>
        <v>0</v>
      </c>
    </row>
    <row r="123" spans="1:38" s="82" customFormat="1" ht="33" customHeight="1">
      <c r="A123" s="2000"/>
      <c r="B123" s="2009"/>
      <c r="C123" s="100" t="s">
        <v>312</v>
      </c>
      <c r="D123" s="2017" t="s">
        <v>302</v>
      </c>
      <c r="E123" s="1122"/>
      <c r="F123" s="91"/>
      <c r="G123" s="91"/>
      <c r="H123" s="1122"/>
      <c r="I123" s="91"/>
      <c r="J123" s="91"/>
      <c r="K123" s="91"/>
      <c r="L123" s="91"/>
      <c r="M123" s="91"/>
      <c r="N123" s="91"/>
      <c r="O123" s="91"/>
      <c r="P123" s="1122"/>
      <c r="Q123" s="91"/>
      <c r="R123" s="91"/>
      <c r="S123" s="91"/>
      <c r="T123" s="91"/>
      <c r="U123" s="91"/>
      <c r="V123" s="1122"/>
      <c r="W123" s="91"/>
      <c r="X123" s="91"/>
      <c r="Y123" s="91"/>
      <c r="Z123" s="91"/>
      <c r="AA123" s="91"/>
      <c r="AB123" s="91"/>
      <c r="AC123" s="1122"/>
      <c r="AD123" s="91"/>
      <c r="AE123" s="91"/>
      <c r="AF123" s="91"/>
      <c r="AG123" s="1122"/>
      <c r="AH123" s="91"/>
      <c r="AI123" s="91"/>
      <c r="AJ123" s="91">
        <f t="shared" si="139"/>
        <v>0</v>
      </c>
      <c r="AK123" s="85">
        <v>16000</v>
      </c>
      <c r="AL123" s="468">
        <f>AJ123*AK123</f>
        <v>0</v>
      </c>
    </row>
    <row r="124" spans="1:38" s="82" customFormat="1" ht="33" customHeight="1">
      <c r="A124" s="2000"/>
      <c r="B124" s="2009"/>
      <c r="C124" s="89" t="s">
        <v>314</v>
      </c>
      <c r="D124" s="2018"/>
      <c r="E124" s="1123"/>
      <c r="F124" s="83"/>
      <c r="G124" s="83"/>
      <c r="H124" s="1123"/>
      <c r="I124" s="83"/>
      <c r="J124" s="83"/>
      <c r="K124" s="83"/>
      <c r="L124" s="83"/>
      <c r="M124" s="83"/>
      <c r="N124" s="83"/>
      <c r="O124" s="83"/>
      <c r="P124" s="1123"/>
      <c r="Q124" s="83"/>
      <c r="R124" s="83"/>
      <c r="S124" s="83"/>
      <c r="T124" s="83"/>
      <c r="U124" s="83"/>
      <c r="V124" s="1123"/>
      <c r="W124" s="83"/>
      <c r="X124" s="83"/>
      <c r="Y124" s="83"/>
      <c r="Z124" s="83"/>
      <c r="AA124" s="83"/>
      <c r="AB124" s="83"/>
      <c r="AC124" s="1123"/>
      <c r="AD124" s="83"/>
      <c r="AE124" s="83"/>
      <c r="AF124" s="83"/>
      <c r="AG124" s="1123"/>
      <c r="AH124" s="83"/>
      <c r="AI124" s="83"/>
      <c r="AJ124" s="83">
        <f t="shared" si="139"/>
        <v>0</v>
      </c>
      <c r="AK124" s="85">
        <v>19000</v>
      </c>
      <c r="AL124" s="473">
        <f>AJ124*AK124</f>
        <v>0</v>
      </c>
    </row>
    <row r="125" spans="1:38" s="82" customFormat="1" ht="33" customHeight="1">
      <c r="A125" s="2000"/>
      <c r="B125" s="2009"/>
      <c r="C125" s="89" t="s">
        <v>299</v>
      </c>
      <c r="D125" s="2018"/>
      <c r="E125" s="1123"/>
      <c r="F125" s="83"/>
      <c r="G125" s="83"/>
      <c r="H125" s="1123"/>
      <c r="I125" s="83"/>
      <c r="J125" s="83"/>
      <c r="K125" s="83"/>
      <c r="L125" s="83"/>
      <c r="M125" s="83"/>
      <c r="N125" s="83"/>
      <c r="O125" s="83"/>
      <c r="P125" s="1123"/>
      <c r="Q125" s="83"/>
      <c r="R125" s="83"/>
      <c r="S125" s="83"/>
      <c r="T125" s="83"/>
      <c r="U125" s="83"/>
      <c r="V125" s="1123"/>
      <c r="W125" s="83"/>
      <c r="X125" s="83"/>
      <c r="Y125" s="83"/>
      <c r="Z125" s="83"/>
      <c r="AA125" s="83"/>
      <c r="AB125" s="83"/>
      <c r="AC125" s="1123"/>
      <c r="AD125" s="83"/>
      <c r="AE125" s="83"/>
      <c r="AF125" s="83"/>
      <c r="AG125" s="1123"/>
      <c r="AH125" s="83"/>
      <c r="AI125" s="83"/>
      <c r="AJ125" s="83">
        <f t="shared" si="139"/>
        <v>0</v>
      </c>
      <c r="AK125" s="85">
        <v>22000</v>
      </c>
      <c r="AL125" s="473">
        <f t="shared" ref="AL125:AL128" si="144">AJ125*AK125</f>
        <v>0</v>
      </c>
    </row>
    <row r="126" spans="1:38" s="90" customFormat="1" ht="33" customHeight="1">
      <c r="A126" s="2000"/>
      <c r="B126" s="2009"/>
      <c r="C126" s="112" t="s">
        <v>301</v>
      </c>
      <c r="D126" s="2018"/>
      <c r="E126" s="1124"/>
      <c r="F126" s="113"/>
      <c r="G126" s="113"/>
      <c r="H126" s="1124"/>
      <c r="I126" s="113"/>
      <c r="J126" s="113"/>
      <c r="K126" s="113"/>
      <c r="L126" s="113"/>
      <c r="M126" s="113"/>
      <c r="N126" s="113"/>
      <c r="O126" s="113"/>
      <c r="P126" s="1124"/>
      <c r="Q126" s="113"/>
      <c r="R126" s="113"/>
      <c r="S126" s="113"/>
      <c r="T126" s="113"/>
      <c r="U126" s="113"/>
      <c r="V126" s="1124"/>
      <c r="W126" s="113"/>
      <c r="X126" s="113"/>
      <c r="Y126" s="113"/>
      <c r="Z126" s="113"/>
      <c r="AA126" s="113"/>
      <c r="AB126" s="113"/>
      <c r="AC126" s="1124"/>
      <c r="AD126" s="113"/>
      <c r="AE126" s="113"/>
      <c r="AF126" s="113"/>
      <c r="AG126" s="1124"/>
      <c r="AH126" s="113"/>
      <c r="AI126" s="113"/>
      <c r="AJ126" s="113">
        <f t="shared" si="139"/>
        <v>0</v>
      </c>
      <c r="AK126" s="111">
        <v>23000</v>
      </c>
      <c r="AL126" s="474">
        <f t="shared" si="144"/>
        <v>0</v>
      </c>
    </row>
    <row r="127" spans="1:38" s="90" customFormat="1" ht="33" customHeight="1">
      <c r="A127" s="2000"/>
      <c r="B127" s="2009"/>
      <c r="C127" s="115" t="s">
        <v>303</v>
      </c>
      <c r="D127" s="2018"/>
      <c r="E127" s="1125"/>
      <c r="F127" s="113"/>
      <c r="G127" s="116"/>
      <c r="H127" s="1125"/>
      <c r="I127" s="116"/>
      <c r="J127" s="116"/>
      <c r="K127" s="116"/>
      <c r="L127" s="116"/>
      <c r="M127" s="116"/>
      <c r="N127" s="116"/>
      <c r="O127" s="116"/>
      <c r="P127" s="1125"/>
      <c r="Q127" s="116"/>
      <c r="R127" s="116"/>
      <c r="S127" s="116"/>
      <c r="T127" s="116"/>
      <c r="U127" s="116"/>
      <c r="V127" s="1125"/>
      <c r="W127" s="116"/>
      <c r="X127" s="116"/>
      <c r="Y127" s="116"/>
      <c r="Z127" s="116"/>
      <c r="AA127" s="116"/>
      <c r="AB127" s="116"/>
      <c r="AC127" s="1125"/>
      <c r="AD127" s="116"/>
      <c r="AE127" s="116"/>
      <c r="AF127" s="116"/>
      <c r="AG127" s="1125"/>
      <c r="AH127" s="116"/>
      <c r="AI127" s="116"/>
      <c r="AJ127" s="116">
        <f t="shared" si="139"/>
        <v>0</v>
      </c>
      <c r="AK127" s="114">
        <v>30000</v>
      </c>
      <c r="AL127" s="474">
        <f t="shared" si="144"/>
        <v>0</v>
      </c>
    </row>
    <row r="128" spans="1:38" s="82" customFormat="1" ht="33" customHeight="1" thickBot="1">
      <c r="A128" s="2000"/>
      <c r="B128" s="2009"/>
      <c r="C128" s="94" t="s">
        <v>313</v>
      </c>
      <c r="D128" s="2019"/>
      <c r="E128" s="1126"/>
      <c r="F128" s="95"/>
      <c r="G128" s="95"/>
      <c r="H128" s="1126"/>
      <c r="I128" s="95"/>
      <c r="J128" s="95"/>
      <c r="K128" s="95"/>
      <c r="L128" s="95"/>
      <c r="M128" s="95"/>
      <c r="N128" s="95"/>
      <c r="O128" s="95"/>
      <c r="P128" s="1126"/>
      <c r="Q128" s="95"/>
      <c r="R128" s="95"/>
      <c r="S128" s="95"/>
      <c r="T128" s="95"/>
      <c r="U128" s="95"/>
      <c r="V128" s="1126"/>
      <c r="W128" s="95"/>
      <c r="X128" s="95"/>
      <c r="Y128" s="95"/>
      <c r="Z128" s="95"/>
      <c r="AA128" s="95"/>
      <c r="AB128" s="95"/>
      <c r="AC128" s="1126"/>
      <c r="AD128" s="95"/>
      <c r="AE128" s="95"/>
      <c r="AF128" s="95"/>
      <c r="AG128" s="1126"/>
      <c r="AH128" s="95"/>
      <c r="AI128" s="95"/>
      <c r="AJ128" s="95">
        <f t="shared" si="139"/>
        <v>0</v>
      </c>
      <c r="AK128" s="98">
        <v>40000</v>
      </c>
      <c r="AL128" s="473">
        <f t="shared" si="144"/>
        <v>0</v>
      </c>
    </row>
    <row r="129" spans="1:41" s="127" customFormat="1" ht="28.5" customHeight="1" thickBot="1">
      <c r="A129" s="2000"/>
      <c r="B129" s="2009"/>
      <c r="C129" s="2021" t="s">
        <v>323</v>
      </c>
      <c r="D129" s="2022"/>
      <c r="E129" s="1128">
        <f>SUM(E111:E128)</f>
        <v>0</v>
      </c>
      <c r="F129" s="126">
        <f>SUM(F111:F128)</f>
        <v>2.42</v>
      </c>
      <c r="G129" s="126">
        <f t="shared" ref="G129:K129" si="145">SUM(G111:G128)</f>
        <v>3.9</v>
      </c>
      <c r="H129" s="1128">
        <f t="shared" si="145"/>
        <v>0</v>
      </c>
      <c r="I129" s="126">
        <f t="shared" si="145"/>
        <v>6.98</v>
      </c>
      <c r="J129" s="126">
        <f t="shared" si="145"/>
        <v>6.39</v>
      </c>
      <c r="K129" s="126">
        <f t="shared" si="145"/>
        <v>1.03</v>
      </c>
      <c r="L129" s="126">
        <f>SUM(L111:L128)</f>
        <v>0</v>
      </c>
      <c r="M129" s="126">
        <f t="shared" ref="M129:R129" si="146">SUM(M111:M128)</f>
        <v>3.9</v>
      </c>
      <c r="N129" s="126">
        <f t="shared" si="146"/>
        <v>0.42</v>
      </c>
      <c r="O129" s="126">
        <f t="shared" si="146"/>
        <v>4.46</v>
      </c>
      <c r="P129" s="1128">
        <f t="shared" si="146"/>
        <v>0</v>
      </c>
      <c r="Q129" s="126">
        <f t="shared" si="146"/>
        <v>4.46</v>
      </c>
      <c r="R129" s="126">
        <f t="shared" si="146"/>
        <v>6.25</v>
      </c>
      <c r="S129" s="126">
        <f>SUM(S111:S128)</f>
        <v>3.76</v>
      </c>
      <c r="T129" s="126">
        <f t="shared" ref="T129:Y129" si="147">SUM(T111:T128)</f>
        <v>3.88</v>
      </c>
      <c r="U129" s="126">
        <f t="shared" si="147"/>
        <v>2.52</v>
      </c>
      <c r="V129" s="1128">
        <f t="shared" si="147"/>
        <v>0</v>
      </c>
      <c r="W129" s="126">
        <f t="shared" si="147"/>
        <v>6.3</v>
      </c>
      <c r="X129" s="126">
        <f t="shared" si="147"/>
        <v>3.44</v>
      </c>
      <c r="Y129" s="126">
        <f t="shared" si="147"/>
        <v>2.69</v>
      </c>
      <c r="Z129" s="126">
        <f>SUM(Z111:Z128)</f>
        <v>3.66</v>
      </c>
      <c r="AA129" s="126">
        <f t="shared" ref="AA129:AF129" si="148">SUM(AA111:AA128)</f>
        <v>4.1900000000000004</v>
      </c>
      <c r="AB129" s="126">
        <f t="shared" si="148"/>
        <v>0.47</v>
      </c>
      <c r="AC129" s="1128">
        <f t="shared" si="148"/>
        <v>0</v>
      </c>
      <c r="AD129" s="126">
        <f t="shared" si="148"/>
        <v>1.48</v>
      </c>
      <c r="AE129" s="126">
        <f t="shared" si="148"/>
        <v>2.25</v>
      </c>
      <c r="AF129" s="126">
        <f t="shared" si="148"/>
        <v>3.62</v>
      </c>
      <c r="AG129" s="1128">
        <f>SUM(AG111:AG128)</f>
        <v>0</v>
      </c>
      <c r="AH129" s="126">
        <f t="shared" ref="AH129:AI129" si="149">SUM(AH111:AH128)</f>
        <v>0</v>
      </c>
      <c r="AI129" s="126">
        <f t="shared" si="149"/>
        <v>9.870000000000001</v>
      </c>
      <c r="AJ129" s="126">
        <f>SUM(AJ111:AJ128)</f>
        <v>88.339999999999989</v>
      </c>
      <c r="AK129" s="126"/>
      <c r="AL129" s="478">
        <f>SUM(AL111:AL128)</f>
        <v>1727132.5</v>
      </c>
    </row>
    <row r="130" spans="1:41" s="82" customFormat="1" ht="35.25" customHeight="1">
      <c r="A130" s="2000"/>
      <c r="B130" s="2009"/>
      <c r="C130" s="93" t="s">
        <v>271</v>
      </c>
      <c r="D130" s="1296"/>
      <c r="E130" s="1123"/>
      <c r="F130" s="84"/>
      <c r="G130" s="84"/>
      <c r="H130" s="1130"/>
      <c r="I130" s="84"/>
      <c r="J130" s="84"/>
      <c r="K130" s="84"/>
      <c r="L130" s="83"/>
      <c r="M130" s="84"/>
      <c r="N130" s="84"/>
      <c r="O130" s="83"/>
      <c r="P130" s="1130"/>
      <c r="Q130" s="84"/>
      <c r="R130" s="84"/>
      <c r="S130" s="83"/>
      <c r="T130" s="84">
        <v>60</v>
      </c>
      <c r="U130" s="84">
        <v>66.5</v>
      </c>
      <c r="V130" s="1130"/>
      <c r="W130" s="746"/>
      <c r="X130" s="84">
        <v>70.5</v>
      </c>
      <c r="Y130" s="84"/>
      <c r="Z130" s="83"/>
      <c r="AA130" s="84"/>
      <c r="AB130" s="84"/>
      <c r="AC130" s="1130"/>
      <c r="AD130" s="84"/>
      <c r="AE130" s="84"/>
      <c r="AF130" s="84"/>
      <c r="AG130" s="1123"/>
      <c r="AH130" s="84"/>
      <c r="AI130" s="84"/>
      <c r="AJ130" s="84">
        <f t="shared" ref="AJ130" si="150">SUM(E130:AI130)</f>
        <v>197</v>
      </c>
      <c r="AK130" s="87">
        <v>200</v>
      </c>
      <c r="AL130" s="471">
        <f>AJ130*AK130</f>
        <v>39400</v>
      </c>
      <c r="AO130" s="90"/>
    </row>
    <row r="131" spans="1:41" s="82" customFormat="1" ht="35.25" customHeight="1">
      <c r="A131" s="2000"/>
      <c r="B131" s="2009"/>
      <c r="C131" s="65" t="s">
        <v>307</v>
      </c>
      <c r="D131" s="1295"/>
      <c r="E131" s="1123"/>
      <c r="F131" s="83"/>
      <c r="G131" s="83"/>
      <c r="H131" s="1123"/>
      <c r="I131" s="83"/>
      <c r="J131" s="83"/>
      <c r="K131" s="83"/>
      <c r="L131" s="83"/>
      <c r="M131" s="83"/>
      <c r="N131" s="83"/>
      <c r="O131" s="83"/>
      <c r="P131" s="1123"/>
      <c r="Q131" s="83"/>
      <c r="R131" s="83"/>
      <c r="S131" s="83"/>
      <c r="T131" s="83"/>
      <c r="U131" s="83"/>
      <c r="V131" s="1123"/>
      <c r="W131" s="83"/>
      <c r="X131" s="83"/>
      <c r="Y131" s="83">
        <v>2.91</v>
      </c>
      <c r="Z131" s="83"/>
      <c r="AA131" s="83"/>
      <c r="AB131" s="83">
        <v>3.94</v>
      </c>
      <c r="AC131" s="1123"/>
      <c r="AD131" s="83">
        <v>3.51</v>
      </c>
      <c r="AE131" s="83">
        <v>4.2300000000000004</v>
      </c>
      <c r="AF131" s="1326">
        <v>3.42</v>
      </c>
      <c r="AG131" s="1123"/>
      <c r="AH131" s="83"/>
      <c r="AI131" s="83"/>
      <c r="AJ131" s="83">
        <f t="shared" ref="AJ131:AJ133" si="151">SUM(E131:AI131)</f>
        <v>18.009999999999998</v>
      </c>
      <c r="AK131" s="85">
        <v>15000</v>
      </c>
      <c r="AL131" s="482">
        <f>AJ131*AK131</f>
        <v>270149.99999999994</v>
      </c>
    </row>
    <row r="132" spans="1:41" s="82" customFormat="1" ht="35.25" customHeight="1">
      <c r="A132" s="2000"/>
      <c r="B132" s="2009"/>
      <c r="C132" s="65" t="s">
        <v>571</v>
      </c>
      <c r="D132" s="1295"/>
      <c r="E132" s="1123"/>
      <c r="F132" s="83"/>
      <c r="G132" s="83"/>
      <c r="H132" s="1123"/>
      <c r="I132" s="83"/>
      <c r="J132" s="83"/>
      <c r="K132" s="83"/>
      <c r="L132" s="83"/>
      <c r="M132" s="83"/>
      <c r="N132" s="83"/>
      <c r="O132" s="83"/>
      <c r="P132" s="1123"/>
      <c r="Q132" s="83"/>
      <c r="R132" s="83"/>
      <c r="S132" s="83"/>
      <c r="T132" s="83"/>
      <c r="U132" s="83"/>
      <c r="V132" s="1123"/>
      <c r="W132" s="191"/>
      <c r="X132" s="83"/>
      <c r="Y132" s="83"/>
      <c r="Z132" s="83"/>
      <c r="AA132" s="83"/>
      <c r="AB132" s="83"/>
      <c r="AC132" s="1123"/>
      <c r="AD132" s="191"/>
      <c r="AE132" s="83"/>
      <c r="AF132" s="83"/>
      <c r="AG132" s="1123"/>
      <c r="AH132" s="83"/>
      <c r="AI132" s="83"/>
      <c r="AJ132" s="83">
        <f t="shared" si="151"/>
        <v>0</v>
      </c>
      <c r="AK132" s="192">
        <v>17000</v>
      </c>
      <c r="AL132" s="482">
        <f>AJ132*AK132</f>
        <v>0</v>
      </c>
    </row>
    <row r="133" spans="1:41" s="82" customFormat="1" ht="35.25" customHeight="1" thickBot="1">
      <c r="A133" s="2000"/>
      <c r="B133" s="2009"/>
      <c r="C133" s="118" t="s">
        <v>308</v>
      </c>
      <c r="D133" s="1296"/>
      <c r="E133" s="1130"/>
      <c r="F133" s="84"/>
      <c r="G133" s="86"/>
      <c r="H133" s="1129"/>
      <c r="I133" s="86"/>
      <c r="J133" s="86"/>
      <c r="K133" s="86"/>
      <c r="L133" s="86"/>
      <c r="M133" s="84"/>
      <c r="N133" s="84"/>
      <c r="O133" s="84"/>
      <c r="P133" s="1130"/>
      <c r="Q133" s="86"/>
      <c r="R133" s="84"/>
      <c r="S133" s="84"/>
      <c r="T133" s="84"/>
      <c r="U133" s="84"/>
      <c r="V133" s="1130"/>
      <c r="W133" s="86"/>
      <c r="X133" s="86"/>
      <c r="Y133" s="84"/>
      <c r="Z133" s="84"/>
      <c r="AA133" s="84"/>
      <c r="AB133" s="84"/>
      <c r="AC133" s="1130"/>
      <c r="AD133" s="86"/>
      <c r="AE133" s="84"/>
      <c r="AF133" s="86"/>
      <c r="AG133" s="1129"/>
      <c r="AH133" s="86"/>
      <c r="AI133" s="84"/>
      <c r="AJ133" s="86">
        <f t="shared" si="151"/>
        <v>0</v>
      </c>
      <c r="AK133" s="98">
        <v>11000</v>
      </c>
      <c r="AL133" s="475">
        <f>AJ133*AK133</f>
        <v>0</v>
      </c>
    </row>
    <row r="134" spans="1:41" s="127" customFormat="1" ht="35.25" customHeight="1" thickBot="1">
      <c r="A134" s="2000"/>
      <c r="B134" s="2009"/>
      <c r="C134" s="2015" t="s">
        <v>322</v>
      </c>
      <c r="D134" s="2016"/>
      <c r="E134" s="1128">
        <f>SUM(E131:E133)</f>
        <v>0</v>
      </c>
      <c r="F134" s="126">
        <f>SUM(F131:F133)</f>
        <v>0</v>
      </c>
      <c r="G134" s="126">
        <f t="shared" ref="G134:H134" si="152">SUM(G131:G133)</f>
        <v>0</v>
      </c>
      <c r="H134" s="1128">
        <f t="shared" si="152"/>
        <v>0</v>
      </c>
      <c r="I134" s="126">
        <f t="shared" ref="I134" si="153">SUM(I131:I133)</f>
        <v>0</v>
      </c>
      <c r="J134" s="126">
        <f t="shared" ref="J134:K134" si="154">SUM(J131:J133)</f>
        <v>0</v>
      </c>
      <c r="K134" s="126">
        <f t="shared" si="154"/>
        <v>0</v>
      </c>
      <c r="L134" s="126">
        <f>SUM(L131:L133)</f>
        <v>0</v>
      </c>
      <c r="M134" s="126">
        <f>SUM(M131:M133)</f>
        <v>0</v>
      </c>
      <c r="N134" s="126">
        <f t="shared" ref="N134" si="155">SUM(N131:N133)</f>
        <v>0</v>
      </c>
      <c r="O134" s="126">
        <f t="shared" ref="O134" si="156">SUM(O131:O133)</f>
        <v>0</v>
      </c>
      <c r="P134" s="1128">
        <f t="shared" ref="P134:Q134" si="157">SUM(P131:P133)</f>
        <v>0</v>
      </c>
      <c r="Q134" s="126">
        <f t="shared" si="157"/>
        <v>0</v>
      </c>
      <c r="R134" s="126">
        <f t="shared" ref="R134" si="158">SUM(R131:R133)</f>
        <v>0</v>
      </c>
      <c r="S134" s="126">
        <f>SUM(S131:S133)</f>
        <v>0</v>
      </c>
      <c r="T134" s="126">
        <f>SUM(T131:T133)</f>
        <v>0</v>
      </c>
      <c r="U134" s="126">
        <f t="shared" ref="U134:X134" si="159">SUM(U131:U133)</f>
        <v>0</v>
      </c>
      <c r="V134" s="1128">
        <f t="shared" si="159"/>
        <v>0</v>
      </c>
      <c r="W134" s="126">
        <f t="shared" si="159"/>
        <v>0</v>
      </c>
      <c r="X134" s="126">
        <f t="shared" si="159"/>
        <v>0</v>
      </c>
      <c r="Y134" s="126">
        <f t="shared" ref="Y134" si="160">SUM(Y131:Y133)</f>
        <v>2.91</v>
      </c>
      <c r="Z134" s="126">
        <f t="shared" ref="Z134" si="161">SUM(Z131:Z133)</f>
        <v>0</v>
      </c>
      <c r="AA134" s="126">
        <f t="shared" ref="AA134" si="162">SUM(AA131:AA133)</f>
        <v>0</v>
      </c>
      <c r="AB134" s="126">
        <f t="shared" ref="AB134" si="163">SUM(AB131:AB133)</f>
        <v>3.94</v>
      </c>
      <c r="AC134" s="1128">
        <f t="shared" ref="AC134" si="164">SUM(AC131:AC133)</f>
        <v>0</v>
      </c>
      <c r="AD134" s="126">
        <f>SUM(AD131:AD133)</f>
        <v>3.51</v>
      </c>
      <c r="AE134" s="126">
        <f t="shared" ref="AE134" si="165">SUM(AE131:AE133)</f>
        <v>4.2300000000000004</v>
      </c>
      <c r="AF134" s="126">
        <f t="shared" ref="AF134:AG134" si="166">SUM(AF131:AF133)</f>
        <v>3.42</v>
      </c>
      <c r="AG134" s="1128">
        <f t="shared" si="166"/>
        <v>0</v>
      </c>
      <c r="AH134" s="126">
        <f t="shared" ref="AH134" si="167">SUM(AH131:AH133)</f>
        <v>0</v>
      </c>
      <c r="AI134" s="126">
        <f t="shared" ref="AI134" si="168">SUM(AI131:AI133)</f>
        <v>0</v>
      </c>
      <c r="AJ134" s="126"/>
      <c r="AK134" s="128"/>
      <c r="AL134" s="478">
        <f>SUM(AL130:AL133)</f>
        <v>309549.99999999994</v>
      </c>
    </row>
    <row r="135" spans="1:41" s="82" customFormat="1" ht="35.25" customHeight="1">
      <c r="A135" s="2000"/>
      <c r="B135" s="2009"/>
      <c r="C135" s="101" t="s">
        <v>266</v>
      </c>
      <c r="D135" s="1296"/>
      <c r="E135" s="1130"/>
      <c r="F135" s="84"/>
      <c r="G135" s="83"/>
      <c r="H135" s="1123"/>
      <c r="I135" s="83"/>
      <c r="J135" s="84"/>
      <c r="K135" s="83"/>
      <c r="L135" s="83"/>
      <c r="M135" s="84"/>
      <c r="N135" s="84"/>
      <c r="O135" s="84"/>
      <c r="P135" s="1130"/>
      <c r="Q135" s="83"/>
      <c r="R135" s="84"/>
      <c r="S135" s="84"/>
      <c r="T135" s="84"/>
      <c r="U135" s="84"/>
      <c r="V135" s="1130"/>
      <c r="W135" s="84"/>
      <c r="X135" s="84"/>
      <c r="Y135" s="84"/>
      <c r="Z135" s="84"/>
      <c r="AA135" s="84"/>
      <c r="AB135" s="84"/>
      <c r="AC135" s="1130"/>
      <c r="AD135" s="83"/>
      <c r="AE135" s="84"/>
      <c r="AF135" s="84"/>
      <c r="AG135" s="1123"/>
      <c r="AH135" s="83"/>
      <c r="AI135" s="84"/>
      <c r="AJ135" s="83">
        <f t="shared" ref="AJ135:AJ137" si="169">SUM(E135:AI135)</f>
        <v>0</v>
      </c>
      <c r="AK135" s="85">
        <v>4814</v>
      </c>
      <c r="AL135" s="473">
        <f>AJ135*AK135</f>
        <v>0</v>
      </c>
    </row>
    <row r="136" spans="1:41" s="82" customFormat="1" ht="35.25" customHeight="1">
      <c r="A136" s="2000"/>
      <c r="B136" s="2009"/>
      <c r="C136" s="101" t="s">
        <v>267</v>
      </c>
      <c r="D136" s="1296"/>
      <c r="E136" s="1129"/>
      <c r="F136" s="86">
        <v>1</v>
      </c>
      <c r="G136" s="84"/>
      <c r="H136" s="1130"/>
      <c r="I136" s="84"/>
      <c r="J136" s="84"/>
      <c r="K136" s="84"/>
      <c r="L136" s="86"/>
      <c r="M136" s="84"/>
      <c r="N136" s="84"/>
      <c r="O136" s="84"/>
      <c r="P136" s="1130"/>
      <c r="Q136" s="84"/>
      <c r="R136" s="84"/>
      <c r="S136" s="86"/>
      <c r="T136" s="84"/>
      <c r="U136" s="84"/>
      <c r="V136" s="1130"/>
      <c r="W136" s="84"/>
      <c r="X136" s="84"/>
      <c r="Y136" s="84"/>
      <c r="Z136" s="86"/>
      <c r="AA136" s="84"/>
      <c r="AB136" s="84"/>
      <c r="AC136" s="1130"/>
      <c r="AD136" s="84"/>
      <c r="AE136" s="84"/>
      <c r="AF136" s="84"/>
      <c r="AG136" s="1129"/>
      <c r="AH136" s="84"/>
      <c r="AI136" s="84"/>
      <c r="AJ136" s="84">
        <f t="shared" si="169"/>
        <v>1</v>
      </c>
      <c r="AK136" s="87">
        <v>7217</v>
      </c>
      <c r="AL136" s="471">
        <f t="shared" ref="AL136:AL137" si="170">AJ136*AK136</f>
        <v>7217</v>
      </c>
    </row>
    <row r="137" spans="1:41" s="82" customFormat="1" ht="35.25" customHeight="1" thickBot="1">
      <c r="A137" s="2000"/>
      <c r="B137" s="2009"/>
      <c r="C137" s="101" t="s">
        <v>268</v>
      </c>
      <c r="D137" s="1296"/>
      <c r="E137" s="1129"/>
      <c r="F137" s="86"/>
      <c r="G137" s="84">
        <v>0.5</v>
      </c>
      <c r="H137" s="1130"/>
      <c r="I137" s="84">
        <v>0.5</v>
      </c>
      <c r="J137" s="84">
        <v>0.5</v>
      </c>
      <c r="K137" s="84">
        <v>1</v>
      </c>
      <c r="L137" s="84"/>
      <c r="M137" s="84">
        <v>0.5</v>
      </c>
      <c r="N137" s="84">
        <v>0.5</v>
      </c>
      <c r="O137" s="84">
        <v>0.5</v>
      </c>
      <c r="P137" s="1130"/>
      <c r="Q137" s="84">
        <v>0.5</v>
      </c>
      <c r="R137" s="84">
        <v>1</v>
      </c>
      <c r="S137" s="84">
        <v>1</v>
      </c>
      <c r="T137" s="84"/>
      <c r="U137" s="84"/>
      <c r="V137" s="1130"/>
      <c r="W137" s="84">
        <v>0.5</v>
      </c>
      <c r="X137" s="84">
        <v>0.5</v>
      </c>
      <c r="Y137" s="84">
        <v>0.5</v>
      </c>
      <c r="Z137" s="84">
        <v>0.5</v>
      </c>
      <c r="AA137" s="84">
        <v>0.5</v>
      </c>
      <c r="AB137" s="86">
        <v>0.5</v>
      </c>
      <c r="AC137" s="1130"/>
      <c r="AD137" s="84">
        <v>0.5</v>
      </c>
      <c r="AE137" s="84">
        <v>0.5</v>
      </c>
      <c r="AF137" s="84">
        <v>0.5</v>
      </c>
      <c r="AG137" s="1126"/>
      <c r="AH137" s="95"/>
      <c r="AI137" s="84"/>
      <c r="AJ137" s="86">
        <f t="shared" si="169"/>
        <v>11</v>
      </c>
      <c r="AK137" s="87">
        <v>9029</v>
      </c>
      <c r="AL137" s="469">
        <f t="shared" si="170"/>
        <v>99319</v>
      </c>
    </row>
    <row r="138" spans="1:41" s="125" customFormat="1" ht="28.5" customHeight="1" thickBot="1">
      <c r="A138" s="2000"/>
      <c r="B138" s="2009"/>
      <c r="C138" s="2012" t="s">
        <v>316</v>
      </c>
      <c r="D138" s="2013"/>
      <c r="E138" s="1131">
        <f>SUM(E135:E137)</f>
        <v>0</v>
      </c>
      <c r="F138" s="124">
        <f>SUM(F135:F137)</f>
        <v>1</v>
      </c>
      <c r="G138" s="124">
        <f t="shared" ref="G138:K138" si="171">SUM(G135:G137)</f>
        <v>0.5</v>
      </c>
      <c r="H138" s="1131">
        <f t="shared" si="171"/>
        <v>0</v>
      </c>
      <c r="I138" s="124">
        <f t="shared" si="171"/>
        <v>0.5</v>
      </c>
      <c r="J138" s="124">
        <f t="shared" si="171"/>
        <v>0.5</v>
      </c>
      <c r="K138" s="124">
        <f t="shared" si="171"/>
        <v>1</v>
      </c>
      <c r="L138" s="124">
        <f>SUM(L135:L137)</f>
        <v>0</v>
      </c>
      <c r="M138" s="124">
        <f t="shared" ref="M138:R138" si="172">SUM(M135:M137)</f>
        <v>0.5</v>
      </c>
      <c r="N138" s="124">
        <f t="shared" si="172"/>
        <v>0.5</v>
      </c>
      <c r="O138" s="124">
        <f t="shared" si="172"/>
        <v>0.5</v>
      </c>
      <c r="P138" s="1131">
        <f t="shared" si="172"/>
        <v>0</v>
      </c>
      <c r="Q138" s="124">
        <f t="shared" si="172"/>
        <v>0.5</v>
      </c>
      <c r="R138" s="124">
        <f t="shared" si="172"/>
        <v>1</v>
      </c>
      <c r="S138" s="124">
        <f>SUM(S135:S137)</f>
        <v>1</v>
      </c>
      <c r="T138" s="124">
        <f t="shared" ref="T138:Y138" si="173">SUM(T135:T137)</f>
        <v>0</v>
      </c>
      <c r="U138" s="124">
        <f t="shared" si="173"/>
        <v>0</v>
      </c>
      <c r="V138" s="1131">
        <f t="shared" si="173"/>
        <v>0</v>
      </c>
      <c r="W138" s="124">
        <f t="shared" si="173"/>
        <v>0.5</v>
      </c>
      <c r="X138" s="124">
        <f t="shared" si="173"/>
        <v>0.5</v>
      </c>
      <c r="Y138" s="124">
        <f t="shared" si="173"/>
        <v>0.5</v>
      </c>
      <c r="Z138" s="124">
        <f>SUM(Z135:Z137)</f>
        <v>0.5</v>
      </c>
      <c r="AA138" s="124">
        <f t="shared" ref="AA138:AF138" si="174">SUM(AA135:AA137)</f>
        <v>0.5</v>
      </c>
      <c r="AB138" s="124">
        <f t="shared" si="174"/>
        <v>0.5</v>
      </c>
      <c r="AC138" s="1131">
        <f t="shared" si="174"/>
        <v>0</v>
      </c>
      <c r="AD138" s="124">
        <f t="shared" si="174"/>
        <v>0.5</v>
      </c>
      <c r="AE138" s="124">
        <f t="shared" si="174"/>
        <v>0.5</v>
      </c>
      <c r="AF138" s="124">
        <f t="shared" si="174"/>
        <v>0.5</v>
      </c>
      <c r="AG138" s="1131">
        <f>SUM(AG135:AG137)</f>
        <v>0</v>
      </c>
      <c r="AH138" s="124">
        <f t="shared" ref="AH138:AI138" si="175">SUM(AH135:AH137)</f>
        <v>0</v>
      </c>
      <c r="AI138" s="124">
        <f t="shared" si="175"/>
        <v>0</v>
      </c>
      <c r="AJ138" s="124">
        <f>SUM(E138:AI138)</f>
        <v>12</v>
      </c>
      <c r="AK138" s="124"/>
      <c r="AL138" s="479">
        <f>SUM(AL135:AL137)</f>
        <v>106536</v>
      </c>
    </row>
    <row r="139" spans="1:41" s="82" customFormat="1" ht="35.25" customHeight="1" thickBot="1">
      <c r="A139" s="2000"/>
      <c r="B139" s="2009"/>
      <c r="C139" s="93" t="s">
        <v>265</v>
      </c>
      <c r="D139" s="1296"/>
      <c r="E139" s="1130"/>
      <c r="F139" s="84"/>
      <c r="G139" s="84"/>
      <c r="H139" s="1130"/>
      <c r="I139" s="84"/>
      <c r="J139" s="84"/>
      <c r="K139" s="84"/>
      <c r="L139" s="84"/>
      <c r="M139" s="84"/>
      <c r="N139" s="84"/>
      <c r="O139" s="84"/>
      <c r="P139" s="1130"/>
      <c r="Q139" s="84"/>
      <c r="R139" s="84"/>
      <c r="S139" s="84"/>
      <c r="T139" s="84"/>
      <c r="U139" s="84"/>
      <c r="V139" s="1130"/>
      <c r="W139" s="84"/>
      <c r="X139" s="84"/>
      <c r="Y139" s="84"/>
      <c r="Z139" s="84"/>
      <c r="AA139" s="84"/>
      <c r="AB139" s="84"/>
      <c r="AC139" s="1130"/>
      <c r="AD139" s="84"/>
      <c r="AE139" s="84"/>
      <c r="AF139" s="84"/>
      <c r="AG139" s="1130"/>
      <c r="AH139" s="84"/>
      <c r="AI139" s="84"/>
      <c r="AJ139" s="84">
        <f t="shared" ref="AJ139:AJ141" si="176">SUM(E139:AI139)</f>
        <v>0</v>
      </c>
      <c r="AK139" s="87">
        <v>20000</v>
      </c>
      <c r="AL139" s="476">
        <f t="shared" ref="AL139" si="177">AJ139*AK139</f>
        <v>0</v>
      </c>
    </row>
    <row r="140" spans="1:41" s="125" customFormat="1" ht="28.5" customHeight="1" thickBot="1">
      <c r="A140" s="2000"/>
      <c r="B140" s="2009"/>
      <c r="C140" s="2012" t="s">
        <v>321</v>
      </c>
      <c r="D140" s="2013"/>
      <c r="E140" s="1131">
        <f t="shared" ref="E140:AI140" si="178">SUM(E139:E139)</f>
        <v>0</v>
      </c>
      <c r="F140" s="124">
        <f t="shared" si="178"/>
        <v>0</v>
      </c>
      <c r="G140" s="124">
        <f t="shared" si="178"/>
        <v>0</v>
      </c>
      <c r="H140" s="1131">
        <f t="shared" si="178"/>
        <v>0</v>
      </c>
      <c r="I140" s="124">
        <f t="shared" si="178"/>
        <v>0</v>
      </c>
      <c r="J140" s="124">
        <f t="shared" si="178"/>
        <v>0</v>
      </c>
      <c r="K140" s="124">
        <f t="shared" si="178"/>
        <v>0</v>
      </c>
      <c r="L140" s="124">
        <f t="shared" si="178"/>
        <v>0</v>
      </c>
      <c r="M140" s="124">
        <f t="shared" si="178"/>
        <v>0</v>
      </c>
      <c r="N140" s="124">
        <f t="shared" si="178"/>
        <v>0</v>
      </c>
      <c r="O140" s="124">
        <f t="shared" si="178"/>
        <v>0</v>
      </c>
      <c r="P140" s="1131">
        <f t="shared" si="178"/>
        <v>0</v>
      </c>
      <c r="Q140" s="124">
        <f t="shared" si="178"/>
        <v>0</v>
      </c>
      <c r="R140" s="124">
        <f t="shared" si="178"/>
        <v>0</v>
      </c>
      <c r="S140" s="124">
        <f t="shared" si="178"/>
        <v>0</v>
      </c>
      <c r="T140" s="124">
        <f t="shared" si="178"/>
        <v>0</v>
      </c>
      <c r="U140" s="124">
        <f t="shared" si="178"/>
        <v>0</v>
      </c>
      <c r="V140" s="1131">
        <f t="shared" si="178"/>
        <v>0</v>
      </c>
      <c r="W140" s="124">
        <f t="shared" si="178"/>
        <v>0</v>
      </c>
      <c r="X140" s="124">
        <f t="shared" si="178"/>
        <v>0</v>
      </c>
      <c r="Y140" s="124">
        <f t="shared" si="178"/>
        <v>0</v>
      </c>
      <c r="Z140" s="124">
        <f t="shared" si="178"/>
        <v>0</v>
      </c>
      <c r="AA140" s="124">
        <f t="shared" si="178"/>
        <v>0</v>
      </c>
      <c r="AB140" s="124">
        <f t="shared" si="178"/>
        <v>0</v>
      </c>
      <c r="AC140" s="1131">
        <f t="shared" si="178"/>
        <v>0</v>
      </c>
      <c r="AD140" s="124">
        <f t="shared" si="178"/>
        <v>0</v>
      </c>
      <c r="AE140" s="124">
        <f t="shared" si="178"/>
        <v>0</v>
      </c>
      <c r="AF140" s="124">
        <f t="shared" si="178"/>
        <v>0</v>
      </c>
      <c r="AG140" s="1131">
        <f t="shared" si="178"/>
        <v>0</v>
      </c>
      <c r="AH140" s="124">
        <f t="shared" si="178"/>
        <v>0</v>
      </c>
      <c r="AI140" s="124">
        <f t="shared" si="178"/>
        <v>0</v>
      </c>
      <c r="AJ140" s="124">
        <f>SUM(E140:AI140)</f>
        <v>0</v>
      </c>
      <c r="AK140" s="124"/>
      <c r="AL140" s="479">
        <f>SUM(AL139:AL139)</f>
        <v>0</v>
      </c>
    </row>
    <row r="141" spans="1:41" s="82" customFormat="1" ht="35.25" customHeight="1" thickBot="1">
      <c r="A141" s="2001"/>
      <c r="B141" s="2014"/>
      <c r="C141" s="94" t="s">
        <v>311</v>
      </c>
      <c r="D141" s="1298"/>
      <c r="E141" s="1126"/>
      <c r="F141" s="95"/>
      <c r="G141" s="95"/>
      <c r="H141" s="1126"/>
      <c r="I141" s="95"/>
      <c r="J141" s="95"/>
      <c r="K141" s="95"/>
      <c r="L141" s="95"/>
      <c r="M141" s="95"/>
      <c r="N141" s="95"/>
      <c r="O141" s="95"/>
      <c r="P141" s="1126"/>
      <c r="Q141" s="95"/>
      <c r="R141" s="95"/>
      <c r="S141" s="95"/>
      <c r="T141" s="95"/>
      <c r="U141" s="95"/>
      <c r="V141" s="1126"/>
      <c r="W141" s="95"/>
      <c r="X141" s="95"/>
      <c r="Y141" s="95"/>
      <c r="Z141" s="95"/>
      <c r="AA141" s="95"/>
      <c r="AB141" s="95"/>
      <c r="AC141" s="1126"/>
      <c r="AD141" s="95"/>
      <c r="AE141" s="95"/>
      <c r="AF141" s="95"/>
      <c r="AG141" s="1126"/>
      <c r="AH141" s="95"/>
      <c r="AI141" s="95"/>
      <c r="AJ141" s="95">
        <f t="shared" si="176"/>
        <v>0</v>
      </c>
      <c r="AK141" s="96">
        <v>6000</v>
      </c>
      <c r="AL141" s="469">
        <f>AJ141*AK141</f>
        <v>0</v>
      </c>
    </row>
    <row r="142" spans="1:41" s="90" customFormat="1" ht="48.75" customHeight="1" thickBot="1">
      <c r="A142" s="1996" t="s">
        <v>357</v>
      </c>
      <c r="B142" s="1997"/>
      <c r="C142" s="1997"/>
      <c r="D142" s="1998"/>
      <c r="E142" s="1121"/>
      <c r="F142" s="99"/>
      <c r="G142" s="99"/>
      <c r="H142" s="1121"/>
      <c r="I142" s="99"/>
      <c r="J142" s="99"/>
      <c r="K142" s="99"/>
      <c r="L142" s="99"/>
      <c r="M142" s="99"/>
      <c r="N142" s="99"/>
      <c r="O142" s="99"/>
      <c r="P142" s="1121"/>
      <c r="Q142" s="99"/>
      <c r="R142" s="99"/>
      <c r="S142" s="99"/>
      <c r="T142" s="99"/>
      <c r="U142" s="99"/>
      <c r="V142" s="1121"/>
      <c r="W142" s="99"/>
      <c r="X142" s="99"/>
      <c r="Y142" s="99"/>
      <c r="Z142" s="99"/>
      <c r="AA142" s="99"/>
      <c r="AB142" s="99"/>
      <c r="AC142" s="1121"/>
      <c r="AD142" s="99"/>
      <c r="AE142" s="99"/>
      <c r="AF142" s="99"/>
      <c r="AG142" s="1121"/>
      <c r="AH142" s="99"/>
      <c r="AI142" s="99"/>
      <c r="AJ142" s="99"/>
      <c r="AK142" s="189"/>
      <c r="AL142" s="481"/>
    </row>
    <row r="143" spans="1:41" ht="60" customHeight="1" thickBot="1">
      <c r="A143" s="2020" t="s">
        <v>269</v>
      </c>
      <c r="B143" s="2020"/>
      <c r="C143" s="2020"/>
      <c r="D143" s="2020"/>
    </row>
    <row r="144" spans="1:41" s="81" customFormat="1" ht="36" customHeight="1">
      <c r="A144" s="2002" t="s">
        <v>309</v>
      </c>
      <c r="B144" s="2008" t="s">
        <v>7</v>
      </c>
      <c r="C144" s="2004" t="s">
        <v>230</v>
      </c>
      <c r="D144" s="2005"/>
      <c r="E144" s="1117" t="s">
        <v>234</v>
      </c>
      <c r="F144" s="92"/>
      <c r="G144" s="92"/>
      <c r="H144" s="1135"/>
      <c r="I144" s="92"/>
      <c r="J144" s="92"/>
      <c r="K144" s="92"/>
      <c r="L144" s="92"/>
      <c r="M144" s="92"/>
      <c r="N144" s="92"/>
      <c r="O144" s="92"/>
      <c r="P144" s="1135"/>
      <c r="Q144" s="92"/>
      <c r="R144" s="92"/>
      <c r="S144" s="92"/>
      <c r="T144" s="92"/>
      <c r="U144" s="92"/>
      <c r="V144" s="1135"/>
      <c r="W144" s="92"/>
      <c r="X144" s="92"/>
      <c r="Y144" s="92"/>
      <c r="Z144" s="92"/>
      <c r="AA144" s="92"/>
      <c r="AB144" s="92"/>
      <c r="AC144" s="1135"/>
      <c r="AD144" s="92"/>
      <c r="AE144" s="92"/>
      <c r="AF144" s="92"/>
      <c r="AG144" s="1135"/>
      <c r="AH144" s="92"/>
      <c r="AI144" s="92"/>
      <c r="AJ144" s="1994" t="s">
        <v>38</v>
      </c>
      <c r="AK144" s="1994" t="s">
        <v>304</v>
      </c>
      <c r="AL144" s="468" t="s">
        <v>4</v>
      </c>
    </row>
    <row r="145" spans="1:38" s="81" customFormat="1" ht="36" customHeight="1" thickBot="1">
      <c r="A145" s="2003"/>
      <c r="B145" s="2014"/>
      <c r="C145" s="2006"/>
      <c r="D145" s="2007"/>
      <c r="E145" s="1118">
        <v>1</v>
      </c>
      <c r="F145" s="96">
        <v>2</v>
      </c>
      <c r="G145" s="96">
        <v>3</v>
      </c>
      <c r="H145" s="1118">
        <v>4</v>
      </c>
      <c r="I145" s="96">
        <v>5</v>
      </c>
      <c r="J145" s="96">
        <v>6</v>
      </c>
      <c r="K145" s="96">
        <v>7</v>
      </c>
      <c r="L145" s="96">
        <v>8</v>
      </c>
      <c r="M145" s="96">
        <v>9</v>
      </c>
      <c r="N145" s="96">
        <v>10</v>
      </c>
      <c r="O145" s="96">
        <v>11</v>
      </c>
      <c r="P145" s="1118">
        <v>12</v>
      </c>
      <c r="Q145" s="96">
        <v>13</v>
      </c>
      <c r="R145" s="96">
        <v>14</v>
      </c>
      <c r="S145" s="96">
        <v>15</v>
      </c>
      <c r="T145" s="96">
        <v>16</v>
      </c>
      <c r="U145" s="96">
        <v>17</v>
      </c>
      <c r="V145" s="1118">
        <v>18</v>
      </c>
      <c r="W145" s="96">
        <v>19</v>
      </c>
      <c r="X145" s="96">
        <v>20</v>
      </c>
      <c r="Y145" s="96">
        <v>21</v>
      </c>
      <c r="Z145" s="96">
        <v>22</v>
      </c>
      <c r="AA145" s="96">
        <v>23</v>
      </c>
      <c r="AB145" s="96">
        <v>24</v>
      </c>
      <c r="AC145" s="1118">
        <v>25</v>
      </c>
      <c r="AD145" s="96">
        <v>26</v>
      </c>
      <c r="AE145" s="96">
        <v>27</v>
      </c>
      <c r="AF145" s="96">
        <v>28</v>
      </c>
      <c r="AG145" s="1118">
        <v>29</v>
      </c>
      <c r="AH145" s="96">
        <v>30</v>
      </c>
      <c r="AI145" s="96">
        <v>31</v>
      </c>
      <c r="AJ145" s="1995"/>
      <c r="AK145" s="1995"/>
      <c r="AL145" s="469" t="s">
        <v>189</v>
      </c>
    </row>
    <row r="146" spans="1:38" s="106" customFormat="1" ht="24.75" customHeight="1">
      <c r="A146" s="1999" t="s">
        <v>269</v>
      </c>
      <c r="B146" s="2008" t="s">
        <v>270</v>
      </c>
      <c r="C146" s="102" t="s">
        <v>306</v>
      </c>
      <c r="D146" s="103"/>
      <c r="E146" s="1119"/>
      <c r="F146" s="104"/>
      <c r="G146" s="104"/>
      <c r="H146" s="1119"/>
      <c r="I146" s="104"/>
      <c r="J146" s="104"/>
      <c r="K146" s="104"/>
      <c r="L146" s="104"/>
      <c r="M146" s="104"/>
      <c r="N146" s="104"/>
      <c r="O146" s="104"/>
      <c r="P146" s="1119"/>
      <c r="Q146" s="104"/>
      <c r="R146" s="104"/>
      <c r="S146" s="104"/>
      <c r="T146" s="104"/>
      <c r="U146" s="104"/>
      <c r="V146" s="1119"/>
      <c r="W146" s="104"/>
      <c r="X146" s="104"/>
      <c r="Y146" s="104"/>
      <c r="Z146" s="104"/>
      <c r="AA146" s="104"/>
      <c r="AB146" s="104"/>
      <c r="AC146" s="1119"/>
      <c r="AD146" s="104"/>
      <c r="AE146" s="104"/>
      <c r="AF146" s="104"/>
      <c r="AG146" s="1119"/>
      <c r="AH146" s="104"/>
      <c r="AI146" s="104"/>
      <c r="AJ146" s="107"/>
      <c r="AK146" s="108"/>
      <c r="AL146" s="470"/>
    </row>
    <row r="147" spans="1:38" s="106" customFormat="1" ht="24.75" customHeight="1" thickBot="1">
      <c r="A147" s="2000"/>
      <c r="B147" s="2009"/>
      <c r="C147" s="2023" t="s">
        <v>317</v>
      </c>
      <c r="D147" s="2024"/>
      <c r="E147" s="1120"/>
      <c r="F147" s="105"/>
      <c r="G147" s="105"/>
      <c r="H147" s="1120"/>
      <c r="I147" s="105"/>
      <c r="J147" s="105"/>
      <c r="K147" s="105"/>
      <c r="L147" s="105"/>
      <c r="M147" s="105"/>
      <c r="N147" s="105"/>
      <c r="O147" s="105"/>
      <c r="P147" s="1120"/>
      <c r="Q147" s="105"/>
      <c r="R147" s="105"/>
      <c r="S147" s="105"/>
      <c r="T147" s="105"/>
      <c r="U147" s="105"/>
      <c r="V147" s="1120"/>
      <c r="W147" s="105"/>
      <c r="X147" s="105"/>
      <c r="Y147" s="105"/>
      <c r="Z147" s="105"/>
      <c r="AA147" s="105"/>
      <c r="AB147" s="105"/>
      <c r="AC147" s="1120"/>
      <c r="AD147" s="105"/>
      <c r="AE147" s="105"/>
      <c r="AF147" s="962"/>
      <c r="AG147" s="1120"/>
      <c r="AH147" s="105"/>
      <c r="AI147" s="105"/>
      <c r="AJ147" s="105">
        <f t="shared" ref="AJ147:AJ152" si="179">SUM(E147:AI147)</f>
        <v>0</v>
      </c>
      <c r="AK147" s="105"/>
      <c r="AL147" s="471"/>
    </row>
    <row r="148" spans="1:38" s="90" customFormat="1" ht="23.25" customHeight="1" thickBot="1">
      <c r="A148" s="2000"/>
      <c r="B148" s="2009"/>
      <c r="C148" s="2025" t="s">
        <v>310</v>
      </c>
      <c r="D148" s="2026"/>
      <c r="E148" s="1121"/>
      <c r="F148" s="99">
        <f>F146-F147</f>
        <v>0</v>
      </c>
      <c r="G148" s="99">
        <f t="shared" ref="G148:AI148" si="180">G146-G147</f>
        <v>0</v>
      </c>
      <c r="H148" s="1121">
        <f t="shared" si="180"/>
        <v>0</v>
      </c>
      <c r="I148" s="99">
        <f t="shared" si="180"/>
        <v>0</v>
      </c>
      <c r="J148" s="99">
        <f t="shared" si="180"/>
        <v>0</v>
      </c>
      <c r="K148" s="99">
        <f t="shared" si="180"/>
        <v>0</v>
      </c>
      <c r="L148" s="99">
        <f t="shared" si="180"/>
        <v>0</v>
      </c>
      <c r="M148" s="99">
        <f t="shared" si="180"/>
        <v>0</v>
      </c>
      <c r="N148" s="99">
        <f t="shared" si="180"/>
        <v>0</v>
      </c>
      <c r="O148" s="99">
        <f t="shared" si="180"/>
        <v>0</v>
      </c>
      <c r="P148" s="1121">
        <f t="shared" si="180"/>
        <v>0</v>
      </c>
      <c r="Q148" s="99">
        <f t="shared" si="180"/>
        <v>0</v>
      </c>
      <c r="R148" s="99">
        <f t="shared" si="180"/>
        <v>0</v>
      </c>
      <c r="S148" s="99">
        <f t="shared" si="180"/>
        <v>0</v>
      </c>
      <c r="T148" s="99">
        <f t="shared" si="180"/>
        <v>0</v>
      </c>
      <c r="U148" s="99">
        <f t="shared" si="180"/>
        <v>0</v>
      </c>
      <c r="V148" s="1121">
        <f t="shared" si="180"/>
        <v>0</v>
      </c>
      <c r="W148" s="99">
        <f t="shared" si="180"/>
        <v>0</v>
      </c>
      <c r="X148" s="99">
        <f t="shared" si="180"/>
        <v>0</v>
      </c>
      <c r="Y148" s="99">
        <f t="shared" si="180"/>
        <v>0</v>
      </c>
      <c r="Z148" s="99">
        <f t="shared" si="180"/>
        <v>0</v>
      </c>
      <c r="AA148" s="99">
        <f t="shared" si="180"/>
        <v>0</v>
      </c>
      <c r="AB148" s="99">
        <f t="shared" si="180"/>
        <v>0</v>
      </c>
      <c r="AC148" s="1121">
        <f t="shared" si="180"/>
        <v>0</v>
      </c>
      <c r="AD148" s="99">
        <f t="shared" si="180"/>
        <v>0</v>
      </c>
      <c r="AE148" s="99">
        <f t="shared" si="180"/>
        <v>0</v>
      </c>
      <c r="AF148" s="99">
        <f t="shared" si="180"/>
        <v>0</v>
      </c>
      <c r="AG148" s="1121">
        <f t="shared" si="180"/>
        <v>0</v>
      </c>
      <c r="AH148" s="99">
        <f t="shared" si="180"/>
        <v>0</v>
      </c>
      <c r="AI148" s="99">
        <f t="shared" si="180"/>
        <v>0</v>
      </c>
      <c r="AJ148" s="99">
        <f t="shared" si="179"/>
        <v>0</v>
      </c>
      <c r="AK148" s="99"/>
      <c r="AL148" s="472"/>
    </row>
    <row r="149" spans="1:38" s="82" customFormat="1" ht="33" customHeight="1">
      <c r="A149" s="2000"/>
      <c r="B149" s="2009"/>
      <c r="C149" s="100" t="s">
        <v>312</v>
      </c>
      <c r="D149" s="2017" t="s">
        <v>298</v>
      </c>
      <c r="E149" s="1122"/>
      <c r="F149" s="91"/>
      <c r="G149" s="91"/>
      <c r="H149" s="1122"/>
      <c r="I149" s="91"/>
      <c r="J149" s="91"/>
      <c r="K149" s="91"/>
      <c r="L149" s="91"/>
      <c r="M149" s="91"/>
      <c r="N149" s="91"/>
      <c r="O149" s="91"/>
      <c r="P149" s="1122"/>
      <c r="Q149" s="91"/>
      <c r="R149" s="91"/>
      <c r="S149" s="91"/>
      <c r="T149" s="91"/>
      <c r="U149" s="91"/>
      <c r="V149" s="1122"/>
      <c r="W149" s="91"/>
      <c r="X149" s="91"/>
      <c r="Y149" s="91"/>
      <c r="Z149" s="91"/>
      <c r="AA149" s="91"/>
      <c r="AB149" s="91"/>
      <c r="AC149" s="1122"/>
      <c r="AD149" s="91"/>
      <c r="AE149" s="91"/>
      <c r="AF149" s="91"/>
      <c r="AG149" s="1122"/>
      <c r="AH149" s="91"/>
      <c r="AI149" s="91"/>
      <c r="AJ149" s="91">
        <f t="shared" si="179"/>
        <v>0</v>
      </c>
      <c r="AK149" s="92">
        <v>5500</v>
      </c>
      <c r="AL149" s="468">
        <f>AJ149*AK149</f>
        <v>0</v>
      </c>
    </row>
    <row r="150" spans="1:38" s="82" customFormat="1" ht="33" customHeight="1">
      <c r="A150" s="2000"/>
      <c r="B150" s="2009"/>
      <c r="C150" s="89" t="s">
        <v>314</v>
      </c>
      <c r="D150" s="2018"/>
      <c r="E150" s="1123"/>
      <c r="F150" s="83"/>
      <c r="G150" s="83"/>
      <c r="H150" s="1123"/>
      <c r="I150" s="83"/>
      <c r="J150" s="83"/>
      <c r="K150" s="83"/>
      <c r="L150" s="83"/>
      <c r="M150" s="83"/>
      <c r="N150" s="83"/>
      <c r="O150" s="83"/>
      <c r="P150" s="1123"/>
      <c r="Q150" s="83"/>
      <c r="R150" s="83"/>
      <c r="S150" s="83"/>
      <c r="T150" s="83"/>
      <c r="U150" s="83"/>
      <c r="V150" s="1123"/>
      <c r="W150" s="83"/>
      <c r="X150" s="83"/>
      <c r="Y150" s="83"/>
      <c r="Z150" s="83"/>
      <c r="AA150" s="83"/>
      <c r="AB150" s="83"/>
      <c r="AC150" s="1123"/>
      <c r="AD150" s="83"/>
      <c r="AE150" s="83"/>
      <c r="AF150" s="83"/>
      <c r="AG150" s="1123"/>
      <c r="AH150" s="83"/>
      <c r="AI150" s="83"/>
      <c r="AJ150" s="83">
        <f t="shared" si="179"/>
        <v>0</v>
      </c>
      <c r="AK150" s="85">
        <v>11500</v>
      </c>
      <c r="AL150" s="473">
        <f>AJ150*AK150</f>
        <v>0</v>
      </c>
    </row>
    <row r="151" spans="1:38" s="90" customFormat="1" ht="33" customHeight="1">
      <c r="A151" s="2000"/>
      <c r="B151" s="2009"/>
      <c r="C151" s="109" t="s">
        <v>299</v>
      </c>
      <c r="D151" s="2018"/>
      <c r="E151" s="1127"/>
      <c r="F151" s="110"/>
      <c r="G151" s="110"/>
      <c r="H151" s="1127"/>
      <c r="I151" s="110"/>
      <c r="J151" s="110"/>
      <c r="K151" s="110"/>
      <c r="L151" s="110"/>
      <c r="M151" s="110"/>
      <c r="N151" s="110"/>
      <c r="O151" s="110"/>
      <c r="P151" s="1127"/>
      <c r="Q151" s="110"/>
      <c r="R151" s="110"/>
      <c r="S151" s="110"/>
      <c r="T151" s="110"/>
      <c r="U151" s="110"/>
      <c r="V151" s="1127"/>
      <c r="W151" s="110"/>
      <c r="X151" s="110"/>
      <c r="Y151" s="110"/>
      <c r="Z151" s="110"/>
      <c r="AA151" s="110"/>
      <c r="AB151" s="110"/>
      <c r="AC151" s="1127"/>
      <c r="AD151" s="110"/>
      <c r="AE151" s="110"/>
      <c r="AF151" s="110"/>
      <c r="AG151" s="1127"/>
      <c r="AH151" s="110"/>
      <c r="AI151" s="110"/>
      <c r="AJ151" s="110">
        <f t="shared" si="179"/>
        <v>0</v>
      </c>
      <c r="AK151" s="111">
        <v>16000</v>
      </c>
      <c r="AL151" s="474">
        <f t="shared" ref="AL151:AL154" si="181">AJ151*AK151</f>
        <v>0</v>
      </c>
    </row>
    <row r="152" spans="1:38" s="90" customFormat="1" ht="33" customHeight="1">
      <c r="A152" s="2000"/>
      <c r="B152" s="2009"/>
      <c r="C152" s="112" t="s">
        <v>301</v>
      </c>
      <c r="D152" s="2018"/>
      <c r="E152" s="1124"/>
      <c r="F152" s="113"/>
      <c r="G152" s="113"/>
      <c r="H152" s="1124"/>
      <c r="I152" s="113"/>
      <c r="J152" s="113"/>
      <c r="K152" s="113"/>
      <c r="L152" s="113"/>
      <c r="M152" s="113"/>
      <c r="N152" s="113"/>
      <c r="O152" s="113"/>
      <c r="P152" s="1124"/>
      <c r="Q152" s="113"/>
      <c r="R152" s="113"/>
      <c r="S152" s="113"/>
      <c r="T152" s="113"/>
      <c r="U152" s="113"/>
      <c r="V152" s="1124"/>
      <c r="W152" s="113"/>
      <c r="X152" s="113"/>
      <c r="Y152" s="113"/>
      <c r="Z152" s="113"/>
      <c r="AA152" s="113"/>
      <c r="AB152" s="113"/>
      <c r="AC152" s="1124"/>
      <c r="AD152" s="113"/>
      <c r="AE152" s="113"/>
      <c r="AF152" s="113"/>
      <c r="AG152" s="1124"/>
      <c r="AH152" s="113"/>
      <c r="AI152" s="113"/>
      <c r="AJ152" s="113">
        <f t="shared" si="179"/>
        <v>0</v>
      </c>
      <c r="AK152" s="114">
        <v>18000</v>
      </c>
      <c r="AL152" s="474">
        <f t="shared" si="181"/>
        <v>0</v>
      </c>
    </row>
    <row r="153" spans="1:38" s="90" customFormat="1" ht="33" customHeight="1">
      <c r="A153" s="2000"/>
      <c r="B153" s="2009"/>
      <c r="C153" s="115" t="s">
        <v>303</v>
      </c>
      <c r="D153" s="2018"/>
      <c r="E153" s="1125"/>
      <c r="F153" s="113"/>
      <c r="G153" s="116"/>
      <c r="H153" s="1125"/>
      <c r="I153" s="116"/>
      <c r="J153" s="116"/>
      <c r="K153" s="116"/>
      <c r="L153" s="116"/>
      <c r="M153" s="116"/>
      <c r="N153" s="116"/>
      <c r="O153" s="116"/>
      <c r="P153" s="1125"/>
      <c r="Q153" s="116"/>
      <c r="R153" s="116"/>
      <c r="S153" s="116"/>
      <c r="T153" s="116"/>
      <c r="U153" s="116"/>
      <c r="V153" s="1125"/>
      <c r="W153" s="116"/>
      <c r="X153" s="116"/>
      <c r="Y153" s="116"/>
      <c r="Z153" s="116"/>
      <c r="AA153" s="116"/>
      <c r="AB153" s="116"/>
      <c r="AC153" s="1125"/>
      <c r="AD153" s="116"/>
      <c r="AE153" s="116"/>
      <c r="AF153" s="116"/>
      <c r="AG153" s="1125"/>
      <c r="AH153" s="116"/>
      <c r="AI153" s="116"/>
      <c r="AJ153" s="116">
        <f t="shared" ref="AJ153:AJ166" si="182">SUM(E153:AI153)</f>
        <v>0</v>
      </c>
      <c r="AK153" s="117">
        <v>20000</v>
      </c>
      <c r="AL153" s="474">
        <f t="shared" si="181"/>
        <v>0</v>
      </c>
    </row>
    <row r="154" spans="1:38" s="82" customFormat="1" ht="33" customHeight="1" thickBot="1">
      <c r="A154" s="2000"/>
      <c r="B154" s="2009"/>
      <c r="C154" s="94" t="s">
        <v>313</v>
      </c>
      <c r="D154" s="2019"/>
      <c r="E154" s="1126"/>
      <c r="F154" s="95"/>
      <c r="G154" s="95"/>
      <c r="H154" s="1126"/>
      <c r="I154" s="95"/>
      <c r="J154" s="95"/>
      <c r="K154" s="95"/>
      <c r="L154" s="95"/>
      <c r="M154" s="95"/>
      <c r="N154" s="95"/>
      <c r="O154" s="95"/>
      <c r="P154" s="1126"/>
      <c r="Q154" s="95"/>
      <c r="R154" s="95"/>
      <c r="S154" s="95"/>
      <c r="T154" s="95"/>
      <c r="U154" s="95"/>
      <c r="V154" s="1126"/>
      <c r="W154" s="95"/>
      <c r="X154" s="95"/>
      <c r="Y154" s="95"/>
      <c r="Z154" s="95"/>
      <c r="AA154" s="95"/>
      <c r="AB154" s="95"/>
      <c r="AC154" s="1126"/>
      <c r="AD154" s="95"/>
      <c r="AE154" s="95"/>
      <c r="AF154" s="95"/>
      <c r="AG154" s="1126"/>
      <c r="AH154" s="95"/>
      <c r="AI154" s="95"/>
      <c r="AJ154" s="95">
        <f t="shared" si="182"/>
        <v>0</v>
      </c>
      <c r="AK154" s="96">
        <v>30000</v>
      </c>
      <c r="AL154" s="473">
        <f t="shared" si="181"/>
        <v>0</v>
      </c>
    </row>
    <row r="155" spans="1:38" s="82" customFormat="1" ht="33" customHeight="1">
      <c r="A155" s="2000"/>
      <c r="B155" s="2009"/>
      <c r="C155" s="100" t="s">
        <v>312</v>
      </c>
      <c r="D155" s="2017" t="s">
        <v>300</v>
      </c>
      <c r="E155" s="1122"/>
      <c r="F155" s="91"/>
      <c r="G155" s="91"/>
      <c r="H155" s="1122"/>
      <c r="I155" s="91"/>
      <c r="J155" s="91"/>
      <c r="K155" s="91"/>
      <c r="L155" s="91"/>
      <c r="M155" s="91"/>
      <c r="N155" s="91"/>
      <c r="O155" s="91"/>
      <c r="P155" s="1122"/>
      <c r="Q155" s="91"/>
      <c r="R155" s="91"/>
      <c r="S155" s="91"/>
      <c r="T155" s="91"/>
      <c r="U155" s="91"/>
      <c r="V155" s="1122"/>
      <c r="W155" s="91"/>
      <c r="X155" s="91"/>
      <c r="Y155" s="91"/>
      <c r="Z155" s="91"/>
      <c r="AA155" s="91"/>
      <c r="AB155" s="91"/>
      <c r="AC155" s="1122"/>
      <c r="AD155" s="91"/>
      <c r="AE155" s="91"/>
      <c r="AF155" s="91"/>
      <c r="AG155" s="1122"/>
      <c r="AH155" s="91"/>
      <c r="AI155" s="91"/>
      <c r="AJ155" s="91">
        <f t="shared" si="182"/>
        <v>0</v>
      </c>
      <c r="AK155" s="92">
        <v>14500</v>
      </c>
      <c r="AL155" s="468">
        <f>AJ155*AK155</f>
        <v>0</v>
      </c>
    </row>
    <row r="156" spans="1:38" s="82" customFormat="1" ht="33" customHeight="1">
      <c r="A156" s="2000"/>
      <c r="B156" s="2009"/>
      <c r="C156" s="89" t="s">
        <v>314</v>
      </c>
      <c r="D156" s="2018"/>
      <c r="E156" s="1123"/>
      <c r="F156" s="83"/>
      <c r="G156" s="83"/>
      <c r="H156" s="1123"/>
      <c r="I156" s="83"/>
      <c r="J156" s="83"/>
      <c r="K156" s="83"/>
      <c r="L156" s="83"/>
      <c r="M156" s="83"/>
      <c r="N156" s="83"/>
      <c r="O156" s="83"/>
      <c r="P156" s="1123"/>
      <c r="Q156" s="83"/>
      <c r="R156" s="83"/>
      <c r="S156" s="83"/>
      <c r="T156" s="83"/>
      <c r="U156" s="83"/>
      <c r="V156" s="1123"/>
      <c r="W156" s="83"/>
      <c r="X156" s="83"/>
      <c r="Y156" s="83"/>
      <c r="Z156" s="83"/>
      <c r="AA156" s="83"/>
      <c r="AB156" s="83"/>
      <c r="AC156" s="1123"/>
      <c r="AD156" s="83"/>
      <c r="AE156" s="83"/>
      <c r="AF156" s="83"/>
      <c r="AG156" s="1123"/>
      <c r="AH156" s="83"/>
      <c r="AI156" s="83"/>
      <c r="AJ156" s="83">
        <f t="shared" si="182"/>
        <v>0</v>
      </c>
      <c r="AK156" s="85">
        <v>17500</v>
      </c>
      <c r="AL156" s="473">
        <f>AJ156*AK156</f>
        <v>0</v>
      </c>
    </row>
    <row r="157" spans="1:38" s="90" customFormat="1" ht="33" customHeight="1">
      <c r="A157" s="2000"/>
      <c r="B157" s="2009"/>
      <c r="C157" s="109" t="s">
        <v>299</v>
      </c>
      <c r="D157" s="2018"/>
      <c r="E157" s="1127"/>
      <c r="F157" s="110"/>
      <c r="G157" s="110"/>
      <c r="H157" s="1127"/>
      <c r="I157" s="110"/>
      <c r="J157" s="110"/>
      <c r="K157" s="110"/>
      <c r="L157" s="110"/>
      <c r="M157" s="110"/>
      <c r="N157" s="110"/>
      <c r="O157" s="110"/>
      <c r="P157" s="1127"/>
      <c r="Q157" s="110"/>
      <c r="R157" s="110"/>
      <c r="S157" s="110"/>
      <c r="T157" s="110"/>
      <c r="U157" s="110"/>
      <c r="V157" s="1127"/>
      <c r="W157" s="110"/>
      <c r="X157" s="110"/>
      <c r="Y157" s="110"/>
      <c r="Z157" s="110"/>
      <c r="AA157" s="110"/>
      <c r="AB157" s="110"/>
      <c r="AC157" s="1127"/>
      <c r="AD157" s="110"/>
      <c r="AE157" s="110"/>
      <c r="AF157" s="110"/>
      <c r="AG157" s="1127"/>
      <c r="AH157" s="110"/>
      <c r="AI157" s="110"/>
      <c r="AJ157" s="110">
        <f t="shared" si="182"/>
        <v>0</v>
      </c>
      <c r="AK157" s="114">
        <v>20500</v>
      </c>
      <c r="AL157" s="474">
        <f t="shared" ref="AL157:AL160" si="183">AJ157*AK157</f>
        <v>0</v>
      </c>
    </row>
    <row r="158" spans="1:38" s="90" customFormat="1" ht="33" customHeight="1">
      <c r="A158" s="2000"/>
      <c r="B158" s="2009"/>
      <c r="C158" s="112" t="s">
        <v>301</v>
      </c>
      <c r="D158" s="2018"/>
      <c r="E158" s="1124"/>
      <c r="F158" s="113"/>
      <c r="G158" s="113"/>
      <c r="H158" s="1124"/>
      <c r="I158" s="113"/>
      <c r="J158" s="113"/>
      <c r="K158" s="113"/>
      <c r="L158" s="113"/>
      <c r="M158" s="113"/>
      <c r="N158" s="113"/>
      <c r="O158" s="113"/>
      <c r="P158" s="1124"/>
      <c r="Q158" s="113"/>
      <c r="R158" s="113"/>
      <c r="S158" s="113"/>
      <c r="T158" s="113"/>
      <c r="U158" s="113"/>
      <c r="V158" s="1124"/>
      <c r="W158" s="113"/>
      <c r="X158" s="113"/>
      <c r="Y158" s="113"/>
      <c r="Z158" s="113"/>
      <c r="AA158" s="113"/>
      <c r="AB158" s="113"/>
      <c r="AC158" s="1124"/>
      <c r="AD158" s="113"/>
      <c r="AE158" s="113"/>
      <c r="AF158" s="113"/>
      <c r="AG158" s="1124"/>
      <c r="AH158" s="113"/>
      <c r="AI158" s="113"/>
      <c r="AJ158" s="113">
        <f t="shared" si="182"/>
        <v>0</v>
      </c>
      <c r="AK158" s="117">
        <v>20750</v>
      </c>
      <c r="AL158" s="474">
        <f t="shared" si="183"/>
        <v>0</v>
      </c>
    </row>
    <row r="159" spans="1:38" s="90" customFormat="1" ht="33" customHeight="1">
      <c r="A159" s="2000"/>
      <c r="B159" s="2009"/>
      <c r="C159" s="115" t="s">
        <v>303</v>
      </c>
      <c r="D159" s="2018"/>
      <c r="E159" s="1125"/>
      <c r="F159" s="113"/>
      <c r="G159" s="116"/>
      <c r="H159" s="1125"/>
      <c r="I159" s="116"/>
      <c r="J159" s="116"/>
      <c r="K159" s="116"/>
      <c r="L159" s="116"/>
      <c r="M159" s="116"/>
      <c r="N159" s="116"/>
      <c r="O159" s="116"/>
      <c r="P159" s="1125"/>
      <c r="Q159" s="116"/>
      <c r="R159" s="116"/>
      <c r="S159" s="116"/>
      <c r="T159" s="116"/>
      <c r="U159" s="116"/>
      <c r="V159" s="1125"/>
      <c r="W159" s="116"/>
      <c r="X159" s="116"/>
      <c r="Y159" s="116"/>
      <c r="Z159" s="116"/>
      <c r="AA159" s="116"/>
      <c r="AB159" s="116"/>
      <c r="AC159" s="1125"/>
      <c r="AD159" s="116"/>
      <c r="AE159" s="116"/>
      <c r="AF159" s="116"/>
      <c r="AG159" s="1125"/>
      <c r="AH159" s="116"/>
      <c r="AI159" s="116"/>
      <c r="AJ159" s="116">
        <f t="shared" si="182"/>
        <v>0</v>
      </c>
      <c r="AK159" s="117">
        <v>25000</v>
      </c>
      <c r="AL159" s="474">
        <f t="shared" si="183"/>
        <v>0</v>
      </c>
    </row>
    <row r="160" spans="1:38" s="82" customFormat="1" ht="33" customHeight="1" thickBot="1">
      <c r="A160" s="2000"/>
      <c r="B160" s="2009"/>
      <c r="C160" s="94" t="s">
        <v>313</v>
      </c>
      <c r="D160" s="2019"/>
      <c r="E160" s="1126"/>
      <c r="F160" s="95"/>
      <c r="G160" s="95"/>
      <c r="H160" s="1126"/>
      <c r="I160" s="95"/>
      <c r="J160" s="95"/>
      <c r="K160" s="95"/>
      <c r="L160" s="95"/>
      <c r="M160" s="95"/>
      <c r="N160" s="95"/>
      <c r="O160" s="95"/>
      <c r="P160" s="1126"/>
      <c r="Q160" s="95"/>
      <c r="R160" s="95"/>
      <c r="S160" s="95"/>
      <c r="T160" s="95"/>
      <c r="U160" s="95"/>
      <c r="V160" s="1126"/>
      <c r="W160" s="95"/>
      <c r="X160" s="95"/>
      <c r="Y160" s="95"/>
      <c r="Z160" s="95"/>
      <c r="AA160" s="95"/>
      <c r="AB160" s="95"/>
      <c r="AC160" s="1126"/>
      <c r="AD160" s="95"/>
      <c r="AE160" s="95"/>
      <c r="AF160" s="95"/>
      <c r="AG160" s="1126"/>
      <c r="AH160" s="95"/>
      <c r="AI160" s="95"/>
      <c r="AJ160" s="95">
        <f t="shared" si="182"/>
        <v>0</v>
      </c>
      <c r="AK160" s="96">
        <v>35000</v>
      </c>
      <c r="AL160" s="473">
        <f t="shared" si="183"/>
        <v>0</v>
      </c>
    </row>
    <row r="161" spans="1:38" s="82" customFormat="1" ht="33" customHeight="1">
      <c r="A161" s="2000"/>
      <c r="B161" s="2009"/>
      <c r="C161" s="100" t="s">
        <v>312</v>
      </c>
      <c r="D161" s="2017" t="s">
        <v>302</v>
      </c>
      <c r="E161" s="1122"/>
      <c r="F161" s="91"/>
      <c r="G161" s="91"/>
      <c r="H161" s="1122"/>
      <c r="I161" s="91"/>
      <c r="J161" s="91"/>
      <c r="K161" s="91"/>
      <c r="L161" s="91"/>
      <c r="M161" s="91"/>
      <c r="N161" s="91"/>
      <c r="O161" s="91"/>
      <c r="P161" s="1122"/>
      <c r="Q161" s="91"/>
      <c r="R161" s="91"/>
      <c r="S161" s="91"/>
      <c r="T161" s="91"/>
      <c r="U161" s="91"/>
      <c r="V161" s="1122"/>
      <c r="W161" s="91"/>
      <c r="X161" s="91"/>
      <c r="Y161" s="91"/>
      <c r="Z161" s="91"/>
      <c r="AA161" s="91"/>
      <c r="AB161" s="91"/>
      <c r="AC161" s="1122"/>
      <c r="AD161" s="91"/>
      <c r="AE161" s="91"/>
      <c r="AF161" s="91"/>
      <c r="AG161" s="1122"/>
      <c r="AH161" s="91"/>
      <c r="AI161" s="91"/>
      <c r="AJ161" s="91">
        <f t="shared" si="182"/>
        <v>0</v>
      </c>
      <c r="AK161" s="85">
        <v>16000</v>
      </c>
      <c r="AL161" s="468">
        <f>AJ161*AK161</f>
        <v>0</v>
      </c>
    </row>
    <row r="162" spans="1:38" s="82" customFormat="1" ht="33" customHeight="1">
      <c r="A162" s="2000"/>
      <c r="B162" s="2009"/>
      <c r="C162" s="89" t="s">
        <v>314</v>
      </c>
      <c r="D162" s="2018"/>
      <c r="E162" s="1123"/>
      <c r="F162" s="83"/>
      <c r="G162" s="83"/>
      <c r="H162" s="1123"/>
      <c r="I162" s="83"/>
      <c r="J162" s="83"/>
      <c r="K162" s="83"/>
      <c r="L162" s="83"/>
      <c r="M162" s="83"/>
      <c r="N162" s="83"/>
      <c r="O162" s="83"/>
      <c r="P162" s="1123"/>
      <c r="Q162" s="83"/>
      <c r="R162" s="83"/>
      <c r="S162" s="83"/>
      <c r="T162" s="83"/>
      <c r="U162" s="83"/>
      <c r="V162" s="1123"/>
      <c r="W162" s="83"/>
      <c r="X162" s="83"/>
      <c r="Y162" s="83"/>
      <c r="Z162" s="83"/>
      <c r="AA162" s="83"/>
      <c r="AB162" s="83"/>
      <c r="AC162" s="1123"/>
      <c r="AD162" s="83"/>
      <c r="AE162" s="83"/>
      <c r="AF162" s="83"/>
      <c r="AG162" s="1123"/>
      <c r="AH162" s="83"/>
      <c r="AI162" s="83"/>
      <c r="AJ162" s="83">
        <f t="shared" si="182"/>
        <v>0</v>
      </c>
      <c r="AK162" s="85">
        <v>19000</v>
      </c>
      <c r="AL162" s="473">
        <f>AJ162*AK162</f>
        <v>0</v>
      </c>
    </row>
    <row r="163" spans="1:38" s="90" customFormat="1" ht="33" customHeight="1">
      <c r="A163" s="2000"/>
      <c r="B163" s="2009"/>
      <c r="C163" s="109" t="s">
        <v>299</v>
      </c>
      <c r="D163" s="2018"/>
      <c r="E163" s="1127"/>
      <c r="F163" s="110"/>
      <c r="G163" s="110"/>
      <c r="H163" s="1127"/>
      <c r="I163" s="110"/>
      <c r="J163" s="110"/>
      <c r="K163" s="110"/>
      <c r="L163" s="110"/>
      <c r="M163" s="110"/>
      <c r="N163" s="110"/>
      <c r="O163" s="110"/>
      <c r="P163" s="1127"/>
      <c r="Q163" s="110"/>
      <c r="R163" s="110"/>
      <c r="S163" s="110"/>
      <c r="T163" s="110"/>
      <c r="U163" s="110"/>
      <c r="V163" s="1127"/>
      <c r="W163" s="110"/>
      <c r="X163" s="110"/>
      <c r="Y163" s="110"/>
      <c r="Z163" s="110"/>
      <c r="AA163" s="110"/>
      <c r="AB163" s="110"/>
      <c r="AC163" s="1127"/>
      <c r="AD163" s="110"/>
      <c r="AE163" s="110"/>
      <c r="AF163" s="110"/>
      <c r="AG163" s="1127"/>
      <c r="AH163" s="110"/>
      <c r="AI163" s="110"/>
      <c r="AJ163" s="110">
        <f t="shared" si="182"/>
        <v>0</v>
      </c>
      <c r="AK163" s="111">
        <v>22000</v>
      </c>
      <c r="AL163" s="474">
        <f t="shared" ref="AL163:AL166" si="184">AJ163*AK163</f>
        <v>0</v>
      </c>
    </row>
    <row r="164" spans="1:38" s="90" customFormat="1" ht="33" customHeight="1">
      <c r="A164" s="2000"/>
      <c r="B164" s="2009"/>
      <c r="C164" s="112" t="s">
        <v>301</v>
      </c>
      <c r="D164" s="2018"/>
      <c r="E164" s="1124"/>
      <c r="F164" s="113"/>
      <c r="G164" s="113"/>
      <c r="H164" s="1124"/>
      <c r="I164" s="113"/>
      <c r="J164" s="113"/>
      <c r="K164" s="113"/>
      <c r="L164" s="113"/>
      <c r="M164" s="113"/>
      <c r="N164" s="113"/>
      <c r="O164" s="113"/>
      <c r="P164" s="1124"/>
      <c r="Q164" s="113"/>
      <c r="R164" s="113"/>
      <c r="S164" s="113"/>
      <c r="T164" s="113"/>
      <c r="U164" s="113"/>
      <c r="V164" s="1124"/>
      <c r="W164" s="113"/>
      <c r="X164" s="113"/>
      <c r="Y164" s="113"/>
      <c r="Z164" s="113"/>
      <c r="AA164" s="113"/>
      <c r="AB164" s="113"/>
      <c r="AC164" s="1124"/>
      <c r="AD164" s="113"/>
      <c r="AE164" s="113"/>
      <c r="AF164" s="113"/>
      <c r="AG164" s="1124"/>
      <c r="AH164" s="113"/>
      <c r="AI164" s="113"/>
      <c r="AJ164" s="113">
        <f t="shared" si="182"/>
        <v>0</v>
      </c>
      <c r="AK164" s="111">
        <v>23000</v>
      </c>
      <c r="AL164" s="474">
        <f t="shared" si="184"/>
        <v>0</v>
      </c>
    </row>
    <row r="165" spans="1:38" s="90" customFormat="1" ht="33" customHeight="1">
      <c r="A165" s="2000"/>
      <c r="B165" s="2009"/>
      <c r="C165" s="115" t="s">
        <v>303</v>
      </c>
      <c r="D165" s="2018"/>
      <c r="E165" s="1125"/>
      <c r="F165" s="113"/>
      <c r="G165" s="116"/>
      <c r="H165" s="1125"/>
      <c r="I165" s="116"/>
      <c r="J165" s="116"/>
      <c r="K165" s="116"/>
      <c r="L165" s="116"/>
      <c r="M165" s="116"/>
      <c r="N165" s="116"/>
      <c r="O165" s="116"/>
      <c r="P165" s="1125"/>
      <c r="Q165" s="116"/>
      <c r="R165" s="116"/>
      <c r="S165" s="116"/>
      <c r="T165" s="116"/>
      <c r="U165" s="116"/>
      <c r="V165" s="1125"/>
      <c r="W165" s="116"/>
      <c r="X165" s="116"/>
      <c r="Y165" s="116"/>
      <c r="Z165" s="116"/>
      <c r="AA165" s="116"/>
      <c r="AB165" s="116"/>
      <c r="AC165" s="1125"/>
      <c r="AD165" s="116"/>
      <c r="AE165" s="116"/>
      <c r="AF165" s="116"/>
      <c r="AG165" s="1125"/>
      <c r="AH165" s="116"/>
      <c r="AI165" s="116"/>
      <c r="AJ165" s="116">
        <f t="shared" si="182"/>
        <v>0</v>
      </c>
      <c r="AK165" s="114">
        <v>30000</v>
      </c>
      <c r="AL165" s="474">
        <f t="shared" si="184"/>
        <v>0</v>
      </c>
    </row>
    <row r="166" spans="1:38" s="82" customFormat="1" ht="33" customHeight="1" thickBot="1">
      <c r="A166" s="2000"/>
      <c r="B166" s="2009"/>
      <c r="C166" s="94" t="s">
        <v>313</v>
      </c>
      <c r="D166" s="2019"/>
      <c r="E166" s="1126"/>
      <c r="F166" s="95"/>
      <c r="G166" s="95"/>
      <c r="H166" s="1126"/>
      <c r="I166" s="95"/>
      <c r="J166" s="95"/>
      <c r="K166" s="95"/>
      <c r="L166" s="95"/>
      <c r="M166" s="95"/>
      <c r="N166" s="95"/>
      <c r="O166" s="95"/>
      <c r="P166" s="1126"/>
      <c r="Q166" s="95"/>
      <c r="R166" s="95"/>
      <c r="S166" s="95"/>
      <c r="T166" s="95"/>
      <c r="U166" s="95"/>
      <c r="V166" s="1126"/>
      <c r="W166" s="95"/>
      <c r="X166" s="95"/>
      <c r="Y166" s="95"/>
      <c r="Z166" s="95"/>
      <c r="AA166" s="95"/>
      <c r="AB166" s="95"/>
      <c r="AC166" s="1126"/>
      <c r="AD166" s="95"/>
      <c r="AE166" s="95"/>
      <c r="AF166" s="95"/>
      <c r="AG166" s="1126"/>
      <c r="AH166" s="95"/>
      <c r="AI166" s="95"/>
      <c r="AJ166" s="95">
        <f t="shared" si="182"/>
        <v>0</v>
      </c>
      <c r="AK166" s="98">
        <v>40000</v>
      </c>
      <c r="AL166" s="473">
        <f t="shared" si="184"/>
        <v>0</v>
      </c>
    </row>
    <row r="167" spans="1:38" s="127" customFormat="1" ht="28.5" customHeight="1" thickBot="1">
      <c r="A167" s="2000"/>
      <c r="B167" s="2010"/>
      <c r="C167" s="2021" t="s">
        <v>323</v>
      </c>
      <c r="D167" s="2022"/>
      <c r="E167" s="1128">
        <f>SUM(E149:E166)</f>
        <v>0</v>
      </c>
      <c r="F167" s="126">
        <f>SUM(F149:F166)</f>
        <v>0</v>
      </c>
      <c r="G167" s="126">
        <f t="shared" ref="G167:K167" si="185">SUM(G149:G166)</f>
        <v>0</v>
      </c>
      <c r="H167" s="1128">
        <f t="shared" si="185"/>
        <v>0</v>
      </c>
      <c r="I167" s="126">
        <f t="shared" si="185"/>
        <v>0</v>
      </c>
      <c r="J167" s="126">
        <f t="shared" si="185"/>
        <v>0</v>
      </c>
      <c r="K167" s="126">
        <f t="shared" si="185"/>
        <v>0</v>
      </c>
      <c r="L167" s="126">
        <f>SUM(L149:L166)</f>
        <v>0</v>
      </c>
      <c r="M167" s="126">
        <f t="shared" ref="M167:R167" si="186">SUM(M149:M166)</f>
        <v>0</v>
      </c>
      <c r="N167" s="126">
        <f t="shared" si="186"/>
        <v>0</v>
      </c>
      <c r="O167" s="126">
        <f t="shared" si="186"/>
        <v>0</v>
      </c>
      <c r="P167" s="1128">
        <f t="shared" si="186"/>
        <v>0</v>
      </c>
      <c r="Q167" s="126">
        <f t="shared" si="186"/>
        <v>0</v>
      </c>
      <c r="R167" s="126">
        <f t="shared" si="186"/>
        <v>0</v>
      </c>
      <c r="S167" s="126">
        <f>SUM(S149:S166)</f>
        <v>0</v>
      </c>
      <c r="T167" s="126">
        <f t="shared" ref="T167:Y167" si="187">SUM(T149:T166)</f>
        <v>0</v>
      </c>
      <c r="U167" s="126">
        <f t="shared" si="187"/>
        <v>0</v>
      </c>
      <c r="V167" s="1128">
        <f t="shared" si="187"/>
        <v>0</v>
      </c>
      <c r="W167" s="126">
        <f t="shared" si="187"/>
        <v>0</v>
      </c>
      <c r="X167" s="126">
        <f t="shared" si="187"/>
        <v>0</v>
      </c>
      <c r="Y167" s="126">
        <f t="shared" si="187"/>
        <v>0</v>
      </c>
      <c r="Z167" s="126">
        <f>SUM(Z149:Z166)</f>
        <v>0</v>
      </c>
      <c r="AA167" s="126">
        <f t="shared" ref="AA167:AF167" si="188">SUM(AA149:AA166)</f>
        <v>0</v>
      </c>
      <c r="AB167" s="126">
        <f t="shared" si="188"/>
        <v>0</v>
      </c>
      <c r="AC167" s="1128">
        <f t="shared" si="188"/>
        <v>0</v>
      </c>
      <c r="AD167" s="126">
        <f t="shared" si="188"/>
        <v>0</v>
      </c>
      <c r="AE167" s="126">
        <f t="shared" si="188"/>
        <v>0</v>
      </c>
      <c r="AF167" s="126">
        <f t="shared" si="188"/>
        <v>0</v>
      </c>
      <c r="AG167" s="1128">
        <f>SUM(AG149:AG166)</f>
        <v>0</v>
      </c>
      <c r="AH167" s="126">
        <f t="shared" ref="AH167:AI167" si="189">SUM(AH149:AH166)</f>
        <v>0</v>
      </c>
      <c r="AI167" s="126">
        <f t="shared" si="189"/>
        <v>0</v>
      </c>
      <c r="AJ167" s="126">
        <f>SUM(AJ149:AJ166)</f>
        <v>0</v>
      </c>
      <c r="AK167" s="126"/>
      <c r="AL167" s="478">
        <f>SUM(AL149:AL166)</f>
        <v>0</v>
      </c>
    </row>
    <row r="168" spans="1:38" s="82" customFormat="1" ht="35.25" customHeight="1">
      <c r="A168" s="2000"/>
      <c r="B168" s="2010"/>
      <c r="C168" s="93" t="s">
        <v>271</v>
      </c>
      <c r="D168" s="1296"/>
      <c r="E168" s="1123"/>
      <c r="F168" s="84"/>
      <c r="G168" s="84"/>
      <c r="H168" s="1130"/>
      <c r="I168" s="84"/>
      <c r="J168" s="84"/>
      <c r="K168" s="84"/>
      <c r="L168" s="83"/>
      <c r="M168" s="84"/>
      <c r="N168" s="84"/>
      <c r="O168" s="84"/>
      <c r="P168" s="1130"/>
      <c r="Q168" s="84"/>
      <c r="R168" s="84"/>
      <c r="S168" s="83"/>
      <c r="T168" s="84"/>
      <c r="U168" s="84"/>
      <c r="V168" s="1130"/>
      <c r="W168" s="84"/>
      <c r="X168" s="84"/>
      <c r="Y168" s="84"/>
      <c r="Z168" s="83"/>
      <c r="AA168" s="84"/>
      <c r="AB168" s="84"/>
      <c r="AC168" s="1130"/>
      <c r="AD168" s="84"/>
      <c r="AE168" s="84"/>
      <c r="AF168" s="84"/>
      <c r="AG168" s="1123"/>
      <c r="AH168" s="84"/>
      <c r="AI168" s="84"/>
      <c r="AJ168" s="84">
        <f t="shared" ref="AJ168" si="190">SUM(E168:AI168)</f>
        <v>0</v>
      </c>
      <c r="AK168" s="87">
        <v>200</v>
      </c>
      <c r="AL168" s="471">
        <f>AJ168*AK168</f>
        <v>0</v>
      </c>
    </row>
    <row r="169" spans="1:38" s="82" customFormat="1" ht="35.25" customHeight="1">
      <c r="A169" s="2000"/>
      <c r="B169" s="2009"/>
      <c r="C169" s="65" t="s">
        <v>307</v>
      </c>
      <c r="D169" s="1295"/>
      <c r="E169" s="1123"/>
      <c r="F169" s="83"/>
      <c r="G169" s="83"/>
      <c r="H169" s="1123"/>
      <c r="I169" s="83"/>
      <c r="J169" s="83"/>
      <c r="K169" s="83"/>
      <c r="L169" s="83"/>
      <c r="M169" s="83"/>
      <c r="N169" s="83"/>
      <c r="O169" s="83"/>
      <c r="P169" s="1123"/>
      <c r="Q169" s="83"/>
      <c r="R169" s="83"/>
      <c r="S169" s="83"/>
      <c r="T169" s="83"/>
      <c r="U169" s="83"/>
      <c r="V169" s="1123"/>
      <c r="W169" s="83"/>
      <c r="X169" s="83"/>
      <c r="Y169" s="83"/>
      <c r="Z169" s="83"/>
      <c r="AA169" s="83"/>
      <c r="AB169" s="83"/>
      <c r="AC169" s="1123"/>
      <c r="AD169" s="83"/>
      <c r="AE169" s="83"/>
      <c r="AF169" s="83"/>
      <c r="AG169" s="1123"/>
      <c r="AH169" s="83"/>
      <c r="AI169" s="83"/>
      <c r="AJ169" s="83">
        <f t="shared" ref="AJ169:AJ170" si="191">SUM(E169:AI169)</f>
        <v>0</v>
      </c>
      <c r="AK169" s="85">
        <v>15000</v>
      </c>
      <c r="AL169" s="482">
        <f>AJ169*AK169</f>
        <v>0</v>
      </c>
    </row>
    <row r="170" spans="1:38" s="82" customFormat="1" ht="35.25" customHeight="1" thickBot="1">
      <c r="A170" s="2000"/>
      <c r="B170" s="2009"/>
      <c r="C170" s="119" t="s">
        <v>308</v>
      </c>
      <c r="D170" s="1297"/>
      <c r="E170" s="1129"/>
      <c r="F170" s="86"/>
      <c r="G170" s="86"/>
      <c r="H170" s="1129"/>
      <c r="I170" s="86"/>
      <c r="J170" s="86"/>
      <c r="K170" s="86"/>
      <c r="L170" s="86"/>
      <c r="M170" s="86"/>
      <c r="N170" s="86"/>
      <c r="O170" s="86"/>
      <c r="P170" s="1129"/>
      <c r="Q170" s="86"/>
      <c r="R170" s="86"/>
      <c r="S170" s="86"/>
      <c r="T170" s="86"/>
      <c r="U170" s="86"/>
      <c r="V170" s="1129"/>
      <c r="W170" s="86"/>
      <c r="X170" s="86"/>
      <c r="Y170" s="86"/>
      <c r="Z170" s="86"/>
      <c r="AA170" s="86"/>
      <c r="AB170" s="86"/>
      <c r="AC170" s="1129"/>
      <c r="AD170" s="86"/>
      <c r="AE170" s="86"/>
      <c r="AF170" s="86"/>
      <c r="AG170" s="1129"/>
      <c r="AH170" s="86"/>
      <c r="AI170" s="86"/>
      <c r="AJ170" s="86">
        <f t="shared" si="191"/>
        <v>0</v>
      </c>
      <c r="AK170" s="98">
        <v>11000</v>
      </c>
      <c r="AL170" s="475">
        <f>AJ170*AK170</f>
        <v>0</v>
      </c>
    </row>
    <row r="171" spans="1:38" s="127" customFormat="1" ht="35.25" customHeight="1" thickBot="1">
      <c r="A171" s="2000"/>
      <c r="B171" s="2010"/>
      <c r="C171" s="2015" t="s">
        <v>322</v>
      </c>
      <c r="D171" s="2016"/>
      <c r="E171" s="1128">
        <f>SUM(E169:E170)</f>
        <v>0</v>
      </c>
      <c r="F171" s="126">
        <f>SUM(F169:F170)</f>
        <v>0</v>
      </c>
      <c r="G171" s="126">
        <f t="shared" ref="G171" si="192">SUM(G169:G170)</f>
        <v>0</v>
      </c>
      <c r="H171" s="1128">
        <f t="shared" ref="H171" si="193">SUM(H169:H170)</f>
        <v>0</v>
      </c>
      <c r="I171" s="126">
        <f t="shared" ref="I171" si="194">SUM(I169:I170)</f>
        <v>0</v>
      </c>
      <c r="J171" s="126">
        <f t="shared" ref="J171" si="195">SUM(J169:J170)</f>
        <v>0</v>
      </c>
      <c r="K171" s="126">
        <f t="shared" ref="K171" si="196">SUM(K169:K170)</f>
        <v>0</v>
      </c>
      <c r="L171" s="126">
        <f>SUM(L169:L170)</f>
        <v>0</v>
      </c>
      <c r="M171" s="126">
        <f>SUM(M169:M170)</f>
        <v>0</v>
      </c>
      <c r="N171" s="126">
        <f t="shared" ref="N171" si="197">SUM(N169:N170)</f>
        <v>0</v>
      </c>
      <c r="O171" s="126">
        <f t="shared" ref="O171" si="198">SUM(O169:O170)</f>
        <v>0</v>
      </c>
      <c r="P171" s="1128">
        <f t="shared" ref="P171" si="199">SUM(P169:P170)</f>
        <v>0</v>
      </c>
      <c r="Q171" s="126">
        <f t="shared" ref="Q171" si="200">SUM(Q169:Q170)</f>
        <v>0</v>
      </c>
      <c r="R171" s="126">
        <f t="shared" ref="R171" si="201">SUM(R169:R170)</f>
        <v>0</v>
      </c>
      <c r="S171" s="126">
        <f>SUM(S169:S170)</f>
        <v>0</v>
      </c>
      <c r="T171" s="126">
        <f>SUM(T169:T170)</f>
        <v>0</v>
      </c>
      <c r="U171" s="126">
        <f t="shared" ref="U171" si="202">SUM(U169:U170)</f>
        <v>0</v>
      </c>
      <c r="V171" s="1128">
        <f t="shared" ref="V171" si="203">SUM(V169:V170)</f>
        <v>0</v>
      </c>
      <c r="W171" s="126">
        <f t="shared" ref="W171" si="204">SUM(W169:W170)</f>
        <v>0</v>
      </c>
      <c r="X171" s="126">
        <f t="shared" ref="X171" si="205">SUM(X169:X170)</f>
        <v>0</v>
      </c>
      <c r="Y171" s="126">
        <f t="shared" ref="Y171" si="206">SUM(Y169:Y170)</f>
        <v>0</v>
      </c>
      <c r="Z171" s="126">
        <f>SUM(Z169:Z170)</f>
        <v>0</v>
      </c>
      <c r="AA171" s="126">
        <f>SUM(AA169:AA170)</f>
        <v>0</v>
      </c>
      <c r="AB171" s="126">
        <f t="shared" ref="AB171" si="207">SUM(AB169:AB170)</f>
        <v>0</v>
      </c>
      <c r="AC171" s="1128">
        <f t="shared" ref="AC171" si="208">SUM(AC169:AC170)</f>
        <v>0</v>
      </c>
      <c r="AD171" s="126">
        <f t="shared" ref="AD171" si="209">SUM(AD169:AD170)</f>
        <v>0</v>
      </c>
      <c r="AE171" s="126">
        <f t="shared" ref="AE171" si="210">SUM(AE169:AE170)</f>
        <v>0</v>
      </c>
      <c r="AF171" s="126">
        <f t="shared" ref="AF171" si="211">SUM(AF169:AF170)</f>
        <v>0</v>
      </c>
      <c r="AG171" s="1128">
        <f>SUM(AG169:AG170)</f>
        <v>0</v>
      </c>
      <c r="AH171" s="126">
        <f>SUM(AH169:AH170)</f>
        <v>0</v>
      </c>
      <c r="AI171" s="126">
        <f t="shared" ref="AI171" si="212">SUM(AI169:AI170)</f>
        <v>0</v>
      </c>
      <c r="AJ171" s="126"/>
      <c r="AK171" s="128"/>
      <c r="AL171" s="478">
        <f>SUM(AL168:AL170)</f>
        <v>0</v>
      </c>
    </row>
    <row r="172" spans="1:38" s="82" customFormat="1" ht="35.25" customHeight="1">
      <c r="A172" s="2000"/>
      <c r="B172" s="2009"/>
      <c r="C172" s="132" t="s">
        <v>325</v>
      </c>
      <c r="D172" s="1295"/>
      <c r="E172" s="1123"/>
      <c r="F172" s="83"/>
      <c r="G172" s="83"/>
      <c r="H172" s="1123"/>
      <c r="I172" s="83"/>
      <c r="J172" s="83"/>
      <c r="K172" s="83"/>
      <c r="L172" s="83"/>
      <c r="M172" s="83"/>
      <c r="N172" s="83"/>
      <c r="O172" s="83"/>
      <c r="P172" s="1123"/>
      <c r="Q172" s="83"/>
      <c r="R172" s="83"/>
      <c r="S172" s="83"/>
      <c r="T172" s="83"/>
      <c r="U172" s="83"/>
      <c r="V172" s="1123"/>
      <c r="W172" s="83"/>
      <c r="X172" s="83"/>
      <c r="Y172" s="83"/>
      <c r="Z172" s="83"/>
      <c r="AA172" s="83"/>
      <c r="AB172" s="83"/>
      <c r="AC172" s="1123"/>
      <c r="AD172" s="83"/>
      <c r="AE172" s="83"/>
      <c r="AF172" s="83"/>
      <c r="AG172" s="1123"/>
      <c r="AH172" s="83"/>
      <c r="AI172" s="83"/>
      <c r="AJ172" s="83">
        <f t="shared" ref="AJ172:AJ174" si="213">SUM(E172:AI172)</f>
        <v>0</v>
      </c>
      <c r="AK172" s="85">
        <v>4814</v>
      </c>
      <c r="AL172" s="473">
        <f>AJ172*AK172</f>
        <v>0</v>
      </c>
    </row>
    <row r="173" spans="1:38" s="82" customFormat="1" ht="35.25" customHeight="1">
      <c r="A173" s="2000"/>
      <c r="B173" s="2009"/>
      <c r="C173" s="101" t="s">
        <v>267</v>
      </c>
      <c r="D173" s="1296"/>
      <c r="E173" s="1129"/>
      <c r="F173" s="86">
        <v>1</v>
      </c>
      <c r="G173" s="84"/>
      <c r="H173" s="1130"/>
      <c r="I173" s="84">
        <v>1</v>
      </c>
      <c r="J173" s="84">
        <v>1</v>
      </c>
      <c r="K173" s="84">
        <v>1</v>
      </c>
      <c r="L173" s="86">
        <v>1</v>
      </c>
      <c r="M173" s="84">
        <v>1</v>
      </c>
      <c r="N173" s="84">
        <v>1</v>
      </c>
      <c r="O173" s="84">
        <v>1</v>
      </c>
      <c r="P173" s="1130"/>
      <c r="Q173" s="84">
        <v>1</v>
      </c>
      <c r="R173" s="84">
        <v>1</v>
      </c>
      <c r="S173" s="86">
        <v>1</v>
      </c>
      <c r="T173" s="86">
        <v>0.5</v>
      </c>
      <c r="U173" s="86">
        <v>0.5</v>
      </c>
      <c r="V173" s="1130"/>
      <c r="W173" s="86">
        <v>1</v>
      </c>
      <c r="X173" s="86">
        <v>1</v>
      </c>
      <c r="Y173" s="86">
        <v>1</v>
      </c>
      <c r="Z173" s="86">
        <v>1</v>
      </c>
      <c r="AA173" s="86">
        <v>1</v>
      </c>
      <c r="AB173" s="86">
        <v>1</v>
      </c>
      <c r="AC173" s="1130"/>
      <c r="AD173" s="86">
        <v>1</v>
      </c>
      <c r="AE173" s="86">
        <v>1</v>
      </c>
      <c r="AF173" s="86"/>
      <c r="AG173" s="1129"/>
      <c r="AH173" s="86"/>
      <c r="AI173" s="86">
        <v>1</v>
      </c>
      <c r="AJ173" s="84">
        <f t="shared" si="213"/>
        <v>21</v>
      </c>
      <c r="AK173" s="87">
        <v>7217</v>
      </c>
      <c r="AL173" s="471">
        <f t="shared" ref="AL173:AL174" si="214">AJ173*AK173</f>
        <v>151557</v>
      </c>
    </row>
    <row r="174" spans="1:38" s="82" customFormat="1" ht="35.25" customHeight="1" thickBot="1">
      <c r="A174" s="2000"/>
      <c r="B174" s="2009"/>
      <c r="C174" s="101" t="s">
        <v>268</v>
      </c>
      <c r="D174" s="1296"/>
      <c r="E174" s="1130"/>
      <c r="F174" s="84">
        <v>1</v>
      </c>
      <c r="G174" s="84"/>
      <c r="H174" s="1130"/>
      <c r="I174" s="84">
        <v>1</v>
      </c>
      <c r="J174" s="84">
        <v>1</v>
      </c>
      <c r="K174" s="84">
        <v>1</v>
      </c>
      <c r="L174" s="84">
        <v>1</v>
      </c>
      <c r="M174" s="84">
        <v>1</v>
      </c>
      <c r="N174" s="84">
        <v>1</v>
      </c>
      <c r="O174" s="84">
        <v>1</v>
      </c>
      <c r="P174" s="1130"/>
      <c r="Q174" s="84">
        <v>1</v>
      </c>
      <c r="R174" s="84">
        <v>1</v>
      </c>
      <c r="S174" s="84">
        <v>1</v>
      </c>
      <c r="T174" s="84"/>
      <c r="U174" s="84"/>
      <c r="V174" s="1130"/>
      <c r="W174" s="84">
        <v>1</v>
      </c>
      <c r="X174" s="84">
        <v>1</v>
      </c>
      <c r="Y174" s="84">
        <v>1</v>
      </c>
      <c r="Z174" s="84">
        <v>1</v>
      </c>
      <c r="AA174" s="84">
        <v>1</v>
      </c>
      <c r="AB174" s="84">
        <v>1</v>
      </c>
      <c r="AC174" s="1130"/>
      <c r="AD174" s="84">
        <v>1</v>
      </c>
      <c r="AE174" s="84">
        <v>1</v>
      </c>
      <c r="AF174" s="84">
        <v>1</v>
      </c>
      <c r="AG174" s="1130"/>
      <c r="AH174" s="84"/>
      <c r="AI174" s="84">
        <v>1</v>
      </c>
      <c r="AJ174" s="86">
        <f t="shared" si="213"/>
        <v>21</v>
      </c>
      <c r="AK174" s="87">
        <v>9029</v>
      </c>
      <c r="AL174" s="469">
        <f t="shared" si="214"/>
        <v>189609</v>
      </c>
    </row>
    <row r="175" spans="1:38" s="125" customFormat="1" ht="28.5" customHeight="1" thickBot="1">
      <c r="A175" s="2000"/>
      <c r="B175" s="2009"/>
      <c r="C175" s="2012" t="s">
        <v>316</v>
      </c>
      <c r="D175" s="2013"/>
      <c r="E175" s="1131">
        <f>SUM(E172:E174)</f>
        <v>0</v>
      </c>
      <c r="F175" s="124">
        <f>SUM(F172:F174)</f>
        <v>2</v>
      </c>
      <c r="G175" s="124">
        <f t="shared" ref="G175:K175" si="215">SUM(G172:G174)</f>
        <v>0</v>
      </c>
      <c r="H175" s="1131">
        <f t="shared" si="215"/>
        <v>0</v>
      </c>
      <c r="I175" s="124">
        <f t="shared" si="215"/>
        <v>2</v>
      </c>
      <c r="J175" s="124">
        <f t="shared" si="215"/>
        <v>2</v>
      </c>
      <c r="K175" s="124">
        <f t="shared" si="215"/>
        <v>2</v>
      </c>
      <c r="L175" s="124">
        <f>SUM(L172:L174)</f>
        <v>2</v>
      </c>
      <c r="M175" s="124">
        <f t="shared" ref="M175:R175" si="216">SUM(M172:M174)</f>
        <v>2</v>
      </c>
      <c r="N175" s="124">
        <f t="shared" si="216"/>
        <v>2</v>
      </c>
      <c r="O175" s="124">
        <f t="shared" si="216"/>
        <v>2</v>
      </c>
      <c r="P175" s="1131">
        <f t="shared" si="216"/>
        <v>0</v>
      </c>
      <c r="Q175" s="124">
        <f t="shared" si="216"/>
        <v>2</v>
      </c>
      <c r="R175" s="124">
        <f t="shared" si="216"/>
        <v>2</v>
      </c>
      <c r="S175" s="124">
        <f>SUM(S172:S174)</f>
        <v>2</v>
      </c>
      <c r="T175" s="124">
        <f t="shared" ref="T175:Y175" si="217">SUM(T172:T174)</f>
        <v>0.5</v>
      </c>
      <c r="U175" s="124">
        <f t="shared" si="217"/>
        <v>0.5</v>
      </c>
      <c r="V175" s="1131">
        <f t="shared" si="217"/>
        <v>0</v>
      </c>
      <c r="W175" s="124">
        <f t="shared" si="217"/>
        <v>2</v>
      </c>
      <c r="X175" s="124">
        <f t="shared" si="217"/>
        <v>2</v>
      </c>
      <c r="Y175" s="124">
        <f t="shared" si="217"/>
        <v>2</v>
      </c>
      <c r="Z175" s="124">
        <f>SUM(Z172:Z174)</f>
        <v>2</v>
      </c>
      <c r="AA175" s="124">
        <f t="shared" ref="AA175:AF175" si="218">SUM(AA172:AA174)</f>
        <v>2</v>
      </c>
      <c r="AB175" s="124">
        <f t="shared" si="218"/>
        <v>2</v>
      </c>
      <c r="AC175" s="1131">
        <f t="shared" si="218"/>
        <v>0</v>
      </c>
      <c r="AD175" s="124">
        <f t="shared" si="218"/>
        <v>2</v>
      </c>
      <c r="AE175" s="124">
        <f t="shared" si="218"/>
        <v>2</v>
      </c>
      <c r="AF175" s="124">
        <f t="shared" si="218"/>
        <v>1</v>
      </c>
      <c r="AG175" s="1131">
        <f>SUM(AG172:AG174)</f>
        <v>0</v>
      </c>
      <c r="AH175" s="124">
        <f t="shared" ref="AH175:AI175" si="219">SUM(AH172:AH174)</f>
        <v>0</v>
      </c>
      <c r="AI175" s="124">
        <f t="shared" si="219"/>
        <v>2</v>
      </c>
      <c r="AJ175" s="124">
        <f>SUM(E175:AI175)</f>
        <v>42</v>
      </c>
      <c r="AK175" s="124"/>
      <c r="AL175" s="479">
        <f>SUM(AL172:AL174)</f>
        <v>341166</v>
      </c>
    </row>
    <row r="176" spans="1:38" s="82" customFormat="1" ht="35.25" customHeight="1" thickBot="1">
      <c r="A176" s="2000"/>
      <c r="B176" s="2009"/>
      <c r="C176" s="93" t="s">
        <v>265</v>
      </c>
      <c r="D176" s="1296"/>
      <c r="E176" s="1130"/>
      <c r="F176" s="84"/>
      <c r="G176" s="84"/>
      <c r="H176" s="1130"/>
      <c r="I176" s="84"/>
      <c r="J176" s="84"/>
      <c r="K176" s="84"/>
      <c r="L176" s="84"/>
      <c r="M176" s="84"/>
      <c r="N176" s="84"/>
      <c r="O176" s="84"/>
      <c r="P176" s="1130"/>
      <c r="Q176" s="84"/>
      <c r="R176" s="84"/>
      <c r="S176" s="84"/>
      <c r="T176" s="84"/>
      <c r="U176" s="84"/>
      <c r="V176" s="1130"/>
      <c r="W176" s="84"/>
      <c r="X176" s="84"/>
      <c r="Y176" s="84"/>
      <c r="Z176" s="84"/>
      <c r="AA176" s="84"/>
      <c r="AB176" s="84"/>
      <c r="AC176" s="1130"/>
      <c r="AD176" s="84"/>
      <c r="AE176" s="84"/>
      <c r="AF176" s="84"/>
      <c r="AG176" s="1130"/>
      <c r="AH176" s="84"/>
      <c r="AI176" s="84"/>
      <c r="AJ176" s="84">
        <f t="shared" ref="AJ176" si="220">SUM(E176:AI176)</f>
        <v>0</v>
      </c>
      <c r="AK176" s="87">
        <v>20000</v>
      </c>
      <c r="AL176" s="476">
        <f t="shared" ref="AL176" si="221">AJ176*AK176</f>
        <v>0</v>
      </c>
    </row>
    <row r="177" spans="1:38" s="125" customFormat="1" ht="28.5" customHeight="1" thickBot="1">
      <c r="A177" s="2000"/>
      <c r="B177" s="2009"/>
      <c r="C177" s="2012" t="s">
        <v>321</v>
      </c>
      <c r="D177" s="2013"/>
      <c r="E177" s="1131">
        <f t="shared" ref="E177:AI177" si="222">SUM(E176:E176)</f>
        <v>0</v>
      </c>
      <c r="F177" s="124">
        <f t="shared" si="222"/>
        <v>0</v>
      </c>
      <c r="G177" s="124">
        <f t="shared" si="222"/>
        <v>0</v>
      </c>
      <c r="H177" s="1131">
        <f t="shared" si="222"/>
        <v>0</v>
      </c>
      <c r="I177" s="124">
        <f t="shared" si="222"/>
        <v>0</v>
      </c>
      <c r="J177" s="124">
        <f t="shared" si="222"/>
        <v>0</v>
      </c>
      <c r="K177" s="124">
        <f t="shared" si="222"/>
        <v>0</v>
      </c>
      <c r="L177" s="124">
        <f t="shared" si="222"/>
        <v>0</v>
      </c>
      <c r="M177" s="124">
        <f t="shared" si="222"/>
        <v>0</v>
      </c>
      <c r="N177" s="124">
        <f t="shared" si="222"/>
        <v>0</v>
      </c>
      <c r="O177" s="124">
        <f t="shared" si="222"/>
        <v>0</v>
      </c>
      <c r="P177" s="1131">
        <f t="shared" si="222"/>
        <v>0</v>
      </c>
      <c r="Q177" s="124">
        <f t="shared" si="222"/>
        <v>0</v>
      </c>
      <c r="R177" s="124">
        <f t="shared" si="222"/>
        <v>0</v>
      </c>
      <c r="S177" s="124">
        <f t="shared" si="222"/>
        <v>0</v>
      </c>
      <c r="T177" s="124">
        <f t="shared" si="222"/>
        <v>0</v>
      </c>
      <c r="U177" s="124">
        <f t="shared" si="222"/>
        <v>0</v>
      </c>
      <c r="V177" s="1131">
        <f t="shared" si="222"/>
        <v>0</v>
      </c>
      <c r="W177" s="124">
        <f t="shared" si="222"/>
        <v>0</v>
      </c>
      <c r="X177" s="124">
        <f t="shared" si="222"/>
        <v>0</v>
      </c>
      <c r="Y177" s="124">
        <f t="shared" si="222"/>
        <v>0</v>
      </c>
      <c r="Z177" s="124">
        <f t="shared" si="222"/>
        <v>0</v>
      </c>
      <c r="AA177" s="124">
        <f t="shared" si="222"/>
        <v>0</v>
      </c>
      <c r="AB177" s="124">
        <f t="shared" si="222"/>
        <v>0</v>
      </c>
      <c r="AC177" s="1131">
        <f t="shared" si="222"/>
        <v>0</v>
      </c>
      <c r="AD177" s="124">
        <f t="shared" si="222"/>
        <v>0</v>
      </c>
      <c r="AE177" s="124">
        <f t="shared" si="222"/>
        <v>0</v>
      </c>
      <c r="AF177" s="124">
        <f t="shared" si="222"/>
        <v>0</v>
      </c>
      <c r="AG177" s="1131">
        <f t="shared" si="222"/>
        <v>0</v>
      </c>
      <c r="AH177" s="124">
        <f t="shared" si="222"/>
        <v>0</v>
      </c>
      <c r="AI177" s="124">
        <f t="shared" si="222"/>
        <v>0</v>
      </c>
      <c r="AJ177" s="124">
        <f>SUM(E177:AI177)</f>
        <v>0</v>
      </c>
      <c r="AK177" s="124"/>
      <c r="AL177" s="479">
        <f>SUM(AL176:AL176)</f>
        <v>0</v>
      </c>
    </row>
    <row r="178" spans="1:38" s="82" customFormat="1" ht="35.25" customHeight="1" thickBot="1">
      <c r="A178" s="2001"/>
      <c r="B178" s="2011"/>
      <c r="C178" s="94" t="s">
        <v>311</v>
      </c>
      <c r="D178" s="1298"/>
      <c r="E178" s="1126"/>
      <c r="F178" s="95"/>
      <c r="G178" s="95"/>
      <c r="H178" s="1126"/>
      <c r="I178" s="95"/>
      <c r="J178" s="95"/>
      <c r="K178" s="95"/>
      <c r="L178" s="95"/>
      <c r="M178" s="95"/>
      <c r="N178" s="95"/>
      <c r="O178" s="95"/>
      <c r="P178" s="1126"/>
      <c r="Q178" s="95"/>
      <c r="R178" s="95"/>
      <c r="S178" s="95"/>
      <c r="T178" s="95"/>
      <c r="U178" s="95"/>
      <c r="V178" s="1126"/>
      <c r="W178" s="95"/>
      <c r="X178" s="95"/>
      <c r="Y178" s="95"/>
      <c r="Z178" s="95"/>
      <c r="AA178" s="95"/>
      <c r="AB178" s="95"/>
      <c r="AC178" s="1126"/>
      <c r="AD178" s="95"/>
      <c r="AE178" s="95"/>
      <c r="AF178" s="95"/>
      <c r="AG178" s="1126"/>
      <c r="AH178" s="95"/>
      <c r="AI178" s="95"/>
      <c r="AJ178" s="95">
        <f t="shared" ref="AJ178:AJ197" si="223">SUM(E178:AI178)</f>
        <v>0</v>
      </c>
      <c r="AK178" s="96">
        <v>6000</v>
      </c>
      <c r="AL178" s="469">
        <f>AJ178*AK178</f>
        <v>0</v>
      </c>
    </row>
    <row r="179" spans="1:38" s="90" customFormat="1" ht="48.75" customHeight="1" thickBot="1">
      <c r="A179" s="1996" t="s">
        <v>357</v>
      </c>
      <c r="B179" s="1997"/>
      <c r="C179" s="1997"/>
      <c r="D179" s="1998"/>
      <c r="E179" s="1121"/>
      <c r="F179" s="99"/>
      <c r="G179" s="99"/>
      <c r="H179" s="1121"/>
      <c r="I179" s="99"/>
      <c r="J179" s="99"/>
      <c r="K179" s="99"/>
      <c r="L179" s="99"/>
      <c r="M179" s="99"/>
      <c r="N179" s="99"/>
      <c r="O179" s="99"/>
      <c r="P179" s="1121"/>
      <c r="Q179" s="99"/>
      <c r="R179" s="99"/>
      <c r="S179" s="99"/>
      <c r="T179" s="99"/>
      <c r="U179" s="99"/>
      <c r="V179" s="1121"/>
      <c r="W179" s="99"/>
      <c r="X179" s="99"/>
      <c r="Y179" s="99"/>
      <c r="Z179" s="99"/>
      <c r="AA179" s="99"/>
      <c r="AB179" s="99"/>
      <c r="AC179" s="1121"/>
      <c r="AD179" s="99"/>
      <c r="AE179" s="99"/>
      <c r="AF179" s="99"/>
      <c r="AG179" s="1121"/>
      <c r="AH179" s="99"/>
      <c r="AI179" s="99"/>
      <c r="AJ179" s="99"/>
      <c r="AK179" s="189"/>
      <c r="AL179" s="481">
        <f>AL175+AL177+AL178</f>
        <v>341166</v>
      </c>
    </row>
    <row r="180" spans="1:38" s="82" customFormat="1" ht="33" customHeight="1">
      <c r="A180" s="2000" t="s">
        <v>269</v>
      </c>
      <c r="B180" s="2008" t="s">
        <v>224</v>
      </c>
      <c r="C180" s="100" t="s">
        <v>312</v>
      </c>
      <c r="D180" s="2017" t="s">
        <v>298</v>
      </c>
      <c r="E180" s="1122"/>
      <c r="F180" s="91"/>
      <c r="G180" s="91"/>
      <c r="H180" s="1122"/>
      <c r="I180" s="91"/>
      <c r="J180" s="91"/>
      <c r="K180" s="91"/>
      <c r="L180" s="91"/>
      <c r="M180" s="91"/>
      <c r="N180" s="91"/>
      <c r="O180" s="91"/>
      <c r="P180" s="1122"/>
      <c r="Q180" s="91"/>
      <c r="R180" s="91"/>
      <c r="S180" s="91"/>
      <c r="T180" s="91"/>
      <c r="U180" s="91"/>
      <c r="V180" s="1122"/>
      <c r="W180" s="91"/>
      <c r="X180" s="91"/>
      <c r="Y180" s="91"/>
      <c r="Z180" s="91"/>
      <c r="AA180" s="91"/>
      <c r="AB180" s="91"/>
      <c r="AC180" s="1122"/>
      <c r="AD180" s="91"/>
      <c r="AE180" s="91"/>
      <c r="AF180" s="91"/>
      <c r="AG180" s="1122"/>
      <c r="AH180" s="91"/>
      <c r="AI180" s="91"/>
      <c r="AJ180" s="91">
        <f t="shared" si="223"/>
        <v>0</v>
      </c>
      <c r="AK180" s="92">
        <v>5500</v>
      </c>
      <c r="AL180" s="468">
        <f>AJ180*AK180</f>
        <v>0</v>
      </c>
    </row>
    <row r="181" spans="1:38" s="82" customFormat="1" ht="33" customHeight="1">
      <c r="A181" s="2000"/>
      <c r="B181" s="2009"/>
      <c r="C181" s="89" t="s">
        <v>314</v>
      </c>
      <c r="D181" s="2018"/>
      <c r="E181" s="1123"/>
      <c r="F181" s="83"/>
      <c r="G181" s="83"/>
      <c r="H181" s="1123"/>
      <c r="I181" s="83"/>
      <c r="J181" s="83"/>
      <c r="K181" s="83"/>
      <c r="L181" s="83"/>
      <c r="M181" s="83"/>
      <c r="N181" s="83"/>
      <c r="O181" s="83"/>
      <c r="P181" s="1123"/>
      <c r="Q181" s="83"/>
      <c r="R181" s="83"/>
      <c r="S181" s="83"/>
      <c r="T181" s="83"/>
      <c r="U181" s="83"/>
      <c r="V181" s="1123"/>
      <c r="W181" s="83"/>
      <c r="X181" s="83"/>
      <c r="Y181" s="83"/>
      <c r="Z181" s="83"/>
      <c r="AA181" s="83"/>
      <c r="AB181" s="83"/>
      <c r="AC181" s="1123"/>
      <c r="AD181" s="83"/>
      <c r="AE181" s="83"/>
      <c r="AF181" s="83"/>
      <c r="AG181" s="1123"/>
      <c r="AH181" s="83"/>
      <c r="AI181" s="83"/>
      <c r="AJ181" s="83">
        <f t="shared" si="223"/>
        <v>0</v>
      </c>
      <c r="AK181" s="85">
        <v>11500</v>
      </c>
      <c r="AL181" s="473">
        <f>AJ181*AK181</f>
        <v>0</v>
      </c>
    </row>
    <row r="182" spans="1:38" s="90" customFormat="1" ht="33" customHeight="1">
      <c r="A182" s="2000"/>
      <c r="B182" s="2009"/>
      <c r="C182" s="109" t="s">
        <v>299</v>
      </c>
      <c r="D182" s="2018"/>
      <c r="E182" s="1127"/>
      <c r="F182" s="110"/>
      <c r="G182" s="110"/>
      <c r="H182" s="1127"/>
      <c r="I182" s="110"/>
      <c r="J182" s="110"/>
      <c r="K182" s="110"/>
      <c r="L182" s="110"/>
      <c r="M182" s="110"/>
      <c r="N182" s="110"/>
      <c r="O182" s="110"/>
      <c r="P182" s="1127"/>
      <c r="Q182" s="110"/>
      <c r="R182" s="110"/>
      <c r="S182" s="110"/>
      <c r="T182" s="110"/>
      <c r="U182" s="110"/>
      <c r="V182" s="1127"/>
      <c r="W182" s="110"/>
      <c r="X182" s="110"/>
      <c r="Y182" s="110"/>
      <c r="Z182" s="110"/>
      <c r="AA182" s="110"/>
      <c r="AB182" s="110"/>
      <c r="AC182" s="1127"/>
      <c r="AD182" s="110"/>
      <c r="AE182" s="110"/>
      <c r="AF182" s="110"/>
      <c r="AG182" s="1127"/>
      <c r="AH182" s="110"/>
      <c r="AI182" s="110"/>
      <c r="AJ182" s="110">
        <f t="shared" si="223"/>
        <v>0</v>
      </c>
      <c r="AK182" s="111">
        <v>16000</v>
      </c>
      <c r="AL182" s="474">
        <f t="shared" ref="AL182:AL185" si="224">AJ182*AK182</f>
        <v>0</v>
      </c>
    </row>
    <row r="183" spans="1:38" s="90" customFormat="1" ht="33" customHeight="1">
      <c r="A183" s="2000"/>
      <c r="B183" s="2009"/>
      <c r="C183" s="112" t="s">
        <v>301</v>
      </c>
      <c r="D183" s="2018"/>
      <c r="E183" s="1124"/>
      <c r="F183" s="113"/>
      <c r="G183" s="113"/>
      <c r="H183" s="1124"/>
      <c r="I183" s="113"/>
      <c r="J183" s="113"/>
      <c r="K183" s="113"/>
      <c r="L183" s="113"/>
      <c r="M183" s="113"/>
      <c r="N183" s="113"/>
      <c r="O183" s="113"/>
      <c r="P183" s="1124"/>
      <c r="Q183" s="113"/>
      <c r="R183" s="113"/>
      <c r="S183" s="113"/>
      <c r="T183" s="113"/>
      <c r="U183" s="113"/>
      <c r="V183" s="1124"/>
      <c r="W183" s="113"/>
      <c r="X183" s="113"/>
      <c r="Y183" s="113"/>
      <c r="Z183" s="113"/>
      <c r="AA183" s="113"/>
      <c r="AB183" s="113"/>
      <c r="AC183" s="1124"/>
      <c r="AD183" s="113"/>
      <c r="AE183" s="113"/>
      <c r="AF183" s="113"/>
      <c r="AG183" s="1124"/>
      <c r="AH183" s="113"/>
      <c r="AI183" s="113"/>
      <c r="AJ183" s="113">
        <f t="shared" si="223"/>
        <v>0</v>
      </c>
      <c r="AK183" s="114">
        <v>18000</v>
      </c>
      <c r="AL183" s="474">
        <f t="shared" si="224"/>
        <v>0</v>
      </c>
    </row>
    <row r="184" spans="1:38" s="90" customFormat="1" ht="33" customHeight="1">
      <c r="A184" s="2000"/>
      <c r="B184" s="2009"/>
      <c r="C184" s="115" t="s">
        <v>303</v>
      </c>
      <c r="D184" s="2018"/>
      <c r="E184" s="1125"/>
      <c r="F184" s="113"/>
      <c r="G184" s="116"/>
      <c r="H184" s="1125"/>
      <c r="I184" s="116"/>
      <c r="J184" s="116"/>
      <c r="K184" s="116"/>
      <c r="L184" s="116"/>
      <c r="M184" s="116"/>
      <c r="N184" s="116"/>
      <c r="O184" s="116"/>
      <c r="P184" s="1125"/>
      <c r="Q184" s="116"/>
      <c r="R184" s="116"/>
      <c r="S184" s="116"/>
      <c r="T184" s="116"/>
      <c r="U184" s="116"/>
      <c r="V184" s="1125"/>
      <c r="W184" s="116"/>
      <c r="X184" s="116"/>
      <c r="Y184" s="116"/>
      <c r="Z184" s="116"/>
      <c r="AA184" s="116"/>
      <c r="AB184" s="116"/>
      <c r="AC184" s="1125"/>
      <c r="AD184" s="116"/>
      <c r="AE184" s="116"/>
      <c r="AF184" s="116"/>
      <c r="AG184" s="1125"/>
      <c r="AH184" s="116"/>
      <c r="AI184" s="116"/>
      <c r="AJ184" s="116">
        <f t="shared" si="223"/>
        <v>0</v>
      </c>
      <c r="AK184" s="117">
        <v>20000</v>
      </c>
      <c r="AL184" s="474">
        <f t="shared" si="224"/>
        <v>0</v>
      </c>
    </row>
    <row r="185" spans="1:38" s="82" customFormat="1" ht="33" customHeight="1" thickBot="1">
      <c r="A185" s="2000"/>
      <c r="B185" s="2009"/>
      <c r="C185" s="94" t="s">
        <v>313</v>
      </c>
      <c r="D185" s="2019"/>
      <c r="E185" s="1126"/>
      <c r="F185" s="95"/>
      <c r="G185" s="95"/>
      <c r="H185" s="1126"/>
      <c r="I185" s="95"/>
      <c r="J185" s="95"/>
      <c r="K185" s="95"/>
      <c r="L185" s="95"/>
      <c r="M185" s="95"/>
      <c r="N185" s="95"/>
      <c r="O185" s="95"/>
      <c r="P185" s="1126"/>
      <c r="Q185" s="95"/>
      <c r="R185" s="95"/>
      <c r="S185" s="95"/>
      <c r="T185" s="95"/>
      <c r="U185" s="95"/>
      <c r="V185" s="1126"/>
      <c r="W185" s="95"/>
      <c r="X185" s="95"/>
      <c r="Y185" s="95"/>
      <c r="Z185" s="95"/>
      <c r="AA185" s="95"/>
      <c r="AB185" s="95"/>
      <c r="AC185" s="1126"/>
      <c r="AD185" s="95"/>
      <c r="AE185" s="95"/>
      <c r="AF185" s="95"/>
      <c r="AG185" s="1126"/>
      <c r="AH185" s="95"/>
      <c r="AI185" s="95"/>
      <c r="AJ185" s="95">
        <f t="shared" si="223"/>
        <v>0</v>
      </c>
      <c r="AK185" s="96">
        <v>30000</v>
      </c>
      <c r="AL185" s="473">
        <f t="shared" si="224"/>
        <v>0</v>
      </c>
    </row>
    <row r="186" spans="1:38" s="82" customFormat="1" ht="33" customHeight="1">
      <c r="A186" s="2000"/>
      <c r="B186" s="2009"/>
      <c r="C186" s="100" t="s">
        <v>312</v>
      </c>
      <c r="D186" s="2017" t="s">
        <v>300</v>
      </c>
      <c r="E186" s="1122"/>
      <c r="F186" s="91"/>
      <c r="G186" s="91"/>
      <c r="H186" s="1122"/>
      <c r="I186" s="91"/>
      <c r="J186" s="91"/>
      <c r="K186" s="91"/>
      <c r="L186" s="91"/>
      <c r="M186" s="91"/>
      <c r="N186" s="91"/>
      <c r="O186" s="91"/>
      <c r="P186" s="1122"/>
      <c r="Q186" s="91"/>
      <c r="R186" s="91"/>
      <c r="S186" s="91"/>
      <c r="T186" s="91"/>
      <c r="U186" s="91"/>
      <c r="V186" s="1122"/>
      <c r="W186" s="91"/>
      <c r="X186" s="91"/>
      <c r="Y186" s="91"/>
      <c r="Z186" s="91"/>
      <c r="AA186" s="91"/>
      <c r="AB186" s="91"/>
      <c r="AC186" s="1122"/>
      <c r="AD186" s="91"/>
      <c r="AE186" s="91"/>
      <c r="AF186" s="91"/>
      <c r="AG186" s="1122"/>
      <c r="AH186" s="91"/>
      <c r="AI186" s="91"/>
      <c r="AJ186" s="91">
        <f t="shared" si="223"/>
        <v>0</v>
      </c>
      <c r="AK186" s="92">
        <v>14500</v>
      </c>
      <c r="AL186" s="468">
        <f>AJ186*AK186</f>
        <v>0</v>
      </c>
    </row>
    <row r="187" spans="1:38" s="82" customFormat="1" ht="33" customHeight="1">
      <c r="A187" s="2000"/>
      <c r="B187" s="2009"/>
      <c r="C187" s="89" t="s">
        <v>314</v>
      </c>
      <c r="D187" s="2018"/>
      <c r="E187" s="1123"/>
      <c r="F187" s="83"/>
      <c r="G187" s="83"/>
      <c r="H187" s="1123"/>
      <c r="I187" s="83"/>
      <c r="J187" s="83"/>
      <c r="K187" s="83"/>
      <c r="L187" s="83"/>
      <c r="M187" s="83"/>
      <c r="N187" s="83"/>
      <c r="O187" s="83"/>
      <c r="P187" s="1123"/>
      <c r="Q187" s="83"/>
      <c r="R187" s="83"/>
      <c r="S187" s="83"/>
      <c r="T187" s="83"/>
      <c r="U187" s="83"/>
      <c r="V187" s="1123"/>
      <c r="W187" s="83"/>
      <c r="X187" s="83"/>
      <c r="Y187" s="83"/>
      <c r="Z187" s="83"/>
      <c r="AA187" s="83"/>
      <c r="AB187" s="83"/>
      <c r="AC187" s="1123"/>
      <c r="AD187" s="83"/>
      <c r="AE187" s="83"/>
      <c r="AF187" s="83"/>
      <c r="AG187" s="1123"/>
      <c r="AH187" s="83"/>
      <c r="AI187" s="83"/>
      <c r="AJ187" s="83">
        <f t="shared" si="223"/>
        <v>0</v>
      </c>
      <c r="AK187" s="85">
        <v>17500</v>
      </c>
      <c r="AL187" s="473">
        <f>AJ187*AK187</f>
        <v>0</v>
      </c>
    </row>
    <row r="188" spans="1:38" s="90" customFormat="1" ht="33" customHeight="1">
      <c r="A188" s="2000"/>
      <c r="B188" s="2009"/>
      <c r="C188" s="109" t="s">
        <v>299</v>
      </c>
      <c r="D188" s="2018"/>
      <c r="E188" s="1127"/>
      <c r="F188" s="110"/>
      <c r="G188" s="110"/>
      <c r="H188" s="1127"/>
      <c r="I188" s="110"/>
      <c r="J188" s="110"/>
      <c r="K188" s="110"/>
      <c r="L188" s="110"/>
      <c r="M188" s="110"/>
      <c r="N188" s="110"/>
      <c r="O188" s="110"/>
      <c r="P188" s="1127"/>
      <c r="Q188" s="110"/>
      <c r="R188" s="110"/>
      <c r="S188" s="110"/>
      <c r="T188" s="110"/>
      <c r="U188" s="110"/>
      <c r="V188" s="1127"/>
      <c r="W188" s="110"/>
      <c r="X188" s="110"/>
      <c r="Y188" s="110"/>
      <c r="Z188" s="110"/>
      <c r="AA188" s="110"/>
      <c r="AB188" s="110"/>
      <c r="AC188" s="1127"/>
      <c r="AD188" s="110"/>
      <c r="AE188" s="110"/>
      <c r="AF188" s="110"/>
      <c r="AG188" s="1127"/>
      <c r="AH188" s="110"/>
      <c r="AI188" s="110"/>
      <c r="AJ188" s="110">
        <f t="shared" si="223"/>
        <v>0</v>
      </c>
      <c r="AK188" s="114">
        <v>20500</v>
      </c>
      <c r="AL188" s="474">
        <f t="shared" ref="AL188:AL191" si="225">AJ188*AK188</f>
        <v>0</v>
      </c>
    </row>
    <row r="189" spans="1:38" s="90" customFormat="1" ht="33" customHeight="1">
      <c r="A189" s="2000"/>
      <c r="B189" s="2009"/>
      <c r="C189" s="112" t="s">
        <v>301</v>
      </c>
      <c r="D189" s="2018"/>
      <c r="E189" s="1124"/>
      <c r="F189" s="113"/>
      <c r="G189" s="113"/>
      <c r="H189" s="1124"/>
      <c r="I189" s="113"/>
      <c r="J189" s="113"/>
      <c r="K189" s="113"/>
      <c r="L189" s="113"/>
      <c r="M189" s="113"/>
      <c r="N189" s="113"/>
      <c r="O189" s="113"/>
      <c r="P189" s="1124"/>
      <c r="Q189" s="113"/>
      <c r="R189" s="113"/>
      <c r="S189" s="113"/>
      <c r="T189" s="113"/>
      <c r="U189" s="113"/>
      <c r="V189" s="1124"/>
      <c r="W189" s="113"/>
      <c r="X189" s="113"/>
      <c r="Y189" s="113"/>
      <c r="Z189" s="113"/>
      <c r="AA189" s="113"/>
      <c r="AB189" s="113"/>
      <c r="AC189" s="1124"/>
      <c r="AD189" s="113"/>
      <c r="AE189" s="113"/>
      <c r="AF189" s="113"/>
      <c r="AG189" s="1124"/>
      <c r="AH189" s="113"/>
      <c r="AI189" s="113"/>
      <c r="AJ189" s="113">
        <f t="shared" si="223"/>
        <v>0</v>
      </c>
      <c r="AK189" s="117">
        <v>20750</v>
      </c>
      <c r="AL189" s="474">
        <f t="shared" si="225"/>
        <v>0</v>
      </c>
    </row>
    <row r="190" spans="1:38" s="90" customFormat="1" ht="33" customHeight="1">
      <c r="A190" s="2000"/>
      <c r="B190" s="2009"/>
      <c r="C190" s="115" t="s">
        <v>303</v>
      </c>
      <c r="D190" s="2018"/>
      <c r="E190" s="1125"/>
      <c r="F190" s="113"/>
      <c r="G190" s="116"/>
      <c r="H190" s="1125"/>
      <c r="I190" s="116"/>
      <c r="J190" s="116"/>
      <c r="K190" s="116"/>
      <c r="L190" s="116"/>
      <c r="M190" s="116"/>
      <c r="N190" s="116"/>
      <c r="O190" s="116"/>
      <c r="P190" s="1125"/>
      <c r="Q190" s="116"/>
      <c r="R190" s="116"/>
      <c r="S190" s="116"/>
      <c r="T190" s="116"/>
      <c r="U190" s="116"/>
      <c r="V190" s="1125"/>
      <c r="W190" s="116"/>
      <c r="X190" s="116"/>
      <c r="Y190" s="116"/>
      <c r="Z190" s="116"/>
      <c r="AA190" s="116"/>
      <c r="AB190" s="116"/>
      <c r="AC190" s="1125"/>
      <c r="AD190" s="116"/>
      <c r="AE190" s="116"/>
      <c r="AF190" s="116"/>
      <c r="AG190" s="1125"/>
      <c r="AH190" s="116"/>
      <c r="AI190" s="116"/>
      <c r="AJ190" s="116">
        <f t="shared" si="223"/>
        <v>0</v>
      </c>
      <c r="AK190" s="117">
        <v>25000</v>
      </c>
      <c r="AL190" s="474">
        <f t="shared" si="225"/>
        <v>0</v>
      </c>
    </row>
    <row r="191" spans="1:38" s="82" customFormat="1" ht="33" customHeight="1" thickBot="1">
      <c r="A191" s="2000"/>
      <c r="B191" s="2009"/>
      <c r="C191" s="94" t="s">
        <v>313</v>
      </c>
      <c r="D191" s="2019"/>
      <c r="E191" s="1126"/>
      <c r="F191" s="95"/>
      <c r="G191" s="95"/>
      <c r="H191" s="1126"/>
      <c r="I191" s="95"/>
      <c r="J191" s="95"/>
      <c r="K191" s="95"/>
      <c r="L191" s="95"/>
      <c r="M191" s="95"/>
      <c r="N191" s="95"/>
      <c r="O191" s="95"/>
      <c r="P191" s="1126"/>
      <c r="Q191" s="95"/>
      <c r="R191" s="95"/>
      <c r="S191" s="95"/>
      <c r="T191" s="95"/>
      <c r="U191" s="95"/>
      <c r="V191" s="1126"/>
      <c r="W191" s="95"/>
      <c r="X191" s="95"/>
      <c r="Y191" s="95"/>
      <c r="Z191" s="95"/>
      <c r="AA191" s="95"/>
      <c r="AB191" s="95"/>
      <c r="AC191" s="1126"/>
      <c r="AD191" s="95"/>
      <c r="AE191" s="95"/>
      <c r="AF191" s="95"/>
      <c r="AG191" s="1126"/>
      <c r="AH191" s="95"/>
      <c r="AI191" s="95"/>
      <c r="AJ191" s="95">
        <f t="shared" si="223"/>
        <v>0</v>
      </c>
      <c r="AK191" s="96">
        <v>35000</v>
      </c>
      <c r="AL191" s="473">
        <f t="shared" si="225"/>
        <v>0</v>
      </c>
    </row>
    <row r="192" spans="1:38" s="82" customFormat="1" ht="33" customHeight="1">
      <c r="A192" s="2000"/>
      <c r="B192" s="2009"/>
      <c r="C192" s="100" t="s">
        <v>312</v>
      </c>
      <c r="D192" s="2017" t="s">
        <v>302</v>
      </c>
      <c r="E192" s="1122"/>
      <c r="F192" s="91"/>
      <c r="G192" s="91"/>
      <c r="H192" s="1122"/>
      <c r="I192" s="91"/>
      <c r="J192" s="91"/>
      <c r="K192" s="91"/>
      <c r="L192" s="91"/>
      <c r="M192" s="91"/>
      <c r="N192" s="91"/>
      <c r="O192" s="91"/>
      <c r="P192" s="1122"/>
      <c r="Q192" s="91"/>
      <c r="R192" s="91"/>
      <c r="S192" s="91"/>
      <c r="T192" s="91"/>
      <c r="U192" s="91"/>
      <c r="V192" s="1122"/>
      <c r="W192" s="91"/>
      <c r="X192" s="91"/>
      <c r="Y192" s="91"/>
      <c r="Z192" s="91"/>
      <c r="AA192" s="91"/>
      <c r="AB192" s="91"/>
      <c r="AC192" s="1122"/>
      <c r="AD192" s="91"/>
      <c r="AE192" s="91"/>
      <c r="AF192" s="91"/>
      <c r="AG192" s="1122"/>
      <c r="AH192" s="91"/>
      <c r="AI192" s="91"/>
      <c r="AJ192" s="91">
        <f t="shared" si="223"/>
        <v>0</v>
      </c>
      <c r="AK192" s="85">
        <v>16000</v>
      </c>
      <c r="AL192" s="468">
        <f>AJ192*AK192</f>
        <v>0</v>
      </c>
    </row>
    <row r="193" spans="1:38" s="82" customFormat="1" ht="33" customHeight="1">
      <c r="A193" s="2000"/>
      <c r="B193" s="2009"/>
      <c r="C193" s="89" t="s">
        <v>314</v>
      </c>
      <c r="D193" s="2018"/>
      <c r="E193" s="1123"/>
      <c r="F193" s="83"/>
      <c r="G193" s="83"/>
      <c r="H193" s="1123"/>
      <c r="I193" s="83"/>
      <c r="J193" s="83"/>
      <c r="K193" s="83"/>
      <c r="L193" s="83"/>
      <c r="M193" s="83"/>
      <c r="N193" s="83"/>
      <c r="O193" s="83"/>
      <c r="P193" s="1123"/>
      <c r="Q193" s="83"/>
      <c r="R193" s="83"/>
      <c r="S193" s="83"/>
      <c r="T193" s="83"/>
      <c r="U193" s="83"/>
      <c r="V193" s="1123"/>
      <c r="W193" s="83"/>
      <c r="X193" s="83"/>
      <c r="Y193" s="83"/>
      <c r="Z193" s="83"/>
      <c r="AA193" s="83"/>
      <c r="AB193" s="83"/>
      <c r="AC193" s="1123"/>
      <c r="AD193" s="83"/>
      <c r="AE193" s="83"/>
      <c r="AF193" s="83"/>
      <c r="AG193" s="1123"/>
      <c r="AH193" s="83"/>
      <c r="AI193" s="83"/>
      <c r="AJ193" s="83">
        <f t="shared" si="223"/>
        <v>0</v>
      </c>
      <c r="AK193" s="85">
        <v>19000</v>
      </c>
      <c r="AL193" s="473">
        <f>AJ193*AK193</f>
        <v>0</v>
      </c>
    </row>
    <row r="194" spans="1:38" s="90" customFormat="1" ht="33" customHeight="1">
      <c r="A194" s="2000"/>
      <c r="B194" s="2009"/>
      <c r="C194" s="109" t="s">
        <v>299</v>
      </c>
      <c r="D194" s="2018"/>
      <c r="E194" s="1127"/>
      <c r="F194" s="110"/>
      <c r="G194" s="110"/>
      <c r="H194" s="1127"/>
      <c r="I194" s="110"/>
      <c r="J194" s="110"/>
      <c r="K194" s="110"/>
      <c r="L194" s="110"/>
      <c r="M194" s="110"/>
      <c r="N194" s="110"/>
      <c r="O194" s="110"/>
      <c r="P194" s="1127"/>
      <c r="Q194" s="110"/>
      <c r="R194" s="110"/>
      <c r="S194" s="110"/>
      <c r="T194" s="110"/>
      <c r="U194" s="110"/>
      <c r="V194" s="1127"/>
      <c r="W194" s="110"/>
      <c r="X194" s="110"/>
      <c r="Y194" s="110"/>
      <c r="Z194" s="110"/>
      <c r="AA194" s="110"/>
      <c r="AB194" s="110"/>
      <c r="AC194" s="1127"/>
      <c r="AD194" s="110"/>
      <c r="AE194" s="110"/>
      <c r="AF194" s="110"/>
      <c r="AG194" s="1127"/>
      <c r="AH194" s="110"/>
      <c r="AI194" s="110"/>
      <c r="AJ194" s="110">
        <f t="shared" si="223"/>
        <v>0</v>
      </c>
      <c r="AK194" s="111">
        <v>22000</v>
      </c>
      <c r="AL194" s="474">
        <f t="shared" ref="AL194:AL197" si="226">AJ194*AK194</f>
        <v>0</v>
      </c>
    </row>
    <row r="195" spans="1:38" s="90" customFormat="1" ht="33" customHeight="1">
      <c r="A195" s="2000"/>
      <c r="B195" s="2009"/>
      <c r="C195" s="112" t="s">
        <v>301</v>
      </c>
      <c r="D195" s="2018"/>
      <c r="E195" s="1124"/>
      <c r="F195" s="113"/>
      <c r="G195" s="113"/>
      <c r="H195" s="1124"/>
      <c r="I195" s="113"/>
      <c r="J195" s="113"/>
      <c r="K195" s="113"/>
      <c r="L195" s="113"/>
      <c r="M195" s="113"/>
      <c r="N195" s="113"/>
      <c r="O195" s="113"/>
      <c r="P195" s="1124"/>
      <c r="Q195" s="113"/>
      <c r="R195" s="113"/>
      <c r="S195" s="113"/>
      <c r="T195" s="113"/>
      <c r="U195" s="113"/>
      <c r="V195" s="1124"/>
      <c r="W195" s="113"/>
      <c r="X195" s="113"/>
      <c r="Y195" s="113"/>
      <c r="Z195" s="113"/>
      <c r="AA195" s="113"/>
      <c r="AB195" s="113"/>
      <c r="AC195" s="1124"/>
      <c r="AD195" s="113"/>
      <c r="AE195" s="113"/>
      <c r="AF195" s="113"/>
      <c r="AG195" s="1124"/>
      <c r="AH195" s="113"/>
      <c r="AI195" s="113"/>
      <c r="AJ195" s="113">
        <f t="shared" si="223"/>
        <v>0</v>
      </c>
      <c r="AK195" s="111">
        <v>23000</v>
      </c>
      <c r="AL195" s="474">
        <f t="shared" si="226"/>
        <v>0</v>
      </c>
    </row>
    <row r="196" spans="1:38" s="90" customFormat="1" ht="33" customHeight="1">
      <c r="A196" s="2000"/>
      <c r="B196" s="2009"/>
      <c r="C196" s="115" t="s">
        <v>303</v>
      </c>
      <c r="D196" s="2018"/>
      <c r="E196" s="1125"/>
      <c r="F196" s="113"/>
      <c r="G196" s="116"/>
      <c r="H196" s="1125"/>
      <c r="I196" s="116"/>
      <c r="J196" s="116"/>
      <c r="K196" s="116"/>
      <c r="L196" s="116"/>
      <c r="M196" s="116"/>
      <c r="N196" s="116"/>
      <c r="O196" s="116"/>
      <c r="P196" s="1125"/>
      <c r="Q196" s="116"/>
      <c r="R196" s="116"/>
      <c r="S196" s="116"/>
      <c r="T196" s="116"/>
      <c r="U196" s="116"/>
      <c r="V196" s="1125"/>
      <c r="W196" s="116"/>
      <c r="X196" s="116"/>
      <c r="Y196" s="116"/>
      <c r="Z196" s="116"/>
      <c r="AA196" s="116"/>
      <c r="AB196" s="116"/>
      <c r="AC196" s="1125"/>
      <c r="AD196" s="116"/>
      <c r="AE196" s="116"/>
      <c r="AF196" s="116"/>
      <c r="AG196" s="1125"/>
      <c r="AH196" s="116"/>
      <c r="AI196" s="116"/>
      <c r="AJ196" s="116">
        <f t="shared" si="223"/>
        <v>0</v>
      </c>
      <c r="AK196" s="114">
        <v>30000</v>
      </c>
      <c r="AL196" s="474">
        <f t="shared" si="226"/>
        <v>0</v>
      </c>
    </row>
    <row r="197" spans="1:38" s="82" customFormat="1" ht="33" customHeight="1" thickBot="1">
      <c r="A197" s="2000"/>
      <c r="B197" s="2009"/>
      <c r="C197" s="94" t="s">
        <v>313</v>
      </c>
      <c r="D197" s="2019"/>
      <c r="E197" s="1126"/>
      <c r="F197" s="95"/>
      <c r="G197" s="95"/>
      <c r="H197" s="1126"/>
      <c r="I197" s="95"/>
      <c r="J197" s="95"/>
      <c r="K197" s="95"/>
      <c r="L197" s="95"/>
      <c r="M197" s="95"/>
      <c r="N197" s="95"/>
      <c r="O197" s="95"/>
      <c r="P197" s="1126"/>
      <c r="Q197" s="95"/>
      <c r="R197" s="95"/>
      <c r="S197" s="95"/>
      <c r="T197" s="95"/>
      <c r="U197" s="95"/>
      <c r="V197" s="1126"/>
      <c r="W197" s="95"/>
      <c r="X197" s="95"/>
      <c r="Y197" s="95"/>
      <c r="Z197" s="95"/>
      <c r="AA197" s="95"/>
      <c r="AB197" s="95"/>
      <c r="AC197" s="1126"/>
      <c r="AD197" s="95"/>
      <c r="AE197" s="95"/>
      <c r="AF197" s="95"/>
      <c r="AG197" s="1126"/>
      <c r="AH197" s="95"/>
      <c r="AI197" s="95"/>
      <c r="AJ197" s="95">
        <f t="shared" si="223"/>
        <v>0</v>
      </c>
      <c r="AK197" s="98">
        <v>40000</v>
      </c>
      <c r="AL197" s="473">
        <f t="shared" si="226"/>
        <v>0</v>
      </c>
    </row>
    <row r="198" spans="1:38" s="127" customFormat="1" ht="28.5" customHeight="1" thickBot="1">
      <c r="A198" s="2000"/>
      <c r="B198" s="2009"/>
      <c r="C198" s="2021" t="s">
        <v>323</v>
      </c>
      <c r="D198" s="2022"/>
      <c r="E198" s="1128">
        <f>SUM(E180:E197)</f>
        <v>0</v>
      </c>
      <c r="F198" s="126">
        <f>SUM(F180:F197)</f>
        <v>0</v>
      </c>
      <c r="G198" s="126">
        <f t="shared" ref="G198:K198" si="227">SUM(G180:G197)</f>
        <v>0</v>
      </c>
      <c r="H198" s="1128">
        <f t="shared" si="227"/>
        <v>0</v>
      </c>
      <c r="I198" s="126">
        <f t="shared" si="227"/>
        <v>0</v>
      </c>
      <c r="J198" s="126">
        <f t="shared" si="227"/>
        <v>0</v>
      </c>
      <c r="K198" s="126">
        <f t="shared" si="227"/>
        <v>0</v>
      </c>
      <c r="L198" s="126">
        <f>SUM(L180:L197)</f>
        <v>0</v>
      </c>
      <c r="M198" s="126">
        <f t="shared" ref="M198:R198" si="228">SUM(M180:M197)</f>
        <v>0</v>
      </c>
      <c r="N198" s="126">
        <f t="shared" si="228"/>
        <v>0</v>
      </c>
      <c r="O198" s="126">
        <f t="shared" si="228"/>
        <v>0</v>
      </c>
      <c r="P198" s="1128">
        <f t="shared" si="228"/>
        <v>0</v>
      </c>
      <c r="Q198" s="126">
        <f t="shared" si="228"/>
        <v>0</v>
      </c>
      <c r="R198" s="126">
        <f t="shared" si="228"/>
        <v>0</v>
      </c>
      <c r="S198" s="126">
        <f>SUM(S180:S197)</f>
        <v>0</v>
      </c>
      <c r="T198" s="126">
        <f t="shared" ref="T198:Y198" si="229">SUM(T180:T197)</f>
        <v>0</v>
      </c>
      <c r="U198" s="126">
        <f t="shared" si="229"/>
        <v>0</v>
      </c>
      <c r="V198" s="1128">
        <f t="shared" si="229"/>
        <v>0</v>
      </c>
      <c r="W198" s="126">
        <f t="shared" si="229"/>
        <v>0</v>
      </c>
      <c r="X198" s="126">
        <f t="shared" si="229"/>
        <v>0</v>
      </c>
      <c r="Y198" s="126">
        <f t="shared" si="229"/>
        <v>0</v>
      </c>
      <c r="Z198" s="126">
        <f>SUM(Z180:Z197)</f>
        <v>0</v>
      </c>
      <c r="AA198" s="126">
        <f t="shared" ref="AA198:AF198" si="230">SUM(AA180:AA197)</f>
        <v>0</v>
      </c>
      <c r="AB198" s="126">
        <f t="shared" si="230"/>
        <v>0</v>
      </c>
      <c r="AC198" s="1128">
        <f t="shared" si="230"/>
        <v>0</v>
      </c>
      <c r="AD198" s="126">
        <f t="shared" si="230"/>
        <v>0</v>
      </c>
      <c r="AE198" s="126">
        <f t="shared" si="230"/>
        <v>0</v>
      </c>
      <c r="AF198" s="126">
        <f t="shared" si="230"/>
        <v>0</v>
      </c>
      <c r="AG198" s="1128">
        <f>SUM(AG180:AG197)</f>
        <v>0</v>
      </c>
      <c r="AH198" s="126">
        <f t="shared" ref="AH198:AI198" si="231">SUM(AH180:AH197)</f>
        <v>0</v>
      </c>
      <c r="AI198" s="126">
        <f t="shared" si="231"/>
        <v>0</v>
      </c>
      <c r="AJ198" s="126">
        <f>SUM(AJ180:AJ197)</f>
        <v>0</v>
      </c>
      <c r="AK198" s="126"/>
      <c r="AL198" s="478">
        <f>SUM(AL180:AL197)</f>
        <v>0</v>
      </c>
    </row>
    <row r="199" spans="1:38" s="82" customFormat="1" ht="35.25" customHeight="1">
      <c r="A199" s="2000"/>
      <c r="B199" s="2009"/>
      <c r="C199" s="93" t="s">
        <v>271</v>
      </c>
      <c r="D199" s="1296"/>
      <c r="E199" s="1123"/>
      <c r="F199" s="84"/>
      <c r="G199" s="84"/>
      <c r="H199" s="1130"/>
      <c r="I199" s="84"/>
      <c r="J199" s="84"/>
      <c r="K199" s="84"/>
      <c r="L199" s="83"/>
      <c r="M199" s="84"/>
      <c r="N199" s="84"/>
      <c r="O199" s="84"/>
      <c r="P199" s="1130"/>
      <c r="Q199" s="84"/>
      <c r="R199" s="84"/>
      <c r="S199" s="83"/>
      <c r="T199" s="84"/>
      <c r="U199" s="84"/>
      <c r="V199" s="1130"/>
      <c r="W199" s="84"/>
      <c r="X199" s="84"/>
      <c r="Y199" s="84"/>
      <c r="Z199" s="83"/>
      <c r="AA199" s="84"/>
      <c r="AB199" s="84"/>
      <c r="AC199" s="1130"/>
      <c r="AD199" s="84"/>
      <c r="AE199" s="84"/>
      <c r="AF199" s="84"/>
      <c r="AG199" s="1123"/>
      <c r="AH199" s="84"/>
      <c r="AI199" s="84"/>
      <c r="AJ199" s="84">
        <f t="shared" ref="AJ199" si="232">SUM(E199:AI199)</f>
        <v>0</v>
      </c>
      <c r="AK199" s="87">
        <v>200</v>
      </c>
      <c r="AL199" s="471">
        <f>AJ199*AK199</f>
        <v>0</v>
      </c>
    </row>
    <row r="200" spans="1:38" s="82" customFormat="1" ht="35.25" customHeight="1">
      <c r="A200" s="2000"/>
      <c r="B200" s="2009"/>
      <c r="C200" s="65" t="s">
        <v>307</v>
      </c>
      <c r="D200" s="1295"/>
      <c r="E200" s="1123"/>
      <c r="F200" s="83"/>
      <c r="G200" s="83"/>
      <c r="H200" s="1123"/>
      <c r="I200" s="83"/>
      <c r="J200" s="83"/>
      <c r="K200" s="83"/>
      <c r="L200" s="83"/>
      <c r="M200" s="83"/>
      <c r="N200" s="83"/>
      <c r="O200" s="83"/>
      <c r="P200" s="1123"/>
      <c r="Q200" s="83"/>
      <c r="R200" s="83"/>
      <c r="S200" s="83"/>
      <c r="T200" s="83"/>
      <c r="U200" s="83"/>
      <c r="V200" s="1123"/>
      <c r="W200" s="83"/>
      <c r="X200" s="83"/>
      <c r="Y200" s="83"/>
      <c r="Z200" s="83"/>
      <c r="AA200" s="83"/>
      <c r="AB200" s="83"/>
      <c r="AC200" s="1123"/>
      <c r="AD200" s="83"/>
      <c r="AE200" s="83"/>
      <c r="AF200" s="83"/>
      <c r="AG200" s="1123"/>
      <c r="AH200" s="83"/>
      <c r="AI200" s="83"/>
      <c r="AJ200" s="83">
        <f t="shared" ref="AJ200:AJ201" si="233">SUM(E200:AI200)</f>
        <v>0</v>
      </c>
      <c r="AK200" s="85">
        <v>15000</v>
      </c>
      <c r="AL200" s="482">
        <f>AJ200*AK200</f>
        <v>0</v>
      </c>
    </row>
    <row r="201" spans="1:38" s="82" customFormat="1" ht="35.25" customHeight="1" thickBot="1">
      <c r="A201" s="2000"/>
      <c r="B201" s="2009"/>
      <c r="C201" s="118" t="s">
        <v>308</v>
      </c>
      <c r="D201" s="1296"/>
      <c r="E201" s="1130"/>
      <c r="F201" s="84"/>
      <c r="G201" s="84"/>
      <c r="H201" s="1129"/>
      <c r="I201" s="86"/>
      <c r="J201" s="86"/>
      <c r="K201" s="86"/>
      <c r="L201" s="86"/>
      <c r="M201" s="86"/>
      <c r="N201" s="86"/>
      <c r="O201" s="86"/>
      <c r="P201" s="1129"/>
      <c r="Q201" s="86"/>
      <c r="R201" s="86"/>
      <c r="S201" s="86"/>
      <c r="T201" s="86"/>
      <c r="U201" s="84"/>
      <c r="V201" s="1130"/>
      <c r="W201" s="84"/>
      <c r="X201" s="84"/>
      <c r="Y201" s="84"/>
      <c r="Z201" s="84"/>
      <c r="AA201" s="84"/>
      <c r="AB201" s="84"/>
      <c r="AC201" s="1130"/>
      <c r="AD201" s="84"/>
      <c r="AE201" s="84"/>
      <c r="AF201" s="84"/>
      <c r="AG201" s="1130"/>
      <c r="AH201" s="84"/>
      <c r="AI201" s="84"/>
      <c r="AJ201" s="86">
        <f t="shared" si="233"/>
        <v>0</v>
      </c>
      <c r="AK201" s="98">
        <v>11000</v>
      </c>
      <c r="AL201" s="475">
        <f>AJ201*AK201</f>
        <v>0</v>
      </c>
    </row>
    <row r="202" spans="1:38" s="127" customFormat="1" ht="35.25" customHeight="1" thickBot="1">
      <c r="A202" s="2000"/>
      <c r="B202" s="2009"/>
      <c r="C202" s="2015" t="s">
        <v>322</v>
      </c>
      <c r="D202" s="2016"/>
      <c r="E202" s="1128">
        <f>SUM(E200:E201)</f>
        <v>0</v>
      </c>
      <c r="F202" s="126">
        <f>SUM(F200:F201)</f>
        <v>0</v>
      </c>
      <c r="G202" s="126">
        <f t="shared" ref="G202:K202" si="234">SUM(G200:G201)</f>
        <v>0</v>
      </c>
      <c r="H202" s="1128">
        <f t="shared" si="234"/>
        <v>0</v>
      </c>
      <c r="I202" s="126">
        <f t="shared" si="234"/>
        <v>0</v>
      </c>
      <c r="J202" s="126">
        <f t="shared" si="234"/>
        <v>0</v>
      </c>
      <c r="K202" s="126">
        <f t="shared" si="234"/>
        <v>0</v>
      </c>
      <c r="L202" s="126">
        <f>SUM(L200:L201)</f>
        <v>0</v>
      </c>
      <c r="M202" s="126">
        <f>SUM(M200:M201)</f>
        <v>0</v>
      </c>
      <c r="N202" s="126">
        <f t="shared" ref="N202:R202" si="235">SUM(N200:N201)</f>
        <v>0</v>
      </c>
      <c r="O202" s="126">
        <f t="shared" si="235"/>
        <v>0</v>
      </c>
      <c r="P202" s="1128">
        <f t="shared" si="235"/>
        <v>0</v>
      </c>
      <c r="Q202" s="126">
        <f t="shared" si="235"/>
        <v>0</v>
      </c>
      <c r="R202" s="126">
        <f t="shared" si="235"/>
        <v>0</v>
      </c>
      <c r="S202" s="126">
        <f>SUM(S200:S201)</f>
        <v>0</v>
      </c>
      <c r="T202" s="126">
        <f>SUM(T200:T201)</f>
        <v>0</v>
      </c>
      <c r="U202" s="126">
        <f t="shared" ref="U202" si="236">SUM(U200:U201)</f>
        <v>0</v>
      </c>
      <c r="V202" s="1128">
        <f t="shared" ref="V202" si="237">SUM(V200:V201)</f>
        <v>0</v>
      </c>
      <c r="W202" s="126">
        <f t="shared" ref="W202" si="238">SUM(W200:W201)</f>
        <v>0</v>
      </c>
      <c r="X202" s="126">
        <f t="shared" ref="X202" si="239">SUM(X200:X201)</f>
        <v>0</v>
      </c>
      <c r="Y202" s="126">
        <f t="shared" ref="Y202" si="240">SUM(Y200:Y201)</f>
        <v>0</v>
      </c>
      <c r="Z202" s="126">
        <f>SUM(Z200:Z201)</f>
        <v>0</v>
      </c>
      <c r="AA202" s="126">
        <f>SUM(AA200:AA201)</f>
        <v>0</v>
      </c>
      <c r="AB202" s="126">
        <f t="shared" ref="AB202" si="241">SUM(AB200:AB201)</f>
        <v>0</v>
      </c>
      <c r="AC202" s="1128">
        <f t="shared" ref="AC202" si="242">SUM(AC200:AC201)</f>
        <v>0</v>
      </c>
      <c r="AD202" s="126">
        <f t="shared" ref="AD202" si="243">SUM(AD200:AD201)</f>
        <v>0</v>
      </c>
      <c r="AE202" s="126">
        <f t="shared" ref="AE202" si="244">SUM(AE200:AE201)</f>
        <v>0</v>
      </c>
      <c r="AF202" s="126">
        <f t="shared" ref="AF202" si="245">SUM(AF200:AF201)</f>
        <v>0</v>
      </c>
      <c r="AG202" s="1128">
        <f>SUM(AG200:AG201)</f>
        <v>0</v>
      </c>
      <c r="AH202" s="126">
        <f>SUM(AH200:AH201)</f>
        <v>0</v>
      </c>
      <c r="AI202" s="126">
        <f t="shared" ref="AI202" si="246">SUM(AI200:AI201)</f>
        <v>0</v>
      </c>
      <c r="AJ202" s="126"/>
      <c r="AK202" s="128"/>
      <c r="AL202" s="478">
        <f>SUM(AL199:AL201)</f>
        <v>0</v>
      </c>
    </row>
    <row r="203" spans="1:38" s="82" customFormat="1" ht="35.25" customHeight="1">
      <c r="A203" s="2000"/>
      <c r="B203" s="2009"/>
      <c r="C203" s="132" t="s">
        <v>325</v>
      </c>
      <c r="D203" s="1296"/>
      <c r="E203" s="1123"/>
      <c r="F203" s="83"/>
      <c r="G203" s="83"/>
      <c r="H203" s="1123"/>
      <c r="I203" s="83"/>
      <c r="J203" s="83"/>
      <c r="K203" s="83"/>
      <c r="L203" s="83"/>
      <c r="M203" s="83"/>
      <c r="N203" s="83"/>
      <c r="O203" s="83"/>
      <c r="P203" s="1123"/>
      <c r="Q203" s="83"/>
      <c r="R203" s="83"/>
      <c r="S203" s="83"/>
      <c r="T203" s="83"/>
      <c r="U203" s="84"/>
      <c r="V203" s="1130"/>
      <c r="W203" s="84"/>
      <c r="X203" s="84"/>
      <c r="Y203" s="84"/>
      <c r="Z203" s="84"/>
      <c r="AA203" s="84"/>
      <c r="AB203" s="84"/>
      <c r="AC203" s="1130"/>
      <c r="AD203" s="84"/>
      <c r="AE203" s="84"/>
      <c r="AF203" s="84"/>
      <c r="AG203" s="1130"/>
      <c r="AH203" s="84"/>
      <c r="AI203" s="84"/>
      <c r="AJ203" s="83">
        <f t="shared" ref="AJ203:AJ205" si="247">SUM(E203:AI203)</f>
        <v>0</v>
      </c>
      <c r="AK203" s="85">
        <v>4814</v>
      </c>
      <c r="AL203" s="473">
        <f>AJ203*AK203</f>
        <v>0</v>
      </c>
    </row>
    <row r="204" spans="1:38" s="82" customFormat="1" ht="35.25" customHeight="1">
      <c r="A204" s="2000"/>
      <c r="B204" s="2009"/>
      <c r="C204" s="101" t="s">
        <v>267</v>
      </c>
      <c r="D204" s="1296"/>
      <c r="E204" s="1129"/>
      <c r="F204" s="86">
        <v>1</v>
      </c>
      <c r="G204" s="84">
        <v>2</v>
      </c>
      <c r="H204" s="1130"/>
      <c r="I204" s="84">
        <v>1</v>
      </c>
      <c r="J204" s="84">
        <v>1</v>
      </c>
      <c r="K204" s="84">
        <v>1</v>
      </c>
      <c r="L204" s="86">
        <v>1</v>
      </c>
      <c r="M204" s="84">
        <v>1</v>
      </c>
      <c r="N204" s="84">
        <v>1</v>
      </c>
      <c r="O204" s="84">
        <v>1</v>
      </c>
      <c r="P204" s="1130"/>
      <c r="Q204" s="84">
        <v>1</v>
      </c>
      <c r="R204" s="84">
        <v>1</v>
      </c>
      <c r="S204" s="86">
        <v>1</v>
      </c>
      <c r="T204" s="86">
        <v>0.5</v>
      </c>
      <c r="U204" s="86">
        <v>0.5</v>
      </c>
      <c r="V204" s="1130"/>
      <c r="W204" s="86">
        <v>1</v>
      </c>
      <c r="X204" s="86">
        <v>1</v>
      </c>
      <c r="Y204" s="86">
        <v>1</v>
      </c>
      <c r="Z204" s="86">
        <v>1</v>
      </c>
      <c r="AA204" s="86">
        <v>1</v>
      </c>
      <c r="AB204" s="86">
        <v>1</v>
      </c>
      <c r="AC204" s="1130"/>
      <c r="AD204" s="86">
        <v>1</v>
      </c>
      <c r="AE204" s="86">
        <v>1</v>
      </c>
      <c r="AF204" s="86"/>
      <c r="AG204" s="1129"/>
      <c r="AH204" s="86"/>
      <c r="AI204" s="86">
        <v>1</v>
      </c>
      <c r="AJ204" s="84">
        <f t="shared" si="247"/>
        <v>23</v>
      </c>
      <c r="AK204" s="87">
        <v>7217</v>
      </c>
      <c r="AL204" s="471">
        <f t="shared" ref="AL204:AL205" si="248">AJ204*AK204</f>
        <v>165991</v>
      </c>
    </row>
    <row r="205" spans="1:38" s="82" customFormat="1" ht="35.25" customHeight="1" thickBot="1">
      <c r="A205" s="2000"/>
      <c r="B205" s="2009"/>
      <c r="C205" s="101" t="s">
        <v>268</v>
      </c>
      <c r="D205" s="1296"/>
      <c r="E205" s="1130"/>
      <c r="F205" s="84">
        <v>1</v>
      </c>
      <c r="G205" s="84">
        <v>2</v>
      </c>
      <c r="H205" s="1130"/>
      <c r="I205" s="84">
        <v>1</v>
      </c>
      <c r="J205" s="84">
        <v>1</v>
      </c>
      <c r="K205" s="84">
        <v>1</v>
      </c>
      <c r="L205" s="84">
        <v>1</v>
      </c>
      <c r="M205" s="84">
        <v>1</v>
      </c>
      <c r="N205" s="84">
        <v>1</v>
      </c>
      <c r="O205" s="84">
        <v>1</v>
      </c>
      <c r="P205" s="1130"/>
      <c r="Q205" s="84">
        <v>1</v>
      </c>
      <c r="R205" s="84">
        <v>1</v>
      </c>
      <c r="S205" s="84">
        <v>1</v>
      </c>
      <c r="T205" s="84"/>
      <c r="U205" s="84"/>
      <c r="V205" s="1130"/>
      <c r="W205" s="84">
        <v>1</v>
      </c>
      <c r="X205" s="84">
        <v>1</v>
      </c>
      <c r="Y205" s="84">
        <v>1</v>
      </c>
      <c r="Z205" s="84">
        <v>1</v>
      </c>
      <c r="AA205" s="84">
        <v>1</v>
      </c>
      <c r="AB205" s="84">
        <v>1</v>
      </c>
      <c r="AC205" s="1130"/>
      <c r="AD205" s="84">
        <v>1</v>
      </c>
      <c r="AE205" s="84">
        <v>1</v>
      </c>
      <c r="AF205" s="84">
        <v>1</v>
      </c>
      <c r="AG205" s="1130"/>
      <c r="AH205" s="84">
        <v>2</v>
      </c>
      <c r="AI205" s="84">
        <v>1</v>
      </c>
      <c r="AJ205" s="86">
        <f t="shared" si="247"/>
        <v>25</v>
      </c>
      <c r="AK205" s="87">
        <v>9029</v>
      </c>
      <c r="AL205" s="469">
        <f t="shared" si="248"/>
        <v>225725</v>
      </c>
    </row>
    <row r="206" spans="1:38" s="125" customFormat="1" ht="28.5" customHeight="1" thickBot="1">
      <c r="A206" s="2000"/>
      <c r="B206" s="2009"/>
      <c r="C206" s="2012" t="s">
        <v>316</v>
      </c>
      <c r="D206" s="2013"/>
      <c r="E206" s="1131">
        <f>SUM(E203:E205)</f>
        <v>0</v>
      </c>
      <c r="F206" s="124">
        <f>SUM(F203:F205)</f>
        <v>2</v>
      </c>
      <c r="G206" s="124">
        <f t="shared" ref="G206:K206" si="249">SUM(G203:G205)</f>
        <v>4</v>
      </c>
      <c r="H206" s="1131">
        <f t="shared" si="249"/>
        <v>0</v>
      </c>
      <c r="I206" s="124">
        <f t="shared" si="249"/>
        <v>2</v>
      </c>
      <c r="J206" s="124">
        <f t="shared" si="249"/>
        <v>2</v>
      </c>
      <c r="K206" s="124">
        <f t="shared" si="249"/>
        <v>2</v>
      </c>
      <c r="L206" s="124">
        <f>SUM(L203:L205)</f>
        <v>2</v>
      </c>
      <c r="M206" s="124">
        <f t="shared" ref="M206:R206" si="250">SUM(M203:M205)</f>
        <v>2</v>
      </c>
      <c r="N206" s="124">
        <f t="shared" si="250"/>
        <v>2</v>
      </c>
      <c r="O206" s="124">
        <f t="shared" si="250"/>
        <v>2</v>
      </c>
      <c r="P206" s="1131">
        <f t="shared" si="250"/>
        <v>0</v>
      </c>
      <c r="Q206" s="124">
        <f t="shared" si="250"/>
        <v>2</v>
      </c>
      <c r="R206" s="124">
        <f t="shared" si="250"/>
        <v>2</v>
      </c>
      <c r="S206" s="124">
        <f>SUM(S203:S205)</f>
        <v>2</v>
      </c>
      <c r="T206" s="124">
        <f t="shared" ref="T206:Y206" si="251">SUM(T203:T205)</f>
        <v>0.5</v>
      </c>
      <c r="U206" s="124">
        <f t="shared" si="251"/>
        <v>0.5</v>
      </c>
      <c r="V206" s="1131">
        <f t="shared" si="251"/>
        <v>0</v>
      </c>
      <c r="W206" s="124">
        <f t="shared" si="251"/>
        <v>2</v>
      </c>
      <c r="X206" s="124">
        <f t="shared" si="251"/>
        <v>2</v>
      </c>
      <c r="Y206" s="124">
        <f t="shared" si="251"/>
        <v>2</v>
      </c>
      <c r="Z206" s="124">
        <f>SUM(Z203:Z205)</f>
        <v>2</v>
      </c>
      <c r="AA206" s="124">
        <f t="shared" ref="AA206:AF206" si="252">SUM(AA203:AA205)</f>
        <v>2</v>
      </c>
      <c r="AB206" s="124">
        <f t="shared" si="252"/>
        <v>2</v>
      </c>
      <c r="AC206" s="1131">
        <f t="shared" si="252"/>
        <v>0</v>
      </c>
      <c r="AD206" s="124">
        <f t="shared" si="252"/>
        <v>2</v>
      </c>
      <c r="AE206" s="124">
        <f t="shared" si="252"/>
        <v>2</v>
      </c>
      <c r="AF206" s="124">
        <f t="shared" si="252"/>
        <v>1</v>
      </c>
      <c r="AG206" s="1131">
        <f>SUM(AG203:AG205)</f>
        <v>0</v>
      </c>
      <c r="AH206" s="124">
        <f t="shared" ref="AH206:AI206" si="253">SUM(AH203:AH205)</f>
        <v>2</v>
      </c>
      <c r="AI206" s="124">
        <f t="shared" si="253"/>
        <v>2</v>
      </c>
      <c r="AJ206" s="124">
        <f>SUM(E206:AI206)</f>
        <v>48</v>
      </c>
      <c r="AK206" s="124"/>
      <c r="AL206" s="479">
        <f>SUM(AL203:AL205)</f>
        <v>391716</v>
      </c>
    </row>
    <row r="207" spans="1:38" s="82" customFormat="1" ht="35.25" customHeight="1" thickBot="1">
      <c r="A207" s="2000"/>
      <c r="B207" s="2009"/>
      <c r="C207" s="93" t="s">
        <v>265</v>
      </c>
      <c r="D207" s="1296"/>
      <c r="E207" s="1130"/>
      <c r="F207" s="84"/>
      <c r="G207" s="84"/>
      <c r="H207" s="1130"/>
      <c r="I207" s="84"/>
      <c r="J207" s="84"/>
      <c r="K207" s="84"/>
      <c r="L207" s="84"/>
      <c r="M207" s="84"/>
      <c r="N207" s="84"/>
      <c r="O207" s="84"/>
      <c r="P207" s="1130"/>
      <c r="Q207" s="84"/>
      <c r="R207" s="84"/>
      <c r="S207" s="84"/>
      <c r="T207" s="84"/>
      <c r="U207" s="84"/>
      <c r="V207" s="1130"/>
      <c r="W207" s="84"/>
      <c r="X207" s="84"/>
      <c r="Y207" s="84"/>
      <c r="Z207" s="84"/>
      <c r="AA207" s="84"/>
      <c r="AB207" s="84"/>
      <c r="AC207" s="1130"/>
      <c r="AD207" s="84"/>
      <c r="AE207" s="84"/>
      <c r="AF207" s="84"/>
      <c r="AG207" s="1130"/>
      <c r="AH207" s="84"/>
      <c r="AI207" s="84"/>
      <c r="AJ207" s="84">
        <f t="shared" ref="AJ207" si="254">SUM(E207:AI207)</f>
        <v>0</v>
      </c>
      <c r="AK207" s="87">
        <v>20000</v>
      </c>
      <c r="AL207" s="476">
        <f t="shared" ref="AL207" si="255">AJ207*AK207</f>
        <v>0</v>
      </c>
    </row>
    <row r="208" spans="1:38" s="125" customFormat="1" ht="28.5" customHeight="1" thickBot="1">
      <c r="A208" s="2000"/>
      <c r="B208" s="2009"/>
      <c r="C208" s="2012" t="s">
        <v>321</v>
      </c>
      <c r="D208" s="2013"/>
      <c r="E208" s="1131">
        <f t="shared" ref="E208:AI208" si="256">SUM(E207:E207)</f>
        <v>0</v>
      </c>
      <c r="F208" s="124">
        <f t="shared" si="256"/>
        <v>0</v>
      </c>
      <c r="G208" s="124">
        <f t="shared" si="256"/>
        <v>0</v>
      </c>
      <c r="H208" s="1131">
        <f t="shared" si="256"/>
        <v>0</v>
      </c>
      <c r="I208" s="124">
        <f t="shared" si="256"/>
        <v>0</v>
      </c>
      <c r="J208" s="124">
        <f t="shared" si="256"/>
        <v>0</v>
      </c>
      <c r="K208" s="124">
        <f t="shared" si="256"/>
        <v>0</v>
      </c>
      <c r="L208" s="124">
        <f t="shared" si="256"/>
        <v>0</v>
      </c>
      <c r="M208" s="124">
        <f t="shared" si="256"/>
        <v>0</v>
      </c>
      <c r="N208" s="124">
        <f t="shared" si="256"/>
        <v>0</v>
      </c>
      <c r="O208" s="124">
        <f t="shared" si="256"/>
        <v>0</v>
      </c>
      <c r="P208" s="1131">
        <f t="shared" si="256"/>
        <v>0</v>
      </c>
      <c r="Q208" s="124">
        <f t="shared" si="256"/>
        <v>0</v>
      </c>
      <c r="R208" s="124">
        <f t="shared" si="256"/>
        <v>0</v>
      </c>
      <c r="S208" s="124">
        <f t="shared" si="256"/>
        <v>0</v>
      </c>
      <c r="T208" s="124">
        <f t="shared" si="256"/>
        <v>0</v>
      </c>
      <c r="U208" s="124">
        <f t="shared" si="256"/>
        <v>0</v>
      </c>
      <c r="V208" s="1131">
        <f t="shared" si="256"/>
        <v>0</v>
      </c>
      <c r="W208" s="124">
        <f t="shared" si="256"/>
        <v>0</v>
      </c>
      <c r="X208" s="124">
        <f t="shared" si="256"/>
        <v>0</v>
      </c>
      <c r="Y208" s="124">
        <f t="shared" si="256"/>
        <v>0</v>
      </c>
      <c r="Z208" s="124">
        <f t="shared" si="256"/>
        <v>0</v>
      </c>
      <c r="AA208" s="124">
        <f t="shared" si="256"/>
        <v>0</v>
      </c>
      <c r="AB208" s="124">
        <f t="shared" si="256"/>
        <v>0</v>
      </c>
      <c r="AC208" s="1131">
        <f t="shared" si="256"/>
        <v>0</v>
      </c>
      <c r="AD208" s="124">
        <f t="shared" si="256"/>
        <v>0</v>
      </c>
      <c r="AE208" s="124">
        <f t="shared" si="256"/>
        <v>0</v>
      </c>
      <c r="AF208" s="124">
        <f t="shared" si="256"/>
        <v>0</v>
      </c>
      <c r="AG208" s="1131">
        <f t="shared" si="256"/>
        <v>0</v>
      </c>
      <c r="AH208" s="124">
        <f t="shared" si="256"/>
        <v>0</v>
      </c>
      <c r="AI208" s="124">
        <f t="shared" si="256"/>
        <v>0</v>
      </c>
      <c r="AJ208" s="124">
        <f>SUM(E208:AI208)</f>
        <v>0</v>
      </c>
      <c r="AK208" s="124"/>
      <c r="AL208" s="479">
        <f>SUM(AL207:AL207)</f>
        <v>0</v>
      </c>
    </row>
    <row r="209" spans="1:38" s="82" customFormat="1" ht="35.25" customHeight="1" thickBot="1">
      <c r="A209" s="2001"/>
      <c r="B209" s="2014"/>
      <c r="C209" s="94" t="s">
        <v>311</v>
      </c>
      <c r="D209" s="1298"/>
      <c r="E209" s="1126"/>
      <c r="F209" s="95"/>
      <c r="G209" s="95"/>
      <c r="H209" s="1126"/>
      <c r="I209" s="95"/>
      <c r="J209" s="95"/>
      <c r="K209" s="95"/>
      <c r="L209" s="95"/>
      <c r="M209" s="95"/>
      <c r="N209" s="95"/>
      <c r="O209" s="95"/>
      <c r="P209" s="1126"/>
      <c r="Q209" s="95"/>
      <c r="R209" s="95"/>
      <c r="S209" s="95"/>
      <c r="T209" s="95"/>
      <c r="U209" s="95"/>
      <c r="V209" s="1126"/>
      <c r="W209" s="95"/>
      <c r="X209" s="95"/>
      <c r="Y209" s="95"/>
      <c r="Z209" s="95"/>
      <c r="AA209" s="95"/>
      <c r="AB209" s="95"/>
      <c r="AC209" s="1126"/>
      <c r="AD209" s="95"/>
      <c r="AE209" s="95"/>
      <c r="AF209" s="95"/>
      <c r="AG209" s="1126"/>
      <c r="AH209" s="95"/>
      <c r="AI209" s="95"/>
      <c r="AJ209" s="95">
        <f t="shared" ref="AJ209" si="257">SUM(E209:AI209)</f>
        <v>0</v>
      </c>
      <c r="AK209" s="96">
        <v>6000</v>
      </c>
      <c r="AL209" s="469">
        <f t="shared" ref="AL209" si="258">AJ209*AK209</f>
        <v>0</v>
      </c>
    </row>
    <row r="210" spans="1:38" s="90" customFormat="1" ht="48.75" customHeight="1" thickBot="1">
      <c r="A210" s="1996" t="s">
        <v>357</v>
      </c>
      <c r="B210" s="1997"/>
      <c r="C210" s="1997"/>
      <c r="D210" s="1998"/>
      <c r="E210" s="1121"/>
      <c r="F210" s="99"/>
      <c r="G210" s="99"/>
      <c r="H210" s="1121"/>
      <c r="I210" s="99"/>
      <c r="J210" s="99"/>
      <c r="K210" s="99"/>
      <c r="L210" s="99"/>
      <c r="M210" s="99"/>
      <c r="N210" s="99"/>
      <c r="O210" s="99"/>
      <c r="P210" s="1121"/>
      <c r="Q210" s="99"/>
      <c r="R210" s="99"/>
      <c r="S210" s="99"/>
      <c r="T210" s="99"/>
      <c r="U210" s="99"/>
      <c r="V210" s="1121"/>
      <c r="W210" s="99"/>
      <c r="X210" s="99"/>
      <c r="Y210" s="99"/>
      <c r="Z210" s="99"/>
      <c r="AA210" s="99"/>
      <c r="AB210" s="99"/>
      <c r="AC210" s="1121"/>
      <c r="AD210" s="99"/>
      <c r="AE210" s="99"/>
      <c r="AF210" s="99"/>
      <c r="AG210" s="1121"/>
      <c r="AH210" s="99"/>
      <c r="AI210" s="99"/>
      <c r="AJ210" s="99"/>
      <c r="AK210" s="189"/>
      <c r="AL210" s="481">
        <f>AL206+AL208+AL209</f>
        <v>391716</v>
      </c>
    </row>
    <row r="211" spans="1:38" ht="60" customHeight="1" thickBot="1">
      <c r="A211" s="2020" t="s">
        <v>563</v>
      </c>
      <c r="B211" s="2020"/>
      <c r="C211" s="2020"/>
      <c r="D211" s="2020"/>
    </row>
    <row r="212" spans="1:38" s="81" customFormat="1" ht="36" customHeight="1">
      <c r="A212" s="2002" t="s">
        <v>309</v>
      </c>
      <c r="B212" s="2008" t="s">
        <v>7</v>
      </c>
      <c r="C212" s="2004" t="s">
        <v>230</v>
      </c>
      <c r="D212" s="2005"/>
      <c r="E212" s="1117" t="s">
        <v>234</v>
      </c>
      <c r="F212" s="92"/>
      <c r="G212" s="92"/>
      <c r="H212" s="1135"/>
      <c r="I212" s="92"/>
      <c r="J212" s="92"/>
      <c r="K212" s="92"/>
      <c r="L212" s="92"/>
      <c r="M212" s="92"/>
      <c r="N212" s="92"/>
      <c r="O212" s="92"/>
      <c r="P212" s="1135"/>
      <c r="Q212" s="92"/>
      <c r="R212" s="92"/>
      <c r="S212" s="92"/>
      <c r="T212" s="92"/>
      <c r="U212" s="92"/>
      <c r="V212" s="1135"/>
      <c r="W212" s="92"/>
      <c r="X212" s="92"/>
      <c r="Y212" s="92"/>
      <c r="Z212" s="92"/>
      <c r="AA212" s="92"/>
      <c r="AB212" s="92"/>
      <c r="AC212" s="1135"/>
      <c r="AD212" s="92"/>
      <c r="AE212" s="92"/>
      <c r="AF212" s="92"/>
      <c r="AG212" s="1135"/>
      <c r="AH212" s="92"/>
      <c r="AI212" s="92"/>
      <c r="AJ212" s="1994" t="s">
        <v>38</v>
      </c>
      <c r="AK212" s="1994" t="s">
        <v>304</v>
      </c>
      <c r="AL212" s="468" t="s">
        <v>4</v>
      </c>
    </row>
    <row r="213" spans="1:38" s="81" customFormat="1" ht="36" customHeight="1" thickBot="1">
      <c r="A213" s="2003"/>
      <c r="B213" s="2014"/>
      <c r="C213" s="2006"/>
      <c r="D213" s="2007"/>
      <c r="E213" s="1118">
        <v>1</v>
      </c>
      <c r="F213" s="96">
        <v>2</v>
      </c>
      <c r="G213" s="96">
        <v>3</v>
      </c>
      <c r="H213" s="1118">
        <v>4</v>
      </c>
      <c r="I213" s="96">
        <v>5</v>
      </c>
      <c r="J213" s="96">
        <v>6</v>
      </c>
      <c r="K213" s="96">
        <v>7</v>
      </c>
      <c r="L213" s="96">
        <v>8</v>
      </c>
      <c r="M213" s="96">
        <v>9</v>
      </c>
      <c r="N213" s="96">
        <v>10</v>
      </c>
      <c r="O213" s="96">
        <v>11</v>
      </c>
      <c r="P213" s="1118">
        <v>12</v>
      </c>
      <c r="Q213" s="96">
        <v>13</v>
      </c>
      <c r="R213" s="96">
        <v>14</v>
      </c>
      <c r="S213" s="96">
        <v>15</v>
      </c>
      <c r="T213" s="96">
        <v>16</v>
      </c>
      <c r="U213" s="96">
        <v>17</v>
      </c>
      <c r="V213" s="1118">
        <v>18</v>
      </c>
      <c r="W213" s="96">
        <v>19</v>
      </c>
      <c r="X213" s="96">
        <v>20</v>
      </c>
      <c r="Y213" s="96">
        <v>21</v>
      </c>
      <c r="Z213" s="96">
        <v>22</v>
      </c>
      <c r="AA213" s="96">
        <v>23</v>
      </c>
      <c r="AB213" s="96">
        <v>24</v>
      </c>
      <c r="AC213" s="1118">
        <v>25</v>
      </c>
      <c r="AD213" s="96">
        <v>26</v>
      </c>
      <c r="AE213" s="96">
        <v>27</v>
      </c>
      <c r="AF213" s="96">
        <v>28</v>
      </c>
      <c r="AG213" s="1118">
        <v>29</v>
      </c>
      <c r="AH213" s="96">
        <v>30</v>
      </c>
      <c r="AI213" s="96">
        <v>31</v>
      </c>
      <c r="AJ213" s="1995"/>
      <c r="AK213" s="1995"/>
      <c r="AL213" s="469" t="s">
        <v>189</v>
      </c>
    </row>
    <row r="214" spans="1:38" s="106" customFormat="1" ht="24.75" customHeight="1">
      <c r="A214" s="1999" t="s">
        <v>563</v>
      </c>
      <c r="B214" s="2008" t="s">
        <v>562</v>
      </c>
      <c r="C214" s="102" t="s">
        <v>306</v>
      </c>
      <c r="D214" s="103"/>
      <c r="E214" s="1119"/>
      <c r="F214" s="104">
        <v>5.4</v>
      </c>
      <c r="G214" s="104">
        <v>7.26</v>
      </c>
      <c r="H214" s="1119"/>
      <c r="I214" s="104">
        <f>4.6+5.17+5.35</f>
        <v>15.12</v>
      </c>
      <c r="J214" s="104">
        <f>7.07+5.28+6.17</f>
        <v>18.520000000000003</v>
      </c>
      <c r="K214" s="104">
        <v>5.64</v>
      </c>
      <c r="L214" s="104">
        <v>6.04</v>
      </c>
      <c r="M214" s="104"/>
      <c r="N214" s="104">
        <v>8.08</v>
      </c>
      <c r="O214" s="104"/>
      <c r="P214" s="1119"/>
      <c r="Q214" s="104">
        <v>6.14</v>
      </c>
      <c r="R214" s="104">
        <f>5.34+7.17</f>
        <v>12.51</v>
      </c>
      <c r="S214" s="104">
        <f>5.17+5.67</f>
        <v>10.84</v>
      </c>
      <c r="T214" s="104">
        <f>6.87+7.77</f>
        <v>14.64</v>
      </c>
      <c r="U214" s="104">
        <f>4.35+4.8</f>
        <v>9.1499999999999986</v>
      </c>
      <c r="V214" s="1119"/>
      <c r="W214" s="104">
        <f>6.32+5.25+6.65</f>
        <v>18.22</v>
      </c>
      <c r="X214" s="104">
        <v>8.82</v>
      </c>
      <c r="Y214" s="104">
        <f>5.13+3.21</f>
        <v>8.34</v>
      </c>
      <c r="Z214" s="104">
        <f>5.82+7</f>
        <v>12.82</v>
      </c>
      <c r="AA214" s="104">
        <f>5.91+5.16</f>
        <v>11.07</v>
      </c>
      <c r="AB214" s="104"/>
      <c r="AC214" s="1119"/>
      <c r="AD214" s="104">
        <f>6.11+5.12</f>
        <v>11.23</v>
      </c>
      <c r="AE214" s="104">
        <v>7.49</v>
      </c>
      <c r="AF214" s="104">
        <f>7.88+6.53+5.2</f>
        <v>19.61</v>
      </c>
      <c r="AG214" s="1119"/>
      <c r="AH214" s="104">
        <f>5.43+5.73+6.04</f>
        <v>17.2</v>
      </c>
      <c r="AI214" s="104">
        <f>6.29+6.65+6.03+6.87</f>
        <v>25.840000000000003</v>
      </c>
      <c r="AJ214" s="107"/>
      <c r="AK214" s="108"/>
      <c r="AL214" s="470"/>
    </row>
    <row r="215" spans="1:38" s="106" customFormat="1" ht="24.75" customHeight="1" thickBot="1">
      <c r="A215" s="2000"/>
      <c r="B215" s="2009"/>
      <c r="C215" s="2023" t="s">
        <v>317</v>
      </c>
      <c r="D215" s="2024"/>
      <c r="E215" s="1120"/>
      <c r="F215" s="105">
        <v>6</v>
      </c>
      <c r="G215" s="105">
        <v>6</v>
      </c>
      <c r="H215" s="1120"/>
      <c r="I215" s="105">
        <v>6</v>
      </c>
      <c r="J215" s="105">
        <v>6</v>
      </c>
      <c r="K215" s="105">
        <v>6</v>
      </c>
      <c r="L215" s="105">
        <v>6</v>
      </c>
      <c r="M215" s="105"/>
      <c r="N215" s="105">
        <v>6</v>
      </c>
      <c r="O215" s="105"/>
      <c r="P215" s="1120"/>
      <c r="Q215" s="105">
        <v>6</v>
      </c>
      <c r="R215" s="105">
        <v>6</v>
      </c>
      <c r="S215" s="105">
        <v>6</v>
      </c>
      <c r="T215" s="105">
        <v>6</v>
      </c>
      <c r="U215" s="105">
        <v>6</v>
      </c>
      <c r="V215" s="1120"/>
      <c r="W215" s="105">
        <v>6</v>
      </c>
      <c r="X215" s="105">
        <v>6</v>
      </c>
      <c r="Y215" s="105">
        <v>6</v>
      </c>
      <c r="Z215" s="105">
        <v>6</v>
      </c>
      <c r="AA215" s="105">
        <v>6</v>
      </c>
      <c r="AB215" s="105"/>
      <c r="AC215" s="1120"/>
      <c r="AD215" s="105">
        <v>6</v>
      </c>
      <c r="AE215" s="105">
        <v>6</v>
      </c>
      <c r="AF215" s="105">
        <v>6</v>
      </c>
      <c r="AG215" s="1120"/>
      <c r="AH215" s="105">
        <v>6</v>
      </c>
      <c r="AI215" s="105">
        <v>6</v>
      </c>
      <c r="AJ215" s="105">
        <f t="shared" ref="AJ215:AJ220" si="259">SUM(E215:AI215)</f>
        <v>132</v>
      </c>
      <c r="AK215" s="105"/>
      <c r="AL215" s="471"/>
    </row>
    <row r="216" spans="1:38" s="90" customFormat="1" ht="23.25" customHeight="1" thickBot="1">
      <c r="A216" s="2000"/>
      <c r="B216" s="2009"/>
      <c r="C216" s="2025" t="s">
        <v>310</v>
      </c>
      <c r="D216" s="2026"/>
      <c r="E216" s="1121">
        <f>E214-E215</f>
        <v>0</v>
      </c>
      <c r="F216" s="99">
        <f>F214-F215</f>
        <v>-0.59999999999999964</v>
      </c>
      <c r="G216" s="99">
        <f t="shared" ref="G216:I216" si="260">G214-G215</f>
        <v>1.2599999999999998</v>
      </c>
      <c r="H216" s="1121">
        <f t="shared" si="260"/>
        <v>0</v>
      </c>
      <c r="I216" s="99">
        <f t="shared" si="260"/>
        <v>9.1199999999999992</v>
      </c>
      <c r="J216" s="99">
        <f>J214-J215</f>
        <v>12.520000000000003</v>
      </c>
      <c r="K216" s="99">
        <f>K214-K215</f>
        <v>-0.36000000000000032</v>
      </c>
      <c r="L216" s="99">
        <f>L214-L215</f>
        <v>4.0000000000000036E-2</v>
      </c>
      <c r="M216" s="99">
        <f t="shared" ref="M216:O216" si="261">M214-M215</f>
        <v>0</v>
      </c>
      <c r="N216" s="99">
        <f t="shared" si="261"/>
        <v>2.08</v>
      </c>
      <c r="O216" s="99">
        <f t="shared" si="261"/>
        <v>0</v>
      </c>
      <c r="P216" s="1121">
        <f>P214-P215</f>
        <v>0</v>
      </c>
      <c r="Q216" s="99">
        <f t="shared" ref="Q216" si="262">Q214-Q215</f>
        <v>0.13999999999999968</v>
      </c>
      <c r="R216" s="99">
        <f t="shared" ref="R216" si="263">R214-R215</f>
        <v>6.51</v>
      </c>
      <c r="S216" s="99">
        <f>S214-S215</f>
        <v>4.84</v>
      </c>
      <c r="T216" s="99">
        <f t="shared" ref="T216:AI216" si="264">T214-T215</f>
        <v>8.64</v>
      </c>
      <c r="U216" s="99">
        <f t="shared" si="264"/>
        <v>3.1499999999999986</v>
      </c>
      <c r="V216" s="1121">
        <f t="shared" si="264"/>
        <v>0</v>
      </c>
      <c r="W216" s="99">
        <f t="shared" si="264"/>
        <v>12.219999999999999</v>
      </c>
      <c r="X216" s="99">
        <f t="shared" si="264"/>
        <v>2.8200000000000003</v>
      </c>
      <c r="Y216" s="99">
        <f t="shared" si="264"/>
        <v>2.34</v>
      </c>
      <c r="Z216" s="99">
        <f t="shared" si="264"/>
        <v>6.82</v>
      </c>
      <c r="AA216" s="99">
        <f>AA214-AA215</f>
        <v>5.07</v>
      </c>
      <c r="AB216" s="99">
        <f t="shared" si="264"/>
        <v>0</v>
      </c>
      <c r="AC216" s="1121">
        <f t="shared" si="264"/>
        <v>0</v>
      </c>
      <c r="AD216" s="99">
        <f t="shared" si="264"/>
        <v>5.23</v>
      </c>
      <c r="AE216" s="99">
        <f t="shared" si="264"/>
        <v>1.4900000000000002</v>
      </c>
      <c r="AF216" s="99">
        <f>AF214-AF215</f>
        <v>13.61</v>
      </c>
      <c r="AG216" s="1121">
        <f t="shared" si="264"/>
        <v>0</v>
      </c>
      <c r="AH216" s="99">
        <f t="shared" si="264"/>
        <v>11.2</v>
      </c>
      <c r="AI216" s="99">
        <f t="shared" si="264"/>
        <v>19.840000000000003</v>
      </c>
      <c r="AJ216" s="99">
        <f t="shared" si="259"/>
        <v>127.97999999999999</v>
      </c>
      <c r="AK216" s="99"/>
      <c r="AL216" s="472"/>
    </row>
    <row r="217" spans="1:38" s="82" customFormat="1" ht="33" customHeight="1">
      <c r="A217" s="2000"/>
      <c r="B217" s="2009"/>
      <c r="C217" s="100" t="s">
        <v>312</v>
      </c>
      <c r="D217" s="2017" t="s">
        <v>298</v>
      </c>
      <c r="E217" s="1122"/>
      <c r="F217" s="91"/>
      <c r="G217" s="91"/>
      <c r="H217" s="1122"/>
      <c r="I217" s="91"/>
      <c r="J217" s="91"/>
      <c r="K217" s="91"/>
      <c r="L217" s="91"/>
      <c r="M217" s="91"/>
      <c r="N217" s="91"/>
      <c r="O217" s="91"/>
      <c r="P217" s="1122"/>
      <c r="Q217" s="91"/>
      <c r="R217" s="91"/>
      <c r="S217" s="91"/>
      <c r="T217" s="91"/>
      <c r="U217" s="91"/>
      <c r="V217" s="1122"/>
      <c r="W217" s="91"/>
      <c r="X217" s="91"/>
      <c r="Y217" s="91"/>
      <c r="Z217" s="91"/>
      <c r="AA217" s="91"/>
      <c r="AB217" s="91"/>
      <c r="AC217" s="1122"/>
      <c r="AD217" s="91"/>
      <c r="AE217" s="91"/>
      <c r="AF217" s="91"/>
      <c r="AG217" s="1122"/>
      <c r="AH217" s="91"/>
      <c r="AI217" s="91"/>
      <c r="AJ217" s="91">
        <f t="shared" si="259"/>
        <v>0</v>
      </c>
      <c r="AK217" s="92">
        <v>5500</v>
      </c>
      <c r="AL217" s="468">
        <f>AJ217*AK217</f>
        <v>0</v>
      </c>
    </row>
    <row r="218" spans="1:38" s="82" customFormat="1" ht="33" customHeight="1">
      <c r="A218" s="2000"/>
      <c r="B218" s="2009"/>
      <c r="C218" s="89" t="s">
        <v>314</v>
      </c>
      <c r="D218" s="2018"/>
      <c r="E218" s="1123"/>
      <c r="F218" s="83"/>
      <c r="G218" s="83"/>
      <c r="H218" s="1123"/>
      <c r="I218" s="83">
        <v>4.5599999999999996</v>
      </c>
      <c r="J218" s="83"/>
      <c r="K218" s="83"/>
      <c r="L218" s="83"/>
      <c r="M218" s="83"/>
      <c r="N218" s="83"/>
      <c r="O218" s="83"/>
      <c r="P218" s="1123"/>
      <c r="Q218" s="83"/>
      <c r="R218" s="83"/>
      <c r="S218" s="83"/>
      <c r="T218" s="83"/>
      <c r="U218" s="83"/>
      <c r="V218" s="1123"/>
      <c r="W218" s="83"/>
      <c r="X218" s="83"/>
      <c r="Y218" s="83"/>
      <c r="Z218" s="83">
        <v>3.41</v>
      </c>
      <c r="AA218" s="83"/>
      <c r="AB218" s="83"/>
      <c r="AC218" s="1123"/>
      <c r="AD218" s="83"/>
      <c r="AE218" s="83"/>
      <c r="AF218" s="83"/>
      <c r="AG218" s="1123"/>
      <c r="AH218" s="83"/>
      <c r="AI218" s="83"/>
      <c r="AJ218" s="83">
        <f t="shared" si="259"/>
        <v>7.97</v>
      </c>
      <c r="AK218" s="85">
        <v>11500</v>
      </c>
      <c r="AL218" s="473">
        <f>AJ218*AK218</f>
        <v>91655</v>
      </c>
    </row>
    <row r="219" spans="1:38" s="90" customFormat="1" ht="33" customHeight="1">
      <c r="A219" s="2000"/>
      <c r="B219" s="2009"/>
      <c r="C219" s="109" t="s">
        <v>299</v>
      </c>
      <c r="D219" s="2018"/>
      <c r="E219" s="1127"/>
      <c r="F219" s="110"/>
      <c r="G219" s="110"/>
      <c r="H219" s="1127"/>
      <c r="I219" s="110"/>
      <c r="J219" s="110"/>
      <c r="K219" s="110"/>
      <c r="L219" s="110"/>
      <c r="M219" s="110"/>
      <c r="N219" s="110"/>
      <c r="O219" s="110"/>
      <c r="P219" s="1127"/>
      <c r="Q219" s="110"/>
      <c r="R219" s="110"/>
      <c r="S219" s="110"/>
      <c r="T219" s="110"/>
      <c r="U219" s="110"/>
      <c r="V219" s="1127"/>
      <c r="W219" s="110"/>
      <c r="X219" s="110"/>
      <c r="Y219" s="110"/>
      <c r="Z219" s="110"/>
      <c r="AA219" s="110"/>
      <c r="AB219" s="110"/>
      <c r="AC219" s="1127"/>
      <c r="AD219" s="110"/>
      <c r="AE219" s="110"/>
      <c r="AF219" s="110"/>
      <c r="AG219" s="1127"/>
      <c r="AH219" s="110"/>
      <c r="AI219" s="110"/>
      <c r="AJ219" s="110">
        <f t="shared" si="259"/>
        <v>0</v>
      </c>
      <c r="AK219" s="111">
        <v>16000</v>
      </c>
      <c r="AL219" s="474">
        <f t="shared" ref="AL219:AL222" si="265">AJ219*AK219</f>
        <v>0</v>
      </c>
    </row>
    <row r="220" spans="1:38" s="90" customFormat="1" ht="33" customHeight="1">
      <c r="A220" s="2000"/>
      <c r="B220" s="2009"/>
      <c r="C220" s="112" t="s">
        <v>301</v>
      </c>
      <c r="D220" s="2018"/>
      <c r="E220" s="1124"/>
      <c r="F220" s="113"/>
      <c r="G220" s="113">
        <v>0.63</v>
      </c>
      <c r="H220" s="1127"/>
      <c r="I220" s="113"/>
      <c r="J220" s="113"/>
      <c r="K220" s="113"/>
      <c r="L220" s="113"/>
      <c r="M220" s="113"/>
      <c r="N220" s="113"/>
      <c r="O220" s="113"/>
      <c r="P220" s="1124"/>
      <c r="Q220" s="113">
        <v>7.0000000000000007E-2</v>
      </c>
      <c r="R220" s="113">
        <v>3.26</v>
      </c>
      <c r="S220" s="113">
        <v>2.42</v>
      </c>
      <c r="T220" s="113"/>
      <c r="U220" s="113"/>
      <c r="V220" s="1124"/>
      <c r="W220" s="113">
        <v>5</v>
      </c>
      <c r="X220" s="113">
        <v>1.41</v>
      </c>
      <c r="Y220" s="113">
        <v>1.17</v>
      </c>
      <c r="Z220" s="113"/>
      <c r="AA220" s="113">
        <v>2.54</v>
      </c>
      <c r="AB220" s="113"/>
      <c r="AC220" s="1124"/>
      <c r="AD220" s="113">
        <v>2.62</v>
      </c>
      <c r="AE220" s="113"/>
      <c r="AF220" s="113">
        <v>5</v>
      </c>
      <c r="AG220" s="1124"/>
      <c r="AH220" s="113">
        <v>5</v>
      </c>
      <c r="AI220" s="113">
        <v>5</v>
      </c>
      <c r="AJ220" s="113">
        <f t="shared" si="259"/>
        <v>34.120000000000005</v>
      </c>
      <c r="AK220" s="111">
        <v>16000</v>
      </c>
      <c r="AL220" s="474">
        <f t="shared" si="265"/>
        <v>545920.00000000012</v>
      </c>
    </row>
    <row r="221" spans="1:38" s="90" customFormat="1" ht="33" customHeight="1">
      <c r="A221" s="2000"/>
      <c r="B221" s="2009"/>
      <c r="C221" s="115" t="s">
        <v>303</v>
      </c>
      <c r="D221" s="2018"/>
      <c r="E221" s="1125"/>
      <c r="F221" s="113"/>
      <c r="G221" s="116"/>
      <c r="H221" s="1125"/>
      <c r="I221" s="116"/>
      <c r="J221" s="116">
        <v>5</v>
      </c>
      <c r="K221" s="116"/>
      <c r="L221" s="116">
        <v>0.02</v>
      </c>
      <c r="M221" s="116"/>
      <c r="N221" s="116">
        <v>1.04</v>
      </c>
      <c r="O221" s="116"/>
      <c r="P221" s="1125"/>
      <c r="Q221" s="116"/>
      <c r="R221" s="116"/>
      <c r="S221" s="116"/>
      <c r="T221" s="116"/>
      <c r="U221" s="116"/>
      <c r="V221" s="1125"/>
      <c r="W221" s="116"/>
      <c r="X221" s="116"/>
      <c r="Y221" s="116"/>
      <c r="Z221" s="116"/>
      <c r="AA221" s="116"/>
      <c r="AB221" s="116"/>
      <c r="AC221" s="1125"/>
      <c r="AD221" s="116"/>
      <c r="AE221" s="116">
        <v>0.75</v>
      </c>
      <c r="AF221" s="116"/>
      <c r="AG221" s="1125"/>
      <c r="AH221" s="116"/>
      <c r="AI221" s="116"/>
      <c r="AJ221" s="116">
        <f t="shared" ref="AJ221:AJ234" si="266">SUM(E221:AI221)</f>
        <v>6.81</v>
      </c>
      <c r="AK221" s="117">
        <v>20000</v>
      </c>
      <c r="AL221" s="474">
        <f t="shared" si="265"/>
        <v>136200</v>
      </c>
    </row>
    <row r="222" spans="1:38" s="82" customFormat="1" ht="33" customHeight="1" thickBot="1">
      <c r="A222" s="2000"/>
      <c r="B222" s="2009"/>
      <c r="C222" s="94" t="s">
        <v>313</v>
      </c>
      <c r="D222" s="2019"/>
      <c r="E222" s="1126"/>
      <c r="F222" s="95"/>
      <c r="G222" s="95"/>
      <c r="H222" s="1126"/>
      <c r="I222" s="95"/>
      <c r="J222" s="95"/>
      <c r="K222" s="95"/>
      <c r="L222" s="95"/>
      <c r="M222" s="95"/>
      <c r="N222" s="95"/>
      <c r="O222" s="95"/>
      <c r="P222" s="1126"/>
      <c r="Q222" s="95"/>
      <c r="R222" s="95"/>
      <c r="S222" s="95"/>
      <c r="T222" s="95"/>
      <c r="U222" s="95"/>
      <c r="V222" s="1126"/>
      <c r="W222" s="95"/>
      <c r="X222" s="95"/>
      <c r="Y222" s="95"/>
      <c r="Z222" s="95"/>
      <c r="AA222" s="95"/>
      <c r="AB222" s="95"/>
      <c r="AC222" s="1126"/>
      <c r="AD222" s="95"/>
      <c r="AE222" s="95"/>
      <c r="AF222" s="95"/>
      <c r="AG222" s="1126"/>
      <c r="AH222" s="95"/>
      <c r="AI222" s="95"/>
      <c r="AJ222" s="95">
        <f t="shared" si="266"/>
        <v>0</v>
      </c>
      <c r="AK222" s="96">
        <v>30000</v>
      </c>
      <c r="AL222" s="473">
        <f t="shared" si="265"/>
        <v>0</v>
      </c>
    </row>
    <row r="223" spans="1:38" s="82" customFormat="1" ht="33" customHeight="1">
      <c r="A223" s="2000"/>
      <c r="B223" s="2009"/>
      <c r="C223" s="100" t="s">
        <v>312</v>
      </c>
      <c r="D223" s="2017" t="s">
        <v>300</v>
      </c>
      <c r="E223" s="1122"/>
      <c r="F223" s="91"/>
      <c r="G223" s="91"/>
      <c r="H223" s="1122"/>
      <c r="I223" s="91"/>
      <c r="J223" s="91"/>
      <c r="K223" s="91"/>
      <c r="L223" s="91"/>
      <c r="M223" s="91"/>
      <c r="N223" s="91"/>
      <c r="O223" s="91"/>
      <c r="P223" s="1122"/>
      <c r="Q223" s="91"/>
      <c r="R223" s="91"/>
      <c r="S223" s="91"/>
      <c r="T223" s="91"/>
      <c r="U223" s="91"/>
      <c r="V223" s="1122"/>
      <c r="W223" s="91"/>
      <c r="X223" s="91"/>
      <c r="Y223" s="91"/>
      <c r="Z223" s="91"/>
      <c r="AA223" s="91"/>
      <c r="AB223" s="91"/>
      <c r="AC223" s="1122"/>
      <c r="AD223" s="91"/>
      <c r="AE223" s="91"/>
      <c r="AF223" s="91"/>
      <c r="AG223" s="1122"/>
      <c r="AH223" s="91"/>
      <c r="AI223" s="91"/>
      <c r="AJ223" s="91">
        <f t="shared" si="266"/>
        <v>0</v>
      </c>
      <c r="AK223" s="92">
        <v>14500</v>
      </c>
      <c r="AL223" s="468">
        <f>AJ223*AK223</f>
        <v>0</v>
      </c>
    </row>
    <row r="224" spans="1:38" s="82" customFormat="1" ht="33" customHeight="1">
      <c r="A224" s="2000"/>
      <c r="B224" s="2009"/>
      <c r="C224" s="89" t="s">
        <v>314</v>
      </c>
      <c r="D224" s="2018"/>
      <c r="E224" s="1123"/>
      <c r="F224" s="83"/>
      <c r="G224" s="83"/>
      <c r="H224" s="1123"/>
      <c r="I224" s="83"/>
      <c r="J224" s="83"/>
      <c r="K224" s="83"/>
      <c r="L224" s="83"/>
      <c r="M224" s="83"/>
      <c r="N224" s="83"/>
      <c r="O224" s="83"/>
      <c r="P224" s="1123"/>
      <c r="Q224" s="83"/>
      <c r="R224" s="83"/>
      <c r="S224" s="83"/>
      <c r="T224" s="83"/>
      <c r="U224" s="83"/>
      <c r="V224" s="1123"/>
      <c r="W224" s="83"/>
      <c r="X224" s="83"/>
      <c r="Y224" s="83"/>
      <c r="Z224" s="83"/>
      <c r="AA224" s="83"/>
      <c r="AB224" s="83"/>
      <c r="AC224" s="1123"/>
      <c r="AD224" s="83"/>
      <c r="AE224" s="83"/>
      <c r="AF224" s="83"/>
      <c r="AG224" s="1123"/>
      <c r="AH224" s="83"/>
      <c r="AI224" s="83"/>
      <c r="AJ224" s="83">
        <f t="shared" si="266"/>
        <v>0</v>
      </c>
      <c r="AK224" s="85">
        <v>17500</v>
      </c>
      <c r="AL224" s="473">
        <f>AJ224*AK224</f>
        <v>0</v>
      </c>
    </row>
    <row r="225" spans="1:38" s="90" customFormat="1" ht="33" customHeight="1">
      <c r="A225" s="2000"/>
      <c r="B225" s="2009"/>
      <c r="C225" s="109" t="s">
        <v>299</v>
      </c>
      <c r="D225" s="2018"/>
      <c r="E225" s="1127"/>
      <c r="F225" s="110"/>
      <c r="G225" s="110"/>
      <c r="H225" s="1127"/>
      <c r="I225" s="110"/>
      <c r="J225" s="110"/>
      <c r="K225" s="110"/>
      <c r="L225" s="110"/>
      <c r="M225" s="110"/>
      <c r="N225" s="110"/>
      <c r="O225" s="110"/>
      <c r="P225" s="1127"/>
      <c r="Q225" s="110"/>
      <c r="R225" s="110"/>
      <c r="S225" s="110"/>
      <c r="T225" s="110"/>
      <c r="U225" s="110"/>
      <c r="V225" s="1127"/>
      <c r="W225" s="110"/>
      <c r="X225" s="110"/>
      <c r="Y225" s="110"/>
      <c r="Z225" s="110"/>
      <c r="AA225" s="110"/>
      <c r="AB225" s="110"/>
      <c r="AC225" s="1127"/>
      <c r="AD225" s="110"/>
      <c r="AE225" s="110"/>
      <c r="AF225" s="110"/>
      <c r="AG225" s="1127"/>
      <c r="AH225" s="110"/>
      <c r="AI225" s="110"/>
      <c r="AJ225" s="110">
        <f t="shared" si="266"/>
        <v>0</v>
      </c>
      <c r="AK225" s="114">
        <v>20500</v>
      </c>
      <c r="AL225" s="474">
        <f t="shared" ref="AL225:AL228" si="267">AJ225*AK225</f>
        <v>0</v>
      </c>
    </row>
    <row r="226" spans="1:38" s="90" customFormat="1" ht="33" customHeight="1">
      <c r="A226" s="2000"/>
      <c r="B226" s="2009"/>
      <c r="C226" s="112" t="s">
        <v>301</v>
      </c>
      <c r="D226" s="2018"/>
      <c r="E226" s="1124"/>
      <c r="F226" s="113"/>
      <c r="G226" s="113"/>
      <c r="H226" s="1124"/>
      <c r="I226" s="113"/>
      <c r="J226" s="113"/>
      <c r="K226" s="113"/>
      <c r="L226" s="113"/>
      <c r="M226" s="113"/>
      <c r="N226" s="113"/>
      <c r="O226" s="113"/>
      <c r="P226" s="1124"/>
      <c r="Q226" s="113"/>
      <c r="R226" s="113"/>
      <c r="S226" s="113"/>
      <c r="T226" s="113"/>
      <c r="U226" s="113"/>
      <c r="V226" s="1124"/>
      <c r="W226" s="113">
        <v>1.1100000000000001</v>
      </c>
      <c r="X226" s="113"/>
      <c r="Y226" s="113"/>
      <c r="Z226" s="113"/>
      <c r="AA226" s="113"/>
      <c r="AB226" s="113"/>
      <c r="AC226" s="1124"/>
      <c r="AD226" s="113"/>
      <c r="AE226" s="113"/>
      <c r="AF226" s="113">
        <v>1.81</v>
      </c>
      <c r="AG226" s="1124"/>
      <c r="AH226" s="113">
        <v>0.6</v>
      </c>
      <c r="AI226" s="113">
        <v>4.92</v>
      </c>
      <c r="AJ226" s="113">
        <f t="shared" si="266"/>
        <v>8.44</v>
      </c>
      <c r="AK226" s="117">
        <v>20750</v>
      </c>
      <c r="AL226" s="474">
        <f t="shared" si="267"/>
        <v>175130</v>
      </c>
    </row>
    <row r="227" spans="1:38" s="90" customFormat="1" ht="33" customHeight="1">
      <c r="A227" s="2000"/>
      <c r="B227" s="2009"/>
      <c r="C227" s="115" t="s">
        <v>303</v>
      </c>
      <c r="D227" s="2018"/>
      <c r="E227" s="1125"/>
      <c r="F227" s="113"/>
      <c r="G227" s="116"/>
      <c r="H227" s="1125"/>
      <c r="I227" s="116"/>
      <c r="J227" s="116">
        <v>1.26</v>
      </c>
      <c r="K227" s="116"/>
      <c r="L227" s="116"/>
      <c r="M227" s="116"/>
      <c r="N227" s="116"/>
      <c r="O227" s="116"/>
      <c r="P227" s="1125"/>
      <c r="Q227" s="116"/>
      <c r="R227" s="116"/>
      <c r="S227" s="116"/>
      <c r="T227" s="116"/>
      <c r="U227" s="116"/>
      <c r="V227" s="1125"/>
      <c r="W227" s="116"/>
      <c r="X227" s="116"/>
      <c r="Y227" s="116"/>
      <c r="Z227" s="116"/>
      <c r="AA227" s="116"/>
      <c r="AB227" s="116"/>
      <c r="AC227" s="1125"/>
      <c r="AD227" s="116"/>
      <c r="AE227" s="116"/>
      <c r="AF227" s="116"/>
      <c r="AG227" s="1125"/>
      <c r="AH227" s="116"/>
      <c r="AI227" s="116"/>
      <c r="AJ227" s="116">
        <f t="shared" si="266"/>
        <v>1.26</v>
      </c>
      <c r="AK227" s="117">
        <v>25000</v>
      </c>
      <c r="AL227" s="474">
        <f t="shared" si="267"/>
        <v>31500</v>
      </c>
    </row>
    <row r="228" spans="1:38" s="82" customFormat="1" ht="33" customHeight="1" thickBot="1">
      <c r="A228" s="2000"/>
      <c r="B228" s="2009"/>
      <c r="C228" s="94" t="s">
        <v>313</v>
      </c>
      <c r="D228" s="2019"/>
      <c r="E228" s="1126"/>
      <c r="F228" s="95"/>
      <c r="G228" s="95"/>
      <c r="H228" s="1126"/>
      <c r="I228" s="95"/>
      <c r="J228" s="95"/>
      <c r="K228" s="95"/>
      <c r="L228" s="95"/>
      <c r="M228" s="95"/>
      <c r="N228" s="95"/>
      <c r="O228" s="95"/>
      <c r="P228" s="1126"/>
      <c r="Q228" s="95"/>
      <c r="R228" s="95"/>
      <c r="S228" s="95"/>
      <c r="T228" s="95"/>
      <c r="U228" s="95"/>
      <c r="V228" s="1126"/>
      <c r="W228" s="95"/>
      <c r="X228" s="95"/>
      <c r="Y228" s="95"/>
      <c r="Z228" s="95"/>
      <c r="AA228" s="95"/>
      <c r="AB228" s="95"/>
      <c r="AC228" s="1126"/>
      <c r="AD228" s="95"/>
      <c r="AE228" s="95"/>
      <c r="AF228" s="95"/>
      <c r="AG228" s="1126"/>
      <c r="AH228" s="95"/>
      <c r="AI228" s="95"/>
      <c r="AJ228" s="95">
        <f t="shared" si="266"/>
        <v>0</v>
      </c>
      <c r="AK228" s="96">
        <v>35000</v>
      </c>
      <c r="AL228" s="473">
        <f t="shared" si="267"/>
        <v>0</v>
      </c>
    </row>
    <row r="229" spans="1:38" s="82" customFormat="1" ht="33" customHeight="1">
      <c r="A229" s="2000"/>
      <c r="B229" s="2009"/>
      <c r="C229" s="100" t="s">
        <v>312</v>
      </c>
      <c r="D229" s="2017" t="s">
        <v>302</v>
      </c>
      <c r="E229" s="1122"/>
      <c r="F229" s="91"/>
      <c r="G229" s="91"/>
      <c r="H229" s="1122"/>
      <c r="I229" s="91"/>
      <c r="J229" s="91"/>
      <c r="K229" s="91"/>
      <c r="L229" s="91"/>
      <c r="M229" s="91"/>
      <c r="N229" s="91"/>
      <c r="O229" s="91"/>
      <c r="P229" s="1122"/>
      <c r="Q229" s="91"/>
      <c r="R229" s="91"/>
      <c r="S229" s="91"/>
      <c r="T229" s="91"/>
      <c r="U229" s="91"/>
      <c r="V229" s="1122"/>
      <c r="W229" s="91"/>
      <c r="X229" s="91"/>
      <c r="Y229" s="91"/>
      <c r="Z229" s="91"/>
      <c r="AA229" s="91"/>
      <c r="AB229" s="91"/>
      <c r="AC229" s="1122"/>
      <c r="AD229" s="91"/>
      <c r="AE229" s="91"/>
      <c r="AF229" s="91"/>
      <c r="AG229" s="1122"/>
      <c r="AH229" s="91"/>
      <c r="AI229" s="91"/>
      <c r="AJ229" s="91">
        <f t="shared" si="266"/>
        <v>0</v>
      </c>
      <c r="AK229" s="85">
        <v>16000</v>
      </c>
      <c r="AL229" s="468">
        <f>AJ229*AK229</f>
        <v>0</v>
      </c>
    </row>
    <row r="230" spans="1:38" s="82" customFormat="1" ht="33" customHeight="1">
      <c r="A230" s="2000"/>
      <c r="B230" s="2009"/>
      <c r="C230" s="89" t="s">
        <v>314</v>
      </c>
      <c r="D230" s="2018"/>
      <c r="E230" s="1123"/>
      <c r="F230" s="83"/>
      <c r="G230" s="83"/>
      <c r="H230" s="1123"/>
      <c r="I230" s="83"/>
      <c r="J230" s="83"/>
      <c r="K230" s="83"/>
      <c r="L230" s="83"/>
      <c r="M230" s="83"/>
      <c r="N230" s="83"/>
      <c r="O230" s="83"/>
      <c r="P230" s="1123"/>
      <c r="Q230" s="83"/>
      <c r="R230" s="83"/>
      <c r="S230" s="83"/>
      <c r="T230" s="83"/>
      <c r="U230" s="83"/>
      <c r="V230" s="1123"/>
      <c r="W230" s="83"/>
      <c r="X230" s="83"/>
      <c r="Y230" s="83"/>
      <c r="Z230" s="83"/>
      <c r="AA230" s="83"/>
      <c r="AB230" s="83"/>
      <c r="AC230" s="1123"/>
      <c r="AD230" s="83"/>
      <c r="AE230" s="83"/>
      <c r="AF230" s="83"/>
      <c r="AG230" s="1123"/>
      <c r="AH230" s="83"/>
      <c r="AI230" s="83"/>
      <c r="AJ230" s="83">
        <f t="shared" si="266"/>
        <v>0</v>
      </c>
      <c r="AK230" s="85">
        <v>19000</v>
      </c>
      <c r="AL230" s="473">
        <f>AJ230*AK230</f>
        <v>0</v>
      </c>
    </row>
    <row r="231" spans="1:38" s="90" customFormat="1" ht="33" customHeight="1">
      <c r="A231" s="2000"/>
      <c r="B231" s="2009"/>
      <c r="C231" s="109" t="s">
        <v>299</v>
      </c>
      <c r="D231" s="2018"/>
      <c r="E231" s="1127"/>
      <c r="F231" s="110"/>
      <c r="G231" s="110"/>
      <c r="H231" s="1127"/>
      <c r="I231" s="110"/>
      <c r="J231" s="110"/>
      <c r="K231" s="110"/>
      <c r="L231" s="110"/>
      <c r="M231" s="110"/>
      <c r="N231" s="110"/>
      <c r="O231" s="110"/>
      <c r="P231" s="1127"/>
      <c r="Q231" s="110"/>
      <c r="R231" s="110"/>
      <c r="S231" s="110"/>
      <c r="T231" s="110"/>
      <c r="U231" s="110"/>
      <c r="V231" s="1127"/>
      <c r="W231" s="110"/>
      <c r="X231" s="110"/>
      <c r="Y231" s="110"/>
      <c r="Z231" s="110"/>
      <c r="AA231" s="110"/>
      <c r="AB231" s="110"/>
      <c r="AC231" s="1127"/>
      <c r="AD231" s="110"/>
      <c r="AE231" s="110"/>
      <c r="AF231" s="110"/>
      <c r="AG231" s="1127"/>
      <c r="AH231" s="110"/>
      <c r="AI231" s="110"/>
      <c r="AJ231" s="110">
        <f t="shared" si="266"/>
        <v>0</v>
      </c>
      <c r="AK231" s="111">
        <v>22000</v>
      </c>
      <c r="AL231" s="474">
        <f t="shared" ref="AL231:AL234" si="268">AJ231*AK231</f>
        <v>0</v>
      </c>
    </row>
    <row r="232" spans="1:38" s="90" customFormat="1" ht="33" customHeight="1">
      <c r="A232" s="2000"/>
      <c r="B232" s="2009"/>
      <c r="C232" s="112" t="s">
        <v>301</v>
      </c>
      <c r="D232" s="2018"/>
      <c r="E232" s="1124"/>
      <c r="F232" s="113"/>
      <c r="G232" s="113"/>
      <c r="H232" s="1124"/>
      <c r="I232" s="113"/>
      <c r="J232" s="113"/>
      <c r="K232" s="113"/>
      <c r="L232" s="113"/>
      <c r="M232" s="113"/>
      <c r="N232" s="113"/>
      <c r="O232" s="113"/>
      <c r="P232" s="1124"/>
      <c r="Q232" s="113"/>
      <c r="R232" s="113"/>
      <c r="S232" s="113"/>
      <c r="T232" s="113"/>
      <c r="U232" s="113"/>
      <c r="V232" s="1124"/>
      <c r="W232" s="113"/>
      <c r="X232" s="113"/>
      <c r="Y232" s="113"/>
      <c r="Z232" s="113"/>
      <c r="AA232" s="113"/>
      <c r="AB232" s="113"/>
      <c r="AC232" s="1124"/>
      <c r="AD232" s="113"/>
      <c r="AE232" s="113"/>
      <c r="AF232" s="113"/>
      <c r="AG232" s="1124"/>
      <c r="AH232" s="113"/>
      <c r="AI232" s="113"/>
      <c r="AJ232" s="113">
        <f t="shared" si="266"/>
        <v>0</v>
      </c>
      <c r="AK232" s="111">
        <v>23000</v>
      </c>
      <c r="AL232" s="474">
        <f t="shared" si="268"/>
        <v>0</v>
      </c>
    </row>
    <row r="233" spans="1:38" s="90" customFormat="1" ht="33" customHeight="1">
      <c r="A233" s="2000"/>
      <c r="B233" s="2009"/>
      <c r="C233" s="115" t="s">
        <v>303</v>
      </c>
      <c r="D233" s="2018"/>
      <c r="E233" s="1125"/>
      <c r="F233" s="113"/>
      <c r="G233" s="116"/>
      <c r="H233" s="1125"/>
      <c r="I233" s="116"/>
      <c r="J233" s="116"/>
      <c r="K233" s="116"/>
      <c r="L233" s="116"/>
      <c r="M233" s="116"/>
      <c r="N233" s="116"/>
      <c r="O233" s="116"/>
      <c r="P233" s="1125"/>
      <c r="Q233" s="116"/>
      <c r="R233" s="116"/>
      <c r="S233" s="116"/>
      <c r="T233" s="116"/>
      <c r="U233" s="116"/>
      <c r="V233" s="1125"/>
      <c r="W233" s="116"/>
      <c r="X233" s="116"/>
      <c r="Y233" s="116"/>
      <c r="Z233" s="116"/>
      <c r="AA233" s="116"/>
      <c r="AB233" s="116"/>
      <c r="AC233" s="1125"/>
      <c r="AD233" s="116"/>
      <c r="AE233" s="116"/>
      <c r="AF233" s="116"/>
      <c r="AG233" s="1125"/>
      <c r="AH233" s="116"/>
      <c r="AI233" s="116"/>
      <c r="AJ233" s="116">
        <f t="shared" si="266"/>
        <v>0</v>
      </c>
      <c r="AK233" s="114">
        <v>30000</v>
      </c>
      <c r="AL233" s="474">
        <f t="shared" si="268"/>
        <v>0</v>
      </c>
    </row>
    <row r="234" spans="1:38" s="82" customFormat="1" ht="33" customHeight="1" thickBot="1">
      <c r="A234" s="2000"/>
      <c r="B234" s="2009"/>
      <c r="C234" s="94" t="s">
        <v>313</v>
      </c>
      <c r="D234" s="2019"/>
      <c r="E234" s="1126"/>
      <c r="F234" s="95"/>
      <c r="G234" s="95"/>
      <c r="H234" s="1126"/>
      <c r="I234" s="95"/>
      <c r="J234" s="95"/>
      <c r="K234" s="95"/>
      <c r="L234" s="95"/>
      <c r="M234" s="95"/>
      <c r="N234" s="95"/>
      <c r="O234" s="95"/>
      <c r="P234" s="1126"/>
      <c r="Q234" s="95"/>
      <c r="R234" s="95"/>
      <c r="S234" s="95"/>
      <c r="T234" s="95"/>
      <c r="U234" s="95"/>
      <c r="V234" s="1126"/>
      <c r="W234" s="95"/>
      <c r="X234" s="95"/>
      <c r="Y234" s="95"/>
      <c r="Z234" s="95"/>
      <c r="AA234" s="95"/>
      <c r="AB234" s="95"/>
      <c r="AC234" s="1126"/>
      <c r="AD234" s="95"/>
      <c r="AE234" s="95"/>
      <c r="AF234" s="95"/>
      <c r="AG234" s="1126"/>
      <c r="AH234" s="95"/>
      <c r="AI234" s="95"/>
      <c r="AJ234" s="95">
        <f t="shared" si="266"/>
        <v>0</v>
      </c>
      <c r="AK234" s="98">
        <v>40000</v>
      </c>
      <c r="AL234" s="473">
        <f t="shared" si="268"/>
        <v>0</v>
      </c>
    </row>
    <row r="235" spans="1:38" s="127" customFormat="1" ht="28.5" customHeight="1" thickBot="1">
      <c r="A235" s="2000"/>
      <c r="B235" s="2009"/>
      <c r="C235" s="2021" t="s">
        <v>323</v>
      </c>
      <c r="D235" s="2022"/>
      <c r="E235" s="1128">
        <f t="shared" ref="E235:AJ235" si="269">SUM(E217:E234)</f>
        <v>0</v>
      </c>
      <c r="F235" s="126">
        <f t="shared" si="269"/>
        <v>0</v>
      </c>
      <c r="G235" s="126">
        <f t="shared" si="269"/>
        <v>0.63</v>
      </c>
      <c r="H235" s="1128">
        <f t="shared" si="269"/>
        <v>0</v>
      </c>
      <c r="I235" s="126">
        <f t="shared" si="269"/>
        <v>4.5599999999999996</v>
      </c>
      <c r="J235" s="126">
        <f t="shared" si="269"/>
        <v>6.26</v>
      </c>
      <c r="K235" s="126">
        <f t="shared" si="269"/>
        <v>0</v>
      </c>
      <c r="L235" s="126">
        <f t="shared" si="269"/>
        <v>0.02</v>
      </c>
      <c r="M235" s="126">
        <f t="shared" si="269"/>
        <v>0</v>
      </c>
      <c r="N235" s="126">
        <f t="shared" si="269"/>
        <v>1.04</v>
      </c>
      <c r="O235" s="126">
        <f t="shared" si="269"/>
        <v>0</v>
      </c>
      <c r="P235" s="1128">
        <f t="shared" si="269"/>
        <v>0</v>
      </c>
      <c r="Q235" s="126">
        <f t="shared" ref="Q235" si="270">SUM(Q217:Q234)</f>
        <v>7.0000000000000007E-2</v>
      </c>
      <c r="R235" s="126">
        <f t="shared" ref="R235" si="271">SUM(R217:R234)</f>
        <v>3.26</v>
      </c>
      <c r="S235" s="126">
        <f t="shared" si="269"/>
        <v>2.42</v>
      </c>
      <c r="T235" s="126">
        <f t="shared" si="269"/>
        <v>0</v>
      </c>
      <c r="U235" s="126">
        <f t="shared" si="269"/>
        <v>0</v>
      </c>
      <c r="V235" s="1128">
        <f t="shared" si="269"/>
        <v>0</v>
      </c>
      <c r="W235" s="126">
        <f t="shared" si="269"/>
        <v>6.11</v>
      </c>
      <c r="X235" s="126">
        <f t="shared" si="269"/>
        <v>1.41</v>
      </c>
      <c r="Y235" s="126">
        <f t="shared" si="269"/>
        <v>1.17</v>
      </c>
      <c r="Z235" s="126">
        <f t="shared" si="269"/>
        <v>3.41</v>
      </c>
      <c r="AA235" s="126">
        <f t="shared" si="269"/>
        <v>2.54</v>
      </c>
      <c r="AB235" s="126">
        <f t="shared" si="269"/>
        <v>0</v>
      </c>
      <c r="AC235" s="1128">
        <f t="shared" si="269"/>
        <v>0</v>
      </c>
      <c r="AD235" s="126">
        <f t="shared" si="269"/>
        <v>2.62</v>
      </c>
      <c r="AE235" s="126">
        <f t="shared" si="269"/>
        <v>0.75</v>
      </c>
      <c r="AF235" s="126">
        <f t="shared" si="269"/>
        <v>6.8100000000000005</v>
      </c>
      <c r="AG235" s="1128">
        <f t="shared" si="269"/>
        <v>0</v>
      </c>
      <c r="AH235" s="126">
        <f t="shared" si="269"/>
        <v>5.6</v>
      </c>
      <c r="AI235" s="126">
        <f t="shared" si="269"/>
        <v>9.92</v>
      </c>
      <c r="AJ235" s="126">
        <f t="shared" si="269"/>
        <v>58.6</v>
      </c>
      <c r="AK235" s="126"/>
      <c r="AL235" s="478">
        <f>SUM(AL217:AL234)</f>
        <v>980405.00000000012</v>
      </c>
    </row>
    <row r="236" spans="1:38" s="82" customFormat="1" ht="35.25" customHeight="1">
      <c r="A236" s="2000"/>
      <c r="B236" s="2009"/>
      <c r="C236" s="93" t="s">
        <v>271</v>
      </c>
      <c r="D236" s="1296"/>
      <c r="E236" s="1123"/>
      <c r="F236" s="84"/>
      <c r="G236" s="84"/>
      <c r="H236" s="1130"/>
      <c r="I236" s="84">
        <v>50</v>
      </c>
      <c r="J236" s="84">
        <v>55</v>
      </c>
      <c r="K236" s="84"/>
      <c r="L236" s="83">
        <v>50</v>
      </c>
      <c r="M236" s="84"/>
      <c r="N236" s="84"/>
      <c r="O236" s="84"/>
      <c r="P236" s="1130"/>
      <c r="Q236" s="84"/>
      <c r="R236" s="84"/>
      <c r="S236" s="83"/>
      <c r="T236" s="84"/>
      <c r="U236" s="84"/>
      <c r="V236" s="1130"/>
      <c r="W236" s="84"/>
      <c r="X236" s="84"/>
      <c r="Y236" s="84"/>
      <c r="Z236" s="83"/>
      <c r="AA236" s="84"/>
      <c r="AB236" s="84"/>
      <c r="AC236" s="1130"/>
      <c r="AD236" s="84">
        <v>60</v>
      </c>
      <c r="AE236" s="84"/>
      <c r="AF236" s="84"/>
      <c r="AG236" s="1123"/>
      <c r="AH236" s="84"/>
      <c r="AI236" s="84"/>
      <c r="AJ236" s="84">
        <f t="shared" ref="AJ236" si="272">SUM(E236:AI236)</f>
        <v>215</v>
      </c>
      <c r="AK236" s="87">
        <v>200</v>
      </c>
      <c r="AL236" s="471">
        <f>AJ236*AK236</f>
        <v>43000</v>
      </c>
    </row>
    <row r="237" spans="1:38" s="82" customFormat="1" ht="35.25" customHeight="1">
      <c r="A237" s="2000"/>
      <c r="B237" s="2009"/>
      <c r="C237" s="65" t="s">
        <v>307</v>
      </c>
      <c r="D237" s="1295"/>
      <c r="E237" s="1123"/>
      <c r="F237" s="83">
        <v>2.99</v>
      </c>
      <c r="G237" s="83">
        <v>8.91</v>
      </c>
      <c r="H237" s="1123"/>
      <c r="I237" s="83"/>
      <c r="J237" s="83"/>
      <c r="K237" s="753"/>
      <c r="L237" s="83"/>
      <c r="M237" s="83"/>
      <c r="N237" s="83"/>
      <c r="O237" s="83"/>
      <c r="P237" s="1123"/>
      <c r="Q237" s="83"/>
      <c r="R237" s="83"/>
      <c r="S237" s="83"/>
      <c r="U237" s="83"/>
      <c r="V237" s="1123"/>
      <c r="W237" s="83"/>
      <c r="X237" s="83"/>
      <c r="Y237" s="83"/>
      <c r="Z237" s="83"/>
      <c r="AA237" s="83">
        <v>3.65</v>
      </c>
      <c r="AB237" s="83"/>
      <c r="AC237" s="1123"/>
      <c r="AD237" s="83"/>
      <c r="AE237" s="83">
        <v>4.13</v>
      </c>
      <c r="AF237" s="83"/>
      <c r="AG237" s="1123"/>
      <c r="AH237" s="83"/>
      <c r="AI237" s="83"/>
      <c r="AJ237" s="83">
        <f t="shared" ref="AJ237:AJ239" si="273">SUM(E237:AI237)</f>
        <v>19.68</v>
      </c>
      <c r="AK237" s="85">
        <v>15000</v>
      </c>
      <c r="AL237" s="482">
        <f>AJ237*AK237</f>
        <v>295200</v>
      </c>
    </row>
    <row r="238" spans="1:38" s="82" customFormat="1" ht="35.25" customHeight="1" thickBot="1">
      <c r="A238" s="2000"/>
      <c r="B238" s="2009"/>
      <c r="C238" s="119" t="s">
        <v>308</v>
      </c>
      <c r="D238" s="1297"/>
      <c r="E238" s="1129"/>
      <c r="F238" s="86"/>
      <c r="G238" s="86"/>
      <c r="H238" s="1129"/>
      <c r="I238" s="86"/>
      <c r="J238" s="86"/>
      <c r="K238" s="86"/>
      <c r="L238" s="86"/>
      <c r="M238" s="86"/>
      <c r="N238" s="86"/>
      <c r="O238" s="86"/>
      <c r="P238" s="1130"/>
      <c r="Q238" s="86"/>
      <c r="R238" s="86"/>
      <c r="S238" s="86"/>
      <c r="T238" s="86"/>
      <c r="U238" s="86"/>
      <c r="V238" s="1129"/>
      <c r="W238" s="86"/>
      <c r="X238" s="86"/>
      <c r="Y238" s="84"/>
      <c r="Z238" s="86"/>
      <c r="AA238" s="86"/>
      <c r="AB238" s="86"/>
      <c r="AC238" s="1129"/>
      <c r="AD238" s="86"/>
      <c r="AE238" s="86"/>
      <c r="AF238" s="86"/>
      <c r="AG238" s="1129"/>
      <c r="AH238" s="86"/>
      <c r="AI238" s="86"/>
      <c r="AJ238" s="86">
        <f t="shared" ref="AJ238" si="274">SUM(E238:AI238)</f>
        <v>0</v>
      </c>
      <c r="AK238" s="98">
        <v>11000</v>
      </c>
      <c r="AL238" s="483">
        <f>AJ238*AK238</f>
        <v>0</v>
      </c>
    </row>
    <row r="239" spans="1:38" s="82" customFormat="1" ht="35.25" hidden="1" customHeight="1" thickBot="1">
      <c r="A239" s="2000"/>
      <c r="B239" s="2009"/>
      <c r="C239" s="119" t="s">
        <v>308</v>
      </c>
      <c r="D239" s="1297"/>
      <c r="E239" s="1129"/>
      <c r="F239" s="86"/>
      <c r="G239" s="86"/>
      <c r="H239" s="1129"/>
      <c r="I239" s="86"/>
      <c r="J239" s="86"/>
      <c r="K239" s="86"/>
      <c r="L239" s="86"/>
      <c r="M239" s="86"/>
      <c r="N239" s="86"/>
      <c r="O239" s="86"/>
      <c r="P239" s="1129"/>
      <c r="Q239" s="86"/>
      <c r="R239" s="86"/>
      <c r="S239" s="86"/>
      <c r="T239" s="86"/>
      <c r="U239" s="86"/>
      <c r="V239" s="1129"/>
      <c r="W239" s="86"/>
      <c r="X239" s="86"/>
      <c r="Y239" s="86"/>
      <c r="Z239" s="86"/>
      <c r="AA239" s="86"/>
      <c r="AB239" s="86"/>
      <c r="AC239" s="1129"/>
      <c r="AD239" s="86"/>
      <c r="AE239" s="86"/>
      <c r="AF239" s="86"/>
      <c r="AG239" s="1129"/>
      <c r="AH239" s="86"/>
      <c r="AI239" s="86"/>
      <c r="AJ239" s="86">
        <f t="shared" si="273"/>
        <v>0</v>
      </c>
      <c r="AK239" s="98">
        <v>15000</v>
      </c>
      <c r="AL239" s="475">
        <f>AJ239*AK239</f>
        <v>0</v>
      </c>
    </row>
    <row r="240" spans="1:38" s="127" customFormat="1" ht="35.25" customHeight="1" thickBot="1">
      <c r="A240" s="2000"/>
      <c r="B240" s="2009"/>
      <c r="C240" s="2015" t="s">
        <v>322</v>
      </c>
      <c r="D240" s="2016"/>
      <c r="E240" s="1128">
        <f>SUM(E237:E239)</f>
        <v>0</v>
      </c>
      <c r="F240" s="126">
        <f>SUM(F237:F239)</f>
        <v>2.99</v>
      </c>
      <c r="G240" s="126">
        <f t="shared" ref="G240" si="275">SUM(G237:G239)</f>
        <v>8.91</v>
      </c>
      <c r="H240" s="1128">
        <f t="shared" ref="H240" si="276">SUM(H237:H239)</f>
        <v>0</v>
      </c>
      <c r="I240" s="126">
        <f t="shared" ref="I240" si="277">SUM(I237:I239)</f>
        <v>0</v>
      </c>
      <c r="J240" s="126">
        <f t="shared" ref="J240" si="278">SUM(J237:J239)</f>
        <v>0</v>
      </c>
      <c r="K240" s="126">
        <f t="shared" ref="K240" si="279">SUM(K237:K239)</f>
        <v>0</v>
      </c>
      <c r="L240" s="126">
        <f>SUM(L237:L239)</f>
        <v>0</v>
      </c>
      <c r="M240" s="126">
        <f>SUM(M237:M239)</f>
        <v>0</v>
      </c>
      <c r="N240" s="126">
        <f t="shared" ref="N240" si="280">SUM(N237:N239)</f>
        <v>0</v>
      </c>
      <c r="O240" s="126">
        <f t="shared" ref="O240:Q240" si="281">SUM(O237:O239)</f>
        <v>0</v>
      </c>
      <c r="P240" s="1128">
        <f t="shared" ref="P240" si="282">SUM(P237:P239)</f>
        <v>0</v>
      </c>
      <c r="Q240" s="126">
        <f t="shared" si="281"/>
        <v>0</v>
      </c>
      <c r="R240" s="126">
        <f t="shared" ref="R240" si="283">SUM(R237:R239)</f>
        <v>0</v>
      </c>
      <c r="S240" s="126">
        <f>SUM(S237:S239)</f>
        <v>0</v>
      </c>
      <c r="T240" s="126">
        <f>SUM(T237:T239)</f>
        <v>0</v>
      </c>
      <c r="U240" s="126">
        <f t="shared" ref="U240" si="284">SUM(U237:U239)</f>
        <v>0</v>
      </c>
      <c r="V240" s="1128">
        <f t="shared" ref="V240" si="285">SUM(V237:V239)</f>
        <v>0</v>
      </c>
      <c r="W240" s="126">
        <f t="shared" ref="W240" si="286">SUM(W237:W239)</f>
        <v>0</v>
      </c>
      <c r="X240" s="126">
        <f t="shared" ref="X240" si="287">SUM(X237:X239)</f>
        <v>0</v>
      </c>
      <c r="Y240" s="126">
        <f t="shared" ref="Y240" si="288">SUM(Y237:Y239)</f>
        <v>0</v>
      </c>
      <c r="Z240" s="126">
        <f>SUM(Z237:Z239)</f>
        <v>0</v>
      </c>
      <c r="AA240" s="126">
        <f>SUM(AA237:AA239)</f>
        <v>3.65</v>
      </c>
      <c r="AB240" s="126">
        <f t="shared" ref="AB240" si="289">SUM(AB237:AB239)</f>
        <v>0</v>
      </c>
      <c r="AC240" s="1128">
        <f t="shared" ref="AC240" si="290">SUM(AC237:AC239)</f>
        <v>0</v>
      </c>
      <c r="AD240" s="126">
        <f t="shared" ref="AD240" si="291">SUM(AD237:AD239)</f>
        <v>0</v>
      </c>
      <c r="AE240" s="126">
        <f>SUM(AE237:AE239)</f>
        <v>4.13</v>
      </c>
      <c r="AF240" s="126">
        <f t="shared" ref="AF240" si="292">SUM(AF237:AF239)</f>
        <v>0</v>
      </c>
      <c r="AG240" s="1128">
        <f>SUM(AG237:AG239)</f>
        <v>0</v>
      </c>
      <c r="AH240" s="126">
        <f>SUM(AH237:AH239)</f>
        <v>0</v>
      </c>
      <c r="AI240" s="126">
        <f t="shared" ref="AI240" si="293">SUM(AI237:AI239)</f>
        <v>0</v>
      </c>
      <c r="AJ240" s="126"/>
      <c r="AK240" s="128"/>
      <c r="AL240" s="478">
        <f>SUM(AL236:AL239)</f>
        <v>338200</v>
      </c>
    </row>
    <row r="241" spans="1:38" s="82" customFormat="1" ht="35.25" customHeight="1">
      <c r="A241" s="2000"/>
      <c r="B241" s="2009"/>
      <c r="C241" s="123" t="s">
        <v>326</v>
      </c>
      <c r="D241" s="1295"/>
      <c r="E241" s="1130"/>
      <c r="F241" s="84"/>
      <c r="G241" s="84"/>
      <c r="H241" s="1130"/>
      <c r="I241" s="84"/>
      <c r="J241" s="84"/>
      <c r="K241" s="84"/>
      <c r="L241" s="84"/>
      <c r="M241" s="84"/>
      <c r="N241" s="84"/>
      <c r="O241" s="84"/>
      <c r="P241" s="1130"/>
      <c r="Q241" s="84"/>
      <c r="R241" s="84"/>
      <c r="S241" s="83"/>
      <c r="T241" s="83"/>
      <c r="U241" s="83"/>
      <c r="V241" s="1123"/>
      <c r="W241" s="83"/>
      <c r="X241" s="83"/>
      <c r="Y241" s="83"/>
      <c r="Z241" s="83"/>
      <c r="AA241" s="83"/>
      <c r="AB241" s="83"/>
      <c r="AC241" s="1123"/>
      <c r="AD241" s="83"/>
      <c r="AE241" s="83"/>
      <c r="AF241" s="83"/>
      <c r="AG241" s="1123"/>
      <c r="AH241" s="83"/>
      <c r="AI241" s="83"/>
      <c r="AJ241" s="83">
        <f t="shared" ref="AJ241:AJ243" si="294">SUM(E241:AI241)</f>
        <v>0</v>
      </c>
      <c r="AK241" s="85">
        <v>4814</v>
      </c>
      <c r="AL241" s="473">
        <f>AJ241*AK241</f>
        <v>0</v>
      </c>
    </row>
    <row r="242" spans="1:38" s="82" customFormat="1" ht="35.25" customHeight="1">
      <c r="A242" s="2000"/>
      <c r="B242" s="2009"/>
      <c r="C242" s="101" t="s">
        <v>267</v>
      </c>
      <c r="D242" s="1296"/>
      <c r="E242" s="1129"/>
      <c r="F242" s="84"/>
      <c r="G242" s="84">
        <v>0.5</v>
      </c>
      <c r="H242" s="1130"/>
      <c r="I242" s="84"/>
      <c r="J242" s="84"/>
      <c r="K242" s="84"/>
      <c r="L242" s="86"/>
      <c r="M242" s="84"/>
      <c r="N242" s="84">
        <v>0.5</v>
      </c>
      <c r="O242" s="84"/>
      <c r="P242" s="1130"/>
      <c r="Q242" s="84"/>
      <c r="R242" s="84"/>
      <c r="S242" s="86"/>
      <c r="T242" s="86"/>
      <c r="U242" s="86"/>
      <c r="V242" s="1129"/>
      <c r="W242" s="86"/>
      <c r="X242" s="84"/>
      <c r="Y242" s="84"/>
      <c r="Z242" s="86"/>
      <c r="AA242" s="86"/>
      <c r="AB242" s="86"/>
      <c r="AC242" s="1129"/>
      <c r="AD242" s="86"/>
      <c r="AE242" s="84"/>
      <c r="AF242" s="84"/>
      <c r="AG242" s="1129"/>
      <c r="AH242" s="84"/>
      <c r="AI242" s="84"/>
      <c r="AJ242" s="84">
        <f t="shared" si="294"/>
        <v>1</v>
      </c>
      <c r="AK242" s="87">
        <v>7217</v>
      </c>
      <c r="AL242" s="471">
        <f>AJ242*AK242</f>
        <v>7217</v>
      </c>
    </row>
    <row r="243" spans="1:38" s="82" customFormat="1" ht="35.25" customHeight="1" thickBot="1">
      <c r="A243" s="2000"/>
      <c r="B243" s="2009"/>
      <c r="C243" s="101" t="s">
        <v>268</v>
      </c>
      <c r="D243" s="1296"/>
      <c r="E243" s="1130"/>
      <c r="F243" s="84"/>
      <c r="G243" s="84"/>
      <c r="H243" s="1130"/>
      <c r="I243" s="84"/>
      <c r="J243" s="84"/>
      <c r="K243" s="84"/>
      <c r="L243" s="84"/>
      <c r="M243" s="84"/>
      <c r="N243" s="84"/>
      <c r="O243" s="84"/>
      <c r="P243" s="1130"/>
      <c r="Q243" s="84">
        <v>0.5</v>
      </c>
      <c r="R243" s="84">
        <v>0.5</v>
      </c>
      <c r="S243" s="84"/>
      <c r="T243" s="84"/>
      <c r="U243" s="84"/>
      <c r="V243" s="1130"/>
      <c r="W243" s="84">
        <v>0.5</v>
      </c>
      <c r="X243" s="84"/>
      <c r="Y243" s="84"/>
      <c r="Z243" s="84"/>
      <c r="AA243" s="84"/>
      <c r="AB243" s="84"/>
      <c r="AC243" s="1130"/>
      <c r="AD243" s="84"/>
      <c r="AE243" s="84">
        <v>0.5</v>
      </c>
      <c r="AF243" s="84"/>
      <c r="AG243" s="1130"/>
      <c r="AH243" s="84"/>
      <c r="AI243" s="84"/>
      <c r="AJ243" s="86">
        <f t="shared" si="294"/>
        <v>2</v>
      </c>
      <c r="AK243" s="87">
        <v>9029</v>
      </c>
      <c r="AL243" s="469">
        <f>AJ243*AK243</f>
        <v>18058</v>
      </c>
    </row>
    <row r="244" spans="1:38" s="125" customFormat="1" ht="28.5" customHeight="1" thickBot="1">
      <c r="A244" s="2000"/>
      <c r="B244" s="2009"/>
      <c r="C244" s="2012" t="s">
        <v>316</v>
      </c>
      <c r="D244" s="2013"/>
      <c r="E244" s="1131">
        <f>SUM(E241:E243)</f>
        <v>0</v>
      </c>
      <c r="F244" s="124">
        <f>SUM(F241:F243)</f>
        <v>0</v>
      </c>
      <c r="G244" s="124">
        <f t="shared" ref="G244:K244" si="295">SUM(G241:G243)</f>
        <v>0.5</v>
      </c>
      <c r="H244" s="1131">
        <f t="shared" si="295"/>
        <v>0</v>
      </c>
      <c r="I244" s="124">
        <f t="shared" si="295"/>
        <v>0</v>
      </c>
      <c r="J244" s="124">
        <f t="shared" si="295"/>
        <v>0</v>
      </c>
      <c r="K244" s="124">
        <f t="shared" si="295"/>
        <v>0</v>
      </c>
      <c r="L244" s="124">
        <f>SUM(L241:L243)</f>
        <v>0</v>
      </c>
      <c r="M244" s="124">
        <f t="shared" ref="M244:P244" si="296">SUM(M241:M243)</f>
        <v>0</v>
      </c>
      <c r="N244" s="124">
        <f t="shared" si="296"/>
        <v>0.5</v>
      </c>
      <c r="O244" s="124">
        <f t="shared" si="296"/>
        <v>0</v>
      </c>
      <c r="P244" s="1131">
        <f t="shared" si="296"/>
        <v>0</v>
      </c>
      <c r="Q244" s="124">
        <f t="shared" ref="Q244" si="297">SUM(Q241:Q243)</f>
        <v>0.5</v>
      </c>
      <c r="R244" s="124">
        <f t="shared" ref="R244" si="298">SUM(R241:R243)</f>
        <v>0.5</v>
      </c>
      <c r="S244" s="124">
        <f>SUM(S241:S243)</f>
        <v>0</v>
      </c>
      <c r="T244" s="124">
        <f t="shared" ref="T244:Y244" si="299">SUM(T241:T243)</f>
        <v>0</v>
      </c>
      <c r="U244" s="124">
        <f t="shared" si="299"/>
        <v>0</v>
      </c>
      <c r="V244" s="1131">
        <f t="shared" si="299"/>
        <v>0</v>
      </c>
      <c r="W244" s="124">
        <f t="shared" si="299"/>
        <v>0.5</v>
      </c>
      <c r="X244" s="124">
        <f t="shared" si="299"/>
        <v>0</v>
      </c>
      <c r="Y244" s="124">
        <f t="shared" si="299"/>
        <v>0</v>
      </c>
      <c r="Z244" s="124">
        <f>SUM(Z241:Z243)</f>
        <v>0</v>
      </c>
      <c r="AA244" s="124">
        <f t="shared" ref="AA244:AF244" si="300">SUM(AA241:AA243)</f>
        <v>0</v>
      </c>
      <c r="AB244" s="124">
        <f t="shared" si="300"/>
        <v>0</v>
      </c>
      <c r="AC244" s="1131">
        <f t="shared" si="300"/>
        <v>0</v>
      </c>
      <c r="AD244" s="124">
        <f t="shared" si="300"/>
        <v>0</v>
      </c>
      <c r="AE244" s="124">
        <f t="shared" si="300"/>
        <v>0.5</v>
      </c>
      <c r="AF244" s="124">
        <f t="shared" si="300"/>
        <v>0</v>
      </c>
      <c r="AG244" s="1131">
        <f>SUM(AG241:AG243)</f>
        <v>0</v>
      </c>
      <c r="AH244" s="124">
        <f t="shared" ref="AH244:AI244" si="301">SUM(AH241:AH243)</f>
        <v>0</v>
      </c>
      <c r="AI244" s="124">
        <f t="shared" si="301"/>
        <v>0</v>
      </c>
      <c r="AJ244" s="124">
        <f>SUM(E244:AI244)</f>
        <v>3</v>
      </c>
      <c r="AK244" s="124"/>
      <c r="AL244" s="479">
        <f>SUM(AL241:AL243)</f>
        <v>25275</v>
      </c>
    </row>
    <row r="245" spans="1:38" s="82" customFormat="1" ht="35.25" customHeight="1" thickBot="1">
      <c r="A245" s="2000"/>
      <c r="B245" s="2009"/>
      <c r="C245" s="93" t="s">
        <v>265</v>
      </c>
      <c r="D245" s="1296"/>
      <c r="E245" s="1130"/>
      <c r="F245" s="84"/>
      <c r="G245" s="84"/>
      <c r="H245" s="1130"/>
      <c r="I245" s="84"/>
      <c r="J245" s="84"/>
      <c r="K245" s="84"/>
      <c r="L245" s="84"/>
      <c r="M245" s="84"/>
      <c r="N245" s="84"/>
      <c r="O245" s="84"/>
      <c r="P245" s="1130"/>
      <c r="Q245" s="84"/>
      <c r="R245" s="84"/>
      <c r="S245" s="84"/>
      <c r="T245" s="84"/>
      <c r="U245" s="84"/>
      <c r="V245" s="1130"/>
      <c r="W245" s="84"/>
      <c r="X245" s="84"/>
      <c r="Y245" s="84"/>
      <c r="Z245" s="84"/>
      <c r="AA245" s="84"/>
      <c r="AB245" s="84"/>
      <c r="AC245" s="1130"/>
      <c r="AD245" s="84"/>
      <c r="AE245" s="84"/>
      <c r="AF245" s="84"/>
      <c r="AG245" s="1130"/>
      <c r="AH245" s="84"/>
      <c r="AI245" s="84"/>
      <c r="AJ245" s="84">
        <f t="shared" ref="AJ245" si="302">SUM(E245:AI245)</f>
        <v>0</v>
      </c>
      <c r="AK245" s="87">
        <v>20000</v>
      </c>
      <c r="AL245" s="476">
        <f t="shared" ref="AL245" si="303">AJ245*AK245</f>
        <v>0</v>
      </c>
    </row>
    <row r="246" spans="1:38" s="125" customFormat="1" ht="28.5" customHeight="1" thickBot="1">
      <c r="A246" s="2000"/>
      <c r="B246" s="2009"/>
      <c r="C246" s="2012" t="s">
        <v>321</v>
      </c>
      <c r="D246" s="2013"/>
      <c r="E246" s="1131">
        <f t="shared" ref="E246:AI246" si="304">SUM(E245:E245)</f>
        <v>0</v>
      </c>
      <c r="F246" s="124">
        <f t="shared" si="304"/>
        <v>0</v>
      </c>
      <c r="G246" s="124">
        <f t="shared" si="304"/>
        <v>0</v>
      </c>
      <c r="H246" s="1131">
        <f t="shared" si="304"/>
        <v>0</v>
      </c>
      <c r="I246" s="124">
        <f t="shared" si="304"/>
        <v>0</v>
      </c>
      <c r="J246" s="124">
        <f t="shared" si="304"/>
        <v>0</v>
      </c>
      <c r="K246" s="124">
        <f t="shared" si="304"/>
        <v>0</v>
      </c>
      <c r="L246" s="124">
        <f t="shared" si="304"/>
        <v>0</v>
      </c>
      <c r="M246" s="124">
        <f t="shared" si="304"/>
        <v>0</v>
      </c>
      <c r="N246" s="124">
        <f t="shared" si="304"/>
        <v>0</v>
      </c>
      <c r="O246" s="124">
        <f t="shared" si="304"/>
        <v>0</v>
      </c>
      <c r="P246" s="1131">
        <f t="shared" si="304"/>
        <v>0</v>
      </c>
      <c r="Q246" s="124">
        <f t="shared" ref="Q246" si="305">SUM(Q245:Q245)</f>
        <v>0</v>
      </c>
      <c r="R246" s="124">
        <f t="shared" ref="R246" si="306">SUM(R245:R245)</f>
        <v>0</v>
      </c>
      <c r="S246" s="124">
        <f t="shared" si="304"/>
        <v>0</v>
      </c>
      <c r="T246" s="124">
        <f t="shared" si="304"/>
        <v>0</v>
      </c>
      <c r="U246" s="124">
        <f t="shared" si="304"/>
        <v>0</v>
      </c>
      <c r="V246" s="1131">
        <f t="shared" si="304"/>
        <v>0</v>
      </c>
      <c r="W246" s="124">
        <f t="shared" si="304"/>
        <v>0</v>
      </c>
      <c r="X246" s="124">
        <f t="shared" si="304"/>
        <v>0</v>
      </c>
      <c r="Y246" s="124">
        <f t="shared" si="304"/>
        <v>0</v>
      </c>
      <c r="Z246" s="124">
        <f t="shared" si="304"/>
        <v>0</v>
      </c>
      <c r="AA246" s="124">
        <f t="shared" si="304"/>
        <v>0</v>
      </c>
      <c r="AB246" s="124">
        <f t="shared" si="304"/>
        <v>0</v>
      </c>
      <c r="AC246" s="1131">
        <f t="shared" si="304"/>
        <v>0</v>
      </c>
      <c r="AD246" s="124">
        <f t="shared" si="304"/>
        <v>0</v>
      </c>
      <c r="AE246" s="124">
        <f t="shared" si="304"/>
        <v>0</v>
      </c>
      <c r="AF246" s="124">
        <f t="shared" si="304"/>
        <v>0</v>
      </c>
      <c r="AG246" s="1131">
        <f t="shared" si="304"/>
        <v>0</v>
      </c>
      <c r="AH246" s="124">
        <f t="shared" si="304"/>
        <v>0</v>
      </c>
      <c r="AI246" s="124">
        <f t="shared" si="304"/>
        <v>0</v>
      </c>
      <c r="AJ246" s="124">
        <f>SUM(E246:AI246)</f>
        <v>0</v>
      </c>
      <c r="AK246" s="124"/>
      <c r="AL246" s="479">
        <f>SUM(AL245:AL245)</f>
        <v>0</v>
      </c>
    </row>
    <row r="247" spans="1:38" s="82" customFormat="1" ht="35.25" customHeight="1" thickBot="1">
      <c r="A247" s="2001"/>
      <c r="B247" s="2014"/>
      <c r="C247" s="94" t="s">
        <v>311</v>
      </c>
      <c r="D247" s="1298"/>
      <c r="E247" s="1126"/>
      <c r="F247" s="95"/>
      <c r="G247" s="95"/>
      <c r="H247" s="1126"/>
      <c r="I247" s="95"/>
      <c r="J247" s="95"/>
      <c r="K247" s="95"/>
      <c r="L247" s="95"/>
      <c r="M247" s="95"/>
      <c r="N247" s="95"/>
      <c r="O247" s="95"/>
      <c r="P247" s="1126"/>
      <c r="Q247" s="95"/>
      <c r="R247" s="95"/>
      <c r="S247" s="95"/>
      <c r="T247" s="95"/>
      <c r="U247" s="95"/>
      <c r="V247" s="1126"/>
      <c r="W247" s="95"/>
      <c r="X247" s="95"/>
      <c r="Y247" s="95"/>
      <c r="Z247" s="95"/>
      <c r="AA247" s="95"/>
      <c r="AB247" s="95"/>
      <c r="AC247" s="1126"/>
      <c r="AD247" s="95"/>
      <c r="AE247" s="95"/>
      <c r="AF247" s="95"/>
      <c r="AG247" s="1126"/>
      <c r="AH247" s="95"/>
      <c r="AI247" s="95"/>
      <c r="AJ247" s="95">
        <f t="shared" ref="AJ247:AJ266" si="307">SUM(E247:AI247)</f>
        <v>0</v>
      </c>
      <c r="AK247" s="96">
        <v>6000</v>
      </c>
      <c r="AL247" s="469">
        <f>AJ247*AK247</f>
        <v>0</v>
      </c>
    </row>
    <row r="248" spans="1:38" s="90" customFormat="1" ht="48.75" customHeight="1" thickBot="1">
      <c r="A248" s="1996" t="s">
        <v>357</v>
      </c>
      <c r="B248" s="1997"/>
      <c r="C248" s="1997"/>
      <c r="D248" s="1998"/>
      <c r="E248" s="1121"/>
      <c r="F248" s="99"/>
      <c r="G248" s="99"/>
      <c r="H248" s="1121"/>
      <c r="I248" s="99"/>
      <c r="J248" s="99"/>
      <c r="K248" s="99"/>
      <c r="L248" s="99"/>
      <c r="M248" s="99"/>
      <c r="N248" s="99"/>
      <c r="O248" s="99"/>
      <c r="P248" s="1121"/>
      <c r="Q248" s="99"/>
      <c r="R248" s="99"/>
      <c r="S248" s="99"/>
      <c r="T248" s="99"/>
      <c r="U248" s="99"/>
      <c r="V248" s="1121"/>
      <c r="W248" s="99"/>
      <c r="X248" s="99"/>
      <c r="Y248" s="99"/>
      <c r="Z248" s="99"/>
      <c r="AA248" s="99"/>
      <c r="AB248" s="99"/>
      <c r="AC248" s="1121"/>
      <c r="AD248" s="99"/>
      <c r="AE248" s="99"/>
      <c r="AF248" s="99"/>
      <c r="AG248" s="1121"/>
      <c r="AH248" s="99"/>
      <c r="AI248" s="99"/>
      <c r="AJ248" s="99"/>
      <c r="AK248" s="189"/>
      <c r="AL248" s="481">
        <f>AL244+AL246+AL247</f>
        <v>25275</v>
      </c>
    </row>
    <row r="249" spans="1:38" s="82" customFormat="1" ht="33" customHeight="1">
      <c r="A249" s="1999" t="s">
        <v>563</v>
      </c>
      <c r="B249" s="2008" t="s">
        <v>561</v>
      </c>
      <c r="C249" s="100" t="s">
        <v>312</v>
      </c>
      <c r="D249" s="2017" t="s">
        <v>298</v>
      </c>
      <c r="E249" s="1122"/>
      <c r="F249" s="91"/>
      <c r="G249" s="91"/>
      <c r="H249" s="1122"/>
      <c r="I249" s="91"/>
      <c r="J249" s="91"/>
      <c r="K249" s="91"/>
      <c r="L249" s="91"/>
      <c r="M249" s="91"/>
      <c r="N249" s="91"/>
      <c r="O249" s="91"/>
      <c r="P249" s="1122"/>
      <c r="Q249" s="91"/>
      <c r="R249" s="91"/>
      <c r="S249" s="91"/>
      <c r="T249" s="91"/>
      <c r="U249" s="91"/>
      <c r="V249" s="1122"/>
      <c r="W249" s="91"/>
      <c r="X249" s="91"/>
      <c r="Y249" s="91"/>
      <c r="Z249" s="91"/>
      <c r="AA249" s="91"/>
      <c r="AB249" s="91"/>
      <c r="AC249" s="1122"/>
      <c r="AD249" s="91"/>
      <c r="AE249" s="91"/>
      <c r="AF249" s="91"/>
      <c r="AG249" s="1122"/>
      <c r="AH249" s="91"/>
      <c r="AI249" s="91"/>
      <c r="AJ249" s="91">
        <f t="shared" si="307"/>
        <v>0</v>
      </c>
      <c r="AK249" s="92">
        <v>5500</v>
      </c>
      <c r="AL249" s="468">
        <f>AJ249*AK249</f>
        <v>0</v>
      </c>
    </row>
    <row r="250" spans="1:38" s="82" customFormat="1" ht="33" customHeight="1">
      <c r="A250" s="2000"/>
      <c r="B250" s="2009"/>
      <c r="C250" s="89" t="s">
        <v>314</v>
      </c>
      <c r="D250" s="2018"/>
      <c r="E250" s="1123"/>
      <c r="F250" s="83"/>
      <c r="G250" s="83"/>
      <c r="H250" s="1123"/>
      <c r="I250" s="83">
        <v>4.5599999999999996</v>
      </c>
      <c r="J250" s="83"/>
      <c r="K250" s="83"/>
      <c r="L250" s="83"/>
      <c r="M250" s="83"/>
      <c r="N250" s="83"/>
      <c r="O250" s="83"/>
      <c r="P250" s="1123"/>
      <c r="Q250" s="83"/>
      <c r="R250" s="83"/>
      <c r="S250" s="83"/>
      <c r="T250" s="83"/>
      <c r="U250" s="83"/>
      <c r="V250" s="1123"/>
      <c r="W250" s="83"/>
      <c r="X250" s="83"/>
      <c r="Y250" s="83"/>
      <c r="Z250" s="83">
        <v>3.41</v>
      </c>
      <c r="AA250" s="83"/>
      <c r="AB250" s="83"/>
      <c r="AC250" s="1123"/>
      <c r="AD250" s="83"/>
      <c r="AE250" s="83"/>
      <c r="AF250" s="83"/>
      <c r="AG250" s="1123"/>
      <c r="AH250" s="83"/>
      <c r="AI250" s="83"/>
      <c r="AJ250" s="83">
        <f t="shared" si="307"/>
        <v>7.97</v>
      </c>
      <c r="AK250" s="85">
        <v>11500</v>
      </c>
      <c r="AL250" s="473">
        <f>AJ250*AK250</f>
        <v>91655</v>
      </c>
    </row>
    <row r="251" spans="1:38" s="90" customFormat="1" ht="33" customHeight="1">
      <c r="A251" s="2000"/>
      <c r="B251" s="2009"/>
      <c r="C251" s="109" t="s">
        <v>299</v>
      </c>
      <c r="D251" s="2018"/>
      <c r="E251" s="1127"/>
      <c r="F251" s="110"/>
      <c r="G251" s="110"/>
      <c r="H251" s="1127"/>
      <c r="I251" s="110"/>
      <c r="J251" s="110"/>
      <c r="K251" s="110"/>
      <c r="L251" s="110"/>
      <c r="M251" s="110"/>
      <c r="N251" s="110"/>
      <c r="O251" s="110"/>
      <c r="P251" s="1127"/>
      <c r="Q251" s="110"/>
      <c r="R251" s="110"/>
      <c r="S251" s="110"/>
      <c r="T251" s="110"/>
      <c r="U251" s="110"/>
      <c r="V251" s="1127"/>
      <c r="W251" s="110"/>
      <c r="X251" s="110"/>
      <c r="Y251" s="110"/>
      <c r="Z251" s="110"/>
      <c r="AA251" s="110"/>
      <c r="AB251" s="110"/>
      <c r="AC251" s="1127"/>
      <c r="AD251" s="110"/>
      <c r="AE251" s="110"/>
      <c r="AF251" s="110"/>
      <c r="AG251" s="1127"/>
      <c r="AH251" s="110"/>
      <c r="AI251" s="110"/>
      <c r="AJ251" s="110">
        <f t="shared" si="307"/>
        <v>0</v>
      </c>
      <c r="AK251" s="111">
        <v>16000</v>
      </c>
      <c r="AL251" s="474">
        <f t="shared" ref="AL251:AL254" si="308">AJ251*AK251</f>
        <v>0</v>
      </c>
    </row>
    <row r="252" spans="1:38" s="90" customFormat="1" ht="33" customHeight="1">
      <c r="A252" s="2000"/>
      <c r="B252" s="2009"/>
      <c r="C252" s="112" t="s">
        <v>301</v>
      </c>
      <c r="D252" s="2018"/>
      <c r="E252" s="1124"/>
      <c r="F252" s="113"/>
      <c r="G252" s="113">
        <v>0.63</v>
      </c>
      <c r="H252" s="1127"/>
      <c r="I252" s="113"/>
      <c r="J252" s="113">
        <v>5</v>
      </c>
      <c r="K252" s="113"/>
      <c r="L252" s="113">
        <v>0.02</v>
      </c>
      <c r="M252" s="113"/>
      <c r="N252" s="113"/>
      <c r="O252" s="113"/>
      <c r="P252" s="1124"/>
      <c r="Q252" s="113">
        <v>7.0000000000000007E-2</v>
      </c>
      <c r="R252" s="113">
        <v>3.25</v>
      </c>
      <c r="S252" s="113">
        <v>2.42</v>
      </c>
      <c r="T252" s="113">
        <v>4.32</v>
      </c>
      <c r="U252" s="113">
        <v>1.57</v>
      </c>
      <c r="V252" s="1124"/>
      <c r="W252" s="113"/>
      <c r="X252" s="113">
        <v>1.41</v>
      </c>
      <c r="Y252" s="113">
        <v>1.17</v>
      </c>
      <c r="Z252" s="113"/>
      <c r="AA252" s="113">
        <v>2.5299999999999998</v>
      </c>
      <c r="AB252" s="113"/>
      <c r="AC252" s="1124"/>
      <c r="AD252" s="113">
        <v>2.61</v>
      </c>
      <c r="AE252" s="116">
        <v>0.75</v>
      </c>
      <c r="AF252" s="113">
        <v>5</v>
      </c>
      <c r="AG252" s="1124"/>
      <c r="AH252" s="113">
        <v>5</v>
      </c>
      <c r="AI252" s="113">
        <v>5</v>
      </c>
      <c r="AJ252" s="113">
        <f t="shared" si="307"/>
        <v>40.75</v>
      </c>
      <c r="AK252" s="114">
        <v>18000</v>
      </c>
      <c r="AL252" s="474">
        <f t="shared" si="308"/>
        <v>733500</v>
      </c>
    </row>
    <row r="253" spans="1:38" s="90" customFormat="1" ht="33" customHeight="1">
      <c r="A253" s="2000"/>
      <c r="B253" s="2009"/>
      <c r="C253" s="115" t="s">
        <v>303</v>
      </c>
      <c r="D253" s="2018"/>
      <c r="E253" s="1125"/>
      <c r="F253" s="113"/>
      <c r="G253" s="116"/>
      <c r="H253" s="1125"/>
      <c r="I253" s="116"/>
      <c r="J253" s="116"/>
      <c r="K253" s="116"/>
      <c r="L253" s="116"/>
      <c r="M253" s="116"/>
      <c r="N253" s="116">
        <v>1.04</v>
      </c>
      <c r="O253" s="116"/>
      <c r="P253" s="1125"/>
      <c r="Q253" s="116"/>
      <c r="R253" s="116"/>
      <c r="S253" s="116"/>
      <c r="T253" s="116"/>
      <c r="U253" s="116"/>
      <c r="V253" s="1125"/>
      <c r="W253" s="116"/>
      <c r="X253" s="116"/>
      <c r="Y253" s="116"/>
      <c r="Z253" s="116"/>
      <c r="AA253" s="116"/>
      <c r="AB253" s="116"/>
      <c r="AC253" s="1125"/>
      <c r="AD253" s="116"/>
      <c r="AE253" s="116"/>
      <c r="AF253" s="116"/>
      <c r="AG253" s="1125"/>
      <c r="AH253" s="116"/>
      <c r="AI253" s="116"/>
      <c r="AJ253" s="116">
        <f t="shared" si="307"/>
        <v>1.04</v>
      </c>
      <c r="AK253" s="117">
        <v>20000</v>
      </c>
      <c r="AL253" s="474">
        <f t="shared" si="308"/>
        <v>20800</v>
      </c>
    </row>
    <row r="254" spans="1:38" s="82" customFormat="1" ht="33" customHeight="1" thickBot="1">
      <c r="A254" s="2000"/>
      <c r="B254" s="2009"/>
      <c r="C254" s="94" t="s">
        <v>313</v>
      </c>
      <c r="D254" s="2019"/>
      <c r="E254" s="1126"/>
      <c r="F254" s="95"/>
      <c r="G254" s="95"/>
      <c r="H254" s="1126"/>
      <c r="I254" s="95"/>
      <c r="J254" s="95"/>
      <c r="K254" s="95"/>
      <c r="L254" s="95"/>
      <c r="M254" s="95"/>
      <c r="N254" s="95"/>
      <c r="O254" s="95"/>
      <c r="P254" s="1126"/>
      <c r="Q254" s="95"/>
      <c r="R254" s="95"/>
      <c r="S254" s="95"/>
      <c r="T254" s="95"/>
      <c r="U254" s="95"/>
      <c r="V254" s="1126"/>
      <c r="W254" s="95"/>
      <c r="X254" s="95"/>
      <c r="Y254" s="95"/>
      <c r="Z254" s="95"/>
      <c r="AA254" s="95"/>
      <c r="AB254" s="95"/>
      <c r="AC254" s="1126"/>
      <c r="AD254" s="95"/>
      <c r="AE254" s="95"/>
      <c r="AF254" s="95"/>
      <c r="AG254" s="1126"/>
      <c r="AH254" s="95"/>
      <c r="AI254" s="95"/>
      <c r="AJ254" s="95">
        <f t="shared" si="307"/>
        <v>0</v>
      </c>
      <c r="AK254" s="96">
        <v>30000</v>
      </c>
      <c r="AL254" s="473">
        <f t="shared" si="308"/>
        <v>0</v>
      </c>
    </row>
    <row r="255" spans="1:38" s="82" customFormat="1" ht="33" customHeight="1">
      <c r="A255" s="2000"/>
      <c r="B255" s="2009"/>
      <c r="C255" s="100" t="s">
        <v>312</v>
      </c>
      <c r="D255" s="2017" t="s">
        <v>300</v>
      </c>
      <c r="E255" s="1122"/>
      <c r="F255" s="91"/>
      <c r="G255" s="91"/>
      <c r="H255" s="1122"/>
      <c r="I255" s="91"/>
      <c r="J255" s="91"/>
      <c r="K255" s="91"/>
      <c r="L255" s="91"/>
      <c r="M255" s="91"/>
      <c r="N255" s="91"/>
      <c r="O255" s="91"/>
      <c r="P255" s="1122"/>
      <c r="Q255" s="91"/>
      <c r="R255" s="91"/>
      <c r="S255" s="91"/>
      <c r="T255" s="91"/>
      <c r="U255" s="91"/>
      <c r="V255" s="1122"/>
      <c r="W255" s="91"/>
      <c r="X255" s="91"/>
      <c r="Y255" s="91"/>
      <c r="Z255" s="91"/>
      <c r="AA255" s="91"/>
      <c r="AB255" s="91"/>
      <c r="AC255" s="1122"/>
      <c r="AD255" s="91"/>
      <c r="AE255" s="91"/>
      <c r="AF255" s="91"/>
      <c r="AG255" s="1122"/>
      <c r="AH255" s="91"/>
      <c r="AI255" s="91"/>
      <c r="AJ255" s="91">
        <f t="shared" si="307"/>
        <v>0</v>
      </c>
      <c r="AK255" s="92">
        <v>14500</v>
      </c>
      <c r="AL255" s="468">
        <f>AJ255*AK255</f>
        <v>0</v>
      </c>
    </row>
    <row r="256" spans="1:38" s="82" customFormat="1" ht="33" customHeight="1">
      <c r="A256" s="2000"/>
      <c r="B256" s="2009"/>
      <c r="C256" s="89" t="s">
        <v>314</v>
      </c>
      <c r="D256" s="2018"/>
      <c r="E256" s="1123"/>
      <c r="F256" s="83"/>
      <c r="G256" s="83"/>
      <c r="H256" s="1123"/>
      <c r="I256" s="83"/>
      <c r="J256" s="83"/>
      <c r="K256" s="83"/>
      <c r="L256" s="83"/>
      <c r="M256" s="83"/>
      <c r="N256" s="83"/>
      <c r="O256" s="83"/>
      <c r="P256" s="1123"/>
      <c r="Q256" s="83"/>
      <c r="R256" s="83"/>
      <c r="S256" s="83"/>
      <c r="T256" s="83"/>
      <c r="U256" s="83"/>
      <c r="V256" s="1123"/>
      <c r="W256" s="83"/>
      <c r="X256" s="83"/>
      <c r="Y256" s="83"/>
      <c r="Z256" s="83"/>
      <c r="AA256" s="83"/>
      <c r="AB256" s="83"/>
      <c r="AC256" s="1123"/>
      <c r="AD256" s="83"/>
      <c r="AE256" s="83"/>
      <c r="AF256" s="83"/>
      <c r="AG256" s="1123"/>
      <c r="AH256" s="83"/>
      <c r="AI256" s="83"/>
      <c r="AJ256" s="83">
        <f t="shared" si="307"/>
        <v>0</v>
      </c>
      <c r="AK256" s="85">
        <v>17500</v>
      </c>
      <c r="AL256" s="473">
        <f>AJ256*AK256</f>
        <v>0</v>
      </c>
    </row>
    <row r="257" spans="1:38" s="90" customFormat="1" ht="33" customHeight="1">
      <c r="A257" s="2000"/>
      <c r="B257" s="2009"/>
      <c r="C257" s="109" t="s">
        <v>299</v>
      </c>
      <c r="D257" s="2018"/>
      <c r="E257" s="1127"/>
      <c r="F257" s="110"/>
      <c r="G257" s="110"/>
      <c r="H257" s="1127"/>
      <c r="I257" s="110"/>
      <c r="J257" s="110"/>
      <c r="K257" s="110"/>
      <c r="L257" s="110"/>
      <c r="M257" s="110"/>
      <c r="N257" s="110"/>
      <c r="O257" s="110"/>
      <c r="P257" s="1127"/>
      <c r="Q257" s="110"/>
      <c r="R257" s="110"/>
      <c r="S257" s="110"/>
      <c r="T257" s="110"/>
      <c r="U257" s="110"/>
      <c r="V257" s="1127"/>
      <c r="W257" s="110"/>
      <c r="X257" s="110"/>
      <c r="Y257" s="110"/>
      <c r="Z257" s="110"/>
      <c r="AA257" s="110"/>
      <c r="AB257" s="110"/>
      <c r="AC257" s="1127"/>
      <c r="AD257" s="110"/>
      <c r="AE257" s="110"/>
      <c r="AF257" s="110"/>
      <c r="AG257" s="1127"/>
      <c r="AH257" s="110"/>
      <c r="AI257" s="110"/>
      <c r="AJ257" s="110">
        <f t="shared" si="307"/>
        <v>0</v>
      </c>
      <c r="AK257" s="114">
        <v>20500</v>
      </c>
      <c r="AL257" s="474">
        <f t="shared" ref="AL257:AL260" si="309">AJ257*AK257</f>
        <v>0</v>
      </c>
    </row>
    <row r="258" spans="1:38" s="90" customFormat="1" ht="33" customHeight="1">
      <c r="A258" s="2000"/>
      <c r="B258" s="2009"/>
      <c r="C258" s="112" t="s">
        <v>301</v>
      </c>
      <c r="D258" s="2018"/>
      <c r="E258" s="1124"/>
      <c r="F258" s="113"/>
      <c r="G258" s="113"/>
      <c r="H258" s="1124"/>
      <c r="I258" s="113"/>
      <c r="J258" s="113">
        <v>1.26</v>
      </c>
      <c r="K258" s="113"/>
      <c r="L258" s="113"/>
      <c r="M258" s="113"/>
      <c r="N258" s="113"/>
      <c r="O258" s="113"/>
      <c r="P258" s="1124"/>
      <c r="Q258" s="113"/>
      <c r="R258" s="113"/>
      <c r="S258" s="113"/>
      <c r="T258" s="113"/>
      <c r="U258" s="113"/>
      <c r="V258" s="1124"/>
      <c r="W258" s="113"/>
      <c r="X258" s="113"/>
      <c r="Y258" s="113"/>
      <c r="Z258" s="113"/>
      <c r="AA258" s="113"/>
      <c r="AB258" s="113"/>
      <c r="AC258" s="1124"/>
      <c r="AD258" s="113"/>
      <c r="AE258" s="113"/>
      <c r="AF258" s="113">
        <v>1.8</v>
      </c>
      <c r="AG258" s="1124"/>
      <c r="AH258" s="113">
        <v>0.6</v>
      </c>
      <c r="AI258" s="113">
        <v>4.92</v>
      </c>
      <c r="AJ258" s="113">
        <f t="shared" si="307"/>
        <v>8.58</v>
      </c>
      <c r="AK258" s="117">
        <v>20750</v>
      </c>
      <c r="AL258" s="474">
        <f t="shared" si="309"/>
        <v>178035</v>
      </c>
    </row>
    <row r="259" spans="1:38" s="90" customFormat="1" ht="33" customHeight="1">
      <c r="A259" s="2000"/>
      <c r="B259" s="2009"/>
      <c r="C259" s="115" t="s">
        <v>303</v>
      </c>
      <c r="D259" s="2018"/>
      <c r="E259" s="1125"/>
      <c r="F259" s="113"/>
      <c r="G259" s="116"/>
      <c r="H259" s="1125"/>
      <c r="I259" s="116"/>
      <c r="J259" s="116"/>
      <c r="K259" s="116"/>
      <c r="L259" s="116"/>
      <c r="M259" s="116"/>
      <c r="N259" s="116"/>
      <c r="O259" s="116"/>
      <c r="P259" s="1125"/>
      <c r="Q259" s="116"/>
      <c r="R259" s="116"/>
      <c r="S259" s="116"/>
      <c r="T259" s="116"/>
      <c r="U259" s="116"/>
      <c r="V259" s="1125"/>
      <c r="W259" s="116"/>
      <c r="X259" s="116"/>
      <c r="Y259" s="116"/>
      <c r="Z259" s="116"/>
      <c r="AA259" s="116"/>
      <c r="AB259" s="116"/>
      <c r="AC259" s="1125"/>
      <c r="AD259" s="116"/>
      <c r="AE259" s="116"/>
      <c r="AF259" s="116"/>
      <c r="AG259" s="1125"/>
      <c r="AH259" s="116"/>
      <c r="AI259" s="116"/>
      <c r="AJ259" s="116">
        <f t="shared" si="307"/>
        <v>0</v>
      </c>
      <c r="AK259" s="117">
        <v>25000</v>
      </c>
      <c r="AL259" s="474">
        <f t="shared" si="309"/>
        <v>0</v>
      </c>
    </row>
    <row r="260" spans="1:38" s="82" customFormat="1" ht="33" customHeight="1" thickBot="1">
      <c r="A260" s="2000"/>
      <c r="B260" s="2009"/>
      <c r="C260" s="94" t="s">
        <v>313</v>
      </c>
      <c r="D260" s="2019"/>
      <c r="E260" s="1126"/>
      <c r="F260" s="95"/>
      <c r="G260" s="95"/>
      <c r="H260" s="1126"/>
      <c r="I260" s="95"/>
      <c r="J260" s="95"/>
      <c r="K260" s="95"/>
      <c r="L260" s="95"/>
      <c r="M260" s="95"/>
      <c r="N260" s="95"/>
      <c r="O260" s="95"/>
      <c r="P260" s="1126"/>
      <c r="Q260" s="95"/>
      <c r="R260" s="95"/>
      <c r="S260" s="95"/>
      <c r="T260" s="95"/>
      <c r="U260" s="95"/>
      <c r="V260" s="1126"/>
      <c r="W260" s="95"/>
      <c r="X260" s="95"/>
      <c r="Y260" s="95"/>
      <c r="Z260" s="95"/>
      <c r="AA260" s="95"/>
      <c r="AB260" s="95"/>
      <c r="AC260" s="1126"/>
      <c r="AD260" s="116"/>
      <c r="AE260" s="95"/>
      <c r="AF260" s="95"/>
      <c r="AG260" s="1126"/>
      <c r="AH260" s="95"/>
      <c r="AI260" s="95"/>
      <c r="AJ260" s="95">
        <f t="shared" si="307"/>
        <v>0</v>
      </c>
      <c r="AK260" s="96">
        <v>35000</v>
      </c>
      <c r="AL260" s="473">
        <f t="shared" si="309"/>
        <v>0</v>
      </c>
    </row>
    <row r="261" spans="1:38" s="82" customFormat="1" ht="33" customHeight="1">
      <c r="A261" s="2000"/>
      <c r="B261" s="2009"/>
      <c r="C261" s="100" t="s">
        <v>312</v>
      </c>
      <c r="D261" s="2017" t="s">
        <v>302</v>
      </c>
      <c r="E261" s="1122"/>
      <c r="F261" s="91"/>
      <c r="G261" s="91"/>
      <c r="H261" s="1122"/>
      <c r="I261" s="91"/>
      <c r="J261" s="91"/>
      <c r="K261" s="91"/>
      <c r="L261" s="91"/>
      <c r="M261" s="91"/>
      <c r="N261" s="91"/>
      <c r="O261" s="91"/>
      <c r="P261" s="1122"/>
      <c r="Q261" s="91"/>
      <c r="R261" s="91"/>
      <c r="S261" s="91"/>
      <c r="T261" s="91"/>
      <c r="U261" s="91"/>
      <c r="V261" s="1122"/>
      <c r="W261" s="91"/>
      <c r="X261" s="91"/>
      <c r="Y261" s="91"/>
      <c r="Z261" s="91"/>
      <c r="AA261" s="91"/>
      <c r="AB261" s="91"/>
      <c r="AC261" s="1122"/>
      <c r="AD261" s="91"/>
      <c r="AE261" s="91"/>
      <c r="AF261" s="91"/>
      <c r="AG261" s="1122"/>
      <c r="AH261" s="91"/>
      <c r="AI261" s="91"/>
      <c r="AJ261" s="91">
        <f t="shared" si="307"/>
        <v>0</v>
      </c>
      <c r="AK261" s="85">
        <v>16000</v>
      </c>
      <c r="AL261" s="468">
        <f>AJ261*AK261</f>
        <v>0</v>
      </c>
    </row>
    <row r="262" spans="1:38" s="82" customFormat="1" ht="33" customHeight="1">
      <c r="A262" s="2000"/>
      <c r="B262" s="2009"/>
      <c r="C262" s="89" t="s">
        <v>314</v>
      </c>
      <c r="D262" s="2018"/>
      <c r="E262" s="1123"/>
      <c r="F262" s="83"/>
      <c r="G262" s="83"/>
      <c r="H262" s="1123"/>
      <c r="I262" s="83"/>
      <c r="J262" s="83"/>
      <c r="K262" s="83"/>
      <c r="L262" s="83"/>
      <c r="M262" s="83"/>
      <c r="N262" s="83"/>
      <c r="O262" s="83"/>
      <c r="P262" s="1123"/>
      <c r="Q262" s="83"/>
      <c r="R262" s="83"/>
      <c r="S262" s="83"/>
      <c r="T262" s="83"/>
      <c r="U262" s="83"/>
      <c r="V262" s="1123"/>
      <c r="W262" s="83"/>
      <c r="X262" s="83"/>
      <c r="Y262" s="83"/>
      <c r="Z262" s="83"/>
      <c r="AA262" s="83"/>
      <c r="AB262" s="83"/>
      <c r="AC262" s="1123"/>
      <c r="AD262" s="83"/>
      <c r="AE262" s="83"/>
      <c r="AF262" s="83"/>
      <c r="AG262" s="1123"/>
      <c r="AH262" s="83"/>
      <c r="AI262" s="83"/>
      <c r="AJ262" s="83">
        <f t="shared" si="307"/>
        <v>0</v>
      </c>
      <c r="AK262" s="85">
        <v>19000</v>
      </c>
      <c r="AL262" s="473">
        <f>AJ262*AK262</f>
        <v>0</v>
      </c>
    </row>
    <row r="263" spans="1:38" s="90" customFormat="1" ht="33" customHeight="1">
      <c r="A263" s="2000"/>
      <c r="B263" s="2009"/>
      <c r="C263" s="109" t="s">
        <v>299</v>
      </c>
      <c r="D263" s="2018"/>
      <c r="E263" s="1127"/>
      <c r="F263" s="110"/>
      <c r="G263" s="110"/>
      <c r="H263" s="1127"/>
      <c r="I263" s="110"/>
      <c r="J263" s="110"/>
      <c r="K263" s="110"/>
      <c r="L263" s="110"/>
      <c r="M263" s="110"/>
      <c r="N263" s="110"/>
      <c r="O263" s="110"/>
      <c r="P263" s="1127"/>
      <c r="Q263" s="110"/>
      <c r="R263" s="110"/>
      <c r="S263" s="110"/>
      <c r="T263" s="110"/>
      <c r="U263" s="110"/>
      <c r="V263" s="1127"/>
      <c r="W263" s="110"/>
      <c r="X263" s="110"/>
      <c r="Y263" s="110"/>
      <c r="Z263" s="110"/>
      <c r="AA263" s="110"/>
      <c r="AB263" s="110"/>
      <c r="AC263" s="1127"/>
      <c r="AD263" s="110"/>
      <c r="AE263" s="110"/>
      <c r="AF263" s="110"/>
      <c r="AG263" s="1127"/>
      <c r="AH263" s="110"/>
      <c r="AI263" s="110"/>
      <c r="AJ263" s="110">
        <f t="shared" si="307"/>
        <v>0</v>
      </c>
      <c r="AK263" s="111">
        <v>22000</v>
      </c>
      <c r="AL263" s="474">
        <f t="shared" ref="AL263:AL266" si="310">AJ263*AK263</f>
        <v>0</v>
      </c>
    </row>
    <row r="264" spans="1:38" s="90" customFormat="1" ht="33" customHeight="1">
      <c r="A264" s="2000"/>
      <c r="B264" s="2009"/>
      <c r="C264" s="112" t="s">
        <v>301</v>
      </c>
      <c r="D264" s="2018"/>
      <c r="E264" s="1124"/>
      <c r="F264" s="113"/>
      <c r="G264" s="113"/>
      <c r="H264" s="1124"/>
      <c r="I264" s="113"/>
      <c r="J264" s="113"/>
      <c r="K264" s="113"/>
      <c r="L264" s="113"/>
      <c r="M264" s="113"/>
      <c r="N264" s="113"/>
      <c r="O264" s="113"/>
      <c r="P264" s="1124"/>
      <c r="Q264" s="113"/>
      <c r="R264" s="113"/>
      <c r="S264" s="113"/>
      <c r="T264" s="113"/>
      <c r="U264" s="113"/>
      <c r="V264" s="1124"/>
      <c r="W264" s="113"/>
      <c r="X264" s="113"/>
      <c r="Y264" s="113"/>
      <c r="Z264" s="113"/>
      <c r="AA264" s="113"/>
      <c r="AB264" s="113"/>
      <c r="AC264" s="1124"/>
      <c r="AD264" s="113"/>
      <c r="AE264" s="113"/>
      <c r="AF264" s="113"/>
      <c r="AG264" s="1124"/>
      <c r="AH264" s="113"/>
      <c r="AI264" s="113"/>
      <c r="AJ264" s="113">
        <f t="shared" si="307"/>
        <v>0</v>
      </c>
      <c r="AK264" s="111">
        <v>23000</v>
      </c>
      <c r="AL264" s="474">
        <f t="shared" si="310"/>
        <v>0</v>
      </c>
    </row>
    <row r="265" spans="1:38" s="90" customFormat="1" ht="33" customHeight="1">
      <c r="A265" s="2000"/>
      <c r="B265" s="2009"/>
      <c r="C265" s="115" t="s">
        <v>303</v>
      </c>
      <c r="D265" s="2018"/>
      <c r="E265" s="1125"/>
      <c r="F265" s="113"/>
      <c r="G265" s="116"/>
      <c r="H265" s="1125"/>
      <c r="I265" s="116"/>
      <c r="J265" s="116"/>
      <c r="K265" s="116"/>
      <c r="L265" s="116"/>
      <c r="M265" s="116"/>
      <c r="N265" s="116"/>
      <c r="O265" s="116"/>
      <c r="P265" s="1125"/>
      <c r="Q265" s="116"/>
      <c r="R265" s="116"/>
      <c r="S265" s="116"/>
      <c r="T265" s="116"/>
      <c r="U265" s="116"/>
      <c r="V265" s="1125"/>
      <c r="W265" s="116"/>
      <c r="X265" s="116"/>
      <c r="Y265" s="116"/>
      <c r="Z265" s="116"/>
      <c r="AA265" s="116"/>
      <c r="AB265" s="116"/>
      <c r="AC265" s="1125"/>
      <c r="AD265" s="116"/>
      <c r="AE265" s="116"/>
      <c r="AF265" s="116"/>
      <c r="AG265" s="1125"/>
      <c r="AH265" s="116"/>
      <c r="AI265" s="116"/>
      <c r="AJ265" s="116">
        <f t="shared" si="307"/>
        <v>0</v>
      </c>
      <c r="AK265" s="114">
        <v>30000</v>
      </c>
      <c r="AL265" s="474">
        <f t="shared" si="310"/>
        <v>0</v>
      </c>
    </row>
    <row r="266" spans="1:38" s="82" customFormat="1" ht="33" customHeight="1" thickBot="1">
      <c r="A266" s="2000"/>
      <c r="B266" s="2009"/>
      <c r="C266" s="94" t="s">
        <v>313</v>
      </c>
      <c r="D266" s="2019"/>
      <c r="E266" s="1126"/>
      <c r="F266" s="95"/>
      <c r="G266" s="95"/>
      <c r="H266" s="1126"/>
      <c r="I266" s="95"/>
      <c r="J266" s="95"/>
      <c r="K266" s="95"/>
      <c r="L266" s="95"/>
      <c r="M266" s="95"/>
      <c r="N266" s="95"/>
      <c r="O266" s="95"/>
      <c r="P266" s="1126"/>
      <c r="Q266" s="95"/>
      <c r="R266" s="95"/>
      <c r="S266" s="95"/>
      <c r="T266" s="95"/>
      <c r="U266" s="95"/>
      <c r="V266" s="1126"/>
      <c r="W266" s="95"/>
      <c r="X266" s="95"/>
      <c r="Y266" s="95"/>
      <c r="Z266" s="95"/>
      <c r="AA266" s="95"/>
      <c r="AB266" s="95"/>
      <c r="AC266" s="1126"/>
      <c r="AD266" s="95"/>
      <c r="AE266" s="95"/>
      <c r="AF266" s="95"/>
      <c r="AG266" s="1126"/>
      <c r="AH266" s="95"/>
      <c r="AI266" s="95"/>
      <c r="AJ266" s="95">
        <f t="shared" si="307"/>
        <v>0</v>
      </c>
      <c r="AK266" s="98">
        <v>40000</v>
      </c>
      <c r="AL266" s="473">
        <f t="shared" si="310"/>
        <v>0</v>
      </c>
    </row>
    <row r="267" spans="1:38" s="127" customFormat="1" ht="28.5" customHeight="1" thickBot="1">
      <c r="A267" s="2000"/>
      <c r="B267" s="2009"/>
      <c r="C267" s="2021" t="s">
        <v>323</v>
      </c>
      <c r="D267" s="2022"/>
      <c r="E267" s="1128">
        <f>SUM(E249:E266)</f>
        <v>0</v>
      </c>
      <c r="F267" s="126">
        <f>SUM(F249:F266)</f>
        <v>0</v>
      </c>
      <c r="G267" s="126">
        <f t="shared" ref="G267:K267" si="311">SUM(G249:G266)</f>
        <v>0.63</v>
      </c>
      <c r="H267" s="1128">
        <f t="shared" si="311"/>
        <v>0</v>
      </c>
      <c r="I267" s="126">
        <f t="shared" si="311"/>
        <v>4.5599999999999996</v>
      </c>
      <c r="J267" s="126">
        <f t="shared" si="311"/>
        <v>6.26</v>
      </c>
      <c r="K267" s="126">
        <f t="shared" si="311"/>
        <v>0</v>
      </c>
      <c r="L267" s="126">
        <f>SUM(L249:L266)</f>
        <v>0.02</v>
      </c>
      <c r="M267" s="126">
        <f t="shared" ref="M267:P267" si="312">SUM(M249:M266)</f>
        <v>0</v>
      </c>
      <c r="N267" s="126">
        <f t="shared" si="312"/>
        <v>1.04</v>
      </c>
      <c r="O267" s="126">
        <f t="shared" si="312"/>
        <v>0</v>
      </c>
      <c r="P267" s="1128">
        <f t="shared" si="312"/>
        <v>0</v>
      </c>
      <c r="Q267" s="126">
        <f t="shared" ref="Q267" si="313">SUM(Q249:Q266)</f>
        <v>7.0000000000000007E-2</v>
      </c>
      <c r="R267" s="126">
        <f t="shared" ref="R267" si="314">SUM(R249:R266)</f>
        <v>3.25</v>
      </c>
      <c r="S267" s="126">
        <f>SUM(S249:S266)</f>
        <v>2.42</v>
      </c>
      <c r="T267" s="126">
        <f t="shared" ref="T267:Y267" si="315">SUM(T249:T266)</f>
        <v>4.32</v>
      </c>
      <c r="U267" s="126">
        <f t="shared" si="315"/>
        <v>1.57</v>
      </c>
      <c r="V267" s="1128">
        <f t="shared" si="315"/>
        <v>0</v>
      </c>
      <c r="W267" s="126">
        <f t="shared" si="315"/>
        <v>0</v>
      </c>
      <c r="X267" s="126">
        <f t="shared" si="315"/>
        <v>1.41</v>
      </c>
      <c r="Y267" s="126">
        <f t="shared" si="315"/>
        <v>1.17</v>
      </c>
      <c r="Z267" s="126">
        <f>SUM(Z249:Z266)</f>
        <v>3.41</v>
      </c>
      <c r="AA267" s="126">
        <f t="shared" ref="AA267:AF267" si="316">SUM(AA249:AA266)</f>
        <v>2.5299999999999998</v>
      </c>
      <c r="AB267" s="126">
        <f t="shared" si="316"/>
        <v>0</v>
      </c>
      <c r="AC267" s="1128">
        <f t="shared" si="316"/>
        <v>0</v>
      </c>
      <c r="AD267" s="126">
        <f t="shared" si="316"/>
        <v>2.61</v>
      </c>
      <c r="AE267" s="126">
        <f t="shared" si="316"/>
        <v>0.75</v>
      </c>
      <c r="AF267" s="126">
        <f t="shared" si="316"/>
        <v>6.8</v>
      </c>
      <c r="AG267" s="1128">
        <f>SUM(AG249:AG266)</f>
        <v>0</v>
      </c>
      <c r="AH267" s="126">
        <f t="shared" ref="AH267:AI267" si="317">SUM(AH249:AH266)</f>
        <v>5.6</v>
      </c>
      <c r="AI267" s="126">
        <f t="shared" si="317"/>
        <v>9.92</v>
      </c>
      <c r="AJ267" s="126">
        <f>SUM(AJ249:AJ266)</f>
        <v>58.339999999999996</v>
      </c>
      <c r="AK267" s="126"/>
      <c r="AL267" s="478">
        <f>SUM(AL249:AL266)</f>
        <v>1023990</v>
      </c>
    </row>
    <row r="268" spans="1:38" s="82" customFormat="1" ht="35.25" customHeight="1">
      <c r="A268" s="2000"/>
      <c r="B268" s="2009"/>
      <c r="C268" s="93" t="s">
        <v>271</v>
      </c>
      <c r="D268" s="1296"/>
      <c r="E268" s="1123"/>
      <c r="F268" s="84"/>
      <c r="G268" s="84"/>
      <c r="H268" s="1130"/>
      <c r="I268" s="84">
        <v>50</v>
      </c>
      <c r="J268" s="84">
        <v>55</v>
      </c>
      <c r="K268" s="84"/>
      <c r="L268" s="83">
        <v>50</v>
      </c>
      <c r="M268" s="84"/>
      <c r="N268" s="84"/>
      <c r="O268" s="84"/>
      <c r="P268" s="1130"/>
      <c r="Q268" s="84"/>
      <c r="R268" s="84"/>
      <c r="S268" s="83"/>
      <c r="T268" s="84"/>
      <c r="U268" s="84"/>
      <c r="V268" s="1130"/>
      <c r="W268" s="84"/>
      <c r="X268" s="84"/>
      <c r="Y268" s="84"/>
      <c r="Z268" s="83"/>
      <c r="AA268" s="84"/>
      <c r="AB268" s="84"/>
      <c r="AC268" s="1130"/>
      <c r="AD268" s="84">
        <v>60</v>
      </c>
      <c r="AE268" s="84"/>
      <c r="AF268" s="84"/>
      <c r="AG268" s="1123"/>
      <c r="AH268" s="84"/>
      <c r="AI268" s="84"/>
      <c r="AJ268" s="84">
        <f t="shared" ref="AJ268" si="318">SUM(E268:AI268)</f>
        <v>215</v>
      </c>
      <c r="AK268" s="87">
        <v>200</v>
      </c>
      <c r="AL268" s="471">
        <f>AJ268*AK268</f>
        <v>43000</v>
      </c>
    </row>
    <row r="269" spans="1:38" s="82" customFormat="1" ht="35.25" customHeight="1">
      <c r="A269" s="2000"/>
      <c r="B269" s="2009"/>
      <c r="C269" s="65" t="s">
        <v>307</v>
      </c>
      <c r="D269" s="1295"/>
      <c r="E269" s="1123"/>
      <c r="F269" s="83"/>
      <c r="G269" s="83">
        <v>8.91</v>
      </c>
      <c r="H269" s="1123"/>
      <c r="I269" s="83"/>
      <c r="J269" s="83"/>
      <c r="K269" s="83"/>
      <c r="L269" s="83"/>
      <c r="M269" s="83"/>
      <c r="N269" s="83"/>
      <c r="O269" s="83"/>
      <c r="P269" s="1123"/>
      <c r="Q269" s="83"/>
      <c r="R269" s="83"/>
      <c r="S269" s="83"/>
      <c r="T269" s="83"/>
      <c r="U269" s="83"/>
      <c r="V269" s="1123"/>
      <c r="W269" s="83"/>
      <c r="X269" s="83"/>
      <c r="Y269" s="83"/>
      <c r="Z269" s="83"/>
      <c r="AA269" s="83">
        <v>3.64</v>
      </c>
      <c r="AB269" s="83"/>
      <c r="AC269" s="1123"/>
      <c r="AD269" s="83"/>
      <c r="AE269" s="83">
        <v>4.12</v>
      </c>
      <c r="AF269" s="83"/>
      <c r="AG269" s="1123"/>
      <c r="AH269" s="83"/>
      <c r="AI269" s="83"/>
      <c r="AJ269" s="83">
        <f t="shared" ref="AJ269:AJ271" si="319">SUM(E269:AI269)</f>
        <v>16.670000000000002</v>
      </c>
      <c r="AK269" s="85">
        <v>15000</v>
      </c>
      <c r="AL269" s="482">
        <f>AJ269*AK269</f>
        <v>250050.00000000003</v>
      </c>
    </row>
    <row r="270" spans="1:38" s="82" customFormat="1" ht="35.25" customHeight="1">
      <c r="A270" s="2000"/>
      <c r="B270" s="2009"/>
      <c r="C270" s="118" t="s">
        <v>308</v>
      </c>
      <c r="D270" s="1296"/>
      <c r="E270" s="1130"/>
      <c r="F270" s="86"/>
      <c r="G270" s="84"/>
      <c r="H270" s="1129"/>
      <c r="I270" s="83"/>
      <c r="J270" s="84"/>
      <c r="K270" s="86"/>
      <c r="L270" s="86"/>
      <c r="M270" s="84"/>
      <c r="N270" s="84"/>
      <c r="O270" s="86"/>
      <c r="P270" s="1130"/>
      <c r="Q270" s="86"/>
      <c r="R270" s="84"/>
      <c r="S270" s="84"/>
      <c r="T270" s="86"/>
      <c r="U270" s="84"/>
      <c r="V270" s="1129"/>
      <c r="W270" s="84"/>
      <c r="X270" s="86"/>
      <c r="Y270" s="84"/>
      <c r="Z270" s="84"/>
      <c r="AA270" s="84"/>
      <c r="AB270" s="86">
        <v>3.56</v>
      </c>
      <c r="AC270" s="1130"/>
      <c r="AD270" s="86"/>
      <c r="AE270" s="86"/>
      <c r="AF270" s="86"/>
      <c r="AG270" s="1129"/>
      <c r="AH270" s="86"/>
      <c r="AI270" s="86"/>
      <c r="AJ270" s="86">
        <f t="shared" ref="AJ270" si="320">SUM(E270:AI270)</f>
        <v>3.56</v>
      </c>
      <c r="AK270" s="98">
        <v>11000</v>
      </c>
      <c r="AL270" s="475">
        <f>AJ270*AK270</f>
        <v>39160</v>
      </c>
    </row>
    <row r="271" spans="1:38" s="82" customFormat="1" ht="35.25" customHeight="1" thickBot="1">
      <c r="A271" s="2000"/>
      <c r="B271" s="2009"/>
      <c r="C271" s="118" t="s">
        <v>557</v>
      </c>
      <c r="D271" s="1296"/>
      <c r="E271" s="1130"/>
      <c r="F271" s="84"/>
      <c r="G271" s="84"/>
      <c r="H271" s="1130"/>
      <c r="I271" s="84"/>
      <c r="J271" s="84"/>
      <c r="K271" s="84"/>
      <c r="L271" s="84"/>
      <c r="M271" s="84"/>
      <c r="N271" s="84"/>
      <c r="O271" s="84"/>
      <c r="P271" s="1130"/>
      <c r="Q271" s="84"/>
      <c r="R271" s="84"/>
      <c r="S271" s="84"/>
      <c r="T271" s="84"/>
      <c r="U271" s="84"/>
      <c r="V271" s="1130"/>
      <c r="W271" s="84"/>
      <c r="X271" s="84"/>
      <c r="Y271" s="84"/>
      <c r="Z271" s="84"/>
      <c r="AA271" s="84"/>
      <c r="AB271" s="84"/>
      <c r="AC271" s="1130"/>
      <c r="AD271" s="84"/>
      <c r="AE271" s="84"/>
      <c r="AF271" s="84"/>
      <c r="AG271" s="1130"/>
      <c r="AH271" s="84"/>
      <c r="AI271" s="84"/>
      <c r="AJ271" s="86">
        <f t="shared" si="319"/>
        <v>0</v>
      </c>
      <c r="AK271" s="98">
        <v>15000</v>
      </c>
      <c r="AL271" s="475">
        <f>AJ271*AK271</f>
        <v>0</v>
      </c>
    </row>
    <row r="272" spans="1:38" s="90" customFormat="1" ht="35.25" customHeight="1" thickBot="1">
      <c r="A272" s="2000"/>
      <c r="B272" s="2009"/>
      <c r="C272" s="120" t="s">
        <v>318</v>
      </c>
      <c r="D272" s="122"/>
      <c r="E272" s="1121"/>
      <c r="F272" s="99"/>
      <c r="G272" s="99"/>
      <c r="H272" s="1121"/>
      <c r="I272" s="99"/>
      <c r="J272" s="99"/>
      <c r="K272" s="99"/>
      <c r="L272" s="99"/>
      <c r="M272" s="99"/>
      <c r="N272" s="99"/>
      <c r="O272" s="99"/>
      <c r="P272" s="1121"/>
      <c r="Q272" s="99"/>
      <c r="R272" s="99"/>
      <c r="S272" s="99"/>
      <c r="T272" s="99"/>
      <c r="U272" s="99"/>
      <c r="V272" s="1121"/>
      <c r="W272" s="99"/>
      <c r="X272" s="99"/>
      <c r="Y272" s="99"/>
      <c r="Z272" s="99"/>
      <c r="AA272" s="99"/>
      <c r="AB272" s="99"/>
      <c r="AC272" s="1121"/>
      <c r="AD272" s="99"/>
      <c r="AE272" s="99"/>
      <c r="AF272" s="99"/>
      <c r="AG272" s="1121"/>
      <c r="AH272" s="99"/>
      <c r="AI272" s="99"/>
      <c r="AJ272" s="99"/>
      <c r="AK272" s="121"/>
      <c r="AL272" s="472">
        <f>SUM(AL268:AL271)</f>
        <v>332210</v>
      </c>
    </row>
    <row r="273" spans="1:38" s="82" customFormat="1" ht="35.25" customHeight="1">
      <c r="A273" s="2000"/>
      <c r="B273" s="2009"/>
      <c r="C273" s="132" t="s">
        <v>326</v>
      </c>
      <c r="D273" s="1296"/>
      <c r="E273" s="1130"/>
      <c r="F273" s="84"/>
      <c r="G273" s="84"/>
      <c r="H273" s="1130"/>
      <c r="I273" s="84"/>
      <c r="J273" s="84"/>
      <c r="K273" s="84"/>
      <c r="L273" s="84"/>
      <c r="M273" s="84"/>
      <c r="N273" s="84"/>
      <c r="O273" s="84"/>
      <c r="P273" s="1130"/>
      <c r="Q273" s="84"/>
      <c r="R273" s="84"/>
      <c r="S273" s="83"/>
      <c r="T273" s="83"/>
      <c r="U273" s="83"/>
      <c r="V273" s="1123"/>
      <c r="W273" s="83"/>
      <c r="X273" s="83"/>
      <c r="Y273" s="83"/>
      <c r="Z273" s="83"/>
      <c r="AA273" s="83"/>
      <c r="AB273" s="83"/>
      <c r="AC273" s="1123"/>
      <c r="AD273" s="83"/>
      <c r="AE273" s="83"/>
      <c r="AF273" s="83"/>
      <c r="AG273" s="1123"/>
      <c r="AH273" s="83"/>
      <c r="AI273" s="84"/>
      <c r="AJ273" s="83">
        <f t="shared" ref="AJ273:AJ275" si="321">SUM(E273:AI273)</f>
        <v>0</v>
      </c>
      <c r="AK273" s="85">
        <v>4814</v>
      </c>
      <c r="AL273" s="473">
        <f>AJ273*AK273</f>
        <v>0</v>
      </c>
    </row>
    <row r="274" spans="1:38" s="82" customFormat="1" ht="35.25" customHeight="1">
      <c r="A274" s="2000"/>
      <c r="B274" s="2009"/>
      <c r="C274" s="101" t="s">
        <v>267</v>
      </c>
      <c r="D274" s="1296"/>
      <c r="E274" s="1129"/>
      <c r="F274" s="84"/>
      <c r="G274" s="84">
        <v>0.5</v>
      </c>
      <c r="H274" s="1130"/>
      <c r="I274" s="84"/>
      <c r="J274" s="84"/>
      <c r="K274" s="86"/>
      <c r="L274" s="86"/>
      <c r="M274" s="84"/>
      <c r="N274" s="84">
        <v>0.5</v>
      </c>
      <c r="O274" s="84"/>
      <c r="P274" s="1130"/>
      <c r="Q274" s="84"/>
      <c r="R274" s="84"/>
      <c r="S274" s="86"/>
      <c r="T274" s="86"/>
      <c r="U274" s="86"/>
      <c r="V274" s="1129"/>
      <c r="W274" s="86"/>
      <c r="X274" s="84"/>
      <c r="Y274" s="84"/>
      <c r="Z274" s="86"/>
      <c r="AA274" s="86"/>
      <c r="AB274" s="86"/>
      <c r="AC274" s="1129"/>
      <c r="AD274" s="86"/>
      <c r="AE274" s="84"/>
      <c r="AF274" s="84"/>
      <c r="AG274" s="1129"/>
      <c r="AH274" s="84"/>
      <c r="AI274" s="84"/>
      <c r="AJ274" s="84">
        <f t="shared" si="321"/>
        <v>1</v>
      </c>
      <c r="AK274" s="87">
        <v>7217</v>
      </c>
      <c r="AL274" s="471">
        <f t="shared" ref="AL274:AL275" si="322">AJ274*AK274</f>
        <v>7217</v>
      </c>
    </row>
    <row r="275" spans="1:38" s="82" customFormat="1" ht="35.25" customHeight="1" thickBot="1">
      <c r="A275" s="2000"/>
      <c r="B275" s="2009"/>
      <c r="C275" s="101" t="s">
        <v>268</v>
      </c>
      <c r="D275" s="1296"/>
      <c r="E275" s="1130"/>
      <c r="F275" s="84"/>
      <c r="G275" s="84"/>
      <c r="H275" s="1130"/>
      <c r="I275" s="84"/>
      <c r="J275" s="84"/>
      <c r="K275" s="84"/>
      <c r="L275" s="84"/>
      <c r="M275" s="84"/>
      <c r="N275" s="84"/>
      <c r="O275" s="84"/>
      <c r="P275" s="1130"/>
      <c r="Q275" s="84">
        <v>0.5</v>
      </c>
      <c r="R275" s="84">
        <v>0.5</v>
      </c>
      <c r="S275" s="84"/>
      <c r="T275" s="84"/>
      <c r="U275" s="84"/>
      <c r="V275" s="1130"/>
      <c r="W275" s="84"/>
      <c r="X275" s="84"/>
      <c r="Y275" s="84"/>
      <c r="Z275" s="84"/>
      <c r="AA275" s="84"/>
      <c r="AB275" s="84"/>
      <c r="AC275" s="1130"/>
      <c r="AD275" s="84"/>
      <c r="AE275" s="84">
        <v>0.5</v>
      </c>
      <c r="AF275" s="84"/>
      <c r="AG275" s="1130"/>
      <c r="AH275" s="84"/>
      <c r="AI275" s="84"/>
      <c r="AJ275" s="86">
        <f t="shared" si="321"/>
        <v>1.5</v>
      </c>
      <c r="AK275" s="87">
        <v>9029</v>
      </c>
      <c r="AL275" s="469">
        <f t="shared" si="322"/>
        <v>13543.5</v>
      </c>
    </row>
    <row r="276" spans="1:38" s="125" customFormat="1" ht="28.5" customHeight="1" thickBot="1">
      <c r="A276" s="2000"/>
      <c r="B276" s="2009"/>
      <c r="C276" s="2012" t="s">
        <v>316</v>
      </c>
      <c r="D276" s="2013"/>
      <c r="E276" s="1131">
        <f>SUM(E273:E275)</f>
        <v>0</v>
      </c>
      <c r="F276" s="124">
        <f>SUM(F273:F275)</f>
        <v>0</v>
      </c>
      <c r="G276" s="124">
        <f t="shared" ref="G276:K276" si="323">SUM(G273:G275)</f>
        <v>0.5</v>
      </c>
      <c r="H276" s="1131">
        <f t="shared" si="323"/>
        <v>0</v>
      </c>
      <c r="I276" s="124">
        <f t="shared" si="323"/>
        <v>0</v>
      </c>
      <c r="J276" s="124">
        <f t="shared" si="323"/>
        <v>0</v>
      </c>
      <c r="K276" s="124">
        <f t="shared" si="323"/>
        <v>0</v>
      </c>
      <c r="L276" s="124">
        <f>SUM(L273:L275)</f>
        <v>0</v>
      </c>
      <c r="M276" s="124">
        <f t="shared" ref="M276:P276" si="324">SUM(M273:M275)</f>
        <v>0</v>
      </c>
      <c r="N276" s="124">
        <f t="shared" si="324"/>
        <v>0.5</v>
      </c>
      <c r="O276" s="124">
        <f t="shared" si="324"/>
        <v>0</v>
      </c>
      <c r="P276" s="1131">
        <f t="shared" si="324"/>
        <v>0</v>
      </c>
      <c r="Q276" s="124">
        <f t="shared" ref="Q276" si="325">SUM(Q273:Q275)</f>
        <v>0.5</v>
      </c>
      <c r="R276" s="124">
        <f t="shared" ref="R276" si="326">SUM(R273:R275)</f>
        <v>0.5</v>
      </c>
      <c r="S276" s="124">
        <f>SUM(S273:S275)</f>
        <v>0</v>
      </c>
      <c r="T276" s="124">
        <f t="shared" ref="T276:Y276" si="327">SUM(T273:T275)</f>
        <v>0</v>
      </c>
      <c r="U276" s="124">
        <f t="shared" si="327"/>
        <v>0</v>
      </c>
      <c r="V276" s="1131">
        <f t="shared" si="327"/>
        <v>0</v>
      </c>
      <c r="W276" s="124">
        <f t="shared" si="327"/>
        <v>0</v>
      </c>
      <c r="X276" s="124">
        <f t="shared" si="327"/>
        <v>0</v>
      </c>
      <c r="Y276" s="124">
        <f t="shared" si="327"/>
        <v>0</v>
      </c>
      <c r="Z276" s="124">
        <f>SUM(Z273:Z275)</f>
        <v>0</v>
      </c>
      <c r="AA276" s="124">
        <f t="shared" ref="AA276:AF276" si="328">SUM(AA273:AA275)</f>
        <v>0</v>
      </c>
      <c r="AB276" s="124">
        <f t="shared" si="328"/>
        <v>0</v>
      </c>
      <c r="AC276" s="1131">
        <f t="shared" si="328"/>
        <v>0</v>
      </c>
      <c r="AD276" s="124">
        <f t="shared" si="328"/>
        <v>0</v>
      </c>
      <c r="AE276" s="124">
        <f t="shared" si="328"/>
        <v>0.5</v>
      </c>
      <c r="AF276" s="124">
        <f t="shared" si="328"/>
        <v>0</v>
      </c>
      <c r="AG276" s="1131">
        <f>SUM(AG273:AG275)</f>
        <v>0</v>
      </c>
      <c r="AH276" s="124">
        <f t="shared" ref="AH276:AI276" si="329">SUM(AH273:AH275)</f>
        <v>0</v>
      </c>
      <c r="AI276" s="124">
        <f t="shared" si="329"/>
        <v>0</v>
      </c>
      <c r="AJ276" s="124">
        <f>SUM(E276:AI276)</f>
        <v>2.5</v>
      </c>
      <c r="AK276" s="124"/>
      <c r="AL276" s="479">
        <f>SUM(AL273:AL275)</f>
        <v>20760.5</v>
      </c>
    </row>
    <row r="277" spans="1:38" s="82" customFormat="1" ht="35.25" customHeight="1" thickBot="1">
      <c r="A277" s="2000"/>
      <c r="B277" s="2009"/>
      <c r="C277" s="93" t="s">
        <v>265</v>
      </c>
      <c r="D277" s="1296"/>
      <c r="E277" s="1130"/>
      <c r="F277" s="84"/>
      <c r="G277" s="84"/>
      <c r="H277" s="1130"/>
      <c r="I277" s="84"/>
      <c r="J277" s="84"/>
      <c r="K277" s="84"/>
      <c r="L277" s="84"/>
      <c r="M277" s="84"/>
      <c r="N277" s="84"/>
      <c r="O277" s="84"/>
      <c r="P277" s="1130"/>
      <c r="Q277" s="84"/>
      <c r="R277" s="84"/>
      <c r="S277" s="84"/>
      <c r="T277" s="84"/>
      <c r="U277" s="84"/>
      <c r="V277" s="1130"/>
      <c r="W277" s="84"/>
      <c r="X277" s="84"/>
      <c r="Y277" s="84"/>
      <c r="Z277" s="84"/>
      <c r="AA277" s="84"/>
      <c r="AB277" s="84"/>
      <c r="AC277" s="1130"/>
      <c r="AD277" s="84"/>
      <c r="AE277" s="84"/>
      <c r="AF277" s="84"/>
      <c r="AG277" s="1130"/>
      <c r="AH277" s="84"/>
      <c r="AI277" s="84"/>
      <c r="AJ277" s="84">
        <f t="shared" ref="AJ277" si="330">SUM(E277:AI277)</f>
        <v>0</v>
      </c>
      <c r="AK277" s="87">
        <v>20000</v>
      </c>
      <c r="AL277" s="476">
        <f t="shared" ref="AL277" si="331">AJ277*AK277</f>
        <v>0</v>
      </c>
    </row>
    <row r="278" spans="1:38" s="125" customFormat="1" ht="28.5" customHeight="1" thickBot="1">
      <c r="A278" s="2000"/>
      <c r="B278" s="2009"/>
      <c r="C278" s="2012" t="s">
        <v>321</v>
      </c>
      <c r="D278" s="2013"/>
      <c r="E278" s="1131">
        <f t="shared" ref="E278:AI278" si="332">SUM(E277:E277)</f>
        <v>0</v>
      </c>
      <c r="F278" s="124">
        <f t="shared" si="332"/>
        <v>0</v>
      </c>
      <c r="G278" s="124">
        <f t="shared" si="332"/>
        <v>0</v>
      </c>
      <c r="H278" s="1131">
        <f t="shared" si="332"/>
        <v>0</v>
      </c>
      <c r="I278" s="124">
        <f t="shared" si="332"/>
        <v>0</v>
      </c>
      <c r="J278" s="124">
        <f t="shared" si="332"/>
        <v>0</v>
      </c>
      <c r="K278" s="124">
        <f t="shared" si="332"/>
        <v>0</v>
      </c>
      <c r="L278" s="124">
        <f t="shared" si="332"/>
        <v>0</v>
      </c>
      <c r="M278" s="124">
        <f t="shared" si="332"/>
        <v>0</v>
      </c>
      <c r="N278" s="124">
        <f t="shared" si="332"/>
        <v>0</v>
      </c>
      <c r="O278" s="124">
        <f t="shared" si="332"/>
        <v>0</v>
      </c>
      <c r="P278" s="1131">
        <f t="shared" si="332"/>
        <v>0</v>
      </c>
      <c r="Q278" s="124">
        <f t="shared" ref="Q278" si="333">SUM(Q277:Q277)</f>
        <v>0</v>
      </c>
      <c r="R278" s="124">
        <f t="shared" si="332"/>
        <v>0</v>
      </c>
      <c r="S278" s="124">
        <f t="shared" si="332"/>
        <v>0</v>
      </c>
      <c r="T278" s="124">
        <f t="shared" si="332"/>
        <v>0</v>
      </c>
      <c r="U278" s="124">
        <f t="shared" si="332"/>
        <v>0</v>
      </c>
      <c r="V278" s="1131">
        <f t="shared" si="332"/>
        <v>0</v>
      </c>
      <c r="W278" s="124">
        <f t="shared" si="332"/>
        <v>0</v>
      </c>
      <c r="X278" s="124">
        <f t="shared" si="332"/>
        <v>0</v>
      </c>
      <c r="Y278" s="124">
        <f t="shared" si="332"/>
        <v>0</v>
      </c>
      <c r="Z278" s="124">
        <f t="shared" si="332"/>
        <v>0</v>
      </c>
      <c r="AA278" s="124">
        <f t="shared" si="332"/>
        <v>0</v>
      </c>
      <c r="AB278" s="124">
        <f t="shared" si="332"/>
        <v>0</v>
      </c>
      <c r="AC278" s="1131">
        <f t="shared" si="332"/>
        <v>0</v>
      </c>
      <c r="AD278" s="124">
        <f t="shared" si="332"/>
        <v>0</v>
      </c>
      <c r="AE278" s="124">
        <f t="shared" si="332"/>
        <v>0</v>
      </c>
      <c r="AF278" s="124">
        <f t="shared" si="332"/>
        <v>0</v>
      </c>
      <c r="AG278" s="1131">
        <f t="shared" si="332"/>
        <v>0</v>
      </c>
      <c r="AH278" s="124">
        <f t="shared" si="332"/>
        <v>0</v>
      </c>
      <c r="AI278" s="124">
        <f t="shared" si="332"/>
        <v>0</v>
      </c>
      <c r="AJ278" s="124">
        <f>SUM(E278:AI278)</f>
        <v>0</v>
      </c>
      <c r="AK278" s="124"/>
      <c r="AL278" s="479">
        <f>SUM(AL277:AL277)</f>
        <v>0</v>
      </c>
    </row>
    <row r="279" spans="1:38" s="82" customFormat="1" ht="35.25" customHeight="1" thickBot="1">
      <c r="A279" s="2001"/>
      <c r="B279" s="2014"/>
      <c r="C279" s="94" t="s">
        <v>311</v>
      </c>
      <c r="D279" s="1298"/>
      <c r="E279" s="1126"/>
      <c r="F279" s="95"/>
      <c r="G279" s="95"/>
      <c r="H279" s="1126"/>
      <c r="I279" s="95"/>
      <c r="J279" s="95"/>
      <c r="K279" s="95"/>
      <c r="L279" s="95"/>
      <c r="M279" s="95"/>
      <c r="N279" s="95"/>
      <c r="O279" s="95"/>
      <c r="P279" s="1126"/>
      <c r="Q279" s="95"/>
      <c r="R279" s="95"/>
      <c r="S279" s="95"/>
      <c r="T279" s="95"/>
      <c r="U279" s="95"/>
      <c r="V279" s="1126"/>
      <c r="W279" s="95"/>
      <c r="X279" s="95"/>
      <c r="Y279" s="95"/>
      <c r="Z279" s="95"/>
      <c r="AA279" s="95"/>
      <c r="AB279" s="95"/>
      <c r="AC279" s="1126"/>
      <c r="AD279" s="95"/>
      <c r="AE279" s="95"/>
      <c r="AF279" s="95"/>
      <c r="AG279" s="1126"/>
      <c r="AH279" s="95"/>
      <c r="AI279" s="95"/>
      <c r="AJ279" s="95">
        <f t="shared" ref="AJ279" si="334">SUM(E279:AI279)</f>
        <v>0</v>
      </c>
      <c r="AK279" s="96">
        <v>6000</v>
      </c>
      <c r="AL279" s="469">
        <f t="shared" ref="AL279" si="335">AJ279*AK279</f>
        <v>0</v>
      </c>
    </row>
    <row r="280" spans="1:38" s="90" customFormat="1" ht="48.75" customHeight="1" thickBot="1">
      <c r="A280" s="1996" t="s">
        <v>357</v>
      </c>
      <c r="B280" s="1997"/>
      <c r="C280" s="1997"/>
      <c r="D280" s="1998"/>
      <c r="E280" s="1121"/>
      <c r="F280" s="99"/>
      <c r="G280" s="99"/>
      <c r="H280" s="1121"/>
      <c r="I280" s="99"/>
      <c r="J280" s="99"/>
      <c r="K280" s="99"/>
      <c r="L280" s="99"/>
      <c r="M280" s="99"/>
      <c r="N280" s="99"/>
      <c r="O280" s="99"/>
      <c r="P280" s="1121"/>
      <c r="Q280" s="99"/>
      <c r="R280" s="99"/>
      <c r="S280" s="99"/>
      <c r="T280" s="99"/>
      <c r="U280" s="99"/>
      <c r="V280" s="1121"/>
      <c r="W280" s="99"/>
      <c r="X280" s="99"/>
      <c r="Y280" s="99"/>
      <c r="Z280" s="99"/>
      <c r="AA280" s="99"/>
      <c r="AB280" s="99"/>
      <c r="AC280" s="1121"/>
      <c r="AD280" s="99"/>
      <c r="AE280" s="99"/>
      <c r="AF280" s="99"/>
      <c r="AG280" s="1121"/>
      <c r="AH280" s="99"/>
      <c r="AI280" s="99"/>
      <c r="AJ280" s="99"/>
      <c r="AK280" s="189"/>
      <c r="AL280" s="481">
        <f>AL276+AL278+AL279</f>
        <v>20760.5</v>
      </c>
    </row>
  </sheetData>
  <mergeCells count="111">
    <mergeCell ref="AK212:AK213"/>
    <mergeCell ref="AJ5:AJ6"/>
    <mergeCell ref="AK5:AK6"/>
    <mergeCell ref="AJ73:AJ74"/>
    <mergeCell ref="AK73:AK74"/>
    <mergeCell ref="A72:D72"/>
    <mergeCell ref="D16:D21"/>
    <mergeCell ref="D22:D27"/>
    <mergeCell ref="C36:D36"/>
    <mergeCell ref="C38:D38"/>
    <mergeCell ref="B41:B70"/>
    <mergeCell ref="D41:D46"/>
    <mergeCell ref="D47:D52"/>
    <mergeCell ref="C67:D67"/>
    <mergeCell ref="C175:D175"/>
    <mergeCell ref="C177:D177"/>
    <mergeCell ref="AJ144:AJ145"/>
    <mergeCell ref="C129:D129"/>
    <mergeCell ref="A144:A145"/>
    <mergeCell ref="B144:B145"/>
    <mergeCell ref="C212:D213"/>
    <mergeCell ref="C28:D28"/>
    <mergeCell ref="C59:D59"/>
    <mergeCell ref="D161:D166"/>
    <mergeCell ref="D123:D128"/>
    <mergeCell ref="A210:D210"/>
    <mergeCell ref="A179:D179"/>
    <mergeCell ref="D111:D116"/>
    <mergeCell ref="C32:D32"/>
    <mergeCell ref="C105:D105"/>
    <mergeCell ref="C107:D107"/>
    <mergeCell ref="C147:D147"/>
    <mergeCell ref="D149:D154"/>
    <mergeCell ref="A7:A39"/>
    <mergeCell ref="A146:A178"/>
    <mergeCell ref="D180:D185"/>
    <mergeCell ref="C138:D138"/>
    <mergeCell ref="C9:D9"/>
    <mergeCell ref="C167:D167"/>
    <mergeCell ref="C76:D76"/>
    <mergeCell ref="AJ212:AJ213"/>
    <mergeCell ref="D10:D15"/>
    <mergeCell ref="C63:D63"/>
    <mergeCell ref="B180:B209"/>
    <mergeCell ref="D192:D197"/>
    <mergeCell ref="A248:D248"/>
    <mergeCell ref="A214:A247"/>
    <mergeCell ref="C101:D101"/>
    <mergeCell ref="A73:A74"/>
    <mergeCell ref="B73:B74"/>
    <mergeCell ref="C73:D74"/>
    <mergeCell ref="B7:B39"/>
    <mergeCell ref="C8:D8"/>
    <mergeCell ref="A143:D143"/>
    <mergeCell ref="C148:D148"/>
    <mergeCell ref="C69:D69"/>
    <mergeCell ref="D53:D58"/>
    <mergeCell ref="D117:D122"/>
    <mergeCell ref="C77:D77"/>
    <mergeCell ref="D78:D83"/>
    <mergeCell ref="D84:D89"/>
    <mergeCell ref="D90:D95"/>
    <mergeCell ref="C96:D96"/>
    <mergeCell ref="B212:B213"/>
    <mergeCell ref="A280:D280"/>
    <mergeCell ref="A249:A279"/>
    <mergeCell ref="D217:D222"/>
    <mergeCell ref="D223:D228"/>
    <mergeCell ref="C240:D240"/>
    <mergeCell ref="A180:A209"/>
    <mergeCell ref="A211:D211"/>
    <mergeCell ref="C198:D198"/>
    <mergeCell ref="C235:D235"/>
    <mergeCell ref="C267:D267"/>
    <mergeCell ref="B214:B247"/>
    <mergeCell ref="C215:D215"/>
    <mergeCell ref="C216:D216"/>
    <mergeCell ref="D229:D234"/>
    <mergeCell ref="C244:D244"/>
    <mergeCell ref="C246:D246"/>
    <mergeCell ref="B249:B279"/>
    <mergeCell ref="D249:D254"/>
    <mergeCell ref="D255:D260"/>
    <mergeCell ref="D261:D266"/>
    <mergeCell ref="C276:D276"/>
    <mergeCell ref="D186:D191"/>
    <mergeCell ref="C278:D278"/>
    <mergeCell ref="A4:C4"/>
    <mergeCell ref="AK144:AK145"/>
    <mergeCell ref="A142:D142"/>
    <mergeCell ref="A75:A108"/>
    <mergeCell ref="A5:A6"/>
    <mergeCell ref="C144:D145"/>
    <mergeCell ref="B146:B178"/>
    <mergeCell ref="A212:A213"/>
    <mergeCell ref="A71:D71"/>
    <mergeCell ref="A109:D109"/>
    <mergeCell ref="C140:D140"/>
    <mergeCell ref="A110:A141"/>
    <mergeCell ref="B110:B141"/>
    <mergeCell ref="A40:D40"/>
    <mergeCell ref="A41:A70"/>
    <mergeCell ref="B5:B6"/>
    <mergeCell ref="C5:D6"/>
    <mergeCell ref="B75:B108"/>
    <mergeCell ref="C208:D208"/>
    <mergeCell ref="C134:D134"/>
    <mergeCell ref="C171:D171"/>
    <mergeCell ref="C202:D202"/>
    <mergeCell ref="C206:D206"/>
    <mergeCell ref="D155:D160"/>
  </mergeCells>
  <printOptions horizontalCentered="1"/>
  <pageMargins left="0" right="0" top="0" bottom="0" header="0.31496062992125984" footer="0.31496062992125984"/>
  <pageSetup paperSize="9" scale="24" orientation="landscape" horizontalDpi="0" verticalDpi="0" r:id="rId1"/>
  <rowBreaks count="3" manualBreakCount="3">
    <brk id="71" max="16383" man="1"/>
    <brk id="142" max="37" man="1"/>
    <brk id="210" max="37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BX704"/>
  <sheetViews>
    <sheetView view="pageBreakPreview" topLeftCell="X638" zoomScale="85" zoomScaleNormal="80" zoomScaleSheetLayoutView="85" workbookViewId="0">
      <selection activeCell="AN670" sqref="AN670"/>
    </sheetView>
  </sheetViews>
  <sheetFormatPr defaultColWidth="9" defaultRowHeight="18"/>
  <cols>
    <col min="1" max="1" width="4.5703125" style="1518" customWidth="1"/>
    <col min="2" max="2" width="3.5703125" style="1547" hidden="1" customWidth="1"/>
    <col min="3" max="3" width="3.7109375" style="1562" hidden="1" customWidth="1"/>
    <col min="4" max="4" width="18.5703125" style="1518" customWidth="1"/>
    <col min="5" max="5" width="8.140625" style="1518" customWidth="1"/>
    <col min="6" max="6" width="17.85546875" style="1551" customWidth="1"/>
    <col min="7" max="7" width="16" style="1551" customWidth="1"/>
    <col min="8" max="8" width="10.140625" style="1518" customWidth="1"/>
    <col min="9" max="9" width="13.140625" style="1518" customWidth="1"/>
    <col min="10" max="10" width="10.140625" style="1518" customWidth="1"/>
    <col min="11" max="11" width="15.28515625" style="1518" customWidth="1"/>
    <col min="12" max="12" width="10.140625" style="1518" customWidth="1"/>
    <col min="13" max="13" width="13.140625" style="1518" customWidth="1"/>
    <col min="14" max="14" width="10.140625" style="1518" customWidth="1"/>
    <col min="15" max="15" width="13.140625" style="1518" customWidth="1"/>
    <col min="16" max="16" width="10.140625" style="1518" customWidth="1"/>
    <col min="17" max="17" width="13.140625" style="1518" customWidth="1"/>
    <col min="18" max="21" width="13.140625" style="1518" hidden="1" customWidth="1"/>
    <col min="22" max="22" width="8.5703125" style="1518" customWidth="1"/>
    <col min="23" max="30" width="13.140625" style="1518" customWidth="1"/>
    <col min="31" max="33" width="16.28515625" style="1518" customWidth="1"/>
    <col min="34" max="35" width="13.140625" style="1518" customWidth="1"/>
    <col min="36" max="36" width="13.140625" style="1518" hidden="1" customWidth="1"/>
    <col min="37" max="37" width="14.85546875" style="1612" hidden="1" customWidth="1"/>
    <col min="38" max="38" width="15.28515625" style="1518" hidden="1" customWidth="1"/>
    <col min="39" max="39" width="13.140625" style="1518" hidden="1" customWidth="1"/>
    <col min="40" max="40" width="13.140625" style="1518" customWidth="1"/>
    <col min="41" max="41" width="15.85546875" style="1518" customWidth="1"/>
    <col min="42" max="43" width="13.140625" style="1518" customWidth="1"/>
    <col min="44" max="44" width="13.140625" style="1518" hidden="1" customWidth="1"/>
    <col min="45" max="48" width="13.140625" style="1518" customWidth="1"/>
    <col min="49" max="49" width="13.140625" style="1518" hidden="1" customWidth="1"/>
    <col min="50" max="50" width="13.140625" style="1518" customWidth="1"/>
    <col min="51" max="51" width="12.140625" style="1518" customWidth="1"/>
    <col min="52" max="52" width="7.28515625" style="1518" hidden="1" customWidth="1"/>
    <col min="53" max="53" width="11.7109375" style="1518" hidden="1" customWidth="1"/>
    <col min="54" max="54" width="7.5703125" style="1518" hidden="1" customWidth="1"/>
    <col min="55" max="55" width="18" style="1518" customWidth="1"/>
    <col min="56" max="56" width="6.85546875" style="1518" customWidth="1"/>
    <col min="57" max="57" width="6.28515625" style="1547" customWidth="1"/>
    <col min="58" max="58" width="9" style="1518" customWidth="1"/>
    <col min="59" max="59" width="18.7109375" style="1551" customWidth="1"/>
    <col min="60" max="60" width="14.28515625" style="1552" customWidth="1"/>
    <col min="61" max="61" width="14.42578125" style="1552" customWidth="1"/>
    <col min="62" max="62" width="21.7109375" style="1551" customWidth="1"/>
    <col min="63" max="63" width="28.42578125" style="1553" customWidth="1"/>
    <col min="64" max="64" width="15.5703125" style="1553" customWidth="1"/>
    <col min="65" max="65" width="15.7109375" style="1553" customWidth="1"/>
    <col min="66" max="66" width="11" style="1551" customWidth="1"/>
    <col min="67" max="67" width="105.140625" style="1551" bestFit="1" customWidth="1"/>
    <col min="68" max="68" width="11.28515625" style="1518" bestFit="1" customWidth="1"/>
    <col min="69" max="69" width="17.85546875" style="1518" bestFit="1" customWidth="1"/>
    <col min="70" max="70" width="11.140625" style="1518" bestFit="1" customWidth="1"/>
    <col min="71" max="71" width="31.140625" style="1523" customWidth="1"/>
    <col min="72" max="72" width="17" style="1523" customWidth="1"/>
    <col min="73" max="76" width="9.140625" style="1518" bestFit="1" customWidth="1"/>
    <col min="77" max="16384" width="9" style="1518"/>
  </cols>
  <sheetData>
    <row r="1" spans="1:72" ht="23.25" customHeight="1">
      <c r="A1" s="2048" t="s">
        <v>0</v>
      </c>
      <c r="B1" s="2048"/>
      <c r="C1" s="2048"/>
      <c r="D1" s="2048"/>
      <c r="E1" s="2048"/>
      <c r="F1" s="2048"/>
      <c r="G1" s="2048"/>
      <c r="H1" s="2048"/>
      <c r="I1" s="2048"/>
      <c r="J1" s="2048"/>
      <c r="K1" s="2048"/>
      <c r="L1" s="2048"/>
      <c r="M1" s="2048"/>
      <c r="N1" s="2048"/>
      <c r="O1" s="2048"/>
      <c r="P1" s="2048"/>
      <c r="Q1" s="2048"/>
      <c r="R1" s="2048"/>
      <c r="S1" s="2048"/>
      <c r="T1" s="2048"/>
      <c r="U1" s="2048"/>
      <c r="V1" s="2048"/>
      <c r="W1" s="2048"/>
      <c r="X1" s="2048"/>
      <c r="Y1" s="2048"/>
      <c r="Z1" s="2048"/>
      <c r="AA1" s="2048"/>
      <c r="AB1" s="2048"/>
      <c r="AC1" s="2048"/>
      <c r="AD1" s="2048"/>
      <c r="AE1" s="2048"/>
      <c r="AF1" s="2048"/>
      <c r="AG1" s="2048"/>
      <c r="AH1" s="2048"/>
      <c r="AI1" s="2048"/>
      <c r="AJ1" s="2048"/>
      <c r="AK1" s="2048"/>
      <c r="AL1" s="2048"/>
      <c r="AM1" s="2048"/>
      <c r="AN1" s="2048"/>
      <c r="AO1" s="2048"/>
      <c r="AP1" s="2048"/>
      <c r="AQ1" s="2048"/>
      <c r="AR1" s="2048"/>
      <c r="AS1" s="2048"/>
      <c r="AT1" s="2048"/>
      <c r="AU1" s="2048"/>
      <c r="AV1" s="2048"/>
      <c r="AW1" s="2048"/>
      <c r="AX1" s="2048"/>
      <c r="AY1" s="2048"/>
      <c r="AZ1" s="2048"/>
      <c r="BA1" s="2048"/>
      <c r="BB1" s="2048"/>
      <c r="BC1" s="2048"/>
      <c r="BD1" s="2048"/>
      <c r="BE1" s="2048"/>
    </row>
    <row r="2" spans="1:72" ht="26.25" customHeight="1">
      <c r="A2" s="2049" t="s">
        <v>1033</v>
      </c>
      <c r="B2" s="2049"/>
      <c r="C2" s="2049"/>
      <c r="D2" s="2049"/>
      <c r="E2" s="2049"/>
      <c r="F2" s="2049"/>
      <c r="G2" s="2049"/>
      <c r="H2" s="2049"/>
      <c r="I2" s="2049"/>
      <c r="J2" s="2049"/>
      <c r="K2" s="2049"/>
      <c r="L2" s="2049"/>
      <c r="M2" s="2049"/>
      <c r="N2" s="2049"/>
      <c r="O2" s="2049"/>
      <c r="P2" s="2049"/>
      <c r="Q2" s="2049"/>
      <c r="R2" s="2049"/>
      <c r="S2" s="2049"/>
      <c r="T2" s="2049"/>
      <c r="U2" s="2049"/>
      <c r="V2" s="2049"/>
      <c r="W2" s="2049"/>
      <c r="X2" s="2049"/>
      <c r="Y2" s="2049"/>
      <c r="Z2" s="2049"/>
      <c r="AA2" s="2049"/>
      <c r="AB2" s="2049"/>
      <c r="AC2" s="2049"/>
      <c r="AD2" s="2049"/>
      <c r="AE2" s="2049"/>
      <c r="AF2" s="2049"/>
      <c r="AG2" s="2049"/>
      <c r="AH2" s="2049"/>
      <c r="AI2" s="2049"/>
      <c r="AJ2" s="2049"/>
      <c r="AK2" s="2049"/>
      <c r="AL2" s="2049"/>
      <c r="AM2" s="2049"/>
      <c r="AN2" s="2049"/>
      <c r="AO2" s="2049"/>
      <c r="AP2" s="2049"/>
      <c r="AQ2" s="2049"/>
      <c r="AR2" s="2049"/>
      <c r="AS2" s="2049"/>
      <c r="AT2" s="2049"/>
      <c r="AU2" s="2049"/>
      <c r="AV2" s="2049"/>
      <c r="AW2" s="2049"/>
      <c r="AX2" s="2049"/>
      <c r="AY2" s="2049"/>
      <c r="AZ2" s="2049"/>
      <c r="BA2" s="2049"/>
      <c r="BB2" s="2049"/>
      <c r="BC2" s="2049"/>
      <c r="BD2" s="2049"/>
      <c r="BE2" s="2049"/>
    </row>
    <row r="3" spans="1:72" s="1523" customFormat="1" ht="18.75" customHeight="1">
      <c r="C3" s="1554"/>
      <c r="D3" s="1523" t="s">
        <v>964</v>
      </c>
      <c r="F3" s="1555"/>
      <c r="G3" s="1555"/>
      <c r="X3" s="1556"/>
      <c r="AE3" s="1532"/>
      <c r="AK3" s="1557"/>
      <c r="AP3" s="1558">
        <v>3876600</v>
      </c>
      <c r="AQ3" s="1559">
        <f>AP3/30</f>
        <v>129220</v>
      </c>
      <c r="AR3" s="1559">
        <f>AP3/173*1.5</f>
        <v>33612.138728323698</v>
      </c>
      <c r="AS3" s="1559">
        <f>AP3/173*2</f>
        <v>44816.184971098264</v>
      </c>
      <c r="AW3" s="1532" t="s">
        <v>55</v>
      </c>
      <c r="AX3" s="1523" t="s">
        <v>152</v>
      </c>
      <c r="BC3" s="1531"/>
      <c r="BE3" s="1532"/>
      <c r="BG3" s="1555"/>
      <c r="BH3" s="1560"/>
      <c r="BI3" s="1560"/>
      <c r="BJ3" s="1555"/>
      <c r="BK3" s="1561"/>
      <c r="BL3" s="1561"/>
      <c r="BM3" s="1561"/>
      <c r="BN3" s="1555"/>
      <c r="BO3" s="1555"/>
    </row>
    <row r="4" spans="1:72" ht="15" customHeight="1" thickBot="1">
      <c r="A4" s="1547"/>
      <c r="D4" s="1563"/>
      <c r="E4" s="1563"/>
      <c r="F4" s="1564"/>
      <c r="G4" s="1564"/>
      <c r="H4" s="1563"/>
      <c r="I4" s="1563"/>
      <c r="J4" s="1563"/>
      <c r="K4" s="1563"/>
      <c r="L4" s="1563"/>
      <c r="M4" s="1563"/>
      <c r="N4" s="1563"/>
      <c r="O4" s="1563"/>
      <c r="Q4" s="1563"/>
      <c r="R4" s="1563"/>
      <c r="S4" s="1563"/>
      <c r="T4" s="1563"/>
      <c r="U4" s="1563"/>
      <c r="V4" s="1563"/>
      <c r="W4" s="1563"/>
      <c r="X4" s="1563"/>
      <c r="Y4" s="1563"/>
      <c r="Z4" s="1563"/>
      <c r="AA4" s="1563"/>
      <c r="AB4" s="1563"/>
      <c r="AC4" s="1563"/>
      <c r="AD4" s="1547"/>
      <c r="AE4" s="1563"/>
      <c r="AF4" s="1563"/>
      <c r="AG4" s="1563"/>
      <c r="AH4" s="1563"/>
      <c r="AI4" s="1563"/>
      <c r="AJ4" s="1563"/>
      <c r="AK4" s="1565"/>
      <c r="AL4" s="1563"/>
      <c r="AM4" s="1563"/>
      <c r="AO4" s="1563"/>
      <c r="AP4" s="1558">
        <v>3876600</v>
      </c>
      <c r="AQ4" s="1566">
        <f>AP4/30</f>
        <v>129220</v>
      </c>
      <c r="AR4" s="1567"/>
      <c r="AS4" s="1568">
        <f>AP4+24000</f>
        <v>3900600</v>
      </c>
    </row>
    <row r="5" spans="1:72" s="1523" customFormat="1" ht="15.75" customHeight="1">
      <c r="A5" s="2050" t="s">
        <v>5</v>
      </c>
      <c r="B5" s="2053" t="s">
        <v>6</v>
      </c>
      <c r="C5" s="2056" t="s">
        <v>52</v>
      </c>
      <c r="D5" s="1569"/>
      <c r="E5" s="1569"/>
      <c r="F5" s="1570"/>
      <c r="G5" s="1570"/>
      <c r="H5" s="2059" t="s">
        <v>2</v>
      </c>
      <c r="I5" s="2060"/>
      <c r="J5" s="2060"/>
      <c r="K5" s="2060"/>
      <c r="L5" s="2060"/>
      <c r="M5" s="2060"/>
      <c r="N5" s="2060"/>
      <c r="O5" s="2060"/>
      <c r="P5" s="2060"/>
      <c r="Q5" s="2060"/>
      <c r="R5" s="2060"/>
      <c r="S5" s="2060"/>
      <c r="T5" s="2060"/>
      <c r="U5" s="2061"/>
      <c r="V5" s="2056" t="s">
        <v>286</v>
      </c>
      <c r="W5" s="2059" t="s">
        <v>3</v>
      </c>
      <c r="X5" s="2060"/>
      <c r="Y5" s="2060"/>
      <c r="Z5" s="2060"/>
      <c r="AA5" s="2060"/>
      <c r="AB5" s="2060"/>
      <c r="AC5" s="2060"/>
      <c r="AD5" s="2061"/>
      <c r="AE5" s="2042" t="s">
        <v>45</v>
      </c>
      <c r="AF5" s="2063" t="s">
        <v>46</v>
      </c>
      <c r="AG5" s="2064"/>
      <c r="AH5" s="2064"/>
      <c r="AI5" s="2064"/>
      <c r="AJ5" s="2064"/>
      <c r="AK5" s="2064"/>
      <c r="AL5" s="2065"/>
      <c r="AM5" s="2045" t="s">
        <v>98</v>
      </c>
      <c r="AN5" s="2056" t="s">
        <v>44</v>
      </c>
      <c r="AO5" s="1533" t="s">
        <v>4</v>
      </c>
      <c r="AP5" s="2036" t="s">
        <v>20</v>
      </c>
      <c r="AQ5" s="2037"/>
      <c r="AR5" s="2038"/>
      <c r="AS5" s="2036" t="s">
        <v>54</v>
      </c>
      <c r="AT5" s="2037"/>
      <c r="AU5" s="2037"/>
      <c r="AV5" s="2037"/>
      <c r="AW5" s="2037"/>
      <c r="AX5" s="1571"/>
      <c r="AY5" s="2042" t="s">
        <v>89</v>
      </c>
      <c r="AZ5" s="2045" t="s">
        <v>97</v>
      </c>
      <c r="BA5" s="2045" t="s">
        <v>719</v>
      </c>
      <c r="BB5" s="2045" t="s">
        <v>210</v>
      </c>
      <c r="BC5" s="1539" t="s">
        <v>4</v>
      </c>
      <c r="BD5" s="2063" t="s">
        <v>41</v>
      </c>
      <c r="BE5" s="2084"/>
      <c r="BG5" s="1555"/>
      <c r="BH5" s="1560"/>
      <c r="BI5" s="1560"/>
      <c r="BJ5" s="1555"/>
      <c r="BK5" s="1561"/>
      <c r="BL5" s="1561"/>
      <c r="BM5" s="1561"/>
      <c r="BN5" s="1555"/>
      <c r="BO5" s="1555"/>
    </row>
    <row r="6" spans="1:72" s="1523" customFormat="1" ht="25.5" customHeight="1">
      <c r="A6" s="2051"/>
      <c r="B6" s="2054"/>
      <c r="C6" s="2057"/>
      <c r="D6" s="1519" t="s">
        <v>7</v>
      </c>
      <c r="E6" s="1519" t="s">
        <v>8</v>
      </c>
      <c r="F6" s="1572" t="s">
        <v>9</v>
      </c>
      <c r="G6" s="1572" t="s">
        <v>9</v>
      </c>
      <c r="H6" s="2071" t="s">
        <v>10</v>
      </c>
      <c r="I6" s="2072"/>
      <c r="J6" s="2071" t="s">
        <v>11</v>
      </c>
      <c r="K6" s="2072"/>
      <c r="L6" s="2071" t="s">
        <v>12</v>
      </c>
      <c r="M6" s="2072"/>
      <c r="N6" s="2071" t="s">
        <v>13</v>
      </c>
      <c r="O6" s="2072"/>
      <c r="P6" s="2071" t="s">
        <v>14</v>
      </c>
      <c r="Q6" s="2072"/>
      <c r="R6" s="2087" t="s">
        <v>15</v>
      </c>
      <c r="S6" s="2088"/>
      <c r="T6" s="2071" t="s">
        <v>16</v>
      </c>
      <c r="U6" s="2072"/>
      <c r="V6" s="2057"/>
      <c r="W6" s="2071" t="s">
        <v>17</v>
      </c>
      <c r="X6" s="2072"/>
      <c r="Y6" s="2071" t="s">
        <v>18</v>
      </c>
      <c r="Z6" s="2081"/>
      <c r="AA6" s="2072"/>
      <c r="AB6" s="2071" t="s">
        <v>19</v>
      </c>
      <c r="AC6" s="2081"/>
      <c r="AD6" s="2072"/>
      <c r="AE6" s="2043"/>
      <c r="AF6" s="2066"/>
      <c r="AG6" s="2067"/>
      <c r="AH6" s="2067"/>
      <c r="AI6" s="2067"/>
      <c r="AJ6" s="2067"/>
      <c r="AK6" s="2067"/>
      <c r="AL6" s="2068"/>
      <c r="AM6" s="2046"/>
      <c r="AN6" s="2057"/>
      <c r="AO6" s="1534" t="s">
        <v>9</v>
      </c>
      <c r="AP6" s="2039"/>
      <c r="AQ6" s="2040"/>
      <c r="AR6" s="2041"/>
      <c r="AS6" s="2039"/>
      <c r="AT6" s="2040"/>
      <c r="AU6" s="2040"/>
      <c r="AV6" s="2040"/>
      <c r="AW6" s="2040"/>
      <c r="AX6" s="1534" t="s">
        <v>21</v>
      </c>
      <c r="AY6" s="2043"/>
      <c r="AZ6" s="2046"/>
      <c r="BA6" s="2046"/>
      <c r="BB6" s="2046"/>
      <c r="BC6" s="1540" t="s">
        <v>9</v>
      </c>
      <c r="BD6" s="2085"/>
      <c r="BE6" s="2086"/>
      <c r="BG6" s="1573"/>
      <c r="BH6" s="1573"/>
      <c r="BI6" s="1573"/>
      <c r="BJ6" s="1555"/>
      <c r="BK6" s="1561"/>
      <c r="BL6" s="1561"/>
      <c r="BM6" s="1561"/>
      <c r="BN6" s="1555"/>
      <c r="BO6" s="1555"/>
    </row>
    <row r="7" spans="1:72" s="1523" customFormat="1" ht="63" customHeight="1">
      <c r="A7" s="2051"/>
      <c r="B7" s="2054"/>
      <c r="C7" s="2057"/>
      <c r="D7" s="1519" t="s">
        <v>22</v>
      </c>
      <c r="E7" s="1519" t="s">
        <v>23</v>
      </c>
      <c r="F7" s="1572" t="s">
        <v>24</v>
      </c>
      <c r="G7" s="1572" t="s">
        <v>25</v>
      </c>
      <c r="H7" s="2069" t="s">
        <v>4</v>
      </c>
      <c r="I7" s="2070"/>
      <c r="J7" s="2069" t="s">
        <v>4</v>
      </c>
      <c r="K7" s="2070"/>
      <c r="L7" s="2069" t="s">
        <v>4</v>
      </c>
      <c r="M7" s="2070"/>
      <c r="N7" s="2069" t="s">
        <v>4</v>
      </c>
      <c r="O7" s="2070"/>
      <c r="P7" s="2069" t="s">
        <v>4</v>
      </c>
      <c r="Q7" s="2070"/>
      <c r="R7" s="2082" t="s">
        <v>4</v>
      </c>
      <c r="S7" s="2083"/>
      <c r="T7" s="2069" t="s">
        <v>4</v>
      </c>
      <c r="U7" s="2070"/>
      <c r="V7" s="2057"/>
      <c r="W7" s="1534" t="s">
        <v>27</v>
      </c>
      <c r="X7" s="1574" t="s">
        <v>28</v>
      </c>
      <c r="Y7" s="1534" t="s">
        <v>27</v>
      </c>
      <c r="Z7" s="2069" t="s">
        <v>4</v>
      </c>
      <c r="AA7" s="2070"/>
      <c r="AB7" s="1534" t="s">
        <v>27</v>
      </c>
      <c r="AC7" s="2071" t="s">
        <v>4</v>
      </c>
      <c r="AD7" s="2072"/>
      <c r="AE7" s="2062"/>
      <c r="AF7" s="1575" t="s">
        <v>56</v>
      </c>
      <c r="AG7" s="1575" t="s">
        <v>57</v>
      </c>
      <c r="AH7" s="1575" t="s">
        <v>60</v>
      </c>
      <c r="AI7" s="1575" t="s">
        <v>202</v>
      </c>
      <c r="AJ7" s="1575" t="s">
        <v>218</v>
      </c>
      <c r="AK7" s="1575" t="s">
        <v>572</v>
      </c>
      <c r="AL7" s="1575" t="s">
        <v>288</v>
      </c>
      <c r="AM7" s="2089"/>
      <c r="AN7" s="2090"/>
      <c r="AO7" s="1534" t="s">
        <v>29</v>
      </c>
      <c r="AP7" s="1519" t="s">
        <v>30</v>
      </c>
      <c r="AQ7" s="1519" t="s">
        <v>31</v>
      </c>
      <c r="AR7" s="1519" t="s">
        <v>4</v>
      </c>
      <c r="AS7" s="1576" t="s">
        <v>30</v>
      </c>
      <c r="AT7" s="1574" t="s">
        <v>31</v>
      </c>
      <c r="AU7" s="1574" t="s">
        <v>30</v>
      </c>
      <c r="AV7" s="1574" t="s">
        <v>31</v>
      </c>
      <c r="AW7" s="1577" t="s">
        <v>4</v>
      </c>
      <c r="AX7" s="1534" t="s">
        <v>32</v>
      </c>
      <c r="AY7" s="2043"/>
      <c r="AZ7" s="2046"/>
      <c r="BA7" s="2046"/>
      <c r="BB7" s="2046"/>
      <c r="BC7" s="1540" t="s">
        <v>33</v>
      </c>
      <c r="BD7" s="2073" t="s">
        <v>42</v>
      </c>
      <c r="BE7" s="2075" t="s">
        <v>43</v>
      </c>
      <c r="BG7" s="1573"/>
      <c r="BH7" s="1578"/>
      <c r="BI7" s="1578"/>
      <c r="BJ7" s="1555"/>
      <c r="BK7" s="1561"/>
      <c r="BL7" s="1561"/>
      <c r="BM7" s="1561"/>
      <c r="BN7" s="1555"/>
      <c r="BO7" s="1555"/>
    </row>
    <row r="8" spans="1:72" s="1523" customFormat="1" ht="21" customHeight="1" thickBot="1">
      <c r="A8" s="2052"/>
      <c r="B8" s="2055"/>
      <c r="C8" s="2058"/>
      <c r="D8" s="1520"/>
      <c r="E8" s="1520"/>
      <c r="F8" s="1579" t="s">
        <v>34</v>
      </c>
      <c r="G8" s="1580" t="s">
        <v>34</v>
      </c>
      <c r="H8" s="1581" t="s">
        <v>8</v>
      </c>
      <c r="I8" s="1582" t="s">
        <v>34</v>
      </c>
      <c r="J8" s="1581" t="s">
        <v>8</v>
      </c>
      <c r="K8" s="1582" t="s">
        <v>34</v>
      </c>
      <c r="L8" s="1581" t="s">
        <v>8</v>
      </c>
      <c r="M8" s="1582" t="s">
        <v>34</v>
      </c>
      <c r="N8" s="1581" t="s">
        <v>8</v>
      </c>
      <c r="O8" s="1582" t="s">
        <v>34</v>
      </c>
      <c r="P8" s="1581" t="s">
        <v>8</v>
      </c>
      <c r="Q8" s="1582" t="s">
        <v>34</v>
      </c>
      <c r="R8" s="1581" t="s">
        <v>8</v>
      </c>
      <c r="S8" s="1582" t="s">
        <v>34</v>
      </c>
      <c r="T8" s="1581" t="s">
        <v>8</v>
      </c>
      <c r="U8" s="1582" t="s">
        <v>34</v>
      </c>
      <c r="V8" s="2058"/>
      <c r="W8" s="1581" t="s">
        <v>26</v>
      </c>
      <c r="X8" s="1581" t="s">
        <v>34</v>
      </c>
      <c r="Y8" s="1581" t="s">
        <v>26</v>
      </c>
      <c r="Z8" s="1581" t="s">
        <v>26</v>
      </c>
      <c r="AA8" s="1581" t="s">
        <v>34</v>
      </c>
      <c r="AB8" s="1581" t="s">
        <v>26</v>
      </c>
      <c r="AC8" s="1581" t="s">
        <v>35</v>
      </c>
      <c r="AD8" s="1581" t="s">
        <v>34</v>
      </c>
      <c r="AE8" s="1581" t="s">
        <v>34</v>
      </c>
      <c r="AF8" s="1582" t="s">
        <v>34</v>
      </c>
      <c r="AG8" s="1582" t="s">
        <v>34</v>
      </c>
      <c r="AH8" s="1582" t="s">
        <v>34</v>
      </c>
      <c r="AI8" s="1582" t="s">
        <v>34</v>
      </c>
      <c r="AJ8" s="1582" t="s">
        <v>34</v>
      </c>
      <c r="AK8" s="1582" t="s">
        <v>34</v>
      </c>
      <c r="AL8" s="1582" t="s">
        <v>34</v>
      </c>
      <c r="AM8" s="1582" t="s">
        <v>34</v>
      </c>
      <c r="AN8" s="1581" t="s">
        <v>34</v>
      </c>
      <c r="AO8" s="1582" t="s">
        <v>34</v>
      </c>
      <c r="AP8" s="1582" t="s">
        <v>34</v>
      </c>
      <c r="AQ8" s="1582" t="s">
        <v>34</v>
      </c>
      <c r="AR8" s="1582" t="s">
        <v>34</v>
      </c>
      <c r="AS8" s="1581" t="s">
        <v>58</v>
      </c>
      <c r="AT8" s="1582" t="s">
        <v>34</v>
      </c>
      <c r="AU8" s="1582" t="s">
        <v>59</v>
      </c>
      <c r="AV8" s="1582" t="s">
        <v>34</v>
      </c>
      <c r="AW8" s="1583" t="s">
        <v>34</v>
      </c>
      <c r="AX8" s="1537"/>
      <c r="AY8" s="2044"/>
      <c r="AZ8" s="2047"/>
      <c r="BA8" s="2047"/>
      <c r="BB8" s="2047"/>
      <c r="BC8" s="1541" t="s">
        <v>34</v>
      </c>
      <c r="BD8" s="2074"/>
      <c r="BE8" s="2076"/>
      <c r="BG8" s="1555" t="s">
        <v>353</v>
      </c>
      <c r="BH8" s="1578" t="s">
        <v>43</v>
      </c>
      <c r="BI8" s="1578" t="s">
        <v>42</v>
      </c>
      <c r="BJ8" s="1555" t="s">
        <v>354</v>
      </c>
      <c r="BK8" s="1561" t="s">
        <v>358</v>
      </c>
      <c r="BL8" s="1561"/>
      <c r="BM8" s="1561" t="s">
        <v>625</v>
      </c>
      <c r="BN8" s="1555" t="s">
        <v>626</v>
      </c>
      <c r="BO8" s="1555" t="s">
        <v>627</v>
      </c>
      <c r="BQ8" s="1523" t="s">
        <v>685</v>
      </c>
    </row>
    <row r="9" spans="1:72" s="1587" customFormat="1" ht="102" customHeight="1" thickBot="1">
      <c r="A9" s="1584" t="s">
        <v>63</v>
      </c>
      <c r="B9" s="1489" t="s">
        <v>36</v>
      </c>
      <c r="C9" s="1585" t="s">
        <v>451</v>
      </c>
      <c r="D9" s="1586" t="s">
        <v>438</v>
      </c>
      <c r="E9" s="1489">
        <f>'HK UP KEEP, OP '!AH7</f>
        <v>16</v>
      </c>
      <c r="F9" s="1490">
        <v>129220</v>
      </c>
      <c r="G9" s="1490">
        <f t="shared" ref="G9:G297" si="0">E9*F9</f>
        <v>2067520</v>
      </c>
      <c r="H9" s="1489">
        <f>'HK UP KEEP, OP '!AI7</f>
        <v>2</v>
      </c>
      <c r="I9" s="1489">
        <f t="shared" ref="I9:I297" si="1">H9*F9</f>
        <v>258440</v>
      </c>
      <c r="J9" s="1489">
        <f>'HK UP KEEP, OP '!AJ7</f>
        <v>2</v>
      </c>
      <c r="K9" s="1489">
        <f t="shared" ref="K9:K297" si="2">J9*F9</f>
        <v>258440</v>
      </c>
      <c r="L9" s="1489">
        <f>'HK UP KEEP, OP '!AK7</f>
        <v>0</v>
      </c>
      <c r="M9" s="1489">
        <f t="shared" ref="M9:M297" si="3">L9*F9</f>
        <v>0</v>
      </c>
      <c r="N9" s="1489">
        <f>'HK UP KEEP, OP '!AL7</f>
        <v>4</v>
      </c>
      <c r="O9" s="1489">
        <f t="shared" ref="O9:O297" si="4">N9*F9</f>
        <v>516880</v>
      </c>
      <c r="P9" s="1489">
        <f>'HK UP KEEP, OP '!AM7</f>
        <v>3</v>
      </c>
      <c r="Q9" s="1489">
        <f t="shared" ref="Q9:Q297" si="5">P9*F9</f>
        <v>387660</v>
      </c>
      <c r="R9" s="1489">
        <f>'HK UP KEEP, OP '!AN7</f>
        <v>0</v>
      </c>
      <c r="S9" s="1489">
        <f t="shared" ref="S9:S297" si="6">R9*F9</f>
        <v>0</v>
      </c>
      <c r="T9" s="1489">
        <f>'HK UP KEEP, OP '!AO7+'HK UP KEEP, OP '!AP7+'HK UP KEEP, OP '!AQ7</f>
        <v>0</v>
      </c>
      <c r="U9" s="1489">
        <f t="shared" ref="U9:U297" si="7">T9*F9</f>
        <v>0</v>
      </c>
      <c r="V9" s="1489">
        <f t="shared" ref="V9:V297" si="8">SUM(E9+H9+J9+L9+N9+P9+R9+T9)</f>
        <v>27</v>
      </c>
      <c r="W9" s="1491">
        <v>4650</v>
      </c>
      <c r="X9" s="1489">
        <f t="shared" ref="X9:X297" si="9">W9*V9</f>
        <v>125550</v>
      </c>
      <c r="Y9" s="1489">
        <v>3500</v>
      </c>
      <c r="Z9" s="1489">
        <f>E9</f>
        <v>16</v>
      </c>
      <c r="AA9" s="1492">
        <f>Z9*Y9</f>
        <v>56000</v>
      </c>
      <c r="AB9" s="1489">
        <v>2500</v>
      </c>
      <c r="AC9" s="1489">
        <f>'MASA KERJA AB'!H8</f>
        <v>17</v>
      </c>
      <c r="AD9" s="1492">
        <f>'MASA KERJA AB'!I8</f>
        <v>50500</v>
      </c>
      <c r="AE9" s="1491">
        <f>'LEMBUR DAN PREMI UPKEEP'!AJ21</f>
        <v>33612.14</v>
      </c>
      <c r="AF9" s="1489"/>
      <c r="AG9" s="1489"/>
      <c r="AH9" s="1489"/>
      <c r="AI9" s="1489"/>
      <c r="AJ9" s="1489"/>
      <c r="AK9" s="1493"/>
      <c r="AL9" s="1489"/>
      <c r="AM9" s="1489"/>
      <c r="AN9" s="1489"/>
      <c r="AO9" s="1494">
        <f t="shared" ref="AO9:AO297" si="10">SUM(G9+I9+K9+M9+O9+Q9+S9+U9+X9+AA9+AD9+AE9+AF9+AG9+AH9+AI9+AJ9+AK9+AL9+AM9+AN9)</f>
        <v>3754602.14</v>
      </c>
      <c r="AP9" s="1489">
        <f>$AP$3*0.02</f>
        <v>77532</v>
      </c>
      <c r="AQ9" s="1489">
        <f>$AP$3*0.0454</f>
        <v>175997.64</v>
      </c>
      <c r="AR9" s="1489">
        <f t="shared" ref="AR9:AR18" si="11">SUM(AQ9+AP9)</f>
        <v>253529.64</v>
      </c>
      <c r="AS9" s="1489">
        <f>($AP$3+AD9)*1%</f>
        <v>39271</v>
      </c>
      <c r="AT9" s="1489">
        <f>($AP$3+AD9)*4%</f>
        <v>157084</v>
      </c>
      <c r="AU9" s="1489">
        <f>$AP$3*1%</f>
        <v>38766</v>
      </c>
      <c r="AV9" s="1489">
        <f>$AP$3*2%</f>
        <v>77532</v>
      </c>
      <c r="AW9" s="1489">
        <f t="shared" ref="AW9:AW18" si="12">SUM(AS9:AV9)</f>
        <v>312653</v>
      </c>
      <c r="AX9" s="1492">
        <v>4000</v>
      </c>
      <c r="AY9" s="1489">
        <v>0</v>
      </c>
      <c r="AZ9" s="1489">
        <f t="shared" ref="AZ9:AZ297" si="13">AL9</f>
        <v>0</v>
      </c>
      <c r="BA9" s="1489"/>
      <c r="BB9" s="1489"/>
      <c r="BC9" s="1489">
        <f t="shared" ref="BC9:BC297" si="14">SUM(AO9-AP9-AS9-AU9-AX9-AY9-AZ9-BB9-BA9)</f>
        <v>3595033.14</v>
      </c>
      <c r="BD9" s="1495">
        <f>'HK UP KEEP, OP '!AS7</f>
        <v>2</v>
      </c>
      <c r="BE9" s="1487">
        <f>'HK UP KEEP, OP '!AT7</f>
        <v>2</v>
      </c>
      <c r="BG9" s="1551">
        <f t="shared" ref="BG9:BG297" si="15">V9*F9</f>
        <v>3488940</v>
      </c>
      <c r="BH9" s="1552">
        <f t="shared" ref="BH9:BH297" si="16">BD9*F9</f>
        <v>258440</v>
      </c>
      <c r="BI9" s="1552">
        <f t="shared" ref="BI9:BI297" si="17">BE9*F9</f>
        <v>258440</v>
      </c>
      <c r="BJ9" s="1551">
        <f t="shared" ref="BJ9:BJ297" si="18">-(BH9+BI9)</f>
        <v>-516880</v>
      </c>
      <c r="BK9" s="1553">
        <f>SUM(BG9:BI9)</f>
        <v>4005820</v>
      </c>
      <c r="BL9" s="1553">
        <f>BK9+BH9+BI9</f>
        <v>4522700</v>
      </c>
      <c r="BM9" s="1553">
        <f>X9+AA9+AD9+AE9+AF9+AG9+AH9+AI9+AJ9+AK9+AL9+AM9</f>
        <v>265662.14</v>
      </c>
      <c r="BN9" s="1551">
        <v>30827.999159999996</v>
      </c>
      <c r="BO9" s="1551">
        <f t="shared" ref="BO9:BO297" si="19">AP9+AQ9+AS9+AT9+AU9+AV9</f>
        <v>566182.64</v>
      </c>
      <c r="BQ9" s="1588"/>
      <c r="BS9" s="1589"/>
      <c r="BT9" s="1589"/>
    </row>
    <row r="10" spans="1:72" ht="23.25" customHeight="1">
      <c r="A10" s="2048" t="s">
        <v>0</v>
      </c>
      <c r="B10" s="2048"/>
      <c r="C10" s="2048"/>
      <c r="D10" s="2048"/>
      <c r="E10" s="2048"/>
      <c r="F10" s="2048"/>
      <c r="G10" s="2048"/>
      <c r="H10" s="2048"/>
      <c r="I10" s="2048"/>
      <c r="J10" s="2048"/>
      <c r="K10" s="2048"/>
      <c r="L10" s="2048"/>
      <c r="M10" s="2048"/>
      <c r="N10" s="2048"/>
      <c r="O10" s="2048"/>
      <c r="P10" s="2048"/>
      <c r="Q10" s="2048"/>
      <c r="R10" s="2048"/>
      <c r="S10" s="2048"/>
      <c r="T10" s="2048"/>
      <c r="U10" s="2048"/>
      <c r="V10" s="2048"/>
      <c r="W10" s="2048"/>
      <c r="X10" s="2048"/>
      <c r="Y10" s="2048"/>
      <c r="Z10" s="2048"/>
      <c r="AA10" s="2048"/>
      <c r="AB10" s="2048"/>
      <c r="AC10" s="2048"/>
      <c r="AD10" s="2048"/>
      <c r="AE10" s="2048"/>
      <c r="AF10" s="2048"/>
      <c r="AG10" s="2048"/>
      <c r="AH10" s="2048"/>
      <c r="AI10" s="2048"/>
      <c r="AJ10" s="2048"/>
      <c r="AK10" s="2048"/>
      <c r="AL10" s="2048"/>
      <c r="AM10" s="2048"/>
      <c r="AN10" s="2048"/>
      <c r="AO10" s="2048"/>
      <c r="AP10" s="2048"/>
      <c r="AQ10" s="2048"/>
      <c r="AR10" s="2048"/>
      <c r="AS10" s="2048"/>
      <c r="AT10" s="2048"/>
      <c r="AU10" s="2048"/>
      <c r="AV10" s="2048"/>
      <c r="AW10" s="2048"/>
      <c r="AX10" s="2048"/>
      <c r="AY10" s="2048"/>
      <c r="AZ10" s="2048"/>
      <c r="BA10" s="2048"/>
      <c r="BB10" s="2048"/>
      <c r="BC10" s="2048"/>
      <c r="BD10" s="2048"/>
      <c r="BE10" s="2048"/>
    </row>
    <row r="11" spans="1:72" ht="26.25" customHeight="1">
      <c r="A11" s="2049" t="s">
        <v>1033</v>
      </c>
      <c r="B11" s="2049"/>
      <c r="C11" s="2049"/>
      <c r="D11" s="2049"/>
      <c r="E11" s="2049"/>
      <c r="F11" s="2049"/>
      <c r="G11" s="2049"/>
      <c r="H11" s="2049"/>
      <c r="I11" s="2049"/>
      <c r="J11" s="2049"/>
      <c r="K11" s="2049"/>
      <c r="L11" s="2049"/>
      <c r="M11" s="2049"/>
      <c r="N11" s="2049"/>
      <c r="O11" s="2049"/>
      <c r="P11" s="2049"/>
      <c r="Q11" s="2049"/>
      <c r="R11" s="2049"/>
      <c r="S11" s="2049"/>
      <c r="T11" s="2049"/>
      <c r="U11" s="2049"/>
      <c r="V11" s="2049"/>
      <c r="W11" s="2049"/>
      <c r="X11" s="2049"/>
      <c r="Y11" s="2049"/>
      <c r="Z11" s="2049"/>
      <c r="AA11" s="2049"/>
      <c r="AB11" s="2049"/>
      <c r="AC11" s="2049"/>
      <c r="AD11" s="2049"/>
      <c r="AE11" s="2049"/>
      <c r="AF11" s="2049"/>
      <c r="AG11" s="2049"/>
      <c r="AH11" s="2049"/>
      <c r="AI11" s="2049"/>
      <c r="AJ11" s="2049"/>
      <c r="AK11" s="2049"/>
      <c r="AL11" s="2049"/>
      <c r="AM11" s="2049"/>
      <c r="AN11" s="2049"/>
      <c r="AO11" s="2049"/>
      <c r="AP11" s="2049"/>
      <c r="AQ11" s="2049"/>
      <c r="AR11" s="2049"/>
      <c r="AS11" s="2049"/>
      <c r="AT11" s="2049"/>
      <c r="AU11" s="2049"/>
      <c r="AV11" s="2049"/>
      <c r="AW11" s="2049"/>
      <c r="AX11" s="2049"/>
      <c r="AY11" s="2049"/>
      <c r="AZ11" s="2049"/>
      <c r="BA11" s="2049"/>
      <c r="BB11" s="2049"/>
      <c r="BC11" s="2049"/>
      <c r="BD11" s="2049"/>
      <c r="BE11" s="2049"/>
    </row>
    <row r="12" spans="1:72" s="1523" customFormat="1" ht="18.75" customHeight="1">
      <c r="C12" s="1554"/>
      <c r="D12" s="1523" t="s">
        <v>964</v>
      </c>
      <c r="F12" s="1555"/>
      <c r="G12" s="1555"/>
      <c r="X12" s="1556"/>
      <c r="AE12" s="1532"/>
      <c r="AK12" s="1557"/>
      <c r="AP12" s="1558">
        <v>3876600</v>
      </c>
      <c r="AQ12" s="1559">
        <f>AP12/30</f>
        <v>129220</v>
      </c>
      <c r="AR12" s="1559">
        <f>AP12/173*1.5</f>
        <v>33612.138728323698</v>
      </c>
      <c r="AS12" s="1559">
        <f>AP12/173*2</f>
        <v>44816.184971098264</v>
      </c>
      <c r="AW12" s="1532" t="s">
        <v>55</v>
      </c>
      <c r="AX12" s="1523" t="s">
        <v>152</v>
      </c>
      <c r="BC12" s="1531"/>
      <c r="BE12" s="1532"/>
      <c r="BG12" s="1555"/>
      <c r="BH12" s="1560"/>
      <c r="BI12" s="1560"/>
      <c r="BJ12" s="1555"/>
      <c r="BK12" s="1561"/>
      <c r="BL12" s="1561"/>
      <c r="BM12" s="1561"/>
      <c r="BN12" s="1555"/>
      <c r="BO12" s="1555"/>
    </row>
    <row r="13" spans="1:72" ht="15" customHeight="1" thickBot="1">
      <c r="A13" s="1547"/>
      <c r="D13" s="1563"/>
      <c r="E13" s="1563"/>
      <c r="F13" s="1564"/>
      <c r="G13" s="1564"/>
      <c r="H13" s="1563"/>
      <c r="I13" s="1563"/>
      <c r="J13" s="1563"/>
      <c r="K13" s="1563"/>
      <c r="L13" s="1563"/>
      <c r="M13" s="1563"/>
      <c r="N13" s="1563"/>
      <c r="O13" s="1563"/>
      <c r="Q13" s="1563"/>
      <c r="R13" s="1563"/>
      <c r="S13" s="1563"/>
      <c r="T13" s="1563"/>
      <c r="U13" s="1563"/>
      <c r="V13" s="1563"/>
      <c r="W13" s="1563"/>
      <c r="X13" s="1563"/>
      <c r="Y13" s="1563"/>
      <c r="Z13" s="1563"/>
      <c r="AA13" s="1563"/>
      <c r="AB13" s="1563"/>
      <c r="AC13" s="1563"/>
      <c r="AD13" s="1547"/>
      <c r="AE13" s="1563"/>
      <c r="AF13" s="1563"/>
      <c r="AG13" s="1563"/>
      <c r="AH13" s="1563"/>
      <c r="AI13" s="1563"/>
      <c r="AJ13" s="1563"/>
      <c r="AK13" s="1565"/>
      <c r="AL13" s="1563"/>
      <c r="AM13" s="1563"/>
      <c r="AO13" s="1563"/>
      <c r="AP13" s="1558">
        <v>3876600</v>
      </c>
      <c r="AQ13" s="1566">
        <f>AP13/30</f>
        <v>129220</v>
      </c>
      <c r="AR13" s="1567"/>
      <c r="AS13" s="1568">
        <f>AP13+24000</f>
        <v>3900600</v>
      </c>
    </row>
    <row r="14" spans="1:72" s="1523" customFormat="1" ht="15.75" customHeight="1">
      <c r="A14" s="2050" t="s">
        <v>5</v>
      </c>
      <c r="B14" s="2053" t="s">
        <v>6</v>
      </c>
      <c r="C14" s="2056" t="s">
        <v>52</v>
      </c>
      <c r="D14" s="1569"/>
      <c r="E14" s="1569"/>
      <c r="F14" s="1570"/>
      <c r="G14" s="1570"/>
      <c r="H14" s="2059" t="s">
        <v>2</v>
      </c>
      <c r="I14" s="2060"/>
      <c r="J14" s="2060"/>
      <c r="K14" s="2060"/>
      <c r="L14" s="2060"/>
      <c r="M14" s="2060"/>
      <c r="N14" s="2060"/>
      <c r="O14" s="2060"/>
      <c r="P14" s="2060"/>
      <c r="Q14" s="2060"/>
      <c r="R14" s="2060"/>
      <c r="S14" s="2060"/>
      <c r="T14" s="2060"/>
      <c r="U14" s="2061"/>
      <c r="V14" s="2056" t="s">
        <v>286</v>
      </c>
      <c r="W14" s="2059" t="s">
        <v>3</v>
      </c>
      <c r="X14" s="2060"/>
      <c r="Y14" s="2060"/>
      <c r="Z14" s="2060"/>
      <c r="AA14" s="2060"/>
      <c r="AB14" s="2060"/>
      <c r="AC14" s="2060"/>
      <c r="AD14" s="2061"/>
      <c r="AE14" s="2042" t="s">
        <v>45</v>
      </c>
      <c r="AF14" s="2063" t="s">
        <v>46</v>
      </c>
      <c r="AG14" s="2064"/>
      <c r="AH14" s="2064"/>
      <c r="AI14" s="2064"/>
      <c r="AJ14" s="2064"/>
      <c r="AK14" s="2064"/>
      <c r="AL14" s="2065"/>
      <c r="AM14" s="2045" t="s">
        <v>98</v>
      </c>
      <c r="AN14" s="2056" t="s">
        <v>44</v>
      </c>
      <c r="AO14" s="1533" t="s">
        <v>4</v>
      </c>
      <c r="AP14" s="2036" t="s">
        <v>20</v>
      </c>
      <c r="AQ14" s="2037"/>
      <c r="AR14" s="2038"/>
      <c r="AS14" s="2036" t="s">
        <v>54</v>
      </c>
      <c r="AT14" s="2037"/>
      <c r="AU14" s="2037"/>
      <c r="AV14" s="2037"/>
      <c r="AW14" s="2037"/>
      <c r="AX14" s="1571"/>
      <c r="AY14" s="2042" t="s">
        <v>89</v>
      </c>
      <c r="AZ14" s="2045" t="s">
        <v>97</v>
      </c>
      <c r="BA14" s="2045" t="s">
        <v>719</v>
      </c>
      <c r="BB14" s="2045" t="s">
        <v>210</v>
      </c>
      <c r="BC14" s="1539" t="s">
        <v>4</v>
      </c>
      <c r="BD14" s="2063" t="s">
        <v>41</v>
      </c>
      <c r="BE14" s="2084"/>
      <c r="BG14" s="1555"/>
      <c r="BH14" s="1560"/>
      <c r="BI14" s="1560"/>
      <c r="BJ14" s="1555"/>
      <c r="BK14" s="1561"/>
      <c r="BL14" s="1561"/>
      <c r="BM14" s="1561"/>
      <c r="BN14" s="1555"/>
      <c r="BO14" s="1555"/>
    </row>
    <row r="15" spans="1:72" s="1523" customFormat="1" ht="25.5" customHeight="1">
      <c r="A15" s="2051"/>
      <c r="B15" s="2054"/>
      <c r="C15" s="2057"/>
      <c r="D15" s="1519" t="s">
        <v>7</v>
      </c>
      <c r="E15" s="1519" t="s">
        <v>8</v>
      </c>
      <c r="F15" s="1572" t="s">
        <v>9</v>
      </c>
      <c r="G15" s="1572" t="s">
        <v>9</v>
      </c>
      <c r="H15" s="2071" t="s">
        <v>10</v>
      </c>
      <c r="I15" s="2072"/>
      <c r="J15" s="2071" t="s">
        <v>11</v>
      </c>
      <c r="K15" s="2072"/>
      <c r="L15" s="2071" t="s">
        <v>12</v>
      </c>
      <c r="M15" s="2072"/>
      <c r="N15" s="2071" t="s">
        <v>13</v>
      </c>
      <c r="O15" s="2072"/>
      <c r="P15" s="2071" t="s">
        <v>14</v>
      </c>
      <c r="Q15" s="2072"/>
      <c r="R15" s="2087" t="s">
        <v>15</v>
      </c>
      <c r="S15" s="2088"/>
      <c r="T15" s="2071" t="s">
        <v>16</v>
      </c>
      <c r="U15" s="2072"/>
      <c r="V15" s="2057"/>
      <c r="W15" s="2071" t="s">
        <v>17</v>
      </c>
      <c r="X15" s="2072"/>
      <c r="Y15" s="2071" t="s">
        <v>18</v>
      </c>
      <c r="Z15" s="2081"/>
      <c r="AA15" s="2072"/>
      <c r="AB15" s="2071" t="s">
        <v>19</v>
      </c>
      <c r="AC15" s="2081"/>
      <c r="AD15" s="2072"/>
      <c r="AE15" s="2043"/>
      <c r="AF15" s="2066"/>
      <c r="AG15" s="2067"/>
      <c r="AH15" s="2067"/>
      <c r="AI15" s="2067"/>
      <c r="AJ15" s="2067"/>
      <c r="AK15" s="2067"/>
      <c r="AL15" s="2068"/>
      <c r="AM15" s="2046"/>
      <c r="AN15" s="2057"/>
      <c r="AO15" s="1534" t="s">
        <v>9</v>
      </c>
      <c r="AP15" s="2039"/>
      <c r="AQ15" s="2040"/>
      <c r="AR15" s="2041"/>
      <c r="AS15" s="2039"/>
      <c r="AT15" s="2040"/>
      <c r="AU15" s="2040"/>
      <c r="AV15" s="2040"/>
      <c r="AW15" s="2040"/>
      <c r="AX15" s="1534" t="s">
        <v>21</v>
      </c>
      <c r="AY15" s="2043"/>
      <c r="AZ15" s="2046"/>
      <c r="BA15" s="2046"/>
      <c r="BB15" s="2046"/>
      <c r="BC15" s="1540" t="s">
        <v>9</v>
      </c>
      <c r="BD15" s="2085"/>
      <c r="BE15" s="2086"/>
      <c r="BG15" s="1573"/>
      <c r="BH15" s="1573"/>
      <c r="BI15" s="1573"/>
      <c r="BJ15" s="1555"/>
      <c r="BK15" s="1561"/>
      <c r="BL15" s="1561"/>
      <c r="BM15" s="1561"/>
      <c r="BN15" s="1555"/>
      <c r="BO15" s="1555"/>
    </row>
    <row r="16" spans="1:72" s="1523" customFormat="1" ht="63" customHeight="1">
      <c r="A16" s="2051"/>
      <c r="B16" s="2054"/>
      <c r="C16" s="2057"/>
      <c r="D16" s="1519" t="s">
        <v>22</v>
      </c>
      <c r="E16" s="1519" t="s">
        <v>23</v>
      </c>
      <c r="F16" s="1572" t="s">
        <v>24</v>
      </c>
      <c r="G16" s="1572" t="s">
        <v>25</v>
      </c>
      <c r="H16" s="2069" t="s">
        <v>4</v>
      </c>
      <c r="I16" s="2070"/>
      <c r="J16" s="2069" t="s">
        <v>4</v>
      </c>
      <c r="K16" s="2070"/>
      <c r="L16" s="2069" t="s">
        <v>4</v>
      </c>
      <c r="M16" s="2070"/>
      <c r="N16" s="2069" t="s">
        <v>4</v>
      </c>
      <c r="O16" s="2070"/>
      <c r="P16" s="2069" t="s">
        <v>4</v>
      </c>
      <c r="Q16" s="2070"/>
      <c r="R16" s="2082" t="s">
        <v>4</v>
      </c>
      <c r="S16" s="2083"/>
      <c r="T16" s="2069" t="s">
        <v>4</v>
      </c>
      <c r="U16" s="2070"/>
      <c r="V16" s="2057"/>
      <c r="W16" s="1534" t="s">
        <v>27</v>
      </c>
      <c r="X16" s="1574" t="s">
        <v>28</v>
      </c>
      <c r="Y16" s="1534" t="s">
        <v>27</v>
      </c>
      <c r="Z16" s="2069" t="s">
        <v>4</v>
      </c>
      <c r="AA16" s="2070"/>
      <c r="AB16" s="1534" t="s">
        <v>27</v>
      </c>
      <c r="AC16" s="2071" t="s">
        <v>4</v>
      </c>
      <c r="AD16" s="2072"/>
      <c r="AE16" s="2062"/>
      <c r="AF16" s="1575" t="s">
        <v>56</v>
      </c>
      <c r="AG16" s="1575" t="s">
        <v>57</v>
      </c>
      <c r="AH16" s="1575" t="s">
        <v>60</v>
      </c>
      <c r="AI16" s="1575" t="s">
        <v>202</v>
      </c>
      <c r="AJ16" s="1575" t="s">
        <v>218</v>
      </c>
      <c r="AK16" s="1575" t="s">
        <v>572</v>
      </c>
      <c r="AL16" s="1575" t="s">
        <v>288</v>
      </c>
      <c r="AM16" s="2089"/>
      <c r="AN16" s="2090"/>
      <c r="AO16" s="1534" t="s">
        <v>29</v>
      </c>
      <c r="AP16" s="1519" t="s">
        <v>30</v>
      </c>
      <c r="AQ16" s="1519" t="s">
        <v>31</v>
      </c>
      <c r="AR16" s="1519" t="s">
        <v>4</v>
      </c>
      <c r="AS16" s="1576" t="s">
        <v>30</v>
      </c>
      <c r="AT16" s="1574" t="s">
        <v>31</v>
      </c>
      <c r="AU16" s="1574" t="s">
        <v>30</v>
      </c>
      <c r="AV16" s="1574" t="s">
        <v>31</v>
      </c>
      <c r="AW16" s="1577" t="s">
        <v>4</v>
      </c>
      <c r="AX16" s="1534" t="s">
        <v>32</v>
      </c>
      <c r="AY16" s="2043"/>
      <c r="AZ16" s="2046"/>
      <c r="BA16" s="2046"/>
      <c r="BB16" s="2046"/>
      <c r="BC16" s="1540" t="s">
        <v>33</v>
      </c>
      <c r="BD16" s="2073" t="s">
        <v>42</v>
      </c>
      <c r="BE16" s="2075" t="s">
        <v>43</v>
      </c>
      <c r="BG16" s="1573"/>
      <c r="BH16" s="1578"/>
      <c r="BI16" s="1578"/>
      <c r="BJ16" s="1555"/>
      <c r="BK16" s="1561"/>
      <c r="BL16" s="1561"/>
      <c r="BM16" s="1561"/>
      <c r="BN16" s="1555"/>
      <c r="BO16" s="1555"/>
    </row>
    <row r="17" spans="1:72" s="1523" customFormat="1" ht="21" customHeight="1" thickBot="1">
      <c r="A17" s="2052"/>
      <c r="B17" s="2055"/>
      <c r="C17" s="2058"/>
      <c r="D17" s="1520"/>
      <c r="E17" s="1520"/>
      <c r="F17" s="1579" t="s">
        <v>34</v>
      </c>
      <c r="G17" s="1580" t="s">
        <v>34</v>
      </c>
      <c r="H17" s="1581" t="s">
        <v>8</v>
      </c>
      <c r="I17" s="1582" t="s">
        <v>34</v>
      </c>
      <c r="J17" s="1581" t="s">
        <v>8</v>
      </c>
      <c r="K17" s="1582" t="s">
        <v>34</v>
      </c>
      <c r="L17" s="1581" t="s">
        <v>8</v>
      </c>
      <c r="M17" s="1582" t="s">
        <v>34</v>
      </c>
      <c r="N17" s="1581" t="s">
        <v>8</v>
      </c>
      <c r="O17" s="1582" t="s">
        <v>34</v>
      </c>
      <c r="P17" s="1581" t="s">
        <v>8</v>
      </c>
      <c r="Q17" s="1582" t="s">
        <v>34</v>
      </c>
      <c r="R17" s="1581" t="s">
        <v>8</v>
      </c>
      <c r="S17" s="1582" t="s">
        <v>34</v>
      </c>
      <c r="T17" s="1581" t="s">
        <v>8</v>
      </c>
      <c r="U17" s="1582" t="s">
        <v>34</v>
      </c>
      <c r="V17" s="2058"/>
      <c r="W17" s="1581" t="s">
        <v>26</v>
      </c>
      <c r="X17" s="1581" t="s">
        <v>34</v>
      </c>
      <c r="Y17" s="1581" t="s">
        <v>26</v>
      </c>
      <c r="Z17" s="1581" t="s">
        <v>26</v>
      </c>
      <c r="AA17" s="1581" t="s">
        <v>34</v>
      </c>
      <c r="AB17" s="1581" t="s">
        <v>26</v>
      </c>
      <c r="AC17" s="1581" t="s">
        <v>35</v>
      </c>
      <c r="AD17" s="1581" t="s">
        <v>34</v>
      </c>
      <c r="AE17" s="1581" t="s">
        <v>34</v>
      </c>
      <c r="AF17" s="1582" t="s">
        <v>34</v>
      </c>
      <c r="AG17" s="1582" t="s">
        <v>34</v>
      </c>
      <c r="AH17" s="1582" t="s">
        <v>34</v>
      </c>
      <c r="AI17" s="1582" t="s">
        <v>34</v>
      </c>
      <c r="AJ17" s="1582" t="s">
        <v>34</v>
      </c>
      <c r="AK17" s="1582" t="s">
        <v>34</v>
      </c>
      <c r="AL17" s="1582" t="s">
        <v>34</v>
      </c>
      <c r="AM17" s="1582" t="s">
        <v>34</v>
      </c>
      <c r="AN17" s="1581" t="s">
        <v>34</v>
      </c>
      <c r="AO17" s="1582" t="s">
        <v>34</v>
      </c>
      <c r="AP17" s="1582" t="s">
        <v>34</v>
      </c>
      <c r="AQ17" s="1582" t="s">
        <v>34</v>
      </c>
      <c r="AR17" s="1582" t="s">
        <v>34</v>
      </c>
      <c r="AS17" s="1581" t="s">
        <v>58</v>
      </c>
      <c r="AT17" s="1582" t="s">
        <v>34</v>
      </c>
      <c r="AU17" s="1582" t="s">
        <v>59</v>
      </c>
      <c r="AV17" s="1582" t="s">
        <v>34</v>
      </c>
      <c r="AW17" s="1583" t="s">
        <v>34</v>
      </c>
      <c r="AX17" s="1537"/>
      <c r="AY17" s="2044"/>
      <c r="AZ17" s="2047"/>
      <c r="BA17" s="2047"/>
      <c r="BB17" s="2047"/>
      <c r="BC17" s="1541" t="s">
        <v>34</v>
      </c>
      <c r="BD17" s="2074"/>
      <c r="BE17" s="2076"/>
      <c r="BG17" s="1555" t="s">
        <v>353</v>
      </c>
      <c r="BH17" s="1578" t="s">
        <v>43</v>
      </c>
      <c r="BI17" s="1578" t="s">
        <v>42</v>
      </c>
      <c r="BJ17" s="1555" t="s">
        <v>354</v>
      </c>
      <c r="BK17" s="1561" t="s">
        <v>358</v>
      </c>
      <c r="BL17" s="1561"/>
      <c r="BM17" s="1561" t="s">
        <v>625</v>
      </c>
      <c r="BN17" s="1555" t="s">
        <v>626</v>
      </c>
      <c r="BO17" s="1555" t="s">
        <v>627</v>
      </c>
      <c r="BQ17" s="1523" t="s">
        <v>685</v>
      </c>
    </row>
    <row r="18" spans="1:72" s="1587" customFormat="1" ht="102" customHeight="1" thickBot="1">
      <c r="A18" s="1584" t="s">
        <v>53</v>
      </c>
      <c r="B18" s="1489" t="s">
        <v>37</v>
      </c>
      <c r="C18" s="1585" t="s">
        <v>186</v>
      </c>
      <c r="D18" s="1586" t="s">
        <v>101</v>
      </c>
      <c r="E18" s="1489">
        <f>'HK UP KEEP, OP '!AH8</f>
        <v>16</v>
      </c>
      <c r="F18" s="1490">
        <v>129220</v>
      </c>
      <c r="G18" s="1490">
        <f t="shared" si="0"/>
        <v>2067520</v>
      </c>
      <c r="H18" s="1489">
        <f>'HK UP KEEP, OP '!AI8</f>
        <v>2</v>
      </c>
      <c r="I18" s="1489">
        <f t="shared" si="1"/>
        <v>258440</v>
      </c>
      <c r="J18" s="1489">
        <f>'HK UP KEEP, OP '!AJ8</f>
        <v>0</v>
      </c>
      <c r="K18" s="1489">
        <f t="shared" si="2"/>
        <v>0</v>
      </c>
      <c r="L18" s="1489">
        <f>'HK UP KEEP, OP '!AK8</f>
        <v>2</v>
      </c>
      <c r="M18" s="1489">
        <f t="shared" si="3"/>
        <v>258440</v>
      </c>
      <c r="N18" s="1489">
        <f>'HK UP KEEP, OP '!AL8</f>
        <v>4</v>
      </c>
      <c r="O18" s="1489">
        <f t="shared" si="4"/>
        <v>516880</v>
      </c>
      <c r="P18" s="1489">
        <f>'HK UP KEEP, OP '!AM8</f>
        <v>3</v>
      </c>
      <c r="Q18" s="1489">
        <f t="shared" si="5"/>
        <v>387660</v>
      </c>
      <c r="R18" s="1489">
        <f>'HK UP KEEP, OP '!AN8</f>
        <v>0</v>
      </c>
      <c r="S18" s="1489">
        <f t="shared" si="6"/>
        <v>0</v>
      </c>
      <c r="T18" s="1489">
        <f>'HK UP KEEP, OP '!AO8+'HK UP KEEP, OP '!AP8+'HK UP KEEP, OP '!AQ8</f>
        <v>0</v>
      </c>
      <c r="U18" s="1489">
        <f t="shared" si="7"/>
        <v>0</v>
      </c>
      <c r="V18" s="1489">
        <f t="shared" si="8"/>
        <v>27</v>
      </c>
      <c r="W18" s="1491">
        <v>2250</v>
      </c>
      <c r="X18" s="1489">
        <f t="shared" si="9"/>
        <v>60750</v>
      </c>
      <c r="Y18" s="1489"/>
      <c r="Z18" s="1489"/>
      <c r="AA18" s="1489"/>
      <c r="AB18" s="1489">
        <v>2500</v>
      </c>
      <c r="AC18" s="1489">
        <f>'MASA KERJA AB'!H9</f>
        <v>16</v>
      </c>
      <c r="AD18" s="1492">
        <f>'MASA KERJA AB'!I9</f>
        <v>47000</v>
      </c>
      <c r="AE18" s="1491"/>
      <c r="AF18" s="1489"/>
      <c r="AG18" s="1489"/>
      <c r="AH18" s="1489"/>
      <c r="AI18" s="1489"/>
      <c r="AJ18" s="1489"/>
      <c r="AK18" s="1493"/>
      <c r="AL18" s="1489"/>
      <c r="AM18" s="1489"/>
      <c r="AN18" s="1489"/>
      <c r="AO18" s="1494">
        <f t="shared" si="10"/>
        <v>3596690</v>
      </c>
      <c r="AP18" s="1489">
        <f t="shared" ref="AP18:AP297" si="20">$AP$4*0.02</f>
        <v>77532</v>
      </c>
      <c r="AQ18" s="1489">
        <f t="shared" ref="AQ18:AQ297" si="21">$AP$4*0.0454</f>
        <v>175997.64</v>
      </c>
      <c r="AR18" s="1489">
        <f t="shared" si="11"/>
        <v>253529.64</v>
      </c>
      <c r="AS18" s="1489">
        <f t="shared" ref="AS18:AS297" si="22">($AP$4+AD18)*1%</f>
        <v>39236</v>
      </c>
      <c r="AT18" s="1489">
        <f t="shared" ref="AT18:AT297" si="23">($AP$4+AD18)*4%</f>
        <v>156944</v>
      </c>
      <c r="AU18" s="1489">
        <f t="shared" ref="AU18:AU297" si="24">$AP$4*1%</f>
        <v>38766</v>
      </c>
      <c r="AV18" s="1489">
        <f t="shared" ref="AV18:AV297" si="25">$AP$4*2%</f>
        <v>77532</v>
      </c>
      <c r="AW18" s="1489">
        <f t="shared" si="12"/>
        <v>312478</v>
      </c>
      <c r="AX18" s="1492">
        <v>4000</v>
      </c>
      <c r="AY18" s="1489">
        <v>0</v>
      </c>
      <c r="AZ18" s="1489">
        <f t="shared" si="13"/>
        <v>0</v>
      </c>
      <c r="BA18" s="1489"/>
      <c r="BB18" s="1489"/>
      <c r="BC18" s="1489">
        <f t="shared" si="14"/>
        <v>3437156</v>
      </c>
      <c r="BD18" s="1495">
        <f>'HK UP KEEP, OP '!AS8</f>
        <v>3</v>
      </c>
      <c r="BE18" s="1488">
        <f>'HK UP KEEP, OP '!AT8</f>
        <v>1</v>
      </c>
      <c r="BG18" s="1551">
        <f t="shared" si="15"/>
        <v>3488940</v>
      </c>
      <c r="BH18" s="1552">
        <f t="shared" si="16"/>
        <v>387660</v>
      </c>
      <c r="BI18" s="1552">
        <f t="shared" si="17"/>
        <v>129220</v>
      </c>
      <c r="BJ18" s="1551">
        <f t="shared" si="18"/>
        <v>-516880</v>
      </c>
      <c r="BK18" s="1553">
        <f t="shared" ref="BK18:BK297" si="26">SUM(BG18:BI18)</f>
        <v>4005820</v>
      </c>
      <c r="BL18" s="1553">
        <f>BK18+BH18+BI18</f>
        <v>4522700</v>
      </c>
      <c r="BM18" s="1553">
        <f>X18+AA18+AD18+AE18+AF18+AG18+AH18+AI18+AJ18+AK18+AL18+AM18</f>
        <v>107750</v>
      </c>
      <c r="BN18" s="1551">
        <v>30575.999999999996</v>
      </c>
      <c r="BO18" s="1551">
        <f t="shared" si="19"/>
        <v>566007.64</v>
      </c>
      <c r="BS18" s="1589"/>
      <c r="BT18" s="1589"/>
    </row>
    <row r="19" spans="1:72" ht="23.25" customHeight="1">
      <c r="A19" s="2048" t="s">
        <v>0</v>
      </c>
      <c r="B19" s="2048"/>
      <c r="C19" s="2048"/>
      <c r="D19" s="2048"/>
      <c r="E19" s="2048"/>
      <c r="F19" s="2048"/>
      <c r="G19" s="2048"/>
      <c r="H19" s="2048"/>
      <c r="I19" s="2048"/>
      <c r="J19" s="2048"/>
      <c r="K19" s="2048"/>
      <c r="L19" s="2048"/>
      <c r="M19" s="2048"/>
      <c r="N19" s="2048"/>
      <c r="O19" s="2048"/>
      <c r="P19" s="2048"/>
      <c r="Q19" s="2048"/>
      <c r="R19" s="2048"/>
      <c r="S19" s="2048"/>
      <c r="T19" s="2048"/>
      <c r="U19" s="2048"/>
      <c r="V19" s="2048"/>
      <c r="W19" s="2048"/>
      <c r="X19" s="2048"/>
      <c r="Y19" s="2048"/>
      <c r="Z19" s="2048"/>
      <c r="AA19" s="2048"/>
      <c r="AB19" s="2048"/>
      <c r="AC19" s="2048"/>
      <c r="AD19" s="2048"/>
      <c r="AE19" s="2048"/>
      <c r="AF19" s="2048"/>
      <c r="AG19" s="2048"/>
      <c r="AH19" s="2048"/>
      <c r="AI19" s="2048"/>
      <c r="AJ19" s="2048"/>
      <c r="AK19" s="2048"/>
      <c r="AL19" s="2048"/>
      <c r="AM19" s="2048"/>
      <c r="AN19" s="2048"/>
      <c r="AO19" s="2048"/>
      <c r="AP19" s="2048"/>
      <c r="AQ19" s="2048"/>
      <c r="AR19" s="2048"/>
      <c r="AS19" s="2048"/>
      <c r="AT19" s="2048"/>
      <c r="AU19" s="2048"/>
      <c r="AV19" s="2048"/>
      <c r="AW19" s="2048"/>
      <c r="AX19" s="2048"/>
      <c r="AY19" s="2048"/>
      <c r="AZ19" s="2048"/>
      <c r="BA19" s="2048"/>
      <c r="BB19" s="2048"/>
      <c r="BC19" s="2048"/>
      <c r="BD19" s="2048"/>
      <c r="BE19" s="2048"/>
    </row>
    <row r="20" spans="1:72" ht="26.25" customHeight="1">
      <c r="A20" s="2049" t="s">
        <v>1033</v>
      </c>
      <c r="B20" s="2049"/>
      <c r="C20" s="2049"/>
      <c r="D20" s="2049"/>
      <c r="E20" s="2049"/>
      <c r="F20" s="2049"/>
      <c r="G20" s="2049"/>
      <c r="H20" s="2049"/>
      <c r="I20" s="2049"/>
      <c r="J20" s="2049"/>
      <c r="K20" s="2049"/>
      <c r="L20" s="2049"/>
      <c r="M20" s="2049"/>
      <c r="N20" s="2049"/>
      <c r="O20" s="2049"/>
      <c r="P20" s="2049"/>
      <c r="Q20" s="2049"/>
      <c r="R20" s="2049"/>
      <c r="S20" s="2049"/>
      <c r="T20" s="2049"/>
      <c r="U20" s="2049"/>
      <c r="V20" s="2049"/>
      <c r="W20" s="2049"/>
      <c r="X20" s="2049"/>
      <c r="Y20" s="2049"/>
      <c r="Z20" s="2049"/>
      <c r="AA20" s="2049"/>
      <c r="AB20" s="2049"/>
      <c r="AC20" s="2049"/>
      <c r="AD20" s="2049"/>
      <c r="AE20" s="2049"/>
      <c r="AF20" s="2049"/>
      <c r="AG20" s="2049"/>
      <c r="AH20" s="2049"/>
      <c r="AI20" s="2049"/>
      <c r="AJ20" s="2049"/>
      <c r="AK20" s="2049"/>
      <c r="AL20" s="2049"/>
      <c r="AM20" s="2049"/>
      <c r="AN20" s="2049"/>
      <c r="AO20" s="2049"/>
      <c r="AP20" s="2049"/>
      <c r="AQ20" s="2049"/>
      <c r="AR20" s="2049"/>
      <c r="AS20" s="2049"/>
      <c r="AT20" s="2049"/>
      <c r="AU20" s="2049"/>
      <c r="AV20" s="2049"/>
      <c r="AW20" s="2049"/>
      <c r="AX20" s="2049"/>
      <c r="AY20" s="2049"/>
      <c r="AZ20" s="2049"/>
      <c r="BA20" s="2049"/>
      <c r="BB20" s="2049"/>
      <c r="BC20" s="2049"/>
      <c r="BD20" s="2049"/>
      <c r="BE20" s="2049"/>
    </row>
    <row r="21" spans="1:72" s="1523" customFormat="1" ht="18.75" customHeight="1">
      <c r="C21" s="1554"/>
      <c r="D21" s="1523" t="s">
        <v>964</v>
      </c>
      <c r="F21" s="1555"/>
      <c r="G21" s="1555"/>
      <c r="X21" s="1556"/>
      <c r="AE21" s="1532"/>
      <c r="AK21" s="1557"/>
      <c r="AP21" s="1558">
        <v>3876600</v>
      </c>
      <c r="AQ21" s="1559">
        <f>AP21/30</f>
        <v>129220</v>
      </c>
      <c r="AR21" s="1559">
        <f>AP21/173*1.5</f>
        <v>33612.138728323698</v>
      </c>
      <c r="AS21" s="1559">
        <f>AP21/173*2</f>
        <v>44816.184971098264</v>
      </c>
      <c r="AW21" s="1532" t="s">
        <v>55</v>
      </c>
      <c r="AX21" s="1523" t="s">
        <v>152</v>
      </c>
      <c r="BC21" s="1531"/>
      <c r="BE21" s="1532"/>
      <c r="BG21" s="1555"/>
      <c r="BH21" s="1560"/>
      <c r="BI21" s="1560"/>
      <c r="BJ21" s="1555"/>
      <c r="BK21" s="1561"/>
      <c r="BL21" s="1561"/>
      <c r="BM21" s="1561"/>
      <c r="BN21" s="1555"/>
      <c r="BO21" s="1555"/>
    </row>
    <row r="22" spans="1:72" ht="15" customHeight="1" thickBot="1">
      <c r="A22" s="1547"/>
      <c r="D22" s="1563"/>
      <c r="E22" s="1563"/>
      <c r="F22" s="1564"/>
      <c r="G22" s="1564"/>
      <c r="H22" s="1563"/>
      <c r="I22" s="1563"/>
      <c r="J22" s="1563"/>
      <c r="K22" s="1563"/>
      <c r="L22" s="1563"/>
      <c r="M22" s="1563"/>
      <c r="N22" s="1563"/>
      <c r="O22" s="1563"/>
      <c r="Q22" s="1563"/>
      <c r="R22" s="1563"/>
      <c r="S22" s="1563"/>
      <c r="T22" s="1563"/>
      <c r="U22" s="1563"/>
      <c r="V22" s="1563"/>
      <c r="W22" s="1563"/>
      <c r="X22" s="1563"/>
      <c r="Y22" s="1563"/>
      <c r="Z22" s="1563"/>
      <c r="AA22" s="1563"/>
      <c r="AB22" s="1563"/>
      <c r="AC22" s="1563"/>
      <c r="AD22" s="1547"/>
      <c r="AE22" s="1563"/>
      <c r="AF22" s="1563"/>
      <c r="AG22" s="1563"/>
      <c r="AH22" s="1563"/>
      <c r="AI22" s="1563"/>
      <c r="AJ22" s="1563"/>
      <c r="AK22" s="1565"/>
      <c r="AL22" s="1563"/>
      <c r="AM22" s="1563"/>
      <c r="AO22" s="1563"/>
      <c r="AP22" s="1558">
        <v>3876600</v>
      </c>
      <c r="AQ22" s="1566">
        <f>AP22/30</f>
        <v>129220</v>
      </c>
      <c r="AR22" s="1567"/>
      <c r="AS22" s="1568">
        <f>AP22+24000</f>
        <v>3900600</v>
      </c>
    </row>
    <row r="23" spans="1:72" s="1523" customFormat="1" ht="15.75" customHeight="1">
      <c r="A23" s="2050" t="s">
        <v>5</v>
      </c>
      <c r="B23" s="2053" t="s">
        <v>6</v>
      </c>
      <c r="C23" s="2056" t="s">
        <v>52</v>
      </c>
      <c r="D23" s="1569"/>
      <c r="E23" s="1569"/>
      <c r="F23" s="1570"/>
      <c r="G23" s="1570"/>
      <c r="H23" s="2059" t="s">
        <v>2</v>
      </c>
      <c r="I23" s="2060"/>
      <c r="J23" s="2060"/>
      <c r="K23" s="2060"/>
      <c r="L23" s="2060"/>
      <c r="M23" s="2060"/>
      <c r="N23" s="2060"/>
      <c r="O23" s="2060"/>
      <c r="P23" s="2060"/>
      <c r="Q23" s="2060"/>
      <c r="R23" s="2060"/>
      <c r="S23" s="2060"/>
      <c r="T23" s="2060"/>
      <c r="U23" s="2061"/>
      <c r="V23" s="2056" t="s">
        <v>286</v>
      </c>
      <c r="W23" s="2059" t="s">
        <v>3</v>
      </c>
      <c r="X23" s="2060"/>
      <c r="Y23" s="2060"/>
      <c r="Z23" s="2060"/>
      <c r="AA23" s="2060"/>
      <c r="AB23" s="2060"/>
      <c r="AC23" s="2060"/>
      <c r="AD23" s="2061"/>
      <c r="AE23" s="2042" t="s">
        <v>45</v>
      </c>
      <c r="AF23" s="2063" t="s">
        <v>46</v>
      </c>
      <c r="AG23" s="2064"/>
      <c r="AH23" s="2064"/>
      <c r="AI23" s="2064"/>
      <c r="AJ23" s="2064"/>
      <c r="AK23" s="2064"/>
      <c r="AL23" s="2065"/>
      <c r="AM23" s="2045" t="s">
        <v>98</v>
      </c>
      <c r="AN23" s="2056" t="s">
        <v>44</v>
      </c>
      <c r="AO23" s="1533" t="s">
        <v>4</v>
      </c>
      <c r="AP23" s="2036" t="s">
        <v>20</v>
      </c>
      <c r="AQ23" s="2037"/>
      <c r="AR23" s="2038"/>
      <c r="AS23" s="2036" t="s">
        <v>54</v>
      </c>
      <c r="AT23" s="2037"/>
      <c r="AU23" s="2037"/>
      <c r="AV23" s="2037"/>
      <c r="AW23" s="2037"/>
      <c r="AX23" s="1571"/>
      <c r="AY23" s="2042" t="s">
        <v>89</v>
      </c>
      <c r="AZ23" s="2045" t="s">
        <v>97</v>
      </c>
      <c r="BA23" s="2045" t="s">
        <v>719</v>
      </c>
      <c r="BB23" s="2045" t="s">
        <v>210</v>
      </c>
      <c r="BC23" s="1539" t="s">
        <v>4</v>
      </c>
      <c r="BD23" s="2063" t="s">
        <v>41</v>
      </c>
      <c r="BE23" s="2084"/>
      <c r="BG23" s="1555"/>
      <c r="BH23" s="1560"/>
      <c r="BI23" s="1560"/>
      <c r="BJ23" s="1555"/>
      <c r="BK23" s="1561"/>
      <c r="BL23" s="1561"/>
      <c r="BM23" s="1561"/>
      <c r="BN23" s="1555"/>
      <c r="BO23" s="1555"/>
    </row>
    <row r="24" spans="1:72" s="1523" customFormat="1" ht="25.5" customHeight="1">
      <c r="A24" s="2051"/>
      <c r="B24" s="2054"/>
      <c r="C24" s="2057"/>
      <c r="D24" s="1519" t="s">
        <v>7</v>
      </c>
      <c r="E24" s="1519" t="s">
        <v>8</v>
      </c>
      <c r="F24" s="1572" t="s">
        <v>9</v>
      </c>
      <c r="G24" s="1572" t="s">
        <v>9</v>
      </c>
      <c r="H24" s="2071" t="s">
        <v>10</v>
      </c>
      <c r="I24" s="2072"/>
      <c r="J24" s="2071" t="s">
        <v>11</v>
      </c>
      <c r="K24" s="2072"/>
      <c r="L24" s="2071" t="s">
        <v>12</v>
      </c>
      <c r="M24" s="2072"/>
      <c r="N24" s="2071" t="s">
        <v>13</v>
      </c>
      <c r="O24" s="2072"/>
      <c r="P24" s="2071" t="s">
        <v>14</v>
      </c>
      <c r="Q24" s="2072"/>
      <c r="R24" s="2087" t="s">
        <v>15</v>
      </c>
      <c r="S24" s="2088"/>
      <c r="T24" s="2071" t="s">
        <v>16</v>
      </c>
      <c r="U24" s="2072"/>
      <c r="V24" s="2057"/>
      <c r="W24" s="2071" t="s">
        <v>17</v>
      </c>
      <c r="X24" s="2072"/>
      <c r="Y24" s="2071" t="s">
        <v>18</v>
      </c>
      <c r="Z24" s="2081"/>
      <c r="AA24" s="2072"/>
      <c r="AB24" s="2071" t="s">
        <v>19</v>
      </c>
      <c r="AC24" s="2081"/>
      <c r="AD24" s="2072"/>
      <c r="AE24" s="2043"/>
      <c r="AF24" s="2066"/>
      <c r="AG24" s="2067"/>
      <c r="AH24" s="2067"/>
      <c r="AI24" s="2067"/>
      <c r="AJ24" s="2067"/>
      <c r="AK24" s="2067"/>
      <c r="AL24" s="2068"/>
      <c r="AM24" s="2046"/>
      <c r="AN24" s="2057"/>
      <c r="AO24" s="1534" t="s">
        <v>9</v>
      </c>
      <c r="AP24" s="2039"/>
      <c r="AQ24" s="2040"/>
      <c r="AR24" s="2041"/>
      <c r="AS24" s="2039"/>
      <c r="AT24" s="2040"/>
      <c r="AU24" s="2040"/>
      <c r="AV24" s="2040"/>
      <c r="AW24" s="2040"/>
      <c r="AX24" s="1534" t="s">
        <v>21</v>
      </c>
      <c r="AY24" s="2043"/>
      <c r="AZ24" s="2046"/>
      <c r="BA24" s="2046"/>
      <c r="BB24" s="2046"/>
      <c r="BC24" s="1540" t="s">
        <v>9</v>
      </c>
      <c r="BD24" s="2085"/>
      <c r="BE24" s="2086"/>
      <c r="BG24" s="1573"/>
      <c r="BH24" s="1573"/>
      <c r="BI24" s="1573"/>
      <c r="BJ24" s="1555"/>
      <c r="BK24" s="1561"/>
      <c r="BL24" s="1561"/>
      <c r="BM24" s="1561"/>
      <c r="BN24" s="1555"/>
      <c r="BO24" s="1555"/>
    </row>
    <row r="25" spans="1:72" s="1523" customFormat="1" ht="63" customHeight="1">
      <c r="A25" s="2051"/>
      <c r="B25" s="2054"/>
      <c r="C25" s="2057"/>
      <c r="D25" s="1519" t="s">
        <v>22</v>
      </c>
      <c r="E25" s="1519" t="s">
        <v>23</v>
      </c>
      <c r="F25" s="1572" t="s">
        <v>24</v>
      </c>
      <c r="G25" s="1572" t="s">
        <v>25</v>
      </c>
      <c r="H25" s="2069" t="s">
        <v>4</v>
      </c>
      <c r="I25" s="2070"/>
      <c r="J25" s="2069" t="s">
        <v>4</v>
      </c>
      <c r="K25" s="2070"/>
      <c r="L25" s="2069" t="s">
        <v>4</v>
      </c>
      <c r="M25" s="2070"/>
      <c r="N25" s="2069" t="s">
        <v>4</v>
      </c>
      <c r="O25" s="2070"/>
      <c r="P25" s="2069" t="s">
        <v>4</v>
      </c>
      <c r="Q25" s="2070"/>
      <c r="R25" s="2082" t="s">
        <v>4</v>
      </c>
      <c r="S25" s="2083"/>
      <c r="T25" s="2069" t="s">
        <v>4</v>
      </c>
      <c r="U25" s="2070"/>
      <c r="V25" s="2057"/>
      <c r="W25" s="1534" t="s">
        <v>27</v>
      </c>
      <c r="X25" s="1574" t="s">
        <v>28</v>
      </c>
      <c r="Y25" s="1534" t="s">
        <v>27</v>
      </c>
      <c r="Z25" s="2069" t="s">
        <v>4</v>
      </c>
      <c r="AA25" s="2070"/>
      <c r="AB25" s="1534" t="s">
        <v>27</v>
      </c>
      <c r="AC25" s="2071" t="s">
        <v>4</v>
      </c>
      <c r="AD25" s="2072"/>
      <c r="AE25" s="2062"/>
      <c r="AF25" s="1575" t="s">
        <v>56</v>
      </c>
      <c r="AG25" s="1575" t="s">
        <v>57</v>
      </c>
      <c r="AH25" s="1575" t="s">
        <v>60</v>
      </c>
      <c r="AI25" s="1575" t="s">
        <v>202</v>
      </c>
      <c r="AJ25" s="1575" t="s">
        <v>218</v>
      </c>
      <c r="AK25" s="1575" t="s">
        <v>572</v>
      </c>
      <c r="AL25" s="1575" t="s">
        <v>288</v>
      </c>
      <c r="AM25" s="2089"/>
      <c r="AN25" s="2090"/>
      <c r="AO25" s="1534" t="s">
        <v>29</v>
      </c>
      <c r="AP25" s="1519" t="s">
        <v>30</v>
      </c>
      <c r="AQ25" s="1519" t="s">
        <v>31</v>
      </c>
      <c r="AR25" s="1519" t="s">
        <v>4</v>
      </c>
      <c r="AS25" s="1576" t="s">
        <v>30</v>
      </c>
      <c r="AT25" s="1574" t="s">
        <v>31</v>
      </c>
      <c r="AU25" s="1574" t="s">
        <v>30</v>
      </c>
      <c r="AV25" s="1574" t="s">
        <v>31</v>
      </c>
      <c r="AW25" s="1577" t="s">
        <v>4</v>
      </c>
      <c r="AX25" s="1534" t="s">
        <v>32</v>
      </c>
      <c r="AY25" s="2043"/>
      <c r="AZ25" s="2046"/>
      <c r="BA25" s="2046"/>
      <c r="BB25" s="2046"/>
      <c r="BC25" s="1540" t="s">
        <v>33</v>
      </c>
      <c r="BD25" s="2073" t="s">
        <v>42</v>
      </c>
      <c r="BE25" s="2075" t="s">
        <v>43</v>
      </c>
      <c r="BG25" s="1573"/>
      <c r="BH25" s="1578"/>
      <c r="BI25" s="1578"/>
      <c r="BJ25" s="1555"/>
      <c r="BK25" s="1561"/>
      <c r="BL25" s="1561"/>
      <c r="BM25" s="1561"/>
      <c r="BN25" s="1555"/>
      <c r="BO25" s="1555"/>
    </row>
    <row r="26" spans="1:72" s="1523" customFormat="1" ht="21" customHeight="1" thickBot="1">
      <c r="A26" s="2052"/>
      <c r="B26" s="2055"/>
      <c r="C26" s="2058"/>
      <c r="D26" s="1520"/>
      <c r="E26" s="1520"/>
      <c r="F26" s="1579" t="s">
        <v>34</v>
      </c>
      <c r="G26" s="1580" t="s">
        <v>34</v>
      </c>
      <c r="H26" s="1581" t="s">
        <v>8</v>
      </c>
      <c r="I26" s="1582" t="s">
        <v>34</v>
      </c>
      <c r="J26" s="1581" t="s">
        <v>8</v>
      </c>
      <c r="K26" s="1582" t="s">
        <v>34</v>
      </c>
      <c r="L26" s="1581" t="s">
        <v>8</v>
      </c>
      <c r="M26" s="1582" t="s">
        <v>34</v>
      </c>
      <c r="N26" s="1581" t="s">
        <v>8</v>
      </c>
      <c r="O26" s="1582" t="s">
        <v>34</v>
      </c>
      <c r="P26" s="1581" t="s">
        <v>8</v>
      </c>
      <c r="Q26" s="1582" t="s">
        <v>34</v>
      </c>
      <c r="R26" s="1581" t="s">
        <v>8</v>
      </c>
      <c r="S26" s="1582" t="s">
        <v>34</v>
      </c>
      <c r="T26" s="1581" t="s">
        <v>8</v>
      </c>
      <c r="U26" s="1582" t="s">
        <v>34</v>
      </c>
      <c r="V26" s="2058"/>
      <c r="W26" s="1581" t="s">
        <v>26</v>
      </c>
      <c r="X26" s="1581" t="s">
        <v>34</v>
      </c>
      <c r="Y26" s="1581" t="s">
        <v>26</v>
      </c>
      <c r="Z26" s="1581" t="s">
        <v>26</v>
      </c>
      <c r="AA26" s="1581" t="s">
        <v>34</v>
      </c>
      <c r="AB26" s="1581" t="s">
        <v>26</v>
      </c>
      <c r="AC26" s="1581" t="s">
        <v>35</v>
      </c>
      <c r="AD26" s="1581" t="s">
        <v>34</v>
      </c>
      <c r="AE26" s="1581" t="s">
        <v>34</v>
      </c>
      <c r="AF26" s="1582" t="s">
        <v>34</v>
      </c>
      <c r="AG26" s="1582" t="s">
        <v>34</v>
      </c>
      <c r="AH26" s="1582" t="s">
        <v>34</v>
      </c>
      <c r="AI26" s="1582" t="s">
        <v>34</v>
      </c>
      <c r="AJ26" s="1582" t="s">
        <v>34</v>
      </c>
      <c r="AK26" s="1582" t="s">
        <v>34</v>
      </c>
      <c r="AL26" s="1582" t="s">
        <v>34</v>
      </c>
      <c r="AM26" s="1582" t="s">
        <v>34</v>
      </c>
      <c r="AN26" s="1581" t="s">
        <v>34</v>
      </c>
      <c r="AO26" s="1582" t="s">
        <v>34</v>
      </c>
      <c r="AP26" s="1582" t="s">
        <v>34</v>
      </c>
      <c r="AQ26" s="1582" t="s">
        <v>34</v>
      </c>
      <c r="AR26" s="1582" t="s">
        <v>34</v>
      </c>
      <c r="AS26" s="1581" t="s">
        <v>58</v>
      </c>
      <c r="AT26" s="1582" t="s">
        <v>34</v>
      </c>
      <c r="AU26" s="1582" t="s">
        <v>59</v>
      </c>
      <c r="AV26" s="1582" t="s">
        <v>34</v>
      </c>
      <c r="AW26" s="1583" t="s">
        <v>34</v>
      </c>
      <c r="AX26" s="1537"/>
      <c r="AY26" s="2044"/>
      <c r="AZ26" s="2047"/>
      <c r="BA26" s="2047"/>
      <c r="BB26" s="2047"/>
      <c r="BC26" s="1541" t="s">
        <v>34</v>
      </c>
      <c r="BD26" s="2074"/>
      <c r="BE26" s="2076"/>
      <c r="BG26" s="1555" t="s">
        <v>353</v>
      </c>
      <c r="BH26" s="1578" t="s">
        <v>43</v>
      </c>
      <c r="BI26" s="1578" t="s">
        <v>42</v>
      </c>
      <c r="BJ26" s="1555" t="s">
        <v>354</v>
      </c>
      <c r="BK26" s="1561" t="s">
        <v>358</v>
      </c>
      <c r="BL26" s="1561"/>
      <c r="BM26" s="1561" t="s">
        <v>625</v>
      </c>
      <c r="BN26" s="1555" t="s">
        <v>626</v>
      </c>
      <c r="BO26" s="1555" t="s">
        <v>627</v>
      </c>
      <c r="BQ26" s="1523" t="s">
        <v>685</v>
      </c>
    </row>
    <row r="27" spans="1:72" s="1587" customFormat="1" ht="102" customHeight="1" thickBot="1">
      <c r="A27" s="1584" t="s">
        <v>64</v>
      </c>
      <c r="B27" s="1489" t="s">
        <v>37</v>
      </c>
      <c r="C27" s="1585" t="s">
        <v>196</v>
      </c>
      <c r="D27" s="1586" t="s">
        <v>187</v>
      </c>
      <c r="E27" s="1489">
        <f>'HK UP KEEP, OP '!AH9</f>
        <v>24</v>
      </c>
      <c r="F27" s="1490">
        <v>129220</v>
      </c>
      <c r="G27" s="1490">
        <f t="shared" si="0"/>
        <v>3101280</v>
      </c>
      <c r="H27" s="1489">
        <f>'HK UP KEEP, OP '!AI9</f>
        <v>0</v>
      </c>
      <c r="I27" s="1489">
        <f t="shared" si="1"/>
        <v>0</v>
      </c>
      <c r="J27" s="1489">
        <f>'HK UP KEEP, OP '!AJ9</f>
        <v>0</v>
      </c>
      <c r="K27" s="1489">
        <f t="shared" si="2"/>
        <v>0</v>
      </c>
      <c r="L27" s="1489">
        <f>'HK UP KEEP, OP '!AK9</f>
        <v>0</v>
      </c>
      <c r="M27" s="1489">
        <f t="shared" si="3"/>
        <v>0</v>
      </c>
      <c r="N27" s="1489">
        <f>'HK UP KEEP, OP '!AL9</f>
        <v>4</v>
      </c>
      <c r="O27" s="1489">
        <f t="shared" si="4"/>
        <v>516880</v>
      </c>
      <c r="P27" s="1489">
        <f>'HK UP KEEP, OP '!AM9</f>
        <v>3</v>
      </c>
      <c r="Q27" s="1489">
        <f t="shared" si="5"/>
        <v>387660</v>
      </c>
      <c r="R27" s="1489">
        <f>'HK UP KEEP, OP '!AN9</f>
        <v>0</v>
      </c>
      <c r="S27" s="1489">
        <f t="shared" si="6"/>
        <v>0</v>
      </c>
      <c r="T27" s="1489">
        <f>'HK UP KEEP, OP '!AO9+'HK UP KEEP, OP '!AP9+'HK UP KEEP, OP '!AQ9</f>
        <v>0</v>
      </c>
      <c r="U27" s="1489">
        <f t="shared" si="7"/>
        <v>0</v>
      </c>
      <c r="V27" s="1489">
        <f t="shared" si="8"/>
        <v>31</v>
      </c>
      <c r="W27" s="1491">
        <v>2250</v>
      </c>
      <c r="X27" s="1489">
        <f t="shared" si="9"/>
        <v>69750</v>
      </c>
      <c r="Y27" s="1489">
        <v>2500</v>
      </c>
      <c r="Z27" s="1489">
        <f>E27</f>
        <v>24</v>
      </c>
      <c r="AA27" s="1492">
        <f t="shared" ref="AA27:AA297" si="27">Z27*Y27</f>
        <v>60000</v>
      </c>
      <c r="AB27" s="1489">
        <v>2500</v>
      </c>
      <c r="AC27" s="1489">
        <f>'MASA KERJA AB'!H10</f>
        <v>10</v>
      </c>
      <c r="AD27" s="1492">
        <f>'MASA KERJA AB'!I10</f>
        <v>27000</v>
      </c>
      <c r="AE27" s="1491">
        <f>'LEMBUR DAN PREMI UPKEEP'!AJ6</f>
        <v>4212721.04</v>
      </c>
      <c r="AF27" s="1489"/>
      <c r="AG27" s="1489"/>
      <c r="AH27" s="1489"/>
      <c r="AI27" s="1489"/>
      <c r="AJ27" s="1489"/>
      <c r="AK27" s="1493"/>
      <c r="AL27" s="1489"/>
      <c r="AM27" s="1489"/>
      <c r="AN27" s="1489"/>
      <c r="AO27" s="1494">
        <f t="shared" si="10"/>
        <v>8375291.04</v>
      </c>
      <c r="AP27" s="1489">
        <f t="shared" si="20"/>
        <v>77532</v>
      </c>
      <c r="AQ27" s="1489">
        <f t="shared" si="21"/>
        <v>175997.64</v>
      </c>
      <c r="AR27" s="1489">
        <f t="shared" ref="AR27:AR297" si="28">SUM(AQ27+AP27)</f>
        <v>253529.64</v>
      </c>
      <c r="AS27" s="1489">
        <f t="shared" si="22"/>
        <v>39036</v>
      </c>
      <c r="AT27" s="1489">
        <f t="shared" si="23"/>
        <v>156144</v>
      </c>
      <c r="AU27" s="1489">
        <f t="shared" si="24"/>
        <v>38766</v>
      </c>
      <c r="AV27" s="1489">
        <f t="shared" si="25"/>
        <v>77532</v>
      </c>
      <c r="AW27" s="1489">
        <f t="shared" ref="AW27:AW297" si="29">SUM(AS27:AV27)</f>
        <v>311478</v>
      </c>
      <c r="AX27" s="1492">
        <v>4000</v>
      </c>
      <c r="AY27" s="1492">
        <v>165620</v>
      </c>
      <c r="AZ27" s="1489">
        <f t="shared" si="13"/>
        <v>0</v>
      </c>
      <c r="BA27" s="1489"/>
      <c r="BB27" s="1489"/>
      <c r="BC27" s="1489">
        <f t="shared" si="14"/>
        <v>8050337.04</v>
      </c>
      <c r="BD27" s="1495">
        <f>'HK UP KEEP, OP '!AS9</f>
        <v>0</v>
      </c>
      <c r="BE27" s="1488">
        <f>'HK UP KEEP, OP '!AT9</f>
        <v>0</v>
      </c>
      <c r="BG27" s="1551">
        <f t="shared" si="15"/>
        <v>4005820</v>
      </c>
      <c r="BH27" s="1552">
        <f t="shared" si="16"/>
        <v>0</v>
      </c>
      <c r="BI27" s="1552">
        <f t="shared" si="17"/>
        <v>0</v>
      </c>
      <c r="BJ27" s="1551">
        <f t="shared" si="18"/>
        <v>0</v>
      </c>
      <c r="BK27" s="1553">
        <f t="shared" si="26"/>
        <v>4005820</v>
      </c>
      <c r="BL27" s="1553"/>
      <c r="BM27" s="1553">
        <f>X27+AA27+AD27+AE27+AF27+AG27+AH27+AI27+AJ27+AK27+AL27+AM27</f>
        <v>4369471.04</v>
      </c>
      <c r="BN27" s="1551">
        <v>30575.999999999996</v>
      </c>
      <c r="BO27" s="1551">
        <f t="shared" si="19"/>
        <v>565007.64</v>
      </c>
      <c r="BS27" s="1589"/>
      <c r="BT27" s="1589"/>
    </row>
    <row r="28" spans="1:72" ht="23.25" customHeight="1">
      <c r="A28" s="2048" t="s">
        <v>0</v>
      </c>
      <c r="B28" s="2048"/>
      <c r="C28" s="2048"/>
      <c r="D28" s="2048"/>
      <c r="E28" s="2048"/>
      <c r="F28" s="2048"/>
      <c r="G28" s="2048"/>
      <c r="H28" s="2048"/>
      <c r="I28" s="2048"/>
      <c r="J28" s="2048"/>
      <c r="K28" s="2048"/>
      <c r="L28" s="2048"/>
      <c r="M28" s="2048"/>
      <c r="N28" s="2048"/>
      <c r="O28" s="2048"/>
      <c r="P28" s="2048"/>
      <c r="Q28" s="2048"/>
      <c r="R28" s="2048"/>
      <c r="S28" s="2048"/>
      <c r="T28" s="2048"/>
      <c r="U28" s="2048"/>
      <c r="V28" s="2048"/>
      <c r="W28" s="2048"/>
      <c r="X28" s="2048"/>
      <c r="Y28" s="2048"/>
      <c r="Z28" s="2048"/>
      <c r="AA28" s="2048"/>
      <c r="AB28" s="2048"/>
      <c r="AC28" s="2048"/>
      <c r="AD28" s="2048"/>
      <c r="AE28" s="2048"/>
      <c r="AF28" s="2048"/>
      <c r="AG28" s="2048"/>
      <c r="AH28" s="2048"/>
      <c r="AI28" s="2048"/>
      <c r="AJ28" s="2048"/>
      <c r="AK28" s="2048"/>
      <c r="AL28" s="2048"/>
      <c r="AM28" s="2048"/>
      <c r="AN28" s="2048"/>
      <c r="AO28" s="2048"/>
      <c r="AP28" s="2048"/>
      <c r="AQ28" s="2048"/>
      <c r="AR28" s="2048"/>
      <c r="AS28" s="2048"/>
      <c r="AT28" s="2048"/>
      <c r="AU28" s="2048"/>
      <c r="AV28" s="2048"/>
      <c r="AW28" s="2048"/>
      <c r="AX28" s="2048"/>
      <c r="AY28" s="2048"/>
      <c r="AZ28" s="2048"/>
      <c r="BA28" s="2048"/>
      <c r="BB28" s="2048"/>
      <c r="BC28" s="2048"/>
      <c r="BD28" s="2048"/>
      <c r="BE28" s="2048"/>
    </row>
    <row r="29" spans="1:72" ht="26.25" customHeight="1">
      <c r="A29" s="2049" t="s">
        <v>1033</v>
      </c>
      <c r="B29" s="2049"/>
      <c r="C29" s="2049"/>
      <c r="D29" s="2049"/>
      <c r="E29" s="2049"/>
      <c r="F29" s="2049"/>
      <c r="G29" s="2049"/>
      <c r="H29" s="2049"/>
      <c r="I29" s="2049"/>
      <c r="J29" s="2049"/>
      <c r="K29" s="2049"/>
      <c r="L29" s="2049"/>
      <c r="M29" s="2049"/>
      <c r="N29" s="2049"/>
      <c r="O29" s="2049"/>
      <c r="P29" s="2049"/>
      <c r="Q29" s="2049"/>
      <c r="R29" s="2049"/>
      <c r="S29" s="2049"/>
      <c r="T29" s="2049"/>
      <c r="U29" s="2049"/>
      <c r="V29" s="2049"/>
      <c r="W29" s="2049"/>
      <c r="X29" s="2049"/>
      <c r="Y29" s="2049"/>
      <c r="Z29" s="2049"/>
      <c r="AA29" s="2049"/>
      <c r="AB29" s="2049"/>
      <c r="AC29" s="2049"/>
      <c r="AD29" s="2049"/>
      <c r="AE29" s="2049"/>
      <c r="AF29" s="2049"/>
      <c r="AG29" s="2049"/>
      <c r="AH29" s="2049"/>
      <c r="AI29" s="2049"/>
      <c r="AJ29" s="2049"/>
      <c r="AK29" s="2049"/>
      <c r="AL29" s="2049"/>
      <c r="AM29" s="2049"/>
      <c r="AN29" s="2049"/>
      <c r="AO29" s="2049"/>
      <c r="AP29" s="2049"/>
      <c r="AQ29" s="2049"/>
      <c r="AR29" s="2049"/>
      <c r="AS29" s="2049"/>
      <c r="AT29" s="2049"/>
      <c r="AU29" s="2049"/>
      <c r="AV29" s="2049"/>
      <c r="AW29" s="2049"/>
      <c r="AX29" s="2049"/>
      <c r="AY29" s="2049"/>
      <c r="AZ29" s="2049"/>
      <c r="BA29" s="2049"/>
      <c r="BB29" s="2049"/>
      <c r="BC29" s="2049"/>
      <c r="BD29" s="2049"/>
      <c r="BE29" s="2049"/>
    </row>
    <row r="30" spans="1:72" s="1523" customFormat="1" ht="18.75" customHeight="1">
      <c r="C30" s="1554"/>
      <c r="D30" s="1523" t="s">
        <v>964</v>
      </c>
      <c r="F30" s="1555"/>
      <c r="G30" s="1555"/>
      <c r="X30" s="1556"/>
      <c r="AE30" s="1532"/>
      <c r="AK30" s="1557"/>
      <c r="AP30" s="1558">
        <v>3876600</v>
      </c>
      <c r="AQ30" s="1559">
        <f>AP30/30</f>
        <v>129220</v>
      </c>
      <c r="AR30" s="1559">
        <f>AP30/173*1.5</f>
        <v>33612.138728323698</v>
      </c>
      <c r="AS30" s="1559">
        <f>AP30/173*2</f>
        <v>44816.184971098264</v>
      </c>
      <c r="AW30" s="1532" t="s">
        <v>55</v>
      </c>
      <c r="AX30" s="1523" t="s">
        <v>152</v>
      </c>
      <c r="BC30" s="1531"/>
      <c r="BE30" s="1532"/>
      <c r="BG30" s="1555"/>
      <c r="BH30" s="1560"/>
      <c r="BI30" s="1560"/>
      <c r="BJ30" s="1555"/>
      <c r="BK30" s="1561"/>
      <c r="BL30" s="1561"/>
      <c r="BM30" s="1561"/>
      <c r="BN30" s="1555"/>
      <c r="BO30" s="1555"/>
    </row>
    <row r="31" spans="1:72" ht="15" customHeight="1" thickBot="1">
      <c r="A31" s="1547"/>
      <c r="D31" s="1563"/>
      <c r="E31" s="1563"/>
      <c r="F31" s="1564"/>
      <c r="G31" s="1564"/>
      <c r="H31" s="1563"/>
      <c r="I31" s="1563"/>
      <c r="J31" s="1563"/>
      <c r="K31" s="1563"/>
      <c r="L31" s="1563"/>
      <c r="M31" s="1563"/>
      <c r="N31" s="1563"/>
      <c r="O31" s="1563"/>
      <c r="Q31" s="1563"/>
      <c r="R31" s="1563"/>
      <c r="S31" s="1563"/>
      <c r="T31" s="1563"/>
      <c r="U31" s="1563"/>
      <c r="V31" s="1563"/>
      <c r="W31" s="1563"/>
      <c r="X31" s="1563"/>
      <c r="Y31" s="1563"/>
      <c r="Z31" s="1563"/>
      <c r="AA31" s="1563"/>
      <c r="AB31" s="1563"/>
      <c r="AC31" s="1563"/>
      <c r="AD31" s="1547"/>
      <c r="AE31" s="1563"/>
      <c r="AF31" s="1563"/>
      <c r="AG31" s="1563"/>
      <c r="AH31" s="1563"/>
      <c r="AI31" s="1563"/>
      <c r="AJ31" s="1563"/>
      <c r="AK31" s="1565"/>
      <c r="AL31" s="1563"/>
      <c r="AM31" s="1563"/>
      <c r="AO31" s="1563"/>
      <c r="AP31" s="1558">
        <v>3876600</v>
      </c>
      <c r="AQ31" s="1566">
        <f>AP31/30</f>
        <v>129220</v>
      </c>
      <c r="AR31" s="1567"/>
      <c r="AS31" s="1568">
        <f>AP31+24000</f>
        <v>3900600</v>
      </c>
    </row>
    <row r="32" spans="1:72" s="1523" customFormat="1" ht="15.75" customHeight="1">
      <c r="A32" s="2050" t="s">
        <v>5</v>
      </c>
      <c r="B32" s="2053" t="s">
        <v>6</v>
      </c>
      <c r="C32" s="2056" t="s">
        <v>52</v>
      </c>
      <c r="D32" s="1569"/>
      <c r="E32" s="1569"/>
      <c r="F32" s="1570"/>
      <c r="G32" s="1570"/>
      <c r="H32" s="2059" t="s">
        <v>2</v>
      </c>
      <c r="I32" s="2060"/>
      <c r="J32" s="2060"/>
      <c r="K32" s="2060"/>
      <c r="L32" s="2060"/>
      <c r="M32" s="2060"/>
      <c r="N32" s="2060"/>
      <c r="O32" s="2060"/>
      <c r="P32" s="2060"/>
      <c r="Q32" s="2060"/>
      <c r="R32" s="2060"/>
      <c r="S32" s="2060"/>
      <c r="T32" s="2060"/>
      <c r="U32" s="2061"/>
      <c r="V32" s="2056" t="s">
        <v>286</v>
      </c>
      <c r="W32" s="2059" t="s">
        <v>3</v>
      </c>
      <c r="X32" s="2060"/>
      <c r="Y32" s="2060"/>
      <c r="Z32" s="2060"/>
      <c r="AA32" s="2060"/>
      <c r="AB32" s="2060"/>
      <c r="AC32" s="2060"/>
      <c r="AD32" s="2061"/>
      <c r="AE32" s="2042" t="s">
        <v>45</v>
      </c>
      <c r="AF32" s="2063" t="s">
        <v>46</v>
      </c>
      <c r="AG32" s="2064"/>
      <c r="AH32" s="2064"/>
      <c r="AI32" s="2064"/>
      <c r="AJ32" s="2064"/>
      <c r="AK32" s="2064"/>
      <c r="AL32" s="2065"/>
      <c r="AM32" s="2045" t="s">
        <v>98</v>
      </c>
      <c r="AN32" s="2056" t="s">
        <v>44</v>
      </c>
      <c r="AO32" s="1533" t="s">
        <v>4</v>
      </c>
      <c r="AP32" s="2036" t="s">
        <v>20</v>
      </c>
      <c r="AQ32" s="2037"/>
      <c r="AR32" s="2038"/>
      <c r="AS32" s="2036" t="s">
        <v>54</v>
      </c>
      <c r="AT32" s="2037"/>
      <c r="AU32" s="2037"/>
      <c r="AV32" s="2037"/>
      <c r="AW32" s="2037"/>
      <c r="AX32" s="1571"/>
      <c r="AY32" s="2042" t="s">
        <v>89</v>
      </c>
      <c r="AZ32" s="2045" t="s">
        <v>97</v>
      </c>
      <c r="BA32" s="2045" t="s">
        <v>719</v>
      </c>
      <c r="BB32" s="2045" t="s">
        <v>210</v>
      </c>
      <c r="BC32" s="1539" t="s">
        <v>4</v>
      </c>
      <c r="BD32" s="2063" t="s">
        <v>41</v>
      </c>
      <c r="BE32" s="2084"/>
      <c r="BG32" s="1555"/>
      <c r="BH32" s="1560"/>
      <c r="BI32" s="1560"/>
      <c r="BJ32" s="1555"/>
      <c r="BK32" s="1561"/>
      <c r="BL32" s="1561"/>
      <c r="BM32" s="1561"/>
      <c r="BN32" s="1555"/>
      <c r="BO32" s="1555"/>
    </row>
    <row r="33" spans="1:72" s="1523" customFormat="1" ht="25.5" customHeight="1">
      <c r="A33" s="2051"/>
      <c r="B33" s="2054"/>
      <c r="C33" s="2057"/>
      <c r="D33" s="1519" t="s">
        <v>7</v>
      </c>
      <c r="E33" s="1519" t="s">
        <v>8</v>
      </c>
      <c r="F33" s="1572" t="s">
        <v>9</v>
      </c>
      <c r="G33" s="1572" t="s">
        <v>9</v>
      </c>
      <c r="H33" s="2071" t="s">
        <v>10</v>
      </c>
      <c r="I33" s="2072"/>
      <c r="J33" s="2071" t="s">
        <v>11</v>
      </c>
      <c r="K33" s="2072"/>
      <c r="L33" s="2071" t="s">
        <v>12</v>
      </c>
      <c r="M33" s="2072"/>
      <c r="N33" s="2071" t="s">
        <v>13</v>
      </c>
      <c r="O33" s="2072"/>
      <c r="P33" s="2071" t="s">
        <v>14</v>
      </c>
      <c r="Q33" s="2072"/>
      <c r="R33" s="2087" t="s">
        <v>15</v>
      </c>
      <c r="S33" s="2088"/>
      <c r="T33" s="2071" t="s">
        <v>16</v>
      </c>
      <c r="U33" s="2072"/>
      <c r="V33" s="2057"/>
      <c r="W33" s="2071" t="s">
        <v>17</v>
      </c>
      <c r="X33" s="2072"/>
      <c r="Y33" s="2071" t="s">
        <v>18</v>
      </c>
      <c r="Z33" s="2081"/>
      <c r="AA33" s="2072"/>
      <c r="AB33" s="2071" t="s">
        <v>19</v>
      </c>
      <c r="AC33" s="2081"/>
      <c r="AD33" s="2072"/>
      <c r="AE33" s="2043"/>
      <c r="AF33" s="2066"/>
      <c r="AG33" s="2067"/>
      <c r="AH33" s="2067"/>
      <c r="AI33" s="2067"/>
      <c r="AJ33" s="2067"/>
      <c r="AK33" s="2067"/>
      <c r="AL33" s="2068"/>
      <c r="AM33" s="2046"/>
      <c r="AN33" s="2057"/>
      <c r="AO33" s="1534" t="s">
        <v>9</v>
      </c>
      <c r="AP33" s="2039"/>
      <c r="AQ33" s="2040"/>
      <c r="AR33" s="2041"/>
      <c r="AS33" s="2039"/>
      <c r="AT33" s="2040"/>
      <c r="AU33" s="2040"/>
      <c r="AV33" s="2040"/>
      <c r="AW33" s="2040"/>
      <c r="AX33" s="1534" t="s">
        <v>21</v>
      </c>
      <c r="AY33" s="2043"/>
      <c r="AZ33" s="2046"/>
      <c r="BA33" s="2046"/>
      <c r="BB33" s="2046"/>
      <c r="BC33" s="1540" t="s">
        <v>9</v>
      </c>
      <c r="BD33" s="2085"/>
      <c r="BE33" s="2086"/>
      <c r="BG33" s="1573"/>
      <c r="BH33" s="1573"/>
      <c r="BI33" s="1573"/>
      <c r="BJ33" s="1555"/>
      <c r="BK33" s="1561"/>
      <c r="BL33" s="1561"/>
      <c r="BM33" s="1561"/>
      <c r="BN33" s="1555"/>
      <c r="BO33" s="1555"/>
    </row>
    <row r="34" spans="1:72" s="1523" customFormat="1" ht="63" customHeight="1">
      <c r="A34" s="2051"/>
      <c r="B34" s="2054"/>
      <c r="C34" s="2057"/>
      <c r="D34" s="1519" t="s">
        <v>22</v>
      </c>
      <c r="E34" s="1519" t="s">
        <v>23</v>
      </c>
      <c r="F34" s="1572" t="s">
        <v>24</v>
      </c>
      <c r="G34" s="1572" t="s">
        <v>25</v>
      </c>
      <c r="H34" s="2069" t="s">
        <v>4</v>
      </c>
      <c r="I34" s="2070"/>
      <c r="J34" s="2069" t="s">
        <v>4</v>
      </c>
      <c r="K34" s="2070"/>
      <c r="L34" s="2069" t="s">
        <v>4</v>
      </c>
      <c r="M34" s="2070"/>
      <c r="N34" s="2069" t="s">
        <v>4</v>
      </c>
      <c r="O34" s="2070"/>
      <c r="P34" s="2069" t="s">
        <v>4</v>
      </c>
      <c r="Q34" s="2070"/>
      <c r="R34" s="2082" t="s">
        <v>4</v>
      </c>
      <c r="S34" s="2083"/>
      <c r="T34" s="2069" t="s">
        <v>4</v>
      </c>
      <c r="U34" s="2070"/>
      <c r="V34" s="2057"/>
      <c r="W34" s="1534" t="s">
        <v>27</v>
      </c>
      <c r="X34" s="1574" t="s">
        <v>28</v>
      </c>
      <c r="Y34" s="1534" t="s">
        <v>27</v>
      </c>
      <c r="Z34" s="2069" t="s">
        <v>4</v>
      </c>
      <c r="AA34" s="2070"/>
      <c r="AB34" s="1534" t="s">
        <v>27</v>
      </c>
      <c r="AC34" s="2071" t="s">
        <v>4</v>
      </c>
      <c r="AD34" s="2072"/>
      <c r="AE34" s="2062"/>
      <c r="AF34" s="1575" t="s">
        <v>56</v>
      </c>
      <c r="AG34" s="1575" t="s">
        <v>57</v>
      </c>
      <c r="AH34" s="1575" t="s">
        <v>60</v>
      </c>
      <c r="AI34" s="1575" t="s">
        <v>202</v>
      </c>
      <c r="AJ34" s="1575" t="s">
        <v>218</v>
      </c>
      <c r="AK34" s="1575" t="s">
        <v>572</v>
      </c>
      <c r="AL34" s="1575" t="s">
        <v>288</v>
      </c>
      <c r="AM34" s="2089"/>
      <c r="AN34" s="2090"/>
      <c r="AO34" s="1534" t="s">
        <v>29</v>
      </c>
      <c r="AP34" s="1519" t="s">
        <v>30</v>
      </c>
      <c r="AQ34" s="1519" t="s">
        <v>31</v>
      </c>
      <c r="AR34" s="1519" t="s">
        <v>4</v>
      </c>
      <c r="AS34" s="1576" t="s">
        <v>30</v>
      </c>
      <c r="AT34" s="1574" t="s">
        <v>31</v>
      </c>
      <c r="AU34" s="1574" t="s">
        <v>30</v>
      </c>
      <c r="AV34" s="1574" t="s">
        <v>31</v>
      </c>
      <c r="AW34" s="1577" t="s">
        <v>4</v>
      </c>
      <c r="AX34" s="1534" t="s">
        <v>32</v>
      </c>
      <c r="AY34" s="2043"/>
      <c r="AZ34" s="2046"/>
      <c r="BA34" s="2046"/>
      <c r="BB34" s="2046"/>
      <c r="BC34" s="1540" t="s">
        <v>33</v>
      </c>
      <c r="BD34" s="2073" t="s">
        <v>42</v>
      </c>
      <c r="BE34" s="2075" t="s">
        <v>43</v>
      </c>
      <c r="BG34" s="1573"/>
      <c r="BH34" s="1578"/>
      <c r="BI34" s="1578"/>
      <c r="BJ34" s="1555"/>
      <c r="BK34" s="1561"/>
      <c r="BL34" s="1561"/>
      <c r="BM34" s="1561"/>
      <c r="BN34" s="1555"/>
      <c r="BO34" s="1555"/>
    </row>
    <row r="35" spans="1:72" s="1523" customFormat="1" ht="21" customHeight="1" thickBot="1">
      <c r="A35" s="2052"/>
      <c r="B35" s="2055"/>
      <c r="C35" s="2058"/>
      <c r="D35" s="1520"/>
      <c r="E35" s="1520"/>
      <c r="F35" s="1579" t="s">
        <v>34</v>
      </c>
      <c r="G35" s="1580" t="s">
        <v>34</v>
      </c>
      <c r="H35" s="1581" t="s">
        <v>8</v>
      </c>
      <c r="I35" s="1582" t="s">
        <v>34</v>
      </c>
      <c r="J35" s="1581" t="s">
        <v>8</v>
      </c>
      <c r="K35" s="1582" t="s">
        <v>34</v>
      </c>
      <c r="L35" s="1581" t="s">
        <v>8</v>
      </c>
      <c r="M35" s="1582" t="s">
        <v>34</v>
      </c>
      <c r="N35" s="1581" t="s">
        <v>8</v>
      </c>
      <c r="O35" s="1582" t="s">
        <v>34</v>
      </c>
      <c r="P35" s="1581" t="s">
        <v>8</v>
      </c>
      <c r="Q35" s="1582" t="s">
        <v>34</v>
      </c>
      <c r="R35" s="1581" t="s">
        <v>8</v>
      </c>
      <c r="S35" s="1582" t="s">
        <v>34</v>
      </c>
      <c r="T35" s="1581" t="s">
        <v>8</v>
      </c>
      <c r="U35" s="1582" t="s">
        <v>34</v>
      </c>
      <c r="V35" s="2058"/>
      <c r="W35" s="1581" t="s">
        <v>26</v>
      </c>
      <c r="X35" s="1581" t="s">
        <v>34</v>
      </c>
      <c r="Y35" s="1581" t="s">
        <v>26</v>
      </c>
      <c r="Z35" s="1581" t="s">
        <v>26</v>
      </c>
      <c r="AA35" s="1581" t="s">
        <v>34</v>
      </c>
      <c r="AB35" s="1581" t="s">
        <v>26</v>
      </c>
      <c r="AC35" s="1581" t="s">
        <v>35</v>
      </c>
      <c r="AD35" s="1581" t="s">
        <v>34</v>
      </c>
      <c r="AE35" s="1581" t="s">
        <v>34</v>
      </c>
      <c r="AF35" s="1582" t="s">
        <v>34</v>
      </c>
      <c r="AG35" s="1582" t="s">
        <v>34</v>
      </c>
      <c r="AH35" s="1582" t="s">
        <v>34</v>
      </c>
      <c r="AI35" s="1582" t="s">
        <v>34</v>
      </c>
      <c r="AJ35" s="1582" t="s">
        <v>34</v>
      </c>
      <c r="AK35" s="1582" t="s">
        <v>34</v>
      </c>
      <c r="AL35" s="1582" t="s">
        <v>34</v>
      </c>
      <c r="AM35" s="1582" t="s">
        <v>34</v>
      </c>
      <c r="AN35" s="1581" t="s">
        <v>34</v>
      </c>
      <c r="AO35" s="1582" t="s">
        <v>34</v>
      </c>
      <c r="AP35" s="1582" t="s">
        <v>34</v>
      </c>
      <c r="AQ35" s="1582" t="s">
        <v>34</v>
      </c>
      <c r="AR35" s="1582" t="s">
        <v>34</v>
      </c>
      <c r="AS35" s="1581" t="s">
        <v>58</v>
      </c>
      <c r="AT35" s="1582" t="s">
        <v>34</v>
      </c>
      <c r="AU35" s="1582" t="s">
        <v>59</v>
      </c>
      <c r="AV35" s="1582" t="s">
        <v>34</v>
      </c>
      <c r="AW35" s="1583" t="s">
        <v>34</v>
      </c>
      <c r="AX35" s="1537"/>
      <c r="AY35" s="2044"/>
      <c r="AZ35" s="2047"/>
      <c r="BA35" s="2047"/>
      <c r="BB35" s="2047"/>
      <c r="BC35" s="1541" t="s">
        <v>34</v>
      </c>
      <c r="BD35" s="2074"/>
      <c r="BE35" s="2076"/>
      <c r="BG35" s="1555" t="s">
        <v>353</v>
      </c>
      <c r="BH35" s="1578" t="s">
        <v>43</v>
      </c>
      <c r="BI35" s="1578" t="s">
        <v>42</v>
      </c>
      <c r="BJ35" s="1555" t="s">
        <v>354</v>
      </c>
      <c r="BK35" s="1561" t="s">
        <v>358</v>
      </c>
      <c r="BL35" s="1561"/>
      <c r="BM35" s="1561" t="s">
        <v>625</v>
      </c>
      <c r="BN35" s="1555" t="s">
        <v>626</v>
      </c>
      <c r="BO35" s="1555" t="s">
        <v>627</v>
      </c>
      <c r="BQ35" s="1523" t="s">
        <v>685</v>
      </c>
    </row>
    <row r="36" spans="1:72" s="1587" customFormat="1" ht="102" customHeight="1" thickBot="1">
      <c r="A36" s="1584" t="s">
        <v>65</v>
      </c>
      <c r="B36" s="1489" t="s">
        <v>36</v>
      </c>
      <c r="C36" s="1585" t="s">
        <v>481</v>
      </c>
      <c r="D36" s="1586" t="s">
        <v>479</v>
      </c>
      <c r="E36" s="1489">
        <f>'HK UP KEEP, OP '!AH10</f>
        <v>24</v>
      </c>
      <c r="F36" s="1490">
        <v>129220</v>
      </c>
      <c r="G36" s="1490">
        <f t="shared" si="0"/>
        <v>3101280</v>
      </c>
      <c r="H36" s="1489">
        <f>'HK UP KEEP, OP '!AI10</f>
        <v>0</v>
      </c>
      <c r="I36" s="1489">
        <f t="shared" si="1"/>
        <v>0</v>
      </c>
      <c r="J36" s="1489">
        <f>'HK UP KEEP, OP '!AJ10</f>
        <v>0</v>
      </c>
      <c r="K36" s="1489">
        <f t="shared" si="2"/>
        <v>0</v>
      </c>
      <c r="L36" s="1489">
        <f>'HK UP KEEP, OP '!AK10</f>
        <v>0</v>
      </c>
      <c r="M36" s="1489">
        <f t="shared" si="3"/>
        <v>0</v>
      </c>
      <c r="N36" s="1489">
        <f>'HK UP KEEP, OP '!AL10</f>
        <v>4</v>
      </c>
      <c r="O36" s="1489">
        <f t="shared" si="4"/>
        <v>516880</v>
      </c>
      <c r="P36" s="1489">
        <f>'HK UP KEEP, OP '!AM10</f>
        <v>3</v>
      </c>
      <c r="Q36" s="1489">
        <f t="shared" si="5"/>
        <v>387660</v>
      </c>
      <c r="R36" s="1489">
        <f>'HK UP KEEP, OP '!AN10</f>
        <v>0</v>
      </c>
      <c r="S36" s="1489">
        <f t="shared" si="6"/>
        <v>0</v>
      </c>
      <c r="T36" s="1489">
        <f>'HK UP KEEP, OP '!AO10+'HK UP KEEP, OP '!AP10+'HK UP KEEP, OP '!AQ10</f>
        <v>0</v>
      </c>
      <c r="U36" s="1489">
        <f t="shared" si="7"/>
        <v>0</v>
      </c>
      <c r="V36" s="1489">
        <f t="shared" si="8"/>
        <v>31</v>
      </c>
      <c r="W36" s="1491">
        <v>4650</v>
      </c>
      <c r="X36" s="1489">
        <f t="shared" si="9"/>
        <v>144150</v>
      </c>
      <c r="Y36" s="1489">
        <v>2500</v>
      </c>
      <c r="Z36" s="1489">
        <f>E36</f>
        <v>24</v>
      </c>
      <c r="AA36" s="1492">
        <f t="shared" si="27"/>
        <v>60000</v>
      </c>
      <c r="AB36" s="1489">
        <v>2500</v>
      </c>
      <c r="AC36" s="1489">
        <f>'MASA KERJA AB'!H11</f>
        <v>10</v>
      </c>
      <c r="AD36" s="1492">
        <f>'MASA KERJA AB'!I11</f>
        <v>27000</v>
      </c>
      <c r="AE36" s="1491">
        <f>'LEMBUR DAN PREMI UPKEEP'!AJ9</f>
        <v>4324761.49</v>
      </c>
      <c r="AF36" s="1489"/>
      <c r="AG36" s="1489"/>
      <c r="AH36" s="1489"/>
      <c r="AI36" s="1489"/>
      <c r="AJ36" s="1489"/>
      <c r="AK36" s="1493"/>
      <c r="AL36" s="1489"/>
      <c r="AM36" s="1489"/>
      <c r="AN36" s="1489"/>
      <c r="AO36" s="1494">
        <f t="shared" si="10"/>
        <v>8561731.4900000002</v>
      </c>
      <c r="AP36" s="1489">
        <f t="shared" si="20"/>
        <v>77532</v>
      </c>
      <c r="AQ36" s="1489">
        <f t="shared" si="21"/>
        <v>175997.64</v>
      </c>
      <c r="AR36" s="1489">
        <f t="shared" si="28"/>
        <v>253529.64</v>
      </c>
      <c r="AS36" s="1489">
        <f t="shared" si="22"/>
        <v>39036</v>
      </c>
      <c r="AT36" s="1489">
        <f t="shared" si="23"/>
        <v>156144</v>
      </c>
      <c r="AU36" s="1489">
        <f t="shared" si="24"/>
        <v>38766</v>
      </c>
      <c r="AV36" s="1489">
        <f t="shared" si="25"/>
        <v>77532</v>
      </c>
      <c r="AW36" s="1489">
        <f t="shared" si="29"/>
        <v>311478</v>
      </c>
      <c r="AX36" s="1492">
        <v>4000</v>
      </c>
      <c r="AY36" s="1492">
        <v>144757</v>
      </c>
      <c r="AZ36" s="1489">
        <f t="shared" si="13"/>
        <v>0</v>
      </c>
      <c r="BA36" s="1489"/>
      <c r="BB36" s="1489"/>
      <c r="BC36" s="1489">
        <f t="shared" si="14"/>
        <v>8257640.4900000002</v>
      </c>
      <c r="BD36" s="1495">
        <f>'HK UP KEEP, OP '!AS10</f>
        <v>0</v>
      </c>
      <c r="BE36" s="1488">
        <f>'HK UP KEEP, OP '!AT10</f>
        <v>0</v>
      </c>
      <c r="BG36" s="1551">
        <f t="shared" si="15"/>
        <v>4005820</v>
      </c>
      <c r="BH36" s="1552">
        <f t="shared" si="16"/>
        <v>0</v>
      </c>
      <c r="BI36" s="1552">
        <f t="shared" si="17"/>
        <v>0</v>
      </c>
      <c r="BJ36" s="1551">
        <f t="shared" si="18"/>
        <v>0</v>
      </c>
      <c r="BK36" s="1553">
        <f t="shared" si="26"/>
        <v>4005820</v>
      </c>
      <c r="BL36" s="1553"/>
      <c r="BM36" s="1553">
        <f>X36+AA36+AD36+AE36+AF36+AG36+AH36+AI36+AJ36+AK36+AL36+AM36</f>
        <v>4555911.49</v>
      </c>
      <c r="BN36" s="1551">
        <v>30575.999999999996</v>
      </c>
      <c r="BO36" s="1551">
        <f t="shared" si="19"/>
        <v>565007.64</v>
      </c>
      <c r="BS36" s="1589"/>
      <c r="BT36" s="1589"/>
    </row>
    <row r="37" spans="1:72" ht="23.25" customHeight="1">
      <c r="A37" s="2048" t="s">
        <v>0</v>
      </c>
      <c r="B37" s="2048"/>
      <c r="C37" s="2048"/>
      <c r="D37" s="2048"/>
      <c r="E37" s="2048"/>
      <c r="F37" s="2048"/>
      <c r="G37" s="2048"/>
      <c r="H37" s="2048"/>
      <c r="I37" s="2048"/>
      <c r="J37" s="2048"/>
      <c r="K37" s="2048"/>
      <c r="L37" s="2048"/>
      <c r="M37" s="2048"/>
      <c r="N37" s="2048"/>
      <c r="O37" s="2048"/>
      <c r="P37" s="2048"/>
      <c r="Q37" s="2048"/>
      <c r="R37" s="2048"/>
      <c r="S37" s="2048"/>
      <c r="T37" s="2048"/>
      <c r="U37" s="2048"/>
      <c r="V37" s="2048"/>
      <c r="W37" s="2048"/>
      <c r="X37" s="2048"/>
      <c r="Y37" s="2048"/>
      <c r="Z37" s="2048"/>
      <c r="AA37" s="2048"/>
      <c r="AB37" s="2048"/>
      <c r="AC37" s="2048"/>
      <c r="AD37" s="2048"/>
      <c r="AE37" s="2048"/>
      <c r="AF37" s="2048"/>
      <c r="AG37" s="2048"/>
      <c r="AH37" s="2048"/>
      <c r="AI37" s="2048"/>
      <c r="AJ37" s="2048"/>
      <c r="AK37" s="2048"/>
      <c r="AL37" s="2048"/>
      <c r="AM37" s="2048"/>
      <c r="AN37" s="2048"/>
      <c r="AO37" s="2048"/>
      <c r="AP37" s="2048"/>
      <c r="AQ37" s="2048"/>
      <c r="AR37" s="2048"/>
      <c r="AS37" s="2048"/>
      <c r="AT37" s="2048"/>
      <c r="AU37" s="2048"/>
      <c r="AV37" s="2048"/>
      <c r="AW37" s="2048"/>
      <c r="AX37" s="2048"/>
      <c r="AY37" s="2048"/>
      <c r="AZ37" s="2048"/>
      <c r="BA37" s="2048"/>
      <c r="BB37" s="2048"/>
      <c r="BC37" s="2048"/>
      <c r="BD37" s="2048"/>
      <c r="BE37" s="2048"/>
    </row>
    <row r="38" spans="1:72" ht="26.25" customHeight="1">
      <c r="A38" s="2049" t="s">
        <v>1033</v>
      </c>
      <c r="B38" s="2049"/>
      <c r="C38" s="2049"/>
      <c r="D38" s="2049"/>
      <c r="E38" s="2049"/>
      <c r="F38" s="2049"/>
      <c r="G38" s="2049"/>
      <c r="H38" s="2049"/>
      <c r="I38" s="2049"/>
      <c r="J38" s="2049"/>
      <c r="K38" s="2049"/>
      <c r="L38" s="2049"/>
      <c r="M38" s="2049"/>
      <c r="N38" s="2049"/>
      <c r="O38" s="2049"/>
      <c r="P38" s="2049"/>
      <c r="Q38" s="2049"/>
      <c r="R38" s="2049"/>
      <c r="S38" s="2049"/>
      <c r="T38" s="2049"/>
      <c r="U38" s="2049"/>
      <c r="V38" s="2049"/>
      <c r="W38" s="2049"/>
      <c r="X38" s="2049"/>
      <c r="Y38" s="2049"/>
      <c r="Z38" s="2049"/>
      <c r="AA38" s="2049"/>
      <c r="AB38" s="2049"/>
      <c r="AC38" s="2049"/>
      <c r="AD38" s="2049"/>
      <c r="AE38" s="2049"/>
      <c r="AF38" s="2049"/>
      <c r="AG38" s="2049"/>
      <c r="AH38" s="2049"/>
      <c r="AI38" s="2049"/>
      <c r="AJ38" s="2049"/>
      <c r="AK38" s="2049"/>
      <c r="AL38" s="2049"/>
      <c r="AM38" s="2049"/>
      <c r="AN38" s="2049"/>
      <c r="AO38" s="2049"/>
      <c r="AP38" s="2049"/>
      <c r="AQ38" s="2049"/>
      <c r="AR38" s="2049"/>
      <c r="AS38" s="2049"/>
      <c r="AT38" s="2049"/>
      <c r="AU38" s="2049"/>
      <c r="AV38" s="2049"/>
      <c r="AW38" s="2049"/>
      <c r="AX38" s="2049"/>
      <c r="AY38" s="2049"/>
      <c r="AZ38" s="2049"/>
      <c r="BA38" s="2049"/>
      <c r="BB38" s="2049"/>
      <c r="BC38" s="2049"/>
      <c r="BD38" s="2049"/>
      <c r="BE38" s="2049"/>
    </row>
    <row r="39" spans="1:72" s="1523" customFormat="1" ht="18.75" customHeight="1">
      <c r="C39" s="1554"/>
      <c r="D39" s="1523" t="s">
        <v>964</v>
      </c>
      <c r="F39" s="1555"/>
      <c r="G39" s="1555"/>
      <c r="X39" s="1556"/>
      <c r="AE39" s="1532"/>
      <c r="AK39" s="1557"/>
      <c r="AP39" s="1558">
        <v>3876600</v>
      </c>
      <c r="AQ39" s="1559">
        <f>AP39/30</f>
        <v>129220</v>
      </c>
      <c r="AR39" s="1559">
        <f>AP39/173*1.5</f>
        <v>33612.138728323698</v>
      </c>
      <c r="AS39" s="1559">
        <f>AP39/173*2</f>
        <v>44816.184971098264</v>
      </c>
      <c r="AW39" s="1532" t="s">
        <v>55</v>
      </c>
      <c r="AX39" s="1523" t="s">
        <v>152</v>
      </c>
      <c r="BC39" s="1531"/>
      <c r="BE39" s="1532"/>
      <c r="BG39" s="1555"/>
      <c r="BH39" s="1560"/>
      <c r="BI39" s="1560"/>
      <c r="BJ39" s="1555"/>
      <c r="BK39" s="1561"/>
      <c r="BL39" s="1561"/>
      <c r="BM39" s="1561"/>
      <c r="BN39" s="1555"/>
      <c r="BO39" s="1555"/>
    </row>
    <row r="40" spans="1:72" ht="15" customHeight="1" thickBot="1">
      <c r="A40" s="1547"/>
      <c r="D40" s="1563"/>
      <c r="E40" s="1563"/>
      <c r="F40" s="1564"/>
      <c r="G40" s="1564"/>
      <c r="H40" s="1563"/>
      <c r="I40" s="1563"/>
      <c r="J40" s="1563"/>
      <c r="K40" s="1563"/>
      <c r="L40" s="1563"/>
      <c r="M40" s="1563"/>
      <c r="N40" s="1563"/>
      <c r="O40" s="1563"/>
      <c r="Q40" s="1563"/>
      <c r="R40" s="1563"/>
      <c r="S40" s="1563"/>
      <c r="T40" s="1563"/>
      <c r="U40" s="1563"/>
      <c r="V40" s="1563"/>
      <c r="W40" s="1563"/>
      <c r="X40" s="1563"/>
      <c r="Y40" s="1563"/>
      <c r="Z40" s="1563"/>
      <c r="AA40" s="1563"/>
      <c r="AB40" s="1563"/>
      <c r="AC40" s="1563"/>
      <c r="AD40" s="1547"/>
      <c r="AE40" s="1563"/>
      <c r="AF40" s="1563"/>
      <c r="AG40" s="1563"/>
      <c r="AH40" s="1563"/>
      <c r="AI40" s="1563"/>
      <c r="AJ40" s="1563"/>
      <c r="AK40" s="1565"/>
      <c r="AL40" s="1563"/>
      <c r="AM40" s="1563"/>
      <c r="AO40" s="1563"/>
      <c r="AP40" s="1558">
        <v>3876600</v>
      </c>
      <c r="AQ40" s="1566">
        <f>AP40/30</f>
        <v>129220</v>
      </c>
      <c r="AR40" s="1567"/>
      <c r="AS40" s="1568">
        <f>AP40+24000</f>
        <v>3900600</v>
      </c>
    </row>
    <row r="41" spans="1:72" s="1523" customFormat="1" ht="15.75" customHeight="1">
      <c r="A41" s="2050" t="s">
        <v>5</v>
      </c>
      <c r="B41" s="2053" t="s">
        <v>6</v>
      </c>
      <c r="C41" s="2056" t="s">
        <v>52</v>
      </c>
      <c r="D41" s="1569"/>
      <c r="E41" s="1569"/>
      <c r="F41" s="1570"/>
      <c r="G41" s="1570"/>
      <c r="H41" s="2059" t="s">
        <v>2</v>
      </c>
      <c r="I41" s="2060"/>
      <c r="J41" s="2060"/>
      <c r="K41" s="2060"/>
      <c r="L41" s="2060"/>
      <c r="M41" s="2060"/>
      <c r="N41" s="2060"/>
      <c r="O41" s="2060"/>
      <c r="P41" s="2060"/>
      <c r="Q41" s="2060"/>
      <c r="R41" s="2060"/>
      <c r="S41" s="2060"/>
      <c r="T41" s="2060"/>
      <c r="U41" s="2061"/>
      <c r="V41" s="2056" t="s">
        <v>286</v>
      </c>
      <c r="W41" s="2059" t="s">
        <v>3</v>
      </c>
      <c r="X41" s="2060"/>
      <c r="Y41" s="2060"/>
      <c r="Z41" s="2060"/>
      <c r="AA41" s="2060"/>
      <c r="AB41" s="2060"/>
      <c r="AC41" s="2060"/>
      <c r="AD41" s="2061"/>
      <c r="AE41" s="2042" t="s">
        <v>45</v>
      </c>
      <c r="AF41" s="2063" t="s">
        <v>46</v>
      </c>
      <c r="AG41" s="2064"/>
      <c r="AH41" s="2064"/>
      <c r="AI41" s="2064"/>
      <c r="AJ41" s="2064"/>
      <c r="AK41" s="2064"/>
      <c r="AL41" s="2065"/>
      <c r="AM41" s="2045" t="s">
        <v>98</v>
      </c>
      <c r="AN41" s="2056" t="s">
        <v>44</v>
      </c>
      <c r="AO41" s="1533" t="s">
        <v>4</v>
      </c>
      <c r="AP41" s="2036" t="s">
        <v>20</v>
      </c>
      <c r="AQ41" s="2037"/>
      <c r="AR41" s="2038"/>
      <c r="AS41" s="2036" t="s">
        <v>54</v>
      </c>
      <c r="AT41" s="2037"/>
      <c r="AU41" s="2037"/>
      <c r="AV41" s="2037"/>
      <c r="AW41" s="2037"/>
      <c r="AX41" s="1571"/>
      <c r="AY41" s="2042" t="s">
        <v>89</v>
      </c>
      <c r="AZ41" s="2045" t="s">
        <v>97</v>
      </c>
      <c r="BA41" s="2045" t="s">
        <v>719</v>
      </c>
      <c r="BB41" s="2045" t="s">
        <v>210</v>
      </c>
      <c r="BC41" s="1539" t="s">
        <v>4</v>
      </c>
      <c r="BD41" s="2063" t="s">
        <v>41</v>
      </c>
      <c r="BE41" s="2084"/>
      <c r="BG41" s="1555"/>
      <c r="BH41" s="1560"/>
      <c r="BI41" s="1560"/>
      <c r="BJ41" s="1555"/>
      <c r="BK41" s="1561"/>
      <c r="BL41" s="1561"/>
      <c r="BM41" s="1561"/>
      <c r="BN41" s="1555"/>
      <c r="BO41" s="1555"/>
    </row>
    <row r="42" spans="1:72" s="1523" customFormat="1" ht="25.5" customHeight="1">
      <c r="A42" s="2051"/>
      <c r="B42" s="2054"/>
      <c r="C42" s="2057"/>
      <c r="D42" s="1519" t="s">
        <v>7</v>
      </c>
      <c r="E42" s="1519" t="s">
        <v>8</v>
      </c>
      <c r="F42" s="1572" t="s">
        <v>9</v>
      </c>
      <c r="G42" s="1572" t="s">
        <v>9</v>
      </c>
      <c r="H42" s="2071" t="s">
        <v>10</v>
      </c>
      <c r="I42" s="2072"/>
      <c r="J42" s="2071" t="s">
        <v>11</v>
      </c>
      <c r="K42" s="2072"/>
      <c r="L42" s="2071" t="s">
        <v>12</v>
      </c>
      <c r="M42" s="2072"/>
      <c r="N42" s="2071" t="s">
        <v>13</v>
      </c>
      <c r="O42" s="2072"/>
      <c r="P42" s="2071" t="s">
        <v>14</v>
      </c>
      <c r="Q42" s="2072"/>
      <c r="R42" s="2087" t="s">
        <v>15</v>
      </c>
      <c r="S42" s="2088"/>
      <c r="T42" s="2071" t="s">
        <v>16</v>
      </c>
      <c r="U42" s="2072"/>
      <c r="V42" s="2057"/>
      <c r="W42" s="2071" t="s">
        <v>17</v>
      </c>
      <c r="X42" s="2072"/>
      <c r="Y42" s="2071" t="s">
        <v>18</v>
      </c>
      <c r="Z42" s="2081"/>
      <c r="AA42" s="2072"/>
      <c r="AB42" s="2071" t="s">
        <v>19</v>
      </c>
      <c r="AC42" s="2081"/>
      <c r="AD42" s="2072"/>
      <c r="AE42" s="2043"/>
      <c r="AF42" s="2066"/>
      <c r="AG42" s="2067"/>
      <c r="AH42" s="2067"/>
      <c r="AI42" s="2067"/>
      <c r="AJ42" s="2067"/>
      <c r="AK42" s="2067"/>
      <c r="AL42" s="2068"/>
      <c r="AM42" s="2046"/>
      <c r="AN42" s="2057"/>
      <c r="AO42" s="1534" t="s">
        <v>9</v>
      </c>
      <c r="AP42" s="2039"/>
      <c r="AQ42" s="2040"/>
      <c r="AR42" s="2041"/>
      <c r="AS42" s="2039"/>
      <c r="AT42" s="2040"/>
      <c r="AU42" s="2040"/>
      <c r="AV42" s="2040"/>
      <c r="AW42" s="2040"/>
      <c r="AX42" s="1534" t="s">
        <v>21</v>
      </c>
      <c r="AY42" s="2043"/>
      <c r="AZ42" s="2046"/>
      <c r="BA42" s="2046"/>
      <c r="BB42" s="2046"/>
      <c r="BC42" s="1540" t="s">
        <v>9</v>
      </c>
      <c r="BD42" s="2085"/>
      <c r="BE42" s="2086"/>
      <c r="BG42" s="1573"/>
      <c r="BH42" s="1573"/>
      <c r="BI42" s="1573"/>
      <c r="BJ42" s="1555"/>
      <c r="BK42" s="1561"/>
      <c r="BL42" s="1561"/>
      <c r="BM42" s="1561"/>
      <c r="BN42" s="1555"/>
      <c r="BO42" s="1555"/>
    </row>
    <row r="43" spans="1:72" s="1523" customFormat="1" ht="63" customHeight="1">
      <c r="A43" s="2051"/>
      <c r="B43" s="2054"/>
      <c r="C43" s="2057"/>
      <c r="D43" s="1519" t="s">
        <v>22</v>
      </c>
      <c r="E43" s="1519" t="s">
        <v>23</v>
      </c>
      <c r="F43" s="1572" t="s">
        <v>24</v>
      </c>
      <c r="G43" s="1572" t="s">
        <v>25</v>
      </c>
      <c r="H43" s="2069" t="s">
        <v>4</v>
      </c>
      <c r="I43" s="2070"/>
      <c r="J43" s="2069" t="s">
        <v>4</v>
      </c>
      <c r="K43" s="2070"/>
      <c r="L43" s="2069" t="s">
        <v>4</v>
      </c>
      <c r="M43" s="2070"/>
      <c r="N43" s="2069" t="s">
        <v>4</v>
      </c>
      <c r="O43" s="2070"/>
      <c r="P43" s="2069" t="s">
        <v>4</v>
      </c>
      <c r="Q43" s="2070"/>
      <c r="R43" s="2082" t="s">
        <v>4</v>
      </c>
      <c r="S43" s="2083"/>
      <c r="T43" s="2069" t="s">
        <v>4</v>
      </c>
      <c r="U43" s="2070"/>
      <c r="V43" s="2057"/>
      <c r="W43" s="1534" t="s">
        <v>27</v>
      </c>
      <c r="X43" s="1574" t="s">
        <v>28</v>
      </c>
      <c r="Y43" s="1534" t="s">
        <v>27</v>
      </c>
      <c r="Z43" s="2069" t="s">
        <v>4</v>
      </c>
      <c r="AA43" s="2070"/>
      <c r="AB43" s="1534" t="s">
        <v>27</v>
      </c>
      <c r="AC43" s="2071" t="s">
        <v>4</v>
      </c>
      <c r="AD43" s="2072"/>
      <c r="AE43" s="2062"/>
      <c r="AF43" s="1575" t="s">
        <v>56</v>
      </c>
      <c r="AG43" s="1575" t="s">
        <v>57</v>
      </c>
      <c r="AH43" s="1575" t="s">
        <v>60</v>
      </c>
      <c r="AI43" s="1575" t="s">
        <v>202</v>
      </c>
      <c r="AJ43" s="1575" t="s">
        <v>218</v>
      </c>
      <c r="AK43" s="1575" t="s">
        <v>572</v>
      </c>
      <c r="AL43" s="1575" t="s">
        <v>288</v>
      </c>
      <c r="AM43" s="2089"/>
      <c r="AN43" s="2090"/>
      <c r="AO43" s="1534" t="s">
        <v>29</v>
      </c>
      <c r="AP43" s="1519" t="s">
        <v>30</v>
      </c>
      <c r="AQ43" s="1519" t="s">
        <v>31</v>
      </c>
      <c r="AR43" s="1519" t="s">
        <v>4</v>
      </c>
      <c r="AS43" s="1576" t="s">
        <v>30</v>
      </c>
      <c r="AT43" s="1574" t="s">
        <v>31</v>
      </c>
      <c r="AU43" s="1574" t="s">
        <v>30</v>
      </c>
      <c r="AV43" s="1574" t="s">
        <v>31</v>
      </c>
      <c r="AW43" s="1577" t="s">
        <v>4</v>
      </c>
      <c r="AX43" s="1534" t="s">
        <v>32</v>
      </c>
      <c r="AY43" s="2043"/>
      <c r="AZ43" s="2046"/>
      <c r="BA43" s="2046"/>
      <c r="BB43" s="2046"/>
      <c r="BC43" s="1540" t="s">
        <v>33</v>
      </c>
      <c r="BD43" s="2073" t="s">
        <v>42</v>
      </c>
      <c r="BE43" s="2075" t="s">
        <v>43</v>
      </c>
      <c r="BG43" s="1573"/>
      <c r="BH43" s="1578"/>
      <c r="BI43" s="1578"/>
      <c r="BJ43" s="1555"/>
      <c r="BK43" s="1561"/>
      <c r="BL43" s="1561"/>
      <c r="BM43" s="1561"/>
      <c r="BN43" s="1555"/>
      <c r="BO43" s="1555"/>
    </row>
    <row r="44" spans="1:72" s="1523" customFormat="1" ht="21" customHeight="1" thickBot="1">
      <c r="A44" s="2052"/>
      <c r="B44" s="2055"/>
      <c r="C44" s="2058"/>
      <c r="D44" s="1520"/>
      <c r="E44" s="1520"/>
      <c r="F44" s="1579" t="s">
        <v>34</v>
      </c>
      <c r="G44" s="1580" t="s">
        <v>34</v>
      </c>
      <c r="H44" s="1581" t="s">
        <v>8</v>
      </c>
      <c r="I44" s="1582" t="s">
        <v>34</v>
      </c>
      <c r="J44" s="1581" t="s">
        <v>8</v>
      </c>
      <c r="K44" s="1582" t="s">
        <v>34</v>
      </c>
      <c r="L44" s="1581" t="s">
        <v>8</v>
      </c>
      <c r="M44" s="1582" t="s">
        <v>34</v>
      </c>
      <c r="N44" s="1581" t="s">
        <v>8</v>
      </c>
      <c r="O44" s="1582" t="s">
        <v>34</v>
      </c>
      <c r="P44" s="1581" t="s">
        <v>8</v>
      </c>
      <c r="Q44" s="1582" t="s">
        <v>34</v>
      </c>
      <c r="R44" s="1581" t="s">
        <v>8</v>
      </c>
      <c r="S44" s="1582" t="s">
        <v>34</v>
      </c>
      <c r="T44" s="1581" t="s">
        <v>8</v>
      </c>
      <c r="U44" s="1582" t="s">
        <v>34</v>
      </c>
      <c r="V44" s="2058"/>
      <c r="W44" s="1581" t="s">
        <v>26</v>
      </c>
      <c r="X44" s="1581" t="s">
        <v>34</v>
      </c>
      <c r="Y44" s="1581" t="s">
        <v>26</v>
      </c>
      <c r="Z44" s="1581" t="s">
        <v>26</v>
      </c>
      <c r="AA44" s="1581" t="s">
        <v>34</v>
      </c>
      <c r="AB44" s="1581" t="s">
        <v>26</v>
      </c>
      <c r="AC44" s="1581" t="s">
        <v>35</v>
      </c>
      <c r="AD44" s="1581" t="s">
        <v>34</v>
      </c>
      <c r="AE44" s="1581" t="s">
        <v>34</v>
      </c>
      <c r="AF44" s="1582" t="s">
        <v>34</v>
      </c>
      <c r="AG44" s="1582" t="s">
        <v>34</v>
      </c>
      <c r="AH44" s="1582" t="s">
        <v>34</v>
      </c>
      <c r="AI44" s="1582" t="s">
        <v>34</v>
      </c>
      <c r="AJ44" s="1582" t="s">
        <v>34</v>
      </c>
      <c r="AK44" s="1582" t="s">
        <v>34</v>
      </c>
      <c r="AL44" s="1582" t="s">
        <v>34</v>
      </c>
      <c r="AM44" s="1582" t="s">
        <v>34</v>
      </c>
      <c r="AN44" s="1581" t="s">
        <v>34</v>
      </c>
      <c r="AO44" s="1582" t="s">
        <v>34</v>
      </c>
      <c r="AP44" s="1582" t="s">
        <v>34</v>
      </c>
      <c r="AQ44" s="1582" t="s">
        <v>34</v>
      </c>
      <c r="AR44" s="1582" t="s">
        <v>34</v>
      </c>
      <c r="AS44" s="1581" t="s">
        <v>58</v>
      </c>
      <c r="AT44" s="1582" t="s">
        <v>34</v>
      </c>
      <c r="AU44" s="1582" t="s">
        <v>59</v>
      </c>
      <c r="AV44" s="1582" t="s">
        <v>34</v>
      </c>
      <c r="AW44" s="1583" t="s">
        <v>34</v>
      </c>
      <c r="AX44" s="1537"/>
      <c r="AY44" s="2044"/>
      <c r="AZ44" s="2047"/>
      <c r="BA44" s="2047"/>
      <c r="BB44" s="2047"/>
      <c r="BC44" s="1541" t="s">
        <v>34</v>
      </c>
      <c r="BD44" s="2074"/>
      <c r="BE44" s="2076"/>
      <c r="BG44" s="1555" t="s">
        <v>353</v>
      </c>
      <c r="BH44" s="1578" t="s">
        <v>43</v>
      </c>
      <c r="BI44" s="1578" t="s">
        <v>42</v>
      </c>
      <c r="BJ44" s="1555" t="s">
        <v>354</v>
      </c>
      <c r="BK44" s="1561" t="s">
        <v>358</v>
      </c>
      <c r="BL44" s="1561"/>
      <c r="BM44" s="1561" t="s">
        <v>625</v>
      </c>
      <c r="BN44" s="1555" t="s">
        <v>626</v>
      </c>
      <c r="BO44" s="1555" t="s">
        <v>627</v>
      </c>
      <c r="BQ44" s="1523" t="s">
        <v>685</v>
      </c>
    </row>
    <row r="45" spans="1:72" s="1587" customFormat="1" ht="102" customHeight="1" thickBot="1">
      <c r="A45" s="1584" t="s">
        <v>66</v>
      </c>
      <c r="B45" s="1489" t="s">
        <v>37</v>
      </c>
      <c r="C45" s="1585" t="s">
        <v>639</v>
      </c>
      <c r="D45" s="1586" t="s">
        <v>628</v>
      </c>
      <c r="E45" s="1489">
        <f>'HK UP KEEP, OP '!AH11</f>
        <v>13</v>
      </c>
      <c r="F45" s="1490">
        <v>129220</v>
      </c>
      <c r="G45" s="1490">
        <f t="shared" si="0"/>
        <v>1679860</v>
      </c>
      <c r="H45" s="1489">
        <f>'HK UP KEEP, OP '!AI11</f>
        <v>0</v>
      </c>
      <c r="I45" s="1489">
        <f t="shared" si="1"/>
        <v>0</v>
      </c>
      <c r="J45" s="1489">
        <f>'HK UP KEEP, OP '!AJ11</f>
        <v>11</v>
      </c>
      <c r="K45" s="1489">
        <f t="shared" si="2"/>
        <v>1421420</v>
      </c>
      <c r="L45" s="1489">
        <f>'HK UP KEEP, OP '!AK11</f>
        <v>0</v>
      </c>
      <c r="M45" s="1489">
        <f t="shared" si="3"/>
        <v>0</v>
      </c>
      <c r="N45" s="1489">
        <f>'HK UP KEEP, OP '!AL11</f>
        <v>4</v>
      </c>
      <c r="O45" s="1489">
        <f t="shared" si="4"/>
        <v>516880</v>
      </c>
      <c r="P45" s="1489">
        <f>'HK UP KEEP, OP '!AM11</f>
        <v>3</v>
      </c>
      <c r="Q45" s="1489">
        <f t="shared" si="5"/>
        <v>387660</v>
      </c>
      <c r="R45" s="1489">
        <f>'HK UP KEEP, OP '!AN11</f>
        <v>0</v>
      </c>
      <c r="S45" s="1489">
        <f t="shared" si="6"/>
        <v>0</v>
      </c>
      <c r="T45" s="1489">
        <f>'HK UP KEEP, OP '!AO11+'HK UP KEEP, OP '!AP11+'HK UP KEEP, OP '!AQ11</f>
        <v>0</v>
      </c>
      <c r="U45" s="1489">
        <f t="shared" si="7"/>
        <v>0</v>
      </c>
      <c r="V45" s="1489">
        <f t="shared" si="8"/>
        <v>31</v>
      </c>
      <c r="W45" s="1491">
        <v>2250</v>
      </c>
      <c r="X45" s="1489">
        <f t="shared" si="9"/>
        <v>69750</v>
      </c>
      <c r="Y45" s="1489">
        <v>2500</v>
      </c>
      <c r="Z45" s="1489">
        <f>E45</f>
        <v>13</v>
      </c>
      <c r="AA45" s="1492">
        <f t="shared" si="27"/>
        <v>32500</v>
      </c>
      <c r="AB45" s="1489">
        <v>2500</v>
      </c>
      <c r="AC45" s="1489">
        <f>'MASA KERJA AB'!H12</f>
        <v>15</v>
      </c>
      <c r="AD45" s="1492">
        <f>'MASA KERJA AB'!I12</f>
        <v>43500</v>
      </c>
      <c r="AE45" s="1491">
        <f>'LEMBUR DAN PREMI UPKEEP'!AJ12</f>
        <v>627426.54</v>
      </c>
      <c r="AF45" s="1489"/>
      <c r="AG45" s="1489"/>
      <c r="AH45" s="1489"/>
      <c r="AI45" s="1489"/>
      <c r="AJ45" s="1489"/>
      <c r="AK45" s="1493"/>
      <c r="AL45" s="1489"/>
      <c r="AM45" s="1489"/>
      <c r="AN45" s="1489"/>
      <c r="AO45" s="1494">
        <f t="shared" si="10"/>
        <v>4778996.54</v>
      </c>
      <c r="AP45" s="1489">
        <f t="shared" si="20"/>
        <v>77532</v>
      </c>
      <c r="AQ45" s="1489">
        <f t="shared" si="21"/>
        <v>175997.64</v>
      </c>
      <c r="AR45" s="1489">
        <f t="shared" si="28"/>
        <v>253529.64</v>
      </c>
      <c r="AS45" s="1489">
        <f t="shared" si="22"/>
        <v>39201</v>
      </c>
      <c r="AT45" s="1489">
        <f t="shared" si="23"/>
        <v>156804</v>
      </c>
      <c r="AU45" s="1489">
        <f t="shared" si="24"/>
        <v>38766</v>
      </c>
      <c r="AV45" s="1489">
        <f t="shared" si="25"/>
        <v>77532</v>
      </c>
      <c r="AW45" s="1489">
        <f t="shared" si="29"/>
        <v>312303</v>
      </c>
      <c r="AX45" s="1492">
        <v>4000</v>
      </c>
      <c r="AY45" s="1492">
        <v>13921</v>
      </c>
      <c r="AZ45" s="1489">
        <f t="shared" si="13"/>
        <v>0</v>
      </c>
      <c r="BA45" s="1489"/>
      <c r="BB45" s="1489"/>
      <c r="BC45" s="1489">
        <f t="shared" si="14"/>
        <v>4605576.54</v>
      </c>
      <c r="BD45" s="1495">
        <f>'HK UP KEEP, OP '!AS11</f>
        <v>0</v>
      </c>
      <c r="BE45" s="1488">
        <f>'HK UP KEEP, OP '!AT11</f>
        <v>0</v>
      </c>
      <c r="BG45" s="1551">
        <f t="shared" si="15"/>
        <v>4005820</v>
      </c>
      <c r="BH45" s="1552">
        <f t="shared" si="16"/>
        <v>0</v>
      </c>
      <c r="BI45" s="1552">
        <f t="shared" si="17"/>
        <v>0</v>
      </c>
      <c r="BJ45" s="1551">
        <f t="shared" si="18"/>
        <v>0</v>
      </c>
      <c r="BK45" s="1553">
        <f t="shared" si="26"/>
        <v>4005820</v>
      </c>
      <c r="BL45" s="1553"/>
      <c r="BM45" s="1553"/>
      <c r="BN45" s="1551"/>
      <c r="BO45" s="1551">
        <f t="shared" si="19"/>
        <v>565832.64</v>
      </c>
      <c r="BS45" s="1589"/>
      <c r="BT45" s="1589"/>
    </row>
    <row r="46" spans="1:72" ht="23.25" customHeight="1">
      <c r="A46" s="2048" t="s">
        <v>0</v>
      </c>
      <c r="B46" s="2048"/>
      <c r="C46" s="2048"/>
      <c r="D46" s="2048"/>
      <c r="E46" s="2048"/>
      <c r="F46" s="2048"/>
      <c r="G46" s="2048"/>
      <c r="H46" s="2048"/>
      <c r="I46" s="2048"/>
      <c r="J46" s="2048"/>
      <c r="K46" s="2048"/>
      <c r="L46" s="2048"/>
      <c r="M46" s="2048"/>
      <c r="N46" s="2048"/>
      <c r="O46" s="2048"/>
      <c r="P46" s="2048"/>
      <c r="Q46" s="2048"/>
      <c r="R46" s="2048"/>
      <c r="S46" s="2048"/>
      <c r="T46" s="2048"/>
      <c r="U46" s="2048"/>
      <c r="V46" s="2048"/>
      <c r="W46" s="2048"/>
      <c r="X46" s="2048"/>
      <c r="Y46" s="2048"/>
      <c r="Z46" s="2048"/>
      <c r="AA46" s="2048"/>
      <c r="AB46" s="2048"/>
      <c r="AC46" s="2048"/>
      <c r="AD46" s="2048"/>
      <c r="AE46" s="2048"/>
      <c r="AF46" s="2048"/>
      <c r="AG46" s="2048"/>
      <c r="AH46" s="2048"/>
      <c r="AI46" s="2048"/>
      <c r="AJ46" s="2048"/>
      <c r="AK46" s="2048"/>
      <c r="AL46" s="2048"/>
      <c r="AM46" s="2048"/>
      <c r="AN46" s="2048"/>
      <c r="AO46" s="2048"/>
      <c r="AP46" s="2048"/>
      <c r="AQ46" s="2048"/>
      <c r="AR46" s="2048"/>
      <c r="AS46" s="2048"/>
      <c r="AT46" s="2048"/>
      <c r="AU46" s="2048"/>
      <c r="AV46" s="2048"/>
      <c r="AW46" s="2048"/>
      <c r="AX46" s="2048"/>
      <c r="AY46" s="2048"/>
      <c r="AZ46" s="2048"/>
      <c r="BA46" s="2048"/>
      <c r="BB46" s="2048"/>
      <c r="BC46" s="2048"/>
      <c r="BD46" s="2048"/>
      <c r="BE46" s="2048"/>
    </row>
    <row r="47" spans="1:72" ht="26.25" customHeight="1">
      <c r="A47" s="2049" t="s">
        <v>1033</v>
      </c>
      <c r="B47" s="2049"/>
      <c r="C47" s="2049"/>
      <c r="D47" s="2049"/>
      <c r="E47" s="2049"/>
      <c r="F47" s="2049"/>
      <c r="G47" s="2049"/>
      <c r="H47" s="2049"/>
      <c r="I47" s="2049"/>
      <c r="J47" s="2049"/>
      <c r="K47" s="2049"/>
      <c r="L47" s="2049"/>
      <c r="M47" s="2049"/>
      <c r="N47" s="2049"/>
      <c r="O47" s="2049"/>
      <c r="P47" s="2049"/>
      <c r="Q47" s="2049"/>
      <c r="R47" s="2049"/>
      <c r="S47" s="2049"/>
      <c r="T47" s="2049"/>
      <c r="U47" s="2049"/>
      <c r="V47" s="2049"/>
      <c r="W47" s="2049"/>
      <c r="X47" s="2049"/>
      <c r="Y47" s="2049"/>
      <c r="Z47" s="2049"/>
      <c r="AA47" s="2049"/>
      <c r="AB47" s="2049"/>
      <c r="AC47" s="2049"/>
      <c r="AD47" s="2049"/>
      <c r="AE47" s="2049"/>
      <c r="AF47" s="2049"/>
      <c r="AG47" s="2049"/>
      <c r="AH47" s="2049"/>
      <c r="AI47" s="2049"/>
      <c r="AJ47" s="2049"/>
      <c r="AK47" s="2049"/>
      <c r="AL47" s="2049"/>
      <c r="AM47" s="2049"/>
      <c r="AN47" s="2049"/>
      <c r="AO47" s="2049"/>
      <c r="AP47" s="2049"/>
      <c r="AQ47" s="2049"/>
      <c r="AR47" s="2049"/>
      <c r="AS47" s="2049"/>
      <c r="AT47" s="2049"/>
      <c r="AU47" s="2049"/>
      <c r="AV47" s="2049"/>
      <c r="AW47" s="2049"/>
      <c r="AX47" s="2049"/>
      <c r="AY47" s="2049"/>
      <c r="AZ47" s="2049"/>
      <c r="BA47" s="2049"/>
      <c r="BB47" s="2049"/>
      <c r="BC47" s="2049"/>
      <c r="BD47" s="2049"/>
      <c r="BE47" s="2049"/>
    </row>
    <row r="48" spans="1:72" s="1523" customFormat="1" ht="18.75" customHeight="1">
      <c r="C48" s="1554"/>
      <c r="D48" s="1523" t="s">
        <v>964</v>
      </c>
      <c r="F48" s="1555"/>
      <c r="G48" s="1555"/>
      <c r="X48" s="1556"/>
      <c r="AE48" s="1532"/>
      <c r="AK48" s="1557"/>
      <c r="AP48" s="1558">
        <v>3876600</v>
      </c>
      <c r="AQ48" s="1559">
        <f>AP48/30</f>
        <v>129220</v>
      </c>
      <c r="AR48" s="1559">
        <f>AP48/173*1.5</f>
        <v>33612.138728323698</v>
      </c>
      <c r="AS48" s="1559">
        <f>AP48/173*2</f>
        <v>44816.184971098264</v>
      </c>
      <c r="AW48" s="1532" t="s">
        <v>55</v>
      </c>
      <c r="AX48" s="1523" t="s">
        <v>152</v>
      </c>
      <c r="BC48" s="1531"/>
      <c r="BE48" s="1532"/>
      <c r="BG48" s="1555"/>
      <c r="BH48" s="1560"/>
      <c r="BI48" s="1560"/>
      <c r="BJ48" s="1555"/>
      <c r="BK48" s="1561"/>
      <c r="BL48" s="1561"/>
      <c r="BM48" s="1561"/>
      <c r="BN48" s="1555"/>
      <c r="BO48" s="1555"/>
    </row>
    <row r="49" spans="1:69" ht="15" customHeight="1" thickBot="1">
      <c r="A49" s="1547"/>
      <c r="D49" s="1563"/>
      <c r="E49" s="1563"/>
      <c r="F49" s="1564"/>
      <c r="G49" s="1564"/>
      <c r="H49" s="1563"/>
      <c r="I49" s="1563"/>
      <c r="J49" s="1563"/>
      <c r="K49" s="1563"/>
      <c r="L49" s="1563"/>
      <c r="M49" s="1563"/>
      <c r="N49" s="1563"/>
      <c r="O49" s="1563"/>
      <c r="Q49" s="1563"/>
      <c r="R49" s="1563"/>
      <c r="S49" s="1563"/>
      <c r="T49" s="1563"/>
      <c r="U49" s="1563"/>
      <c r="V49" s="1563"/>
      <c r="W49" s="1563"/>
      <c r="X49" s="1563"/>
      <c r="Y49" s="1563"/>
      <c r="Z49" s="1563"/>
      <c r="AA49" s="1563"/>
      <c r="AB49" s="1563"/>
      <c r="AC49" s="1563"/>
      <c r="AD49" s="1547"/>
      <c r="AE49" s="1563"/>
      <c r="AF49" s="1563"/>
      <c r="AG49" s="1563"/>
      <c r="AH49" s="1563"/>
      <c r="AI49" s="1563"/>
      <c r="AJ49" s="1563"/>
      <c r="AK49" s="1565"/>
      <c r="AL49" s="1563"/>
      <c r="AM49" s="1563"/>
      <c r="AO49" s="1563"/>
      <c r="AP49" s="1558">
        <v>3876600</v>
      </c>
      <c r="AQ49" s="1566">
        <f>AP49/30</f>
        <v>129220</v>
      </c>
      <c r="AR49" s="1567"/>
      <c r="AS49" s="1568">
        <f>AP49+24000</f>
        <v>3900600</v>
      </c>
    </row>
    <row r="50" spans="1:69" s="1523" customFormat="1" ht="15.75" customHeight="1">
      <c r="A50" s="2050" t="s">
        <v>5</v>
      </c>
      <c r="B50" s="2053" t="s">
        <v>6</v>
      </c>
      <c r="C50" s="2056" t="s">
        <v>52</v>
      </c>
      <c r="D50" s="1569"/>
      <c r="E50" s="1569"/>
      <c r="F50" s="1570"/>
      <c r="G50" s="1570"/>
      <c r="H50" s="2059" t="s">
        <v>2</v>
      </c>
      <c r="I50" s="2060"/>
      <c r="J50" s="2060"/>
      <c r="K50" s="2060"/>
      <c r="L50" s="2060"/>
      <c r="M50" s="2060"/>
      <c r="N50" s="2060"/>
      <c r="O50" s="2060"/>
      <c r="P50" s="2060"/>
      <c r="Q50" s="2060"/>
      <c r="R50" s="2060"/>
      <c r="S50" s="2060"/>
      <c r="T50" s="2060"/>
      <c r="U50" s="2061"/>
      <c r="V50" s="2056" t="s">
        <v>286</v>
      </c>
      <c r="W50" s="2059" t="s">
        <v>3</v>
      </c>
      <c r="X50" s="2060"/>
      <c r="Y50" s="2060"/>
      <c r="Z50" s="2060"/>
      <c r="AA50" s="2060"/>
      <c r="AB50" s="2060"/>
      <c r="AC50" s="2060"/>
      <c r="AD50" s="2061"/>
      <c r="AE50" s="2042" t="s">
        <v>45</v>
      </c>
      <c r="AF50" s="2063" t="s">
        <v>46</v>
      </c>
      <c r="AG50" s="2064"/>
      <c r="AH50" s="2064"/>
      <c r="AI50" s="2064"/>
      <c r="AJ50" s="2064"/>
      <c r="AK50" s="2064"/>
      <c r="AL50" s="2065"/>
      <c r="AM50" s="2045" t="s">
        <v>98</v>
      </c>
      <c r="AN50" s="2056" t="s">
        <v>44</v>
      </c>
      <c r="AO50" s="1533" t="s">
        <v>4</v>
      </c>
      <c r="AP50" s="2036" t="s">
        <v>20</v>
      </c>
      <c r="AQ50" s="2037"/>
      <c r="AR50" s="2038"/>
      <c r="AS50" s="2036" t="s">
        <v>54</v>
      </c>
      <c r="AT50" s="2037"/>
      <c r="AU50" s="2037"/>
      <c r="AV50" s="2037"/>
      <c r="AW50" s="2037"/>
      <c r="AX50" s="1571"/>
      <c r="AY50" s="2042" t="s">
        <v>89</v>
      </c>
      <c r="AZ50" s="2045" t="s">
        <v>97</v>
      </c>
      <c r="BA50" s="2045" t="s">
        <v>719</v>
      </c>
      <c r="BB50" s="2045" t="s">
        <v>210</v>
      </c>
      <c r="BC50" s="1539" t="s">
        <v>4</v>
      </c>
      <c r="BD50" s="2063" t="s">
        <v>41</v>
      </c>
      <c r="BE50" s="2084"/>
      <c r="BG50" s="1555"/>
      <c r="BH50" s="1560"/>
      <c r="BI50" s="1560"/>
      <c r="BJ50" s="1555"/>
      <c r="BK50" s="1561"/>
      <c r="BL50" s="1561"/>
      <c r="BM50" s="1561"/>
      <c r="BN50" s="1555"/>
      <c r="BO50" s="1555"/>
    </row>
    <row r="51" spans="1:69" s="1523" customFormat="1" ht="25.5" customHeight="1">
      <c r="A51" s="2051"/>
      <c r="B51" s="2054"/>
      <c r="C51" s="2057"/>
      <c r="D51" s="1519" t="s">
        <v>7</v>
      </c>
      <c r="E51" s="1519" t="s">
        <v>8</v>
      </c>
      <c r="F51" s="1572" t="s">
        <v>9</v>
      </c>
      <c r="G51" s="1572" t="s">
        <v>9</v>
      </c>
      <c r="H51" s="2071" t="s">
        <v>10</v>
      </c>
      <c r="I51" s="2072"/>
      <c r="J51" s="2071" t="s">
        <v>11</v>
      </c>
      <c r="K51" s="2072"/>
      <c r="L51" s="2071" t="s">
        <v>12</v>
      </c>
      <c r="M51" s="2072"/>
      <c r="N51" s="2071" t="s">
        <v>13</v>
      </c>
      <c r="O51" s="2072"/>
      <c r="P51" s="2071" t="s">
        <v>14</v>
      </c>
      <c r="Q51" s="2072"/>
      <c r="R51" s="2087" t="s">
        <v>15</v>
      </c>
      <c r="S51" s="2088"/>
      <c r="T51" s="2071" t="s">
        <v>16</v>
      </c>
      <c r="U51" s="2072"/>
      <c r="V51" s="2057"/>
      <c r="W51" s="2071" t="s">
        <v>17</v>
      </c>
      <c r="X51" s="2072"/>
      <c r="Y51" s="2071" t="s">
        <v>18</v>
      </c>
      <c r="Z51" s="2081"/>
      <c r="AA51" s="2072"/>
      <c r="AB51" s="2071" t="s">
        <v>19</v>
      </c>
      <c r="AC51" s="2081"/>
      <c r="AD51" s="2072"/>
      <c r="AE51" s="2043"/>
      <c r="AF51" s="2066"/>
      <c r="AG51" s="2067"/>
      <c r="AH51" s="2067"/>
      <c r="AI51" s="2067"/>
      <c r="AJ51" s="2067"/>
      <c r="AK51" s="2067"/>
      <c r="AL51" s="2068"/>
      <c r="AM51" s="2046"/>
      <c r="AN51" s="2057"/>
      <c r="AO51" s="1534" t="s">
        <v>9</v>
      </c>
      <c r="AP51" s="2039"/>
      <c r="AQ51" s="2040"/>
      <c r="AR51" s="2041"/>
      <c r="AS51" s="2039"/>
      <c r="AT51" s="2040"/>
      <c r="AU51" s="2040"/>
      <c r="AV51" s="2040"/>
      <c r="AW51" s="2040"/>
      <c r="AX51" s="1534" t="s">
        <v>21</v>
      </c>
      <c r="AY51" s="2043"/>
      <c r="AZ51" s="2046"/>
      <c r="BA51" s="2046"/>
      <c r="BB51" s="2046"/>
      <c r="BC51" s="1540" t="s">
        <v>9</v>
      </c>
      <c r="BD51" s="2085"/>
      <c r="BE51" s="2086"/>
      <c r="BG51" s="1573"/>
      <c r="BH51" s="1573"/>
      <c r="BI51" s="1573"/>
      <c r="BJ51" s="1555"/>
      <c r="BK51" s="1561"/>
      <c r="BL51" s="1561"/>
      <c r="BM51" s="1561"/>
      <c r="BN51" s="1555"/>
      <c r="BO51" s="1555"/>
    </row>
    <row r="52" spans="1:69" s="1523" customFormat="1" ht="63" customHeight="1">
      <c r="A52" s="2051"/>
      <c r="B52" s="2054"/>
      <c r="C52" s="2057"/>
      <c r="D52" s="1519" t="s">
        <v>22</v>
      </c>
      <c r="E52" s="1519" t="s">
        <v>23</v>
      </c>
      <c r="F52" s="1572" t="s">
        <v>24</v>
      </c>
      <c r="G52" s="1572" t="s">
        <v>25</v>
      </c>
      <c r="H52" s="2069" t="s">
        <v>4</v>
      </c>
      <c r="I52" s="2070"/>
      <c r="J52" s="2069" t="s">
        <v>4</v>
      </c>
      <c r="K52" s="2070"/>
      <c r="L52" s="2069" t="s">
        <v>4</v>
      </c>
      <c r="M52" s="2070"/>
      <c r="N52" s="2069" t="s">
        <v>4</v>
      </c>
      <c r="O52" s="2070"/>
      <c r="P52" s="2069" t="s">
        <v>4</v>
      </c>
      <c r="Q52" s="2070"/>
      <c r="R52" s="2082" t="s">
        <v>4</v>
      </c>
      <c r="S52" s="2083"/>
      <c r="T52" s="2069" t="s">
        <v>4</v>
      </c>
      <c r="U52" s="2070"/>
      <c r="V52" s="2057"/>
      <c r="W52" s="1534" t="s">
        <v>27</v>
      </c>
      <c r="X52" s="1574" t="s">
        <v>28</v>
      </c>
      <c r="Y52" s="1534" t="s">
        <v>27</v>
      </c>
      <c r="Z52" s="2069" t="s">
        <v>4</v>
      </c>
      <c r="AA52" s="2070"/>
      <c r="AB52" s="1534" t="s">
        <v>27</v>
      </c>
      <c r="AC52" s="2071" t="s">
        <v>4</v>
      </c>
      <c r="AD52" s="2072"/>
      <c r="AE52" s="2062"/>
      <c r="AF52" s="1575" t="s">
        <v>56</v>
      </c>
      <c r="AG52" s="1575" t="s">
        <v>57</v>
      </c>
      <c r="AH52" s="1575" t="s">
        <v>60</v>
      </c>
      <c r="AI52" s="1575" t="s">
        <v>202</v>
      </c>
      <c r="AJ52" s="1575" t="s">
        <v>218</v>
      </c>
      <c r="AK52" s="1575" t="s">
        <v>572</v>
      </c>
      <c r="AL52" s="1575" t="s">
        <v>288</v>
      </c>
      <c r="AM52" s="2089"/>
      <c r="AN52" s="2090"/>
      <c r="AO52" s="1534" t="s">
        <v>29</v>
      </c>
      <c r="AP52" s="1519" t="s">
        <v>30</v>
      </c>
      <c r="AQ52" s="1519" t="s">
        <v>31</v>
      </c>
      <c r="AR52" s="1519" t="s">
        <v>4</v>
      </c>
      <c r="AS52" s="1576" t="s">
        <v>30</v>
      </c>
      <c r="AT52" s="1574" t="s">
        <v>31</v>
      </c>
      <c r="AU52" s="1574" t="s">
        <v>30</v>
      </c>
      <c r="AV52" s="1574" t="s">
        <v>31</v>
      </c>
      <c r="AW52" s="1577" t="s">
        <v>4</v>
      </c>
      <c r="AX52" s="1534" t="s">
        <v>32</v>
      </c>
      <c r="AY52" s="2043"/>
      <c r="AZ52" s="2046"/>
      <c r="BA52" s="2046"/>
      <c r="BB52" s="2046"/>
      <c r="BC52" s="1540" t="s">
        <v>33</v>
      </c>
      <c r="BD52" s="2073" t="s">
        <v>42</v>
      </c>
      <c r="BE52" s="2075" t="s">
        <v>43</v>
      </c>
      <c r="BG52" s="1573"/>
      <c r="BH52" s="1578"/>
      <c r="BI52" s="1578"/>
      <c r="BJ52" s="1555"/>
      <c r="BK52" s="1561"/>
      <c r="BL52" s="1561"/>
      <c r="BM52" s="1561"/>
      <c r="BN52" s="1555"/>
      <c r="BO52" s="1555"/>
    </row>
    <row r="53" spans="1:69" s="1523" customFormat="1" ht="21" customHeight="1" thickBot="1">
      <c r="A53" s="2052"/>
      <c r="B53" s="2055"/>
      <c r="C53" s="2058"/>
      <c r="D53" s="1520"/>
      <c r="E53" s="1520"/>
      <c r="F53" s="1579" t="s">
        <v>34</v>
      </c>
      <c r="G53" s="1580" t="s">
        <v>34</v>
      </c>
      <c r="H53" s="1581" t="s">
        <v>8</v>
      </c>
      <c r="I53" s="1582" t="s">
        <v>34</v>
      </c>
      <c r="J53" s="1581" t="s">
        <v>8</v>
      </c>
      <c r="K53" s="1582" t="s">
        <v>34</v>
      </c>
      <c r="L53" s="1581" t="s">
        <v>8</v>
      </c>
      <c r="M53" s="1582" t="s">
        <v>34</v>
      </c>
      <c r="N53" s="1581" t="s">
        <v>8</v>
      </c>
      <c r="O53" s="1582" t="s">
        <v>34</v>
      </c>
      <c r="P53" s="1581" t="s">
        <v>8</v>
      </c>
      <c r="Q53" s="1582" t="s">
        <v>34</v>
      </c>
      <c r="R53" s="1581" t="s">
        <v>8</v>
      </c>
      <c r="S53" s="1582" t="s">
        <v>34</v>
      </c>
      <c r="T53" s="1581" t="s">
        <v>8</v>
      </c>
      <c r="U53" s="1582" t="s">
        <v>34</v>
      </c>
      <c r="V53" s="2058"/>
      <c r="W53" s="1581" t="s">
        <v>26</v>
      </c>
      <c r="X53" s="1581" t="s">
        <v>34</v>
      </c>
      <c r="Y53" s="1581" t="s">
        <v>26</v>
      </c>
      <c r="Z53" s="1581" t="s">
        <v>26</v>
      </c>
      <c r="AA53" s="1581" t="s">
        <v>34</v>
      </c>
      <c r="AB53" s="1581" t="s">
        <v>26</v>
      </c>
      <c r="AC53" s="1581" t="s">
        <v>35</v>
      </c>
      <c r="AD53" s="1581" t="s">
        <v>34</v>
      </c>
      <c r="AE53" s="1581" t="s">
        <v>34</v>
      </c>
      <c r="AF53" s="1582" t="s">
        <v>34</v>
      </c>
      <c r="AG53" s="1582" t="s">
        <v>34</v>
      </c>
      <c r="AH53" s="1582" t="s">
        <v>34</v>
      </c>
      <c r="AI53" s="1582" t="s">
        <v>34</v>
      </c>
      <c r="AJ53" s="1582" t="s">
        <v>34</v>
      </c>
      <c r="AK53" s="1582" t="s">
        <v>34</v>
      </c>
      <c r="AL53" s="1582" t="s">
        <v>34</v>
      </c>
      <c r="AM53" s="1582" t="s">
        <v>34</v>
      </c>
      <c r="AN53" s="1581" t="s">
        <v>34</v>
      </c>
      <c r="AO53" s="1582" t="s">
        <v>34</v>
      </c>
      <c r="AP53" s="1582" t="s">
        <v>34</v>
      </c>
      <c r="AQ53" s="1582" t="s">
        <v>34</v>
      </c>
      <c r="AR53" s="1582" t="s">
        <v>34</v>
      </c>
      <c r="AS53" s="1581" t="s">
        <v>58</v>
      </c>
      <c r="AT53" s="1582" t="s">
        <v>34</v>
      </c>
      <c r="AU53" s="1582" t="s">
        <v>59</v>
      </c>
      <c r="AV53" s="1582" t="s">
        <v>34</v>
      </c>
      <c r="AW53" s="1583" t="s">
        <v>34</v>
      </c>
      <c r="AX53" s="1537"/>
      <c r="AY53" s="2044"/>
      <c r="AZ53" s="2047"/>
      <c r="BA53" s="2047"/>
      <c r="BB53" s="2047"/>
      <c r="BC53" s="1541" t="s">
        <v>34</v>
      </c>
      <c r="BD53" s="2074"/>
      <c r="BE53" s="2076"/>
      <c r="BG53" s="1555" t="s">
        <v>353</v>
      </c>
      <c r="BH53" s="1578" t="s">
        <v>43</v>
      </c>
      <c r="BI53" s="1578" t="s">
        <v>42</v>
      </c>
      <c r="BJ53" s="1555" t="s">
        <v>354</v>
      </c>
      <c r="BK53" s="1561" t="s">
        <v>358</v>
      </c>
      <c r="BL53" s="1561"/>
      <c r="BM53" s="1561" t="s">
        <v>625</v>
      </c>
      <c r="BN53" s="1555" t="s">
        <v>626</v>
      </c>
      <c r="BO53" s="1555" t="s">
        <v>627</v>
      </c>
      <c r="BQ53" s="1523" t="s">
        <v>685</v>
      </c>
    </row>
    <row r="54" spans="1:69" ht="102" customHeight="1" thickBot="1">
      <c r="A54" s="1584" t="s">
        <v>67</v>
      </c>
      <c r="B54" s="1489" t="s">
        <v>36</v>
      </c>
      <c r="C54" s="1585" t="s">
        <v>199</v>
      </c>
      <c r="D54" s="1586" t="s">
        <v>198</v>
      </c>
      <c r="E54" s="1489">
        <f>'HK UP KEEP, OP '!AH12</f>
        <v>24</v>
      </c>
      <c r="F54" s="1490">
        <v>129220</v>
      </c>
      <c r="G54" s="1490">
        <f t="shared" si="0"/>
        <v>3101280</v>
      </c>
      <c r="H54" s="1489">
        <f>'HK UP KEEP, OP '!AI12</f>
        <v>0</v>
      </c>
      <c r="I54" s="1489">
        <f t="shared" si="1"/>
        <v>0</v>
      </c>
      <c r="J54" s="1489">
        <f>'HK UP KEEP, OP '!AJ12</f>
        <v>0</v>
      </c>
      <c r="K54" s="1489">
        <f t="shared" si="2"/>
        <v>0</v>
      </c>
      <c r="L54" s="1489">
        <f>'HK UP KEEP, OP '!AK12</f>
        <v>0</v>
      </c>
      <c r="M54" s="1489">
        <f t="shared" si="3"/>
        <v>0</v>
      </c>
      <c r="N54" s="1489">
        <f>'HK UP KEEP, OP '!AL12</f>
        <v>4</v>
      </c>
      <c r="O54" s="1489">
        <f t="shared" si="4"/>
        <v>516880</v>
      </c>
      <c r="P54" s="1489">
        <f>'HK UP KEEP, OP '!AM12</f>
        <v>3</v>
      </c>
      <c r="Q54" s="1489">
        <f t="shared" si="5"/>
        <v>387660</v>
      </c>
      <c r="R54" s="1489">
        <f>'HK UP KEEP, OP '!AN12</f>
        <v>0</v>
      </c>
      <c r="S54" s="1489">
        <f t="shared" si="6"/>
        <v>0</v>
      </c>
      <c r="T54" s="1489">
        <f>'HK UP KEEP, OP '!AO12+'HK UP KEEP, OP '!AP12+'HK UP KEEP, OP '!AQ12</f>
        <v>0</v>
      </c>
      <c r="U54" s="1489">
        <f t="shared" si="7"/>
        <v>0</v>
      </c>
      <c r="V54" s="1489">
        <f t="shared" si="8"/>
        <v>31</v>
      </c>
      <c r="W54" s="1489">
        <v>4650</v>
      </c>
      <c r="X54" s="1489">
        <f t="shared" si="9"/>
        <v>144150</v>
      </c>
      <c r="Y54" s="1489"/>
      <c r="Z54" s="1489"/>
      <c r="AA54" s="1489">
        <f t="shared" si="27"/>
        <v>0</v>
      </c>
      <c r="AB54" s="1496">
        <v>2500</v>
      </c>
      <c r="AC54" s="1489">
        <f>'MASA KERJA AB'!H13</f>
        <v>7</v>
      </c>
      <c r="AD54" s="1492">
        <f>'MASA KERJA AB'!I13</f>
        <v>18000</v>
      </c>
      <c r="AE54" s="1497">
        <f>'LEMBUR DAN PREMI UPKEEP'!AJ15</f>
        <v>3204356.98</v>
      </c>
      <c r="AF54" s="1489"/>
      <c r="AG54" s="1489"/>
      <c r="AH54" s="1498"/>
      <c r="AI54" s="1492">
        <v>120000</v>
      </c>
      <c r="AJ54" s="1490"/>
      <c r="AK54" s="1499"/>
      <c r="AL54" s="1500"/>
      <c r="AM54" s="1489"/>
      <c r="AN54" s="1489"/>
      <c r="AO54" s="1494">
        <f t="shared" si="10"/>
        <v>7492326.9800000004</v>
      </c>
      <c r="AP54" s="1489">
        <f t="shared" si="20"/>
        <v>77532</v>
      </c>
      <c r="AQ54" s="1489">
        <f t="shared" si="21"/>
        <v>175997.64</v>
      </c>
      <c r="AR54" s="1489">
        <f t="shared" si="28"/>
        <v>253529.64</v>
      </c>
      <c r="AS54" s="1489">
        <f t="shared" si="22"/>
        <v>38946</v>
      </c>
      <c r="AT54" s="1489">
        <f t="shared" si="23"/>
        <v>155784</v>
      </c>
      <c r="AU54" s="1489">
        <f t="shared" si="24"/>
        <v>38766</v>
      </c>
      <c r="AV54" s="1489">
        <f t="shared" si="25"/>
        <v>77532</v>
      </c>
      <c r="AW54" s="1489">
        <f t="shared" si="29"/>
        <v>311028</v>
      </c>
      <c r="AX54" s="1492">
        <v>4000</v>
      </c>
      <c r="AY54" s="1492">
        <v>82807</v>
      </c>
      <c r="AZ54" s="1489">
        <f t="shared" si="13"/>
        <v>0</v>
      </c>
      <c r="BA54" s="1489"/>
      <c r="BB54" s="1489"/>
      <c r="BC54" s="1489">
        <f t="shared" si="14"/>
        <v>7250275.9800000004</v>
      </c>
      <c r="BD54" s="1495">
        <f>'HK UP KEEP, OP '!AS12</f>
        <v>0</v>
      </c>
      <c r="BE54" s="1488">
        <f>'HK UP KEEP, OP '!AT12</f>
        <v>0</v>
      </c>
      <c r="BG54" s="1551">
        <f t="shared" si="15"/>
        <v>4005820</v>
      </c>
      <c r="BH54" s="1552">
        <f t="shared" si="16"/>
        <v>0</v>
      </c>
      <c r="BI54" s="1552">
        <f t="shared" si="17"/>
        <v>0</v>
      </c>
      <c r="BJ54" s="1551">
        <f t="shared" si="18"/>
        <v>0</v>
      </c>
      <c r="BK54" s="1553">
        <f t="shared" si="26"/>
        <v>4005820</v>
      </c>
      <c r="BM54" s="1553">
        <f t="shared" ref="BM54:BM297" si="30">X54+AA54+AD54+AE54+AF54+AG54+AH54+AI54+AJ54+AK54+AL54+AM54</f>
        <v>3486506.98</v>
      </c>
      <c r="BN54" s="1551">
        <v>30575.999999999996</v>
      </c>
      <c r="BO54" s="1551">
        <f t="shared" si="19"/>
        <v>564557.64</v>
      </c>
    </row>
    <row r="55" spans="1:69" ht="23.25" customHeight="1">
      <c r="A55" s="2048" t="s">
        <v>0</v>
      </c>
      <c r="B55" s="2048"/>
      <c r="C55" s="2048"/>
      <c r="D55" s="2048"/>
      <c r="E55" s="2048"/>
      <c r="F55" s="2048"/>
      <c r="G55" s="2048"/>
      <c r="H55" s="2048"/>
      <c r="I55" s="2048"/>
      <c r="J55" s="2048"/>
      <c r="K55" s="2048"/>
      <c r="L55" s="2048"/>
      <c r="M55" s="2048"/>
      <c r="N55" s="2048"/>
      <c r="O55" s="2048"/>
      <c r="P55" s="2048"/>
      <c r="Q55" s="2048"/>
      <c r="R55" s="2048"/>
      <c r="S55" s="2048"/>
      <c r="T55" s="2048"/>
      <c r="U55" s="2048"/>
      <c r="V55" s="2048"/>
      <c r="W55" s="2048"/>
      <c r="X55" s="2048"/>
      <c r="Y55" s="2048"/>
      <c r="Z55" s="2048"/>
      <c r="AA55" s="2048"/>
      <c r="AB55" s="2048"/>
      <c r="AC55" s="2048"/>
      <c r="AD55" s="2048"/>
      <c r="AE55" s="2048"/>
      <c r="AF55" s="2048"/>
      <c r="AG55" s="2048"/>
      <c r="AH55" s="2048"/>
      <c r="AI55" s="2048"/>
      <c r="AJ55" s="2048"/>
      <c r="AK55" s="2048"/>
      <c r="AL55" s="2048"/>
      <c r="AM55" s="2048"/>
      <c r="AN55" s="2048"/>
      <c r="AO55" s="2048"/>
      <c r="AP55" s="2048"/>
      <c r="AQ55" s="2048"/>
      <c r="AR55" s="2048"/>
      <c r="AS55" s="2048"/>
      <c r="AT55" s="2048"/>
      <c r="AU55" s="2048"/>
      <c r="AV55" s="2048"/>
      <c r="AW55" s="2048"/>
      <c r="AX55" s="2048"/>
      <c r="AY55" s="2048"/>
      <c r="AZ55" s="2048"/>
      <c r="BA55" s="2048"/>
      <c r="BB55" s="2048"/>
      <c r="BC55" s="2048"/>
      <c r="BD55" s="2048"/>
      <c r="BE55" s="2048"/>
    </row>
    <row r="56" spans="1:69" ht="26.25" customHeight="1">
      <c r="A56" s="2049" t="s">
        <v>1033</v>
      </c>
      <c r="B56" s="2049"/>
      <c r="C56" s="2049"/>
      <c r="D56" s="2049"/>
      <c r="E56" s="2049"/>
      <c r="F56" s="2049"/>
      <c r="G56" s="2049"/>
      <c r="H56" s="2049"/>
      <c r="I56" s="2049"/>
      <c r="J56" s="2049"/>
      <c r="K56" s="2049"/>
      <c r="L56" s="2049"/>
      <c r="M56" s="2049"/>
      <c r="N56" s="2049"/>
      <c r="O56" s="2049"/>
      <c r="P56" s="2049"/>
      <c r="Q56" s="2049"/>
      <c r="R56" s="2049"/>
      <c r="S56" s="2049"/>
      <c r="T56" s="2049"/>
      <c r="U56" s="2049"/>
      <c r="V56" s="2049"/>
      <c r="W56" s="2049"/>
      <c r="X56" s="2049"/>
      <c r="Y56" s="2049"/>
      <c r="Z56" s="2049"/>
      <c r="AA56" s="2049"/>
      <c r="AB56" s="2049"/>
      <c r="AC56" s="2049"/>
      <c r="AD56" s="2049"/>
      <c r="AE56" s="2049"/>
      <c r="AF56" s="2049"/>
      <c r="AG56" s="2049"/>
      <c r="AH56" s="2049"/>
      <c r="AI56" s="2049"/>
      <c r="AJ56" s="2049"/>
      <c r="AK56" s="2049"/>
      <c r="AL56" s="2049"/>
      <c r="AM56" s="2049"/>
      <c r="AN56" s="2049"/>
      <c r="AO56" s="2049"/>
      <c r="AP56" s="2049"/>
      <c r="AQ56" s="2049"/>
      <c r="AR56" s="2049"/>
      <c r="AS56" s="2049"/>
      <c r="AT56" s="2049"/>
      <c r="AU56" s="2049"/>
      <c r="AV56" s="2049"/>
      <c r="AW56" s="2049"/>
      <c r="AX56" s="2049"/>
      <c r="AY56" s="2049"/>
      <c r="AZ56" s="2049"/>
      <c r="BA56" s="2049"/>
      <c r="BB56" s="2049"/>
      <c r="BC56" s="2049"/>
      <c r="BD56" s="2049"/>
      <c r="BE56" s="2049"/>
    </row>
    <row r="57" spans="1:69" s="1523" customFormat="1" ht="18.75" customHeight="1">
      <c r="C57" s="1554"/>
      <c r="D57" s="1523" t="s">
        <v>964</v>
      </c>
      <c r="F57" s="1555"/>
      <c r="G57" s="1555"/>
      <c r="X57" s="1556"/>
      <c r="AE57" s="1532"/>
      <c r="AK57" s="1557"/>
      <c r="AP57" s="1558">
        <v>3876600</v>
      </c>
      <c r="AQ57" s="1559">
        <f>AP57/30</f>
        <v>129220</v>
      </c>
      <c r="AR57" s="1559">
        <f>AP57/173*1.5</f>
        <v>33612.138728323698</v>
      </c>
      <c r="AS57" s="1559">
        <f>AP57/173*2</f>
        <v>44816.184971098264</v>
      </c>
      <c r="AW57" s="1532" t="s">
        <v>55</v>
      </c>
      <c r="AX57" s="1523" t="s">
        <v>152</v>
      </c>
      <c r="BC57" s="1531"/>
      <c r="BE57" s="1532"/>
      <c r="BG57" s="1555"/>
      <c r="BH57" s="1560"/>
      <c r="BI57" s="1560"/>
      <c r="BJ57" s="1555"/>
      <c r="BK57" s="1561"/>
      <c r="BL57" s="1561"/>
      <c r="BM57" s="1561"/>
      <c r="BN57" s="1555"/>
      <c r="BO57" s="1555"/>
    </row>
    <row r="58" spans="1:69" ht="15" customHeight="1" thickBot="1">
      <c r="A58" s="1547"/>
      <c r="D58" s="1563"/>
      <c r="E58" s="1563"/>
      <c r="F58" s="1564"/>
      <c r="G58" s="1564"/>
      <c r="H58" s="1563"/>
      <c r="I58" s="1563"/>
      <c r="J58" s="1563"/>
      <c r="K58" s="1563"/>
      <c r="L58" s="1563"/>
      <c r="M58" s="1563"/>
      <c r="N58" s="1563"/>
      <c r="O58" s="1563"/>
      <c r="Q58" s="1563"/>
      <c r="R58" s="1563"/>
      <c r="S58" s="1563"/>
      <c r="T58" s="1563"/>
      <c r="U58" s="1563"/>
      <c r="V58" s="1563"/>
      <c r="W58" s="1563"/>
      <c r="X58" s="1563"/>
      <c r="Y58" s="1563"/>
      <c r="Z58" s="1563"/>
      <c r="AA58" s="1563"/>
      <c r="AB58" s="1563"/>
      <c r="AC58" s="1563"/>
      <c r="AD58" s="1547"/>
      <c r="AE58" s="1563"/>
      <c r="AF58" s="1563"/>
      <c r="AG58" s="1563"/>
      <c r="AH58" s="1563"/>
      <c r="AI58" s="1563"/>
      <c r="AJ58" s="1563"/>
      <c r="AK58" s="1565"/>
      <c r="AL58" s="1563"/>
      <c r="AM58" s="1563"/>
      <c r="AO58" s="1563"/>
      <c r="AP58" s="1558">
        <v>3876600</v>
      </c>
      <c r="AQ58" s="1566">
        <f>AP58/30</f>
        <v>129220</v>
      </c>
      <c r="AR58" s="1567"/>
      <c r="AS58" s="1568">
        <f>AP58+24000</f>
        <v>3900600</v>
      </c>
    </row>
    <row r="59" spans="1:69" s="1523" customFormat="1" ht="15.75" customHeight="1">
      <c r="A59" s="2050" t="s">
        <v>5</v>
      </c>
      <c r="B59" s="2053" t="s">
        <v>6</v>
      </c>
      <c r="C59" s="2056" t="s">
        <v>52</v>
      </c>
      <c r="D59" s="1569"/>
      <c r="E59" s="1569"/>
      <c r="F59" s="1570"/>
      <c r="G59" s="1570"/>
      <c r="H59" s="2059" t="s">
        <v>2</v>
      </c>
      <c r="I59" s="2060"/>
      <c r="J59" s="2060"/>
      <c r="K59" s="2060"/>
      <c r="L59" s="2060"/>
      <c r="M59" s="2060"/>
      <c r="N59" s="2060"/>
      <c r="O59" s="2060"/>
      <c r="P59" s="2060"/>
      <c r="Q59" s="2060"/>
      <c r="R59" s="2060"/>
      <c r="S59" s="2060"/>
      <c r="T59" s="2060"/>
      <c r="U59" s="2061"/>
      <c r="V59" s="2056" t="s">
        <v>286</v>
      </c>
      <c r="W59" s="2059" t="s">
        <v>3</v>
      </c>
      <c r="X59" s="2060"/>
      <c r="Y59" s="2060"/>
      <c r="Z59" s="2060"/>
      <c r="AA59" s="2060"/>
      <c r="AB59" s="2060"/>
      <c r="AC59" s="2060"/>
      <c r="AD59" s="2061"/>
      <c r="AE59" s="2042" t="s">
        <v>45</v>
      </c>
      <c r="AF59" s="2063" t="s">
        <v>46</v>
      </c>
      <c r="AG59" s="2064"/>
      <c r="AH59" s="2064"/>
      <c r="AI59" s="2064"/>
      <c r="AJ59" s="2064"/>
      <c r="AK59" s="2064"/>
      <c r="AL59" s="2065"/>
      <c r="AM59" s="2045" t="s">
        <v>98</v>
      </c>
      <c r="AN59" s="2056" t="s">
        <v>44</v>
      </c>
      <c r="AO59" s="1533" t="s">
        <v>4</v>
      </c>
      <c r="AP59" s="2036" t="s">
        <v>20</v>
      </c>
      <c r="AQ59" s="2037"/>
      <c r="AR59" s="2038"/>
      <c r="AS59" s="2036" t="s">
        <v>54</v>
      </c>
      <c r="AT59" s="2037"/>
      <c r="AU59" s="2037"/>
      <c r="AV59" s="2037"/>
      <c r="AW59" s="2037"/>
      <c r="AX59" s="1571"/>
      <c r="AY59" s="2042" t="s">
        <v>89</v>
      </c>
      <c r="AZ59" s="2045" t="s">
        <v>97</v>
      </c>
      <c r="BA59" s="2045" t="s">
        <v>719</v>
      </c>
      <c r="BB59" s="2045" t="s">
        <v>210</v>
      </c>
      <c r="BC59" s="1539" t="s">
        <v>4</v>
      </c>
      <c r="BD59" s="2063" t="s">
        <v>41</v>
      </c>
      <c r="BE59" s="2084"/>
      <c r="BG59" s="1555"/>
      <c r="BH59" s="1560"/>
      <c r="BI59" s="1560"/>
      <c r="BJ59" s="1555"/>
      <c r="BK59" s="1561"/>
      <c r="BL59" s="1561"/>
      <c r="BM59" s="1561"/>
      <c r="BN59" s="1555"/>
      <c r="BO59" s="1555"/>
    </row>
    <row r="60" spans="1:69" s="1523" customFormat="1" ht="25.5" customHeight="1">
      <c r="A60" s="2051"/>
      <c r="B60" s="2054"/>
      <c r="C60" s="2057"/>
      <c r="D60" s="1519" t="s">
        <v>7</v>
      </c>
      <c r="E60" s="1519" t="s">
        <v>8</v>
      </c>
      <c r="F60" s="1572" t="s">
        <v>9</v>
      </c>
      <c r="G60" s="1572" t="s">
        <v>9</v>
      </c>
      <c r="H60" s="2071" t="s">
        <v>10</v>
      </c>
      <c r="I60" s="2072"/>
      <c r="J60" s="2071" t="s">
        <v>11</v>
      </c>
      <c r="K60" s="2072"/>
      <c r="L60" s="2071" t="s">
        <v>12</v>
      </c>
      <c r="M60" s="2072"/>
      <c r="N60" s="2071" t="s">
        <v>13</v>
      </c>
      <c r="O60" s="2072"/>
      <c r="P60" s="2071" t="s">
        <v>14</v>
      </c>
      <c r="Q60" s="2072"/>
      <c r="R60" s="2087" t="s">
        <v>15</v>
      </c>
      <c r="S60" s="2088"/>
      <c r="T60" s="2071" t="s">
        <v>16</v>
      </c>
      <c r="U60" s="2072"/>
      <c r="V60" s="2057"/>
      <c r="W60" s="2071" t="s">
        <v>17</v>
      </c>
      <c r="X60" s="2072"/>
      <c r="Y60" s="2071" t="s">
        <v>18</v>
      </c>
      <c r="Z60" s="2081"/>
      <c r="AA60" s="2072"/>
      <c r="AB60" s="2071" t="s">
        <v>19</v>
      </c>
      <c r="AC60" s="2081"/>
      <c r="AD60" s="2072"/>
      <c r="AE60" s="2043"/>
      <c r="AF60" s="2066"/>
      <c r="AG60" s="2067"/>
      <c r="AH60" s="2067"/>
      <c r="AI60" s="2067"/>
      <c r="AJ60" s="2067"/>
      <c r="AK60" s="2067"/>
      <c r="AL60" s="2068"/>
      <c r="AM60" s="2046"/>
      <c r="AN60" s="2057"/>
      <c r="AO60" s="1534" t="s">
        <v>9</v>
      </c>
      <c r="AP60" s="2039"/>
      <c r="AQ60" s="2040"/>
      <c r="AR60" s="2041"/>
      <c r="AS60" s="2039"/>
      <c r="AT60" s="2040"/>
      <c r="AU60" s="2040"/>
      <c r="AV60" s="2040"/>
      <c r="AW60" s="2040"/>
      <c r="AX60" s="1534" t="s">
        <v>21</v>
      </c>
      <c r="AY60" s="2043"/>
      <c r="AZ60" s="2046"/>
      <c r="BA60" s="2046"/>
      <c r="BB60" s="2046"/>
      <c r="BC60" s="1540" t="s">
        <v>9</v>
      </c>
      <c r="BD60" s="2085"/>
      <c r="BE60" s="2086"/>
      <c r="BG60" s="1573"/>
      <c r="BH60" s="1573"/>
      <c r="BI60" s="1573"/>
      <c r="BJ60" s="1555"/>
      <c r="BK60" s="1561"/>
      <c r="BL60" s="1561"/>
      <c r="BM60" s="1561"/>
      <c r="BN60" s="1555"/>
      <c r="BO60" s="1555"/>
    </row>
    <row r="61" spans="1:69" s="1523" customFormat="1" ht="63" customHeight="1">
      <c r="A61" s="2051"/>
      <c r="B61" s="2054"/>
      <c r="C61" s="2057"/>
      <c r="D61" s="1519" t="s">
        <v>22</v>
      </c>
      <c r="E61" s="1519" t="s">
        <v>23</v>
      </c>
      <c r="F61" s="1572" t="s">
        <v>24</v>
      </c>
      <c r="G61" s="1572" t="s">
        <v>25</v>
      </c>
      <c r="H61" s="2069" t="s">
        <v>4</v>
      </c>
      <c r="I61" s="2070"/>
      <c r="J61" s="2069" t="s">
        <v>4</v>
      </c>
      <c r="K61" s="2070"/>
      <c r="L61" s="2069" t="s">
        <v>4</v>
      </c>
      <c r="M61" s="2070"/>
      <c r="N61" s="2069" t="s">
        <v>4</v>
      </c>
      <c r="O61" s="2070"/>
      <c r="P61" s="2069" t="s">
        <v>4</v>
      </c>
      <c r="Q61" s="2070"/>
      <c r="R61" s="2082" t="s">
        <v>4</v>
      </c>
      <c r="S61" s="2083"/>
      <c r="T61" s="2069" t="s">
        <v>4</v>
      </c>
      <c r="U61" s="2070"/>
      <c r="V61" s="2057"/>
      <c r="W61" s="1534" t="s">
        <v>27</v>
      </c>
      <c r="X61" s="1574" t="s">
        <v>28</v>
      </c>
      <c r="Y61" s="1534" t="s">
        <v>27</v>
      </c>
      <c r="Z61" s="2069" t="s">
        <v>4</v>
      </c>
      <c r="AA61" s="2070"/>
      <c r="AB61" s="1534" t="s">
        <v>27</v>
      </c>
      <c r="AC61" s="2071" t="s">
        <v>4</v>
      </c>
      <c r="AD61" s="2072"/>
      <c r="AE61" s="2062"/>
      <c r="AF61" s="1575" t="s">
        <v>56</v>
      </c>
      <c r="AG61" s="1575" t="s">
        <v>57</v>
      </c>
      <c r="AH61" s="1575" t="s">
        <v>60</v>
      </c>
      <c r="AI61" s="1575" t="s">
        <v>202</v>
      </c>
      <c r="AJ61" s="1575" t="s">
        <v>218</v>
      </c>
      <c r="AK61" s="1575" t="s">
        <v>572</v>
      </c>
      <c r="AL61" s="1575" t="s">
        <v>288</v>
      </c>
      <c r="AM61" s="2089"/>
      <c r="AN61" s="2090"/>
      <c r="AO61" s="1534" t="s">
        <v>29</v>
      </c>
      <c r="AP61" s="1519" t="s">
        <v>30</v>
      </c>
      <c r="AQ61" s="1519" t="s">
        <v>31</v>
      </c>
      <c r="AR61" s="1519" t="s">
        <v>4</v>
      </c>
      <c r="AS61" s="1576" t="s">
        <v>30</v>
      </c>
      <c r="AT61" s="1574" t="s">
        <v>31</v>
      </c>
      <c r="AU61" s="1574" t="s">
        <v>30</v>
      </c>
      <c r="AV61" s="1574" t="s">
        <v>31</v>
      </c>
      <c r="AW61" s="1577" t="s">
        <v>4</v>
      </c>
      <c r="AX61" s="1534" t="s">
        <v>32</v>
      </c>
      <c r="AY61" s="2043"/>
      <c r="AZ61" s="2046"/>
      <c r="BA61" s="2046"/>
      <c r="BB61" s="2046"/>
      <c r="BC61" s="1540" t="s">
        <v>33</v>
      </c>
      <c r="BD61" s="2073" t="s">
        <v>42</v>
      </c>
      <c r="BE61" s="2075" t="s">
        <v>43</v>
      </c>
      <c r="BG61" s="1573"/>
      <c r="BH61" s="1578"/>
      <c r="BI61" s="1578"/>
      <c r="BJ61" s="1555"/>
      <c r="BK61" s="1561"/>
      <c r="BL61" s="1561"/>
      <c r="BM61" s="1561"/>
      <c r="BN61" s="1555"/>
      <c r="BO61" s="1555"/>
    </row>
    <row r="62" spans="1:69" s="1523" customFormat="1" ht="21" customHeight="1" thickBot="1">
      <c r="A62" s="2052"/>
      <c r="B62" s="2055"/>
      <c r="C62" s="2058"/>
      <c r="D62" s="1520"/>
      <c r="E62" s="1520"/>
      <c r="F62" s="1579" t="s">
        <v>34</v>
      </c>
      <c r="G62" s="1580" t="s">
        <v>34</v>
      </c>
      <c r="H62" s="1581" t="s">
        <v>8</v>
      </c>
      <c r="I62" s="1582" t="s">
        <v>34</v>
      </c>
      <c r="J62" s="1581" t="s">
        <v>8</v>
      </c>
      <c r="K62" s="1582" t="s">
        <v>34</v>
      </c>
      <c r="L62" s="1581" t="s">
        <v>8</v>
      </c>
      <c r="M62" s="1582" t="s">
        <v>34</v>
      </c>
      <c r="N62" s="1581" t="s">
        <v>8</v>
      </c>
      <c r="O62" s="1582" t="s">
        <v>34</v>
      </c>
      <c r="P62" s="1581" t="s">
        <v>8</v>
      </c>
      <c r="Q62" s="1582" t="s">
        <v>34</v>
      </c>
      <c r="R62" s="1581" t="s">
        <v>8</v>
      </c>
      <c r="S62" s="1582" t="s">
        <v>34</v>
      </c>
      <c r="T62" s="1581" t="s">
        <v>8</v>
      </c>
      <c r="U62" s="1582" t="s">
        <v>34</v>
      </c>
      <c r="V62" s="2058"/>
      <c r="W62" s="1581" t="s">
        <v>26</v>
      </c>
      <c r="X62" s="1581" t="s">
        <v>34</v>
      </c>
      <c r="Y62" s="1581" t="s">
        <v>26</v>
      </c>
      <c r="Z62" s="1581" t="s">
        <v>26</v>
      </c>
      <c r="AA62" s="1581" t="s">
        <v>34</v>
      </c>
      <c r="AB62" s="1581" t="s">
        <v>26</v>
      </c>
      <c r="AC62" s="1581" t="s">
        <v>35</v>
      </c>
      <c r="AD62" s="1581" t="s">
        <v>34</v>
      </c>
      <c r="AE62" s="1581" t="s">
        <v>34</v>
      </c>
      <c r="AF62" s="1582" t="s">
        <v>34</v>
      </c>
      <c r="AG62" s="1582" t="s">
        <v>34</v>
      </c>
      <c r="AH62" s="1582" t="s">
        <v>34</v>
      </c>
      <c r="AI62" s="1582" t="s">
        <v>34</v>
      </c>
      <c r="AJ62" s="1582" t="s">
        <v>34</v>
      </c>
      <c r="AK62" s="1582" t="s">
        <v>34</v>
      </c>
      <c r="AL62" s="1582" t="s">
        <v>34</v>
      </c>
      <c r="AM62" s="1582" t="s">
        <v>34</v>
      </c>
      <c r="AN62" s="1581" t="s">
        <v>34</v>
      </c>
      <c r="AO62" s="1582" t="s">
        <v>34</v>
      </c>
      <c r="AP62" s="1582" t="s">
        <v>34</v>
      </c>
      <c r="AQ62" s="1582" t="s">
        <v>34</v>
      </c>
      <c r="AR62" s="1582" t="s">
        <v>34</v>
      </c>
      <c r="AS62" s="1581" t="s">
        <v>58</v>
      </c>
      <c r="AT62" s="1582" t="s">
        <v>34</v>
      </c>
      <c r="AU62" s="1582" t="s">
        <v>59</v>
      </c>
      <c r="AV62" s="1582" t="s">
        <v>34</v>
      </c>
      <c r="AW62" s="1583" t="s">
        <v>34</v>
      </c>
      <c r="AX62" s="1537"/>
      <c r="AY62" s="2044"/>
      <c r="AZ62" s="2047"/>
      <c r="BA62" s="2047"/>
      <c r="BB62" s="2047"/>
      <c r="BC62" s="1541" t="s">
        <v>34</v>
      </c>
      <c r="BD62" s="2074"/>
      <c r="BE62" s="2076"/>
      <c r="BG62" s="1555" t="s">
        <v>353</v>
      </c>
      <c r="BH62" s="1578" t="s">
        <v>43</v>
      </c>
      <c r="BI62" s="1578" t="s">
        <v>42</v>
      </c>
      <c r="BJ62" s="1555" t="s">
        <v>354</v>
      </c>
      <c r="BK62" s="1561" t="s">
        <v>358</v>
      </c>
      <c r="BL62" s="1561"/>
      <c r="BM62" s="1561" t="s">
        <v>625</v>
      </c>
      <c r="BN62" s="1555" t="s">
        <v>626</v>
      </c>
      <c r="BO62" s="1555" t="s">
        <v>627</v>
      </c>
      <c r="BQ62" s="1523" t="s">
        <v>685</v>
      </c>
    </row>
    <row r="63" spans="1:69" ht="102" customHeight="1" thickBot="1">
      <c r="A63" s="1584" t="s">
        <v>68</v>
      </c>
      <c r="B63" s="1496" t="s">
        <v>36</v>
      </c>
      <c r="C63" s="1585" t="s">
        <v>452</v>
      </c>
      <c r="D63" s="1586" t="s">
        <v>439</v>
      </c>
      <c r="E63" s="1489">
        <f>'HK UP KEEP, OP '!AH13</f>
        <v>20</v>
      </c>
      <c r="F63" s="1490">
        <v>129220</v>
      </c>
      <c r="G63" s="1490">
        <f t="shared" si="0"/>
        <v>2584400</v>
      </c>
      <c r="H63" s="1489">
        <f>'HK UP KEEP, OP '!AI13</f>
        <v>2</v>
      </c>
      <c r="I63" s="1489">
        <f t="shared" si="1"/>
        <v>258440</v>
      </c>
      <c r="J63" s="1489">
        <f>'HK UP KEEP, OP '!AJ13</f>
        <v>2</v>
      </c>
      <c r="K63" s="1489">
        <f t="shared" si="2"/>
        <v>258440</v>
      </c>
      <c r="L63" s="1489">
        <f>'HK UP KEEP, OP '!AK13</f>
        <v>0</v>
      </c>
      <c r="M63" s="1489">
        <f t="shared" si="3"/>
        <v>0</v>
      </c>
      <c r="N63" s="1489">
        <f>'HK UP KEEP, OP '!AL13</f>
        <v>4</v>
      </c>
      <c r="O63" s="1489">
        <f t="shared" si="4"/>
        <v>516880</v>
      </c>
      <c r="P63" s="1489">
        <f>'HK UP KEEP, OP '!AM13</f>
        <v>3</v>
      </c>
      <c r="Q63" s="1489">
        <f t="shared" si="5"/>
        <v>387660</v>
      </c>
      <c r="R63" s="1489">
        <f>'HK UP KEEP, OP '!AN13</f>
        <v>0</v>
      </c>
      <c r="S63" s="1489">
        <f t="shared" si="6"/>
        <v>0</v>
      </c>
      <c r="T63" s="1489">
        <f>'HK UP KEEP, OP '!AO13+'HK UP KEEP, OP '!AP13+'HK UP KEEP, OP '!AQ13</f>
        <v>0</v>
      </c>
      <c r="U63" s="1489">
        <f t="shared" si="7"/>
        <v>0</v>
      </c>
      <c r="V63" s="1489">
        <f t="shared" si="8"/>
        <v>31</v>
      </c>
      <c r="W63" s="1489">
        <v>4200</v>
      </c>
      <c r="X63" s="1489">
        <f t="shared" si="9"/>
        <v>130200</v>
      </c>
      <c r="Y63" s="1489"/>
      <c r="Z63" s="1489"/>
      <c r="AA63" s="1489">
        <f>Z63*Y63</f>
        <v>0</v>
      </c>
      <c r="AB63" s="1489">
        <v>2500</v>
      </c>
      <c r="AC63" s="1489">
        <f>'MASA KERJA AB'!H14</f>
        <v>12</v>
      </c>
      <c r="AD63" s="1492">
        <f>'MASA KERJA AB'!I14</f>
        <v>33000</v>
      </c>
      <c r="AE63" s="1491">
        <f>'LEMBUR DAN PREMI UPKEEP'!AJ18</f>
        <v>2195992.92</v>
      </c>
      <c r="AF63" s="1489"/>
      <c r="AG63" s="1489"/>
      <c r="AH63" s="1489"/>
      <c r="AI63" s="1492">
        <v>120000</v>
      </c>
      <c r="AJ63" s="1489"/>
      <c r="AK63" s="1493"/>
      <c r="AL63" s="1489"/>
      <c r="AM63" s="1489"/>
      <c r="AN63" s="1489"/>
      <c r="AO63" s="1494">
        <f t="shared" si="10"/>
        <v>6485012.9199999999</v>
      </c>
      <c r="AP63" s="1489">
        <f t="shared" si="20"/>
        <v>77532</v>
      </c>
      <c r="AQ63" s="1489">
        <f t="shared" si="21"/>
        <v>175997.64</v>
      </c>
      <c r="AR63" s="1489">
        <f t="shared" si="28"/>
        <v>253529.64</v>
      </c>
      <c r="AS63" s="1489">
        <f t="shared" si="22"/>
        <v>39096</v>
      </c>
      <c r="AT63" s="1489">
        <f t="shared" si="23"/>
        <v>156384</v>
      </c>
      <c r="AU63" s="1489">
        <f t="shared" si="24"/>
        <v>38766</v>
      </c>
      <c r="AV63" s="1489">
        <f t="shared" si="25"/>
        <v>77532</v>
      </c>
      <c r="AW63" s="1489">
        <f t="shared" si="29"/>
        <v>311778</v>
      </c>
      <c r="AX63" s="1492">
        <v>4000</v>
      </c>
      <c r="AY63" s="1492">
        <v>54555</v>
      </c>
      <c r="AZ63" s="1489">
        <f t="shared" si="13"/>
        <v>0</v>
      </c>
      <c r="BA63" s="1489"/>
      <c r="BB63" s="1489"/>
      <c r="BC63" s="1489">
        <f t="shared" si="14"/>
        <v>6271063.9199999999</v>
      </c>
      <c r="BD63" s="1495">
        <f>'HK UP KEEP, OP '!AS13</f>
        <v>0</v>
      </c>
      <c r="BE63" s="1488">
        <f>'HK UP KEEP, OP '!AT13</f>
        <v>0</v>
      </c>
      <c r="BG63" s="1551">
        <f t="shared" si="15"/>
        <v>4005820</v>
      </c>
      <c r="BH63" s="1552">
        <f t="shared" si="16"/>
        <v>0</v>
      </c>
      <c r="BI63" s="1552">
        <f t="shared" si="17"/>
        <v>0</v>
      </c>
      <c r="BJ63" s="1551">
        <f t="shared" si="18"/>
        <v>0</v>
      </c>
      <c r="BK63" s="1553">
        <f t="shared" si="26"/>
        <v>4005820</v>
      </c>
      <c r="BM63" s="1553">
        <f t="shared" si="30"/>
        <v>2479192.92</v>
      </c>
      <c r="BN63" s="1551">
        <v>30575.999999999996</v>
      </c>
      <c r="BO63" s="1551">
        <f t="shared" si="19"/>
        <v>565307.64</v>
      </c>
    </row>
    <row r="64" spans="1:69" ht="23.25" customHeight="1">
      <c r="A64" s="2048" t="s">
        <v>0</v>
      </c>
      <c r="B64" s="2048"/>
      <c r="C64" s="2048"/>
      <c r="D64" s="2048"/>
      <c r="E64" s="2048"/>
      <c r="F64" s="2048"/>
      <c r="G64" s="2048"/>
      <c r="H64" s="2048"/>
      <c r="I64" s="2048"/>
      <c r="J64" s="2048"/>
      <c r="K64" s="2048"/>
      <c r="L64" s="2048"/>
      <c r="M64" s="2048"/>
      <c r="N64" s="2048"/>
      <c r="O64" s="2048"/>
      <c r="P64" s="2048"/>
      <c r="Q64" s="2048"/>
      <c r="R64" s="2048"/>
      <c r="S64" s="2048"/>
      <c r="T64" s="2048"/>
      <c r="U64" s="2048"/>
      <c r="V64" s="2048"/>
      <c r="W64" s="2048"/>
      <c r="X64" s="2048"/>
      <c r="Y64" s="2048"/>
      <c r="Z64" s="2048"/>
      <c r="AA64" s="2048"/>
      <c r="AB64" s="2048"/>
      <c r="AC64" s="2048"/>
      <c r="AD64" s="2048"/>
      <c r="AE64" s="2048"/>
      <c r="AF64" s="2048"/>
      <c r="AG64" s="2048"/>
      <c r="AH64" s="2048"/>
      <c r="AI64" s="2048"/>
      <c r="AJ64" s="2048"/>
      <c r="AK64" s="2048"/>
      <c r="AL64" s="2048"/>
      <c r="AM64" s="2048"/>
      <c r="AN64" s="2048"/>
      <c r="AO64" s="2048"/>
      <c r="AP64" s="2048"/>
      <c r="AQ64" s="2048"/>
      <c r="AR64" s="2048"/>
      <c r="AS64" s="2048"/>
      <c r="AT64" s="2048"/>
      <c r="AU64" s="2048"/>
      <c r="AV64" s="2048"/>
      <c r="AW64" s="2048"/>
      <c r="AX64" s="2048"/>
      <c r="AY64" s="2048"/>
      <c r="AZ64" s="2048"/>
      <c r="BA64" s="2048"/>
      <c r="BB64" s="2048"/>
      <c r="BC64" s="2048"/>
      <c r="BD64" s="2048"/>
      <c r="BE64" s="2048"/>
    </row>
    <row r="65" spans="1:69" ht="26.25" customHeight="1">
      <c r="A65" s="2049" t="s">
        <v>1033</v>
      </c>
      <c r="B65" s="2049"/>
      <c r="C65" s="2049"/>
      <c r="D65" s="2049"/>
      <c r="E65" s="2049"/>
      <c r="F65" s="2049"/>
      <c r="G65" s="2049"/>
      <c r="H65" s="2049"/>
      <c r="I65" s="2049"/>
      <c r="J65" s="2049"/>
      <c r="K65" s="2049"/>
      <c r="L65" s="2049"/>
      <c r="M65" s="2049"/>
      <c r="N65" s="2049"/>
      <c r="O65" s="2049"/>
      <c r="P65" s="2049"/>
      <c r="Q65" s="2049"/>
      <c r="R65" s="2049"/>
      <c r="S65" s="2049"/>
      <c r="T65" s="2049"/>
      <c r="U65" s="2049"/>
      <c r="V65" s="2049"/>
      <c r="W65" s="2049"/>
      <c r="X65" s="2049"/>
      <c r="Y65" s="2049"/>
      <c r="Z65" s="2049"/>
      <c r="AA65" s="2049"/>
      <c r="AB65" s="2049"/>
      <c r="AC65" s="2049"/>
      <c r="AD65" s="2049"/>
      <c r="AE65" s="2049"/>
      <c r="AF65" s="2049"/>
      <c r="AG65" s="2049"/>
      <c r="AH65" s="2049"/>
      <c r="AI65" s="2049"/>
      <c r="AJ65" s="2049"/>
      <c r="AK65" s="2049"/>
      <c r="AL65" s="2049"/>
      <c r="AM65" s="2049"/>
      <c r="AN65" s="2049"/>
      <c r="AO65" s="2049"/>
      <c r="AP65" s="2049"/>
      <c r="AQ65" s="2049"/>
      <c r="AR65" s="2049"/>
      <c r="AS65" s="2049"/>
      <c r="AT65" s="2049"/>
      <c r="AU65" s="2049"/>
      <c r="AV65" s="2049"/>
      <c r="AW65" s="2049"/>
      <c r="AX65" s="2049"/>
      <c r="AY65" s="2049"/>
      <c r="AZ65" s="2049"/>
      <c r="BA65" s="2049"/>
      <c r="BB65" s="2049"/>
      <c r="BC65" s="2049"/>
      <c r="BD65" s="2049"/>
      <c r="BE65" s="2049"/>
    </row>
    <row r="66" spans="1:69" s="1523" customFormat="1" ht="18.75" customHeight="1">
      <c r="C66" s="1554"/>
      <c r="D66" s="1523" t="s">
        <v>964</v>
      </c>
      <c r="F66" s="1555"/>
      <c r="G66" s="1555"/>
      <c r="X66" s="1556"/>
      <c r="AE66" s="1532"/>
      <c r="AK66" s="1557"/>
      <c r="AP66" s="1558">
        <v>3876600</v>
      </c>
      <c r="AQ66" s="1559">
        <f>AP66/30</f>
        <v>129220</v>
      </c>
      <c r="AR66" s="1559">
        <f>AP66/173*1.5</f>
        <v>33612.138728323698</v>
      </c>
      <c r="AS66" s="1559">
        <f>AP66/173*2</f>
        <v>44816.184971098264</v>
      </c>
      <c r="AW66" s="1532" t="s">
        <v>55</v>
      </c>
      <c r="AX66" s="1523" t="s">
        <v>152</v>
      </c>
      <c r="BC66" s="1531"/>
      <c r="BE66" s="1532"/>
      <c r="BG66" s="1555"/>
      <c r="BH66" s="1560"/>
      <c r="BI66" s="1560"/>
      <c r="BJ66" s="1555"/>
      <c r="BK66" s="1561"/>
      <c r="BL66" s="1561"/>
      <c r="BM66" s="1561"/>
      <c r="BN66" s="1555"/>
      <c r="BO66" s="1555"/>
    </row>
    <row r="67" spans="1:69" ht="15" customHeight="1" thickBot="1">
      <c r="A67" s="1547"/>
      <c r="D67" s="1563"/>
      <c r="E67" s="1563"/>
      <c r="F67" s="1564"/>
      <c r="G67" s="1564"/>
      <c r="H67" s="1563"/>
      <c r="I67" s="1563"/>
      <c r="J67" s="1563"/>
      <c r="K67" s="1563"/>
      <c r="L67" s="1563"/>
      <c r="M67" s="1563"/>
      <c r="N67" s="1563"/>
      <c r="O67" s="1563"/>
      <c r="Q67" s="1563"/>
      <c r="R67" s="1563"/>
      <c r="S67" s="1563"/>
      <c r="T67" s="1563"/>
      <c r="U67" s="1563"/>
      <c r="V67" s="1563"/>
      <c r="W67" s="1563"/>
      <c r="X67" s="1563"/>
      <c r="Y67" s="1563"/>
      <c r="Z67" s="1563"/>
      <c r="AA67" s="1563"/>
      <c r="AB67" s="1563"/>
      <c r="AC67" s="1563"/>
      <c r="AD67" s="1547"/>
      <c r="AE67" s="1563"/>
      <c r="AF67" s="1563"/>
      <c r="AG67" s="1563"/>
      <c r="AH67" s="1563"/>
      <c r="AI67" s="1563"/>
      <c r="AJ67" s="1563"/>
      <c r="AK67" s="1565"/>
      <c r="AL67" s="1563"/>
      <c r="AM67" s="1563"/>
      <c r="AO67" s="1563"/>
      <c r="AP67" s="1558">
        <v>3876600</v>
      </c>
      <c r="AQ67" s="1566">
        <f>AP67/30</f>
        <v>129220</v>
      </c>
      <c r="AR67" s="1567"/>
      <c r="AS67" s="1568">
        <f>AP67+24000</f>
        <v>3900600</v>
      </c>
    </row>
    <row r="68" spans="1:69" s="1523" customFormat="1" ht="15.75" customHeight="1">
      <c r="A68" s="2050" t="s">
        <v>5</v>
      </c>
      <c r="B68" s="2053" t="s">
        <v>6</v>
      </c>
      <c r="C68" s="2056" t="s">
        <v>52</v>
      </c>
      <c r="D68" s="1569"/>
      <c r="E68" s="1569"/>
      <c r="F68" s="1570"/>
      <c r="G68" s="1570"/>
      <c r="H68" s="2059" t="s">
        <v>2</v>
      </c>
      <c r="I68" s="2060"/>
      <c r="J68" s="2060"/>
      <c r="K68" s="2060"/>
      <c r="L68" s="2060"/>
      <c r="M68" s="2060"/>
      <c r="N68" s="2060"/>
      <c r="O68" s="2060"/>
      <c r="P68" s="2060"/>
      <c r="Q68" s="2060"/>
      <c r="R68" s="2060"/>
      <c r="S68" s="2060"/>
      <c r="T68" s="2060"/>
      <c r="U68" s="2061"/>
      <c r="V68" s="2056" t="s">
        <v>286</v>
      </c>
      <c r="W68" s="2059" t="s">
        <v>3</v>
      </c>
      <c r="X68" s="2060"/>
      <c r="Y68" s="2060"/>
      <c r="Z68" s="2060"/>
      <c r="AA68" s="2060"/>
      <c r="AB68" s="2060"/>
      <c r="AC68" s="2060"/>
      <c r="AD68" s="2061"/>
      <c r="AE68" s="2042" t="s">
        <v>45</v>
      </c>
      <c r="AF68" s="2063" t="s">
        <v>46</v>
      </c>
      <c r="AG68" s="2064"/>
      <c r="AH68" s="2064"/>
      <c r="AI68" s="2064"/>
      <c r="AJ68" s="2064"/>
      <c r="AK68" s="2064"/>
      <c r="AL68" s="2065"/>
      <c r="AM68" s="2045" t="s">
        <v>98</v>
      </c>
      <c r="AN68" s="2056" t="s">
        <v>44</v>
      </c>
      <c r="AO68" s="1533" t="s">
        <v>4</v>
      </c>
      <c r="AP68" s="2036" t="s">
        <v>20</v>
      </c>
      <c r="AQ68" s="2037"/>
      <c r="AR68" s="2038"/>
      <c r="AS68" s="2036" t="s">
        <v>54</v>
      </c>
      <c r="AT68" s="2037"/>
      <c r="AU68" s="2037"/>
      <c r="AV68" s="2037"/>
      <c r="AW68" s="2037"/>
      <c r="AX68" s="1571"/>
      <c r="AY68" s="2042" t="s">
        <v>89</v>
      </c>
      <c r="AZ68" s="2045" t="s">
        <v>97</v>
      </c>
      <c r="BA68" s="2045" t="s">
        <v>719</v>
      </c>
      <c r="BB68" s="2045" t="s">
        <v>210</v>
      </c>
      <c r="BC68" s="1539" t="s">
        <v>4</v>
      </c>
      <c r="BD68" s="2063" t="s">
        <v>41</v>
      </c>
      <c r="BE68" s="2084"/>
      <c r="BG68" s="1555"/>
      <c r="BH68" s="1560"/>
      <c r="BI68" s="1560"/>
      <c r="BJ68" s="1555"/>
      <c r="BK68" s="1561"/>
      <c r="BL68" s="1561"/>
      <c r="BM68" s="1561"/>
      <c r="BN68" s="1555"/>
      <c r="BO68" s="1555"/>
    </row>
    <row r="69" spans="1:69" s="1523" customFormat="1" ht="25.5" customHeight="1">
      <c r="A69" s="2051"/>
      <c r="B69" s="2054"/>
      <c r="C69" s="2057"/>
      <c r="D69" s="1519" t="s">
        <v>7</v>
      </c>
      <c r="E69" s="1519" t="s">
        <v>8</v>
      </c>
      <c r="F69" s="1572" t="s">
        <v>9</v>
      </c>
      <c r="G69" s="1572" t="s">
        <v>9</v>
      </c>
      <c r="H69" s="2071" t="s">
        <v>10</v>
      </c>
      <c r="I69" s="2072"/>
      <c r="J69" s="2071" t="s">
        <v>11</v>
      </c>
      <c r="K69" s="2072"/>
      <c r="L69" s="2071" t="s">
        <v>12</v>
      </c>
      <c r="M69" s="2072"/>
      <c r="N69" s="2071" t="s">
        <v>13</v>
      </c>
      <c r="O69" s="2072"/>
      <c r="P69" s="2071" t="s">
        <v>14</v>
      </c>
      <c r="Q69" s="2072"/>
      <c r="R69" s="2087" t="s">
        <v>15</v>
      </c>
      <c r="S69" s="2088"/>
      <c r="T69" s="2071" t="s">
        <v>16</v>
      </c>
      <c r="U69" s="2072"/>
      <c r="V69" s="2057"/>
      <c r="W69" s="2071" t="s">
        <v>17</v>
      </c>
      <c r="X69" s="2072"/>
      <c r="Y69" s="2071" t="s">
        <v>18</v>
      </c>
      <c r="Z69" s="2081"/>
      <c r="AA69" s="2072"/>
      <c r="AB69" s="2071" t="s">
        <v>19</v>
      </c>
      <c r="AC69" s="2081"/>
      <c r="AD69" s="2072"/>
      <c r="AE69" s="2043"/>
      <c r="AF69" s="2066"/>
      <c r="AG69" s="2067"/>
      <c r="AH69" s="2067"/>
      <c r="AI69" s="2067"/>
      <c r="AJ69" s="2067"/>
      <c r="AK69" s="2067"/>
      <c r="AL69" s="2068"/>
      <c r="AM69" s="2046"/>
      <c r="AN69" s="2057"/>
      <c r="AO69" s="1534" t="s">
        <v>9</v>
      </c>
      <c r="AP69" s="2039"/>
      <c r="AQ69" s="2040"/>
      <c r="AR69" s="2041"/>
      <c r="AS69" s="2039"/>
      <c r="AT69" s="2040"/>
      <c r="AU69" s="2040"/>
      <c r="AV69" s="2040"/>
      <c r="AW69" s="2040"/>
      <c r="AX69" s="1534" t="s">
        <v>21</v>
      </c>
      <c r="AY69" s="2043"/>
      <c r="AZ69" s="2046"/>
      <c r="BA69" s="2046"/>
      <c r="BB69" s="2046"/>
      <c r="BC69" s="1540" t="s">
        <v>9</v>
      </c>
      <c r="BD69" s="2085"/>
      <c r="BE69" s="2086"/>
      <c r="BG69" s="1573"/>
      <c r="BH69" s="1573"/>
      <c r="BI69" s="1573"/>
      <c r="BJ69" s="1555"/>
      <c r="BK69" s="1561"/>
      <c r="BL69" s="1561"/>
      <c r="BM69" s="1561"/>
      <c r="BN69" s="1555"/>
      <c r="BO69" s="1555"/>
    </row>
    <row r="70" spans="1:69" s="1523" customFormat="1" ht="63" customHeight="1">
      <c r="A70" s="2051"/>
      <c r="B70" s="2054"/>
      <c r="C70" s="2057"/>
      <c r="D70" s="1519" t="s">
        <v>22</v>
      </c>
      <c r="E70" s="1519" t="s">
        <v>23</v>
      </c>
      <c r="F70" s="1572" t="s">
        <v>24</v>
      </c>
      <c r="G70" s="1572" t="s">
        <v>25</v>
      </c>
      <c r="H70" s="2069" t="s">
        <v>4</v>
      </c>
      <c r="I70" s="2070"/>
      <c r="J70" s="2069" t="s">
        <v>4</v>
      </c>
      <c r="K70" s="2070"/>
      <c r="L70" s="2069" t="s">
        <v>4</v>
      </c>
      <c r="M70" s="2070"/>
      <c r="N70" s="2069" t="s">
        <v>4</v>
      </c>
      <c r="O70" s="2070"/>
      <c r="P70" s="2069" t="s">
        <v>4</v>
      </c>
      <c r="Q70" s="2070"/>
      <c r="R70" s="2082" t="s">
        <v>4</v>
      </c>
      <c r="S70" s="2083"/>
      <c r="T70" s="2069" t="s">
        <v>4</v>
      </c>
      <c r="U70" s="2070"/>
      <c r="V70" s="2057"/>
      <c r="W70" s="1534" t="s">
        <v>27</v>
      </c>
      <c r="X70" s="1574" t="s">
        <v>28</v>
      </c>
      <c r="Y70" s="1534" t="s">
        <v>27</v>
      </c>
      <c r="Z70" s="2069" t="s">
        <v>4</v>
      </c>
      <c r="AA70" s="2070"/>
      <c r="AB70" s="1534" t="s">
        <v>27</v>
      </c>
      <c r="AC70" s="2071" t="s">
        <v>4</v>
      </c>
      <c r="AD70" s="2072"/>
      <c r="AE70" s="2062"/>
      <c r="AF70" s="1575" t="s">
        <v>56</v>
      </c>
      <c r="AG70" s="1575" t="s">
        <v>57</v>
      </c>
      <c r="AH70" s="1575" t="s">
        <v>60</v>
      </c>
      <c r="AI70" s="1575" t="s">
        <v>202</v>
      </c>
      <c r="AJ70" s="1575" t="s">
        <v>218</v>
      </c>
      <c r="AK70" s="1575" t="s">
        <v>572</v>
      </c>
      <c r="AL70" s="1575" t="s">
        <v>288</v>
      </c>
      <c r="AM70" s="2089"/>
      <c r="AN70" s="2090"/>
      <c r="AO70" s="1534" t="s">
        <v>29</v>
      </c>
      <c r="AP70" s="1519" t="s">
        <v>30</v>
      </c>
      <c r="AQ70" s="1519" t="s">
        <v>31</v>
      </c>
      <c r="AR70" s="1519" t="s">
        <v>4</v>
      </c>
      <c r="AS70" s="1576" t="s">
        <v>30</v>
      </c>
      <c r="AT70" s="1574" t="s">
        <v>31</v>
      </c>
      <c r="AU70" s="1574" t="s">
        <v>30</v>
      </c>
      <c r="AV70" s="1574" t="s">
        <v>31</v>
      </c>
      <c r="AW70" s="1577" t="s">
        <v>4</v>
      </c>
      <c r="AX70" s="1534" t="s">
        <v>32</v>
      </c>
      <c r="AY70" s="2043"/>
      <c r="AZ70" s="2046"/>
      <c r="BA70" s="2046"/>
      <c r="BB70" s="2046"/>
      <c r="BC70" s="1540" t="s">
        <v>33</v>
      </c>
      <c r="BD70" s="2073" t="s">
        <v>42</v>
      </c>
      <c r="BE70" s="2075" t="s">
        <v>43</v>
      </c>
      <c r="BG70" s="1573"/>
      <c r="BH70" s="1578"/>
      <c r="BI70" s="1578"/>
      <c r="BJ70" s="1555"/>
      <c r="BK70" s="1561"/>
      <c r="BL70" s="1561"/>
      <c r="BM70" s="1561"/>
      <c r="BN70" s="1555"/>
      <c r="BO70" s="1555"/>
    </row>
    <row r="71" spans="1:69" s="1523" customFormat="1" ht="21" customHeight="1" thickBot="1">
      <c r="A71" s="2052"/>
      <c r="B71" s="2055"/>
      <c r="C71" s="2058"/>
      <c r="D71" s="1520"/>
      <c r="E71" s="1520"/>
      <c r="F71" s="1579" t="s">
        <v>34</v>
      </c>
      <c r="G71" s="1580" t="s">
        <v>34</v>
      </c>
      <c r="H71" s="1581" t="s">
        <v>8</v>
      </c>
      <c r="I71" s="1582" t="s">
        <v>34</v>
      </c>
      <c r="J71" s="1581" t="s">
        <v>8</v>
      </c>
      <c r="K71" s="1582" t="s">
        <v>34</v>
      </c>
      <c r="L71" s="1581" t="s">
        <v>8</v>
      </c>
      <c r="M71" s="1582" t="s">
        <v>34</v>
      </c>
      <c r="N71" s="1581" t="s">
        <v>8</v>
      </c>
      <c r="O71" s="1582" t="s">
        <v>34</v>
      </c>
      <c r="P71" s="1581" t="s">
        <v>8</v>
      </c>
      <c r="Q71" s="1582" t="s">
        <v>34</v>
      </c>
      <c r="R71" s="1581" t="s">
        <v>8</v>
      </c>
      <c r="S71" s="1582" t="s">
        <v>34</v>
      </c>
      <c r="T71" s="1581" t="s">
        <v>8</v>
      </c>
      <c r="U71" s="1582" t="s">
        <v>34</v>
      </c>
      <c r="V71" s="2058"/>
      <c r="W71" s="1581" t="s">
        <v>26</v>
      </c>
      <c r="X71" s="1581" t="s">
        <v>34</v>
      </c>
      <c r="Y71" s="1581" t="s">
        <v>26</v>
      </c>
      <c r="Z71" s="1581" t="s">
        <v>26</v>
      </c>
      <c r="AA71" s="1581" t="s">
        <v>34</v>
      </c>
      <c r="AB71" s="1581" t="s">
        <v>26</v>
      </c>
      <c r="AC71" s="1581" t="s">
        <v>35</v>
      </c>
      <c r="AD71" s="1581" t="s">
        <v>34</v>
      </c>
      <c r="AE71" s="1581" t="s">
        <v>34</v>
      </c>
      <c r="AF71" s="1582" t="s">
        <v>34</v>
      </c>
      <c r="AG71" s="1582" t="s">
        <v>34</v>
      </c>
      <c r="AH71" s="1582" t="s">
        <v>34</v>
      </c>
      <c r="AI71" s="1582" t="s">
        <v>34</v>
      </c>
      <c r="AJ71" s="1582" t="s">
        <v>34</v>
      </c>
      <c r="AK71" s="1582" t="s">
        <v>34</v>
      </c>
      <c r="AL71" s="1582" t="s">
        <v>34</v>
      </c>
      <c r="AM71" s="1582" t="s">
        <v>34</v>
      </c>
      <c r="AN71" s="1581" t="s">
        <v>34</v>
      </c>
      <c r="AO71" s="1582" t="s">
        <v>34</v>
      </c>
      <c r="AP71" s="1582" t="s">
        <v>34</v>
      </c>
      <c r="AQ71" s="1582" t="s">
        <v>34</v>
      </c>
      <c r="AR71" s="1582" t="s">
        <v>34</v>
      </c>
      <c r="AS71" s="1581" t="s">
        <v>58</v>
      </c>
      <c r="AT71" s="1582" t="s">
        <v>34</v>
      </c>
      <c r="AU71" s="1582" t="s">
        <v>59</v>
      </c>
      <c r="AV71" s="1582" t="s">
        <v>34</v>
      </c>
      <c r="AW71" s="1583" t="s">
        <v>34</v>
      </c>
      <c r="AX71" s="1537"/>
      <c r="AY71" s="2044"/>
      <c r="AZ71" s="2047"/>
      <c r="BA71" s="2047"/>
      <c r="BB71" s="2047"/>
      <c r="BC71" s="1541" t="s">
        <v>34</v>
      </c>
      <c r="BD71" s="2074"/>
      <c r="BE71" s="2076"/>
      <c r="BG71" s="1555" t="s">
        <v>353</v>
      </c>
      <c r="BH71" s="1578" t="s">
        <v>43</v>
      </c>
      <c r="BI71" s="1578" t="s">
        <v>42</v>
      </c>
      <c r="BJ71" s="1555" t="s">
        <v>354</v>
      </c>
      <c r="BK71" s="1561" t="s">
        <v>358</v>
      </c>
      <c r="BL71" s="1561"/>
      <c r="BM71" s="1561" t="s">
        <v>625</v>
      </c>
      <c r="BN71" s="1555" t="s">
        <v>626</v>
      </c>
      <c r="BO71" s="1555" t="s">
        <v>627</v>
      </c>
      <c r="BQ71" s="1523" t="s">
        <v>685</v>
      </c>
    </row>
    <row r="72" spans="1:69" ht="102" customHeight="1" thickBot="1">
      <c r="A72" s="1584" t="s">
        <v>69</v>
      </c>
      <c r="B72" s="1489" t="s">
        <v>36</v>
      </c>
      <c r="C72" s="1585" t="s">
        <v>338</v>
      </c>
      <c r="D72" s="1590" t="s">
        <v>453</v>
      </c>
      <c r="E72" s="1489">
        <f>'HK UP KEEP, OP '!AH14</f>
        <v>21</v>
      </c>
      <c r="F72" s="1490">
        <v>129220</v>
      </c>
      <c r="G72" s="1490">
        <f t="shared" si="0"/>
        <v>2713620</v>
      </c>
      <c r="H72" s="1489">
        <f>'HK UP KEEP, OP '!AI14</f>
        <v>2</v>
      </c>
      <c r="I72" s="1489">
        <f t="shared" si="1"/>
        <v>258440</v>
      </c>
      <c r="J72" s="1489">
        <f>'HK UP KEEP, OP '!AJ14</f>
        <v>1</v>
      </c>
      <c r="K72" s="1489">
        <f t="shared" si="2"/>
        <v>129220</v>
      </c>
      <c r="L72" s="1489">
        <f>'HK UP KEEP, OP '!AK14</f>
        <v>0</v>
      </c>
      <c r="M72" s="1489">
        <f t="shared" si="3"/>
        <v>0</v>
      </c>
      <c r="N72" s="1489">
        <f>'HK UP KEEP, OP '!AL14</f>
        <v>4</v>
      </c>
      <c r="O72" s="1489">
        <f t="shared" si="4"/>
        <v>516880</v>
      </c>
      <c r="P72" s="1489">
        <f>'HK UP KEEP, OP '!AM14</f>
        <v>3</v>
      </c>
      <c r="Q72" s="1489">
        <f t="shared" si="5"/>
        <v>387660</v>
      </c>
      <c r="R72" s="1489">
        <f>'HK UP KEEP, OP '!AN14</f>
        <v>0</v>
      </c>
      <c r="S72" s="1489">
        <f t="shared" si="6"/>
        <v>0</v>
      </c>
      <c r="T72" s="1489">
        <f>'HK UP KEEP, OP '!AO14+'HK UP KEEP, OP '!AP14+'HK UP KEEP, OP '!AQ14</f>
        <v>0</v>
      </c>
      <c r="U72" s="1489">
        <f t="shared" si="7"/>
        <v>0</v>
      </c>
      <c r="V72" s="1489">
        <f t="shared" si="8"/>
        <v>31</v>
      </c>
      <c r="W72" s="1491">
        <v>4650</v>
      </c>
      <c r="X72" s="1489">
        <f t="shared" si="9"/>
        <v>144150</v>
      </c>
      <c r="Y72" s="1494"/>
      <c r="Z72" s="1494"/>
      <c r="AA72" s="1494">
        <f t="shared" si="27"/>
        <v>0</v>
      </c>
      <c r="AB72" s="1496">
        <v>2500</v>
      </c>
      <c r="AC72" s="1489">
        <f>'MASA KERJA AB'!H15</f>
        <v>10</v>
      </c>
      <c r="AD72" s="1492">
        <f>'MASA KERJA AB'!I15</f>
        <v>27000</v>
      </c>
      <c r="AE72" s="1491"/>
      <c r="AF72" s="1489"/>
      <c r="AG72" s="1489"/>
      <c r="AH72" s="1494"/>
      <c r="AI72" s="1489"/>
      <c r="AJ72" s="1494"/>
      <c r="AK72" s="1501"/>
      <c r="AL72" s="1494"/>
      <c r="AM72" s="1494"/>
      <c r="AN72" s="1494"/>
      <c r="AO72" s="1494">
        <f t="shared" si="10"/>
        <v>4176970</v>
      </c>
      <c r="AP72" s="1489">
        <f t="shared" si="20"/>
        <v>77532</v>
      </c>
      <c r="AQ72" s="1489">
        <f t="shared" si="21"/>
        <v>175997.64</v>
      </c>
      <c r="AR72" s="1489">
        <f t="shared" si="28"/>
        <v>253529.64</v>
      </c>
      <c r="AS72" s="1489">
        <f t="shared" si="22"/>
        <v>39036</v>
      </c>
      <c r="AT72" s="1489">
        <f t="shared" si="23"/>
        <v>156144</v>
      </c>
      <c r="AU72" s="1489">
        <f t="shared" si="24"/>
        <v>38766</v>
      </c>
      <c r="AV72" s="1489">
        <f t="shared" si="25"/>
        <v>77532</v>
      </c>
      <c r="AW72" s="1489">
        <f t="shared" si="29"/>
        <v>311478</v>
      </c>
      <c r="AX72" s="1492">
        <v>4000</v>
      </c>
      <c r="AY72" s="1491">
        <v>0</v>
      </c>
      <c r="AZ72" s="1489">
        <f t="shared" si="13"/>
        <v>0</v>
      </c>
      <c r="BA72" s="1489"/>
      <c r="BB72" s="1494"/>
      <c r="BC72" s="1489">
        <f t="shared" si="14"/>
        <v>4017636</v>
      </c>
      <c r="BD72" s="1495">
        <f>'HK UP KEEP, OP '!AS14</f>
        <v>0</v>
      </c>
      <c r="BE72" s="1488">
        <f>'HK UP KEEP, OP '!AT14</f>
        <v>0</v>
      </c>
      <c r="BG72" s="1551">
        <f t="shared" si="15"/>
        <v>4005820</v>
      </c>
      <c r="BH72" s="1552">
        <f t="shared" si="16"/>
        <v>0</v>
      </c>
      <c r="BI72" s="1552">
        <f t="shared" si="17"/>
        <v>0</v>
      </c>
      <c r="BJ72" s="1551">
        <f t="shared" si="18"/>
        <v>0</v>
      </c>
      <c r="BK72" s="1553">
        <f t="shared" si="26"/>
        <v>4005820</v>
      </c>
      <c r="BM72" s="1553">
        <f t="shared" si="30"/>
        <v>171150</v>
      </c>
      <c r="BN72" s="1551">
        <v>30575.999999999996</v>
      </c>
      <c r="BO72" s="1551">
        <f t="shared" si="19"/>
        <v>565007.64</v>
      </c>
    </row>
    <row r="73" spans="1:69" ht="23.25" customHeight="1">
      <c r="A73" s="2048" t="s">
        <v>0</v>
      </c>
      <c r="B73" s="2048"/>
      <c r="C73" s="2048"/>
      <c r="D73" s="2048"/>
      <c r="E73" s="2048"/>
      <c r="F73" s="2048"/>
      <c r="G73" s="2048"/>
      <c r="H73" s="2048"/>
      <c r="I73" s="2048"/>
      <c r="J73" s="2048"/>
      <c r="K73" s="2048"/>
      <c r="L73" s="2048"/>
      <c r="M73" s="2048"/>
      <c r="N73" s="2048"/>
      <c r="O73" s="2048"/>
      <c r="P73" s="2048"/>
      <c r="Q73" s="2048"/>
      <c r="R73" s="2048"/>
      <c r="S73" s="2048"/>
      <c r="T73" s="2048"/>
      <c r="U73" s="2048"/>
      <c r="V73" s="2048"/>
      <c r="W73" s="2048"/>
      <c r="X73" s="2048"/>
      <c r="Y73" s="2048"/>
      <c r="Z73" s="2048"/>
      <c r="AA73" s="2048"/>
      <c r="AB73" s="2048"/>
      <c r="AC73" s="2048"/>
      <c r="AD73" s="2048"/>
      <c r="AE73" s="2048"/>
      <c r="AF73" s="2048"/>
      <c r="AG73" s="2048"/>
      <c r="AH73" s="2048"/>
      <c r="AI73" s="2048"/>
      <c r="AJ73" s="2048"/>
      <c r="AK73" s="2048"/>
      <c r="AL73" s="2048"/>
      <c r="AM73" s="2048"/>
      <c r="AN73" s="2048"/>
      <c r="AO73" s="2048"/>
      <c r="AP73" s="2048"/>
      <c r="AQ73" s="2048"/>
      <c r="AR73" s="2048"/>
      <c r="AS73" s="2048"/>
      <c r="AT73" s="2048"/>
      <c r="AU73" s="2048"/>
      <c r="AV73" s="2048"/>
      <c r="AW73" s="2048"/>
      <c r="AX73" s="2048"/>
      <c r="AY73" s="2048"/>
      <c r="AZ73" s="2048"/>
      <c r="BA73" s="2048"/>
      <c r="BB73" s="2048"/>
      <c r="BC73" s="2048"/>
      <c r="BD73" s="2048"/>
      <c r="BE73" s="2048"/>
    </row>
    <row r="74" spans="1:69" ht="26.25" customHeight="1">
      <c r="A74" s="2049" t="s">
        <v>1033</v>
      </c>
      <c r="B74" s="2049"/>
      <c r="C74" s="2049"/>
      <c r="D74" s="2049"/>
      <c r="E74" s="2049"/>
      <c r="F74" s="2049"/>
      <c r="G74" s="2049"/>
      <c r="H74" s="2049"/>
      <c r="I74" s="2049"/>
      <c r="J74" s="2049"/>
      <c r="K74" s="2049"/>
      <c r="L74" s="2049"/>
      <c r="M74" s="2049"/>
      <c r="N74" s="2049"/>
      <c r="O74" s="2049"/>
      <c r="P74" s="2049"/>
      <c r="Q74" s="2049"/>
      <c r="R74" s="2049"/>
      <c r="S74" s="2049"/>
      <c r="T74" s="2049"/>
      <c r="U74" s="2049"/>
      <c r="V74" s="2049"/>
      <c r="W74" s="2049"/>
      <c r="X74" s="2049"/>
      <c r="Y74" s="2049"/>
      <c r="Z74" s="2049"/>
      <c r="AA74" s="2049"/>
      <c r="AB74" s="2049"/>
      <c r="AC74" s="2049"/>
      <c r="AD74" s="2049"/>
      <c r="AE74" s="2049"/>
      <c r="AF74" s="2049"/>
      <c r="AG74" s="2049"/>
      <c r="AH74" s="2049"/>
      <c r="AI74" s="2049"/>
      <c r="AJ74" s="2049"/>
      <c r="AK74" s="2049"/>
      <c r="AL74" s="2049"/>
      <c r="AM74" s="2049"/>
      <c r="AN74" s="2049"/>
      <c r="AO74" s="2049"/>
      <c r="AP74" s="2049"/>
      <c r="AQ74" s="2049"/>
      <c r="AR74" s="2049"/>
      <c r="AS74" s="2049"/>
      <c r="AT74" s="2049"/>
      <c r="AU74" s="2049"/>
      <c r="AV74" s="2049"/>
      <c r="AW74" s="2049"/>
      <c r="AX74" s="2049"/>
      <c r="AY74" s="2049"/>
      <c r="AZ74" s="2049"/>
      <c r="BA74" s="2049"/>
      <c r="BB74" s="2049"/>
      <c r="BC74" s="2049"/>
      <c r="BD74" s="2049"/>
      <c r="BE74" s="2049"/>
    </row>
    <row r="75" spans="1:69" s="1523" customFormat="1" ht="18.75" customHeight="1">
      <c r="C75" s="1554"/>
      <c r="D75" s="1523" t="s">
        <v>964</v>
      </c>
      <c r="F75" s="1555"/>
      <c r="G75" s="1555"/>
      <c r="X75" s="1556"/>
      <c r="AE75" s="1532"/>
      <c r="AK75" s="1557"/>
      <c r="AP75" s="1558">
        <v>3876600</v>
      </c>
      <c r="AQ75" s="1559">
        <f>AP75/30</f>
        <v>129220</v>
      </c>
      <c r="AR75" s="1559">
        <f>AP75/173*1.5</f>
        <v>33612.138728323698</v>
      </c>
      <c r="AS75" s="1559">
        <f>AP75/173*2</f>
        <v>44816.184971098264</v>
      </c>
      <c r="AW75" s="1532" t="s">
        <v>55</v>
      </c>
      <c r="AX75" s="1523" t="s">
        <v>152</v>
      </c>
      <c r="BC75" s="1531"/>
      <c r="BE75" s="1532"/>
      <c r="BG75" s="1555"/>
      <c r="BH75" s="1560"/>
      <c r="BI75" s="1560"/>
      <c r="BJ75" s="1555"/>
      <c r="BK75" s="1561"/>
      <c r="BL75" s="1561"/>
      <c r="BM75" s="1561"/>
      <c r="BN75" s="1555"/>
      <c r="BO75" s="1555"/>
    </row>
    <row r="76" spans="1:69" ht="15" customHeight="1" thickBot="1">
      <c r="A76" s="1547"/>
      <c r="D76" s="1563"/>
      <c r="E76" s="1563"/>
      <c r="F76" s="1564"/>
      <c r="G76" s="1564"/>
      <c r="H76" s="1563"/>
      <c r="I76" s="1563"/>
      <c r="J76" s="1563"/>
      <c r="K76" s="1563"/>
      <c r="L76" s="1563"/>
      <c r="M76" s="1563"/>
      <c r="N76" s="1563"/>
      <c r="O76" s="1563"/>
      <c r="Q76" s="1563"/>
      <c r="R76" s="1563"/>
      <c r="S76" s="1563"/>
      <c r="T76" s="1563"/>
      <c r="U76" s="1563"/>
      <c r="V76" s="1563"/>
      <c r="W76" s="1563"/>
      <c r="X76" s="1563"/>
      <c r="Y76" s="1563"/>
      <c r="Z76" s="1563"/>
      <c r="AA76" s="1563"/>
      <c r="AB76" s="1563"/>
      <c r="AC76" s="1563"/>
      <c r="AD76" s="1547"/>
      <c r="AE76" s="1563"/>
      <c r="AF76" s="1563"/>
      <c r="AG76" s="1563"/>
      <c r="AH76" s="1563"/>
      <c r="AI76" s="1563"/>
      <c r="AJ76" s="1563"/>
      <c r="AK76" s="1565"/>
      <c r="AL76" s="1563"/>
      <c r="AM76" s="1563"/>
      <c r="AO76" s="1563"/>
      <c r="AP76" s="1558">
        <v>3876600</v>
      </c>
      <c r="AQ76" s="1566">
        <f>AP76/30</f>
        <v>129220</v>
      </c>
      <c r="AR76" s="1567"/>
      <c r="AS76" s="1568">
        <f>AP76+24000</f>
        <v>3900600</v>
      </c>
    </row>
    <row r="77" spans="1:69" s="1523" customFormat="1" ht="15.75" customHeight="1">
      <c r="A77" s="2050" t="s">
        <v>5</v>
      </c>
      <c r="B77" s="2053" t="s">
        <v>6</v>
      </c>
      <c r="C77" s="2056" t="s">
        <v>52</v>
      </c>
      <c r="D77" s="1569"/>
      <c r="E77" s="1569"/>
      <c r="F77" s="1570"/>
      <c r="G77" s="1570"/>
      <c r="H77" s="2059" t="s">
        <v>2</v>
      </c>
      <c r="I77" s="2060"/>
      <c r="J77" s="2060"/>
      <c r="K77" s="2060"/>
      <c r="L77" s="2060"/>
      <c r="M77" s="2060"/>
      <c r="N77" s="2060"/>
      <c r="O77" s="2060"/>
      <c r="P77" s="2060"/>
      <c r="Q77" s="2060"/>
      <c r="R77" s="2060"/>
      <c r="S77" s="2060"/>
      <c r="T77" s="2060"/>
      <c r="U77" s="2061"/>
      <c r="V77" s="2056" t="s">
        <v>286</v>
      </c>
      <c r="W77" s="2059" t="s">
        <v>3</v>
      </c>
      <c r="X77" s="2060"/>
      <c r="Y77" s="2060"/>
      <c r="Z77" s="2060"/>
      <c r="AA77" s="2060"/>
      <c r="AB77" s="2060"/>
      <c r="AC77" s="2060"/>
      <c r="AD77" s="2061"/>
      <c r="AE77" s="2042" t="s">
        <v>45</v>
      </c>
      <c r="AF77" s="2063" t="s">
        <v>46</v>
      </c>
      <c r="AG77" s="2064"/>
      <c r="AH77" s="2064"/>
      <c r="AI77" s="2064"/>
      <c r="AJ77" s="2064"/>
      <c r="AK77" s="2064"/>
      <c r="AL77" s="2065"/>
      <c r="AM77" s="2045" t="s">
        <v>98</v>
      </c>
      <c r="AN77" s="2056" t="s">
        <v>44</v>
      </c>
      <c r="AO77" s="1533" t="s">
        <v>4</v>
      </c>
      <c r="AP77" s="2036" t="s">
        <v>20</v>
      </c>
      <c r="AQ77" s="2037"/>
      <c r="AR77" s="2038"/>
      <c r="AS77" s="2036" t="s">
        <v>54</v>
      </c>
      <c r="AT77" s="2037"/>
      <c r="AU77" s="2037"/>
      <c r="AV77" s="2037"/>
      <c r="AW77" s="2037"/>
      <c r="AX77" s="1571"/>
      <c r="AY77" s="2042" t="s">
        <v>89</v>
      </c>
      <c r="AZ77" s="2045" t="s">
        <v>97</v>
      </c>
      <c r="BA77" s="2045" t="s">
        <v>719</v>
      </c>
      <c r="BB77" s="2045" t="s">
        <v>210</v>
      </c>
      <c r="BC77" s="1539" t="s">
        <v>4</v>
      </c>
      <c r="BD77" s="2063" t="s">
        <v>41</v>
      </c>
      <c r="BE77" s="2084"/>
      <c r="BG77" s="1555"/>
      <c r="BH77" s="1560"/>
      <c r="BI77" s="1560"/>
      <c r="BJ77" s="1555"/>
      <c r="BK77" s="1561"/>
      <c r="BL77" s="1561"/>
      <c r="BM77" s="1561"/>
      <c r="BN77" s="1555"/>
      <c r="BO77" s="1555"/>
    </row>
    <row r="78" spans="1:69" s="1523" customFormat="1" ht="25.5" customHeight="1">
      <c r="A78" s="2051"/>
      <c r="B78" s="2054"/>
      <c r="C78" s="2057"/>
      <c r="D78" s="1519" t="s">
        <v>7</v>
      </c>
      <c r="E78" s="1519" t="s">
        <v>8</v>
      </c>
      <c r="F78" s="1572" t="s">
        <v>9</v>
      </c>
      <c r="G78" s="1572" t="s">
        <v>9</v>
      </c>
      <c r="H78" s="2071" t="s">
        <v>10</v>
      </c>
      <c r="I78" s="2072"/>
      <c r="J78" s="2071" t="s">
        <v>11</v>
      </c>
      <c r="K78" s="2072"/>
      <c r="L78" s="2071" t="s">
        <v>12</v>
      </c>
      <c r="M78" s="2072"/>
      <c r="N78" s="2071" t="s">
        <v>13</v>
      </c>
      <c r="O78" s="2072"/>
      <c r="P78" s="2071" t="s">
        <v>14</v>
      </c>
      <c r="Q78" s="2072"/>
      <c r="R78" s="2087" t="s">
        <v>15</v>
      </c>
      <c r="S78" s="2088"/>
      <c r="T78" s="2071" t="s">
        <v>16</v>
      </c>
      <c r="U78" s="2072"/>
      <c r="V78" s="2057"/>
      <c r="W78" s="2071" t="s">
        <v>17</v>
      </c>
      <c r="X78" s="2072"/>
      <c r="Y78" s="2071" t="s">
        <v>18</v>
      </c>
      <c r="Z78" s="2081"/>
      <c r="AA78" s="2072"/>
      <c r="AB78" s="2071" t="s">
        <v>19</v>
      </c>
      <c r="AC78" s="2081"/>
      <c r="AD78" s="2072"/>
      <c r="AE78" s="2043"/>
      <c r="AF78" s="2066"/>
      <c r="AG78" s="2067"/>
      <c r="AH78" s="2067"/>
      <c r="AI78" s="2067"/>
      <c r="AJ78" s="2067"/>
      <c r="AK78" s="2067"/>
      <c r="AL78" s="2068"/>
      <c r="AM78" s="2046"/>
      <c r="AN78" s="2057"/>
      <c r="AO78" s="1534" t="s">
        <v>9</v>
      </c>
      <c r="AP78" s="2039"/>
      <c r="AQ78" s="2040"/>
      <c r="AR78" s="2041"/>
      <c r="AS78" s="2039"/>
      <c r="AT78" s="2040"/>
      <c r="AU78" s="2040"/>
      <c r="AV78" s="2040"/>
      <c r="AW78" s="2040"/>
      <c r="AX78" s="1534" t="s">
        <v>21</v>
      </c>
      <c r="AY78" s="2043"/>
      <c r="AZ78" s="2046"/>
      <c r="BA78" s="2046"/>
      <c r="BB78" s="2046"/>
      <c r="BC78" s="1540" t="s">
        <v>9</v>
      </c>
      <c r="BD78" s="2085"/>
      <c r="BE78" s="2086"/>
      <c r="BG78" s="1573"/>
      <c r="BH78" s="1573"/>
      <c r="BI78" s="1573"/>
      <c r="BJ78" s="1555"/>
      <c r="BK78" s="1561"/>
      <c r="BL78" s="1561"/>
      <c r="BM78" s="1561"/>
      <c r="BN78" s="1555"/>
      <c r="BO78" s="1555"/>
    </row>
    <row r="79" spans="1:69" s="1523" customFormat="1" ht="63" customHeight="1">
      <c r="A79" s="2051"/>
      <c r="B79" s="2054"/>
      <c r="C79" s="2057"/>
      <c r="D79" s="1519" t="s">
        <v>22</v>
      </c>
      <c r="E79" s="1519" t="s">
        <v>23</v>
      </c>
      <c r="F79" s="1572" t="s">
        <v>24</v>
      </c>
      <c r="G79" s="1572" t="s">
        <v>25</v>
      </c>
      <c r="H79" s="2069" t="s">
        <v>4</v>
      </c>
      <c r="I79" s="2070"/>
      <c r="J79" s="2069" t="s">
        <v>4</v>
      </c>
      <c r="K79" s="2070"/>
      <c r="L79" s="2069" t="s">
        <v>4</v>
      </c>
      <c r="M79" s="2070"/>
      <c r="N79" s="2069" t="s">
        <v>4</v>
      </c>
      <c r="O79" s="2070"/>
      <c r="P79" s="2069" t="s">
        <v>4</v>
      </c>
      <c r="Q79" s="2070"/>
      <c r="R79" s="2082" t="s">
        <v>4</v>
      </c>
      <c r="S79" s="2083"/>
      <c r="T79" s="2069" t="s">
        <v>4</v>
      </c>
      <c r="U79" s="2070"/>
      <c r="V79" s="2057"/>
      <c r="W79" s="1534" t="s">
        <v>27</v>
      </c>
      <c r="X79" s="1574" t="s">
        <v>28</v>
      </c>
      <c r="Y79" s="1534" t="s">
        <v>27</v>
      </c>
      <c r="Z79" s="2069" t="s">
        <v>4</v>
      </c>
      <c r="AA79" s="2070"/>
      <c r="AB79" s="1534" t="s">
        <v>27</v>
      </c>
      <c r="AC79" s="2071" t="s">
        <v>4</v>
      </c>
      <c r="AD79" s="2072"/>
      <c r="AE79" s="2062"/>
      <c r="AF79" s="1575" t="s">
        <v>56</v>
      </c>
      <c r="AG79" s="1575" t="s">
        <v>57</v>
      </c>
      <c r="AH79" s="1575" t="s">
        <v>60</v>
      </c>
      <c r="AI79" s="1575" t="s">
        <v>202</v>
      </c>
      <c r="AJ79" s="1575" t="s">
        <v>218</v>
      </c>
      <c r="AK79" s="1575" t="s">
        <v>572</v>
      </c>
      <c r="AL79" s="1575" t="s">
        <v>288</v>
      </c>
      <c r="AM79" s="2089"/>
      <c r="AN79" s="2090"/>
      <c r="AO79" s="1534" t="s">
        <v>29</v>
      </c>
      <c r="AP79" s="1519" t="s">
        <v>30</v>
      </c>
      <c r="AQ79" s="1519" t="s">
        <v>31</v>
      </c>
      <c r="AR79" s="1519" t="s">
        <v>4</v>
      </c>
      <c r="AS79" s="1576" t="s">
        <v>30</v>
      </c>
      <c r="AT79" s="1574" t="s">
        <v>31</v>
      </c>
      <c r="AU79" s="1574" t="s">
        <v>30</v>
      </c>
      <c r="AV79" s="1574" t="s">
        <v>31</v>
      </c>
      <c r="AW79" s="1577" t="s">
        <v>4</v>
      </c>
      <c r="AX79" s="1534" t="s">
        <v>32</v>
      </c>
      <c r="AY79" s="2043"/>
      <c r="AZ79" s="2046"/>
      <c r="BA79" s="2046"/>
      <c r="BB79" s="2046"/>
      <c r="BC79" s="1540" t="s">
        <v>33</v>
      </c>
      <c r="BD79" s="2073" t="s">
        <v>42</v>
      </c>
      <c r="BE79" s="2075" t="s">
        <v>43</v>
      </c>
      <c r="BG79" s="1573"/>
      <c r="BH79" s="1578"/>
      <c r="BI79" s="1578"/>
      <c r="BJ79" s="1555"/>
      <c r="BK79" s="1561"/>
      <c r="BL79" s="1561"/>
      <c r="BM79" s="1561"/>
      <c r="BN79" s="1555"/>
      <c r="BO79" s="1555"/>
    </row>
    <row r="80" spans="1:69" s="1523" customFormat="1" ht="21" customHeight="1" thickBot="1">
      <c r="A80" s="2052"/>
      <c r="B80" s="2055"/>
      <c r="C80" s="2058"/>
      <c r="D80" s="1520"/>
      <c r="E80" s="1520"/>
      <c r="F80" s="1579" t="s">
        <v>34</v>
      </c>
      <c r="G80" s="1580" t="s">
        <v>34</v>
      </c>
      <c r="H80" s="1581" t="s">
        <v>8</v>
      </c>
      <c r="I80" s="1582" t="s">
        <v>34</v>
      </c>
      <c r="J80" s="1581" t="s">
        <v>8</v>
      </c>
      <c r="K80" s="1582" t="s">
        <v>34</v>
      </c>
      <c r="L80" s="1581" t="s">
        <v>8</v>
      </c>
      <c r="M80" s="1582" t="s">
        <v>34</v>
      </c>
      <c r="N80" s="1581" t="s">
        <v>8</v>
      </c>
      <c r="O80" s="1582" t="s">
        <v>34</v>
      </c>
      <c r="P80" s="1581" t="s">
        <v>8</v>
      </c>
      <c r="Q80" s="1582" t="s">
        <v>34</v>
      </c>
      <c r="R80" s="1581" t="s">
        <v>8</v>
      </c>
      <c r="S80" s="1582" t="s">
        <v>34</v>
      </c>
      <c r="T80" s="1581" t="s">
        <v>8</v>
      </c>
      <c r="U80" s="1582" t="s">
        <v>34</v>
      </c>
      <c r="V80" s="2058"/>
      <c r="W80" s="1581" t="s">
        <v>26</v>
      </c>
      <c r="X80" s="1581" t="s">
        <v>34</v>
      </c>
      <c r="Y80" s="1581" t="s">
        <v>26</v>
      </c>
      <c r="Z80" s="1581" t="s">
        <v>26</v>
      </c>
      <c r="AA80" s="1581" t="s">
        <v>34</v>
      </c>
      <c r="AB80" s="1581" t="s">
        <v>26</v>
      </c>
      <c r="AC80" s="1581" t="s">
        <v>35</v>
      </c>
      <c r="AD80" s="1581" t="s">
        <v>34</v>
      </c>
      <c r="AE80" s="1581" t="s">
        <v>34</v>
      </c>
      <c r="AF80" s="1582" t="s">
        <v>34</v>
      </c>
      <c r="AG80" s="1582" t="s">
        <v>34</v>
      </c>
      <c r="AH80" s="1582" t="s">
        <v>34</v>
      </c>
      <c r="AI80" s="1582" t="s">
        <v>34</v>
      </c>
      <c r="AJ80" s="1582" t="s">
        <v>34</v>
      </c>
      <c r="AK80" s="1582" t="s">
        <v>34</v>
      </c>
      <c r="AL80" s="1582" t="s">
        <v>34</v>
      </c>
      <c r="AM80" s="1582" t="s">
        <v>34</v>
      </c>
      <c r="AN80" s="1581" t="s">
        <v>34</v>
      </c>
      <c r="AO80" s="1582" t="s">
        <v>34</v>
      </c>
      <c r="AP80" s="1582" t="s">
        <v>34</v>
      </c>
      <c r="AQ80" s="1582" t="s">
        <v>34</v>
      </c>
      <c r="AR80" s="1582" t="s">
        <v>34</v>
      </c>
      <c r="AS80" s="1581" t="s">
        <v>58</v>
      </c>
      <c r="AT80" s="1582" t="s">
        <v>34</v>
      </c>
      <c r="AU80" s="1582" t="s">
        <v>59</v>
      </c>
      <c r="AV80" s="1582" t="s">
        <v>34</v>
      </c>
      <c r="AW80" s="1583" t="s">
        <v>34</v>
      </c>
      <c r="AX80" s="1537"/>
      <c r="AY80" s="2044"/>
      <c r="AZ80" s="2047"/>
      <c r="BA80" s="2047"/>
      <c r="BB80" s="2047"/>
      <c r="BC80" s="1541" t="s">
        <v>34</v>
      </c>
      <c r="BD80" s="2074"/>
      <c r="BE80" s="2076"/>
      <c r="BG80" s="1555" t="s">
        <v>353</v>
      </c>
      <c r="BH80" s="1578" t="s">
        <v>43</v>
      </c>
      <c r="BI80" s="1578" t="s">
        <v>42</v>
      </c>
      <c r="BJ80" s="1555" t="s">
        <v>354</v>
      </c>
      <c r="BK80" s="1561" t="s">
        <v>358</v>
      </c>
      <c r="BL80" s="1561"/>
      <c r="BM80" s="1561" t="s">
        <v>625</v>
      </c>
      <c r="BN80" s="1555" t="s">
        <v>626</v>
      </c>
      <c r="BO80" s="1555" t="s">
        <v>627</v>
      </c>
      <c r="BQ80" s="1523" t="s">
        <v>685</v>
      </c>
    </row>
    <row r="81" spans="1:72" s="1587" customFormat="1" ht="102" customHeight="1" thickBot="1">
      <c r="A81" s="1584" t="s">
        <v>70</v>
      </c>
      <c r="B81" s="1496" t="s">
        <v>37</v>
      </c>
      <c r="C81" s="1585" t="s">
        <v>117</v>
      </c>
      <c r="D81" s="1586" t="s">
        <v>222</v>
      </c>
      <c r="E81" s="1489">
        <f>'HK UP KEEP, OP '!AH15</f>
        <v>19</v>
      </c>
      <c r="F81" s="1490">
        <v>129220</v>
      </c>
      <c r="G81" s="1490">
        <f t="shared" si="0"/>
        <v>2455180</v>
      </c>
      <c r="H81" s="1489">
        <f>'HK UP KEEP, OP '!AI15</f>
        <v>0</v>
      </c>
      <c r="I81" s="1489">
        <f t="shared" si="1"/>
        <v>0</v>
      </c>
      <c r="J81" s="1489">
        <f>'HK UP KEEP, OP '!AJ15</f>
        <v>3</v>
      </c>
      <c r="K81" s="1489">
        <f t="shared" si="2"/>
        <v>387660</v>
      </c>
      <c r="L81" s="1489">
        <f>'HK UP KEEP, OP '!AK15</f>
        <v>2</v>
      </c>
      <c r="M81" s="1489">
        <f t="shared" si="3"/>
        <v>258440</v>
      </c>
      <c r="N81" s="1489">
        <f>'HK UP KEEP, OP '!AL15</f>
        <v>4</v>
      </c>
      <c r="O81" s="1489">
        <f t="shared" si="4"/>
        <v>516880</v>
      </c>
      <c r="P81" s="1489">
        <f>'HK UP KEEP, OP '!AM15</f>
        <v>3</v>
      </c>
      <c r="Q81" s="1489">
        <f t="shared" si="5"/>
        <v>387660</v>
      </c>
      <c r="R81" s="1489">
        <f>'HK UP KEEP, OP '!AN15</f>
        <v>0</v>
      </c>
      <c r="S81" s="1489">
        <f t="shared" si="6"/>
        <v>0</v>
      </c>
      <c r="T81" s="1489">
        <f>'HK UP KEEP, OP '!AO15+'HK UP KEEP, OP '!AP15+'HK UP KEEP, OP '!AQ15</f>
        <v>0</v>
      </c>
      <c r="U81" s="1489">
        <f t="shared" si="7"/>
        <v>0</v>
      </c>
      <c r="V81" s="1489">
        <f t="shared" si="8"/>
        <v>31</v>
      </c>
      <c r="W81" s="1502">
        <v>2250</v>
      </c>
      <c r="X81" s="1489">
        <f t="shared" si="9"/>
        <v>69750</v>
      </c>
      <c r="Y81" s="1503"/>
      <c r="Z81" s="1489"/>
      <c r="AA81" s="1489">
        <f t="shared" si="27"/>
        <v>0</v>
      </c>
      <c r="AB81" s="1496">
        <v>2500</v>
      </c>
      <c r="AC81" s="1489">
        <f>'MASA KERJA AB'!H16</f>
        <v>12</v>
      </c>
      <c r="AD81" s="1492">
        <f>'MASA KERJA AB'!I16</f>
        <v>33000</v>
      </c>
      <c r="AE81" s="1497"/>
      <c r="AF81" s="1489"/>
      <c r="AG81" s="1489"/>
      <c r="AH81" s="1496"/>
      <c r="AI81" s="1489"/>
      <c r="AJ81" s="1496"/>
      <c r="AK81" s="1503"/>
      <c r="AL81" s="1496"/>
      <c r="AM81" s="1496"/>
      <c r="AN81" s="1489"/>
      <c r="AO81" s="1494">
        <f t="shared" si="10"/>
        <v>4108570</v>
      </c>
      <c r="AP81" s="1489">
        <f t="shared" si="20"/>
        <v>77532</v>
      </c>
      <c r="AQ81" s="1489">
        <f t="shared" si="21"/>
        <v>175997.64</v>
      </c>
      <c r="AR81" s="1489">
        <f t="shared" si="28"/>
        <v>253529.64</v>
      </c>
      <c r="AS81" s="1489">
        <f t="shared" si="22"/>
        <v>39096</v>
      </c>
      <c r="AT81" s="1489">
        <f t="shared" si="23"/>
        <v>156384</v>
      </c>
      <c r="AU81" s="1489">
        <f t="shared" si="24"/>
        <v>38766</v>
      </c>
      <c r="AV81" s="1489">
        <f t="shared" si="25"/>
        <v>77532</v>
      </c>
      <c r="AW81" s="1489">
        <f t="shared" si="29"/>
        <v>311778</v>
      </c>
      <c r="AX81" s="1492">
        <v>4000</v>
      </c>
      <c r="AY81" s="1491">
        <v>0</v>
      </c>
      <c r="AZ81" s="1489">
        <f t="shared" si="13"/>
        <v>0</v>
      </c>
      <c r="BA81" s="1489"/>
      <c r="BB81" s="1496"/>
      <c r="BC81" s="1489">
        <f t="shared" si="14"/>
        <v>3949176</v>
      </c>
      <c r="BD81" s="1495">
        <f>'HK UP KEEP, OP '!AS15</f>
        <v>0</v>
      </c>
      <c r="BE81" s="1488">
        <f>'HK UP KEEP, OP '!AT15</f>
        <v>0</v>
      </c>
      <c r="BG81" s="1551">
        <f t="shared" si="15"/>
        <v>4005820</v>
      </c>
      <c r="BH81" s="1552">
        <f t="shared" si="16"/>
        <v>0</v>
      </c>
      <c r="BI81" s="1552">
        <f t="shared" si="17"/>
        <v>0</v>
      </c>
      <c r="BJ81" s="1551">
        <f t="shared" si="18"/>
        <v>0</v>
      </c>
      <c r="BK81" s="1553">
        <f t="shared" si="26"/>
        <v>4005820</v>
      </c>
      <c r="BL81" s="1553"/>
      <c r="BM81" s="1553">
        <f t="shared" si="30"/>
        <v>102750</v>
      </c>
      <c r="BN81" s="1551">
        <v>30575.999999999996</v>
      </c>
      <c r="BO81" s="1551">
        <f t="shared" si="19"/>
        <v>565307.64</v>
      </c>
      <c r="BS81" s="1589"/>
      <c r="BT81" s="1589"/>
    </row>
    <row r="82" spans="1:72" ht="23.25" customHeight="1">
      <c r="A82" s="2048" t="s">
        <v>0</v>
      </c>
      <c r="B82" s="2048"/>
      <c r="C82" s="2048"/>
      <c r="D82" s="2048"/>
      <c r="E82" s="2048"/>
      <c r="F82" s="2048"/>
      <c r="G82" s="2048"/>
      <c r="H82" s="2048"/>
      <c r="I82" s="2048"/>
      <c r="J82" s="2048"/>
      <c r="K82" s="2048"/>
      <c r="L82" s="2048"/>
      <c r="M82" s="2048"/>
      <c r="N82" s="2048"/>
      <c r="O82" s="2048"/>
      <c r="P82" s="2048"/>
      <c r="Q82" s="2048"/>
      <c r="R82" s="2048"/>
      <c r="S82" s="2048"/>
      <c r="T82" s="2048"/>
      <c r="U82" s="2048"/>
      <c r="V82" s="2048"/>
      <c r="W82" s="2048"/>
      <c r="X82" s="2048"/>
      <c r="Y82" s="2048"/>
      <c r="Z82" s="2048"/>
      <c r="AA82" s="2048"/>
      <c r="AB82" s="2048"/>
      <c r="AC82" s="2048"/>
      <c r="AD82" s="2048"/>
      <c r="AE82" s="2048"/>
      <c r="AF82" s="2048"/>
      <c r="AG82" s="2048"/>
      <c r="AH82" s="2048"/>
      <c r="AI82" s="2048"/>
      <c r="AJ82" s="2048"/>
      <c r="AK82" s="2048"/>
      <c r="AL82" s="2048"/>
      <c r="AM82" s="2048"/>
      <c r="AN82" s="2048"/>
      <c r="AO82" s="2048"/>
      <c r="AP82" s="2048"/>
      <c r="AQ82" s="2048"/>
      <c r="AR82" s="2048"/>
      <c r="AS82" s="2048"/>
      <c r="AT82" s="2048"/>
      <c r="AU82" s="2048"/>
      <c r="AV82" s="2048"/>
      <c r="AW82" s="2048"/>
      <c r="AX82" s="2048"/>
      <c r="AY82" s="2048"/>
      <c r="AZ82" s="2048"/>
      <c r="BA82" s="2048"/>
      <c r="BB82" s="2048"/>
      <c r="BC82" s="2048"/>
      <c r="BD82" s="2048"/>
      <c r="BE82" s="2048"/>
    </row>
    <row r="83" spans="1:72" ht="26.25" customHeight="1">
      <c r="A83" s="2049" t="s">
        <v>1033</v>
      </c>
      <c r="B83" s="2049"/>
      <c r="C83" s="2049"/>
      <c r="D83" s="2049"/>
      <c r="E83" s="2049"/>
      <c r="F83" s="2049"/>
      <c r="G83" s="2049"/>
      <c r="H83" s="2049"/>
      <c r="I83" s="2049"/>
      <c r="J83" s="2049"/>
      <c r="K83" s="2049"/>
      <c r="L83" s="2049"/>
      <c r="M83" s="2049"/>
      <c r="N83" s="2049"/>
      <c r="O83" s="2049"/>
      <c r="P83" s="2049"/>
      <c r="Q83" s="2049"/>
      <c r="R83" s="2049"/>
      <c r="S83" s="2049"/>
      <c r="T83" s="2049"/>
      <c r="U83" s="2049"/>
      <c r="V83" s="2049"/>
      <c r="W83" s="2049"/>
      <c r="X83" s="2049"/>
      <c r="Y83" s="2049"/>
      <c r="Z83" s="2049"/>
      <c r="AA83" s="2049"/>
      <c r="AB83" s="2049"/>
      <c r="AC83" s="2049"/>
      <c r="AD83" s="2049"/>
      <c r="AE83" s="2049"/>
      <c r="AF83" s="2049"/>
      <c r="AG83" s="2049"/>
      <c r="AH83" s="2049"/>
      <c r="AI83" s="2049"/>
      <c r="AJ83" s="2049"/>
      <c r="AK83" s="2049"/>
      <c r="AL83" s="2049"/>
      <c r="AM83" s="2049"/>
      <c r="AN83" s="2049"/>
      <c r="AO83" s="2049"/>
      <c r="AP83" s="2049"/>
      <c r="AQ83" s="2049"/>
      <c r="AR83" s="2049"/>
      <c r="AS83" s="2049"/>
      <c r="AT83" s="2049"/>
      <c r="AU83" s="2049"/>
      <c r="AV83" s="2049"/>
      <c r="AW83" s="2049"/>
      <c r="AX83" s="2049"/>
      <c r="AY83" s="2049"/>
      <c r="AZ83" s="2049"/>
      <c r="BA83" s="2049"/>
      <c r="BB83" s="2049"/>
      <c r="BC83" s="2049"/>
      <c r="BD83" s="2049"/>
      <c r="BE83" s="2049"/>
    </row>
    <row r="84" spans="1:72" s="1523" customFormat="1" ht="18.75" customHeight="1">
      <c r="C84" s="1554"/>
      <c r="D84" s="1523" t="s">
        <v>964</v>
      </c>
      <c r="F84" s="1555"/>
      <c r="G84" s="1555"/>
      <c r="X84" s="1556"/>
      <c r="AE84" s="1532"/>
      <c r="AK84" s="1557"/>
      <c r="AP84" s="1558">
        <v>3876600</v>
      </c>
      <c r="AQ84" s="1559">
        <f>AP84/30</f>
        <v>129220</v>
      </c>
      <c r="AR84" s="1559">
        <f>AP84/173*1.5</f>
        <v>33612.138728323698</v>
      </c>
      <c r="AS84" s="1559">
        <f>AP84/173*2</f>
        <v>44816.184971098264</v>
      </c>
      <c r="AW84" s="1532" t="s">
        <v>55</v>
      </c>
      <c r="AX84" s="1523" t="s">
        <v>152</v>
      </c>
      <c r="BC84" s="1531"/>
      <c r="BE84" s="1532"/>
      <c r="BG84" s="1555"/>
      <c r="BH84" s="1560"/>
      <c r="BI84" s="1560"/>
      <c r="BJ84" s="1555"/>
      <c r="BK84" s="1561"/>
      <c r="BL84" s="1561"/>
      <c r="BM84" s="1561"/>
      <c r="BN84" s="1555"/>
      <c r="BO84" s="1555"/>
    </row>
    <row r="85" spans="1:72" ht="15" customHeight="1" thickBot="1">
      <c r="A85" s="1547"/>
      <c r="D85" s="1563"/>
      <c r="E85" s="1563"/>
      <c r="F85" s="1564"/>
      <c r="G85" s="1564"/>
      <c r="H85" s="1563"/>
      <c r="I85" s="1563"/>
      <c r="J85" s="1563"/>
      <c r="K85" s="1563"/>
      <c r="L85" s="1563"/>
      <c r="M85" s="1563"/>
      <c r="N85" s="1563"/>
      <c r="O85" s="1563"/>
      <c r="Q85" s="1563"/>
      <c r="R85" s="1563"/>
      <c r="S85" s="1563"/>
      <c r="T85" s="1563"/>
      <c r="U85" s="1563"/>
      <c r="V85" s="1563"/>
      <c r="W85" s="1563"/>
      <c r="X85" s="1563"/>
      <c r="Y85" s="1563"/>
      <c r="Z85" s="1563"/>
      <c r="AA85" s="1563"/>
      <c r="AB85" s="1563"/>
      <c r="AC85" s="1563"/>
      <c r="AD85" s="1547"/>
      <c r="AE85" s="1563"/>
      <c r="AF85" s="1563"/>
      <c r="AG85" s="1563"/>
      <c r="AH85" s="1563"/>
      <c r="AI85" s="1563"/>
      <c r="AJ85" s="1563"/>
      <c r="AK85" s="1565"/>
      <c r="AL85" s="1563"/>
      <c r="AM85" s="1563"/>
      <c r="AO85" s="1563"/>
      <c r="AP85" s="1558">
        <v>3876600</v>
      </c>
      <c r="AQ85" s="1566">
        <f>AP85/30</f>
        <v>129220</v>
      </c>
      <c r="AR85" s="1567"/>
      <c r="AS85" s="1568">
        <f>AP85+24000</f>
        <v>3900600</v>
      </c>
    </row>
    <row r="86" spans="1:72" s="1523" customFormat="1" ht="15.75" customHeight="1">
      <c r="A86" s="2050" t="s">
        <v>5</v>
      </c>
      <c r="B86" s="2053" t="s">
        <v>6</v>
      </c>
      <c r="C86" s="2056" t="s">
        <v>52</v>
      </c>
      <c r="D86" s="1569"/>
      <c r="E86" s="1569"/>
      <c r="F86" s="1570"/>
      <c r="G86" s="1570"/>
      <c r="H86" s="2059" t="s">
        <v>2</v>
      </c>
      <c r="I86" s="2060"/>
      <c r="J86" s="2060"/>
      <c r="K86" s="2060"/>
      <c r="L86" s="2060"/>
      <c r="M86" s="2060"/>
      <c r="N86" s="2060"/>
      <c r="O86" s="2060"/>
      <c r="P86" s="2060"/>
      <c r="Q86" s="2060"/>
      <c r="R86" s="2060"/>
      <c r="S86" s="2060"/>
      <c r="T86" s="2060"/>
      <c r="U86" s="2061"/>
      <c r="V86" s="2056" t="s">
        <v>286</v>
      </c>
      <c r="W86" s="2059" t="s">
        <v>3</v>
      </c>
      <c r="X86" s="2060"/>
      <c r="Y86" s="2060"/>
      <c r="Z86" s="2060"/>
      <c r="AA86" s="2060"/>
      <c r="AB86" s="2060"/>
      <c r="AC86" s="2060"/>
      <c r="AD86" s="2061"/>
      <c r="AE86" s="2042" t="s">
        <v>45</v>
      </c>
      <c r="AF86" s="2063" t="s">
        <v>46</v>
      </c>
      <c r="AG86" s="2064"/>
      <c r="AH86" s="2064"/>
      <c r="AI86" s="2064"/>
      <c r="AJ86" s="2064"/>
      <c r="AK86" s="2064"/>
      <c r="AL86" s="2065"/>
      <c r="AM86" s="2045" t="s">
        <v>98</v>
      </c>
      <c r="AN86" s="2056" t="s">
        <v>44</v>
      </c>
      <c r="AO86" s="1533" t="s">
        <v>4</v>
      </c>
      <c r="AP86" s="2036" t="s">
        <v>20</v>
      </c>
      <c r="AQ86" s="2037"/>
      <c r="AR86" s="2038"/>
      <c r="AS86" s="2036" t="s">
        <v>54</v>
      </c>
      <c r="AT86" s="2037"/>
      <c r="AU86" s="2037"/>
      <c r="AV86" s="2037"/>
      <c r="AW86" s="2037"/>
      <c r="AX86" s="1571"/>
      <c r="AY86" s="2042" t="s">
        <v>89</v>
      </c>
      <c r="AZ86" s="2045" t="s">
        <v>97</v>
      </c>
      <c r="BA86" s="2045" t="s">
        <v>719</v>
      </c>
      <c r="BB86" s="2045" t="s">
        <v>210</v>
      </c>
      <c r="BC86" s="1539" t="s">
        <v>4</v>
      </c>
      <c r="BD86" s="2063" t="s">
        <v>41</v>
      </c>
      <c r="BE86" s="2084"/>
      <c r="BG86" s="1555"/>
      <c r="BH86" s="1560"/>
      <c r="BI86" s="1560"/>
      <c r="BJ86" s="1555"/>
      <c r="BK86" s="1561"/>
      <c r="BL86" s="1561"/>
      <c r="BM86" s="1561"/>
      <c r="BN86" s="1555"/>
      <c r="BO86" s="1555"/>
    </row>
    <row r="87" spans="1:72" s="1523" customFormat="1" ht="25.5" customHeight="1">
      <c r="A87" s="2051"/>
      <c r="B87" s="2054"/>
      <c r="C87" s="2057"/>
      <c r="D87" s="1519" t="s">
        <v>7</v>
      </c>
      <c r="E87" s="1519" t="s">
        <v>8</v>
      </c>
      <c r="F87" s="1572" t="s">
        <v>9</v>
      </c>
      <c r="G87" s="1572" t="s">
        <v>9</v>
      </c>
      <c r="H87" s="2071" t="s">
        <v>10</v>
      </c>
      <c r="I87" s="2072"/>
      <c r="J87" s="2071" t="s">
        <v>11</v>
      </c>
      <c r="K87" s="2072"/>
      <c r="L87" s="2071" t="s">
        <v>12</v>
      </c>
      <c r="M87" s="2072"/>
      <c r="N87" s="2071" t="s">
        <v>13</v>
      </c>
      <c r="O87" s="2072"/>
      <c r="P87" s="2071" t="s">
        <v>14</v>
      </c>
      <c r="Q87" s="2072"/>
      <c r="R87" s="2087" t="s">
        <v>15</v>
      </c>
      <c r="S87" s="2088"/>
      <c r="T87" s="2071" t="s">
        <v>16</v>
      </c>
      <c r="U87" s="2072"/>
      <c r="V87" s="2057"/>
      <c r="W87" s="2071" t="s">
        <v>17</v>
      </c>
      <c r="X87" s="2072"/>
      <c r="Y87" s="2071" t="s">
        <v>18</v>
      </c>
      <c r="Z87" s="2081"/>
      <c r="AA87" s="2072"/>
      <c r="AB87" s="2071" t="s">
        <v>19</v>
      </c>
      <c r="AC87" s="2081"/>
      <c r="AD87" s="2072"/>
      <c r="AE87" s="2043"/>
      <c r="AF87" s="2066"/>
      <c r="AG87" s="2067"/>
      <c r="AH87" s="2067"/>
      <c r="AI87" s="2067"/>
      <c r="AJ87" s="2067"/>
      <c r="AK87" s="2067"/>
      <c r="AL87" s="2068"/>
      <c r="AM87" s="2046"/>
      <c r="AN87" s="2057"/>
      <c r="AO87" s="1534" t="s">
        <v>9</v>
      </c>
      <c r="AP87" s="2039"/>
      <c r="AQ87" s="2040"/>
      <c r="AR87" s="2041"/>
      <c r="AS87" s="2039"/>
      <c r="AT87" s="2040"/>
      <c r="AU87" s="2040"/>
      <c r="AV87" s="2040"/>
      <c r="AW87" s="2040"/>
      <c r="AX87" s="1534" t="s">
        <v>21</v>
      </c>
      <c r="AY87" s="2043"/>
      <c r="AZ87" s="2046"/>
      <c r="BA87" s="2046"/>
      <c r="BB87" s="2046"/>
      <c r="BC87" s="1540" t="s">
        <v>9</v>
      </c>
      <c r="BD87" s="2085"/>
      <c r="BE87" s="2086"/>
      <c r="BG87" s="1573"/>
      <c r="BH87" s="1573"/>
      <c r="BI87" s="1573"/>
      <c r="BJ87" s="1555"/>
      <c r="BK87" s="1561"/>
      <c r="BL87" s="1561"/>
      <c r="BM87" s="1561"/>
      <c r="BN87" s="1555"/>
      <c r="BO87" s="1555"/>
    </row>
    <row r="88" spans="1:72" s="1523" customFormat="1" ht="63" customHeight="1">
      <c r="A88" s="2051"/>
      <c r="B88" s="2054"/>
      <c r="C88" s="2057"/>
      <c r="D88" s="1519" t="s">
        <v>22</v>
      </c>
      <c r="E88" s="1519" t="s">
        <v>23</v>
      </c>
      <c r="F88" s="1572" t="s">
        <v>24</v>
      </c>
      <c r="G88" s="1572" t="s">
        <v>25</v>
      </c>
      <c r="H88" s="2069" t="s">
        <v>4</v>
      </c>
      <c r="I88" s="2070"/>
      <c r="J88" s="2069" t="s">
        <v>4</v>
      </c>
      <c r="K88" s="2070"/>
      <c r="L88" s="2069" t="s">
        <v>4</v>
      </c>
      <c r="M88" s="2070"/>
      <c r="N88" s="2069" t="s">
        <v>4</v>
      </c>
      <c r="O88" s="2070"/>
      <c r="P88" s="2069" t="s">
        <v>4</v>
      </c>
      <c r="Q88" s="2070"/>
      <c r="R88" s="2082" t="s">
        <v>4</v>
      </c>
      <c r="S88" s="2083"/>
      <c r="T88" s="2069" t="s">
        <v>4</v>
      </c>
      <c r="U88" s="2070"/>
      <c r="V88" s="2057"/>
      <c r="W88" s="1534" t="s">
        <v>27</v>
      </c>
      <c r="X88" s="1574" t="s">
        <v>28</v>
      </c>
      <c r="Y88" s="1534" t="s">
        <v>27</v>
      </c>
      <c r="Z88" s="2069" t="s">
        <v>4</v>
      </c>
      <c r="AA88" s="2070"/>
      <c r="AB88" s="1534" t="s">
        <v>27</v>
      </c>
      <c r="AC88" s="2071" t="s">
        <v>4</v>
      </c>
      <c r="AD88" s="2072"/>
      <c r="AE88" s="2062"/>
      <c r="AF88" s="1575" t="s">
        <v>56</v>
      </c>
      <c r="AG88" s="1575" t="s">
        <v>57</v>
      </c>
      <c r="AH88" s="1575" t="s">
        <v>60</v>
      </c>
      <c r="AI88" s="1575" t="s">
        <v>202</v>
      </c>
      <c r="AJ88" s="1575" t="s">
        <v>218</v>
      </c>
      <c r="AK88" s="1575" t="s">
        <v>572</v>
      </c>
      <c r="AL88" s="1575" t="s">
        <v>288</v>
      </c>
      <c r="AM88" s="2089"/>
      <c r="AN88" s="2090"/>
      <c r="AO88" s="1534" t="s">
        <v>29</v>
      </c>
      <c r="AP88" s="1519" t="s">
        <v>30</v>
      </c>
      <c r="AQ88" s="1519" t="s">
        <v>31</v>
      </c>
      <c r="AR88" s="1519" t="s">
        <v>4</v>
      </c>
      <c r="AS88" s="1576" t="s">
        <v>30</v>
      </c>
      <c r="AT88" s="1574" t="s">
        <v>31</v>
      </c>
      <c r="AU88" s="1574" t="s">
        <v>30</v>
      </c>
      <c r="AV88" s="1574" t="s">
        <v>31</v>
      </c>
      <c r="AW88" s="1577" t="s">
        <v>4</v>
      </c>
      <c r="AX88" s="1534" t="s">
        <v>32</v>
      </c>
      <c r="AY88" s="2043"/>
      <c r="AZ88" s="2046"/>
      <c r="BA88" s="2046"/>
      <c r="BB88" s="2046"/>
      <c r="BC88" s="1540" t="s">
        <v>33</v>
      </c>
      <c r="BD88" s="2073" t="s">
        <v>42</v>
      </c>
      <c r="BE88" s="2075" t="s">
        <v>43</v>
      </c>
      <c r="BG88" s="1573"/>
      <c r="BH88" s="1578"/>
      <c r="BI88" s="1578"/>
      <c r="BJ88" s="1555"/>
      <c r="BK88" s="1561"/>
      <c r="BL88" s="1561"/>
      <c r="BM88" s="1561"/>
      <c r="BN88" s="1555"/>
      <c r="BO88" s="1555"/>
    </row>
    <row r="89" spans="1:72" s="1523" customFormat="1" ht="21" customHeight="1" thickBot="1">
      <c r="A89" s="2052"/>
      <c r="B89" s="2055"/>
      <c r="C89" s="2058"/>
      <c r="D89" s="1520"/>
      <c r="E89" s="1520"/>
      <c r="F89" s="1579" t="s">
        <v>34</v>
      </c>
      <c r="G89" s="1580" t="s">
        <v>34</v>
      </c>
      <c r="H89" s="1581" t="s">
        <v>8</v>
      </c>
      <c r="I89" s="1582" t="s">
        <v>34</v>
      </c>
      <c r="J89" s="1581" t="s">
        <v>8</v>
      </c>
      <c r="K89" s="1582" t="s">
        <v>34</v>
      </c>
      <c r="L89" s="1581" t="s">
        <v>8</v>
      </c>
      <c r="M89" s="1582" t="s">
        <v>34</v>
      </c>
      <c r="N89" s="1581" t="s">
        <v>8</v>
      </c>
      <c r="O89" s="1582" t="s">
        <v>34</v>
      </c>
      <c r="P89" s="1581" t="s">
        <v>8</v>
      </c>
      <c r="Q89" s="1582" t="s">
        <v>34</v>
      </c>
      <c r="R89" s="1581" t="s">
        <v>8</v>
      </c>
      <c r="S89" s="1582" t="s">
        <v>34</v>
      </c>
      <c r="T89" s="1581" t="s">
        <v>8</v>
      </c>
      <c r="U89" s="1582" t="s">
        <v>34</v>
      </c>
      <c r="V89" s="2058"/>
      <c r="W89" s="1581" t="s">
        <v>26</v>
      </c>
      <c r="X89" s="1581" t="s">
        <v>34</v>
      </c>
      <c r="Y89" s="1581" t="s">
        <v>26</v>
      </c>
      <c r="Z89" s="1581" t="s">
        <v>26</v>
      </c>
      <c r="AA89" s="1581" t="s">
        <v>34</v>
      </c>
      <c r="AB89" s="1581" t="s">
        <v>26</v>
      </c>
      <c r="AC89" s="1581" t="s">
        <v>35</v>
      </c>
      <c r="AD89" s="1581" t="s">
        <v>34</v>
      </c>
      <c r="AE89" s="1581" t="s">
        <v>34</v>
      </c>
      <c r="AF89" s="1582" t="s">
        <v>34</v>
      </c>
      <c r="AG89" s="1582" t="s">
        <v>34</v>
      </c>
      <c r="AH89" s="1582" t="s">
        <v>34</v>
      </c>
      <c r="AI89" s="1582" t="s">
        <v>34</v>
      </c>
      <c r="AJ89" s="1582" t="s">
        <v>34</v>
      </c>
      <c r="AK89" s="1582" t="s">
        <v>34</v>
      </c>
      <c r="AL89" s="1582" t="s">
        <v>34</v>
      </c>
      <c r="AM89" s="1582" t="s">
        <v>34</v>
      </c>
      <c r="AN89" s="1581" t="s">
        <v>34</v>
      </c>
      <c r="AO89" s="1582" t="s">
        <v>34</v>
      </c>
      <c r="AP89" s="1582" t="s">
        <v>34</v>
      </c>
      <c r="AQ89" s="1582" t="s">
        <v>34</v>
      </c>
      <c r="AR89" s="1582" t="s">
        <v>34</v>
      </c>
      <c r="AS89" s="1581" t="s">
        <v>58</v>
      </c>
      <c r="AT89" s="1582" t="s">
        <v>34</v>
      </c>
      <c r="AU89" s="1582" t="s">
        <v>59</v>
      </c>
      <c r="AV89" s="1582" t="s">
        <v>34</v>
      </c>
      <c r="AW89" s="1583" t="s">
        <v>34</v>
      </c>
      <c r="AX89" s="1537"/>
      <c r="AY89" s="2044"/>
      <c r="AZ89" s="2047"/>
      <c r="BA89" s="2047"/>
      <c r="BB89" s="2047"/>
      <c r="BC89" s="1541" t="s">
        <v>34</v>
      </c>
      <c r="BD89" s="2074"/>
      <c r="BE89" s="2076"/>
      <c r="BG89" s="1555" t="s">
        <v>353</v>
      </c>
      <c r="BH89" s="1578" t="s">
        <v>43</v>
      </c>
      <c r="BI89" s="1578" t="s">
        <v>42</v>
      </c>
      <c r="BJ89" s="1555" t="s">
        <v>354</v>
      </c>
      <c r="BK89" s="1561" t="s">
        <v>358</v>
      </c>
      <c r="BL89" s="1561"/>
      <c r="BM89" s="1561" t="s">
        <v>625</v>
      </c>
      <c r="BN89" s="1555" t="s">
        <v>626</v>
      </c>
      <c r="BO89" s="1555" t="s">
        <v>627</v>
      </c>
      <c r="BQ89" s="1523" t="s">
        <v>685</v>
      </c>
    </row>
    <row r="90" spans="1:72" ht="102" customHeight="1" thickBot="1">
      <c r="A90" s="1584" t="s">
        <v>71</v>
      </c>
      <c r="B90" s="1489" t="s">
        <v>37</v>
      </c>
      <c r="C90" s="1591" t="s">
        <v>118</v>
      </c>
      <c r="D90" s="1586" t="s">
        <v>102</v>
      </c>
      <c r="E90" s="1489">
        <f>'HK UP KEEP, OP '!AH16</f>
        <v>21</v>
      </c>
      <c r="F90" s="1490">
        <v>129220</v>
      </c>
      <c r="G90" s="1490">
        <f t="shared" si="0"/>
        <v>2713620</v>
      </c>
      <c r="H90" s="1489">
        <f>'HK UP KEEP, OP '!AI16</f>
        <v>0</v>
      </c>
      <c r="I90" s="1489">
        <f t="shared" si="1"/>
        <v>0</v>
      </c>
      <c r="J90" s="1489">
        <f>'HK UP KEEP, OP '!AJ16</f>
        <v>1</v>
      </c>
      <c r="K90" s="1489">
        <f t="shared" si="2"/>
        <v>129220</v>
      </c>
      <c r="L90" s="1489">
        <f>'HK UP KEEP, OP '!AK16</f>
        <v>2</v>
      </c>
      <c r="M90" s="1489">
        <f t="shared" si="3"/>
        <v>258440</v>
      </c>
      <c r="N90" s="1489">
        <f>'HK UP KEEP, OP '!AL16</f>
        <v>4</v>
      </c>
      <c r="O90" s="1489">
        <f t="shared" si="4"/>
        <v>516880</v>
      </c>
      <c r="P90" s="1489">
        <f>'HK UP KEEP, OP '!AM16</f>
        <v>3</v>
      </c>
      <c r="Q90" s="1489">
        <f t="shared" si="5"/>
        <v>387660</v>
      </c>
      <c r="R90" s="1489">
        <f>'HK UP KEEP, OP '!AN16</f>
        <v>0</v>
      </c>
      <c r="S90" s="1489">
        <f t="shared" si="6"/>
        <v>0</v>
      </c>
      <c r="T90" s="1489">
        <f>'HK UP KEEP, OP '!AO16+'HK UP KEEP, OP '!AP16+'HK UP KEEP, OP '!AQ16</f>
        <v>0</v>
      </c>
      <c r="U90" s="1489">
        <f t="shared" si="7"/>
        <v>0</v>
      </c>
      <c r="V90" s="1489">
        <f t="shared" si="8"/>
        <v>31</v>
      </c>
      <c r="W90" s="1491">
        <v>2250</v>
      </c>
      <c r="X90" s="1489">
        <f t="shared" si="9"/>
        <v>69750</v>
      </c>
      <c r="Y90" s="1489"/>
      <c r="Z90" s="1489"/>
      <c r="AA90" s="1489">
        <f t="shared" si="27"/>
        <v>0</v>
      </c>
      <c r="AB90" s="1489">
        <v>2500</v>
      </c>
      <c r="AC90" s="1489">
        <f>'MASA KERJA AB'!H17</f>
        <v>16</v>
      </c>
      <c r="AD90" s="1492">
        <f>'MASA KERJA AB'!I17</f>
        <v>43500</v>
      </c>
      <c r="AE90" s="1497"/>
      <c r="AF90" s="1489"/>
      <c r="AG90" s="1489"/>
      <c r="AH90" s="1490"/>
      <c r="AI90" s="1489"/>
      <c r="AJ90" s="1490"/>
      <c r="AK90" s="1504"/>
      <c r="AL90" s="1489"/>
      <c r="AM90" s="1489"/>
      <c r="AN90" s="1489"/>
      <c r="AO90" s="1494">
        <f t="shared" si="10"/>
        <v>4119070</v>
      </c>
      <c r="AP90" s="1489">
        <f t="shared" si="20"/>
        <v>77532</v>
      </c>
      <c r="AQ90" s="1489">
        <f t="shared" si="21"/>
        <v>175997.64</v>
      </c>
      <c r="AR90" s="1489">
        <f t="shared" si="28"/>
        <v>253529.64</v>
      </c>
      <c r="AS90" s="1489">
        <f t="shared" si="22"/>
        <v>39201</v>
      </c>
      <c r="AT90" s="1489">
        <f t="shared" si="23"/>
        <v>156804</v>
      </c>
      <c r="AU90" s="1489">
        <f t="shared" si="24"/>
        <v>38766</v>
      </c>
      <c r="AV90" s="1489">
        <f t="shared" si="25"/>
        <v>77532</v>
      </c>
      <c r="AW90" s="1489">
        <f t="shared" si="29"/>
        <v>312303</v>
      </c>
      <c r="AX90" s="1492">
        <v>4000</v>
      </c>
      <c r="AY90" s="1491">
        <v>0</v>
      </c>
      <c r="AZ90" s="1489">
        <f t="shared" si="13"/>
        <v>0</v>
      </c>
      <c r="BA90" s="1489"/>
      <c r="BB90" s="1489"/>
      <c r="BC90" s="1489">
        <f t="shared" si="14"/>
        <v>3959571</v>
      </c>
      <c r="BD90" s="1495">
        <f>'HK UP KEEP, OP '!AS16</f>
        <v>0</v>
      </c>
      <c r="BE90" s="1488">
        <f>'HK UP KEEP, OP '!AT16</f>
        <v>0</v>
      </c>
      <c r="BG90" s="1551">
        <f t="shared" si="15"/>
        <v>4005820</v>
      </c>
      <c r="BH90" s="1552">
        <f t="shared" si="16"/>
        <v>0</v>
      </c>
      <c r="BI90" s="1552">
        <f t="shared" si="17"/>
        <v>0</v>
      </c>
      <c r="BJ90" s="1551">
        <f t="shared" si="18"/>
        <v>0</v>
      </c>
      <c r="BK90" s="1553">
        <f t="shared" si="26"/>
        <v>4005820</v>
      </c>
      <c r="BM90" s="1553">
        <f t="shared" si="30"/>
        <v>113250</v>
      </c>
      <c r="BN90" s="1551">
        <v>30575.999999999996</v>
      </c>
      <c r="BO90" s="1551">
        <f t="shared" si="19"/>
        <v>565832.64</v>
      </c>
    </row>
    <row r="91" spans="1:72" ht="23.25" customHeight="1">
      <c r="A91" s="2048" t="s">
        <v>0</v>
      </c>
      <c r="B91" s="2048"/>
      <c r="C91" s="2048"/>
      <c r="D91" s="2048"/>
      <c r="E91" s="2048"/>
      <c r="F91" s="2048"/>
      <c r="G91" s="2048"/>
      <c r="H91" s="2048"/>
      <c r="I91" s="2048"/>
      <c r="J91" s="2048"/>
      <c r="K91" s="2048"/>
      <c r="L91" s="2048"/>
      <c r="M91" s="2048"/>
      <c r="N91" s="2048"/>
      <c r="O91" s="2048"/>
      <c r="P91" s="2048"/>
      <c r="Q91" s="2048"/>
      <c r="R91" s="2048"/>
      <c r="S91" s="2048"/>
      <c r="T91" s="2048"/>
      <c r="U91" s="2048"/>
      <c r="V91" s="2048"/>
      <c r="W91" s="2048"/>
      <c r="X91" s="2048"/>
      <c r="Y91" s="2048"/>
      <c r="Z91" s="2048"/>
      <c r="AA91" s="2048"/>
      <c r="AB91" s="2048"/>
      <c r="AC91" s="2048"/>
      <c r="AD91" s="2048"/>
      <c r="AE91" s="2048"/>
      <c r="AF91" s="2048"/>
      <c r="AG91" s="2048"/>
      <c r="AH91" s="2048"/>
      <c r="AI91" s="2048"/>
      <c r="AJ91" s="2048"/>
      <c r="AK91" s="2048"/>
      <c r="AL91" s="2048"/>
      <c r="AM91" s="2048"/>
      <c r="AN91" s="2048"/>
      <c r="AO91" s="2048"/>
      <c r="AP91" s="2048"/>
      <c r="AQ91" s="2048"/>
      <c r="AR91" s="2048"/>
      <c r="AS91" s="2048"/>
      <c r="AT91" s="2048"/>
      <c r="AU91" s="2048"/>
      <c r="AV91" s="2048"/>
      <c r="AW91" s="2048"/>
      <c r="AX91" s="2048"/>
      <c r="AY91" s="2048"/>
      <c r="AZ91" s="2048"/>
      <c r="BA91" s="2048"/>
      <c r="BB91" s="2048"/>
      <c r="BC91" s="2048"/>
      <c r="BD91" s="2048"/>
      <c r="BE91" s="2048"/>
    </row>
    <row r="92" spans="1:72" ht="26.25" customHeight="1">
      <c r="A92" s="2049" t="s">
        <v>1033</v>
      </c>
      <c r="B92" s="2049"/>
      <c r="C92" s="2049"/>
      <c r="D92" s="2049"/>
      <c r="E92" s="2049"/>
      <c r="F92" s="2049"/>
      <c r="G92" s="2049"/>
      <c r="H92" s="2049"/>
      <c r="I92" s="2049"/>
      <c r="J92" s="2049"/>
      <c r="K92" s="2049"/>
      <c r="L92" s="2049"/>
      <c r="M92" s="2049"/>
      <c r="N92" s="2049"/>
      <c r="O92" s="2049"/>
      <c r="P92" s="2049"/>
      <c r="Q92" s="2049"/>
      <c r="R92" s="2049"/>
      <c r="S92" s="2049"/>
      <c r="T92" s="2049"/>
      <c r="U92" s="2049"/>
      <c r="V92" s="2049"/>
      <c r="W92" s="2049"/>
      <c r="X92" s="2049"/>
      <c r="Y92" s="2049"/>
      <c r="Z92" s="2049"/>
      <c r="AA92" s="2049"/>
      <c r="AB92" s="2049"/>
      <c r="AC92" s="2049"/>
      <c r="AD92" s="2049"/>
      <c r="AE92" s="2049"/>
      <c r="AF92" s="2049"/>
      <c r="AG92" s="2049"/>
      <c r="AH92" s="2049"/>
      <c r="AI92" s="2049"/>
      <c r="AJ92" s="2049"/>
      <c r="AK92" s="2049"/>
      <c r="AL92" s="2049"/>
      <c r="AM92" s="2049"/>
      <c r="AN92" s="2049"/>
      <c r="AO92" s="2049"/>
      <c r="AP92" s="2049"/>
      <c r="AQ92" s="2049"/>
      <c r="AR92" s="2049"/>
      <c r="AS92" s="2049"/>
      <c r="AT92" s="2049"/>
      <c r="AU92" s="2049"/>
      <c r="AV92" s="2049"/>
      <c r="AW92" s="2049"/>
      <c r="AX92" s="2049"/>
      <c r="AY92" s="2049"/>
      <c r="AZ92" s="2049"/>
      <c r="BA92" s="2049"/>
      <c r="BB92" s="2049"/>
      <c r="BC92" s="2049"/>
      <c r="BD92" s="2049"/>
      <c r="BE92" s="2049"/>
    </row>
    <row r="93" spans="1:72" s="1523" customFormat="1" ht="18.75" customHeight="1">
      <c r="C93" s="1554"/>
      <c r="D93" s="1523" t="s">
        <v>964</v>
      </c>
      <c r="F93" s="1555"/>
      <c r="G93" s="1555"/>
      <c r="X93" s="1556"/>
      <c r="AE93" s="1532"/>
      <c r="AK93" s="1557"/>
      <c r="AP93" s="1558">
        <v>3876600</v>
      </c>
      <c r="AQ93" s="1559">
        <f>AP93/30</f>
        <v>129220</v>
      </c>
      <c r="AR93" s="1559">
        <f>AP93/173*1.5</f>
        <v>33612.138728323698</v>
      </c>
      <c r="AS93" s="1559">
        <f>AP93/173*2</f>
        <v>44816.184971098264</v>
      </c>
      <c r="AW93" s="1532" t="s">
        <v>55</v>
      </c>
      <c r="AX93" s="1523" t="s">
        <v>152</v>
      </c>
      <c r="BC93" s="1531"/>
      <c r="BE93" s="1532"/>
      <c r="BG93" s="1555"/>
      <c r="BH93" s="1560"/>
      <c r="BI93" s="1560"/>
      <c r="BJ93" s="1555"/>
      <c r="BK93" s="1561"/>
      <c r="BL93" s="1561"/>
      <c r="BM93" s="1561"/>
      <c r="BN93" s="1555"/>
      <c r="BO93" s="1555"/>
    </row>
    <row r="94" spans="1:72" ht="15" customHeight="1" thickBot="1">
      <c r="A94" s="1547"/>
      <c r="D94" s="1563"/>
      <c r="E94" s="1563"/>
      <c r="F94" s="1564"/>
      <c r="G94" s="1564"/>
      <c r="H94" s="1563"/>
      <c r="I94" s="1563"/>
      <c r="J94" s="1563"/>
      <c r="K94" s="1563"/>
      <c r="L94" s="1563"/>
      <c r="M94" s="1563"/>
      <c r="N94" s="1563"/>
      <c r="O94" s="1563"/>
      <c r="Q94" s="1563"/>
      <c r="R94" s="1563"/>
      <c r="S94" s="1563"/>
      <c r="T94" s="1563"/>
      <c r="U94" s="1563"/>
      <c r="V94" s="1563"/>
      <c r="W94" s="1563"/>
      <c r="X94" s="1563"/>
      <c r="Y94" s="1563"/>
      <c r="Z94" s="1563"/>
      <c r="AA94" s="1563"/>
      <c r="AB94" s="1563"/>
      <c r="AC94" s="1563"/>
      <c r="AD94" s="1547"/>
      <c r="AE94" s="1563"/>
      <c r="AF94" s="1563"/>
      <c r="AG94" s="1563"/>
      <c r="AH94" s="1563"/>
      <c r="AI94" s="1563"/>
      <c r="AJ94" s="1563"/>
      <c r="AK94" s="1565"/>
      <c r="AL94" s="1563"/>
      <c r="AM94" s="1563"/>
      <c r="AO94" s="1563"/>
      <c r="AP94" s="1558">
        <v>3876600</v>
      </c>
      <c r="AQ94" s="1566">
        <f>AP94/30</f>
        <v>129220</v>
      </c>
      <c r="AR94" s="1567"/>
      <c r="AS94" s="1568">
        <f>AP94+24000</f>
        <v>3900600</v>
      </c>
    </row>
    <row r="95" spans="1:72" s="1523" customFormat="1" ht="15.75" customHeight="1">
      <c r="A95" s="2050" t="s">
        <v>5</v>
      </c>
      <c r="B95" s="2053" t="s">
        <v>6</v>
      </c>
      <c r="C95" s="2056" t="s">
        <v>52</v>
      </c>
      <c r="D95" s="1569"/>
      <c r="E95" s="1569"/>
      <c r="F95" s="1570"/>
      <c r="G95" s="1570"/>
      <c r="H95" s="2059" t="s">
        <v>2</v>
      </c>
      <c r="I95" s="2060"/>
      <c r="J95" s="2060"/>
      <c r="K95" s="2060"/>
      <c r="L95" s="2060"/>
      <c r="M95" s="2060"/>
      <c r="N95" s="2060"/>
      <c r="O95" s="2060"/>
      <c r="P95" s="2060"/>
      <c r="Q95" s="2060"/>
      <c r="R95" s="2060"/>
      <c r="S95" s="2060"/>
      <c r="T95" s="2060"/>
      <c r="U95" s="2061"/>
      <c r="V95" s="2056" t="s">
        <v>286</v>
      </c>
      <c r="W95" s="2059" t="s">
        <v>3</v>
      </c>
      <c r="X95" s="2060"/>
      <c r="Y95" s="2060"/>
      <c r="Z95" s="2060"/>
      <c r="AA95" s="2060"/>
      <c r="AB95" s="2060"/>
      <c r="AC95" s="2060"/>
      <c r="AD95" s="2061"/>
      <c r="AE95" s="2042" t="s">
        <v>45</v>
      </c>
      <c r="AF95" s="2063" t="s">
        <v>46</v>
      </c>
      <c r="AG95" s="2064"/>
      <c r="AH95" s="2064"/>
      <c r="AI95" s="2064"/>
      <c r="AJ95" s="2064"/>
      <c r="AK95" s="2064"/>
      <c r="AL95" s="2065"/>
      <c r="AM95" s="2045" t="s">
        <v>98</v>
      </c>
      <c r="AN95" s="2056" t="s">
        <v>44</v>
      </c>
      <c r="AO95" s="1533" t="s">
        <v>4</v>
      </c>
      <c r="AP95" s="2036" t="s">
        <v>20</v>
      </c>
      <c r="AQ95" s="2037"/>
      <c r="AR95" s="2038"/>
      <c r="AS95" s="2036" t="s">
        <v>54</v>
      </c>
      <c r="AT95" s="2037"/>
      <c r="AU95" s="2037"/>
      <c r="AV95" s="2037"/>
      <c r="AW95" s="2037"/>
      <c r="AX95" s="1571"/>
      <c r="AY95" s="2042" t="s">
        <v>89</v>
      </c>
      <c r="AZ95" s="2045" t="s">
        <v>97</v>
      </c>
      <c r="BA95" s="2045" t="s">
        <v>719</v>
      </c>
      <c r="BB95" s="2045" t="s">
        <v>210</v>
      </c>
      <c r="BC95" s="1539" t="s">
        <v>4</v>
      </c>
      <c r="BD95" s="2063" t="s">
        <v>41</v>
      </c>
      <c r="BE95" s="2084"/>
      <c r="BG95" s="1555"/>
      <c r="BH95" s="1560"/>
      <c r="BI95" s="1560"/>
      <c r="BJ95" s="1555"/>
      <c r="BK95" s="1561"/>
      <c r="BL95" s="1561"/>
      <c r="BM95" s="1561"/>
      <c r="BN95" s="1555"/>
      <c r="BO95" s="1555"/>
    </row>
    <row r="96" spans="1:72" s="1523" customFormat="1" ht="25.5" customHeight="1">
      <c r="A96" s="2051"/>
      <c r="B96" s="2054"/>
      <c r="C96" s="2057"/>
      <c r="D96" s="1519" t="s">
        <v>7</v>
      </c>
      <c r="E96" s="1519" t="s">
        <v>8</v>
      </c>
      <c r="F96" s="1572" t="s">
        <v>9</v>
      </c>
      <c r="G96" s="1572" t="s">
        <v>9</v>
      </c>
      <c r="H96" s="2071" t="s">
        <v>10</v>
      </c>
      <c r="I96" s="2072"/>
      <c r="J96" s="2071" t="s">
        <v>11</v>
      </c>
      <c r="K96" s="2072"/>
      <c r="L96" s="2071" t="s">
        <v>12</v>
      </c>
      <c r="M96" s="2072"/>
      <c r="N96" s="2071" t="s">
        <v>13</v>
      </c>
      <c r="O96" s="2072"/>
      <c r="P96" s="2071" t="s">
        <v>14</v>
      </c>
      <c r="Q96" s="2072"/>
      <c r="R96" s="2087" t="s">
        <v>15</v>
      </c>
      <c r="S96" s="2088"/>
      <c r="T96" s="2071" t="s">
        <v>16</v>
      </c>
      <c r="U96" s="2072"/>
      <c r="V96" s="2057"/>
      <c r="W96" s="2071" t="s">
        <v>17</v>
      </c>
      <c r="X96" s="2072"/>
      <c r="Y96" s="2071" t="s">
        <v>18</v>
      </c>
      <c r="Z96" s="2081"/>
      <c r="AA96" s="2072"/>
      <c r="AB96" s="2071" t="s">
        <v>19</v>
      </c>
      <c r="AC96" s="2081"/>
      <c r="AD96" s="2072"/>
      <c r="AE96" s="2043"/>
      <c r="AF96" s="2066"/>
      <c r="AG96" s="2067"/>
      <c r="AH96" s="2067"/>
      <c r="AI96" s="2067"/>
      <c r="AJ96" s="2067"/>
      <c r="AK96" s="2067"/>
      <c r="AL96" s="2068"/>
      <c r="AM96" s="2046"/>
      <c r="AN96" s="2057"/>
      <c r="AO96" s="1534" t="s">
        <v>9</v>
      </c>
      <c r="AP96" s="2039"/>
      <c r="AQ96" s="2040"/>
      <c r="AR96" s="2041"/>
      <c r="AS96" s="2039"/>
      <c r="AT96" s="2040"/>
      <c r="AU96" s="2040"/>
      <c r="AV96" s="2040"/>
      <c r="AW96" s="2040"/>
      <c r="AX96" s="1534" t="s">
        <v>21</v>
      </c>
      <c r="AY96" s="2043"/>
      <c r="AZ96" s="2046"/>
      <c r="BA96" s="2046"/>
      <c r="BB96" s="2046"/>
      <c r="BC96" s="1540" t="s">
        <v>9</v>
      </c>
      <c r="BD96" s="2085"/>
      <c r="BE96" s="2086"/>
      <c r="BG96" s="1573"/>
      <c r="BH96" s="1573"/>
      <c r="BI96" s="1573"/>
      <c r="BJ96" s="1555"/>
      <c r="BK96" s="1561"/>
      <c r="BL96" s="1561"/>
      <c r="BM96" s="1561"/>
      <c r="BN96" s="1555"/>
      <c r="BO96" s="1555"/>
    </row>
    <row r="97" spans="1:72" s="1523" customFormat="1" ht="63" customHeight="1">
      <c r="A97" s="2051"/>
      <c r="B97" s="2054"/>
      <c r="C97" s="2057"/>
      <c r="D97" s="1519" t="s">
        <v>22</v>
      </c>
      <c r="E97" s="1519" t="s">
        <v>23</v>
      </c>
      <c r="F97" s="1572" t="s">
        <v>24</v>
      </c>
      <c r="G97" s="1572" t="s">
        <v>25</v>
      </c>
      <c r="H97" s="2069" t="s">
        <v>4</v>
      </c>
      <c r="I97" s="2070"/>
      <c r="J97" s="2069" t="s">
        <v>4</v>
      </c>
      <c r="K97" s="2070"/>
      <c r="L97" s="2069" t="s">
        <v>4</v>
      </c>
      <c r="M97" s="2070"/>
      <c r="N97" s="2069" t="s">
        <v>4</v>
      </c>
      <c r="O97" s="2070"/>
      <c r="P97" s="2069" t="s">
        <v>4</v>
      </c>
      <c r="Q97" s="2070"/>
      <c r="R97" s="2082" t="s">
        <v>4</v>
      </c>
      <c r="S97" s="2083"/>
      <c r="T97" s="2069" t="s">
        <v>4</v>
      </c>
      <c r="U97" s="2070"/>
      <c r="V97" s="2057"/>
      <c r="W97" s="1534" t="s">
        <v>27</v>
      </c>
      <c r="X97" s="1574" t="s">
        <v>28</v>
      </c>
      <c r="Y97" s="1534" t="s">
        <v>27</v>
      </c>
      <c r="Z97" s="2069" t="s">
        <v>4</v>
      </c>
      <c r="AA97" s="2070"/>
      <c r="AB97" s="1534" t="s">
        <v>27</v>
      </c>
      <c r="AC97" s="2071" t="s">
        <v>4</v>
      </c>
      <c r="AD97" s="2072"/>
      <c r="AE97" s="2062"/>
      <c r="AF97" s="1575" t="s">
        <v>56</v>
      </c>
      <c r="AG97" s="1575" t="s">
        <v>57</v>
      </c>
      <c r="AH97" s="1575" t="s">
        <v>60</v>
      </c>
      <c r="AI97" s="1575" t="s">
        <v>202</v>
      </c>
      <c r="AJ97" s="1575" t="s">
        <v>218</v>
      </c>
      <c r="AK97" s="1575" t="s">
        <v>572</v>
      </c>
      <c r="AL97" s="1575" t="s">
        <v>288</v>
      </c>
      <c r="AM97" s="2089"/>
      <c r="AN97" s="2090"/>
      <c r="AO97" s="1534" t="s">
        <v>29</v>
      </c>
      <c r="AP97" s="1519" t="s">
        <v>30</v>
      </c>
      <c r="AQ97" s="1519" t="s">
        <v>31</v>
      </c>
      <c r="AR97" s="1519" t="s">
        <v>4</v>
      </c>
      <c r="AS97" s="1576" t="s">
        <v>30</v>
      </c>
      <c r="AT97" s="1574" t="s">
        <v>31</v>
      </c>
      <c r="AU97" s="1574" t="s">
        <v>30</v>
      </c>
      <c r="AV97" s="1574" t="s">
        <v>31</v>
      </c>
      <c r="AW97" s="1577" t="s">
        <v>4</v>
      </c>
      <c r="AX97" s="1534" t="s">
        <v>32</v>
      </c>
      <c r="AY97" s="2043"/>
      <c r="AZ97" s="2046"/>
      <c r="BA97" s="2046"/>
      <c r="BB97" s="2046"/>
      <c r="BC97" s="1540" t="s">
        <v>33</v>
      </c>
      <c r="BD97" s="2073" t="s">
        <v>42</v>
      </c>
      <c r="BE97" s="2075" t="s">
        <v>43</v>
      </c>
      <c r="BG97" s="1573"/>
      <c r="BH97" s="1578"/>
      <c r="BI97" s="1578"/>
      <c r="BJ97" s="1555"/>
      <c r="BK97" s="1561"/>
      <c r="BL97" s="1561"/>
      <c r="BM97" s="1561"/>
      <c r="BN97" s="1555"/>
      <c r="BO97" s="1555"/>
    </row>
    <row r="98" spans="1:72" s="1523" customFormat="1" ht="21" customHeight="1" thickBot="1">
      <c r="A98" s="2052"/>
      <c r="B98" s="2055"/>
      <c r="C98" s="2058"/>
      <c r="D98" s="1520"/>
      <c r="E98" s="1520"/>
      <c r="F98" s="1579" t="s">
        <v>34</v>
      </c>
      <c r="G98" s="1580" t="s">
        <v>34</v>
      </c>
      <c r="H98" s="1581" t="s">
        <v>8</v>
      </c>
      <c r="I98" s="1582" t="s">
        <v>34</v>
      </c>
      <c r="J98" s="1581" t="s">
        <v>8</v>
      </c>
      <c r="K98" s="1582" t="s">
        <v>34</v>
      </c>
      <c r="L98" s="1581" t="s">
        <v>8</v>
      </c>
      <c r="M98" s="1582" t="s">
        <v>34</v>
      </c>
      <c r="N98" s="1581" t="s">
        <v>8</v>
      </c>
      <c r="O98" s="1582" t="s">
        <v>34</v>
      </c>
      <c r="P98" s="1581" t="s">
        <v>8</v>
      </c>
      <c r="Q98" s="1582" t="s">
        <v>34</v>
      </c>
      <c r="R98" s="1581" t="s">
        <v>8</v>
      </c>
      <c r="S98" s="1582" t="s">
        <v>34</v>
      </c>
      <c r="T98" s="1581" t="s">
        <v>8</v>
      </c>
      <c r="U98" s="1582" t="s">
        <v>34</v>
      </c>
      <c r="V98" s="2058"/>
      <c r="W98" s="1581" t="s">
        <v>26</v>
      </c>
      <c r="X98" s="1581" t="s">
        <v>34</v>
      </c>
      <c r="Y98" s="1581" t="s">
        <v>26</v>
      </c>
      <c r="Z98" s="1581" t="s">
        <v>26</v>
      </c>
      <c r="AA98" s="1581" t="s">
        <v>34</v>
      </c>
      <c r="AB98" s="1581" t="s">
        <v>26</v>
      </c>
      <c r="AC98" s="1581" t="s">
        <v>35</v>
      </c>
      <c r="AD98" s="1581" t="s">
        <v>34</v>
      </c>
      <c r="AE98" s="1581" t="s">
        <v>34</v>
      </c>
      <c r="AF98" s="1582" t="s">
        <v>34</v>
      </c>
      <c r="AG98" s="1582" t="s">
        <v>34</v>
      </c>
      <c r="AH98" s="1582" t="s">
        <v>34</v>
      </c>
      <c r="AI98" s="1582" t="s">
        <v>34</v>
      </c>
      <c r="AJ98" s="1582" t="s">
        <v>34</v>
      </c>
      <c r="AK98" s="1582" t="s">
        <v>34</v>
      </c>
      <c r="AL98" s="1582" t="s">
        <v>34</v>
      </c>
      <c r="AM98" s="1582" t="s">
        <v>34</v>
      </c>
      <c r="AN98" s="1581" t="s">
        <v>34</v>
      </c>
      <c r="AO98" s="1582" t="s">
        <v>34</v>
      </c>
      <c r="AP98" s="1582" t="s">
        <v>34</v>
      </c>
      <c r="AQ98" s="1582" t="s">
        <v>34</v>
      </c>
      <c r="AR98" s="1582" t="s">
        <v>34</v>
      </c>
      <c r="AS98" s="1581" t="s">
        <v>58</v>
      </c>
      <c r="AT98" s="1582" t="s">
        <v>34</v>
      </c>
      <c r="AU98" s="1582" t="s">
        <v>59</v>
      </c>
      <c r="AV98" s="1582" t="s">
        <v>34</v>
      </c>
      <c r="AW98" s="1583" t="s">
        <v>34</v>
      </c>
      <c r="AX98" s="1537"/>
      <c r="AY98" s="2044"/>
      <c r="AZ98" s="2047"/>
      <c r="BA98" s="2047"/>
      <c r="BB98" s="2047"/>
      <c r="BC98" s="1541" t="s">
        <v>34</v>
      </c>
      <c r="BD98" s="2074"/>
      <c r="BE98" s="2076"/>
      <c r="BG98" s="1555" t="s">
        <v>353</v>
      </c>
      <c r="BH98" s="1578" t="s">
        <v>43</v>
      </c>
      <c r="BI98" s="1578" t="s">
        <v>42</v>
      </c>
      <c r="BJ98" s="1555" t="s">
        <v>354</v>
      </c>
      <c r="BK98" s="1561" t="s">
        <v>358</v>
      </c>
      <c r="BL98" s="1561"/>
      <c r="BM98" s="1561" t="s">
        <v>625</v>
      </c>
      <c r="BN98" s="1555" t="s">
        <v>626</v>
      </c>
      <c r="BO98" s="1555" t="s">
        <v>627</v>
      </c>
      <c r="BQ98" s="1523" t="s">
        <v>685</v>
      </c>
    </row>
    <row r="99" spans="1:72" s="1587" customFormat="1" ht="102" customHeight="1" thickBot="1">
      <c r="A99" s="1584" t="s">
        <v>72</v>
      </c>
      <c r="B99" s="1489" t="s">
        <v>37</v>
      </c>
      <c r="C99" s="1585" t="s">
        <v>119</v>
      </c>
      <c r="D99" s="1586" t="s">
        <v>103</v>
      </c>
      <c r="E99" s="1489">
        <f>'HK UP KEEP, OP '!AH17</f>
        <v>19</v>
      </c>
      <c r="F99" s="1490">
        <v>129220</v>
      </c>
      <c r="G99" s="1490">
        <f t="shared" si="0"/>
        <v>2455180</v>
      </c>
      <c r="H99" s="1489">
        <f>'HK UP KEEP, OP '!AI17</f>
        <v>1</v>
      </c>
      <c r="I99" s="1489">
        <f t="shared" si="1"/>
        <v>129220</v>
      </c>
      <c r="J99" s="1489">
        <f>'HK UP KEEP, OP '!AJ17</f>
        <v>2</v>
      </c>
      <c r="K99" s="1489">
        <f t="shared" si="2"/>
        <v>258440</v>
      </c>
      <c r="L99" s="1489">
        <f>'HK UP KEEP, OP '!AK17</f>
        <v>2</v>
      </c>
      <c r="M99" s="1489">
        <f t="shared" si="3"/>
        <v>258440</v>
      </c>
      <c r="N99" s="1489">
        <f>'HK UP KEEP, OP '!AL17</f>
        <v>4</v>
      </c>
      <c r="O99" s="1489">
        <f t="shared" si="4"/>
        <v>516880</v>
      </c>
      <c r="P99" s="1489">
        <f>'HK UP KEEP, OP '!AM17</f>
        <v>3</v>
      </c>
      <c r="Q99" s="1489">
        <f t="shared" si="5"/>
        <v>387660</v>
      </c>
      <c r="R99" s="1489">
        <f>'HK UP KEEP, OP '!AN17</f>
        <v>0</v>
      </c>
      <c r="S99" s="1489">
        <f t="shared" si="6"/>
        <v>0</v>
      </c>
      <c r="T99" s="1489">
        <f>'HK UP KEEP, OP '!AO17+'HK UP KEEP, OP '!AP17+'HK UP KEEP, OP '!AQ17</f>
        <v>0</v>
      </c>
      <c r="U99" s="1489">
        <f t="shared" si="7"/>
        <v>0</v>
      </c>
      <c r="V99" s="1489">
        <f t="shared" si="8"/>
        <v>31</v>
      </c>
      <c r="W99" s="1491">
        <v>2250</v>
      </c>
      <c r="X99" s="1489">
        <f t="shared" si="9"/>
        <v>69750</v>
      </c>
      <c r="Y99" s="1489"/>
      <c r="Z99" s="1489"/>
      <c r="AA99" s="1489">
        <f t="shared" si="27"/>
        <v>0</v>
      </c>
      <c r="AB99" s="1489">
        <v>2500</v>
      </c>
      <c r="AC99" s="1489">
        <f>'MASA KERJA AB'!H18</f>
        <v>10</v>
      </c>
      <c r="AD99" s="1492">
        <f>'MASA KERJA AB'!I18</f>
        <v>24000</v>
      </c>
      <c r="AE99" s="1497"/>
      <c r="AF99" s="1489"/>
      <c r="AG99" s="1489"/>
      <c r="AH99" s="1489"/>
      <c r="AI99" s="1489"/>
      <c r="AJ99" s="1489"/>
      <c r="AK99" s="1493"/>
      <c r="AL99" s="1489"/>
      <c r="AM99" s="1489"/>
      <c r="AN99" s="1489"/>
      <c r="AO99" s="1494">
        <f t="shared" si="10"/>
        <v>4099570</v>
      </c>
      <c r="AP99" s="1489">
        <f t="shared" si="20"/>
        <v>77532</v>
      </c>
      <c r="AQ99" s="1489">
        <f t="shared" si="21"/>
        <v>175997.64</v>
      </c>
      <c r="AR99" s="1489">
        <f t="shared" si="28"/>
        <v>253529.64</v>
      </c>
      <c r="AS99" s="1489">
        <f t="shared" si="22"/>
        <v>39006</v>
      </c>
      <c r="AT99" s="1489">
        <f t="shared" si="23"/>
        <v>156024</v>
      </c>
      <c r="AU99" s="1489">
        <f t="shared" si="24"/>
        <v>38766</v>
      </c>
      <c r="AV99" s="1489">
        <f t="shared" si="25"/>
        <v>77532</v>
      </c>
      <c r="AW99" s="1489">
        <f t="shared" si="29"/>
        <v>311328</v>
      </c>
      <c r="AX99" s="1492">
        <v>4000</v>
      </c>
      <c r="AY99" s="1491">
        <v>0</v>
      </c>
      <c r="AZ99" s="1489">
        <f t="shared" si="13"/>
        <v>0</v>
      </c>
      <c r="BA99" s="1489"/>
      <c r="BB99" s="1489"/>
      <c r="BC99" s="1489">
        <f t="shared" si="14"/>
        <v>3940266</v>
      </c>
      <c r="BD99" s="1495">
        <f>'HK UP KEEP, OP '!AS17</f>
        <v>0</v>
      </c>
      <c r="BE99" s="1488">
        <f>'HK UP KEEP, OP '!AT17</f>
        <v>0</v>
      </c>
      <c r="BG99" s="1551">
        <f t="shared" si="15"/>
        <v>4005820</v>
      </c>
      <c r="BH99" s="1552">
        <f t="shared" si="16"/>
        <v>0</v>
      </c>
      <c r="BI99" s="1552">
        <f t="shared" si="17"/>
        <v>0</v>
      </c>
      <c r="BJ99" s="1551">
        <f t="shared" si="18"/>
        <v>0</v>
      </c>
      <c r="BK99" s="1553">
        <f t="shared" si="26"/>
        <v>4005820</v>
      </c>
      <c r="BL99" s="1553"/>
      <c r="BM99" s="1553">
        <f t="shared" si="30"/>
        <v>93750</v>
      </c>
      <c r="BN99" s="1551">
        <v>30575.999999999996</v>
      </c>
      <c r="BO99" s="1551">
        <f t="shared" si="19"/>
        <v>564857.64</v>
      </c>
      <c r="BS99" s="1589"/>
      <c r="BT99" s="1589"/>
    </row>
    <row r="100" spans="1:72" ht="23.25" customHeight="1">
      <c r="A100" s="2048" t="s">
        <v>0</v>
      </c>
      <c r="B100" s="2048"/>
      <c r="C100" s="2048"/>
      <c r="D100" s="2048"/>
      <c r="E100" s="2048"/>
      <c r="F100" s="2048"/>
      <c r="G100" s="2048"/>
      <c r="H100" s="2048"/>
      <c r="I100" s="2048"/>
      <c r="J100" s="2048"/>
      <c r="K100" s="2048"/>
      <c r="L100" s="2048"/>
      <c r="M100" s="2048"/>
      <c r="N100" s="2048"/>
      <c r="O100" s="2048"/>
      <c r="P100" s="2048"/>
      <c r="Q100" s="2048"/>
      <c r="R100" s="2048"/>
      <c r="S100" s="2048"/>
      <c r="T100" s="2048"/>
      <c r="U100" s="2048"/>
      <c r="V100" s="2048"/>
      <c r="W100" s="2048"/>
      <c r="X100" s="2048"/>
      <c r="Y100" s="2048"/>
      <c r="Z100" s="2048"/>
      <c r="AA100" s="2048"/>
      <c r="AB100" s="2048"/>
      <c r="AC100" s="2048"/>
      <c r="AD100" s="2048"/>
      <c r="AE100" s="2048"/>
      <c r="AF100" s="2048"/>
      <c r="AG100" s="2048"/>
      <c r="AH100" s="2048"/>
      <c r="AI100" s="2048"/>
      <c r="AJ100" s="2048"/>
      <c r="AK100" s="2048"/>
      <c r="AL100" s="2048"/>
      <c r="AM100" s="2048"/>
      <c r="AN100" s="2048"/>
      <c r="AO100" s="2048"/>
      <c r="AP100" s="2048"/>
      <c r="AQ100" s="2048"/>
      <c r="AR100" s="2048"/>
      <c r="AS100" s="2048"/>
      <c r="AT100" s="2048"/>
      <c r="AU100" s="2048"/>
      <c r="AV100" s="2048"/>
      <c r="AW100" s="2048"/>
      <c r="AX100" s="2048"/>
      <c r="AY100" s="2048"/>
      <c r="AZ100" s="2048"/>
      <c r="BA100" s="2048"/>
      <c r="BB100" s="2048"/>
      <c r="BC100" s="2048"/>
      <c r="BD100" s="2048"/>
      <c r="BE100" s="2048"/>
    </row>
    <row r="101" spans="1:72" ht="26.25" customHeight="1">
      <c r="A101" s="2049" t="s">
        <v>1033</v>
      </c>
      <c r="B101" s="2049"/>
      <c r="C101" s="2049"/>
      <c r="D101" s="2049"/>
      <c r="E101" s="2049"/>
      <c r="F101" s="2049"/>
      <c r="G101" s="2049"/>
      <c r="H101" s="2049"/>
      <c r="I101" s="2049"/>
      <c r="J101" s="2049"/>
      <c r="K101" s="2049"/>
      <c r="L101" s="2049"/>
      <c r="M101" s="2049"/>
      <c r="N101" s="2049"/>
      <c r="O101" s="2049"/>
      <c r="P101" s="2049"/>
      <c r="Q101" s="2049"/>
      <c r="R101" s="2049"/>
      <c r="S101" s="2049"/>
      <c r="T101" s="2049"/>
      <c r="U101" s="2049"/>
      <c r="V101" s="2049"/>
      <c r="W101" s="2049"/>
      <c r="X101" s="2049"/>
      <c r="Y101" s="2049"/>
      <c r="Z101" s="2049"/>
      <c r="AA101" s="2049"/>
      <c r="AB101" s="2049"/>
      <c r="AC101" s="2049"/>
      <c r="AD101" s="2049"/>
      <c r="AE101" s="2049"/>
      <c r="AF101" s="2049"/>
      <c r="AG101" s="2049"/>
      <c r="AH101" s="2049"/>
      <c r="AI101" s="2049"/>
      <c r="AJ101" s="2049"/>
      <c r="AK101" s="2049"/>
      <c r="AL101" s="2049"/>
      <c r="AM101" s="2049"/>
      <c r="AN101" s="2049"/>
      <c r="AO101" s="2049"/>
      <c r="AP101" s="2049"/>
      <c r="AQ101" s="2049"/>
      <c r="AR101" s="2049"/>
      <c r="AS101" s="2049"/>
      <c r="AT101" s="2049"/>
      <c r="AU101" s="2049"/>
      <c r="AV101" s="2049"/>
      <c r="AW101" s="2049"/>
      <c r="AX101" s="2049"/>
      <c r="AY101" s="2049"/>
      <c r="AZ101" s="2049"/>
      <c r="BA101" s="2049"/>
      <c r="BB101" s="2049"/>
      <c r="BC101" s="2049"/>
      <c r="BD101" s="2049"/>
      <c r="BE101" s="2049"/>
    </row>
    <row r="102" spans="1:72" s="1523" customFormat="1" ht="18.75" customHeight="1">
      <c r="C102" s="1554"/>
      <c r="D102" s="1523" t="s">
        <v>964</v>
      </c>
      <c r="F102" s="1555"/>
      <c r="G102" s="1555"/>
      <c r="X102" s="1556"/>
      <c r="AE102" s="1532"/>
      <c r="AK102" s="1557"/>
      <c r="AP102" s="1558">
        <v>3876600</v>
      </c>
      <c r="AQ102" s="1559">
        <f>AP102/30</f>
        <v>129220</v>
      </c>
      <c r="AR102" s="1559">
        <f>AP102/173*1.5</f>
        <v>33612.138728323698</v>
      </c>
      <c r="AS102" s="1559">
        <f>AP102/173*2</f>
        <v>44816.184971098264</v>
      </c>
      <c r="AW102" s="1532" t="s">
        <v>55</v>
      </c>
      <c r="AX102" s="1523" t="s">
        <v>152</v>
      </c>
      <c r="BC102" s="1531"/>
      <c r="BE102" s="1532"/>
      <c r="BG102" s="1555"/>
      <c r="BH102" s="1560"/>
      <c r="BI102" s="1560"/>
      <c r="BJ102" s="1555"/>
      <c r="BK102" s="1561"/>
      <c r="BL102" s="1561"/>
      <c r="BM102" s="1561"/>
      <c r="BN102" s="1555"/>
      <c r="BO102" s="1555"/>
    </row>
    <row r="103" spans="1:72" ht="15" customHeight="1" thickBot="1">
      <c r="A103" s="1547"/>
      <c r="D103" s="1563"/>
      <c r="E103" s="1563"/>
      <c r="F103" s="1564"/>
      <c r="G103" s="1564"/>
      <c r="H103" s="1563"/>
      <c r="I103" s="1563"/>
      <c r="J103" s="1563"/>
      <c r="K103" s="1563"/>
      <c r="L103" s="1563"/>
      <c r="M103" s="1563"/>
      <c r="N103" s="1563"/>
      <c r="O103" s="1563"/>
      <c r="Q103" s="1563"/>
      <c r="R103" s="1563"/>
      <c r="S103" s="1563"/>
      <c r="T103" s="1563"/>
      <c r="U103" s="1563"/>
      <c r="V103" s="1563"/>
      <c r="W103" s="1563"/>
      <c r="X103" s="1563"/>
      <c r="Y103" s="1563"/>
      <c r="Z103" s="1563"/>
      <c r="AA103" s="1563"/>
      <c r="AB103" s="1563"/>
      <c r="AC103" s="1563"/>
      <c r="AD103" s="1547"/>
      <c r="AE103" s="1563"/>
      <c r="AF103" s="1563"/>
      <c r="AG103" s="1563"/>
      <c r="AH103" s="1563"/>
      <c r="AI103" s="1563"/>
      <c r="AJ103" s="1563"/>
      <c r="AK103" s="1565"/>
      <c r="AL103" s="1563"/>
      <c r="AM103" s="1563"/>
      <c r="AO103" s="1563"/>
      <c r="AP103" s="1558">
        <v>3876600</v>
      </c>
      <c r="AQ103" s="1566">
        <f>AP103/30</f>
        <v>129220</v>
      </c>
      <c r="AR103" s="1567"/>
      <c r="AS103" s="1568">
        <f>AP103+24000</f>
        <v>3900600</v>
      </c>
    </row>
    <row r="104" spans="1:72" s="1523" customFormat="1" ht="15.75" customHeight="1">
      <c r="A104" s="2050" t="s">
        <v>5</v>
      </c>
      <c r="B104" s="2053" t="s">
        <v>6</v>
      </c>
      <c r="C104" s="2056" t="s">
        <v>52</v>
      </c>
      <c r="D104" s="1569"/>
      <c r="E104" s="1569"/>
      <c r="F104" s="1570"/>
      <c r="G104" s="1570"/>
      <c r="H104" s="2059" t="s">
        <v>2</v>
      </c>
      <c r="I104" s="2060"/>
      <c r="J104" s="2060"/>
      <c r="K104" s="2060"/>
      <c r="L104" s="2060"/>
      <c r="M104" s="2060"/>
      <c r="N104" s="2060"/>
      <c r="O104" s="2060"/>
      <c r="P104" s="2060"/>
      <c r="Q104" s="2060"/>
      <c r="R104" s="2060"/>
      <c r="S104" s="2060"/>
      <c r="T104" s="2060"/>
      <c r="U104" s="2061"/>
      <c r="V104" s="2056" t="s">
        <v>286</v>
      </c>
      <c r="W104" s="2059" t="s">
        <v>3</v>
      </c>
      <c r="X104" s="2060"/>
      <c r="Y104" s="2060"/>
      <c r="Z104" s="2060"/>
      <c r="AA104" s="2060"/>
      <c r="AB104" s="2060"/>
      <c r="AC104" s="2060"/>
      <c r="AD104" s="2061"/>
      <c r="AE104" s="2042" t="s">
        <v>45</v>
      </c>
      <c r="AF104" s="2063" t="s">
        <v>46</v>
      </c>
      <c r="AG104" s="2064"/>
      <c r="AH104" s="2064"/>
      <c r="AI104" s="2064"/>
      <c r="AJ104" s="2064"/>
      <c r="AK104" s="2064"/>
      <c r="AL104" s="2065"/>
      <c r="AM104" s="2045" t="s">
        <v>98</v>
      </c>
      <c r="AN104" s="2056" t="s">
        <v>44</v>
      </c>
      <c r="AO104" s="1533" t="s">
        <v>4</v>
      </c>
      <c r="AP104" s="2036" t="s">
        <v>20</v>
      </c>
      <c r="AQ104" s="2037"/>
      <c r="AR104" s="2038"/>
      <c r="AS104" s="2036" t="s">
        <v>54</v>
      </c>
      <c r="AT104" s="2037"/>
      <c r="AU104" s="2037"/>
      <c r="AV104" s="2037"/>
      <c r="AW104" s="2037"/>
      <c r="AX104" s="1571"/>
      <c r="AY104" s="2042" t="s">
        <v>89</v>
      </c>
      <c r="AZ104" s="2045" t="s">
        <v>97</v>
      </c>
      <c r="BA104" s="2045" t="s">
        <v>719</v>
      </c>
      <c r="BB104" s="2045" t="s">
        <v>210</v>
      </c>
      <c r="BC104" s="1539" t="s">
        <v>4</v>
      </c>
      <c r="BD104" s="2063" t="s">
        <v>41</v>
      </c>
      <c r="BE104" s="2084"/>
      <c r="BG104" s="1555"/>
      <c r="BH104" s="1560"/>
      <c r="BI104" s="1560"/>
      <c r="BJ104" s="1555"/>
      <c r="BK104" s="1561"/>
      <c r="BL104" s="1561"/>
      <c r="BM104" s="1561"/>
      <c r="BN104" s="1555"/>
      <c r="BO104" s="1555"/>
    </row>
    <row r="105" spans="1:72" s="1523" customFormat="1" ht="25.5" customHeight="1">
      <c r="A105" s="2051"/>
      <c r="B105" s="2054"/>
      <c r="C105" s="2057"/>
      <c r="D105" s="1519" t="s">
        <v>7</v>
      </c>
      <c r="E105" s="1519" t="s">
        <v>8</v>
      </c>
      <c r="F105" s="1572" t="s">
        <v>9</v>
      </c>
      <c r="G105" s="1572" t="s">
        <v>9</v>
      </c>
      <c r="H105" s="2071" t="s">
        <v>10</v>
      </c>
      <c r="I105" s="2072"/>
      <c r="J105" s="2071" t="s">
        <v>11</v>
      </c>
      <c r="K105" s="2072"/>
      <c r="L105" s="2071" t="s">
        <v>12</v>
      </c>
      <c r="M105" s="2072"/>
      <c r="N105" s="2071" t="s">
        <v>13</v>
      </c>
      <c r="O105" s="2072"/>
      <c r="P105" s="2071" t="s">
        <v>14</v>
      </c>
      <c r="Q105" s="2072"/>
      <c r="R105" s="2087" t="s">
        <v>15</v>
      </c>
      <c r="S105" s="2088"/>
      <c r="T105" s="2071" t="s">
        <v>16</v>
      </c>
      <c r="U105" s="2072"/>
      <c r="V105" s="2057"/>
      <c r="W105" s="2071" t="s">
        <v>17</v>
      </c>
      <c r="X105" s="2072"/>
      <c r="Y105" s="2071" t="s">
        <v>18</v>
      </c>
      <c r="Z105" s="2081"/>
      <c r="AA105" s="2072"/>
      <c r="AB105" s="2071" t="s">
        <v>19</v>
      </c>
      <c r="AC105" s="2081"/>
      <c r="AD105" s="2072"/>
      <c r="AE105" s="2043"/>
      <c r="AF105" s="2066"/>
      <c r="AG105" s="2067"/>
      <c r="AH105" s="2067"/>
      <c r="AI105" s="2067"/>
      <c r="AJ105" s="2067"/>
      <c r="AK105" s="2067"/>
      <c r="AL105" s="2068"/>
      <c r="AM105" s="2046"/>
      <c r="AN105" s="2057"/>
      <c r="AO105" s="1534" t="s">
        <v>9</v>
      </c>
      <c r="AP105" s="2039"/>
      <c r="AQ105" s="2040"/>
      <c r="AR105" s="2041"/>
      <c r="AS105" s="2039"/>
      <c r="AT105" s="2040"/>
      <c r="AU105" s="2040"/>
      <c r="AV105" s="2040"/>
      <c r="AW105" s="2040"/>
      <c r="AX105" s="1534" t="s">
        <v>21</v>
      </c>
      <c r="AY105" s="2043"/>
      <c r="AZ105" s="2046"/>
      <c r="BA105" s="2046"/>
      <c r="BB105" s="2046"/>
      <c r="BC105" s="1540" t="s">
        <v>9</v>
      </c>
      <c r="BD105" s="2085"/>
      <c r="BE105" s="2086"/>
      <c r="BG105" s="1573"/>
      <c r="BH105" s="1573"/>
      <c r="BI105" s="1573"/>
      <c r="BJ105" s="1555"/>
      <c r="BK105" s="1561"/>
      <c r="BL105" s="1561"/>
      <c r="BM105" s="1561"/>
      <c r="BN105" s="1555"/>
      <c r="BO105" s="1555"/>
    </row>
    <row r="106" spans="1:72" s="1523" customFormat="1" ht="63" customHeight="1">
      <c r="A106" s="2051"/>
      <c r="B106" s="2054"/>
      <c r="C106" s="2057"/>
      <c r="D106" s="1519" t="s">
        <v>22</v>
      </c>
      <c r="E106" s="1519" t="s">
        <v>23</v>
      </c>
      <c r="F106" s="1572" t="s">
        <v>24</v>
      </c>
      <c r="G106" s="1572" t="s">
        <v>25</v>
      </c>
      <c r="H106" s="2069" t="s">
        <v>4</v>
      </c>
      <c r="I106" s="2070"/>
      <c r="J106" s="2069" t="s">
        <v>4</v>
      </c>
      <c r="K106" s="2070"/>
      <c r="L106" s="2069" t="s">
        <v>4</v>
      </c>
      <c r="M106" s="2070"/>
      <c r="N106" s="2069" t="s">
        <v>4</v>
      </c>
      <c r="O106" s="2070"/>
      <c r="P106" s="2069" t="s">
        <v>4</v>
      </c>
      <c r="Q106" s="2070"/>
      <c r="R106" s="2082" t="s">
        <v>4</v>
      </c>
      <c r="S106" s="2083"/>
      <c r="T106" s="2069" t="s">
        <v>4</v>
      </c>
      <c r="U106" s="2070"/>
      <c r="V106" s="2057"/>
      <c r="W106" s="1534" t="s">
        <v>27</v>
      </c>
      <c r="X106" s="1574" t="s">
        <v>28</v>
      </c>
      <c r="Y106" s="1534" t="s">
        <v>27</v>
      </c>
      <c r="Z106" s="2069" t="s">
        <v>4</v>
      </c>
      <c r="AA106" s="2070"/>
      <c r="AB106" s="1534" t="s">
        <v>27</v>
      </c>
      <c r="AC106" s="2071" t="s">
        <v>4</v>
      </c>
      <c r="AD106" s="2072"/>
      <c r="AE106" s="2062"/>
      <c r="AF106" s="1575" t="s">
        <v>56</v>
      </c>
      <c r="AG106" s="1575" t="s">
        <v>57</v>
      </c>
      <c r="AH106" s="1575" t="s">
        <v>60</v>
      </c>
      <c r="AI106" s="1575" t="s">
        <v>202</v>
      </c>
      <c r="AJ106" s="1575" t="s">
        <v>218</v>
      </c>
      <c r="AK106" s="1575" t="s">
        <v>572</v>
      </c>
      <c r="AL106" s="1575" t="s">
        <v>288</v>
      </c>
      <c r="AM106" s="2089"/>
      <c r="AN106" s="2090"/>
      <c r="AO106" s="1534" t="s">
        <v>29</v>
      </c>
      <c r="AP106" s="1519" t="s">
        <v>30</v>
      </c>
      <c r="AQ106" s="1519" t="s">
        <v>31</v>
      </c>
      <c r="AR106" s="1519" t="s">
        <v>4</v>
      </c>
      <c r="AS106" s="1576" t="s">
        <v>30</v>
      </c>
      <c r="AT106" s="1574" t="s">
        <v>31</v>
      </c>
      <c r="AU106" s="1574" t="s">
        <v>30</v>
      </c>
      <c r="AV106" s="1574" t="s">
        <v>31</v>
      </c>
      <c r="AW106" s="1577" t="s">
        <v>4</v>
      </c>
      <c r="AX106" s="1534" t="s">
        <v>32</v>
      </c>
      <c r="AY106" s="2043"/>
      <c r="AZ106" s="2046"/>
      <c r="BA106" s="2046"/>
      <c r="BB106" s="2046"/>
      <c r="BC106" s="1540" t="s">
        <v>33</v>
      </c>
      <c r="BD106" s="2073" t="s">
        <v>42</v>
      </c>
      <c r="BE106" s="2075" t="s">
        <v>43</v>
      </c>
      <c r="BG106" s="1573"/>
      <c r="BH106" s="1578"/>
      <c r="BI106" s="1578"/>
      <c r="BJ106" s="1555"/>
      <c r="BK106" s="1561"/>
      <c r="BL106" s="1561"/>
      <c r="BM106" s="1561"/>
      <c r="BN106" s="1555"/>
      <c r="BO106" s="1555"/>
    </row>
    <row r="107" spans="1:72" s="1523" customFormat="1" ht="21" customHeight="1" thickBot="1">
      <c r="A107" s="2052"/>
      <c r="B107" s="2055"/>
      <c r="C107" s="2058"/>
      <c r="D107" s="1520"/>
      <c r="E107" s="1520"/>
      <c r="F107" s="1579" t="s">
        <v>34</v>
      </c>
      <c r="G107" s="1580" t="s">
        <v>34</v>
      </c>
      <c r="H107" s="1581" t="s">
        <v>8</v>
      </c>
      <c r="I107" s="1582" t="s">
        <v>34</v>
      </c>
      <c r="J107" s="1581" t="s">
        <v>8</v>
      </c>
      <c r="K107" s="1582" t="s">
        <v>34</v>
      </c>
      <c r="L107" s="1581" t="s">
        <v>8</v>
      </c>
      <c r="M107" s="1582" t="s">
        <v>34</v>
      </c>
      <c r="N107" s="1581" t="s">
        <v>8</v>
      </c>
      <c r="O107" s="1582" t="s">
        <v>34</v>
      </c>
      <c r="P107" s="1581" t="s">
        <v>8</v>
      </c>
      <c r="Q107" s="1582" t="s">
        <v>34</v>
      </c>
      <c r="R107" s="1581" t="s">
        <v>8</v>
      </c>
      <c r="S107" s="1582" t="s">
        <v>34</v>
      </c>
      <c r="T107" s="1581" t="s">
        <v>8</v>
      </c>
      <c r="U107" s="1582" t="s">
        <v>34</v>
      </c>
      <c r="V107" s="2058"/>
      <c r="W107" s="1581" t="s">
        <v>26</v>
      </c>
      <c r="X107" s="1581" t="s">
        <v>34</v>
      </c>
      <c r="Y107" s="1581" t="s">
        <v>26</v>
      </c>
      <c r="Z107" s="1581" t="s">
        <v>26</v>
      </c>
      <c r="AA107" s="1581" t="s">
        <v>34</v>
      </c>
      <c r="AB107" s="1581" t="s">
        <v>26</v>
      </c>
      <c r="AC107" s="1581" t="s">
        <v>35</v>
      </c>
      <c r="AD107" s="1581" t="s">
        <v>34</v>
      </c>
      <c r="AE107" s="1581" t="s">
        <v>34</v>
      </c>
      <c r="AF107" s="1582" t="s">
        <v>34</v>
      </c>
      <c r="AG107" s="1582" t="s">
        <v>34</v>
      </c>
      <c r="AH107" s="1582" t="s">
        <v>34</v>
      </c>
      <c r="AI107" s="1582" t="s">
        <v>34</v>
      </c>
      <c r="AJ107" s="1582" t="s">
        <v>34</v>
      </c>
      <c r="AK107" s="1582" t="s">
        <v>34</v>
      </c>
      <c r="AL107" s="1582" t="s">
        <v>34</v>
      </c>
      <c r="AM107" s="1582" t="s">
        <v>34</v>
      </c>
      <c r="AN107" s="1581" t="s">
        <v>34</v>
      </c>
      <c r="AO107" s="1582" t="s">
        <v>34</v>
      </c>
      <c r="AP107" s="1582" t="s">
        <v>34</v>
      </c>
      <c r="AQ107" s="1582" t="s">
        <v>34</v>
      </c>
      <c r="AR107" s="1582" t="s">
        <v>34</v>
      </c>
      <c r="AS107" s="1581" t="s">
        <v>58</v>
      </c>
      <c r="AT107" s="1582" t="s">
        <v>34</v>
      </c>
      <c r="AU107" s="1582" t="s">
        <v>59</v>
      </c>
      <c r="AV107" s="1582" t="s">
        <v>34</v>
      </c>
      <c r="AW107" s="1583" t="s">
        <v>34</v>
      </c>
      <c r="AX107" s="1537"/>
      <c r="AY107" s="2044"/>
      <c r="AZ107" s="2047"/>
      <c r="BA107" s="2047"/>
      <c r="BB107" s="2047"/>
      <c r="BC107" s="1541" t="s">
        <v>34</v>
      </c>
      <c r="BD107" s="2074"/>
      <c r="BE107" s="2076"/>
      <c r="BG107" s="1555" t="s">
        <v>353</v>
      </c>
      <c r="BH107" s="1578" t="s">
        <v>43</v>
      </c>
      <c r="BI107" s="1578" t="s">
        <v>42</v>
      </c>
      <c r="BJ107" s="1555" t="s">
        <v>354</v>
      </c>
      <c r="BK107" s="1561" t="s">
        <v>358</v>
      </c>
      <c r="BL107" s="1561"/>
      <c r="BM107" s="1561" t="s">
        <v>625</v>
      </c>
      <c r="BN107" s="1555" t="s">
        <v>626</v>
      </c>
      <c r="BO107" s="1555" t="s">
        <v>627</v>
      </c>
      <c r="BQ107" s="1523" t="s">
        <v>685</v>
      </c>
    </row>
    <row r="108" spans="1:72" ht="102" customHeight="1" thickBot="1">
      <c r="A108" s="1584" t="s">
        <v>73</v>
      </c>
      <c r="B108" s="1496" t="s">
        <v>37</v>
      </c>
      <c r="C108" s="1585" t="s">
        <v>116</v>
      </c>
      <c r="D108" s="1590" t="s">
        <v>476</v>
      </c>
      <c r="E108" s="1489">
        <f>'HK UP KEEP, OP '!AH18</f>
        <v>21</v>
      </c>
      <c r="F108" s="1490">
        <v>129220</v>
      </c>
      <c r="G108" s="1490">
        <f t="shared" si="0"/>
        <v>2713620</v>
      </c>
      <c r="H108" s="1489">
        <f>'HK UP KEEP, OP '!AI18</f>
        <v>0</v>
      </c>
      <c r="I108" s="1489">
        <f t="shared" si="1"/>
        <v>0</v>
      </c>
      <c r="J108" s="1489">
        <f>'HK UP KEEP, OP '!AJ18</f>
        <v>1</v>
      </c>
      <c r="K108" s="1489">
        <f t="shared" si="2"/>
        <v>129220</v>
      </c>
      <c r="L108" s="1489">
        <f>'HK UP KEEP, OP '!AK18</f>
        <v>2</v>
      </c>
      <c r="M108" s="1489">
        <f t="shared" si="3"/>
        <v>258440</v>
      </c>
      <c r="N108" s="1489">
        <f>'HK UP KEEP, OP '!AL18</f>
        <v>4</v>
      </c>
      <c r="O108" s="1489">
        <f t="shared" si="4"/>
        <v>516880</v>
      </c>
      <c r="P108" s="1489">
        <f>'HK UP KEEP, OP '!AM18</f>
        <v>3</v>
      </c>
      <c r="Q108" s="1489">
        <f t="shared" si="5"/>
        <v>387660</v>
      </c>
      <c r="R108" s="1489">
        <f>'HK UP KEEP, OP '!AN18</f>
        <v>0</v>
      </c>
      <c r="S108" s="1489">
        <f t="shared" si="6"/>
        <v>0</v>
      </c>
      <c r="T108" s="1489">
        <f>'HK UP KEEP, OP '!AO18+'HK UP KEEP, OP '!AP18+'HK UP KEEP, OP '!AQ18</f>
        <v>0</v>
      </c>
      <c r="U108" s="1489">
        <f t="shared" si="7"/>
        <v>0</v>
      </c>
      <c r="V108" s="1489">
        <f t="shared" si="8"/>
        <v>31</v>
      </c>
      <c r="W108" s="1491">
        <v>2250</v>
      </c>
      <c r="X108" s="1489">
        <f t="shared" si="9"/>
        <v>69750</v>
      </c>
      <c r="Y108" s="1489"/>
      <c r="Z108" s="1489"/>
      <c r="AA108" s="1489">
        <f t="shared" si="27"/>
        <v>0</v>
      </c>
      <c r="AB108" s="1489">
        <v>2500</v>
      </c>
      <c r="AC108" s="1489">
        <f>'MASA KERJA AB'!H19</f>
        <v>16</v>
      </c>
      <c r="AD108" s="1492">
        <f>'MASA KERJA AB'!I19</f>
        <v>47000</v>
      </c>
      <c r="AE108" s="1491"/>
      <c r="AF108" s="1489"/>
      <c r="AG108" s="1489"/>
      <c r="AH108" s="1489"/>
      <c r="AI108" s="1489"/>
      <c r="AJ108" s="1489"/>
      <c r="AK108" s="1493"/>
      <c r="AL108" s="1489"/>
      <c r="AM108" s="1489"/>
      <c r="AN108" s="1489"/>
      <c r="AO108" s="1494">
        <f t="shared" si="10"/>
        <v>4122570</v>
      </c>
      <c r="AP108" s="1489">
        <f t="shared" si="20"/>
        <v>77532</v>
      </c>
      <c r="AQ108" s="1489">
        <f t="shared" si="21"/>
        <v>175997.64</v>
      </c>
      <c r="AR108" s="1489">
        <f t="shared" si="28"/>
        <v>253529.64</v>
      </c>
      <c r="AS108" s="1489">
        <f t="shared" si="22"/>
        <v>39236</v>
      </c>
      <c r="AT108" s="1489">
        <f t="shared" si="23"/>
        <v>156944</v>
      </c>
      <c r="AU108" s="1489">
        <f t="shared" si="24"/>
        <v>38766</v>
      </c>
      <c r="AV108" s="1489">
        <f t="shared" si="25"/>
        <v>77532</v>
      </c>
      <c r="AW108" s="1489">
        <f t="shared" si="29"/>
        <v>312478</v>
      </c>
      <c r="AX108" s="1492">
        <v>4000</v>
      </c>
      <c r="AY108" s="1491">
        <v>0</v>
      </c>
      <c r="AZ108" s="1489">
        <f t="shared" si="13"/>
        <v>0</v>
      </c>
      <c r="BA108" s="1489"/>
      <c r="BB108" s="1489"/>
      <c r="BC108" s="1489">
        <f t="shared" si="14"/>
        <v>3963036</v>
      </c>
      <c r="BD108" s="1495">
        <f>'HK UP KEEP, OP '!AS18</f>
        <v>0</v>
      </c>
      <c r="BE108" s="1488">
        <f>'HK UP KEEP, OP '!AT18</f>
        <v>0</v>
      </c>
      <c r="BG108" s="1551">
        <f t="shared" si="15"/>
        <v>4005820</v>
      </c>
      <c r="BH108" s="1552">
        <f t="shared" si="16"/>
        <v>0</v>
      </c>
      <c r="BI108" s="1552">
        <f t="shared" si="17"/>
        <v>0</v>
      </c>
      <c r="BJ108" s="1551">
        <f t="shared" si="18"/>
        <v>0</v>
      </c>
      <c r="BK108" s="1553">
        <f t="shared" si="26"/>
        <v>4005820</v>
      </c>
      <c r="BM108" s="1553">
        <f t="shared" si="30"/>
        <v>116750</v>
      </c>
      <c r="BN108" s="1551">
        <v>30575.999999999996</v>
      </c>
      <c r="BO108" s="1551">
        <f t="shared" si="19"/>
        <v>566007.64</v>
      </c>
    </row>
    <row r="109" spans="1:72" ht="23.25" customHeight="1">
      <c r="A109" s="2048" t="s">
        <v>0</v>
      </c>
      <c r="B109" s="2048"/>
      <c r="C109" s="2048"/>
      <c r="D109" s="2048"/>
      <c r="E109" s="2048"/>
      <c r="F109" s="2048"/>
      <c r="G109" s="2048"/>
      <c r="H109" s="2048"/>
      <c r="I109" s="2048"/>
      <c r="J109" s="2048"/>
      <c r="K109" s="2048"/>
      <c r="L109" s="2048"/>
      <c r="M109" s="2048"/>
      <c r="N109" s="2048"/>
      <c r="O109" s="2048"/>
      <c r="P109" s="2048"/>
      <c r="Q109" s="2048"/>
      <c r="R109" s="2048"/>
      <c r="S109" s="2048"/>
      <c r="T109" s="2048"/>
      <c r="U109" s="2048"/>
      <c r="V109" s="2048"/>
      <c r="W109" s="2048"/>
      <c r="X109" s="2048"/>
      <c r="Y109" s="2048"/>
      <c r="Z109" s="2048"/>
      <c r="AA109" s="2048"/>
      <c r="AB109" s="2048"/>
      <c r="AC109" s="2048"/>
      <c r="AD109" s="2048"/>
      <c r="AE109" s="2048"/>
      <c r="AF109" s="2048"/>
      <c r="AG109" s="2048"/>
      <c r="AH109" s="2048"/>
      <c r="AI109" s="2048"/>
      <c r="AJ109" s="2048"/>
      <c r="AK109" s="2048"/>
      <c r="AL109" s="2048"/>
      <c r="AM109" s="2048"/>
      <c r="AN109" s="2048"/>
      <c r="AO109" s="2048"/>
      <c r="AP109" s="2048"/>
      <c r="AQ109" s="2048"/>
      <c r="AR109" s="2048"/>
      <c r="AS109" s="2048"/>
      <c r="AT109" s="2048"/>
      <c r="AU109" s="2048"/>
      <c r="AV109" s="2048"/>
      <c r="AW109" s="2048"/>
      <c r="AX109" s="2048"/>
      <c r="AY109" s="2048"/>
      <c r="AZ109" s="2048"/>
      <c r="BA109" s="2048"/>
      <c r="BB109" s="2048"/>
      <c r="BC109" s="2048"/>
      <c r="BD109" s="2048"/>
      <c r="BE109" s="2048"/>
    </row>
    <row r="110" spans="1:72" ht="26.25" customHeight="1">
      <c r="A110" s="2049" t="s">
        <v>1033</v>
      </c>
      <c r="B110" s="2049"/>
      <c r="C110" s="2049"/>
      <c r="D110" s="2049"/>
      <c r="E110" s="2049"/>
      <c r="F110" s="2049"/>
      <c r="G110" s="2049"/>
      <c r="H110" s="2049"/>
      <c r="I110" s="2049"/>
      <c r="J110" s="2049"/>
      <c r="K110" s="2049"/>
      <c r="L110" s="2049"/>
      <c r="M110" s="2049"/>
      <c r="N110" s="2049"/>
      <c r="O110" s="2049"/>
      <c r="P110" s="2049"/>
      <c r="Q110" s="2049"/>
      <c r="R110" s="2049"/>
      <c r="S110" s="2049"/>
      <c r="T110" s="2049"/>
      <c r="U110" s="2049"/>
      <c r="V110" s="2049"/>
      <c r="W110" s="2049"/>
      <c r="X110" s="2049"/>
      <c r="Y110" s="2049"/>
      <c r="Z110" s="2049"/>
      <c r="AA110" s="2049"/>
      <c r="AB110" s="2049"/>
      <c r="AC110" s="2049"/>
      <c r="AD110" s="2049"/>
      <c r="AE110" s="2049"/>
      <c r="AF110" s="2049"/>
      <c r="AG110" s="2049"/>
      <c r="AH110" s="2049"/>
      <c r="AI110" s="2049"/>
      <c r="AJ110" s="2049"/>
      <c r="AK110" s="2049"/>
      <c r="AL110" s="2049"/>
      <c r="AM110" s="2049"/>
      <c r="AN110" s="2049"/>
      <c r="AO110" s="2049"/>
      <c r="AP110" s="2049"/>
      <c r="AQ110" s="2049"/>
      <c r="AR110" s="2049"/>
      <c r="AS110" s="2049"/>
      <c r="AT110" s="2049"/>
      <c r="AU110" s="2049"/>
      <c r="AV110" s="2049"/>
      <c r="AW110" s="2049"/>
      <c r="AX110" s="2049"/>
      <c r="AY110" s="2049"/>
      <c r="AZ110" s="2049"/>
      <c r="BA110" s="2049"/>
      <c r="BB110" s="2049"/>
      <c r="BC110" s="2049"/>
      <c r="BD110" s="2049"/>
      <c r="BE110" s="2049"/>
    </row>
    <row r="111" spans="1:72" s="1523" customFormat="1" ht="18.75" customHeight="1">
      <c r="C111" s="1554"/>
      <c r="D111" s="1523" t="s">
        <v>964</v>
      </c>
      <c r="F111" s="1555"/>
      <c r="G111" s="1555"/>
      <c r="X111" s="1556"/>
      <c r="AE111" s="1532"/>
      <c r="AK111" s="1557"/>
      <c r="AP111" s="1558">
        <v>3876600</v>
      </c>
      <c r="AQ111" s="1559">
        <f>AP111/30</f>
        <v>129220</v>
      </c>
      <c r="AR111" s="1559">
        <f>AP111/173*1.5</f>
        <v>33612.138728323698</v>
      </c>
      <c r="AS111" s="1559">
        <f>AP111/173*2</f>
        <v>44816.184971098264</v>
      </c>
      <c r="AW111" s="1532" t="s">
        <v>55</v>
      </c>
      <c r="AX111" s="1523" t="s">
        <v>152</v>
      </c>
      <c r="BC111" s="1531"/>
      <c r="BE111" s="1532"/>
      <c r="BG111" s="1555"/>
      <c r="BH111" s="1560"/>
      <c r="BI111" s="1560"/>
      <c r="BJ111" s="1555"/>
      <c r="BK111" s="1561"/>
      <c r="BL111" s="1561"/>
      <c r="BM111" s="1561"/>
      <c r="BN111" s="1555"/>
      <c r="BO111" s="1555"/>
    </row>
    <row r="112" spans="1:72" ht="15" customHeight="1" thickBot="1">
      <c r="A112" s="1547"/>
      <c r="D112" s="1563"/>
      <c r="E112" s="1563"/>
      <c r="F112" s="1564"/>
      <c r="G112" s="1564"/>
      <c r="H112" s="1563"/>
      <c r="I112" s="1563"/>
      <c r="J112" s="1563"/>
      <c r="K112" s="1563"/>
      <c r="L112" s="1563"/>
      <c r="M112" s="1563"/>
      <c r="N112" s="1563"/>
      <c r="O112" s="1563"/>
      <c r="Q112" s="1563"/>
      <c r="R112" s="1563"/>
      <c r="S112" s="1563"/>
      <c r="T112" s="1563"/>
      <c r="U112" s="1563"/>
      <c r="V112" s="1563"/>
      <c r="W112" s="1563"/>
      <c r="X112" s="1563"/>
      <c r="Y112" s="1563"/>
      <c r="Z112" s="1563"/>
      <c r="AA112" s="1563"/>
      <c r="AB112" s="1563"/>
      <c r="AC112" s="1563"/>
      <c r="AD112" s="1547"/>
      <c r="AE112" s="1563"/>
      <c r="AF112" s="1563"/>
      <c r="AG112" s="1563"/>
      <c r="AH112" s="1563"/>
      <c r="AI112" s="1563"/>
      <c r="AJ112" s="1563"/>
      <c r="AK112" s="1565"/>
      <c r="AL112" s="1563"/>
      <c r="AM112" s="1563"/>
      <c r="AO112" s="1563"/>
      <c r="AP112" s="1558">
        <v>3876600</v>
      </c>
      <c r="AQ112" s="1566">
        <f>AP112/30</f>
        <v>129220</v>
      </c>
      <c r="AR112" s="1567"/>
      <c r="AS112" s="1568">
        <f>AP112+24000</f>
        <v>3900600</v>
      </c>
    </row>
    <row r="113" spans="1:69" s="1523" customFormat="1" ht="15.75" customHeight="1">
      <c r="A113" s="2050" t="s">
        <v>5</v>
      </c>
      <c r="B113" s="2053" t="s">
        <v>6</v>
      </c>
      <c r="C113" s="2056" t="s">
        <v>52</v>
      </c>
      <c r="D113" s="1569"/>
      <c r="E113" s="1569"/>
      <c r="F113" s="1570"/>
      <c r="G113" s="1570"/>
      <c r="H113" s="2059" t="s">
        <v>2</v>
      </c>
      <c r="I113" s="2060"/>
      <c r="J113" s="2060"/>
      <c r="K113" s="2060"/>
      <c r="L113" s="2060"/>
      <c r="M113" s="2060"/>
      <c r="N113" s="2060"/>
      <c r="O113" s="2060"/>
      <c r="P113" s="2060"/>
      <c r="Q113" s="2060"/>
      <c r="R113" s="2060"/>
      <c r="S113" s="2060"/>
      <c r="T113" s="2060"/>
      <c r="U113" s="2061"/>
      <c r="V113" s="2056" t="s">
        <v>286</v>
      </c>
      <c r="W113" s="2059" t="s">
        <v>3</v>
      </c>
      <c r="X113" s="2060"/>
      <c r="Y113" s="2060"/>
      <c r="Z113" s="2060"/>
      <c r="AA113" s="2060"/>
      <c r="AB113" s="2060"/>
      <c r="AC113" s="2060"/>
      <c r="AD113" s="2061"/>
      <c r="AE113" s="2042" t="s">
        <v>45</v>
      </c>
      <c r="AF113" s="2063" t="s">
        <v>46</v>
      </c>
      <c r="AG113" s="2064"/>
      <c r="AH113" s="2064"/>
      <c r="AI113" s="2064"/>
      <c r="AJ113" s="2064"/>
      <c r="AK113" s="2064"/>
      <c r="AL113" s="2065"/>
      <c r="AM113" s="2045" t="s">
        <v>98</v>
      </c>
      <c r="AN113" s="2056" t="s">
        <v>44</v>
      </c>
      <c r="AO113" s="1533" t="s">
        <v>4</v>
      </c>
      <c r="AP113" s="2036" t="s">
        <v>20</v>
      </c>
      <c r="AQ113" s="2037"/>
      <c r="AR113" s="2038"/>
      <c r="AS113" s="2036" t="s">
        <v>54</v>
      </c>
      <c r="AT113" s="2037"/>
      <c r="AU113" s="2037"/>
      <c r="AV113" s="2037"/>
      <c r="AW113" s="2037"/>
      <c r="AX113" s="1571"/>
      <c r="AY113" s="2042" t="s">
        <v>89</v>
      </c>
      <c r="AZ113" s="2045" t="s">
        <v>97</v>
      </c>
      <c r="BA113" s="2045" t="s">
        <v>719</v>
      </c>
      <c r="BB113" s="2045" t="s">
        <v>210</v>
      </c>
      <c r="BC113" s="1539" t="s">
        <v>4</v>
      </c>
      <c r="BD113" s="2063" t="s">
        <v>41</v>
      </c>
      <c r="BE113" s="2084"/>
      <c r="BG113" s="1555"/>
      <c r="BH113" s="1560"/>
      <c r="BI113" s="1560"/>
      <c r="BJ113" s="1555"/>
      <c r="BK113" s="1561"/>
      <c r="BL113" s="1561"/>
      <c r="BM113" s="1561"/>
      <c r="BN113" s="1555"/>
      <c r="BO113" s="1555"/>
    </row>
    <row r="114" spans="1:69" s="1523" customFormat="1" ht="25.5" customHeight="1">
      <c r="A114" s="2051"/>
      <c r="B114" s="2054"/>
      <c r="C114" s="2057"/>
      <c r="D114" s="1519" t="s">
        <v>7</v>
      </c>
      <c r="E114" s="1519" t="s">
        <v>8</v>
      </c>
      <c r="F114" s="1572" t="s">
        <v>9</v>
      </c>
      <c r="G114" s="1572" t="s">
        <v>9</v>
      </c>
      <c r="H114" s="2071" t="s">
        <v>10</v>
      </c>
      <c r="I114" s="2072"/>
      <c r="J114" s="2071" t="s">
        <v>11</v>
      </c>
      <c r="K114" s="2072"/>
      <c r="L114" s="2071" t="s">
        <v>12</v>
      </c>
      <c r="M114" s="2072"/>
      <c r="N114" s="2071" t="s">
        <v>13</v>
      </c>
      <c r="O114" s="2072"/>
      <c r="P114" s="2071" t="s">
        <v>14</v>
      </c>
      <c r="Q114" s="2072"/>
      <c r="R114" s="2087" t="s">
        <v>15</v>
      </c>
      <c r="S114" s="2088"/>
      <c r="T114" s="2071" t="s">
        <v>16</v>
      </c>
      <c r="U114" s="2072"/>
      <c r="V114" s="2057"/>
      <c r="W114" s="2071" t="s">
        <v>17</v>
      </c>
      <c r="X114" s="2072"/>
      <c r="Y114" s="2071" t="s">
        <v>18</v>
      </c>
      <c r="Z114" s="2081"/>
      <c r="AA114" s="2072"/>
      <c r="AB114" s="2071" t="s">
        <v>19</v>
      </c>
      <c r="AC114" s="2081"/>
      <c r="AD114" s="2072"/>
      <c r="AE114" s="2043"/>
      <c r="AF114" s="2066"/>
      <c r="AG114" s="2067"/>
      <c r="AH114" s="2067"/>
      <c r="AI114" s="2067"/>
      <c r="AJ114" s="2067"/>
      <c r="AK114" s="2067"/>
      <c r="AL114" s="2068"/>
      <c r="AM114" s="2046"/>
      <c r="AN114" s="2057"/>
      <c r="AO114" s="1534" t="s">
        <v>9</v>
      </c>
      <c r="AP114" s="2039"/>
      <c r="AQ114" s="2040"/>
      <c r="AR114" s="2041"/>
      <c r="AS114" s="2039"/>
      <c r="AT114" s="2040"/>
      <c r="AU114" s="2040"/>
      <c r="AV114" s="2040"/>
      <c r="AW114" s="2040"/>
      <c r="AX114" s="1534" t="s">
        <v>21</v>
      </c>
      <c r="AY114" s="2043"/>
      <c r="AZ114" s="2046"/>
      <c r="BA114" s="2046"/>
      <c r="BB114" s="2046"/>
      <c r="BC114" s="1540" t="s">
        <v>9</v>
      </c>
      <c r="BD114" s="2085"/>
      <c r="BE114" s="2086"/>
      <c r="BG114" s="1573"/>
      <c r="BH114" s="1573"/>
      <c r="BI114" s="1573"/>
      <c r="BJ114" s="1555"/>
      <c r="BK114" s="1561"/>
      <c r="BL114" s="1561"/>
      <c r="BM114" s="1561"/>
      <c r="BN114" s="1555"/>
      <c r="BO114" s="1555"/>
    </row>
    <row r="115" spans="1:69" s="1523" customFormat="1" ht="63" customHeight="1">
      <c r="A115" s="2051"/>
      <c r="B115" s="2054"/>
      <c r="C115" s="2057"/>
      <c r="D115" s="1519" t="s">
        <v>22</v>
      </c>
      <c r="E115" s="1519" t="s">
        <v>23</v>
      </c>
      <c r="F115" s="1572" t="s">
        <v>24</v>
      </c>
      <c r="G115" s="1572" t="s">
        <v>25</v>
      </c>
      <c r="H115" s="2069" t="s">
        <v>4</v>
      </c>
      <c r="I115" s="2070"/>
      <c r="J115" s="2069" t="s">
        <v>4</v>
      </c>
      <c r="K115" s="2070"/>
      <c r="L115" s="2069" t="s">
        <v>4</v>
      </c>
      <c r="M115" s="2070"/>
      <c r="N115" s="2069" t="s">
        <v>4</v>
      </c>
      <c r="O115" s="2070"/>
      <c r="P115" s="2069" t="s">
        <v>4</v>
      </c>
      <c r="Q115" s="2070"/>
      <c r="R115" s="2082" t="s">
        <v>4</v>
      </c>
      <c r="S115" s="2083"/>
      <c r="T115" s="2069" t="s">
        <v>4</v>
      </c>
      <c r="U115" s="2070"/>
      <c r="V115" s="2057"/>
      <c r="W115" s="1534" t="s">
        <v>27</v>
      </c>
      <c r="X115" s="1574" t="s">
        <v>28</v>
      </c>
      <c r="Y115" s="1534" t="s">
        <v>27</v>
      </c>
      <c r="Z115" s="2069" t="s">
        <v>4</v>
      </c>
      <c r="AA115" s="2070"/>
      <c r="AB115" s="1534" t="s">
        <v>27</v>
      </c>
      <c r="AC115" s="2071" t="s">
        <v>4</v>
      </c>
      <c r="AD115" s="2072"/>
      <c r="AE115" s="2062"/>
      <c r="AF115" s="1575" t="s">
        <v>56</v>
      </c>
      <c r="AG115" s="1575" t="s">
        <v>57</v>
      </c>
      <c r="AH115" s="1575" t="s">
        <v>60</v>
      </c>
      <c r="AI115" s="1575" t="s">
        <v>202</v>
      </c>
      <c r="AJ115" s="1575" t="s">
        <v>218</v>
      </c>
      <c r="AK115" s="1575" t="s">
        <v>572</v>
      </c>
      <c r="AL115" s="1575" t="s">
        <v>288</v>
      </c>
      <c r="AM115" s="2089"/>
      <c r="AN115" s="2090"/>
      <c r="AO115" s="1534" t="s">
        <v>29</v>
      </c>
      <c r="AP115" s="1519" t="s">
        <v>30</v>
      </c>
      <c r="AQ115" s="1519" t="s">
        <v>31</v>
      </c>
      <c r="AR115" s="1519" t="s">
        <v>4</v>
      </c>
      <c r="AS115" s="1576" t="s">
        <v>30</v>
      </c>
      <c r="AT115" s="1574" t="s">
        <v>31</v>
      </c>
      <c r="AU115" s="1574" t="s">
        <v>30</v>
      </c>
      <c r="AV115" s="1574" t="s">
        <v>31</v>
      </c>
      <c r="AW115" s="1577" t="s">
        <v>4</v>
      </c>
      <c r="AX115" s="1534" t="s">
        <v>32</v>
      </c>
      <c r="AY115" s="2043"/>
      <c r="AZ115" s="2046"/>
      <c r="BA115" s="2046"/>
      <c r="BB115" s="2046"/>
      <c r="BC115" s="1540" t="s">
        <v>33</v>
      </c>
      <c r="BD115" s="2073" t="s">
        <v>42</v>
      </c>
      <c r="BE115" s="2075" t="s">
        <v>43</v>
      </c>
      <c r="BG115" s="1573"/>
      <c r="BH115" s="1578"/>
      <c r="BI115" s="1578"/>
      <c r="BJ115" s="1555"/>
      <c r="BK115" s="1561"/>
      <c r="BL115" s="1561"/>
      <c r="BM115" s="1561"/>
      <c r="BN115" s="1555"/>
      <c r="BO115" s="1555"/>
    </row>
    <row r="116" spans="1:69" s="1523" customFormat="1" ht="21" customHeight="1" thickBot="1">
      <c r="A116" s="2052"/>
      <c r="B116" s="2055"/>
      <c r="C116" s="2058"/>
      <c r="D116" s="1520"/>
      <c r="E116" s="1520"/>
      <c r="F116" s="1579" t="s">
        <v>34</v>
      </c>
      <c r="G116" s="1580" t="s">
        <v>34</v>
      </c>
      <c r="H116" s="1581" t="s">
        <v>8</v>
      </c>
      <c r="I116" s="1582" t="s">
        <v>34</v>
      </c>
      <c r="J116" s="1581" t="s">
        <v>8</v>
      </c>
      <c r="K116" s="1582" t="s">
        <v>34</v>
      </c>
      <c r="L116" s="1581" t="s">
        <v>8</v>
      </c>
      <c r="M116" s="1582" t="s">
        <v>34</v>
      </c>
      <c r="N116" s="1581" t="s">
        <v>8</v>
      </c>
      <c r="O116" s="1582" t="s">
        <v>34</v>
      </c>
      <c r="P116" s="1581" t="s">
        <v>8</v>
      </c>
      <c r="Q116" s="1582" t="s">
        <v>34</v>
      </c>
      <c r="R116" s="1581" t="s">
        <v>8</v>
      </c>
      <c r="S116" s="1582" t="s">
        <v>34</v>
      </c>
      <c r="T116" s="1581" t="s">
        <v>8</v>
      </c>
      <c r="U116" s="1582" t="s">
        <v>34</v>
      </c>
      <c r="V116" s="2058"/>
      <c r="W116" s="1581" t="s">
        <v>26</v>
      </c>
      <c r="X116" s="1581" t="s">
        <v>34</v>
      </c>
      <c r="Y116" s="1581" t="s">
        <v>26</v>
      </c>
      <c r="Z116" s="1581" t="s">
        <v>26</v>
      </c>
      <c r="AA116" s="1581" t="s">
        <v>34</v>
      </c>
      <c r="AB116" s="1581" t="s">
        <v>26</v>
      </c>
      <c r="AC116" s="1581" t="s">
        <v>35</v>
      </c>
      <c r="AD116" s="1581" t="s">
        <v>34</v>
      </c>
      <c r="AE116" s="1581" t="s">
        <v>34</v>
      </c>
      <c r="AF116" s="1582" t="s">
        <v>34</v>
      </c>
      <c r="AG116" s="1582" t="s">
        <v>34</v>
      </c>
      <c r="AH116" s="1582" t="s">
        <v>34</v>
      </c>
      <c r="AI116" s="1582" t="s">
        <v>34</v>
      </c>
      <c r="AJ116" s="1582" t="s">
        <v>34</v>
      </c>
      <c r="AK116" s="1582" t="s">
        <v>34</v>
      </c>
      <c r="AL116" s="1582" t="s">
        <v>34</v>
      </c>
      <c r="AM116" s="1582" t="s">
        <v>34</v>
      </c>
      <c r="AN116" s="1581" t="s">
        <v>34</v>
      </c>
      <c r="AO116" s="1582" t="s">
        <v>34</v>
      </c>
      <c r="AP116" s="1582" t="s">
        <v>34</v>
      </c>
      <c r="AQ116" s="1582" t="s">
        <v>34</v>
      </c>
      <c r="AR116" s="1582" t="s">
        <v>34</v>
      </c>
      <c r="AS116" s="1581" t="s">
        <v>58</v>
      </c>
      <c r="AT116" s="1582" t="s">
        <v>34</v>
      </c>
      <c r="AU116" s="1582" t="s">
        <v>59</v>
      </c>
      <c r="AV116" s="1582" t="s">
        <v>34</v>
      </c>
      <c r="AW116" s="1583" t="s">
        <v>34</v>
      </c>
      <c r="AX116" s="1537"/>
      <c r="AY116" s="2044"/>
      <c r="AZ116" s="2047"/>
      <c r="BA116" s="2047"/>
      <c r="BB116" s="2047"/>
      <c r="BC116" s="1541" t="s">
        <v>34</v>
      </c>
      <c r="BD116" s="2074"/>
      <c r="BE116" s="2076"/>
      <c r="BG116" s="1555" t="s">
        <v>353</v>
      </c>
      <c r="BH116" s="1578" t="s">
        <v>43</v>
      </c>
      <c r="BI116" s="1578" t="s">
        <v>42</v>
      </c>
      <c r="BJ116" s="1555" t="s">
        <v>354</v>
      </c>
      <c r="BK116" s="1561" t="s">
        <v>358</v>
      </c>
      <c r="BL116" s="1561"/>
      <c r="BM116" s="1561" t="s">
        <v>625</v>
      </c>
      <c r="BN116" s="1555" t="s">
        <v>626</v>
      </c>
      <c r="BO116" s="1555" t="s">
        <v>627</v>
      </c>
      <c r="BQ116" s="1523" t="s">
        <v>685</v>
      </c>
    </row>
    <row r="117" spans="1:69" ht="102" customHeight="1" thickBot="1">
      <c r="A117" s="1584" t="s">
        <v>74</v>
      </c>
      <c r="B117" s="1489" t="s">
        <v>37</v>
      </c>
      <c r="C117" s="1585" t="s">
        <v>120</v>
      </c>
      <c r="D117" s="1586" t="s">
        <v>105</v>
      </c>
      <c r="E117" s="1489">
        <f>'HK UP KEEP, OP '!AH19</f>
        <v>20</v>
      </c>
      <c r="F117" s="1490">
        <v>129220</v>
      </c>
      <c r="G117" s="1490">
        <f t="shared" si="0"/>
        <v>2584400</v>
      </c>
      <c r="H117" s="1489">
        <f>'HK UP KEEP, OP '!AI19</f>
        <v>1</v>
      </c>
      <c r="I117" s="1489">
        <f t="shared" si="1"/>
        <v>129220</v>
      </c>
      <c r="J117" s="1489">
        <f>'HK UP KEEP, OP '!AJ19</f>
        <v>1</v>
      </c>
      <c r="K117" s="1489">
        <f t="shared" si="2"/>
        <v>129220</v>
      </c>
      <c r="L117" s="1489">
        <f>'HK UP KEEP, OP '!AK19</f>
        <v>2</v>
      </c>
      <c r="M117" s="1489">
        <f t="shared" si="3"/>
        <v>258440</v>
      </c>
      <c r="N117" s="1489">
        <f>'HK UP KEEP, OP '!AL19</f>
        <v>4</v>
      </c>
      <c r="O117" s="1489">
        <f t="shared" si="4"/>
        <v>516880</v>
      </c>
      <c r="P117" s="1489">
        <f>'HK UP KEEP, OP '!AM19</f>
        <v>3</v>
      </c>
      <c r="Q117" s="1489">
        <f t="shared" si="5"/>
        <v>387660</v>
      </c>
      <c r="R117" s="1489">
        <f>'HK UP KEEP, OP '!AN19</f>
        <v>0</v>
      </c>
      <c r="S117" s="1489">
        <f t="shared" si="6"/>
        <v>0</v>
      </c>
      <c r="T117" s="1489">
        <f>'HK UP KEEP, OP '!AO19+'HK UP KEEP, OP '!AP19+'HK UP KEEP, OP '!AQ19</f>
        <v>0</v>
      </c>
      <c r="U117" s="1489">
        <f t="shared" si="7"/>
        <v>0</v>
      </c>
      <c r="V117" s="1489">
        <f t="shared" si="8"/>
        <v>31</v>
      </c>
      <c r="W117" s="1491">
        <v>2250</v>
      </c>
      <c r="X117" s="1489">
        <f t="shared" si="9"/>
        <v>69750</v>
      </c>
      <c r="Y117" s="1489"/>
      <c r="Z117" s="1489"/>
      <c r="AA117" s="1489">
        <f t="shared" si="27"/>
        <v>0</v>
      </c>
      <c r="AB117" s="1489">
        <v>2500</v>
      </c>
      <c r="AC117" s="1489">
        <f>'MASA KERJA AB'!H20</f>
        <v>17</v>
      </c>
      <c r="AD117" s="1492">
        <f>'MASA KERJA AB'!I20</f>
        <v>50500</v>
      </c>
      <c r="AE117" s="1497"/>
      <c r="AF117" s="1489"/>
      <c r="AG117" s="1489"/>
      <c r="AH117" s="1491"/>
      <c r="AI117" s="1489"/>
      <c r="AJ117" s="1489"/>
      <c r="AK117" s="1505">
        <v>141000</v>
      </c>
      <c r="AL117" s="1500"/>
      <c r="AM117" s="1489"/>
      <c r="AN117" s="1506"/>
      <c r="AO117" s="1494">
        <f t="shared" si="10"/>
        <v>4267070</v>
      </c>
      <c r="AP117" s="1489">
        <f t="shared" si="20"/>
        <v>77532</v>
      </c>
      <c r="AQ117" s="1489">
        <f t="shared" si="21"/>
        <v>175997.64</v>
      </c>
      <c r="AR117" s="1489">
        <f t="shared" si="28"/>
        <v>253529.64</v>
      </c>
      <c r="AS117" s="1489">
        <f t="shared" si="22"/>
        <v>39271</v>
      </c>
      <c r="AT117" s="1489">
        <f t="shared" si="23"/>
        <v>157084</v>
      </c>
      <c r="AU117" s="1489">
        <f t="shared" si="24"/>
        <v>38766</v>
      </c>
      <c r="AV117" s="1489">
        <f t="shared" si="25"/>
        <v>77532</v>
      </c>
      <c r="AW117" s="1489">
        <f t="shared" si="29"/>
        <v>312653</v>
      </c>
      <c r="AX117" s="1492">
        <v>4000</v>
      </c>
      <c r="AY117" s="1491">
        <v>0</v>
      </c>
      <c r="AZ117" s="1489">
        <f t="shared" si="13"/>
        <v>0</v>
      </c>
      <c r="BA117" s="1489"/>
      <c r="BB117" s="1489"/>
      <c r="BC117" s="1489">
        <f t="shared" si="14"/>
        <v>4107501</v>
      </c>
      <c r="BD117" s="1495">
        <f>'HK UP KEEP, OP '!AS19</f>
        <v>0</v>
      </c>
      <c r="BE117" s="1488">
        <f>'HK UP KEEP, OP '!AT19</f>
        <v>0</v>
      </c>
      <c r="BG117" s="1551">
        <f t="shared" si="15"/>
        <v>4005820</v>
      </c>
      <c r="BH117" s="1552">
        <f t="shared" si="16"/>
        <v>0</v>
      </c>
      <c r="BI117" s="1552">
        <f t="shared" si="17"/>
        <v>0</v>
      </c>
      <c r="BJ117" s="1551">
        <f t="shared" si="18"/>
        <v>0</v>
      </c>
      <c r="BK117" s="1553">
        <f t="shared" si="26"/>
        <v>4005820</v>
      </c>
      <c r="BM117" s="1553">
        <f t="shared" si="30"/>
        <v>261250</v>
      </c>
      <c r="BN117" s="1551">
        <v>30575.999999999996</v>
      </c>
      <c r="BO117" s="1551">
        <f t="shared" si="19"/>
        <v>566182.64</v>
      </c>
    </row>
    <row r="118" spans="1:69" ht="23.25" customHeight="1">
      <c r="A118" s="2048" t="s">
        <v>0</v>
      </c>
      <c r="B118" s="2048"/>
      <c r="C118" s="2048"/>
      <c r="D118" s="2048"/>
      <c r="E118" s="2048"/>
      <c r="F118" s="2048"/>
      <c r="G118" s="2048"/>
      <c r="H118" s="2048"/>
      <c r="I118" s="2048"/>
      <c r="J118" s="2048"/>
      <c r="K118" s="2048"/>
      <c r="L118" s="2048"/>
      <c r="M118" s="2048"/>
      <c r="N118" s="2048"/>
      <c r="O118" s="2048"/>
      <c r="P118" s="2048"/>
      <c r="Q118" s="2048"/>
      <c r="R118" s="2048"/>
      <c r="S118" s="2048"/>
      <c r="T118" s="2048"/>
      <c r="U118" s="2048"/>
      <c r="V118" s="2048"/>
      <c r="W118" s="2048"/>
      <c r="X118" s="2048"/>
      <c r="Y118" s="2048"/>
      <c r="Z118" s="2048"/>
      <c r="AA118" s="2048"/>
      <c r="AB118" s="2048"/>
      <c r="AC118" s="2048"/>
      <c r="AD118" s="2048"/>
      <c r="AE118" s="2048"/>
      <c r="AF118" s="2048"/>
      <c r="AG118" s="2048"/>
      <c r="AH118" s="2048"/>
      <c r="AI118" s="2048"/>
      <c r="AJ118" s="2048"/>
      <c r="AK118" s="2048"/>
      <c r="AL118" s="2048"/>
      <c r="AM118" s="2048"/>
      <c r="AN118" s="2048"/>
      <c r="AO118" s="2048"/>
      <c r="AP118" s="2048"/>
      <c r="AQ118" s="2048"/>
      <c r="AR118" s="2048"/>
      <c r="AS118" s="2048"/>
      <c r="AT118" s="2048"/>
      <c r="AU118" s="2048"/>
      <c r="AV118" s="2048"/>
      <c r="AW118" s="2048"/>
      <c r="AX118" s="2048"/>
      <c r="AY118" s="2048"/>
      <c r="AZ118" s="2048"/>
      <c r="BA118" s="2048"/>
      <c r="BB118" s="2048"/>
      <c r="BC118" s="2048"/>
      <c r="BD118" s="2048"/>
      <c r="BE118" s="2048"/>
    </row>
    <row r="119" spans="1:69" ht="26.25" customHeight="1">
      <c r="A119" s="2049" t="s">
        <v>1033</v>
      </c>
      <c r="B119" s="2049"/>
      <c r="C119" s="2049"/>
      <c r="D119" s="2049"/>
      <c r="E119" s="2049"/>
      <c r="F119" s="2049"/>
      <c r="G119" s="2049"/>
      <c r="H119" s="2049"/>
      <c r="I119" s="2049"/>
      <c r="J119" s="2049"/>
      <c r="K119" s="2049"/>
      <c r="L119" s="2049"/>
      <c r="M119" s="2049"/>
      <c r="N119" s="2049"/>
      <c r="O119" s="2049"/>
      <c r="P119" s="2049"/>
      <c r="Q119" s="2049"/>
      <c r="R119" s="2049"/>
      <c r="S119" s="2049"/>
      <c r="T119" s="2049"/>
      <c r="U119" s="2049"/>
      <c r="V119" s="2049"/>
      <c r="W119" s="2049"/>
      <c r="X119" s="2049"/>
      <c r="Y119" s="2049"/>
      <c r="Z119" s="2049"/>
      <c r="AA119" s="2049"/>
      <c r="AB119" s="2049"/>
      <c r="AC119" s="2049"/>
      <c r="AD119" s="2049"/>
      <c r="AE119" s="2049"/>
      <c r="AF119" s="2049"/>
      <c r="AG119" s="2049"/>
      <c r="AH119" s="2049"/>
      <c r="AI119" s="2049"/>
      <c r="AJ119" s="2049"/>
      <c r="AK119" s="2049"/>
      <c r="AL119" s="2049"/>
      <c r="AM119" s="2049"/>
      <c r="AN119" s="2049"/>
      <c r="AO119" s="2049"/>
      <c r="AP119" s="2049"/>
      <c r="AQ119" s="2049"/>
      <c r="AR119" s="2049"/>
      <c r="AS119" s="2049"/>
      <c r="AT119" s="2049"/>
      <c r="AU119" s="2049"/>
      <c r="AV119" s="2049"/>
      <c r="AW119" s="2049"/>
      <c r="AX119" s="2049"/>
      <c r="AY119" s="2049"/>
      <c r="AZ119" s="2049"/>
      <c r="BA119" s="2049"/>
      <c r="BB119" s="2049"/>
      <c r="BC119" s="2049"/>
      <c r="BD119" s="2049"/>
      <c r="BE119" s="2049"/>
    </row>
    <row r="120" spans="1:69" s="1523" customFormat="1" ht="18.75" customHeight="1">
      <c r="C120" s="1554"/>
      <c r="D120" s="1523" t="s">
        <v>964</v>
      </c>
      <c r="F120" s="1555"/>
      <c r="G120" s="1555"/>
      <c r="X120" s="1556"/>
      <c r="AE120" s="1532"/>
      <c r="AK120" s="1557"/>
      <c r="AP120" s="1558">
        <v>3876600</v>
      </c>
      <c r="AQ120" s="1559">
        <f>AP120/30</f>
        <v>129220</v>
      </c>
      <c r="AR120" s="1559">
        <f>AP120/173*1.5</f>
        <v>33612.138728323698</v>
      </c>
      <c r="AS120" s="1559">
        <f>AP120/173*2</f>
        <v>44816.184971098264</v>
      </c>
      <c r="AW120" s="1532" t="s">
        <v>55</v>
      </c>
      <c r="AX120" s="1523" t="s">
        <v>152</v>
      </c>
      <c r="BC120" s="1531"/>
      <c r="BE120" s="1532"/>
      <c r="BG120" s="1555"/>
      <c r="BH120" s="1560"/>
      <c r="BI120" s="1560"/>
      <c r="BJ120" s="1555"/>
      <c r="BK120" s="1561"/>
      <c r="BL120" s="1561"/>
      <c r="BM120" s="1561"/>
      <c r="BN120" s="1555"/>
      <c r="BO120" s="1555"/>
    </row>
    <row r="121" spans="1:69" ht="15" customHeight="1" thickBot="1">
      <c r="A121" s="1547"/>
      <c r="D121" s="1563"/>
      <c r="E121" s="1563"/>
      <c r="F121" s="1564"/>
      <c r="G121" s="1564"/>
      <c r="H121" s="1563"/>
      <c r="I121" s="1563"/>
      <c r="J121" s="1563"/>
      <c r="K121" s="1563"/>
      <c r="L121" s="1563"/>
      <c r="M121" s="1563"/>
      <c r="N121" s="1563"/>
      <c r="O121" s="1563"/>
      <c r="Q121" s="1563"/>
      <c r="R121" s="1563"/>
      <c r="S121" s="1563"/>
      <c r="T121" s="1563"/>
      <c r="U121" s="1563"/>
      <c r="V121" s="1563"/>
      <c r="W121" s="1563"/>
      <c r="X121" s="1563"/>
      <c r="Y121" s="1563"/>
      <c r="Z121" s="1563"/>
      <c r="AA121" s="1563"/>
      <c r="AB121" s="1563"/>
      <c r="AC121" s="1563"/>
      <c r="AD121" s="1547"/>
      <c r="AE121" s="1563"/>
      <c r="AF121" s="1563"/>
      <c r="AG121" s="1563"/>
      <c r="AH121" s="1563"/>
      <c r="AI121" s="1563"/>
      <c r="AJ121" s="1563"/>
      <c r="AK121" s="1565"/>
      <c r="AL121" s="1563"/>
      <c r="AM121" s="1563"/>
      <c r="AO121" s="1563"/>
      <c r="AP121" s="1558">
        <v>3876600</v>
      </c>
      <c r="AQ121" s="1566">
        <f>AP121/30</f>
        <v>129220</v>
      </c>
      <c r="AR121" s="1567"/>
      <c r="AS121" s="1568">
        <f>AP121+24000</f>
        <v>3900600</v>
      </c>
    </row>
    <row r="122" spans="1:69" s="1523" customFormat="1" ht="15.75" customHeight="1">
      <c r="A122" s="2050" t="s">
        <v>5</v>
      </c>
      <c r="B122" s="2053" t="s">
        <v>6</v>
      </c>
      <c r="C122" s="2056" t="s">
        <v>52</v>
      </c>
      <c r="D122" s="1569"/>
      <c r="E122" s="1569"/>
      <c r="F122" s="1570"/>
      <c r="G122" s="1570"/>
      <c r="H122" s="2059" t="s">
        <v>2</v>
      </c>
      <c r="I122" s="2060"/>
      <c r="J122" s="2060"/>
      <c r="K122" s="2060"/>
      <c r="L122" s="2060"/>
      <c r="M122" s="2060"/>
      <c r="N122" s="2060"/>
      <c r="O122" s="2060"/>
      <c r="P122" s="2060"/>
      <c r="Q122" s="2060"/>
      <c r="R122" s="2060"/>
      <c r="S122" s="2060"/>
      <c r="T122" s="2060"/>
      <c r="U122" s="2061"/>
      <c r="V122" s="2056" t="s">
        <v>286</v>
      </c>
      <c r="W122" s="2059" t="s">
        <v>3</v>
      </c>
      <c r="X122" s="2060"/>
      <c r="Y122" s="2060"/>
      <c r="Z122" s="2060"/>
      <c r="AA122" s="2060"/>
      <c r="AB122" s="2060"/>
      <c r="AC122" s="2060"/>
      <c r="AD122" s="2061"/>
      <c r="AE122" s="2042" t="s">
        <v>45</v>
      </c>
      <c r="AF122" s="2063" t="s">
        <v>46</v>
      </c>
      <c r="AG122" s="2064"/>
      <c r="AH122" s="2064"/>
      <c r="AI122" s="2064"/>
      <c r="AJ122" s="2064"/>
      <c r="AK122" s="2064"/>
      <c r="AL122" s="2065"/>
      <c r="AM122" s="2045" t="s">
        <v>98</v>
      </c>
      <c r="AN122" s="2056" t="s">
        <v>44</v>
      </c>
      <c r="AO122" s="1533" t="s">
        <v>4</v>
      </c>
      <c r="AP122" s="2036" t="s">
        <v>20</v>
      </c>
      <c r="AQ122" s="2037"/>
      <c r="AR122" s="2038"/>
      <c r="AS122" s="2036" t="s">
        <v>54</v>
      </c>
      <c r="AT122" s="2037"/>
      <c r="AU122" s="2037"/>
      <c r="AV122" s="2037"/>
      <c r="AW122" s="2037"/>
      <c r="AX122" s="1571"/>
      <c r="AY122" s="2042" t="s">
        <v>89</v>
      </c>
      <c r="AZ122" s="2045" t="s">
        <v>97</v>
      </c>
      <c r="BA122" s="2045" t="s">
        <v>719</v>
      </c>
      <c r="BB122" s="2045" t="s">
        <v>210</v>
      </c>
      <c r="BC122" s="1539" t="s">
        <v>4</v>
      </c>
      <c r="BD122" s="2063" t="s">
        <v>41</v>
      </c>
      <c r="BE122" s="2084"/>
      <c r="BG122" s="1555"/>
      <c r="BH122" s="1560"/>
      <c r="BI122" s="1560"/>
      <c r="BJ122" s="1555"/>
      <c r="BK122" s="1561"/>
      <c r="BL122" s="1561"/>
      <c r="BM122" s="1561"/>
      <c r="BN122" s="1555"/>
      <c r="BO122" s="1555"/>
    </row>
    <row r="123" spans="1:69" s="1523" customFormat="1" ht="25.5" customHeight="1">
      <c r="A123" s="2051"/>
      <c r="B123" s="2054"/>
      <c r="C123" s="2057"/>
      <c r="D123" s="1519" t="s">
        <v>7</v>
      </c>
      <c r="E123" s="1519" t="s">
        <v>8</v>
      </c>
      <c r="F123" s="1572" t="s">
        <v>9</v>
      </c>
      <c r="G123" s="1572" t="s">
        <v>9</v>
      </c>
      <c r="H123" s="2071" t="s">
        <v>10</v>
      </c>
      <c r="I123" s="2072"/>
      <c r="J123" s="2071" t="s">
        <v>11</v>
      </c>
      <c r="K123" s="2072"/>
      <c r="L123" s="2071" t="s">
        <v>12</v>
      </c>
      <c r="M123" s="2072"/>
      <c r="N123" s="2071" t="s">
        <v>13</v>
      </c>
      <c r="O123" s="2072"/>
      <c r="P123" s="2071" t="s">
        <v>14</v>
      </c>
      <c r="Q123" s="2072"/>
      <c r="R123" s="2087" t="s">
        <v>15</v>
      </c>
      <c r="S123" s="2088"/>
      <c r="T123" s="2071" t="s">
        <v>16</v>
      </c>
      <c r="U123" s="2072"/>
      <c r="V123" s="2057"/>
      <c r="W123" s="2071" t="s">
        <v>17</v>
      </c>
      <c r="X123" s="2072"/>
      <c r="Y123" s="2071" t="s">
        <v>18</v>
      </c>
      <c r="Z123" s="2081"/>
      <c r="AA123" s="2072"/>
      <c r="AB123" s="2071" t="s">
        <v>19</v>
      </c>
      <c r="AC123" s="2081"/>
      <c r="AD123" s="2072"/>
      <c r="AE123" s="2043"/>
      <c r="AF123" s="2066"/>
      <c r="AG123" s="2067"/>
      <c r="AH123" s="2067"/>
      <c r="AI123" s="2067"/>
      <c r="AJ123" s="2067"/>
      <c r="AK123" s="2067"/>
      <c r="AL123" s="2068"/>
      <c r="AM123" s="2046"/>
      <c r="AN123" s="2057"/>
      <c r="AO123" s="1534" t="s">
        <v>9</v>
      </c>
      <c r="AP123" s="2039"/>
      <c r="AQ123" s="2040"/>
      <c r="AR123" s="2041"/>
      <c r="AS123" s="2039"/>
      <c r="AT123" s="2040"/>
      <c r="AU123" s="2040"/>
      <c r="AV123" s="2040"/>
      <c r="AW123" s="2040"/>
      <c r="AX123" s="1534" t="s">
        <v>21</v>
      </c>
      <c r="AY123" s="2043"/>
      <c r="AZ123" s="2046"/>
      <c r="BA123" s="2046"/>
      <c r="BB123" s="2046"/>
      <c r="BC123" s="1540" t="s">
        <v>9</v>
      </c>
      <c r="BD123" s="2085"/>
      <c r="BE123" s="2086"/>
      <c r="BG123" s="1573"/>
      <c r="BH123" s="1573"/>
      <c r="BI123" s="1573"/>
      <c r="BJ123" s="1555"/>
      <c r="BK123" s="1561"/>
      <c r="BL123" s="1561"/>
      <c r="BM123" s="1561"/>
      <c r="BN123" s="1555"/>
      <c r="BO123" s="1555"/>
    </row>
    <row r="124" spans="1:69" s="1523" customFormat="1" ht="63" customHeight="1">
      <c r="A124" s="2051"/>
      <c r="B124" s="2054"/>
      <c r="C124" s="2057"/>
      <c r="D124" s="1519" t="s">
        <v>22</v>
      </c>
      <c r="E124" s="1519" t="s">
        <v>23</v>
      </c>
      <c r="F124" s="1572" t="s">
        <v>24</v>
      </c>
      <c r="G124" s="1572" t="s">
        <v>25</v>
      </c>
      <c r="H124" s="2069" t="s">
        <v>4</v>
      </c>
      <c r="I124" s="2070"/>
      <c r="J124" s="2069" t="s">
        <v>4</v>
      </c>
      <c r="K124" s="2070"/>
      <c r="L124" s="2069" t="s">
        <v>4</v>
      </c>
      <c r="M124" s="2070"/>
      <c r="N124" s="2069" t="s">
        <v>4</v>
      </c>
      <c r="O124" s="2070"/>
      <c r="P124" s="2069" t="s">
        <v>4</v>
      </c>
      <c r="Q124" s="2070"/>
      <c r="R124" s="2082" t="s">
        <v>4</v>
      </c>
      <c r="S124" s="2083"/>
      <c r="T124" s="2069" t="s">
        <v>4</v>
      </c>
      <c r="U124" s="2070"/>
      <c r="V124" s="2057"/>
      <c r="W124" s="1534" t="s">
        <v>27</v>
      </c>
      <c r="X124" s="1574" t="s">
        <v>28</v>
      </c>
      <c r="Y124" s="1534" t="s">
        <v>27</v>
      </c>
      <c r="Z124" s="2069" t="s">
        <v>4</v>
      </c>
      <c r="AA124" s="2070"/>
      <c r="AB124" s="1534" t="s">
        <v>27</v>
      </c>
      <c r="AC124" s="2071" t="s">
        <v>4</v>
      </c>
      <c r="AD124" s="2072"/>
      <c r="AE124" s="2062"/>
      <c r="AF124" s="1575" t="s">
        <v>56</v>
      </c>
      <c r="AG124" s="1575" t="s">
        <v>57</v>
      </c>
      <c r="AH124" s="1575" t="s">
        <v>60</v>
      </c>
      <c r="AI124" s="1575" t="s">
        <v>202</v>
      </c>
      <c r="AJ124" s="1575" t="s">
        <v>218</v>
      </c>
      <c r="AK124" s="1575" t="s">
        <v>572</v>
      </c>
      <c r="AL124" s="1575" t="s">
        <v>288</v>
      </c>
      <c r="AM124" s="2089"/>
      <c r="AN124" s="2090"/>
      <c r="AO124" s="1534" t="s">
        <v>29</v>
      </c>
      <c r="AP124" s="1519" t="s">
        <v>30</v>
      </c>
      <c r="AQ124" s="1519" t="s">
        <v>31</v>
      </c>
      <c r="AR124" s="1519" t="s">
        <v>4</v>
      </c>
      <c r="AS124" s="1576" t="s">
        <v>30</v>
      </c>
      <c r="AT124" s="1574" t="s">
        <v>31</v>
      </c>
      <c r="AU124" s="1574" t="s">
        <v>30</v>
      </c>
      <c r="AV124" s="1574" t="s">
        <v>31</v>
      </c>
      <c r="AW124" s="1577" t="s">
        <v>4</v>
      </c>
      <c r="AX124" s="1534" t="s">
        <v>32</v>
      </c>
      <c r="AY124" s="2043"/>
      <c r="AZ124" s="2046"/>
      <c r="BA124" s="2046"/>
      <c r="BB124" s="2046"/>
      <c r="BC124" s="1540" t="s">
        <v>33</v>
      </c>
      <c r="BD124" s="2073" t="s">
        <v>42</v>
      </c>
      <c r="BE124" s="2075" t="s">
        <v>43</v>
      </c>
      <c r="BG124" s="1573"/>
      <c r="BH124" s="1578"/>
      <c r="BI124" s="1578"/>
      <c r="BJ124" s="1555"/>
      <c r="BK124" s="1561"/>
      <c r="BL124" s="1561"/>
      <c r="BM124" s="1561"/>
      <c r="BN124" s="1555"/>
      <c r="BO124" s="1555"/>
    </row>
    <row r="125" spans="1:69" s="1523" customFormat="1" ht="21" customHeight="1" thickBot="1">
      <c r="A125" s="2052"/>
      <c r="B125" s="2055"/>
      <c r="C125" s="2058"/>
      <c r="D125" s="1520"/>
      <c r="E125" s="1520"/>
      <c r="F125" s="1579" t="s">
        <v>34</v>
      </c>
      <c r="G125" s="1580" t="s">
        <v>34</v>
      </c>
      <c r="H125" s="1581" t="s">
        <v>8</v>
      </c>
      <c r="I125" s="1582" t="s">
        <v>34</v>
      </c>
      <c r="J125" s="1581" t="s">
        <v>8</v>
      </c>
      <c r="K125" s="1582" t="s">
        <v>34</v>
      </c>
      <c r="L125" s="1581" t="s">
        <v>8</v>
      </c>
      <c r="M125" s="1582" t="s">
        <v>34</v>
      </c>
      <c r="N125" s="1581" t="s">
        <v>8</v>
      </c>
      <c r="O125" s="1582" t="s">
        <v>34</v>
      </c>
      <c r="P125" s="1581" t="s">
        <v>8</v>
      </c>
      <c r="Q125" s="1582" t="s">
        <v>34</v>
      </c>
      <c r="R125" s="1581" t="s">
        <v>8</v>
      </c>
      <c r="S125" s="1582" t="s">
        <v>34</v>
      </c>
      <c r="T125" s="1581" t="s">
        <v>8</v>
      </c>
      <c r="U125" s="1582" t="s">
        <v>34</v>
      </c>
      <c r="V125" s="2058"/>
      <c r="W125" s="1581" t="s">
        <v>26</v>
      </c>
      <c r="X125" s="1581" t="s">
        <v>34</v>
      </c>
      <c r="Y125" s="1581" t="s">
        <v>26</v>
      </c>
      <c r="Z125" s="1581" t="s">
        <v>26</v>
      </c>
      <c r="AA125" s="1581" t="s">
        <v>34</v>
      </c>
      <c r="AB125" s="1581" t="s">
        <v>26</v>
      </c>
      <c r="AC125" s="1581" t="s">
        <v>35</v>
      </c>
      <c r="AD125" s="1581" t="s">
        <v>34</v>
      </c>
      <c r="AE125" s="1581" t="s">
        <v>34</v>
      </c>
      <c r="AF125" s="1582" t="s">
        <v>34</v>
      </c>
      <c r="AG125" s="1582" t="s">
        <v>34</v>
      </c>
      <c r="AH125" s="1582" t="s">
        <v>34</v>
      </c>
      <c r="AI125" s="1582" t="s">
        <v>34</v>
      </c>
      <c r="AJ125" s="1582" t="s">
        <v>34</v>
      </c>
      <c r="AK125" s="1582" t="s">
        <v>34</v>
      </c>
      <c r="AL125" s="1582" t="s">
        <v>34</v>
      </c>
      <c r="AM125" s="1582" t="s">
        <v>34</v>
      </c>
      <c r="AN125" s="1581" t="s">
        <v>34</v>
      </c>
      <c r="AO125" s="1582" t="s">
        <v>34</v>
      </c>
      <c r="AP125" s="1582" t="s">
        <v>34</v>
      </c>
      <c r="AQ125" s="1582" t="s">
        <v>34</v>
      </c>
      <c r="AR125" s="1582" t="s">
        <v>34</v>
      </c>
      <c r="AS125" s="1581" t="s">
        <v>58</v>
      </c>
      <c r="AT125" s="1582" t="s">
        <v>34</v>
      </c>
      <c r="AU125" s="1582" t="s">
        <v>59</v>
      </c>
      <c r="AV125" s="1582" t="s">
        <v>34</v>
      </c>
      <c r="AW125" s="1583" t="s">
        <v>34</v>
      </c>
      <c r="AX125" s="1537"/>
      <c r="AY125" s="2044"/>
      <c r="AZ125" s="2047"/>
      <c r="BA125" s="2047"/>
      <c r="BB125" s="2047"/>
      <c r="BC125" s="1541" t="s">
        <v>34</v>
      </c>
      <c r="BD125" s="2074"/>
      <c r="BE125" s="2076"/>
      <c r="BG125" s="1555" t="s">
        <v>353</v>
      </c>
      <c r="BH125" s="1578" t="s">
        <v>43</v>
      </c>
      <c r="BI125" s="1578" t="s">
        <v>42</v>
      </c>
      <c r="BJ125" s="1555" t="s">
        <v>354</v>
      </c>
      <c r="BK125" s="1561" t="s">
        <v>358</v>
      </c>
      <c r="BL125" s="1561"/>
      <c r="BM125" s="1561" t="s">
        <v>625</v>
      </c>
      <c r="BN125" s="1555" t="s">
        <v>626</v>
      </c>
      <c r="BO125" s="1555" t="s">
        <v>627</v>
      </c>
      <c r="BQ125" s="1523" t="s">
        <v>685</v>
      </c>
    </row>
    <row r="126" spans="1:69" ht="102" customHeight="1" thickBot="1">
      <c r="A126" s="1584" t="s">
        <v>75</v>
      </c>
      <c r="B126" s="1496" t="s">
        <v>36</v>
      </c>
      <c r="C126" s="1585" t="s">
        <v>121</v>
      </c>
      <c r="D126" s="1586" t="s">
        <v>209</v>
      </c>
      <c r="E126" s="1489">
        <f>'HK UP KEEP, OP '!AH20</f>
        <v>20</v>
      </c>
      <c r="F126" s="1490">
        <v>129220</v>
      </c>
      <c r="G126" s="1490">
        <f t="shared" si="0"/>
        <v>2584400</v>
      </c>
      <c r="H126" s="1489">
        <f>'HK UP KEEP, OP '!AI20</f>
        <v>1</v>
      </c>
      <c r="I126" s="1489">
        <f t="shared" si="1"/>
        <v>129220</v>
      </c>
      <c r="J126" s="1489">
        <f>'HK UP KEEP, OP '!AJ20</f>
        <v>3</v>
      </c>
      <c r="K126" s="1489">
        <f t="shared" si="2"/>
        <v>387660</v>
      </c>
      <c r="L126" s="1489">
        <f>'HK UP KEEP, OP '!AK20</f>
        <v>0</v>
      </c>
      <c r="M126" s="1489">
        <f t="shared" si="3"/>
        <v>0</v>
      </c>
      <c r="N126" s="1489">
        <f>'HK UP KEEP, OP '!AL20</f>
        <v>4</v>
      </c>
      <c r="O126" s="1489">
        <f t="shared" si="4"/>
        <v>516880</v>
      </c>
      <c r="P126" s="1489">
        <f>'HK UP KEEP, OP '!AM20</f>
        <v>3</v>
      </c>
      <c r="Q126" s="1489">
        <f t="shared" si="5"/>
        <v>387660</v>
      </c>
      <c r="R126" s="1489">
        <f>'HK UP KEEP, OP '!AN20</f>
        <v>0</v>
      </c>
      <c r="S126" s="1489">
        <f t="shared" si="6"/>
        <v>0</v>
      </c>
      <c r="T126" s="1489">
        <f>'HK UP KEEP, OP '!AO20+'HK UP KEEP, OP '!AP20+'HK UP KEEP, OP '!AQ20</f>
        <v>0</v>
      </c>
      <c r="U126" s="1489">
        <f t="shared" si="7"/>
        <v>0</v>
      </c>
      <c r="V126" s="1489">
        <f t="shared" si="8"/>
        <v>31</v>
      </c>
      <c r="W126" s="1491">
        <v>5550</v>
      </c>
      <c r="X126" s="1489">
        <f t="shared" si="9"/>
        <v>172050</v>
      </c>
      <c r="Y126" s="1489"/>
      <c r="Z126" s="1489"/>
      <c r="AA126" s="1489">
        <f t="shared" si="27"/>
        <v>0</v>
      </c>
      <c r="AB126" s="1489">
        <v>2500</v>
      </c>
      <c r="AC126" s="1489">
        <f>'MASA KERJA AB'!H21</f>
        <v>17</v>
      </c>
      <c r="AD126" s="1492">
        <f>'MASA KERJA AB'!I21</f>
        <v>50500</v>
      </c>
      <c r="AE126" s="1491"/>
      <c r="AF126" s="1489"/>
      <c r="AG126" s="1489"/>
      <c r="AH126" s="1489"/>
      <c r="AI126" s="1489"/>
      <c r="AJ126" s="1489">
        <f>'LEMBUR DAN PREMI UPKEEP'!AJ108</f>
        <v>0</v>
      </c>
      <c r="AK126" s="1505">
        <v>174000</v>
      </c>
      <c r="AL126" s="1489"/>
      <c r="AM126" s="1489"/>
      <c r="AN126" s="1489"/>
      <c r="AO126" s="1494">
        <f t="shared" si="10"/>
        <v>4402370</v>
      </c>
      <c r="AP126" s="1489">
        <f t="shared" si="20"/>
        <v>77532</v>
      </c>
      <c r="AQ126" s="1489">
        <f t="shared" si="21"/>
        <v>175997.64</v>
      </c>
      <c r="AR126" s="1489">
        <f t="shared" si="28"/>
        <v>253529.64</v>
      </c>
      <c r="AS126" s="1489">
        <f t="shared" si="22"/>
        <v>39271</v>
      </c>
      <c r="AT126" s="1489">
        <f t="shared" si="23"/>
        <v>157084</v>
      </c>
      <c r="AU126" s="1489">
        <f t="shared" si="24"/>
        <v>38766</v>
      </c>
      <c r="AV126" s="1489">
        <f t="shared" si="25"/>
        <v>77532</v>
      </c>
      <c r="AW126" s="1489">
        <f t="shared" si="29"/>
        <v>312653</v>
      </c>
      <c r="AX126" s="1492">
        <v>4000</v>
      </c>
      <c r="AY126" s="1491">
        <v>0</v>
      </c>
      <c r="AZ126" s="1489">
        <f t="shared" si="13"/>
        <v>0</v>
      </c>
      <c r="BA126" s="1489"/>
      <c r="BB126" s="1489"/>
      <c r="BC126" s="1489">
        <f t="shared" si="14"/>
        <v>4242801</v>
      </c>
      <c r="BD126" s="1495">
        <f>'HK UP KEEP, OP '!AS20</f>
        <v>0</v>
      </c>
      <c r="BE126" s="1488">
        <f>'HK UP KEEP, OP '!AT20</f>
        <v>0</v>
      </c>
      <c r="BG126" s="1551">
        <f t="shared" si="15"/>
        <v>4005820</v>
      </c>
      <c r="BH126" s="1552">
        <f t="shared" si="16"/>
        <v>0</v>
      </c>
      <c r="BI126" s="1552">
        <f t="shared" si="17"/>
        <v>0</v>
      </c>
      <c r="BJ126" s="1551">
        <f t="shared" si="18"/>
        <v>0</v>
      </c>
      <c r="BK126" s="1553">
        <f t="shared" si="26"/>
        <v>4005820</v>
      </c>
      <c r="BM126" s="1553">
        <f t="shared" si="30"/>
        <v>396550</v>
      </c>
      <c r="BN126" s="1551">
        <v>30575.999999999996</v>
      </c>
      <c r="BO126" s="1551">
        <f t="shared" si="19"/>
        <v>566182.64</v>
      </c>
    </row>
    <row r="127" spans="1:69" ht="23.25" customHeight="1">
      <c r="A127" s="2048" t="s">
        <v>0</v>
      </c>
      <c r="B127" s="2048"/>
      <c r="C127" s="2048"/>
      <c r="D127" s="2048"/>
      <c r="E127" s="2048"/>
      <c r="F127" s="2048"/>
      <c r="G127" s="2048"/>
      <c r="H127" s="2048"/>
      <c r="I127" s="2048"/>
      <c r="J127" s="2048"/>
      <c r="K127" s="2048"/>
      <c r="L127" s="2048"/>
      <c r="M127" s="2048"/>
      <c r="N127" s="2048"/>
      <c r="O127" s="2048"/>
      <c r="P127" s="2048"/>
      <c r="Q127" s="2048"/>
      <c r="R127" s="2048"/>
      <c r="S127" s="2048"/>
      <c r="T127" s="2048"/>
      <c r="U127" s="2048"/>
      <c r="V127" s="2048"/>
      <c r="W127" s="2048"/>
      <c r="X127" s="2048"/>
      <c r="Y127" s="2048"/>
      <c r="Z127" s="2048"/>
      <c r="AA127" s="2048"/>
      <c r="AB127" s="2048"/>
      <c r="AC127" s="2048"/>
      <c r="AD127" s="2048"/>
      <c r="AE127" s="2048"/>
      <c r="AF127" s="2048"/>
      <c r="AG127" s="2048"/>
      <c r="AH127" s="2048"/>
      <c r="AI127" s="2048"/>
      <c r="AJ127" s="2048"/>
      <c r="AK127" s="2048"/>
      <c r="AL127" s="2048"/>
      <c r="AM127" s="2048"/>
      <c r="AN127" s="2048"/>
      <c r="AO127" s="2048"/>
      <c r="AP127" s="2048"/>
      <c r="AQ127" s="2048"/>
      <c r="AR127" s="2048"/>
      <c r="AS127" s="2048"/>
      <c r="AT127" s="2048"/>
      <c r="AU127" s="2048"/>
      <c r="AV127" s="2048"/>
      <c r="AW127" s="2048"/>
      <c r="AX127" s="2048"/>
      <c r="AY127" s="2048"/>
      <c r="AZ127" s="2048"/>
      <c r="BA127" s="2048"/>
      <c r="BB127" s="2048"/>
      <c r="BC127" s="2048"/>
      <c r="BD127" s="2048"/>
      <c r="BE127" s="2048"/>
    </row>
    <row r="128" spans="1:69" ht="26.25" customHeight="1">
      <c r="A128" s="2049" t="s">
        <v>1033</v>
      </c>
      <c r="B128" s="2049"/>
      <c r="C128" s="2049"/>
      <c r="D128" s="2049"/>
      <c r="E128" s="2049"/>
      <c r="F128" s="2049"/>
      <c r="G128" s="2049"/>
      <c r="H128" s="2049"/>
      <c r="I128" s="2049"/>
      <c r="J128" s="2049"/>
      <c r="K128" s="2049"/>
      <c r="L128" s="2049"/>
      <c r="M128" s="2049"/>
      <c r="N128" s="2049"/>
      <c r="O128" s="2049"/>
      <c r="P128" s="2049"/>
      <c r="Q128" s="2049"/>
      <c r="R128" s="2049"/>
      <c r="S128" s="2049"/>
      <c r="T128" s="2049"/>
      <c r="U128" s="2049"/>
      <c r="V128" s="2049"/>
      <c r="W128" s="2049"/>
      <c r="X128" s="2049"/>
      <c r="Y128" s="2049"/>
      <c r="Z128" s="2049"/>
      <c r="AA128" s="2049"/>
      <c r="AB128" s="2049"/>
      <c r="AC128" s="2049"/>
      <c r="AD128" s="2049"/>
      <c r="AE128" s="2049"/>
      <c r="AF128" s="2049"/>
      <c r="AG128" s="2049"/>
      <c r="AH128" s="2049"/>
      <c r="AI128" s="2049"/>
      <c r="AJ128" s="2049"/>
      <c r="AK128" s="2049"/>
      <c r="AL128" s="2049"/>
      <c r="AM128" s="2049"/>
      <c r="AN128" s="2049"/>
      <c r="AO128" s="2049"/>
      <c r="AP128" s="2049"/>
      <c r="AQ128" s="2049"/>
      <c r="AR128" s="2049"/>
      <c r="AS128" s="2049"/>
      <c r="AT128" s="2049"/>
      <c r="AU128" s="2049"/>
      <c r="AV128" s="2049"/>
      <c r="AW128" s="2049"/>
      <c r="AX128" s="2049"/>
      <c r="AY128" s="2049"/>
      <c r="AZ128" s="2049"/>
      <c r="BA128" s="2049"/>
      <c r="BB128" s="2049"/>
      <c r="BC128" s="2049"/>
      <c r="BD128" s="2049"/>
      <c r="BE128" s="2049"/>
    </row>
    <row r="129" spans="1:69" s="1523" customFormat="1" ht="18.75" customHeight="1">
      <c r="C129" s="1554"/>
      <c r="D129" s="1523" t="s">
        <v>964</v>
      </c>
      <c r="F129" s="1555"/>
      <c r="G129" s="1555"/>
      <c r="X129" s="1556"/>
      <c r="AE129" s="1532"/>
      <c r="AK129" s="1557"/>
      <c r="AP129" s="1558">
        <v>3876600</v>
      </c>
      <c r="AQ129" s="1559">
        <f>AP129/30</f>
        <v>129220</v>
      </c>
      <c r="AR129" s="1559">
        <f>AP129/173*1.5</f>
        <v>33612.138728323698</v>
      </c>
      <c r="AS129" s="1559">
        <f>AP129/173*2</f>
        <v>44816.184971098264</v>
      </c>
      <c r="AW129" s="1532" t="s">
        <v>55</v>
      </c>
      <c r="AX129" s="1523" t="s">
        <v>152</v>
      </c>
      <c r="BC129" s="1531"/>
      <c r="BE129" s="1532"/>
      <c r="BG129" s="1555"/>
      <c r="BH129" s="1560"/>
      <c r="BI129" s="1560"/>
      <c r="BJ129" s="1555"/>
      <c r="BK129" s="1561"/>
      <c r="BL129" s="1561"/>
      <c r="BM129" s="1561"/>
      <c r="BN129" s="1555"/>
      <c r="BO129" s="1555"/>
    </row>
    <row r="130" spans="1:69" ht="15" customHeight="1" thickBot="1">
      <c r="A130" s="1547"/>
      <c r="D130" s="1563"/>
      <c r="E130" s="1563"/>
      <c r="F130" s="1564"/>
      <c r="G130" s="1564"/>
      <c r="H130" s="1563"/>
      <c r="I130" s="1563"/>
      <c r="J130" s="1563"/>
      <c r="K130" s="1563"/>
      <c r="L130" s="1563"/>
      <c r="M130" s="1563"/>
      <c r="N130" s="1563"/>
      <c r="O130" s="1563"/>
      <c r="Q130" s="1563"/>
      <c r="R130" s="1563"/>
      <c r="S130" s="1563"/>
      <c r="T130" s="1563"/>
      <c r="U130" s="1563"/>
      <c r="V130" s="1563"/>
      <c r="W130" s="1563"/>
      <c r="X130" s="1563"/>
      <c r="Y130" s="1563"/>
      <c r="Z130" s="1563"/>
      <c r="AA130" s="1563"/>
      <c r="AB130" s="1563"/>
      <c r="AC130" s="1563"/>
      <c r="AD130" s="1547"/>
      <c r="AE130" s="1563"/>
      <c r="AF130" s="1563"/>
      <c r="AG130" s="1563"/>
      <c r="AH130" s="1563"/>
      <c r="AI130" s="1563"/>
      <c r="AJ130" s="1563"/>
      <c r="AK130" s="1565"/>
      <c r="AL130" s="1563"/>
      <c r="AM130" s="1563"/>
      <c r="AO130" s="1563"/>
      <c r="AP130" s="1558">
        <v>3876600</v>
      </c>
      <c r="AQ130" s="1566">
        <f>AP130/30</f>
        <v>129220</v>
      </c>
      <c r="AR130" s="1567"/>
      <c r="AS130" s="1568">
        <f>AP130+24000</f>
        <v>3900600</v>
      </c>
    </row>
    <row r="131" spans="1:69" s="1523" customFormat="1" ht="15.75" customHeight="1">
      <c r="A131" s="2050" t="s">
        <v>5</v>
      </c>
      <c r="B131" s="2053" t="s">
        <v>6</v>
      </c>
      <c r="C131" s="2056" t="s">
        <v>52</v>
      </c>
      <c r="D131" s="1569"/>
      <c r="E131" s="1569"/>
      <c r="F131" s="1570"/>
      <c r="G131" s="1570"/>
      <c r="H131" s="2059" t="s">
        <v>2</v>
      </c>
      <c r="I131" s="2060"/>
      <c r="J131" s="2060"/>
      <c r="K131" s="2060"/>
      <c r="L131" s="2060"/>
      <c r="M131" s="2060"/>
      <c r="N131" s="2060"/>
      <c r="O131" s="2060"/>
      <c r="P131" s="2060"/>
      <c r="Q131" s="2060"/>
      <c r="R131" s="2060"/>
      <c r="S131" s="2060"/>
      <c r="T131" s="2060"/>
      <c r="U131" s="2061"/>
      <c r="V131" s="2056" t="s">
        <v>286</v>
      </c>
      <c r="W131" s="2059" t="s">
        <v>3</v>
      </c>
      <c r="X131" s="2060"/>
      <c r="Y131" s="2060"/>
      <c r="Z131" s="2060"/>
      <c r="AA131" s="2060"/>
      <c r="AB131" s="2060"/>
      <c r="AC131" s="2060"/>
      <c r="AD131" s="2061"/>
      <c r="AE131" s="2042" t="s">
        <v>45</v>
      </c>
      <c r="AF131" s="2063" t="s">
        <v>46</v>
      </c>
      <c r="AG131" s="2064"/>
      <c r="AH131" s="2064"/>
      <c r="AI131" s="2064"/>
      <c r="AJ131" s="2064"/>
      <c r="AK131" s="2064"/>
      <c r="AL131" s="2065"/>
      <c r="AM131" s="2045" t="s">
        <v>98</v>
      </c>
      <c r="AN131" s="2056" t="s">
        <v>44</v>
      </c>
      <c r="AO131" s="1533" t="s">
        <v>4</v>
      </c>
      <c r="AP131" s="2036" t="s">
        <v>20</v>
      </c>
      <c r="AQ131" s="2037"/>
      <c r="AR131" s="2038"/>
      <c r="AS131" s="2036" t="s">
        <v>54</v>
      </c>
      <c r="AT131" s="2037"/>
      <c r="AU131" s="2037"/>
      <c r="AV131" s="2037"/>
      <c r="AW131" s="2037"/>
      <c r="AX131" s="1571"/>
      <c r="AY131" s="2042" t="s">
        <v>89</v>
      </c>
      <c r="AZ131" s="2045" t="s">
        <v>97</v>
      </c>
      <c r="BA131" s="2045" t="s">
        <v>719</v>
      </c>
      <c r="BB131" s="2045" t="s">
        <v>210</v>
      </c>
      <c r="BC131" s="1539" t="s">
        <v>4</v>
      </c>
      <c r="BD131" s="2063" t="s">
        <v>41</v>
      </c>
      <c r="BE131" s="2084"/>
      <c r="BG131" s="1555"/>
      <c r="BH131" s="1560"/>
      <c r="BI131" s="1560"/>
      <c r="BJ131" s="1555"/>
      <c r="BK131" s="1561"/>
      <c r="BL131" s="1561"/>
      <c r="BM131" s="1561"/>
      <c r="BN131" s="1555"/>
      <c r="BO131" s="1555"/>
    </row>
    <row r="132" spans="1:69" s="1523" customFormat="1" ht="25.5" customHeight="1">
      <c r="A132" s="2051"/>
      <c r="B132" s="2054"/>
      <c r="C132" s="2057"/>
      <c r="D132" s="1519" t="s">
        <v>7</v>
      </c>
      <c r="E132" s="1519" t="s">
        <v>8</v>
      </c>
      <c r="F132" s="1572" t="s">
        <v>9</v>
      </c>
      <c r="G132" s="1572" t="s">
        <v>9</v>
      </c>
      <c r="H132" s="2071" t="s">
        <v>10</v>
      </c>
      <c r="I132" s="2072"/>
      <c r="J132" s="2071" t="s">
        <v>11</v>
      </c>
      <c r="K132" s="2072"/>
      <c r="L132" s="2071" t="s">
        <v>12</v>
      </c>
      <c r="M132" s="2072"/>
      <c r="N132" s="2071" t="s">
        <v>13</v>
      </c>
      <c r="O132" s="2072"/>
      <c r="P132" s="2071" t="s">
        <v>14</v>
      </c>
      <c r="Q132" s="2072"/>
      <c r="R132" s="2087" t="s">
        <v>15</v>
      </c>
      <c r="S132" s="2088"/>
      <c r="T132" s="2071" t="s">
        <v>16</v>
      </c>
      <c r="U132" s="2072"/>
      <c r="V132" s="2057"/>
      <c r="W132" s="2071" t="s">
        <v>17</v>
      </c>
      <c r="X132" s="2072"/>
      <c r="Y132" s="2071" t="s">
        <v>18</v>
      </c>
      <c r="Z132" s="2081"/>
      <c r="AA132" s="2072"/>
      <c r="AB132" s="2071" t="s">
        <v>19</v>
      </c>
      <c r="AC132" s="2081"/>
      <c r="AD132" s="2072"/>
      <c r="AE132" s="2043"/>
      <c r="AF132" s="2066"/>
      <c r="AG132" s="2067"/>
      <c r="AH132" s="2067"/>
      <c r="AI132" s="2067"/>
      <c r="AJ132" s="2067"/>
      <c r="AK132" s="2067"/>
      <c r="AL132" s="2068"/>
      <c r="AM132" s="2046"/>
      <c r="AN132" s="2057"/>
      <c r="AO132" s="1534" t="s">
        <v>9</v>
      </c>
      <c r="AP132" s="2039"/>
      <c r="AQ132" s="2040"/>
      <c r="AR132" s="2041"/>
      <c r="AS132" s="2039"/>
      <c r="AT132" s="2040"/>
      <c r="AU132" s="2040"/>
      <c r="AV132" s="2040"/>
      <c r="AW132" s="2040"/>
      <c r="AX132" s="1534" t="s">
        <v>21</v>
      </c>
      <c r="AY132" s="2043"/>
      <c r="AZ132" s="2046"/>
      <c r="BA132" s="2046"/>
      <c r="BB132" s="2046"/>
      <c r="BC132" s="1540" t="s">
        <v>9</v>
      </c>
      <c r="BD132" s="2085"/>
      <c r="BE132" s="2086"/>
      <c r="BG132" s="1573"/>
      <c r="BH132" s="1573"/>
      <c r="BI132" s="1573"/>
      <c r="BJ132" s="1555"/>
      <c r="BK132" s="1561"/>
      <c r="BL132" s="1561"/>
      <c r="BM132" s="1561"/>
      <c r="BN132" s="1555"/>
      <c r="BO132" s="1555"/>
    </row>
    <row r="133" spans="1:69" s="1523" customFormat="1" ht="63" customHeight="1">
      <c r="A133" s="2051"/>
      <c r="B133" s="2054"/>
      <c r="C133" s="2057"/>
      <c r="D133" s="1519" t="s">
        <v>22</v>
      </c>
      <c r="E133" s="1519" t="s">
        <v>23</v>
      </c>
      <c r="F133" s="1572" t="s">
        <v>24</v>
      </c>
      <c r="G133" s="1572" t="s">
        <v>25</v>
      </c>
      <c r="H133" s="2069" t="s">
        <v>4</v>
      </c>
      <c r="I133" s="2070"/>
      <c r="J133" s="2069" t="s">
        <v>4</v>
      </c>
      <c r="K133" s="2070"/>
      <c r="L133" s="2069" t="s">
        <v>4</v>
      </c>
      <c r="M133" s="2070"/>
      <c r="N133" s="2069" t="s">
        <v>4</v>
      </c>
      <c r="O133" s="2070"/>
      <c r="P133" s="2069" t="s">
        <v>4</v>
      </c>
      <c r="Q133" s="2070"/>
      <c r="R133" s="2082" t="s">
        <v>4</v>
      </c>
      <c r="S133" s="2083"/>
      <c r="T133" s="2069" t="s">
        <v>4</v>
      </c>
      <c r="U133" s="2070"/>
      <c r="V133" s="2057"/>
      <c r="W133" s="1534" t="s">
        <v>27</v>
      </c>
      <c r="X133" s="1574" t="s">
        <v>28</v>
      </c>
      <c r="Y133" s="1534" t="s">
        <v>27</v>
      </c>
      <c r="Z133" s="2069" t="s">
        <v>4</v>
      </c>
      <c r="AA133" s="2070"/>
      <c r="AB133" s="1534" t="s">
        <v>27</v>
      </c>
      <c r="AC133" s="2071" t="s">
        <v>4</v>
      </c>
      <c r="AD133" s="2072"/>
      <c r="AE133" s="2062"/>
      <c r="AF133" s="1575" t="s">
        <v>56</v>
      </c>
      <c r="AG133" s="1575" t="s">
        <v>57</v>
      </c>
      <c r="AH133" s="1575" t="s">
        <v>60</v>
      </c>
      <c r="AI133" s="1575" t="s">
        <v>202</v>
      </c>
      <c r="AJ133" s="1575" t="s">
        <v>218</v>
      </c>
      <c r="AK133" s="1575" t="s">
        <v>572</v>
      </c>
      <c r="AL133" s="1575" t="s">
        <v>288</v>
      </c>
      <c r="AM133" s="2089"/>
      <c r="AN133" s="2090"/>
      <c r="AO133" s="1534" t="s">
        <v>29</v>
      </c>
      <c r="AP133" s="1519" t="s">
        <v>30</v>
      </c>
      <c r="AQ133" s="1519" t="s">
        <v>31</v>
      </c>
      <c r="AR133" s="1519" t="s">
        <v>4</v>
      </c>
      <c r="AS133" s="1576" t="s">
        <v>30</v>
      </c>
      <c r="AT133" s="1574" t="s">
        <v>31</v>
      </c>
      <c r="AU133" s="1574" t="s">
        <v>30</v>
      </c>
      <c r="AV133" s="1574" t="s">
        <v>31</v>
      </c>
      <c r="AW133" s="1577" t="s">
        <v>4</v>
      </c>
      <c r="AX133" s="1534" t="s">
        <v>32</v>
      </c>
      <c r="AY133" s="2043"/>
      <c r="AZ133" s="2046"/>
      <c r="BA133" s="2046"/>
      <c r="BB133" s="2046"/>
      <c r="BC133" s="1540" t="s">
        <v>33</v>
      </c>
      <c r="BD133" s="2073" t="s">
        <v>42</v>
      </c>
      <c r="BE133" s="2075" t="s">
        <v>43</v>
      </c>
      <c r="BG133" s="1573"/>
      <c r="BH133" s="1578"/>
      <c r="BI133" s="1578"/>
      <c r="BJ133" s="1555"/>
      <c r="BK133" s="1561"/>
      <c r="BL133" s="1561"/>
      <c r="BM133" s="1561"/>
      <c r="BN133" s="1555"/>
      <c r="BO133" s="1555"/>
    </row>
    <row r="134" spans="1:69" s="1523" customFormat="1" ht="21" customHeight="1" thickBot="1">
      <c r="A134" s="2052"/>
      <c r="B134" s="2055"/>
      <c r="C134" s="2058"/>
      <c r="D134" s="1520"/>
      <c r="E134" s="1520"/>
      <c r="F134" s="1579" t="s">
        <v>34</v>
      </c>
      <c r="G134" s="1580" t="s">
        <v>34</v>
      </c>
      <c r="H134" s="1581" t="s">
        <v>8</v>
      </c>
      <c r="I134" s="1582" t="s">
        <v>34</v>
      </c>
      <c r="J134" s="1581" t="s">
        <v>8</v>
      </c>
      <c r="K134" s="1582" t="s">
        <v>34</v>
      </c>
      <c r="L134" s="1581" t="s">
        <v>8</v>
      </c>
      <c r="M134" s="1582" t="s">
        <v>34</v>
      </c>
      <c r="N134" s="1581" t="s">
        <v>8</v>
      </c>
      <c r="O134" s="1582" t="s">
        <v>34</v>
      </c>
      <c r="P134" s="1581" t="s">
        <v>8</v>
      </c>
      <c r="Q134" s="1582" t="s">
        <v>34</v>
      </c>
      <c r="R134" s="1581" t="s">
        <v>8</v>
      </c>
      <c r="S134" s="1582" t="s">
        <v>34</v>
      </c>
      <c r="T134" s="1581" t="s">
        <v>8</v>
      </c>
      <c r="U134" s="1582" t="s">
        <v>34</v>
      </c>
      <c r="V134" s="2058"/>
      <c r="W134" s="1581" t="s">
        <v>26</v>
      </c>
      <c r="X134" s="1581" t="s">
        <v>34</v>
      </c>
      <c r="Y134" s="1581" t="s">
        <v>26</v>
      </c>
      <c r="Z134" s="1581" t="s">
        <v>26</v>
      </c>
      <c r="AA134" s="1581" t="s">
        <v>34</v>
      </c>
      <c r="AB134" s="1581" t="s">
        <v>26</v>
      </c>
      <c r="AC134" s="1581" t="s">
        <v>35</v>
      </c>
      <c r="AD134" s="1581" t="s">
        <v>34</v>
      </c>
      <c r="AE134" s="1581" t="s">
        <v>34</v>
      </c>
      <c r="AF134" s="1582" t="s">
        <v>34</v>
      </c>
      <c r="AG134" s="1582" t="s">
        <v>34</v>
      </c>
      <c r="AH134" s="1582" t="s">
        <v>34</v>
      </c>
      <c r="AI134" s="1582" t="s">
        <v>34</v>
      </c>
      <c r="AJ134" s="1582" t="s">
        <v>34</v>
      </c>
      <c r="AK134" s="1582" t="s">
        <v>34</v>
      </c>
      <c r="AL134" s="1582" t="s">
        <v>34</v>
      </c>
      <c r="AM134" s="1582" t="s">
        <v>34</v>
      </c>
      <c r="AN134" s="1581" t="s">
        <v>34</v>
      </c>
      <c r="AO134" s="1582" t="s">
        <v>34</v>
      </c>
      <c r="AP134" s="1582" t="s">
        <v>34</v>
      </c>
      <c r="AQ134" s="1582" t="s">
        <v>34</v>
      </c>
      <c r="AR134" s="1582" t="s">
        <v>34</v>
      </c>
      <c r="AS134" s="1581" t="s">
        <v>58</v>
      </c>
      <c r="AT134" s="1582" t="s">
        <v>34</v>
      </c>
      <c r="AU134" s="1582" t="s">
        <v>59</v>
      </c>
      <c r="AV134" s="1582" t="s">
        <v>34</v>
      </c>
      <c r="AW134" s="1583" t="s">
        <v>34</v>
      </c>
      <c r="AX134" s="1537"/>
      <c r="AY134" s="2044"/>
      <c r="AZ134" s="2047"/>
      <c r="BA134" s="2047"/>
      <c r="BB134" s="2047"/>
      <c r="BC134" s="1541" t="s">
        <v>34</v>
      </c>
      <c r="BD134" s="2074"/>
      <c r="BE134" s="2076"/>
      <c r="BG134" s="1555" t="s">
        <v>353</v>
      </c>
      <c r="BH134" s="1578" t="s">
        <v>43</v>
      </c>
      <c r="BI134" s="1578" t="s">
        <v>42</v>
      </c>
      <c r="BJ134" s="1555" t="s">
        <v>354</v>
      </c>
      <c r="BK134" s="1561" t="s">
        <v>358</v>
      </c>
      <c r="BL134" s="1561"/>
      <c r="BM134" s="1561" t="s">
        <v>625</v>
      </c>
      <c r="BN134" s="1555" t="s">
        <v>626</v>
      </c>
      <c r="BO134" s="1555" t="s">
        <v>627</v>
      </c>
      <c r="BQ134" s="1523" t="s">
        <v>685</v>
      </c>
    </row>
    <row r="135" spans="1:69" ht="83.25" customHeight="1" thickBot="1">
      <c r="A135" s="1584" t="s">
        <v>76</v>
      </c>
      <c r="B135" s="1496" t="s">
        <v>37</v>
      </c>
      <c r="C135" s="1585" t="s">
        <v>122</v>
      </c>
      <c r="D135" s="1586" t="s">
        <v>106</v>
      </c>
      <c r="E135" s="1489">
        <f>'HK UP KEEP, OP '!AH21</f>
        <v>17</v>
      </c>
      <c r="F135" s="1490">
        <v>129220</v>
      </c>
      <c r="G135" s="1490">
        <f t="shared" si="0"/>
        <v>2196740</v>
      </c>
      <c r="H135" s="1489">
        <f>'HK UP KEEP, OP '!AI21</f>
        <v>1</v>
      </c>
      <c r="I135" s="1489">
        <f t="shared" si="1"/>
        <v>129220</v>
      </c>
      <c r="J135" s="1489">
        <f>'HK UP KEEP, OP '!AJ21</f>
        <v>6</v>
      </c>
      <c r="K135" s="1489">
        <f t="shared" si="2"/>
        <v>775320</v>
      </c>
      <c r="L135" s="1489">
        <f>'HK UP KEEP, OP '!AK21</f>
        <v>0</v>
      </c>
      <c r="M135" s="1489">
        <f t="shared" si="3"/>
        <v>0</v>
      </c>
      <c r="N135" s="1489">
        <f>'HK UP KEEP, OP '!AL21</f>
        <v>4</v>
      </c>
      <c r="O135" s="1489">
        <f t="shared" si="4"/>
        <v>516880</v>
      </c>
      <c r="P135" s="1489">
        <f>'HK UP KEEP, OP '!AM21</f>
        <v>3</v>
      </c>
      <c r="Q135" s="1489">
        <f t="shared" si="5"/>
        <v>387660</v>
      </c>
      <c r="R135" s="1489">
        <f>'HK UP KEEP, OP '!AN21</f>
        <v>0</v>
      </c>
      <c r="S135" s="1489">
        <f t="shared" si="6"/>
        <v>0</v>
      </c>
      <c r="T135" s="1489">
        <f>'HK UP KEEP, OP '!AO21+'HK UP KEEP, OP '!AP21+'HK UP KEEP, OP '!AQ21</f>
        <v>0</v>
      </c>
      <c r="U135" s="1489">
        <f t="shared" si="7"/>
        <v>0</v>
      </c>
      <c r="V135" s="1489">
        <f t="shared" si="8"/>
        <v>31</v>
      </c>
      <c r="W135" s="1491">
        <v>2250</v>
      </c>
      <c r="X135" s="1489">
        <f t="shared" si="9"/>
        <v>69750</v>
      </c>
      <c r="Y135" s="1489"/>
      <c r="Z135" s="1489"/>
      <c r="AA135" s="1489">
        <f t="shared" si="27"/>
        <v>0</v>
      </c>
      <c r="AB135" s="1489">
        <v>2500</v>
      </c>
      <c r="AC135" s="1489">
        <f>'MASA KERJA AB'!H22</f>
        <v>16</v>
      </c>
      <c r="AD135" s="1492">
        <f>'MASA KERJA AB'!I22</f>
        <v>47000</v>
      </c>
      <c r="AE135" s="1491"/>
      <c r="AF135" s="1489"/>
      <c r="AG135" s="1489"/>
      <c r="AH135" s="1489"/>
      <c r="AI135" s="1489"/>
      <c r="AJ135" s="1507"/>
      <c r="AK135" s="1493"/>
      <c r="AL135" s="1489"/>
      <c r="AM135" s="1489"/>
      <c r="AN135" s="1489"/>
      <c r="AO135" s="1494">
        <f t="shared" si="10"/>
        <v>4122570</v>
      </c>
      <c r="AP135" s="1489">
        <f t="shared" si="20"/>
        <v>77532</v>
      </c>
      <c r="AQ135" s="1489">
        <f t="shared" si="21"/>
        <v>175997.64</v>
      </c>
      <c r="AR135" s="1489">
        <f t="shared" si="28"/>
        <v>253529.64</v>
      </c>
      <c r="AS135" s="1489">
        <f t="shared" si="22"/>
        <v>39236</v>
      </c>
      <c r="AT135" s="1489">
        <f t="shared" si="23"/>
        <v>156944</v>
      </c>
      <c r="AU135" s="1489">
        <f t="shared" si="24"/>
        <v>38766</v>
      </c>
      <c r="AV135" s="1489">
        <f t="shared" si="25"/>
        <v>77532</v>
      </c>
      <c r="AW135" s="1489">
        <f t="shared" si="29"/>
        <v>312478</v>
      </c>
      <c r="AX135" s="1492">
        <v>4000</v>
      </c>
      <c r="AY135" s="1491">
        <v>0</v>
      </c>
      <c r="AZ135" s="1489">
        <f t="shared" si="13"/>
        <v>0</v>
      </c>
      <c r="BA135" s="1489"/>
      <c r="BB135" s="1489"/>
      <c r="BC135" s="1489">
        <f t="shared" si="14"/>
        <v>3963036</v>
      </c>
      <c r="BD135" s="1495">
        <f>'HK UP KEEP, OP '!AS21</f>
        <v>0</v>
      </c>
      <c r="BE135" s="1488">
        <f>'HK UP KEEP, OP '!AT21</f>
        <v>0</v>
      </c>
      <c r="BG135" s="1551">
        <f t="shared" si="15"/>
        <v>4005820</v>
      </c>
      <c r="BH135" s="1552">
        <f t="shared" si="16"/>
        <v>0</v>
      </c>
      <c r="BI135" s="1552">
        <f t="shared" si="17"/>
        <v>0</v>
      </c>
      <c r="BJ135" s="1551">
        <f t="shared" si="18"/>
        <v>0</v>
      </c>
      <c r="BK135" s="1553">
        <f t="shared" si="26"/>
        <v>4005820</v>
      </c>
      <c r="BM135" s="1553">
        <f t="shared" si="30"/>
        <v>116750</v>
      </c>
      <c r="BN135" s="1551">
        <v>30575.999999999996</v>
      </c>
      <c r="BO135" s="1551">
        <f t="shared" si="19"/>
        <v>566007.64</v>
      </c>
    </row>
    <row r="136" spans="1:69" ht="23.25" customHeight="1">
      <c r="A136" s="2048" t="s">
        <v>0</v>
      </c>
      <c r="B136" s="2048"/>
      <c r="C136" s="2048"/>
      <c r="D136" s="2048"/>
      <c r="E136" s="2048"/>
      <c r="F136" s="2048"/>
      <c r="G136" s="2048"/>
      <c r="H136" s="2048"/>
      <c r="I136" s="2048"/>
      <c r="J136" s="2048"/>
      <c r="K136" s="2048"/>
      <c r="L136" s="2048"/>
      <c r="M136" s="2048"/>
      <c r="N136" s="2048"/>
      <c r="O136" s="2048"/>
      <c r="P136" s="2048"/>
      <c r="Q136" s="2048"/>
      <c r="R136" s="2048"/>
      <c r="S136" s="2048"/>
      <c r="T136" s="2048"/>
      <c r="U136" s="2048"/>
      <c r="V136" s="2048"/>
      <c r="W136" s="2048"/>
      <c r="X136" s="2048"/>
      <c r="Y136" s="2048"/>
      <c r="Z136" s="2048"/>
      <c r="AA136" s="2048"/>
      <c r="AB136" s="2048"/>
      <c r="AC136" s="2048"/>
      <c r="AD136" s="2048"/>
      <c r="AE136" s="2048"/>
      <c r="AF136" s="2048"/>
      <c r="AG136" s="2048"/>
      <c r="AH136" s="2048"/>
      <c r="AI136" s="2048"/>
      <c r="AJ136" s="2048"/>
      <c r="AK136" s="2048"/>
      <c r="AL136" s="2048"/>
      <c r="AM136" s="2048"/>
      <c r="AN136" s="2048"/>
      <c r="AO136" s="2048"/>
      <c r="AP136" s="2048"/>
      <c r="AQ136" s="2048"/>
      <c r="AR136" s="2048"/>
      <c r="AS136" s="2048"/>
      <c r="AT136" s="2048"/>
      <c r="AU136" s="2048"/>
      <c r="AV136" s="2048"/>
      <c r="AW136" s="2048"/>
      <c r="AX136" s="2048"/>
      <c r="AY136" s="2048"/>
      <c r="AZ136" s="2048"/>
      <c r="BA136" s="2048"/>
      <c r="BB136" s="2048"/>
      <c r="BC136" s="2048"/>
      <c r="BD136" s="2048"/>
      <c r="BE136" s="2048"/>
    </row>
    <row r="137" spans="1:69" ht="26.25" customHeight="1">
      <c r="A137" s="2049" t="s">
        <v>1033</v>
      </c>
      <c r="B137" s="2049"/>
      <c r="C137" s="2049"/>
      <c r="D137" s="2049"/>
      <c r="E137" s="2049"/>
      <c r="F137" s="2049"/>
      <c r="G137" s="2049"/>
      <c r="H137" s="2049"/>
      <c r="I137" s="2049"/>
      <c r="J137" s="2049"/>
      <c r="K137" s="2049"/>
      <c r="L137" s="2049"/>
      <c r="M137" s="2049"/>
      <c r="N137" s="2049"/>
      <c r="O137" s="2049"/>
      <c r="P137" s="2049"/>
      <c r="Q137" s="2049"/>
      <c r="R137" s="2049"/>
      <c r="S137" s="2049"/>
      <c r="T137" s="2049"/>
      <c r="U137" s="2049"/>
      <c r="V137" s="2049"/>
      <c r="W137" s="2049"/>
      <c r="X137" s="2049"/>
      <c r="Y137" s="2049"/>
      <c r="Z137" s="2049"/>
      <c r="AA137" s="2049"/>
      <c r="AB137" s="2049"/>
      <c r="AC137" s="2049"/>
      <c r="AD137" s="2049"/>
      <c r="AE137" s="2049"/>
      <c r="AF137" s="2049"/>
      <c r="AG137" s="2049"/>
      <c r="AH137" s="2049"/>
      <c r="AI137" s="2049"/>
      <c r="AJ137" s="2049"/>
      <c r="AK137" s="2049"/>
      <c r="AL137" s="2049"/>
      <c r="AM137" s="2049"/>
      <c r="AN137" s="2049"/>
      <c r="AO137" s="2049"/>
      <c r="AP137" s="2049"/>
      <c r="AQ137" s="2049"/>
      <c r="AR137" s="2049"/>
      <c r="AS137" s="2049"/>
      <c r="AT137" s="2049"/>
      <c r="AU137" s="2049"/>
      <c r="AV137" s="2049"/>
      <c r="AW137" s="2049"/>
      <c r="AX137" s="2049"/>
      <c r="AY137" s="2049"/>
      <c r="AZ137" s="2049"/>
      <c r="BA137" s="2049"/>
      <c r="BB137" s="2049"/>
      <c r="BC137" s="2049"/>
      <c r="BD137" s="2049"/>
      <c r="BE137" s="2049"/>
    </row>
    <row r="138" spans="1:69" s="1523" customFormat="1" ht="18.75" customHeight="1">
      <c r="C138" s="1554"/>
      <c r="D138" s="1523" t="s">
        <v>964</v>
      </c>
      <c r="F138" s="1555"/>
      <c r="G138" s="1555"/>
      <c r="X138" s="1556"/>
      <c r="AE138" s="1532"/>
      <c r="AK138" s="1557"/>
      <c r="AP138" s="1558">
        <v>3876600</v>
      </c>
      <c r="AQ138" s="1559">
        <f>AP138/30</f>
        <v>129220</v>
      </c>
      <c r="AR138" s="1559">
        <f>AP138/173*1.5</f>
        <v>33612.138728323698</v>
      </c>
      <c r="AS138" s="1559">
        <f>AP138/173*2</f>
        <v>44816.184971098264</v>
      </c>
      <c r="AW138" s="1532" t="s">
        <v>55</v>
      </c>
      <c r="AX138" s="1523" t="s">
        <v>152</v>
      </c>
      <c r="BC138" s="1531"/>
      <c r="BE138" s="1532"/>
      <c r="BG138" s="1555"/>
      <c r="BH138" s="1560"/>
      <c r="BI138" s="1560"/>
      <c r="BJ138" s="1555"/>
      <c r="BK138" s="1561"/>
      <c r="BL138" s="1561"/>
      <c r="BM138" s="1561"/>
      <c r="BN138" s="1555"/>
      <c r="BO138" s="1555"/>
    </row>
    <row r="139" spans="1:69" ht="15" customHeight="1" thickBot="1">
      <c r="A139" s="1547"/>
      <c r="D139" s="1563"/>
      <c r="E139" s="1563"/>
      <c r="F139" s="1564"/>
      <c r="G139" s="1564"/>
      <c r="H139" s="1563"/>
      <c r="I139" s="1563"/>
      <c r="J139" s="1563"/>
      <c r="K139" s="1563"/>
      <c r="L139" s="1563"/>
      <c r="M139" s="1563"/>
      <c r="N139" s="1563"/>
      <c r="O139" s="1563"/>
      <c r="Q139" s="1563"/>
      <c r="R139" s="1563"/>
      <c r="S139" s="1563"/>
      <c r="T139" s="1563"/>
      <c r="U139" s="1563"/>
      <c r="V139" s="1563"/>
      <c r="W139" s="1563"/>
      <c r="X139" s="1563"/>
      <c r="Y139" s="1563"/>
      <c r="Z139" s="1563"/>
      <c r="AA139" s="1563"/>
      <c r="AB139" s="1563"/>
      <c r="AC139" s="1563"/>
      <c r="AD139" s="1547"/>
      <c r="AE139" s="1563"/>
      <c r="AF139" s="1563"/>
      <c r="AG139" s="1563"/>
      <c r="AH139" s="1563"/>
      <c r="AI139" s="1563"/>
      <c r="AJ139" s="1563"/>
      <c r="AK139" s="1565"/>
      <c r="AL139" s="1563"/>
      <c r="AM139" s="1563"/>
      <c r="AO139" s="1563"/>
      <c r="AP139" s="1558">
        <v>3876600</v>
      </c>
      <c r="AQ139" s="1566">
        <f>AP139/30</f>
        <v>129220</v>
      </c>
      <c r="AR139" s="1567"/>
      <c r="AS139" s="1568">
        <f>AP139+24000</f>
        <v>3900600</v>
      </c>
    </row>
    <row r="140" spans="1:69" s="1523" customFormat="1" ht="15.75" customHeight="1">
      <c r="A140" s="2050" t="s">
        <v>5</v>
      </c>
      <c r="B140" s="2053" t="s">
        <v>6</v>
      </c>
      <c r="C140" s="2056" t="s">
        <v>52</v>
      </c>
      <c r="D140" s="1569"/>
      <c r="E140" s="1569"/>
      <c r="F140" s="1570"/>
      <c r="G140" s="1570"/>
      <c r="H140" s="2059" t="s">
        <v>2</v>
      </c>
      <c r="I140" s="2060"/>
      <c r="J140" s="2060"/>
      <c r="K140" s="2060"/>
      <c r="L140" s="2060"/>
      <c r="M140" s="2060"/>
      <c r="N140" s="2060"/>
      <c r="O140" s="2060"/>
      <c r="P140" s="2060"/>
      <c r="Q140" s="2060"/>
      <c r="R140" s="2060"/>
      <c r="S140" s="2060"/>
      <c r="T140" s="2060"/>
      <c r="U140" s="2061"/>
      <c r="V140" s="2056" t="s">
        <v>286</v>
      </c>
      <c r="W140" s="2059" t="s">
        <v>3</v>
      </c>
      <c r="X140" s="2060"/>
      <c r="Y140" s="2060"/>
      <c r="Z140" s="2060"/>
      <c r="AA140" s="2060"/>
      <c r="AB140" s="2060"/>
      <c r="AC140" s="2060"/>
      <c r="AD140" s="2061"/>
      <c r="AE140" s="2042" t="s">
        <v>45</v>
      </c>
      <c r="AF140" s="2063" t="s">
        <v>46</v>
      </c>
      <c r="AG140" s="2064"/>
      <c r="AH140" s="2064"/>
      <c r="AI140" s="2064"/>
      <c r="AJ140" s="2064"/>
      <c r="AK140" s="2064"/>
      <c r="AL140" s="2065"/>
      <c r="AM140" s="2045" t="s">
        <v>98</v>
      </c>
      <c r="AN140" s="2056" t="s">
        <v>44</v>
      </c>
      <c r="AO140" s="1533" t="s">
        <v>4</v>
      </c>
      <c r="AP140" s="2036" t="s">
        <v>20</v>
      </c>
      <c r="AQ140" s="2037"/>
      <c r="AR140" s="2038"/>
      <c r="AS140" s="2036" t="s">
        <v>54</v>
      </c>
      <c r="AT140" s="2037"/>
      <c r="AU140" s="2037"/>
      <c r="AV140" s="2037"/>
      <c r="AW140" s="2037"/>
      <c r="AX140" s="1571"/>
      <c r="AY140" s="2042" t="s">
        <v>89</v>
      </c>
      <c r="AZ140" s="2045" t="s">
        <v>97</v>
      </c>
      <c r="BA140" s="2045" t="s">
        <v>719</v>
      </c>
      <c r="BB140" s="2045" t="s">
        <v>210</v>
      </c>
      <c r="BC140" s="1539" t="s">
        <v>4</v>
      </c>
      <c r="BD140" s="2063" t="s">
        <v>41</v>
      </c>
      <c r="BE140" s="2084"/>
      <c r="BG140" s="1555"/>
      <c r="BH140" s="1560"/>
      <c r="BI140" s="1560"/>
      <c r="BJ140" s="1555"/>
      <c r="BK140" s="1561"/>
      <c r="BL140" s="1561"/>
      <c r="BM140" s="1561"/>
      <c r="BN140" s="1555"/>
      <c r="BO140" s="1555"/>
    </row>
    <row r="141" spans="1:69" s="1523" customFormat="1" ht="25.5" customHeight="1">
      <c r="A141" s="2051"/>
      <c r="B141" s="2054"/>
      <c r="C141" s="2057"/>
      <c r="D141" s="1519" t="s">
        <v>7</v>
      </c>
      <c r="E141" s="1519" t="s">
        <v>8</v>
      </c>
      <c r="F141" s="1572" t="s">
        <v>9</v>
      </c>
      <c r="G141" s="1572" t="s">
        <v>9</v>
      </c>
      <c r="H141" s="2071" t="s">
        <v>10</v>
      </c>
      <c r="I141" s="2072"/>
      <c r="J141" s="2071" t="s">
        <v>11</v>
      </c>
      <c r="K141" s="2072"/>
      <c r="L141" s="2071" t="s">
        <v>12</v>
      </c>
      <c r="M141" s="2072"/>
      <c r="N141" s="2071" t="s">
        <v>13</v>
      </c>
      <c r="O141" s="2072"/>
      <c r="P141" s="2071" t="s">
        <v>14</v>
      </c>
      <c r="Q141" s="2072"/>
      <c r="R141" s="2087" t="s">
        <v>15</v>
      </c>
      <c r="S141" s="2088"/>
      <c r="T141" s="2071" t="s">
        <v>16</v>
      </c>
      <c r="U141" s="2072"/>
      <c r="V141" s="2057"/>
      <c r="W141" s="2071" t="s">
        <v>17</v>
      </c>
      <c r="X141" s="2072"/>
      <c r="Y141" s="2071" t="s">
        <v>18</v>
      </c>
      <c r="Z141" s="2081"/>
      <c r="AA141" s="2072"/>
      <c r="AB141" s="2071" t="s">
        <v>19</v>
      </c>
      <c r="AC141" s="2081"/>
      <c r="AD141" s="2072"/>
      <c r="AE141" s="2043"/>
      <c r="AF141" s="2066"/>
      <c r="AG141" s="2067"/>
      <c r="AH141" s="2067"/>
      <c r="AI141" s="2067"/>
      <c r="AJ141" s="2067"/>
      <c r="AK141" s="2067"/>
      <c r="AL141" s="2068"/>
      <c r="AM141" s="2046"/>
      <c r="AN141" s="2057"/>
      <c r="AO141" s="1534" t="s">
        <v>9</v>
      </c>
      <c r="AP141" s="2039"/>
      <c r="AQ141" s="2040"/>
      <c r="AR141" s="2041"/>
      <c r="AS141" s="2039"/>
      <c r="AT141" s="2040"/>
      <c r="AU141" s="2040"/>
      <c r="AV141" s="2040"/>
      <c r="AW141" s="2040"/>
      <c r="AX141" s="1534" t="s">
        <v>21</v>
      </c>
      <c r="AY141" s="2043"/>
      <c r="AZ141" s="2046"/>
      <c r="BA141" s="2046"/>
      <c r="BB141" s="2046"/>
      <c r="BC141" s="1540" t="s">
        <v>9</v>
      </c>
      <c r="BD141" s="2085"/>
      <c r="BE141" s="2086"/>
      <c r="BG141" s="1573"/>
      <c r="BH141" s="1573"/>
      <c r="BI141" s="1573"/>
      <c r="BJ141" s="1555"/>
      <c r="BK141" s="1561"/>
      <c r="BL141" s="1561"/>
      <c r="BM141" s="1561"/>
      <c r="BN141" s="1555"/>
      <c r="BO141" s="1555"/>
    </row>
    <row r="142" spans="1:69" s="1523" customFormat="1" ht="63" customHeight="1">
      <c r="A142" s="2051"/>
      <c r="B142" s="2054"/>
      <c r="C142" s="2057"/>
      <c r="D142" s="1519" t="s">
        <v>22</v>
      </c>
      <c r="E142" s="1519" t="s">
        <v>23</v>
      </c>
      <c r="F142" s="1572" t="s">
        <v>24</v>
      </c>
      <c r="G142" s="1572" t="s">
        <v>25</v>
      </c>
      <c r="H142" s="2069" t="s">
        <v>4</v>
      </c>
      <c r="I142" s="2070"/>
      <c r="J142" s="2069" t="s">
        <v>4</v>
      </c>
      <c r="K142" s="2070"/>
      <c r="L142" s="2069" t="s">
        <v>4</v>
      </c>
      <c r="M142" s="2070"/>
      <c r="N142" s="2069" t="s">
        <v>4</v>
      </c>
      <c r="O142" s="2070"/>
      <c r="P142" s="2069" t="s">
        <v>4</v>
      </c>
      <c r="Q142" s="2070"/>
      <c r="R142" s="2082" t="s">
        <v>4</v>
      </c>
      <c r="S142" s="2083"/>
      <c r="T142" s="2069" t="s">
        <v>4</v>
      </c>
      <c r="U142" s="2070"/>
      <c r="V142" s="2057"/>
      <c r="W142" s="1534" t="s">
        <v>27</v>
      </c>
      <c r="X142" s="1574" t="s">
        <v>28</v>
      </c>
      <c r="Y142" s="1534" t="s">
        <v>27</v>
      </c>
      <c r="Z142" s="2069" t="s">
        <v>4</v>
      </c>
      <c r="AA142" s="2070"/>
      <c r="AB142" s="1534" t="s">
        <v>27</v>
      </c>
      <c r="AC142" s="2071" t="s">
        <v>4</v>
      </c>
      <c r="AD142" s="2072"/>
      <c r="AE142" s="2062"/>
      <c r="AF142" s="1575" t="s">
        <v>56</v>
      </c>
      <c r="AG142" s="1575" t="s">
        <v>57</v>
      </c>
      <c r="AH142" s="1575" t="s">
        <v>60</v>
      </c>
      <c r="AI142" s="1575" t="s">
        <v>202</v>
      </c>
      <c r="AJ142" s="1575" t="s">
        <v>218</v>
      </c>
      <c r="AK142" s="1575" t="s">
        <v>572</v>
      </c>
      <c r="AL142" s="1575" t="s">
        <v>288</v>
      </c>
      <c r="AM142" s="2089"/>
      <c r="AN142" s="2090"/>
      <c r="AO142" s="1534" t="s">
        <v>29</v>
      </c>
      <c r="AP142" s="1519" t="s">
        <v>30</v>
      </c>
      <c r="AQ142" s="1519" t="s">
        <v>31</v>
      </c>
      <c r="AR142" s="1519" t="s">
        <v>4</v>
      </c>
      <c r="AS142" s="1576" t="s">
        <v>30</v>
      </c>
      <c r="AT142" s="1574" t="s">
        <v>31</v>
      </c>
      <c r="AU142" s="1574" t="s">
        <v>30</v>
      </c>
      <c r="AV142" s="1574" t="s">
        <v>31</v>
      </c>
      <c r="AW142" s="1577" t="s">
        <v>4</v>
      </c>
      <c r="AX142" s="1534" t="s">
        <v>32</v>
      </c>
      <c r="AY142" s="2043"/>
      <c r="AZ142" s="2046"/>
      <c r="BA142" s="2046"/>
      <c r="BB142" s="2046"/>
      <c r="BC142" s="1540" t="s">
        <v>33</v>
      </c>
      <c r="BD142" s="2073" t="s">
        <v>42</v>
      </c>
      <c r="BE142" s="2075" t="s">
        <v>43</v>
      </c>
      <c r="BG142" s="1573"/>
      <c r="BH142" s="1578"/>
      <c r="BI142" s="1578"/>
      <c r="BJ142" s="1555"/>
      <c r="BK142" s="1561"/>
      <c r="BL142" s="1561"/>
      <c r="BM142" s="1561"/>
      <c r="BN142" s="1555"/>
      <c r="BO142" s="1555"/>
    </row>
    <row r="143" spans="1:69" s="1523" customFormat="1" ht="21" customHeight="1" thickBot="1">
      <c r="A143" s="2052"/>
      <c r="B143" s="2055"/>
      <c r="C143" s="2058"/>
      <c r="D143" s="1520"/>
      <c r="E143" s="1520"/>
      <c r="F143" s="1579" t="s">
        <v>34</v>
      </c>
      <c r="G143" s="1580" t="s">
        <v>34</v>
      </c>
      <c r="H143" s="1581" t="s">
        <v>8</v>
      </c>
      <c r="I143" s="1582" t="s">
        <v>34</v>
      </c>
      <c r="J143" s="1581" t="s">
        <v>8</v>
      </c>
      <c r="K143" s="1582" t="s">
        <v>34</v>
      </c>
      <c r="L143" s="1581" t="s">
        <v>8</v>
      </c>
      <c r="M143" s="1582" t="s">
        <v>34</v>
      </c>
      <c r="N143" s="1581" t="s">
        <v>8</v>
      </c>
      <c r="O143" s="1582" t="s">
        <v>34</v>
      </c>
      <c r="P143" s="1581" t="s">
        <v>8</v>
      </c>
      <c r="Q143" s="1582" t="s">
        <v>34</v>
      </c>
      <c r="R143" s="1581" t="s">
        <v>8</v>
      </c>
      <c r="S143" s="1582" t="s">
        <v>34</v>
      </c>
      <c r="T143" s="1581" t="s">
        <v>8</v>
      </c>
      <c r="U143" s="1582" t="s">
        <v>34</v>
      </c>
      <c r="V143" s="2058"/>
      <c r="W143" s="1581" t="s">
        <v>26</v>
      </c>
      <c r="X143" s="1581" t="s">
        <v>34</v>
      </c>
      <c r="Y143" s="1581" t="s">
        <v>26</v>
      </c>
      <c r="Z143" s="1581" t="s">
        <v>26</v>
      </c>
      <c r="AA143" s="1581" t="s">
        <v>34</v>
      </c>
      <c r="AB143" s="1581" t="s">
        <v>26</v>
      </c>
      <c r="AC143" s="1581" t="s">
        <v>35</v>
      </c>
      <c r="AD143" s="1581" t="s">
        <v>34</v>
      </c>
      <c r="AE143" s="1581" t="s">
        <v>34</v>
      </c>
      <c r="AF143" s="1582" t="s">
        <v>34</v>
      </c>
      <c r="AG143" s="1582" t="s">
        <v>34</v>
      </c>
      <c r="AH143" s="1582" t="s">
        <v>34</v>
      </c>
      <c r="AI143" s="1582" t="s">
        <v>34</v>
      </c>
      <c r="AJ143" s="1582" t="s">
        <v>34</v>
      </c>
      <c r="AK143" s="1582" t="s">
        <v>34</v>
      </c>
      <c r="AL143" s="1582" t="s">
        <v>34</v>
      </c>
      <c r="AM143" s="1582" t="s">
        <v>34</v>
      </c>
      <c r="AN143" s="1581" t="s">
        <v>34</v>
      </c>
      <c r="AO143" s="1582" t="s">
        <v>34</v>
      </c>
      <c r="AP143" s="1582" t="s">
        <v>34</v>
      </c>
      <c r="AQ143" s="1582" t="s">
        <v>34</v>
      </c>
      <c r="AR143" s="1582" t="s">
        <v>34</v>
      </c>
      <c r="AS143" s="1581" t="s">
        <v>58</v>
      </c>
      <c r="AT143" s="1582" t="s">
        <v>34</v>
      </c>
      <c r="AU143" s="1582" t="s">
        <v>59</v>
      </c>
      <c r="AV143" s="1582" t="s">
        <v>34</v>
      </c>
      <c r="AW143" s="1583" t="s">
        <v>34</v>
      </c>
      <c r="AX143" s="1537"/>
      <c r="AY143" s="2044"/>
      <c r="AZ143" s="2047"/>
      <c r="BA143" s="2047"/>
      <c r="BB143" s="2047"/>
      <c r="BC143" s="1541" t="s">
        <v>34</v>
      </c>
      <c r="BD143" s="2074"/>
      <c r="BE143" s="2076"/>
      <c r="BG143" s="1555" t="s">
        <v>353</v>
      </c>
      <c r="BH143" s="1578" t="s">
        <v>43</v>
      </c>
      <c r="BI143" s="1578" t="s">
        <v>42</v>
      </c>
      <c r="BJ143" s="1555" t="s">
        <v>354</v>
      </c>
      <c r="BK143" s="1561" t="s">
        <v>358</v>
      </c>
      <c r="BL143" s="1561"/>
      <c r="BM143" s="1561" t="s">
        <v>625</v>
      </c>
      <c r="BN143" s="1555" t="s">
        <v>626</v>
      </c>
      <c r="BO143" s="1555" t="s">
        <v>627</v>
      </c>
      <c r="BQ143" s="1523" t="s">
        <v>685</v>
      </c>
    </row>
    <row r="144" spans="1:69" ht="102" customHeight="1" thickBot="1">
      <c r="A144" s="1584" t="s">
        <v>77</v>
      </c>
      <c r="B144" s="1496" t="s">
        <v>37</v>
      </c>
      <c r="C144" s="1585" t="s">
        <v>123</v>
      </c>
      <c r="D144" s="1586" t="s">
        <v>107</v>
      </c>
      <c r="E144" s="1489">
        <f>'HK UP KEEP, OP '!AH22</f>
        <v>23</v>
      </c>
      <c r="F144" s="1490">
        <v>129220</v>
      </c>
      <c r="G144" s="1490">
        <f t="shared" si="0"/>
        <v>2972060</v>
      </c>
      <c r="H144" s="1489">
        <f>'HK UP KEEP, OP '!AI22</f>
        <v>1</v>
      </c>
      <c r="I144" s="1489">
        <f t="shared" si="1"/>
        <v>129220</v>
      </c>
      <c r="J144" s="1489">
        <f>'HK UP KEEP, OP '!AJ22</f>
        <v>0</v>
      </c>
      <c r="K144" s="1489">
        <f t="shared" si="2"/>
        <v>0</v>
      </c>
      <c r="L144" s="1489">
        <f>'HK UP KEEP, OP '!AK22</f>
        <v>0</v>
      </c>
      <c r="M144" s="1489">
        <f t="shared" si="3"/>
        <v>0</v>
      </c>
      <c r="N144" s="1489">
        <f>'HK UP KEEP, OP '!AL22</f>
        <v>4</v>
      </c>
      <c r="O144" s="1489">
        <f t="shared" si="4"/>
        <v>516880</v>
      </c>
      <c r="P144" s="1489">
        <f>'HK UP KEEP, OP '!AM22</f>
        <v>3</v>
      </c>
      <c r="Q144" s="1489">
        <f t="shared" si="5"/>
        <v>387660</v>
      </c>
      <c r="R144" s="1489">
        <f>'HK UP KEEP, OP '!AN22</f>
        <v>0</v>
      </c>
      <c r="S144" s="1489">
        <f t="shared" si="6"/>
        <v>0</v>
      </c>
      <c r="T144" s="1489">
        <f>'HK UP KEEP, OP '!AO22+'HK UP KEEP, OP '!AP22+'HK UP KEEP, OP '!AQ22</f>
        <v>0</v>
      </c>
      <c r="U144" s="1489">
        <f t="shared" si="7"/>
        <v>0</v>
      </c>
      <c r="V144" s="1489">
        <f t="shared" si="8"/>
        <v>31</v>
      </c>
      <c r="W144" s="1502">
        <v>2250</v>
      </c>
      <c r="X144" s="1489">
        <f t="shared" si="9"/>
        <v>69750</v>
      </c>
      <c r="Y144" s="1503"/>
      <c r="Z144" s="1489"/>
      <c r="AA144" s="1489">
        <f t="shared" si="27"/>
        <v>0</v>
      </c>
      <c r="AB144" s="1496">
        <v>2500</v>
      </c>
      <c r="AC144" s="1489">
        <f>'MASA KERJA AB'!H23</f>
        <v>17</v>
      </c>
      <c r="AD144" s="1492">
        <f>'MASA KERJA AB'!I23</f>
        <v>50500</v>
      </c>
      <c r="AE144" s="1491"/>
      <c r="AF144" s="1489"/>
      <c r="AG144" s="1489"/>
      <c r="AH144" s="1496"/>
      <c r="AI144" s="1489"/>
      <c r="AJ144" s="1496"/>
      <c r="AK144" s="1503"/>
      <c r="AL144" s="1496"/>
      <c r="AM144" s="1496"/>
      <c r="AN144" s="1489"/>
      <c r="AO144" s="1494">
        <f t="shared" si="10"/>
        <v>4126070</v>
      </c>
      <c r="AP144" s="1489">
        <f t="shared" si="20"/>
        <v>77532</v>
      </c>
      <c r="AQ144" s="1489">
        <f t="shared" si="21"/>
        <v>175997.64</v>
      </c>
      <c r="AR144" s="1489">
        <f t="shared" si="28"/>
        <v>253529.64</v>
      </c>
      <c r="AS144" s="1489">
        <f t="shared" si="22"/>
        <v>39271</v>
      </c>
      <c r="AT144" s="1489">
        <f t="shared" si="23"/>
        <v>157084</v>
      </c>
      <c r="AU144" s="1489">
        <f t="shared" si="24"/>
        <v>38766</v>
      </c>
      <c r="AV144" s="1489">
        <f t="shared" si="25"/>
        <v>77532</v>
      </c>
      <c r="AW144" s="1489">
        <f t="shared" si="29"/>
        <v>312653</v>
      </c>
      <c r="AX144" s="1492">
        <v>4000</v>
      </c>
      <c r="AY144" s="1491">
        <v>0</v>
      </c>
      <c r="AZ144" s="1489">
        <f t="shared" si="13"/>
        <v>0</v>
      </c>
      <c r="BA144" s="1489"/>
      <c r="BB144" s="1496"/>
      <c r="BC144" s="1489">
        <f t="shared" si="14"/>
        <v>3966501</v>
      </c>
      <c r="BD144" s="1495">
        <f>'HK UP KEEP, OP '!AS22</f>
        <v>0</v>
      </c>
      <c r="BE144" s="1488">
        <f>'HK UP KEEP, OP '!AT22</f>
        <v>0</v>
      </c>
      <c r="BG144" s="1551">
        <f t="shared" si="15"/>
        <v>4005820</v>
      </c>
      <c r="BH144" s="1552">
        <f t="shared" si="16"/>
        <v>0</v>
      </c>
      <c r="BI144" s="1552">
        <f t="shared" si="17"/>
        <v>0</v>
      </c>
      <c r="BJ144" s="1551">
        <f t="shared" si="18"/>
        <v>0</v>
      </c>
      <c r="BK144" s="1553">
        <f t="shared" si="26"/>
        <v>4005820</v>
      </c>
      <c r="BM144" s="1553">
        <f t="shared" si="30"/>
        <v>120250</v>
      </c>
      <c r="BN144" s="1551">
        <v>30575.999999999996</v>
      </c>
      <c r="BO144" s="1551">
        <f t="shared" si="19"/>
        <v>566182.64</v>
      </c>
    </row>
    <row r="145" spans="1:69" ht="23.25" customHeight="1">
      <c r="A145" s="2048" t="s">
        <v>0</v>
      </c>
      <c r="B145" s="2048"/>
      <c r="C145" s="2048"/>
      <c r="D145" s="2048"/>
      <c r="E145" s="2048"/>
      <c r="F145" s="2048"/>
      <c r="G145" s="2048"/>
      <c r="H145" s="2048"/>
      <c r="I145" s="2048"/>
      <c r="J145" s="2048"/>
      <c r="K145" s="2048"/>
      <c r="L145" s="2048"/>
      <c r="M145" s="2048"/>
      <c r="N145" s="2048"/>
      <c r="O145" s="2048"/>
      <c r="P145" s="2048"/>
      <c r="Q145" s="2048"/>
      <c r="R145" s="2048"/>
      <c r="S145" s="2048"/>
      <c r="T145" s="2048"/>
      <c r="U145" s="2048"/>
      <c r="V145" s="2048"/>
      <c r="W145" s="2048"/>
      <c r="X145" s="2048"/>
      <c r="Y145" s="2048"/>
      <c r="Z145" s="2048"/>
      <c r="AA145" s="2048"/>
      <c r="AB145" s="2048"/>
      <c r="AC145" s="2048"/>
      <c r="AD145" s="2048"/>
      <c r="AE145" s="2048"/>
      <c r="AF145" s="2048"/>
      <c r="AG145" s="2048"/>
      <c r="AH145" s="2048"/>
      <c r="AI145" s="2048"/>
      <c r="AJ145" s="2048"/>
      <c r="AK145" s="2048"/>
      <c r="AL145" s="2048"/>
      <c r="AM145" s="2048"/>
      <c r="AN145" s="2048"/>
      <c r="AO145" s="2048"/>
      <c r="AP145" s="2048"/>
      <c r="AQ145" s="2048"/>
      <c r="AR145" s="2048"/>
      <c r="AS145" s="2048"/>
      <c r="AT145" s="2048"/>
      <c r="AU145" s="2048"/>
      <c r="AV145" s="2048"/>
      <c r="AW145" s="2048"/>
      <c r="AX145" s="2048"/>
      <c r="AY145" s="2048"/>
      <c r="AZ145" s="2048"/>
      <c r="BA145" s="2048"/>
      <c r="BB145" s="2048"/>
      <c r="BC145" s="2048"/>
      <c r="BD145" s="2048"/>
      <c r="BE145" s="2048"/>
    </row>
    <row r="146" spans="1:69" ht="26.25" customHeight="1">
      <c r="A146" s="2049" t="s">
        <v>1033</v>
      </c>
      <c r="B146" s="2049"/>
      <c r="C146" s="2049"/>
      <c r="D146" s="2049"/>
      <c r="E146" s="2049"/>
      <c r="F146" s="2049"/>
      <c r="G146" s="2049"/>
      <c r="H146" s="2049"/>
      <c r="I146" s="2049"/>
      <c r="J146" s="2049"/>
      <c r="K146" s="2049"/>
      <c r="L146" s="2049"/>
      <c r="M146" s="2049"/>
      <c r="N146" s="2049"/>
      <c r="O146" s="2049"/>
      <c r="P146" s="2049"/>
      <c r="Q146" s="2049"/>
      <c r="R146" s="2049"/>
      <c r="S146" s="2049"/>
      <c r="T146" s="2049"/>
      <c r="U146" s="2049"/>
      <c r="V146" s="2049"/>
      <c r="W146" s="2049"/>
      <c r="X146" s="2049"/>
      <c r="Y146" s="2049"/>
      <c r="Z146" s="2049"/>
      <c r="AA146" s="2049"/>
      <c r="AB146" s="2049"/>
      <c r="AC146" s="2049"/>
      <c r="AD146" s="2049"/>
      <c r="AE146" s="2049"/>
      <c r="AF146" s="2049"/>
      <c r="AG146" s="2049"/>
      <c r="AH146" s="2049"/>
      <c r="AI146" s="2049"/>
      <c r="AJ146" s="2049"/>
      <c r="AK146" s="2049"/>
      <c r="AL146" s="2049"/>
      <c r="AM146" s="2049"/>
      <c r="AN146" s="2049"/>
      <c r="AO146" s="2049"/>
      <c r="AP146" s="2049"/>
      <c r="AQ146" s="2049"/>
      <c r="AR146" s="2049"/>
      <c r="AS146" s="2049"/>
      <c r="AT146" s="2049"/>
      <c r="AU146" s="2049"/>
      <c r="AV146" s="2049"/>
      <c r="AW146" s="2049"/>
      <c r="AX146" s="2049"/>
      <c r="AY146" s="2049"/>
      <c r="AZ146" s="2049"/>
      <c r="BA146" s="2049"/>
      <c r="BB146" s="2049"/>
      <c r="BC146" s="2049"/>
      <c r="BD146" s="2049"/>
      <c r="BE146" s="2049"/>
    </row>
    <row r="147" spans="1:69" s="1523" customFormat="1" ht="18.75" customHeight="1">
      <c r="C147" s="1554"/>
      <c r="D147" s="1523" t="s">
        <v>964</v>
      </c>
      <c r="F147" s="1555"/>
      <c r="G147" s="1555"/>
      <c r="X147" s="1556"/>
      <c r="AE147" s="1532"/>
      <c r="AK147" s="1557"/>
      <c r="AP147" s="1558">
        <v>3876600</v>
      </c>
      <c r="AQ147" s="1559">
        <f>AP147/30</f>
        <v>129220</v>
      </c>
      <c r="AR147" s="1559">
        <f>AP147/173*1.5</f>
        <v>33612.138728323698</v>
      </c>
      <c r="AS147" s="1559">
        <f>AP147/173*2</f>
        <v>44816.184971098264</v>
      </c>
      <c r="AW147" s="1532" t="s">
        <v>55</v>
      </c>
      <c r="AX147" s="1523" t="s">
        <v>152</v>
      </c>
      <c r="BC147" s="1531"/>
      <c r="BE147" s="1532"/>
      <c r="BG147" s="1555"/>
      <c r="BH147" s="1560"/>
      <c r="BI147" s="1560"/>
      <c r="BJ147" s="1555"/>
      <c r="BK147" s="1561"/>
      <c r="BL147" s="1561"/>
      <c r="BM147" s="1561"/>
      <c r="BN147" s="1555"/>
      <c r="BO147" s="1555"/>
    </row>
    <row r="148" spans="1:69" ht="15" customHeight="1" thickBot="1">
      <c r="A148" s="1547"/>
      <c r="D148" s="1563"/>
      <c r="E148" s="1563"/>
      <c r="F148" s="1564"/>
      <c r="G148" s="1564"/>
      <c r="H148" s="1563"/>
      <c r="I148" s="1563"/>
      <c r="J148" s="1563"/>
      <c r="K148" s="1563"/>
      <c r="L148" s="1563"/>
      <c r="M148" s="1563"/>
      <c r="N148" s="1563"/>
      <c r="O148" s="1563"/>
      <c r="Q148" s="1563"/>
      <c r="R148" s="1563"/>
      <c r="S148" s="1563"/>
      <c r="T148" s="1563"/>
      <c r="U148" s="1563"/>
      <c r="V148" s="1563"/>
      <c r="W148" s="1563"/>
      <c r="X148" s="1563"/>
      <c r="Y148" s="1563"/>
      <c r="Z148" s="1563"/>
      <c r="AA148" s="1563"/>
      <c r="AB148" s="1563"/>
      <c r="AC148" s="1563"/>
      <c r="AD148" s="1547"/>
      <c r="AE148" s="1563"/>
      <c r="AF148" s="1563"/>
      <c r="AG148" s="1563"/>
      <c r="AH148" s="1563"/>
      <c r="AI148" s="1563"/>
      <c r="AJ148" s="1563"/>
      <c r="AK148" s="1565"/>
      <c r="AL148" s="1563"/>
      <c r="AM148" s="1563"/>
      <c r="AO148" s="1563"/>
      <c r="AP148" s="1558">
        <v>3876600</v>
      </c>
      <c r="AQ148" s="1566">
        <f>AP148/30</f>
        <v>129220</v>
      </c>
      <c r="AR148" s="1567"/>
      <c r="AS148" s="1568">
        <f>AP148+24000</f>
        <v>3900600</v>
      </c>
    </row>
    <row r="149" spans="1:69" s="1523" customFormat="1" ht="15.75" customHeight="1">
      <c r="A149" s="2050" t="s">
        <v>5</v>
      </c>
      <c r="B149" s="2053" t="s">
        <v>6</v>
      </c>
      <c r="C149" s="2056" t="s">
        <v>52</v>
      </c>
      <c r="D149" s="1569"/>
      <c r="E149" s="1569"/>
      <c r="F149" s="1570"/>
      <c r="G149" s="1570"/>
      <c r="H149" s="2059" t="s">
        <v>2</v>
      </c>
      <c r="I149" s="2060"/>
      <c r="J149" s="2060"/>
      <c r="K149" s="2060"/>
      <c r="L149" s="2060"/>
      <c r="M149" s="2060"/>
      <c r="N149" s="2060"/>
      <c r="O149" s="2060"/>
      <c r="P149" s="2060"/>
      <c r="Q149" s="2060"/>
      <c r="R149" s="2060"/>
      <c r="S149" s="2060"/>
      <c r="T149" s="2060"/>
      <c r="U149" s="2061"/>
      <c r="V149" s="2056" t="s">
        <v>286</v>
      </c>
      <c r="W149" s="2059" t="s">
        <v>3</v>
      </c>
      <c r="X149" s="2060"/>
      <c r="Y149" s="2060"/>
      <c r="Z149" s="2060"/>
      <c r="AA149" s="2060"/>
      <c r="AB149" s="2060"/>
      <c r="AC149" s="2060"/>
      <c r="AD149" s="2061"/>
      <c r="AE149" s="2042" t="s">
        <v>45</v>
      </c>
      <c r="AF149" s="2063" t="s">
        <v>46</v>
      </c>
      <c r="AG149" s="2064"/>
      <c r="AH149" s="2064"/>
      <c r="AI149" s="2064"/>
      <c r="AJ149" s="2064"/>
      <c r="AK149" s="2064"/>
      <c r="AL149" s="2065"/>
      <c r="AM149" s="2045" t="s">
        <v>98</v>
      </c>
      <c r="AN149" s="2056" t="s">
        <v>44</v>
      </c>
      <c r="AO149" s="1533" t="s">
        <v>4</v>
      </c>
      <c r="AP149" s="2036" t="s">
        <v>20</v>
      </c>
      <c r="AQ149" s="2037"/>
      <c r="AR149" s="2038"/>
      <c r="AS149" s="2036" t="s">
        <v>54</v>
      </c>
      <c r="AT149" s="2037"/>
      <c r="AU149" s="2037"/>
      <c r="AV149" s="2037"/>
      <c r="AW149" s="2037"/>
      <c r="AX149" s="1571"/>
      <c r="AY149" s="2042" t="s">
        <v>89</v>
      </c>
      <c r="AZ149" s="2045" t="s">
        <v>97</v>
      </c>
      <c r="BA149" s="2045" t="s">
        <v>719</v>
      </c>
      <c r="BB149" s="2045" t="s">
        <v>210</v>
      </c>
      <c r="BC149" s="1539" t="s">
        <v>4</v>
      </c>
      <c r="BD149" s="2063" t="s">
        <v>41</v>
      </c>
      <c r="BE149" s="2084"/>
      <c r="BG149" s="1555"/>
      <c r="BH149" s="1560"/>
      <c r="BI149" s="1560"/>
      <c r="BJ149" s="1555"/>
      <c r="BK149" s="1561"/>
      <c r="BL149" s="1561"/>
      <c r="BM149" s="1561"/>
      <c r="BN149" s="1555"/>
      <c r="BO149" s="1555"/>
    </row>
    <row r="150" spans="1:69" s="1523" customFormat="1" ht="25.5" customHeight="1">
      <c r="A150" s="2051"/>
      <c r="B150" s="2054"/>
      <c r="C150" s="2057"/>
      <c r="D150" s="1519" t="s">
        <v>7</v>
      </c>
      <c r="E150" s="1519" t="s">
        <v>8</v>
      </c>
      <c r="F150" s="1572" t="s">
        <v>9</v>
      </c>
      <c r="G150" s="1572" t="s">
        <v>9</v>
      </c>
      <c r="H150" s="2071" t="s">
        <v>10</v>
      </c>
      <c r="I150" s="2072"/>
      <c r="J150" s="2071" t="s">
        <v>11</v>
      </c>
      <c r="K150" s="2072"/>
      <c r="L150" s="2071" t="s">
        <v>12</v>
      </c>
      <c r="M150" s="2072"/>
      <c r="N150" s="2071" t="s">
        <v>13</v>
      </c>
      <c r="O150" s="2072"/>
      <c r="P150" s="2071" t="s">
        <v>14</v>
      </c>
      <c r="Q150" s="2072"/>
      <c r="R150" s="2087" t="s">
        <v>15</v>
      </c>
      <c r="S150" s="2088"/>
      <c r="T150" s="2071" t="s">
        <v>16</v>
      </c>
      <c r="U150" s="2072"/>
      <c r="V150" s="2057"/>
      <c r="W150" s="2071" t="s">
        <v>17</v>
      </c>
      <c r="X150" s="2072"/>
      <c r="Y150" s="2071" t="s">
        <v>18</v>
      </c>
      <c r="Z150" s="2081"/>
      <c r="AA150" s="2072"/>
      <c r="AB150" s="2071" t="s">
        <v>19</v>
      </c>
      <c r="AC150" s="2081"/>
      <c r="AD150" s="2072"/>
      <c r="AE150" s="2043"/>
      <c r="AF150" s="2066"/>
      <c r="AG150" s="2067"/>
      <c r="AH150" s="2067"/>
      <c r="AI150" s="2067"/>
      <c r="AJ150" s="2067"/>
      <c r="AK150" s="2067"/>
      <c r="AL150" s="2068"/>
      <c r="AM150" s="2046"/>
      <c r="AN150" s="2057"/>
      <c r="AO150" s="1534" t="s">
        <v>9</v>
      </c>
      <c r="AP150" s="2039"/>
      <c r="AQ150" s="2040"/>
      <c r="AR150" s="2041"/>
      <c r="AS150" s="2039"/>
      <c r="AT150" s="2040"/>
      <c r="AU150" s="2040"/>
      <c r="AV150" s="2040"/>
      <c r="AW150" s="2040"/>
      <c r="AX150" s="1534" t="s">
        <v>21</v>
      </c>
      <c r="AY150" s="2043"/>
      <c r="AZ150" s="2046"/>
      <c r="BA150" s="2046"/>
      <c r="BB150" s="2046"/>
      <c r="BC150" s="1540" t="s">
        <v>9</v>
      </c>
      <c r="BD150" s="2085"/>
      <c r="BE150" s="2086"/>
      <c r="BG150" s="1573"/>
      <c r="BH150" s="1573"/>
      <c r="BI150" s="1573"/>
      <c r="BJ150" s="1555"/>
      <c r="BK150" s="1561"/>
      <c r="BL150" s="1561"/>
      <c r="BM150" s="1561"/>
      <c r="BN150" s="1555"/>
      <c r="BO150" s="1555"/>
    </row>
    <row r="151" spans="1:69" s="1523" customFormat="1" ht="63" customHeight="1">
      <c r="A151" s="2051"/>
      <c r="B151" s="2054"/>
      <c r="C151" s="2057"/>
      <c r="D151" s="1519" t="s">
        <v>22</v>
      </c>
      <c r="E151" s="1519" t="s">
        <v>23</v>
      </c>
      <c r="F151" s="1572" t="s">
        <v>24</v>
      </c>
      <c r="G151" s="1572" t="s">
        <v>25</v>
      </c>
      <c r="H151" s="2069" t="s">
        <v>4</v>
      </c>
      <c r="I151" s="2070"/>
      <c r="J151" s="2069" t="s">
        <v>4</v>
      </c>
      <c r="K151" s="2070"/>
      <c r="L151" s="2069" t="s">
        <v>4</v>
      </c>
      <c r="M151" s="2070"/>
      <c r="N151" s="2069" t="s">
        <v>4</v>
      </c>
      <c r="O151" s="2070"/>
      <c r="P151" s="2069" t="s">
        <v>4</v>
      </c>
      <c r="Q151" s="2070"/>
      <c r="R151" s="2082" t="s">
        <v>4</v>
      </c>
      <c r="S151" s="2083"/>
      <c r="T151" s="2069" t="s">
        <v>4</v>
      </c>
      <c r="U151" s="2070"/>
      <c r="V151" s="2057"/>
      <c r="W151" s="1534" t="s">
        <v>27</v>
      </c>
      <c r="X151" s="1574" t="s">
        <v>28</v>
      </c>
      <c r="Y151" s="1534" t="s">
        <v>27</v>
      </c>
      <c r="Z151" s="2069" t="s">
        <v>4</v>
      </c>
      <c r="AA151" s="2070"/>
      <c r="AB151" s="1534" t="s">
        <v>27</v>
      </c>
      <c r="AC151" s="2071" t="s">
        <v>4</v>
      </c>
      <c r="AD151" s="2072"/>
      <c r="AE151" s="2062"/>
      <c r="AF151" s="1575" t="s">
        <v>56</v>
      </c>
      <c r="AG151" s="1575" t="s">
        <v>57</v>
      </c>
      <c r="AH151" s="1575" t="s">
        <v>60</v>
      </c>
      <c r="AI151" s="1575" t="s">
        <v>202</v>
      </c>
      <c r="AJ151" s="1575" t="s">
        <v>218</v>
      </c>
      <c r="AK151" s="1575" t="s">
        <v>572</v>
      </c>
      <c r="AL151" s="1575" t="s">
        <v>288</v>
      </c>
      <c r="AM151" s="2089"/>
      <c r="AN151" s="2090"/>
      <c r="AO151" s="1534" t="s">
        <v>29</v>
      </c>
      <c r="AP151" s="1519" t="s">
        <v>30</v>
      </c>
      <c r="AQ151" s="1519" t="s">
        <v>31</v>
      </c>
      <c r="AR151" s="1519" t="s">
        <v>4</v>
      </c>
      <c r="AS151" s="1576" t="s">
        <v>30</v>
      </c>
      <c r="AT151" s="1574" t="s">
        <v>31</v>
      </c>
      <c r="AU151" s="1574" t="s">
        <v>30</v>
      </c>
      <c r="AV151" s="1574" t="s">
        <v>31</v>
      </c>
      <c r="AW151" s="1577" t="s">
        <v>4</v>
      </c>
      <c r="AX151" s="1534" t="s">
        <v>32</v>
      </c>
      <c r="AY151" s="2043"/>
      <c r="AZ151" s="2046"/>
      <c r="BA151" s="2046"/>
      <c r="BB151" s="2046"/>
      <c r="BC151" s="1540" t="s">
        <v>33</v>
      </c>
      <c r="BD151" s="2073" t="s">
        <v>42</v>
      </c>
      <c r="BE151" s="2075" t="s">
        <v>43</v>
      </c>
      <c r="BG151" s="1573"/>
      <c r="BH151" s="1578"/>
      <c r="BI151" s="1578"/>
      <c r="BJ151" s="1555"/>
      <c r="BK151" s="1561"/>
      <c r="BL151" s="1561"/>
      <c r="BM151" s="1561"/>
      <c r="BN151" s="1555"/>
      <c r="BO151" s="1555"/>
    </row>
    <row r="152" spans="1:69" s="1523" customFormat="1" ht="21" customHeight="1" thickBot="1">
      <c r="A152" s="2052"/>
      <c r="B152" s="2055"/>
      <c r="C152" s="2058"/>
      <c r="D152" s="1520"/>
      <c r="E152" s="1520"/>
      <c r="F152" s="1579" t="s">
        <v>34</v>
      </c>
      <c r="G152" s="1580" t="s">
        <v>34</v>
      </c>
      <c r="H152" s="1581" t="s">
        <v>8</v>
      </c>
      <c r="I152" s="1582" t="s">
        <v>34</v>
      </c>
      <c r="J152" s="1581" t="s">
        <v>8</v>
      </c>
      <c r="K152" s="1582" t="s">
        <v>34</v>
      </c>
      <c r="L152" s="1581" t="s">
        <v>8</v>
      </c>
      <c r="M152" s="1582" t="s">
        <v>34</v>
      </c>
      <c r="N152" s="1581" t="s">
        <v>8</v>
      </c>
      <c r="O152" s="1582" t="s">
        <v>34</v>
      </c>
      <c r="P152" s="1581" t="s">
        <v>8</v>
      </c>
      <c r="Q152" s="1582" t="s">
        <v>34</v>
      </c>
      <c r="R152" s="1581" t="s">
        <v>8</v>
      </c>
      <c r="S152" s="1582" t="s">
        <v>34</v>
      </c>
      <c r="T152" s="1581" t="s">
        <v>8</v>
      </c>
      <c r="U152" s="1582" t="s">
        <v>34</v>
      </c>
      <c r="V152" s="2058"/>
      <c r="W152" s="1581" t="s">
        <v>26</v>
      </c>
      <c r="X152" s="1581" t="s">
        <v>34</v>
      </c>
      <c r="Y152" s="1581" t="s">
        <v>26</v>
      </c>
      <c r="Z152" s="1581" t="s">
        <v>26</v>
      </c>
      <c r="AA152" s="1581" t="s">
        <v>34</v>
      </c>
      <c r="AB152" s="1581" t="s">
        <v>26</v>
      </c>
      <c r="AC152" s="1581" t="s">
        <v>35</v>
      </c>
      <c r="AD152" s="1581" t="s">
        <v>34</v>
      </c>
      <c r="AE152" s="1581" t="s">
        <v>34</v>
      </c>
      <c r="AF152" s="1582" t="s">
        <v>34</v>
      </c>
      <c r="AG152" s="1582" t="s">
        <v>34</v>
      </c>
      <c r="AH152" s="1582" t="s">
        <v>34</v>
      </c>
      <c r="AI152" s="1582" t="s">
        <v>34</v>
      </c>
      <c r="AJ152" s="1582" t="s">
        <v>34</v>
      </c>
      <c r="AK152" s="1582" t="s">
        <v>34</v>
      </c>
      <c r="AL152" s="1582" t="s">
        <v>34</v>
      </c>
      <c r="AM152" s="1582" t="s">
        <v>34</v>
      </c>
      <c r="AN152" s="1581" t="s">
        <v>34</v>
      </c>
      <c r="AO152" s="1582" t="s">
        <v>34</v>
      </c>
      <c r="AP152" s="1582" t="s">
        <v>34</v>
      </c>
      <c r="AQ152" s="1582" t="s">
        <v>34</v>
      </c>
      <c r="AR152" s="1582" t="s">
        <v>34</v>
      </c>
      <c r="AS152" s="1581" t="s">
        <v>58</v>
      </c>
      <c r="AT152" s="1582" t="s">
        <v>34</v>
      </c>
      <c r="AU152" s="1582" t="s">
        <v>59</v>
      </c>
      <c r="AV152" s="1582" t="s">
        <v>34</v>
      </c>
      <c r="AW152" s="1583" t="s">
        <v>34</v>
      </c>
      <c r="AX152" s="1537"/>
      <c r="AY152" s="2044"/>
      <c r="AZ152" s="2047"/>
      <c r="BA152" s="2047"/>
      <c r="BB152" s="2047"/>
      <c r="BC152" s="1541" t="s">
        <v>34</v>
      </c>
      <c r="BD152" s="2074"/>
      <c r="BE152" s="2076"/>
      <c r="BG152" s="1555" t="s">
        <v>353</v>
      </c>
      <c r="BH152" s="1578" t="s">
        <v>43</v>
      </c>
      <c r="BI152" s="1578" t="s">
        <v>42</v>
      </c>
      <c r="BJ152" s="1555" t="s">
        <v>354</v>
      </c>
      <c r="BK152" s="1561" t="s">
        <v>358</v>
      </c>
      <c r="BL152" s="1561"/>
      <c r="BM152" s="1561" t="s">
        <v>625</v>
      </c>
      <c r="BN152" s="1555" t="s">
        <v>626</v>
      </c>
      <c r="BO152" s="1555" t="s">
        <v>627</v>
      </c>
      <c r="BQ152" s="1523" t="s">
        <v>685</v>
      </c>
    </row>
    <row r="153" spans="1:69" ht="83.25" customHeight="1" thickBot="1">
      <c r="A153" s="1584" t="s">
        <v>78</v>
      </c>
      <c r="B153" s="1489" t="s">
        <v>37</v>
      </c>
      <c r="C153" s="1585" t="s">
        <v>124</v>
      </c>
      <c r="D153" s="1586" t="s">
        <v>108</v>
      </c>
      <c r="E153" s="1489">
        <f>'HK UP KEEP, OP '!AH23</f>
        <v>19</v>
      </c>
      <c r="F153" s="1490">
        <v>129220</v>
      </c>
      <c r="G153" s="1490">
        <f t="shared" si="0"/>
        <v>2455180</v>
      </c>
      <c r="H153" s="1489">
        <f>'HK UP KEEP, OP '!AI23</f>
        <v>1</v>
      </c>
      <c r="I153" s="1489">
        <f t="shared" si="1"/>
        <v>129220</v>
      </c>
      <c r="J153" s="1489">
        <f>'HK UP KEEP, OP '!AJ23</f>
        <v>1</v>
      </c>
      <c r="K153" s="1489">
        <f t="shared" si="2"/>
        <v>129220</v>
      </c>
      <c r="L153" s="1489">
        <f>'HK UP KEEP, OP '!AK23</f>
        <v>2</v>
      </c>
      <c r="M153" s="1489">
        <f t="shared" si="3"/>
        <v>258440</v>
      </c>
      <c r="N153" s="1489">
        <f>'HK UP KEEP, OP '!AL23</f>
        <v>4</v>
      </c>
      <c r="O153" s="1489">
        <f t="shared" si="4"/>
        <v>516880</v>
      </c>
      <c r="P153" s="1489">
        <f>'HK UP KEEP, OP '!AM23</f>
        <v>3</v>
      </c>
      <c r="Q153" s="1489">
        <f t="shared" si="5"/>
        <v>387660</v>
      </c>
      <c r="R153" s="1489">
        <f>'HK UP KEEP, OP '!AN23</f>
        <v>0</v>
      </c>
      <c r="S153" s="1489">
        <f t="shared" si="6"/>
        <v>0</v>
      </c>
      <c r="T153" s="1489">
        <f>'HK UP KEEP, OP '!AO23+'HK UP KEEP, OP '!AP23+'HK UP KEEP, OP '!AQ23</f>
        <v>0</v>
      </c>
      <c r="U153" s="1489">
        <f t="shared" si="7"/>
        <v>0</v>
      </c>
      <c r="V153" s="1489">
        <f t="shared" si="8"/>
        <v>30</v>
      </c>
      <c r="W153" s="1491">
        <v>2250</v>
      </c>
      <c r="X153" s="1489">
        <f t="shared" si="9"/>
        <v>67500</v>
      </c>
      <c r="Y153" s="1489"/>
      <c r="Z153" s="1489"/>
      <c r="AA153" s="1489">
        <f t="shared" si="27"/>
        <v>0</v>
      </c>
      <c r="AB153" s="1496">
        <v>2500</v>
      </c>
      <c r="AC153" s="1489">
        <f>'MASA KERJA AB'!H24</f>
        <v>10</v>
      </c>
      <c r="AD153" s="1492">
        <f>'MASA KERJA AB'!I24</f>
        <v>27000</v>
      </c>
      <c r="AE153" s="1497"/>
      <c r="AF153" s="1489"/>
      <c r="AG153" s="1489"/>
      <c r="AH153" s="1496"/>
      <c r="AI153" s="1489"/>
      <c r="AJ153" s="1496"/>
      <c r="AK153" s="1503"/>
      <c r="AL153" s="1496"/>
      <c r="AM153" s="1496"/>
      <c r="AN153" s="1489"/>
      <c r="AO153" s="1494">
        <f t="shared" si="10"/>
        <v>3971100</v>
      </c>
      <c r="AP153" s="1489">
        <f t="shared" si="20"/>
        <v>77532</v>
      </c>
      <c r="AQ153" s="1489">
        <f t="shared" si="21"/>
        <v>175997.64</v>
      </c>
      <c r="AR153" s="1489">
        <f t="shared" si="28"/>
        <v>253529.64</v>
      </c>
      <c r="AS153" s="1489">
        <f t="shared" si="22"/>
        <v>39036</v>
      </c>
      <c r="AT153" s="1489">
        <f t="shared" si="23"/>
        <v>156144</v>
      </c>
      <c r="AU153" s="1489">
        <f t="shared" si="24"/>
        <v>38766</v>
      </c>
      <c r="AV153" s="1489">
        <f t="shared" si="25"/>
        <v>77532</v>
      </c>
      <c r="AW153" s="1489">
        <f t="shared" si="29"/>
        <v>311478</v>
      </c>
      <c r="AX153" s="1492">
        <v>4000</v>
      </c>
      <c r="AY153" s="1491">
        <v>0</v>
      </c>
      <c r="AZ153" s="1489">
        <f t="shared" si="13"/>
        <v>0</v>
      </c>
      <c r="BA153" s="1489"/>
      <c r="BB153" s="1496"/>
      <c r="BC153" s="1489">
        <f t="shared" si="14"/>
        <v>3811766</v>
      </c>
      <c r="BD153" s="1495">
        <f>'HK UP KEEP, OP '!AS23</f>
        <v>0</v>
      </c>
      <c r="BE153" s="1488">
        <f>'HK UP KEEP, OP '!AT23</f>
        <v>1</v>
      </c>
      <c r="BG153" s="1551">
        <f t="shared" si="15"/>
        <v>3876600</v>
      </c>
      <c r="BH153" s="1552">
        <f t="shared" si="16"/>
        <v>0</v>
      </c>
      <c r="BI153" s="1552">
        <f t="shared" si="17"/>
        <v>129220</v>
      </c>
      <c r="BJ153" s="1551">
        <f t="shared" si="18"/>
        <v>-129220</v>
      </c>
      <c r="BK153" s="1553">
        <f t="shared" si="26"/>
        <v>4005820</v>
      </c>
      <c r="BM153" s="1553">
        <f t="shared" si="30"/>
        <v>94500</v>
      </c>
      <c r="BN153" s="1551">
        <v>30575.999999999996</v>
      </c>
      <c r="BO153" s="1551">
        <f t="shared" si="19"/>
        <v>565007.64</v>
      </c>
    </row>
    <row r="154" spans="1:69" ht="23.25" customHeight="1">
      <c r="A154" s="2048" t="s">
        <v>0</v>
      </c>
      <c r="B154" s="2048"/>
      <c r="C154" s="2048"/>
      <c r="D154" s="2048"/>
      <c r="E154" s="2048"/>
      <c r="F154" s="2048"/>
      <c r="G154" s="2048"/>
      <c r="H154" s="2048"/>
      <c r="I154" s="2048"/>
      <c r="J154" s="2048"/>
      <c r="K154" s="2048"/>
      <c r="L154" s="2048"/>
      <c r="M154" s="2048"/>
      <c r="N154" s="2048"/>
      <c r="O154" s="2048"/>
      <c r="P154" s="2048"/>
      <c r="Q154" s="2048"/>
      <c r="R154" s="2048"/>
      <c r="S154" s="2048"/>
      <c r="T154" s="2048"/>
      <c r="U154" s="2048"/>
      <c r="V154" s="2048"/>
      <c r="W154" s="2048"/>
      <c r="X154" s="2048"/>
      <c r="Y154" s="2048"/>
      <c r="Z154" s="2048"/>
      <c r="AA154" s="2048"/>
      <c r="AB154" s="2048"/>
      <c r="AC154" s="2048"/>
      <c r="AD154" s="2048"/>
      <c r="AE154" s="2048"/>
      <c r="AF154" s="2048"/>
      <c r="AG154" s="2048"/>
      <c r="AH154" s="2048"/>
      <c r="AI154" s="2048"/>
      <c r="AJ154" s="2048"/>
      <c r="AK154" s="2048"/>
      <c r="AL154" s="2048"/>
      <c r="AM154" s="2048"/>
      <c r="AN154" s="2048"/>
      <c r="AO154" s="2048"/>
      <c r="AP154" s="2048"/>
      <c r="AQ154" s="2048"/>
      <c r="AR154" s="2048"/>
      <c r="AS154" s="2048"/>
      <c r="AT154" s="2048"/>
      <c r="AU154" s="2048"/>
      <c r="AV154" s="2048"/>
      <c r="AW154" s="2048"/>
      <c r="AX154" s="2048"/>
      <c r="AY154" s="2048"/>
      <c r="AZ154" s="2048"/>
      <c r="BA154" s="2048"/>
      <c r="BB154" s="2048"/>
      <c r="BC154" s="2048"/>
      <c r="BD154" s="2048"/>
      <c r="BE154" s="2048"/>
    </row>
    <row r="155" spans="1:69" ht="26.25" customHeight="1">
      <c r="A155" s="2049" t="s">
        <v>1033</v>
      </c>
      <c r="B155" s="2049"/>
      <c r="C155" s="2049"/>
      <c r="D155" s="2049"/>
      <c r="E155" s="2049"/>
      <c r="F155" s="2049"/>
      <c r="G155" s="2049"/>
      <c r="H155" s="2049"/>
      <c r="I155" s="2049"/>
      <c r="J155" s="2049"/>
      <c r="K155" s="2049"/>
      <c r="L155" s="2049"/>
      <c r="M155" s="2049"/>
      <c r="N155" s="2049"/>
      <c r="O155" s="2049"/>
      <c r="P155" s="2049"/>
      <c r="Q155" s="2049"/>
      <c r="R155" s="2049"/>
      <c r="S155" s="2049"/>
      <c r="T155" s="2049"/>
      <c r="U155" s="2049"/>
      <c r="V155" s="2049"/>
      <c r="W155" s="2049"/>
      <c r="X155" s="2049"/>
      <c r="Y155" s="2049"/>
      <c r="Z155" s="2049"/>
      <c r="AA155" s="2049"/>
      <c r="AB155" s="2049"/>
      <c r="AC155" s="2049"/>
      <c r="AD155" s="2049"/>
      <c r="AE155" s="2049"/>
      <c r="AF155" s="2049"/>
      <c r="AG155" s="2049"/>
      <c r="AH155" s="2049"/>
      <c r="AI155" s="2049"/>
      <c r="AJ155" s="2049"/>
      <c r="AK155" s="2049"/>
      <c r="AL155" s="2049"/>
      <c r="AM155" s="2049"/>
      <c r="AN155" s="2049"/>
      <c r="AO155" s="2049"/>
      <c r="AP155" s="2049"/>
      <c r="AQ155" s="2049"/>
      <c r="AR155" s="2049"/>
      <c r="AS155" s="2049"/>
      <c r="AT155" s="2049"/>
      <c r="AU155" s="2049"/>
      <c r="AV155" s="2049"/>
      <c r="AW155" s="2049"/>
      <c r="AX155" s="2049"/>
      <c r="AY155" s="2049"/>
      <c r="AZ155" s="2049"/>
      <c r="BA155" s="2049"/>
      <c r="BB155" s="2049"/>
      <c r="BC155" s="2049"/>
      <c r="BD155" s="2049"/>
      <c r="BE155" s="2049"/>
    </row>
    <row r="156" spans="1:69" s="1523" customFormat="1" ht="18.75" customHeight="1">
      <c r="C156" s="1554"/>
      <c r="D156" s="1523" t="s">
        <v>964</v>
      </c>
      <c r="F156" s="1555"/>
      <c r="G156" s="1555"/>
      <c r="X156" s="1556"/>
      <c r="AE156" s="1532"/>
      <c r="AK156" s="1557"/>
      <c r="AP156" s="1558">
        <v>3876600</v>
      </c>
      <c r="AQ156" s="1559">
        <f>AP156/30</f>
        <v>129220</v>
      </c>
      <c r="AR156" s="1559">
        <f>AP156/173*1.5</f>
        <v>33612.138728323698</v>
      </c>
      <c r="AS156" s="1559">
        <f>AP156/173*2</f>
        <v>44816.184971098264</v>
      </c>
      <c r="AW156" s="1532" t="s">
        <v>55</v>
      </c>
      <c r="AX156" s="1523" t="s">
        <v>152</v>
      </c>
      <c r="BC156" s="1531"/>
      <c r="BE156" s="1532"/>
      <c r="BG156" s="1555"/>
      <c r="BH156" s="1560"/>
      <c r="BI156" s="1560"/>
      <c r="BJ156" s="1555"/>
      <c r="BK156" s="1561"/>
      <c r="BL156" s="1561"/>
      <c r="BM156" s="1561"/>
      <c r="BN156" s="1555"/>
      <c r="BO156" s="1555"/>
    </row>
    <row r="157" spans="1:69" ht="15" customHeight="1" thickBot="1">
      <c r="A157" s="1547"/>
      <c r="D157" s="1563"/>
      <c r="E157" s="1563"/>
      <c r="F157" s="1564"/>
      <c r="G157" s="1564"/>
      <c r="H157" s="1563"/>
      <c r="I157" s="1563"/>
      <c r="J157" s="1563"/>
      <c r="K157" s="1563"/>
      <c r="L157" s="1563"/>
      <c r="M157" s="1563"/>
      <c r="N157" s="1563"/>
      <c r="O157" s="1563"/>
      <c r="Q157" s="1563"/>
      <c r="R157" s="1563"/>
      <c r="S157" s="1563"/>
      <c r="T157" s="1563"/>
      <c r="U157" s="1563"/>
      <c r="V157" s="1563"/>
      <c r="W157" s="1563"/>
      <c r="X157" s="1563"/>
      <c r="Y157" s="1563"/>
      <c r="Z157" s="1563"/>
      <c r="AA157" s="1563"/>
      <c r="AB157" s="1563"/>
      <c r="AC157" s="1563"/>
      <c r="AD157" s="1547"/>
      <c r="AE157" s="1563"/>
      <c r="AF157" s="1563"/>
      <c r="AG157" s="1563"/>
      <c r="AH157" s="1563"/>
      <c r="AI157" s="1563"/>
      <c r="AJ157" s="1563"/>
      <c r="AK157" s="1565"/>
      <c r="AL157" s="1563"/>
      <c r="AM157" s="1563"/>
      <c r="AO157" s="1563"/>
      <c r="AP157" s="1558">
        <v>3876600</v>
      </c>
      <c r="AQ157" s="1566">
        <f>AP157/30</f>
        <v>129220</v>
      </c>
      <c r="AR157" s="1567"/>
      <c r="AS157" s="1568">
        <f>AP157+24000</f>
        <v>3900600</v>
      </c>
    </row>
    <row r="158" spans="1:69" s="1523" customFormat="1" ht="15.75" customHeight="1">
      <c r="A158" s="2050" t="s">
        <v>5</v>
      </c>
      <c r="B158" s="2053" t="s">
        <v>6</v>
      </c>
      <c r="C158" s="2056" t="s">
        <v>52</v>
      </c>
      <c r="D158" s="1569"/>
      <c r="E158" s="1569"/>
      <c r="F158" s="1570"/>
      <c r="G158" s="1570"/>
      <c r="H158" s="2059" t="s">
        <v>2</v>
      </c>
      <c r="I158" s="2060"/>
      <c r="J158" s="2060"/>
      <c r="K158" s="2060"/>
      <c r="L158" s="2060"/>
      <c r="M158" s="2060"/>
      <c r="N158" s="2060"/>
      <c r="O158" s="2060"/>
      <c r="P158" s="2060"/>
      <c r="Q158" s="2060"/>
      <c r="R158" s="2060"/>
      <c r="S158" s="2060"/>
      <c r="T158" s="2060"/>
      <c r="U158" s="2061"/>
      <c r="V158" s="2056" t="s">
        <v>286</v>
      </c>
      <c r="W158" s="2059" t="s">
        <v>3</v>
      </c>
      <c r="X158" s="2060"/>
      <c r="Y158" s="2060"/>
      <c r="Z158" s="2060"/>
      <c r="AA158" s="2060"/>
      <c r="AB158" s="2060"/>
      <c r="AC158" s="2060"/>
      <c r="AD158" s="2061"/>
      <c r="AE158" s="2042" t="s">
        <v>45</v>
      </c>
      <c r="AF158" s="2063" t="s">
        <v>46</v>
      </c>
      <c r="AG158" s="2064"/>
      <c r="AH158" s="2064"/>
      <c r="AI158" s="2064"/>
      <c r="AJ158" s="2064"/>
      <c r="AK158" s="2064"/>
      <c r="AL158" s="2065"/>
      <c r="AM158" s="2045" t="s">
        <v>98</v>
      </c>
      <c r="AN158" s="2056" t="s">
        <v>44</v>
      </c>
      <c r="AO158" s="1533" t="s">
        <v>4</v>
      </c>
      <c r="AP158" s="2036" t="s">
        <v>20</v>
      </c>
      <c r="AQ158" s="2037"/>
      <c r="AR158" s="2038"/>
      <c r="AS158" s="2036" t="s">
        <v>54</v>
      </c>
      <c r="AT158" s="2037"/>
      <c r="AU158" s="2037"/>
      <c r="AV158" s="2037"/>
      <c r="AW158" s="2037"/>
      <c r="AX158" s="1571"/>
      <c r="AY158" s="2042" t="s">
        <v>89</v>
      </c>
      <c r="AZ158" s="2045" t="s">
        <v>97</v>
      </c>
      <c r="BA158" s="2045" t="s">
        <v>719</v>
      </c>
      <c r="BB158" s="2045" t="s">
        <v>210</v>
      </c>
      <c r="BC158" s="1539" t="s">
        <v>4</v>
      </c>
      <c r="BD158" s="2063" t="s">
        <v>41</v>
      </c>
      <c r="BE158" s="2084"/>
      <c r="BG158" s="1555"/>
      <c r="BH158" s="1560"/>
      <c r="BI158" s="1560"/>
      <c r="BJ158" s="1555"/>
      <c r="BK158" s="1561"/>
      <c r="BL158" s="1561"/>
      <c r="BM158" s="1561"/>
      <c r="BN158" s="1555"/>
      <c r="BO158" s="1555"/>
    </row>
    <row r="159" spans="1:69" s="1523" customFormat="1" ht="25.5" customHeight="1">
      <c r="A159" s="2051"/>
      <c r="B159" s="2054"/>
      <c r="C159" s="2057"/>
      <c r="D159" s="1519" t="s">
        <v>7</v>
      </c>
      <c r="E159" s="1519" t="s">
        <v>8</v>
      </c>
      <c r="F159" s="1572" t="s">
        <v>9</v>
      </c>
      <c r="G159" s="1572" t="s">
        <v>9</v>
      </c>
      <c r="H159" s="2071" t="s">
        <v>10</v>
      </c>
      <c r="I159" s="2072"/>
      <c r="J159" s="2071" t="s">
        <v>11</v>
      </c>
      <c r="K159" s="2072"/>
      <c r="L159" s="2071" t="s">
        <v>12</v>
      </c>
      <c r="M159" s="2072"/>
      <c r="N159" s="2071" t="s">
        <v>13</v>
      </c>
      <c r="O159" s="2072"/>
      <c r="P159" s="2071" t="s">
        <v>14</v>
      </c>
      <c r="Q159" s="2072"/>
      <c r="R159" s="2087" t="s">
        <v>15</v>
      </c>
      <c r="S159" s="2088"/>
      <c r="T159" s="2071" t="s">
        <v>16</v>
      </c>
      <c r="U159" s="2072"/>
      <c r="V159" s="2057"/>
      <c r="W159" s="2071" t="s">
        <v>17</v>
      </c>
      <c r="X159" s="2072"/>
      <c r="Y159" s="2071" t="s">
        <v>18</v>
      </c>
      <c r="Z159" s="2081"/>
      <c r="AA159" s="2072"/>
      <c r="AB159" s="2071" t="s">
        <v>19</v>
      </c>
      <c r="AC159" s="2081"/>
      <c r="AD159" s="2072"/>
      <c r="AE159" s="2043"/>
      <c r="AF159" s="2066"/>
      <c r="AG159" s="2067"/>
      <c r="AH159" s="2067"/>
      <c r="AI159" s="2067"/>
      <c r="AJ159" s="2067"/>
      <c r="AK159" s="2067"/>
      <c r="AL159" s="2068"/>
      <c r="AM159" s="2046"/>
      <c r="AN159" s="2057"/>
      <c r="AO159" s="1534" t="s">
        <v>9</v>
      </c>
      <c r="AP159" s="2039"/>
      <c r="AQ159" s="2040"/>
      <c r="AR159" s="2041"/>
      <c r="AS159" s="2039"/>
      <c r="AT159" s="2040"/>
      <c r="AU159" s="2040"/>
      <c r="AV159" s="2040"/>
      <c r="AW159" s="2040"/>
      <c r="AX159" s="1534" t="s">
        <v>21</v>
      </c>
      <c r="AY159" s="2043"/>
      <c r="AZ159" s="2046"/>
      <c r="BA159" s="2046"/>
      <c r="BB159" s="2046"/>
      <c r="BC159" s="1540" t="s">
        <v>9</v>
      </c>
      <c r="BD159" s="2085"/>
      <c r="BE159" s="2086"/>
      <c r="BG159" s="1573"/>
      <c r="BH159" s="1573"/>
      <c r="BI159" s="1573"/>
      <c r="BJ159" s="1555"/>
      <c r="BK159" s="1561"/>
      <c r="BL159" s="1561"/>
      <c r="BM159" s="1561"/>
      <c r="BN159" s="1555"/>
      <c r="BO159" s="1555"/>
    </row>
    <row r="160" spans="1:69" s="1523" customFormat="1" ht="63" customHeight="1">
      <c r="A160" s="2051"/>
      <c r="B160" s="2054"/>
      <c r="C160" s="2057"/>
      <c r="D160" s="1519" t="s">
        <v>22</v>
      </c>
      <c r="E160" s="1519" t="s">
        <v>23</v>
      </c>
      <c r="F160" s="1572" t="s">
        <v>24</v>
      </c>
      <c r="G160" s="1572" t="s">
        <v>25</v>
      </c>
      <c r="H160" s="2069" t="s">
        <v>4</v>
      </c>
      <c r="I160" s="2070"/>
      <c r="J160" s="2069" t="s">
        <v>4</v>
      </c>
      <c r="K160" s="2070"/>
      <c r="L160" s="2069" t="s">
        <v>4</v>
      </c>
      <c r="M160" s="2070"/>
      <c r="N160" s="2069" t="s">
        <v>4</v>
      </c>
      <c r="O160" s="2070"/>
      <c r="P160" s="2069" t="s">
        <v>4</v>
      </c>
      <c r="Q160" s="2070"/>
      <c r="R160" s="2082" t="s">
        <v>4</v>
      </c>
      <c r="S160" s="2083"/>
      <c r="T160" s="2069" t="s">
        <v>4</v>
      </c>
      <c r="U160" s="2070"/>
      <c r="V160" s="2057"/>
      <c r="W160" s="1534" t="s">
        <v>27</v>
      </c>
      <c r="X160" s="1574" t="s">
        <v>28</v>
      </c>
      <c r="Y160" s="1534" t="s">
        <v>27</v>
      </c>
      <c r="Z160" s="2069" t="s">
        <v>4</v>
      </c>
      <c r="AA160" s="2070"/>
      <c r="AB160" s="1534" t="s">
        <v>27</v>
      </c>
      <c r="AC160" s="2071" t="s">
        <v>4</v>
      </c>
      <c r="AD160" s="2072"/>
      <c r="AE160" s="2062"/>
      <c r="AF160" s="1575" t="s">
        <v>56</v>
      </c>
      <c r="AG160" s="1575" t="s">
        <v>57</v>
      </c>
      <c r="AH160" s="1575" t="s">
        <v>60</v>
      </c>
      <c r="AI160" s="1575" t="s">
        <v>202</v>
      </c>
      <c r="AJ160" s="1575" t="s">
        <v>218</v>
      </c>
      <c r="AK160" s="1575" t="s">
        <v>572</v>
      </c>
      <c r="AL160" s="1575" t="s">
        <v>288</v>
      </c>
      <c r="AM160" s="2089"/>
      <c r="AN160" s="2090"/>
      <c r="AO160" s="1534" t="s">
        <v>29</v>
      </c>
      <c r="AP160" s="1519" t="s">
        <v>30</v>
      </c>
      <c r="AQ160" s="1519" t="s">
        <v>31</v>
      </c>
      <c r="AR160" s="1519" t="s">
        <v>4</v>
      </c>
      <c r="AS160" s="1576" t="s">
        <v>30</v>
      </c>
      <c r="AT160" s="1574" t="s">
        <v>31</v>
      </c>
      <c r="AU160" s="1574" t="s">
        <v>30</v>
      </c>
      <c r="AV160" s="1574" t="s">
        <v>31</v>
      </c>
      <c r="AW160" s="1577" t="s">
        <v>4</v>
      </c>
      <c r="AX160" s="1534" t="s">
        <v>32</v>
      </c>
      <c r="AY160" s="2043"/>
      <c r="AZ160" s="2046"/>
      <c r="BA160" s="2046"/>
      <c r="BB160" s="2046"/>
      <c r="BC160" s="1540" t="s">
        <v>33</v>
      </c>
      <c r="BD160" s="2073" t="s">
        <v>42</v>
      </c>
      <c r="BE160" s="2075" t="s">
        <v>43</v>
      </c>
      <c r="BG160" s="1573"/>
      <c r="BH160" s="1578"/>
      <c r="BI160" s="1578"/>
      <c r="BJ160" s="1555"/>
      <c r="BK160" s="1561"/>
      <c r="BL160" s="1561"/>
      <c r="BM160" s="1561"/>
      <c r="BN160" s="1555"/>
      <c r="BO160" s="1555"/>
    </row>
    <row r="161" spans="1:72" s="1523" customFormat="1" ht="21" customHeight="1" thickBot="1">
      <c r="A161" s="2052"/>
      <c r="B161" s="2055"/>
      <c r="C161" s="2058"/>
      <c r="D161" s="1520"/>
      <c r="E161" s="1520"/>
      <c r="F161" s="1579" t="s">
        <v>34</v>
      </c>
      <c r="G161" s="1580" t="s">
        <v>34</v>
      </c>
      <c r="H161" s="1581" t="s">
        <v>8</v>
      </c>
      <c r="I161" s="1582" t="s">
        <v>34</v>
      </c>
      <c r="J161" s="1581" t="s">
        <v>8</v>
      </c>
      <c r="K161" s="1582" t="s">
        <v>34</v>
      </c>
      <c r="L161" s="1581" t="s">
        <v>8</v>
      </c>
      <c r="M161" s="1582" t="s">
        <v>34</v>
      </c>
      <c r="N161" s="1581" t="s">
        <v>8</v>
      </c>
      <c r="O161" s="1582" t="s">
        <v>34</v>
      </c>
      <c r="P161" s="1581" t="s">
        <v>8</v>
      </c>
      <c r="Q161" s="1582" t="s">
        <v>34</v>
      </c>
      <c r="R161" s="1581" t="s">
        <v>8</v>
      </c>
      <c r="S161" s="1582" t="s">
        <v>34</v>
      </c>
      <c r="T161" s="1581" t="s">
        <v>8</v>
      </c>
      <c r="U161" s="1582" t="s">
        <v>34</v>
      </c>
      <c r="V161" s="2058"/>
      <c r="W161" s="1581" t="s">
        <v>26</v>
      </c>
      <c r="X161" s="1581" t="s">
        <v>34</v>
      </c>
      <c r="Y161" s="1581" t="s">
        <v>26</v>
      </c>
      <c r="Z161" s="1581" t="s">
        <v>26</v>
      </c>
      <c r="AA161" s="1581" t="s">
        <v>34</v>
      </c>
      <c r="AB161" s="1581" t="s">
        <v>26</v>
      </c>
      <c r="AC161" s="1581" t="s">
        <v>35</v>
      </c>
      <c r="AD161" s="1581" t="s">
        <v>34</v>
      </c>
      <c r="AE161" s="1581" t="s">
        <v>34</v>
      </c>
      <c r="AF161" s="1582" t="s">
        <v>34</v>
      </c>
      <c r="AG161" s="1582" t="s">
        <v>34</v>
      </c>
      <c r="AH161" s="1582" t="s">
        <v>34</v>
      </c>
      <c r="AI161" s="1582" t="s">
        <v>34</v>
      </c>
      <c r="AJ161" s="1582" t="s">
        <v>34</v>
      </c>
      <c r="AK161" s="1582" t="s">
        <v>34</v>
      </c>
      <c r="AL161" s="1582" t="s">
        <v>34</v>
      </c>
      <c r="AM161" s="1582" t="s">
        <v>34</v>
      </c>
      <c r="AN161" s="1581" t="s">
        <v>34</v>
      </c>
      <c r="AO161" s="1582" t="s">
        <v>34</v>
      </c>
      <c r="AP161" s="1582" t="s">
        <v>34</v>
      </c>
      <c r="AQ161" s="1582" t="s">
        <v>34</v>
      </c>
      <c r="AR161" s="1582" t="s">
        <v>34</v>
      </c>
      <c r="AS161" s="1581" t="s">
        <v>58</v>
      </c>
      <c r="AT161" s="1582" t="s">
        <v>34</v>
      </c>
      <c r="AU161" s="1582" t="s">
        <v>59</v>
      </c>
      <c r="AV161" s="1582" t="s">
        <v>34</v>
      </c>
      <c r="AW161" s="1583" t="s">
        <v>34</v>
      </c>
      <c r="AX161" s="1537"/>
      <c r="AY161" s="2044"/>
      <c r="AZ161" s="2047"/>
      <c r="BA161" s="2047"/>
      <c r="BB161" s="2047"/>
      <c r="BC161" s="1541" t="s">
        <v>34</v>
      </c>
      <c r="BD161" s="2074"/>
      <c r="BE161" s="2076"/>
      <c r="BG161" s="1555" t="s">
        <v>353</v>
      </c>
      <c r="BH161" s="1578" t="s">
        <v>43</v>
      </c>
      <c r="BI161" s="1578" t="s">
        <v>42</v>
      </c>
      <c r="BJ161" s="1555" t="s">
        <v>354</v>
      </c>
      <c r="BK161" s="1561" t="s">
        <v>358</v>
      </c>
      <c r="BL161" s="1561"/>
      <c r="BM161" s="1561" t="s">
        <v>625</v>
      </c>
      <c r="BN161" s="1555" t="s">
        <v>626</v>
      </c>
      <c r="BO161" s="1555" t="s">
        <v>627</v>
      </c>
      <c r="BQ161" s="1523" t="s">
        <v>685</v>
      </c>
    </row>
    <row r="162" spans="1:72" s="1587" customFormat="1" ht="102" customHeight="1" thickBot="1">
      <c r="A162" s="1584" t="s">
        <v>79</v>
      </c>
      <c r="B162" s="1489" t="s">
        <v>36</v>
      </c>
      <c r="C162" s="1585" t="s">
        <v>125</v>
      </c>
      <c r="D162" s="1590" t="s">
        <v>194</v>
      </c>
      <c r="E162" s="1489">
        <f>'HK UP KEEP, OP '!AH24</f>
        <v>24</v>
      </c>
      <c r="F162" s="1490">
        <v>129220</v>
      </c>
      <c r="G162" s="1490">
        <f t="shared" si="0"/>
        <v>3101280</v>
      </c>
      <c r="H162" s="1489">
        <f>'HK UP KEEP, OP '!AI24</f>
        <v>0</v>
      </c>
      <c r="I162" s="1489">
        <f t="shared" si="1"/>
        <v>0</v>
      </c>
      <c r="J162" s="1489">
        <f>'HK UP KEEP, OP '!AJ24</f>
        <v>0</v>
      </c>
      <c r="K162" s="1489">
        <f t="shared" si="2"/>
        <v>0</v>
      </c>
      <c r="L162" s="1489">
        <f>'HK UP KEEP, OP '!AK24</f>
        <v>0</v>
      </c>
      <c r="M162" s="1489">
        <f t="shared" si="3"/>
        <v>0</v>
      </c>
      <c r="N162" s="1489">
        <f>'HK UP KEEP, OP '!AL24</f>
        <v>4</v>
      </c>
      <c r="O162" s="1489">
        <f t="shared" si="4"/>
        <v>516880</v>
      </c>
      <c r="P162" s="1489">
        <f>'HK UP KEEP, OP '!AM24</f>
        <v>3</v>
      </c>
      <c r="Q162" s="1489">
        <f t="shared" si="5"/>
        <v>387660</v>
      </c>
      <c r="R162" s="1489">
        <f>'HK UP KEEP, OP '!AN24</f>
        <v>0</v>
      </c>
      <c r="S162" s="1489">
        <f t="shared" si="6"/>
        <v>0</v>
      </c>
      <c r="T162" s="1489">
        <f>'HK UP KEEP, OP '!AO24+'HK UP KEEP, OP '!AP24+'HK UP KEEP, OP '!AQ24</f>
        <v>0</v>
      </c>
      <c r="U162" s="1489">
        <f t="shared" si="7"/>
        <v>0</v>
      </c>
      <c r="V162" s="1489">
        <f t="shared" si="8"/>
        <v>31</v>
      </c>
      <c r="W162" s="1491">
        <v>5550</v>
      </c>
      <c r="X162" s="1489">
        <f t="shared" si="9"/>
        <v>172050</v>
      </c>
      <c r="Y162" s="1489"/>
      <c r="Z162" s="1489"/>
      <c r="AA162" s="1489">
        <f t="shared" si="27"/>
        <v>0</v>
      </c>
      <c r="AB162" s="1496">
        <v>2500</v>
      </c>
      <c r="AC162" s="1489">
        <f>'MASA KERJA AB'!H25</f>
        <v>16</v>
      </c>
      <c r="AD162" s="1492">
        <f>'MASA KERJA AB'!I25</f>
        <v>43500</v>
      </c>
      <c r="AE162" s="1497"/>
      <c r="AF162" s="1489"/>
      <c r="AG162" s="1489"/>
      <c r="AH162" s="1496"/>
      <c r="AI162" s="1489"/>
      <c r="AJ162" s="1496"/>
      <c r="AK162" s="1503"/>
      <c r="AL162" s="1496"/>
      <c r="AM162" s="1496"/>
      <c r="AN162" s="1489"/>
      <c r="AO162" s="1494">
        <f t="shared" si="10"/>
        <v>4221370</v>
      </c>
      <c r="AP162" s="1489">
        <f t="shared" si="20"/>
        <v>77532</v>
      </c>
      <c r="AQ162" s="1489">
        <f t="shared" si="21"/>
        <v>175997.64</v>
      </c>
      <c r="AR162" s="1489">
        <f t="shared" si="28"/>
        <v>253529.64</v>
      </c>
      <c r="AS162" s="1489">
        <f t="shared" si="22"/>
        <v>39201</v>
      </c>
      <c r="AT162" s="1489">
        <f t="shared" si="23"/>
        <v>156804</v>
      </c>
      <c r="AU162" s="1489">
        <f t="shared" si="24"/>
        <v>38766</v>
      </c>
      <c r="AV162" s="1489">
        <f t="shared" si="25"/>
        <v>77532</v>
      </c>
      <c r="AW162" s="1489">
        <f t="shared" si="29"/>
        <v>312303</v>
      </c>
      <c r="AX162" s="1492">
        <v>4000</v>
      </c>
      <c r="AY162" s="1491">
        <v>0</v>
      </c>
      <c r="AZ162" s="1489">
        <f t="shared" si="13"/>
        <v>0</v>
      </c>
      <c r="BA162" s="1489"/>
      <c r="BB162" s="1496"/>
      <c r="BC162" s="1489">
        <f t="shared" si="14"/>
        <v>4061871</v>
      </c>
      <c r="BD162" s="1495">
        <f>'HK UP KEEP, OP '!AS24</f>
        <v>0</v>
      </c>
      <c r="BE162" s="1488">
        <f>'HK UP KEEP, OP '!AT24</f>
        <v>0</v>
      </c>
      <c r="BG162" s="1551">
        <f t="shared" si="15"/>
        <v>4005820</v>
      </c>
      <c r="BH162" s="1552">
        <f t="shared" si="16"/>
        <v>0</v>
      </c>
      <c r="BI162" s="1552">
        <f t="shared" si="17"/>
        <v>0</v>
      </c>
      <c r="BJ162" s="1551">
        <f t="shared" si="18"/>
        <v>0</v>
      </c>
      <c r="BK162" s="1553">
        <f t="shared" si="26"/>
        <v>4005820</v>
      </c>
      <c r="BL162" s="1553"/>
      <c r="BM162" s="1553">
        <f t="shared" si="30"/>
        <v>215550</v>
      </c>
      <c r="BN162" s="1551">
        <v>30575.999999999996</v>
      </c>
      <c r="BO162" s="1551">
        <f t="shared" si="19"/>
        <v>565832.64</v>
      </c>
      <c r="BS162" s="1589"/>
      <c r="BT162" s="1589"/>
    </row>
    <row r="163" spans="1:72" ht="23.25" customHeight="1">
      <c r="A163" s="2048" t="s">
        <v>0</v>
      </c>
      <c r="B163" s="2048"/>
      <c r="C163" s="2048"/>
      <c r="D163" s="2048"/>
      <c r="E163" s="2048"/>
      <c r="F163" s="2048"/>
      <c r="G163" s="2048"/>
      <c r="H163" s="2048"/>
      <c r="I163" s="2048"/>
      <c r="J163" s="2048"/>
      <c r="K163" s="2048"/>
      <c r="L163" s="2048"/>
      <c r="M163" s="2048"/>
      <c r="N163" s="2048"/>
      <c r="O163" s="2048"/>
      <c r="P163" s="2048"/>
      <c r="Q163" s="2048"/>
      <c r="R163" s="2048"/>
      <c r="S163" s="2048"/>
      <c r="T163" s="2048"/>
      <c r="U163" s="2048"/>
      <c r="V163" s="2048"/>
      <c r="W163" s="2048"/>
      <c r="X163" s="2048"/>
      <c r="Y163" s="2048"/>
      <c r="Z163" s="2048"/>
      <c r="AA163" s="2048"/>
      <c r="AB163" s="2048"/>
      <c r="AC163" s="2048"/>
      <c r="AD163" s="2048"/>
      <c r="AE163" s="2048"/>
      <c r="AF163" s="2048"/>
      <c r="AG163" s="2048"/>
      <c r="AH163" s="2048"/>
      <c r="AI163" s="2048"/>
      <c r="AJ163" s="2048"/>
      <c r="AK163" s="2048"/>
      <c r="AL163" s="2048"/>
      <c r="AM163" s="2048"/>
      <c r="AN163" s="2048"/>
      <c r="AO163" s="2048"/>
      <c r="AP163" s="2048"/>
      <c r="AQ163" s="2048"/>
      <c r="AR163" s="2048"/>
      <c r="AS163" s="2048"/>
      <c r="AT163" s="2048"/>
      <c r="AU163" s="2048"/>
      <c r="AV163" s="2048"/>
      <c r="AW163" s="2048"/>
      <c r="AX163" s="2048"/>
      <c r="AY163" s="2048"/>
      <c r="AZ163" s="2048"/>
      <c r="BA163" s="2048"/>
      <c r="BB163" s="2048"/>
      <c r="BC163" s="2048"/>
      <c r="BD163" s="2048"/>
      <c r="BE163" s="2048"/>
    </row>
    <row r="164" spans="1:72" ht="26.25" customHeight="1">
      <c r="A164" s="2049" t="s">
        <v>1033</v>
      </c>
      <c r="B164" s="2049"/>
      <c r="C164" s="2049"/>
      <c r="D164" s="2049"/>
      <c r="E164" s="2049"/>
      <c r="F164" s="2049"/>
      <c r="G164" s="2049"/>
      <c r="H164" s="2049"/>
      <c r="I164" s="2049"/>
      <c r="J164" s="2049"/>
      <c r="K164" s="2049"/>
      <c r="L164" s="2049"/>
      <c r="M164" s="2049"/>
      <c r="N164" s="2049"/>
      <c r="O164" s="2049"/>
      <c r="P164" s="2049"/>
      <c r="Q164" s="2049"/>
      <c r="R164" s="2049"/>
      <c r="S164" s="2049"/>
      <c r="T164" s="2049"/>
      <c r="U164" s="2049"/>
      <c r="V164" s="2049"/>
      <c r="W164" s="2049"/>
      <c r="X164" s="2049"/>
      <c r="Y164" s="2049"/>
      <c r="Z164" s="2049"/>
      <c r="AA164" s="2049"/>
      <c r="AB164" s="2049"/>
      <c r="AC164" s="2049"/>
      <c r="AD164" s="2049"/>
      <c r="AE164" s="2049"/>
      <c r="AF164" s="2049"/>
      <c r="AG164" s="2049"/>
      <c r="AH164" s="2049"/>
      <c r="AI164" s="2049"/>
      <c r="AJ164" s="2049"/>
      <c r="AK164" s="2049"/>
      <c r="AL164" s="2049"/>
      <c r="AM164" s="2049"/>
      <c r="AN164" s="2049"/>
      <c r="AO164" s="2049"/>
      <c r="AP164" s="2049"/>
      <c r="AQ164" s="2049"/>
      <c r="AR164" s="2049"/>
      <c r="AS164" s="2049"/>
      <c r="AT164" s="2049"/>
      <c r="AU164" s="2049"/>
      <c r="AV164" s="2049"/>
      <c r="AW164" s="2049"/>
      <c r="AX164" s="2049"/>
      <c r="AY164" s="2049"/>
      <c r="AZ164" s="2049"/>
      <c r="BA164" s="2049"/>
      <c r="BB164" s="2049"/>
      <c r="BC164" s="2049"/>
      <c r="BD164" s="2049"/>
      <c r="BE164" s="2049"/>
    </row>
    <row r="165" spans="1:72" s="1523" customFormat="1" ht="18.75" customHeight="1">
      <c r="C165" s="1554"/>
      <c r="D165" s="1523" t="s">
        <v>964</v>
      </c>
      <c r="F165" s="1555"/>
      <c r="G165" s="1555"/>
      <c r="X165" s="1556"/>
      <c r="AE165" s="1532"/>
      <c r="AK165" s="1557"/>
      <c r="AP165" s="1558">
        <v>3876600</v>
      </c>
      <c r="AQ165" s="1559">
        <f>AP165/30</f>
        <v>129220</v>
      </c>
      <c r="AR165" s="1559">
        <f>AP165/173*1.5</f>
        <v>33612.138728323698</v>
      </c>
      <c r="AS165" s="1559">
        <f>AP165/173*2</f>
        <v>44816.184971098264</v>
      </c>
      <c r="AW165" s="1532" t="s">
        <v>55</v>
      </c>
      <c r="AX165" s="1523" t="s">
        <v>152</v>
      </c>
      <c r="BC165" s="1531"/>
      <c r="BE165" s="1532"/>
      <c r="BG165" s="1555"/>
      <c r="BH165" s="1560"/>
      <c r="BI165" s="1560"/>
      <c r="BJ165" s="1555"/>
      <c r="BK165" s="1561"/>
      <c r="BL165" s="1561"/>
      <c r="BM165" s="1561"/>
      <c r="BN165" s="1555"/>
      <c r="BO165" s="1555"/>
    </row>
    <row r="166" spans="1:72" ht="15" customHeight="1" thickBot="1">
      <c r="A166" s="1547"/>
      <c r="D166" s="1563"/>
      <c r="E166" s="1563"/>
      <c r="F166" s="1564"/>
      <c r="G166" s="1564"/>
      <c r="H166" s="1563"/>
      <c r="I166" s="1563"/>
      <c r="J166" s="1563"/>
      <c r="K166" s="1563"/>
      <c r="L166" s="1563"/>
      <c r="M166" s="1563"/>
      <c r="N166" s="1563"/>
      <c r="O166" s="1563"/>
      <c r="Q166" s="1563"/>
      <c r="R166" s="1563"/>
      <c r="S166" s="1563"/>
      <c r="T166" s="1563"/>
      <c r="U166" s="1563"/>
      <c r="V166" s="1563"/>
      <c r="W166" s="1563"/>
      <c r="X166" s="1563"/>
      <c r="Y166" s="1563"/>
      <c r="Z166" s="1563"/>
      <c r="AA166" s="1563"/>
      <c r="AB166" s="1563"/>
      <c r="AC166" s="1563"/>
      <c r="AD166" s="1547"/>
      <c r="AE166" s="1563"/>
      <c r="AF166" s="1563"/>
      <c r="AG166" s="1563"/>
      <c r="AH166" s="1563"/>
      <c r="AI166" s="1563"/>
      <c r="AJ166" s="1563"/>
      <c r="AK166" s="1565"/>
      <c r="AL166" s="1563"/>
      <c r="AM166" s="1563"/>
      <c r="AO166" s="1563"/>
      <c r="AP166" s="1558">
        <v>3876600</v>
      </c>
      <c r="AQ166" s="1566">
        <f>AP166/30</f>
        <v>129220</v>
      </c>
      <c r="AR166" s="1567"/>
      <c r="AS166" s="1568">
        <f>AP166+24000</f>
        <v>3900600</v>
      </c>
    </row>
    <row r="167" spans="1:72" s="1523" customFormat="1" ht="15.75" customHeight="1">
      <c r="A167" s="2050" t="s">
        <v>5</v>
      </c>
      <c r="B167" s="2053" t="s">
        <v>6</v>
      </c>
      <c r="C167" s="2056" t="s">
        <v>52</v>
      </c>
      <c r="D167" s="1569"/>
      <c r="E167" s="1569"/>
      <c r="F167" s="1570"/>
      <c r="G167" s="1570"/>
      <c r="H167" s="2059" t="s">
        <v>2</v>
      </c>
      <c r="I167" s="2060"/>
      <c r="J167" s="2060"/>
      <c r="K167" s="2060"/>
      <c r="L167" s="2060"/>
      <c r="M167" s="2060"/>
      <c r="N167" s="2060"/>
      <c r="O167" s="2060"/>
      <c r="P167" s="2060"/>
      <c r="Q167" s="2060"/>
      <c r="R167" s="2060"/>
      <c r="S167" s="2060"/>
      <c r="T167" s="2060"/>
      <c r="U167" s="2061"/>
      <c r="V167" s="2056" t="s">
        <v>286</v>
      </c>
      <c r="W167" s="2059" t="s">
        <v>3</v>
      </c>
      <c r="X167" s="2060"/>
      <c r="Y167" s="2060"/>
      <c r="Z167" s="2060"/>
      <c r="AA167" s="2060"/>
      <c r="AB167" s="2060"/>
      <c r="AC167" s="2060"/>
      <c r="AD167" s="2061"/>
      <c r="AE167" s="2042" t="s">
        <v>45</v>
      </c>
      <c r="AF167" s="2063" t="s">
        <v>46</v>
      </c>
      <c r="AG167" s="2064"/>
      <c r="AH167" s="2064"/>
      <c r="AI167" s="2064"/>
      <c r="AJ167" s="2064"/>
      <c r="AK167" s="2064"/>
      <c r="AL167" s="2065"/>
      <c r="AM167" s="2045" t="s">
        <v>98</v>
      </c>
      <c r="AN167" s="2056" t="s">
        <v>44</v>
      </c>
      <c r="AO167" s="1533" t="s">
        <v>4</v>
      </c>
      <c r="AP167" s="2036" t="s">
        <v>20</v>
      </c>
      <c r="AQ167" s="2037"/>
      <c r="AR167" s="2038"/>
      <c r="AS167" s="2036" t="s">
        <v>54</v>
      </c>
      <c r="AT167" s="2037"/>
      <c r="AU167" s="2037"/>
      <c r="AV167" s="2037"/>
      <c r="AW167" s="2037"/>
      <c r="AX167" s="1571"/>
      <c r="AY167" s="2042" t="s">
        <v>89</v>
      </c>
      <c r="AZ167" s="2045" t="s">
        <v>97</v>
      </c>
      <c r="BA167" s="2045" t="s">
        <v>719</v>
      </c>
      <c r="BB167" s="2045" t="s">
        <v>210</v>
      </c>
      <c r="BC167" s="1539" t="s">
        <v>4</v>
      </c>
      <c r="BD167" s="2063" t="s">
        <v>41</v>
      </c>
      <c r="BE167" s="2084"/>
      <c r="BG167" s="1555"/>
      <c r="BH167" s="1560"/>
      <c r="BI167" s="1560"/>
      <c r="BJ167" s="1555"/>
      <c r="BK167" s="1561"/>
      <c r="BL167" s="1561"/>
      <c r="BM167" s="1561"/>
      <c r="BN167" s="1555"/>
      <c r="BO167" s="1555"/>
    </row>
    <row r="168" spans="1:72" s="1523" customFormat="1" ht="25.5" customHeight="1">
      <c r="A168" s="2051"/>
      <c r="B168" s="2054"/>
      <c r="C168" s="2057"/>
      <c r="D168" s="1519" t="s">
        <v>7</v>
      </c>
      <c r="E168" s="1519" t="s">
        <v>8</v>
      </c>
      <c r="F168" s="1572" t="s">
        <v>9</v>
      </c>
      <c r="G168" s="1572" t="s">
        <v>9</v>
      </c>
      <c r="H168" s="2071" t="s">
        <v>10</v>
      </c>
      <c r="I168" s="2072"/>
      <c r="J168" s="2071" t="s">
        <v>11</v>
      </c>
      <c r="K168" s="2072"/>
      <c r="L168" s="2071" t="s">
        <v>12</v>
      </c>
      <c r="M168" s="2072"/>
      <c r="N168" s="2071" t="s">
        <v>13</v>
      </c>
      <c r="O168" s="2072"/>
      <c r="P168" s="2071" t="s">
        <v>14</v>
      </c>
      <c r="Q168" s="2072"/>
      <c r="R168" s="2087" t="s">
        <v>15</v>
      </c>
      <c r="S168" s="2088"/>
      <c r="T168" s="2071" t="s">
        <v>16</v>
      </c>
      <c r="U168" s="2072"/>
      <c r="V168" s="2057"/>
      <c r="W168" s="2071" t="s">
        <v>17</v>
      </c>
      <c r="X168" s="2072"/>
      <c r="Y168" s="2071" t="s">
        <v>18</v>
      </c>
      <c r="Z168" s="2081"/>
      <c r="AA168" s="2072"/>
      <c r="AB168" s="2071" t="s">
        <v>19</v>
      </c>
      <c r="AC168" s="2081"/>
      <c r="AD168" s="2072"/>
      <c r="AE168" s="2043"/>
      <c r="AF168" s="2066"/>
      <c r="AG168" s="2067"/>
      <c r="AH168" s="2067"/>
      <c r="AI168" s="2067"/>
      <c r="AJ168" s="2067"/>
      <c r="AK168" s="2067"/>
      <c r="AL168" s="2068"/>
      <c r="AM168" s="2046"/>
      <c r="AN168" s="2057"/>
      <c r="AO168" s="1534" t="s">
        <v>9</v>
      </c>
      <c r="AP168" s="2039"/>
      <c r="AQ168" s="2040"/>
      <c r="AR168" s="2041"/>
      <c r="AS168" s="2039"/>
      <c r="AT168" s="2040"/>
      <c r="AU168" s="2040"/>
      <c r="AV168" s="2040"/>
      <c r="AW168" s="2040"/>
      <c r="AX168" s="1534" t="s">
        <v>21</v>
      </c>
      <c r="AY168" s="2043"/>
      <c r="AZ168" s="2046"/>
      <c r="BA168" s="2046"/>
      <c r="BB168" s="2046"/>
      <c r="BC168" s="1540" t="s">
        <v>9</v>
      </c>
      <c r="BD168" s="2085"/>
      <c r="BE168" s="2086"/>
      <c r="BG168" s="1573"/>
      <c r="BH168" s="1573"/>
      <c r="BI168" s="1573"/>
      <c r="BJ168" s="1555"/>
      <c r="BK168" s="1561"/>
      <c r="BL168" s="1561"/>
      <c r="BM168" s="1561"/>
      <c r="BN168" s="1555"/>
      <c r="BO168" s="1555"/>
    </row>
    <row r="169" spans="1:72" s="1523" customFormat="1" ht="63" customHeight="1">
      <c r="A169" s="2051"/>
      <c r="B169" s="2054"/>
      <c r="C169" s="2057"/>
      <c r="D169" s="1519" t="s">
        <v>22</v>
      </c>
      <c r="E169" s="1519" t="s">
        <v>23</v>
      </c>
      <c r="F169" s="1572" t="s">
        <v>24</v>
      </c>
      <c r="G169" s="1572" t="s">
        <v>25</v>
      </c>
      <c r="H169" s="2069" t="s">
        <v>4</v>
      </c>
      <c r="I169" s="2070"/>
      <c r="J169" s="2069" t="s">
        <v>4</v>
      </c>
      <c r="K169" s="2070"/>
      <c r="L169" s="2069" t="s">
        <v>4</v>
      </c>
      <c r="M169" s="2070"/>
      <c r="N169" s="2069" t="s">
        <v>4</v>
      </c>
      <c r="O169" s="2070"/>
      <c r="P169" s="2069" t="s">
        <v>4</v>
      </c>
      <c r="Q169" s="2070"/>
      <c r="R169" s="2082" t="s">
        <v>4</v>
      </c>
      <c r="S169" s="2083"/>
      <c r="T169" s="2069" t="s">
        <v>4</v>
      </c>
      <c r="U169" s="2070"/>
      <c r="V169" s="2057"/>
      <c r="W169" s="1534" t="s">
        <v>27</v>
      </c>
      <c r="X169" s="1574" t="s">
        <v>28</v>
      </c>
      <c r="Y169" s="1534" t="s">
        <v>27</v>
      </c>
      <c r="Z169" s="2069" t="s">
        <v>4</v>
      </c>
      <c r="AA169" s="2070"/>
      <c r="AB169" s="1534" t="s">
        <v>27</v>
      </c>
      <c r="AC169" s="2071" t="s">
        <v>4</v>
      </c>
      <c r="AD169" s="2072"/>
      <c r="AE169" s="2062"/>
      <c r="AF169" s="1575" t="s">
        <v>56</v>
      </c>
      <c r="AG169" s="1575" t="s">
        <v>57</v>
      </c>
      <c r="AH169" s="1575" t="s">
        <v>60</v>
      </c>
      <c r="AI169" s="1575" t="s">
        <v>202</v>
      </c>
      <c r="AJ169" s="1575" t="s">
        <v>218</v>
      </c>
      <c r="AK169" s="1575" t="s">
        <v>572</v>
      </c>
      <c r="AL169" s="1575" t="s">
        <v>288</v>
      </c>
      <c r="AM169" s="2089"/>
      <c r="AN169" s="2090"/>
      <c r="AO169" s="1534" t="s">
        <v>29</v>
      </c>
      <c r="AP169" s="1519" t="s">
        <v>30</v>
      </c>
      <c r="AQ169" s="1519" t="s">
        <v>31</v>
      </c>
      <c r="AR169" s="1519" t="s">
        <v>4</v>
      </c>
      <c r="AS169" s="1576" t="s">
        <v>30</v>
      </c>
      <c r="AT169" s="1574" t="s">
        <v>31</v>
      </c>
      <c r="AU169" s="1574" t="s">
        <v>30</v>
      </c>
      <c r="AV169" s="1574" t="s">
        <v>31</v>
      </c>
      <c r="AW169" s="1577" t="s">
        <v>4</v>
      </c>
      <c r="AX169" s="1534" t="s">
        <v>32</v>
      </c>
      <c r="AY169" s="2043"/>
      <c r="AZ169" s="2046"/>
      <c r="BA169" s="2046"/>
      <c r="BB169" s="2046"/>
      <c r="BC169" s="1540" t="s">
        <v>33</v>
      </c>
      <c r="BD169" s="2073" t="s">
        <v>42</v>
      </c>
      <c r="BE169" s="2075" t="s">
        <v>43</v>
      </c>
      <c r="BG169" s="1573"/>
      <c r="BH169" s="1578"/>
      <c r="BI169" s="1578"/>
      <c r="BJ169" s="1555"/>
      <c r="BK169" s="1561"/>
      <c r="BL169" s="1561"/>
      <c r="BM169" s="1561"/>
      <c r="BN169" s="1555"/>
      <c r="BO169" s="1555"/>
    </row>
    <row r="170" spans="1:72" s="1523" customFormat="1" ht="21" customHeight="1" thickBot="1">
      <c r="A170" s="2052"/>
      <c r="B170" s="2055"/>
      <c r="C170" s="2058"/>
      <c r="D170" s="1520"/>
      <c r="E170" s="1520"/>
      <c r="F170" s="1579" t="s">
        <v>34</v>
      </c>
      <c r="G170" s="1580" t="s">
        <v>34</v>
      </c>
      <c r="H170" s="1581" t="s">
        <v>8</v>
      </c>
      <c r="I170" s="1582" t="s">
        <v>34</v>
      </c>
      <c r="J170" s="1581" t="s">
        <v>8</v>
      </c>
      <c r="K170" s="1582" t="s">
        <v>34</v>
      </c>
      <c r="L170" s="1581" t="s">
        <v>8</v>
      </c>
      <c r="M170" s="1582" t="s">
        <v>34</v>
      </c>
      <c r="N170" s="1581" t="s">
        <v>8</v>
      </c>
      <c r="O170" s="1582" t="s">
        <v>34</v>
      </c>
      <c r="P170" s="1581" t="s">
        <v>8</v>
      </c>
      <c r="Q170" s="1582" t="s">
        <v>34</v>
      </c>
      <c r="R170" s="1581" t="s">
        <v>8</v>
      </c>
      <c r="S170" s="1582" t="s">
        <v>34</v>
      </c>
      <c r="T170" s="1581" t="s">
        <v>8</v>
      </c>
      <c r="U170" s="1582" t="s">
        <v>34</v>
      </c>
      <c r="V170" s="2058"/>
      <c r="W170" s="1581" t="s">
        <v>26</v>
      </c>
      <c r="X170" s="1581" t="s">
        <v>34</v>
      </c>
      <c r="Y170" s="1581" t="s">
        <v>26</v>
      </c>
      <c r="Z170" s="1581" t="s">
        <v>26</v>
      </c>
      <c r="AA170" s="1581" t="s">
        <v>34</v>
      </c>
      <c r="AB170" s="1581" t="s">
        <v>26</v>
      </c>
      <c r="AC170" s="1581" t="s">
        <v>35</v>
      </c>
      <c r="AD170" s="1581" t="s">
        <v>34</v>
      </c>
      <c r="AE170" s="1581" t="s">
        <v>34</v>
      </c>
      <c r="AF170" s="1582" t="s">
        <v>34</v>
      </c>
      <c r="AG170" s="1582" t="s">
        <v>34</v>
      </c>
      <c r="AH170" s="1582" t="s">
        <v>34</v>
      </c>
      <c r="AI170" s="1582" t="s">
        <v>34</v>
      </c>
      <c r="AJ170" s="1582" t="s">
        <v>34</v>
      </c>
      <c r="AK170" s="1582" t="s">
        <v>34</v>
      </c>
      <c r="AL170" s="1582" t="s">
        <v>34</v>
      </c>
      <c r="AM170" s="1582" t="s">
        <v>34</v>
      </c>
      <c r="AN170" s="1581" t="s">
        <v>34</v>
      </c>
      <c r="AO170" s="1582" t="s">
        <v>34</v>
      </c>
      <c r="AP170" s="1582" t="s">
        <v>34</v>
      </c>
      <c r="AQ170" s="1582" t="s">
        <v>34</v>
      </c>
      <c r="AR170" s="1582" t="s">
        <v>34</v>
      </c>
      <c r="AS170" s="1581" t="s">
        <v>58</v>
      </c>
      <c r="AT170" s="1582" t="s">
        <v>34</v>
      </c>
      <c r="AU170" s="1582" t="s">
        <v>59</v>
      </c>
      <c r="AV170" s="1582" t="s">
        <v>34</v>
      </c>
      <c r="AW170" s="1583" t="s">
        <v>34</v>
      </c>
      <c r="AX170" s="1537"/>
      <c r="AY170" s="2044"/>
      <c r="AZ170" s="2047"/>
      <c r="BA170" s="2047"/>
      <c r="BB170" s="2047"/>
      <c r="BC170" s="1541" t="s">
        <v>34</v>
      </c>
      <c r="BD170" s="2074"/>
      <c r="BE170" s="2076"/>
      <c r="BG170" s="1555" t="s">
        <v>353</v>
      </c>
      <c r="BH170" s="1578" t="s">
        <v>43</v>
      </c>
      <c r="BI170" s="1578" t="s">
        <v>42</v>
      </c>
      <c r="BJ170" s="1555" t="s">
        <v>354</v>
      </c>
      <c r="BK170" s="1561" t="s">
        <v>358</v>
      </c>
      <c r="BL170" s="1561"/>
      <c r="BM170" s="1561" t="s">
        <v>625</v>
      </c>
      <c r="BN170" s="1555" t="s">
        <v>626</v>
      </c>
      <c r="BO170" s="1555" t="s">
        <v>627</v>
      </c>
      <c r="BQ170" s="1523" t="s">
        <v>685</v>
      </c>
    </row>
    <row r="171" spans="1:72" ht="102" customHeight="1" thickBot="1">
      <c r="A171" s="1584" t="s">
        <v>80</v>
      </c>
      <c r="B171" s="1489" t="s">
        <v>37</v>
      </c>
      <c r="C171" s="1585" t="s">
        <v>126</v>
      </c>
      <c r="D171" s="1586" t="s">
        <v>109</v>
      </c>
      <c r="E171" s="1489">
        <f>'HK UP KEEP, OP '!AH25</f>
        <v>24</v>
      </c>
      <c r="F171" s="1490">
        <v>129220</v>
      </c>
      <c r="G171" s="1490">
        <f t="shared" si="0"/>
        <v>3101280</v>
      </c>
      <c r="H171" s="1489">
        <f>'HK UP KEEP, OP '!AI25</f>
        <v>0</v>
      </c>
      <c r="I171" s="1489">
        <f t="shared" si="1"/>
        <v>0</v>
      </c>
      <c r="J171" s="1489">
        <f>'HK UP KEEP, OP '!AJ25</f>
        <v>0</v>
      </c>
      <c r="K171" s="1489">
        <f t="shared" si="2"/>
        <v>0</v>
      </c>
      <c r="L171" s="1489">
        <f>'HK UP KEEP, OP '!AK25</f>
        <v>0</v>
      </c>
      <c r="M171" s="1489">
        <f t="shared" si="3"/>
        <v>0</v>
      </c>
      <c r="N171" s="1489">
        <f>'HK UP KEEP, OP '!AL25</f>
        <v>4</v>
      </c>
      <c r="O171" s="1489">
        <f t="shared" si="4"/>
        <v>516880</v>
      </c>
      <c r="P171" s="1489">
        <f>'HK UP KEEP, OP '!AM25</f>
        <v>3</v>
      </c>
      <c r="Q171" s="1489">
        <f t="shared" si="5"/>
        <v>387660</v>
      </c>
      <c r="R171" s="1489">
        <f>'HK UP KEEP, OP '!AN25</f>
        <v>0</v>
      </c>
      <c r="S171" s="1489">
        <f t="shared" si="6"/>
        <v>0</v>
      </c>
      <c r="T171" s="1489">
        <f>'HK UP KEEP, OP '!AO25+'HK UP KEEP, OP '!AP25+'HK UP KEEP, OP '!AQ25</f>
        <v>0</v>
      </c>
      <c r="U171" s="1489">
        <f t="shared" si="7"/>
        <v>0</v>
      </c>
      <c r="V171" s="1489">
        <f t="shared" si="8"/>
        <v>31</v>
      </c>
      <c r="W171" s="1491">
        <v>2250</v>
      </c>
      <c r="X171" s="1489">
        <f t="shared" si="9"/>
        <v>69750</v>
      </c>
      <c r="Y171" s="1489"/>
      <c r="Z171" s="1489"/>
      <c r="AA171" s="1489">
        <f t="shared" si="27"/>
        <v>0</v>
      </c>
      <c r="AB171" s="1489">
        <v>2500</v>
      </c>
      <c r="AC171" s="1489">
        <f>'MASA KERJA AB'!H26</f>
        <v>16</v>
      </c>
      <c r="AD171" s="1492">
        <f>'MASA KERJA AB'!I26</f>
        <v>47000</v>
      </c>
      <c r="AE171" s="1491"/>
      <c r="AF171" s="1489"/>
      <c r="AG171" s="1489"/>
      <c r="AH171" s="1489"/>
      <c r="AI171" s="1489"/>
      <c r="AJ171" s="1489"/>
      <c r="AK171" s="1493"/>
      <c r="AL171" s="1489"/>
      <c r="AM171" s="1489"/>
      <c r="AN171" s="1489"/>
      <c r="AO171" s="1494">
        <f t="shared" si="10"/>
        <v>4122570</v>
      </c>
      <c r="AP171" s="1489">
        <f t="shared" si="20"/>
        <v>77532</v>
      </c>
      <c r="AQ171" s="1489">
        <f t="shared" si="21"/>
        <v>175997.64</v>
      </c>
      <c r="AR171" s="1489">
        <f t="shared" si="28"/>
        <v>253529.64</v>
      </c>
      <c r="AS171" s="1489">
        <f t="shared" si="22"/>
        <v>39236</v>
      </c>
      <c r="AT171" s="1489">
        <f t="shared" si="23"/>
        <v>156944</v>
      </c>
      <c r="AU171" s="1489">
        <f t="shared" si="24"/>
        <v>38766</v>
      </c>
      <c r="AV171" s="1489">
        <f t="shared" si="25"/>
        <v>77532</v>
      </c>
      <c r="AW171" s="1489">
        <f t="shared" si="29"/>
        <v>312478</v>
      </c>
      <c r="AX171" s="1492">
        <v>4000</v>
      </c>
      <c r="AY171" s="1491">
        <v>0</v>
      </c>
      <c r="AZ171" s="1489">
        <f t="shared" si="13"/>
        <v>0</v>
      </c>
      <c r="BA171" s="1489"/>
      <c r="BB171" s="1489"/>
      <c r="BC171" s="1489">
        <f t="shared" si="14"/>
        <v>3963036</v>
      </c>
      <c r="BD171" s="1495">
        <f>'HK UP KEEP, OP '!AS25</f>
        <v>0</v>
      </c>
      <c r="BE171" s="1488">
        <f>'HK UP KEEP, OP '!AT25</f>
        <v>0</v>
      </c>
      <c r="BG171" s="1551">
        <f t="shared" si="15"/>
        <v>4005820</v>
      </c>
      <c r="BH171" s="1552">
        <f t="shared" si="16"/>
        <v>0</v>
      </c>
      <c r="BI171" s="1552">
        <f t="shared" si="17"/>
        <v>0</v>
      </c>
      <c r="BJ171" s="1551">
        <f t="shared" si="18"/>
        <v>0</v>
      </c>
      <c r="BK171" s="1553">
        <f t="shared" si="26"/>
        <v>4005820</v>
      </c>
      <c r="BM171" s="1553">
        <f t="shared" si="30"/>
        <v>116750</v>
      </c>
      <c r="BN171" s="1551">
        <v>30575.999999999996</v>
      </c>
      <c r="BO171" s="1551">
        <f t="shared" si="19"/>
        <v>566007.64</v>
      </c>
    </row>
    <row r="172" spans="1:72" ht="23.25" customHeight="1">
      <c r="A172" s="2048" t="s">
        <v>0</v>
      </c>
      <c r="B172" s="2048"/>
      <c r="C172" s="2048"/>
      <c r="D172" s="2048"/>
      <c r="E172" s="2048"/>
      <c r="F172" s="2048"/>
      <c r="G172" s="2048"/>
      <c r="H172" s="2048"/>
      <c r="I172" s="2048"/>
      <c r="J172" s="2048"/>
      <c r="K172" s="2048"/>
      <c r="L172" s="2048"/>
      <c r="M172" s="2048"/>
      <c r="N172" s="2048"/>
      <c r="O172" s="2048"/>
      <c r="P172" s="2048"/>
      <c r="Q172" s="2048"/>
      <c r="R172" s="2048"/>
      <c r="S172" s="2048"/>
      <c r="T172" s="2048"/>
      <c r="U172" s="2048"/>
      <c r="V172" s="2048"/>
      <c r="W172" s="2048"/>
      <c r="X172" s="2048"/>
      <c r="Y172" s="2048"/>
      <c r="Z172" s="2048"/>
      <c r="AA172" s="2048"/>
      <c r="AB172" s="2048"/>
      <c r="AC172" s="2048"/>
      <c r="AD172" s="2048"/>
      <c r="AE172" s="2048"/>
      <c r="AF172" s="2048"/>
      <c r="AG172" s="2048"/>
      <c r="AH172" s="2048"/>
      <c r="AI172" s="2048"/>
      <c r="AJ172" s="2048"/>
      <c r="AK172" s="2048"/>
      <c r="AL172" s="2048"/>
      <c r="AM172" s="2048"/>
      <c r="AN172" s="2048"/>
      <c r="AO172" s="2048"/>
      <c r="AP172" s="2048"/>
      <c r="AQ172" s="2048"/>
      <c r="AR172" s="2048"/>
      <c r="AS172" s="2048"/>
      <c r="AT172" s="2048"/>
      <c r="AU172" s="2048"/>
      <c r="AV172" s="2048"/>
      <c r="AW172" s="2048"/>
      <c r="AX172" s="2048"/>
      <c r="AY172" s="2048"/>
      <c r="AZ172" s="2048"/>
      <c r="BA172" s="2048"/>
      <c r="BB172" s="2048"/>
      <c r="BC172" s="2048"/>
      <c r="BD172" s="2048"/>
      <c r="BE172" s="2048"/>
    </row>
    <row r="173" spans="1:72" ht="26.25" customHeight="1">
      <c r="A173" s="2049" t="s">
        <v>1033</v>
      </c>
      <c r="B173" s="2049"/>
      <c r="C173" s="2049"/>
      <c r="D173" s="2049"/>
      <c r="E173" s="2049"/>
      <c r="F173" s="2049"/>
      <c r="G173" s="2049"/>
      <c r="H173" s="2049"/>
      <c r="I173" s="2049"/>
      <c r="J173" s="2049"/>
      <c r="K173" s="2049"/>
      <c r="L173" s="2049"/>
      <c r="M173" s="2049"/>
      <c r="N173" s="2049"/>
      <c r="O173" s="2049"/>
      <c r="P173" s="2049"/>
      <c r="Q173" s="2049"/>
      <c r="R173" s="2049"/>
      <c r="S173" s="2049"/>
      <c r="T173" s="2049"/>
      <c r="U173" s="2049"/>
      <c r="V173" s="2049"/>
      <c r="W173" s="2049"/>
      <c r="X173" s="2049"/>
      <c r="Y173" s="2049"/>
      <c r="Z173" s="2049"/>
      <c r="AA173" s="2049"/>
      <c r="AB173" s="2049"/>
      <c r="AC173" s="2049"/>
      <c r="AD173" s="2049"/>
      <c r="AE173" s="2049"/>
      <c r="AF173" s="2049"/>
      <c r="AG173" s="2049"/>
      <c r="AH173" s="2049"/>
      <c r="AI173" s="2049"/>
      <c r="AJ173" s="2049"/>
      <c r="AK173" s="2049"/>
      <c r="AL173" s="2049"/>
      <c r="AM173" s="2049"/>
      <c r="AN173" s="2049"/>
      <c r="AO173" s="2049"/>
      <c r="AP173" s="2049"/>
      <c r="AQ173" s="2049"/>
      <c r="AR173" s="2049"/>
      <c r="AS173" s="2049"/>
      <c r="AT173" s="2049"/>
      <c r="AU173" s="2049"/>
      <c r="AV173" s="2049"/>
      <c r="AW173" s="2049"/>
      <c r="AX173" s="2049"/>
      <c r="AY173" s="2049"/>
      <c r="AZ173" s="2049"/>
      <c r="BA173" s="2049"/>
      <c r="BB173" s="2049"/>
      <c r="BC173" s="2049"/>
      <c r="BD173" s="2049"/>
      <c r="BE173" s="2049"/>
    </row>
    <row r="174" spans="1:72" s="1523" customFormat="1" ht="18.75" customHeight="1">
      <c r="C174" s="1554"/>
      <c r="D174" s="1523" t="s">
        <v>964</v>
      </c>
      <c r="F174" s="1555"/>
      <c r="G174" s="1555"/>
      <c r="X174" s="1556"/>
      <c r="AE174" s="1532"/>
      <c r="AK174" s="1557"/>
      <c r="AP174" s="1558">
        <v>3876600</v>
      </c>
      <c r="AQ174" s="1559">
        <f>AP174/30</f>
        <v>129220</v>
      </c>
      <c r="AR174" s="1559">
        <f>AP174/173*1.5</f>
        <v>33612.138728323698</v>
      </c>
      <c r="AS174" s="1559">
        <f>AP174/173*2</f>
        <v>44816.184971098264</v>
      </c>
      <c r="AW174" s="1532" t="s">
        <v>55</v>
      </c>
      <c r="AX174" s="1523" t="s">
        <v>152</v>
      </c>
      <c r="BC174" s="1531"/>
      <c r="BE174" s="1532"/>
      <c r="BG174" s="1555"/>
      <c r="BH174" s="1560"/>
      <c r="BI174" s="1560"/>
      <c r="BJ174" s="1555"/>
      <c r="BK174" s="1561"/>
      <c r="BL174" s="1561"/>
      <c r="BM174" s="1561"/>
      <c r="BN174" s="1555"/>
      <c r="BO174" s="1555"/>
    </row>
    <row r="175" spans="1:72" ht="15" customHeight="1" thickBot="1">
      <c r="A175" s="1547"/>
      <c r="D175" s="1563"/>
      <c r="E175" s="1563"/>
      <c r="F175" s="1564"/>
      <c r="G175" s="1564"/>
      <c r="H175" s="1563"/>
      <c r="I175" s="1563"/>
      <c r="J175" s="1563"/>
      <c r="K175" s="1563"/>
      <c r="L175" s="1563"/>
      <c r="M175" s="1563"/>
      <c r="N175" s="1563"/>
      <c r="O175" s="1563"/>
      <c r="Q175" s="1563"/>
      <c r="R175" s="1563"/>
      <c r="S175" s="1563"/>
      <c r="T175" s="1563"/>
      <c r="U175" s="1563"/>
      <c r="V175" s="1563"/>
      <c r="W175" s="1563"/>
      <c r="X175" s="1563"/>
      <c r="Y175" s="1563"/>
      <c r="Z175" s="1563"/>
      <c r="AA175" s="1563"/>
      <c r="AB175" s="1563"/>
      <c r="AC175" s="1563"/>
      <c r="AD175" s="1547"/>
      <c r="AE175" s="1563"/>
      <c r="AF175" s="1563"/>
      <c r="AG175" s="1563"/>
      <c r="AH175" s="1563"/>
      <c r="AI175" s="1563"/>
      <c r="AJ175" s="1563"/>
      <c r="AK175" s="1565"/>
      <c r="AL175" s="1563"/>
      <c r="AM175" s="1563"/>
      <c r="AO175" s="1563"/>
      <c r="AP175" s="1558">
        <v>3876600</v>
      </c>
      <c r="AQ175" s="1566">
        <f>AP175/30</f>
        <v>129220</v>
      </c>
      <c r="AR175" s="1567"/>
      <c r="AS175" s="1568">
        <f>AP175+24000</f>
        <v>3900600</v>
      </c>
    </row>
    <row r="176" spans="1:72" s="1523" customFormat="1" ht="15.75" customHeight="1">
      <c r="A176" s="2050" t="s">
        <v>5</v>
      </c>
      <c r="B176" s="2053" t="s">
        <v>6</v>
      </c>
      <c r="C176" s="2056" t="s">
        <v>52</v>
      </c>
      <c r="D176" s="1569"/>
      <c r="E176" s="1569"/>
      <c r="F176" s="1570"/>
      <c r="G176" s="1570"/>
      <c r="H176" s="2059" t="s">
        <v>2</v>
      </c>
      <c r="I176" s="2060"/>
      <c r="J176" s="2060"/>
      <c r="K176" s="2060"/>
      <c r="L176" s="2060"/>
      <c r="M176" s="2060"/>
      <c r="N176" s="2060"/>
      <c r="O176" s="2060"/>
      <c r="P176" s="2060"/>
      <c r="Q176" s="2060"/>
      <c r="R176" s="2060"/>
      <c r="S176" s="2060"/>
      <c r="T176" s="2060"/>
      <c r="U176" s="2061"/>
      <c r="V176" s="2056" t="s">
        <v>286</v>
      </c>
      <c r="W176" s="2059" t="s">
        <v>3</v>
      </c>
      <c r="X176" s="2060"/>
      <c r="Y176" s="2060"/>
      <c r="Z176" s="2060"/>
      <c r="AA176" s="2060"/>
      <c r="AB176" s="2060"/>
      <c r="AC176" s="2060"/>
      <c r="AD176" s="2061"/>
      <c r="AE176" s="2042" t="s">
        <v>45</v>
      </c>
      <c r="AF176" s="2063" t="s">
        <v>46</v>
      </c>
      <c r="AG176" s="2064"/>
      <c r="AH176" s="2064"/>
      <c r="AI176" s="2064"/>
      <c r="AJ176" s="2064"/>
      <c r="AK176" s="2064"/>
      <c r="AL176" s="2065"/>
      <c r="AM176" s="2045" t="s">
        <v>98</v>
      </c>
      <c r="AN176" s="2056" t="s">
        <v>44</v>
      </c>
      <c r="AO176" s="1533" t="s">
        <v>4</v>
      </c>
      <c r="AP176" s="2036" t="s">
        <v>20</v>
      </c>
      <c r="AQ176" s="2037"/>
      <c r="AR176" s="2038"/>
      <c r="AS176" s="2036" t="s">
        <v>54</v>
      </c>
      <c r="AT176" s="2037"/>
      <c r="AU176" s="2037"/>
      <c r="AV176" s="2037"/>
      <c r="AW176" s="2037"/>
      <c r="AX176" s="1571"/>
      <c r="AY176" s="2042" t="s">
        <v>89</v>
      </c>
      <c r="AZ176" s="2045" t="s">
        <v>97</v>
      </c>
      <c r="BA176" s="2045" t="s">
        <v>719</v>
      </c>
      <c r="BB176" s="2045" t="s">
        <v>210</v>
      </c>
      <c r="BC176" s="1539" t="s">
        <v>4</v>
      </c>
      <c r="BD176" s="2063" t="s">
        <v>41</v>
      </c>
      <c r="BE176" s="2084"/>
      <c r="BG176" s="1555"/>
      <c r="BH176" s="1560"/>
      <c r="BI176" s="1560"/>
      <c r="BJ176" s="1555"/>
      <c r="BK176" s="1561"/>
      <c r="BL176" s="1561"/>
      <c r="BM176" s="1561"/>
      <c r="BN176" s="1555"/>
      <c r="BO176" s="1555"/>
    </row>
    <row r="177" spans="1:69" s="1523" customFormat="1" ht="25.5" customHeight="1">
      <c r="A177" s="2051"/>
      <c r="B177" s="2054"/>
      <c r="C177" s="2057"/>
      <c r="D177" s="1519" t="s">
        <v>7</v>
      </c>
      <c r="E177" s="1519" t="s">
        <v>8</v>
      </c>
      <c r="F177" s="1572" t="s">
        <v>9</v>
      </c>
      <c r="G177" s="1572" t="s">
        <v>9</v>
      </c>
      <c r="H177" s="2071" t="s">
        <v>10</v>
      </c>
      <c r="I177" s="2072"/>
      <c r="J177" s="2071" t="s">
        <v>11</v>
      </c>
      <c r="K177" s="2072"/>
      <c r="L177" s="2071" t="s">
        <v>12</v>
      </c>
      <c r="M177" s="2072"/>
      <c r="N177" s="2071" t="s">
        <v>13</v>
      </c>
      <c r="O177" s="2072"/>
      <c r="P177" s="2071" t="s">
        <v>14</v>
      </c>
      <c r="Q177" s="2072"/>
      <c r="R177" s="2087" t="s">
        <v>15</v>
      </c>
      <c r="S177" s="2088"/>
      <c r="T177" s="2071" t="s">
        <v>16</v>
      </c>
      <c r="U177" s="2072"/>
      <c r="V177" s="2057"/>
      <c r="W177" s="2071" t="s">
        <v>17</v>
      </c>
      <c r="X177" s="2072"/>
      <c r="Y177" s="2071" t="s">
        <v>18</v>
      </c>
      <c r="Z177" s="2081"/>
      <c r="AA177" s="2072"/>
      <c r="AB177" s="2071" t="s">
        <v>19</v>
      </c>
      <c r="AC177" s="2081"/>
      <c r="AD177" s="2072"/>
      <c r="AE177" s="2043"/>
      <c r="AF177" s="2066"/>
      <c r="AG177" s="2067"/>
      <c r="AH177" s="2067"/>
      <c r="AI177" s="2067"/>
      <c r="AJ177" s="2067"/>
      <c r="AK177" s="2067"/>
      <c r="AL177" s="2068"/>
      <c r="AM177" s="2046"/>
      <c r="AN177" s="2057"/>
      <c r="AO177" s="1534" t="s">
        <v>9</v>
      </c>
      <c r="AP177" s="2039"/>
      <c r="AQ177" s="2040"/>
      <c r="AR177" s="2041"/>
      <c r="AS177" s="2039"/>
      <c r="AT177" s="2040"/>
      <c r="AU177" s="2040"/>
      <c r="AV177" s="2040"/>
      <c r="AW177" s="2040"/>
      <c r="AX177" s="1534" t="s">
        <v>21</v>
      </c>
      <c r="AY177" s="2043"/>
      <c r="AZ177" s="2046"/>
      <c r="BA177" s="2046"/>
      <c r="BB177" s="2046"/>
      <c r="BC177" s="1540" t="s">
        <v>9</v>
      </c>
      <c r="BD177" s="2085"/>
      <c r="BE177" s="2086"/>
      <c r="BG177" s="1573"/>
      <c r="BH177" s="1573"/>
      <c r="BI177" s="1573"/>
      <c r="BJ177" s="1555"/>
      <c r="BK177" s="1561"/>
      <c r="BL177" s="1561"/>
      <c r="BM177" s="1561"/>
      <c r="BN177" s="1555"/>
      <c r="BO177" s="1555"/>
    </row>
    <row r="178" spans="1:69" s="1523" customFormat="1" ht="63" customHeight="1">
      <c r="A178" s="2051"/>
      <c r="B178" s="2054"/>
      <c r="C178" s="2057"/>
      <c r="D178" s="1519" t="s">
        <v>22</v>
      </c>
      <c r="E178" s="1519" t="s">
        <v>23</v>
      </c>
      <c r="F178" s="1572" t="s">
        <v>24</v>
      </c>
      <c r="G178" s="1572" t="s">
        <v>25</v>
      </c>
      <c r="H178" s="2069" t="s">
        <v>4</v>
      </c>
      <c r="I178" s="2070"/>
      <c r="J178" s="2069" t="s">
        <v>4</v>
      </c>
      <c r="K178" s="2070"/>
      <c r="L178" s="2069" t="s">
        <v>4</v>
      </c>
      <c r="M178" s="2070"/>
      <c r="N178" s="2069" t="s">
        <v>4</v>
      </c>
      <c r="O178" s="2070"/>
      <c r="P178" s="2069" t="s">
        <v>4</v>
      </c>
      <c r="Q178" s="2070"/>
      <c r="R178" s="2082" t="s">
        <v>4</v>
      </c>
      <c r="S178" s="2083"/>
      <c r="T178" s="2069" t="s">
        <v>4</v>
      </c>
      <c r="U178" s="2070"/>
      <c r="V178" s="2057"/>
      <c r="W178" s="1534" t="s">
        <v>27</v>
      </c>
      <c r="X178" s="1574" t="s">
        <v>28</v>
      </c>
      <c r="Y178" s="1534" t="s">
        <v>27</v>
      </c>
      <c r="Z178" s="2069" t="s">
        <v>4</v>
      </c>
      <c r="AA178" s="2070"/>
      <c r="AB178" s="1534" t="s">
        <v>27</v>
      </c>
      <c r="AC178" s="2071" t="s">
        <v>4</v>
      </c>
      <c r="AD178" s="2072"/>
      <c r="AE178" s="2062"/>
      <c r="AF178" s="1575" t="s">
        <v>56</v>
      </c>
      <c r="AG178" s="1575" t="s">
        <v>57</v>
      </c>
      <c r="AH178" s="1575" t="s">
        <v>60</v>
      </c>
      <c r="AI178" s="1575" t="s">
        <v>202</v>
      </c>
      <c r="AJ178" s="1575" t="s">
        <v>218</v>
      </c>
      <c r="AK178" s="1575" t="s">
        <v>572</v>
      </c>
      <c r="AL178" s="1575" t="s">
        <v>288</v>
      </c>
      <c r="AM178" s="2089"/>
      <c r="AN178" s="2090"/>
      <c r="AO178" s="1534" t="s">
        <v>29</v>
      </c>
      <c r="AP178" s="1519" t="s">
        <v>30</v>
      </c>
      <c r="AQ178" s="1519" t="s">
        <v>31</v>
      </c>
      <c r="AR178" s="1519" t="s">
        <v>4</v>
      </c>
      <c r="AS178" s="1576" t="s">
        <v>30</v>
      </c>
      <c r="AT178" s="1574" t="s">
        <v>31</v>
      </c>
      <c r="AU178" s="1574" t="s">
        <v>30</v>
      </c>
      <c r="AV178" s="1574" t="s">
        <v>31</v>
      </c>
      <c r="AW178" s="1577" t="s">
        <v>4</v>
      </c>
      <c r="AX178" s="1534" t="s">
        <v>32</v>
      </c>
      <c r="AY178" s="2043"/>
      <c r="AZ178" s="2046"/>
      <c r="BA178" s="2046"/>
      <c r="BB178" s="2046"/>
      <c r="BC178" s="1540" t="s">
        <v>33</v>
      </c>
      <c r="BD178" s="2073" t="s">
        <v>42</v>
      </c>
      <c r="BE178" s="2075" t="s">
        <v>43</v>
      </c>
      <c r="BG178" s="1573"/>
      <c r="BH178" s="1578"/>
      <c r="BI178" s="1578"/>
      <c r="BJ178" s="1555"/>
      <c r="BK178" s="1561"/>
      <c r="BL178" s="1561"/>
      <c r="BM178" s="1561"/>
      <c r="BN178" s="1555"/>
      <c r="BO178" s="1555"/>
    </row>
    <row r="179" spans="1:69" s="1523" customFormat="1" ht="21" customHeight="1" thickBot="1">
      <c r="A179" s="2052"/>
      <c r="B179" s="2055"/>
      <c r="C179" s="2058"/>
      <c r="D179" s="1520"/>
      <c r="E179" s="1520"/>
      <c r="F179" s="1579" t="s">
        <v>34</v>
      </c>
      <c r="G179" s="1580" t="s">
        <v>34</v>
      </c>
      <c r="H179" s="1581" t="s">
        <v>8</v>
      </c>
      <c r="I179" s="1582" t="s">
        <v>34</v>
      </c>
      <c r="J179" s="1581" t="s">
        <v>8</v>
      </c>
      <c r="K179" s="1582" t="s">
        <v>34</v>
      </c>
      <c r="L179" s="1581" t="s">
        <v>8</v>
      </c>
      <c r="M179" s="1582" t="s">
        <v>34</v>
      </c>
      <c r="N179" s="1581" t="s">
        <v>8</v>
      </c>
      <c r="O179" s="1582" t="s">
        <v>34</v>
      </c>
      <c r="P179" s="1581" t="s">
        <v>8</v>
      </c>
      <c r="Q179" s="1582" t="s">
        <v>34</v>
      </c>
      <c r="R179" s="1581" t="s">
        <v>8</v>
      </c>
      <c r="S179" s="1582" t="s">
        <v>34</v>
      </c>
      <c r="T179" s="1581" t="s">
        <v>8</v>
      </c>
      <c r="U179" s="1582" t="s">
        <v>34</v>
      </c>
      <c r="V179" s="2058"/>
      <c r="W179" s="1581" t="s">
        <v>26</v>
      </c>
      <c r="X179" s="1581" t="s">
        <v>34</v>
      </c>
      <c r="Y179" s="1581" t="s">
        <v>26</v>
      </c>
      <c r="Z179" s="1581" t="s">
        <v>26</v>
      </c>
      <c r="AA179" s="1581" t="s">
        <v>34</v>
      </c>
      <c r="AB179" s="1581" t="s">
        <v>26</v>
      </c>
      <c r="AC179" s="1581" t="s">
        <v>35</v>
      </c>
      <c r="AD179" s="1581" t="s">
        <v>34</v>
      </c>
      <c r="AE179" s="1581" t="s">
        <v>34</v>
      </c>
      <c r="AF179" s="1582" t="s">
        <v>34</v>
      </c>
      <c r="AG179" s="1582" t="s">
        <v>34</v>
      </c>
      <c r="AH179" s="1582" t="s">
        <v>34</v>
      </c>
      <c r="AI179" s="1582" t="s">
        <v>34</v>
      </c>
      <c r="AJ179" s="1582" t="s">
        <v>34</v>
      </c>
      <c r="AK179" s="1582" t="s">
        <v>34</v>
      </c>
      <c r="AL179" s="1582" t="s">
        <v>34</v>
      </c>
      <c r="AM179" s="1582" t="s">
        <v>34</v>
      </c>
      <c r="AN179" s="1581" t="s">
        <v>34</v>
      </c>
      <c r="AO179" s="1582" t="s">
        <v>34</v>
      </c>
      <c r="AP179" s="1582" t="s">
        <v>34</v>
      </c>
      <c r="AQ179" s="1582" t="s">
        <v>34</v>
      </c>
      <c r="AR179" s="1582" t="s">
        <v>34</v>
      </c>
      <c r="AS179" s="1581" t="s">
        <v>58</v>
      </c>
      <c r="AT179" s="1582" t="s">
        <v>34</v>
      </c>
      <c r="AU179" s="1582" t="s">
        <v>59</v>
      </c>
      <c r="AV179" s="1582" t="s">
        <v>34</v>
      </c>
      <c r="AW179" s="1583" t="s">
        <v>34</v>
      </c>
      <c r="AX179" s="1537"/>
      <c r="AY179" s="2044"/>
      <c r="AZ179" s="2047"/>
      <c r="BA179" s="2047"/>
      <c r="BB179" s="2047"/>
      <c r="BC179" s="1541" t="s">
        <v>34</v>
      </c>
      <c r="BD179" s="2074"/>
      <c r="BE179" s="2076"/>
      <c r="BG179" s="1555" t="s">
        <v>353</v>
      </c>
      <c r="BH179" s="1578" t="s">
        <v>43</v>
      </c>
      <c r="BI179" s="1578" t="s">
        <v>42</v>
      </c>
      <c r="BJ179" s="1555" t="s">
        <v>354</v>
      </c>
      <c r="BK179" s="1561" t="s">
        <v>358</v>
      </c>
      <c r="BL179" s="1561"/>
      <c r="BM179" s="1561" t="s">
        <v>625</v>
      </c>
      <c r="BN179" s="1555" t="s">
        <v>626</v>
      </c>
      <c r="BO179" s="1555" t="s">
        <v>627</v>
      </c>
      <c r="BQ179" s="1523" t="s">
        <v>685</v>
      </c>
    </row>
    <row r="180" spans="1:69" ht="102" customHeight="1" thickBot="1">
      <c r="A180" s="1584" t="s">
        <v>81</v>
      </c>
      <c r="B180" s="1496" t="s">
        <v>36</v>
      </c>
      <c r="C180" s="1585" t="s">
        <v>127</v>
      </c>
      <c r="D180" s="1586" t="s">
        <v>110</v>
      </c>
      <c r="E180" s="1489">
        <f>'HK UP KEEP, OP '!AH26</f>
        <v>21</v>
      </c>
      <c r="F180" s="1490">
        <v>129220</v>
      </c>
      <c r="G180" s="1490">
        <f t="shared" si="0"/>
        <v>2713620</v>
      </c>
      <c r="H180" s="1489">
        <f>'HK UP KEEP, OP '!AI26</f>
        <v>1</v>
      </c>
      <c r="I180" s="1489">
        <f t="shared" si="1"/>
        <v>129220</v>
      </c>
      <c r="J180" s="1489">
        <f>'HK UP KEEP, OP '!AJ26</f>
        <v>1</v>
      </c>
      <c r="K180" s="1489">
        <f t="shared" si="2"/>
        <v>129220</v>
      </c>
      <c r="L180" s="1489">
        <f>'HK UP KEEP, OP '!AK26</f>
        <v>0</v>
      </c>
      <c r="M180" s="1489">
        <f t="shared" si="3"/>
        <v>0</v>
      </c>
      <c r="N180" s="1489">
        <f>'HK UP KEEP, OP '!AL26</f>
        <v>4</v>
      </c>
      <c r="O180" s="1489">
        <f t="shared" si="4"/>
        <v>516880</v>
      </c>
      <c r="P180" s="1489">
        <f>'HK UP KEEP, OP '!AM26</f>
        <v>3</v>
      </c>
      <c r="Q180" s="1489">
        <f t="shared" si="5"/>
        <v>387660</v>
      </c>
      <c r="R180" s="1489">
        <f>'HK UP KEEP, OP '!AN26</f>
        <v>0</v>
      </c>
      <c r="S180" s="1489">
        <f t="shared" si="6"/>
        <v>0</v>
      </c>
      <c r="T180" s="1489">
        <f>'HK UP KEEP, OP '!AO26+'HK UP KEEP, OP '!AP26+'HK UP KEEP, OP '!AQ26</f>
        <v>0</v>
      </c>
      <c r="U180" s="1489">
        <f t="shared" si="7"/>
        <v>0</v>
      </c>
      <c r="V180" s="1489">
        <f t="shared" si="8"/>
        <v>30</v>
      </c>
      <c r="W180" s="1502">
        <v>5550</v>
      </c>
      <c r="X180" s="1489">
        <f t="shared" si="9"/>
        <v>166500</v>
      </c>
      <c r="Y180" s="1503"/>
      <c r="Z180" s="1489"/>
      <c r="AA180" s="1489">
        <f t="shared" si="27"/>
        <v>0</v>
      </c>
      <c r="AB180" s="1496">
        <v>2500</v>
      </c>
      <c r="AC180" s="1489">
        <f>'MASA KERJA AB'!H27</f>
        <v>16</v>
      </c>
      <c r="AD180" s="1492">
        <f>'MASA KERJA AB'!I27</f>
        <v>47000</v>
      </c>
      <c r="AE180" s="1491">
        <f>'LEMBUR DAN PREMI UPKEEP'!AJ30</f>
        <v>0</v>
      </c>
      <c r="AF180" s="1489"/>
      <c r="AG180" s="1489"/>
      <c r="AH180" s="1496"/>
      <c r="AI180" s="1489"/>
      <c r="AJ180" s="1496"/>
      <c r="AK180" s="1508">
        <v>144000</v>
      </c>
      <c r="AL180" s="1496"/>
      <c r="AM180" s="1496"/>
      <c r="AN180" s="1489"/>
      <c r="AO180" s="1494">
        <f t="shared" si="10"/>
        <v>4234100</v>
      </c>
      <c r="AP180" s="1489">
        <f t="shared" si="20"/>
        <v>77532</v>
      </c>
      <c r="AQ180" s="1489">
        <f t="shared" si="21"/>
        <v>175997.64</v>
      </c>
      <c r="AR180" s="1489">
        <f t="shared" si="28"/>
        <v>253529.64</v>
      </c>
      <c r="AS180" s="1489">
        <f t="shared" si="22"/>
        <v>39236</v>
      </c>
      <c r="AT180" s="1489">
        <f t="shared" si="23"/>
        <v>156944</v>
      </c>
      <c r="AU180" s="1489">
        <f t="shared" si="24"/>
        <v>38766</v>
      </c>
      <c r="AV180" s="1489">
        <f t="shared" si="25"/>
        <v>77532</v>
      </c>
      <c r="AW180" s="1489">
        <f t="shared" si="29"/>
        <v>312478</v>
      </c>
      <c r="AX180" s="1492">
        <v>4000</v>
      </c>
      <c r="AY180" s="1491">
        <v>0</v>
      </c>
      <c r="AZ180" s="1489">
        <f t="shared" si="13"/>
        <v>0</v>
      </c>
      <c r="BA180" s="1489"/>
      <c r="BB180" s="1496"/>
      <c r="BC180" s="1489">
        <f t="shared" si="14"/>
        <v>4074566</v>
      </c>
      <c r="BD180" s="1495">
        <f>'HK UP KEEP, OP '!AS26</f>
        <v>0</v>
      </c>
      <c r="BE180" s="1488">
        <f>'HK UP KEEP, OP '!AT26</f>
        <v>1</v>
      </c>
      <c r="BG180" s="1551">
        <f t="shared" si="15"/>
        <v>3876600</v>
      </c>
      <c r="BH180" s="1552">
        <f t="shared" si="16"/>
        <v>0</v>
      </c>
      <c r="BI180" s="1552">
        <f t="shared" si="17"/>
        <v>129220</v>
      </c>
      <c r="BJ180" s="1551">
        <f t="shared" si="18"/>
        <v>-129220</v>
      </c>
      <c r="BK180" s="1553">
        <f t="shared" si="26"/>
        <v>4005820</v>
      </c>
      <c r="BM180" s="1553">
        <f t="shared" si="30"/>
        <v>357500</v>
      </c>
      <c r="BN180" s="1551">
        <v>30575.999999999996</v>
      </c>
      <c r="BO180" s="1551">
        <f t="shared" si="19"/>
        <v>566007.64</v>
      </c>
    </row>
    <row r="181" spans="1:69" ht="23.25" customHeight="1">
      <c r="A181" s="2048" t="s">
        <v>0</v>
      </c>
      <c r="B181" s="2048"/>
      <c r="C181" s="2048"/>
      <c r="D181" s="2048"/>
      <c r="E181" s="2048"/>
      <c r="F181" s="2048"/>
      <c r="G181" s="2048"/>
      <c r="H181" s="2048"/>
      <c r="I181" s="2048"/>
      <c r="J181" s="2048"/>
      <c r="K181" s="2048"/>
      <c r="L181" s="2048"/>
      <c r="M181" s="2048"/>
      <c r="N181" s="2048"/>
      <c r="O181" s="2048"/>
      <c r="P181" s="2048"/>
      <c r="Q181" s="2048"/>
      <c r="R181" s="2048"/>
      <c r="S181" s="2048"/>
      <c r="T181" s="2048"/>
      <c r="U181" s="2048"/>
      <c r="V181" s="2048"/>
      <c r="W181" s="2048"/>
      <c r="X181" s="2048"/>
      <c r="Y181" s="2048"/>
      <c r="Z181" s="2048"/>
      <c r="AA181" s="2048"/>
      <c r="AB181" s="2048"/>
      <c r="AC181" s="2048"/>
      <c r="AD181" s="2048"/>
      <c r="AE181" s="2048"/>
      <c r="AF181" s="2048"/>
      <c r="AG181" s="2048"/>
      <c r="AH181" s="2048"/>
      <c r="AI181" s="2048"/>
      <c r="AJ181" s="2048"/>
      <c r="AK181" s="2048"/>
      <c r="AL181" s="2048"/>
      <c r="AM181" s="2048"/>
      <c r="AN181" s="2048"/>
      <c r="AO181" s="2048"/>
      <c r="AP181" s="2048"/>
      <c r="AQ181" s="2048"/>
      <c r="AR181" s="2048"/>
      <c r="AS181" s="2048"/>
      <c r="AT181" s="2048"/>
      <c r="AU181" s="2048"/>
      <c r="AV181" s="2048"/>
      <c r="AW181" s="2048"/>
      <c r="AX181" s="2048"/>
      <c r="AY181" s="2048"/>
      <c r="AZ181" s="2048"/>
      <c r="BA181" s="2048"/>
      <c r="BB181" s="2048"/>
      <c r="BC181" s="2048"/>
      <c r="BD181" s="2048"/>
      <c r="BE181" s="2048"/>
    </row>
    <row r="182" spans="1:69" ht="26.25" customHeight="1">
      <c r="A182" s="2049" t="s">
        <v>1033</v>
      </c>
      <c r="B182" s="2049"/>
      <c r="C182" s="2049"/>
      <c r="D182" s="2049"/>
      <c r="E182" s="2049"/>
      <c r="F182" s="2049"/>
      <c r="G182" s="2049"/>
      <c r="H182" s="2049"/>
      <c r="I182" s="2049"/>
      <c r="J182" s="2049"/>
      <c r="K182" s="2049"/>
      <c r="L182" s="2049"/>
      <c r="M182" s="2049"/>
      <c r="N182" s="2049"/>
      <c r="O182" s="2049"/>
      <c r="P182" s="2049"/>
      <c r="Q182" s="2049"/>
      <c r="R182" s="2049"/>
      <c r="S182" s="2049"/>
      <c r="T182" s="2049"/>
      <c r="U182" s="2049"/>
      <c r="V182" s="2049"/>
      <c r="W182" s="2049"/>
      <c r="X182" s="2049"/>
      <c r="Y182" s="2049"/>
      <c r="Z182" s="2049"/>
      <c r="AA182" s="2049"/>
      <c r="AB182" s="2049"/>
      <c r="AC182" s="2049"/>
      <c r="AD182" s="2049"/>
      <c r="AE182" s="2049"/>
      <c r="AF182" s="2049"/>
      <c r="AG182" s="2049"/>
      <c r="AH182" s="2049"/>
      <c r="AI182" s="2049"/>
      <c r="AJ182" s="2049"/>
      <c r="AK182" s="2049"/>
      <c r="AL182" s="2049"/>
      <c r="AM182" s="2049"/>
      <c r="AN182" s="2049"/>
      <c r="AO182" s="2049"/>
      <c r="AP182" s="2049"/>
      <c r="AQ182" s="2049"/>
      <c r="AR182" s="2049"/>
      <c r="AS182" s="2049"/>
      <c r="AT182" s="2049"/>
      <c r="AU182" s="2049"/>
      <c r="AV182" s="2049"/>
      <c r="AW182" s="2049"/>
      <c r="AX182" s="2049"/>
      <c r="AY182" s="2049"/>
      <c r="AZ182" s="2049"/>
      <c r="BA182" s="2049"/>
      <c r="BB182" s="2049"/>
      <c r="BC182" s="2049"/>
      <c r="BD182" s="2049"/>
      <c r="BE182" s="2049"/>
    </row>
    <row r="183" spans="1:69" s="1523" customFormat="1" ht="18.75" customHeight="1">
      <c r="C183" s="1554"/>
      <c r="D183" s="1523" t="s">
        <v>964</v>
      </c>
      <c r="F183" s="1555"/>
      <c r="G183" s="1555"/>
      <c r="X183" s="1556"/>
      <c r="AE183" s="1532"/>
      <c r="AK183" s="1557"/>
      <c r="AP183" s="1558">
        <v>3876600</v>
      </c>
      <c r="AQ183" s="1559">
        <f>AP183/30</f>
        <v>129220</v>
      </c>
      <c r="AR183" s="1559">
        <f>AP183/173*1.5</f>
        <v>33612.138728323698</v>
      </c>
      <c r="AS183" s="1559">
        <f>AP183/173*2</f>
        <v>44816.184971098264</v>
      </c>
      <c r="AW183" s="1532" t="s">
        <v>55</v>
      </c>
      <c r="AX183" s="1523" t="s">
        <v>152</v>
      </c>
      <c r="BC183" s="1531"/>
      <c r="BE183" s="1532"/>
      <c r="BG183" s="1555"/>
      <c r="BH183" s="1560"/>
      <c r="BI183" s="1560"/>
      <c r="BJ183" s="1555"/>
      <c r="BK183" s="1561"/>
      <c r="BL183" s="1561"/>
      <c r="BM183" s="1561"/>
      <c r="BN183" s="1555"/>
      <c r="BO183" s="1555"/>
    </row>
    <row r="184" spans="1:69" ht="15" customHeight="1" thickBot="1">
      <c r="A184" s="1547"/>
      <c r="D184" s="1563"/>
      <c r="E184" s="1563"/>
      <c r="F184" s="1564"/>
      <c r="G184" s="1564"/>
      <c r="H184" s="1563"/>
      <c r="I184" s="1563"/>
      <c r="J184" s="1563"/>
      <c r="K184" s="1563"/>
      <c r="L184" s="1563"/>
      <c r="M184" s="1563"/>
      <c r="N184" s="1563"/>
      <c r="O184" s="1563"/>
      <c r="Q184" s="1563"/>
      <c r="R184" s="1563"/>
      <c r="S184" s="1563"/>
      <c r="T184" s="1563"/>
      <c r="U184" s="1563"/>
      <c r="V184" s="1563"/>
      <c r="W184" s="1563"/>
      <c r="X184" s="1563"/>
      <c r="Y184" s="1563"/>
      <c r="Z184" s="1563"/>
      <c r="AA184" s="1563"/>
      <c r="AB184" s="1563"/>
      <c r="AC184" s="1563"/>
      <c r="AD184" s="1547"/>
      <c r="AE184" s="1563"/>
      <c r="AF184" s="1563"/>
      <c r="AG184" s="1563"/>
      <c r="AH184" s="1563"/>
      <c r="AI184" s="1563"/>
      <c r="AJ184" s="1563"/>
      <c r="AK184" s="1565"/>
      <c r="AL184" s="1563"/>
      <c r="AM184" s="1563"/>
      <c r="AO184" s="1563"/>
      <c r="AP184" s="1558">
        <v>3876600</v>
      </c>
      <c r="AQ184" s="1566">
        <f>AP184/30</f>
        <v>129220</v>
      </c>
      <c r="AR184" s="1567"/>
      <c r="AS184" s="1568">
        <f>AP184+24000</f>
        <v>3900600</v>
      </c>
    </row>
    <row r="185" spans="1:69" s="1523" customFormat="1" ht="15.75" customHeight="1">
      <c r="A185" s="2050" t="s">
        <v>5</v>
      </c>
      <c r="B185" s="2053" t="s">
        <v>6</v>
      </c>
      <c r="C185" s="2056" t="s">
        <v>52</v>
      </c>
      <c r="D185" s="1569"/>
      <c r="E185" s="1569"/>
      <c r="F185" s="1570"/>
      <c r="G185" s="1570"/>
      <c r="H185" s="2059" t="s">
        <v>2</v>
      </c>
      <c r="I185" s="2060"/>
      <c r="J185" s="2060"/>
      <c r="K185" s="2060"/>
      <c r="L185" s="2060"/>
      <c r="M185" s="2060"/>
      <c r="N185" s="2060"/>
      <c r="O185" s="2060"/>
      <c r="P185" s="2060"/>
      <c r="Q185" s="2060"/>
      <c r="R185" s="2060"/>
      <c r="S185" s="2060"/>
      <c r="T185" s="2060"/>
      <c r="U185" s="2061"/>
      <c r="V185" s="2056" t="s">
        <v>286</v>
      </c>
      <c r="W185" s="2059" t="s">
        <v>3</v>
      </c>
      <c r="X185" s="2060"/>
      <c r="Y185" s="2060"/>
      <c r="Z185" s="2060"/>
      <c r="AA185" s="2060"/>
      <c r="AB185" s="2060"/>
      <c r="AC185" s="2060"/>
      <c r="AD185" s="2061"/>
      <c r="AE185" s="2042" t="s">
        <v>45</v>
      </c>
      <c r="AF185" s="2063" t="s">
        <v>46</v>
      </c>
      <c r="AG185" s="2064"/>
      <c r="AH185" s="2064"/>
      <c r="AI185" s="2064"/>
      <c r="AJ185" s="2064"/>
      <c r="AK185" s="2064"/>
      <c r="AL185" s="2065"/>
      <c r="AM185" s="2045" t="s">
        <v>98</v>
      </c>
      <c r="AN185" s="2056" t="s">
        <v>44</v>
      </c>
      <c r="AO185" s="1533" t="s">
        <v>4</v>
      </c>
      <c r="AP185" s="2036" t="s">
        <v>20</v>
      </c>
      <c r="AQ185" s="2037"/>
      <c r="AR185" s="2038"/>
      <c r="AS185" s="2036" t="s">
        <v>54</v>
      </c>
      <c r="AT185" s="2037"/>
      <c r="AU185" s="2037"/>
      <c r="AV185" s="2037"/>
      <c r="AW185" s="2037"/>
      <c r="AX185" s="1571"/>
      <c r="AY185" s="2042" t="s">
        <v>89</v>
      </c>
      <c r="AZ185" s="2045" t="s">
        <v>97</v>
      </c>
      <c r="BA185" s="2045" t="s">
        <v>719</v>
      </c>
      <c r="BB185" s="2045" t="s">
        <v>210</v>
      </c>
      <c r="BC185" s="1539" t="s">
        <v>4</v>
      </c>
      <c r="BD185" s="2063" t="s">
        <v>41</v>
      </c>
      <c r="BE185" s="2084"/>
      <c r="BG185" s="1555"/>
      <c r="BH185" s="1560"/>
      <c r="BI185" s="1560"/>
      <c r="BJ185" s="1555"/>
      <c r="BK185" s="1561"/>
      <c r="BL185" s="1561"/>
      <c r="BM185" s="1561"/>
      <c r="BN185" s="1555"/>
      <c r="BO185" s="1555"/>
    </row>
    <row r="186" spans="1:69" s="1523" customFormat="1" ht="25.5" customHeight="1">
      <c r="A186" s="2051"/>
      <c r="B186" s="2054"/>
      <c r="C186" s="2057"/>
      <c r="D186" s="1519" t="s">
        <v>7</v>
      </c>
      <c r="E186" s="1519" t="s">
        <v>8</v>
      </c>
      <c r="F186" s="1572" t="s">
        <v>9</v>
      </c>
      <c r="G186" s="1572" t="s">
        <v>9</v>
      </c>
      <c r="H186" s="2071" t="s">
        <v>10</v>
      </c>
      <c r="I186" s="2072"/>
      <c r="J186" s="2071" t="s">
        <v>11</v>
      </c>
      <c r="K186" s="2072"/>
      <c r="L186" s="2071" t="s">
        <v>12</v>
      </c>
      <c r="M186" s="2072"/>
      <c r="N186" s="2071" t="s">
        <v>13</v>
      </c>
      <c r="O186" s="2072"/>
      <c r="P186" s="2071" t="s">
        <v>14</v>
      </c>
      <c r="Q186" s="2072"/>
      <c r="R186" s="2087" t="s">
        <v>15</v>
      </c>
      <c r="S186" s="2088"/>
      <c r="T186" s="2071" t="s">
        <v>16</v>
      </c>
      <c r="U186" s="2072"/>
      <c r="V186" s="2057"/>
      <c r="W186" s="2071" t="s">
        <v>17</v>
      </c>
      <c r="X186" s="2072"/>
      <c r="Y186" s="2071" t="s">
        <v>18</v>
      </c>
      <c r="Z186" s="2081"/>
      <c r="AA186" s="2072"/>
      <c r="AB186" s="2071" t="s">
        <v>19</v>
      </c>
      <c r="AC186" s="2081"/>
      <c r="AD186" s="2072"/>
      <c r="AE186" s="2043"/>
      <c r="AF186" s="2066"/>
      <c r="AG186" s="2067"/>
      <c r="AH186" s="2067"/>
      <c r="AI186" s="2067"/>
      <c r="AJ186" s="2067"/>
      <c r="AK186" s="2067"/>
      <c r="AL186" s="2068"/>
      <c r="AM186" s="2046"/>
      <c r="AN186" s="2057"/>
      <c r="AO186" s="1534" t="s">
        <v>9</v>
      </c>
      <c r="AP186" s="2039"/>
      <c r="AQ186" s="2040"/>
      <c r="AR186" s="2041"/>
      <c r="AS186" s="2039"/>
      <c r="AT186" s="2040"/>
      <c r="AU186" s="2040"/>
      <c r="AV186" s="2040"/>
      <c r="AW186" s="2040"/>
      <c r="AX186" s="1534" t="s">
        <v>21</v>
      </c>
      <c r="AY186" s="2043"/>
      <c r="AZ186" s="2046"/>
      <c r="BA186" s="2046"/>
      <c r="BB186" s="2046"/>
      <c r="BC186" s="1540" t="s">
        <v>9</v>
      </c>
      <c r="BD186" s="2085"/>
      <c r="BE186" s="2086"/>
      <c r="BG186" s="1573"/>
      <c r="BH186" s="1573"/>
      <c r="BI186" s="1573"/>
      <c r="BJ186" s="1555"/>
      <c r="BK186" s="1561"/>
      <c r="BL186" s="1561"/>
      <c r="BM186" s="1561"/>
      <c r="BN186" s="1555"/>
      <c r="BO186" s="1555"/>
    </row>
    <row r="187" spans="1:69" s="1523" customFormat="1" ht="63" customHeight="1">
      <c r="A187" s="2051"/>
      <c r="B187" s="2054"/>
      <c r="C187" s="2057"/>
      <c r="D187" s="1519" t="s">
        <v>22</v>
      </c>
      <c r="E187" s="1519" t="s">
        <v>23</v>
      </c>
      <c r="F187" s="1572" t="s">
        <v>24</v>
      </c>
      <c r="G187" s="1572" t="s">
        <v>25</v>
      </c>
      <c r="H187" s="2069" t="s">
        <v>4</v>
      </c>
      <c r="I187" s="2070"/>
      <c r="J187" s="2069" t="s">
        <v>4</v>
      </c>
      <c r="K187" s="2070"/>
      <c r="L187" s="2069" t="s">
        <v>4</v>
      </c>
      <c r="M187" s="2070"/>
      <c r="N187" s="2069" t="s">
        <v>4</v>
      </c>
      <c r="O187" s="2070"/>
      <c r="P187" s="2069" t="s">
        <v>4</v>
      </c>
      <c r="Q187" s="2070"/>
      <c r="R187" s="2082" t="s">
        <v>4</v>
      </c>
      <c r="S187" s="2083"/>
      <c r="T187" s="2069" t="s">
        <v>4</v>
      </c>
      <c r="U187" s="2070"/>
      <c r="V187" s="2057"/>
      <c r="W187" s="1534" t="s">
        <v>27</v>
      </c>
      <c r="X187" s="1574" t="s">
        <v>28</v>
      </c>
      <c r="Y187" s="1534" t="s">
        <v>27</v>
      </c>
      <c r="Z187" s="2069" t="s">
        <v>4</v>
      </c>
      <c r="AA187" s="2070"/>
      <c r="AB187" s="1534" t="s">
        <v>27</v>
      </c>
      <c r="AC187" s="2071" t="s">
        <v>4</v>
      </c>
      <c r="AD187" s="2072"/>
      <c r="AE187" s="2062"/>
      <c r="AF187" s="1575" t="s">
        <v>56</v>
      </c>
      <c r="AG187" s="1575" t="s">
        <v>57</v>
      </c>
      <c r="AH187" s="1575" t="s">
        <v>60</v>
      </c>
      <c r="AI187" s="1575" t="s">
        <v>202</v>
      </c>
      <c r="AJ187" s="1575" t="s">
        <v>218</v>
      </c>
      <c r="AK187" s="1575" t="s">
        <v>572</v>
      </c>
      <c r="AL187" s="1575" t="s">
        <v>288</v>
      </c>
      <c r="AM187" s="2089"/>
      <c r="AN187" s="2090"/>
      <c r="AO187" s="1534" t="s">
        <v>29</v>
      </c>
      <c r="AP187" s="1519" t="s">
        <v>30</v>
      </c>
      <c r="AQ187" s="1519" t="s">
        <v>31</v>
      </c>
      <c r="AR187" s="1519" t="s">
        <v>4</v>
      </c>
      <c r="AS187" s="1576" t="s">
        <v>30</v>
      </c>
      <c r="AT187" s="1574" t="s">
        <v>31</v>
      </c>
      <c r="AU187" s="1574" t="s">
        <v>30</v>
      </c>
      <c r="AV187" s="1574" t="s">
        <v>31</v>
      </c>
      <c r="AW187" s="1577" t="s">
        <v>4</v>
      </c>
      <c r="AX187" s="1534" t="s">
        <v>32</v>
      </c>
      <c r="AY187" s="2043"/>
      <c r="AZ187" s="2046"/>
      <c r="BA187" s="2046"/>
      <c r="BB187" s="2046"/>
      <c r="BC187" s="1540" t="s">
        <v>33</v>
      </c>
      <c r="BD187" s="2073" t="s">
        <v>42</v>
      </c>
      <c r="BE187" s="2075" t="s">
        <v>43</v>
      </c>
      <c r="BG187" s="1573"/>
      <c r="BH187" s="1578"/>
      <c r="BI187" s="1578"/>
      <c r="BJ187" s="1555"/>
      <c r="BK187" s="1561"/>
      <c r="BL187" s="1561"/>
      <c r="BM187" s="1561"/>
      <c r="BN187" s="1555"/>
      <c r="BO187" s="1555"/>
    </row>
    <row r="188" spans="1:69" s="1523" customFormat="1" ht="21" customHeight="1" thickBot="1">
      <c r="A188" s="2052"/>
      <c r="B188" s="2055"/>
      <c r="C188" s="2058"/>
      <c r="D188" s="1520"/>
      <c r="E188" s="1520"/>
      <c r="F188" s="1579" t="s">
        <v>34</v>
      </c>
      <c r="G188" s="1580" t="s">
        <v>34</v>
      </c>
      <c r="H188" s="1581" t="s">
        <v>8</v>
      </c>
      <c r="I188" s="1582" t="s">
        <v>34</v>
      </c>
      <c r="J188" s="1581" t="s">
        <v>8</v>
      </c>
      <c r="K188" s="1582" t="s">
        <v>34</v>
      </c>
      <c r="L188" s="1581" t="s">
        <v>8</v>
      </c>
      <c r="M188" s="1582" t="s">
        <v>34</v>
      </c>
      <c r="N188" s="1581" t="s">
        <v>8</v>
      </c>
      <c r="O188" s="1582" t="s">
        <v>34</v>
      </c>
      <c r="P188" s="1581" t="s">
        <v>8</v>
      </c>
      <c r="Q188" s="1582" t="s">
        <v>34</v>
      </c>
      <c r="R188" s="1581" t="s">
        <v>8</v>
      </c>
      <c r="S188" s="1582" t="s">
        <v>34</v>
      </c>
      <c r="T188" s="1581" t="s">
        <v>8</v>
      </c>
      <c r="U188" s="1582" t="s">
        <v>34</v>
      </c>
      <c r="V188" s="2058"/>
      <c r="W188" s="1581" t="s">
        <v>26</v>
      </c>
      <c r="X188" s="1581" t="s">
        <v>34</v>
      </c>
      <c r="Y188" s="1581" t="s">
        <v>26</v>
      </c>
      <c r="Z188" s="1581" t="s">
        <v>26</v>
      </c>
      <c r="AA188" s="1581" t="s">
        <v>34</v>
      </c>
      <c r="AB188" s="1581" t="s">
        <v>26</v>
      </c>
      <c r="AC188" s="1581" t="s">
        <v>35</v>
      </c>
      <c r="AD188" s="1581" t="s">
        <v>34</v>
      </c>
      <c r="AE188" s="1581" t="s">
        <v>34</v>
      </c>
      <c r="AF188" s="1582" t="s">
        <v>34</v>
      </c>
      <c r="AG188" s="1582" t="s">
        <v>34</v>
      </c>
      <c r="AH188" s="1582" t="s">
        <v>34</v>
      </c>
      <c r="AI188" s="1582" t="s">
        <v>34</v>
      </c>
      <c r="AJ188" s="1582" t="s">
        <v>34</v>
      </c>
      <c r="AK188" s="1582" t="s">
        <v>34</v>
      </c>
      <c r="AL188" s="1582" t="s">
        <v>34</v>
      </c>
      <c r="AM188" s="1582" t="s">
        <v>34</v>
      </c>
      <c r="AN188" s="1581" t="s">
        <v>34</v>
      </c>
      <c r="AO188" s="1582" t="s">
        <v>34</v>
      </c>
      <c r="AP188" s="1582" t="s">
        <v>34</v>
      </c>
      <c r="AQ188" s="1582" t="s">
        <v>34</v>
      </c>
      <c r="AR188" s="1582" t="s">
        <v>34</v>
      </c>
      <c r="AS188" s="1581" t="s">
        <v>58</v>
      </c>
      <c r="AT188" s="1582" t="s">
        <v>34</v>
      </c>
      <c r="AU188" s="1582" t="s">
        <v>59</v>
      </c>
      <c r="AV188" s="1582" t="s">
        <v>34</v>
      </c>
      <c r="AW188" s="1583" t="s">
        <v>34</v>
      </c>
      <c r="AX188" s="1537"/>
      <c r="AY188" s="2044"/>
      <c r="AZ188" s="2047"/>
      <c r="BA188" s="2047"/>
      <c r="BB188" s="2047"/>
      <c r="BC188" s="1541" t="s">
        <v>34</v>
      </c>
      <c r="BD188" s="2074"/>
      <c r="BE188" s="2076"/>
      <c r="BG188" s="1555" t="s">
        <v>353</v>
      </c>
      <c r="BH188" s="1578" t="s">
        <v>43</v>
      </c>
      <c r="BI188" s="1578" t="s">
        <v>42</v>
      </c>
      <c r="BJ188" s="1555" t="s">
        <v>354</v>
      </c>
      <c r="BK188" s="1561" t="s">
        <v>358</v>
      </c>
      <c r="BL188" s="1561"/>
      <c r="BM188" s="1561" t="s">
        <v>625</v>
      </c>
      <c r="BN188" s="1555" t="s">
        <v>626</v>
      </c>
      <c r="BO188" s="1555" t="s">
        <v>627</v>
      </c>
      <c r="BQ188" s="1523" t="s">
        <v>685</v>
      </c>
    </row>
    <row r="189" spans="1:69" ht="102" customHeight="1" thickBot="1">
      <c r="A189" s="1584" t="s">
        <v>82</v>
      </c>
      <c r="B189" s="1489" t="s">
        <v>36</v>
      </c>
      <c r="C189" s="1585" t="s">
        <v>128</v>
      </c>
      <c r="D189" s="1590" t="s">
        <v>197</v>
      </c>
      <c r="E189" s="1489">
        <f>'HK UP KEEP, OP '!AH27</f>
        <v>16</v>
      </c>
      <c r="F189" s="1490">
        <v>129220</v>
      </c>
      <c r="G189" s="1490">
        <f t="shared" si="0"/>
        <v>2067520</v>
      </c>
      <c r="H189" s="1489">
        <f>'HK UP KEEP, OP '!AI27</f>
        <v>1</v>
      </c>
      <c r="I189" s="1489">
        <f t="shared" si="1"/>
        <v>129220</v>
      </c>
      <c r="J189" s="1489">
        <f>'HK UP KEEP, OP '!AJ27</f>
        <v>4</v>
      </c>
      <c r="K189" s="1489">
        <f t="shared" si="2"/>
        <v>516880</v>
      </c>
      <c r="L189" s="1489">
        <f>'HK UP KEEP, OP '!AK27</f>
        <v>0</v>
      </c>
      <c r="M189" s="1489">
        <f t="shared" si="3"/>
        <v>0</v>
      </c>
      <c r="N189" s="1489">
        <f>'HK UP KEEP, OP '!AL27</f>
        <v>4</v>
      </c>
      <c r="O189" s="1489">
        <f t="shared" si="4"/>
        <v>516880</v>
      </c>
      <c r="P189" s="1489">
        <f>'HK UP KEEP, OP '!AM27</f>
        <v>3</v>
      </c>
      <c r="Q189" s="1489">
        <f t="shared" si="5"/>
        <v>387660</v>
      </c>
      <c r="R189" s="1489">
        <f>'HK UP KEEP, OP '!AN27</f>
        <v>0</v>
      </c>
      <c r="S189" s="1489">
        <f t="shared" si="6"/>
        <v>0</v>
      </c>
      <c r="T189" s="1489">
        <f>'HK UP KEEP, OP '!AO27+'HK UP KEEP, OP '!AP27+'HK UP KEEP, OP '!AQ27</f>
        <v>0</v>
      </c>
      <c r="U189" s="1489">
        <f t="shared" si="7"/>
        <v>0</v>
      </c>
      <c r="V189" s="1489">
        <f t="shared" si="8"/>
        <v>28</v>
      </c>
      <c r="W189" s="1491">
        <v>5550</v>
      </c>
      <c r="X189" s="1489">
        <f t="shared" si="9"/>
        <v>155400</v>
      </c>
      <c r="Y189" s="1489"/>
      <c r="Z189" s="1489"/>
      <c r="AA189" s="1489">
        <f t="shared" si="27"/>
        <v>0</v>
      </c>
      <c r="AB189" s="1489">
        <v>2500</v>
      </c>
      <c r="AC189" s="1489">
        <f>'MASA KERJA AB'!H28</f>
        <v>16</v>
      </c>
      <c r="AD189" s="1492">
        <f>'MASA KERJA AB'!I28</f>
        <v>43500</v>
      </c>
      <c r="AE189" s="1497">
        <f>'LEMBUR DAN PREMI UPKEEP'!AJ27</f>
        <v>0</v>
      </c>
      <c r="AF189" s="1489"/>
      <c r="AG189" s="1489"/>
      <c r="AH189" s="1489"/>
      <c r="AI189" s="1489"/>
      <c r="AJ189" s="1489"/>
      <c r="AK189" s="1493"/>
      <c r="AL189" s="1489"/>
      <c r="AM189" s="1489"/>
      <c r="AN189" s="1489"/>
      <c r="AO189" s="1494">
        <f t="shared" si="10"/>
        <v>3817060</v>
      </c>
      <c r="AP189" s="1489">
        <f t="shared" si="20"/>
        <v>77532</v>
      </c>
      <c r="AQ189" s="1489">
        <f t="shared" si="21"/>
        <v>175997.64</v>
      </c>
      <c r="AR189" s="1489">
        <f t="shared" si="28"/>
        <v>253529.64</v>
      </c>
      <c r="AS189" s="1489">
        <f t="shared" si="22"/>
        <v>39201</v>
      </c>
      <c r="AT189" s="1489">
        <f t="shared" si="23"/>
        <v>156804</v>
      </c>
      <c r="AU189" s="1489">
        <f t="shared" si="24"/>
        <v>38766</v>
      </c>
      <c r="AV189" s="1489">
        <f t="shared" si="25"/>
        <v>77532</v>
      </c>
      <c r="AW189" s="1489">
        <f t="shared" si="29"/>
        <v>312303</v>
      </c>
      <c r="AX189" s="1492">
        <v>4000</v>
      </c>
      <c r="AY189" s="1491">
        <v>0</v>
      </c>
      <c r="AZ189" s="1489">
        <f t="shared" si="13"/>
        <v>0</v>
      </c>
      <c r="BA189" s="1489"/>
      <c r="BB189" s="1489"/>
      <c r="BC189" s="1489">
        <f t="shared" si="14"/>
        <v>3657561</v>
      </c>
      <c r="BD189" s="1495">
        <f>'HK UP KEEP, OP '!AS27</f>
        <v>1</v>
      </c>
      <c r="BE189" s="1488">
        <f>'HK UP KEEP, OP '!AT27</f>
        <v>2</v>
      </c>
      <c r="BG189" s="1551">
        <f t="shared" si="15"/>
        <v>3618160</v>
      </c>
      <c r="BH189" s="1552">
        <f t="shared" si="16"/>
        <v>129220</v>
      </c>
      <c r="BI189" s="1552">
        <f t="shared" si="17"/>
        <v>258440</v>
      </c>
      <c r="BJ189" s="1551">
        <f t="shared" si="18"/>
        <v>-387660</v>
      </c>
      <c r="BK189" s="1553">
        <f t="shared" si="26"/>
        <v>4005820</v>
      </c>
      <c r="BM189" s="1553">
        <f t="shared" si="30"/>
        <v>198900</v>
      </c>
      <c r="BN189" s="1551">
        <v>30575.999999999996</v>
      </c>
      <c r="BO189" s="1551">
        <f t="shared" si="19"/>
        <v>565832.64</v>
      </c>
    </row>
    <row r="190" spans="1:69" ht="23.25" customHeight="1">
      <c r="A190" s="2048" t="s">
        <v>0</v>
      </c>
      <c r="B190" s="2048"/>
      <c r="C190" s="2048"/>
      <c r="D190" s="2048"/>
      <c r="E190" s="2048"/>
      <c r="F190" s="2048"/>
      <c r="G190" s="2048"/>
      <c r="H190" s="2048"/>
      <c r="I190" s="2048"/>
      <c r="J190" s="2048"/>
      <c r="K190" s="2048"/>
      <c r="L190" s="2048"/>
      <c r="M190" s="2048"/>
      <c r="N190" s="2048"/>
      <c r="O190" s="2048"/>
      <c r="P190" s="2048"/>
      <c r="Q190" s="2048"/>
      <c r="R190" s="2048"/>
      <c r="S190" s="2048"/>
      <c r="T190" s="2048"/>
      <c r="U190" s="2048"/>
      <c r="V190" s="2048"/>
      <c r="W190" s="2048"/>
      <c r="X190" s="2048"/>
      <c r="Y190" s="2048"/>
      <c r="Z190" s="2048"/>
      <c r="AA190" s="2048"/>
      <c r="AB190" s="2048"/>
      <c r="AC190" s="2048"/>
      <c r="AD190" s="2048"/>
      <c r="AE190" s="2048"/>
      <c r="AF190" s="2048"/>
      <c r="AG190" s="2048"/>
      <c r="AH190" s="2048"/>
      <c r="AI190" s="2048"/>
      <c r="AJ190" s="2048"/>
      <c r="AK190" s="2048"/>
      <c r="AL190" s="2048"/>
      <c r="AM190" s="2048"/>
      <c r="AN190" s="2048"/>
      <c r="AO190" s="2048"/>
      <c r="AP190" s="2048"/>
      <c r="AQ190" s="2048"/>
      <c r="AR190" s="2048"/>
      <c r="AS190" s="2048"/>
      <c r="AT190" s="2048"/>
      <c r="AU190" s="2048"/>
      <c r="AV190" s="2048"/>
      <c r="AW190" s="2048"/>
      <c r="AX190" s="2048"/>
      <c r="AY190" s="2048"/>
      <c r="AZ190" s="2048"/>
      <c r="BA190" s="2048"/>
      <c r="BB190" s="2048"/>
      <c r="BC190" s="2048"/>
      <c r="BD190" s="2048"/>
      <c r="BE190" s="2048"/>
    </row>
    <row r="191" spans="1:69" ht="26.25" customHeight="1">
      <c r="A191" s="2049" t="s">
        <v>1033</v>
      </c>
      <c r="B191" s="2049"/>
      <c r="C191" s="2049"/>
      <c r="D191" s="2049"/>
      <c r="E191" s="2049"/>
      <c r="F191" s="2049"/>
      <c r="G191" s="2049"/>
      <c r="H191" s="2049"/>
      <c r="I191" s="2049"/>
      <c r="J191" s="2049"/>
      <c r="K191" s="2049"/>
      <c r="L191" s="2049"/>
      <c r="M191" s="2049"/>
      <c r="N191" s="2049"/>
      <c r="O191" s="2049"/>
      <c r="P191" s="2049"/>
      <c r="Q191" s="2049"/>
      <c r="R191" s="2049"/>
      <c r="S191" s="2049"/>
      <c r="T191" s="2049"/>
      <c r="U191" s="2049"/>
      <c r="V191" s="2049"/>
      <c r="W191" s="2049"/>
      <c r="X191" s="2049"/>
      <c r="Y191" s="2049"/>
      <c r="Z191" s="2049"/>
      <c r="AA191" s="2049"/>
      <c r="AB191" s="2049"/>
      <c r="AC191" s="2049"/>
      <c r="AD191" s="2049"/>
      <c r="AE191" s="2049"/>
      <c r="AF191" s="2049"/>
      <c r="AG191" s="2049"/>
      <c r="AH191" s="2049"/>
      <c r="AI191" s="2049"/>
      <c r="AJ191" s="2049"/>
      <c r="AK191" s="2049"/>
      <c r="AL191" s="2049"/>
      <c r="AM191" s="2049"/>
      <c r="AN191" s="2049"/>
      <c r="AO191" s="2049"/>
      <c r="AP191" s="2049"/>
      <c r="AQ191" s="2049"/>
      <c r="AR191" s="2049"/>
      <c r="AS191" s="2049"/>
      <c r="AT191" s="2049"/>
      <c r="AU191" s="2049"/>
      <c r="AV191" s="2049"/>
      <c r="AW191" s="2049"/>
      <c r="AX191" s="2049"/>
      <c r="AY191" s="2049"/>
      <c r="AZ191" s="2049"/>
      <c r="BA191" s="2049"/>
      <c r="BB191" s="2049"/>
      <c r="BC191" s="2049"/>
      <c r="BD191" s="2049"/>
      <c r="BE191" s="2049"/>
    </row>
    <row r="192" spans="1:69" s="1523" customFormat="1" ht="18.75" customHeight="1">
      <c r="C192" s="1554"/>
      <c r="D192" s="1523" t="s">
        <v>964</v>
      </c>
      <c r="F192" s="1555"/>
      <c r="G192" s="1555"/>
      <c r="X192" s="1556"/>
      <c r="AE192" s="1532"/>
      <c r="AK192" s="1557"/>
      <c r="AP192" s="1558">
        <v>3876600</v>
      </c>
      <c r="AQ192" s="1559">
        <f>AP192/30</f>
        <v>129220</v>
      </c>
      <c r="AR192" s="1559">
        <f>AP192/173*1.5</f>
        <v>33612.138728323698</v>
      </c>
      <c r="AS192" s="1559">
        <f>AP192/173*2</f>
        <v>44816.184971098264</v>
      </c>
      <c r="AW192" s="1532" t="s">
        <v>55</v>
      </c>
      <c r="AX192" s="1523" t="s">
        <v>152</v>
      </c>
      <c r="BC192" s="1531"/>
      <c r="BE192" s="1532"/>
      <c r="BG192" s="1555"/>
      <c r="BH192" s="1560"/>
      <c r="BI192" s="1560"/>
      <c r="BJ192" s="1555"/>
      <c r="BK192" s="1561"/>
      <c r="BL192" s="1561"/>
      <c r="BM192" s="1561"/>
      <c r="BN192" s="1555"/>
      <c r="BO192" s="1555"/>
    </row>
    <row r="193" spans="1:69" ht="15" customHeight="1" thickBot="1">
      <c r="A193" s="1547"/>
      <c r="D193" s="1563"/>
      <c r="E193" s="1563"/>
      <c r="F193" s="1564"/>
      <c r="G193" s="1564"/>
      <c r="H193" s="1563"/>
      <c r="I193" s="1563"/>
      <c r="J193" s="1563"/>
      <c r="K193" s="1563"/>
      <c r="L193" s="1563"/>
      <c r="M193" s="1563"/>
      <c r="N193" s="1563"/>
      <c r="O193" s="1563"/>
      <c r="Q193" s="1563"/>
      <c r="R193" s="1563"/>
      <c r="S193" s="1563"/>
      <c r="T193" s="1563"/>
      <c r="U193" s="1563"/>
      <c r="V193" s="1563"/>
      <c r="W193" s="1563"/>
      <c r="X193" s="1563"/>
      <c r="Y193" s="1563"/>
      <c r="Z193" s="1563"/>
      <c r="AA193" s="1563"/>
      <c r="AB193" s="1563"/>
      <c r="AC193" s="1563"/>
      <c r="AD193" s="1547"/>
      <c r="AE193" s="1563"/>
      <c r="AF193" s="1563"/>
      <c r="AG193" s="1563"/>
      <c r="AH193" s="1563"/>
      <c r="AI193" s="1563"/>
      <c r="AJ193" s="1563"/>
      <c r="AK193" s="1565"/>
      <c r="AL193" s="1563"/>
      <c r="AM193" s="1563"/>
      <c r="AO193" s="1563"/>
      <c r="AP193" s="1558">
        <v>3876600</v>
      </c>
      <c r="AQ193" s="1566">
        <f>AP193/30</f>
        <v>129220</v>
      </c>
      <c r="AR193" s="1567"/>
      <c r="AS193" s="1568">
        <f>AP193+24000</f>
        <v>3900600</v>
      </c>
    </row>
    <row r="194" spans="1:69" s="1523" customFormat="1" ht="15.75" customHeight="1">
      <c r="A194" s="2050" t="s">
        <v>5</v>
      </c>
      <c r="B194" s="2053" t="s">
        <v>6</v>
      </c>
      <c r="C194" s="2056" t="s">
        <v>52</v>
      </c>
      <c r="D194" s="1569"/>
      <c r="E194" s="1569"/>
      <c r="F194" s="1570"/>
      <c r="G194" s="1570"/>
      <c r="H194" s="2059" t="s">
        <v>2</v>
      </c>
      <c r="I194" s="2060"/>
      <c r="J194" s="2060"/>
      <c r="K194" s="2060"/>
      <c r="L194" s="2060"/>
      <c r="M194" s="2060"/>
      <c r="N194" s="2060"/>
      <c r="O194" s="2060"/>
      <c r="P194" s="2060"/>
      <c r="Q194" s="2060"/>
      <c r="R194" s="2060"/>
      <c r="S194" s="2060"/>
      <c r="T194" s="2060"/>
      <c r="U194" s="2061"/>
      <c r="V194" s="2056" t="s">
        <v>286</v>
      </c>
      <c r="W194" s="2059" t="s">
        <v>3</v>
      </c>
      <c r="X194" s="2060"/>
      <c r="Y194" s="2060"/>
      <c r="Z194" s="2060"/>
      <c r="AA194" s="2060"/>
      <c r="AB194" s="2060"/>
      <c r="AC194" s="2060"/>
      <c r="AD194" s="2061"/>
      <c r="AE194" s="2042" t="s">
        <v>45</v>
      </c>
      <c r="AF194" s="2063" t="s">
        <v>46</v>
      </c>
      <c r="AG194" s="2064"/>
      <c r="AH194" s="2064"/>
      <c r="AI194" s="2064"/>
      <c r="AJ194" s="2064"/>
      <c r="AK194" s="2064"/>
      <c r="AL194" s="2065"/>
      <c r="AM194" s="2045" t="s">
        <v>98</v>
      </c>
      <c r="AN194" s="2056" t="s">
        <v>44</v>
      </c>
      <c r="AO194" s="1533" t="s">
        <v>4</v>
      </c>
      <c r="AP194" s="2036" t="s">
        <v>20</v>
      </c>
      <c r="AQ194" s="2037"/>
      <c r="AR194" s="2038"/>
      <c r="AS194" s="2036" t="s">
        <v>54</v>
      </c>
      <c r="AT194" s="2037"/>
      <c r="AU194" s="2037"/>
      <c r="AV194" s="2037"/>
      <c r="AW194" s="2037"/>
      <c r="AX194" s="1571"/>
      <c r="AY194" s="2042" t="s">
        <v>89</v>
      </c>
      <c r="AZ194" s="2045" t="s">
        <v>97</v>
      </c>
      <c r="BA194" s="2045" t="s">
        <v>719</v>
      </c>
      <c r="BB194" s="2045" t="s">
        <v>210</v>
      </c>
      <c r="BC194" s="1539" t="s">
        <v>4</v>
      </c>
      <c r="BD194" s="2063" t="s">
        <v>41</v>
      </c>
      <c r="BE194" s="2084"/>
      <c r="BG194" s="1555"/>
      <c r="BH194" s="1560"/>
      <c r="BI194" s="1560"/>
      <c r="BJ194" s="1555"/>
      <c r="BK194" s="1561"/>
      <c r="BL194" s="1561"/>
      <c r="BM194" s="1561"/>
      <c r="BN194" s="1555"/>
      <c r="BO194" s="1555"/>
    </row>
    <row r="195" spans="1:69" s="1523" customFormat="1" ht="25.5" customHeight="1">
      <c r="A195" s="2051"/>
      <c r="B195" s="2054"/>
      <c r="C195" s="2057"/>
      <c r="D195" s="1519" t="s">
        <v>7</v>
      </c>
      <c r="E195" s="1519" t="s">
        <v>8</v>
      </c>
      <c r="F195" s="1572" t="s">
        <v>9</v>
      </c>
      <c r="G195" s="1572" t="s">
        <v>9</v>
      </c>
      <c r="H195" s="2071" t="s">
        <v>10</v>
      </c>
      <c r="I195" s="2072"/>
      <c r="J195" s="2071" t="s">
        <v>11</v>
      </c>
      <c r="K195" s="2072"/>
      <c r="L195" s="2071" t="s">
        <v>12</v>
      </c>
      <c r="M195" s="2072"/>
      <c r="N195" s="2071" t="s">
        <v>13</v>
      </c>
      <c r="O195" s="2072"/>
      <c r="P195" s="2071" t="s">
        <v>14</v>
      </c>
      <c r="Q195" s="2072"/>
      <c r="R195" s="2087" t="s">
        <v>15</v>
      </c>
      <c r="S195" s="2088"/>
      <c r="T195" s="2071" t="s">
        <v>16</v>
      </c>
      <c r="U195" s="2072"/>
      <c r="V195" s="2057"/>
      <c r="W195" s="2071" t="s">
        <v>17</v>
      </c>
      <c r="X195" s="2072"/>
      <c r="Y195" s="2071" t="s">
        <v>18</v>
      </c>
      <c r="Z195" s="2081"/>
      <c r="AA195" s="2072"/>
      <c r="AB195" s="2071" t="s">
        <v>19</v>
      </c>
      <c r="AC195" s="2081"/>
      <c r="AD195" s="2072"/>
      <c r="AE195" s="2043"/>
      <c r="AF195" s="2066"/>
      <c r="AG195" s="2067"/>
      <c r="AH195" s="2067"/>
      <c r="AI195" s="2067"/>
      <c r="AJ195" s="2067"/>
      <c r="AK195" s="2067"/>
      <c r="AL195" s="2068"/>
      <c r="AM195" s="2046"/>
      <c r="AN195" s="2057"/>
      <c r="AO195" s="1534" t="s">
        <v>9</v>
      </c>
      <c r="AP195" s="2039"/>
      <c r="AQ195" s="2040"/>
      <c r="AR195" s="2041"/>
      <c r="AS195" s="2039"/>
      <c r="AT195" s="2040"/>
      <c r="AU195" s="2040"/>
      <c r="AV195" s="2040"/>
      <c r="AW195" s="2040"/>
      <c r="AX195" s="1534" t="s">
        <v>21</v>
      </c>
      <c r="AY195" s="2043"/>
      <c r="AZ195" s="2046"/>
      <c r="BA195" s="2046"/>
      <c r="BB195" s="2046"/>
      <c r="BC195" s="1540" t="s">
        <v>9</v>
      </c>
      <c r="BD195" s="2085"/>
      <c r="BE195" s="2086"/>
      <c r="BG195" s="1573"/>
      <c r="BH195" s="1573"/>
      <c r="BI195" s="1573"/>
      <c r="BJ195" s="1555"/>
      <c r="BK195" s="1561"/>
      <c r="BL195" s="1561"/>
      <c r="BM195" s="1561"/>
      <c r="BN195" s="1555"/>
      <c r="BO195" s="1555"/>
    </row>
    <row r="196" spans="1:69" s="1523" customFormat="1" ht="63" customHeight="1">
      <c r="A196" s="2051"/>
      <c r="B196" s="2054"/>
      <c r="C196" s="2057"/>
      <c r="D196" s="1519" t="s">
        <v>22</v>
      </c>
      <c r="E196" s="1519" t="s">
        <v>23</v>
      </c>
      <c r="F196" s="1572" t="s">
        <v>24</v>
      </c>
      <c r="G196" s="1572" t="s">
        <v>25</v>
      </c>
      <c r="H196" s="2069" t="s">
        <v>4</v>
      </c>
      <c r="I196" s="2070"/>
      <c r="J196" s="2069" t="s">
        <v>4</v>
      </c>
      <c r="K196" s="2070"/>
      <c r="L196" s="2069" t="s">
        <v>4</v>
      </c>
      <c r="M196" s="2070"/>
      <c r="N196" s="2069" t="s">
        <v>4</v>
      </c>
      <c r="O196" s="2070"/>
      <c r="P196" s="2069" t="s">
        <v>4</v>
      </c>
      <c r="Q196" s="2070"/>
      <c r="R196" s="2082" t="s">
        <v>4</v>
      </c>
      <c r="S196" s="2083"/>
      <c r="T196" s="2069" t="s">
        <v>4</v>
      </c>
      <c r="U196" s="2070"/>
      <c r="V196" s="2057"/>
      <c r="W196" s="1534" t="s">
        <v>27</v>
      </c>
      <c r="X196" s="1574" t="s">
        <v>28</v>
      </c>
      <c r="Y196" s="1534" t="s">
        <v>27</v>
      </c>
      <c r="Z196" s="2069" t="s">
        <v>4</v>
      </c>
      <c r="AA196" s="2070"/>
      <c r="AB196" s="1534" t="s">
        <v>27</v>
      </c>
      <c r="AC196" s="2071" t="s">
        <v>4</v>
      </c>
      <c r="AD196" s="2072"/>
      <c r="AE196" s="2062"/>
      <c r="AF196" s="1575" t="s">
        <v>56</v>
      </c>
      <c r="AG196" s="1575" t="s">
        <v>57</v>
      </c>
      <c r="AH196" s="1575" t="s">
        <v>60</v>
      </c>
      <c r="AI196" s="1575" t="s">
        <v>202</v>
      </c>
      <c r="AJ196" s="1575" t="s">
        <v>218</v>
      </c>
      <c r="AK196" s="1575" t="s">
        <v>572</v>
      </c>
      <c r="AL196" s="1575" t="s">
        <v>288</v>
      </c>
      <c r="AM196" s="2089"/>
      <c r="AN196" s="2090"/>
      <c r="AO196" s="1534" t="s">
        <v>29</v>
      </c>
      <c r="AP196" s="1519" t="s">
        <v>30</v>
      </c>
      <c r="AQ196" s="1519" t="s">
        <v>31</v>
      </c>
      <c r="AR196" s="1519" t="s">
        <v>4</v>
      </c>
      <c r="AS196" s="1576" t="s">
        <v>30</v>
      </c>
      <c r="AT196" s="1574" t="s">
        <v>31</v>
      </c>
      <c r="AU196" s="1574" t="s">
        <v>30</v>
      </c>
      <c r="AV196" s="1574" t="s">
        <v>31</v>
      </c>
      <c r="AW196" s="1577" t="s">
        <v>4</v>
      </c>
      <c r="AX196" s="1534" t="s">
        <v>32</v>
      </c>
      <c r="AY196" s="2043"/>
      <c r="AZ196" s="2046"/>
      <c r="BA196" s="2046"/>
      <c r="BB196" s="2046"/>
      <c r="BC196" s="1540" t="s">
        <v>33</v>
      </c>
      <c r="BD196" s="2073" t="s">
        <v>42</v>
      </c>
      <c r="BE196" s="2075" t="s">
        <v>43</v>
      </c>
      <c r="BG196" s="1573"/>
      <c r="BH196" s="1578"/>
      <c r="BI196" s="1578"/>
      <c r="BJ196" s="1555"/>
      <c r="BK196" s="1561"/>
      <c r="BL196" s="1561"/>
      <c r="BM196" s="1561"/>
      <c r="BN196" s="1555"/>
      <c r="BO196" s="1555"/>
    </row>
    <row r="197" spans="1:69" s="1523" customFormat="1" ht="21" customHeight="1" thickBot="1">
      <c r="A197" s="2052"/>
      <c r="B197" s="2055"/>
      <c r="C197" s="2058"/>
      <c r="D197" s="1520"/>
      <c r="E197" s="1520"/>
      <c r="F197" s="1579" t="s">
        <v>34</v>
      </c>
      <c r="G197" s="1580" t="s">
        <v>34</v>
      </c>
      <c r="H197" s="1581" t="s">
        <v>8</v>
      </c>
      <c r="I197" s="1582" t="s">
        <v>34</v>
      </c>
      <c r="J197" s="1581" t="s">
        <v>8</v>
      </c>
      <c r="K197" s="1582" t="s">
        <v>34</v>
      </c>
      <c r="L197" s="1581" t="s">
        <v>8</v>
      </c>
      <c r="M197" s="1582" t="s">
        <v>34</v>
      </c>
      <c r="N197" s="1581" t="s">
        <v>8</v>
      </c>
      <c r="O197" s="1582" t="s">
        <v>34</v>
      </c>
      <c r="P197" s="1581" t="s">
        <v>8</v>
      </c>
      <c r="Q197" s="1582" t="s">
        <v>34</v>
      </c>
      <c r="R197" s="1581" t="s">
        <v>8</v>
      </c>
      <c r="S197" s="1582" t="s">
        <v>34</v>
      </c>
      <c r="T197" s="1581" t="s">
        <v>8</v>
      </c>
      <c r="U197" s="1582" t="s">
        <v>34</v>
      </c>
      <c r="V197" s="2058"/>
      <c r="W197" s="1581" t="s">
        <v>26</v>
      </c>
      <c r="X197" s="1581" t="s">
        <v>34</v>
      </c>
      <c r="Y197" s="1581" t="s">
        <v>26</v>
      </c>
      <c r="Z197" s="1581" t="s">
        <v>26</v>
      </c>
      <c r="AA197" s="1581" t="s">
        <v>34</v>
      </c>
      <c r="AB197" s="1581" t="s">
        <v>26</v>
      </c>
      <c r="AC197" s="1581" t="s">
        <v>35</v>
      </c>
      <c r="AD197" s="1581" t="s">
        <v>34</v>
      </c>
      <c r="AE197" s="1581" t="s">
        <v>34</v>
      </c>
      <c r="AF197" s="1582" t="s">
        <v>34</v>
      </c>
      <c r="AG197" s="1582" t="s">
        <v>34</v>
      </c>
      <c r="AH197" s="1582" t="s">
        <v>34</v>
      </c>
      <c r="AI197" s="1582" t="s">
        <v>34</v>
      </c>
      <c r="AJ197" s="1582" t="s">
        <v>34</v>
      </c>
      <c r="AK197" s="1582" t="s">
        <v>34</v>
      </c>
      <c r="AL197" s="1582" t="s">
        <v>34</v>
      </c>
      <c r="AM197" s="1582" t="s">
        <v>34</v>
      </c>
      <c r="AN197" s="1581" t="s">
        <v>34</v>
      </c>
      <c r="AO197" s="1582" t="s">
        <v>34</v>
      </c>
      <c r="AP197" s="1582" t="s">
        <v>34</v>
      </c>
      <c r="AQ197" s="1582" t="s">
        <v>34</v>
      </c>
      <c r="AR197" s="1582" t="s">
        <v>34</v>
      </c>
      <c r="AS197" s="1581" t="s">
        <v>58</v>
      </c>
      <c r="AT197" s="1582" t="s">
        <v>34</v>
      </c>
      <c r="AU197" s="1582" t="s">
        <v>59</v>
      </c>
      <c r="AV197" s="1582" t="s">
        <v>34</v>
      </c>
      <c r="AW197" s="1583" t="s">
        <v>34</v>
      </c>
      <c r="AX197" s="1537"/>
      <c r="AY197" s="2044"/>
      <c r="AZ197" s="2047"/>
      <c r="BA197" s="2047"/>
      <c r="BB197" s="2047"/>
      <c r="BC197" s="1541" t="s">
        <v>34</v>
      </c>
      <c r="BD197" s="2074"/>
      <c r="BE197" s="2076"/>
      <c r="BG197" s="1555" t="s">
        <v>353</v>
      </c>
      <c r="BH197" s="1578" t="s">
        <v>43</v>
      </c>
      <c r="BI197" s="1578" t="s">
        <v>42</v>
      </c>
      <c r="BJ197" s="1555" t="s">
        <v>354</v>
      </c>
      <c r="BK197" s="1561" t="s">
        <v>358</v>
      </c>
      <c r="BL197" s="1561"/>
      <c r="BM197" s="1561" t="s">
        <v>625</v>
      </c>
      <c r="BN197" s="1555" t="s">
        <v>626</v>
      </c>
      <c r="BO197" s="1555" t="s">
        <v>627</v>
      </c>
      <c r="BQ197" s="1523" t="s">
        <v>685</v>
      </c>
    </row>
    <row r="198" spans="1:69" ht="83.25" customHeight="1" thickBot="1">
      <c r="A198" s="1584" t="s">
        <v>83</v>
      </c>
      <c r="B198" s="1489" t="s">
        <v>37</v>
      </c>
      <c r="C198" s="1585" t="s">
        <v>130</v>
      </c>
      <c r="D198" s="1586" t="s">
        <v>112</v>
      </c>
      <c r="E198" s="1489">
        <f>'HK UP KEEP, OP '!AH28</f>
        <v>21</v>
      </c>
      <c r="F198" s="1490">
        <v>129220</v>
      </c>
      <c r="G198" s="1490">
        <f t="shared" si="0"/>
        <v>2713620</v>
      </c>
      <c r="H198" s="1489">
        <f>'HK UP KEEP, OP '!AI28</f>
        <v>1</v>
      </c>
      <c r="I198" s="1489">
        <f t="shared" si="1"/>
        <v>129220</v>
      </c>
      <c r="J198" s="1489">
        <f>'HK UP KEEP, OP '!AJ28</f>
        <v>2</v>
      </c>
      <c r="K198" s="1489">
        <f t="shared" si="2"/>
        <v>258440</v>
      </c>
      <c r="L198" s="1489">
        <f>'HK UP KEEP, OP '!AK28</f>
        <v>0</v>
      </c>
      <c r="M198" s="1489">
        <f t="shared" si="3"/>
        <v>0</v>
      </c>
      <c r="N198" s="1489">
        <f>'HK UP KEEP, OP '!AL28</f>
        <v>4</v>
      </c>
      <c r="O198" s="1489">
        <f t="shared" si="4"/>
        <v>516880</v>
      </c>
      <c r="P198" s="1489">
        <f>'HK UP KEEP, OP '!AM28</f>
        <v>3</v>
      </c>
      <c r="Q198" s="1489">
        <f t="shared" si="5"/>
        <v>387660</v>
      </c>
      <c r="R198" s="1489">
        <f>'HK UP KEEP, OP '!AN28</f>
        <v>0</v>
      </c>
      <c r="S198" s="1489">
        <f t="shared" si="6"/>
        <v>0</v>
      </c>
      <c r="T198" s="1489">
        <f>'HK UP KEEP, OP '!AO28+'HK UP KEEP, OP '!AP28+'HK UP KEEP, OP '!AQ28</f>
        <v>0</v>
      </c>
      <c r="U198" s="1489">
        <f t="shared" si="7"/>
        <v>0</v>
      </c>
      <c r="V198" s="1489">
        <f t="shared" si="8"/>
        <v>31</v>
      </c>
      <c r="W198" s="1491">
        <v>2250</v>
      </c>
      <c r="X198" s="1489">
        <f t="shared" si="9"/>
        <v>69750</v>
      </c>
      <c r="Y198" s="1489"/>
      <c r="Z198" s="1489"/>
      <c r="AA198" s="1489">
        <f t="shared" si="27"/>
        <v>0</v>
      </c>
      <c r="AB198" s="1489">
        <v>2500</v>
      </c>
      <c r="AC198" s="1489">
        <f>'MASA KERJA AB'!H29</f>
        <v>15</v>
      </c>
      <c r="AD198" s="1492">
        <f>'MASA KERJA AB'!I29</f>
        <v>43500</v>
      </c>
      <c r="AE198" s="1497"/>
      <c r="AF198" s="1489"/>
      <c r="AG198" s="1489"/>
      <c r="AH198" s="1489"/>
      <c r="AI198" s="1489"/>
      <c r="AJ198" s="1489"/>
      <c r="AK198" s="1493"/>
      <c r="AL198" s="1489"/>
      <c r="AM198" s="1489"/>
      <c r="AN198" s="1489"/>
      <c r="AO198" s="1494">
        <f t="shared" si="10"/>
        <v>4119070</v>
      </c>
      <c r="AP198" s="1489">
        <f t="shared" si="20"/>
        <v>77532</v>
      </c>
      <c r="AQ198" s="1489">
        <f t="shared" si="21"/>
        <v>175997.64</v>
      </c>
      <c r="AR198" s="1489">
        <f t="shared" si="28"/>
        <v>253529.64</v>
      </c>
      <c r="AS198" s="1489">
        <f t="shared" si="22"/>
        <v>39201</v>
      </c>
      <c r="AT198" s="1489">
        <f t="shared" si="23"/>
        <v>156804</v>
      </c>
      <c r="AU198" s="1489">
        <f t="shared" si="24"/>
        <v>38766</v>
      </c>
      <c r="AV198" s="1489">
        <f t="shared" si="25"/>
        <v>77532</v>
      </c>
      <c r="AW198" s="1489">
        <f t="shared" si="29"/>
        <v>312303</v>
      </c>
      <c r="AX198" s="1492">
        <v>4000</v>
      </c>
      <c r="AY198" s="1491">
        <v>0</v>
      </c>
      <c r="AZ198" s="1489">
        <f t="shared" si="13"/>
        <v>0</v>
      </c>
      <c r="BA198" s="1489"/>
      <c r="BB198" s="1489"/>
      <c r="BC198" s="1489">
        <f t="shared" si="14"/>
        <v>3959571</v>
      </c>
      <c r="BD198" s="1495">
        <f>'HK UP KEEP, OP '!AS28</f>
        <v>0</v>
      </c>
      <c r="BE198" s="1488">
        <f>'HK UP KEEP, OP '!AT28</f>
        <v>0</v>
      </c>
      <c r="BG198" s="1551">
        <f t="shared" si="15"/>
        <v>4005820</v>
      </c>
      <c r="BH198" s="1552">
        <f t="shared" si="16"/>
        <v>0</v>
      </c>
      <c r="BI198" s="1552">
        <f t="shared" si="17"/>
        <v>0</v>
      </c>
      <c r="BJ198" s="1551">
        <f t="shared" si="18"/>
        <v>0</v>
      </c>
      <c r="BK198" s="1553">
        <f t="shared" si="26"/>
        <v>4005820</v>
      </c>
      <c r="BM198" s="1553">
        <f t="shared" si="30"/>
        <v>113250</v>
      </c>
      <c r="BN198" s="1551">
        <v>30575.999999999996</v>
      </c>
      <c r="BO198" s="1551">
        <f t="shared" si="19"/>
        <v>565832.64</v>
      </c>
    </row>
    <row r="199" spans="1:69" ht="23.25" customHeight="1">
      <c r="A199" s="2048" t="s">
        <v>0</v>
      </c>
      <c r="B199" s="2048"/>
      <c r="C199" s="2048"/>
      <c r="D199" s="2048"/>
      <c r="E199" s="2048"/>
      <c r="F199" s="2048"/>
      <c r="G199" s="2048"/>
      <c r="H199" s="2048"/>
      <c r="I199" s="2048"/>
      <c r="J199" s="2048"/>
      <c r="K199" s="2048"/>
      <c r="L199" s="2048"/>
      <c r="M199" s="2048"/>
      <c r="N199" s="2048"/>
      <c r="O199" s="2048"/>
      <c r="P199" s="2048"/>
      <c r="Q199" s="2048"/>
      <c r="R199" s="2048"/>
      <c r="S199" s="2048"/>
      <c r="T199" s="2048"/>
      <c r="U199" s="2048"/>
      <c r="V199" s="2048"/>
      <c r="W199" s="2048"/>
      <c r="X199" s="2048"/>
      <c r="Y199" s="2048"/>
      <c r="Z199" s="2048"/>
      <c r="AA199" s="2048"/>
      <c r="AB199" s="2048"/>
      <c r="AC199" s="2048"/>
      <c r="AD199" s="2048"/>
      <c r="AE199" s="2048"/>
      <c r="AF199" s="2048"/>
      <c r="AG199" s="2048"/>
      <c r="AH199" s="2048"/>
      <c r="AI199" s="2048"/>
      <c r="AJ199" s="2048"/>
      <c r="AK199" s="2048"/>
      <c r="AL199" s="2048"/>
      <c r="AM199" s="2048"/>
      <c r="AN199" s="2048"/>
      <c r="AO199" s="2048"/>
      <c r="AP199" s="2048"/>
      <c r="AQ199" s="2048"/>
      <c r="AR199" s="2048"/>
      <c r="AS199" s="2048"/>
      <c r="AT199" s="2048"/>
      <c r="AU199" s="2048"/>
      <c r="AV199" s="2048"/>
      <c r="AW199" s="2048"/>
      <c r="AX199" s="2048"/>
      <c r="AY199" s="2048"/>
      <c r="AZ199" s="2048"/>
      <c r="BA199" s="2048"/>
      <c r="BB199" s="2048"/>
      <c r="BC199" s="2048"/>
      <c r="BD199" s="2048"/>
      <c r="BE199" s="2048"/>
    </row>
    <row r="200" spans="1:69" ht="26.25" customHeight="1">
      <c r="A200" s="2049" t="s">
        <v>1033</v>
      </c>
      <c r="B200" s="2049"/>
      <c r="C200" s="2049"/>
      <c r="D200" s="2049"/>
      <c r="E200" s="2049"/>
      <c r="F200" s="2049"/>
      <c r="G200" s="2049"/>
      <c r="H200" s="2049"/>
      <c r="I200" s="2049"/>
      <c r="J200" s="2049"/>
      <c r="K200" s="2049"/>
      <c r="L200" s="2049"/>
      <c r="M200" s="2049"/>
      <c r="N200" s="2049"/>
      <c r="O200" s="2049"/>
      <c r="P200" s="2049"/>
      <c r="Q200" s="2049"/>
      <c r="R200" s="2049"/>
      <c r="S200" s="2049"/>
      <c r="T200" s="2049"/>
      <c r="U200" s="2049"/>
      <c r="V200" s="2049"/>
      <c r="W200" s="2049"/>
      <c r="X200" s="2049"/>
      <c r="Y200" s="2049"/>
      <c r="Z200" s="2049"/>
      <c r="AA200" s="2049"/>
      <c r="AB200" s="2049"/>
      <c r="AC200" s="2049"/>
      <c r="AD200" s="2049"/>
      <c r="AE200" s="2049"/>
      <c r="AF200" s="2049"/>
      <c r="AG200" s="2049"/>
      <c r="AH200" s="2049"/>
      <c r="AI200" s="2049"/>
      <c r="AJ200" s="2049"/>
      <c r="AK200" s="2049"/>
      <c r="AL200" s="2049"/>
      <c r="AM200" s="2049"/>
      <c r="AN200" s="2049"/>
      <c r="AO200" s="2049"/>
      <c r="AP200" s="2049"/>
      <c r="AQ200" s="2049"/>
      <c r="AR200" s="2049"/>
      <c r="AS200" s="2049"/>
      <c r="AT200" s="2049"/>
      <c r="AU200" s="2049"/>
      <c r="AV200" s="2049"/>
      <c r="AW200" s="2049"/>
      <c r="AX200" s="2049"/>
      <c r="AY200" s="2049"/>
      <c r="AZ200" s="2049"/>
      <c r="BA200" s="2049"/>
      <c r="BB200" s="2049"/>
      <c r="BC200" s="2049"/>
      <c r="BD200" s="2049"/>
      <c r="BE200" s="2049"/>
    </row>
    <row r="201" spans="1:69" s="1523" customFormat="1" ht="18.75" customHeight="1">
      <c r="C201" s="1554"/>
      <c r="D201" s="1523" t="s">
        <v>964</v>
      </c>
      <c r="F201" s="1555"/>
      <c r="G201" s="1555"/>
      <c r="X201" s="1556"/>
      <c r="AE201" s="1532"/>
      <c r="AK201" s="1557"/>
      <c r="AP201" s="1558">
        <v>3876600</v>
      </c>
      <c r="AQ201" s="1559">
        <f>AP201/30</f>
        <v>129220</v>
      </c>
      <c r="AR201" s="1559">
        <f>AP201/173*1.5</f>
        <v>33612.138728323698</v>
      </c>
      <c r="AS201" s="1559">
        <f>AP201/173*2</f>
        <v>44816.184971098264</v>
      </c>
      <c r="AW201" s="1532" t="s">
        <v>55</v>
      </c>
      <c r="AX201" s="1523" t="s">
        <v>152</v>
      </c>
      <c r="BC201" s="1531"/>
      <c r="BE201" s="1532"/>
      <c r="BG201" s="1555"/>
      <c r="BH201" s="1560"/>
      <c r="BI201" s="1560"/>
      <c r="BJ201" s="1555"/>
      <c r="BK201" s="1561"/>
      <c r="BL201" s="1561"/>
      <c r="BM201" s="1561"/>
      <c r="BN201" s="1555"/>
      <c r="BO201" s="1555"/>
    </row>
    <row r="202" spans="1:69" ht="15" customHeight="1" thickBot="1">
      <c r="A202" s="1547"/>
      <c r="D202" s="1563"/>
      <c r="E202" s="1563"/>
      <c r="F202" s="1564"/>
      <c r="G202" s="1564"/>
      <c r="H202" s="1563"/>
      <c r="I202" s="1563"/>
      <c r="J202" s="1563"/>
      <c r="K202" s="1563"/>
      <c r="L202" s="1563"/>
      <c r="M202" s="1563"/>
      <c r="N202" s="1563"/>
      <c r="O202" s="1563"/>
      <c r="Q202" s="1563"/>
      <c r="R202" s="1563"/>
      <c r="S202" s="1563"/>
      <c r="T202" s="1563"/>
      <c r="U202" s="1563"/>
      <c r="V202" s="1563"/>
      <c r="W202" s="1563"/>
      <c r="X202" s="1563"/>
      <c r="Y202" s="1563"/>
      <c r="Z202" s="1563"/>
      <c r="AA202" s="1563"/>
      <c r="AB202" s="1563"/>
      <c r="AC202" s="1563"/>
      <c r="AD202" s="1547"/>
      <c r="AE202" s="1563"/>
      <c r="AF202" s="1563"/>
      <c r="AG202" s="1563"/>
      <c r="AH202" s="1563"/>
      <c r="AI202" s="1563"/>
      <c r="AJ202" s="1563"/>
      <c r="AK202" s="1565"/>
      <c r="AL202" s="1563"/>
      <c r="AM202" s="1563"/>
      <c r="AO202" s="1563"/>
      <c r="AP202" s="1558">
        <v>3876600</v>
      </c>
      <c r="AQ202" s="1566">
        <f>AP202/30</f>
        <v>129220</v>
      </c>
      <c r="AR202" s="1567"/>
      <c r="AS202" s="1568">
        <f>AP202+24000</f>
        <v>3900600</v>
      </c>
    </row>
    <row r="203" spans="1:69" s="1523" customFormat="1" ht="15.75" customHeight="1">
      <c r="A203" s="2050" t="s">
        <v>5</v>
      </c>
      <c r="B203" s="2053" t="s">
        <v>6</v>
      </c>
      <c r="C203" s="2056" t="s">
        <v>52</v>
      </c>
      <c r="D203" s="1569"/>
      <c r="E203" s="1569"/>
      <c r="F203" s="1570"/>
      <c r="G203" s="1570"/>
      <c r="H203" s="2059" t="s">
        <v>2</v>
      </c>
      <c r="I203" s="2060"/>
      <c r="J203" s="2060"/>
      <c r="K203" s="2060"/>
      <c r="L203" s="2060"/>
      <c r="M203" s="2060"/>
      <c r="N203" s="2060"/>
      <c r="O203" s="2060"/>
      <c r="P203" s="2060"/>
      <c r="Q203" s="2060"/>
      <c r="R203" s="2060"/>
      <c r="S203" s="2060"/>
      <c r="T203" s="2060"/>
      <c r="U203" s="2061"/>
      <c r="V203" s="2056" t="s">
        <v>286</v>
      </c>
      <c r="W203" s="2059" t="s">
        <v>3</v>
      </c>
      <c r="X203" s="2060"/>
      <c r="Y203" s="2060"/>
      <c r="Z203" s="2060"/>
      <c r="AA203" s="2060"/>
      <c r="AB203" s="2060"/>
      <c r="AC203" s="2060"/>
      <c r="AD203" s="2061"/>
      <c r="AE203" s="2042" t="s">
        <v>45</v>
      </c>
      <c r="AF203" s="2063" t="s">
        <v>46</v>
      </c>
      <c r="AG203" s="2064"/>
      <c r="AH203" s="2064"/>
      <c r="AI203" s="2064"/>
      <c r="AJ203" s="2064"/>
      <c r="AK203" s="2064"/>
      <c r="AL203" s="2065"/>
      <c r="AM203" s="2045" t="s">
        <v>98</v>
      </c>
      <c r="AN203" s="2056" t="s">
        <v>44</v>
      </c>
      <c r="AO203" s="1533" t="s">
        <v>4</v>
      </c>
      <c r="AP203" s="2036" t="s">
        <v>20</v>
      </c>
      <c r="AQ203" s="2037"/>
      <c r="AR203" s="2038"/>
      <c r="AS203" s="2036" t="s">
        <v>54</v>
      </c>
      <c r="AT203" s="2037"/>
      <c r="AU203" s="2037"/>
      <c r="AV203" s="2037"/>
      <c r="AW203" s="2037"/>
      <c r="AX203" s="1571"/>
      <c r="AY203" s="2042" t="s">
        <v>89</v>
      </c>
      <c r="AZ203" s="2045" t="s">
        <v>97</v>
      </c>
      <c r="BA203" s="2045" t="s">
        <v>719</v>
      </c>
      <c r="BB203" s="2045" t="s">
        <v>210</v>
      </c>
      <c r="BC203" s="1539" t="s">
        <v>4</v>
      </c>
      <c r="BD203" s="2063" t="s">
        <v>41</v>
      </c>
      <c r="BE203" s="2084"/>
      <c r="BG203" s="1555"/>
      <c r="BH203" s="1560"/>
      <c r="BI203" s="1560"/>
      <c r="BJ203" s="1555"/>
      <c r="BK203" s="1561"/>
      <c r="BL203" s="1561"/>
      <c r="BM203" s="1561"/>
      <c r="BN203" s="1555"/>
      <c r="BO203" s="1555"/>
    </row>
    <row r="204" spans="1:69" s="1523" customFormat="1" ht="25.5" customHeight="1">
      <c r="A204" s="2051"/>
      <c r="B204" s="2054"/>
      <c r="C204" s="2057"/>
      <c r="D204" s="1519" t="s">
        <v>7</v>
      </c>
      <c r="E204" s="1519" t="s">
        <v>8</v>
      </c>
      <c r="F204" s="1572" t="s">
        <v>9</v>
      </c>
      <c r="G204" s="1572" t="s">
        <v>9</v>
      </c>
      <c r="H204" s="2071" t="s">
        <v>10</v>
      </c>
      <c r="I204" s="2072"/>
      <c r="J204" s="2071" t="s">
        <v>11</v>
      </c>
      <c r="K204" s="2072"/>
      <c r="L204" s="2071" t="s">
        <v>12</v>
      </c>
      <c r="M204" s="2072"/>
      <c r="N204" s="2071" t="s">
        <v>13</v>
      </c>
      <c r="O204" s="2072"/>
      <c r="P204" s="2071" t="s">
        <v>14</v>
      </c>
      <c r="Q204" s="2072"/>
      <c r="R204" s="2087" t="s">
        <v>15</v>
      </c>
      <c r="S204" s="2088"/>
      <c r="T204" s="2071" t="s">
        <v>16</v>
      </c>
      <c r="U204" s="2072"/>
      <c r="V204" s="2057"/>
      <c r="W204" s="2071" t="s">
        <v>17</v>
      </c>
      <c r="X204" s="2072"/>
      <c r="Y204" s="2071" t="s">
        <v>18</v>
      </c>
      <c r="Z204" s="2081"/>
      <c r="AA204" s="2072"/>
      <c r="AB204" s="2071" t="s">
        <v>19</v>
      </c>
      <c r="AC204" s="2081"/>
      <c r="AD204" s="2072"/>
      <c r="AE204" s="2043"/>
      <c r="AF204" s="2066"/>
      <c r="AG204" s="2067"/>
      <c r="AH204" s="2067"/>
      <c r="AI204" s="2067"/>
      <c r="AJ204" s="2067"/>
      <c r="AK204" s="2067"/>
      <c r="AL204" s="2068"/>
      <c r="AM204" s="2046"/>
      <c r="AN204" s="2057"/>
      <c r="AO204" s="1534" t="s">
        <v>9</v>
      </c>
      <c r="AP204" s="2039"/>
      <c r="AQ204" s="2040"/>
      <c r="AR204" s="2041"/>
      <c r="AS204" s="2039"/>
      <c r="AT204" s="2040"/>
      <c r="AU204" s="2040"/>
      <c r="AV204" s="2040"/>
      <c r="AW204" s="2040"/>
      <c r="AX204" s="1534" t="s">
        <v>21</v>
      </c>
      <c r="AY204" s="2043"/>
      <c r="AZ204" s="2046"/>
      <c r="BA204" s="2046"/>
      <c r="BB204" s="2046"/>
      <c r="BC204" s="1540" t="s">
        <v>9</v>
      </c>
      <c r="BD204" s="2085"/>
      <c r="BE204" s="2086"/>
      <c r="BG204" s="1573"/>
      <c r="BH204" s="1573"/>
      <c r="BI204" s="1573"/>
      <c r="BJ204" s="1555"/>
      <c r="BK204" s="1561"/>
      <c r="BL204" s="1561"/>
      <c r="BM204" s="1561"/>
      <c r="BN204" s="1555"/>
      <c r="BO204" s="1555"/>
    </row>
    <row r="205" spans="1:69" s="1523" customFormat="1" ht="63" customHeight="1">
      <c r="A205" s="2051"/>
      <c r="B205" s="2054"/>
      <c r="C205" s="2057"/>
      <c r="D205" s="1519" t="s">
        <v>22</v>
      </c>
      <c r="E205" s="1519" t="s">
        <v>23</v>
      </c>
      <c r="F205" s="1572" t="s">
        <v>24</v>
      </c>
      <c r="G205" s="1572" t="s">
        <v>25</v>
      </c>
      <c r="H205" s="2069" t="s">
        <v>4</v>
      </c>
      <c r="I205" s="2070"/>
      <c r="J205" s="2069" t="s">
        <v>4</v>
      </c>
      <c r="K205" s="2070"/>
      <c r="L205" s="2069" t="s">
        <v>4</v>
      </c>
      <c r="M205" s="2070"/>
      <c r="N205" s="2069" t="s">
        <v>4</v>
      </c>
      <c r="O205" s="2070"/>
      <c r="P205" s="2069" t="s">
        <v>4</v>
      </c>
      <c r="Q205" s="2070"/>
      <c r="R205" s="2082" t="s">
        <v>4</v>
      </c>
      <c r="S205" s="2083"/>
      <c r="T205" s="2069" t="s">
        <v>4</v>
      </c>
      <c r="U205" s="2070"/>
      <c r="V205" s="2057"/>
      <c r="W205" s="1534" t="s">
        <v>27</v>
      </c>
      <c r="X205" s="1574" t="s">
        <v>28</v>
      </c>
      <c r="Y205" s="1534" t="s">
        <v>27</v>
      </c>
      <c r="Z205" s="2069" t="s">
        <v>4</v>
      </c>
      <c r="AA205" s="2070"/>
      <c r="AB205" s="1534" t="s">
        <v>27</v>
      </c>
      <c r="AC205" s="2071" t="s">
        <v>4</v>
      </c>
      <c r="AD205" s="2072"/>
      <c r="AE205" s="2062"/>
      <c r="AF205" s="1575" t="s">
        <v>56</v>
      </c>
      <c r="AG205" s="1575" t="s">
        <v>57</v>
      </c>
      <c r="AH205" s="1575" t="s">
        <v>60</v>
      </c>
      <c r="AI205" s="1575" t="s">
        <v>202</v>
      </c>
      <c r="AJ205" s="1575" t="s">
        <v>218</v>
      </c>
      <c r="AK205" s="1575" t="s">
        <v>572</v>
      </c>
      <c r="AL205" s="1575" t="s">
        <v>288</v>
      </c>
      <c r="AM205" s="2089"/>
      <c r="AN205" s="2090"/>
      <c r="AO205" s="1534" t="s">
        <v>29</v>
      </c>
      <c r="AP205" s="1519" t="s">
        <v>30</v>
      </c>
      <c r="AQ205" s="1519" t="s">
        <v>31</v>
      </c>
      <c r="AR205" s="1519" t="s">
        <v>4</v>
      </c>
      <c r="AS205" s="1576" t="s">
        <v>30</v>
      </c>
      <c r="AT205" s="1574" t="s">
        <v>31</v>
      </c>
      <c r="AU205" s="1574" t="s">
        <v>30</v>
      </c>
      <c r="AV205" s="1574" t="s">
        <v>31</v>
      </c>
      <c r="AW205" s="1577" t="s">
        <v>4</v>
      </c>
      <c r="AX205" s="1534" t="s">
        <v>32</v>
      </c>
      <c r="AY205" s="2043"/>
      <c r="AZ205" s="2046"/>
      <c r="BA205" s="2046"/>
      <c r="BB205" s="2046"/>
      <c r="BC205" s="1540" t="s">
        <v>33</v>
      </c>
      <c r="BD205" s="2073" t="s">
        <v>42</v>
      </c>
      <c r="BE205" s="2075" t="s">
        <v>43</v>
      </c>
      <c r="BG205" s="1573"/>
      <c r="BH205" s="1578"/>
      <c r="BI205" s="1578"/>
      <c r="BJ205" s="1555"/>
      <c r="BK205" s="1561"/>
      <c r="BL205" s="1561"/>
      <c r="BM205" s="1561"/>
      <c r="BN205" s="1555"/>
      <c r="BO205" s="1555"/>
    </row>
    <row r="206" spans="1:69" s="1523" customFormat="1" ht="21" customHeight="1" thickBot="1">
      <c r="A206" s="2052"/>
      <c r="B206" s="2055"/>
      <c r="C206" s="2058"/>
      <c r="D206" s="1520"/>
      <c r="E206" s="1520"/>
      <c r="F206" s="1579" t="s">
        <v>34</v>
      </c>
      <c r="G206" s="1580" t="s">
        <v>34</v>
      </c>
      <c r="H206" s="1581" t="s">
        <v>8</v>
      </c>
      <c r="I206" s="1582" t="s">
        <v>34</v>
      </c>
      <c r="J206" s="1581" t="s">
        <v>8</v>
      </c>
      <c r="K206" s="1582" t="s">
        <v>34</v>
      </c>
      <c r="L206" s="1581" t="s">
        <v>8</v>
      </c>
      <c r="M206" s="1582" t="s">
        <v>34</v>
      </c>
      <c r="N206" s="1581" t="s">
        <v>8</v>
      </c>
      <c r="O206" s="1582" t="s">
        <v>34</v>
      </c>
      <c r="P206" s="1581" t="s">
        <v>8</v>
      </c>
      <c r="Q206" s="1582" t="s">
        <v>34</v>
      </c>
      <c r="R206" s="1581" t="s">
        <v>8</v>
      </c>
      <c r="S206" s="1582" t="s">
        <v>34</v>
      </c>
      <c r="T206" s="1581" t="s">
        <v>8</v>
      </c>
      <c r="U206" s="1582" t="s">
        <v>34</v>
      </c>
      <c r="V206" s="2058"/>
      <c r="W206" s="1581" t="s">
        <v>26</v>
      </c>
      <c r="X206" s="1581" t="s">
        <v>34</v>
      </c>
      <c r="Y206" s="1581" t="s">
        <v>26</v>
      </c>
      <c r="Z206" s="1581" t="s">
        <v>26</v>
      </c>
      <c r="AA206" s="1581" t="s">
        <v>34</v>
      </c>
      <c r="AB206" s="1581" t="s">
        <v>26</v>
      </c>
      <c r="AC206" s="1581" t="s">
        <v>35</v>
      </c>
      <c r="AD206" s="1581" t="s">
        <v>34</v>
      </c>
      <c r="AE206" s="1581" t="s">
        <v>34</v>
      </c>
      <c r="AF206" s="1582" t="s">
        <v>34</v>
      </c>
      <c r="AG206" s="1582" t="s">
        <v>34</v>
      </c>
      <c r="AH206" s="1582" t="s">
        <v>34</v>
      </c>
      <c r="AI206" s="1582" t="s">
        <v>34</v>
      </c>
      <c r="AJ206" s="1582" t="s">
        <v>34</v>
      </c>
      <c r="AK206" s="1582" t="s">
        <v>34</v>
      </c>
      <c r="AL206" s="1582" t="s">
        <v>34</v>
      </c>
      <c r="AM206" s="1582" t="s">
        <v>34</v>
      </c>
      <c r="AN206" s="1581" t="s">
        <v>34</v>
      </c>
      <c r="AO206" s="1582" t="s">
        <v>34</v>
      </c>
      <c r="AP206" s="1582" t="s">
        <v>34</v>
      </c>
      <c r="AQ206" s="1582" t="s">
        <v>34</v>
      </c>
      <c r="AR206" s="1582" t="s">
        <v>34</v>
      </c>
      <c r="AS206" s="1581" t="s">
        <v>58</v>
      </c>
      <c r="AT206" s="1582" t="s">
        <v>34</v>
      </c>
      <c r="AU206" s="1582" t="s">
        <v>59</v>
      </c>
      <c r="AV206" s="1582" t="s">
        <v>34</v>
      </c>
      <c r="AW206" s="1583" t="s">
        <v>34</v>
      </c>
      <c r="AX206" s="1537"/>
      <c r="AY206" s="2044"/>
      <c r="AZ206" s="2047"/>
      <c r="BA206" s="2047"/>
      <c r="BB206" s="2047"/>
      <c r="BC206" s="1541" t="s">
        <v>34</v>
      </c>
      <c r="BD206" s="2074"/>
      <c r="BE206" s="2076"/>
      <c r="BG206" s="1555" t="s">
        <v>353</v>
      </c>
      <c r="BH206" s="1578" t="s">
        <v>43</v>
      </c>
      <c r="BI206" s="1578" t="s">
        <v>42</v>
      </c>
      <c r="BJ206" s="1555" t="s">
        <v>354</v>
      </c>
      <c r="BK206" s="1561" t="s">
        <v>358</v>
      </c>
      <c r="BL206" s="1561"/>
      <c r="BM206" s="1561" t="s">
        <v>625</v>
      </c>
      <c r="BN206" s="1555" t="s">
        <v>626</v>
      </c>
      <c r="BO206" s="1555" t="s">
        <v>627</v>
      </c>
      <c r="BQ206" s="1523" t="s">
        <v>685</v>
      </c>
    </row>
    <row r="207" spans="1:69" ht="102" customHeight="1" thickBot="1">
      <c r="A207" s="1584" t="s">
        <v>84</v>
      </c>
      <c r="B207" s="1489" t="s">
        <v>37</v>
      </c>
      <c r="C207" s="1585" t="s">
        <v>131</v>
      </c>
      <c r="D207" s="1586" t="s">
        <v>113</v>
      </c>
      <c r="E207" s="1489">
        <f>'HK UP KEEP, OP '!AH29</f>
        <v>22</v>
      </c>
      <c r="F207" s="1490">
        <v>129220</v>
      </c>
      <c r="G207" s="1490">
        <f t="shared" si="0"/>
        <v>2842840</v>
      </c>
      <c r="H207" s="1489">
        <f>'HK UP KEEP, OP '!AI29</f>
        <v>1</v>
      </c>
      <c r="I207" s="1489">
        <f t="shared" si="1"/>
        <v>129220</v>
      </c>
      <c r="J207" s="1489">
        <f>'HK UP KEEP, OP '!AJ29</f>
        <v>1</v>
      </c>
      <c r="K207" s="1489">
        <f t="shared" si="2"/>
        <v>129220</v>
      </c>
      <c r="L207" s="1489">
        <f>'HK UP KEEP, OP '!AK29</f>
        <v>0</v>
      </c>
      <c r="M207" s="1489">
        <f t="shared" si="3"/>
        <v>0</v>
      </c>
      <c r="N207" s="1489">
        <f>'HK UP KEEP, OP '!AL29</f>
        <v>4</v>
      </c>
      <c r="O207" s="1489">
        <f t="shared" si="4"/>
        <v>516880</v>
      </c>
      <c r="P207" s="1489">
        <f>'HK UP KEEP, OP '!AM29</f>
        <v>3</v>
      </c>
      <c r="Q207" s="1489">
        <f t="shared" si="5"/>
        <v>387660</v>
      </c>
      <c r="R207" s="1489">
        <f>'HK UP KEEP, OP '!AN29</f>
        <v>0</v>
      </c>
      <c r="S207" s="1489">
        <f t="shared" si="6"/>
        <v>0</v>
      </c>
      <c r="T207" s="1489">
        <f>'HK UP KEEP, OP '!AO29+'HK UP KEEP, OP '!AP29+'HK UP KEEP, OP '!AQ29</f>
        <v>0</v>
      </c>
      <c r="U207" s="1489">
        <f t="shared" si="7"/>
        <v>0</v>
      </c>
      <c r="V207" s="1489">
        <f t="shared" si="8"/>
        <v>31</v>
      </c>
      <c r="W207" s="1491">
        <v>2250</v>
      </c>
      <c r="X207" s="1489">
        <f t="shared" si="9"/>
        <v>69750</v>
      </c>
      <c r="Y207" s="1489"/>
      <c r="Z207" s="1489"/>
      <c r="AA207" s="1489">
        <f t="shared" si="27"/>
        <v>0</v>
      </c>
      <c r="AB207" s="1489">
        <v>2500</v>
      </c>
      <c r="AC207" s="1489">
        <f>'MASA KERJA AB'!H30</f>
        <v>16</v>
      </c>
      <c r="AD207" s="1492">
        <f>'MASA KERJA AB'!I30</f>
        <v>47000</v>
      </c>
      <c r="AE207" s="1491"/>
      <c r="AF207" s="1489"/>
      <c r="AG207" s="1489"/>
      <c r="AH207" s="1489"/>
      <c r="AI207" s="1489"/>
      <c r="AJ207" s="1507"/>
      <c r="AK207" s="1493"/>
      <c r="AL207" s="1489"/>
      <c r="AM207" s="1489"/>
      <c r="AN207" s="1489"/>
      <c r="AO207" s="1494">
        <f t="shared" si="10"/>
        <v>4122570</v>
      </c>
      <c r="AP207" s="1489">
        <f t="shared" si="20"/>
        <v>77532</v>
      </c>
      <c r="AQ207" s="1489">
        <f t="shared" si="21"/>
        <v>175997.64</v>
      </c>
      <c r="AR207" s="1489">
        <f t="shared" si="28"/>
        <v>253529.64</v>
      </c>
      <c r="AS207" s="1489">
        <f t="shared" si="22"/>
        <v>39236</v>
      </c>
      <c r="AT207" s="1489">
        <f t="shared" si="23"/>
        <v>156944</v>
      </c>
      <c r="AU207" s="1489">
        <f t="shared" si="24"/>
        <v>38766</v>
      </c>
      <c r="AV207" s="1489">
        <f t="shared" si="25"/>
        <v>77532</v>
      </c>
      <c r="AW207" s="1489">
        <f t="shared" si="29"/>
        <v>312478</v>
      </c>
      <c r="AX207" s="1492">
        <v>4000</v>
      </c>
      <c r="AY207" s="1491">
        <v>0</v>
      </c>
      <c r="AZ207" s="1489">
        <f t="shared" si="13"/>
        <v>0</v>
      </c>
      <c r="BA207" s="1489"/>
      <c r="BB207" s="1489"/>
      <c r="BC207" s="1489">
        <f t="shared" si="14"/>
        <v>3963036</v>
      </c>
      <c r="BD207" s="1495">
        <f>'HK UP KEEP, OP '!AS29</f>
        <v>0</v>
      </c>
      <c r="BE207" s="1488">
        <f>'HK UP KEEP, OP '!AT29</f>
        <v>0</v>
      </c>
      <c r="BG207" s="1551">
        <f t="shared" si="15"/>
        <v>4005820</v>
      </c>
      <c r="BH207" s="1552">
        <f t="shared" si="16"/>
        <v>0</v>
      </c>
      <c r="BI207" s="1552">
        <f t="shared" si="17"/>
        <v>0</v>
      </c>
      <c r="BJ207" s="1551">
        <f t="shared" si="18"/>
        <v>0</v>
      </c>
      <c r="BK207" s="1553">
        <f t="shared" si="26"/>
        <v>4005820</v>
      </c>
      <c r="BM207" s="1553">
        <f t="shared" si="30"/>
        <v>116750</v>
      </c>
      <c r="BN207" s="1551">
        <v>30575.999999999996</v>
      </c>
      <c r="BO207" s="1551">
        <f t="shared" si="19"/>
        <v>566007.64</v>
      </c>
    </row>
    <row r="208" spans="1:69" ht="23.25" customHeight="1">
      <c r="A208" s="2048" t="s">
        <v>0</v>
      </c>
      <c r="B208" s="2048"/>
      <c r="C208" s="2048"/>
      <c r="D208" s="2048"/>
      <c r="E208" s="2048"/>
      <c r="F208" s="2048"/>
      <c r="G208" s="2048"/>
      <c r="H208" s="2048"/>
      <c r="I208" s="2048"/>
      <c r="J208" s="2048"/>
      <c r="K208" s="2048"/>
      <c r="L208" s="2048"/>
      <c r="M208" s="2048"/>
      <c r="N208" s="2048"/>
      <c r="O208" s="2048"/>
      <c r="P208" s="2048"/>
      <c r="Q208" s="2048"/>
      <c r="R208" s="2048"/>
      <c r="S208" s="2048"/>
      <c r="T208" s="2048"/>
      <c r="U208" s="2048"/>
      <c r="V208" s="2048"/>
      <c r="W208" s="2048"/>
      <c r="X208" s="2048"/>
      <c r="Y208" s="2048"/>
      <c r="Z208" s="2048"/>
      <c r="AA208" s="2048"/>
      <c r="AB208" s="2048"/>
      <c r="AC208" s="2048"/>
      <c r="AD208" s="2048"/>
      <c r="AE208" s="2048"/>
      <c r="AF208" s="2048"/>
      <c r="AG208" s="2048"/>
      <c r="AH208" s="2048"/>
      <c r="AI208" s="2048"/>
      <c r="AJ208" s="2048"/>
      <c r="AK208" s="2048"/>
      <c r="AL208" s="2048"/>
      <c r="AM208" s="2048"/>
      <c r="AN208" s="2048"/>
      <c r="AO208" s="2048"/>
      <c r="AP208" s="2048"/>
      <c r="AQ208" s="2048"/>
      <c r="AR208" s="2048"/>
      <c r="AS208" s="2048"/>
      <c r="AT208" s="2048"/>
      <c r="AU208" s="2048"/>
      <c r="AV208" s="2048"/>
      <c r="AW208" s="2048"/>
      <c r="AX208" s="2048"/>
      <c r="AY208" s="2048"/>
      <c r="AZ208" s="2048"/>
      <c r="BA208" s="2048"/>
      <c r="BB208" s="2048"/>
      <c r="BC208" s="2048"/>
      <c r="BD208" s="2048"/>
      <c r="BE208" s="2048"/>
    </row>
    <row r="209" spans="1:69" ht="26.25" customHeight="1">
      <c r="A209" s="2049" t="s">
        <v>1033</v>
      </c>
      <c r="B209" s="2049"/>
      <c r="C209" s="2049"/>
      <c r="D209" s="2049"/>
      <c r="E209" s="2049"/>
      <c r="F209" s="2049"/>
      <c r="G209" s="2049"/>
      <c r="H209" s="2049"/>
      <c r="I209" s="2049"/>
      <c r="J209" s="2049"/>
      <c r="K209" s="2049"/>
      <c r="L209" s="2049"/>
      <c r="M209" s="2049"/>
      <c r="N209" s="2049"/>
      <c r="O209" s="2049"/>
      <c r="P209" s="2049"/>
      <c r="Q209" s="2049"/>
      <c r="R209" s="2049"/>
      <c r="S209" s="2049"/>
      <c r="T209" s="2049"/>
      <c r="U209" s="2049"/>
      <c r="V209" s="2049"/>
      <c r="W209" s="2049"/>
      <c r="X209" s="2049"/>
      <c r="Y209" s="2049"/>
      <c r="Z209" s="2049"/>
      <c r="AA209" s="2049"/>
      <c r="AB209" s="2049"/>
      <c r="AC209" s="2049"/>
      <c r="AD209" s="2049"/>
      <c r="AE209" s="2049"/>
      <c r="AF209" s="2049"/>
      <c r="AG209" s="2049"/>
      <c r="AH209" s="2049"/>
      <c r="AI209" s="2049"/>
      <c r="AJ209" s="2049"/>
      <c r="AK209" s="2049"/>
      <c r="AL209" s="2049"/>
      <c r="AM209" s="2049"/>
      <c r="AN209" s="2049"/>
      <c r="AO209" s="2049"/>
      <c r="AP209" s="2049"/>
      <c r="AQ209" s="2049"/>
      <c r="AR209" s="2049"/>
      <c r="AS209" s="2049"/>
      <c r="AT209" s="2049"/>
      <c r="AU209" s="2049"/>
      <c r="AV209" s="2049"/>
      <c r="AW209" s="2049"/>
      <c r="AX209" s="2049"/>
      <c r="AY209" s="2049"/>
      <c r="AZ209" s="2049"/>
      <c r="BA209" s="2049"/>
      <c r="BB209" s="2049"/>
      <c r="BC209" s="2049"/>
      <c r="BD209" s="2049"/>
      <c r="BE209" s="2049"/>
    </row>
    <row r="210" spans="1:69" s="1523" customFormat="1" ht="18.75" customHeight="1">
      <c r="C210" s="1554"/>
      <c r="D210" s="1523" t="s">
        <v>964</v>
      </c>
      <c r="F210" s="1555"/>
      <c r="G210" s="1555"/>
      <c r="X210" s="1556"/>
      <c r="AE210" s="1532"/>
      <c r="AK210" s="1557"/>
      <c r="AP210" s="1558">
        <v>3876600</v>
      </c>
      <c r="AQ210" s="1559">
        <f>AP210/30</f>
        <v>129220</v>
      </c>
      <c r="AR210" s="1559">
        <f>AP210/173*1.5</f>
        <v>33612.138728323698</v>
      </c>
      <c r="AS210" s="1559">
        <f>AP210/173*2</f>
        <v>44816.184971098264</v>
      </c>
      <c r="AW210" s="1532" t="s">
        <v>55</v>
      </c>
      <c r="AX210" s="1523" t="s">
        <v>152</v>
      </c>
      <c r="BC210" s="1531"/>
      <c r="BE210" s="1532"/>
      <c r="BG210" s="1555"/>
      <c r="BH210" s="1560"/>
      <c r="BI210" s="1560"/>
      <c r="BJ210" s="1555"/>
      <c r="BK210" s="1561"/>
      <c r="BL210" s="1561"/>
      <c r="BM210" s="1561"/>
      <c r="BN210" s="1555"/>
      <c r="BO210" s="1555"/>
    </row>
    <row r="211" spans="1:69" ht="15" customHeight="1" thickBot="1">
      <c r="A211" s="1547"/>
      <c r="D211" s="1563"/>
      <c r="E211" s="1563"/>
      <c r="F211" s="1564"/>
      <c r="G211" s="1564"/>
      <c r="H211" s="1563"/>
      <c r="I211" s="1563"/>
      <c r="J211" s="1563"/>
      <c r="K211" s="1563"/>
      <c r="L211" s="1563"/>
      <c r="M211" s="1563"/>
      <c r="N211" s="1563"/>
      <c r="O211" s="1563"/>
      <c r="Q211" s="1563"/>
      <c r="R211" s="1563"/>
      <c r="S211" s="1563"/>
      <c r="T211" s="1563"/>
      <c r="U211" s="1563"/>
      <c r="V211" s="1563"/>
      <c r="W211" s="1563"/>
      <c r="X211" s="1563"/>
      <c r="Y211" s="1563"/>
      <c r="Z211" s="1563"/>
      <c r="AA211" s="1563"/>
      <c r="AB211" s="1563"/>
      <c r="AC211" s="1563"/>
      <c r="AD211" s="1547"/>
      <c r="AE211" s="1563"/>
      <c r="AF211" s="1563"/>
      <c r="AG211" s="1563"/>
      <c r="AH211" s="1563"/>
      <c r="AI211" s="1563"/>
      <c r="AJ211" s="1563"/>
      <c r="AK211" s="1565"/>
      <c r="AL211" s="1563"/>
      <c r="AM211" s="1563"/>
      <c r="AO211" s="1563"/>
      <c r="AP211" s="1558">
        <v>3876600</v>
      </c>
      <c r="AQ211" s="1566">
        <f>AP211/30</f>
        <v>129220</v>
      </c>
      <c r="AR211" s="1567"/>
      <c r="AS211" s="1568">
        <f>AP211+24000</f>
        <v>3900600</v>
      </c>
    </row>
    <row r="212" spans="1:69" s="1523" customFormat="1" ht="15.75" customHeight="1">
      <c r="A212" s="2050" t="s">
        <v>5</v>
      </c>
      <c r="B212" s="2053" t="s">
        <v>6</v>
      </c>
      <c r="C212" s="2056" t="s">
        <v>52</v>
      </c>
      <c r="D212" s="1569"/>
      <c r="E212" s="1569"/>
      <c r="F212" s="1570"/>
      <c r="G212" s="1570"/>
      <c r="H212" s="2059" t="s">
        <v>2</v>
      </c>
      <c r="I212" s="2060"/>
      <c r="J212" s="2060"/>
      <c r="K212" s="2060"/>
      <c r="L212" s="2060"/>
      <c r="M212" s="2060"/>
      <c r="N212" s="2060"/>
      <c r="O212" s="2060"/>
      <c r="P212" s="2060"/>
      <c r="Q212" s="2060"/>
      <c r="R212" s="2060"/>
      <c r="S212" s="2060"/>
      <c r="T212" s="2060"/>
      <c r="U212" s="2061"/>
      <c r="V212" s="2056" t="s">
        <v>286</v>
      </c>
      <c r="W212" s="2059" t="s">
        <v>3</v>
      </c>
      <c r="X212" s="2060"/>
      <c r="Y212" s="2060"/>
      <c r="Z212" s="2060"/>
      <c r="AA212" s="2060"/>
      <c r="AB212" s="2060"/>
      <c r="AC212" s="2060"/>
      <c r="AD212" s="2061"/>
      <c r="AE212" s="2042" t="s">
        <v>45</v>
      </c>
      <c r="AF212" s="2063" t="s">
        <v>46</v>
      </c>
      <c r="AG212" s="2064"/>
      <c r="AH212" s="2064"/>
      <c r="AI212" s="2064"/>
      <c r="AJ212" s="2064"/>
      <c r="AK212" s="2064"/>
      <c r="AL212" s="2065"/>
      <c r="AM212" s="2045" t="s">
        <v>98</v>
      </c>
      <c r="AN212" s="2056" t="s">
        <v>44</v>
      </c>
      <c r="AO212" s="1533" t="s">
        <v>4</v>
      </c>
      <c r="AP212" s="2036" t="s">
        <v>20</v>
      </c>
      <c r="AQ212" s="2037"/>
      <c r="AR212" s="2038"/>
      <c r="AS212" s="2036" t="s">
        <v>54</v>
      </c>
      <c r="AT212" s="2037"/>
      <c r="AU212" s="2037"/>
      <c r="AV212" s="2037"/>
      <c r="AW212" s="2037"/>
      <c r="AX212" s="1571"/>
      <c r="AY212" s="2042" t="s">
        <v>89</v>
      </c>
      <c r="AZ212" s="2045" t="s">
        <v>97</v>
      </c>
      <c r="BA212" s="2045" t="s">
        <v>719</v>
      </c>
      <c r="BB212" s="2045" t="s">
        <v>210</v>
      </c>
      <c r="BC212" s="1539" t="s">
        <v>4</v>
      </c>
      <c r="BD212" s="2063" t="s">
        <v>41</v>
      </c>
      <c r="BE212" s="2084"/>
      <c r="BG212" s="1555"/>
      <c r="BH212" s="1560"/>
      <c r="BI212" s="1560"/>
      <c r="BJ212" s="1555"/>
      <c r="BK212" s="1561"/>
      <c r="BL212" s="1561"/>
      <c r="BM212" s="1561"/>
      <c r="BN212" s="1555"/>
      <c r="BO212" s="1555"/>
    </row>
    <row r="213" spans="1:69" s="1523" customFormat="1" ht="25.5" customHeight="1">
      <c r="A213" s="2051"/>
      <c r="B213" s="2054"/>
      <c r="C213" s="2057"/>
      <c r="D213" s="1519" t="s">
        <v>7</v>
      </c>
      <c r="E213" s="1519" t="s">
        <v>8</v>
      </c>
      <c r="F213" s="1572" t="s">
        <v>9</v>
      </c>
      <c r="G213" s="1572" t="s">
        <v>9</v>
      </c>
      <c r="H213" s="2071" t="s">
        <v>10</v>
      </c>
      <c r="I213" s="2072"/>
      <c r="J213" s="2071" t="s">
        <v>11</v>
      </c>
      <c r="K213" s="2072"/>
      <c r="L213" s="2071" t="s">
        <v>12</v>
      </c>
      <c r="M213" s="2072"/>
      <c r="N213" s="2071" t="s">
        <v>13</v>
      </c>
      <c r="O213" s="2072"/>
      <c r="P213" s="2071" t="s">
        <v>14</v>
      </c>
      <c r="Q213" s="2072"/>
      <c r="R213" s="2087" t="s">
        <v>15</v>
      </c>
      <c r="S213" s="2088"/>
      <c r="T213" s="2071" t="s">
        <v>16</v>
      </c>
      <c r="U213" s="2072"/>
      <c r="V213" s="2057"/>
      <c r="W213" s="2071" t="s">
        <v>17</v>
      </c>
      <c r="X213" s="2072"/>
      <c r="Y213" s="2071" t="s">
        <v>18</v>
      </c>
      <c r="Z213" s="2081"/>
      <c r="AA213" s="2072"/>
      <c r="AB213" s="2071" t="s">
        <v>19</v>
      </c>
      <c r="AC213" s="2081"/>
      <c r="AD213" s="2072"/>
      <c r="AE213" s="2043"/>
      <c r="AF213" s="2066"/>
      <c r="AG213" s="2067"/>
      <c r="AH213" s="2067"/>
      <c r="AI213" s="2067"/>
      <c r="AJ213" s="2067"/>
      <c r="AK213" s="2067"/>
      <c r="AL213" s="2068"/>
      <c r="AM213" s="2046"/>
      <c r="AN213" s="2057"/>
      <c r="AO213" s="1534" t="s">
        <v>9</v>
      </c>
      <c r="AP213" s="2039"/>
      <c r="AQ213" s="2040"/>
      <c r="AR213" s="2041"/>
      <c r="AS213" s="2039"/>
      <c r="AT213" s="2040"/>
      <c r="AU213" s="2040"/>
      <c r="AV213" s="2040"/>
      <c r="AW213" s="2040"/>
      <c r="AX213" s="1534" t="s">
        <v>21</v>
      </c>
      <c r="AY213" s="2043"/>
      <c r="AZ213" s="2046"/>
      <c r="BA213" s="2046"/>
      <c r="BB213" s="2046"/>
      <c r="BC213" s="1540" t="s">
        <v>9</v>
      </c>
      <c r="BD213" s="2085"/>
      <c r="BE213" s="2086"/>
      <c r="BG213" s="1573"/>
      <c r="BH213" s="1573"/>
      <c r="BI213" s="1573"/>
      <c r="BJ213" s="1555"/>
      <c r="BK213" s="1561"/>
      <c r="BL213" s="1561"/>
      <c r="BM213" s="1561"/>
      <c r="BN213" s="1555"/>
      <c r="BO213" s="1555"/>
    </row>
    <row r="214" spans="1:69" s="1523" customFormat="1" ht="63" customHeight="1">
      <c r="A214" s="2051"/>
      <c r="B214" s="2054"/>
      <c r="C214" s="2057"/>
      <c r="D214" s="1519" t="s">
        <v>22</v>
      </c>
      <c r="E214" s="1519" t="s">
        <v>23</v>
      </c>
      <c r="F214" s="1572" t="s">
        <v>24</v>
      </c>
      <c r="G214" s="1572" t="s">
        <v>25</v>
      </c>
      <c r="H214" s="2069" t="s">
        <v>4</v>
      </c>
      <c r="I214" s="2070"/>
      <c r="J214" s="2069" t="s">
        <v>4</v>
      </c>
      <c r="K214" s="2070"/>
      <c r="L214" s="2069" t="s">
        <v>4</v>
      </c>
      <c r="M214" s="2070"/>
      <c r="N214" s="2069" t="s">
        <v>4</v>
      </c>
      <c r="O214" s="2070"/>
      <c r="P214" s="2069" t="s">
        <v>4</v>
      </c>
      <c r="Q214" s="2070"/>
      <c r="R214" s="2082" t="s">
        <v>4</v>
      </c>
      <c r="S214" s="2083"/>
      <c r="T214" s="2069" t="s">
        <v>4</v>
      </c>
      <c r="U214" s="2070"/>
      <c r="V214" s="2057"/>
      <c r="W214" s="1534" t="s">
        <v>27</v>
      </c>
      <c r="X214" s="1574" t="s">
        <v>28</v>
      </c>
      <c r="Y214" s="1534" t="s">
        <v>27</v>
      </c>
      <c r="Z214" s="2069" t="s">
        <v>4</v>
      </c>
      <c r="AA214" s="2070"/>
      <c r="AB214" s="1534" t="s">
        <v>27</v>
      </c>
      <c r="AC214" s="2071" t="s">
        <v>4</v>
      </c>
      <c r="AD214" s="2072"/>
      <c r="AE214" s="2062"/>
      <c r="AF214" s="1575" t="s">
        <v>56</v>
      </c>
      <c r="AG214" s="1575" t="s">
        <v>57</v>
      </c>
      <c r="AH214" s="1575" t="s">
        <v>60</v>
      </c>
      <c r="AI214" s="1575" t="s">
        <v>202</v>
      </c>
      <c r="AJ214" s="1575" t="s">
        <v>218</v>
      </c>
      <c r="AK214" s="1575" t="s">
        <v>572</v>
      </c>
      <c r="AL214" s="1575" t="s">
        <v>288</v>
      </c>
      <c r="AM214" s="2089"/>
      <c r="AN214" s="2090"/>
      <c r="AO214" s="1534" t="s">
        <v>29</v>
      </c>
      <c r="AP214" s="1519" t="s">
        <v>30</v>
      </c>
      <c r="AQ214" s="1519" t="s">
        <v>31</v>
      </c>
      <c r="AR214" s="1519" t="s">
        <v>4</v>
      </c>
      <c r="AS214" s="1576" t="s">
        <v>30</v>
      </c>
      <c r="AT214" s="1574" t="s">
        <v>31</v>
      </c>
      <c r="AU214" s="1574" t="s">
        <v>30</v>
      </c>
      <c r="AV214" s="1574" t="s">
        <v>31</v>
      </c>
      <c r="AW214" s="1577" t="s">
        <v>4</v>
      </c>
      <c r="AX214" s="1534" t="s">
        <v>32</v>
      </c>
      <c r="AY214" s="2043"/>
      <c r="AZ214" s="2046"/>
      <c r="BA214" s="2046"/>
      <c r="BB214" s="2046"/>
      <c r="BC214" s="1540" t="s">
        <v>33</v>
      </c>
      <c r="BD214" s="2073" t="s">
        <v>42</v>
      </c>
      <c r="BE214" s="2075" t="s">
        <v>43</v>
      </c>
      <c r="BG214" s="1573"/>
      <c r="BH214" s="1578"/>
      <c r="BI214" s="1578"/>
      <c r="BJ214" s="1555"/>
      <c r="BK214" s="1561"/>
      <c r="BL214" s="1561"/>
      <c r="BM214" s="1561"/>
      <c r="BN214" s="1555"/>
      <c r="BO214" s="1555"/>
    </row>
    <row r="215" spans="1:69" s="1523" customFormat="1" ht="21" customHeight="1" thickBot="1">
      <c r="A215" s="2052"/>
      <c r="B215" s="2055"/>
      <c r="C215" s="2058"/>
      <c r="D215" s="1520"/>
      <c r="E215" s="1520"/>
      <c r="F215" s="1579" t="s">
        <v>34</v>
      </c>
      <c r="G215" s="1580" t="s">
        <v>34</v>
      </c>
      <c r="H215" s="1581" t="s">
        <v>8</v>
      </c>
      <c r="I215" s="1582" t="s">
        <v>34</v>
      </c>
      <c r="J215" s="1581" t="s">
        <v>8</v>
      </c>
      <c r="K215" s="1582" t="s">
        <v>34</v>
      </c>
      <c r="L215" s="1581" t="s">
        <v>8</v>
      </c>
      <c r="M215" s="1582" t="s">
        <v>34</v>
      </c>
      <c r="N215" s="1581" t="s">
        <v>8</v>
      </c>
      <c r="O215" s="1582" t="s">
        <v>34</v>
      </c>
      <c r="P215" s="1581" t="s">
        <v>8</v>
      </c>
      <c r="Q215" s="1582" t="s">
        <v>34</v>
      </c>
      <c r="R215" s="1581" t="s">
        <v>8</v>
      </c>
      <c r="S215" s="1582" t="s">
        <v>34</v>
      </c>
      <c r="T215" s="1581" t="s">
        <v>8</v>
      </c>
      <c r="U215" s="1582" t="s">
        <v>34</v>
      </c>
      <c r="V215" s="2058"/>
      <c r="W215" s="1581" t="s">
        <v>26</v>
      </c>
      <c r="X215" s="1581" t="s">
        <v>34</v>
      </c>
      <c r="Y215" s="1581" t="s">
        <v>26</v>
      </c>
      <c r="Z215" s="1581" t="s">
        <v>26</v>
      </c>
      <c r="AA215" s="1581" t="s">
        <v>34</v>
      </c>
      <c r="AB215" s="1581" t="s">
        <v>26</v>
      </c>
      <c r="AC215" s="1581" t="s">
        <v>35</v>
      </c>
      <c r="AD215" s="1581" t="s">
        <v>34</v>
      </c>
      <c r="AE215" s="1581" t="s">
        <v>34</v>
      </c>
      <c r="AF215" s="1582" t="s">
        <v>34</v>
      </c>
      <c r="AG215" s="1582" t="s">
        <v>34</v>
      </c>
      <c r="AH215" s="1582" t="s">
        <v>34</v>
      </c>
      <c r="AI215" s="1582" t="s">
        <v>34</v>
      </c>
      <c r="AJ215" s="1582" t="s">
        <v>34</v>
      </c>
      <c r="AK215" s="1582" t="s">
        <v>34</v>
      </c>
      <c r="AL215" s="1582" t="s">
        <v>34</v>
      </c>
      <c r="AM215" s="1582" t="s">
        <v>34</v>
      </c>
      <c r="AN215" s="1581" t="s">
        <v>34</v>
      </c>
      <c r="AO215" s="1582" t="s">
        <v>34</v>
      </c>
      <c r="AP215" s="1582" t="s">
        <v>34</v>
      </c>
      <c r="AQ215" s="1582" t="s">
        <v>34</v>
      </c>
      <c r="AR215" s="1582" t="s">
        <v>34</v>
      </c>
      <c r="AS215" s="1581" t="s">
        <v>58</v>
      </c>
      <c r="AT215" s="1582" t="s">
        <v>34</v>
      </c>
      <c r="AU215" s="1582" t="s">
        <v>59</v>
      </c>
      <c r="AV215" s="1582" t="s">
        <v>34</v>
      </c>
      <c r="AW215" s="1583" t="s">
        <v>34</v>
      </c>
      <c r="AX215" s="1537"/>
      <c r="AY215" s="2044"/>
      <c r="AZ215" s="2047"/>
      <c r="BA215" s="2047"/>
      <c r="BB215" s="2047"/>
      <c r="BC215" s="1541" t="s">
        <v>34</v>
      </c>
      <c r="BD215" s="2074"/>
      <c r="BE215" s="2076"/>
      <c r="BG215" s="1555" t="s">
        <v>353</v>
      </c>
      <c r="BH215" s="1578" t="s">
        <v>43</v>
      </c>
      <c r="BI215" s="1578" t="s">
        <v>42</v>
      </c>
      <c r="BJ215" s="1555" t="s">
        <v>354</v>
      </c>
      <c r="BK215" s="1561" t="s">
        <v>358</v>
      </c>
      <c r="BL215" s="1561"/>
      <c r="BM215" s="1561" t="s">
        <v>625</v>
      </c>
      <c r="BN215" s="1555" t="s">
        <v>626</v>
      </c>
      <c r="BO215" s="1555" t="s">
        <v>627</v>
      </c>
      <c r="BQ215" s="1523" t="s">
        <v>685</v>
      </c>
    </row>
    <row r="216" spans="1:69" ht="102" customHeight="1" thickBot="1">
      <c r="A216" s="1584" t="s">
        <v>85</v>
      </c>
      <c r="B216" s="1489" t="s">
        <v>37</v>
      </c>
      <c r="C216" s="1591" t="s">
        <v>132</v>
      </c>
      <c r="D216" s="1586" t="s">
        <v>114</v>
      </c>
      <c r="E216" s="1489">
        <f>'HK UP KEEP, OP '!AH30</f>
        <v>21</v>
      </c>
      <c r="F216" s="1490">
        <v>129220</v>
      </c>
      <c r="G216" s="1490">
        <f t="shared" si="0"/>
        <v>2713620</v>
      </c>
      <c r="H216" s="1489">
        <f>'HK UP KEEP, OP '!AI30</f>
        <v>0</v>
      </c>
      <c r="I216" s="1489">
        <f t="shared" si="1"/>
        <v>0</v>
      </c>
      <c r="J216" s="1489">
        <f>'HK UP KEEP, OP '!AJ30</f>
        <v>1</v>
      </c>
      <c r="K216" s="1489">
        <f t="shared" si="2"/>
        <v>129220</v>
      </c>
      <c r="L216" s="1489">
        <f>'HK UP KEEP, OP '!AK30</f>
        <v>2</v>
      </c>
      <c r="M216" s="1489">
        <f t="shared" si="3"/>
        <v>258440</v>
      </c>
      <c r="N216" s="1489">
        <f>'HK UP KEEP, OP '!AL30</f>
        <v>4</v>
      </c>
      <c r="O216" s="1489">
        <f t="shared" si="4"/>
        <v>516880</v>
      </c>
      <c r="P216" s="1489">
        <f>'HK UP KEEP, OP '!AM30</f>
        <v>3</v>
      </c>
      <c r="Q216" s="1489">
        <f t="shared" si="5"/>
        <v>387660</v>
      </c>
      <c r="R216" s="1489">
        <f>'HK UP KEEP, OP '!AN30</f>
        <v>0</v>
      </c>
      <c r="S216" s="1489">
        <f t="shared" si="6"/>
        <v>0</v>
      </c>
      <c r="T216" s="1489">
        <f>'HK UP KEEP, OP '!AO30+'HK UP KEEP, OP '!AP30+'HK UP KEEP, OP '!AQ30</f>
        <v>0</v>
      </c>
      <c r="U216" s="1489">
        <f t="shared" si="7"/>
        <v>0</v>
      </c>
      <c r="V216" s="1489">
        <f t="shared" si="8"/>
        <v>31</v>
      </c>
      <c r="W216" s="1491">
        <v>2250</v>
      </c>
      <c r="X216" s="1489">
        <f t="shared" si="9"/>
        <v>69750</v>
      </c>
      <c r="Y216" s="1489"/>
      <c r="Z216" s="1489"/>
      <c r="AA216" s="1489">
        <f t="shared" si="27"/>
        <v>0</v>
      </c>
      <c r="AB216" s="1489">
        <v>2500</v>
      </c>
      <c r="AC216" s="1489">
        <f>'MASA KERJA AB'!H31</f>
        <v>16</v>
      </c>
      <c r="AD216" s="1492">
        <f>'MASA KERJA AB'!I31</f>
        <v>43500</v>
      </c>
      <c r="AE216" s="1497"/>
      <c r="AF216" s="1489"/>
      <c r="AG216" s="1489"/>
      <c r="AH216" s="1490"/>
      <c r="AI216" s="1489"/>
      <c r="AJ216" s="1490"/>
      <c r="AK216" s="1504"/>
      <c r="AL216" s="1489"/>
      <c r="AM216" s="1489"/>
      <c r="AN216" s="1489"/>
      <c r="AO216" s="1494">
        <f t="shared" si="10"/>
        <v>4119070</v>
      </c>
      <c r="AP216" s="1489">
        <f t="shared" si="20"/>
        <v>77532</v>
      </c>
      <c r="AQ216" s="1489">
        <f t="shared" si="21"/>
        <v>175997.64</v>
      </c>
      <c r="AR216" s="1489">
        <f t="shared" si="28"/>
        <v>253529.64</v>
      </c>
      <c r="AS216" s="1489">
        <f t="shared" si="22"/>
        <v>39201</v>
      </c>
      <c r="AT216" s="1489">
        <f t="shared" si="23"/>
        <v>156804</v>
      </c>
      <c r="AU216" s="1489">
        <f t="shared" si="24"/>
        <v>38766</v>
      </c>
      <c r="AV216" s="1489">
        <f t="shared" si="25"/>
        <v>77532</v>
      </c>
      <c r="AW216" s="1489">
        <f t="shared" si="29"/>
        <v>312303</v>
      </c>
      <c r="AX216" s="1492">
        <v>4000</v>
      </c>
      <c r="AY216" s="1491">
        <v>0</v>
      </c>
      <c r="AZ216" s="1489">
        <f t="shared" si="13"/>
        <v>0</v>
      </c>
      <c r="BA216" s="1489"/>
      <c r="BB216" s="1489"/>
      <c r="BC216" s="1489">
        <f t="shared" si="14"/>
        <v>3959571</v>
      </c>
      <c r="BD216" s="1495">
        <f>'HK UP KEEP, OP '!AS30</f>
        <v>0</v>
      </c>
      <c r="BE216" s="1488">
        <f>'HK UP KEEP, OP '!AT30</f>
        <v>0</v>
      </c>
      <c r="BG216" s="1551">
        <f t="shared" si="15"/>
        <v>4005820</v>
      </c>
      <c r="BH216" s="1552">
        <f t="shared" si="16"/>
        <v>0</v>
      </c>
      <c r="BI216" s="1552">
        <f t="shared" si="17"/>
        <v>0</v>
      </c>
      <c r="BJ216" s="1551">
        <f t="shared" si="18"/>
        <v>0</v>
      </c>
      <c r="BK216" s="1553">
        <f t="shared" si="26"/>
        <v>4005820</v>
      </c>
      <c r="BM216" s="1553">
        <f t="shared" si="30"/>
        <v>113250</v>
      </c>
      <c r="BN216" s="1551">
        <v>30575.999999999996</v>
      </c>
      <c r="BO216" s="1551">
        <f t="shared" si="19"/>
        <v>565832.64</v>
      </c>
    </row>
    <row r="217" spans="1:69" ht="23.25" customHeight="1">
      <c r="A217" s="2048" t="s">
        <v>0</v>
      </c>
      <c r="B217" s="2048"/>
      <c r="C217" s="2048"/>
      <c r="D217" s="2048"/>
      <c r="E217" s="2048"/>
      <c r="F217" s="2048"/>
      <c r="G217" s="2048"/>
      <c r="H217" s="2048"/>
      <c r="I217" s="2048"/>
      <c r="J217" s="2048"/>
      <c r="K217" s="2048"/>
      <c r="L217" s="2048"/>
      <c r="M217" s="2048"/>
      <c r="N217" s="2048"/>
      <c r="O217" s="2048"/>
      <c r="P217" s="2048"/>
      <c r="Q217" s="2048"/>
      <c r="R217" s="2048"/>
      <c r="S217" s="2048"/>
      <c r="T217" s="2048"/>
      <c r="U217" s="2048"/>
      <c r="V217" s="2048"/>
      <c r="W217" s="2048"/>
      <c r="X217" s="2048"/>
      <c r="Y217" s="2048"/>
      <c r="Z217" s="2048"/>
      <c r="AA217" s="2048"/>
      <c r="AB217" s="2048"/>
      <c r="AC217" s="2048"/>
      <c r="AD217" s="2048"/>
      <c r="AE217" s="2048"/>
      <c r="AF217" s="2048"/>
      <c r="AG217" s="2048"/>
      <c r="AH217" s="2048"/>
      <c r="AI217" s="2048"/>
      <c r="AJ217" s="2048"/>
      <c r="AK217" s="2048"/>
      <c r="AL217" s="2048"/>
      <c r="AM217" s="2048"/>
      <c r="AN217" s="2048"/>
      <c r="AO217" s="2048"/>
      <c r="AP217" s="2048"/>
      <c r="AQ217" s="2048"/>
      <c r="AR217" s="2048"/>
      <c r="AS217" s="2048"/>
      <c r="AT217" s="2048"/>
      <c r="AU217" s="2048"/>
      <c r="AV217" s="2048"/>
      <c r="AW217" s="2048"/>
      <c r="AX217" s="2048"/>
      <c r="AY217" s="2048"/>
      <c r="AZ217" s="2048"/>
      <c r="BA217" s="2048"/>
      <c r="BB217" s="2048"/>
      <c r="BC217" s="2048"/>
      <c r="BD217" s="2048"/>
      <c r="BE217" s="2048"/>
    </row>
    <row r="218" spans="1:69" ht="26.25" customHeight="1">
      <c r="A218" s="2049" t="s">
        <v>1033</v>
      </c>
      <c r="B218" s="2049"/>
      <c r="C218" s="2049"/>
      <c r="D218" s="2049"/>
      <c r="E218" s="2049"/>
      <c r="F218" s="2049"/>
      <c r="G218" s="2049"/>
      <c r="H218" s="2049"/>
      <c r="I218" s="2049"/>
      <c r="J218" s="2049"/>
      <c r="K218" s="2049"/>
      <c r="L218" s="2049"/>
      <c r="M218" s="2049"/>
      <c r="N218" s="2049"/>
      <c r="O218" s="2049"/>
      <c r="P218" s="2049"/>
      <c r="Q218" s="2049"/>
      <c r="R218" s="2049"/>
      <c r="S218" s="2049"/>
      <c r="T218" s="2049"/>
      <c r="U218" s="2049"/>
      <c r="V218" s="2049"/>
      <c r="W218" s="2049"/>
      <c r="X218" s="2049"/>
      <c r="Y218" s="2049"/>
      <c r="Z218" s="2049"/>
      <c r="AA218" s="2049"/>
      <c r="AB218" s="2049"/>
      <c r="AC218" s="2049"/>
      <c r="AD218" s="2049"/>
      <c r="AE218" s="2049"/>
      <c r="AF218" s="2049"/>
      <c r="AG218" s="2049"/>
      <c r="AH218" s="2049"/>
      <c r="AI218" s="2049"/>
      <c r="AJ218" s="2049"/>
      <c r="AK218" s="2049"/>
      <c r="AL218" s="2049"/>
      <c r="AM218" s="2049"/>
      <c r="AN218" s="2049"/>
      <c r="AO218" s="2049"/>
      <c r="AP218" s="2049"/>
      <c r="AQ218" s="2049"/>
      <c r="AR218" s="2049"/>
      <c r="AS218" s="2049"/>
      <c r="AT218" s="2049"/>
      <c r="AU218" s="2049"/>
      <c r="AV218" s="2049"/>
      <c r="AW218" s="2049"/>
      <c r="AX218" s="2049"/>
      <c r="AY218" s="2049"/>
      <c r="AZ218" s="2049"/>
      <c r="BA218" s="2049"/>
      <c r="BB218" s="2049"/>
      <c r="BC218" s="2049"/>
      <c r="BD218" s="2049"/>
      <c r="BE218" s="2049"/>
    </row>
    <row r="219" spans="1:69" s="1523" customFormat="1" ht="18.75" customHeight="1">
      <c r="C219" s="1554"/>
      <c r="D219" s="1523" t="s">
        <v>964</v>
      </c>
      <c r="F219" s="1555"/>
      <c r="G219" s="1555"/>
      <c r="X219" s="1556"/>
      <c r="AE219" s="1532"/>
      <c r="AK219" s="1557"/>
      <c r="AP219" s="1558">
        <v>3876600</v>
      </c>
      <c r="AQ219" s="1559">
        <f>AP219/30</f>
        <v>129220</v>
      </c>
      <c r="AR219" s="1559">
        <f>AP219/173*1.5</f>
        <v>33612.138728323698</v>
      </c>
      <c r="AS219" s="1559">
        <f>AP219/173*2</f>
        <v>44816.184971098264</v>
      </c>
      <c r="AW219" s="1532" t="s">
        <v>55</v>
      </c>
      <c r="AX219" s="1523" t="s">
        <v>152</v>
      </c>
      <c r="BC219" s="1531"/>
      <c r="BE219" s="1532"/>
      <c r="BG219" s="1555"/>
      <c r="BH219" s="1560"/>
      <c r="BI219" s="1560"/>
      <c r="BJ219" s="1555"/>
      <c r="BK219" s="1561"/>
      <c r="BL219" s="1561"/>
      <c r="BM219" s="1561"/>
      <c r="BN219" s="1555"/>
      <c r="BO219" s="1555"/>
    </row>
    <row r="220" spans="1:69" ht="15" customHeight="1" thickBot="1">
      <c r="A220" s="1547"/>
      <c r="D220" s="1563"/>
      <c r="E220" s="1563"/>
      <c r="F220" s="1564"/>
      <c r="G220" s="1564"/>
      <c r="H220" s="1563"/>
      <c r="I220" s="1563"/>
      <c r="J220" s="1563"/>
      <c r="K220" s="1563"/>
      <c r="L220" s="1563"/>
      <c r="M220" s="1563"/>
      <c r="N220" s="1563"/>
      <c r="O220" s="1563"/>
      <c r="Q220" s="1563"/>
      <c r="R220" s="1563"/>
      <c r="S220" s="1563"/>
      <c r="T220" s="1563"/>
      <c r="U220" s="1563"/>
      <c r="V220" s="1563"/>
      <c r="W220" s="1563"/>
      <c r="X220" s="1563"/>
      <c r="Y220" s="1563"/>
      <c r="Z220" s="1563"/>
      <c r="AA220" s="1563"/>
      <c r="AB220" s="1563"/>
      <c r="AC220" s="1563"/>
      <c r="AD220" s="1547"/>
      <c r="AE220" s="1563"/>
      <c r="AF220" s="1563"/>
      <c r="AG220" s="1563"/>
      <c r="AH220" s="1563"/>
      <c r="AI220" s="1563"/>
      <c r="AJ220" s="1563"/>
      <c r="AK220" s="1565"/>
      <c r="AL220" s="1563"/>
      <c r="AM220" s="1563"/>
      <c r="AO220" s="1563"/>
      <c r="AP220" s="1558">
        <v>3876600</v>
      </c>
      <c r="AQ220" s="1566">
        <f>AP220/30</f>
        <v>129220</v>
      </c>
      <c r="AR220" s="1567"/>
      <c r="AS220" s="1568">
        <f>AP220+24000</f>
        <v>3900600</v>
      </c>
    </row>
    <row r="221" spans="1:69" s="1523" customFormat="1" ht="15.75" customHeight="1">
      <c r="A221" s="2050" t="s">
        <v>5</v>
      </c>
      <c r="B221" s="2053" t="s">
        <v>6</v>
      </c>
      <c r="C221" s="2056" t="s">
        <v>52</v>
      </c>
      <c r="D221" s="1569"/>
      <c r="E221" s="1569"/>
      <c r="F221" s="1570"/>
      <c r="G221" s="1570"/>
      <c r="H221" s="2059" t="s">
        <v>2</v>
      </c>
      <c r="I221" s="2060"/>
      <c r="J221" s="2060"/>
      <c r="K221" s="2060"/>
      <c r="L221" s="2060"/>
      <c r="M221" s="2060"/>
      <c r="N221" s="2060"/>
      <c r="O221" s="2060"/>
      <c r="P221" s="2060"/>
      <c r="Q221" s="2060"/>
      <c r="R221" s="2060"/>
      <c r="S221" s="2060"/>
      <c r="T221" s="2060"/>
      <c r="U221" s="2061"/>
      <c r="V221" s="2056" t="s">
        <v>286</v>
      </c>
      <c r="W221" s="2059" t="s">
        <v>3</v>
      </c>
      <c r="X221" s="2060"/>
      <c r="Y221" s="2060"/>
      <c r="Z221" s="2060"/>
      <c r="AA221" s="2060"/>
      <c r="AB221" s="2060"/>
      <c r="AC221" s="2060"/>
      <c r="AD221" s="2061"/>
      <c r="AE221" s="2042" t="s">
        <v>45</v>
      </c>
      <c r="AF221" s="2063" t="s">
        <v>46</v>
      </c>
      <c r="AG221" s="2064"/>
      <c r="AH221" s="2064"/>
      <c r="AI221" s="2064"/>
      <c r="AJ221" s="2064"/>
      <c r="AK221" s="2064"/>
      <c r="AL221" s="2065"/>
      <c r="AM221" s="2045" t="s">
        <v>98</v>
      </c>
      <c r="AN221" s="2056" t="s">
        <v>44</v>
      </c>
      <c r="AO221" s="1533" t="s">
        <v>4</v>
      </c>
      <c r="AP221" s="2036" t="s">
        <v>20</v>
      </c>
      <c r="AQ221" s="2037"/>
      <c r="AR221" s="2038"/>
      <c r="AS221" s="2036" t="s">
        <v>54</v>
      </c>
      <c r="AT221" s="2037"/>
      <c r="AU221" s="2037"/>
      <c r="AV221" s="2037"/>
      <c r="AW221" s="2037"/>
      <c r="AX221" s="1571"/>
      <c r="AY221" s="2042" t="s">
        <v>89</v>
      </c>
      <c r="AZ221" s="2045" t="s">
        <v>97</v>
      </c>
      <c r="BA221" s="2045" t="s">
        <v>719</v>
      </c>
      <c r="BB221" s="2045" t="s">
        <v>210</v>
      </c>
      <c r="BC221" s="1539" t="s">
        <v>4</v>
      </c>
      <c r="BD221" s="2063" t="s">
        <v>41</v>
      </c>
      <c r="BE221" s="2084"/>
      <c r="BG221" s="1555"/>
      <c r="BH221" s="1560"/>
      <c r="BI221" s="1560"/>
      <c r="BJ221" s="1555"/>
      <c r="BK221" s="1561"/>
      <c r="BL221" s="1561"/>
      <c r="BM221" s="1561"/>
      <c r="BN221" s="1555"/>
      <c r="BO221" s="1555"/>
    </row>
    <row r="222" spans="1:69" s="1523" customFormat="1" ht="25.5" customHeight="1">
      <c r="A222" s="2051"/>
      <c r="B222" s="2054"/>
      <c r="C222" s="2057"/>
      <c r="D222" s="1519" t="s">
        <v>7</v>
      </c>
      <c r="E222" s="1519" t="s">
        <v>8</v>
      </c>
      <c r="F222" s="1572" t="s">
        <v>9</v>
      </c>
      <c r="G222" s="1572" t="s">
        <v>9</v>
      </c>
      <c r="H222" s="2071" t="s">
        <v>10</v>
      </c>
      <c r="I222" s="2072"/>
      <c r="J222" s="2071" t="s">
        <v>11</v>
      </c>
      <c r="K222" s="2072"/>
      <c r="L222" s="2071" t="s">
        <v>12</v>
      </c>
      <c r="M222" s="2072"/>
      <c r="N222" s="2071" t="s">
        <v>13</v>
      </c>
      <c r="O222" s="2072"/>
      <c r="P222" s="2071" t="s">
        <v>14</v>
      </c>
      <c r="Q222" s="2072"/>
      <c r="R222" s="2087" t="s">
        <v>15</v>
      </c>
      <c r="S222" s="2088"/>
      <c r="T222" s="2071" t="s">
        <v>16</v>
      </c>
      <c r="U222" s="2072"/>
      <c r="V222" s="2057"/>
      <c r="W222" s="2071" t="s">
        <v>17</v>
      </c>
      <c r="X222" s="2072"/>
      <c r="Y222" s="2071" t="s">
        <v>18</v>
      </c>
      <c r="Z222" s="2081"/>
      <c r="AA222" s="2072"/>
      <c r="AB222" s="2071" t="s">
        <v>19</v>
      </c>
      <c r="AC222" s="2081"/>
      <c r="AD222" s="2072"/>
      <c r="AE222" s="2043"/>
      <c r="AF222" s="2066"/>
      <c r="AG222" s="2067"/>
      <c r="AH222" s="2067"/>
      <c r="AI222" s="2067"/>
      <c r="AJ222" s="2067"/>
      <c r="AK222" s="2067"/>
      <c r="AL222" s="2068"/>
      <c r="AM222" s="2046"/>
      <c r="AN222" s="2057"/>
      <c r="AO222" s="1534" t="s">
        <v>9</v>
      </c>
      <c r="AP222" s="2039"/>
      <c r="AQ222" s="2040"/>
      <c r="AR222" s="2041"/>
      <c r="AS222" s="2039"/>
      <c r="AT222" s="2040"/>
      <c r="AU222" s="2040"/>
      <c r="AV222" s="2040"/>
      <c r="AW222" s="2040"/>
      <c r="AX222" s="1534" t="s">
        <v>21</v>
      </c>
      <c r="AY222" s="2043"/>
      <c r="AZ222" s="2046"/>
      <c r="BA222" s="2046"/>
      <c r="BB222" s="2046"/>
      <c r="BC222" s="1540" t="s">
        <v>9</v>
      </c>
      <c r="BD222" s="2085"/>
      <c r="BE222" s="2086"/>
      <c r="BG222" s="1573"/>
      <c r="BH222" s="1573"/>
      <c r="BI222" s="1573"/>
      <c r="BJ222" s="1555"/>
      <c r="BK222" s="1561"/>
      <c r="BL222" s="1561"/>
      <c r="BM222" s="1561"/>
      <c r="BN222" s="1555"/>
      <c r="BO222" s="1555"/>
    </row>
    <row r="223" spans="1:69" s="1523" customFormat="1" ht="63" customHeight="1">
      <c r="A223" s="2051"/>
      <c r="B223" s="2054"/>
      <c r="C223" s="2057"/>
      <c r="D223" s="1519" t="s">
        <v>22</v>
      </c>
      <c r="E223" s="1519" t="s">
        <v>23</v>
      </c>
      <c r="F223" s="1572" t="s">
        <v>24</v>
      </c>
      <c r="G223" s="1572" t="s">
        <v>25</v>
      </c>
      <c r="H223" s="2069" t="s">
        <v>4</v>
      </c>
      <c r="I223" s="2070"/>
      <c r="J223" s="2069" t="s">
        <v>4</v>
      </c>
      <c r="K223" s="2070"/>
      <c r="L223" s="2069" t="s">
        <v>4</v>
      </c>
      <c r="M223" s="2070"/>
      <c r="N223" s="2069" t="s">
        <v>4</v>
      </c>
      <c r="O223" s="2070"/>
      <c r="P223" s="2069" t="s">
        <v>4</v>
      </c>
      <c r="Q223" s="2070"/>
      <c r="R223" s="2082" t="s">
        <v>4</v>
      </c>
      <c r="S223" s="2083"/>
      <c r="T223" s="2069" t="s">
        <v>4</v>
      </c>
      <c r="U223" s="2070"/>
      <c r="V223" s="2057"/>
      <c r="W223" s="1534" t="s">
        <v>27</v>
      </c>
      <c r="X223" s="1574" t="s">
        <v>28</v>
      </c>
      <c r="Y223" s="1534" t="s">
        <v>27</v>
      </c>
      <c r="Z223" s="2069" t="s">
        <v>4</v>
      </c>
      <c r="AA223" s="2070"/>
      <c r="AB223" s="1534" t="s">
        <v>27</v>
      </c>
      <c r="AC223" s="2071" t="s">
        <v>4</v>
      </c>
      <c r="AD223" s="2072"/>
      <c r="AE223" s="2062"/>
      <c r="AF223" s="1575" t="s">
        <v>56</v>
      </c>
      <c r="AG223" s="1575" t="s">
        <v>57</v>
      </c>
      <c r="AH223" s="1575" t="s">
        <v>60</v>
      </c>
      <c r="AI223" s="1575" t="s">
        <v>202</v>
      </c>
      <c r="AJ223" s="1575" t="s">
        <v>218</v>
      </c>
      <c r="AK223" s="1575" t="s">
        <v>572</v>
      </c>
      <c r="AL223" s="1575" t="s">
        <v>288</v>
      </c>
      <c r="AM223" s="2089"/>
      <c r="AN223" s="2090"/>
      <c r="AO223" s="1534" t="s">
        <v>29</v>
      </c>
      <c r="AP223" s="1519" t="s">
        <v>30</v>
      </c>
      <c r="AQ223" s="1519" t="s">
        <v>31</v>
      </c>
      <c r="AR223" s="1519" t="s">
        <v>4</v>
      </c>
      <c r="AS223" s="1576" t="s">
        <v>30</v>
      </c>
      <c r="AT223" s="1574" t="s">
        <v>31</v>
      </c>
      <c r="AU223" s="1574" t="s">
        <v>30</v>
      </c>
      <c r="AV223" s="1574" t="s">
        <v>31</v>
      </c>
      <c r="AW223" s="1577" t="s">
        <v>4</v>
      </c>
      <c r="AX223" s="1534" t="s">
        <v>32</v>
      </c>
      <c r="AY223" s="2043"/>
      <c r="AZ223" s="2046"/>
      <c r="BA223" s="2046"/>
      <c r="BB223" s="2046"/>
      <c r="BC223" s="1540" t="s">
        <v>33</v>
      </c>
      <c r="BD223" s="2073" t="s">
        <v>42</v>
      </c>
      <c r="BE223" s="2075" t="s">
        <v>43</v>
      </c>
      <c r="BG223" s="1573"/>
      <c r="BH223" s="1578"/>
      <c r="BI223" s="1578"/>
      <c r="BJ223" s="1555"/>
      <c r="BK223" s="1561"/>
      <c r="BL223" s="1561"/>
      <c r="BM223" s="1561"/>
      <c r="BN223" s="1555"/>
      <c r="BO223" s="1555"/>
    </row>
    <row r="224" spans="1:69" s="1523" customFormat="1" ht="21" customHeight="1" thickBot="1">
      <c r="A224" s="2052"/>
      <c r="B224" s="2055"/>
      <c r="C224" s="2058"/>
      <c r="D224" s="1520"/>
      <c r="E224" s="1520"/>
      <c r="F224" s="1579" t="s">
        <v>34</v>
      </c>
      <c r="G224" s="1580" t="s">
        <v>34</v>
      </c>
      <c r="H224" s="1581" t="s">
        <v>8</v>
      </c>
      <c r="I224" s="1582" t="s">
        <v>34</v>
      </c>
      <c r="J224" s="1581" t="s">
        <v>8</v>
      </c>
      <c r="K224" s="1582" t="s">
        <v>34</v>
      </c>
      <c r="L224" s="1581" t="s">
        <v>8</v>
      </c>
      <c r="M224" s="1582" t="s">
        <v>34</v>
      </c>
      <c r="N224" s="1581" t="s">
        <v>8</v>
      </c>
      <c r="O224" s="1582" t="s">
        <v>34</v>
      </c>
      <c r="P224" s="1581" t="s">
        <v>8</v>
      </c>
      <c r="Q224" s="1582" t="s">
        <v>34</v>
      </c>
      <c r="R224" s="1581" t="s">
        <v>8</v>
      </c>
      <c r="S224" s="1582" t="s">
        <v>34</v>
      </c>
      <c r="T224" s="1581" t="s">
        <v>8</v>
      </c>
      <c r="U224" s="1582" t="s">
        <v>34</v>
      </c>
      <c r="V224" s="2058"/>
      <c r="W224" s="1581" t="s">
        <v>26</v>
      </c>
      <c r="X224" s="1581" t="s">
        <v>34</v>
      </c>
      <c r="Y224" s="1581" t="s">
        <v>26</v>
      </c>
      <c r="Z224" s="1581" t="s">
        <v>26</v>
      </c>
      <c r="AA224" s="1581" t="s">
        <v>34</v>
      </c>
      <c r="AB224" s="1581" t="s">
        <v>26</v>
      </c>
      <c r="AC224" s="1581" t="s">
        <v>35</v>
      </c>
      <c r="AD224" s="1581" t="s">
        <v>34</v>
      </c>
      <c r="AE224" s="1581" t="s">
        <v>34</v>
      </c>
      <c r="AF224" s="1582" t="s">
        <v>34</v>
      </c>
      <c r="AG224" s="1582" t="s">
        <v>34</v>
      </c>
      <c r="AH224" s="1582" t="s">
        <v>34</v>
      </c>
      <c r="AI224" s="1582" t="s">
        <v>34</v>
      </c>
      <c r="AJ224" s="1582" t="s">
        <v>34</v>
      </c>
      <c r="AK224" s="1582" t="s">
        <v>34</v>
      </c>
      <c r="AL224" s="1582" t="s">
        <v>34</v>
      </c>
      <c r="AM224" s="1582" t="s">
        <v>34</v>
      </c>
      <c r="AN224" s="1581" t="s">
        <v>34</v>
      </c>
      <c r="AO224" s="1582" t="s">
        <v>34</v>
      </c>
      <c r="AP224" s="1582" t="s">
        <v>34</v>
      </c>
      <c r="AQ224" s="1582" t="s">
        <v>34</v>
      </c>
      <c r="AR224" s="1582" t="s">
        <v>34</v>
      </c>
      <c r="AS224" s="1581" t="s">
        <v>58</v>
      </c>
      <c r="AT224" s="1582" t="s">
        <v>34</v>
      </c>
      <c r="AU224" s="1582" t="s">
        <v>59</v>
      </c>
      <c r="AV224" s="1582" t="s">
        <v>34</v>
      </c>
      <c r="AW224" s="1583" t="s">
        <v>34</v>
      </c>
      <c r="AX224" s="1537"/>
      <c r="AY224" s="2044"/>
      <c r="AZ224" s="2047"/>
      <c r="BA224" s="2047"/>
      <c r="BB224" s="2047"/>
      <c r="BC224" s="1541" t="s">
        <v>34</v>
      </c>
      <c r="BD224" s="2074"/>
      <c r="BE224" s="2076"/>
      <c r="BG224" s="1555" t="s">
        <v>353</v>
      </c>
      <c r="BH224" s="1578" t="s">
        <v>43</v>
      </c>
      <c r="BI224" s="1578" t="s">
        <v>42</v>
      </c>
      <c r="BJ224" s="1555" t="s">
        <v>354</v>
      </c>
      <c r="BK224" s="1561" t="s">
        <v>358</v>
      </c>
      <c r="BL224" s="1561"/>
      <c r="BM224" s="1561" t="s">
        <v>625</v>
      </c>
      <c r="BN224" s="1555" t="s">
        <v>626</v>
      </c>
      <c r="BO224" s="1555" t="s">
        <v>627</v>
      </c>
      <c r="BQ224" s="1523" t="s">
        <v>685</v>
      </c>
    </row>
    <row r="225" spans="1:76" s="1523" customFormat="1" ht="102" customHeight="1" thickBot="1">
      <c r="A225" s="1584" t="s">
        <v>86</v>
      </c>
      <c r="B225" s="1489" t="s">
        <v>36</v>
      </c>
      <c r="C225" s="1585" t="s">
        <v>133</v>
      </c>
      <c r="D225" s="1586" t="s">
        <v>115</v>
      </c>
      <c r="E225" s="1489">
        <f>'HK UP KEEP, OP '!AH31</f>
        <v>24</v>
      </c>
      <c r="F225" s="1490">
        <v>129220</v>
      </c>
      <c r="G225" s="1490">
        <f t="shared" si="0"/>
        <v>3101280</v>
      </c>
      <c r="H225" s="1489">
        <f>'HK UP KEEP, OP '!AI31</f>
        <v>0</v>
      </c>
      <c r="I225" s="1489">
        <f t="shared" si="1"/>
        <v>0</v>
      </c>
      <c r="J225" s="1489">
        <f>'HK UP KEEP, OP '!AJ31</f>
        <v>0</v>
      </c>
      <c r="K225" s="1489">
        <f t="shared" si="2"/>
        <v>0</v>
      </c>
      <c r="L225" s="1489">
        <f>'HK UP KEEP, OP '!AK31</f>
        <v>0</v>
      </c>
      <c r="M225" s="1489">
        <f t="shared" si="3"/>
        <v>0</v>
      </c>
      <c r="N225" s="1489">
        <f>'HK UP KEEP, OP '!AL31</f>
        <v>4</v>
      </c>
      <c r="O225" s="1489">
        <f t="shared" si="4"/>
        <v>516880</v>
      </c>
      <c r="P225" s="1489">
        <f>'HK UP KEEP, OP '!AM31</f>
        <v>3</v>
      </c>
      <c r="Q225" s="1489">
        <f t="shared" si="5"/>
        <v>387660</v>
      </c>
      <c r="R225" s="1489">
        <f>'HK UP KEEP, OP '!AN31</f>
        <v>0</v>
      </c>
      <c r="S225" s="1489">
        <f t="shared" si="6"/>
        <v>0</v>
      </c>
      <c r="T225" s="1489">
        <f>'HK UP KEEP, OP '!AO31+'HK UP KEEP, OP '!AP31+'HK UP KEEP, OP '!AQ31</f>
        <v>0</v>
      </c>
      <c r="U225" s="1489">
        <f t="shared" si="7"/>
        <v>0</v>
      </c>
      <c r="V225" s="1489">
        <f t="shared" si="8"/>
        <v>31</v>
      </c>
      <c r="W225" s="1491">
        <v>4650</v>
      </c>
      <c r="X225" s="1489">
        <f t="shared" si="9"/>
        <v>144150</v>
      </c>
      <c r="Y225" s="1489"/>
      <c r="Z225" s="1489"/>
      <c r="AA225" s="1489">
        <f t="shared" si="27"/>
        <v>0</v>
      </c>
      <c r="AB225" s="1496">
        <v>2500</v>
      </c>
      <c r="AC225" s="1489">
        <f>'MASA KERJA AB'!H32</f>
        <v>16</v>
      </c>
      <c r="AD225" s="1492">
        <f>'MASA KERJA AB'!I32</f>
        <v>43500</v>
      </c>
      <c r="AE225" s="1497"/>
      <c r="AF225" s="1489"/>
      <c r="AG225" s="1489"/>
      <c r="AH225" s="1509"/>
      <c r="AI225" s="1489"/>
      <c r="AJ225" s="1509">
        <f>'LEMBUR DAN PREMI UPKEEP'!AJ109</f>
        <v>0</v>
      </c>
      <c r="AK225" s="1510">
        <v>189000</v>
      </c>
      <c r="AL225" s="1489"/>
      <c r="AM225" s="1489"/>
      <c r="AN225" s="1489"/>
      <c r="AO225" s="1494">
        <f t="shared" si="10"/>
        <v>4382470</v>
      </c>
      <c r="AP225" s="1489">
        <f t="shared" si="20"/>
        <v>77532</v>
      </c>
      <c r="AQ225" s="1489">
        <f t="shared" si="21"/>
        <v>175997.64</v>
      </c>
      <c r="AR225" s="1489">
        <f t="shared" si="28"/>
        <v>253529.64</v>
      </c>
      <c r="AS225" s="1489">
        <f t="shared" si="22"/>
        <v>39201</v>
      </c>
      <c r="AT225" s="1489">
        <f t="shared" si="23"/>
        <v>156804</v>
      </c>
      <c r="AU225" s="1489">
        <f t="shared" si="24"/>
        <v>38766</v>
      </c>
      <c r="AV225" s="1489">
        <f t="shared" si="25"/>
        <v>77532</v>
      </c>
      <c r="AW225" s="1489">
        <f t="shared" si="29"/>
        <v>312303</v>
      </c>
      <c r="AX225" s="1492">
        <v>4000</v>
      </c>
      <c r="AY225" s="1491">
        <v>0</v>
      </c>
      <c r="AZ225" s="1489">
        <f t="shared" si="13"/>
        <v>0</v>
      </c>
      <c r="BA225" s="1489"/>
      <c r="BB225" s="1489"/>
      <c r="BC225" s="1489">
        <f t="shared" si="14"/>
        <v>4222971</v>
      </c>
      <c r="BD225" s="1495">
        <f>'HK UP KEEP, OP '!AS31</f>
        <v>0</v>
      </c>
      <c r="BE225" s="1488">
        <f>'HK UP KEEP, OP '!AT31</f>
        <v>0</v>
      </c>
      <c r="BF225" s="1518"/>
      <c r="BG225" s="1551">
        <f t="shared" si="15"/>
        <v>4005820</v>
      </c>
      <c r="BH225" s="1552">
        <f t="shared" si="16"/>
        <v>0</v>
      </c>
      <c r="BI225" s="1552">
        <f t="shared" si="17"/>
        <v>0</v>
      </c>
      <c r="BJ225" s="1551">
        <f t="shared" si="18"/>
        <v>0</v>
      </c>
      <c r="BK225" s="1553">
        <f t="shared" si="26"/>
        <v>4005820</v>
      </c>
      <c r="BL225" s="1553"/>
      <c r="BM225" s="1553">
        <f t="shared" si="30"/>
        <v>376650</v>
      </c>
      <c r="BN225" s="1551">
        <v>30575.999999999996</v>
      </c>
      <c r="BO225" s="1551">
        <f t="shared" si="19"/>
        <v>565832.64</v>
      </c>
      <c r="BP225" s="1518"/>
      <c r="BQ225" s="1518"/>
      <c r="BR225" s="1518"/>
      <c r="BU225" s="1518"/>
      <c r="BV225" s="1518"/>
      <c r="BW225" s="1518"/>
      <c r="BX225" s="1518"/>
    </row>
    <row r="226" spans="1:76" ht="23.25" customHeight="1">
      <c r="A226" s="2048" t="s">
        <v>0</v>
      </c>
      <c r="B226" s="2048"/>
      <c r="C226" s="2048"/>
      <c r="D226" s="2048"/>
      <c r="E226" s="2048"/>
      <c r="F226" s="2048"/>
      <c r="G226" s="2048"/>
      <c r="H226" s="2048"/>
      <c r="I226" s="2048"/>
      <c r="J226" s="2048"/>
      <c r="K226" s="2048"/>
      <c r="L226" s="2048"/>
      <c r="M226" s="2048"/>
      <c r="N226" s="2048"/>
      <c r="O226" s="2048"/>
      <c r="P226" s="2048"/>
      <c r="Q226" s="2048"/>
      <c r="R226" s="2048"/>
      <c r="S226" s="2048"/>
      <c r="T226" s="2048"/>
      <c r="U226" s="2048"/>
      <c r="V226" s="2048"/>
      <c r="W226" s="2048"/>
      <c r="X226" s="2048"/>
      <c r="Y226" s="2048"/>
      <c r="Z226" s="2048"/>
      <c r="AA226" s="2048"/>
      <c r="AB226" s="2048"/>
      <c r="AC226" s="2048"/>
      <c r="AD226" s="2048"/>
      <c r="AE226" s="2048"/>
      <c r="AF226" s="2048"/>
      <c r="AG226" s="2048"/>
      <c r="AH226" s="2048"/>
      <c r="AI226" s="2048"/>
      <c r="AJ226" s="2048"/>
      <c r="AK226" s="2048"/>
      <c r="AL226" s="2048"/>
      <c r="AM226" s="2048"/>
      <c r="AN226" s="2048"/>
      <c r="AO226" s="2048"/>
      <c r="AP226" s="2048"/>
      <c r="AQ226" s="2048"/>
      <c r="AR226" s="2048"/>
      <c r="AS226" s="2048"/>
      <c r="AT226" s="2048"/>
      <c r="AU226" s="2048"/>
      <c r="AV226" s="2048"/>
      <c r="AW226" s="2048"/>
      <c r="AX226" s="2048"/>
      <c r="AY226" s="2048"/>
      <c r="AZ226" s="2048"/>
      <c r="BA226" s="2048"/>
      <c r="BB226" s="2048"/>
      <c r="BC226" s="2048"/>
      <c r="BD226" s="2048"/>
      <c r="BE226" s="2048"/>
    </row>
    <row r="227" spans="1:76" ht="26.25" customHeight="1">
      <c r="A227" s="2049" t="s">
        <v>1033</v>
      </c>
      <c r="B227" s="2049"/>
      <c r="C227" s="2049"/>
      <c r="D227" s="2049"/>
      <c r="E227" s="2049"/>
      <c r="F227" s="2049"/>
      <c r="G227" s="2049"/>
      <c r="H227" s="2049"/>
      <c r="I227" s="2049"/>
      <c r="J227" s="2049"/>
      <c r="K227" s="2049"/>
      <c r="L227" s="2049"/>
      <c r="M227" s="2049"/>
      <c r="N227" s="2049"/>
      <c r="O227" s="2049"/>
      <c r="P227" s="2049"/>
      <c r="Q227" s="2049"/>
      <c r="R227" s="2049"/>
      <c r="S227" s="2049"/>
      <c r="T227" s="2049"/>
      <c r="U227" s="2049"/>
      <c r="V227" s="2049"/>
      <c r="W227" s="2049"/>
      <c r="X227" s="2049"/>
      <c r="Y227" s="2049"/>
      <c r="Z227" s="2049"/>
      <c r="AA227" s="2049"/>
      <c r="AB227" s="2049"/>
      <c r="AC227" s="2049"/>
      <c r="AD227" s="2049"/>
      <c r="AE227" s="2049"/>
      <c r="AF227" s="2049"/>
      <c r="AG227" s="2049"/>
      <c r="AH227" s="2049"/>
      <c r="AI227" s="2049"/>
      <c r="AJ227" s="2049"/>
      <c r="AK227" s="2049"/>
      <c r="AL227" s="2049"/>
      <c r="AM227" s="2049"/>
      <c r="AN227" s="2049"/>
      <c r="AO227" s="2049"/>
      <c r="AP227" s="2049"/>
      <c r="AQ227" s="2049"/>
      <c r="AR227" s="2049"/>
      <c r="AS227" s="2049"/>
      <c r="AT227" s="2049"/>
      <c r="AU227" s="2049"/>
      <c r="AV227" s="2049"/>
      <c r="AW227" s="2049"/>
      <c r="AX227" s="2049"/>
      <c r="AY227" s="2049"/>
      <c r="AZ227" s="2049"/>
      <c r="BA227" s="2049"/>
      <c r="BB227" s="2049"/>
      <c r="BC227" s="2049"/>
      <c r="BD227" s="2049"/>
      <c r="BE227" s="2049"/>
    </row>
    <row r="228" spans="1:76" s="1523" customFormat="1" ht="18.75" customHeight="1">
      <c r="C228" s="1554"/>
      <c r="D228" s="1523" t="s">
        <v>964</v>
      </c>
      <c r="F228" s="1555"/>
      <c r="G228" s="1555"/>
      <c r="X228" s="1556"/>
      <c r="AE228" s="1532"/>
      <c r="AK228" s="1557"/>
      <c r="AP228" s="1558">
        <v>3876600</v>
      </c>
      <c r="AQ228" s="1559">
        <f>AP228/30</f>
        <v>129220</v>
      </c>
      <c r="AR228" s="1559">
        <f>AP228/173*1.5</f>
        <v>33612.138728323698</v>
      </c>
      <c r="AS228" s="1559">
        <f>AP228/173*2</f>
        <v>44816.184971098264</v>
      </c>
      <c r="AW228" s="1532" t="s">
        <v>55</v>
      </c>
      <c r="AX228" s="1523" t="s">
        <v>152</v>
      </c>
      <c r="BC228" s="1531"/>
      <c r="BE228" s="1532"/>
      <c r="BG228" s="1555"/>
      <c r="BH228" s="1560"/>
      <c r="BI228" s="1560"/>
      <c r="BJ228" s="1555"/>
      <c r="BK228" s="1561"/>
      <c r="BL228" s="1561"/>
      <c r="BM228" s="1561"/>
      <c r="BN228" s="1555"/>
      <c r="BO228" s="1555"/>
    </row>
    <row r="229" spans="1:76" ht="15" customHeight="1" thickBot="1">
      <c r="A229" s="1547"/>
      <c r="D229" s="1563"/>
      <c r="E229" s="1563"/>
      <c r="F229" s="1564"/>
      <c r="G229" s="1564"/>
      <c r="H229" s="1563"/>
      <c r="I229" s="1563"/>
      <c r="J229" s="1563"/>
      <c r="K229" s="1563"/>
      <c r="L229" s="1563"/>
      <c r="M229" s="1563"/>
      <c r="N229" s="1563"/>
      <c r="O229" s="1563"/>
      <c r="Q229" s="1563"/>
      <c r="R229" s="1563"/>
      <c r="S229" s="1563"/>
      <c r="T229" s="1563"/>
      <c r="U229" s="1563"/>
      <c r="V229" s="1563"/>
      <c r="W229" s="1563"/>
      <c r="X229" s="1563"/>
      <c r="Y229" s="1563"/>
      <c r="Z229" s="1563"/>
      <c r="AA229" s="1563"/>
      <c r="AB229" s="1563"/>
      <c r="AC229" s="1563"/>
      <c r="AD229" s="1547"/>
      <c r="AE229" s="1563"/>
      <c r="AF229" s="1563"/>
      <c r="AG229" s="1563"/>
      <c r="AH229" s="1563"/>
      <c r="AI229" s="1563"/>
      <c r="AJ229" s="1563"/>
      <c r="AK229" s="1565"/>
      <c r="AL229" s="1563"/>
      <c r="AM229" s="1563"/>
      <c r="AO229" s="1563"/>
      <c r="AP229" s="1558">
        <v>3876600</v>
      </c>
      <c r="AQ229" s="1566">
        <f>AP229/30</f>
        <v>129220</v>
      </c>
      <c r="AR229" s="1567"/>
      <c r="AS229" s="1568">
        <f>AP229+24000</f>
        <v>3900600</v>
      </c>
    </row>
    <row r="230" spans="1:76" s="1523" customFormat="1" ht="15.75" customHeight="1">
      <c r="A230" s="2050" t="s">
        <v>5</v>
      </c>
      <c r="B230" s="2053" t="s">
        <v>6</v>
      </c>
      <c r="C230" s="2056" t="s">
        <v>52</v>
      </c>
      <c r="D230" s="1569"/>
      <c r="E230" s="1569"/>
      <c r="F230" s="1570"/>
      <c r="G230" s="1570"/>
      <c r="H230" s="2059" t="s">
        <v>2</v>
      </c>
      <c r="I230" s="2060"/>
      <c r="J230" s="2060"/>
      <c r="K230" s="2060"/>
      <c r="L230" s="2060"/>
      <c r="M230" s="2060"/>
      <c r="N230" s="2060"/>
      <c r="O230" s="2060"/>
      <c r="P230" s="2060"/>
      <c r="Q230" s="2060"/>
      <c r="R230" s="2060"/>
      <c r="S230" s="2060"/>
      <c r="T230" s="2060"/>
      <c r="U230" s="2061"/>
      <c r="V230" s="2056" t="s">
        <v>286</v>
      </c>
      <c r="W230" s="2059" t="s">
        <v>3</v>
      </c>
      <c r="X230" s="2060"/>
      <c r="Y230" s="2060"/>
      <c r="Z230" s="2060"/>
      <c r="AA230" s="2060"/>
      <c r="AB230" s="2060"/>
      <c r="AC230" s="2060"/>
      <c r="AD230" s="2061"/>
      <c r="AE230" s="2042" t="s">
        <v>45</v>
      </c>
      <c r="AF230" s="2063" t="s">
        <v>46</v>
      </c>
      <c r="AG230" s="2064"/>
      <c r="AH230" s="2064"/>
      <c r="AI230" s="2064"/>
      <c r="AJ230" s="2064"/>
      <c r="AK230" s="2064"/>
      <c r="AL230" s="2065"/>
      <c r="AM230" s="2045" t="s">
        <v>98</v>
      </c>
      <c r="AN230" s="2056" t="s">
        <v>44</v>
      </c>
      <c r="AO230" s="1533" t="s">
        <v>4</v>
      </c>
      <c r="AP230" s="2036" t="s">
        <v>20</v>
      </c>
      <c r="AQ230" s="2037"/>
      <c r="AR230" s="2038"/>
      <c r="AS230" s="2036" t="s">
        <v>54</v>
      </c>
      <c r="AT230" s="2037"/>
      <c r="AU230" s="2037"/>
      <c r="AV230" s="2037"/>
      <c r="AW230" s="2037"/>
      <c r="AX230" s="1571"/>
      <c r="AY230" s="2042" t="s">
        <v>89</v>
      </c>
      <c r="AZ230" s="2045" t="s">
        <v>97</v>
      </c>
      <c r="BA230" s="2045" t="s">
        <v>719</v>
      </c>
      <c r="BB230" s="2045" t="s">
        <v>210</v>
      </c>
      <c r="BC230" s="1539" t="s">
        <v>4</v>
      </c>
      <c r="BD230" s="2063" t="s">
        <v>41</v>
      </c>
      <c r="BE230" s="2084"/>
      <c r="BG230" s="1555"/>
      <c r="BH230" s="1560"/>
      <c r="BI230" s="1560"/>
      <c r="BJ230" s="1555"/>
      <c r="BK230" s="1561"/>
      <c r="BL230" s="1561"/>
      <c r="BM230" s="1561"/>
      <c r="BN230" s="1555"/>
      <c r="BO230" s="1555"/>
    </row>
    <row r="231" spans="1:76" s="1523" customFormat="1" ht="25.5" customHeight="1">
      <c r="A231" s="2051"/>
      <c r="B231" s="2054"/>
      <c r="C231" s="2057"/>
      <c r="D231" s="1519" t="s">
        <v>7</v>
      </c>
      <c r="E231" s="1519" t="s">
        <v>8</v>
      </c>
      <c r="F231" s="1572" t="s">
        <v>9</v>
      </c>
      <c r="G231" s="1572" t="s">
        <v>9</v>
      </c>
      <c r="H231" s="2071" t="s">
        <v>10</v>
      </c>
      <c r="I231" s="2072"/>
      <c r="J231" s="2071" t="s">
        <v>11</v>
      </c>
      <c r="K231" s="2072"/>
      <c r="L231" s="2071" t="s">
        <v>12</v>
      </c>
      <c r="M231" s="2072"/>
      <c r="N231" s="2071" t="s">
        <v>13</v>
      </c>
      <c r="O231" s="2072"/>
      <c r="P231" s="2071" t="s">
        <v>14</v>
      </c>
      <c r="Q231" s="2072"/>
      <c r="R231" s="2087" t="s">
        <v>15</v>
      </c>
      <c r="S231" s="2088"/>
      <c r="T231" s="2071" t="s">
        <v>16</v>
      </c>
      <c r="U231" s="2072"/>
      <c r="V231" s="2057"/>
      <c r="W231" s="2071" t="s">
        <v>17</v>
      </c>
      <c r="X231" s="2072"/>
      <c r="Y231" s="2071" t="s">
        <v>18</v>
      </c>
      <c r="Z231" s="2081"/>
      <c r="AA231" s="2072"/>
      <c r="AB231" s="2071" t="s">
        <v>19</v>
      </c>
      <c r="AC231" s="2081"/>
      <c r="AD231" s="2072"/>
      <c r="AE231" s="2043"/>
      <c r="AF231" s="2066"/>
      <c r="AG231" s="2067"/>
      <c r="AH231" s="2067"/>
      <c r="AI231" s="2067"/>
      <c r="AJ231" s="2067"/>
      <c r="AK231" s="2067"/>
      <c r="AL231" s="2068"/>
      <c r="AM231" s="2046"/>
      <c r="AN231" s="2057"/>
      <c r="AO231" s="1534" t="s">
        <v>9</v>
      </c>
      <c r="AP231" s="2039"/>
      <c r="AQ231" s="2040"/>
      <c r="AR231" s="2041"/>
      <c r="AS231" s="2039"/>
      <c r="AT231" s="2040"/>
      <c r="AU231" s="2040"/>
      <c r="AV231" s="2040"/>
      <c r="AW231" s="2040"/>
      <c r="AX231" s="1534" t="s">
        <v>21</v>
      </c>
      <c r="AY231" s="2043"/>
      <c r="AZ231" s="2046"/>
      <c r="BA231" s="2046"/>
      <c r="BB231" s="2046"/>
      <c r="BC231" s="1540" t="s">
        <v>9</v>
      </c>
      <c r="BD231" s="2085"/>
      <c r="BE231" s="2086"/>
      <c r="BG231" s="1573"/>
      <c r="BH231" s="1573"/>
      <c r="BI231" s="1573"/>
      <c r="BJ231" s="1555"/>
      <c r="BK231" s="1561"/>
      <c r="BL231" s="1561"/>
      <c r="BM231" s="1561"/>
      <c r="BN231" s="1555"/>
      <c r="BO231" s="1555"/>
    </row>
    <row r="232" spans="1:76" s="1523" customFormat="1" ht="63" customHeight="1">
      <c r="A232" s="2051"/>
      <c r="B232" s="2054"/>
      <c r="C232" s="2057"/>
      <c r="D232" s="1519" t="s">
        <v>22</v>
      </c>
      <c r="E232" s="1519" t="s">
        <v>23</v>
      </c>
      <c r="F232" s="1572" t="s">
        <v>24</v>
      </c>
      <c r="G232" s="1572" t="s">
        <v>25</v>
      </c>
      <c r="H232" s="2069" t="s">
        <v>4</v>
      </c>
      <c r="I232" s="2070"/>
      <c r="J232" s="2069" t="s">
        <v>4</v>
      </c>
      <c r="K232" s="2070"/>
      <c r="L232" s="2069" t="s">
        <v>4</v>
      </c>
      <c r="M232" s="2070"/>
      <c r="N232" s="2069" t="s">
        <v>4</v>
      </c>
      <c r="O232" s="2070"/>
      <c r="P232" s="2069" t="s">
        <v>4</v>
      </c>
      <c r="Q232" s="2070"/>
      <c r="R232" s="2082" t="s">
        <v>4</v>
      </c>
      <c r="S232" s="2083"/>
      <c r="T232" s="2069" t="s">
        <v>4</v>
      </c>
      <c r="U232" s="2070"/>
      <c r="V232" s="2057"/>
      <c r="W232" s="1534" t="s">
        <v>27</v>
      </c>
      <c r="X232" s="1574" t="s">
        <v>28</v>
      </c>
      <c r="Y232" s="1534" t="s">
        <v>27</v>
      </c>
      <c r="Z232" s="2069" t="s">
        <v>4</v>
      </c>
      <c r="AA232" s="2070"/>
      <c r="AB232" s="1534" t="s">
        <v>27</v>
      </c>
      <c r="AC232" s="2071" t="s">
        <v>4</v>
      </c>
      <c r="AD232" s="2072"/>
      <c r="AE232" s="2062"/>
      <c r="AF232" s="1575" t="s">
        <v>56</v>
      </c>
      <c r="AG232" s="1575" t="s">
        <v>57</v>
      </c>
      <c r="AH232" s="1575" t="s">
        <v>60</v>
      </c>
      <c r="AI232" s="1575" t="s">
        <v>202</v>
      </c>
      <c r="AJ232" s="1575" t="s">
        <v>218</v>
      </c>
      <c r="AK232" s="1575" t="s">
        <v>572</v>
      </c>
      <c r="AL232" s="1575" t="s">
        <v>288</v>
      </c>
      <c r="AM232" s="2089"/>
      <c r="AN232" s="2090"/>
      <c r="AO232" s="1534" t="s">
        <v>29</v>
      </c>
      <c r="AP232" s="1519" t="s">
        <v>30</v>
      </c>
      <c r="AQ232" s="1519" t="s">
        <v>31</v>
      </c>
      <c r="AR232" s="1519" t="s">
        <v>4</v>
      </c>
      <c r="AS232" s="1576" t="s">
        <v>30</v>
      </c>
      <c r="AT232" s="1574" t="s">
        <v>31</v>
      </c>
      <c r="AU232" s="1574" t="s">
        <v>30</v>
      </c>
      <c r="AV232" s="1574" t="s">
        <v>31</v>
      </c>
      <c r="AW232" s="1577" t="s">
        <v>4</v>
      </c>
      <c r="AX232" s="1534" t="s">
        <v>32</v>
      </c>
      <c r="AY232" s="2043"/>
      <c r="AZ232" s="2046"/>
      <c r="BA232" s="2046"/>
      <c r="BB232" s="2046"/>
      <c r="BC232" s="1540" t="s">
        <v>33</v>
      </c>
      <c r="BD232" s="2073" t="s">
        <v>42</v>
      </c>
      <c r="BE232" s="2075" t="s">
        <v>43</v>
      </c>
      <c r="BG232" s="1573"/>
      <c r="BH232" s="1578"/>
      <c r="BI232" s="1578"/>
      <c r="BJ232" s="1555"/>
      <c r="BK232" s="1561"/>
      <c r="BL232" s="1561"/>
      <c r="BM232" s="1561"/>
      <c r="BN232" s="1555"/>
      <c r="BO232" s="1555"/>
    </row>
    <row r="233" spans="1:76" s="1523" customFormat="1" ht="21" customHeight="1" thickBot="1">
      <c r="A233" s="2052"/>
      <c r="B233" s="2055"/>
      <c r="C233" s="2058"/>
      <c r="D233" s="1520"/>
      <c r="E233" s="1520"/>
      <c r="F233" s="1579" t="s">
        <v>34</v>
      </c>
      <c r="G233" s="1580" t="s">
        <v>34</v>
      </c>
      <c r="H233" s="1581" t="s">
        <v>8</v>
      </c>
      <c r="I233" s="1582" t="s">
        <v>34</v>
      </c>
      <c r="J233" s="1581" t="s">
        <v>8</v>
      </c>
      <c r="K233" s="1582" t="s">
        <v>34</v>
      </c>
      <c r="L233" s="1581" t="s">
        <v>8</v>
      </c>
      <c r="M233" s="1582" t="s">
        <v>34</v>
      </c>
      <c r="N233" s="1581" t="s">
        <v>8</v>
      </c>
      <c r="O233" s="1582" t="s">
        <v>34</v>
      </c>
      <c r="P233" s="1581" t="s">
        <v>8</v>
      </c>
      <c r="Q233" s="1582" t="s">
        <v>34</v>
      </c>
      <c r="R233" s="1581" t="s">
        <v>8</v>
      </c>
      <c r="S233" s="1582" t="s">
        <v>34</v>
      </c>
      <c r="T233" s="1581" t="s">
        <v>8</v>
      </c>
      <c r="U233" s="1582" t="s">
        <v>34</v>
      </c>
      <c r="V233" s="2058"/>
      <c r="W233" s="1581" t="s">
        <v>26</v>
      </c>
      <c r="X233" s="1581" t="s">
        <v>34</v>
      </c>
      <c r="Y233" s="1581" t="s">
        <v>26</v>
      </c>
      <c r="Z233" s="1581" t="s">
        <v>26</v>
      </c>
      <c r="AA233" s="1581" t="s">
        <v>34</v>
      </c>
      <c r="AB233" s="1581" t="s">
        <v>26</v>
      </c>
      <c r="AC233" s="1581" t="s">
        <v>35</v>
      </c>
      <c r="AD233" s="1581" t="s">
        <v>34</v>
      </c>
      <c r="AE233" s="1581" t="s">
        <v>34</v>
      </c>
      <c r="AF233" s="1582" t="s">
        <v>34</v>
      </c>
      <c r="AG233" s="1582" t="s">
        <v>34</v>
      </c>
      <c r="AH233" s="1582" t="s">
        <v>34</v>
      </c>
      <c r="AI233" s="1582" t="s">
        <v>34</v>
      </c>
      <c r="AJ233" s="1582" t="s">
        <v>34</v>
      </c>
      <c r="AK233" s="1582" t="s">
        <v>34</v>
      </c>
      <c r="AL233" s="1582" t="s">
        <v>34</v>
      </c>
      <c r="AM233" s="1582" t="s">
        <v>34</v>
      </c>
      <c r="AN233" s="1581" t="s">
        <v>34</v>
      </c>
      <c r="AO233" s="1582" t="s">
        <v>34</v>
      </c>
      <c r="AP233" s="1582" t="s">
        <v>34</v>
      </c>
      <c r="AQ233" s="1582" t="s">
        <v>34</v>
      </c>
      <c r="AR233" s="1582" t="s">
        <v>34</v>
      </c>
      <c r="AS233" s="1581" t="s">
        <v>58</v>
      </c>
      <c r="AT233" s="1582" t="s">
        <v>34</v>
      </c>
      <c r="AU233" s="1582" t="s">
        <v>59</v>
      </c>
      <c r="AV233" s="1582" t="s">
        <v>34</v>
      </c>
      <c r="AW233" s="1583" t="s">
        <v>34</v>
      </c>
      <c r="AX233" s="1537"/>
      <c r="AY233" s="2044"/>
      <c r="AZ233" s="2047"/>
      <c r="BA233" s="2047"/>
      <c r="BB233" s="2047"/>
      <c r="BC233" s="1541" t="s">
        <v>34</v>
      </c>
      <c r="BD233" s="2074"/>
      <c r="BE233" s="2076"/>
      <c r="BG233" s="1555" t="s">
        <v>353</v>
      </c>
      <c r="BH233" s="1578" t="s">
        <v>43</v>
      </c>
      <c r="BI233" s="1578" t="s">
        <v>42</v>
      </c>
      <c r="BJ233" s="1555" t="s">
        <v>354</v>
      </c>
      <c r="BK233" s="1561" t="s">
        <v>358</v>
      </c>
      <c r="BL233" s="1561"/>
      <c r="BM233" s="1561" t="s">
        <v>625</v>
      </c>
      <c r="BN233" s="1555" t="s">
        <v>626</v>
      </c>
      <c r="BO233" s="1555" t="s">
        <v>627</v>
      </c>
      <c r="BQ233" s="1523" t="s">
        <v>685</v>
      </c>
    </row>
    <row r="234" spans="1:76" s="1523" customFormat="1" ht="102" customHeight="1" thickBot="1">
      <c r="A234" s="1584" t="s">
        <v>91</v>
      </c>
      <c r="B234" s="1489" t="s">
        <v>36</v>
      </c>
      <c r="C234" s="1585" t="s">
        <v>145</v>
      </c>
      <c r="D234" s="1586" t="s">
        <v>137</v>
      </c>
      <c r="E234" s="1489">
        <f>'HK UP KEEP, OP '!AH32</f>
        <v>24</v>
      </c>
      <c r="F234" s="1490">
        <v>129220</v>
      </c>
      <c r="G234" s="1490">
        <f t="shared" si="0"/>
        <v>3101280</v>
      </c>
      <c r="H234" s="1489">
        <f>'HK UP KEEP, OP '!AI32</f>
        <v>0</v>
      </c>
      <c r="I234" s="1489">
        <f t="shared" si="1"/>
        <v>0</v>
      </c>
      <c r="J234" s="1489">
        <f>'HK UP KEEP, OP '!AJ32</f>
        <v>0</v>
      </c>
      <c r="K234" s="1489">
        <f t="shared" si="2"/>
        <v>0</v>
      </c>
      <c r="L234" s="1489">
        <f>'HK UP KEEP, OP '!AK32</f>
        <v>0</v>
      </c>
      <c r="M234" s="1489">
        <f t="shared" si="3"/>
        <v>0</v>
      </c>
      <c r="N234" s="1489">
        <f>'HK UP KEEP, OP '!AL32</f>
        <v>4</v>
      </c>
      <c r="O234" s="1489">
        <f t="shared" si="4"/>
        <v>516880</v>
      </c>
      <c r="P234" s="1489">
        <f>'HK UP KEEP, OP '!AM32</f>
        <v>3</v>
      </c>
      <c r="Q234" s="1489">
        <f t="shared" si="5"/>
        <v>387660</v>
      </c>
      <c r="R234" s="1489">
        <f>'HK UP KEEP, OP '!AN32</f>
        <v>0</v>
      </c>
      <c r="S234" s="1489">
        <f t="shared" si="6"/>
        <v>0</v>
      </c>
      <c r="T234" s="1489">
        <f>'HK UP KEEP, OP '!AO32+'HK UP KEEP, OP '!AP32+'HK UP KEEP, OP '!AQ32</f>
        <v>0</v>
      </c>
      <c r="U234" s="1489">
        <f t="shared" si="7"/>
        <v>0</v>
      </c>
      <c r="V234" s="1489">
        <f t="shared" si="8"/>
        <v>31</v>
      </c>
      <c r="W234" s="1489">
        <v>4650</v>
      </c>
      <c r="X234" s="1489">
        <f t="shared" si="9"/>
        <v>144150</v>
      </c>
      <c r="Y234" s="1489"/>
      <c r="Z234" s="1489"/>
      <c r="AA234" s="1489">
        <f t="shared" si="27"/>
        <v>0</v>
      </c>
      <c r="AB234" s="1489">
        <v>2500</v>
      </c>
      <c r="AC234" s="1489">
        <f>'MASA KERJA AB'!H33</f>
        <v>8</v>
      </c>
      <c r="AD234" s="1492">
        <f>'MASA KERJA AB'!I33</f>
        <v>18000</v>
      </c>
      <c r="AE234" s="1497">
        <f>'LEMBUR DAN PREMI UPKEEP'!AJ24</f>
        <v>0</v>
      </c>
      <c r="AF234" s="1498">
        <f>'MONITORING '!AK381</f>
        <v>0</v>
      </c>
      <c r="AG234" s="1489">
        <f>'MONITORING '!AK382</f>
        <v>1750</v>
      </c>
      <c r="AH234" s="1511"/>
      <c r="AI234" s="1512"/>
      <c r="AJ234" s="1490"/>
      <c r="AK234" s="1513">
        <v>60000</v>
      </c>
      <c r="AL234" s="1489"/>
      <c r="AM234" s="1491"/>
      <c r="AN234" s="1491"/>
      <c r="AO234" s="1494">
        <f t="shared" si="10"/>
        <v>4229720</v>
      </c>
      <c r="AP234" s="1489">
        <f t="shared" si="20"/>
        <v>77532</v>
      </c>
      <c r="AQ234" s="1489">
        <f t="shared" si="21"/>
        <v>175997.64</v>
      </c>
      <c r="AR234" s="1489">
        <f t="shared" si="28"/>
        <v>253529.64</v>
      </c>
      <c r="AS234" s="1489">
        <f t="shared" si="22"/>
        <v>38946</v>
      </c>
      <c r="AT234" s="1489">
        <f t="shared" si="23"/>
        <v>155784</v>
      </c>
      <c r="AU234" s="1489">
        <f t="shared" si="24"/>
        <v>38766</v>
      </c>
      <c r="AV234" s="1489">
        <f t="shared" si="25"/>
        <v>77532</v>
      </c>
      <c r="AW234" s="1489">
        <f t="shared" si="29"/>
        <v>311028</v>
      </c>
      <c r="AX234" s="1492">
        <v>4000</v>
      </c>
      <c r="AY234" s="1491">
        <v>0</v>
      </c>
      <c r="AZ234" s="1489">
        <f t="shared" si="13"/>
        <v>0</v>
      </c>
      <c r="BA234" s="1491"/>
      <c r="BB234" s="1489"/>
      <c r="BC234" s="1489">
        <f t="shared" si="14"/>
        <v>4070476</v>
      </c>
      <c r="BD234" s="1495">
        <f>'HK UP KEEP, OP '!AS32</f>
        <v>0</v>
      </c>
      <c r="BE234" s="1488">
        <f>'HK UP KEEP, OP '!AT32</f>
        <v>0</v>
      </c>
      <c r="BF234" s="1518"/>
      <c r="BG234" s="1551">
        <f t="shared" si="15"/>
        <v>4005820</v>
      </c>
      <c r="BH234" s="1552">
        <f t="shared" si="16"/>
        <v>0</v>
      </c>
      <c r="BI234" s="1552">
        <f t="shared" si="17"/>
        <v>0</v>
      </c>
      <c r="BJ234" s="1551">
        <f t="shared" si="18"/>
        <v>0</v>
      </c>
      <c r="BK234" s="1553">
        <f t="shared" si="26"/>
        <v>4005820</v>
      </c>
      <c r="BL234" s="1553"/>
      <c r="BM234" s="1553">
        <f t="shared" si="30"/>
        <v>223900</v>
      </c>
      <c r="BN234" s="1551">
        <v>30575.999999999996</v>
      </c>
      <c r="BO234" s="1551">
        <f t="shared" si="19"/>
        <v>564557.64</v>
      </c>
      <c r="BP234" s="1518"/>
      <c r="BQ234" s="1518"/>
      <c r="BR234" s="1518"/>
      <c r="BU234" s="1518"/>
      <c r="BV234" s="1518"/>
      <c r="BW234" s="1518"/>
      <c r="BX234" s="1518"/>
    </row>
    <row r="235" spans="1:76" ht="23.25" customHeight="1">
      <c r="A235" s="2048" t="s">
        <v>0</v>
      </c>
      <c r="B235" s="2048"/>
      <c r="C235" s="2048"/>
      <c r="D235" s="2048"/>
      <c r="E235" s="2048"/>
      <c r="F235" s="2048"/>
      <c r="G235" s="2048"/>
      <c r="H235" s="2048"/>
      <c r="I235" s="2048"/>
      <c r="J235" s="2048"/>
      <c r="K235" s="2048"/>
      <c r="L235" s="2048"/>
      <c r="M235" s="2048"/>
      <c r="N235" s="2048"/>
      <c r="O235" s="2048"/>
      <c r="P235" s="2048"/>
      <c r="Q235" s="2048"/>
      <c r="R235" s="2048"/>
      <c r="S235" s="2048"/>
      <c r="T235" s="2048"/>
      <c r="U235" s="2048"/>
      <c r="V235" s="2048"/>
      <c r="W235" s="2048"/>
      <c r="X235" s="2048"/>
      <c r="Y235" s="2048"/>
      <c r="Z235" s="2048"/>
      <c r="AA235" s="2048"/>
      <c r="AB235" s="2048"/>
      <c r="AC235" s="2048"/>
      <c r="AD235" s="2048"/>
      <c r="AE235" s="2048"/>
      <c r="AF235" s="2048"/>
      <c r="AG235" s="2048"/>
      <c r="AH235" s="2048"/>
      <c r="AI235" s="2048"/>
      <c r="AJ235" s="2048"/>
      <c r="AK235" s="2048"/>
      <c r="AL235" s="2048"/>
      <c r="AM235" s="2048"/>
      <c r="AN235" s="2048"/>
      <c r="AO235" s="2048"/>
      <c r="AP235" s="2048"/>
      <c r="AQ235" s="2048"/>
      <c r="AR235" s="2048"/>
      <c r="AS235" s="2048"/>
      <c r="AT235" s="2048"/>
      <c r="AU235" s="2048"/>
      <c r="AV235" s="2048"/>
      <c r="AW235" s="2048"/>
      <c r="AX235" s="2048"/>
      <c r="AY235" s="2048"/>
      <c r="AZ235" s="2048"/>
      <c r="BA235" s="2048"/>
      <c r="BB235" s="2048"/>
      <c r="BC235" s="2048"/>
      <c r="BD235" s="2048"/>
      <c r="BE235" s="2048"/>
    </row>
    <row r="236" spans="1:76" ht="26.25" customHeight="1">
      <c r="A236" s="2049" t="s">
        <v>1033</v>
      </c>
      <c r="B236" s="2049"/>
      <c r="C236" s="2049"/>
      <c r="D236" s="2049"/>
      <c r="E236" s="2049"/>
      <c r="F236" s="2049"/>
      <c r="G236" s="2049"/>
      <c r="H236" s="2049"/>
      <c r="I236" s="2049"/>
      <c r="J236" s="2049"/>
      <c r="K236" s="2049"/>
      <c r="L236" s="2049"/>
      <c r="M236" s="2049"/>
      <c r="N236" s="2049"/>
      <c r="O236" s="2049"/>
      <c r="P236" s="2049"/>
      <c r="Q236" s="2049"/>
      <c r="R236" s="2049"/>
      <c r="S236" s="2049"/>
      <c r="T236" s="2049"/>
      <c r="U236" s="2049"/>
      <c r="V236" s="2049"/>
      <c r="W236" s="2049"/>
      <c r="X236" s="2049"/>
      <c r="Y236" s="2049"/>
      <c r="Z236" s="2049"/>
      <c r="AA236" s="2049"/>
      <c r="AB236" s="2049"/>
      <c r="AC236" s="2049"/>
      <c r="AD236" s="2049"/>
      <c r="AE236" s="2049"/>
      <c r="AF236" s="2049"/>
      <c r="AG236" s="2049"/>
      <c r="AH236" s="2049"/>
      <c r="AI236" s="2049"/>
      <c r="AJ236" s="2049"/>
      <c r="AK236" s="2049"/>
      <c r="AL236" s="2049"/>
      <c r="AM236" s="2049"/>
      <c r="AN236" s="2049"/>
      <c r="AO236" s="2049"/>
      <c r="AP236" s="2049"/>
      <c r="AQ236" s="2049"/>
      <c r="AR236" s="2049"/>
      <c r="AS236" s="2049"/>
      <c r="AT236" s="2049"/>
      <c r="AU236" s="2049"/>
      <c r="AV236" s="2049"/>
      <c r="AW236" s="2049"/>
      <c r="AX236" s="2049"/>
      <c r="AY236" s="2049"/>
      <c r="AZ236" s="2049"/>
      <c r="BA236" s="2049"/>
      <c r="BB236" s="2049"/>
      <c r="BC236" s="2049"/>
      <c r="BD236" s="2049"/>
      <c r="BE236" s="2049"/>
    </row>
    <row r="237" spans="1:76" s="1523" customFormat="1" ht="18.75" customHeight="1">
      <c r="C237" s="1554"/>
      <c r="D237" s="1523" t="s">
        <v>964</v>
      </c>
      <c r="F237" s="1555"/>
      <c r="G237" s="1555"/>
      <c r="X237" s="1556"/>
      <c r="AE237" s="1532"/>
      <c r="AK237" s="1557"/>
      <c r="AP237" s="1558">
        <v>3876600</v>
      </c>
      <c r="AQ237" s="1559">
        <f>AP237/30</f>
        <v>129220</v>
      </c>
      <c r="AR237" s="1559">
        <f>AP237/173*1.5</f>
        <v>33612.138728323698</v>
      </c>
      <c r="AS237" s="1559">
        <f>AP237/173*2</f>
        <v>44816.184971098264</v>
      </c>
      <c r="AW237" s="1532" t="s">
        <v>55</v>
      </c>
      <c r="AX237" s="1523" t="s">
        <v>152</v>
      </c>
      <c r="BC237" s="1531"/>
      <c r="BE237" s="1532"/>
      <c r="BG237" s="1555"/>
      <c r="BH237" s="1560"/>
      <c r="BI237" s="1560"/>
      <c r="BJ237" s="1555"/>
      <c r="BK237" s="1561"/>
      <c r="BL237" s="1561"/>
      <c r="BM237" s="1561"/>
      <c r="BN237" s="1555"/>
      <c r="BO237" s="1555"/>
    </row>
    <row r="238" spans="1:76" ht="15" customHeight="1" thickBot="1">
      <c r="A238" s="1547"/>
      <c r="D238" s="1563"/>
      <c r="E238" s="1563"/>
      <c r="F238" s="1564"/>
      <c r="G238" s="1564"/>
      <c r="H238" s="1563"/>
      <c r="I238" s="1563"/>
      <c r="J238" s="1563"/>
      <c r="K238" s="1563"/>
      <c r="L238" s="1563"/>
      <c r="M238" s="1563"/>
      <c r="N238" s="1563"/>
      <c r="O238" s="1563"/>
      <c r="Q238" s="1563"/>
      <c r="R238" s="1563"/>
      <c r="S238" s="1563"/>
      <c r="T238" s="1563"/>
      <c r="U238" s="1563"/>
      <c r="V238" s="1563"/>
      <c r="W238" s="1563"/>
      <c r="X238" s="1563"/>
      <c r="Y238" s="1563"/>
      <c r="Z238" s="1563"/>
      <c r="AA238" s="1563"/>
      <c r="AB238" s="1563"/>
      <c r="AC238" s="1563"/>
      <c r="AD238" s="1547"/>
      <c r="AE238" s="1563"/>
      <c r="AF238" s="1563"/>
      <c r="AG238" s="1563"/>
      <c r="AH238" s="1563"/>
      <c r="AI238" s="1563"/>
      <c r="AJ238" s="1563"/>
      <c r="AK238" s="1565"/>
      <c r="AL238" s="1563"/>
      <c r="AM238" s="1563"/>
      <c r="AO238" s="1563"/>
      <c r="AP238" s="1558">
        <v>3876600</v>
      </c>
      <c r="AQ238" s="1566">
        <f>AP238/30</f>
        <v>129220</v>
      </c>
      <c r="AR238" s="1567"/>
      <c r="AS238" s="1568">
        <f>AP238+24000</f>
        <v>3900600</v>
      </c>
    </row>
    <row r="239" spans="1:76" s="1523" customFormat="1" ht="15.75" customHeight="1">
      <c r="A239" s="2050" t="s">
        <v>5</v>
      </c>
      <c r="B239" s="2053" t="s">
        <v>6</v>
      </c>
      <c r="C239" s="2056" t="s">
        <v>52</v>
      </c>
      <c r="D239" s="1569"/>
      <c r="E239" s="1569"/>
      <c r="F239" s="1570"/>
      <c r="G239" s="1570"/>
      <c r="H239" s="2059" t="s">
        <v>2</v>
      </c>
      <c r="I239" s="2060"/>
      <c r="J239" s="2060"/>
      <c r="K239" s="2060"/>
      <c r="L239" s="2060"/>
      <c r="M239" s="2060"/>
      <c r="N239" s="2060"/>
      <c r="O239" s="2060"/>
      <c r="P239" s="2060"/>
      <c r="Q239" s="2060"/>
      <c r="R239" s="2060"/>
      <c r="S239" s="2060"/>
      <c r="T239" s="2060"/>
      <c r="U239" s="2061"/>
      <c r="V239" s="2056" t="s">
        <v>286</v>
      </c>
      <c r="W239" s="2059" t="s">
        <v>3</v>
      </c>
      <c r="X239" s="2060"/>
      <c r="Y239" s="2060"/>
      <c r="Z239" s="2060"/>
      <c r="AA239" s="2060"/>
      <c r="AB239" s="2060"/>
      <c r="AC239" s="2060"/>
      <c r="AD239" s="2061"/>
      <c r="AE239" s="2042" t="s">
        <v>45</v>
      </c>
      <c r="AF239" s="2063" t="s">
        <v>46</v>
      </c>
      <c r="AG239" s="2064"/>
      <c r="AH239" s="2064"/>
      <c r="AI239" s="2064"/>
      <c r="AJ239" s="2064"/>
      <c r="AK239" s="2064"/>
      <c r="AL239" s="2065"/>
      <c r="AM239" s="2045" t="s">
        <v>98</v>
      </c>
      <c r="AN239" s="2056" t="s">
        <v>44</v>
      </c>
      <c r="AO239" s="1533" t="s">
        <v>4</v>
      </c>
      <c r="AP239" s="2036" t="s">
        <v>20</v>
      </c>
      <c r="AQ239" s="2037"/>
      <c r="AR239" s="2038"/>
      <c r="AS239" s="2036" t="s">
        <v>54</v>
      </c>
      <c r="AT239" s="2037"/>
      <c r="AU239" s="2037"/>
      <c r="AV239" s="2037"/>
      <c r="AW239" s="2037"/>
      <c r="AX239" s="1571"/>
      <c r="AY239" s="2042" t="s">
        <v>89</v>
      </c>
      <c r="AZ239" s="2045" t="s">
        <v>97</v>
      </c>
      <c r="BA239" s="2045" t="s">
        <v>719</v>
      </c>
      <c r="BB239" s="2045" t="s">
        <v>210</v>
      </c>
      <c r="BC239" s="1539" t="s">
        <v>4</v>
      </c>
      <c r="BD239" s="2063" t="s">
        <v>41</v>
      </c>
      <c r="BE239" s="2084"/>
      <c r="BG239" s="1555"/>
      <c r="BH239" s="1560"/>
      <c r="BI239" s="1560"/>
      <c r="BJ239" s="1555"/>
      <c r="BK239" s="1561"/>
      <c r="BL239" s="1561"/>
      <c r="BM239" s="1561"/>
      <c r="BN239" s="1555"/>
      <c r="BO239" s="1555"/>
    </row>
    <row r="240" spans="1:76" s="1523" customFormat="1" ht="25.5" customHeight="1">
      <c r="A240" s="2051"/>
      <c r="B240" s="2054"/>
      <c r="C240" s="2057"/>
      <c r="D240" s="1519" t="s">
        <v>7</v>
      </c>
      <c r="E240" s="1519" t="s">
        <v>8</v>
      </c>
      <c r="F240" s="1572" t="s">
        <v>9</v>
      </c>
      <c r="G240" s="1572" t="s">
        <v>9</v>
      </c>
      <c r="H240" s="2071" t="s">
        <v>10</v>
      </c>
      <c r="I240" s="2072"/>
      <c r="J240" s="2071" t="s">
        <v>11</v>
      </c>
      <c r="K240" s="2072"/>
      <c r="L240" s="2071" t="s">
        <v>12</v>
      </c>
      <c r="M240" s="2072"/>
      <c r="N240" s="2071" t="s">
        <v>13</v>
      </c>
      <c r="O240" s="2072"/>
      <c r="P240" s="2071" t="s">
        <v>14</v>
      </c>
      <c r="Q240" s="2072"/>
      <c r="R240" s="2087" t="s">
        <v>15</v>
      </c>
      <c r="S240" s="2088"/>
      <c r="T240" s="2071" t="s">
        <v>16</v>
      </c>
      <c r="U240" s="2072"/>
      <c r="V240" s="2057"/>
      <c r="W240" s="2071" t="s">
        <v>17</v>
      </c>
      <c r="X240" s="2072"/>
      <c r="Y240" s="2071" t="s">
        <v>18</v>
      </c>
      <c r="Z240" s="2081"/>
      <c r="AA240" s="2072"/>
      <c r="AB240" s="2071" t="s">
        <v>19</v>
      </c>
      <c r="AC240" s="2081"/>
      <c r="AD240" s="2072"/>
      <c r="AE240" s="2043"/>
      <c r="AF240" s="2066"/>
      <c r="AG240" s="2067"/>
      <c r="AH240" s="2067"/>
      <c r="AI240" s="2067"/>
      <c r="AJ240" s="2067"/>
      <c r="AK240" s="2067"/>
      <c r="AL240" s="2068"/>
      <c r="AM240" s="2046"/>
      <c r="AN240" s="2057"/>
      <c r="AO240" s="1534" t="s">
        <v>9</v>
      </c>
      <c r="AP240" s="2039"/>
      <c r="AQ240" s="2040"/>
      <c r="AR240" s="2041"/>
      <c r="AS240" s="2039"/>
      <c r="AT240" s="2040"/>
      <c r="AU240" s="2040"/>
      <c r="AV240" s="2040"/>
      <c r="AW240" s="2040"/>
      <c r="AX240" s="1534" t="s">
        <v>21</v>
      </c>
      <c r="AY240" s="2043"/>
      <c r="AZ240" s="2046"/>
      <c r="BA240" s="2046"/>
      <c r="BB240" s="2046"/>
      <c r="BC240" s="1540" t="s">
        <v>9</v>
      </c>
      <c r="BD240" s="2085"/>
      <c r="BE240" s="2086"/>
      <c r="BG240" s="1573"/>
      <c r="BH240" s="1573"/>
      <c r="BI240" s="1573"/>
      <c r="BJ240" s="1555"/>
      <c r="BK240" s="1561"/>
      <c r="BL240" s="1561"/>
      <c r="BM240" s="1561"/>
      <c r="BN240" s="1555"/>
      <c r="BO240" s="1555"/>
    </row>
    <row r="241" spans="1:76" s="1523" customFormat="1" ht="63" customHeight="1">
      <c r="A241" s="2051"/>
      <c r="B241" s="2054"/>
      <c r="C241" s="2057"/>
      <c r="D241" s="1519" t="s">
        <v>22</v>
      </c>
      <c r="E241" s="1519" t="s">
        <v>23</v>
      </c>
      <c r="F241" s="1572" t="s">
        <v>24</v>
      </c>
      <c r="G241" s="1572" t="s">
        <v>25</v>
      </c>
      <c r="H241" s="2069" t="s">
        <v>4</v>
      </c>
      <c r="I241" s="2070"/>
      <c r="J241" s="2069" t="s">
        <v>4</v>
      </c>
      <c r="K241" s="2070"/>
      <c r="L241" s="2069" t="s">
        <v>4</v>
      </c>
      <c r="M241" s="2070"/>
      <c r="N241" s="2069" t="s">
        <v>4</v>
      </c>
      <c r="O241" s="2070"/>
      <c r="P241" s="2069" t="s">
        <v>4</v>
      </c>
      <c r="Q241" s="2070"/>
      <c r="R241" s="2082" t="s">
        <v>4</v>
      </c>
      <c r="S241" s="2083"/>
      <c r="T241" s="2069" t="s">
        <v>4</v>
      </c>
      <c r="U241" s="2070"/>
      <c r="V241" s="2057"/>
      <c r="W241" s="1534" t="s">
        <v>27</v>
      </c>
      <c r="X241" s="1574" t="s">
        <v>28</v>
      </c>
      <c r="Y241" s="1534" t="s">
        <v>27</v>
      </c>
      <c r="Z241" s="2069" t="s">
        <v>4</v>
      </c>
      <c r="AA241" s="2070"/>
      <c r="AB241" s="1534" t="s">
        <v>27</v>
      </c>
      <c r="AC241" s="2071" t="s">
        <v>4</v>
      </c>
      <c r="AD241" s="2072"/>
      <c r="AE241" s="2062"/>
      <c r="AF241" s="1575" t="s">
        <v>56</v>
      </c>
      <c r="AG241" s="1575" t="s">
        <v>57</v>
      </c>
      <c r="AH241" s="1575" t="s">
        <v>60</v>
      </c>
      <c r="AI241" s="1575" t="s">
        <v>202</v>
      </c>
      <c r="AJ241" s="1575" t="s">
        <v>218</v>
      </c>
      <c r="AK241" s="1575" t="s">
        <v>572</v>
      </c>
      <c r="AL241" s="1575" t="s">
        <v>288</v>
      </c>
      <c r="AM241" s="2089"/>
      <c r="AN241" s="2090"/>
      <c r="AO241" s="1534" t="s">
        <v>29</v>
      </c>
      <c r="AP241" s="1519" t="s">
        <v>30</v>
      </c>
      <c r="AQ241" s="1519" t="s">
        <v>31</v>
      </c>
      <c r="AR241" s="1519" t="s">
        <v>4</v>
      </c>
      <c r="AS241" s="1576" t="s">
        <v>30</v>
      </c>
      <c r="AT241" s="1574" t="s">
        <v>31</v>
      </c>
      <c r="AU241" s="1574" t="s">
        <v>30</v>
      </c>
      <c r="AV241" s="1574" t="s">
        <v>31</v>
      </c>
      <c r="AW241" s="1577" t="s">
        <v>4</v>
      </c>
      <c r="AX241" s="1534" t="s">
        <v>32</v>
      </c>
      <c r="AY241" s="2043"/>
      <c r="AZ241" s="2046"/>
      <c r="BA241" s="2046"/>
      <c r="BB241" s="2046"/>
      <c r="BC241" s="1540" t="s">
        <v>33</v>
      </c>
      <c r="BD241" s="2073" t="s">
        <v>42</v>
      </c>
      <c r="BE241" s="2075" t="s">
        <v>43</v>
      </c>
      <c r="BG241" s="1573"/>
      <c r="BH241" s="1578"/>
      <c r="BI241" s="1578"/>
      <c r="BJ241" s="1555"/>
      <c r="BK241" s="1561"/>
      <c r="BL241" s="1561"/>
      <c r="BM241" s="1561"/>
      <c r="BN241" s="1555"/>
      <c r="BO241" s="1555"/>
    </row>
    <row r="242" spans="1:76" s="1523" customFormat="1" ht="21" customHeight="1" thickBot="1">
      <c r="A242" s="2052"/>
      <c r="B242" s="2055"/>
      <c r="C242" s="2058"/>
      <c r="D242" s="1520"/>
      <c r="E242" s="1520"/>
      <c r="F242" s="1579" t="s">
        <v>34</v>
      </c>
      <c r="G242" s="1580" t="s">
        <v>34</v>
      </c>
      <c r="H242" s="1581" t="s">
        <v>8</v>
      </c>
      <c r="I242" s="1582" t="s">
        <v>34</v>
      </c>
      <c r="J242" s="1581" t="s">
        <v>8</v>
      </c>
      <c r="K242" s="1582" t="s">
        <v>34</v>
      </c>
      <c r="L242" s="1581" t="s">
        <v>8</v>
      </c>
      <c r="M242" s="1582" t="s">
        <v>34</v>
      </c>
      <c r="N242" s="1581" t="s">
        <v>8</v>
      </c>
      <c r="O242" s="1582" t="s">
        <v>34</v>
      </c>
      <c r="P242" s="1581" t="s">
        <v>8</v>
      </c>
      <c r="Q242" s="1582" t="s">
        <v>34</v>
      </c>
      <c r="R242" s="1581" t="s">
        <v>8</v>
      </c>
      <c r="S242" s="1582" t="s">
        <v>34</v>
      </c>
      <c r="T242" s="1581" t="s">
        <v>8</v>
      </c>
      <c r="U242" s="1582" t="s">
        <v>34</v>
      </c>
      <c r="V242" s="2058"/>
      <c r="W242" s="1581" t="s">
        <v>26</v>
      </c>
      <c r="X242" s="1581" t="s">
        <v>34</v>
      </c>
      <c r="Y242" s="1581" t="s">
        <v>26</v>
      </c>
      <c r="Z242" s="1581" t="s">
        <v>26</v>
      </c>
      <c r="AA242" s="1581" t="s">
        <v>34</v>
      </c>
      <c r="AB242" s="1581" t="s">
        <v>26</v>
      </c>
      <c r="AC242" s="1581" t="s">
        <v>35</v>
      </c>
      <c r="AD242" s="1581" t="s">
        <v>34</v>
      </c>
      <c r="AE242" s="1581" t="s">
        <v>34</v>
      </c>
      <c r="AF242" s="1582" t="s">
        <v>34</v>
      </c>
      <c r="AG242" s="1582" t="s">
        <v>34</v>
      </c>
      <c r="AH242" s="1582" t="s">
        <v>34</v>
      </c>
      <c r="AI242" s="1582" t="s">
        <v>34</v>
      </c>
      <c r="AJ242" s="1582" t="s">
        <v>34</v>
      </c>
      <c r="AK242" s="1582" t="s">
        <v>34</v>
      </c>
      <c r="AL242" s="1582" t="s">
        <v>34</v>
      </c>
      <c r="AM242" s="1582" t="s">
        <v>34</v>
      </c>
      <c r="AN242" s="1581" t="s">
        <v>34</v>
      </c>
      <c r="AO242" s="1582" t="s">
        <v>34</v>
      </c>
      <c r="AP242" s="1582" t="s">
        <v>34</v>
      </c>
      <c r="AQ242" s="1582" t="s">
        <v>34</v>
      </c>
      <c r="AR242" s="1582" t="s">
        <v>34</v>
      </c>
      <c r="AS242" s="1581" t="s">
        <v>58</v>
      </c>
      <c r="AT242" s="1582" t="s">
        <v>34</v>
      </c>
      <c r="AU242" s="1582" t="s">
        <v>59</v>
      </c>
      <c r="AV242" s="1582" t="s">
        <v>34</v>
      </c>
      <c r="AW242" s="1583" t="s">
        <v>34</v>
      </c>
      <c r="AX242" s="1537"/>
      <c r="AY242" s="2044"/>
      <c r="AZ242" s="2047"/>
      <c r="BA242" s="2047"/>
      <c r="BB242" s="2047"/>
      <c r="BC242" s="1541" t="s">
        <v>34</v>
      </c>
      <c r="BD242" s="2074"/>
      <c r="BE242" s="2076"/>
      <c r="BG242" s="1555" t="s">
        <v>353</v>
      </c>
      <c r="BH242" s="1578" t="s">
        <v>43</v>
      </c>
      <c r="BI242" s="1578" t="s">
        <v>42</v>
      </c>
      <c r="BJ242" s="1555" t="s">
        <v>354</v>
      </c>
      <c r="BK242" s="1561" t="s">
        <v>358</v>
      </c>
      <c r="BL242" s="1561"/>
      <c r="BM242" s="1561" t="s">
        <v>625</v>
      </c>
      <c r="BN242" s="1555" t="s">
        <v>626</v>
      </c>
      <c r="BO242" s="1555" t="s">
        <v>627</v>
      </c>
      <c r="BQ242" s="1523" t="s">
        <v>685</v>
      </c>
    </row>
    <row r="243" spans="1:76" s="1523" customFormat="1" ht="102" customHeight="1" thickBot="1">
      <c r="A243" s="1584" t="s">
        <v>92</v>
      </c>
      <c r="B243" s="1496" t="s">
        <v>37</v>
      </c>
      <c r="C243" s="1585" t="s">
        <v>211</v>
      </c>
      <c r="D243" s="1586" t="s">
        <v>212</v>
      </c>
      <c r="E243" s="1489">
        <f>'HK UP KEEP, OP '!AH33</f>
        <v>20</v>
      </c>
      <c r="F243" s="1490">
        <v>129220</v>
      </c>
      <c r="G243" s="1490">
        <f t="shared" si="0"/>
        <v>2584400</v>
      </c>
      <c r="H243" s="1489">
        <f>'HK UP KEEP, OP '!AI33</f>
        <v>1</v>
      </c>
      <c r="I243" s="1489">
        <f t="shared" si="1"/>
        <v>129220</v>
      </c>
      <c r="J243" s="1489">
        <f>'HK UP KEEP, OP '!AJ33</f>
        <v>1</v>
      </c>
      <c r="K243" s="1489">
        <f t="shared" si="2"/>
        <v>129220</v>
      </c>
      <c r="L243" s="1489">
        <f>'HK UP KEEP, OP '!AK33</f>
        <v>2</v>
      </c>
      <c r="M243" s="1489">
        <f t="shared" si="3"/>
        <v>258440</v>
      </c>
      <c r="N243" s="1489">
        <f>'HK UP KEEP, OP '!AL33</f>
        <v>4</v>
      </c>
      <c r="O243" s="1489">
        <f t="shared" si="4"/>
        <v>516880</v>
      </c>
      <c r="P243" s="1489">
        <f>'HK UP KEEP, OP '!AM33</f>
        <v>3</v>
      </c>
      <c r="Q243" s="1489">
        <f t="shared" si="5"/>
        <v>387660</v>
      </c>
      <c r="R243" s="1489">
        <f>'HK UP KEEP, OP '!AN33</f>
        <v>0</v>
      </c>
      <c r="S243" s="1489">
        <f t="shared" si="6"/>
        <v>0</v>
      </c>
      <c r="T243" s="1489">
        <f>'HK UP KEEP, OP '!AO33+'HK UP KEEP, OP '!AP33+'HK UP KEEP, OP '!AQ33</f>
        <v>0</v>
      </c>
      <c r="U243" s="1489">
        <f t="shared" si="7"/>
        <v>0</v>
      </c>
      <c r="V243" s="1489">
        <f t="shared" si="8"/>
        <v>31</v>
      </c>
      <c r="W243" s="1489">
        <v>2250</v>
      </c>
      <c r="X243" s="1489">
        <f t="shared" si="9"/>
        <v>69750</v>
      </c>
      <c r="Y243" s="1489"/>
      <c r="Z243" s="1489"/>
      <c r="AA243" s="1489">
        <f t="shared" si="27"/>
        <v>0</v>
      </c>
      <c r="AB243" s="1489">
        <v>2500</v>
      </c>
      <c r="AC243" s="1489">
        <f>'MASA KERJA AB'!H34</f>
        <v>16</v>
      </c>
      <c r="AD243" s="1492">
        <f>'MASA KERJA AB'!I34</f>
        <v>47000</v>
      </c>
      <c r="AE243" s="1491"/>
      <c r="AF243" s="1489"/>
      <c r="AG243" s="1489"/>
      <c r="AH243" s="1489"/>
      <c r="AI243" s="1489"/>
      <c r="AJ243" s="1489"/>
      <c r="AK243" s="1493"/>
      <c r="AL243" s="1489"/>
      <c r="AM243" s="1489"/>
      <c r="AN243" s="1489"/>
      <c r="AO243" s="1494">
        <f t="shared" si="10"/>
        <v>4122570</v>
      </c>
      <c r="AP243" s="1489">
        <f t="shared" si="20"/>
        <v>77532</v>
      </c>
      <c r="AQ243" s="1489">
        <f t="shared" si="21"/>
        <v>175997.64</v>
      </c>
      <c r="AR243" s="1489">
        <f t="shared" si="28"/>
        <v>253529.64</v>
      </c>
      <c r="AS243" s="1489">
        <f t="shared" si="22"/>
        <v>39236</v>
      </c>
      <c r="AT243" s="1489">
        <f t="shared" si="23"/>
        <v>156944</v>
      </c>
      <c r="AU243" s="1489">
        <f t="shared" si="24"/>
        <v>38766</v>
      </c>
      <c r="AV243" s="1489">
        <f t="shared" si="25"/>
        <v>77532</v>
      </c>
      <c r="AW243" s="1489">
        <f t="shared" si="29"/>
        <v>312478</v>
      </c>
      <c r="AX243" s="1492">
        <v>4000</v>
      </c>
      <c r="AY243" s="1491">
        <v>0</v>
      </c>
      <c r="AZ243" s="1489">
        <f t="shared" si="13"/>
        <v>0</v>
      </c>
      <c r="BA243" s="1489"/>
      <c r="BB243" s="1489"/>
      <c r="BC243" s="1489">
        <f t="shared" si="14"/>
        <v>3963036</v>
      </c>
      <c r="BD243" s="1495">
        <f>'HK UP KEEP, OP '!AS33</f>
        <v>0</v>
      </c>
      <c r="BE243" s="1488">
        <f>'HK UP KEEP, OP '!AT33</f>
        <v>0</v>
      </c>
      <c r="BF243" s="1518"/>
      <c r="BG243" s="1551">
        <f t="shared" si="15"/>
        <v>4005820</v>
      </c>
      <c r="BH243" s="1552">
        <f t="shared" si="16"/>
        <v>0</v>
      </c>
      <c r="BI243" s="1552">
        <f t="shared" si="17"/>
        <v>0</v>
      </c>
      <c r="BJ243" s="1551">
        <f t="shared" si="18"/>
        <v>0</v>
      </c>
      <c r="BK243" s="1553">
        <f t="shared" si="26"/>
        <v>4005820</v>
      </c>
      <c r="BL243" s="1553"/>
      <c r="BM243" s="1553">
        <f t="shared" si="30"/>
        <v>116750</v>
      </c>
      <c r="BN243" s="1551">
        <v>30575.999999999996</v>
      </c>
      <c r="BO243" s="1551">
        <f t="shared" si="19"/>
        <v>566007.64</v>
      </c>
      <c r="BP243" s="1518"/>
      <c r="BQ243" s="1518"/>
      <c r="BR243" s="1518"/>
      <c r="BU243" s="1518"/>
      <c r="BV243" s="1518"/>
      <c r="BW243" s="1518"/>
      <c r="BX243" s="1518"/>
    </row>
    <row r="244" spans="1:76" ht="23.25" customHeight="1">
      <c r="A244" s="2048" t="s">
        <v>0</v>
      </c>
      <c r="B244" s="2048"/>
      <c r="C244" s="2048"/>
      <c r="D244" s="2048"/>
      <c r="E244" s="2048"/>
      <c r="F244" s="2048"/>
      <c r="G244" s="2048"/>
      <c r="H244" s="2048"/>
      <c r="I244" s="2048"/>
      <c r="J244" s="2048"/>
      <c r="K244" s="2048"/>
      <c r="L244" s="2048"/>
      <c r="M244" s="2048"/>
      <c r="N244" s="2048"/>
      <c r="O244" s="2048"/>
      <c r="P244" s="2048"/>
      <c r="Q244" s="2048"/>
      <c r="R244" s="2048"/>
      <c r="S244" s="2048"/>
      <c r="T244" s="2048"/>
      <c r="U244" s="2048"/>
      <c r="V244" s="2048"/>
      <c r="W244" s="2048"/>
      <c r="X244" s="2048"/>
      <c r="Y244" s="2048"/>
      <c r="Z244" s="2048"/>
      <c r="AA244" s="2048"/>
      <c r="AB244" s="2048"/>
      <c r="AC244" s="2048"/>
      <c r="AD244" s="2048"/>
      <c r="AE244" s="2048"/>
      <c r="AF244" s="2048"/>
      <c r="AG244" s="2048"/>
      <c r="AH244" s="2048"/>
      <c r="AI244" s="2048"/>
      <c r="AJ244" s="2048"/>
      <c r="AK244" s="2048"/>
      <c r="AL244" s="2048"/>
      <c r="AM244" s="2048"/>
      <c r="AN244" s="2048"/>
      <c r="AO244" s="2048"/>
      <c r="AP244" s="2048"/>
      <c r="AQ244" s="2048"/>
      <c r="AR244" s="2048"/>
      <c r="AS244" s="2048"/>
      <c r="AT244" s="2048"/>
      <c r="AU244" s="2048"/>
      <c r="AV244" s="2048"/>
      <c r="AW244" s="2048"/>
      <c r="AX244" s="2048"/>
      <c r="AY244" s="2048"/>
      <c r="AZ244" s="2048"/>
      <c r="BA244" s="2048"/>
      <c r="BB244" s="2048"/>
      <c r="BC244" s="2048"/>
      <c r="BD244" s="2048"/>
      <c r="BE244" s="2048"/>
    </row>
    <row r="245" spans="1:76" ht="26.25" customHeight="1">
      <c r="A245" s="2049" t="s">
        <v>1033</v>
      </c>
      <c r="B245" s="2049"/>
      <c r="C245" s="2049"/>
      <c r="D245" s="2049"/>
      <c r="E245" s="2049"/>
      <c r="F245" s="2049"/>
      <c r="G245" s="2049"/>
      <c r="H245" s="2049"/>
      <c r="I245" s="2049"/>
      <c r="J245" s="2049"/>
      <c r="K245" s="2049"/>
      <c r="L245" s="2049"/>
      <c r="M245" s="2049"/>
      <c r="N245" s="2049"/>
      <c r="O245" s="2049"/>
      <c r="P245" s="2049"/>
      <c r="Q245" s="2049"/>
      <c r="R245" s="2049"/>
      <c r="S245" s="2049"/>
      <c r="T245" s="2049"/>
      <c r="U245" s="2049"/>
      <c r="V245" s="2049"/>
      <c r="W245" s="2049"/>
      <c r="X245" s="2049"/>
      <c r="Y245" s="2049"/>
      <c r="Z245" s="2049"/>
      <c r="AA245" s="2049"/>
      <c r="AB245" s="2049"/>
      <c r="AC245" s="2049"/>
      <c r="AD245" s="2049"/>
      <c r="AE245" s="2049"/>
      <c r="AF245" s="2049"/>
      <c r="AG245" s="2049"/>
      <c r="AH245" s="2049"/>
      <c r="AI245" s="2049"/>
      <c r="AJ245" s="2049"/>
      <c r="AK245" s="2049"/>
      <c r="AL245" s="2049"/>
      <c r="AM245" s="2049"/>
      <c r="AN245" s="2049"/>
      <c r="AO245" s="2049"/>
      <c r="AP245" s="2049"/>
      <c r="AQ245" s="2049"/>
      <c r="AR245" s="2049"/>
      <c r="AS245" s="2049"/>
      <c r="AT245" s="2049"/>
      <c r="AU245" s="2049"/>
      <c r="AV245" s="2049"/>
      <c r="AW245" s="2049"/>
      <c r="AX245" s="2049"/>
      <c r="AY245" s="2049"/>
      <c r="AZ245" s="2049"/>
      <c r="BA245" s="2049"/>
      <c r="BB245" s="2049"/>
      <c r="BC245" s="2049"/>
      <c r="BD245" s="2049"/>
      <c r="BE245" s="2049"/>
    </row>
    <row r="246" spans="1:76" s="1523" customFormat="1" ht="18.75" customHeight="1">
      <c r="C246" s="1554"/>
      <c r="D246" s="1523" t="s">
        <v>964</v>
      </c>
      <c r="F246" s="1555"/>
      <c r="G246" s="1555"/>
      <c r="X246" s="1556"/>
      <c r="AE246" s="1532"/>
      <c r="AK246" s="1557"/>
      <c r="AP246" s="1558">
        <v>3876600</v>
      </c>
      <c r="AQ246" s="1559">
        <f>AP246/30</f>
        <v>129220</v>
      </c>
      <c r="AR246" s="1559">
        <f>AP246/173*1.5</f>
        <v>33612.138728323698</v>
      </c>
      <c r="AS246" s="1559">
        <f>AP246/173*2</f>
        <v>44816.184971098264</v>
      </c>
      <c r="AW246" s="1532" t="s">
        <v>55</v>
      </c>
      <c r="AX246" s="1523" t="s">
        <v>152</v>
      </c>
      <c r="BC246" s="1531"/>
      <c r="BE246" s="1532"/>
      <c r="BG246" s="1555"/>
      <c r="BH246" s="1560"/>
      <c r="BI246" s="1560"/>
      <c r="BJ246" s="1555"/>
      <c r="BK246" s="1561"/>
      <c r="BL246" s="1561"/>
      <c r="BM246" s="1561"/>
      <c r="BN246" s="1555"/>
      <c r="BO246" s="1555"/>
    </row>
    <row r="247" spans="1:76" ht="15" customHeight="1" thickBot="1">
      <c r="A247" s="1547"/>
      <c r="D247" s="1563"/>
      <c r="E247" s="1563"/>
      <c r="F247" s="1564"/>
      <c r="G247" s="1564"/>
      <c r="H247" s="1563"/>
      <c r="I247" s="1563"/>
      <c r="J247" s="1563"/>
      <c r="K247" s="1563"/>
      <c r="L247" s="1563"/>
      <c r="M247" s="1563"/>
      <c r="N247" s="1563"/>
      <c r="O247" s="1563"/>
      <c r="Q247" s="1563"/>
      <c r="R247" s="1563"/>
      <c r="S247" s="1563"/>
      <c r="T247" s="1563"/>
      <c r="U247" s="1563"/>
      <c r="V247" s="1563"/>
      <c r="W247" s="1563"/>
      <c r="X247" s="1563"/>
      <c r="Y247" s="1563"/>
      <c r="Z247" s="1563"/>
      <c r="AA247" s="1563"/>
      <c r="AB247" s="1563"/>
      <c r="AC247" s="1563"/>
      <c r="AD247" s="1547"/>
      <c r="AE247" s="1563"/>
      <c r="AF247" s="1563"/>
      <c r="AG247" s="1563"/>
      <c r="AH247" s="1563"/>
      <c r="AI247" s="1563"/>
      <c r="AJ247" s="1563"/>
      <c r="AK247" s="1565"/>
      <c r="AL247" s="1563"/>
      <c r="AM247" s="1563"/>
      <c r="AO247" s="1563"/>
      <c r="AP247" s="1558">
        <v>3876600</v>
      </c>
      <c r="AQ247" s="1566">
        <f>AP247/30</f>
        <v>129220</v>
      </c>
      <c r="AR247" s="1567"/>
      <c r="AS247" s="1568">
        <f>AP247+24000</f>
        <v>3900600</v>
      </c>
    </row>
    <row r="248" spans="1:76" s="1523" customFormat="1" ht="15.75" customHeight="1">
      <c r="A248" s="2050" t="s">
        <v>5</v>
      </c>
      <c r="B248" s="2053" t="s">
        <v>6</v>
      </c>
      <c r="C248" s="2056" t="s">
        <v>52</v>
      </c>
      <c r="D248" s="1569"/>
      <c r="E248" s="1569"/>
      <c r="F248" s="1570"/>
      <c r="G248" s="1570"/>
      <c r="H248" s="2059" t="s">
        <v>2</v>
      </c>
      <c r="I248" s="2060"/>
      <c r="J248" s="2060"/>
      <c r="K248" s="2060"/>
      <c r="L248" s="2060"/>
      <c r="M248" s="2060"/>
      <c r="N248" s="2060"/>
      <c r="O248" s="2060"/>
      <c r="P248" s="2060"/>
      <c r="Q248" s="2060"/>
      <c r="R248" s="2060"/>
      <c r="S248" s="2060"/>
      <c r="T248" s="2060"/>
      <c r="U248" s="2061"/>
      <c r="V248" s="2056" t="s">
        <v>286</v>
      </c>
      <c r="W248" s="2059" t="s">
        <v>3</v>
      </c>
      <c r="X248" s="2060"/>
      <c r="Y248" s="2060"/>
      <c r="Z248" s="2060"/>
      <c r="AA248" s="2060"/>
      <c r="AB248" s="2060"/>
      <c r="AC248" s="2060"/>
      <c r="AD248" s="2061"/>
      <c r="AE248" s="2042" t="s">
        <v>45</v>
      </c>
      <c r="AF248" s="2063" t="s">
        <v>46</v>
      </c>
      <c r="AG248" s="2064"/>
      <c r="AH248" s="2064"/>
      <c r="AI248" s="2064"/>
      <c r="AJ248" s="2064"/>
      <c r="AK248" s="2064"/>
      <c r="AL248" s="2065"/>
      <c r="AM248" s="2045" t="s">
        <v>98</v>
      </c>
      <c r="AN248" s="2056" t="s">
        <v>44</v>
      </c>
      <c r="AO248" s="1533" t="s">
        <v>4</v>
      </c>
      <c r="AP248" s="2036" t="s">
        <v>20</v>
      </c>
      <c r="AQ248" s="2037"/>
      <c r="AR248" s="2038"/>
      <c r="AS248" s="2036" t="s">
        <v>54</v>
      </c>
      <c r="AT248" s="2037"/>
      <c r="AU248" s="2037"/>
      <c r="AV248" s="2037"/>
      <c r="AW248" s="2037"/>
      <c r="AX248" s="1571"/>
      <c r="AY248" s="2042" t="s">
        <v>89</v>
      </c>
      <c r="AZ248" s="2045" t="s">
        <v>97</v>
      </c>
      <c r="BA248" s="2045" t="s">
        <v>719</v>
      </c>
      <c r="BB248" s="2045" t="s">
        <v>210</v>
      </c>
      <c r="BC248" s="1539" t="s">
        <v>4</v>
      </c>
      <c r="BD248" s="2063" t="s">
        <v>41</v>
      </c>
      <c r="BE248" s="2084"/>
      <c r="BG248" s="1555"/>
      <c r="BH248" s="1560"/>
      <c r="BI248" s="1560"/>
      <c r="BJ248" s="1555"/>
      <c r="BK248" s="1561"/>
      <c r="BL248" s="1561"/>
      <c r="BM248" s="1561"/>
      <c r="BN248" s="1555"/>
      <c r="BO248" s="1555"/>
    </row>
    <row r="249" spans="1:76" s="1523" customFormat="1" ht="25.5" customHeight="1">
      <c r="A249" s="2051"/>
      <c r="B249" s="2054"/>
      <c r="C249" s="2057"/>
      <c r="D249" s="1519" t="s">
        <v>7</v>
      </c>
      <c r="E249" s="1519" t="s">
        <v>8</v>
      </c>
      <c r="F249" s="1572" t="s">
        <v>9</v>
      </c>
      <c r="G249" s="1572" t="s">
        <v>9</v>
      </c>
      <c r="H249" s="2071" t="s">
        <v>10</v>
      </c>
      <c r="I249" s="2072"/>
      <c r="J249" s="2071" t="s">
        <v>11</v>
      </c>
      <c r="K249" s="2072"/>
      <c r="L249" s="2071" t="s">
        <v>12</v>
      </c>
      <c r="M249" s="2072"/>
      <c r="N249" s="2071" t="s">
        <v>13</v>
      </c>
      <c r="O249" s="2072"/>
      <c r="P249" s="2071" t="s">
        <v>14</v>
      </c>
      <c r="Q249" s="2072"/>
      <c r="R249" s="2087" t="s">
        <v>15</v>
      </c>
      <c r="S249" s="2088"/>
      <c r="T249" s="2071" t="s">
        <v>16</v>
      </c>
      <c r="U249" s="2072"/>
      <c r="V249" s="2057"/>
      <c r="W249" s="2071" t="s">
        <v>17</v>
      </c>
      <c r="X249" s="2072"/>
      <c r="Y249" s="2071" t="s">
        <v>18</v>
      </c>
      <c r="Z249" s="2081"/>
      <c r="AA249" s="2072"/>
      <c r="AB249" s="2071" t="s">
        <v>19</v>
      </c>
      <c r="AC249" s="2081"/>
      <c r="AD249" s="2072"/>
      <c r="AE249" s="2043"/>
      <c r="AF249" s="2066"/>
      <c r="AG249" s="2067"/>
      <c r="AH249" s="2067"/>
      <c r="AI249" s="2067"/>
      <c r="AJ249" s="2067"/>
      <c r="AK249" s="2067"/>
      <c r="AL249" s="2068"/>
      <c r="AM249" s="2046"/>
      <c r="AN249" s="2057"/>
      <c r="AO249" s="1534" t="s">
        <v>9</v>
      </c>
      <c r="AP249" s="2039"/>
      <c r="AQ249" s="2040"/>
      <c r="AR249" s="2041"/>
      <c r="AS249" s="2039"/>
      <c r="AT249" s="2040"/>
      <c r="AU249" s="2040"/>
      <c r="AV249" s="2040"/>
      <c r="AW249" s="2040"/>
      <c r="AX249" s="1534" t="s">
        <v>21</v>
      </c>
      <c r="AY249" s="2043"/>
      <c r="AZ249" s="2046"/>
      <c r="BA249" s="2046"/>
      <c r="BB249" s="2046"/>
      <c r="BC249" s="1540" t="s">
        <v>9</v>
      </c>
      <c r="BD249" s="2085"/>
      <c r="BE249" s="2086"/>
      <c r="BG249" s="1573"/>
      <c r="BH249" s="1573"/>
      <c r="BI249" s="1573"/>
      <c r="BJ249" s="1555"/>
      <c r="BK249" s="1561"/>
      <c r="BL249" s="1561"/>
      <c r="BM249" s="1561"/>
      <c r="BN249" s="1555"/>
      <c r="BO249" s="1555"/>
    </row>
    <row r="250" spans="1:76" s="1523" customFormat="1" ht="63" customHeight="1">
      <c r="A250" s="2051"/>
      <c r="B250" s="2054"/>
      <c r="C250" s="2057"/>
      <c r="D250" s="1519" t="s">
        <v>22</v>
      </c>
      <c r="E250" s="1519" t="s">
        <v>23</v>
      </c>
      <c r="F250" s="1572" t="s">
        <v>24</v>
      </c>
      <c r="G250" s="1572" t="s">
        <v>25</v>
      </c>
      <c r="H250" s="2069" t="s">
        <v>4</v>
      </c>
      <c r="I250" s="2070"/>
      <c r="J250" s="2069" t="s">
        <v>4</v>
      </c>
      <c r="K250" s="2070"/>
      <c r="L250" s="2069" t="s">
        <v>4</v>
      </c>
      <c r="M250" s="2070"/>
      <c r="N250" s="2069" t="s">
        <v>4</v>
      </c>
      <c r="O250" s="2070"/>
      <c r="P250" s="2069" t="s">
        <v>4</v>
      </c>
      <c r="Q250" s="2070"/>
      <c r="R250" s="2082" t="s">
        <v>4</v>
      </c>
      <c r="S250" s="2083"/>
      <c r="T250" s="2069" t="s">
        <v>4</v>
      </c>
      <c r="U250" s="2070"/>
      <c r="V250" s="2057"/>
      <c r="W250" s="1534" t="s">
        <v>27</v>
      </c>
      <c r="X250" s="1574" t="s">
        <v>28</v>
      </c>
      <c r="Y250" s="1534" t="s">
        <v>27</v>
      </c>
      <c r="Z250" s="2069" t="s">
        <v>4</v>
      </c>
      <c r="AA250" s="2070"/>
      <c r="AB250" s="1534" t="s">
        <v>27</v>
      </c>
      <c r="AC250" s="2071" t="s">
        <v>4</v>
      </c>
      <c r="AD250" s="2072"/>
      <c r="AE250" s="2062"/>
      <c r="AF250" s="1575" t="s">
        <v>56</v>
      </c>
      <c r="AG250" s="1575" t="s">
        <v>57</v>
      </c>
      <c r="AH250" s="1575" t="s">
        <v>60</v>
      </c>
      <c r="AI250" s="1575" t="s">
        <v>202</v>
      </c>
      <c r="AJ250" s="1575" t="s">
        <v>218</v>
      </c>
      <c r="AK250" s="1575" t="s">
        <v>572</v>
      </c>
      <c r="AL250" s="1575" t="s">
        <v>288</v>
      </c>
      <c r="AM250" s="2089"/>
      <c r="AN250" s="2090"/>
      <c r="AO250" s="1534" t="s">
        <v>29</v>
      </c>
      <c r="AP250" s="1519" t="s">
        <v>30</v>
      </c>
      <c r="AQ250" s="1519" t="s">
        <v>31</v>
      </c>
      <c r="AR250" s="1519" t="s">
        <v>4</v>
      </c>
      <c r="AS250" s="1576" t="s">
        <v>30</v>
      </c>
      <c r="AT250" s="1574" t="s">
        <v>31</v>
      </c>
      <c r="AU250" s="1574" t="s">
        <v>30</v>
      </c>
      <c r="AV250" s="1574" t="s">
        <v>31</v>
      </c>
      <c r="AW250" s="1577" t="s">
        <v>4</v>
      </c>
      <c r="AX250" s="1534" t="s">
        <v>32</v>
      </c>
      <c r="AY250" s="2043"/>
      <c r="AZ250" s="2046"/>
      <c r="BA250" s="2046"/>
      <c r="BB250" s="2046"/>
      <c r="BC250" s="1540" t="s">
        <v>33</v>
      </c>
      <c r="BD250" s="2073" t="s">
        <v>42</v>
      </c>
      <c r="BE250" s="2075" t="s">
        <v>43</v>
      </c>
      <c r="BG250" s="1573"/>
      <c r="BH250" s="1578"/>
      <c r="BI250" s="1578"/>
      <c r="BJ250" s="1555"/>
      <c r="BK250" s="1561"/>
      <c r="BL250" s="1561"/>
      <c r="BM250" s="1561"/>
      <c r="BN250" s="1555"/>
      <c r="BO250" s="1555"/>
    </row>
    <row r="251" spans="1:76" s="1523" customFormat="1" ht="21" customHeight="1" thickBot="1">
      <c r="A251" s="2052"/>
      <c r="B251" s="2055"/>
      <c r="C251" s="2058"/>
      <c r="D251" s="1520"/>
      <c r="E251" s="1520"/>
      <c r="F251" s="1579" t="s">
        <v>34</v>
      </c>
      <c r="G251" s="1580" t="s">
        <v>34</v>
      </c>
      <c r="H251" s="1581" t="s">
        <v>8</v>
      </c>
      <c r="I251" s="1582" t="s">
        <v>34</v>
      </c>
      <c r="J251" s="1581" t="s">
        <v>8</v>
      </c>
      <c r="K251" s="1582" t="s">
        <v>34</v>
      </c>
      <c r="L251" s="1581" t="s">
        <v>8</v>
      </c>
      <c r="M251" s="1582" t="s">
        <v>34</v>
      </c>
      <c r="N251" s="1581" t="s">
        <v>8</v>
      </c>
      <c r="O251" s="1582" t="s">
        <v>34</v>
      </c>
      <c r="P251" s="1581" t="s">
        <v>8</v>
      </c>
      <c r="Q251" s="1582" t="s">
        <v>34</v>
      </c>
      <c r="R251" s="1581" t="s">
        <v>8</v>
      </c>
      <c r="S251" s="1582" t="s">
        <v>34</v>
      </c>
      <c r="T251" s="1581" t="s">
        <v>8</v>
      </c>
      <c r="U251" s="1582" t="s">
        <v>34</v>
      </c>
      <c r="V251" s="2058"/>
      <c r="W251" s="1581" t="s">
        <v>26</v>
      </c>
      <c r="X251" s="1581" t="s">
        <v>34</v>
      </c>
      <c r="Y251" s="1581" t="s">
        <v>26</v>
      </c>
      <c r="Z251" s="1581" t="s">
        <v>26</v>
      </c>
      <c r="AA251" s="1581" t="s">
        <v>34</v>
      </c>
      <c r="AB251" s="1581" t="s">
        <v>26</v>
      </c>
      <c r="AC251" s="1581" t="s">
        <v>35</v>
      </c>
      <c r="AD251" s="1581" t="s">
        <v>34</v>
      </c>
      <c r="AE251" s="1581" t="s">
        <v>34</v>
      </c>
      <c r="AF251" s="1582" t="s">
        <v>34</v>
      </c>
      <c r="AG251" s="1582" t="s">
        <v>34</v>
      </c>
      <c r="AH251" s="1582" t="s">
        <v>34</v>
      </c>
      <c r="AI251" s="1582" t="s">
        <v>34</v>
      </c>
      <c r="AJ251" s="1582" t="s">
        <v>34</v>
      </c>
      <c r="AK251" s="1582" t="s">
        <v>34</v>
      </c>
      <c r="AL251" s="1582" t="s">
        <v>34</v>
      </c>
      <c r="AM251" s="1582" t="s">
        <v>34</v>
      </c>
      <c r="AN251" s="1581" t="s">
        <v>34</v>
      </c>
      <c r="AO251" s="1582" t="s">
        <v>34</v>
      </c>
      <c r="AP251" s="1582" t="s">
        <v>34</v>
      </c>
      <c r="AQ251" s="1582" t="s">
        <v>34</v>
      </c>
      <c r="AR251" s="1582" t="s">
        <v>34</v>
      </c>
      <c r="AS251" s="1581" t="s">
        <v>58</v>
      </c>
      <c r="AT251" s="1582" t="s">
        <v>34</v>
      </c>
      <c r="AU251" s="1582" t="s">
        <v>59</v>
      </c>
      <c r="AV251" s="1582" t="s">
        <v>34</v>
      </c>
      <c r="AW251" s="1583" t="s">
        <v>34</v>
      </c>
      <c r="AX251" s="1537"/>
      <c r="AY251" s="2044"/>
      <c r="AZ251" s="2047"/>
      <c r="BA251" s="2047"/>
      <c r="BB251" s="2047"/>
      <c r="BC251" s="1541" t="s">
        <v>34</v>
      </c>
      <c r="BD251" s="2074"/>
      <c r="BE251" s="2076"/>
      <c r="BG251" s="1555" t="s">
        <v>353</v>
      </c>
      <c r="BH251" s="1578" t="s">
        <v>43</v>
      </c>
      <c r="BI251" s="1578" t="s">
        <v>42</v>
      </c>
      <c r="BJ251" s="1555" t="s">
        <v>354</v>
      </c>
      <c r="BK251" s="1561" t="s">
        <v>358</v>
      </c>
      <c r="BL251" s="1561"/>
      <c r="BM251" s="1561" t="s">
        <v>625</v>
      </c>
      <c r="BN251" s="1555" t="s">
        <v>626</v>
      </c>
      <c r="BO251" s="1555" t="s">
        <v>627</v>
      </c>
      <c r="BQ251" s="1523" t="s">
        <v>685</v>
      </c>
    </row>
    <row r="252" spans="1:76" s="1523" customFormat="1" ht="102" customHeight="1" thickBot="1">
      <c r="A252" s="1584" t="s">
        <v>93</v>
      </c>
      <c r="B252" s="1496" t="s">
        <v>37</v>
      </c>
      <c r="C252" s="1585" t="s">
        <v>419</v>
      </c>
      <c r="D252" s="1586" t="s">
        <v>375</v>
      </c>
      <c r="E252" s="1489">
        <f>'HK UP KEEP, OP '!AH34</f>
        <v>21</v>
      </c>
      <c r="F252" s="1490">
        <v>129220</v>
      </c>
      <c r="G252" s="1490">
        <f t="shared" si="0"/>
        <v>2713620</v>
      </c>
      <c r="H252" s="1489">
        <f>'HK UP KEEP, OP '!AI34</f>
        <v>0</v>
      </c>
      <c r="I252" s="1489">
        <f t="shared" si="1"/>
        <v>0</v>
      </c>
      <c r="J252" s="1489">
        <f>'HK UP KEEP, OP '!AJ34</f>
        <v>1</v>
      </c>
      <c r="K252" s="1489">
        <f t="shared" si="2"/>
        <v>129220</v>
      </c>
      <c r="L252" s="1489">
        <f>'HK UP KEEP, OP '!AK34</f>
        <v>2</v>
      </c>
      <c r="M252" s="1489">
        <f t="shared" si="3"/>
        <v>258440</v>
      </c>
      <c r="N252" s="1489">
        <f>'HK UP KEEP, OP '!AL34</f>
        <v>4</v>
      </c>
      <c r="O252" s="1489">
        <f t="shared" si="4"/>
        <v>516880</v>
      </c>
      <c r="P252" s="1489">
        <f>'HK UP KEEP, OP '!AM34</f>
        <v>3</v>
      </c>
      <c r="Q252" s="1489">
        <f t="shared" si="5"/>
        <v>387660</v>
      </c>
      <c r="R252" s="1489">
        <f>'HK UP KEEP, OP '!AN34</f>
        <v>0</v>
      </c>
      <c r="S252" s="1489">
        <f t="shared" si="6"/>
        <v>0</v>
      </c>
      <c r="T252" s="1489">
        <f>'HK UP KEEP, OP '!AO34+'HK UP KEEP, OP '!AP34+'HK UP KEEP, OP '!AQ34</f>
        <v>0</v>
      </c>
      <c r="U252" s="1489">
        <f t="shared" si="7"/>
        <v>0</v>
      </c>
      <c r="V252" s="1489">
        <f t="shared" si="8"/>
        <v>31</v>
      </c>
      <c r="W252" s="1489">
        <v>2250</v>
      </c>
      <c r="X252" s="1489">
        <f t="shared" si="9"/>
        <v>69750</v>
      </c>
      <c r="Y252" s="1489"/>
      <c r="Z252" s="1489"/>
      <c r="AA252" s="1489">
        <f t="shared" si="27"/>
        <v>0</v>
      </c>
      <c r="AB252" s="1489">
        <v>2500</v>
      </c>
      <c r="AC252" s="1489">
        <f>'MASA KERJA AB'!H35</f>
        <v>15</v>
      </c>
      <c r="AD252" s="1492">
        <f>'MASA KERJA AB'!I35</f>
        <v>40000</v>
      </c>
      <c r="AE252" s="1491"/>
      <c r="AF252" s="1489"/>
      <c r="AG252" s="1489"/>
      <c r="AH252" s="1489"/>
      <c r="AI252" s="1489"/>
      <c r="AJ252" s="1489"/>
      <c r="AK252" s="1493"/>
      <c r="AL252" s="1489"/>
      <c r="AM252" s="1489"/>
      <c r="AN252" s="1489"/>
      <c r="AO252" s="1494">
        <f t="shared" si="10"/>
        <v>4115570</v>
      </c>
      <c r="AP252" s="1489">
        <f t="shared" si="20"/>
        <v>77532</v>
      </c>
      <c r="AQ252" s="1489">
        <f t="shared" si="21"/>
        <v>175997.64</v>
      </c>
      <c r="AR252" s="1489">
        <f t="shared" si="28"/>
        <v>253529.64</v>
      </c>
      <c r="AS252" s="1489">
        <f t="shared" si="22"/>
        <v>39166</v>
      </c>
      <c r="AT252" s="1489">
        <f t="shared" si="23"/>
        <v>156664</v>
      </c>
      <c r="AU252" s="1489">
        <f t="shared" si="24"/>
        <v>38766</v>
      </c>
      <c r="AV252" s="1489">
        <f t="shared" si="25"/>
        <v>77532</v>
      </c>
      <c r="AW252" s="1489">
        <f t="shared" si="29"/>
        <v>312128</v>
      </c>
      <c r="AX252" s="1492">
        <v>4000</v>
      </c>
      <c r="AY252" s="1491">
        <v>0</v>
      </c>
      <c r="AZ252" s="1489">
        <f t="shared" si="13"/>
        <v>0</v>
      </c>
      <c r="BA252" s="1489"/>
      <c r="BB252" s="1489"/>
      <c r="BC252" s="1489">
        <f t="shared" si="14"/>
        <v>3956106</v>
      </c>
      <c r="BD252" s="1495">
        <f>'HK UP KEEP, OP '!AS34</f>
        <v>0</v>
      </c>
      <c r="BE252" s="1488">
        <f>'HK UP KEEP, OP '!AT34</f>
        <v>0</v>
      </c>
      <c r="BF252" s="1518"/>
      <c r="BG252" s="1551">
        <f t="shared" si="15"/>
        <v>4005820</v>
      </c>
      <c r="BH252" s="1552">
        <f t="shared" si="16"/>
        <v>0</v>
      </c>
      <c r="BI252" s="1552">
        <f t="shared" si="17"/>
        <v>0</v>
      </c>
      <c r="BJ252" s="1551">
        <f t="shared" si="18"/>
        <v>0</v>
      </c>
      <c r="BK252" s="1553">
        <f t="shared" si="26"/>
        <v>4005820</v>
      </c>
      <c r="BL252" s="1553"/>
      <c r="BM252" s="1553">
        <f t="shared" si="30"/>
        <v>109750</v>
      </c>
      <c r="BN252" s="1551">
        <v>30575.999999999996</v>
      </c>
      <c r="BO252" s="1551">
        <f t="shared" si="19"/>
        <v>565657.64</v>
      </c>
      <c r="BP252" s="1518"/>
      <c r="BQ252" s="1518"/>
      <c r="BR252" s="1518"/>
      <c r="BU252" s="1518"/>
      <c r="BV252" s="1518"/>
      <c r="BW252" s="1518"/>
      <c r="BX252" s="1518"/>
    </row>
    <row r="253" spans="1:76" ht="23.25" customHeight="1">
      <c r="A253" s="2048" t="s">
        <v>0</v>
      </c>
      <c r="B253" s="2048"/>
      <c r="C253" s="2048"/>
      <c r="D253" s="2048"/>
      <c r="E253" s="2048"/>
      <c r="F253" s="2048"/>
      <c r="G253" s="2048"/>
      <c r="H253" s="2048"/>
      <c r="I253" s="2048"/>
      <c r="J253" s="2048"/>
      <c r="K253" s="2048"/>
      <c r="L253" s="2048"/>
      <c r="M253" s="2048"/>
      <c r="N253" s="2048"/>
      <c r="O253" s="2048"/>
      <c r="P253" s="2048"/>
      <c r="Q253" s="2048"/>
      <c r="R253" s="2048"/>
      <c r="S253" s="2048"/>
      <c r="T253" s="2048"/>
      <c r="U253" s="2048"/>
      <c r="V253" s="2048"/>
      <c r="W253" s="2048"/>
      <c r="X253" s="2048"/>
      <c r="Y253" s="2048"/>
      <c r="Z253" s="2048"/>
      <c r="AA253" s="2048"/>
      <c r="AB253" s="2048"/>
      <c r="AC253" s="2048"/>
      <c r="AD253" s="2048"/>
      <c r="AE253" s="2048"/>
      <c r="AF253" s="2048"/>
      <c r="AG253" s="2048"/>
      <c r="AH253" s="2048"/>
      <c r="AI253" s="2048"/>
      <c r="AJ253" s="2048"/>
      <c r="AK253" s="2048"/>
      <c r="AL253" s="2048"/>
      <c r="AM253" s="2048"/>
      <c r="AN253" s="2048"/>
      <c r="AO253" s="2048"/>
      <c r="AP253" s="2048"/>
      <c r="AQ253" s="2048"/>
      <c r="AR253" s="2048"/>
      <c r="AS253" s="2048"/>
      <c r="AT253" s="2048"/>
      <c r="AU253" s="2048"/>
      <c r="AV253" s="2048"/>
      <c r="AW253" s="2048"/>
      <c r="AX253" s="2048"/>
      <c r="AY253" s="2048"/>
      <c r="AZ253" s="2048"/>
      <c r="BA253" s="2048"/>
      <c r="BB253" s="2048"/>
      <c r="BC253" s="2048"/>
      <c r="BD253" s="2048"/>
      <c r="BE253" s="2048"/>
    </row>
    <row r="254" spans="1:76" ht="26.25" customHeight="1">
      <c r="A254" s="2049" t="s">
        <v>1033</v>
      </c>
      <c r="B254" s="2049"/>
      <c r="C254" s="2049"/>
      <c r="D254" s="2049"/>
      <c r="E254" s="2049"/>
      <c r="F254" s="2049"/>
      <c r="G254" s="2049"/>
      <c r="H254" s="2049"/>
      <c r="I254" s="2049"/>
      <c r="J254" s="2049"/>
      <c r="K254" s="2049"/>
      <c r="L254" s="2049"/>
      <c r="M254" s="2049"/>
      <c r="N254" s="2049"/>
      <c r="O254" s="2049"/>
      <c r="P254" s="2049"/>
      <c r="Q254" s="2049"/>
      <c r="R254" s="2049"/>
      <c r="S254" s="2049"/>
      <c r="T254" s="2049"/>
      <c r="U254" s="2049"/>
      <c r="V254" s="2049"/>
      <c r="W254" s="2049"/>
      <c r="X254" s="2049"/>
      <c r="Y254" s="2049"/>
      <c r="Z254" s="2049"/>
      <c r="AA254" s="2049"/>
      <c r="AB254" s="2049"/>
      <c r="AC254" s="2049"/>
      <c r="AD254" s="2049"/>
      <c r="AE254" s="2049"/>
      <c r="AF254" s="2049"/>
      <c r="AG254" s="2049"/>
      <c r="AH254" s="2049"/>
      <c r="AI254" s="2049"/>
      <c r="AJ254" s="2049"/>
      <c r="AK254" s="2049"/>
      <c r="AL254" s="2049"/>
      <c r="AM254" s="2049"/>
      <c r="AN254" s="2049"/>
      <c r="AO254" s="2049"/>
      <c r="AP254" s="2049"/>
      <c r="AQ254" s="2049"/>
      <c r="AR254" s="2049"/>
      <c r="AS254" s="2049"/>
      <c r="AT254" s="2049"/>
      <c r="AU254" s="2049"/>
      <c r="AV254" s="2049"/>
      <c r="AW254" s="2049"/>
      <c r="AX254" s="2049"/>
      <c r="AY254" s="2049"/>
      <c r="AZ254" s="2049"/>
      <c r="BA254" s="2049"/>
      <c r="BB254" s="2049"/>
      <c r="BC254" s="2049"/>
      <c r="BD254" s="2049"/>
      <c r="BE254" s="2049"/>
    </row>
    <row r="255" spans="1:76" s="1523" customFormat="1" ht="18.75" customHeight="1">
      <c r="C255" s="1554"/>
      <c r="D255" s="1523" t="s">
        <v>964</v>
      </c>
      <c r="F255" s="1555"/>
      <c r="G255" s="1555"/>
      <c r="X255" s="1556"/>
      <c r="AE255" s="1532"/>
      <c r="AK255" s="1557"/>
      <c r="AP255" s="1558">
        <v>3876600</v>
      </c>
      <c r="AQ255" s="1559">
        <f>AP255/30</f>
        <v>129220</v>
      </c>
      <c r="AR255" s="1559">
        <f>AP255/173*1.5</f>
        <v>33612.138728323698</v>
      </c>
      <c r="AS255" s="1559">
        <f>AP255/173*2</f>
        <v>44816.184971098264</v>
      </c>
      <c r="AW255" s="1532" t="s">
        <v>55</v>
      </c>
      <c r="AX255" s="1523" t="s">
        <v>152</v>
      </c>
      <c r="BC255" s="1531"/>
      <c r="BE255" s="1532"/>
      <c r="BG255" s="1555"/>
      <c r="BH255" s="1560"/>
      <c r="BI255" s="1560"/>
      <c r="BJ255" s="1555"/>
      <c r="BK255" s="1561"/>
      <c r="BL255" s="1561"/>
      <c r="BM255" s="1561"/>
      <c r="BN255" s="1555"/>
      <c r="BO255" s="1555"/>
    </row>
    <row r="256" spans="1:76" ht="15" customHeight="1" thickBot="1">
      <c r="A256" s="1547"/>
      <c r="D256" s="1563"/>
      <c r="E256" s="1563"/>
      <c r="F256" s="1564"/>
      <c r="G256" s="1564"/>
      <c r="H256" s="1563"/>
      <c r="I256" s="1563"/>
      <c r="J256" s="1563"/>
      <c r="K256" s="1563"/>
      <c r="L256" s="1563"/>
      <c r="M256" s="1563"/>
      <c r="N256" s="1563"/>
      <c r="O256" s="1563"/>
      <c r="Q256" s="1563"/>
      <c r="R256" s="1563"/>
      <c r="S256" s="1563"/>
      <c r="T256" s="1563"/>
      <c r="U256" s="1563"/>
      <c r="V256" s="1563"/>
      <c r="W256" s="1563"/>
      <c r="X256" s="1563"/>
      <c r="Y256" s="1563"/>
      <c r="Z256" s="1563"/>
      <c r="AA256" s="1563"/>
      <c r="AB256" s="1563"/>
      <c r="AC256" s="1563"/>
      <c r="AD256" s="1547"/>
      <c r="AE256" s="1563"/>
      <c r="AF256" s="1563"/>
      <c r="AG256" s="1563"/>
      <c r="AH256" s="1563"/>
      <c r="AI256" s="1563"/>
      <c r="AJ256" s="1563"/>
      <c r="AK256" s="1565"/>
      <c r="AL256" s="1563"/>
      <c r="AM256" s="1563"/>
      <c r="AO256" s="1563"/>
      <c r="AP256" s="1558">
        <v>3876600</v>
      </c>
      <c r="AQ256" s="1566">
        <f>AP256/30</f>
        <v>129220</v>
      </c>
      <c r="AR256" s="1567"/>
      <c r="AS256" s="1568">
        <f>AP256+24000</f>
        <v>3900600</v>
      </c>
    </row>
    <row r="257" spans="1:76" s="1523" customFormat="1" ht="15.75" customHeight="1">
      <c r="A257" s="2050" t="s">
        <v>5</v>
      </c>
      <c r="B257" s="2053" t="s">
        <v>6</v>
      </c>
      <c r="C257" s="2056" t="s">
        <v>52</v>
      </c>
      <c r="D257" s="1569"/>
      <c r="E257" s="1569"/>
      <c r="F257" s="1570"/>
      <c r="G257" s="1570"/>
      <c r="H257" s="2059" t="s">
        <v>2</v>
      </c>
      <c r="I257" s="2060"/>
      <c r="J257" s="2060"/>
      <c r="K257" s="2060"/>
      <c r="L257" s="2060"/>
      <c r="M257" s="2060"/>
      <c r="N257" s="2060"/>
      <c r="O257" s="2060"/>
      <c r="P257" s="2060"/>
      <c r="Q257" s="2060"/>
      <c r="R257" s="2060"/>
      <c r="S257" s="2060"/>
      <c r="T257" s="2060"/>
      <c r="U257" s="2061"/>
      <c r="V257" s="2056" t="s">
        <v>286</v>
      </c>
      <c r="W257" s="2059" t="s">
        <v>3</v>
      </c>
      <c r="X257" s="2060"/>
      <c r="Y257" s="2060"/>
      <c r="Z257" s="2060"/>
      <c r="AA257" s="2060"/>
      <c r="AB257" s="2060"/>
      <c r="AC257" s="2060"/>
      <c r="AD257" s="2061"/>
      <c r="AE257" s="2042" t="s">
        <v>45</v>
      </c>
      <c r="AF257" s="2063" t="s">
        <v>46</v>
      </c>
      <c r="AG257" s="2064"/>
      <c r="AH257" s="2064"/>
      <c r="AI257" s="2064"/>
      <c r="AJ257" s="2064"/>
      <c r="AK257" s="2064"/>
      <c r="AL257" s="2065"/>
      <c r="AM257" s="2045" t="s">
        <v>98</v>
      </c>
      <c r="AN257" s="2056" t="s">
        <v>44</v>
      </c>
      <c r="AO257" s="1533" t="s">
        <v>4</v>
      </c>
      <c r="AP257" s="2036" t="s">
        <v>20</v>
      </c>
      <c r="AQ257" s="2037"/>
      <c r="AR257" s="2038"/>
      <c r="AS257" s="2036" t="s">
        <v>54</v>
      </c>
      <c r="AT257" s="2037"/>
      <c r="AU257" s="2037"/>
      <c r="AV257" s="2037"/>
      <c r="AW257" s="2037"/>
      <c r="AX257" s="1571"/>
      <c r="AY257" s="2042" t="s">
        <v>89</v>
      </c>
      <c r="AZ257" s="2045" t="s">
        <v>97</v>
      </c>
      <c r="BA257" s="2045" t="s">
        <v>719</v>
      </c>
      <c r="BB257" s="2045" t="s">
        <v>210</v>
      </c>
      <c r="BC257" s="1539" t="s">
        <v>4</v>
      </c>
      <c r="BD257" s="2063" t="s">
        <v>41</v>
      </c>
      <c r="BE257" s="2084"/>
      <c r="BG257" s="1555"/>
      <c r="BH257" s="1560"/>
      <c r="BI257" s="1560"/>
      <c r="BJ257" s="1555"/>
      <c r="BK257" s="1561"/>
      <c r="BL257" s="1561"/>
      <c r="BM257" s="1561"/>
      <c r="BN257" s="1555"/>
      <c r="BO257" s="1555"/>
    </row>
    <row r="258" spans="1:76" s="1523" customFormat="1" ht="25.5" customHeight="1">
      <c r="A258" s="2051"/>
      <c r="B258" s="2054"/>
      <c r="C258" s="2057"/>
      <c r="D258" s="1519" t="s">
        <v>7</v>
      </c>
      <c r="E258" s="1519" t="s">
        <v>8</v>
      </c>
      <c r="F258" s="1572" t="s">
        <v>9</v>
      </c>
      <c r="G258" s="1572" t="s">
        <v>9</v>
      </c>
      <c r="H258" s="2071" t="s">
        <v>10</v>
      </c>
      <c r="I258" s="2072"/>
      <c r="J258" s="2071" t="s">
        <v>11</v>
      </c>
      <c r="K258" s="2072"/>
      <c r="L258" s="2071" t="s">
        <v>12</v>
      </c>
      <c r="M258" s="2072"/>
      <c r="N258" s="2071" t="s">
        <v>13</v>
      </c>
      <c r="O258" s="2072"/>
      <c r="P258" s="2071" t="s">
        <v>14</v>
      </c>
      <c r="Q258" s="2072"/>
      <c r="R258" s="2087" t="s">
        <v>15</v>
      </c>
      <c r="S258" s="2088"/>
      <c r="T258" s="2071" t="s">
        <v>16</v>
      </c>
      <c r="U258" s="2072"/>
      <c r="V258" s="2057"/>
      <c r="W258" s="2071" t="s">
        <v>17</v>
      </c>
      <c r="X258" s="2072"/>
      <c r="Y258" s="2071" t="s">
        <v>18</v>
      </c>
      <c r="Z258" s="2081"/>
      <c r="AA258" s="2072"/>
      <c r="AB258" s="2071" t="s">
        <v>19</v>
      </c>
      <c r="AC258" s="2081"/>
      <c r="AD258" s="2072"/>
      <c r="AE258" s="2043"/>
      <c r="AF258" s="2066"/>
      <c r="AG258" s="2067"/>
      <c r="AH258" s="2067"/>
      <c r="AI258" s="2067"/>
      <c r="AJ258" s="2067"/>
      <c r="AK258" s="2067"/>
      <c r="AL258" s="2068"/>
      <c r="AM258" s="2046"/>
      <c r="AN258" s="2057"/>
      <c r="AO258" s="1534" t="s">
        <v>9</v>
      </c>
      <c r="AP258" s="2039"/>
      <c r="AQ258" s="2040"/>
      <c r="AR258" s="2041"/>
      <c r="AS258" s="2039"/>
      <c r="AT258" s="2040"/>
      <c r="AU258" s="2040"/>
      <c r="AV258" s="2040"/>
      <c r="AW258" s="2040"/>
      <c r="AX258" s="1534" t="s">
        <v>21</v>
      </c>
      <c r="AY258" s="2043"/>
      <c r="AZ258" s="2046"/>
      <c r="BA258" s="2046"/>
      <c r="BB258" s="2046"/>
      <c r="BC258" s="1540" t="s">
        <v>9</v>
      </c>
      <c r="BD258" s="2085"/>
      <c r="BE258" s="2086"/>
      <c r="BG258" s="1573"/>
      <c r="BH258" s="1573"/>
      <c r="BI258" s="1573"/>
      <c r="BJ258" s="1555"/>
      <c r="BK258" s="1561"/>
      <c r="BL258" s="1561"/>
      <c r="BM258" s="1561"/>
      <c r="BN258" s="1555"/>
      <c r="BO258" s="1555"/>
    </row>
    <row r="259" spans="1:76" s="1523" customFormat="1" ht="63" customHeight="1">
      <c r="A259" s="2051"/>
      <c r="B259" s="2054"/>
      <c r="C259" s="2057"/>
      <c r="D259" s="1519" t="s">
        <v>22</v>
      </c>
      <c r="E259" s="1519" t="s">
        <v>23</v>
      </c>
      <c r="F259" s="1572" t="s">
        <v>24</v>
      </c>
      <c r="G259" s="1572" t="s">
        <v>25</v>
      </c>
      <c r="H259" s="2069" t="s">
        <v>4</v>
      </c>
      <c r="I259" s="2070"/>
      <c r="J259" s="2069" t="s">
        <v>4</v>
      </c>
      <c r="K259" s="2070"/>
      <c r="L259" s="2069" t="s">
        <v>4</v>
      </c>
      <c r="M259" s="2070"/>
      <c r="N259" s="2069" t="s">
        <v>4</v>
      </c>
      <c r="O259" s="2070"/>
      <c r="P259" s="2069" t="s">
        <v>4</v>
      </c>
      <c r="Q259" s="2070"/>
      <c r="R259" s="2082" t="s">
        <v>4</v>
      </c>
      <c r="S259" s="2083"/>
      <c r="T259" s="2069" t="s">
        <v>4</v>
      </c>
      <c r="U259" s="2070"/>
      <c r="V259" s="2057"/>
      <c r="W259" s="1534" t="s">
        <v>27</v>
      </c>
      <c r="X259" s="1574" t="s">
        <v>28</v>
      </c>
      <c r="Y259" s="1534" t="s">
        <v>27</v>
      </c>
      <c r="Z259" s="2069" t="s">
        <v>4</v>
      </c>
      <c r="AA259" s="2070"/>
      <c r="AB259" s="1534" t="s">
        <v>27</v>
      </c>
      <c r="AC259" s="2071" t="s">
        <v>4</v>
      </c>
      <c r="AD259" s="2072"/>
      <c r="AE259" s="2062"/>
      <c r="AF259" s="1575" t="s">
        <v>56</v>
      </c>
      <c r="AG259" s="1575" t="s">
        <v>57</v>
      </c>
      <c r="AH259" s="1575" t="s">
        <v>60</v>
      </c>
      <c r="AI259" s="1575" t="s">
        <v>202</v>
      </c>
      <c r="AJ259" s="1575" t="s">
        <v>218</v>
      </c>
      <c r="AK259" s="1575" t="s">
        <v>572</v>
      </c>
      <c r="AL259" s="1575" t="s">
        <v>288</v>
      </c>
      <c r="AM259" s="2089"/>
      <c r="AN259" s="2090"/>
      <c r="AO259" s="1534" t="s">
        <v>29</v>
      </c>
      <c r="AP259" s="1519" t="s">
        <v>30</v>
      </c>
      <c r="AQ259" s="1519" t="s">
        <v>31</v>
      </c>
      <c r="AR259" s="1519" t="s">
        <v>4</v>
      </c>
      <c r="AS259" s="1576" t="s">
        <v>30</v>
      </c>
      <c r="AT259" s="1574" t="s">
        <v>31</v>
      </c>
      <c r="AU259" s="1574" t="s">
        <v>30</v>
      </c>
      <c r="AV259" s="1574" t="s">
        <v>31</v>
      </c>
      <c r="AW259" s="1577" t="s">
        <v>4</v>
      </c>
      <c r="AX259" s="1534" t="s">
        <v>32</v>
      </c>
      <c r="AY259" s="2043"/>
      <c r="AZ259" s="2046"/>
      <c r="BA259" s="2046"/>
      <c r="BB259" s="2046"/>
      <c r="BC259" s="1540" t="s">
        <v>33</v>
      </c>
      <c r="BD259" s="2073" t="s">
        <v>42</v>
      </c>
      <c r="BE259" s="2075" t="s">
        <v>43</v>
      </c>
      <c r="BG259" s="1573"/>
      <c r="BH259" s="1578"/>
      <c r="BI259" s="1578"/>
      <c r="BJ259" s="1555"/>
      <c r="BK259" s="1561"/>
      <c r="BL259" s="1561"/>
      <c r="BM259" s="1561"/>
      <c r="BN259" s="1555"/>
      <c r="BO259" s="1555"/>
    </row>
    <row r="260" spans="1:76" s="1523" customFormat="1" ht="21" customHeight="1" thickBot="1">
      <c r="A260" s="2052"/>
      <c r="B260" s="2055"/>
      <c r="C260" s="2058"/>
      <c r="D260" s="1520"/>
      <c r="E260" s="1520"/>
      <c r="F260" s="1579" t="s">
        <v>34</v>
      </c>
      <c r="G260" s="1580" t="s">
        <v>34</v>
      </c>
      <c r="H260" s="1581" t="s">
        <v>8</v>
      </c>
      <c r="I260" s="1582" t="s">
        <v>34</v>
      </c>
      <c r="J260" s="1581" t="s">
        <v>8</v>
      </c>
      <c r="K260" s="1582" t="s">
        <v>34</v>
      </c>
      <c r="L260" s="1581" t="s">
        <v>8</v>
      </c>
      <c r="M260" s="1582" t="s">
        <v>34</v>
      </c>
      <c r="N260" s="1581" t="s">
        <v>8</v>
      </c>
      <c r="O260" s="1582" t="s">
        <v>34</v>
      </c>
      <c r="P260" s="1581" t="s">
        <v>8</v>
      </c>
      <c r="Q260" s="1582" t="s">
        <v>34</v>
      </c>
      <c r="R260" s="1581" t="s">
        <v>8</v>
      </c>
      <c r="S260" s="1582" t="s">
        <v>34</v>
      </c>
      <c r="T260" s="1581" t="s">
        <v>8</v>
      </c>
      <c r="U260" s="1582" t="s">
        <v>34</v>
      </c>
      <c r="V260" s="2058"/>
      <c r="W260" s="1581" t="s">
        <v>26</v>
      </c>
      <c r="X260" s="1581" t="s">
        <v>34</v>
      </c>
      <c r="Y260" s="1581" t="s">
        <v>26</v>
      </c>
      <c r="Z260" s="1581" t="s">
        <v>26</v>
      </c>
      <c r="AA260" s="1581" t="s">
        <v>34</v>
      </c>
      <c r="AB260" s="1581" t="s">
        <v>26</v>
      </c>
      <c r="AC260" s="1581" t="s">
        <v>35</v>
      </c>
      <c r="AD260" s="1581" t="s">
        <v>34</v>
      </c>
      <c r="AE260" s="1581" t="s">
        <v>34</v>
      </c>
      <c r="AF260" s="1582" t="s">
        <v>34</v>
      </c>
      <c r="AG260" s="1582" t="s">
        <v>34</v>
      </c>
      <c r="AH260" s="1582" t="s">
        <v>34</v>
      </c>
      <c r="AI260" s="1582" t="s">
        <v>34</v>
      </c>
      <c r="AJ260" s="1582" t="s">
        <v>34</v>
      </c>
      <c r="AK260" s="1582" t="s">
        <v>34</v>
      </c>
      <c r="AL260" s="1582" t="s">
        <v>34</v>
      </c>
      <c r="AM260" s="1582" t="s">
        <v>34</v>
      </c>
      <c r="AN260" s="1581" t="s">
        <v>34</v>
      </c>
      <c r="AO260" s="1582" t="s">
        <v>34</v>
      </c>
      <c r="AP260" s="1582" t="s">
        <v>34</v>
      </c>
      <c r="AQ260" s="1582" t="s">
        <v>34</v>
      </c>
      <c r="AR260" s="1582" t="s">
        <v>34</v>
      </c>
      <c r="AS260" s="1581" t="s">
        <v>58</v>
      </c>
      <c r="AT260" s="1582" t="s">
        <v>34</v>
      </c>
      <c r="AU260" s="1582" t="s">
        <v>59</v>
      </c>
      <c r="AV260" s="1582" t="s">
        <v>34</v>
      </c>
      <c r="AW260" s="1583" t="s">
        <v>34</v>
      </c>
      <c r="AX260" s="1537"/>
      <c r="AY260" s="2044"/>
      <c r="AZ260" s="2047"/>
      <c r="BA260" s="2047"/>
      <c r="BB260" s="2047"/>
      <c r="BC260" s="1541" t="s">
        <v>34</v>
      </c>
      <c r="BD260" s="2074"/>
      <c r="BE260" s="2076"/>
      <c r="BG260" s="1555" t="s">
        <v>353</v>
      </c>
      <c r="BH260" s="1578" t="s">
        <v>43</v>
      </c>
      <c r="BI260" s="1578" t="s">
        <v>42</v>
      </c>
      <c r="BJ260" s="1555" t="s">
        <v>354</v>
      </c>
      <c r="BK260" s="1561" t="s">
        <v>358</v>
      </c>
      <c r="BL260" s="1561"/>
      <c r="BM260" s="1561" t="s">
        <v>625</v>
      </c>
      <c r="BN260" s="1555" t="s">
        <v>626</v>
      </c>
      <c r="BO260" s="1555" t="s">
        <v>627</v>
      </c>
      <c r="BQ260" s="1523" t="s">
        <v>685</v>
      </c>
    </row>
    <row r="261" spans="1:76" s="1523" customFormat="1" ht="102" customHeight="1" thickBot="1">
      <c r="A261" s="1584" t="s">
        <v>94</v>
      </c>
      <c r="B261" s="1496" t="s">
        <v>37</v>
      </c>
      <c r="C261" s="1585" t="s">
        <v>420</v>
      </c>
      <c r="D261" s="1586" t="s">
        <v>376</v>
      </c>
      <c r="E261" s="1489">
        <f>'HK UP KEEP, OP '!AH35</f>
        <v>20</v>
      </c>
      <c r="F261" s="1490">
        <v>129220</v>
      </c>
      <c r="G261" s="1490">
        <f t="shared" si="0"/>
        <v>2584400</v>
      </c>
      <c r="H261" s="1489">
        <f>'HK UP KEEP, OP '!AI35</f>
        <v>1</v>
      </c>
      <c r="I261" s="1489">
        <f t="shared" si="1"/>
        <v>129220</v>
      </c>
      <c r="J261" s="1489">
        <f>'HK UP KEEP, OP '!AJ35</f>
        <v>1</v>
      </c>
      <c r="K261" s="1489">
        <f t="shared" si="2"/>
        <v>129220</v>
      </c>
      <c r="L261" s="1489">
        <f>'HK UP KEEP, OP '!AK35</f>
        <v>2</v>
      </c>
      <c r="M261" s="1489">
        <f t="shared" si="3"/>
        <v>258440</v>
      </c>
      <c r="N261" s="1489">
        <f>'HK UP KEEP, OP '!AL35</f>
        <v>4</v>
      </c>
      <c r="O261" s="1489">
        <f t="shared" si="4"/>
        <v>516880</v>
      </c>
      <c r="P261" s="1489">
        <f>'HK UP KEEP, OP '!AM35</f>
        <v>3</v>
      </c>
      <c r="Q261" s="1489">
        <f t="shared" si="5"/>
        <v>387660</v>
      </c>
      <c r="R261" s="1489">
        <f>'HK UP KEEP, OP '!AN35</f>
        <v>0</v>
      </c>
      <c r="S261" s="1489">
        <f t="shared" si="6"/>
        <v>0</v>
      </c>
      <c r="T261" s="1489">
        <f>'HK UP KEEP, OP '!AO35+'HK UP KEEP, OP '!AP35+'HK UP KEEP, OP '!AQ35</f>
        <v>0</v>
      </c>
      <c r="U261" s="1489">
        <f t="shared" si="7"/>
        <v>0</v>
      </c>
      <c r="V261" s="1489">
        <f t="shared" si="8"/>
        <v>31</v>
      </c>
      <c r="W261" s="1489">
        <v>2250</v>
      </c>
      <c r="X261" s="1489">
        <f t="shared" si="9"/>
        <v>69750</v>
      </c>
      <c r="Y261" s="1489"/>
      <c r="Z261" s="1489"/>
      <c r="AA261" s="1489">
        <f t="shared" si="27"/>
        <v>0</v>
      </c>
      <c r="AB261" s="1489">
        <v>2500</v>
      </c>
      <c r="AC261" s="1489">
        <f>'MASA KERJA AB'!H36</f>
        <v>9</v>
      </c>
      <c r="AD261" s="1492">
        <f>'MASA KERJA AB'!I36</f>
        <v>24000</v>
      </c>
      <c r="AE261" s="1491"/>
      <c r="AF261" s="1489"/>
      <c r="AG261" s="1489"/>
      <c r="AH261" s="1489"/>
      <c r="AI261" s="1489"/>
      <c r="AJ261" s="1489"/>
      <c r="AK261" s="1493"/>
      <c r="AL261" s="1489"/>
      <c r="AM261" s="1489"/>
      <c r="AN261" s="1489"/>
      <c r="AO261" s="1494">
        <f t="shared" si="10"/>
        <v>4099570</v>
      </c>
      <c r="AP261" s="1489">
        <f t="shared" si="20"/>
        <v>77532</v>
      </c>
      <c r="AQ261" s="1489">
        <f t="shared" si="21"/>
        <v>175997.64</v>
      </c>
      <c r="AR261" s="1489">
        <f t="shared" si="28"/>
        <v>253529.64</v>
      </c>
      <c r="AS261" s="1489">
        <f t="shared" si="22"/>
        <v>39006</v>
      </c>
      <c r="AT261" s="1489">
        <f t="shared" si="23"/>
        <v>156024</v>
      </c>
      <c r="AU261" s="1489">
        <f t="shared" si="24"/>
        <v>38766</v>
      </c>
      <c r="AV261" s="1489">
        <f t="shared" si="25"/>
        <v>77532</v>
      </c>
      <c r="AW261" s="1489">
        <f t="shared" si="29"/>
        <v>311328</v>
      </c>
      <c r="AX261" s="1492">
        <v>4000</v>
      </c>
      <c r="AY261" s="1491">
        <v>0</v>
      </c>
      <c r="AZ261" s="1489">
        <f t="shared" si="13"/>
        <v>0</v>
      </c>
      <c r="BA261" s="1489"/>
      <c r="BB261" s="1489"/>
      <c r="BC261" s="1489">
        <f t="shared" si="14"/>
        <v>3940266</v>
      </c>
      <c r="BD261" s="1495">
        <f>'HK UP KEEP, OP '!AS35</f>
        <v>0</v>
      </c>
      <c r="BE261" s="1488">
        <f>'HK UP KEEP, OP '!AT35</f>
        <v>0</v>
      </c>
      <c r="BF261" s="1518"/>
      <c r="BG261" s="1551">
        <f t="shared" si="15"/>
        <v>4005820</v>
      </c>
      <c r="BH261" s="1552">
        <f t="shared" si="16"/>
        <v>0</v>
      </c>
      <c r="BI261" s="1552">
        <f t="shared" si="17"/>
        <v>0</v>
      </c>
      <c r="BJ261" s="1551">
        <f t="shared" si="18"/>
        <v>0</v>
      </c>
      <c r="BK261" s="1553">
        <f t="shared" si="26"/>
        <v>4005820</v>
      </c>
      <c r="BL261" s="1553"/>
      <c r="BM261" s="1553">
        <f t="shared" si="30"/>
        <v>93750</v>
      </c>
      <c r="BN261" s="1551">
        <v>30575.999999999996</v>
      </c>
      <c r="BO261" s="1551">
        <f t="shared" si="19"/>
        <v>564857.64</v>
      </c>
      <c r="BP261" s="1518"/>
      <c r="BQ261" s="1518"/>
      <c r="BR261" s="1518"/>
      <c r="BU261" s="1518"/>
      <c r="BV261" s="1518"/>
      <c r="BW261" s="1518"/>
      <c r="BX261" s="1518"/>
    </row>
    <row r="262" spans="1:76" ht="23.25" customHeight="1">
      <c r="A262" s="2048" t="s">
        <v>0</v>
      </c>
      <c r="B262" s="2048"/>
      <c r="C262" s="2048"/>
      <c r="D262" s="2048"/>
      <c r="E262" s="2048"/>
      <c r="F262" s="2048"/>
      <c r="G262" s="2048"/>
      <c r="H262" s="2048"/>
      <c r="I262" s="2048"/>
      <c r="J262" s="2048"/>
      <c r="K262" s="2048"/>
      <c r="L262" s="2048"/>
      <c r="M262" s="2048"/>
      <c r="N262" s="2048"/>
      <c r="O262" s="2048"/>
      <c r="P262" s="2048"/>
      <c r="Q262" s="2048"/>
      <c r="R262" s="2048"/>
      <c r="S262" s="2048"/>
      <c r="T262" s="2048"/>
      <c r="U262" s="2048"/>
      <c r="V262" s="2048"/>
      <c r="W262" s="2048"/>
      <c r="X262" s="2048"/>
      <c r="Y262" s="2048"/>
      <c r="Z262" s="2048"/>
      <c r="AA262" s="2048"/>
      <c r="AB262" s="2048"/>
      <c r="AC262" s="2048"/>
      <c r="AD262" s="2048"/>
      <c r="AE262" s="2048"/>
      <c r="AF262" s="2048"/>
      <c r="AG262" s="2048"/>
      <c r="AH262" s="2048"/>
      <c r="AI262" s="2048"/>
      <c r="AJ262" s="2048"/>
      <c r="AK262" s="2048"/>
      <c r="AL262" s="2048"/>
      <c r="AM262" s="2048"/>
      <c r="AN262" s="2048"/>
      <c r="AO262" s="2048"/>
      <c r="AP262" s="2048"/>
      <c r="AQ262" s="2048"/>
      <c r="AR262" s="2048"/>
      <c r="AS262" s="2048"/>
      <c r="AT262" s="2048"/>
      <c r="AU262" s="2048"/>
      <c r="AV262" s="2048"/>
      <c r="AW262" s="2048"/>
      <c r="AX262" s="2048"/>
      <c r="AY262" s="2048"/>
      <c r="AZ262" s="2048"/>
      <c r="BA262" s="2048"/>
      <c r="BB262" s="2048"/>
      <c r="BC262" s="2048"/>
      <c r="BD262" s="2048"/>
      <c r="BE262" s="2048"/>
    </row>
    <row r="263" spans="1:76" ht="26.25" customHeight="1">
      <c r="A263" s="2049" t="s">
        <v>1033</v>
      </c>
      <c r="B263" s="2049"/>
      <c r="C263" s="2049"/>
      <c r="D263" s="2049"/>
      <c r="E263" s="2049"/>
      <c r="F263" s="2049"/>
      <c r="G263" s="2049"/>
      <c r="H263" s="2049"/>
      <c r="I263" s="2049"/>
      <c r="J263" s="2049"/>
      <c r="K263" s="2049"/>
      <c r="L263" s="2049"/>
      <c r="M263" s="2049"/>
      <c r="N263" s="2049"/>
      <c r="O263" s="2049"/>
      <c r="P263" s="2049"/>
      <c r="Q263" s="2049"/>
      <c r="R263" s="2049"/>
      <c r="S263" s="2049"/>
      <c r="T263" s="2049"/>
      <c r="U263" s="2049"/>
      <c r="V263" s="2049"/>
      <c r="W263" s="2049"/>
      <c r="X263" s="2049"/>
      <c r="Y263" s="2049"/>
      <c r="Z263" s="2049"/>
      <c r="AA263" s="2049"/>
      <c r="AB263" s="2049"/>
      <c r="AC263" s="2049"/>
      <c r="AD263" s="2049"/>
      <c r="AE263" s="2049"/>
      <c r="AF263" s="2049"/>
      <c r="AG263" s="2049"/>
      <c r="AH263" s="2049"/>
      <c r="AI263" s="2049"/>
      <c r="AJ263" s="2049"/>
      <c r="AK263" s="2049"/>
      <c r="AL263" s="2049"/>
      <c r="AM263" s="2049"/>
      <c r="AN263" s="2049"/>
      <c r="AO263" s="2049"/>
      <c r="AP263" s="2049"/>
      <c r="AQ263" s="2049"/>
      <c r="AR263" s="2049"/>
      <c r="AS263" s="2049"/>
      <c r="AT263" s="2049"/>
      <c r="AU263" s="2049"/>
      <c r="AV263" s="2049"/>
      <c r="AW263" s="2049"/>
      <c r="AX263" s="2049"/>
      <c r="AY263" s="2049"/>
      <c r="AZ263" s="2049"/>
      <c r="BA263" s="2049"/>
      <c r="BB263" s="2049"/>
      <c r="BC263" s="2049"/>
      <c r="BD263" s="2049"/>
      <c r="BE263" s="2049"/>
    </row>
    <row r="264" spans="1:76" s="1523" customFormat="1" ht="18.75" customHeight="1">
      <c r="C264" s="1554"/>
      <c r="D264" s="1523" t="s">
        <v>964</v>
      </c>
      <c r="F264" s="1555"/>
      <c r="G264" s="1555"/>
      <c r="X264" s="1556"/>
      <c r="AE264" s="1532"/>
      <c r="AK264" s="1557"/>
      <c r="AP264" s="1558">
        <v>3876600</v>
      </c>
      <c r="AQ264" s="1559">
        <f>AP264/30</f>
        <v>129220</v>
      </c>
      <c r="AR264" s="1559">
        <f>AP264/173*1.5</f>
        <v>33612.138728323698</v>
      </c>
      <c r="AS264" s="1559">
        <f>AP264/173*2</f>
        <v>44816.184971098264</v>
      </c>
      <c r="AW264" s="1532" t="s">
        <v>55</v>
      </c>
      <c r="AX264" s="1523" t="s">
        <v>152</v>
      </c>
      <c r="BC264" s="1531"/>
      <c r="BE264" s="1532"/>
      <c r="BG264" s="1555"/>
      <c r="BH264" s="1560"/>
      <c r="BI264" s="1560"/>
      <c r="BJ264" s="1555"/>
      <c r="BK264" s="1561"/>
      <c r="BL264" s="1561"/>
      <c r="BM264" s="1561"/>
      <c r="BN264" s="1555"/>
      <c r="BO264" s="1555"/>
    </row>
    <row r="265" spans="1:76" ht="15" customHeight="1" thickBot="1">
      <c r="A265" s="1547"/>
      <c r="D265" s="1563"/>
      <c r="E265" s="1563"/>
      <c r="F265" s="1564"/>
      <c r="G265" s="1564"/>
      <c r="H265" s="1563"/>
      <c r="I265" s="1563"/>
      <c r="J265" s="1563"/>
      <c r="K265" s="1563"/>
      <c r="L265" s="1563"/>
      <c r="M265" s="1563"/>
      <c r="N265" s="1563"/>
      <c r="O265" s="1563"/>
      <c r="Q265" s="1563"/>
      <c r="R265" s="1563"/>
      <c r="S265" s="1563"/>
      <c r="T265" s="1563"/>
      <c r="U265" s="1563"/>
      <c r="V265" s="1563"/>
      <c r="W265" s="1563"/>
      <c r="X265" s="1563"/>
      <c r="Y265" s="1563"/>
      <c r="Z265" s="1563"/>
      <c r="AA265" s="1563"/>
      <c r="AB265" s="1563"/>
      <c r="AC265" s="1563"/>
      <c r="AD265" s="1547"/>
      <c r="AE265" s="1563"/>
      <c r="AF265" s="1563"/>
      <c r="AG265" s="1563"/>
      <c r="AH265" s="1563"/>
      <c r="AI265" s="1563"/>
      <c r="AJ265" s="1563"/>
      <c r="AK265" s="1565"/>
      <c r="AL265" s="1563"/>
      <c r="AM265" s="1563"/>
      <c r="AO265" s="1563"/>
      <c r="AP265" s="1558">
        <v>3876600</v>
      </c>
      <c r="AQ265" s="1566">
        <f>AP265/30</f>
        <v>129220</v>
      </c>
      <c r="AR265" s="1567"/>
      <c r="AS265" s="1568">
        <f>AP265+24000</f>
        <v>3900600</v>
      </c>
    </row>
    <row r="266" spans="1:76" s="1523" customFormat="1" ht="15.75" customHeight="1">
      <c r="A266" s="2050" t="s">
        <v>5</v>
      </c>
      <c r="B266" s="2053" t="s">
        <v>6</v>
      </c>
      <c r="C266" s="2056" t="s">
        <v>52</v>
      </c>
      <c r="D266" s="1569"/>
      <c r="E266" s="1569"/>
      <c r="F266" s="1570"/>
      <c r="G266" s="1570"/>
      <c r="H266" s="2059" t="s">
        <v>2</v>
      </c>
      <c r="I266" s="2060"/>
      <c r="J266" s="2060"/>
      <c r="K266" s="2060"/>
      <c r="L266" s="2060"/>
      <c r="M266" s="2060"/>
      <c r="N266" s="2060"/>
      <c r="O266" s="2060"/>
      <c r="P266" s="2060"/>
      <c r="Q266" s="2060"/>
      <c r="R266" s="2060"/>
      <c r="S266" s="2060"/>
      <c r="T266" s="2060"/>
      <c r="U266" s="2061"/>
      <c r="V266" s="2056" t="s">
        <v>286</v>
      </c>
      <c r="W266" s="2059" t="s">
        <v>3</v>
      </c>
      <c r="X266" s="2060"/>
      <c r="Y266" s="2060"/>
      <c r="Z266" s="2060"/>
      <c r="AA266" s="2060"/>
      <c r="AB266" s="2060"/>
      <c r="AC266" s="2060"/>
      <c r="AD266" s="2061"/>
      <c r="AE266" s="2042" t="s">
        <v>45</v>
      </c>
      <c r="AF266" s="2063" t="s">
        <v>46</v>
      </c>
      <c r="AG266" s="2064"/>
      <c r="AH266" s="2064"/>
      <c r="AI266" s="2064"/>
      <c r="AJ266" s="2064"/>
      <c r="AK266" s="2064"/>
      <c r="AL266" s="2065"/>
      <c r="AM266" s="2045" t="s">
        <v>98</v>
      </c>
      <c r="AN266" s="2056" t="s">
        <v>44</v>
      </c>
      <c r="AO266" s="1533" t="s">
        <v>4</v>
      </c>
      <c r="AP266" s="2036" t="s">
        <v>20</v>
      </c>
      <c r="AQ266" s="2037"/>
      <c r="AR266" s="2038"/>
      <c r="AS266" s="2036" t="s">
        <v>54</v>
      </c>
      <c r="AT266" s="2037"/>
      <c r="AU266" s="2037"/>
      <c r="AV266" s="2037"/>
      <c r="AW266" s="2037"/>
      <c r="AX266" s="1571"/>
      <c r="AY266" s="2042" t="s">
        <v>89</v>
      </c>
      <c r="AZ266" s="2045" t="s">
        <v>97</v>
      </c>
      <c r="BA266" s="2045" t="s">
        <v>719</v>
      </c>
      <c r="BB266" s="2045" t="s">
        <v>210</v>
      </c>
      <c r="BC266" s="1539" t="s">
        <v>4</v>
      </c>
      <c r="BD266" s="2063" t="s">
        <v>41</v>
      </c>
      <c r="BE266" s="2084"/>
      <c r="BG266" s="1555"/>
      <c r="BH266" s="1560"/>
      <c r="BI266" s="1560"/>
      <c r="BJ266" s="1555"/>
      <c r="BK266" s="1561"/>
      <c r="BL266" s="1561"/>
      <c r="BM266" s="1561"/>
      <c r="BN266" s="1555"/>
      <c r="BO266" s="1555"/>
    </row>
    <row r="267" spans="1:76" s="1523" customFormat="1" ht="25.5" customHeight="1">
      <c r="A267" s="2051"/>
      <c r="B267" s="2054"/>
      <c r="C267" s="2057"/>
      <c r="D267" s="1519" t="s">
        <v>7</v>
      </c>
      <c r="E267" s="1519" t="s">
        <v>8</v>
      </c>
      <c r="F267" s="1572" t="s">
        <v>9</v>
      </c>
      <c r="G267" s="1572" t="s">
        <v>9</v>
      </c>
      <c r="H267" s="2071" t="s">
        <v>10</v>
      </c>
      <c r="I267" s="2072"/>
      <c r="J267" s="2071" t="s">
        <v>11</v>
      </c>
      <c r="K267" s="2072"/>
      <c r="L267" s="2071" t="s">
        <v>12</v>
      </c>
      <c r="M267" s="2072"/>
      <c r="N267" s="2071" t="s">
        <v>13</v>
      </c>
      <c r="O267" s="2072"/>
      <c r="P267" s="2071" t="s">
        <v>14</v>
      </c>
      <c r="Q267" s="2072"/>
      <c r="R267" s="2087" t="s">
        <v>15</v>
      </c>
      <c r="S267" s="2088"/>
      <c r="T267" s="2071" t="s">
        <v>16</v>
      </c>
      <c r="U267" s="2072"/>
      <c r="V267" s="2057"/>
      <c r="W267" s="2071" t="s">
        <v>17</v>
      </c>
      <c r="X267" s="2072"/>
      <c r="Y267" s="2071" t="s">
        <v>18</v>
      </c>
      <c r="Z267" s="2081"/>
      <c r="AA267" s="2072"/>
      <c r="AB267" s="2071" t="s">
        <v>19</v>
      </c>
      <c r="AC267" s="2081"/>
      <c r="AD267" s="2072"/>
      <c r="AE267" s="2043"/>
      <c r="AF267" s="2066"/>
      <c r="AG267" s="2067"/>
      <c r="AH267" s="2067"/>
      <c r="AI267" s="2067"/>
      <c r="AJ267" s="2067"/>
      <c r="AK267" s="2067"/>
      <c r="AL267" s="2068"/>
      <c r="AM267" s="2046"/>
      <c r="AN267" s="2057"/>
      <c r="AO267" s="1534" t="s">
        <v>9</v>
      </c>
      <c r="AP267" s="2039"/>
      <c r="AQ267" s="2040"/>
      <c r="AR267" s="2041"/>
      <c r="AS267" s="2039"/>
      <c r="AT267" s="2040"/>
      <c r="AU267" s="2040"/>
      <c r="AV267" s="2040"/>
      <c r="AW267" s="2040"/>
      <c r="AX267" s="1534" t="s">
        <v>21</v>
      </c>
      <c r="AY267" s="2043"/>
      <c r="AZ267" s="2046"/>
      <c r="BA267" s="2046"/>
      <c r="BB267" s="2046"/>
      <c r="BC267" s="1540" t="s">
        <v>9</v>
      </c>
      <c r="BD267" s="2085"/>
      <c r="BE267" s="2086"/>
      <c r="BG267" s="1573"/>
      <c r="BH267" s="1573"/>
      <c r="BI267" s="1573"/>
      <c r="BJ267" s="1555"/>
      <c r="BK267" s="1561"/>
      <c r="BL267" s="1561"/>
      <c r="BM267" s="1561"/>
      <c r="BN267" s="1555"/>
      <c r="BO267" s="1555"/>
    </row>
    <row r="268" spans="1:76" s="1523" customFormat="1" ht="63" customHeight="1">
      <c r="A268" s="2051"/>
      <c r="B268" s="2054"/>
      <c r="C268" s="2057"/>
      <c r="D268" s="1519" t="s">
        <v>22</v>
      </c>
      <c r="E268" s="1519" t="s">
        <v>23</v>
      </c>
      <c r="F268" s="1572" t="s">
        <v>24</v>
      </c>
      <c r="G268" s="1572" t="s">
        <v>25</v>
      </c>
      <c r="H268" s="2069" t="s">
        <v>4</v>
      </c>
      <c r="I268" s="2070"/>
      <c r="J268" s="2069" t="s">
        <v>4</v>
      </c>
      <c r="K268" s="2070"/>
      <c r="L268" s="2069" t="s">
        <v>4</v>
      </c>
      <c r="M268" s="2070"/>
      <c r="N268" s="2069" t="s">
        <v>4</v>
      </c>
      <c r="O268" s="2070"/>
      <c r="P268" s="2069" t="s">
        <v>4</v>
      </c>
      <c r="Q268" s="2070"/>
      <c r="R268" s="2082" t="s">
        <v>4</v>
      </c>
      <c r="S268" s="2083"/>
      <c r="T268" s="2069" t="s">
        <v>4</v>
      </c>
      <c r="U268" s="2070"/>
      <c r="V268" s="2057"/>
      <c r="W268" s="1534" t="s">
        <v>27</v>
      </c>
      <c r="X268" s="1574" t="s">
        <v>28</v>
      </c>
      <c r="Y268" s="1534" t="s">
        <v>27</v>
      </c>
      <c r="Z268" s="2069" t="s">
        <v>4</v>
      </c>
      <c r="AA268" s="2070"/>
      <c r="AB268" s="1534" t="s">
        <v>27</v>
      </c>
      <c r="AC268" s="2071" t="s">
        <v>4</v>
      </c>
      <c r="AD268" s="2072"/>
      <c r="AE268" s="2062"/>
      <c r="AF268" s="1575" t="s">
        <v>56</v>
      </c>
      <c r="AG268" s="1575" t="s">
        <v>57</v>
      </c>
      <c r="AH268" s="1575" t="s">
        <v>60</v>
      </c>
      <c r="AI268" s="1575" t="s">
        <v>202</v>
      </c>
      <c r="AJ268" s="1575" t="s">
        <v>218</v>
      </c>
      <c r="AK268" s="1575" t="s">
        <v>572</v>
      </c>
      <c r="AL268" s="1575" t="s">
        <v>288</v>
      </c>
      <c r="AM268" s="2089"/>
      <c r="AN268" s="2090"/>
      <c r="AO268" s="1534" t="s">
        <v>29</v>
      </c>
      <c r="AP268" s="1519" t="s">
        <v>30</v>
      </c>
      <c r="AQ268" s="1519" t="s">
        <v>31</v>
      </c>
      <c r="AR268" s="1519" t="s">
        <v>4</v>
      </c>
      <c r="AS268" s="1576" t="s">
        <v>30</v>
      </c>
      <c r="AT268" s="1574" t="s">
        <v>31</v>
      </c>
      <c r="AU268" s="1574" t="s">
        <v>30</v>
      </c>
      <c r="AV268" s="1574" t="s">
        <v>31</v>
      </c>
      <c r="AW268" s="1577" t="s">
        <v>4</v>
      </c>
      <c r="AX268" s="1534" t="s">
        <v>32</v>
      </c>
      <c r="AY268" s="2043"/>
      <c r="AZ268" s="2046"/>
      <c r="BA268" s="2046"/>
      <c r="BB268" s="2046"/>
      <c r="BC268" s="1540" t="s">
        <v>33</v>
      </c>
      <c r="BD268" s="2073" t="s">
        <v>42</v>
      </c>
      <c r="BE268" s="2075" t="s">
        <v>43</v>
      </c>
      <c r="BG268" s="1573"/>
      <c r="BH268" s="1578"/>
      <c r="BI268" s="1578"/>
      <c r="BJ268" s="1555"/>
      <c r="BK268" s="1561"/>
      <c r="BL268" s="1561"/>
      <c r="BM268" s="1561"/>
      <c r="BN268" s="1555"/>
      <c r="BO268" s="1555"/>
    </row>
    <row r="269" spans="1:76" s="1523" customFormat="1" ht="21" customHeight="1" thickBot="1">
      <c r="A269" s="2052"/>
      <c r="B269" s="2055"/>
      <c r="C269" s="2058"/>
      <c r="D269" s="1520"/>
      <c r="E269" s="1520"/>
      <c r="F269" s="1579" t="s">
        <v>34</v>
      </c>
      <c r="G269" s="1580" t="s">
        <v>34</v>
      </c>
      <c r="H269" s="1581" t="s">
        <v>8</v>
      </c>
      <c r="I269" s="1582" t="s">
        <v>34</v>
      </c>
      <c r="J269" s="1581" t="s">
        <v>8</v>
      </c>
      <c r="K269" s="1582" t="s">
        <v>34</v>
      </c>
      <c r="L269" s="1581" t="s">
        <v>8</v>
      </c>
      <c r="M269" s="1582" t="s">
        <v>34</v>
      </c>
      <c r="N269" s="1581" t="s">
        <v>8</v>
      </c>
      <c r="O269" s="1582" t="s">
        <v>34</v>
      </c>
      <c r="P269" s="1581" t="s">
        <v>8</v>
      </c>
      <c r="Q269" s="1582" t="s">
        <v>34</v>
      </c>
      <c r="R269" s="1581" t="s">
        <v>8</v>
      </c>
      <c r="S269" s="1582" t="s">
        <v>34</v>
      </c>
      <c r="T269" s="1581" t="s">
        <v>8</v>
      </c>
      <c r="U269" s="1582" t="s">
        <v>34</v>
      </c>
      <c r="V269" s="2058"/>
      <c r="W269" s="1581" t="s">
        <v>26</v>
      </c>
      <c r="X269" s="1581" t="s">
        <v>34</v>
      </c>
      <c r="Y269" s="1581" t="s">
        <v>26</v>
      </c>
      <c r="Z269" s="1581" t="s">
        <v>26</v>
      </c>
      <c r="AA269" s="1581" t="s">
        <v>34</v>
      </c>
      <c r="AB269" s="1581" t="s">
        <v>26</v>
      </c>
      <c r="AC269" s="1581" t="s">
        <v>35</v>
      </c>
      <c r="AD269" s="1581" t="s">
        <v>34</v>
      </c>
      <c r="AE269" s="1581" t="s">
        <v>34</v>
      </c>
      <c r="AF269" s="1582" t="s">
        <v>34</v>
      </c>
      <c r="AG269" s="1582" t="s">
        <v>34</v>
      </c>
      <c r="AH269" s="1582" t="s">
        <v>34</v>
      </c>
      <c r="AI269" s="1582" t="s">
        <v>34</v>
      </c>
      <c r="AJ269" s="1582" t="s">
        <v>34</v>
      </c>
      <c r="AK269" s="1582" t="s">
        <v>34</v>
      </c>
      <c r="AL269" s="1582" t="s">
        <v>34</v>
      </c>
      <c r="AM269" s="1582" t="s">
        <v>34</v>
      </c>
      <c r="AN269" s="1581" t="s">
        <v>34</v>
      </c>
      <c r="AO269" s="1582" t="s">
        <v>34</v>
      </c>
      <c r="AP269" s="1582" t="s">
        <v>34</v>
      </c>
      <c r="AQ269" s="1582" t="s">
        <v>34</v>
      </c>
      <c r="AR269" s="1582" t="s">
        <v>34</v>
      </c>
      <c r="AS269" s="1581" t="s">
        <v>58</v>
      </c>
      <c r="AT269" s="1582" t="s">
        <v>34</v>
      </c>
      <c r="AU269" s="1582" t="s">
        <v>59</v>
      </c>
      <c r="AV269" s="1582" t="s">
        <v>34</v>
      </c>
      <c r="AW269" s="1583" t="s">
        <v>34</v>
      </c>
      <c r="AX269" s="1537"/>
      <c r="AY269" s="2044"/>
      <c r="AZ269" s="2047"/>
      <c r="BA269" s="2047"/>
      <c r="BB269" s="2047"/>
      <c r="BC269" s="1541" t="s">
        <v>34</v>
      </c>
      <c r="BD269" s="2074"/>
      <c r="BE269" s="2076"/>
      <c r="BG269" s="1555" t="s">
        <v>353</v>
      </c>
      <c r="BH269" s="1578" t="s">
        <v>43</v>
      </c>
      <c r="BI269" s="1578" t="s">
        <v>42</v>
      </c>
      <c r="BJ269" s="1555" t="s">
        <v>354</v>
      </c>
      <c r="BK269" s="1561" t="s">
        <v>358</v>
      </c>
      <c r="BL269" s="1561"/>
      <c r="BM269" s="1561" t="s">
        <v>625</v>
      </c>
      <c r="BN269" s="1555" t="s">
        <v>626</v>
      </c>
      <c r="BO269" s="1555" t="s">
        <v>627</v>
      </c>
      <c r="BQ269" s="1523" t="s">
        <v>685</v>
      </c>
    </row>
    <row r="270" spans="1:76" s="1523" customFormat="1" ht="102" customHeight="1" thickBot="1">
      <c r="A270" s="1584" t="s">
        <v>95</v>
      </c>
      <c r="B270" s="1496" t="s">
        <v>36</v>
      </c>
      <c r="C270" s="1585" t="s">
        <v>421</v>
      </c>
      <c r="D270" s="1586" t="s">
        <v>377</v>
      </c>
      <c r="E270" s="1489">
        <f>'HK UP KEEP, OP '!AH36</f>
        <v>18</v>
      </c>
      <c r="F270" s="1490">
        <v>129220</v>
      </c>
      <c r="G270" s="1490">
        <f t="shared" si="0"/>
        <v>2325960</v>
      </c>
      <c r="H270" s="1489">
        <f>'HK UP KEEP, OP '!AI36</f>
        <v>1</v>
      </c>
      <c r="I270" s="1489">
        <f t="shared" si="1"/>
        <v>129220</v>
      </c>
      <c r="J270" s="1489">
        <f>'HK UP KEEP, OP '!AJ36</f>
        <v>2</v>
      </c>
      <c r="K270" s="1489">
        <f t="shared" si="2"/>
        <v>258440</v>
      </c>
      <c r="L270" s="1489">
        <f>'HK UP KEEP, OP '!AK36</f>
        <v>0</v>
      </c>
      <c r="M270" s="1489">
        <f t="shared" si="3"/>
        <v>0</v>
      </c>
      <c r="N270" s="1489">
        <f>'HK UP KEEP, OP '!AL36</f>
        <v>4</v>
      </c>
      <c r="O270" s="1489">
        <f t="shared" si="4"/>
        <v>516880</v>
      </c>
      <c r="P270" s="1489">
        <f>'HK UP KEEP, OP '!AM36</f>
        <v>3</v>
      </c>
      <c r="Q270" s="1489">
        <f t="shared" si="5"/>
        <v>387660</v>
      </c>
      <c r="R270" s="1489">
        <f>'HK UP KEEP, OP '!AN36</f>
        <v>0</v>
      </c>
      <c r="S270" s="1489">
        <f t="shared" si="6"/>
        <v>0</v>
      </c>
      <c r="T270" s="1489">
        <f>'HK UP KEEP, OP '!AO36+'HK UP KEEP, OP '!AP36+'HK UP KEEP, OP '!AQ36</f>
        <v>0</v>
      </c>
      <c r="U270" s="1489">
        <f t="shared" si="7"/>
        <v>0</v>
      </c>
      <c r="V270" s="1489">
        <f t="shared" si="8"/>
        <v>28</v>
      </c>
      <c r="W270" s="1489">
        <v>4650</v>
      </c>
      <c r="X270" s="1489">
        <f t="shared" si="9"/>
        <v>130200</v>
      </c>
      <c r="Y270" s="1489"/>
      <c r="Z270" s="1489"/>
      <c r="AA270" s="1489">
        <f t="shared" si="27"/>
        <v>0</v>
      </c>
      <c r="AB270" s="1489">
        <v>2500</v>
      </c>
      <c r="AC270" s="1489">
        <f>'MASA KERJA AB'!H37</f>
        <v>12</v>
      </c>
      <c r="AD270" s="1492">
        <f>'MASA KERJA AB'!I37</f>
        <v>33000</v>
      </c>
      <c r="AE270" s="1491"/>
      <c r="AF270" s="1489"/>
      <c r="AG270" s="1489"/>
      <c r="AH270" s="1489"/>
      <c r="AI270" s="1489"/>
      <c r="AJ270" s="1489">
        <f>'LEMBUR DAN PREMI UPKEEP'!AJ110</f>
        <v>0</v>
      </c>
      <c r="AK270" s="1505">
        <v>126000</v>
      </c>
      <c r="AL270" s="1489"/>
      <c r="AM270" s="1489"/>
      <c r="AN270" s="1489"/>
      <c r="AO270" s="1494">
        <f t="shared" si="10"/>
        <v>3907360</v>
      </c>
      <c r="AP270" s="1489">
        <f t="shared" si="20"/>
        <v>77532</v>
      </c>
      <c r="AQ270" s="1489">
        <f t="shared" si="21"/>
        <v>175997.64</v>
      </c>
      <c r="AR270" s="1489">
        <f t="shared" si="28"/>
        <v>253529.64</v>
      </c>
      <c r="AS270" s="1489">
        <f t="shared" si="22"/>
        <v>39096</v>
      </c>
      <c r="AT270" s="1489">
        <f t="shared" si="23"/>
        <v>156384</v>
      </c>
      <c r="AU270" s="1489">
        <f t="shared" si="24"/>
        <v>38766</v>
      </c>
      <c r="AV270" s="1489">
        <f t="shared" si="25"/>
        <v>77532</v>
      </c>
      <c r="AW270" s="1489">
        <f t="shared" si="29"/>
        <v>311778</v>
      </c>
      <c r="AX270" s="1492">
        <v>4000</v>
      </c>
      <c r="AY270" s="1491">
        <v>0</v>
      </c>
      <c r="AZ270" s="1489">
        <f t="shared" si="13"/>
        <v>0</v>
      </c>
      <c r="BA270" s="1489"/>
      <c r="BB270" s="1489"/>
      <c r="BC270" s="1489">
        <f t="shared" si="14"/>
        <v>3747966</v>
      </c>
      <c r="BD270" s="1495">
        <f>'HK UP KEEP, OP '!AS36</f>
        <v>1</v>
      </c>
      <c r="BE270" s="1488">
        <f>'HK UP KEEP, OP '!AT36</f>
        <v>2</v>
      </c>
      <c r="BF270" s="1518"/>
      <c r="BG270" s="1551">
        <f t="shared" si="15"/>
        <v>3618160</v>
      </c>
      <c r="BH270" s="1552">
        <f t="shared" si="16"/>
        <v>129220</v>
      </c>
      <c r="BI270" s="1552">
        <f t="shared" si="17"/>
        <v>258440</v>
      </c>
      <c r="BJ270" s="1551">
        <f t="shared" si="18"/>
        <v>-387660</v>
      </c>
      <c r="BK270" s="1553">
        <f t="shared" si="26"/>
        <v>4005820</v>
      </c>
      <c r="BL270" s="1553"/>
      <c r="BM270" s="1553">
        <f t="shared" si="30"/>
        <v>289200</v>
      </c>
      <c r="BN270" s="1551">
        <v>30575.999999999996</v>
      </c>
      <c r="BO270" s="1551">
        <f t="shared" si="19"/>
        <v>565307.64</v>
      </c>
      <c r="BP270" s="1518"/>
      <c r="BQ270" s="1518"/>
      <c r="BR270" s="1518"/>
      <c r="BU270" s="1518"/>
      <c r="BV270" s="1518"/>
      <c r="BW270" s="1518"/>
      <c r="BX270" s="1518"/>
    </row>
    <row r="271" spans="1:76" ht="23.25" customHeight="1">
      <c r="A271" s="2048" t="s">
        <v>0</v>
      </c>
      <c r="B271" s="2048"/>
      <c r="C271" s="2048"/>
      <c r="D271" s="2048"/>
      <c r="E271" s="2048"/>
      <c r="F271" s="2048"/>
      <c r="G271" s="2048"/>
      <c r="H271" s="2048"/>
      <c r="I271" s="2048"/>
      <c r="J271" s="2048"/>
      <c r="K271" s="2048"/>
      <c r="L271" s="2048"/>
      <c r="M271" s="2048"/>
      <c r="N271" s="2048"/>
      <c r="O271" s="2048"/>
      <c r="P271" s="2048"/>
      <c r="Q271" s="2048"/>
      <c r="R271" s="2048"/>
      <c r="S271" s="2048"/>
      <c r="T271" s="2048"/>
      <c r="U271" s="2048"/>
      <c r="V271" s="2048"/>
      <c r="W271" s="2048"/>
      <c r="X271" s="2048"/>
      <c r="Y271" s="2048"/>
      <c r="Z271" s="2048"/>
      <c r="AA271" s="2048"/>
      <c r="AB271" s="2048"/>
      <c r="AC271" s="2048"/>
      <c r="AD271" s="2048"/>
      <c r="AE271" s="2048"/>
      <c r="AF271" s="2048"/>
      <c r="AG271" s="2048"/>
      <c r="AH271" s="2048"/>
      <c r="AI271" s="2048"/>
      <c r="AJ271" s="2048"/>
      <c r="AK271" s="2048"/>
      <c r="AL271" s="2048"/>
      <c r="AM271" s="2048"/>
      <c r="AN271" s="2048"/>
      <c r="AO271" s="2048"/>
      <c r="AP271" s="2048"/>
      <c r="AQ271" s="2048"/>
      <c r="AR271" s="2048"/>
      <c r="AS271" s="2048"/>
      <c r="AT271" s="2048"/>
      <c r="AU271" s="2048"/>
      <c r="AV271" s="2048"/>
      <c r="AW271" s="2048"/>
      <c r="AX271" s="2048"/>
      <c r="AY271" s="2048"/>
      <c r="AZ271" s="2048"/>
      <c r="BA271" s="2048"/>
      <c r="BB271" s="2048"/>
      <c r="BC271" s="2048"/>
      <c r="BD271" s="2048"/>
      <c r="BE271" s="2048"/>
    </row>
    <row r="272" spans="1:76" ht="26.25" customHeight="1">
      <c r="A272" s="2049" t="s">
        <v>1033</v>
      </c>
      <c r="B272" s="2049"/>
      <c r="C272" s="2049"/>
      <c r="D272" s="2049"/>
      <c r="E272" s="2049"/>
      <c r="F272" s="2049"/>
      <c r="G272" s="2049"/>
      <c r="H272" s="2049"/>
      <c r="I272" s="2049"/>
      <c r="J272" s="2049"/>
      <c r="K272" s="2049"/>
      <c r="L272" s="2049"/>
      <c r="M272" s="2049"/>
      <c r="N272" s="2049"/>
      <c r="O272" s="2049"/>
      <c r="P272" s="2049"/>
      <c r="Q272" s="2049"/>
      <c r="R272" s="2049"/>
      <c r="S272" s="2049"/>
      <c r="T272" s="2049"/>
      <c r="U272" s="2049"/>
      <c r="V272" s="2049"/>
      <c r="W272" s="2049"/>
      <c r="X272" s="2049"/>
      <c r="Y272" s="2049"/>
      <c r="Z272" s="2049"/>
      <c r="AA272" s="2049"/>
      <c r="AB272" s="2049"/>
      <c r="AC272" s="2049"/>
      <c r="AD272" s="2049"/>
      <c r="AE272" s="2049"/>
      <c r="AF272" s="2049"/>
      <c r="AG272" s="2049"/>
      <c r="AH272" s="2049"/>
      <c r="AI272" s="2049"/>
      <c r="AJ272" s="2049"/>
      <c r="AK272" s="2049"/>
      <c r="AL272" s="2049"/>
      <c r="AM272" s="2049"/>
      <c r="AN272" s="2049"/>
      <c r="AO272" s="2049"/>
      <c r="AP272" s="2049"/>
      <c r="AQ272" s="2049"/>
      <c r="AR272" s="2049"/>
      <c r="AS272" s="2049"/>
      <c r="AT272" s="2049"/>
      <c r="AU272" s="2049"/>
      <c r="AV272" s="2049"/>
      <c r="AW272" s="2049"/>
      <c r="AX272" s="2049"/>
      <c r="AY272" s="2049"/>
      <c r="AZ272" s="2049"/>
      <c r="BA272" s="2049"/>
      <c r="BB272" s="2049"/>
      <c r="BC272" s="2049"/>
      <c r="BD272" s="2049"/>
      <c r="BE272" s="2049"/>
    </row>
    <row r="273" spans="1:76" s="1523" customFormat="1" ht="18.75" customHeight="1">
      <c r="C273" s="1554"/>
      <c r="D273" s="1523" t="s">
        <v>964</v>
      </c>
      <c r="F273" s="1555"/>
      <c r="G273" s="1555"/>
      <c r="X273" s="1556"/>
      <c r="AE273" s="1532"/>
      <c r="AK273" s="1557"/>
      <c r="AP273" s="1558">
        <v>3876600</v>
      </c>
      <c r="AQ273" s="1559">
        <f>AP273/30</f>
        <v>129220</v>
      </c>
      <c r="AR273" s="1559">
        <f>AP273/173*1.5</f>
        <v>33612.138728323698</v>
      </c>
      <c r="AS273" s="1559">
        <f>AP273/173*2</f>
        <v>44816.184971098264</v>
      </c>
      <c r="AW273" s="1532" t="s">
        <v>55</v>
      </c>
      <c r="AX273" s="1523" t="s">
        <v>152</v>
      </c>
      <c r="BC273" s="1531"/>
      <c r="BE273" s="1532"/>
      <c r="BG273" s="1555"/>
      <c r="BH273" s="1560"/>
      <c r="BI273" s="1560"/>
      <c r="BJ273" s="1555"/>
      <c r="BK273" s="1561"/>
      <c r="BL273" s="1561"/>
      <c r="BM273" s="1561"/>
      <c r="BN273" s="1555"/>
      <c r="BO273" s="1555"/>
    </row>
    <row r="274" spans="1:76" ht="15" customHeight="1" thickBot="1">
      <c r="A274" s="1547"/>
      <c r="D274" s="1563"/>
      <c r="E274" s="1563"/>
      <c r="F274" s="1564"/>
      <c r="G274" s="1564"/>
      <c r="H274" s="1563"/>
      <c r="I274" s="1563"/>
      <c r="J274" s="1563"/>
      <c r="K274" s="1563"/>
      <c r="L274" s="1563"/>
      <c r="M274" s="1563"/>
      <c r="N274" s="1563"/>
      <c r="O274" s="1563"/>
      <c r="Q274" s="1563"/>
      <c r="R274" s="1563"/>
      <c r="S274" s="1563"/>
      <c r="T274" s="1563"/>
      <c r="U274" s="1563"/>
      <c r="V274" s="1563"/>
      <c r="W274" s="1563"/>
      <c r="X274" s="1563"/>
      <c r="Y274" s="1563"/>
      <c r="Z274" s="1563"/>
      <c r="AA274" s="1563"/>
      <c r="AB274" s="1563"/>
      <c r="AC274" s="1563"/>
      <c r="AD274" s="1547"/>
      <c r="AE274" s="1563"/>
      <c r="AF274" s="1563"/>
      <c r="AG274" s="1563"/>
      <c r="AH274" s="1563"/>
      <c r="AI274" s="1563"/>
      <c r="AJ274" s="1563"/>
      <c r="AK274" s="1565"/>
      <c r="AL274" s="1563"/>
      <c r="AM274" s="1563"/>
      <c r="AO274" s="1563"/>
      <c r="AP274" s="1558">
        <v>3876600</v>
      </c>
      <c r="AQ274" s="1566">
        <f>AP274/30</f>
        <v>129220</v>
      </c>
      <c r="AR274" s="1567"/>
      <c r="AS274" s="1568">
        <f>AP274+24000</f>
        <v>3900600</v>
      </c>
    </row>
    <row r="275" spans="1:76" s="1523" customFormat="1" ht="15.75" customHeight="1">
      <c r="A275" s="2050" t="s">
        <v>5</v>
      </c>
      <c r="B275" s="2053" t="s">
        <v>6</v>
      </c>
      <c r="C275" s="2056" t="s">
        <v>52</v>
      </c>
      <c r="D275" s="1569"/>
      <c r="E275" s="1569"/>
      <c r="F275" s="1570"/>
      <c r="G275" s="1570"/>
      <c r="H275" s="2059" t="s">
        <v>2</v>
      </c>
      <c r="I275" s="2060"/>
      <c r="J275" s="2060"/>
      <c r="K275" s="2060"/>
      <c r="L275" s="2060"/>
      <c r="M275" s="2060"/>
      <c r="N275" s="2060"/>
      <c r="O275" s="2060"/>
      <c r="P275" s="2060"/>
      <c r="Q275" s="2060"/>
      <c r="R275" s="2060"/>
      <c r="S275" s="2060"/>
      <c r="T275" s="2060"/>
      <c r="U275" s="2061"/>
      <c r="V275" s="2056" t="s">
        <v>286</v>
      </c>
      <c r="W275" s="2059" t="s">
        <v>3</v>
      </c>
      <c r="X275" s="2060"/>
      <c r="Y275" s="2060"/>
      <c r="Z275" s="2060"/>
      <c r="AA275" s="2060"/>
      <c r="AB275" s="2060"/>
      <c r="AC275" s="2060"/>
      <c r="AD275" s="2061"/>
      <c r="AE275" s="2042" t="s">
        <v>45</v>
      </c>
      <c r="AF275" s="2063" t="s">
        <v>46</v>
      </c>
      <c r="AG275" s="2064"/>
      <c r="AH275" s="2064"/>
      <c r="AI275" s="2064"/>
      <c r="AJ275" s="2064"/>
      <c r="AK275" s="2064"/>
      <c r="AL275" s="2065"/>
      <c r="AM275" s="2045" t="s">
        <v>98</v>
      </c>
      <c r="AN275" s="2056" t="s">
        <v>44</v>
      </c>
      <c r="AO275" s="1533" t="s">
        <v>4</v>
      </c>
      <c r="AP275" s="2036" t="s">
        <v>20</v>
      </c>
      <c r="AQ275" s="2037"/>
      <c r="AR275" s="2038"/>
      <c r="AS275" s="2036" t="s">
        <v>54</v>
      </c>
      <c r="AT275" s="2037"/>
      <c r="AU275" s="2037"/>
      <c r="AV275" s="2037"/>
      <c r="AW275" s="2037"/>
      <c r="AX275" s="1571"/>
      <c r="AY275" s="2042" t="s">
        <v>89</v>
      </c>
      <c r="AZ275" s="2045" t="s">
        <v>97</v>
      </c>
      <c r="BA275" s="2045" t="s">
        <v>719</v>
      </c>
      <c r="BB275" s="2045" t="s">
        <v>210</v>
      </c>
      <c r="BC275" s="1539" t="s">
        <v>4</v>
      </c>
      <c r="BD275" s="2063" t="s">
        <v>41</v>
      </c>
      <c r="BE275" s="2084"/>
      <c r="BG275" s="1555"/>
      <c r="BH275" s="1560"/>
      <c r="BI275" s="1560"/>
      <c r="BJ275" s="1555"/>
      <c r="BK275" s="1561"/>
      <c r="BL275" s="1561"/>
      <c r="BM275" s="1561"/>
      <c r="BN275" s="1555"/>
      <c r="BO275" s="1555"/>
    </row>
    <row r="276" spans="1:76" s="1523" customFormat="1" ht="25.5" customHeight="1">
      <c r="A276" s="2051"/>
      <c r="B276" s="2054"/>
      <c r="C276" s="2057"/>
      <c r="D276" s="1519" t="s">
        <v>7</v>
      </c>
      <c r="E276" s="1519" t="s">
        <v>8</v>
      </c>
      <c r="F276" s="1572" t="s">
        <v>9</v>
      </c>
      <c r="G276" s="1572" t="s">
        <v>9</v>
      </c>
      <c r="H276" s="2071" t="s">
        <v>10</v>
      </c>
      <c r="I276" s="2072"/>
      <c r="J276" s="2071" t="s">
        <v>11</v>
      </c>
      <c r="K276" s="2072"/>
      <c r="L276" s="2071" t="s">
        <v>12</v>
      </c>
      <c r="M276" s="2072"/>
      <c r="N276" s="2071" t="s">
        <v>13</v>
      </c>
      <c r="O276" s="2072"/>
      <c r="P276" s="2071" t="s">
        <v>14</v>
      </c>
      <c r="Q276" s="2072"/>
      <c r="R276" s="2087" t="s">
        <v>15</v>
      </c>
      <c r="S276" s="2088"/>
      <c r="T276" s="2071" t="s">
        <v>16</v>
      </c>
      <c r="U276" s="2072"/>
      <c r="V276" s="2057"/>
      <c r="W276" s="2071" t="s">
        <v>17</v>
      </c>
      <c r="X276" s="2072"/>
      <c r="Y276" s="2071" t="s">
        <v>18</v>
      </c>
      <c r="Z276" s="2081"/>
      <c r="AA276" s="2072"/>
      <c r="AB276" s="2071" t="s">
        <v>19</v>
      </c>
      <c r="AC276" s="2081"/>
      <c r="AD276" s="2072"/>
      <c r="AE276" s="2043"/>
      <c r="AF276" s="2066"/>
      <c r="AG276" s="2067"/>
      <c r="AH276" s="2067"/>
      <c r="AI276" s="2067"/>
      <c r="AJ276" s="2067"/>
      <c r="AK276" s="2067"/>
      <c r="AL276" s="2068"/>
      <c r="AM276" s="2046"/>
      <c r="AN276" s="2057"/>
      <c r="AO276" s="1534" t="s">
        <v>9</v>
      </c>
      <c r="AP276" s="2039"/>
      <c r="AQ276" s="2040"/>
      <c r="AR276" s="2041"/>
      <c r="AS276" s="2039"/>
      <c r="AT276" s="2040"/>
      <c r="AU276" s="2040"/>
      <c r="AV276" s="2040"/>
      <c r="AW276" s="2040"/>
      <c r="AX276" s="1534" t="s">
        <v>21</v>
      </c>
      <c r="AY276" s="2043"/>
      <c r="AZ276" s="2046"/>
      <c r="BA276" s="2046"/>
      <c r="BB276" s="2046"/>
      <c r="BC276" s="1540" t="s">
        <v>9</v>
      </c>
      <c r="BD276" s="2085"/>
      <c r="BE276" s="2086"/>
      <c r="BG276" s="1573"/>
      <c r="BH276" s="1573"/>
      <c r="BI276" s="1573"/>
      <c r="BJ276" s="1555"/>
      <c r="BK276" s="1561"/>
      <c r="BL276" s="1561"/>
      <c r="BM276" s="1561"/>
      <c r="BN276" s="1555"/>
      <c r="BO276" s="1555"/>
    </row>
    <row r="277" spans="1:76" s="1523" customFormat="1" ht="63" customHeight="1">
      <c r="A277" s="2051"/>
      <c r="B277" s="2054"/>
      <c r="C277" s="2057"/>
      <c r="D277" s="1519" t="s">
        <v>22</v>
      </c>
      <c r="E277" s="1519" t="s">
        <v>23</v>
      </c>
      <c r="F277" s="1572" t="s">
        <v>24</v>
      </c>
      <c r="G277" s="1572" t="s">
        <v>25</v>
      </c>
      <c r="H277" s="2069" t="s">
        <v>4</v>
      </c>
      <c r="I277" s="2070"/>
      <c r="J277" s="2069" t="s">
        <v>4</v>
      </c>
      <c r="K277" s="2070"/>
      <c r="L277" s="2069" t="s">
        <v>4</v>
      </c>
      <c r="M277" s="2070"/>
      <c r="N277" s="2069" t="s">
        <v>4</v>
      </c>
      <c r="O277" s="2070"/>
      <c r="P277" s="2069" t="s">
        <v>4</v>
      </c>
      <c r="Q277" s="2070"/>
      <c r="R277" s="2082" t="s">
        <v>4</v>
      </c>
      <c r="S277" s="2083"/>
      <c r="T277" s="2069" t="s">
        <v>4</v>
      </c>
      <c r="U277" s="2070"/>
      <c r="V277" s="2057"/>
      <c r="W277" s="1534" t="s">
        <v>27</v>
      </c>
      <c r="X277" s="1574" t="s">
        <v>28</v>
      </c>
      <c r="Y277" s="1534" t="s">
        <v>27</v>
      </c>
      <c r="Z277" s="2069" t="s">
        <v>4</v>
      </c>
      <c r="AA277" s="2070"/>
      <c r="AB277" s="1534" t="s">
        <v>27</v>
      </c>
      <c r="AC277" s="2071" t="s">
        <v>4</v>
      </c>
      <c r="AD277" s="2072"/>
      <c r="AE277" s="2062"/>
      <c r="AF277" s="1575" t="s">
        <v>56</v>
      </c>
      <c r="AG277" s="1575" t="s">
        <v>57</v>
      </c>
      <c r="AH277" s="1575" t="s">
        <v>60</v>
      </c>
      <c r="AI277" s="1575" t="s">
        <v>202</v>
      </c>
      <c r="AJ277" s="1575" t="s">
        <v>218</v>
      </c>
      <c r="AK277" s="1575" t="s">
        <v>572</v>
      </c>
      <c r="AL277" s="1575" t="s">
        <v>288</v>
      </c>
      <c r="AM277" s="2089"/>
      <c r="AN277" s="2090"/>
      <c r="AO277" s="1534" t="s">
        <v>29</v>
      </c>
      <c r="AP277" s="1519" t="s">
        <v>30</v>
      </c>
      <c r="AQ277" s="1519" t="s">
        <v>31</v>
      </c>
      <c r="AR277" s="1519" t="s">
        <v>4</v>
      </c>
      <c r="AS277" s="1576" t="s">
        <v>30</v>
      </c>
      <c r="AT277" s="1574" t="s">
        <v>31</v>
      </c>
      <c r="AU277" s="1574" t="s">
        <v>30</v>
      </c>
      <c r="AV277" s="1574" t="s">
        <v>31</v>
      </c>
      <c r="AW277" s="1577" t="s">
        <v>4</v>
      </c>
      <c r="AX277" s="1534" t="s">
        <v>32</v>
      </c>
      <c r="AY277" s="2043"/>
      <c r="AZ277" s="2046"/>
      <c r="BA277" s="2046"/>
      <c r="BB277" s="2046"/>
      <c r="BC277" s="1540" t="s">
        <v>33</v>
      </c>
      <c r="BD277" s="2073" t="s">
        <v>42</v>
      </c>
      <c r="BE277" s="2075" t="s">
        <v>43</v>
      </c>
      <c r="BG277" s="1573"/>
      <c r="BH277" s="1578"/>
      <c r="BI277" s="1578"/>
      <c r="BJ277" s="1555"/>
      <c r="BK277" s="1561"/>
      <c r="BL277" s="1561"/>
      <c r="BM277" s="1561"/>
      <c r="BN277" s="1555"/>
      <c r="BO277" s="1555"/>
    </row>
    <row r="278" spans="1:76" s="1523" customFormat="1" ht="21" customHeight="1" thickBot="1">
      <c r="A278" s="2052"/>
      <c r="B278" s="2055"/>
      <c r="C278" s="2058"/>
      <c r="D278" s="1520"/>
      <c r="E278" s="1520"/>
      <c r="F278" s="1579" t="s">
        <v>34</v>
      </c>
      <c r="G278" s="1580" t="s">
        <v>34</v>
      </c>
      <c r="H278" s="1581" t="s">
        <v>8</v>
      </c>
      <c r="I278" s="1582" t="s">
        <v>34</v>
      </c>
      <c r="J278" s="1581" t="s">
        <v>8</v>
      </c>
      <c r="K278" s="1582" t="s">
        <v>34</v>
      </c>
      <c r="L278" s="1581" t="s">
        <v>8</v>
      </c>
      <c r="M278" s="1582" t="s">
        <v>34</v>
      </c>
      <c r="N278" s="1581" t="s">
        <v>8</v>
      </c>
      <c r="O278" s="1582" t="s">
        <v>34</v>
      </c>
      <c r="P278" s="1581" t="s">
        <v>8</v>
      </c>
      <c r="Q278" s="1582" t="s">
        <v>34</v>
      </c>
      <c r="R278" s="1581" t="s">
        <v>8</v>
      </c>
      <c r="S278" s="1582" t="s">
        <v>34</v>
      </c>
      <c r="T278" s="1581" t="s">
        <v>8</v>
      </c>
      <c r="U278" s="1582" t="s">
        <v>34</v>
      </c>
      <c r="V278" s="2058"/>
      <c r="W278" s="1581" t="s">
        <v>26</v>
      </c>
      <c r="X278" s="1581" t="s">
        <v>34</v>
      </c>
      <c r="Y278" s="1581" t="s">
        <v>26</v>
      </c>
      <c r="Z278" s="1581" t="s">
        <v>26</v>
      </c>
      <c r="AA278" s="1581" t="s">
        <v>34</v>
      </c>
      <c r="AB278" s="1581" t="s">
        <v>26</v>
      </c>
      <c r="AC278" s="1581" t="s">
        <v>35</v>
      </c>
      <c r="AD278" s="1581" t="s">
        <v>34</v>
      </c>
      <c r="AE278" s="1581" t="s">
        <v>34</v>
      </c>
      <c r="AF278" s="1582" t="s">
        <v>34</v>
      </c>
      <c r="AG278" s="1582" t="s">
        <v>34</v>
      </c>
      <c r="AH278" s="1582" t="s">
        <v>34</v>
      </c>
      <c r="AI278" s="1582" t="s">
        <v>34</v>
      </c>
      <c r="AJ278" s="1582" t="s">
        <v>34</v>
      </c>
      <c r="AK278" s="1582" t="s">
        <v>34</v>
      </c>
      <c r="AL278" s="1582" t="s">
        <v>34</v>
      </c>
      <c r="AM278" s="1582" t="s">
        <v>34</v>
      </c>
      <c r="AN278" s="1581" t="s">
        <v>34</v>
      </c>
      <c r="AO278" s="1582" t="s">
        <v>34</v>
      </c>
      <c r="AP278" s="1582" t="s">
        <v>34</v>
      </c>
      <c r="AQ278" s="1582" t="s">
        <v>34</v>
      </c>
      <c r="AR278" s="1582" t="s">
        <v>34</v>
      </c>
      <c r="AS278" s="1581" t="s">
        <v>58</v>
      </c>
      <c r="AT278" s="1582" t="s">
        <v>34</v>
      </c>
      <c r="AU278" s="1582" t="s">
        <v>59</v>
      </c>
      <c r="AV278" s="1582" t="s">
        <v>34</v>
      </c>
      <c r="AW278" s="1583" t="s">
        <v>34</v>
      </c>
      <c r="AX278" s="1537"/>
      <c r="AY278" s="2044"/>
      <c r="AZ278" s="2047"/>
      <c r="BA278" s="2047"/>
      <c r="BB278" s="2047"/>
      <c r="BC278" s="1541" t="s">
        <v>34</v>
      </c>
      <c r="BD278" s="2074"/>
      <c r="BE278" s="2076"/>
      <c r="BG278" s="1555" t="s">
        <v>353</v>
      </c>
      <c r="BH278" s="1578" t="s">
        <v>43</v>
      </c>
      <c r="BI278" s="1578" t="s">
        <v>42</v>
      </c>
      <c r="BJ278" s="1555" t="s">
        <v>354</v>
      </c>
      <c r="BK278" s="1561" t="s">
        <v>358</v>
      </c>
      <c r="BL278" s="1561"/>
      <c r="BM278" s="1561" t="s">
        <v>625</v>
      </c>
      <c r="BN278" s="1555" t="s">
        <v>626</v>
      </c>
      <c r="BO278" s="1555" t="s">
        <v>627</v>
      </c>
      <c r="BQ278" s="1523" t="s">
        <v>685</v>
      </c>
    </row>
    <row r="279" spans="1:76" s="1523" customFormat="1" ht="102" customHeight="1" thickBot="1">
      <c r="A279" s="1584" t="s">
        <v>96</v>
      </c>
      <c r="B279" s="1496" t="s">
        <v>36</v>
      </c>
      <c r="C279" s="1585" t="s">
        <v>422</v>
      </c>
      <c r="D279" s="1586" t="s">
        <v>378</v>
      </c>
      <c r="E279" s="1489">
        <f>'HK UP KEEP, OP '!AH37</f>
        <v>3</v>
      </c>
      <c r="F279" s="1490">
        <v>129220</v>
      </c>
      <c r="G279" s="1490">
        <f t="shared" si="0"/>
        <v>387660</v>
      </c>
      <c r="H279" s="1489">
        <f>'HK UP KEEP, OP '!AI37</f>
        <v>0</v>
      </c>
      <c r="I279" s="1489">
        <f t="shared" si="1"/>
        <v>0</v>
      </c>
      <c r="J279" s="1489">
        <f>'HK UP KEEP, OP '!AJ37</f>
        <v>0</v>
      </c>
      <c r="K279" s="1489">
        <f t="shared" si="2"/>
        <v>0</v>
      </c>
      <c r="L279" s="1489">
        <f>'HK UP KEEP, OP '!AK37</f>
        <v>0</v>
      </c>
      <c r="M279" s="1489">
        <f t="shared" si="3"/>
        <v>0</v>
      </c>
      <c r="N279" s="1489">
        <f>'HK UP KEEP, OP '!AL37</f>
        <v>1</v>
      </c>
      <c r="O279" s="1489">
        <f t="shared" si="4"/>
        <v>129220</v>
      </c>
      <c r="P279" s="1489">
        <f>'HK UP KEEP, OP '!AM37</f>
        <v>1</v>
      </c>
      <c r="Q279" s="1489">
        <f t="shared" si="5"/>
        <v>129220</v>
      </c>
      <c r="R279" s="1489">
        <f>'HK UP KEEP, OP '!AN37</f>
        <v>0</v>
      </c>
      <c r="S279" s="1489">
        <f t="shared" si="6"/>
        <v>0</v>
      </c>
      <c r="T279" s="1489">
        <f>'HK UP KEEP, OP '!AO37+'HK UP KEEP, OP '!AP37+'HK UP KEEP, OP '!AQ37</f>
        <v>0</v>
      </c>
      <c r="U279" s="1489">
        <f t="shared" si="7"/>
        <v>0</v>
      </c>
      <c r="V279" s="1489">
        <f t="shared" si="8"/>
        <v>5</v>
      </c>
      <c r="W279" s="1489">
        <v>3700</v>
      </c>
      <c r="X279" s="1489">
        <f t="shared" si="9"/>
        <v>18500</v>
      </c>
      <c r="Y279" s="1489"/>
      <c r="Z279" s="1489"/>
      <c r="AA279" s="1489">
        <f t="shared" si="27"/>
        <v>0</v>
      </c>
      <c r="AB279" s="1489">
        <v>2500</v>
      </c>
      <c r="AC279" s="1489">
        <f>'MASA KERJA AB'!H38</f>
        <v>3</v>
      </c>
      <c r="AD279" s="1492">
        <f>'MASA KERJA AB'!I38</f>
        <v>7500</v>
      </c>
      <c r="AE279" s="1491"/>
      <c r="AF279" s="1489"/>
      <c r="AG279" s="1489"/>
      <c r="AH279" s="1489"/>
      <c r="AI279" s="1489"/>
      <c r="AJ279" s="1489"/>
      <c r="AK279" s="1493"/>
      <c r="AL279" s="1489"/>
      <c r="AM279" s="1489"/>
      <c r="AN279" s="1489"/>
      <c r="AO279" s="1494">
        <f t="shared" si="10"/>
        <v>672100</v>
      </c>
      <c r="AP279" s="1489">
        <f t="shared" si="20"/>
        <v>77532</v>
      </c>
      <c r="AQ279" s="1489">
        <f t="shared" si="21"/>
        <v>175997.64</v>
      </c>
      <c r="AR279" s="1489">
        <f t="shared" si="28"/>
        <v>253529.64</v>
      </c>
      <c r="AS279" s="1489">
        <f t="shared" si="22"/>
        <v>38841</v>
      </c>
      <c r="AT279" s="1489">
        <f t="shared" si="23"/>
        <v>155364</v>
      </c>
      <c r="AU279" s="1489">
        <f t="shared" si="24"/>
        <v>38766</v>
      </c>
      <c r="AV279" s="1489">
        <f t="shared" si="25"/>
        <v>77532</v>
      </c>
      <c r="AW279" s="1489">
        <f t="shared" si="29"/>
        <v>310503</v>
      </c>
      <c r="AX279" s="1492">
        <v>4000</v>
      </c>
      <c r="AY279" s="1491">
        <v>0</v>
      </c>
      <c r="AZ279" s="1489">
        <f t="shared" si="13"/>
        <v>0</v>
      </c>
      <c r="BA279" s="1489"/>
      <c r="BB279" s="1489"/>
      <c r="BC279" s="1489">
        <f t="shared" si="14"/>
        <v>512961</v>
      </c>
      <c r="BD279" s="1495">
        <f>'HK UP KEEP, OP '!AS37</f>
        <v>0</v>
      </c>
      <c r="BE279" s="1488">
        <f>'HK UP KEEP, OP '!AT37</f>
        <v>0</v>
      </c>
      <c r="BF279" s="1518"/>
      <c r="BG279" s="1551">
        <f t="shared" si="15"/>
        <v>646100</v>
      </c>
      <c r="BH279" s="1552">
        <f t="shared" si="16"/>
        <v>0</v>
      </c>
      <c r="BI279" s="1552">
        <f t="shared" si="17"/>
        <v>0</v>
      </c>
      <c r="BJ279" s="1551">
        <f t="shared" si="18"/>
        <v>0</v>
      </c>
      <c r="BK279" s="1553">
        <f t="shared" si="26"/>
        <v>646100</v>
      </c>
      <c r="BL279" s="1553"/>
      <c r="BM279" s="1553">
        <f t="shared" si="30"/>
        <v>26000</v>
      </c>
      <c r="BN279" s="1551">
        <v>30575.999999999996</v>
      </c>
      <c r="BO279" s="1551">
        <f t="shared" si="19"/>
        <v>564032.64</v>
      </c>
      <c r="BP279" s="1518"/>
      <c r="BQ279" s="1518"/>
      <c r="BR279" s="1518"/>
      <c r="BU279" s="1518"/>
      <c r="BV279" s="1518"/>
      <c r="BW279" s="1518"/>
      <c r="BX279" s="1518"/>
    </row>
    <row r="280" spans="1:76" ht="23.25" customHeight="1">
      <c r="A280" s="2048" t="s">
        <v>0</v>
      </c>
      <c r="B280" s="2048"/>
      <c r="C280" s="2048"/>
      <c r="D280" s="2048"/>
      <c r="E280" s="2048"/>
      <c r="F280" s="2048"/>
      <c r="G280" s="2048"/>
      <c r="H280" s="2048"/>
      <c r="I280" s="2048"/>
      <c r="J280" s="2048"/>
      <c r="K280" s="2048"/>
      <c r="L280" s="2048"/>
      <c r="M280" s="2048"/>
      <c r="N280" s="2048"/>
      <c r="O280" s="2048"/>
      <c r="P280" s="2048"/>
      <c r="Q280" s="2048"/>
      <c r="R280" s="2048"/>
      <c r="S280" s="2048"/>
      <c r="T280" s="2048"/>
      <c r="U280" s="2048"/>
      <c r="V280" s="2048"/>
      <c r="W280" s="2048"/>
      <c r="X280" s="2048"/>
      <c r="Y280" s="2048"/>
      <c r="Z280" s="2048"/>
      <c r="AA280" s="2048"/>
      <c r="AB280" s="2048"/>
      <c r="AC280" s="2048"/>
      <c r="AD280" s="2048"/>
      <c r="AE280" s="2048"/>
      <c r="AF280" s="2048"/>
      <c r="AG280" s="2048"/>
      <c r="AH280" s="2048"/>
      <c r="AI280" s="2048"/>
      <c r="AJ280" s="2048"/>
      <c r="AK280" s="2048"/>
      <c r="AL280" s="2048"/>
      <c r="AM280" s="2048"/>
      <c r="AN280" s="2048"/>
      <c r="AO280" s="2048"/>
      <c r="AP280" s="2048"/>
      <c r="AQ280" s="2048"/>
      <c r="AR280" s="2048"/>
      <c r="AS280" s="2048"/>
      <c r="AT280" s="2048"/>
      <c r="AU280" s="2048"/>
      <c r="AV280" s="2048"/>
      <c r="AW280" s="2048"/>
      <c r="AX280" s="2048"/>
      <c r="AY280" s="2048"/>
      <c r="AZ280" s="2048"/>
      <c r="BA280" s="2048"/>
      <c r="BB280" s="2048"/>
      <c r="BC280" s="2048"/>
      <c r="BD280" s="2048"/>
      <c r="BE280" s="2048"/>
    </row>
    <row r="281" spans="1:76" ht="26.25" customHeight="1">
      <c r="A281" s="2049" t="s">
        <v>1033</v>
      </c>
      <c r="B281" s="2049"/>
      <c r="C281" s="2049"/>
      <c r="D281" s="2049"/>
      <c r="E281" s="2049"/>
      <c r="F281" s="2049"/>
      <c r="G281" s="2049"/>
      <c r="H281" s="2049"/>
      <c r="I281" s="2049"/>
      <c r="J281" s="2049"/>
      <c r="K281" s="2049"/>
      <c r="L281" s="2049"/>
      <c r="M281" s="2049"/>
      <c r="N281" s="2049"/>
      <c r="O281" s="2049"/>
      <c r="P281" s="2049"/>
      <c r="Q281" s="2049"/>
      <c r="R281" s="2049"/>
      <c r="S281" s="2049"/>
      <c r="T281" s="2049"/>
      <c r="U281" s="2049"/>
      <c r="V281" s="2049"/>
      <c r="W281" s="2049"/>
      <c r="X281" s="2049"/>
      <c r="Y281" s="2049"/>
      <c r="Z281" s="2049"/>
      <c r="AA281" s="2049"/>
      <c r="AB281" s="2049"/>
      <c r="AC281" s="2049"/>
      <c r="AD281" s="2049"/>
      <c r="AE281" s="2049"/>
      <c r="AF281" s="2049"/>
      <c r="AG281" s="2049"/>
      <c r="AH281" s="2049"/>
      <c r="AI281" s="2049"/>
      <c r="AJ281" s="2049"/>
      <c r="AK281" s="2049"/>
      <c r="AL281" s="2049"/>
      <c r="AM281" s="2049"/>
      <c r="AN281" s="2049"/>
      <c r="AO281" s="2049"/>
      <c r="AP281" s="2049"/>
      <c r="AQ281" s="2049"/>
      <c r="AR281" s="2049"/>
      <c r="AS281" s="2049"/>
      <c r="AT281" s="2049"/>
      <c r="AU281" s="2049"/>
      <c r="AV281" s="2049"/>
      <c r="AW281" s="2049"/>
      <c r="AX281" s="2049"/>
      <c r="AY281" s="2049"/>
      <c r="AZ281" s="2049"/>
      <c r="BA281" s="2049"/>
      <c r="BB281" s="2049"/>
      <c r="BC281" s="2049"/>
      <c r="BD281" s="2049"/>
      <c r="BE281" s="2049"/>
    </row>
    <row r="282" spans="1:76" s="1523" customFormat="1" ht="18.75" customHeight="1">
      <c r="C282" s="1554"/>
      <c r="D282" s="1523" t="s">
        <v>964</v>
      </c>
      <c r="F282" s="1555"/>
      <c r="G282" s="1555"/>
      <c r="X282" s="1556"/>
      <c r="AE282" s="1532"/>
      <c r="AK282" s="1557"/>
      <c r="AP282" s="1558">
        <v>3876600</v>
      </c>
      <c r="AQ282" s="1559">
        <f>AP282/30</f>
        <v>129220</v>
      </c>
      <c r="AR282" s="1559">
        <f>AP282/173*1.5</f>
        <v>33612.138728323698</v>
      </c>
      <c r="AS282" s="1559">
        <f>AP282/173*2</f>
        <v>44816.184971098264</v>
      </c>
      <c r="AW282" s="1532" t="s">
        <v>55</v>
      </c>
      <c r="AX282" s="1523" t="s">
        <v>152</v>
      </c>
      <c r="BC282" s="1531"/>
      <c r="BE282" s="1532"/>
      <c r="BG282" s="1555"/>
      <c r="BH282" s="1560"/>
      <c r="BI282" s="1560"/>
      <c r="BJ282" s="1555"/>
      <c r="BK282" s="1561"/>
      <c r="BL282" s="1561"/>
      <c r="BM282" s="1561"/>
      <c r="BN282" s="1555"/>
      <c r="BO282" s="1555"/>
    </row>
    <row r="283" spans="1:76" ht="15" customHeight="1" thickBot="1">
      <c r="A283" s="1547"/>
      <c r="D283" s="1563"/>
      <c r="E283" s="1563"/>
      <c r="F283" s="1564"/>
      <c r="G283" s="1564"/>
      <c r="H283" s="1563"/>
      <c r="I283" s="1563"/>
      <c r="J283" s="1563"/>
      <c r="K283" s="1563"/>
      <c r="L283" s="1563"/>
      <c r="M283" s="1563"/>
      <c r="N283" s="1563"/>
      <c r="O283" s="1563"/>
      <c r="Q283" s="1563"/>
      <c r="R283" s="1563"/>
      <c r="S283" s="1563"/>
      <c r="T283" s="1563"/>
      <c r="U283" s="1563"/>
      <c r="V283" s="1563"/>
      <c r="W283" s="1563"/>
      <c r="X283" s="1563"/>
      <c r="Y283" s="1563"/>
      <c r="Z283" s="1563"/>
      <c r="AA283" s="1563"/>
      <c r="AB283" s="1563"/>
      <c r="AC283" s="1563"/>
      <c r="AD283" s="1547"/>
      <c r="AE283" s="1563"/>
      <c r="AF283" s="1563"/>
      <c r="AG283" s="1563"/>
      <c r="AH283" s="1563"/>
      <c r="AI283" s="1563"/>
      <c r="AJ283" s="1563"/>
      <c r="AK283" s="1565"/>
      <c r="AL283" s="1563"/>
      <c r="AM283" s="1563"/>
      <c r="AO283" s="1563"/>
      <c r="AP283" s="1558">
        <v>3876600</v>
      </c>
      <c r="AQ283" s="1566">
        <f>AP283/30</f>
        <v>129220</v>
      </c>
      <c r="AR283" s="1567"/>
      <c r="AS283" s="1568">
        <f>AP283+24000</f>
        <v>3900600</v>
      </c>
    </row>
    <row r="284" spans="1:76" s="1523" customFormat="1" ht="15.75" customHeight="1">
      <c r="A284" s="2050" t="s">
        <v>5</v>
      </c>
      <c r="B284" s="2053" t="s">
        <v>6</v>
      </c>
      <c r="C284" s="2056" t="s">
        <v>52</v>
      </c>
      <c r="D284" s="1569"/>
      <c r="E284" s="1569"/>
      <c r="F284" s="1570"/>
      <c r="G284" s="1570"/>
      <c r="H284" s="2059" t="s">
        <v>2</v>
      </c>
      <c r="I284" s="2060"/>
      <c r="J284" s="2060"/>
      <c r="K284" s="2060"/>
      <c r="L284" s="2060"/>
      <c r="M284" s="2060"/>
      <c r="N284" s="2060"/>
      <c r="O284" s="2060"/>
      <c r="P284" s="2060"/>
      <c r="Q284" s="2060"/>
      <c r="R284" s="2060"/>
      <c r="S284" s="2060"/>
      <c r="T284" s="2060"/>
      <c r="U284" s="2061"/>
      <c r="V284" s="2056" t="s">
        <v>286</v>
      </c>
      <c r="W284" s="2059" t="s">
        <v>3</v>
      </c>
      <c r="X284" s="2060"/>
      <c r="Y284" s="2060"/>
      <c r="Z284" s="2060"/>
      <c r="AA284" s="2060"/>
      <c r="AB284" s="2060"/>
      <c r="AC284" s="2060"/>
      <c r="AD284" s="2061"/>
      <c r="AE284" s="2042" t="s">
        <v>45</v>
      </c>
      <c r="AF284" s="2063" t="s">
        <v>46</v>
      </c>
      <c r="AG284" s="2064"/>
      <c r="AH284" s="2064"/>
      <c r="AI284" s="2064"/>
      <c r="AJ284" s="2064"/>
      <c r="AK284" s="2064"/>
      <c r="AL284" s="2065"/>
      <c r="AM284" s="2045" t="s">
        <v>98</v>
      </c>
      <c r="AN284" s="2056" t="s">
        <v>44</v>
      </c>
      <c r="AO284" s="1533" t="s">
        <v>4</v>
      </c>
      <c r="AP284" s="2036" t="s">
        <v>20</v>
      </c>
      <c r="AQ284" s="2037"/>
      <c r="AR284" s="2038"/>
      <c r="AS284" s="2036" t="s">
        <v>54</v>
      </c>
      <c r="AT284" s="2037"/>
      <c r="AU284" s="2037"/>
      <c r="AV284" s="2037"/>
      <c r="AW284" s="2037"/>
      <c r="AX284" s="1571"/>
      <c r="AY284" s="2042" t="s">
        <v>89</v>
      </c>
      <c r="AZ284" s="2045" t="s">
        <v>97</v>
      </c>
      <c r="BA284" s="2045" t="s">
        <v>719</v>
      </c>
      <c r="BB284" s="2045" t="s">
        <v>210</v>
      </c>
      <c r="BC284" s="1539" t="s">
        <v>4</v>
      </c>
      <c r="BD284" s="2063" t="s">
        <v>41</v>
      </c>
      <c r="BE284" s="2084"/>
      <c r="BG284" s="1555"/>
      <c r="BH284" s="1560"/>
      <c r="BI284" s="1560"/>
      <c r="BJ284" s="1555"/>
      <c r="BK284" s="1561"/>
      <c r="BL284" s="1561"/>
      <c r="BM284" s="1561"/>
      <c r="BN284" s="1555"/>
      <c r="BO284" s="1555"/>
    </row>
    <row r="285" spans="1:76" s="1523" customFormat="1" ht="25.5" customHeight="1">
      <c r="A285" s="2051"/>
      <c r="B285" s="2054"/>
      <c r="C285" s="2057"/>
      <c r="D285" s="1519" t="s">
        <v>7</v>
      </c>
      <c r="E285" s="1519" t="s">
        <v>8</v>
      </c>
      <c r="F285" s="1572" t="s">
        <v>9</v>
      </c>
      <c r="G285" s="1572" t="s">
        <v>9</v>
      </c>
      <c r="H285" s="2071" t="s">
        <v>10</v>
      </c>
      <c r="I285" s="2072"/>
      <c r="J285" s="2071" t="s">
        <v>11</v>
      </c>
      <c r="K285" s="2072"/>
      <c r="L285" s="2071" t="s">
        <v>12</v>
      </c>
      <c r="M285" s="2072"/>
      <c r="N285" s="2071" t="s">
        <v>13</v>
      </c>
      <c r="O285" s="2072"/>
      <c r="P285" s="2071" t="s">
        <v>14</v>
      </c>
      <c r="Q285" s="2072"/>
      <c r="R285" s="2087" t="s">
        <v>15</v>
      </c>
      <c r="S285" s="2088"/>
      <c r="T285" s="2071" t="s">
        <v>16</v>
      </c>
      <c r="U285" s="2072"/>
      <c r="V285" s="2057"/>
      <c r="W285" s="2071" t="s">
        <v>17</v>
      </c>
      <c r="X285" s="2072"/>
      <c r="Y285" s="2071" t="s">
        <v>18</v>
      </c>
      <c r="Z285" s="2081"/>
      <c r="AA285" s="2072"/>
      <c r="AB285" s="2071" t="s">
        <v>19</v>
      </c>
      <c r="AC285" s="2081"/>
      <c r="AD285" s="2072"/>
      <c r="AE285" s="2043"/>
      <c r="AF285" s="2066"/>
      <c r="AG285" s="2067"/>
      <c r="AH285" s="2067"/>
      <c r="AI285" s="2067"/>
      <c r="AJ285" s="2067"/>
      <c r="AK285" s="2067"/>
      <c r="AL285" s="2068"/>
      <c r="AM285" s="2046"/>
      <c r="AN285" s="2057"/>
      <c r="AO285" s="1534" t="s">
        <v>9</v>
      </c>
      <c r="AP285" s="2039"/>
      <c r="AQ285" s="2040"/>
      <c r="AR285" s="2041"/>
      <c r="AS285" s="2039"/>
      <c r="AT285" s="2040"/>
      <c r="AU285" s="2040"/>
      <c r="AV285" s="2040"/>
      <c r="AW285" s="2040"/>
      <c r="AX285" s="1534" t="s">
        <v>21</v>
      </c>
      <c r="AY285" s="2043"/>
      <c r="AZ285" s="2046"/>
      <c r="BA285" s="2046"/>
      <c r="BB285" s="2046"/>
      <c r="BC285" s="1540" t="s">
        <v>9</v>
      </c>
      <c r="BD285" s="2085"/>
      <c r="BE285" s="2086"/>
      <c r="BG285" s="1573"/>
      <c r="BH285" s="1573"/>
      <c r="BI285" s="1573"/>
      <c r="BJ285" s="1555"/>
      <c r="BK285" s="1561"/>
      <c r="BL285" s="1561"/>
      <c r="BM285" s="1561"/>
      <c r="BN285" s="1555"/>
      <c r="BO285" s="1555"/>
    </row>
    <row r="286" spans="1:76" s="1523" customFormat="1" ht="63" customHeight="1">
      <c r="A286" s="2051"/>
      <c r="B286" s="2054"/>
      <c r="C286" s="2057"/>
      <c r="D286" s="1519" t="s">
        <v>22</v>
      </c>
      <c r="E286" s="1519" t="s">
        <v>23</v>
      </c>
      <c r="F286" s="1572" t="s">
        <v>24</v>
      </c>
      <c r="G286" s="1572" t="s">
        <v>25</v>
      </c>
      <c r="H286" s="2069" t="s">
        <v>4</v>
      </c>
      <c r="I286" s="2070"/>
      <c r="J286" s="2069" t="s">
        <v>4</v>
      </c>
      <c r="K286" s="2070"/>
      <c r="L286" s="2069" t="s">
        <v>4</v>
      </c>
      <c r="M286" s="2070"/>
      <c r="N286" s="2069" t="s">
        <v>4</v>
      </c>
      <c r="O286" s="2070"/>
      <c r="P286" s="2069" t="s">
        <v>4</v>
      </c>
      <c r="Q286" s="2070"/>
      <c r="R286" s="2082" t="s">
        <v>4</v>
      </c>
      <c r="S286" s="2083"/>
      <c r="T286" s="2069" t="s">
        <v>4</v>
      </c>
      <c r="U286" s="2070"/>
      <c r="V286" s="2057"/>
      <c r="W286" s="1534" t="s">
        <v>27</v>
      </c>
      <c r="X286" s="1574" t="s">
        <v>28</v>
      </c>
      <c r="Y286" s="1534" t="s">
        <v>27</v>
      </c>
      <c r="Z286" s="2069" t="s">
        <v>4</v>
      </c>
      <c r="AA286" s="2070"/>
      <c r="AB286" s="1534" t="s">
        <v>27</v>
      </c>
      <c r="AC286" s="2071" t="s">
        <v>4</v>
      </c>
      <c r="AD286" s="2072"/>
      <c r="AE286" s="2062"/>
      <c r="AF286" s="1575" t="s">
        <v>56</v>
      </c>
      <c r="AG286" s="1575" t="s">
        <v>57</v>
      </c>
      <c r="AH286" s="1575" t="s">
        <v>60</v>
      </c>
      <c r="AI286" s="1575" t="s">
        <v>202</v>
      </c>
      <c r="AJ286" s="1575" t="s">
        <v>218</v>
      </c>
      <c r="AK286" s="1575" t="s">
        <v>572</v>
      </c>
      <c r="AL286" s="1575" t="s">
        <v>288</v>
      </c>
      <c r="AM286" s="2089"/>
      <c r="AN286" s="2090"/>
      <c r="AO286" s="1534" t="s">
        <v>29</v>
      </c>
      <c r="AP286" s="1519" t="s">
        <v>30</v>
      </c>
      <c r="AQ286" s="1519" t="s">
        <v>31</v>
      </c>
      <c r="AR286" s="1519" t="s">
        <v>4</v>
      </c>
      <c r="AS286" s="1576" t="s">
        <v>30</v>
      </c>
      <c r="AT286" s="1574" t="s">
        <v>31</v>
      </c>
      <c r="AU286" s="1574" t="s">
        <v>30</v>
      </c>
      <c r="AV286" s="1574" t="s">
        <v>31</v>
      </c>
      <c r="AW286" s="1577" t="s">
        <v>4</v>
      </c>
      <c r="AX286" s="1534" t="s">
        <v>32</v>
      </c>
      <c r="AY286" s="2043"/>
      <c r="AZ286" s="2046"/>
      <c r="BA286" s="2046"/>
      <c r="BB286" s="2046"/>
      <c r="BC286" s="1540" t="s">
        <v>33</v>
      </c>
      <c r="BD286" s="2073" t="s">
        <v>42</v>
      </c>
      <c r="BE286" s="2075" t="s">
        <v>43</v>
      </c>
      <c r="BG286" s="1573"/>
      <c r="BH286" s="1578"/>
      <c r="BI286" s="1578"/>
      <c r="BJ286" s="1555"/>
      <c r="BK286" s="1561"/>
      <c r="BL286" s="1561"/>
      <c r="BM286" s="1561"/>
      <c r="BN286" s="1555"/>
      <c r="BO286" s="1555"/>
    </row>
    <row r="287" spans="1:76" s="1523" customFormat="1" ht="21" customHeight="1" thickBot="1">
      <c r="A287" s="2052"/>
      <c r="B287" s="2055"/>
      <c r="C287" s="2058"/>
      <c r="D287" s="1520"/>
      <c r="E287" s="1520"/>
      <c r="F287" s="1579" t="s">
        <v>34</v>
      </c>
      <c r="G287" s="1580" t="s">
        <v>34</v>
      </c>
      <c r="H287" s="1581" t="s">
        <v>8</v>
      </c>
      <c r="I287" s="1582" t="s">
        <v>34</v>
      </c>
      <c r="J287" s="1581" t="s">
        <v>8</v>
      </c>
      <c r="K287" s="1582" t="s">
        <v>34</v>
      </c>
      <c r="L287" s="1581" t="s">
        <v>8</v>
      </c>
      <c r="M287" s="1582" t="s">
        <v>34</v>
      </c>
      <c r="N287" s="1581" t="s">
        <v>8</v>
      </c>
      <c r="O287" s="1582" t="s">
        <v>34</v>
      </c>
      <c r="P287" s="1581" t="s">
        <v>8</v>
      </c>
      <c r="Q287" s="1582" t="s">
        <v>34</v>
      </c>
      <c r="R287" s="1581" t="s">
        <v>8</v>
      </c>
      <c r="S287" s="1582" t="s">
        <v>34</v>
      </c>
      <c r="T287" s="1581" t="s">
        <v>8</v>
      </c>
      <c r="U287" s="1582" t="s">
        <v>34</v>
      </c>
      <c r="V287" s="2058"/>
      <c r="W287" s="1581" t="s">
        <v>26</v>
      </c>
      <c r="X287" s="1581" t="s">
        <v>34</v>
      </c>
      <c r="Y287" s="1581" t="s">
        <v>26</v>
      </c>
      <c r="Z287" s="1581" t="s">
        <v>26</v>
      </c>
      <c r="AA287" s="1581" t="s">
        <v>34</v>
      </c>
      <c r="AB287" s="1581" t="s">
        <v>26</v>
      </c>
      <c r="AC287" s="1581" t="s">
        <v>35</v>
      </c>
      <c r="AD287" s="1581" t="s">
        <v>34</v>
      </c>
      <c r="AE287" s="1581" t="s">
        <v>34</v>
      </c>
      <c r="AF287" s="1582" t="s">
        <v>34</v>
      </c>
      <c r="AG287" s="1582" t="s">
        <v>34</v>
      </c>
      <c r="AH287" s="1582" t="s">
        <v>34</v>
      </c>
      <c r="AI287" s="1582" t="s">
        <v>34</v>
      </c>
      <c r="AJ287" s="1582" t="s">
        <v>34</v>
      </c>
      <c r="AK287" s="1582" t="s">
        <v>34</v>
      </c>
      <c r="AL287" s="1582" t="s">
        <v>34</v>
      </c>
      <c r="AM287" s="1582" t="s">
        <v>34</v>
      </c>
      <c r="AN287" s="1581" t="s">
        <v>34</v>
      </c>
      <c r="AO287" s="1582" t="s">
        <v>34</v>
      </c>
      <c r="AP287" s="1582" t="s">
        <v>34</v>
      </c>
      <c r="AQ287" s="1582" t="s">
        <v>34</v>
      </c>
      <c r="AR287" s="1582" t="s">
        <v>34</v>
      </c>
      <c r="AS287" s="1581" t="s">
        <v>58</v>
      </c>
      <c r="AT287" s="1582" t="s">
        <v>34</v>
      </c>
      <c r="AU287" s="1582" t="s">
        <v>59</v>
      </c>
      <c r="AV287" s="1582" t="s">
        <v>34</v>
      </c>
      <c r="AW287" s="1583" t="s">
        <v>34</v>
      </c>
      <c r="AX287" s="1537"/>
      <c r="AY287" s="2044"/>
      <c r="AZ287" s="2047"/>
      <c r="BA287" s="2047"/>
      <c r="BB287" s="2047"/>
      <c r="BC287" s="1541" t="s">
        <v>34</v>
      </c>
      <c r="BD287" s="2074"/>
      <c r="BE287" s="2076"/>
      <c r="BG287" s="1555" t="s">
        <v>353</v>
      </c>
      <c r="BH287" s="1578" t="s">
        <v>43</v>
      </c>
      <c r="BI287" s="1578" t="s">
        <v>42</v>
      </c>
      <c r="BJ287" s="1555" t="s">
        <v>354</v>
      </c>
      <c r="BK287" s="1561" t="s">
        <v>358</v>
      </c>
      <c r="BL287" s="1561"/>
      <c r="BM287" s="1561" t="s">
        <v>625</v>
      </c>
      <c r="BN287" s="1555" t="s">
        <v>626</v>
      </c>
      <c r="BO287" s="1555" t="s">
        <v>627</v>
      </c>
      <c r="BQ287" s="1523" t="s">
        <v>685</v>
      </c>
    </row>
    <row r="288" spans="1:76" s="1523" customFormat="1" ht="102" customHeight="1" thickBot="1">
      <c r="A288" s="1584" t="s">
        <v>364</v>
      </c>
      <c r="B288" s="1489" t="s">
        <v>36</v>
      </c>
      <c r="C288" s="1585" t="s">
        <v>446</v>
      </c>
      <c r="D288" s="1590" t="s">
        <v>444</v>
      </c>
      <c r="E288" s="1489">
        <f>'HK UP KEEP, OP '!AH38</f>
        <v>23</v>
      </c>
      <c r="F288" s="1490">
        <v>129220</v>
      </c>
      <c r="G288" s="1490">
        <f t="shared" si="0"/>
        <v>2972060</v>
      </c>
      <c r="H288" s="1489">
        <f>'HK UP KEEP, OP '!AI38</f>
        <v>1</v>
      </c>
      <c r="I288" s="1489">
        <f t="shared" si="1"/>
        <v>129220</v>
      </c>
      <c r="J288" s="1489">
        <f>'HK UP KEEP, OP '!AJ38</f>
        <v>0</v>
      </c>
      <c r="K288" s="1489">
        <f t="shared" si="2"/>
        <v>0</v>
      </c>
      <c r="L288" s="1489">
        <f>'HK UP KEEP, OP '!AK38</f>
        <v>0</v>
      </c>
      <c r="M288" s="1489">
        <f t="shared" si="3"/>
        <v>0</v>
      </c>
      <c r="N288" s="1489">
        <f>'HK UP KEEP, OP '!AL38</f>
        <v>4</v>
      </c>
      <c r="O288" s="1489">
        <f t="shared" si="4"/>
        <v>516880</v>
      </c>
      <c r="P288" s="1489">
        <f>'HK UP KEEP, OP '!AM38</f>
        <v>3</v>
      </c>
      <c r="Q288" s="1489">
        <f t="shared" si="5"/>
        <v>387660</v>
      </c>
      <c r="R288" s="1489">
        <f>'HK UP KEEP, OP '!AN38</f>
        <v>0</v>
      </c>
      <c r="S288" s="1489">
        <f t="shared" si="6"/>
        <v>0</v>
      </c>
      <c r="T288" s="1489">
        <f>'HK UP KEEP, OP '!AO38+'HK UP KEEP, OP '!AP38+'HK UP KEEP, OP '!AQ38</f>
        <v>0</v>
      </c>
      <c r="U288" s="1489">
        <f t="shared" si="7"/>
        <v>0</v>
      </c>
      <c r="V288" s="1489">
        <f t="shared" si="8"/>
        <v>31</v>
      </c>
      <c r="W288" s="1491">
        <v>5550</v>
      </c>
      <c r="X288" s="1491">
        <f t="shared" si="9"/>
        <v>172050</v>
      </c>
      <c r="Y288" s="1491"/>
      <c r="Z288" s="1491"/>
      <c r="AA288" s="1491">
        <f t="shared" si="27"/>
        <v>0</v>
      </c>
      <c r="AB288" s="1489">
        <v>2500</v>
      </c>
      <c r="AC288" s="1489">
        <f>'MASA KERJA AB'!H39</f>
        <v>9</v>
      </c>
      <c r="AD288" s="1492">
        <f>'MASA KERJA AB'!I39</f>
        <v>24000</v>
      </c>
      <c r="AE288" s="1497"/>
      <c r="AF288" s="1514">
        <f>'MONITORING '!AK368</f>
        <v>78197</v>
      </c>
      <c r="AG288" s="1498">
        <f>'MONITORING '!AK369</f>
        <v>105000</v>
      </c>
      <c r="AH288" s="1499"/>
      <c r="AI288" s="1499"/>
      <c r="AJ288" s="1498"/>
      <c r="AK288" s="1515">
        <v>75000</v>
      </c>
      <c r="AL288" s="1491"/>
      <c r="AM288" s="1491"/>
      <c r="AN288" s="1491">
        <f>'MONITORING '!AK370</f>
        <v>0</v>
      </c>
      <c r="AO288" s="1494">
        <f t="shared" si="10"/>
        <v>4460067</v>
      </c>
      <c r="AP288" s="1489">
        <f t="shared" si="20"/>
        <v>77532</v>
      </c>
      <c r="AQ288" s="1489">
        <f t="shared" si="21"/>
        <v>175997.64</v>
      </c>
      <c r="AR288" s="1489">
        <f t="shared" si="28"/>
        <v>253529.64</v>
      </c>
      <c r="AS288" s="1489">
        <f t="shared" si="22"/>
        <v>39006</v>
      </c>
      <c r="AT288" s="1489">
        <f t="shared" si="23"/>
        <v>156024</v>
      </c>
      <c r="AU288" s="1489">
        <f t="shared" si="24"/>
        <v>38766</v>
      </c>
      <c r="AV288" s="1489">
        <f t="shared" si="25"/>
        <v>77532</v>
      </c>
      <c r="AW288" s="1489">
        <f t="shared" si="29"/>
        <v>311328</v>
      </c>
      <c r="AX288" s="1492">
        <v>4000</v>
      </c>
      <c r="AY288" s="1491">
        <v>0</v>
      </c>
      <c r="AZ288" s="1489">
        <f t="shared" si="13"/>
        <v>0</v>
      </c>
      <c r="BA288" s="1491"/>
      <c r="BB288" s="1491"/>
      <c r="BC288" s="1489">
        <f t="shared" si="14"/>
        <v>4300763</v>
      </c>
      <c r="BD288" s="1495">
        <f>'HK UP KEEP, OP '!AS38</f>
        <v>0</v>
      </c>
      <c r="BE288" s="1488">
        <f>'HK UP KEEP, OP '!AT38</f>
        <v>0</v>
      </c>
      <c r="BF288" s="1518"/>
      <c r="BG288" s="1551">
        <f t="shared" si="15"/>
        <v>4005820</v>
      </c>
      <c r="BH288" s="1552">
        <f t="shared" si="16"/>
        <v>0</v>
      </c>
      <c r="BI288" s="1552">
        <f t="shared" si="17"/>
        <v>0</v>
      </c>
      <c r="BJ288" s="1551">
        <f t="shared" si="18"/>
        <v>0</v>
      </c>
      <c r="BK288" s="1553">
        <f t="shared" si="26"/>
        <v>4005820</v>
      </c>
      <c r="BL288" s="1553"/>
      <c r="BM288" s="1553">
        <f t="shared" si="30"/>
        <v>454247</v>
      </c>
      <c r="BN288" s="1551">
        <v>30575.999999999996</v>
      </c>
      <c r="BO288" s="1551">
        <f t="shared" si="19"/>
        <v>564857.64</v>
      </c>
      <c r="BP288" s="1518"/>
      <c r="BQ288" s="1518"/>
      <c r="BR288" s="1518"/>
      <c r="BU288" s="1518"/>
      <c r="BV288" s="1518"/>
      <c r="BW288" s="1518"/>
      <c r="BX288" s="1518"/>
    </row>
    <row r="289" spans="1:76" ht="23.25" customHeight="1">
      <c r="A289" s="2048" t="s">
        <v>0</v>
      </c>
      <c r="B289" s="2048"/>
      <c r="C289" s="2048"/>
      <c r="D289" s="2048"/>
      <c r="E289" s="2048"/>
      <c r="F289" s="2048"/>
      <c r="G289" s="2048"/>
      <c r="H289" s="2048"/>
      <c r="I289" s="2048"/>
      <c r="J289" s="2048"/>
      <c r="K289" s="2048"/>
      <c r="L289" s="2048"/>
      <c r="M289" s="2048"/>
      <c r="N289" s="2048"/>
      <c r="O289" s="2048"/>
      <c r="P289" s="2048"/>
      <c r="Q289" s="2048"/>
      <c r="R289" s="2048"/>
      <c r="S289" s="2048"/>
      <c r="T289" s="2048"/>
      <c r="U289" s="2048"/>
      <c r="V289" s="2048"/>
      <c r="W289" s="2048"/>
      <c r="X289" s="2048"/>
      <c r="Y289" s="2048"/>
      <c r="Z289" s="2048"/>
      <c r="AA289" s="2048"/>
      <c r="AB289" s="2048"/>
      <c r="AC289" s="2048"/>
      <c r="AD289" s="2048"/>
      <c r="AE289" s="2048"/>
      <c r="AF289" s="2048"/>
      <c r="AG289" s="2048"/>
      <c r="AH289" s="2048"/>
      <c r="AI289" s="2048"/>
      <c r="AJ289" s="2048"/>
      <c r="AK289" s="2048"/>
      <c r="AL289" s="2048"/>
      <c r="AM289" s="2048"/>
      <c r="AN289" s="2048"/>
      <c r="AO289" s="2048"/>
      <c r="AP289" s="2048"/>
      <c r="AQ289" s="2048"/>
      <c r="AR289" s="2048"/>
      <c r="AS289" s="2048"/>
      <c r="AT289" s="2048"/>
      <c r="AU289" s="2048"/>
      <c r="AV289" s="2048"/>
      <c r="AW289" s="2048"/>
      <c r="AX289" s="2048"/>
      <c r="AY289" s="2048"/>
      <c r="AZ289" s="2048"/>
      <c r="BA289" s="2048"/>
      <c r="BB289" s="2048"/>
      <c r="BC289" s="2048"/>
      <c r="BD289" s="2048"/>
      <c r="BE289" s="2048"/>
    </row>
    <row r="290" spans="1:76" ht="26.25" customHeight="1">
      <c r="A290" s="2049" t="s">
        <v>1033</v>
      </c>
      <c r="B290" s="2049"/>
      <c r="C290" s="2049"/>
      <c r="D290" s="2049"/>
      <c r="E290" s="2049"/>
      <c r="F290" s="2049"/>
      <c r="G290" s="2049"/>
      <c r="H290" s="2049"/>
      <c r="I290" s="2049"/>
      <c r="J290" s="2049"/>
      <c r="K290" s="2049"/>
      <c r="L290" s="2049"/>
      <c r="M290" s="2049"/>
      <c r="N290" s="2049"/>
      <c r="O290" s="2049"/>
      <c r="P290" s="2049"/>
      <c r="Q290" s="2049"/>
      <c r="R290" s="2049"/>
      <c r="S290" s="2049"/>
      <c r="T290" s="2049"/>
      <c r="U290" s="2049"/>
      <c r="V290" s="2049"/>
      <c r="W290" s="2049"/>
      <c r="X290" s="2049"/>
      <c r="Y290" s="2049"/>
      <c r="Z290" s="2049"/>
      <c r="AA290" s="2049"/>
      <c r="AB290" s="2049"/>
      <c r="AC290" s="2049"/>
      <c r="AD290" s="2049"/>
      <c r="AE290" s="2049"/>
      <c r="AF290" s="2049"/>
      <c r="AG290" s="2049"/>
      <c r="AH290" s="2049"/>
      <c r="AI290" s="2049"/>
      <c r="AJ290" s="2049"/>
      <c r="AK290" s="2049"/>
      <c r="AL290" s="2049"/>
      <c r="AM290" s="2049"/>
      <c r="AN290" s="2049"/>
      <c r="AO290" s="2049"/>
      <c r="AP290" s="2049"/>
      <c r="AQ290" s="2049"/>
      <c r="AR290" s="2049"/>
      <c r="AS290" s="2049"/>
      <c r="AT290" s="2049"/>
      <c r="AU290" s="2049"/>
      <c r="AV290" s="2049"/>
      <c r="AW290" s="2049"/>
      <c r="AX290" s="2049"/>
      <c r="AY290" s="2049"/>
      <c r="AZ290" s="2049"/>
      <c r="BA290" s="2049"/>
      <c r="BB290" s="2049"/>
      <c r="BC290" s="2049"/>
      <c r="BD290" s="2049"/>
      <c r="BE290" s="2049"/>
    </row>
    <row r="291" spans="1:76" s="1523" customFormat="1" ht="18.75" customHeight="1">
      <c r="C291" s="1554"/>
      <c r="D291" s="1523" t="s">
        <v>964</v>
      </c>
      <c r="F291" s="1555"/>
      <c r="G291" s="1555"/>
      <c r="X291" s="1556"/>
      <c r="AE291" s="1532"/>
      <c r="AK291" s="1557"/>
      <c r="AP291" s="1558">
        <v>3876600</v>
      </c>
      <c r="AQ291" s="1559">
        <f>AP291/30</f>
        <v>129220</v>
      </c>
      <c r="AR291" s="1559">
        <f>AP291/173*1.5</f>
        <v>33612.138728323698</v>
      </c>
      <c r="AS291" s="1559">
        <f>AP291/173*2</f>
        <v>44816.184971098264</v>
      </c>
      <c r="AW291" s="1532" t="s">
        <v>55</v>
      </c>
      <c r="AX291" s="1523" t="s">
        <v>152</v>
      </c>
      <c r="BC291" s="1531"/>
      <c r="BE291" s="1532"/>
      <c r="BG291" s="1555"/>
      <c r="BH291" s="1560"/>
      <c r="BI291" s="1560"/>
      <c r="BJ291" s="1555"/>
      <c r="BK291" s="1561"/>
      <c r="BL291" s="1561"/>
      <c r="BM291" s="1561"/>
      <c r="BN291" s="1555"/>
      <c r="BO291" s="1555"/>
    </row>
    <row r="292" spans="1:76" ht="15" customHeight="1" thickBot="1">
      <c r="A292" s="1547"/>
      <c r="D292" s="1563"/>
      <c r="E292" s="1563"/>
      <c r="F292" s="1564"/>
      <c r="G292" s="1564"/>
      <c r="H292" s="1563"/>
      <c r="I292" s="1563"/>
      <c r="J292" s="1563"/>
      <c r="K292" s="1563"/>
      <c r="L292" s="1563"/>
      <c r="M292" s="1563"/>
      <c r="N292" s="1563"/>
      <c r="O292" s="1563"/>
      <c r="Q292" s="1563"/>
      <c r="R292" s="1563"/>
      <c r="S292" s="1563"/>
      <c r="T292" s="1563"/>
      <c r="U292" s="1563"/>
      <c r="V292" s="1563"/>
      <c r="W292" s="1563"/>
      <c r="X292" s="1563"/>
      <c r="Y292" s="1563"/>
      <c r="Z292" s="1563"/>
      <c r="AA292" s="1563"/>
      <c r="AB292" s="1563"/>
      <c r="AC292" s="1563"/>
      <c r="AD292" s="1547"/>
      <c r="AE292" s="1563"/>
      <c r="AF292" s="1563"/>
      <c r="AG292" s="1563"/>
      <c r="AH292" s="1563"/>
      <c r="AI292" s="1563"/>
      <c r="AJ292" s="1563"/>
      <c r="AK292" s="1565"/>
      <c r="AL292" s="1563"/>
      <c r="AM292" s="1563"/>
      <c r="AO292" s="1563"/>
      <c r="AP292" s="1558">
        <v>3876600</v>
      </c>
      <c r="AQ292" s="1566">
        <f>AP292/30</f>
        <v>129220</v>
      </c>
      <c r="AR292" s="1567"/>
      <c r="AS292" s="1568">
        <f>AP292+24000</f>
        <v>3900600</v>
      </c>
    </row>
    <row r="293" spans="1:76" s="1523" customFormat="1" ht="15.75" customHeight="1">
      <c r="A293" s="2050" t="s">
        <v>5</v>
      </c>
      <c r="B293" s="2053" t="s">
        <v>6</v>
      </c>
      <c r="C293" s="2056" t="s">
        <v>52</v>
      </c>
      <c r="D293" s="1569"/>
      <c r="E293" s="1569"/>
      <c r="F293" s="1570"/>
      <c r="G293" s="1570"/>
      <c r="H293" s="2059" t="s">
        <v>2</v>
      </c>
      <c r="I293" s="2060"/>
      <c r="J293" s="2060"/>
      <c r="K293" s="2060"/>
      <c r="L293" s="2060"/>
      <c r="M293" s="2060"/>
      <c r="N293" s="2060"/>
      <c r="O293" s="2060"/>
      <c r="P293" s="2060"/>
      <c r="Q293" s="2060"/>
      <c r="R293" s="2060"/>
      <c r="S293" s="2060"/>
      <c r="T293" s="2060"/>
      <c r="U293" s="2061"/>
      <c r="V293" s="2056" t="s">
        <v>286</v>
      </c>
      <c r="W293" s="2059" t="s">
        <v>3</v>
      </c>
      <c r="X293" s="2060"/>
      <c r="Y293" s="2060"/>
      <c r="Z293" s="2060"/>
      <c r="AA293" s="2060"/>
      <c r="AB293" s="2060"/>
      <c r="AC293" s="2060"/>
      <c r="AD293" s="2061"/>
      <c r="AE293" s="2042" t="s">
        <v>45</v>
      </c>
      <c r="AF293" s="2063" t="s">
        <v>46</v>
      </c>
      <c r="AG293" s="2064"/>
      <c r="AH293" s="2064"/>
      <c r="AI293" s="2064"/>
      <c r="AJ293" s="2064"/>
      <c r="AK293" s="2064"/>
      <c r="AL293" s="2065"/>
      <c r="AM293" s="2045" t="s">
        <v>98</v>
      </c>
      <c r="AN293" s="2056" t="s">
        <v>44</v>
      </c>
      <c r="AO293" s="1533" t="s">
        <v>4</v>
      </c>
      <c r="AP293" s="2036" t="s">
        <v>20</v>
      </c>
      <c r="AQ293" s="2037"/>
      <c r="AR293" s="2038"/>
      <c r="AS293" s="2036" t="s">
        <v>54</v>
      </c>
      <c r="AT293" s="2037"/>
      <c r="AU293" s="2037"/>
      <c r="AV293" s="2037"/>
      <c r="AW293" s="2037"/>
      <c r="AX293" s="1571"/>
      <c r="AY293" s="2042" t="s">
        <v>89</v>
      </c>
      <c r="AZ293" s="2045" t="s">
        <v>97</v>
      </c>
      <c r="BA293" s="2045" t="s">
        <v>719</v>
      </c>
      <c r="BB293" s="2045" t="s">
        <v>210</v>
      </c>
      <c r="BC293" s="1539" t="s">
        <v>4</v>
      </c>
      <c r="BD293" s="2063" t="s">
        <v>41</v>
      </c>
      <c r="BE293" s="2084"/>
      <c r="BG293" s="1555"/>
      <c r="BH293" s="1560"/>
      <c r="BI293" s="1560"/>
      <c r="BJ293" s="1555"/>
      <c r="BK293" s="1561"/>
      <c r="BL293" s="1561"/>
      <c r="BM293" s="1561"/>
      <c r="BN293" s="1555"/>
      <c r="BO293" s="1555"/>
    </row>
    <row r="294" spans="1:76" s="1523" customFormat="1" ht="25.5" customHeight="1">
      <c r="A294" s="2051"/>
      <c r="B294" s="2054"/>
      <c r="C294" s="2057"/>
      <c r="D294" s="1519" t="s">
        <v>7</v>
      </c>
      <c r="E294" s="1519" t="s">
        <v>8</v>
      </c>
      <c r="F294" s="1572" t="s">
        <v>9</v>
      </c>
      <c r="G294" s="1572" t="s">
        <v>9</v>
      </c>
      <c r="H294" s="2071" t="s">
        <v>10</v>
      </c>
      <c r="I294" s="2072"/>
      <c r="J294" s="2071" t="s">
        <v>11</v>
      </c>
      <c r="K294" s="2072"/>
      <c r="L294" s="2071" t="s">
        <v>12</v>
      </c>
      <c r="M294" s="2072"/>
      <c r="N294" s="2071" t="s">
        <v>13</v>
      </c>
      <c r="O294" s="2072"/>
      <c r="P294" s="2071" t="s">
        <v>14</v>
      </c>
      <c r="Q294" s="2072"/>
      <c r="R294" s="2087" t="s">
        <v>15</v>
      </c>
      <c r="S294" s="2088"/>
      <c r="T294" s="2071" t="s">
        <v>16</v>
      </c>
      <c r="U294" s="2072"/>
      <c r="V294" s="2057"/>
      <c r="W294" s="2071" t="s">
        <v>17</v>
      </c>
      <c r="X294" s="2072"/>
      <c r="Y294" s="2071" t="s">
        <v>18</v>
      </c>
      <c r="Z294" s="2081"/>
      <c r="AA294" s="2072"/>
      <c r="AB294" s="2071" t="s">
        <v>19</v>
      </c>
      <c r="AC294" s="2081"/>
      <c r="AD294" s="2072"/>
      <c r="AE294" s="2043"/>
      <c r="AF294" s="2066"/>
      <c r="AG294" s="2067"/>
      <c r="AH294" s="2067"/>
      <c r="AI294" s="2067"/>
      <c r="AJ294" s="2067"/>
      <c r="AK294" s="2067"/>
      <c r="AL294" s="2068"/>
      <c r="AM294" s="2046"/>
      <c r="AN294" s="2057"/>
      <c r="AO294" s="1534" t="s">
        <v>9</v>
      </c>
      <c r="AP294" s="2039"/>
      <c r="AQ294" s="2040"/>
      <c r="AR294" s="2041"/>
      <c r="AS294" s="2039"/>
      <c r="AT294" s="2040"/>
      <c r="AU294" s="2040"/>
      <c r="AV294" s="2040"/>
      <c r="AW294" s="2040"/>
      <c r="AX294" s="1534" t="s">
        <v>21</v>
      </c>
      <c r="AY294" s="2043"/>
      <c r="AZ294" s="2046"/>
      <c r="BA294" s="2046"/>
      <c r="BB294" s="2046"/>
      <c r="BC294" s="1540" t="s">
        <v>9</v>
      </c>
      <c r="BD294" s="2085"/>
      <c r="BE294" s="2086"/>
      <c r="BG294" s="1573"/>
      <c r="BH294" s="1573"/>
      <c r="BI294" s="1573"/>
      <c r="BJ294" s="1555"/>
      <c r="BK294" s="1561"/>
      <c r="BL294" s="1561"/>
      <c r="BM294" s="1561"/>
      <c r="BN294" s="1555"/>
      <c r="BO294" s="1555"/>
    </row>
    <row r="295" spans="1:76" s="1523" customFormat="1" ht="63" customHeight="1">
      <c r="A295" s="2051"/>
      <c r="B295" s="2054"/>
      <c r="C295" s="2057"/>
      <c r="D295" s="1519" t="s">
        <v>22</v>
      </c>
      <c r="E295" s="1519" t="s">
        <v>23</v>
      </c>
      <c r="F295" s="1572" t="s">
        <v>24</v>
      </c>
      <c r="G295" s="1572" t="s">
        <v>25</v>
      </c>
      <c r="H295" s="2069" t="s">
        <v>4</v>
      </c>
      <c r="I295" s="2070"/>
      <c r="J295" s="2069" t="s">
        <v>4</v>
      </c>
      <c r="K295" s="2070"/>
      <c r="L295" s="2069" t="s">
        <v>4</v>
      </c>
      <c r="M295" s="2070"/>
      <c r="N295" s="2069" t="s">
        <v>4</v>
      </c>
      <c r="O295" s="2070"/>
      <c r="P295" s="2069" t="s">
        <v>4</v>
      </c>
      <c r="Q295" s="2070"/>
      <c r="R295" s="2082" t="s">
        <v>4</v>
      </c>
      <c r="S295" s="2083"/>
      <c r="T295" s="2069" t="s">
        <v>4</v>
      </c>
      <c r="U295" s="2070"/>
      <c r="V295" s="2057"/>
      <c r="W295" s="1534" t="s">
        <v>27</v>
      </c>
      <c r="X295" s="1574" t="s">
        <v>28</v>
      </c>
      <c r="Y295" s="1534" t="s">
        <v>27</v>
      </c>
      <c r="Z295" s="2069" t="s">
        <v>4</v>
      </c>
      <c r="AA295" s="2070"/>
      <c r="AB295" s="1534" t="s">
        <v>27</v>
      </c>
      <c r="AC295" s="2071" t="s">
        <v>4</v>
      </c>
      <c r="AD295" s="2072"/>
      <c r="AE295" s="2062"/>
      <c r="AF295" s="1575" t="s">
        <v>56</v>
      </c>
      <c r="AG295" s="1575" t="s">
        <v>57</v>
      </c>
      <c r="AH295" s="1575" t="s">
        <v>60</v>
      </c>
      <c r="AI295" s="1575" t="s">
        <v>202</v>
      </c>
      <c r="AJ295" s="1575" t="s">
        <v>218</v>
      </c>
      <c r="AK295" s="1575" t="s">
        <v>572</v>
      </c>
      <c r="AL295" s="1575" t="s">
        <v>288</v>
      </c>
      <c r="AM295" s="2089"/>
      <c r="AN295" s="2090"/>
      <c r="AO295" s="1534" t="s">
        <v>29</v>
      </c>
      <c r="AP295" s="1519" t="s">
        <v>30</v>
      </c>
      <c r="AQ295" s="1519" t="s">
        <v>31</v>
      </c>
      <c r="AR295" s="1519" t="s">
        <v>4</v>
      </c>
      <c r="AS295" s="1576" t="s">
        <v>30</v>
      </c>
      <c r="AT295" s="1574" t="s">
        <v>31</v>
      </c>
      <c r="AU295" s="1574" t="s">
        <v>30</v>
      </c>
      <c r="AV295" s="1574" t="s">
        <v>31</v>
      </c>
      <c r="AW295" s="1577" t="s">
        <v>4</v>
      </c>
      <c r="AX295" s="1534" t="s">
        <v>32</v>
      </c>
      <c r="AY295" s="2043"/>
      <c r="AZ295" s="2046"/>
      <c r="BA295" s="2046"/>
      <c r="BB295" s="2046"/>
      <c r="BC295" s="1540" t="s">
        <v>33</v>
      </c>
      <c r="BD295" s="2073" t="s">
        <v>42</v>
      </c>
      <c r="BE295" s="2075" t="s">
        <v>43</v>
      </c>
      <c r="BG295" s="1573"/>
      <c r="BH295" s="1578"/>
      <c r="BI295" s="1578"/>
      <c r="BJ295" s="1555"/>
      <c r="BK295" s="1561"/>
      <c r="BL295" s="1561"/>
      <c r="BM295" s="1561"/>
      <c r="BN295" s="1555"/>
      <c r="BO295" s="1555"/>
    </row>
    <row r="296" spans="1:76" s="1523" customFormat="1" ht="21" customHeight="1" thickBot="1">
      <c r="A296" s="2052"/>
      <c r="B296" s="2055"/>
      <c r="C296" s="2058"/>
      <c r="D296" s="1520"/>
      <c r="E296" s="1520"/>
      <c r="F296" s="1579" t="s">
        <v>34</v>
      </c>
      <c r="G296" s="1580" t="s">
        <v>34</v>
      </c>
      <c r="H296" s="1581" t="s">
        <v>8</v>
      </c>
      <c r="I296" s="1582" t="s">
        <v>34</v>
      </c>
      <c r="J296" s="1581" t="s">
        <v>8</v>
      </c>
      <c r="K296" s="1582" t="s">
        <v>34</v>
      </c>
      <c r="L296" s="1581" t="s">
        <v>8</v>
      </c>
      <c r="M296" s="1582" t="s">
        <v>34</v>
      </c>
      <c r="N296" s="1581" t="s">
        <v>8</v>
      </c>
      <c r="O296" s="1582" t="s">
        <v>34</v>
      </c>
      <c r="P296" s="1581" t="s">
        <v>8</v>
      </c>
      <c r="Q296" s="1582" t="s">
        <v>34</v>
      </c>
      <c r="R296" s="1581" t="s">
        <v>8</v>
      </c>
      <c r="S296" s="1582" t="s">
        <v>34</v>
      </c>
      <c r="T296" s="1581" t="s">
        <v>8</v>
      </c>
      <c r="U296" s="1582" t="s">
        <v>34</v>
      </c>
      <c r="V296" s="2058"/>
      <c r="W296" s="1581" t="s">
        <v>26</v>
      </c>
      <c r="X296" s="1581" t="s">
        <v>34</v>
      </c>
      <c r="Y296" s="1581" t="s">
        <v>26</v>
      </c>
      <c r="Z296" s="1581" t="s">
        <v>26</v>
      </c>
      <c r="AA296" s="1581" t="s">
        <v>34</v>
      </c>
      <c r="AB296" s="1581" t="s">
        <v>26</v>
      </c>
      <c r="AC296" s="1581" t="s">
        <v>35</v>
      </c>
      <c r="AD296" s="1581" t="s">
        <v>34</v>
      </c>
      <c r="AE296" s="1581" t="s">
        <v>34</v>
      </c>
      <c r="AF296" s="1582" t="s">
        <v>34</v>
      </c>
      <c r="AG296" s="1582" t="s">
        <v>34</v>
      </c>
      <c r="AH296" s="1582" t="s">
        <v>34</v>
      </c>
      <c r="AI296" s="1582" t="s">
        <v>34</v>
      </c>
      <c r="AJ296" s="1582" t="s">
        <v>34</v>
      </c>
      <c r="AK296" s="1582" t="s">
        <v>34</v>
      </c>
      <c r="AL296" s="1582" t="s">
        <v>34</v>
      </c>
      <c r="AM296" s="1582" t="s">
        <v>34</v>
      </c>
      <c r="AN296" s="1581" t="s">
        <v>34</v>
      </c>
      <c r="AO296" s="1582" t="s">
        <v>34</v>
      </c>
      <c r="AP296" s="1582" t="s">
        <v>34</v>
      </c>
      <c r="AQ296" s="1582" t="s">
        <v>34</v>
      </c>
      <c r="AR296" s="1582" t="s">
        <v>34</v>
      </c>
      <c r="AS296" s="1581" t="s">
        <v>58</v>
      </c>
      <c r="AT296" s="1582" t="s">
        <v>34</v>
      </c>
      <c r="AU296" s="1582" t="s">
        <v>59</v>
      </c>
      <c r="AV296" s="1582" t="s">
        <v>34</v>
      </c>
      <c r="AW296" s="1583" t="s">
        <v>34</v>
      </c>
      <c r="AX296" s="1537"/>
      <c r="AY296" s="2044"/>
      <c r="AZ296" s="2047"/>
      <c r="BA296" s="2047"/>
      <c r="BB296" s="2047"/>
      <c r="BC296" s="1541" t="s">
        <v>34</v>
      </c>
      <c r="BD296" s="2074"/>
      <c r="BE296" s="2076"/>
      <c r="BG296" s="1555" t="s">
        <v>353</v>
      </c>
      <c r="BH296" s="1578" t="s">
        <v>43</v>
      </c>
      <c r="BI296" s="1578" t="s">
        <v>42</v>
      </c>
      <c r="BJ296" s="1555" t="s">
        <v>354</v>
      </c>
      <c r="BK296" s="1561" t="s">
        <v>358</v>
      </c>
      <c r="BL296" s="1561"/>
      <c r="BM296" s="1561" t="s">
        <v>625</v>
      </c>
      <c r="BN296" s="1555" t="s">
        <v>626</v>
      </c>
      <c r="BO296" s="1555" t="s">
        <v>627</v>
      </c>
      <c r="BQ296" s="1523" t="s">
        <v>685</v>
      </c>
    </row>
    <row r="297" spans="1:76" s="1523" customFormat="1" ht="102" customHeight="1" thickBot="1">
      <c r="A297" s="1584" t="s">
        <v>365</v>
      </c>
      <c r="B297" s="1489" t="s">
        <v>36</v>
      </c>
      <c r="C297" s="1591" t="s">
        <v>147</v>
      </c>
      <c r="D297" s="1590" t="s">
        <v>140</v>
      </c>
      <c r="E297" s="1489">
        <f>'HK UP KEEP, OP '!AH39</f>
        <v>21</v>
      </c>
      <c r="F297" s="1490">
        <v>129220</v>
      </c>
      <c r="G297" s="1490">
        <f t="shared" si="0"/>
        <v>2713620</v>
      </c>
      <c r="H297" s="1489">
        <f>'HK UP KEEP, OP '!AI39</f>
        <v>1</v>
      </c>
      <c r="I297" s="1489">
        <f t="shared" si="1"/>
        <v>129220</v>
      </c>
      <c r="J297" s="1489">
        <f>'HK UP KEEP, OP '!AJ39</f>
        <v>1</v>
      </c>
      <c r="K297" s="1489">
        <f t="shared" si="2"/>
        <v>129220</v>
      </c>
      <c r="L297" s="1489">
        <f>'HK UP KEEP, OP '!AK39</f>
        <v>0</v>
      </c>
      <c r="M297" s="1489">
        <f t="shared" si="3"/>
        <v>0</v>
      </c>
      <c r="N297" s="1489">
        <f>'HK UP KEEP, OP '!AL39</f>
        <v>4</v>
      </c>
      <c r="O297" s="1489">
        <f t="shared" si="4"/>
        <v>516880</v>
      </c>
      <c r="P297" s="1489">
        <f>'HK UP KEEP, OP '!AM39</f>
        <v>3</v>
      </c>
      <c r="Q297" s="1489">
        <f t="shared" si="5"/>
        <v>387660</v>
      </c>
      <c r="R297" s="1489">
        <f>'HK UP KEEP, OP '!AN39</f>
        <v>0</v>
      </c>
      <c r="S297" s="1489">
        <f t="shared" si="6"/>
        <v>0</v>
      </c>
      <c r="T297" s="1489">
        <f>'HK UP KEEP, OP '!AO39+'HK UP KEEP, OP '!AP39+'HK UP KEEP, OP '!AQ39</f>
        <v>0</v>
      </c>
      <c r="U297" s="1489">
        <f t="shared" si="7"/>
        <v>0</v>
      </c>
      <c r="V297" s="1489">
        <f t="shared" si="8"/>
        <v>30</v>
      </c>
      <c r="W297" s="1491">
        <v>3250</v>
      </c>
      <c r="X297" s="1491">
        <f t="shared" si="9"/>
        <v>97500</v>
      </c>
      <c r="Y297" s="1491"/>
      <c r="Z297" s="1491"/>
      <c r="AA297" s="1491">
        <f t="shared" si="27"/>
        <v>0</v>
      </c>
      <c r="AB297" s="1489">
        <v>2500</v>
      </c>
      <c r="AC297" s="1489">
        <f>'MASA KERJA AB'!H40</f>
        <v>12</v>
      </c>
      <c r="AD297" s="1492">
        <f>'MASA KERJA AB'!I40</f>
        <v>33000</v>
      </c>
      <c r="AE297" s="1497">
        <f>'LEMBUR DAN PREMI UPKEEP'!AJ33</f>
        <v>0</v>
      </c>
      <c r="AF297" s="1498"/>
      <c r="AG297" s="1498"/>
      <c r="AH297" s="1499"/>
      <c r="AI297" s="1499"/>
      <c r="AJ297" s="1498"/>
      <c r="AK297" s="1499"/>
      <c r="AL297" s="1491"/>
      <c r="AM297" s="1491"/>
      <c r="AN297" s="1491">
        <f>'MONITORING '!AK383</f>
        <v>0</v>
      </c>
      <c r="AO297" s="1494">
        <f t="shared" si="10"/>
        <v>4007100</v>
      </c>
      <c r="AP297" s="1489">
        <f t="shared" si="20"/>
        <v>77532</v>
      </c>
      <c r="AQ297" s="1489">
        <f t="shared" si="21"/>
        <v>175997.64</v>
      </c>
      <c r="AR297" s="1489">
        <f t="shared" si="28"/>
        <v>253529.64</v>
      </c>
      <c r="AS297" s="1489">
        <f t="shared" si="22"/>
        <v>39096</v>
      </c>
      <c r="AT297" s="1489">
        <f t="shared" si="23"/>
        <v>156384</v>
      </c>
      <c r="AU297" s="1489">
        <f t="shared" si="24"/>
        <v>38766</v>
      </c>
      <c r="AV297" s="1489">
        <f t="shared" si="25"/>
        <v>77532</v>
      </c>
      <c r="AW297" s="1489">
        <f t="shared" si="29"/>
        <v>311778</v>
      </c>
      <c r="AX297" s="1492">
        <v>4000</v>
      </c>
      <c r="AY297" s="1491">
        <v>0</v>
      </c>
      <c r="AZ297" s="1489">
        <f t="shared" si="13"/>
        <v>0</v>
      </c>
      <c r="BA297" s="1491"/>
      <c r="BB297" s="1491"/>
      <c r="BC297" s="1489">
        <f t="shared" si="14"/>
        <v>3847706</v>
      </c>
      <c r="BD297" s="1495">
        <f>'HK UP KEEP, OP '!AS39</f>
        <v>0</v>
      </c>
      <c r="BE297" s="1488">
        <f>'HK UP KEEP, OP '!AT39</f>
        <v>1</v>
      </c>
      <c r="BF297" s="1518"/>
      <c r="BG297" s="1551">
        <f t="shared" si="15"/>
        <v>3876600</v>
      </c>
      <c r="BH297" s="1552">
        <f t="shared" si="16"/>
        <v>0</v>
      </c>
      <c r="BI297" s="1552">
        <f t="shared" si="17"/>
        <v>129220</v>
      </c>
      <c r="BJ297" s="1551">
        <f t="shared" si="18"/>
        <v>-129220</v>
      </c>
      <c r="BK297" s="1553">
        <f t="shared" si="26"/>
        <v>4005820</v>
      </c>
      <c r="BL297" s="1553"/>
      <c r="BM297" s="1553">
        <f t="shared" si="30"/>
        <v>130500</v>
      </c>
      <c r="BN297" s="1551">
        <v>30575.999999999996</v>
      </c>
      <c r="BO297" s="1551">
        <f t="shared" si="19"/>
        <v>565307.64</v>
      </c>
      <c r="BP297" s="1538"/>
      <c r="BQ297" s="1538"/>
      <c r="BR297" s="1538"/>
      <c r="BS297" s="1556"/>
      <c r="BU297" s="1518"/>
      <c r="BV297" s="1518"/>
      <c r="BW297" s="1518"/>
      <c r="BX297" s="1518"/>
    </row>
    <row r="298" spans="1:76" ht="39" customHeight="1" thickBot="1">
      <c r="A298" s="2077" t="s">
        <v>38</v>
      </c>
      <c r="B298" s="2078"/>
      <c r="C298" s="2078"/>
      <c r="D298" s="2079"/>
      <c r="E298" s="1489">
        <f>SUM(E9:E297)</f>
        <v>660</v>
      </c>
      <c r="F298" s="1489">
        <f t="shared" ref="F298:BE298" si="31">SUM(F9:F297)</f>
        <v>4264260</v>
      </c>
      <c r="G298" s="1489">
        <f t="shared" si="31"/>
        <v>85285200</v>
      </c>
      <c r="H298" s="1489">
        <f t="shared" si="31"/>
        <v>23</v>
      </c>
      <c r="I298" s="1489">
        <f t="shared" si="31"/>
        <v>2972060</v>
      </c>
      <c r="J298" s="1489">
        <f t="shared" si="31"/>
        <v>49</v>
      </c>
      <c r="K298" s="1489">
        <f t="shared" si="31"/>
        <v>6331780</v>
      </c>
      <c r="L298" s="1489">
        <f t="shared" si="31"/>
        <v>22</v>
      </c>
      <c r="M298" s="1489">
        <f t="shared" si="31"/>
        <v>2842840</v>
      </c>
      <c r="N298" s="1489">
        <f t="shared" si="31"/>
        <v>129</v>
      </c>
      <c r="O298" s="1489">
        <f t="shared" si="31"/>
        <v>16669380</v>
      </c>
      <c r="P298" s="1489">
        <f t="shared" si="31"/>
        <v>97</v>
      </c>
      <c r="Q298" s="1489">
        <f t="shared" si="31"/>
        <v>12534340</v>
      </c>
      <c r="R298" s="1489">
        <f t="shared" si="31"/>
        <v>0</v>
      </c>
      <c r="S298" s="1489">
        <f t="shared" si="31"/>
        <v>0</v>
      </c>
      <c r="T298" s="1489">
        <f t="shared" si="31"/>
        <v>0</v>
      </c>
      <c r="U298" s="1489">
        <f t="shared" si="31"/>
        <v>0</v>
      </c>
      <c r="V298" s="1489">
        <f t="shared" si="31"/>
        <v>980</v>
      </c>
      <c r="W298" s="1489">
        <f t="shared" si="31"/>
        <v>111950</v>
      </c>
      <c r="X298" s="1489">
        <f t="shared" si="31"/>
        <v>3305000</v>
      </c>
      <c r="Y298" s="1489">
        <f t="shared" si="31"/>
        <v>11000</v>
      </c>
      <c r="Z298" s="1489">
        <f t="shared" si="31"/>
        <v>77</v>
      </c>
      <c r="AA298" s="1489">
        <f t="shared" si="31"/>
        <v>208500</v>
      </c>
      <c r="AB298" s="1489">
        <f t="shared" si="31"/>
        <v>82500</v>
      </c>
      <c r="AC298" s="1489">
        <f t="shared" si="31"/>
        <v>439</v>
      </c>
      <c r="AD298" s="1489">
        <f t="shared" si="31"/>
        <v>1231000</v>
      </c>
      <c r="AE298" s="1489">
        <f t="shared" si="31"/>
        <v>14598871.110000001</v>
      </c>
      <c r="AF298" s="1489">
        <f t="shared" si="31"/>
        <v>78197</v>
      </c>
      <c r="AG298" s="1489">
        <f t="shared" si="31"/>
        <v>106750</v>
      </c>
      <c r="AH298" s="1489">
        <f t="shared" si="31"/>
        <v>0</v>
      </c>
      <c r="AI298" s="1489">
        <f t="shared" si="31"/>
        <v>240000</v>
      </c>
      <c r="AJ298" s="1489">
        <f t="shared" si="31"/>
        <v>0</v>
      </c>
      <c r="AK298" s="1489">
        <f t="shared" si="31"/>
        <v>909000</v>
      </c>
      <c r="AL298" s="1489">
        <f t="shared" si="31"/>
        <v>0</v>
      </c>
      <c r="AM298" s="1489">
        <f t="shared" si="31"/>
        <v>0</v>
      </c>
      <c r="AN298" s="1489">
        <f t="shared" si="31"/>
        <v>0</v>
      </c>
      <c r="AO298" s="1489">
        <f t="shared" si="31"/>
        <v>147312918.11000001</v>
      </c>
      <c r="AP298" s="1489">
        <f t="shared" si="31"/>
        <v>250660956</v>
      </c>
      <c r="AQ298" s="1489">
        <f t="shared" si="31"/>
        <v>14078002.120000005</v>
      </c>
      <c r="AR298" s="1489">
        <f t="shared" si="31"/>
        <v>9442066.5593063533</v>
      </c>
      <c r="AS298" s="1489">
        <f t="shared" si="31"/>
        <v>127544905.9190751</v>
      </c>
      <c r="AT298" s="1489">
        <f t="shared" si="31"/>
        <v>5166352</v>
      </c>
      <c r="AU298" s="1489">
        <f t="shared" si="31"/>
        <v>1279278</v>
      </c>
      <c r="AV298" s="1489">
        <f t="shared" si="31"/>
        <v>2558556</v>
      </c>
      <c r="AW298" s="1489">
        <f t="shared" si="31"/>
        <v>10295774</v>
      </c>
      <c r="AX298" s="1489">
        <f t="shared" si="31"/>
        <v>132000</v>
      </c>
      <c r="AY298" s="1489">
        <f t="shared" si="31"/>
        <v>461660</v>
      </c>
      <c r="AZ298" s="1489">
        <f t="shared" si="31"/>
        <v>0</v>
      </c>
      <c r="BA298" s="1489">
        <f t="shared" si="31"/>
        <v>0</v>
      </c>
      <c r="BB298" s="1489">
        <f t="shared" si="31"/>
        <v>0</v>
      </c>
      <c r="BC298" s="1489">
        <f t="shared" si="31"/>
        <v>141589836.11000001</v>
      </c>
      <c r="BD298" s="1489">
        <f t="shared" si="31"/>
        <v>7</v>
      </c>
      <c r="BE298" s="1495">
        <f t="shared" si="31"/>
        <v>10</v>
      </c>
      <c r="BF298" s="1592"/>
      <c r="BG298" s="1536">
        <f t="shared" ref="BG298:BO298" si="32">SUM(BG9:BG297)</f>
        <v>126635600</v>
      </c>
      <c r="BH298" s="1536">
        <f t="shared" si="32"/>
        <v>904540</v>
      </c>
      <c r="BI298" s="1536">
        <f t="shared" si="32"/>
        <v>1292200</v>
      </c>
      <c r="BJ298" s="1536">
        <f t="shared" si="32"/>
        <v>-2196740</v>
      </c>
      <c r="BK298" s="1536">
        <f t="shared" si="32"/>
        <v>128832340</v>
      </c>
      <c r="BL298" s="1536">
        <f t="shared" si="32"/>
        <v>9045400</v>
      </c>
      <c r="BM298" s="1536">
        <f t="shared" si="32"/>
        <v>19904141.57</v>
      </c>
      <c r="BN298" s="1536">
        <f t="shared" si="32"/>
        <v>978683.99915999989</v>
      </c>
      <c r="BO298" s="1536">
        <f t="shared" si="32"/>
        <v>18662252.120000008</v>
      </c>
      <c r="BS298" s="1518"/>
      <c r="BT298" s="1518"/>
    </row>
    <row r="299" spans="1:76" s="1523" customFormat="1" ht="13.5" customHeight="1">
      <c r="A299" s="1593"/>
      <c r="B299" s="1593"/>
      <c r="C299" s="1594"/>
      <c r="D299" s="1593"/>
      <c r="E299" s="1521">
        <f>'HK UP KEEP, OP '!AH40</f>
        <v>660</v>
      </c>
      <c r="F299" s="1595"/>
      <c r="G299" s="1595"/>
      <c r="H299" s="1521">
        <f>'HK UP KEEP, OP '!AI40</f>
        <v>23</v>
      </c>
      <c r="I299" s="1521"/>
      <c r="J299" s="1521">
        <f>'HK UP KEEP, OP '!AJ40</f>
        <v>49</v>
      </c>
      <c r="K299" s="1521"/>
      <c r="L299" s="1521">
        <f>'HK UP KEEP, OP '!AK40</f>
        <v>22</v>
      </c>
      <c r="M299" s="1521"/>
      <c r="N299" s="1521">
        <f>'HK UP KEEP, OP '!AL40</f>
        <v>129</v>
      </c>
      <c r="O299" s="1521"/>
      <c r="P299" s="1521">
        <f>'HK UP KEEP, OP '!AM40</f>
        <v>97</v>
      </c>
      <c r="Q299" s="1521"/>
      <c r="R299" s="1521">
        <f>'HK UP KEEP, OP '!AN40</f>
        <v>0</v>
      </c>
      <c r="S299" s="1521"/>
      <c r="T299" s="1521">
        <f>'HK UP KEEP, OP '!AP40</f>
        <v>0</v>
      </c>
      <c r="U299" s="1521"/>
      <c r="V299" s="1521">
        <f>'HK UP KEEP, OP '!AR41</f>
        <v>980</v>
      </c>
      <c r="W299" s="1521" t="s">
        <v>272</v>
      </c>
      <c r="X299" s="1521"/>
      <c r="Y299" s="1521"/>
      <c r="Z299" s="1521"/>
      <c r="AA299" s="1521"/>
      <c r="AB299" s="1521"/>
      <c r="AC299" s="1521"/>
      <c r="AD299" s="1521">
        <v>1228500</v>
      </c>
      <c r="AE299" s="1521">
        <f>'LEMBUR DAN PREMI UPKEEP'!AJ35</f>
        <v>14598871.110000001</v>
      </c>
      <c r="AF299" s="1521"/>
      <c r="AG299" s="1521"/>
      <c r="AH299" s="1521"/>
      <c r="AI299" s="1521"/>
      <c r="AJ299" s="1521">
        <f>'LEMBUR DAN PREMI UPKEEP'!AJ113</f>
        <v>0</v>
      </c>
      <c r="AK299" s="1596">
        <f>'LEMBUR DAN PREMI UPKEEP'!AK125</f>
        <v>0</v>
      </c>
      <c r="AL299" s="1521"/>
      <c r="AM299" s="1521"/>
      <c r="AN299" s="1521"/>
      <c r="AO299" s="1521"/>
      <c r="AP299" s="1521"/>
      <c r="AQ299" s="1521"/>
      <c r="AR299" s="1521"/>
      <c r="AS299" s="1530"/>
      <c r="AT299" s="1530"/>
      <c r="AU299" s="1530"/>
      <c r="AV299" s="1530"/>
      <c r="AW299" s="1530"/>
      <c r="AX299" s="1521">
        <v>128000</v>
      </c>
      <c r="AY299" s="1521"/>
      <c r="AZ299" s="1521"/>
      <c r="BA299" s="1521"/>
      <c r="BB299" s="1521"/>
      <c r="BC299" s="1542"/>
      <c r="BD299" s="1521">
        <f>'HK UP KEEP, OP '!AS40</f>
        <v>7</v>
      </c>
      <c r="BE299" s="1521">
        <f>'HK UP KEEP, OP '!AT40</f>
        <v>10</v>
      </c>
      <c r="BG299" s="1551"/>
      <c r="BH299" s="1560"/>
      <c r="BI299" s="1560"/>
      <c r="BJ299" s="1555"/>
      <c r="BK299" s="1561"/>
      <c r="BL299" s="1561"/>
      <c r="BM299" s="1561"/>
      <c r="BN299" s="1555"/>
      <c r="BO299" s="1555"/>
    </row>
    <row r="300" spans="1:76" s="1523" customFormat="1" ht="38.25" customHeight="1">
      <c r="A300" s="2080" t="s">
        <v>62</v>
      </c>
      <c r="B300" s="2080"/>
      <c r="C300" s="2080"/>
      <c r="D300" s="2080"/>
      <c r="E300" s="1522">
        <f>E298-E299</f>
        <v>0</v>
      </c>
      <c r="F300" s="1597"/>
      <c r="G300" s="1522"/>
      <c r="H300" s="1522">
        <f>H298-H299</f>
        <v>0</v>
      </c>
      <c r="I300" s="1522"/>
      <c r="J300" s="1522">
        <f>J298-J299</f>
        <v>0</v>
      </c>
      <c r="K300" s="1522"/>
      <c r="L300" s="1522">
        <f>L298-L299</f>
        <v>0</v>
      </c>
      <c r="M300" s="1522"/>
      <c r="N300" s="1522">
        <f>N298-N299</f>
        <v>0</v>
      </c>
      <c r="O300" s="1522"/>
      <c r="P300" s="1522">
        <f>P298-P299</f>
        <v>0</v>
      </c>
      <c r="Q300" s="1522"/>
      <c r="R300" s="1522">
        <f>R298-R299</f>
        <v>0</v>
      </c>
      <c r="S300" s="1522"/>
      <c r="T300" s="1522">
        <f>T298-T299</f>
        <v>0</v>
      </c>
      <c r="U300" s="1522"/>
      <c r="V300" s="1522">
        <f>V298-V299</f>
        <v>0</v>
      </c>
      <c r="W300" s="1598"/>
      <c r="X300" s="1522"/>
      <c r="Y300" s="1522"/>
      <c r="Z300" s="1522"/>
      <c r="AA300" s="1522"/>
      <c r="AB300" s="1522"/>
      <c r="AC300" s="1522"/>
      <c r="AD300" s="1522">
        <f>AD299-AD298</f>
        <v>-2500</v>
      </c>
      <c r="AE300" s="1522">
        <f>AE298-AE299</f>
        <v>0</v>
      </c>
      <c r="AF300" s="1522"/>
      <c r="AG300" s="1522"/>
      <c r="AH300" s="1522"/>
      <c r="AI300" s="1522"/>
      <c r="AJ300" s="1522">
        <f>AJ298-AJ299</f>
        <v>0</v>
      </c>
      <c r="AK300" s="1522">
        <f>AK298-AK299</f>
        <v>909000</v>
      </c>
      <c r="AL300" s="1522"/>
      <c r="AM300" s="1522"/>
      <c r="AN300" s="1522"/>
      <c r="AO300" s="1522"/>
      <c r="AP300" s="1522"/>
      <c r="AQ300" s="1522"/>
      <c r="AR300" s="1522"/>
      <c r="AS300" s="1529"/>
      <c r="AT300" s="1529"/>
      <c r="AU300" s="1529"/>
      <c r="AV300" s="1529"/>
      <c r="AW300" s="1529"/>
      <c r="AX300" s="1522">
        <f>AX298-AX299</f>
        <v>4000</v>
      </c>
      <c r="AY300" s="1522"/>
      <c r="AZ300" s="1522"/>
      <c r="BA300" s="1522"/>
      <c r="BB300" s="1522"/>
      <c r="BC300" s="1543"/>
      <c r="BD300" s="1522">
        <f>BD298-BD299</f>
        <v>0</v>
      </c>
      <c r="BE300" s="1522">
        <f>BE298-BE299</f>
        <v>0</v>
      </c>
      <c r="BF300" s="1538"/>
      <c r="BG300" s="1551"/>
      <c r="BH300" s="1552"/>
      <c r="BI300" s="1552"/>
      <c r="BJ300" s="1551"/>
      <c r="BK300" s="1553"/>
      <c r="BL300" s="1553"/>
      <c r="BM300" s="1553"/>
      <c r="BN300" s="1551"/>
      <c r="BO300" s="1551"/>
      <c r="BP300" s="1518"/>
      <c r="BQ300" s="1518"/>
      <c r="BR300" s="1518"/>
      <c r="BU300" s="1518"/>
      <c r="BV300" s="1518"/>
      <c r="BW300" s="1518"/>
      <c r="BX300" s="1518"/>
    </row>
    <row r="301" spans="1:76" s="1523" customFormat="1" ht="18.75" customHeight="1">
      <c r="A301" s="1523" t="s">
        <v>87</v>
      </c>
      <c r="B301" s="1599"/>
      <c r="C301" s="1600"/>
      <c r="D301" s="1601"/>
      <c r="E301" s="2049" t="s">
        <v>39</v>
      </c>
      <c r="F301" s="2049"/>
      <c r="G301" s="2049"/>
      <c r="H301" s="1602"/>
      <c r="M301" s="2049" t="s">
        <v>100</v>
      </c>
      <c r="N301" s="2049"/>
      <c r="O301" s="2049"/>
      <c r="U301" s="1517"/>
      <c r="Z301" s="2049" t="s">
        <v>40</v>
      </c>
      <c r="AA301" s="2049"/>
      <c r="AB301" s="2049"/>
      <c r="AE301" s="1556"/>
      <c r="AK301" s="1557"/>
      <c r="AO301" s="2049" t="s">
        <v>554</v>
      </c>
      <c r="AP301" s="2049"/>
      <c r="AV301" s="2049" t="s">
        <v>61</v>
      </c>
      <c r="AW301" s="2049"/>
      <c r="AX301" s="2049"/>
      <c r="BB301" s="1532"/>
      <c r="BC301" s="1518"/>
      <c r="BD301" s="1603"/>
      <c r="BE301" s="1604"/>
      <c r="BG301" s="1551"/>
      <c r="BH301" s="1560"/>
      <c r="BI301" s="1560"/>
      <c r="BJ301" s="1555"/>
      <c r="BK301" s="1561"/>
      <c r="BL301" s="1561"/>
      <c r="BM301" s="1561"/>
      <c r="BN301" s="1555"/>
      <c r="BO301" s="1555"/>
    </row>
    <row r="302" spans="1:76" s="1523" customFormat="1" ht="17.25" customHeight="1">
      <c r="A302" s="1523" t="s">
        <v>88</v>
      </c>
      <c r="B302" s="1532"/>
      <c r="C302" s="1605"/>
      <c r="E302" s="1532"/>
      <c r="F302" s="1555"/>
      <c r="G302" s="1606"/>
      <c r="H302" s="1602"/>
      <c r="N302" s="1518"/>
      <c r="O302" s="1518"/>
      <c r="U302" s="1529"/>
      <c r="V302" s="1518"/>
      <c r="W302" s="1518"/>
      <c r="X302" s="1518"/>
      <c r="Y302" s="1518"/>
      <c r="Z302" s="1532"/>
      <c r="AA302" s="1532"/>
      <c r="AB302" s="1532"/>
      <c r="AC302" s="1532"/>
      <c r="AD302" s="1518"/>
      <c r="AI302" s="1518"/>
      <c r="AK302" s="1557"/>
      <c r="AL302" s="1532"/>
      <c r="AM302" s="1532"/>
      <c r="AN302" s="1532"/>
      <c r="AP302" s="1532"/>
      <c r="AQ302" s="1532"/>
      <c r="AR302" s="1532"/>
      <c r="AS302" s="1518"/>
      <c r="AT302" s="1518"/>
      <c r="AU302" s="1518"/>
      <c r="AV302" s="1532"/>
      <c r="AW302" s="1532"/>
      <c r="AX302" s="1532"/>
      <c r="AY302" s="1532"/>
      <c r="AZ302" s="1532"/>
      <c r="BA302" s="1532"/>
      <c r="BB302" s="1532"/>
      <c r="BC302" s="1518"/>
      <c r="BD302" s="1603"/>
      <c r="BE302" s="1604"/>
      <c r="BF302" s="1518"/>
      <c r="BG302" s="1551"/>
      <c r="BH302" s="1552"/>
      <c r="BI302" s="1552"/>
      <c r="BJ302" s="1551"/>
      <c r="BK302" s="1553"/>
      <c r="BL302" s="1553"/>
      <c r="BM302" s="1553"/>
      <c r="BN302" s="1551"/>
      <c r="BO302" s="1551"/>
      <c r="BP302" s="1518"/>
      <c r="BQ302" s="1518"/>
      <c r="BR302" s="1518"/>
      <c r="BU302" s="1518"/>
      <c r="BV302" s="1518"/>
      <c r="BW302" s="1518"/>
      <c r="BX302" s="1518"/>
    </row>
    <row r="303" spans="1:76" s="1523" customFormat="1" ht="17.25" customHeight="1">
      <c r="A303" s="1607" t="s">
        <v>672</v>
      </c>
      <c r="B303" s="1532"/>
      <c r="C303" s="1605"/>
      <c r="D303" s="1532"/>
      <c r="E303" s="1518"/>
      <c r="F303" s="1608"/>
      <c r="G303" s="1609"/>
      <c r="H303" s="1610"/>
      <c r="I303" s="1518"/>
      <c r="J303" s="1518"/>
      <c r="K303" s="1518"/>
      <c r="L303" s="1518"/>
      <c r="M303" s="1518"/>
      <c r="P303" s="1518"/>
      <c r="Q303" s="1518"/>
      <c r="R303" s="1547"/>
      <c r="S303" s="1547"/>
      <c r="T303" s="1610"/>
      <c r="U303" s="1531"/>
      <c r="Z303" s="1611"/>
      <c r="AA303" s="1611"/>
      <c r="AB303" s="1547"/>
      <c r="AC303" s="1518"/>
      <c r="AE303" s="1524"/>
      <c r="AF303" s="1518"/>
      <c r="AG303" s="1518"/>
      <c r="AH303" s="1518"/>
      <c r="AJ303" s="1518"/>
      <c r="AK303" s="1612"/>
      <c r="AL303" s="1547"/>
      <c r="AM303" s="1547"/>
      <c r="AN303" s="1547"/>
      <c r="AO303" s="1518"/>
      <c r="AP303" s="1518"/>
      <c r="AQ303" s="1518"/>
      <c r="AR303" s="1518"/>
      <c r="AV303" s="1518"/>
      <c r="AW303" s="1518"/>
      <c r="AX303" s="1518"/>
      <c r="AY303" s="1518"/>
      <c r="AZ303" s="1518"/>
      <c r="BA303" s="1518"/>
      <c r="BB303" s="1610"/>
      <c r="BC303" s="1524"/>
      <c r="BD303" s="1524"/>
      <c r="BE303" s="1613"/>
      <c r="BG303" s="1551"/>
      <c r="BH303" s="1560"/>
      <c r="BI303" s="1560"/>
      <c r="BJ303" s="1555"/>
      <c r="BK303" s="1561"/>
      <c r="BL303" s="1561"/>
      <c r="BM303" s="1561"/>
      <c r="BN303" s="1555"/>
      <c r="BO303" s="1555"/>
    </row>
    <row r="304" spans="1:76" s="1523" customFormat="1" ht="17.25" customHeight="1">
      <c r="A304" s="1607"/>
      <c r="B304" s="1532"/>
      <c r="C304" s="1605"/>
      <c r="D304" s="1532"/>
      <c r="E304" s="1518"/>
      <c r="F304" s="1551"/>
      <c r="G304" s="1551"/>
      <c r="H304" s="1518"/>
      <c r="I304" s="1614"/>
      <c r="J304" s="1518"/>
      <c r="K304" s="1518"/>
      <c r="L304" s="1518"/>
      <c r="M304" s="1518"/>
      <c r="P304" s="1518"/>
      <c r="Q304" s="1518"/>
      <c r="R304" s="1518"/>
      <c r="S304" s="1518"/>
      <c r="T304" s="1518"/>
      <c r="U304" s="1518"/>
      <c r="Z304" s="1547"/>
      <c r="AA304" s="1547"/>
      <c r="AB304" s="1547"/>
      <c r="AC304" s="1518"/>
      <c r="AE304" s="1524"/>
      <c r="AF304" s="1531"/>
      <c r="AG304" s="1531"/>
      <c r="AH304" s="1518"/>
      <c r="AJ304" s="1531"/>
      <c r="AK304" s="1612"/>
      <c r="AL304" s="1547"/>
      <c r="AM304" s="1547"/>
      <c r="AN304" s="1547"/>
      <c r="AO304" s="1531"/>
      <c r="AP304" s="1518"/>
      <c r="AQ304" s="1518"/>
      <c r="AR304" s="1518"/>
      <c r="AV304" s="1531"/>
      <c r="AW304" s="1518"/>
      <c r="AX304" s="1518"/>
      <c r="AY304" s="1518"/>
      <c r="AZ304" s="1518"/>
      <c r="BA304" s="1518"/>
      <c r="BB304" s="1518"/>
      <c r="BC304" s="1524"/>
      <c r="BD304" s="1518"/>
      <c r="BE304" s="1547"/>
      <c r="BG304" s="1551"/>
      <c r="BH304" s="1560"/>
      <c r="BI304" s="1560"/>
      <c r="BJ304" s="1555"/>
      <c r="BK304" s="1561"/>
      <c r="BL304" s="1561"/>
      <c r="BM304" s="1561"/>
      <c r="BN304" s="1555"/>
      <c r="BO304" s="1555"/>
    </row>
    <row r="305" spans="1:72" s="1525" customFormat="1" ht="21.75" customHeight="1">
      <c r="B305" s="1615"/>
      <c r="C305" s="1616"/>
      <c r="E305" s="2093" t="s">
        <v>193</v>
      </c>
      <c r="F305" s="2093"/>
      <c r="G305" s="2093"/>
      <c r="H305" s="1617"/>
      <c r="I305" s="1618"/>
      <c r="L305" s="1619"/>
      <c r="M305" s="2094" t="s">
        <v>274</v>
      </c>
      <c r="N305" s="2094"/>
      <c r="O305" s="2094"/>
      <c r="P305" s="1620"/>
      <c r="Q305" s="1620"/>
      <c r="R305" s="1620"/>
      <c r="S305" s="1620"/>
      <c r="T305" s="1620"/>
      <c r="U305" s="1619"/>
      <c r="Z305" s="2093" t="s">
        <v>203</v>
      </c>
      <c r="AA305" s="2093"/>
      <c r="AB305" s="2093"/>
      <c r="AC305" s="1621"/>
      <c r="AE305" s="1622"/>
      <c r="AG305" s="1622"/>
      <c r="AJ305" s="1622"/>
      <c r="AK305" s="1623"/>
      <c r="AL305" s="1624"/>
      <c r="AM305" s="1624"/>
      <c r="AN305" s="1625"/>
      <c r="AO305" s="2095" t="s">
        <v>622</v>
      </c>
      <c r="AP305" s="2095"/>
      <c r="AQ305" s="1622"/>
      <c r="AR305" s="1622"/>
      <c r="AV305" s="2096" t="s">
        <v>586</v>
      </c>
      <c r="AW305" s="2096"/>
      <c r="AX305" s="2096"/>
      <c r="AY305" s="1622"/>
      <c r="AZ305" s="1622"/>
      <c r="BA305" s="1622"/>
      <c r="BB305" s="1626"/>
      <c r="BE305" s="1615"/>
      <c r="BG305" s="1627"/>
      <c r="BH305" s="1628"/>
      <c r="BI305" s="1628"/>
      <c r="BJ305" s="1627"/>
      <c r="BK305" s="1629"/>
      <c r="BL305" s="1629"/>
      <c r="BM305" s="1629"/>
      <c r="BN305" s="1627"/>
      <c r="BO305" s="1627"/>
      <c r="BS305" s="1630"/>
      <c r="BT305" s="1630"/>
    </row>
    <row r="306" spans="1:72" s="1526" customFormat="1" ht="22.5" customHeight="1">
      <c r="B306" s="1631"/>
      <c r="C306" s="1632"/>
      <c r="E306" s="2091" t="s">
        <v>151</v>
      </c>
      <c r="F306" s="2091"/>
      <c r="G306" s="2091"/>
      <c r="I306" s="1633"/>
      <c r="M306" s="2091" t="s">
        <v>134</v>
      </c>
      <c r="N306" s="2091"/>
      <c r="O306" s="2091"/>
      <c r="Z306" s="2091" t="s">
        <v>135</v>
      </c>
      <c r="AA306" s="2091"/>
      <c r="AB306" s="2091"/>
      <c r="AK306" s="1634"/>
      <c r="AL306" s="1631"/>
      <c r="AM306" s="1631"/>
      <c r="AN306" s="1631"/>
      <c r="AO306" s="2092" t="s">
        <v>623</v>
      </c>
      <c r="AP306" s="2092"/>
      <c r="AV306" s="2091" t="s">
        <v>585</v>
      </c>
      <c r="AW306" s="2091"/>
      <c r="AX306" s="2091"/>
      <c r="BB306" s="1631"/>
      <c r="BE306" s="1631"/>
      <c r="BG306" s="1635"/>
      <c r="BH306" s="1636"/>
      <c r="BI306" s="1636"/>
      <c r="BJ306" s="1635"/>
      <c r="BK306" s="1633"/>
      <c r="BL306" s="1633"/>
      <c r="BM306" s="1633"/>
      <c r="BN306" s="1635"/>
      <c r="BO306" s="1635"/>
      <c r="BS306" s="1637"/>
      <c r="BT306" s="1637"/>
    </row>
    <row r="307" spans="1:72" ht="18.75" customHeight="1">
      <c r="D307" s="1638"/>
      <c r="BE307" s="1518"/>
    </row>
    <row r="308" spans="1:72" ht="18.75" customHeight="1">
      <c r="BE308" s="1518"/>
    </row>
    <row r="309" spans="1:72" ht="19.5" customHeight="1">
      <c r="A309" s="2048" t="s">
        <v>0</v>
      </c>
      <c r="B309" s="2048"/>
      <c r="C309" s="2048"/>
      <c r="D309" s="2048"/>
      <c r="E309" s="2048"/>
      <c r="F309" s="2048"/>
      <c r="G309" s="2048"/>
      <c r="H309" s="2048"/>
      <c r="I309" s="2048"/>
      <c r="J309" s="2048"/>
      <c r="K309" s="2048"/>
      <c r="L309" s="2048"/>
      <c r="M309" s="2048"/>
      <c r="N309" s="2048"/>
      <c r="O309" s="2048"/>
      <c r="P309" s="2048"/>
      <c r="Q309" s="2048"/>
      <c r="R309" s="2048"/>
      <c r="S309" s="2048"/>
      <c r="T309" s="2048"/>
      <c r="U309" s="2048"/>
      <c r="V309" s="2048"/>
      <c r="W309" s="2048"/>
      <c r="X309" s="2048"/>
      <c r="Y309" s="2048"/>
      <c r="Z309" s="2048"/>
      <c r="AA309" s="2048"/>
      <c r="AB309" s="2048"/>
      <c r="AC309" s="2048"/>
      <c r="AD309" s="2048"/>
      <c r="AE309" s="2048"/>
      <c r="AF309" s="2048"/>
      <c r="AG309" s="2048"/>
      <c r="AH309" s="2048"/>
      <c r="AI309" s="2048"/>
      <c r="AJ309" s="2048"/>
      <c r="AK309" s="2048"/>
      <c r="AL309" s="2048"/>
      <c r="AM309" s="2048"/>
      <c r="AN309" s="2048"/>
      <c r="AO309" s="2048"/>
      <c r="AP309" s="2048"/>
      <c r="AQ309" s="2048"/>
      <c r="AR309" s="2048"/>
      <c r="AS309" s="2048"/>
      <c r="AT309" s="2048"/>
      <c r="AU309" s="2048"/>
      <c r="AV309" s="2048"/>
      <c r="AW309" s="2048"/>
      <c r="AX309" s="2048"/>
      <c r="AY309" s="2048"/>
      <c r="AZ309" s="2048"/>
      <c r="BA309" s="2048"/>
      <c r="BB309" s="2048"/>
      <c r="BC309" s="2048"/>
      <c r="BD309" s="2048"/>
      <c r="BE309" s="2048"/>
    </row>
    <row r="310" spans="1:72" ht="18.75" customHeight="1">
      <c r="A310" s="2049" t="s">
        <v>1033</v>
      </c>
      <c r="B310" s="2049"/>
      <c r="C310" s="2049"/>
      <c r="D310" s="2049"/>
      <c r="E310" s="2049"/>
      <c r="F310" s="2049"/>
      <c r="G310" s="2049"/>
      <c r="H310" s="2049"/>
      <c r="I310" s="2049"/>
      <c r="J310" s="2049"/>
      <c r="K310" s="2049"/>
      <c r="L310" s="2049"/>
      <c r="M310" s="2049"/>
      <c r="N310" s="2049"/>
      <c r="O310" s="2049"/>
      <c r="P310" s="2049"/>
      <c r="Q310" s="2049"/>
      <c r="R310" s="2049"/>
      <c r="S310" s="2049"/>
      <c r="T310" s="2049"/>
      <c r="U310" s="2049"/>
      <c r="V310" s="2049"/>
      <c r="W310" s="2049"/>
      <c r="X310" s="2049"/>
      <c r="Y310" s="2049"/>
      <c r="Z310" s="2049"/>
      <c r="AA310" s="2049"/>
      <c r="AB310" s="2049"/>
      <c r="AC310" s="2049"/>
      <c r="AD310" s="2049"/>
      <c r="AE310" s="2049"/>
      <c r="AF310" s="2049"/>
      <c r="AG310" s="2049"/>
      <c r="AH310" s="2049"/>
      <c r="AI310" s="2049"/>
      <c r="AJ310" s="2049"/>
      <c r="AK310" s="2049"/>
      <c r="AL310" s="2049"/>
      <c r="AM310" s="2049"/>
      <c r="AN310" s="2049"/>
      <c r="AO310" s="2049"/>
      <c r="AP310" s="2049"/>
      <c r="AQ310" s="2049"/>
      <c r="AR310" s="2049"/>
      <c r="AS310" s="2049"/>
      <c r="AT310" s="2049"/>
      <c r="AU310" s="2049"/>
      <c r="AV310" s="2049"/>
      <c r="AW310" s="2049"/>
      <c r="AX310" s="2049"/>
      <c r="AY310" s="2049"/>
      <c r="AZ310" s="2049"/>
      <c r="BA310" s="2049"/>
      <c r="BB310" s="2049"/>
      <c r="BC310" s="2049"/>
      <c r="BD310" s="2049"/>
      <c r="BE310" s="2049"/>
    </row>
    <row r="311" spans="1:72" s="1523" customFormat="1" ht="18.75" customHeight="1">
      <c r="D311" s="1523" t="s">
        <v>964</v>
      </c>
      <c r="F311" s="1555"/>
      <c r="G311" s="1555"/>
      <c r="O311" s="1523" t="s">
        <v>214</v>
      </c>
      <c r="AE311" s="1532"/>
      <c r="AF311" s="1532"/>
      <c r="AG311" s="1532"/>
      <c r="AH311" s="1532"/>
      <c r="AI311" s="1532"/>
      <c r="AJ311" s="1532"/>
      <c r="AK311" s="1557"/>
      <c r="AL311" s="1532"/>
      <c r="AM311" s="1532"/>
      <c r="AP311" s="1558">
        <v>3876600</v>
      </c>
      <c r="AQ311" s="1566">
        <f>AP311/30</f>
        <v>129220</v>
      </c>
      <c r="AV311" s="1532" t="s">
        <v>55</v>
      </c>
      <c r="AW311" s="1523" t="s">
        <v>195</v>
      </c>
      <c r="BC311" s="1518"/>
      <c r="BD311" s="1532"/>
      <c r="BG311" s="1551"/>
      <c r="BH311" s="1560"/>
      <c r="BI311" s="1560"/>
      <c r="BJ311" s="1555"/>
      <c r="BK311" s="1561"/>
      <c r="BL311" s="1561"/>
      <c r="BM311" s="1561"/>
      <c r="BN311" s="1555"/>
      <c r="BO311" s="1555"/>
    </row>
    <row r="312" spans="1:72" ht="18.75" customHeight="1" thickBot="1">
      <c r="A312" s="1547"/>
      <c r="D312" s="1563"/>
      <c r="E312" s="1563"/>
      <c r="F312" s="1564"/>
      <c r="G312" s="1564"/>
      <c r="H312" s="1563"/>
      <c r="I312" s="1563"/>
      <c r="J312" s="1563"/>
      <c r="K312" s="1563"/>
      <c r="L312" s="1563"/>
      <c r="M312" s="1563"/>
      <c r="N312" s="1563"/>
      <c r="O312" s="1563"/>
      <c r="Q312" s="1563"/>
      <c r="R312" s="1563"/>
      <c r="S312" s="1563"/>
      <c r="T312" s="1563"/>
      <c r="U312" s="1563"/>
      <c r="V312" s="1563"/>
      <c r="W312" s="1563"/>
      <c r="X312" s="1563"/>
      <c r="Y312" s="1563"/>
      <c r="Z312" s="1563"/>
      <c r="AA312" s="1563"/>
      <c r="AB312" s="1563"/>
      <c r="AC312" s="1563"/>
      <c r="AD312" s="1547"/>
      <c r="AE312" s="1563"/>
      <c r="AF312" s="1563"/>
      <c r="AG312" s="1563"/>
      <c r="AH312" s="1563"/>
      <c r="AI312" s="1563"/>
      <c r="AJ312" s="1563"/>
      <c r="AK312" s="1565"/>
      <c r="AL312" s="1563"/>
      <c r="AM312" s="1563"/>
      <c r="AO312" s="1639"/>
      <c r="AP312" s="1558">
        <v>3876600</v>
      </c>
      <c r="AQ312" s="1566">
        <f>AP312/30</f>
        <v>129220</v>
      </c>
    </row>
    <row r="313" spans="1:72" s="1523" customFormat="1" ht="16.5" customHeight="1">
      <c r="A313" s="2050" t="s">
        <v>5</v>
      </c>
      <c r="B313" s="2056" t="s">
        <v>6</v>
      </c>
      <c r="C313" s="2056" t="s">
        <v>52</v>
      </c>
      <c r="D313" s="1569"/>
      <c r="E313" s="1569"/>
      <c r="F313" s="1570"/>
      <c r="G313" s="1570"/>
      <c r="H313" s="2059" t="s">
        <v>2</v>
      </c>
      <c r="I313" s="2060"/>
      <c r="J313" s="2060"/>
      <c r="K313" s="2060"/>
      <c r="L313" s="2060"/>
      <c r="M313" s="2060"/>
      <c r="N313" s="2060"/>
      <c r="O313" s="2060"/>
      <c r="P313" s="2060"/>
      <c r="Q313" s="2060"/>
      <c r="R313" s="2060"/>
      <c r="S313" s="2060"/>
      <c r="T313" s="2060"/>
      <c r="U313" s="2061"/>
      <c r="V313" s="2056" t="s">
        <v>286</v>
      </c>
      <c r="W313" s="2059" t="s">
        <v>3</v>
      </c>
      <c r="X313" s="2060"/>
      <c r="Y313" s="2060"/>
      <c r="Z313" s="2060"/>
      <c r="AA313" s="2060"/>
      <c r="AB313" s="2060"/>
      <c r="AC313" s="2060"/>
      <c r="AD313" s="2061"/>
      <c r="AE313" s="2042" t="s">
        <v>45</v>
      </c>
      <c r="AF313" s="2063" t="s">
        <v>46</v>
      </c>
      <c r="AG313" s="2064"/>
      <c r="AH313" s="2064"/>
      <c r="AI313" s="2064"/>
      <c r="AJ313" s="2064"/>
      <c r="AK313" s="2064"/>
      <c r="AL313" s="2064"/>
      <c r="AM313" s="2065"/>
      <c r="AN313" s="2056" t="s">
        <v>44</v>
      </c>
      <c r="AO313" s="1533" t="s">
        <v>4</v>
      </c>
      <c r="AP313" s="2036" t="s">
        <v>20</v>
      </c>
      <c r="AQ313" s="2037"/>
      <c r="AR313" s="2038"/>
      <c r="AS313" s="2036" t="s">
        <v>54</v>
      </c>
      <c r="AT313" s="2037"/>
      <c r="AU313" s="2037"/>
      <c r="AV313" s="2037"/>
      <c r="AW313" s="2038"/>
      <c r="AX313" s="1569"/>
      <c r="AY313" s="2042" t="s">
        <v>89</v>
      </c>
      <c r="AZ313" s="2045" t="s">
        <v>97</v>
      </c>
      <c r="BA313" s="2045" t="s">
        <v>720</v>
      </c>
      <c r="BB313" s="2045" t="s">
        <v>215</v>
      </c>
      <c r="BC313" s="1539" t="s">
        <v>4</v>
      </c>
      <c r="BD313" s="2063" t="s">
        <v>41</v>
      </c>
      <c r="BE313" s="2084"/>
      <c r="BG313" s="1551"/>
      <c r="BH313" s="1560"/>
      <c r="BI313" s="1560"/>
      <c r="BJ313" s="1555"/>
      <c r="BK313" s="1561"/>
      <c r="BL313" s="1561"/>
      <c r="BM313" s="1561"/>
      <c r="BN313" s="1555"/>
      <c r="BO313" s="1555"/>
    </row>
    <row r="314" spans="1:72" s="1523" customFormat="1" ht="26.25" customHeight="1">
      <c r="A314" s="2051"/>
      <c r="B314" s="2057"/>
      <c r="C314" s="2057"/>
      <c r="D314" s="1519" t="s">
        <v>7</v>
      </c>
      <c r="E314" s="1519" t="s">
        <v>8</v>
      </c>
      <c r="F314" s="1572" t="s">
        <v>9</v>
      </c>
      <c r="G314" s="1572" t="s">
        <v>9</v>
      </c>
      <c r="H314" s="2097" t="s">
        <v>10</v>
      </c>
      <c r="I314" s="2099"/>
      <c r="J314" s="2097" t="s">
        <v>11</v>
      </c>
      <c r="K314" s="2099"/>
      <c r="L314" s="2097" t="s">
        <v>12</v>
      </c>
      <c r="M314" s="2099"/>
      <c r="N314" s="2097" t="s">
        <v>13</v>
      </c>
      <c r="O314" s="2099"/>
      <c r="P314" s="2097" t="s">
        <v>14</v>
      </c>
      <c r="Q314" s="2099"/>
      <c r="R314" s="2100" t="s">
        <v>15</v>
      </c>
      <c r="S314" s="2101"/>
      <c r="T314" s="2097" t="s">
        <v>16</v>
      </c>
      <c r="U314" s="2099"/>
      <c r="V314" s="2057"/>
      <c r="W314" s="2097" t="s">
        <v>17</v>
      </c>
      <c r="X314" s="2099"/>
      <c r="Y314" s="2097" t="s">
        <v>18</v>
      </c>
      <c r="Z314" s="2098"/>
      <c r="AA314" s="2099"/>
      <c r="AB314" s="2097" t="s">
        <v>19</v>
      </c>
      <c r="AC314" s="2098"/>
      <c r="AD314" s="2099"/>
      <c r="AE314" s="2043"/>
      <c r="AF314" s="2066"/>
      <c r="AG314" s="2067"/>
      <c r="AH314" s="2067"/>
      <c r="AI314" s="2067"/>
      <c r="AJ314" s="2067"/>
      <c r="AK314" s="2067"/>
      <c r="AL314" s="2067"/>
      <c r="AM314" s="2068"/>
      <c r="AN314" s="2057"/>
      <c r="AO314" s="1534" t="s">
        <v>9</v>
      </c>
      <c r="AP314" s="2039"/>
      <c r="AQ314" s="2102"/>
      <c r="AR314" s="2041"/>
      <c r="AS314" s="2039"/>
      <c r="AT314" s="2102"/>
      <c r="AU314" s="2102"/>
      <c r="AV314" s="2102"/>
      <c r="AW314" s="2041"/>
      <c r="AX314" s="1519" t="s">
        <v>21</v>
      </c>
      <c r="AY314" s="2043"/>
      <c r="AZ314" s="2046"/>
      <c r="BA314" s="2046"/>
      <c r="BB314" s="2046"/>
      <c r="BC314" s="1540" t="s">
        <v>9</v>
      </c>
      <c r="BD314" s="2085"/>
      <c r="BE314" s="2086"/>
      <c r="BG314" s="1551"/>
      <c r="BH314" s="1560"/>
      <c r="BI314" s="1560"/>
      <c r="BJ314" s="1555"/>
      <c r="BK314" s="1561"/>
      <c r="BL314" s="1561"/>
      <c r="BM314" s="1561"/>
      <c r="BN314" s="1555"/>
      <c r="BO314" s="1555"/>
    </row>
    <row r="315" spans="1:72" s="1523" customFormat="1" ht="93" customHeight="1">
      <c r="A315" s="2051"/>
      <c r="B315" s="2057"/>
      <c r="C315" s="2057"/>
      <c r="D315" s="1519" t="s">
        <v>22</v>
      </c>
      <c r="E315" s="1519" t="s">
        <v>23</v>
      </c>
      <c r="F315" s="1572" t="s">
        <v>24</v>
      </c>
      <c r="G315" s="1572" t="s">
        <v>25</v>
      </c>
      <c r="H315" s="2107" t="s">
        <v>4</v>
      </c>
      <c r="I315" s="2108"/>
      <c r="J315" s="2107" t="s">
        <v>4</v>
      </c>
      <c r="K315" s="2108"/>
      <c r="L315" s="2107" t="s">
        <v>4</v>
      </c>
      <c r="M315" s="2108"/>
      <c r="N315" s="2107" t="s">
        <v>4</v>
      </c>
      <c r="O315" s="2108"/>
      <c r="P315" s="2107" t="s">
        <v>4</v>
      </c>
      <c r="Q315" s="2108"/>
      <c r="R315" s="2116" t="s">
        <v>4</v>
      </c>
      <c r="S315" s="2117"/>
      <c r="T315" s="2107" t="s">
        <v>4</v>
      </c>
      <c r="U315" s="2108"/>
      <c r="V315" s="2057"/>
      <c r="W315" s="1534" t="s">
        <v>27</v>
      </c>
      <c r="X315" s="1640" t="s">
        <v>28</v>
      </c>
      <c r="Y315" s="1534" t="s">
        <v>27</v>
      </c>
      <c r="Z315" s="2107" t="s">
        <v>4</v>
      </c>
      <c r="AA315" s="2108"/>
      <c r="AB315" s="1641" t="s">
        <v>27</v>
      </c>
      <c r="AC315" s="2097" t="s">
        <v>4</v>
      </c>
      <c r="AD315" s="2099"/>
      <c r="AE315" s="2062"/>
      <c r="AF315" s="1642" t="s">
        <v>356</v>
      </c>
      <c r="AG315" s="1642" t="s">
        <v>461</v>
      </c>
      <c r="AH315" s="1642" t="s">
        <v>460</v>
      </c>
      <c r="AI315" s="1642" t="s">
        <v>458</v>
      </c>
      <c r="AJ315" s="1642" t="s">
        <v>459</v>
      </c>
      <c r="AK315" s="1642" t="s">
        <v>462</v>
      </c>
      <c r="AL315" s="1643" t="s">
        <v>278</v>
      </c>
      <c r="AM315" s="1642" t="s">
        <v>97</v>
      </c>
      <c r="AN315" s="2090"/>
      <c r="AO315" s="1534" t="s">
        <v>29</v>
      </c>
      <c r="AP315" s="1519" t="s">
        <v>30</v>
      </c>
      <c r="AQ315" s="1519" t="s">
        <v>31</v>
      </c>
      <c r="AR315" s="1519" t="s">
        <v>4</v>
      </c>
      <c r="AS315" s="1519" t="s">
        <v>30</v>
      </c>
      <c r="AT315" s="1519" t="s">
        <v>31</v>
      </c>
      <c r="AU315" s="1519" t="s">
        <v>30</v>
      </c>
      <c r="AV315" s="1519" t="s">
        <v>31</v>
      </c>
      <c r="AW315" s="1534" t="s">
        <v>4</v>
      </c>
      <c r="AX315" s="1519" t="s">
        <v>32</v>
      </c>
      <c r="AY315" s="2043"/>
      <c r="AZ315" s="2046"/>
      <c r="BA315" s="2046"/>
      <c r="BB315" s="2046"/>
      <c r="BC315" s="1540" t="s">
        <v>33</v>
      </c>
      <c r="BD315" s="2109" t="s">
        <v>42</v>
      </c>
      <c r="BE315" s="2111" t="s">
        <v>43</v>
      </c>
      <c r="BG315" s="1573"/>
      <c r="BH315" s="1560"/>
      <c r="BI315" s="1560"/>
      <c r="BJ315" s="1555"/>
      <c r="BK315" s="1561"/>
      <c r="BL315" s="1561"/>
      <c r="BM315" s="1561"/>
      <c r="BN315" s="1555"/>
      <c r="BO315" s="1555"/>
    </row>
    <row r="316" spans="1:72" s="1523" customFormat="1" ht="29.25" customHeight="1" thickBot="1">
      <c r="A316" s="2105"/>
      <c r="B316" s="2106"/>
      <c r="C316" s="2106"/>
      <c r="D316" s="1644"/>
      <c r="E316" s="1644"/>
      <c r="F316" s="1645" t="s">
        <v>34</v>
      </c>
      <c r="G316" s="1580" t="s">
        <v>34</v>
      </c>
      <c r="H316" s="1527" t="s">
        <v>8</v>
      </c>
      <c r="I316" s="1582" t="s">
        <v>34</v>
      </c>
      <c r="J316" s="1527" t="s">
        <v>8</v>
      </c>
      <c r="K316" s="1582" t="s">
        <v>34</v>
      </c>
      <c r="L316" s="1527" t="s">
        <v>8</v>
      </c>
      <c r="M316" s="1582" t="s">
        <v>34</v>
      </c>
      <c r="N316" s="1527" t="s">
        <v>8</v>
      </c>
      <c r="O316" s="1582" t="s">
        <v>34</v>
      </c>
      <c r="P316" s="1527" t="s">
        <v>8</v>
      </c>
      <c r="Q316" s="1582" t="s">
        <v>34</v>
      </c>
      <c r="R316" s="1527" t="s">
        <v>8</v>
      </c>
      <c r="S316" s="1582" t="s">
        <v>34</v>
      </c>
      <c r="T316" s="1527" t="s">
        <v>8</v>
      </c>
      <c r="U316" s="1582" t="s">
        <v>34</v>
      </c>
      <c r="V316" s="2106"/>
      <c r="W316" s="1527" t="s">
        <v>26</v>
      </c>
      <c r="X316" s="1527" t="s">
        <v>34</v>
      </c>
      <c r="Y316" s="1527" t="s">
        <v>26</v>
      </c>
      <c r="Z316" s="1527" t="s">
        <v>26</v>
      </c>
      <c r="AA316" s="1527" t="s">
        <v>34</v>
      </c>
      <c r="AB316" s="1527" t="s">
        <v>26</v>
      </c>
      <c r="AC316" s="1527" t="s">
        <v>35</v>
      </c>
      <c r="AD316" s="1527" t="s">
        <v>34</v>
      </c>
      <c r="AE316" s="1527" t="s">
        <v>34</v>
      </c>
      <c r="AF316" s="1582" t="s">
        <v>34</v>
      </c>
      <c r="AG316" s="1582" t="s">
        <v>34</v>
      </c>
      <c r="AH316" s="1582" t="s">
        <v>34</v>
      </c>
      <c r="AI316" s="1582" t="s">
        <v>34</v>
      </c>
      <c r="AJ316" s="1582" t="s">
        <v>34</v>
      </c>
      <c r="AK316" s="1582" t="s">
        <v>34</v>
      </c>
      <c r="AL316" s="1582" t="s">
        <v>34</v>
      </c>
      <c r="AM316" s="1582" t="s">
        <v>34</v>
      </c>
      <c r="AN316" s="1527" t="s">
        <v>34</v>
      </c>
      <c r="AO316" s="1527" t="s">
        <v>34</v>
      </c>
      <c r="AP316" s="1640" t="s">
        <v>34</v>
      </c>
      <c r="AQ316" s="1640" t="s">
        <v>34</v>
      </c>
      <c r="AR316" s="1582" t="s">
        <v>34</v>
      </c>
      <c r="AS316" s="1582" t="s">
        <v>58</v>
      </c>
      <c r="AT316" s="1582" t="s">
        <v>34</v>
      </c>
      <c r="AU316" s="1582" t="s">
        <v>59</v>
      </c>
      <c r="AV316" s="1582" t="s">
        <v>34</v>
      </c>
      <c r="AW316" s="1582" t="s">
        <v>34</v>
      </c>
      <c r="AX316" s="1582" t="s">
        <v>34</v>
      </c>
      <c r="AY316" s="2103"/>
      <c r="AZ316" s="2104"/>
      <c r="BA316" s="2047"/>
      <c r="BB316" s="2104"/>
      <c r="BC316" s="1544" t="s">
        <v>34</v>
      </c>
      <c r="BD316" s="2110"/>
      <c r="BE316" s="2112"/>
      <c r="BG316" s="1555" t="s">
        <v>353</v>
      </c>
      <c r="BH316" s="1578" t="s">
        <v>43</v>
      </c>
      <c r="BI316" s="1578" t="s">
        <v>42</v>
      </c>
      <c r="BJ316" s="1555" t="s">
        <v>354</v>
      </c>
      <c r="BK316" s="1561" t="s">
        <v>358</v>
      </c>
      <c r="BL316" s="1561"/>
      <c r="BM316" s="1561"/>
      <c r="BN316" s="1555"/>
      <c r="BO316" s="1555"/>
    </row>
    <row r="317" spans="1:72" ht="83.25" customHeight="1" thickBot="1">
      <c r="A317" s="1584" t="s">
        <v>63</v>
      </c>
      <c r="B317" s="1489" t="s">
        <v>36</v>
      </c>
      <c r="C317" s="1646" t="s">
        <v>216</v>
      </c>
      <c r="D317" s="1647" t="s">
        <v>153</v>
      </c>
      <c r="E317" s="1489">
        <f>'HK UP KEEP, OP '!AH63</f>
        <v>23</v>
      </c>
      <c r="F317" s="1490">
        <v>129220</v>
      </c>
      <c r="G317" s="1490">
        <f>SUM(F317*E317)</f>
        <v>2972060</v>
      </c>
      <c r="H317" s="1489">
        <f>'HK UP KEEP, OP '!AI63</f>
        <v>1</v>
      </c>
      <c r="I317" s="1494">
        <f t="shared" ref="I317:I380" si="33">H317*F317</f>
        <v>129220</v>
      </c>
      <c r="J317" s="1489">
        <f>'HK UP KEEP, OP '!AJ63</f>
        <v>0</v>
      </c>
      <c r="K317" s="1494">
        <f t="shared" ref="K317:K380" si="34">J317*F317</f>
        <v>0</v>
      </c>
      <c r="L317" s="1489"/>
      <c r="M317" s="1494">
        <f t="shared" ref="M317:M380" si="35">L317*F317</f>
        <v>0</v>
      </c>
      <c r="N317" s="1489">
        <f>'HK UP KEEP, OP '!AL63</f>
        <v>4</v>
      </c>
      <c r="O317" s="1494">
        <f t="shared" ref="O317:O380" si="36">N317*F317</f>
        <v>516880</v>
      </c>
      <c r="P317" s="1489">
        <f>'HK UP KEEP, OP '!AM63</f>
        <v>3</v>
      </c>
      <c r="Q317" s="1494">
        <f t="shared" ref="Q317:Q380" si="37">P317*F317</f>
        <v>387660</v>
      </c>
      <c r="R317" s="1489"/>
      <c r="S317" s="1494">
        <f t="shared" ref="S317:S380" si="38">R317*F317</f>
        <v>0</v>
      </c>
      <c r="T317" s="1489">
        <f>'HK UP KEEP, OP '!AO63+'HK UP KEEP, OP '!AP63+'HK UP KEEP, OP '!AQ63</f>
        <v>0</v>
      </c>
      <c r="U317" s="1494">
        <f t="shared" ref="U317:U380" si="39">T317*F317</f>
        <v>0</v>
      </c>
      <c r="V317" s="1494">
        <f t="shared" ref="V317:V380" si="40">SUM(E317+H317+J317+L317+N317+P317+R317+T317)</f>
        <v>31</v>
      </c>
      <c r="W317" s="1491">
        <v>4650</v>
      </c>
      <c r="X317" s="1494">
        <f t="shared" ref="X317:X380" si="41">W317*V317</f>
        <v>144150</v>
      </c>
      <c r="Y317" s="1494">
        <v>3500</v>
      </c>
      <c r="Z317" s="1494">
        <f t="shared" ref="Z317:Z380" si="42">E317</f>
        <v>23</v>
      </c>
      <c r="AA317" s="1648">
        <f t="shared" ref="AA317:AA380" si="43">Z317*Y317</f>
        <v>80500</v>
      </c>
      <c r="AB317" s="1494">
        <v>2500</v>
      </c>
      <c r="AC317" s="1489">
        <f>'MASA KERJA AB'!H43</f>
        <v>14</v>
      </c>
      <c r="AD317" s="1492">
        <f>'MASA KERJA AB'!I43</f>
        <v>40000</v>
      </c>
      <c r="AE317" s="1491">
        <f>'LEMBUR DAN PREMI UPKEEP'!AJ43</f>
        <v>963547.96</v>
      </c>
      <c r="AF317" s="1648">
        <f>'PREMI ALAT'!AL28</f>
        <v>799692.5</v>
      </c>
      <c r="AG317" s="1648">
        <f>'PREMI ALAT'!AL32</f>
        <v>132500</v>
      </c>
      <c r="AH317" s="1648">
        <f>'PREMI ALAT'!AL36</f>
        <v>27087</v>
      </c>
      <c r="AI317" s="1494">
        <f>'PREMI ALAT'!AL37</f>
        <v>0</v>
      </c>
      <c r="AJ317" s="1494">
        <f>'PREMI ALAT'!AL39</f>
        <v>0</v>
      </c>
      <c r="AK317" s="1501"/>
      <c r="AL317" s="1494"/>
      <c r="AM317" s="1494"/>
      <c r="AN317" s="1494"/>
      <c r="AO317" s="1494">
        <f t="shared" ref="AO317:AO380" si="44">SUM(G317+I317+K317+M317+O317+Q317+S317+U317+X317+AA317+AD317+AE317+AF317+AG317+AH317+AI317+AJ317+AK317+AL317+AM317-AN317)</f>
        <v>6193297.46</v>
      </c>
      <c r="AP317" s="1489">
        <f t="shared" ref="AP317:AP380" si="45">$AP$312*0.02</f>
        <v>77532</v>
      </c>
      <c r="AQ317" s="1489">
        <f t="shared" ref="AQ317:AQ380" si="46">$AP$312*0.0454</f>
        <v>175997.64</v>
      </c>
      <c r="AR317" s="1489">
        <f t="shared" ref="AR317:AR380" si="47">SUM(AQ317+AP317)</f>
        <v>253529.64</v>
      </c>
      <c r="AS317" s="1489">
        <f t="shared" ref="AS317:AS380" si="48">($AP$312+AD317)*1%</f>
        <v>39166</v>
      </c>
      <c r="AT317" s="1489">
        <f t="shared" ref="AT317:AT380" si="49">($AP$312+AD317)*4%</f>
        <v>156664</v>
      </c>
      <c r="AU317" s="1489">
        <f t="shared" ref="AU317:AU380" si="50">$AP$312*1%</f>
        <v>38766</v>
      </c>
      <c r="AV317" s="1489">
        <f t="shared" ref="AV317:AV380" si="51">$AP$312*2%</f>
        <v>77532</v>
      </c>
      <c r="AW317" s="1489">
        <f t="shared" ref="AW317:AW380" si="52">SUM(AS317:AV317)</f>
        <v>312128</v>
      </c>
      <c r="AX317" s="1648">
        <v>4000</v>
      </c>
      <c r="AY317" s="1649">
        <v>54619</v>
      </c>
      <c r="AZ317" s="1494">
        <f t="shared" ref="AZ317:AZ380" si="53">AM317</f>
        <v>0</v>
      </c>
      <c r="BA317" s="1491"/>
      <c r="BB317" s="1491"/>
      <c r="BC317" s="1489">
        <f t="shared" ref="BC317:BC380" si="54">SUM(AO317-AP317-AS317-AU317-AX317-AY317-AZ317-BB317-BA317)</f>
        <v>5979214.46</v>
      </c>
      <c r="BD317" s="1489">
        <f>'HK UP KEEP, OP '!AS63</f>
        <v>0</v>
      </c>
      <c r="BE317" s="1495">
        <f>'HK UP KEEP, OP '!AT63</f>
        <v>0</v>
      </c>
      <c r="BG317" s="1551">
        <f t="shared" ref="BG317:BG380" si="55">V317*F317</f>
        <v>4005820</v>
      </c>
      <c r="BH317" s="1552">
        <f t="shared" ref="BH317:BH380" si="56">BD317*F317</f>
        <v>0</v>
      </c>
      <c r="BI317" s="1552">
        <f t="shared" ref="BI317:BI380" si="57">BE317*F317</f>
        <v>0</v>
      </c>
      <c r="BJ317" s="1551">
        <f t="shared" ref="BJ317:BJ380" si="58">-(BH317+BI317)</f>
        <v>0</v>
      </c>
      <c r="BK317" s="1553">
        <f t="shared" ref="BK317:BK380" si="59">SUM(BG317:BI317)</f>
        <v>4005820</v>
      </c>
      <c r="BM317" s="1553">
        <f t="shared" ref="BM317:BM380" si="60">X317+AA317+AD317+AE317+AF317+AG317+AH317+AI317+AJ317+AK317+AL317+AM317</f>
        <v>2187477.46</v>
      </c>
      <c r="BN317" s="1551">
        <v>30575.999999999996</v>
      </c>
      <c r="BO317" s="1551">
        <f t="shared" ref="BO317:BO380" si="61">BN317+AT317</f>
        <v>187240</v>
      </c>
    </row>
    <row r="318" spans="1:72" ht="19.5" customHeight="1">
      <c r="A318" s="2048" t="s">
        <v>0</v>
      </c>
      <c r="B318" s="2048"/>
      <c r="C318" s="2048"/>
      <c r="D318" s="2048"/>
      <c r="E318" s="2048"/>
      <c r="F318" s="2048"/>
      <c r="G318" s="2048"/>
      <c r="H318" s="2048"/>
      <c r="I318" s="2048"/>
      <c r="J318" s="2048"/>
      <c r="K318" s="2048"/>
      <c r="L318" s="2048"/>
      <c r="M318" s="2048"/>
      <c r="N318" s="2048"/>
      <c r="O318" s="2048"/>
      <c r="P318" s="2048"/>
      <c r="Q318" s="2048"/>
      <c r="R318" s="2048"/>
      <c r="S318" s="2048"/>
      <c r="T318" s="2048"/>
      <c r="U318" s="2048"/>
      <c r="V318" s="2048"/>
      <c r="W318" s="2048"/>
      <c r="X318" s="2048"/>
      <c r="Y318" s="2048"/>
      <c r="Z318" s="2048"/>
      <c r="AA318" s="2048"/>
      <c r="AB318" s="2048"/>
      <c r="AC318" s="2048"/>
      <c r="AD318" s="2048"/>
      <c r="AE318" s="2048"/>
      <c r="AF318" s="2048"/>
      <c r="AG318" s="2048"/>
      <c r="AH318" s="2048"/>
      <c r="AI318" s="2048"/>
      <c r="AJ318" s="2048"/>
      <c r="AK318" s="2048"/>
      <c r="AL318" s="2048"/>
      <c r="AM318" s="2048"/>
      <c r="AN318" s="2048"/>
      <c r="AO318" s="2048"/>
      <c r="AP318" s="2048"/>
      <c r="AQ318" s="2048"/>
      <c r="AR318" s="2048"/>
      <c r="AS318" s="2048"/>
      <c r="AT318" s="2048"/>
      <c r="AU318" s="2048"/>
      <c r="AV318" s="2048"/>
      <c r="AW318" s="2048"/>
      <c r="AX318" s="2048"/>
      <c r="AY318" s="2048"/>
      <c r="AZ318" s="2048"/>
      <c r="BA318" s="2048"/>
      <c r="BB318" s="2048"/>
      <c r="BC318" s="2048"/>
      <c r="BD318" s="2048"/>
      <c r="BE318" s="2048"/>
    </row>
    <row r="319" spans="1:72" ht="18.75" customHeight="1">
      <c r="A319" s="2049" t="s">
        <v>1033</v>
      </c>
      <c r="B319" s="2049"/>
      <c r="C319" s="2049"/>
      <c r="D319" s="2049"/>
      <c r="E319" s="2049"/>
      <c r="F319" s="2049"/>
      <c r="G319" s="2049"/>
      <c r="H319" s="2049"/>
      <c r="I319" s="2049"/>
      <c r="J319" s="2049"/>
      <c r="K319" s="2049"/>
      <c r="L319" s="2049"/>
      <c r="M319" s="2049"/>
      <c r="N319" s="2049"/>
      <c r="O319" s="2049"/>
      <c r="P319" s="2049"/>
      <c r="Q319" s="2049"/>
      <c r="R319" s="2049"/>
      <c r="S319" s="2049"/>
      <c r="T319" s="2049"/>
      <c r="U319" s="2049"/>
      <c r="V319" s="2049"/>
      <c r="W319" s="2049"/>
      <c r="X319" s="2049"/>
      <c r="Y319" s="2049"/>
      <c r="Z319" s="2049"/>
      <c r="AA319" s="2049"/>
      <c r="AB319" s="2049"/>
      <c r="AC319" s="2049"/>
      <c r="AD319" s="2049"/>
      <c r="AE319" s="2049"/>
      <c r="AF319" s="2049"/>
      <c r="AG319" s="2049"/>
      <c r="AH319" s="2049"/>
      <c r="AI319" s="2049"/>
      <c r="AJ319" s="2049"/>
      <c r="AK319" s="2049"/>
      <c r="AL319" s="2049"/>
      <c r="AM319" s="2049"/>
      <c r="AN319" s="2049"/>
      <c r="AO319" s="2049"/>
      <c r="AP319" s="2049"/>
      <c r="AQ319" s="2049"/>
      <c r="AR319" s="2049"/>
      <c r="AS319" s="2049"/>
      <c r="AT319" s="2049"/>
      <c r="AU319" s="2049"/>
      <c r="AV319" s="2049"/>
      <c r="AW319" s="2049"/>
      <c r="AX319" s="2049"/>
      <c r="AY319" s="2049"/>
      <c r="AZ319" s="2049"/>
      <c r="BA319" s="2049"/>
      <c r="BB319" s="2049"/>
      <c r="BC319" s="2049"/>
      <c r="BD319" s="2049"/>
      <c r="BE319" s="2049"/>
    </row>
    <row r="320" spans="1:72" s="1523" customFormat="1" ht="18.75" customHeight="1">
      <c r="D320" s="1523" t="s">
        <v>964</v>
      </c>
      <c r="F320" s="1555"/>
      <c r="G320" s="1555"/>
      <c r="O320" s="1523" t="s">
        <v>214</v>
      </c>
      <c r="AE320" s="1532"/>
      <c r="AF320" s="1532"/>
      <c r="AG320" s="1532"/>
      <c r="AH320" s="1532"/>
      <c r="AI320" s="1532"/>
      <c r="AJ320" s="1532"/>
      <c r="AK320" s="1557"/>
      <c r="AL320" s="1532"/>
      <c r="AM320" s="1532"/>
      <c r="AP320" s="1558">
        <v>3876600</v>
      </c>
      <c r="AQ320" s="1566">
        <f>AP320/30</f>
        <v>129220</v>
      </c>
      <c r="AV320" s="1532" t="s">
        <v>55</v>
      </c>
      <c r="AW320" s="1523" t="s">
        <v>195</v>
      </c>
      <c r="BC320" s="1518"/>
      <c r="BD320" s="1532"/>
      <c r="BG320" s="1551"/>
      <c r="BH320" s="1560"/>
      <c r="BI320" s="1560"/>
      <c r="BJ320" s="1555"/>
      <c r="BK320" s="1561"/>
      <c r="BL320" s="1561"/>
      <c r="BM320" s="1561"/>
      <c r="BN320" s="1555"/>
      <c r="BO320" s="1555"/>
    </row>
    <row r="321" spans="1:67" ht="18.75" customHeight="1" thickBot="1">
      <c r="A321" s="1547"/>
      <c r="D321" s="1563"/>
      <c r="E321" s="1563"/>
      <c r="F321" s="1564"/>
      <c r="G321" s="1564"/>
      <c r="H321" s="1563"/>
      <c r="I321" s="1563"/>
      <c r="J321" s="1563"/>
      <c r="K321" s="1563"/>
      <c r="L321" s="1563"/>
      <c r="M321" s="1563"/>
      <c r="N321" s="1563"/>
      <c r="O321" s="1563"/>
      <c r="Q321" s="1563"/>
      <c r="R321" s="1563"/>
      <c r="S321" s="1563"/>
      <c r="T321" s="1563"/>
      <c r="U321" s="1563"/>
      <c r="V321" s="1563"/>
      <c r="W321" s="1563"/>
      <c r="X321" s="1563"/>
      <c r="Y321" s="1563"/>
      <c r="Z321" s="1563"/>
      <c r="AA321" s="1563"/>
      <c r="AB321" s="1563"/>
      <c r="AC321" s="1563"/>
      <c r="AD321" s="1547"/>
      <c r="AE321" s="1563"/>
      <c r="AF321" s="1563"/>
      <c r="AG321" s="1563"/>
      <c r="AH321" s="1563"/>
      <c r="AI321" s="1563"/>
      <c r="AJ321" s="1563"/>
      <c r="AK321" s="1565"/>
      <c r="AL321" s="1563"/>
      <c r="AM321" s="1563"/>
      <c r="AO321" s="1639"/>
      <c r="AP321" s="1558">
        <v>3876600</v>
      </c>
      <c r="AQ321" s="1566">
        <f>AP321/30</f>
        <v>129220</v>
      </c>
    </row>
    <row r="322" spans="1:67" s="1523" customFormat="1" ht="16.5" customHeight="1">
      <c r="A322" s="2050" t="s">
        <v>5</v>
      </c>
      <c r="B322" s="2056" t="s">
        <v>6</v>
      </c>
      <c r="C322" s="2056" t="s">
        <v>52</v>
      </c>
      <c r="D322" s="1569"/>
      <c r="E322" s="1569"/>
      <c r="F322" s="1570"/>
      <c r="G322" s="1570"/>
      <c r="H322" s="2059" t="s">
        <v>2</v>
      </c>
      <c r="I322" s="2060"/>
      <c r="J322" s="2060"/>
      <c r="K322" s="2060"/>
      <c r="L322" s="2060"/>
      <c r="M322" s="2060"/>
      <c r="N322" s="2060"/>
      <c r="O322" s="2060"/>
      <c r="P322" s="2060"/>
      <c r="Q322" s="2060"/>
      <c r="R322" s="2060"/>
      <c r="S322" s="2060"/>
      <c r="T322" s="2060"/>
      <c r="U322" s="2061"/>
      <c r="V322" s="2056" t="s">
        <v>286</v>
      </c>
      <c r="W322" s="2059" t="s">
        <v>3</v>
      </c>
      <c r="X322" s="2060"/>
      <c r="Y322" s="2060"/>
      <c r="Z322" s="2060"/>
      <c r="AA322" s="2060"/>
      <c r="AB322" s="2060"/>
      <c r="AC322" s="2060"/>
      <c r="AD322" s="2061"/>
      <c r="AE322" s="2042" t="s">
        <v>45</v>
      </c>
      <c r="AF322" s="2063" t="s">
        <v>46</v>
      </c>
      <c r="AG322" s="2064"/>
      <c r="AH322" s="2064"/>
      <c r="AI322" s="2064"/>
      <c r="AJ322" s="2064"/>
      <c r="AK322" s="2064"/>
      <c r="AL322" s="2064"/>
      <c r="AM322" s="2065"/>
      <c r="AN322" s="2056" t="s">
        <v>44</v>
      </c>
      <c r="AO322" s="1533" t="s">
        <v>4</v>
      </c>
      <c r="AP322" s="2036" t="s">
        <v>20</v>
      </c>
      <c r="AQ322" s="2037"/>
      <c r="AR322" s="2038"/>
      <c r="AS322" s="2036" t="s">
        <v>54</v>
      </c>
      <c r="AT322" s="2037"/>
      <c r="AU322" s="2037"/>
      <c r="AV322" s="2037"/>
      <c r="AW322" s="2038"/>
      <c r="AX322" s="1569"/>
      <c r="AY322" s="2042" t="s">
        <v>89</v>
      </c>
      <c r="AZ322" s="2045" t="s">
        <v>97</v>
      </c>
      <c r="BA322" s="2045" t="s">
        <v>720</v>
      </c>
      <c r="BB322" s="2045" t="s">
        <v>215</v>
      </c>
      <c r="BC322" s="1539" t="s">
        <v>4</v>
      </c>
      <c r="BD322" s="2063" t="s">
        <v>41</v>
      </c>
      <c r="BE322" s="2084"/>
      <c r="BG322" s="1551"/>
      <c r="BH322" s="1560"/>
      <c r="BI322" s="1560"/>
      <c r="BJ322" s="1555"/>
      <c r="BK322" s="1561"/>
      <c r="BL322" s="1561"/>
      <c r="BM322" s="1561"/>
      <c r="BN322" s="1555"/>
      <c r="BO322" s="1555"/>
    </row>
    <row r="323" spans="1:67" s="1523" customFormat="1" ht="26.25" customHeight="1">
      <c r="A323" s="2051"/>
      <c r="B323" s="2057"/>
      <c r="C323" s="2057"/>
      <c r="D323" s="1519" t="s">
        <v>7</v>
      </c>
      <c r="E323" s="1519" t="s">
        <v>8</v>
      </c>
      <c r="F323" s="1572" t="s">
        <v>9</v>
      </c>
      <c r="G323" s="1572" t="s">
        <v>9</v>
      </c>
      <c r="H323" s="2097" t="s">
        <v>10</v>
      </c>
      <c r="I323" s="2099"/>
      <c r="J323" s="2097" t="s">
        <v>11</v>
      </c>
      <c r="K323" s="2099"/>
      <c r="L323" s="2097" t="s">
        <v>12</v>
      </c>
      <c r="M323" s="2099"/>
      <c r="N323" s="2097" t="s">
        <v>13</v>
      </c>
      <c r="O323" s="2099"/>
      <c r="P323" s="2097" t="s">
        <v>14</v>
      </c>
      <c r="Q323" s="2099"/>
      <c r="R323" s="2100" t="s">
        <v>15</v>
      </c>
      <c r="S323" s="2101"/>
      <c r="T323" s="2097" t="s">
        <v>16</v>
      </c>
      <c r="U323" s="2099"/>
      <c r="V323" s="2057"/>
      <c r="W323" s="2097" t="s">
        <v>17</v>
      </c>
      <c r="X323" s="2099"/>
      <c r="Y323" s="2097" t="s">
        <v>18</v>
      </c>
      <c r="Z323" s="2098"/>
      <c r="AA323" s="2099"/>
      <c r="AB323" s="2097" t="s">
        <v>19</v>
      </c>
      <c r="AC323" s="2098"/>
      <c r="AD323" s="2099"/>
      <c r="AE323" s="2043"/>
      <c r="AF323" s="2066"/>
      <c r="AG323" s="2067"/>
      <c r="AH323" s="2067"/>
      <c r="AI323" s="2067"/>
      <c r="AJ323" s="2067"/>
      <c r="AK323" s="2067"/>
      <c r="AL323" s="2067"/>
      <c r="AM323" s="2068"/>
      <c r="AN323" s="2057"/>
      <c r="AO323" s="1534" t="s">
        <v>9</v>
      </c>
      <c r="AP323" s="2039"/>
      <c r="AQ323" s="2102"/>
      <c r="AR323" s="2041"/>
      <c r="AS323" s="2039"/>
      <c r="AT323" s="2102"/>
      <c r="AU323" s="2102"/>
      <c r="AV323" s="2102"/>
      <c r="AW323" s="2041"/>
      <c r="AX323" s="1519" t="s">
        <v>21</v>
      </c>
      <c r="AY323" s="2043"/>
      <c r="AZ323" s="2046"/>
      <c r="BA323" s="2046"/>
      <c r="BB323" s="2046"/>
      <c r="BC323" s="1540" t="s">
        <v>9</v>
      </c>
      <c r="BD323" s="2085"/>
      <c r="BE323" s="2086"/>
      <c r="BG323" s="1551"/>
      <c r="BH323" s="1560"/>
      <c r="BI323" s="1560"/>
      <c r="BJ323" s="1555"/>
      <c r="BK323" s="1561"/>
      <c r="BL323" s="1561"/>
      <c r="BM323" s="1561"/>
      <c r="BN323" s="1555"/>
      <c r="BO323" s="1555"/>
    </row>
    <row r="324" spans="1:67" s="1523" customFormat="1" ht="93" customHeight="1">
      <c r="A324" s="2051"/>
      <c r="B324" s="2057"/>
      <c r="C324" s="2057"/>
      <c r="D324" s="1519" t="s">
        <v>22</v>
      </c>
      <c r="E324" s="1519" t="s">
        <v>23</v>
      </c>
      <c r="F324" s="1572" t="s">
        <v>24</v>
      </c>
      <c r="G324" s="1572" t="s">
        <v>25</v>
      </c>
      <c r="H324" s="2107" t="s">
        <v>4</v>
      </c>
      <c r="I324" s="2108"/>
      <c r="J324" s="2107" t="s">
        <v>4</v>
      </c>
      <c r="K324" s="2108"/>
      <c r="L324" s="2107" t="s">
        <v>4</v>
      </c>
      <c r="M324" s="2108"/>
      <c r="N324" s="2107" t="s">
        <v>4</v>
      </c>
      <c r="O324" s="2108"/>
      <c r="P324" s="2107" t="s">
        <v>4</v>
      </c>
      <c r="Q324" s="2108"/>
      <c r="R324" s="2116" t="s">
        <v>4</v>
      </c>
      <c r="S324" s="2117"/>
      <c r="T324" s="2107" t="s">
        <v>4</v>
      </c>
      <c r="U324" s="2108"/>
      <c r="V324" s="2057"/>
      <c r="W324" s="1534" t="s">
        <v>27</v>
      </c>
      <c r="X324" s="1640" t="s">
        <v>28</v>
      </c>
      <c r="Y324" s="1534" t="s">
        <v>27</v>
      </c>
      <c r="Z324" s="2107" t="s">
        <v>4</v>
      </c>
      <c r="AA324" s="2108"/>
      <c r="AB324" s="1641" t="s">
        <v>27</v>
      </c>
      <c r="AC324" s="2097" t="s">
        <v>4</v>
      </c>
      <c r="AD324" s="2099"/>
      <c r="AE324" s="2062"/>
      <c r="AF324" s="1642" t="s">
        <v>356</v>
      </c>
      <c r="AG324" s="1642" t="s">
        <v>461</v>
      </c>
      <c r="AH324" s="1642" t="s">
        <v>460</v>
      </c>
      <c r="AI324" s="1642" t="s">
        <v>458</v>
      </c>
      <c r="AJ324" s="1642" t="s">
        <v>459</v>
      </c>
      <c r="AK324" s="1642" t="s">
        <v>462</v>
      </c>
      <c r="AL324" s="1643" t="s">
        <v>278</v>
      </c>
      <c r="AM324" s="1642" t="s">
        <v>97</v>
      </c>
      <c r="AN324" s="2090"/>
      <c r="AO324" s="1534" t="s">
        <v>29</v>
      </c>
      <c r="AP324" s="1519" t="s">
        <v>30</v>
      </c>
      <c r="AQ324" s="1519" t="s">
        <v>31</v>
      </c>
      <c r="AR324" s="1519" t="s">
        <v>4</v>
      </c>
      <c r="AS324" s="1519" t="s">
        <v>30</v>
      </c>
      <c r="AT324" s="1519" t="s">
        <v>31</v>
      </c>
      <c r="AU324" s="1519" t="s">
        <v>30</v>
      </c>
      <c r="AV324" s="1519" t="s">
        <v>31</v>
      </c>
      <c r="AW324" s="1534" t="s">
        <v>4</v>
      </c>
      <c r="AX324" s="1519" t="s">
        <v>32</v>
      </c>
      <c r="AY324" s="2043"/>
      <c r="AZ324" s="2046"/>
      <c r="BA324" s="2046"/>
      <c r="BB324" s="2046"/>
      <c r="BC324" s="1540" t="s">
        <v>33</v>
      </c>
      <c r="BD324" s="2109" t="s">
        <v>42</v>
      </c>
      <c r="BE324" s="2111" t="s">
        <v>43</v>
      </c>
      <c r="BG324" s="1573"/>
      <c r="BH324" s="1560"/>
      <c r="BI324" s="1560"/>
      <c r="BJ324" s="1555"/>
      <c r="BK324" s="1561"/>
      <c r="BL324" s="1561"/>
      <c r="BM324" s="1561"/>
      <c r="BN324" s="1555"/>
      <c r="BO324" s="1555"/>
    </row>
    <row r="325" spans="1:67" s="1523" customFormat="1" ht="29.25" customHeight="1" thickBot="1">
      <c r="A325" s="2105"/>
      <c r="B325" s="2106"/>
      <c r="C325" s="2106"/>
      <c r="D325" s="1644"/>
      <c r="E325" s="1644"/>
      <c r="F325" s="1645" t="s">
        <v>34</v>
      </c>
      <c r="G325" s="1580" t="s">
        <v>34</v>
      </c>
      <c r="H325" s="1527" t="s">
        <v>8</v>
      </c>
      <c r="I325" s="1582" t="s">
        <v>34</v>
      </c>
      <c r="J325" s="1527" t="s">
        <v>8</v>
      </c>
      <c r="K325" s="1582" t="s">
        <v>34</v>
      </c>
      <c r="L325" s="1527" t="s">
        <v>8</v>
      </c>
      <c r="M325" s="1582" t="s">
        <v>34</v>
      </c>
      <c r="N325" s="1527" t="s">
        <v>8</v>
      </c>
      <c r="O325" s="1582" t="s">
        <v>34</v>
      </c>
      <c r="P325" s="1527" t="s">
        <v>8</v>
      </c>
      <c r="Q325" s="1582" t="s">
        <v>34</v>
      </c>
      <c r="R325" s="1527" t="s">
        <v>8</v>
      </c>
      <c r="S325" s="1582" t="s">
        <v>34</v>
      </c>
      <c r="T325" s="1527" t="s">
        <v>8</v>
      </c>
      <c r="U325" s="1582" t="s">
        <v>34</v>
      </c>
      <c r="V325" s="2106"/>
      <c r="W325" s="1527" t="s">
        <v>26</v>
      </c>
      <c r="X325" s="1527" t="s">
        <v>34</v>
      </c>
      <c r="Y325" s="1527" t="s">
        <v>26</v>
      </c>
      <c r="Z325" s="1527" t="s">
        <v>26</v>
      </c>
      <c r="AA325" s="1527" t="s">
        <v>34</v>
      </c>
      <c r="AB325" s="1527" t="s">
        <v>26</v>
      </c>
      <c r="AC325" s="1527" t="s">
        <v>35</v>
      </c>
      <c r="AD325" s="1527" t="s">
        <v>34</v>
      </c>
      <c r="AE325" s="1527" t="s">
        <v>34</v>
      </c>
      <c r="AF325" s="1582" t="s">
        <v>34</v>
      </c>
      <c r="AG325" s="1582" t="s">
        <v>34</v>
      </c>
      <c r="AH325" s="1582" t="s">
        <v>34</v>
      </c>
      <c r="AI325" s="1582" t="s">
        <v>34</v>
      </c>
      <c r="AJ325" s="1582" t="s">
        <v>34</v>
      </c>
      <c r="AK325" s="1582" t="s">
        <v>34</v>
      </c>
      <c r="AL325" s="1582" t="s">
        <v>34</v>
      </c>
      <c r="AM325" s="1582" t="s">
        <v>34</v>
      </c>
      <c r="AN325" s="1527" t="s">
        <v>34</v>
      </c>
      <c r="AO325" s="1527" t="s">
        <v>34</v>
      </c>
      <c r="AP325" s="1640" t="s">
        <v>34</v>
      </c>
      <c r="AQ325" s="1640" t="s">
        <v>34</v>
      </c>
      <c r="AR325" s="1582" t="s">
        <v>34</v>
      </c>
      <c r="AS325" s="1582" t="s">
        <v>58</v>
      </c>
      <c r="AT325" s="1582" t="s">
        <v>34</v>
      </c>
      <c r="AU325" s="1582" t="s">
        <v>59</v>
      </c>
      <c r="AV325" s="1582" t="s">
        <v>34</v>
      </c>
      <c r="AW325" s="1582" t="s">
        <v>34</v>
      </c>
      <c r="AX325" s="1582" t="s">
        <v>34</v>
      </c>
      <c r="AY325" s="2103"/>
      <c r="AZ325" s="2104"/>
      <c r="BA325" s="2047"/>
      <c r="BB325" s="2104"/>
      <c r="BC325" s="1544" t="s">
        <v>34</v>
      </c>
      <c r="BD325" s="2110"/>
      <c r="BE325" s="2112"/>
      <c r="BG325" s="1555" t="s">
        <v>353</v>
      </c>
      <c r="BH325" s="1578" t="s">
        <v>43</v>
      </c>
      <c r="BI325" s="1578" t="s">
        <v>42</v>
      </c>
      <c r="BJ325" s="1555" t="s">
        <v>354</v>
      </c>
      <c r="BK325" s="1561" t="s">
        <v>358</v>
      </c>
      <c r="BL325" s="1561"/>
      <c r="BM325" s="1561"/>
      <c r="BN325" s="1555"/>
      <c r="BO325" s="1555"/>
    </row>
    <row r="326" spans="1:67" ht="83.25" customHeight="1" thickBot="1">
      <c r="A326" s="1584" t="s">
        <v>53</v>
      </c>
      <c r="B326" s="1489" t="s">
        <v>36</v>
      </c>
      <c r="C326" s="1646" t="s">
        <v>217</v>
      </c>
      <c r="D326" s="1647" t="s">
        <v>154</v>
      </c>
      <c r="E326" s="1489">
        <f>'HK UP KEEP, OP '!AH64</f>
        <v>23</v>
      </c>
      <c r="F326" s="1490">
        <v>129220</v>
      </c>
      <c r="G326" s="1490">
        <f>SUM(F326*E326)</f>
        <v>2972060</v>
      </c>
      <c r="H326" s="1489">
        <f>'HK UP KEEP, OP '!AI64</f>
        <v>1</v>
      </c>
      <c r="I326" s="1494">
        <f t="shared" si="33"/>
        <v>129220</v>
      </c>
      <c r="J326" s="1489">
        <f>'HK UP KEEP, OP '!AJ64</f>
        <v>0</v>
      </c>
      <c r="K326" s="1494">
        <f t="shared" si="34"/>
        <v>0</v>
      </c>
      <c r="L326" s="1489"/>
      <c r="M326" s="1494">
        <f t="shared" si="35"/>
        <v>0</v>
      </c>
      <c r="N326" s="1489">
        <f>'HK UP KEEP, OP '!AL64</f>
        <v>4</v>
      </c>
      <c r="O326" s="1494">
        <f t="shared" si="36"/>
        <v>516880</v>
      </c>
      <c r="P326" s="1489">
        <f>'HK UP KEEP, OP '!AM64</f>
        <v>3</v>
      </c>
      <c r="Q326" s="1494">
        <f t="shared" si="37"/>
        <v>387660</v>
      </c>
      <c r="R326" s="1489"/>
      <c r="S326" s="1494">
        <f t="shared" si="38"/>
        <v>0</v>
      </c>
      <c r="T326" s="1489">
        <f>'HK UP KEEP, OP '!AO64+'HK UP KEEP, OP '!AP64+'HK UP KEEP, OP '!AQ64</f>
        <v>0</v>
      </c>
      <c r="U326" s="1494">
        <f t="shared" si="39"/>
        <v>0</v>
      </c>
      <c r="V326" s="1494">
        <f t="shared" si="40"/>
        <v>31</v>
      </c>
      <c r="W326" s="1489">
        <v>3700</v>
      </c>
      <c r="X326" s="1494">
        <f t="shared" si="41"/>
        <v>114700</v>
      </c>
      <c r="Y326" s="1494">
        <v>2500</v>
      </c>
      <c r="Z326" s="1494">
        <f t="shared" si="42"/>
        <v>23</v>
      </c>
      <c r="AA326" s="1648">
        <f t="shared" si="43"/>
        <v>57500</v>
      </c>
      <c r="AB326" s="1494">
        <v>2500</v>
      </c>
      <c r="AC326" s="1489">
        <f>'MASA KERJA AB'!H44</f>
        <v>9</v>
      </c>
      <c r="AD326" s="1492">
        <f>'MASA KERJA AB'!I44</f>
        <v>24000</v>
      </c>
      <c r="AE326" s="1491">
        <f>'LEMBUR DAN PREMI UPKEEP'!AJ46</f>
        <v>851507.5</v>
      </c>
      <c r="AF326" s="1648">
        <f>'PREMI ALAT'!AL59</f>
        <v>636980</v>
      </c>
      <c r="AG326" s="1648">
        <f>'PREMI ALAT'!AL63</f>
        <v>120500</v>
      </c>
      <c r="AH326" s="1648">
        <f>'PREMI ALAT'!AL67</f>
        <v>22572.5</v>
      </c>
      <c r="AI326" s="1494">
        <f>'PREMI ALAT'!AL68</f>
        <v>0</v>
      </c>
      <c r="AJ326" s="1494">
        <f>'PREMI ALAT'!AL70</f>
        <v>0</v>
      </c>
      <c r="AK326" s="1501"/>
      <c r="AL326" s="1494"/>
      <c r="AM326" s="1494"/>
      <c r="AN326" s="1494"/>
      <c r="AO326" s="1494">
        <f t="shared" si="44"/>
        <v>5833580</v>
      </c>
      <c r="AP326" s="1489">
        <f t="shared" si="45"/>
        <v>77532</v>
      </c>
      <c r="AQ326" s="1489">
        <f t="shared" si="46"/>
        <v>175997.64</v>
      </c>
      <c r="AR326" s="1489">
        <f t="shared" si="47"/>
        <v>253529.64</v>
      </c>
      <c r="AS326" s="1489">
        <f t="shared" si="48"/>
        <v>39006</v>
      </c>
      <c r="AT326" s="1489">
        <f t="shared" si="49"/>
        <v>156024</v>
      </c>
      <c r="AU326" s="1489">
        <f t="shared" si="50"/>
        <v>38766</v>
      </c>
      <c r="AV326" s="1489">
        <f t="shared" si="51"/>
        <v>77532</v>
      </c>
      <c r="AW326" s="1489">
        <f t="shared" si="52"/>
        <v>311328</v>
      </c>
      <c r="AX326" s="1648">
        <v>4000</v>
      </c>
      <c r="AY326" s="1649">
        <v>86527</v>
      </c>
      <c r="AZ326" s="1494">
        <f t="shared" si="53"/>
        <v>0</v>
      </c>
      <c r="BA326" s="1491"/>
      <c r="BB326" s="1491"/>
      <c r="BC326" s="1489">
        <f t="shared" si="54"/>
        <v>5587749</v>
      </c>
      <c r="BD326" s="1489">
        <f>'HK UP KEEP, OP '!AS64</f>
        <v>0</v>
      </c>
      <c r="BE326" s="1495">
        <f>'HK UP KEEP, OP '!AT64</f>
        <v>0</v>
      </c>
      <c r="BG326" s="1551">
        <f t="shared" si="55"/>
        <v>4005820</v>
      </c>
      <c r="BH326" s="1552">
        <f t="shared" si="56"/>
        <v>0</v>
      </c>
      <c r="BI326" s="1552">
        <f t="shared" si="57"/>
        <v>0</v>
      </c>
      <c r="BJ326" s="1551">
        <f t="shared" si="58"/>
        <v>0</v>
      </c>
      <c r="BK326" s="1553">
        <f t="shared" si="59"/>
        <v>4005820</v>
      </c>
      <c r="BM326" s="1553">
        <f t="shared" si="60"/>
        <v>1827760</v>
      </c>
      <c r="BN326" s="1551">
        <v>30575.999999999996</v>
      </c>
      <c r="BO326" s="1551">
        <f t="shared" si="61"/>
        <v>186600</v>
      </c>
    </row>
    <row r="327" spans="1:67" ht="19.5" customHeight="1">
      <c r="A327" s="2048" t="s">
        <v>0</v>
      </c>
      <c r="B327" s="2048"/>
      <c r="C327" s="2048"/>
      <c r="D327" s="2048"/>
      <c r="E327" s="2048"/>
      <c r="F327" s="2048"/>
      <c r="G327" s="2048"/>
      <c r="H327" s="2048"/>
      <c r="I327" s="2048"/>
      <c r="J327" s="2048"/>
      <c r="K327" s="2048"/>
      <c r="L327" s="2048"/>
      <c r="M327" s="2048"/>
      <c r="N327" s="2048"/>
      <c r="O327" s="2048"/>
      <c r="P327" s="2048"/>
      <c r="Q327" s="2048"/>
      <c r="R327" s="2048"/>
      <c r="S327" s="2048"/>
      <c r="T327" s="2048"/>
      <c r="U327" s="2048"/>
      <c r="V327" s="2048"/>
      <c r="W327" s="2048"/>
      <c r="X327" s="2048"/>
      <c r="Y327" s="2048"/>
      <c r="Z327" s="2048"/>
      <c r="AA327" s="2048"/>
      <c r="AB327" s="2048"/>
      <c r="AC327" s="2048"/>
      <c r="AD327" s="2048"/>
      <c r="AE327" s="2048"/>
      <c r="AF327" s="2048"/>
      <c r="AG327" s="2048"/>
      <c r="AH327" s="2048"/>
      <c r="AI327" s="2048"/>
      <c r="AJ327" s="2048"/>
      <c r="AK327" s="2048"/>
      <c r="AL327" s="2048"/>
      <c r="AM327" s="2048"/>
      <c r="AN327" s="2048"/>
      <c r="AO327" s="2048"/>
      <c r="AP327" s="2048"/>
      <c r="AQ327" s="2048"/>
      <c r="AR327" s="2048"/>
      <c r="AS327" s="2048"/>
      <c r="AT327" s="2048"/>
      <c r="AU327" s="2048"/>
      <c r="AV327" s="2048"/>
      <c r="AW327" s="2048"/>
      <c r="AX327" s="2048"/>
      <c r="AY327" s="2048"/>
      <c r="AZ327" s="2048"/>
      <c r="BA327" s="2048"/>
      <c r="BB327" s="2048"/>
      <c r="BC327" s="2048"/>
      <c r="BD327" s="2048"/>
      <c r="BE327" s="2048"/>
    </row>
    <row r="328" spans="1:67" ht="18.75" customHeight="1">
      <c r="A328" s="2049" t="s">
        <v>1033</v>
      </c>
      <c r="B328" s="2049"/>
      <c r="C328" s="2049"/>
      <c r="D328" s="2049"/>
      <c r="E328" s="2049"/>
      <c r="F328" s="2049"/>
      <c r="G328" s="2049"/>
      <c r="H328" s="2049"/>
      <c r="I328" s="2049"/>
      <c r="J328" s="2049"/>
      <c r="K328" s="2049"/>
      <c r="L328" s="2049"/>
      <c r="M328" s="2049"/>
      <c r="N328" s="2049"/>
      <c r="O328" s="2049"/>
      <c r="P328" s="2049"/>
      <c r="Q328" s="2049"/>
      <c r="R328" s="2049"/>
      <c r="S328" s="2049"/>
      <c r="T328" s="2049"/>
      <c r="U328" s="2049"/>
      <c r="V328" s="2049"/>
      <c r="W328" s="2049"/>
      <c r="X328" s="2049"/>
      <c r="Y328" s="2049"/>
      <c r="Z328" s="2049"/>
      <c r="AA328" s="2049"/>
      <c r="AB328" s="2049"/>
      <c r="AC328" s="2049"/>
      <c r="AD328" s="2049"/>
      <c r="AE328" s="2049"/>
      <c r="AF328" s="2049"/>
      <c r="AG328" s="2049"/>
      <c r="AH328" s="2049"/>
      <c r="AI328" s="2049"/>
      <c r="AJ328" s="2049"/>
      <c r="AK328" s="2049"/>
      <c r="AL328" s="2049"/>
      <c r="AM328" s="2049"/>
      <c r="AN328" s="2049"/>
      <c r="AO328" s="2049"/>
      <c r="AP328" s="2049"/>
      <c r="AQ328" s="2049"/>
      <c r="AR328" s="2049"/>
      <c r="AS328" s="2049"/>
      <c r="AT328" s="2049"/>
      <c r="AU328" s="2049"/>
      <c r="AV328" s="2049"/>
      <c r="AW328" s="2049"/>
      <c r="AX328" s="2049"/>
      <c r="AY328" s="2049"/>
      <c r="AZ328" s="2049"/>
      <c r="BA328" s="2049"/>
      <c r="BB328" s="2049"/>
      <c r="BC328" s="2049"/>
      <c r="BD328" s="2049"/>
      <c r="BE328" s="2049"/>
    </row>
    <row r="329" spans="1:67" s="1523" customFormat="1" ht="18.75" customHeight="1">
      <c r="D329" s="1523" t="s">
        <v>964</v>
      </c>
      <c r="F329" s="1555"/>
      <c r="G329" s="1555"/>
      <c r="O329" s="1523" t="s">
        <v>214</v>
      </c>
      <c r="AE329" s="1532"/>
      <c r="AF329" s="1532"/>
      <c r="AG329" s="1532"/>
      <c r="AH329" s="1532"/>
      <c r="AI329" s="1532"/>
      <c r="AJ329" s="1532"/>
      <c r="AK329" s="1557"/>
      <c r="AL329" s="1532"/>
      <c r="AM329" s="1532"/>
      <c r="AP329" s="1558">
        <v>3876600</v>
      </c>
      <c r="AQ329" s="1566">
        <f>AP329/30</f>
        <v>129220</v>
      </c>
      <c r="AV329" s="1532" t="s">
        <v>55</v>
      </c>
      <c r="AW329" s="1523" t="s">
        <v>195</v>
      </c>
      <c r="BC329" s="1518"/>
      <c r="BD329" s="1532"/>
      <c r="BG329" s="1551"/>
      <c r="BH329" s="1560"/>
      <c r="BI329" s="1560"/>
      <c r="BJ329" s="1555"/>
      <c r="BK329" s="1561"/>
      <c r="BL329" s="1561"/>
      <c r="BM329" s="1561"/>
      <c r="BN329" s="1555"/>
      <c r="BO329" s="1555"/>
    </row>
    <row r="330" spans="1:67" ht="18.75" customHeight="1" thickBot="1">
      <c r="A330" s="1547"/>
      <c r="D330" s="1563"/>
      <c r="E330" s="1563"/>
      <c r="F330" s="1564"/>
      <c r="G330" s="1564"/>
      <c r="H330" s="1563"/>
      <c r="I330" s="1563"/>
      <c r="J330" s="1563"/>
      <c r="K330" s="1563"/>
      <c r="L330" s="1563"/>
      <c r="M330" s="1563"/>
      <c r="N330" s="1563"/>
      <c r="O330" s="1563"/>
      <c r="Q330" s="1563"/>
      <c r="R330" s="1563"/>
      <c r="S330" s="1563"/>
      <c r="T330" s="1563"/>
      <c r="U330" s="1563"/>
      <c r="V330" s="1563"/>
      <c r="W330" s="1563"/>
      <c r="X330" s="1563"/>
      <c r="Y330" s="1563"/>
      <c r="Z330" s="1563"/>
      <c r="AA330" s="1563"/>
      <c r="AB330" s="1563"/>
      <c r="AC330" s="1563"/>
      <c r="AD330" s="1547"/>
      <c r="AE330" s="1563"/>
      <c r="AF330" s="1563"/>
      <c r="AG330" s="1563"/>
      <c r="AH330" s="1563"/>
      <c r="AI330" s="1563"/>
      <c r="AJ330" s="1563"/>
      <c r="AK330" s="1565"/>
      <c r="AL330" s="1563"/>
      <c r="AM330" s="1563"/>
      <c r="AO330" s="1639"/>
      <c r="AP330" s="1558">
        <v>3876600</v>
      </c>
      <c r="AQ330" s="1566">
        <f>AP330/30</f>
        <v>129220</v>
      </c>
    </row>
    <row r="331" spans="1:67" s="1523" customFormat="1" ht="16.5" customHeight="1">
      <c r="A331" s="2050" t="s">
        <v>5</v>
      </c>
      <c r="B331" s="2056" t="s">
        <v>6</v>
      </c>
      <c r="C331" s="2056" t="s">
        <v>52</v>
      </c>
      <c r="D331" s="1569"/>
      <c r="E331" s="1569"/>
      <c r="F331" s="1570"/>
      <c r="G331" s="1570"/>
      <c r="H331" s="2059" t="s">
        <v>2</v>
      </c>
      <c r="I331" s="2060"/>
      <c r="J331" s="2060"/>
      <c r="K331" s="2060"/>
      <c r="L331" s="2060"/>
      <c r="M331" s="2060"/>
      <c r="N331" s="2060"/>
      <c r="O331" s="2060"/>
      <c r="P331" s="2060"/>
      <c r="Q331" s="2060"/>
      <c r="R331" s="2060"/>
      <c r="S331" s="2060"/>
      <c r="T331" s="2060"/>
      <c r="U331" s="2061"/>
      <c r="V331" s="2056" t="s">
        <v>286</v>
      </c>
      <c r="W331" s="2059" t="s">
        <v>3</v>
      </c>
      <c r="X331" s="2060"/>
      <c r="Y331" s="2060"/>
      <c r="Z331" s="2060"/>
      <c r="AA331" s="2060"/>
      <c r="AB331" s="2060"/>
      <c r="AC331" s="2060"/>
      <c r="AD331" s="2061"/>
      <c r="AE331" s="2042" t="s">
        <v>45</v>
      </c>
      <c r="AF331" s="2063" t="s">
        <v>46</v>
      </c>
      <c r="AG331" s="2064"/>
      <c r="AH331" s="2064"/>
      <c r="AI331" s="2064"/>
      <c r="AJ331" s="2064"/>
      <c r="AK331" s="2064"/>
      <c r="AL331" s="2064"/>
      <c r="AM331" s="2065"/>
      <c r="AN331" s="2056" t="s">
        <v>44</v>
      </c>
      <c r="AO331" s="1533" t="s">
        <v>4</v>
      </c>
      <c r="AP331" s="2036" t="s">
        <v>20</v>
      </c>
      <c r="AQ331" s="2037"/>
      <c r="AR331" s="2038"/>
      <c r="AS331" s="2036" t="s">
        <v>54</v>
      </c>
      <c r="AT331" s="2037"/>
      <c r="AU331" s="2037"/>
      <c r="AV331" s="2037"/>
      <c r="AW331" s="2038"/>
      <c r="AX331" s="1569"/>
      <c r="AY331" s="2042" t="s">
        <v>89</v>
      </c>
      <c r="AZ331" s="2045" t="s">
        <v>97</v>
      </c>
      <c r="BA331" s="2045" t="s">
        <v>720</v>
      </c>
      <c r="BB331" s="2045" t="s">
        <v>215</v>
      </c>
      <c r="BC331" s="1539" t="s">
        <v>4</v>
      </c>
      <c r="BD331" s="2063" t="s">
        <v>41</v>
      </c>
      <c r="BE331" s="2084"/>
      <c r="BG331" s="1551"/>
      <c r="BH331" s="1560"/>
      <c r="BI331" s="1560"/>
      <c r="BJ331" s="1555"/>
      <c r="BK331" s="1561"/>
      <c r="BL331" s="1561"/>
      <c r="BM331" s="1561"/>
      <c r="BN331" s="1555"/>
      <c r="BO331" s="1555"/>
    </row>
    <row r="332" spans="1:67" s="1523" customFormat="1" ht="26.25" customHeight="1">
      <c r="A332" s="2051"/>
      <c r="B332" s="2057"/>
      <c r="C332" s="2057"/>
      <c r="D332" s="1519" t="s">
        <v>7</v>
      </c>
      <c r="E332" s="1519" t="s">
        <v>8</v>
      </c>
      <c r="F332" s="1572" t="s">
        <v>9</v>
      </c>
      <c r="G332" s="1572" t="s">
        <v>9</v>
      </c>
      <c r="H332" s="2097" t="s">
        <v>10</v>
      </c>
      <c r="I332" s="2099"/>
      <c r="J332" s="2097" t="s">
        <v>11</v>
      </c>
      <c r="K332" s="2099"/>
      <c r="L332" s="2097" t="s">
        <v>12</v>
      </c>
      <c r="M332" s="2099"/>
      <c r="N332" s="2097" t="s">
        <v>13</v>
      </c>
      <c r="O332" s="2099"/>
      <c r="P332" s="2097" t="s">
        <v>14</v>
      </c>
      <c r="Q332" s="2099"/>
      <c r="R332" s="2100" t="s">
        <v>15</v>
      </c>
      <c r="S332" s="2101"/>
      <c r="T332" s="2097" t="s">
        <v>16</v>
      </c>
      <c r="U332" s="2099"/>
      <c r="V332" s="2057"/>
      <c r="W332" s="2097" t="s">
        <v>17</v>
      </c>
      <c r="X332" s="2099"/>
      <c r="Y332" s="2097" t="s">
        <v>18</v>
      </c>
      <c r="Z332" s="2098"/>
      <c r="AA332" s="2099"/>
      <c r="AB332" s="2097" t="s">
        <v>19</v>
      </c>
      <c r="AC332" s="2098"/>
      <c r="AD332" s="2099"/>
      <c r="AE332" s="2043"/>
      <c r="AF332" s="2066"/>
      <c r="AG332" s="2067"/>
      <c r="AH332" s="2067"/>
      <c r="AI332" s="2067"/>
      <c r="AJ332" s="2067"/>
      <c r="AK332" s="2067"/>
      <c r="AL332" s="2067"/>
      <c r="AM332" s="2068"/>
      <c r="AN332" s="2057"/>
      <c r="AO332" s="1534" t="s">
        <v>9</v>
      </c>
      <c r="AP332" s="2039"/>
      <c r="AQ332" s="2102"/>
      <c r="AR332" s="2041"/>
      <c r="AS332" s="2039"/>
      <c r="AT332" s="2102"/>
      <c r="AU332" s="2102"/>
      <c r="AV332" s="2102"/>
      <c r="AW332" s="2041"/>
      <c r="AX332" s="1519" t="s">
        <v>21</v>
      </c>
      <c r="AY332" s="2043"/>
      <c r="AZ332" s="2046"/>
      <c r="BA332" s="2046"/>
      <c r="BB332" s="2046"/>
      <c r="BC332" s="1540" t="s">
        <v>9</v>
      </c>
      <c r="BD332" s="2085"/>
      <c r="BE332" s="2086"/>
      <c r="BG332" s="1551"/>
      <c r="BH332" s="1560"/>
      <c r="BI332" s="1560"/>
      <c r="BJ332" s="1555"/>
      <c r="BK332" s="1561"/>
      <c r="BL332" s="1561"/>
      <c r="BM332" s="1561"/>
      <c r="BN332" s="1555"/>
      <c r="BO332" s="1555"/>
    </row>
    <row r="333" spans="1:67" s="1523" customFormat="1" ht="93" customHeight="1">
      <c r="A333" s="2051"/>
      <c r="B333" s="2057"/>
      <c r="C333" s="2057"/>
      <c r="D333" s="1519" t="s">
        <v>22</v>
      </c>
      <c r="E333" s="1519" t="s">
        <v>23</v>
      </c>
      <c r="F333" s="1572" t="s">
        <v>24</v>
      </c>
      <c r="G333" s="1572" t="s">
        <v>25</v>
      </c>
      <c r="H333" s="2107" t="s">
        <v>4</v>
      </c>
      <c r="I333" s="2108"/>
      <c r="J333" s="2107" t="s">
        <v>4</v>
      </c>
      <c r="K333" s="2108"/>
      <c r="L333" s="2107" t="s">
        <v>4</v>
      </c>
      <c r="M333" s="2108"/>
      <c r="N333" s="2107" t="s">
        <v>4</v>
      </c>
      <c r="O333" s="2108"/>
      <c r="P333" s="2107" t="s">
        <v>4</v>
      </c>
      <c r="Q333" s="2108"/>
      <c r="R333" s="2116" t="s">
        <v>4</v>
      </c>
      <c r="S333" s="2117"/>
      <c r="T333" s="2107" t="s">
        <v>4</v>
      </c>
      <c r="U333" s="2108"/>
      <c r="V333" s="2057"/>
      <c r="W333" s="1534" t="s">
        <v>27</v>
      </c>
      <c r="X333" s="1640" t="s">
        <v>28</v>
      </c>
      <c r="Y333" s="1534" t="s">
        <v>27</v>
      </c>
      <c r="Z333" s="2107" t="s">
        <v>4</v>
      </c>
      <c r="AA333" s="2108"/>
      <c r="AB333" s="1641" t="s">
        <v>27</v>
      </c>
      <c r="AC333" s="2097" t="s">
        <v>4</v>
      </c>
      <c r="AD333" s="2099"/>
      <c r="AE333" s="2062"/>
      <c r="AF333" s="1642" t="s">
        <v>356</v>
      </c>
      <c r="AG333" s="1642" t="s">
        <v>461</v>
      </c>
      <c r="AH333" s="1642" t="s">
        <v>460</v>
      </c>
      <c r="AI333" s="1642" t="s">
        <v>458</v>
      </c>
      <c r="AJ333" s="1642" t="s">
        <v>459</v>
      </c>
      <c r="AK333" s="1642" t="s">
        <v>462</v>
      </c>
      <c r="AL333" s="1643" t="s">
        <v>278</v>
      </c>
      <c r="AM333" s="1642" t="s">
        <v>97</v>
      </c>
      <c r="AN333" s="2090"/>
      <c r="AO333" s="1534" t="s">
        <v>29</v>
      </c>
      <c r="AP333" s="1519" t="s">
        <v>30</v>
      </c>
      <c r="AQ333" s="1519" t="s">
        <v>31</v>
      </c>
      <c r="AR333" s="1519" t="s">
        <v>4</v>
      </c>
      <c r="AS333" s="1519" t="s">
        <v>30</v>
      </c>
      <c r="AT333" s="1519" t="s">
        <v>31</v>
      </c>
      <c r="AU333" s="1519" t="s">
        <v>30</v>
      </c>
      <c r="AV333" s="1519" t="s">
        <v>31</v>
      </c>
      <c r="AW333" s="1534" t="s">
        <v>4</v>
      </c>
      <c r="AX333" s="1519" t="s">
        <v>32</v>
      </c>
      <c r="AY333" s="2043"/>
      <c r="AZ333" s="2046"/>
      <c r="BA333" s="2046"/>
      <c r="BB333" s="2046"/>
      <c r="BC333" s="1540" t="s">
        <v>33</v>
      </c>
      <c r="BD333" s="2109" t="s">
        <v>42</v>
      </c>
      <c r="BE333" s="2111" t="s">
        <v>43</v>
      </c>
      <c r="BG333" s="1573"/>
      <c r="BH333" s="1560"/>
      <c r="BI333" s="1560"/>
      <c r="BJ333" s="1555"/>
      <c r="BK333" s="1561"/>
      <c r="BL333" s="1561"/>
      <c r="BM333" s="1561"/>
      <c r="BN333" s="1555"/>
      <c r="BO333" s="1555"/>
    </row>
    <row r="334" spans="1:67" s="1523" customFormat="1" ht="29.25" customHeight="1" thickBot="1">
      <c r="A334" s="2105"/>
      <c r="B334" s="2106"/>
      <c r="C334" s="2106"/>
      <c r="D334" s="1644"/>
      <c r="E334" s="1644"/>
      <c r="F334" s="1645" t="s">
        <v>34</v>
      </c>
      <c r="G334" s="1580" t="s">
        <v>34</v>
      </c>
      <c r="H334" s="1527" t="s">
        <v>8</v>
      </c>
      <c r="I334" s="1582" t="s">
        <v>34</v>
      </c>
      <c r="J334" s="1527" t="s">
        <v>8</v>
      </c>
      <c r="K334" s="1582" t="s">
        <v>34</v>
      </c>
      <c r="L334" s="1527" t="s">
        <v>8</v>
      </c>
      <c r="M334" s="1582" t="s">
        <v>34</v>
      </c>
      <c r="N334" s="1527" t="s">
        <v>8</v>
      </c>
      <c r="O334" s="1582" t="s">
        <v>34</v>
      </c>
      <c r="P334" s="1527" t="s">
        <v>8</v>
      </c>
      <c r="Q334" s="1582" t="s">
        <v>34</v>
      </c>
      <c r="R334" s="1527" t="s">
        <v>8</v>
      </c>
      <c r="S334" s="1582" t="s">
        <v>34</v>
      </c>
      <c r="T334" s="1527" t="s">
        <v>8</v>
      </c>
      <c r="U334" s="1582" t="s">
        <v>34</v>
      </c>
      <c r="V334" s="2106"/>
      <c r="W334" s="1527" t="s">
        <v>26</v>
      </c>
      <c r="X334" s="1527" t="s">
        <v>34</v>
      </c>
      <c r="Y334" s="1527" t="s">
        <v>26</v>
      </c>
      <c r="Z334" s="1527" t="s">
        <v>26</v>
      </c>
      <c r="AA334" s="1527" t="s">
        <v>34</v>
      </c>
      <c r="AB334" s="1527" t="s">
        <v>26</v>
      </c>
      <c r="AC334" s="1527" t="s">
        <v>35</v>
      </c>
      <c r="AD334" s="1527" t="s">
        <v>34</v>
      </c>
      <c r="AE334" s="1527" t="s">
        <v>34</v>
      </c>
      <c r="AF334" s="1582" t="s">
        <v>34</v>
      </c>
      <c r="AG334" s="1582" t="s">
        <v>34</v>
      </c>
      <c r="AH334" s="1582" t="s">
        <v>34</v>
      </c>
      <c r="AI334" s="1582" t="s">
        <v>34</v>
      </c>
      <c r="AJ334" s="1582" t="s">
        <v>34</v>
      </c>
      <c r="AK334" s="1582" t="s">
        <v>34</v>
      </c>
      <c r="AL334" s="1582" t="s">
        <v>34</v>
      </c>
      <c r="AM334" s="1582" t="s">
        <v>34</v>
      </c>
      <c r="AN334" s="1527" t="s">
        <v>34</v>
      </c>
      <c r="AO334" s="1527" t="s">
        <v>34</v>
      </c>
      <c r="AP334" s="1640" t="s">
        <v>34</v>
      </c>
      <c r="AQ334" s="1640" t="s">
        <v>34</v>
      </c>
      <c r="AR334" s="1582" t="s">
        <v>34</v>
      </c>
      <c r="AS334" s="1582" t="s">
        <v>58</v>
      </c>
      <c r="AT334" s="1582" t="s">
        <v>34</v>
      </c>
      <c r="AU334" s="1582" t="s">
        <v>59</v>
      </c>
      <c r="AV334" s="1582" t="s">
        <v>34</v>
      </c>
      <c r="AW334" s="1582" t="s">
        <v>34</v>
      </c>
      <c r="AX334" s="1582" t="s">
        <v>34</v>
      </c>
      <c r="AY334" s="2103"/>
      <c r="AZ334" s="2104"/>
      <c r="BA334" s="2047"/>
      <c r="BB334" s="2104"/>
      <c r="BC334" s="1544" t="s">
        <v>34</v>
      </c>
      <c r="BD334" s="2110"/>
      <c r="BE334" s="2112"/>
      <c r="BG334" s="1555" t="s">
        <v>353</v>
      </c>
      <c r="BH334" s="1578" t="s">
        <v>43</v>
      </c>
      <c r="BI334" s="1578" t="s">
        <v>42</v>
      </c>
      <c r="BJ334" s="1555" t="s">
        <v>354</v>
      </c>
      <c r="BK334" s="1561" t="s">
        <v>358</v>
      </c>
      <c r="BL334" s="1561"/>
      <c r="BM334" s="1561"/>
      <c r="BN334" s="1555"/>
      <c r="BO334" s="1555"/>
    </row>
    <row r="335" spans="1:67" ht="83.25" customHeight="1" thickBot="1">
      <c r="A335" s="1584" t="s">
        <v>64</v>
      </c>
      <c r="B335" s="1489" t="s">
        <v>36</v>
      </c>
      <c r="C335" s="1650" t="s">
        <v>219</v>
      </c>
      <c r="D335" s="1651" t="s">
        <v>327</v>
      </c>
      <c r="E335" s="1489">
        <f>'HK UP KEEP, OP '!AH65</f>
        <v>22</v>
      </c>
      <c r="F335" s="1490">
        <v>129220</v>
      </c>
      <c r="G335" s="1490">
        <f t="shared" ref="G335:G380" si="62">SUM(F335*E335)</f>
        <v>2842840</v>
      </c>
      <c r="H335" s="1489">
        <f>'HK UP KEEP, OP '!AI65</f>
        <v>1</v>
      </c>
      <c r="I335" s="1494">
        <f t="shared" si="33"/>
        <v>129220</v>
      </c>
      <c r="J335" s="1489">
        <f>'HK UP KEEP, OP '!AJ65</f>
        <v>1</v>
      </c>
      <c r="K335" s="1494">
        <f t="shared" si="34"/>
        <v>129220</v>
      </c>
      <c r="L335" s="1489"/>
      <c r="M335" s="1494">
        <f t="shared" si="35"/>
        <v>0</v>
      </c>
      <c r="N335" s="1489">
        <f>'HK UP KEEP, OP '!AL65</f>
        <v>4</v>
      </c>
      <c r="O335" s="1494">
        <f t="shared" si="36"/>
        <v>516880</v>
      </c>
      <c r="P335" s="1489">
        <f>'HK UP KEEP, OP '!AM65</f>
        <v>3</v>
      </c>
      <c r="Q335" s="1494">
        <f t="shared" si="37"/>
        <v>387660</v>
      </c>
      <c r="R335" s="1489"/>
      <c r="S335" s="1494">
        <f t="shared" si="38"/>
        <v>0</v>
      </c>
      <c r="T335" s="1489">
        <f>'HK UP KEEP, OP '!AO65+'HK UP KEEP, OP '!AP65+'HK UP KEEP, OP '!AQ65</f>
        <v>0</v>
      </c>
      <c r="U335" s="1494">
        <f t="shared" si="39"/>
        <v>0</v>
      </c>
      <c r="V335" s="1494">
        <f t="shared" si="40"/>
        <v>31</v>
      </c>
      <c r="W335" s="1489">
        <v>4650</v>
      </c>
      <c r="X335" s="1494">
        <f t="shared" si="41"/>
        <v>144150</v>
      </c>
      <c r="Y335" s="1494">
        <v>3500</v>
      </c>
      <c r="Z335" s="1494">
        <f t="shared" si="42"/>
        <v>22</v>
      </c>
      <c r="AA335" s="1648">
        <f t="shared" si="43"/>
        <v>77000</v>
      </c>
      <c r="AB335" s="1496">
        <v>2500</v>
      </c>
      <c r="AC335" s="1489">
        <f>'MASA KERJA AB'!H45</f>
        <v>9</v>
      </c>
      <c r="AD335" s="1492">
        <f>'MASA KERJA AB'!I45</f>
        <v>24000</v>
      </c>
      <c r="AE335" s="1497">
        <f>'LEMBUR DAN PREMI UPKEEP'!AJ50</f>
        <v>1299669.32</v>
      </c>
      <c r="AF335" s="1492">
        <f>'PREMI ALAT'!AL96</f>
        <v>1539005</v>
      </c>
      <c r="AG335" s="1513">
        <f>'PREMI ALAT'!AL101</f>
        <v>258550</v>
      </c>
      <c r="AH335" s="1514">
        <f>'PREMI ALAT'!AL105</f>
        <v>102021.5</v>
      </c>
      <c r="AI335" s="1489">
        <f>'PREMI ALAT'!AL106</f>
        <v>0</v>
      </c>
      <c r="AJ335" s="1490">
        <f>'PREMI ALAT'!AL108</f>
        <v>0</v>
      </c>
      <c r="AK335" s="1501"/>
      <c r="AL335" s="1652"/>
      <c r="AM335" s="1494"/>
      <c r="AN335" s="1489"/>
      <c r="AO335" s="1494">
        <f t="shared" si="44"/>
        <v>7450215.8200000003</v>
      </c>
      <c r="AP335" s="1489">
        <f t="shared" si="45"/>
        <v>77532</v>
      </c>
      <c r="AQ335" s="1489">
        <f t="shared" si="46"/>
        <v>175997.64</v>
      </c>
      <c r="AR335" s="1489">
        <f t="shared" si="47"/>
        <v>253529.64</v>
      </c>
      <c r="AS335" s="1489">
        <f t="shared" si="48"/>
        <v>39006</v>
      </c>
      <c r="AT335" s="1489">
        <f t="shared" si="49"/>
        <v>156024</v>
      </c>
      <c r="AU335" s="1489">
        <f t="shared" si="50"/>
        <v>38766</v>
      </c>
      <c r="AV335" s="1489">
        <f t="shared" si="51"/>
        <v>77532</v>
      </c>
      <c r="AW335" s="1489">
        <f t="shared" si="52"/>
        <v>311328</v>
      </c>
      <c r="AX335" s="1648">
        <v>4000</v>
      </c>
      <c r="AY335" s="1649">
        <v>85388</v>
      </c>
      <c r="AZ335" s="1494">
        <f t="shared" si="53"/>
        <v>0</v>
      </c>
      <c r="BA335" s="1491"/>
      <c r="BB335" s="1491"/>
      <c r="BC335" s="1489">
        <f t="shared" si="54"/>
        <v>7205523.8200000003</v>
      </c>
      <c r="BD335" s="1489">
        <f>'HK UP KEEP, OP '!AS65</f>
        <v>0</v>
      </c>
      <c r="BE335" s="1495">
        <f>'HK UP KEEP, OP '!AT65</f>
        <v>0</v>
      </c>
      <c r="BG335" s="1551">
        <f t="shared" si="55"/>
        <v>4005820</v>
      </c>
      <c r="BH335" s="1552">
        <f t="shared" si="56"/>
        <v>0</v>
      </c>
      <c r="BI335" s="1552">
        <f t="shared" si="57"/>
        <v>0</v>
      </c>
      <c r="BJ335" s="1551">
        <f t="shared" si="58"/>
        <v>0</v>
      </c>
      <c r="BK335" s="1553">
        <f t="shared" si="59"/>
        <v>4005820</v>
      </c>
      <c r="BM335" s="1553">
        <f t="shared" si="60"/>
        <v>3444395.8200000003</v>
      </c>
      <c r="BN335" s="1551">
        <v>30575.999999999996</v>
      </c>
      <c r="BO335" s="1551">
        <f t="shared" si="61"/>
        <v>186600</v>
      </c>
    </row>
    <row r="336" spans="1:67" ht="19.5" customHeight="1">
      <c r="A336" s="2048" t="s">
        <v>0</v>
      </c>
      <c r="B336" s="2048"/>
      <c r="C336" s="2048"/>
      <c r="D336" s="2048"/>
      <c r="E336" s="2048"/>
      <c r="F336" s="2048"/>
      <c r="G336" s="2048"/>
      <c r="H336" s="2048"/>
      <c r="I336" s="2048"/>
      <c r="J336" s="2048"/>
      <c r="K336" s="2048"/>
      <c r="L336" s="2048"/>
      <c r="M336" s="2048"/>
      <c r="N336" s="2048"/>
      <c r="O336" s="2048"/>
      <c r="P336" s="2048"/>
      <c r="Q336" s="2048"/>
      <c r="R336" s="2048"/>
      <c r="S336" s="2048"/>
      <c r="T336" s="2048"/>
      <c r="U336" s="2048"/>
      <c r="V336" s="2048"/>
      <c r="W336" s="2048"/>
      <c r="X336" s="2048"/>
      <c r="Y336" s="2048"/>
      <c r="Z336" s="2048"/>
      <c r="AA336" s="2048"/>
      <c r="AB336" s="2048"/>
      <c r="AC336" s="2048"/>
      <c r="AD336" s="2048"/>
      <c r="AE336" s="2048"/>
      <c r="AF336" s="2048"/>
      <c r="AG336" s="2048"/>
      <c r="AH336" s="2048"/>
      <c r="AI336" s="2048"/>
      <c r="AJ336" s="2048"/>
      <c r="AK336" s="2048"/>
      <c r="AL336" s="2048"/>
      <c r="AM336" s="2048"/>
      <c r="AN336" s="2048"/>
      <c r="AO336" s="2048"/>
      <c r="AP336" s="2048"/>
      <c r="AQ336" s="2048"/>
      <c r="AR336" s="2048"/>
      <c r="AS336" s="2048"/>
      <c r="AT336" s="2048"/>
      <c r="AU336" s="2048"/>
      <c r="AV336" s="2048"/>
      <c r="AW336" s="2048"/>
      <c r="AX336" s="2048"/>
      <c r="AY336" s="2048"/>
      <c r="AZ336" s="2048"/>
      <c r="BA336" s="2048"/>
      <c r="BB336" s="2048"/>
      <c r="BC336" s="2048"/>
      <c r="BD336" s="2048"/>
      <c r="BE336" s="2048"/>
    </row>
    <row r="337" spans="1:67" ht="18.75" customHeight="1">
      <c r="A337" s="2049" t="s">
        <v>1033</v>
      </c>
      <c r="B337" s="2049"/>
      <c r="C337" s="2049"/>
      <c r="D337" s="2049"/>
      <c r="E337" s="2049"/>
      <c r="F337" s="2049"/>
      <c r="G337" s="2049"/>
      <c r="H337" s="2049"/>
      <c r="I337" s="2049"/>
      <c r="J337" s="2049"/>
      <c r="K337" s="2049"/>
      <c r="L337" s="2049"/>
      <c r="M337" s="2049"/>
      <c r="N337" s="2049"/>
      <c r="O337" s="2049"/>
      <c r="P337" s="2049"/>
      <c r="Q337" s="2049"/>
      <c r="R337" s="2049"/>
      <c r="S337" s="2049"/>
      <c r="T337" s="2049"/>
      <c r="U337" s="2049"/>
      <c r="V337" s="2049"/>
      <c r="W337" s="2049"/>
      <c r="X337" s="2049"/>
      <c r="Y337" s="2049"/>
      <c r="Z337" s="2049"/>
      <c r="AA337" s="2049"/>
      <c r="AB337" s="2049"/>
      <c r="AC337" s="2049"/>
      <c r="AD337" s="2049"/>
      <c r="AE337" s="2049"/>
      <c r="AF337" s="2049"/>
      <c r="AG337" s="2049"/>
      <c r="AH337" s="2049"/>
      <c r="AI337" s="2049"/>
      <c r="AJ337" s="2049"/>
      <c r="AK337" s="2049"/>
      <c r="AL337" s="2049"/>
      <c r="AM337" s="2049"/>
      <c r="AN337" s="2049"/>
      <c r="AO337" s="2049"/>
      <c r="AP337" s="2049"/>
      <c r="AQ337" s="2049"/>
      <c r="AR337" s="2049"/>
      <c r="AS337" s="2049"/>
      <c r="AT337" s="2049"/>
      <c r="AU337" s="2049"/>
      <c r="AV337" s="2049"/>
      <c r="AW337" s="2049"/>
      <c r="AX337" s="2049"/>
      <c r="AY337" s="2049"/>
      <c r="AZ337" s="2049"/>
      <c r="BA337" s="2049"/>
      <c r="BB337" s="2049"/>
      <c r="BC337" s="2049"/>
      <c r="BD337" s="2049"/>
      <c r="BE337" s="2049"/>
    </row>
    <row r="338" spans="1:67" s="1523" customFormat="1" ht="18.75" customHeight="1">
      <c r="D338" s="1523" t="s">
        <v>964</v>
      </c>
      <c r="F338" s="1555"/>
      <c r="G338" s="1555"/>
      <c r="O338" s="1523" t="s">
        <v>214</v>
      </c>
      <c r="AE338" s="1532"/>
      <c r="AF338" s="1532"/>
      <c r="AG338" s="1532"/>
      <c r="AH338" s="1532"/>
      <c r="AI338" s="1532"/>
      <c r="AJ338" s="1532"/>
      <c r="AK338" s="1557"/>
      <c r="AL338" s="1532"/>
      <c r="AM338" s="1532"/>
      <c r="AP338" s="1558">
        <v>3876600</v>
      </c>
      <c r="AQ338" s="1566">
        <f>AP338/30</f>
        <v>129220</v>
      </c>
      <c r="AV338" s="1532" t="s">
        <v>55</v>
      </c>
      <c r="AW338" s="1523" t="s">
        <v>195</v>
      </c>
      <c r="BC338" s="1518"/>
      <c r="BD338" s="1532"/>
      <c r="BG338" s="1551"/>
      <c r="BH338" s="1560"/>
      <c r="BI338" s="1560"/>
      <c r="BJ338" s="1555"/>
      <c r="BK338" s="1561"/>
      <c r="BL338" s="1561"/>
      <c r="BM338" s="1561"/>
      <c r="BN338" s="1555"/>
      <c r="BO338" s="1555"/>
    </row>
    <row r="339" spans="1:67" ht="18.75" customHeight="1" thickBot="1">
      <c r="A339" s="1547"/>
      <c r="D339" s="1563"/>
      <c r="E339" s="1563"/>
      <c r="F339" s="1564"/>
      <c r="G339" s="1564"/>
      <c r="H339" s="1563"/>
      <c r="I339" s="1563"/>
      <c r="J339" s="1563"/>
      <c r="K339" s="1563"/>
      <c r="L339" s="1563"/>
      <c r="M339" s="1563"/>
      <c r="N339" s="1563"/>
      <c r="O339" s="1563"/>
      <c r="Q339" s="1563"/>
      <c r="R339" s="1563"/>
      <c r="S339" s="1563"/>
      <c r="T339" s="1563"/>
      <c r="U339" s="1563"/>
      <c r="V339" s="1563"/>
      <c r="W339" s="1563"/>
      <c r="X339" s="1563"/>
      <c r="Y339" s="1563"/>
      <c r="Z339" s="1563"/>
      <c r="AA339" s="1563"/>
      <c r="AB339" s="1563"/>
      <c r="AC339" s="1563"/>
      <c r="AD339" s="1547"/>
      <c r="AE339" s="1563"/>
      <c r="AF339" s="1563"/>
      <c r="AG339" s="1563"/>
      <c r="AH339" s="1563"/>
      <c r="AI339" s="1563"/>
      <c r="AJ339" s="1563"/>
      <c r="AK339" s="1565"/>
      <c r="AL339" s="1563"/>
      <c r="AM339" s="1563"/>
      <c r="AO339" s="1639"/>
      <c r="AP339" s="1558">
        <v>3876600</v>
      </c>
      <c r="AQ339" s="1566">
        <f>AP339/30</f>
        <v>129220</v>
      </c>
    </row>
    <row r="340" spans="1:67" s="1523" customFormat="1" ht="16.5" customHeight="1">
      <c r="A340" s="2050" t="s">
        <v>5</v>
      </c>
      <c r="B340" s="2056" t="s">
        <v>6</v>
      </c>
      <c r="C340" s="2056" t="s">
        <v>52</v>
      </c>
      <c r="D340" s="1569"/>
      <c r="E340" s="1569"/>
      <c r="F340" s="1570"/>
      <c r="G340" s="1570"/>
      <c r="H340" s="2059" t="s">
        <v>2</v>
      </c>
      <c r="I340" s="2060"/>
      <c r="J340" s="2060"/>
      <c r="K340" s="2060"/>
      <c r="L340" s="2060"/>
      <c r="M340" s="2060"/>
      <c r="N340" s="2060"/>
      <c r="O340" s="2060"/>
      <c r="P340" s="2060"/>
      <c r="Q340" s="2060"/>
      <c r="R340" s="2060"/>
      <c r="S340" s="2060"/>
      <c r="T340" s="2060"/>
      <c r="U340" s="2061"/>
      <c r="V340" s="2056" t="s">
        <v>286</v>
      </c>
      <c r="W340" s="2059" t="s">
        <v>3</v>
      </c>
      <c r="X340" s="2060"/>
      <c r="Y340" s="2060"/>
      <c r="Z340" s="2060"/>
      <c r="AA340" s="2060"/>
      <c r="AB340" s="2060"/>
      <c r="AC340" s="2060"/>
      <c r="AD340" s="2061"/>
      <c r="AE340" s="2042" t="s">
        <v>45</v>
      </c>
      <c r="AF340" s="2063" t="s">
        <v>46</v>
      </c>
      <c r="AG340" s="2064"/>
      <c r="AH340" s="2064"/>
      <c r="AI340" s="2064"/>
      <c r="AJ340" s="2064"/>
      <c r="AK340" s="2064"/>
      <c r="AL340" s="2064"/>
      <c r="AM340" s="2065"/>
      <c r="AN340" s="2056" t="s">
        <v>44</v>
      </c>
      <c r="AO340" s="1533" t="s">
        <v>4</v>
      </c>
      <c r="AP340" s="2036" t="s">
        <v>20</v>
      </c>
      <c r="AQ340" s="2037"/>
      <c r="AR340" s="2038"/>
      <c r="AS340" s="2036" t="s">
        <v>54</v>
      </c>
      <c r="AT340" s="2037"/>
      <c r="AU340" s="2037"/>
      <c r="AV340" s="2037"/>
      <c r="AW340" s="2038"/>
      <c r="AX340" s="1569"/>
      <c r="AY340" s="2042" t="s">
        <v>89</v>
      </c>
      <c r="AZ340" s="2045" t="s">
        <v>97</v>
      </c>
      <c r="BA340" s="2045" t="s">
        <v>720</v>
      </c>
      <c r="BB340" s="2045" t="s">
        <v>215</v>
      </c>
      <c r="BC340" s="1539" t="s">
        <v>4</v>
      </c>
      <c r="BD340" s="2063" t="s">
        <v>41</v>
      </c>
      <c r="BE340" s="2084"/>
      <c r="BG340" s="1551"/>
      <c r="BH340" s="1560"/>
      <c r="BI340" s="1560"/>
      <c r="BJ340" s="1555"/>
      <c r="BK340" s="1561"/>
      <c r="BL340" s="1561"/>
      <c r="BM340" s="1561"/>
      <c r="BN340" s="1555"/>
      <c r="BO340" s="1555"/>
    </row>
    <row r="341" spans="1:67" s="1523" customFormat="1" ht="26.25" customHeight="1">
      <c r="A341" s="2051"/>
      <c r="B341" s="2057"/>
      <c r="C341" s="2057"/>
      <c r="D341" s="1519" t="s">
        <v>7</v>
      </c>
      <c r="E341" s="1519" t="s">
        <v>8</v>
      </c>
      <c r="F341" s="1572" t="s">
        <v>9</v>
      </c>
      <c r="G341" s="1572" t="s">
        <v>9</v>
      </c>
      <c r="H341" s="2097" t="s">
        <v>10</v>
      </c>
      <c r="I341" s="2099"/>
      <c r="J341" s="2097" t="s">
        <v>11</v>
      </c>
      <c r="K341" s="2099"/>
      <c r="L341" s="2097" t="s">
        <v>12</v>
      </c>
      <c r="M341" s="2099"/>
      <c r="N341" s="2097" t="s">
        <v>13</v>
      </c>
      <c r="O341" s="2099"/>
      <c r="P341" s="2097" t="s">
        <v>14</v>
      </c>
      <c r="Q341" s="2099"/>
      <c r="R341" s="2100" t="s">
        <v>15</v>
      </c>
      <c r="S341" s="2101"/>
      <c r="T341" s="2097" t="s">
        <v>16</v>
      </c>
      <c r="U341" s="2099"/>
      <c r="V341" s="2057"/>
      <c r="W341" s="2097" t="s">
        <v>17</v>
      </c>
      <c r="X341" s="2099"/>
      <c r="Y341" s="2097" t="s">
        <v>18</v>
      </c>
      <c r="Z341" s="2098"/>
      <c r="AA341" s="2099"/>
      <c r="AB341" s="2097" t="s">
        <v>19</v>
      </c>
      <c r="AC341" s="2098"/>
      <c r="AD341" s="2099"/>
      <c r="AE341" s="2043"/>
      <c r="AF341" s="2066"/>
      <c r="AG341" s="2067"/>
      <c r="AH341" s="2067"/>
      <c r="AI341" s="2067"/>
      <c r="AJ341" s="2067"/>
      <c r="AK341" s="2067"/>
      <c r="AL341" s="2067"/>
      <c r="AM341" s="2068"/>
      <c r="AN341" s="2057"/>
      <c r="AO341" s="1534" t="s">
        <v>9</v>
      </c>
      <c r="AP341" s="2039"/>
      <c r="AQ341" s="2102"/>
      <c r="AR341" s="2041"/>
      <c r="AS341" s="2039"/>
      <c r="AT341" s="2102"/>
      <c r="AU341" s="2102"/>
      <c r="AV341" s="2102"/>
      <c r="AW341" s="2041"/>
      <c r="AX341" s="1519" t="s">
        <v>21</v>
      </c>
      <c r="AY341" s="2043"/>
      <c r="AZ341" s="2046"/>
      <c r="BA341" s="2046"/>
      <c r="BB341" s="2046"/>
      <c r="BC341" s="1540" t="s">
        <v>9</v>
      </c>
      <c r="BD341" s="2085"/>
      <c r="BE341" s="2086"/>
      <c r="BG341" s="1551"/>
      <c r="BH341" s="1560"/>
      <c r="BI341" s="1560"/>
      <c r="BJ341" s="1555"/>
      <c r="BK341" s="1561"/>
      <c r="BL341" s="1561"/>
      <c r="BM341" s="1561"/>
      <c r="BN341" s="1555"/>
      <c r="BO341" s="1555"/>
    </row>
    <row r="342" spans="1:67" s="1523" customFormat="1" ht="93" customHeight="1">
      <c r="A342" s="2051"/>
      <c r="B342" s="2057"/>
      <c r="C342" s="2057"/>
      <c r="D342" s="1519" t="s">
        <v>22</v>
      </c>
      <c r="E342" s="1519" t="s">
        <v>23</v>
      </c>
      <c r="F342" s="1572" t="s">
        <v>24</v>
      </c>
      <c r="G342" s="1572" t="s">
        <v>25</v>
      </c>
      <c r="H342" s="2107" t="s">
        <v>4</v>
      </c>
      <c r="I342" s="2108"/>
      <c r="J342" s="2107" t="s">
        <v>4</v>
      </c>
      <c r="K342" s="2108"/>
      <c r="L342" s="2107" t="s">
        <v>4</v>
      </c>
      <c r="M342" s="2108"/>
      <c r="N342" s="2107" t="s">
        <v>4</v>
      </c>
      <c r="O342" s="2108"/>
      <c r="P342" s="2107" t="s">
        <v>4</v>
      </c>
      <c r="Q342" s="2108"/>
      <c r="R342" s="2116" t="s">
        <v>4</v>
      </c>
      <c r="S342" s="2117"/>
      <c r="T342" s="2107" t="s">
        <v>4</v>
      </c>
      <c r="U342" s="2108"/>
      <c r="V342" s="2057"/>
      <c r="W342" s="1534" t="s">
        <v>27</v>
      </c>
      <c r="X342" s="1640" t="s">
        <v>28</v>
      </c>
      <c r="Y342" s="1534" t="s">
        <v>27</v>
      </c>
      <c r="Z342" s="2107" t="s">
        <v>4</v>
      </c>
      <c r="AA342" s="2108"/>
      <c r="AB342" s="1641" t="s">
        <v>27</v>
      </c>
      <c r="AC342" s="2097" t="s">
        <v>4</v>
      </c>
      <c r="AD342" s="2099"/>
      <c r="AE342" s="2062"/>
      <c r="AF342" s="1642" t="s">
        <v>356</v>
      </c>
      <c r="AG342" s="1642" t="s">
        <v>461</v>
      </c>
      <c r="AH342" s="1642" t="s">
        <v>460</v>
      </c>
      <c r="AI342" s="1642" t="s">
        <v>458</v>
      </c>
      <c r="AJ342" s="1642" t="s">
        <v>459</v>
      </c>
      <c r="AK342" s="1642" t="s">
        <v>462</v>
      </c>
      <c r="AL342" s="1643" t="s">
        <v>278</v>
      </c>
      <c r="AM342" s="1642" t="s">
        <v>97</v>
      </c>
      <c r="AN342" s="2090"/>
      <c r="AO342" s="1534" t="s">
        <v>29</v>
      </c>
      <c r="AP342" s="1519" t="s">
        <v>30</v>
      </c>
      <c r="AQ342" s="1519" t="s">
        <v>31</v>
      </c>
      <c r="AR342" s="1519" t="s">
        <v>4</v>
      </c>
      <c r="AS342" s="1519" t="s">
        <v>30</v>
      </c>
      <c r="AT342" s="1519" t="s">
        <v>31</v>
      </c>
      <c r="AU342" s="1519" t="s">
        <v>30</v>
      </c>
      <c r="AV342" s="1519" t="s">
        <v>31</v>
      </c>
      <c r="AW342" s="1534" t="s">
        <v>4</v>
      </c>
      <c r="AX342" s="1519" t="s">
        <v>32</v>
      </c>
      <c r="AY342" s="2043"/>
      <c r="AZ342" s="2046"/>
      <c r="BA342" s="2046"/>
      <c r="BB342" s="2046"/>
      <c r="BC342" s="1540" t="s">
        <v>33</v>
      </c>
      <c r="BD342" s="2109" t="s">
        <v>42</v>
      </c>
      <c r="BE342" s="2111" t="s">
        <v>43</v>
      </c>
      <c r="BG342" s="1573"/>
      <c r="BH342" s="1560"/>
      <c r="BI342" s="1560"/>
      <c r="BJ342" s="1555"/>
      <c r="BK342" s="1561"/>
      <c r="BL342" s="1561"/>
      <c r="BM342" s="1561"/>
      <c r="BN342" s="1555"/>
      <c r="BO342" s="1555"/>
    </row>
    <row r="343" spans="1:67" s="1523" customFormat="1" ht="29.25" customHeight="1" thickBot="1">
      <c r="A343" s="2105"/>
      <c r="B343" s="2106"/>
      <c r="C343" s="2106"/>
      <c r="D343" s="1644"/>
      <c r="E343" s="1644"/>
      <c r="F343" s="1645" t="s">
        <v>34</v>
      </c>
      <c r="G343" s="1580" t="s">
        <v>34</v>
      </c>
      <c r="H343" s="1527" t="s">
        <v>8</v>
      </c>
      <c r="I343" s="1582" t="s">
        <v>34</v>
      </c>
      <c r="J343" s="1527" t="s">
        <v>8</v>
      </c>
      <c r="K343" s="1582" t="s">
        <v>34</v>
      </c>
      <c r="L343" s="1527" t="s">
        <v>8</v>
      </c>
      <c r="M343" s="1582" t="s">
        <v>34</v>
      </c>
      <c r="N343" s="1527" t="s">
        <v>8</v>
      </c>
      <c r="O343" s="1582" t="s">
        <v>34</v>
      </c>
      <c r="P343" s="1527" t="s">
        <v>8</v>
      </c>
      <c r="Q343" s="1582" t="s">
        <v>34</v>
      </c>
      <c r="R343" s="1527" t="s">
        <v>8</v>
      </c>
      <c r="S343" s="1582" t="s">
        <v>34</v>
      </c>
      <c r="T343" s="1527" t="s">
        <v>8</v>
      </c>
      <c r="U343" s="1582" t="s">
        <v>34</v>
      </c>
      <c r="V343" s="2106"/>
      <c r="W343" s="1527" t="s">
        <v>26</v>
      </c>
      <c r="X343" s="1527" t="s">
        <v>34</v>
      </c>
      <c r="Y343" s="1527" t="s">
        <v>26</v>
      </c>
      <c r="Z343" s="1527" t="s">
        <v>26</v>
      </c>
      <c r="AA343" s="1527" t="s">
        <v>34</v>
      </c>
      <c r="AB343" s="1527" t="s">
        <v>26</v>
      </c>
      <c r="AC343" s="1527" t="s">
        <v>35</v>
      </c>
      <c r="AD343" s="1527" t="s">
        <v>34</v>
      </c>
      <c r="AE343" s="1527" t="s">
        <v>34</v>
      </c>
      <c r="AF343" s="1582" t="s">
        <v>34</v>
      </c>
      <c r="AG343" s="1582" t="s">
        <v>34</v>
      </c>
      <c r="AH343" s="1582" t="s">
        <v>34</v>
      </c>
      <c r="AI343" s="1582" t="s">
        <v>34</v>
      </c>
      <c r="AJ343" s="1582" t="s">
        <v>34</v>
      </c>
      <c r="AK343" s="1582" t="s">
        <v>34</v>
      </c>
      <c r="AL343" s="1582" t="s">
        <v>34</v>
      </c>
      <c r="AM343" s="1582" t="s">
        <v>34</v>
      </c>
      <c r="AN343" s="1527" t="s">
        <v>34</v>
      </c>
      <c r="AO343" s="1527" t="s">
        <v>34</v>
      </c>
      <c r="AP343" s="1640" t="s">
        <v>34</v>
      </c>
      <c r="AQ343" s="1640" t="s">
        <v>34</v>
      </c>
      <c r="AR343" s="1582" t="s">
        <v>34</v>
      </c>
      <c r="AS343" s="1582" t="s">
        <v>58</v>
      </c>
      <c r="AT343" s="1582" t="s">
        <v>34</v>
      </c>
      <c r="AU343" s="1582" t="s">
        <v>59</v>
      </c>
      <c r="AV343" s="1582" t="s">
        <v>34</v>
      </c>
      <c r="AW343" s="1582" t="s">
        <v>34</v>
      </c>
      <c r="AX343" s="1582" t="s">
        <v>34</v>
      </c>
      <c r="AY343" s="2103"/>
      <c r="AZ343" s="2104"/>
      <c r="BA343" s="2047"/>
      <c r="BB343" s="2104"/>
      <c r="BC343" s="1544" t="s">
        <v>34</v>
      </c>
      <c r="BD343" s="2110"/>
      <c r="BE343" s="2112"/>
      <c r="BG343" s="1555" t="s">
        <v>353</v>
      </c>
      <c r="BH343" s="1578" t="s">
        <v>43</v>
      </c>
      <c r="BI343" s="1578" t="s">
        <v>42</v>
      </c>
      <c r="BJ343" s="1555" t="s">
        <v>354</v>
      </c>
      <c r="BK343" s="1561" t="s">
        <v>358</v>
      </c>
      <c r="BL343" s="1561"/>
      <c r="BM343" s="1561"/>
      <c r="BN343" s="1555"/>
      <c r="BO343" s="1555"/>
    </row>
    <row r="344" spans="1:67" ht="83.25" customHeight="1" thickBot="1">
      <c r="A344" s="1584" t="s">
        <v>65</v>
      </c>
      <c r="B344" s="1489" t="s">
        <v>36</v>
      </c>
      <c r="C344" s="1591" t="s">
        <v>155</v>
      </c>
      <c r="D344" s="1647" t="s">
        <v>99</v>
      </c>
      <c r="E344" s="1489">
        <f>'HK UP KEEP, OP '!AH66</f>
        <v>23</v>
      </c>
      <c r="F344" s="1490">
        <v>129220</v>
      </c>
      <c r="G344" s="1490">
        <f t="shared" si="62"/>
        <v>2972060</v>
      </c>
      <c r="H344" s="1489">
        <f>'HK UP KEEP, OP '!AI66</f>
        <v>1</v>
      </c>
      <c r="I344" s="1494">
        <f t="shared" si="33"/>
        <v>129220</v>
      </c>
      <c r="J344" s="1489">
        <f>'HK UP KEEP, OP '!AJ66</f>
        <v>0</v>
      </c>
      <c r="K344" s="1494">
        <f t="shared" si="34"/>
        <v>0</v>
      </c>
      <c r="L344" s="1489"/>
      <c r="M344" s="1494">
        <f t="shared" si="35"/>
        <v>0</v>
      </c>
      <c r="N344" s="1489">
        <f>'HK UP KEEP, OP '!AL66</f>
        <v>4</v>
      </c>
      <c r="O344" s="1494">
        <f t="shared" si="36"/>
        <v>516880</v>
      </c>
      <c r="P344" s="1489">
        <f>'HK UP KEEP, OP '!AM66</f>
        <v>3</v>
      </c>
      <c r="Q344" s="1494">
        <f t="shared" si="37"/>
        <v>387660</v>
      </c>
      <c r="R344" s="1489"/>
      <c r="S344" s="1494">
        <f t="shared" si="38"/>
        <v>0</v>
      </c>
      <c r="T344" s="1489">
        <f>'HK UP KEEP, OP '!AO66+'HK UP KEEP, OP '!AP66+'HK UP KEEP, OP '!AQ66</f>
        <v>0</v>
      </c>
      <c r="U344" s="1494">
        <f t="shared" si="39"/>
        <v>0</v>
      </c>
      <c r="V344" s="1494">
        <f t="shared" si="40"/>
        <v>31</v>
      </c>
      <c r="W344" s="1491">
        <v>2250</v>
      </c>
      <c r="X344" s="1494">
        <f t="shared" si="41"/>
        <v>69750</v>
      </c>
      <c r="Y344" s="1489">
        <v>2500</v>
      </c>
      <c r="Z344" s="1494">
        <f t="shared" si="42"/>
        <v>23</v>
      </c>
      <c r="AA344" s="1648">
        <f t="shared" si="43"/>
        <v>57500</v>
      </c>
      <c r="AB344" s="1489">
        <v>2500</v>
      </c>
      <c r="AC344" s="1489">
        <f>'MASA KERJA AB'!H46</f>
        <v>9</v>
      </c>
      <c r="AD344" s="1492">
        <f>'MASA KERJA AB'!I46</f>
        <v>24000</v>
      </c>
      <c r="AE344" s="1497">
        <f>'LEMBUR DAN PREMI UPKEEP'!AJ54</f>
        <v>1456525.96</v>
      </c>
      <c r="AF344" s="1492">
        <f>'PREMI ALAT'!AL129</f>
        <v>1727132.5</v>
      </c>
      <c r="AG344" s="1513">
        <f>'PREMI ALAT'!AL134</f>
        <v>309549.99999999994</v>
      </c>
      <c r="AH344" s="1514">
        <f>'PREMI ALAT'!AL138</f>
        <v>106536</v>
      </c>
      <c r="AI344" s="1489">
        <f>'PREMI ALAT'!AL139</f>
        <v>0</v>
      </c>
      <c r="AJ344" s="1490">
        <f>'PREMI ALAT'!AL141</f>
        <v>0</v>
      </c>
      <c r="AK344" s="1501"/>
      <c r="AL344" s="1489"/>
      <c r="AM344" s="1494"/>
      <c r="AN344" s="1489"/>
      <c r="AO344" s="1494">
        <f t="shared" si="44"/>
        <v>7756814.46</v>
      </c>
      <c r="AP344" s="1489">
        <f t="shared" si="45"/>
        <v>77532</v>
      </c>
      <c r="AQ344" s="1489">
        <f t="shared" si="46"/>
        <v>175997.64</v>
      </c>
      <c r="AR344" s="1489">
        <f t="shared" si="47"/>
        <v>253529.64</v>
      </c>
      <c r="AS344" s="1489">
        <f t="shared" si="48"/>
        <v>39006</v>
      </c>
      <c r="AT344" s="1489">
        <f t="shared" si="49"/>
        <v>156024</v>
      </c>
      <c r="AU344" s="1489">
        <f t="shared" si="50"/>
        <v>38766</v>
      </c>
      <c r="AV344" s="1489">
        <f t="shared" si="51"/>
        <v>77532</v>
      </c>
      <c r="AW344" s="1489">
        <f t="shared" si="52"/>
        <v>311328</v>
      </c>
      <c r="AX344" s="1648">
        <v>4000</v>
      </c>
      <c r="AY344" s="1649">
        <v>154795</v>
      </c>
      <c r="AZ344" s="1494">
        <f t="shared" si="53"/>
        <v>0</v>
      </c>
      <c r="BA344" s="1491"/>
      <c r="BB344" s="1491"/>
      <c r="BC344" s="1489">
        <f t="shared" si="54"/>
        <v>7442715.46</v>
      </c>
      <c r="BD344" s="1489">
        <f>'HK UP KEEP, OP '!AS66</f>
        <v>0</v>
      </c>
      <c r="BE344" s="1495">
        <f>'HK UP KEEP, OP '!AT66</f>
        <v>0</v>
      </c>
      <c r="BG344" s="1551">
        <f t="shared" si="55"/>
        <v>4005820</v>
      </c>
      <c r="BH344" s="1552">
        <f t="shared" si="56"/>
        <v>0</v>
      </c>
      <c r="BI344" s="1552">
        <f t="shared" si="57"/>
        <v>0</v>
      </c>
      <c r="BJ344" s="1551">
        <f t="shared" si="58"/>
        <v>0</v>
      </c>
      <c r="BK344" s="1553">
        <f t="shared" si="59"/>
        <v>4005820</v>
      </c>
      <c r="BM344" s="1553">
        <f t="shared" si="60"/>
        <v>3750994.46</v>
      </c>
      <c r="BN344" s="1551">
        <v>30575.999999999996</v>
      </c>
      <c r="BO344" s="1551">
        <f t="shared" si="61"/>
        <v>186600</v>
      </c>
    </row>
    <row r="345" spans="1:67" ht="19.5" customHeight="1">
      <c r="A345" s="2048" t="s">
        <v>0</v>
      </c>
      <c r="B345" s="2048"/>
      <c r="C345" s="2048"/>
      <c r="D345" s="2048"/>
      <c r="E345" s="2048"/>
      <c r="F345" s="2048"/>
      <c r="G345" s="2048"/>
      <c r="H345" s="2048"/>
      <c r="I345" s="2048"/>
      <c r="J345" s="2048"/>
      <c r="K345" s="2048"/>
      <c r="L345" s="2048"/>
      <c r="M345" s="2048"/>
      <c r="N345" s="2048"/>
      <c r="O345" s="2048"/>
      <c r="P345" s="2048"/>
      <c r="Q345" s="2048"/>
      <c r="R345" s="2048"/>
      <c r="S345" s="2048"/>
      <c r="T345" s="2048"/>
      <c r="U345" s="2048"/>
      <c r="V345" s="2048"/>
      <c r="W345" s="2048"/>
      <c r="X345" s="2048"/>
      <c r="Y345" s="2048"/>
      <c r="Z345" s="2048"/>
      <c r="AA345" s="2048"/>
      <c r="AB345" s="2048"/>
      <c r="AC345" s="2048"/>
      <c r="AD345" s="2048"/>
      <c r="AE345" s="2048"/>
      <c r="AF345" s="2048"/>
      <c r="AG345" s="2048"/>
      <c r="AH345" s="2048"/>
      <c r="AI345" s="2048"/>
      <c r="AJ345" s="2048"/>
      <c r="AK345" s="2048"/>
      <c r="AL345" s="2048"/>
      <c r="AM345" s="2048"/>
      <c r="AN345" s="2048"/>
      <c r="AO345" s="2048"/>
      <c r="AP345" s="2048"/>
      <c r="AQ345" s="2048"/>
      <c r="AR345" s="2048"/>
      <c r="AS345" s="2048"/>
      <c r="AT345" s="2048"/>
      <c r="AU345" s="2048"/>
      <c r="AV345" s="2048"/>
      <c r="AW345" s="2048"/>
      <c r="AX345" s="2048"/>
      <c r="AY345" s="2048"/>
      <c r="AZ345" s="2048"/>
      <c r="BA345" s="2048"/>
      <c r="BB345" s="2048"/>
      <c r="BC345" s="2048"/>
      <c r="BD345" s="2048"/>
      <c r="BE345" s="2048"/>
    </row>
    <row r="346" spans="1:67" ht="18.75" customHeight="1">
      <c r="A346" s="2049" t="s">
        <v>1033</v>
      </c>
      <c r="B346" s="2049"/>
      <c r="C346" s="2049"/>
      <c r="D346" s="2049"/>
      <c r="E346" s="2049"/>
      <c r="F346" s="2049"/>
      <c r="G346" s="2049"/>
      <c r="H346" s="2049"/>
      <c r="I346" s="2049"/>
      <c r="J346" s="2049"/>
      <c r="K346" s="2049"/>
      <c r="L346" s="2049"/>
      <c r="M346" s="2049"/>
      <c r="N346" s="2049"/>
      <c r="O346" s="2049"/>
      <c r="P346" s="2049"/>
      <c r="Q346" s="2049"/>
      <c r="R346" s="2049"/>
      <c r="S346" s="2049"/>
      <c r="T346" s="2049"/>
      <c r="U346" s="2049"/>
      <c r="V346" s="2049"/>
      <c r="W346" s="2049"/>
      <c r="X346" s="2049"/>
      <c r="Y346" s="2049"/>
      <c r="Z346" s="2049"/>
      <c r="AA346" s="2049"/>
      <c r="AB346" s="2049"/>
      <c r="AC346" s="2049"/>
      <c r="AD346" s="2049"/>
      <c r="AE346" s="2049"/>
      <c r="AF346" s="2049"/>
      <c r="AG346" s="2049"/>
      <c r="AH346" s="2049"/>
      <c r="AI346" s="2049"/>
      <c r="AJ346" s="2049"/>
      <c r="AK346" s="2049"/>
      <c r="AL346" s="2049"/>
      <c r="AM346" s="2049"/>
      <c r="AN346" s="2049"/>
      <c r="AO346" s="2049"/>
      <c r="AP346" s="2049"/>
      <c r="AQ346" s="2049"/>
      <c r="AR346" s="2049"/>
      <c r="AS346" s="2049"/>
      <c r="AT346" s="2049"/>
      <c r="AU346" s="2049"/>
      <c r="AV346" s="2049"/>
      <c r="AW346" s="2049"/>
      <c r="AX346" s="2049"/>
      <c r="AY346" s="2049"/>
      <c r="AZ346" s="2049"/>
      <c r="BA346" s="2049"/>
      <c r="BB346" s="2049"/>
      <c r="BC346" s="2049"/>
      <c r="BD346" s="2049"/>
      <c r="BE346" s="2049"/>
    </row>
    <row r="347" spans="1:67" s="1523" customFormat="1" ht="18.75" customHeight="1">
      <c r="D347" s="1523" t="s">
        <v>964</v>
      </c>
      <c r="F347" s="1555"/>
      <c r="G347" s="1555"/>
      <c r="O347" s="1523" t="s">
        <v>214</v>
      </c>
      <c r="AE347" s="1532"/>
      <c r="AF347" s="1532"/>
      <c r="AG347" s="1532"/>
      <c r="AH347" s="1532"/>
      <c r="AI347" s="1532"/>
      <c r="AJ347" s="1532"/>
      <c r="AK347" s="1557"/>
      <c r="AL347" s="1532"/>
      <c r="AM347" s="1532"/>
      <c r="AP347" s="1558">
        <v>3876600</v>
      </c>
      <c r="AQ347" s="1566">
        <f>AP347/30</f>
        <v>129220</v>
      </c>
      <c r="AV347" s="1532" t="s">
        <v>55</v>
      </c>
      <c r="AW347" s="1523" t="s">
        <v>195</v>
      </c>
      <c r="BC347" s="1518"/>
      <c r="BD347" s="1532"/>
      <c r="BG347" s="1551"/>
      <c r="BH347" s="1560"/>
      <c r="BI347" s="1560"/>
      <c r="BJ347" s="1555"/>
      <c r="BK347" s="1561"/>
      <c r="BL347" s="1561"/>
      <c r="BM347" s="1561"/>
      <c r="BN347" s="1555"/>
      <c r="BO347" s="1555"/>
    </row>
    <row r="348" spans="1:67" ht="18.75" customHeight="1" thickBot="1">
      <c r="A348" s="1547"/>
      <c r="D348" s="1563"/>
      <c r="E348" s="1563"/>
      <c r="F348" s="1564"/>
      <c r="G348" s="1564"/>
      <c r="H348" s="1563"/>
      <c r="I348" s="1563"/>
      <c r="J348" s="1563"/>
      <c r="K348" s="1563"/>
      <c r="L348" s="1563"/>
      <c r="M348" s="1563"/>
      <c r="N348" s="1563"/>
      <c r="O348" s="1563"/>
      <c r="Q348" s="1563"/>
      <c r="R348" s="1563"/>
      <c r="S348" s="1563"/>
      <c r="T348" s="1563"/>
      <c r="U348" s="1563"/>
      <c r="V348" s="1563"/>
      <c r="W348" s="1563"/>
      <c r="X348" s="1563"/>
      <c r="Y348" s="1563"/>
      <c r="Z348" s="1563"/>
      <c r="AA348" s="1563"/>
      <c r="AB348" s="1563"/>
      <c r="AC348" s="1563"/>
      <c r="AD348" s="1547"/>
      <c r="AE348" s="1563"/>
      <c r="AF348" s="1563"/>
      <c r="AG348" s="1563"/>
      <c r="AH348" s="1563"/>
      <c r="AI348" s="1563"/>
      <c r="AJ348" s="1563"/>
      <c r="AK348" s="1565"/>
      <c r="AL348" s="1563"/>
      <c r="AM348" s="1563"/>
      <c r="AO348" s="1639"/>
      <c r="AP348" s="1558">
        <v>3876600</v>
      </c>
      <c r="AQ348" s="1566">
        <f>AP348/30</f>
        <v>129220</v>
      </c>
    </row>
    <row r="349" spans="1:67" s="1523" customFormat="1" ht="16.5" customHeight="1">
      <c r="A349" s="2050" t="s">
        <v>5</v>
      </c>
      <c r="B349" s="2056" t="s">
        <v>6</v>
      </c>
      <c r="C349" s="2056" t="s">
        <v>52</v>
      </c>
      <c r="D349" s="1569"/>
      <c r="E349" s="1569"/>
      <c r="F349" s="1570"/>
      <c r="G349" s="1570"/>
      <c r="H349" s="2059" t="s">
        <v>2</v>
      </c>
      <c r="I349" s="2060"/>
      <c r="J349" s="2060"/>
      <c r="K349" s="2060"/>
      <c r="L349" s="2060"/>
      <c r="M349" s="2060"/>
      <c r="N349" s="2060"/>
      <c r="O349" s="2060"/>
      <c r="P349" s="2060"/>
      <c r="Q349" s="2060"/>
      <c r="R349" s="2060"/>
      <c r="S349" s="2060"/>
      <c r="T349" s="2060"/>
      <c r="U349" s="2061"/>
      <c r="V349" s="2056" t="s">
        <v>286</v>
      </c>
      <c r="W349" s="2059" t="s">
        <v>3</v>
      </c>
      <c r="X349" s="2060"/>
      <c r="Y349" s="2060"/>
      <c r="Z349" s="2060"/>
      <c r="AA349" s="2060"/>
      <c r="AB349" s="2060"/>
      <c r="AC349" s="2060"/>
      <c r="AD349" s="2061"/>
      <c r="AE349" s="2042" t="s">
        <v>45</v>
      </c>
      <c r="AF349" s="2063" t="s">
        <v>46</v>
      </c>
      <c r="AG349" s="2064"/>
      <c r="AH349" s="2064"/>
      <c r="AI349" s="2064"/>
      <c r="AJ349" s="2064"/>
      <c r="AK349" s="2064"/>
      <c r="AL349" s="2064"/>
      <c r="AM349" s="2065"/>
      <c r="AN349" s="2056" t="s">
        <v>44</v>
      </c>
      <c r="AO349" s="1533" t="s">
        <v>4</v>
      </c>
      <c r="AP349" s="2036" t="s">
        <v>20</v>
      </c>
      <c r="AQ349" s="2037"/>
      <c r="AR349" s="2038"/>
      <c r="AS349" s="2036" t="s">
        <v>54</v>
      </c>
      <c r="AT349" s="2037"/>
      <c r="AU349" s="2037"/>
      <c r="AV349" s="2037"/>
      <c r="AW349" s="2038"/>
      <c r="AX349" s="1569"/>
      <c r="AY349" s="2042" t="s">
        <v>89</v>
      </c>
      <c r="AZ349" s="2045" t="s">
        <v>97</v>
      </c>
      <c r="BA349" s="2045" t="s">
        <v>720</v>
      </c>
      <c r="BB349" s="2045" t="s">
        <v>215</v>
      </c>
      <c r="BC349" s="1539" t="s">
        <v>4</v>
      </c>
      <c r="BD349" s="2063" t="s">
        <v>41</v>
      </c>
      <c r="BE349" s="2084"/>
      <c r="BG349" s="1551"/>
      <c r="BH349" s="1560"/>
      <c r="BI349" s="1560"/>
      <c r="BJ349" s="1555"/>
      <c r="BK349" s="1561"/>
      <c r="BL349" s="1561"/>
      <c r="BM349" s="1561"/>
      <c r="BN349" s="1555"/>
      <c r="BO349" s="1555"/>
    </row>
    <row r="350" spans="1:67" s="1523" customFormat="1" ht="26.25" customHeight="1">
      <c r="A350" s="2051"/>
      <c r="B350" s="2057"/>
      <c r="C350" s="2057"/>
      <c r="D350" s="1519" t="s">
        <v>7</v>
      </c>
      <c r="E350" s="1519" t="s">
        <v>8</v>
      </c>
      <c r="F350" s="1572" t="s">
        <v>9</v>
      </c>
      <c r="G350" s="1572" t="s">
        <v>9</v>
      </c>
      <c r="H350" s="2097" t="s">
        <v>10</v>
      </c>
      <c r="I350" s="2099"/>
      <c r="J350" s="2097" t="s">
        <v>11</v>
      </c>
      <c r="K350" s="2099"/>
      <c r="L350" s="2097" t="s">
        <v>12</v>
      </c>
      <c r="M350" s="2099"/>
      <c r="N350" s="2097" t="s">
        <v>13</v>
      </c>
      <c r="O350" s="2099"/>
      <c r="P350" s="2097" t="s">
        <v>14</v>
      </c>
      <c r="Q350" s="2099"/>
      <c r="R350" s="2100" t="s">
        <v>15</v>
      </c>
      <c r="S350" s="2101"/>
      <c r="T350" s="2097" t="s">
        <v>16</v>
      </c>
      <c r="U350" s="2099"/>
      <c r="V350" s="2057"/>
      <c r="W350" s="2097" t="s">
        <v>17</v>
      </c>
      <c r="X350" s="2099"/>
      <c r="Y350" s="2097" t="s">
        <v>18</v>
      </c>
      <c r="Z350" s="2098"/>
      <c r="AA350" s="2099"/>
      <c r="AB350" s="2097" t="s">
        <v>19</v>
      </c>
      <c r="AC350" s="2098"/>
      <c r="AD350" s="2099"/>
      <c r="AE350" s="2043"/>
      <c r="AF350" s="2066"/>
      <c r="AG350" s="2067"/>
      <c r="AH350" s="2067"/>
      <c r="AI350" s="2067"/>
      <c r="AJ350" s="2067"/>
      <c r="AK350" s="2067"/>
      <c r="AL350" s="2067"/>
      <c r="AM350" s="2068"/>
      <c r="AN350" s="2057"/>
      <c r="AO350" s="1534" t="s">
        <v>9</v>
      </c>
      <c r="AP350" s="2039"/>
      <c r="AQ350" s="2102"/>
      <c r="AR350" s="2041"/>
      <c r="AS350" s="2039"/>
      <c r="AT350" s="2102"/>
      <c r="AU350" s="2102"/>
      <c r="AV350" s="2102"/>
      <c r="AW350" s="2041"/>
      <c r="AX350" s="1519" t="s">
        <v>21</v>
      </c>
      <c r="AY350" s="2043"/>
      <c r="AZ350" s="2046"/>
      <c r="BA350" s="2046"/>
      <c r="BB350" s="2046"/>
      <c r="BC350" s="1540" t="s">
        <v>9</v>
      </c>
      <c r="BD350" s="2085"/>
      <c r="BE350" s="2086"/>
      <c r="BG350" s="1551"/>
      <c r="BH350" s="1560"/>
      <c r="BI350" s="1560"/>
      <c r="BJ350" s="1555"/>
      <c r="BK350" s="1561"/>
      <c r="BL350" s="1561"/>
      <c r="BM350" s="1561"/>
      <c r="BN350" s="1555"/>
      <c r="BO350" s="1555"/>
    </row>
    <row r="351" spans="1:67" s="1523" customFormat="1" ht="93" customHeight="1">
      <c r="A351" s="2051"/>
      <c r="B351" s="2057"/>
      <c r="C351" s="2057"/>
      <c r="D351" s="1519" t="s">
        <v>22</v>
      </c>
      <c r="E351" s="1519" t="s">
        <v>23</v>
      </c>
      <c r="F351" s="1572" t="s">
        <v>24</v>
      </c>
      <c r="G351" s="1572" t="s">
        <v>25</v>
      </c>
      <c r="H351" s="2107" t="s">
        <v>4</v>
      </c>
      <c r="I351" s="2108"/>
      <c r="J351" s="2107" t="s">
        <v>4</v>
      </c>
      <c r="K351" s="2108"/>
      <c r="L351" s="2107" t="s">
        <v>4</v>
      </c>
      <c r="M351" s="2108"/>
      <c r="N351" s="2107" t="s">
        <v>4</v>
      </c>
      <c r="O351" s="2108"/>
      <c r="P351" s="2107" t="s">
        <v>4</v>
      </c>
      <c r="Q351" s="2108"/>
      <c r="R351" s="2116" t="s">
        <v>4</v>
      </c>
      <c r="S351" s="2117"/>
      <c r="T351" s="2107" t="s">
        <v>4</v>
      </c>
      <c r="U351" s="2108"/>
      <c r="V351" s="2057"/>
      <c r="W351" s="1534" t="s">
        <v>27</v>
      </c>
      <c r="X351" s="1640" t="s">
        <v>28</v>
      </c>
      <c r="Y351" s="1534" t="s">
        <v>27</v>
      </c>
      <c r="Z351" s="2107" t="s">
        <v>4</v>
      </c>
      <c r="AA351" s="2108"/>
      <c r="AB351" s="1641" t="s">
        <v>27</v>
      </c>
      <c r="AC351" s="2097" t="s">
        <v>4</v>
      </c>
      <c r="AD351" s="2099"/>
      <c r="AE351" s="2062"/>
      <c r="AF351" s="1642" t="s">
        <v>356</v>
      </c>
      <c r="AG351" s="1642" t="s">
        <v>461</v>
      </c>
      <c r="AH351" s="1642" t="s">
        <v>460</v>
      </c>
      <c r="AI351" s="1642" t="s">
        <v>458</v>
      </c>
      <c r="AJ351" s="1642" t="s">
        <v>459</v>
      </c>
      <c r="AK351" s="1642" t="s">
        <v>462</v>
      </c>
      <c r="AL351" s="1643" t="s">
        <v>278</v>
      </c>
      <c r="AM351" s="1642" t="s">
        <v>97</v>
      </c>
      <c r="AN351" s="2090"/>
      <c r="AO351" s="1534" t="s">
        <v>29</v>
      </c>
      <c r="AP351" s="1519" t="s">
        <v>30</v>
      </c>
      <c r="AQ351" s="1519" t="s">
        <v>31</v>
      </c>
      <c r="AR351" s="1519" t="s">
        <v>4</v>
      </c>
      <c r="AS351" s="1519" t="s">
        <v>30</v>
      </c>
      <c r="AT351" s="1519" t="s">
        <v>31</v>
      </c>
      <c r="AU351" s="1519" t="s">
        <v>30</v>
      </c>
      <c r="AV351" s="1519" t="s">
        <v>31</v>
      </c>
      <c r="AW351" s="1534" t="s">
        <v>4</v>
      </c>
      <c r="AX351" s="1519" t="s">
        <v>32</v>
      </c>
      <c r="AY351" s="2043"/>
      <c r="AZ351" s="2046"/>
      <c r="BA351" s="2046"/>
      <c r="BB351" s="2046"/>
      <c r="BC351" s="1540" t="s">
        <v>33</v>
      </c>
      <c r="BD351" s="2109" t="s">
        <v>42</v>
      </c>
      <c r="BE351" s="2111" t="s">
        <v>43</v>
      </c>
      <c r="BG351" s="1573"/>
      <c r="BH351" s="1560"/>
      <c r="BI351" s="1560"/>
      <c r="BJ351" s="1555"/>
      <c r="BK351" s="1561"/>
      <c r="BL351" s="1561"/>
      <c r="BM351" s="1561"/>
      <c r="BN351" s="1555"/>
      <c r="BO351" s="1555"/>
    </row>
    <row r="352" spans="1:67" s="1523" customFormat="1" ht="29.25" customHeight="1" thickBot="1">
      <c r="A352" s="2105"/>
      <c r="B352" s="2106"/>
      <c r="C352" s="2106"/>
      <c r="D352" s="1644"/>
      <c r="E352" s="1644"/>
      <c r="F352" s="1645" t="s">
        <v>34</v>
      </c>
      <c r="G352" s="1580" t="s">
        <v>34</v>
      </c>
      <c r="H352" s="1527" t="s">
        <v>8</v>
      </c>
      <c r="I352" s="1582" t="s">
        <v>34</v>
      </c>
      <c r="J352" s="1527" t="s">
        <v>8</v>
      </c>
      <c r="K352" s="1582" t="s">
        <v>34</v>
      </c>
      <c r="L352" s="1527" t="s">
        <v>8</v>
      </c>
      <c r="M352" s="1582" t="s">
        <v>34</v>
      </c>
      <c r="N352" s="1527" t="s">
        <v>8</v>
      </c>
      <c r="O352" s="1582" t="s">
        <v>34</v>
      </c>
      <c r="P352" s="1527" t="s">
        <v>8</v>
      </c>
      <c r="Q352" s="1582" t="s">
        <v>34</v>
      </c>
      <c r="R352" s="1527" t="s">
        <v>8</v>
      </c>
      <c r="S352" s="1582" t="s">
        <v>34</v>
      </c>
      <c r="T352" s="1527" t="s">
        <v>8</v>
      </c>
      <c r="U352" s="1582" t="s">
        <v>34</v>
      </c>
      <c r="V352" s="2106"/>
      <c r="W352" s="1527" t="s">
        <v>26</v>
      </c>
      <c r="X352" s="1527" t="s">
        <v>34</v>
      </c>
      <c r="Y352" s="1527" t="s">
        <v>26</v>
      </c>
      <c r="Z352" s="1527" t="s">
        <v>26</v>
      </c>
      <c r="AA352" s="1527" t="s">
        <v>34</v>
      </c>
      <c r="AB352" s="1527" t="s">
        <v>26</v>
      </c>
      <c r="AC352" s="1527" t="s">
        <v>35</v>
      </c>
      <c r="AD352" s="1527" t="s">
        <v>34</v>
      </c>
      <c r="AE352" s="1527" t="s">
        <v>34</v>
      </c>
      <c r="AF352" s="1582" t="s">
        <v>34</v>
      </c>
      <c r="AG352" s="1582" t="s">
        <v>34</v>
      </c>
      <c r="AH352" s="1582" t="s">
        <v>34</v>
      </c>
      <c r="AI352" s="1582" t="s">
        <v>34</v>
      </c>
      <c r="AJ352" s="1582" t="s">
        <v>34</v>
      </c>
      <c r="AK352" s="1582" t="s">
        <v>34</v>
      </c>
      <c r="AL352" s="1582" t="s">
        <v>34</v>
      </c>
      <c r="AM352" s="1582" t="s">
        <v>34</v>
      </c>
      <c r="AN352" s="1527" t="s">
        <v>34</v>
      </c>
      <c r="AO352" s="1527" t="s">
        <v>34</v>
      </c>
      <c r="AP352" s="1640" t="s">
        <v>34</v>
      </c>
      <c r="AQ352" s="1640" t="s">
        <v>34</v>
      </c>
      <c r="AR352" s="1582" t="s">
        <v>34</v>
      </c>
      <c r="AS352" s="1582" t="s">
        <v>58</v>
      </c>
      <c r="AT352" s="1582" t="s">
        <v>34</v>
      </c>
      <c r="AU352" s="1582" t="s">
        <v>59</v>
      </c>
      <c r="AV352" s="1582" t="s">
        <v>34</v>
      </c>
      <c r="AW352" s="1582" t="s">
        <v>34</v>
      </c>
      <c r="AX352" s="1582" t="s">
        <v>34</v>
      </c>
      <c r="AY352" s="2103"/>
      <c r="AZ352" s="2104"/>
      <c r="BA352" s="2047"/>
      <c r="BB352" s="2104"/>
      <c r="BC352" s="1544" t="s">
        <v>34</v>
      </c>
      <c r="BD352" s="2110"/>
      <c r="BE352" s="2112"/>
      <c r="BG352" s="1555" t="s">
        <v>353</v>
      </c>
      <c r="BH352" s="1578" t="s">
        <v>43</v>
      </c>
      <c r="BI352" s="1578" t="s">
        <v>42</v>
      </c>
      <c r="BJ352" s="1555" t="s">
        <v>354</v>
      </c>
      <c r="BK352" s="1561" t="s">
        <v>358</v>
      </c>
      <c r="BL352" s="1561"/>
      <c r="BM352" s="1561"/>
      <c r="BN352" s="1555"/>
      <c r="BO352" s="1555"/>
    </row>
    <row r="353" spans="1:67" ht="83.25" customHeight="1" thickBot="1">
      <c r="A353" s="1584" t="s">
        <v>66</v>
      </c>
      <c r="B353" s="1489" t="s">
        <v>36</v>
      </c>
      <c r="C353" s="1585" t="s">
        <v>150</v>
      </c>
      <c r="D353" s="1651" t="s">
        <v>143</v>
      </c>
      <c r="E353" s="1489">
        <f>'HK UP KEEP, OP '!AH67</f>
        <v>22</v>
      </c>
      <c r="F353" s="1490">
        <v>129220</v>
      </c>
      <c r="G353" s="1490">
        <f t="shared" si="62"/>
        <v>2842840</v>
      </c>
      <c r="H353" s="1489">
        <f>'HK UP KEEP, OP '!AI67</f>
        <v>2</v>
      </c>
      <c r="I353" s="1494">
        <f t="shared" si="33"/>
        <v>258440</v>
      </c>
      <c r="J353" s="1489">
        <f>'HK UP KEEP, OP '!AJ67</f>
        <v>0</v>
      </c>
      <c r="K353" s="1494">
        <f t="shared" si="34"/>
        <v>0</v>
      </c>
      <c r="L353" s="1489"/>
      <c r="M353" s="1494">
        <f t="shared" si="35"/>
        <v>0</v>
      </c>
      <c r="N353" s="1489">
        <f>'HK UP KEEP, OP '!AL67</f>
        <v>4</v>
      </c>
      <c r="O353" s="1494">
        <f t="shared" si="36"/>
        <v>516880</v>
      </c>
      <c r="P353" s="1489">
        <f>'HK UP KEEP, OP '!AM67</f>
        <v>3</v>
      </c>
      <c r="Q353" s="1494">
        <f t="shared" si="37"/>
        <v>387660</v>
      </c>
      <c r="R353" s="1489"/>
      <c r="S353" s="1494">
        <f t="shared" si="38"/>
        <v>0</v>
      </c>
      <c r="T353" s="1489">
        <f>'HK UP KEEP, OP '!AO67+'HK UP KEEP, OP '!AP67+'HK UP KEEP, OP '!AQ67</f>
        <v>0</v>
      </c>
      <c r="U353" s="1494">
        <f t="shared" si="39"/>
        <v>0</v>
      </c>
      <c r="V353" s="1494">
        <f t="shared" si="40"/>
        <v>31</v>
      </c>
      <c r="W353" s="1491">
        <v>4650</v>
      </c>
      <c r="X353" s="1494">
        <f t="shared" si="41"/>
        <v>144150</v>
      </c>
      <c r="Y353" s="1494">
        <v>3500</v>
      </c>
      <c r="Z353" s="1494">
        <f t="shared" si="42"/>
        <v>22</v>
      </c>
      <c r="AA353" s="1648">
        <f t="shared" si="43"/>
        <v>77000</v>
      </c>
      <c r="AB353" s="1489">
        <v>2500</v>
      </c>
      <c r="AC353" s="1489">
        <f>'MASA KERJA AB'!H47</f>
        <v>9</v>
      </c>
      <c r="AD353" s="1492">
        <f>'MASA KERJA AB'!I47</f>
        <v>24000</v>
      </c>
      <c r="AE353" s="1497">
        <f>'LEMBUR DAN PREMI UPKEEP'!AJ57</f>
        <v>2005524.16</v>
      </c>
      <c r="AF353" s="1491">
        <f>'PREMI ALAT'!AL167</f>
        <v>0</v>
      </c>
      <c r="AG353" s="1491">
        <f>'PREMI ALAT'!AL171</f>
        <v>0</v>
      </c>
      <c r="AH353" s="1653">
        <f>'PREMI ALAT'!AL175</f>
        <v>341166</v>
      </c>
      <c r="AI353" s="1489">
        <f>'PREMI ALAT'!AL176</f>
        <v>0</v>
      </c>
      <c r="AJ353" s="1490">
        <f>'PREMI ALAT'!AL178</f>
        <v>0</v>
      </c>
      <c r="AK353" s="1501"/>
      <c r="AL353" s="1489"/>
      <c r="AM353" s="1491"/>
      <c r="AN353" s="1491"/>
      <c r="AO353" s="1494">
        <f t="shared" si="44"/>
        <v>6597660.1600000001</v>
      </c>
      <c r="AP353" s="1489">
        <f t="shared" si="45"/>
        <v>77532</v>
      </c>
      <c r="AQ353" s="1489">
        <f t="shared" si="46"/>
        <v>175997.64</v>
      </c>
      <c r="AR353" s="1489">
        <f t="shared" si="47"/>
        <v>253529.64</v>
      </c>
      <c r="AS353" s="1489">
        <f t="shared" si="48"/>
        <v>39006</v>
      </c>
      <c r="AT353" s="1489">
        <f t="shared" si="49"/>
        <v>156024</v>
      </c>
      <c r="AU353" s="1489">
        <f t="shared" si="50"/>
        <v>38766</v>
      </c>
      <c r="AV353" s="1489">
        <f t="shared" si="51"/>
        <v>77532</v>
      </c>
      <c r="AW353" s="1489">
        <f t="shared" si="52"/>
        <v>311328</v>
      </c>
      <c r="AX353" s="1648">
        <v>4000</v>
      </c>
      <c r="AY353" s="1649">
        <v>76862</v>
      </c>
      <c r="AZ353" s="1494">
        <f t="shared" si="53"/>
        <v>0</v>
      </c>
      <c r="BA353" s="1491"/>
      <c r="BB353" s="1491"/>
      <c r="BC353" s="1489">
        <f t="shared" si="54"/>
        <v>6361494.1600000001</v>
      </c>
      <c r="BD353" s="1489">
        <f>'HK UP KEEP, OP '!AS67</f>
        <v>0</v>
      </c>
      <c r="BE353" s="1495">
        <f>'HK UP KEEP, OP '!AT67</f>
        <v>0</v>
      </c>
      <c r="BG353" s="1551">
        <f t="shared" si="55"/>
        <v>4005820</v>
      </c>
      <c r="BH353" s="1552">
        <f t="shared" si="56"/>
        <v>0</v>
      </c>
      <c r="BI353" s="1552">
        <f t="shared" si="57"/>
        <v>0</v>
      </c>
      <c r="BJ353" s="1551">
        <f t="shared" si="58"/>
        <v>0</v>
      </c>
      <c r="BK353" s="1553">
        <f t="shared" si="59"/>
        <v>4005820</v>
      </c>
      <c r="BM353" s="1553">
        <f t="shared" si="60"/>
        <v>2591840.16</v>
      </c>
      <c r="BN353" s="1551">
        <v>30575.999999999996</v>
      </c>
      <c r="BO353" s="1551">
        <f t="shared" si="61"/>
        <v>186600</v>
      </c>
    </row>
    <row r="354" spans="1:67" ht="19.5" customHeight="1">
      <c r="A354" s="2048" t="s">
        <v>0</v>
      </c>
      <c r="B354" s="2048"/>
      <c r="C354" s="2048"/>
      <c r="D354" s="2048"/>
      <c r="E354" s="2048"/>
      <c r="F354" s="2048"/>
      <c r="G354" s="2048"/>
      <c r="H354" s="2048"/>
      <c r="I354" s="2048"/>
      <c r="J354" s="2048"/>
      <c r="K354" s="2048"/>
      <c r="L354" s="2048"/>
      <c r="M354" s="2048"/>
      <c r="N354" s="2048"/>
      <c r="O354" s="2048"/>
      <c r="P354" s="2048"/>
      <c r="Q354" s="2048"/>
      <c r="R354" s="2048"/>
      <c r="S354" s="2048"/>
      <c r="T354" s="2048"/>
      <c r="U354" s="2048"/>
      <c r="V354" s="2048"/>
      <c r="W354" s="2048"/>
      <c r="X354" s="2048"/>
      <c r="Y354" s="2048"/>
      <c r="Z354" s="2048"/>
      <c r="AA354" s="2048"/>
      <c r="AB354" s="2048"/>
      <c r="AC354" s="2048"/>
      <c r="AD354" s="2048"/>
      <c r="AE354" s="2048"/>
      <c r="AF354" s="2048"/>
      <c r="AG354" s="2048"/>
      <c r="AH354" s="2048"/>
      <c r="AI354" s="2048"/>
      <c r="AJ354" s="2048"/>
      <c r="AK354" s="2048"/>
      <c r="AL354" s="2048"/>
      <c r="AM354" s="2048"/>
      <c r="AN354" s="2048"/>
      <c r="AO354" s="2048"/>
      <c r="AP354" s="2048"/>
      <c r="AQ354" s="2048"/>
      <c r="AR354" s="2048"/>
      <c r="AS354" s="2048"/>
      <c r="AT354" s="2048"/>
      <c r="AU354" s="2048"/>
      <c r="AV354" s="2048"/>
      <c r="AW354" s="2048"/>
      <c r="AX354" s="2048"/>
      <c r="AY354" s="2048"/>
      <c r="AZ354" s="2048"/>
      <c r="BA354" s="2048"/>
      <c r="BB354" s="2048"/>
      <c r="BC354" s="2048"/>
      <c r="BD354" s="2048"/>
      <c r="BE354" s="2048"/>
    </row>
    <row r="355" spans="1:67" ht="18.75" customHeight="1">
      <c r="A355" s="2049" t="s">
        <v>1033</v>
      </c>
      <c r="B355" s="2049"/>
      <c r="C355" s="2049"/>
      <c r="D355" s="2049"/>
      <c r="E355" s="2049"/>
      <c r="F355" s="2049"/>
      <c r="G355" s="2049"/>
      <c r="H355" s="2049"/>
      <c r="I355" s="2049"/>
      <c r="J355" s="2049"/>
      <c r="K355" s="2049"/>
      <c r="L355" s="2049"/>
      <c r="M355" s="2049"/>
      <c r="N355" s="2049"/>
      <c r="O355" s="2049"/>
      <c r="P355" s="2049"/>
      <c r="Q355" s="2049"/>
      <c r="R355" s="2049"/>
      <c r="S355" s="2049"/>
      <c r="T355" s="2049"/>
      <c r="U355" s="2049"/>
      <c r="V355" s="2049"/>
      <c r="W355" s="2049"/>
      <c r="X355" s="2049"/>
      <c r="Y355" s="2049"/>
      <c r="Z355" s="2049"/>
      <c r="AA355" s="2049"/>
      <c r="AB355" s="2049"/>
      <c r="AC355" s="2049"/>
      <c r="AD355" s="2049"/>
      <c r="AE355" s="2049"/>
      <c r="AF355" s="2049"/>
      <c r="AG355" s="2049"/>
      <c r="AH355" s="2049"/>
      <c r="AI355" s="2049"/>
      <c r="AJ355" s="2049"/>
      <c r="AK355" s="2049"/>
      <c r="AL355" s="2049"/>
      <c r="AM355" s="2049"/>
      <c r="AN355" s="2049"/>
      <c r="AO355" s="2049"/>
      <c r="AP355" s="2049"/>
      <c r="AQ355" s="2049"/>
      <c r="AR355" s="2049"/>
      <c r="AS355" s="2049"/>
      <c r="AT355" s="2049"/>
      <c r="AU355" s="2049"/>
      <c r="AV355" s="2049"/>
      <c r="AW355" s="2049"/>
      <c r="AX355" s="2049"/>
      <c r="AY355" s="2049"/>
      <c r="AZ355" s="2049"/>
      <c r="BA355" s="2049"/>
      <c r="BB355" s="2049"/>
      <c r="BC355" s="2049"/>
      <c r="BD355" s="2049"/>
      <c r="BE355" s="2049"/>
    </row>
    <row r="356" spans="1:67" s="1523" customFormat="1" ht="18.75" customHeight="1">
      <c r="D356" s="1523" t="s">
        <v>964</v>
      </c>
      <c r="F356" s="1555"/>
      <c r="G356" s="1555"/>
      <c r="O356" s="1523" t="s">
        <v>214</v>
      </c>
      <c r="AE356" s="1532"/>
      <c r="AF356" s="1532"/>
      <c r="AG356" s="1532"/>
      <c r="AH356" s="1532"/>
      <c r="AI356" s="1532"/>
      <c r="AJ356" s="1532"/>
      <c r="AK356" s="1557"/>
      <c r="AL356" s="1532"/>
      <c r="AM356" s="1532"/>
      <c r="AP356" s="1558">
        <v>3876600</v>
      </c>
      <c r="AQ356" s="1566">
        <f>AP356/30</f>
        <v>129220</v>
      </c>
      <c r="AV356" s="1532" t="s">
        <v>55</v>
      </c>
      <c r="AW356" s="1523" t="s">
        <v>195</v>
      </c>
      <c r="BC356" s="1518"/>
      <c r="BD356" s="1532"/>
      <c r="BG356" s="1551"/>
      <c r="BH356" s="1560"/>
      <c r="BI356" s="1560"/>
      <c r="BJ356" s="1555"/>
      <c r="BK356" s="1561"/>
      <c r="BL356" s="1561"/>
      <c r="BM356" s="1561"/>
      <c r="BN356" s="1555"/>
      <c r="BO356" s="1555"/>
    </row>
    <row r="357" spans="1:67" ht="18.75" customHeight="1" thickBot="1">
      <c r="A357" s="1547"/>
      <c r="D357" s="1563"/>
      <c r="E357" s="1563"/>
      <c r="F357" s="1564"/>
      <c r="G357" s="1564"/>
      <c r="H357" s="1563"/>
      <c r="I357" s="1563"/>
      <c r="J357" s="1563"/>
      <c r="K357" s="1563"/>
      <c r="L357" s="1563"/>
      <c r="M357" s="1563"/>
      <c r="N357" s="1563"/>
      <c r="O357" s="1563"/>
      <c r="Q357" s="1563"/>
      <c r="R357" s="1563"/>
      <c r="S357" s="1563"/>
      <c r="T357" s="1563"/>
      <c r="U357" s="1563"/>
      <c r="V357" s="1563"/>
      <c r="W357" s="1563"/>
      <c r="X357" s="1563"/>
      <c r="Y357" s="1563"/>
      <c r="Z357" s="1563"/>
      <c r="AA357" s="1563"/>
      <c r="AB357" s="1563"/>
      <c r="AC357" s="1563"/>
      <c r="AD357" s="1547"/>
      <c r="AE357" s="1563"/>
      <c r="AF357" s="1563"/>
      <c r="AG357" s="1563"/>
      <c r="AH357" s="1563"/>
      <c r="AI357" s="1563"/>
      <c r="AJ357" s="1563"/>
      <c r="AK357" s="1565"/>
      <c r="AL357" s="1563"/>
      <c r="AM357" s="1563"/>
      <c r="AO357" s="1639"/>
      <c r="AP357" s="1558">
        <v>3876600</v>
      </c>
      <c r="AQ357" s="1566">
        <f>AP357/30</f>
        <v>129220</v>
      </c>
    </row>
    <row r="358" spans="1:67" s="1523" customFormat="1" ht="16.5" customHeight="1">
      <c r="A358" s="2050" t="s">
        <v>5</v>
      </c>
      <c r="B358" s="2056" t="s">
        <v>6</v>
      </c>
      <c r="C358" s="2056" t="s">
        <v>52</v>
      </c>
      <c r="D358" s="1569"/>
      <c r="E358" s="1569"/>
      <c r="F358" s="1570"/>
      <c r="G358" s="1570"/>
      <c r="H358" s="2059" t="s">
        <v>2</v>
      </c>
      <c r="I358" s="2060"/>
      <c r="J358" s="2060"/>
      <c r="K358" s="2060"/>
      <c r="L358" s="2060"/>
      <c r="M358" s="2060"/>
      <c r="N358" s="2060"/>
      <c r="O358" s="2060"/>
      <c r="P358" s="2060"/>
      <c r="Q358" s="2060"/>
      <c r="R358" s="2060"/>
      <c r="S358" s="2060"/>
      <c r="T358" s="2060"/>
      <c r="U358" s="2061"/>
      <c r="V358" s="2056" t="s">
        <v>286</v>
      </c>
      <c r="W358" s="2059" t="s">
        <v>3</v>
      </c>
      <c r="X358" s="2060"/>
      <c r="Y358" s="2060"/>
      <c r="Z358" s="2060"/>
      <c r="AA358" s="2060"/>
      <c r="AB358" s="2060"/>
      <c r="AC358" s="2060"/>
      <c r="AD358" s="2061"/>
      <c r="AE358" s="2042" t="s">
        <v>45</v>
      </c>
      <c r="AF358" s="2063" t="s">
        <v>46</v>
      </c>
      <c r="AG358" s="2064"/>
      <c r="AH358" s="2064"/>
      <c r="AI358" s="2064"/>
      <c r="AJ358" s="2064"/>
      <c r="AK358" s="2064"/>
      <c r="AL358" s="2064"/>
      <c r="AM358" s="2065"/>
      <c r="AN358" s="2056" t="s">
        <v>44</v>
      </c>
      <c r="AO358" s="1533" t="s">
        <v>4</v>
      </c>
      <c r="AP358" s="2036" t="s">
        <v>20</v>
      </c>
      <c r="AQ358" s="2037"/>
      <c r="AR358" s="2038"/>
      <c r="AS358" s="2036" t="s">
        <v>54</v>
      </c>
      <c r="AT358" s="2037"/>
      <c r="AU358" s="2037"/>
      <c r="AV358" s="2037"/>
      <c r="AW358" s="2038"/>
      <c r="AX358" s="1569"/>
      <c r="AY358" s="2042" t="s">
        <v>89</v>
      </c>
      <c r="AZ358" s="2045" t="s">
        <v>97</v>
      </c>
      <c r="BA358" s="2045" t="s">
        <v>720</v>
      </c>
      <c r="BB358" s="2045" t="s">
        <v>215</v>
      </c>
      <c r="BC358" s="1539" t="s">
        <v>4</v>
      </c>
      <c r="BD358" s="2063" t="s">
        <v>41</v>
      </c>
      <c r="BE358" s="2084"/>
      <c r="BG358" s="1551"/>
      <c r="BH358" s="1560"/>
      <c r="BI358" s="1560"/>
      <c r="BJ358" s="1555"/>
      <c r="BK358" s="1561"/>
      <c r="BL358" s="1561"/>
      <c r="BM358" s="1561"/>
      <c r="BN358" s="1555"/>
      <c r="BO358" s="1555"/>
    </row>
    <row r="359" spans="1:67" s="1523" customFormat="1" ht="26.25" customHeight="1">
      <c r="A359" s="2051"/>
      <c r="B359" s="2057"/>
      <c r="C359" s="2057"/>
      <c r="D359" s="1519" t="s">
        <v>7</v>
      </c>
      <c r="E359" s="1519" t="s">
        <v>8</v>
      </c>
      <c r="F359" s="1572" t="s">
        <v>9</v>
      </c>
      <c r="G359" s="1572" t="s">
        <v>9</v>
      </c>
      <c r="H359" s="2097" t="s">
        <v>10</v>
      </c>
      <c r="I359" s="2099"/>
      <c r="J359" s="2097" t="s">
        <v>11</v>
      </c>
      <c r="K359" s="2099"/>
      <c r="L359" s="2097" t="s">
        <v>12</v>
      </c>
      <c r="M359" s="2099"/>
      <c r="N359" s="2097" t="s">
        <v>13</v>
      </c>
      <c r="O359" s="2099"/>
      <c r="P359" s="2097" t="s">
        <v>14</v>
      </c>
      <c r="Q359" s="2099"/>
      <c r="R359" s="2100" t="s">
        <v>15</v>
      </c>
      <c r="S359" s="2101"/>
      <c r="T359" s="2097" t="s">
        <v>16</v>
      </c>
      <c r="U359" s="2099"/>
      <c r="V359" s="2057"/>
      <c r="W359" s="2097" t="s">
        <v>17</v>
      </c>
      <c r="X359" s="2099"/>
      <c r="Y359" s="2097" t="s">
        <v>18</v>
      </c>
      <c r="Z359" s="2098"/>
      <c r="AA359" s="2099"/>
      <c r="AB359" s="2097" t="s">
        <v>19</v>
      </c>
      <c r="AC359" s="2098"/>
      <c r="AD359" s="2099"/>
      <c r="AE359" s="2043"/>
      <c r="AF359" s="2066"/>
      <c r="AG359" s="2067"/>
      <c r="AH359" s="2067"/>
      <c r="AI359" s="2067"/>
      <c r="AJ359" s="2067"/>
      <c r="AK359" s="2067"/>
      <c r="AL359" s="2067"/>
      <c r="AM359" s="2068"/>
      <c r="AN359" s="2057"/>
      <c r="AO359" s="1534" t="s">
        <v>9</v>
      </c>
      <c r="AP359" s="2039"/>
      <c r="AQ359" s="2102"/>
      <c r="AR359" s="2041"/>
      <c r="AS359" s="2039"/>
      <c r="AT359" s="2102"/>
      <c r="AU359" s="2102"/>
      <c r="AV359" s="2102"/>
      <c r="AW359" s="2041"/>
      <c r="AX359" s="1519" t="s">
        <v>21</v>
      </c>
      <c r="AY359" s="2043"/>
      <c r="AZ359" s="2046"/>
      <c r="BA359" s="2046"/>
      <c r="BB359" s="2046"/>
      <c r="BC359" s="1540" t="s">
        <v>9</v>
      </c>
      <c r="BD359" s="2085"/>
      <c r="BE359" s="2086"/>
      <c r="BG359" s="1551"/>
      <c r="BH359" s="1560"/>
      <c r="BI359" s="1560"/>
      <c r="BJ359" s="1555"/>
      <c r="BK359" s="1561"/>
      <c r="BL359" s="1561"/>
      <c r="BM359" s="1561"/>
      <c r="BN359" s="1555"/>
      <c r="BO359" s="1555"/>
    </row>
    <row r="360" spans="1:67" s="1523" customFormat="1" ht="93" customHeight="1">
      <c r="A360" s="2051"/>
      <c r="B360" s="2057"/>
      <c r="C360" s="2057"/>
      <c r="D360" s="1519" t="s">
        <v>22</v>
      </c>
      <c r="E360" s="1519" t="s">
        <v>23</v>
      </c>
      <c r="F360" s="1572" t="s">
        <v>24</v>
      </c>
      <c r="G360" s="1572" t="s">
        <v>25</v>
      </c>
      <c r="H360" s="2107" t="s">
        <v>4</v>
      </c>
      <c r="I360" s="2108"/>
      <c r="J360" s="2107" t="s">
        <v>4</v>
      </c>
      <c r="K360" s="2108"/>
      <c r="L360" s="2107" t="s">
        <v>4</v>
      </c>
      <c r="M360" s="2108"/>
      <c r="N360" s="2107" t="s">
        <v>4</v>
      </c>
      <c r="O360" s="2108"/>
      <c r="P360" s="2107" t="s">
        <v>4</v>
      </c>
      <c r="Q360" s="2108"/>
      <c r="R360" s="2116" t="s">
        <v>4</v>
      </c>
      <c r="S360" s="2117"/>
      <c r="T360" s="2107" t="s">
        <v>4</v>
      </c>
      <c r="U360" s="2108"/>
      <c r="V360" s="2057"/>
      <c r="W360" s="1534" t="s">
        <v>27</v>
      </c>
      <c r="X360" s="1640" t="s">
        <v>28</v>
      </c>
      <c r="Y360" s="1534" t="s">
        <v>27</v>
      </c>
      <c r="Z360" s="2107" t="s">
        <v>4</v>
      </c>
      <c r="AA360" s="2108"/>
      <c r="AB360" s="1641" t="s">
        <v>27</v>
      </c>
      <c r="AC360" s="2097" t="s">
        <v>4</v>
      </c>
      <c r="AD360" s="2099"/>
      <c r="AE360" s="2062"/>
      <c r="AF360" s="1642" t="s">
        <v>356</v>
      </c>
      <c r="AG360" s="1642" t="s">
        <v>461</v>
      </c>
      <c r="AH360" s="1642" t="s">
        <v>460</v>
      </c>
      <c r="AI360" s="1642" t="s">
        <v>458</v>
      </c>
      <c r="AJ360" s="1642" t="s">
        <v>459</v>
      </c>
      <c r="AK360" s="1642" t="s">
        <v>462</v>
      </c>
      <c r="AL360" s="1643" t="s">
        <v>278</v>
      </c>
      <c r="AM360" s="1642" t="s">
        <v>97</v>
      </c>
      <c r="AN360" s="2090"/>
      <c r="AO360" s="1534" t="s">
        <v>29</v>
      </c>
      <c r="AP360" s="1519" t="s">
        <v>30</v>
      </c>
      <c r="AQ360" s="1519" t="s">
        <v>31</v>
      </c>
      <c r="AR360" s="1519" t="s">
        <v>4</v>
      </c>
      <c r="AS360" s="1519" t="s">
        <v>30</v>
      </c>
      <c r="AT360" s="1519" t="s">
        <v>31</v>
      </c>
      <c r="AU360" s="1519" t="s">
        <v>30</v>
      </c>
      <c r="AV360" s="1519" t="s">
        <v>31</v>
      </c>
      <c r="AW360" s="1534" t="s">
        <v>4</v>
      </c>
      <c r="AX360" s="1519" t="s">
        <v>32</v>
      </c>
      <c r="AY360" s="2043"/>
      <c r="AZ360" s="2046"/>
      <c r="BA360" s="2046"/>
      <c r="BB360" s="2046"/>
      <c r="BC360" s="1540" t="s">
        <v>33</v>
      </c>
      <c r="BD360" s="2109" t="s">
        <v>42</v>
      </c>
      <c r="BE360" s="2111" t="s">
        <v>43</v>
      </c>
      <c r="BG360" s="1573"/>
      <c r="BH360" s="1560"/>
      <c r="BI360" s="1560"/>
      <c r="BJ360" s="1555"/>
      <c r="BK360" s="1561"/>
      <c r="BL360" s="1561"/>
      <c r="BM360" s="1561"/>
      <c r="BN360" s="1555"/>
      <c r="BO360" s="1555"/>
    </row>
    <row r="361" spans="1:67" s="1523" customFormat="1" ht="29.25" customHeight="1" thickBot="1">
      <c r="A361" s="2105"/>
      <c r="B361" s="2106"/>
      <c r="C361" s="2106"/>
      <c r="D361" s="1644"/>
      <c r="E361" s="1644"/>
      <c r="F361" s="1645" t="s">
        <v>34</v>
      </c>
      <c r="G361" s="1580" t="s">
        <v>34</v>
      </c>
      <c r="H361" s="1527" t="s">
        <v>8</v>
      </c>
      <c r="I361" s="1582" t="s">
        <v>34</v>
      </c>
      <c r="J361" s="1527" t="s">
        <v>8</v>
      </c>
      <c r="K361" s="1582" t="s">
        <v>34</v>
      </c>
      <c r="L361" s="1527" t="s">
        <v>8</v>
      </c>
      <c r="M361" s="1582" t="s">
        <v>34</v>
      </c>
      <c r="N361" s="1527" t="s">
        <v>8</v>
      </c>
      <c r="O361" s="1582" t="s">
        <v>34</v>
      </c>
      <c r="P361" s="1527" t="s">
        <v>8</v>
      </c>
      <c r="Q361" s="1582" t="s">
        <v>34</v>
      </c>
      <c r="R361" s="1527" t="s">
        <v>8</v>
      </c>
      <c r="S361" s="1582" t="s">
        <v>34</v>
      </c>
      <c r="T361" s="1527" t="s">
        <v>8</v>
      </c>
      <c r="U361" s="1582" t="s">
        <v>34</v>
      </c>
      <c r="V361" s="2106"/>
      <c r="W361" s="1527" t="s">
        <v>26</v>
      </c>
      <c r="X361" s="1527" t="s">
        <v>34</v>
      </c>
      <c r="Y361" s="1527" t="s">
        <v>26</v>
      </c>
      <c r="Z361" s="1527" t="s">
        <v>26</v>
      </c>
      <c r="AA361" s="1527" t="s">
        <v>34</v>
      </c>
      <c r="AB361" s="1527" t="s">
        <v>26</v>
      </c>
      <c r="AC361" s="1527" t="s">
        <v>35</v>
      </c>
      <c r="AD361" s="1527" t="s">
        <v>34</v>
      </c>
      <c r="AE361" s="1527" t="s">
        <v>34</v>
      </c>
      <c r="AF361" s="1582" t="s">
        <v>34</v>
      </c>
      <c r="AG361" s="1582" t="s">
        <v>34</v>
      </c>
      <c r="AH361" s="1582" t="s">
        <v>34</v>
      </c>
      <c r="AI361" s="1582" t="s">
        <v>34</v>
      </c>
      <c r="AJ361" s="1582" t="s">
        <v>34</v>
      </c>
      <c r="AK361" s="1582" t="s">
        <v>34</v>
      </c>
      <c r="AL361" s="1582" t="s">
        <v>34</v>
      </c>
      <c r="AM361" s="1582" t="s">
        <v>34</v>
      </c>
      <c r="AN361" s="1527" t="s">
        <v>34</v>
      </c>
      <c r="AO361" s="1527" t="s">
        <v>34</v>
      </c>
      <c r="AP361" s="1640" t="s">
        <v>34</v>
      </c>
      <c r="AQ361" s="1640" t="s">
        <v>34</v>
      </c>
      <c r="AR361" s="1582" t="s">
        <v>34</v>
      </c>
      <c r="AS361" s="1582" t="s">
        <v>58</v>
      </c>
      <c r="AT361" s="1582" t="s">
        <v>34</v>
      </c>
      <c r="AU361" s="1582" t="s">
        <v>59</v>
      </c>
      <c r="AV361" s="1582" t="s">
        <v>34</v>
      </c>
      <c r="AW361" s="1582" t="s">
        <v>34</v>
      </c>
      <c r="AX361" s="1582" t="s">
        <v>34</v>
      </c>
      <c r="AY361" s="2103"/>
      <c r="AZ361" s="2104"/>
      <c r="BA361" s="2047"/>
      <c r="BB361" s="2104"/>
      <c r="BC361" s="1544" t="s">
        <v>34</v>
      </c>
      <c r="BD361" s="2110"/>
      <c r="BE361" s="2112"/>
      <c r="BG361" s="1555" t="s">
        <v>353</v>
      </c>
      <c r="BH361" s="1578" t="s">
        <v>43</v>
      </c>
      <c r="BI361" s="1578" t="s">
        <v>42</v>
      </c>
      <c r="BJ361" s="1555" t="s">
        <v>354</v>
      </c>
      <c r="BK361" s="1561" t="s">
        <v>358</v>
      </c>
      <c r="BL361" s="1561"/>
      <c r="BM361" s="1561"/>
      <c r="BN361" s="1555"/>
      <c r="BO361" s="1555"/>
    </row>
    <row r="362" spans="1:67" ht="83.25" customHeight="1" thickBot="1">
      <c r="A362" s="1584" t="s">
        <v>67</v>
      </c>
      <c r="B362" s="1489" t="s">
        <v>36</v>
      </c>
      <c r="C362" s="1585" t="s">
        <v>223</v>
      </c>
      <c r="D362" s="1590" t="s">
        <v>282</v>
      </c>
      <c r="E362" s="1489">
        <f>'HK UP KEEP, OP '!AH68</f>
        <v>24</v>
      </c>
      <c r="F362" s="1490">
        <v>129220</v>
      </c>
      <c r="G362" s="1490">
        <f t="shared" si="62"/>
        <v>3101280</v>
      </c>
      <c r="H362" s="1489">
        <f>'HK UP KEEP, OP '!AI68</f>
        <v>0</v>
      </c>
      <c r="I362" s="1494">
        <f t="shared" si="33"/>
        <v>0</v>
      </c>
      <c r="J362" s="1489">
        <f>'HK UP KEEP, OP '!AJ68</f>
        <v>0</v>
      </c>
      <c r="K362" s="1494">
        <f t="shared" si="34"/>
        <v>0</v>
      </c>
      <c r="L362" s="1489"/>
      <c r="M362" s="1494">
        <f t="shared" si="35"/>
        <v>0</v>
      </c>
      <c r="N362" s="1489">
        <f>'HK UP KEEP, OP '!AL68</f>
        <v>4</v>
      </c>
      <c r="O362" s="1494">
        <f t="shared" si="36"/>
        <v>516880</v>
      </c>
      <c r="P362" s="1489">
        <f>'HK UP KEEP, OP '!AM68</f>
        <v>3</v>
      </c>
      <c r="Q362" s="1494">
        <f t="shared" si="37"/>
        <v>387660</v>
      </c>
      <c r="R362" s="1489"/>
      <c r="S362" s="1494">
        <f t="shared" si="38"/>
        <v>0</v>
      </c>
      <c r="T362" s="1489">
        <f>'HK UP KEEP, OP '!AO68+'HK UP KEEP, OP '!AP68+'HK UP KEEP, OP '!AQ68</f>
        <v>0</v>
      </c>
      <c r="U362" s="1494">
        <f t="shared" si="39"/>
        <v>0</v>
      </c>
      <c r="V362" s="1494">
        <f t="shared" si="40"/>
        <v>31</v>
      </c>
      <c r="W362" s="1491">
        <v>4650</v>
      </c>
      <c r="X362" s="1494">
        <f t="shared" si="41"/>
        <v>144150</v>
      </c>
      <c r="Y362" s="1489">
        <v>2500</v>
      </c>
      <c r="Z362" s="1494">
        <f t="shared" si="42"/>
        <v>24</v>
      </c>
      <c r="AA362" s="1648">
        <f t="shared" si="43"/>
        <v>60000</v>
      </c>
      <c r="AB362" s="1497">
        <v>2500</v>
      </c>
      <c r="AC362" s="1489">
        <f>'MASA KERJA AB'!H48</f>
        <v>3</v>
      </c>
      <c r="AD362" s="1492">
        <f>'MASA KERJA AB'!I48</f>
        <v>7500</v>
      </c>
      <c r="AE362" s="1497">
        <f>'LEMBUR DAN PREMI UPKEEP'!AJ61</f>
        <v>2296829.34</v>
      </c>
      <c r="AF362" s="1491">
        <f>'PREMI ALAT'!AL198</f>
        <v>0</v>
      </c>
      <c r="AG362" s="1491">
        <f>'PREMI ALAT'!AL202</f>
        <v>0</v>
      </c>
      <c r="AH362" s="1653">
        <f>'PREMI ALAT'!AL206</f>
        <v>391716</v>
      </c>
      <c r="AI362" s="1489">
        <f>'PREMI ALAT'!AL207</f>
        <v>0</v>
      </c>
      <c r="AJ362" s="1498">
        <f>'PREMI ALAT'!AL209</f>
        <v>0</v>
      </c>
      <c r="AK362" s="1501"/>
      <c r="AL362" s="1649">
        <v>250000</v>
      </c>
      <c r="AM362" s="1491"/>
      <c r="AN362" s="1491"/>
      <c r="AO362" s="1494">
        <f t="shared" si="44"/>
        <v>7156015.3399999999</v>
      </c>
      <c r="AP362" s="1489">
        <f t="shared" si="45"/>
        <v>77532</v>
      </c>
      <c r="AQ362" s="1489">
        <f t="shared" si="46"/>
        <v>175997.64</v>
      </c>
      <c r="AR362" s="1489">
        <f t="shared" si="47"/>
        <v>253529.64</v>
      </c>
      <c r="AS362" s="1489">
        <f t="shared" si="48"/>
        <v>38841</v>
      </c>
      <c r="AT362" s="1489">
        <f t="shared" si="49"/>
        <v>155364</v>
      </c>
      <c r="AU362" s="1489">
        <f t="shared" si="50"/>
        <v>38766</v>
      </c>
      <c r="AV362" s="1489">
        <f t="shared" si="51"/>
        <v>77532</v>
      </c>
      <c r="AW362" s="1489">
        <f t="shared" si="52"/>
        <v>310503</v>
      </c>
      <c r="AX362" s="1648">
        <v>4000</v>
      </c>
      <c r="AY362" s="1649">
        <v>79439</v>
      </c>
      <c r="AZ362" s="1494">
        <f t="shared" si="53"/>
        <v>0</v>
      </c>
      <c r="BA362" s="1491"/>
      <c r="BB362" s="1491"/>
      <c r="BC362" s="1489">
        <f t="shared" si="54"/>
        <v>6917437.3399999999</v>
      </c>
      <c r="BD362" s="1489">
        <f>'HK UP KEEP, OP '!AS68</f>
        <v>0</v>
      </c>
      <c r="BE362" s="1495">
        <f>'HK UP KEEP, OP '!AT68</f>
        <v>0</v>
      </c>
      <c r="BG362" s="1551">
        <f t="shared" si="55"/>
        <v>4005820</v>
      </c>
      <c r="BH362" s="1552">
        <f t="shared" si="56"/>
        <v>0</v>
      </c>
      <c r="BI362" s="1552">
        <f t="shared" si="57"/>
        <v>0</v>
      </c>
      <c r="BJ362" s="1551">
        <f t="shared" si="58"/>
        <v>0</v>
      </c>
      <c r="BK362" s="1553">
        <f t="shared" si="59"/>
        <v>4005820</v>
      </c>
      <c r="BM362" s="1553">
        <f t="shared" si="60"/>
        <v>3150195.34</v>
      </c>
      <c r="BN362" s="1551">
        <v>30575.999999999996</v>
      </c>
      <c r="BO362" s="1551">
        <f t="shared" si="61"/>
        <v>185940</v>
      </c>
    </row>
    <row r="363" spans="1:67" ht="19.5" customHeight="1">
      <c r="A363" s="2048" t="s">
        <v>0</v>
      </c>
      <c r="B363" s="2048"/>
      <c r="C363" s="2048"/>
      <c r="D363" s="2048"/>
      <c r="E363" s="2048"/>
      <c r="F363" s="2048"/>
      <c r="G363" s="2048"/>
      <c r="H363" s="2048"/>
      <c r="I363" s="2048"/>
      <c r="J363" s="2048"/>
      <c r="K363" s="2048"/>
      <c r="L363" s="2048"/>
      <c r="M363" s="2048"/>
      <c r="N363" s="2048"/>
      <c r="O363" s="2048"/>
      <c r="P363" s="2048"/>
      <c r="Q363" s="2048"/>
      <c r="R363" s="2048"/>
      <c r="S363" s="2048"/>
      <c r="T363" s="2048"/>
      <c r="U363" s="2048"/>
      <c r="V363" s="2048"/>
      <c r="W363" s="2048"/>
      <c r="X363" s="2048"/>
      <c r="Y363" s="2048"/>
      <c r="Z363" s="2048"/>
      <c r="AA363" s="2048"/>
      <c r="AB363" s="2048"/>
      <c r="AC363" s="2048"/>
      <c r="AD363" s="2048"/>
      <c r="AE363" s="2048"/>
      <c r="AF363" s="2048"/>
      <c r="AG363" s="2048"/>
      <c r="AH363" s="2048"/>
      <c r="AI363" s="2048"/>
      <c r="AJ363" s="2048"/>
      <c r="AK363" s="2048"/>
      <c r="AL363" s="2048"/>
      <c r="AM363" s="2048"/>
      <c r="AN363" s="2048"/>
      <c r="AO363" s="2048"/>
      <c r="AP363" s="2048"/>
      <c r="AQ363" s="2048"/>
      <c r="AR363" s="2048"/>
      <c r="AS363" s="2048"/>
      <c r="AT363" s="2048"/>
      <c r="AU363" s="2048"/>
      <c r="AV363" s="2048"/>
      <c r="AW363" s="2048"/>
      <c r="AX363" s="2048"/>
      <c r="AY363" s="2048"/>
      <c r="AZ363" s="2048"/>
      <c r="BA363" s="2048"/>
      <c r="BB363" s="2048"/>
      <c r="BC363" s="2048"/>
      <c r="BD363" s="2048"/>
      <c r="BE363" s="2048"/>
    </row>
    <row r="364" spans="1:67" ht="18.75" customHeight="1">
      <c r="A364" s="2049" t="s">
        <v>1033</v>
      </c>
      <c r="B364" s="2049"/>
      <c r="C364" s="2049"/>
      <c r="D364" s="2049"/>
      <c r="E364" s="2049"/>
      <c r="F364" s="2049"/>
      <c r="G364" s="2049"/>
      <c r="H364" s="2049"/>
      <c r="I364" s="2049"/>
      <c r="J364" s="2049"/>
      <c r="K364" s="2049"/>
      <c r="L364" s="2049"/>
      <c r="M364" s="2049"/>
      <c r="N364" s="2049"/>
      <c r="O364" s="2049"/>
      <c r="P364" s="2049"/>
      <c r="Q364" s="2049"/>
      <c r="R364" s="2049"/>
      <c r="S364" s="2049"/>
      <c r="T364" s="2049"/>
      <c r="U364" s="2049"/>
      <c r="V364" s="2049"/>
      <c r="W364" s="2049"/>
      <c r="X364" s="2049"/>
      <c r="Y364" s="2049"/>
      <c r="Z364" s="2049"/>
      <c r="AA364" s="2049"/>
      <c r="AB364" s="2049"/>
      <c r="AC364" s="2049"/>
      <c r="AD364" s="2049"/>
      <c r="AE364" s="2049"/>
      <c r="AF364" s="2049"/>
      <c r="AG364" s="2049"/>
      <c r="AH364" s="2049"/>
      <c r="AI364" s="2049"/>
      <c r="AJ364" s="2049"/>
      <c r="AK364" s="2049"/>
      <c r="AL364" s="2049"/>
      <c r="AM364" s="2049"/>
      <c r="AN364" s="2049"/>
      <c r="AO364" s="2049"/>
      <c r="AP364" s="2049"/>
      <c r="AQ364" s="2049"/>
      <c r="AR364" s="2049"/>
      <c r="AS364" s="2049"/>
      <c r="AT364" s="2049"/>
      <c r="AU364" s="2049"/>
      <c r="AV364" s="2049"/>
      <c r="AW364" s="2049"/>
      <c r="AX364" s="2049"/>
      <c r="AY364" s="2049"/>
      <c r="AZ364" s="2049"/>
      <c r="BA364" s="2049"/>
      <c r="BB364" s="2049"/>
      <c r="BC364" s="2049"/>
      <c r="BD364" s="2049"/>
      <c r="BE364" s="2049"/>
    </row>
    <row r="365" spans="1:67" s="1523" customFormat="1" ht="18.75" customHeight="1">
      <c r="D365" s="1523" t="s">
        <v>964</v>
      </c>
      <c r="F365" s="1555"/>
      <c r="G365" s="1555"/>
      <c r="O365" s="1523" t="s">
        <v>214</v>
      </c>
      <c r="AE365" s="1532"/>
      <c r="AF365" s="1532"/>
      <c r="AG365" s="1532"/>
      <c r="AH365" s="1532"/>
      <c r="AI365" s="1532"/>
      <c r="AJ365" s="1532"/>
      <c r="AK365" s="1557"/>
      <c r="AL365" s="1532"/>
      <c r="AM365" s="1532"/>
      <c r="AP365" s="1558">
        <v>3876600</v>
      </c>
      <c r="AQ365" s="1566">
        <f>AP365/30</f>
        <v>129220</v>
      </c>
      <c r="AV365" s="1532" t="s">
        <v>55</v>
      </c>
      <c r="AW365" s="1523" t="s">
        <v>195</v>
      </c>
      <c r="BC365" s="1518"/>
      <c r="BD365" s="1532"/>
      <c r="BG365" s="1551"/>
      <c r="BH365" s="1560"/>
      <c r="BI365" s="1560"/>
      <c r="BJ365" s="1555"/>
      <c r="BK365" s="1561"/>
      <c r="BL365" s="1561"/>
      <c r="BM365" s="1561"/>
      <c r="BN365" s="1555"/>
      <c r="BO365" s="1555"/>
    </row>
    <row r="366" spans="1:67" ht="18.75" customHeight="1" thickBot="1">
      <c r="A366" s="1547"/>
      <c r="D366" s="1563"/>
      <c r="E366" s="1563"/>
      <c r="F366" s="1564"/>
      <c r="G366" s="1564"/>
      <c r="H366" s="1563"/>
      <c r="I366" s="1563"/>
      <c r="J366" s="1563"/>
      <c r="K366" s="1563"/>
      <c r="L366" s="1563"/>
      <c r="M366" s="1563"/>
      <c r="N366" s="1563"/>
      <c r="O366" s="1563"/>
      <c r="Q366" s="1563"/>
      <c r="R366" s="1563"/>
      <c r="S366" s="1563"/>
      <c r="T366" s="1563"/>
      <c r="U366" s="1563"/>
      <c r="V366" s="1563"/>
      <c r="W366" s="1563"/>
      <c r="X366" s="1563"/>
      <c r="Y366" s="1563"/>
      <c r="Z366" s="1563"/>
      <c r="AA366" s="1563"/>
      <c r="AB366" s="1563"/>
      <c r="AC366" s="1563"/>
      <c r="AD366" s="1547"/>
      <c r="AE366" s="1563"/>
      <c r="AF366" s="1563"/>
      <c r="AG366" s="1563"/>
      <c r="AH366" s="1563"/>
      <c r="AI366" s="1563"/>
      <c r="AJ366" s="1563"/>
      <c r="AK366" s="1565"/>
      <c r="AL366" s="1563"/>
      <c r="AM366" s="1563"/>
      <c r="AO366" s="1639"/>
      <c r="AP366" s="1558">
        <v>3876600</v>
      </c>
      <c r="AQ366" s="1566">
        <f>AP366/30</f>
        <v>129220</v>
      </c>
    </row>
    <row r="367" spans="1:67" s="1523" customFormat="1" ht="16.5" customHeight="1">
      <c r="A367" s="2050" t="s">
        <v>5</v>
      </c>
      <c r="B367" s="2056" t="s">
        <v>6</v>
      </c>
      <c r="C367" s="2056" t="s">
        <v>52</v>
      </c>
      <c r="D367" s="1569"/>
      <c r="E367" s="1569"/>
      <c r="F367" s="1570"/>
      <c r="G367" s="1570"/>
      <c r="H367" s="2059" t="s">
        <v>2</v>
      </c>
      <c r="I367" s="2060"/>
      <c r="J367" s="2060"/>
      <c r="K367" s="2060"/>
      <c r="L367" s="2060"/>
      <c r="M367" s="2060"/>
      <c r="N367" s="2060"/>
      <c r="O367" s="2060"/>
      <c r="P367" s="2060"/>
      <c r="Q367" s="2060"/>
      <c r="R367" s="2060"/>
      <c r="S367" s="2060"/>
      <c r="T367" s="2060"/>
      <c r="U367" s="2061"/>
      <c r="V367" s="2056" t="s">
        <v>286</v>
      </c>
      <c r="W367" s="2059" t="s">
        <v>3</v>
      </c>
      <c r="X367" s="2060"/>
      <c r="Y367" s="2060"/>
      <c r="Z367" s="2060"/>
      <c r="AA367" s="2060"/>
      <c r="AB367" s="2060"/>
      <c r="AC367" s="2060"/>
      <c r="AD367" s="2061"/>
      <c r="AE367" s="2042" t="s">
        <v>45</v>
      </c>
      <c r="AF367" s="2063" t="s">
        <v>46</v>
      </c>
      <c r="AG367" s="2064"/>
      <c r="AH367" s="2064"/>
      <c r="AI367" s="2064"/>
      <c r="AJ367" s="2064"/>
      <c r="AK367" s="2064"/>
      <c r="AL367" s="2064"/>
      <c r="AM367" s="2065"/>
      <c r="AN367" s="2056" t="s">
        <v>44</v>
      </c>
      <c r="AO367" s="1533" t="s">
        <v>4</v>
      </c>
      <c r="AP367" s="2036" t="s">
        <v>20</v>
      </c>
      <c r="AQ367" s="2037"/>
      <c r="AR367" s="2038"/>
      <c r="AS367" s="2036" t="s">
        <v>54</v>
      </c>
      <c r="AT367" s="2037"/>
      <c r="AU367" s="2037"/>
      <c r="AV367" s="2037"/>
      <c r="AW367" s="2038"/>
      <c r="AX367" s="1569"/>
      <c r="AY367" s="2042" t="s">
        <v>89</v>
      </c>
      <c r="AZ367" s="2045" t="s">
        <v>97</v>
      </c>
      <c r="BA367" s="2045" t="s">
        <v>720</v>
      </c>
      <c r="BB367" s="2045" t="s">
        <v>215</v>
      </c>
      <c r="BC367" s="1539" t="s">
        <v>4</v>
      </c>
      <c r="BD367" s="2063" t="s">
        <v>41</v>
      </c>
      <c r="BE367" s="2084"/>
      <c r="BG367" s="1551"/>
      <c r="BH367" s="1560"/>
      <c r="BI367" s="1560"/>
      <c r="BJ367" s="1555"/>
      <c r="BK367" s="1561"/>
      <c r="BL367" s="1561"/>
      <c r="BM367" s="1561"/>
      <c r="BN367" s="1555"/>
      <c r="BO367" s="1555"/>
    </row>
    <row r="368" spans="1:67" s="1523" customFormat="1" ht="26.25" customHeight="1">
      <c r="A368" s="2051"/>
      <c r="B368" s="2057"/>
      <c r="C368" s="2057"/>
      <c r="D368" s="1519" t="s">
        <v>7</v>
      </c>
      <c r="E368" s="1519" t="s">
        <v>8</v>
      </c>
      <c r="F368" s="1572" t="s">
        <v>9</v>
      </c>
      <c r="G368" s="1572" t="s">
        <v>9</v>
      </c>
      <c r="H368" s="2097" t="s">
        <v>10</v>
      </c>
      <c r="I368" s="2099"/>
      <c r="J368" s="2097" t="s">
        <v>11</v>
      </c>
      <c r="K368" s="2099"/>
      <c r="L368" s="2097" t="s">
        <v>12</v>
      </c>
      <c r="M368" s="2099"/>
      <c r="N368" s="2097" t="s">
        <v>13</v>
      </c>
      <c r="O368" s="2099"/>
      <c r="P368" s="2097" t="s">
        <v>14</v>
      </c>
      <c r="Q368" s="2099"/>
      <c r="R368" s="2100" t="s">
        <v>15</v>
      </c>
      <c r="S368" s="2101"/>
      <c r="T368" s="2097" t="s">
        <v>16</v>
      </c>
      <c r="U368" s="2099"/>
      <c r="V368" s="2057"/>
      <c r="W368" s="2097" t="s">
        <v>17</v>
      </c>
      <c r="X368" s="2099"/>
      <c r="Y368" s="2097" t="s">
        <v>18</v>
      </c>
      <c r="Z368" s="2098"/>
      <c r="AA368" s="2099"/>
      <c r="AB368" s="2097" t="s">
        <v>19</v>
      </c>
      <c r="AC368" s="2098"/>
      <c r="AD368" s="2099"/>
      <c r="AE368" s="2043"/>
      <c r="AF368" s="2066"/>
      <c r="AG368" s="2067"/>
      <c r="AH368" s="2067"/>
      <c r="AI368" s="2067"/>
      <c r="AJ368" s="2067"/>
      <c r="AK368" s="2067"/>
      <c r="AL368" s="2067"/>
      <c r="AM368" s="2068"/>
      <c r="AN368" s="2057"/>
      <c r="AO368" s="1534" t="s">
        <v>9</v>
      </c>
      <c r="AP368" s="2039"/>
      <c r="AQ368" s="2102"/>
      <c r="AR368" s="2041"/>
      <c r="AS368" s="2039"/>
      <c r="AT368" s="2102"/>
      <c r="AU368" s="2102"/>
      <c r="AV368" s="2102"/>
      <c r="AW368" s="2041"/>
      <c r="AX368" s="1519" t="s">
        <v>21</v>
      </c>
      <c r="AY368" s="2043"/>
      <c r="AZ368" s="2046"/>
      <c r="BA368" s="2046"/>
      <c r="BB368" s="2046"/>
      <c r="BC368" s="1540" t="s">
        <v>9</v>
      </c>
      <c r="BD368" s="2085"/>
      <c r="BE368" s="2086"/>
      <c r="BG368" s="1551"/>
      <c r="BH368" s="1560"/>
      <c r="BI368" s="1560"/>
      <c r="BJ368" s="1555"/>
      <c r="BK368" s="1561"/>
      <c r="BL368" s="1561"/>
      <c r="BM368" s="1561"/>
      <c r="BN368" s="1555"/>
      <c r="BO368" s="1555"/>
    </row>
    <row r="369" spans="1:67" s="1523" customFormat="1" ht="93" customHeight="1">
      <c r="A369" s="2051"/>
      <c r="B369" s="2057"/>
      <c r="C369" s="2057"/>
      <c r="D369" s="1519" t="s">
        <v>22</v>
      </c>
      <c r="E369" s="1519" t="s">
        <v>23</v>
      </c>
      <c r="F369" s="1572" t="s">
        <v>24</v>
      </c>
      <c r="G369" s="1572" t="s">
        <v>25</v>
      </c>
      <c r="H369" s="2107" t="s">
        <v>4</v>
      </c>
      <c r="I369" s="2108"/>
      <c r="J369" s="2107" t="s">
        <v>4</v>
      </c>
      <c r="K369" s="2108"/>
      <c r="L369" s="2107" t="s">
        <v>4</v>
      </c>
      <c r="M369" s="2108"/>
      <c r="N369" s="2107" t="s">
        <v>4</v>
      </c>
      <c r="O369" s="2108"/>
      <c r="P369" s="2107" t="s">
        <v>4</v>
      </c>
      <c r="Q369" s="2108"/>
      <c r="R369" s="2116" t="s">
        <v>4</v>
      </c>
      <c r="S369" s="2117"/>
      <c r="T369" s="2107" t="s">
        <v>4</v>
      </c>
      <c r="U369" s="2108"/>
      <c r="V369" s="2057"/>
      <c r="W369" s="1534" t="s">
        <v>27</v>
      </c>
      <c r="X369" s="1640" t="s">
        <v>28</v>
      </c>
      <c r="Y369" s="1534" t="s">
        <v>27</v>
      </c>
      <c r="Z369" s="2107" t="s">
        <v>4</v>
      </c>
      <c r="AA369" s="2108"/>
      <c r="AB369" s="1641" t="s">
        <v>27</v>
      </c>
      <c r="AC369" s="2097" t="s">
        <v>4</v>
      </c>
      <c r="AD369" s="2099"/>
      <c r="AE369" s="2062"/>
      <c r="AF369" s="1642" t="s">
        <v>356</v>
      </c>
      <c r="AG369" s="1642" t="s">
        <v>461</v>
      </c>
      <c r="AH369" s="1642" t="s">
        <v>460</v>
      </c>
      <c r="AI369" s="1642" t="s">
        <v>458</v>
      </c>
      <c r="AJ369" s="1642" t="s">
        <v>459</v>
      </c>
      <c r="AK369" s="1642" t="s">
        <v>462</v>
      </c>
      <c r="AL369" s="1643" t="s">
        <v>278</v>
      </c>
      <c r="AM369" s="1642" t="s">
        <v>97</v>
      </c>
      <c r="AN369" s="2090"/>
      <c r="AO369" s="1534" t="s">
        <v>29</v>
      </c>
      <c r="AP369" s="1519" t="s">
        <v>30</v>
      </c>
      <c r="AQ369" s="1519" t="s">
        <v>31</v>
      </c>
      <c r="AR369" s="1519" t="s">
        <v>4</v>
      </c>
      <c r="AS369" s="1519" t="s">
        <v>30</v>
      </c>
      <c r="AT369" s="1519" t="s">
        <v>31</v>
      </c>
      <c r="AU369" s="1519" t="s">
        <v>30</v>
      </c>
      <c r="AV369" s="1519" t="s">
        <v>31</v>
      </c>
      <c r="AW369" s="1534" t="s">
        <v>4</v>
      </c>
      <c r="AX369" s="1519" t="s">
        <v>32</v>
      </c>
      <c r="AY369" s="2043"/>
      <c r="AZ369" s="2046"/>
      <c r="BA369" s="2046"/>
      <c r="BB369" s="2046"/>
      <c r="BC369" s="1540" t="s">
        <v>33</v>
      </c>
      <c r="BD369" s="2109" t="s">
        <v>42</v>
      </c>
      <c r="BE369" s="2111" t="s">
        <v>43</v>
      </c>
      <c r="BG369" s="1573"/>
      <c r="BH369" s="1560"/>
      <c r="BI369" s="1560"/>
      <c r="BJ369" s="1555"/>
      <c r="BK369" s="1561"/>
      <c r="BL369" s="1561"/>
      <c r="BM369" s="1561"/>
      <c r="BN369" s="1555"/>
      <c r="BO369" s="1555"/>
    </row>
    <row r="370" spans="1:67" s="1523" customFormat="1" ht="29.25" customHeight="1" thickBot="1">
      <c r="A370" s="2105"/>
      <c r="B370" s="2106"/>
      <c r="C370" s="2106"/>
      <c r="D370" s="1644"/>
      <c r="E370" s="1644"/>
      <c r="F370" s="1645" t="s">
        <v>34</v>
      </c>
      <c r="G370" s="1580" t="s">
        <v>34</v>
      </c>
      <c r="H370" s="1527" t="s">
        <v>8</v>
      </c>
      <c r="I370" s="1582" t="s">
        <v>34</v>
      </c>
      <c r="J370" s="1527" t="s">
        <v>8</v>
      </c>
      <c r="K370" s="1582" t="s">
        <v>34</v>
      </c>
      <c r="L370" s="1527" t="s">
        <v>8</v>
      </c>
      <c r="M370" s="1582" t="s">
        <v>34</v>
      </c>
      <c r="N370" s="1527" t="s">
        <v>8</v>
      </c>
      <c r="O370" s="1582" t="s">
        <v>34</v>
      </c>
      <c r="P370" s="1527" t="s">
        <v>8</v>
      </c>
      <c r="Q370" s="1582" t="s">
        <v>34</v>
      </c>
      <c r="R370" s="1527" t="s">
        <v>8</v>
      </c>
      <c r="S370" s="1582" t="s">
        <v>34</v>
      </c>
      <c r="T370" s="1527" t="s">
        <v>8</v>
      </c>
      <c r="U370" s="1582" t="s">
        <v>34</v>
      </c>
      <c r="V370" s="2106"/>
      <c r="W370" s="1527" t="s">
        <v>26</v>
      </c>
      <c r="X370" s="1527" t="s">
        <v>34</v>
      </c>
      <c r="Y370" s="1527" t="s">
        <v>26</v>
      </c>
      <c r="Z370" s="1527" t="s">
        <v>26</v>
      </c>
      <c r="AA370" s="1527" t="s">
        <v>34</v>
      </c>
      <c r="AB370" s="1527" t="s">
        <v>26</v>
      </c>
      <c r="AC370" s="1527" t="s">
        <v>35</v>
      </c>
      <c r="AD370" s="1527" t="s">
        <v>34</v>
      </c>
      <c r="AE370" s="1527" t="s">
        <v>34</v>
      </c>
      <c r="AF370" s="1582" t="s">
        <v>34</v>
      </c>
      <c r="AG370" s="1582" t="s">
        <v>34</v>
      </c>
      <c r="AH370" s="1582" t="s">
        <v>34</v>
      </c>
      <c r="AI370" s="1582" t="s">
        <v>34</v>
      </c>
      <c r="AJ370" s="1582" t="s">
        <v>34</v>
      </c>
      <c r="AK370" s="1582" t="s">
        <v>34</v>
      </c>
      <c r="AL370" s="1582" t="s">
        <v>34</v>
      </c>
      <c r="AM370" s="1582" t="s">
        <v>34</v>
      </c>
      <c r="AN370" s="1527" t="s">
        <v>34</v>
      </c>
      <c r="AO370" s="1527" t="s">
        <v>34</v>
      </c>
      <c r="AP370" s="1640" t="s">
        <v>34</v>
      </c>
      <c r="AQ370" s="1640" t="s">
        <v>34</v>
      </c>
      <c r="AR370" s="1582" t="s">
        <v>34</v>
      </c>
      <c r="AS370" s="1582" t="s">
        <v>58</v>
      </c>
      <c r="AT370" s="1582" t="s">
        <v>34</v>
      </c>
      <c r="AU370" s="1582" t="s">
        <v>59</v>
      </c>
      <c r="AV370" s="1582" t="s">
        <v>34</v>
      </c>
      <c r="AW370" s="1582" t="s">
        <v>34</v>
      </c>
      <c r="AX370" s="1582" t="s">
        <v>34</v>
      </c>
      <c r="AY370" s="2103"/>
      <c r="AZ370" s="2104"/>
      <c r="BA370" s="2047"/>
      <c r="BB370" s="2104"/>
      <c r="BC370" s="1544" t="s">
        <v>34</v>
      </c>
      <c r="BD370" s="2110"/>
      <c r="BE370" s="2112"/>
      <c r="BG370" s="1555" t="s">
        <v>353</v>
      </c>
      <c r="BH370" s="1578" t="s">
        <v>43</v>
      </c>
      <c r="BI370" s="1578" t="s">
        <v>42</v>
      </c>
      <c r="BJ370" s="1555" t="s">
        <v>354</v>
      </c>
      <c r="BK370" s="1561" t="s">
        <v>358</v>
      </c>
      <c r="BL370" s="1561"/>
      <c r="BM370" s="1561"/>
      <c r="BN370" s="1555"/>
      <c r="BO370" s="1555"/>
    </row>
    <row r="371" spans="1:67" ht="83.25" customHeight="1" thickBot="1">
      <c r="A371" s="1584" t="s">
        <v>68</v>
      </c>
      <c r="B371" s="1489" t="s">
        <v>36</v>
      </c>
      <c r="C371" s="1650" t="s">
        <v>604</v>
      </c>
      <c r="D371" s="1651" t="s">
        <v>560</v>
      </c>
      <c r="E371" s="1489">
        <f>'HK UP KEEP, OP '!AH69</f>
        <v>21</v>
      </c>
      <c r="F371" s="1490">
        <v>129220</v>
      </c>
      <c r="G371" s="1490">
        <f t="shared" si="62"/>
        <v>2713620</v>
      </c>
      <c r="H371" s="1489">
        <f>'HK UP KEEP, OP '!AI69</f>
        <v>2</v>
      </c>
      <c r="I371" s="1494">
        <f t="shared" si="33"/>
        <v>258440</v>
      </c>
      <c r="J371" s="1489">
        <f>'HK UP KEEP, OP '!AJ69</f>
        <v>1</v>
      </c>
      <c r="K371" s="1494">
        <f t="shared" si="34"/>
        <v>129220</v>
      </c>
      <c r="L371" s="1489"/>
      <c r="M371" s="1494">
        <f t="shared" si="35"/>
        <v>0</v>
      </c>
      <c r="N371" s="1489">
        <f>'HK UP KEEP, OP '!AL69</f>
        <v>4</v>
      </c>
      <c r="O371" s="1494">
        <f t="shared" si="36"/>
        <v>516880</v>
      </c>
      <c r="P371" s="1489">
        <f>'HK UP KEEP, OP '!AM69</f>
        <v>3</v>
      </c>
      <c r="Q371" s="1494">
        <f t="shared" si="37"/>
        <v>387660</v>
      </c>
      <c r="R371" s="1489"/>
      <c r="S371" s="1494">
        <f t="shared" si="38"/>
        <v>0</v>
      </c>
      <c r="T371" s="1489">
        <f>'HK UP KEEP, OP '!AO69+'HK UP KEEP, OP '!AP69+'HK UP KEEP, OP '!AQ69</f>
        <v>0</v>
      </c>
      <c r="U371" s="1494">
        <f t="shared" si="39"/>
        <v>0</v>
      </c>
      <c r="V371" s="1494">
        <f t="shared" si="40"/>
        <v>31</v>
      </c>
      <c r="W371" s="1491">
        <v>4200</v>
      </c>
      <c r="X371" s="1494">
        <f t="shared" si="41"/>
        <v>130200</v>
      </c>
      <c r="Y371" s="1494">
        <v>3500</v>
      </c>
      <c r="Z371" s="1494">
        <f t="shared" si="42"/>
        <v>21</v>
      </c>
      <c r="AA371" s="1648">
        <f t="shared" si="43"/>
        <v>73500</v>
      </c>
      <c r="AB371" s="1496">
        <v>2500</v>
      </c>
      <c r="AC371" s="1489">
        <f>'MASA KERJA AB'!H49</f>
        <v>11</v>
      </c>
      <c r="AD371" s="1492">
        <f>'MASA KERJA AB'!I49</f>
        <v>30000</v>
      </c>
      <c r="AE371" s="1497">
        <f>'LEMBUR DAN PREMI UPKEEP'!AJ64</f>
        <v>1512546.18</v>
      </c>
      <c r="AF371" s="1492">
        <f>'PREMI ALAT'!AL235</f>
        <v>980405.00000000012</v>
      </c>
      <c r="AG371" s="1513">
        <f>'PREMI ALAT'!AL240</f>
        <v>338200</v>
      </c>
      <c r="AH371" s="1514">
        <f>'PREMI ALAT'!AL244</f>
        <v>25275</v>
      </c>
      <c r="AI371" s="1489">
        <f>'PREMI ALAT'!AL245</f>
        <v>0</v>
      </c>
      <c r="AJ371" s="1490">
        <f>'PREMI ALAT'!AL247</f>
        <v>0</v>
      </c>
      <c r="AK371" s="1501"/>
      <c r="AL371" s="1489"/>
      <c r="AM371" s="1494"/>
      <c r="AN371" s="1489"/>
      <c r="AO371" s="1494">
        <f t="shared" si="44"/>
        <v>7095946.1799999997</v>
      </c>
      <c r="AP371" s="1489">
        <f t="shared" si="45"/>
        <v>77532</v>
      </c>
      <c r="AQ371" s="1489">
        <f t="shared" si="46"/>
        <v>175997.64</v>
      </c>
      <c r="AR371" s="1489">
        <f t="shared" si="47"/>
        <v>253529.64</v>
      </c>
      <c r="AS371" s="1489">
        <f t="shared" si="48"/>
        <v>39066</v>
      </c>
      <c r="AT371" s="1489">
        <f t="shared" si="49"/>
        <v>156264</v>
      </c>
      <c r="AU371" s="1489">
        <f t="shared" si="50"/>
        <v>38766</v>
      </c>
      <c r="AV371" s="1489">
        <f t="shared" si="51"/>
        <v>77532</v>
      </c>
      <c r="AW371" s="1489">
        <f t="shared" si="52"/>
        <v>311628</v>
      </c>
      <c r="AX371" s="1648">
        <v>4000</v>
      </c>
      <c r="AY371" s="1649">
        <v>81848</v>
      </c>
      <c r="AZ371" s="1494">
        <f t="shared" si="53"/>
        <v>0</v>
      </c>
      <c r="BA371" s="1491"/>
      <c r="BB371" s="1491"/>
      <c r="BC371" s="1489">
        <f t="shared" si="54"/>
        <v>6854734.1799999997</v>
      </c>
      <c r="BD371" s="1489">
        <f>'HK UP KEEP, OP '!AS69</f>
        <v>0</v>
      </c>
      <c r="BE371" s="1495">
        <f>'HK UP KEEP, OP '!AT69</f>
        <v>0</v>
      </c>
      <c r="BG371" s="1551">
        <f t="shared" si="55"/>
        <v>4005820</v>
      </c>
      <c r="BH371" s="1552">
        <f t="shared" si="56"/>
        <v>0</v>
      </c>
      <c r="BI371" s="1552">
        <f t="shared" si="57"/>
        <v>0</v>
      </c>
      <c r="BJ371" s="1551">
        <f t="shared" si="58"/>
        <v>0</v>
      </c>
      <c r="BK371" s="1553">
        <f t="shared" si="59"/>
        <v>4005820</v>
      </c>
      <c r="BM371" s="1553">
        <f t="shared" si="60"/>
        <v>3090126.18</v>
      </c>
      <c r="BN371" s="1551">
        <v>30575.999999999996</v>
      </c>
      <c r="BO371" s="1551">
        <f t="shared" si="61"/>
        <v>186840</v>
      </c>
    </row>
    <row r="372" spans="1:67" ht="19.5" customHeight="1">
      <c r="A372" s="2048" t="s">
        <v>0</v>
      </c>
      <c r="B372" s="2048"/>
      <c r="C372" s="2048"/>
      <c r="D372" s="2048"/>
      <c r="E372" s="2048"/>
      <c r="F372" s="2048"/>
      <c r="G372" s="2048"/>
      <c r="H372" s="2048"/>
      <c r="I372" s="2048"/>
      <c r="J372" s="2048"/>
      <c r="K372" s="2048"/>
      <c r="L372" s="2048"/>
      <c r="M372" s="2048"/>
      <c r="N372" s="2048"/>
      <c r="O372" s="2048"/>
      <c r="P372" s="2048"/>
      <c r="Q372" s="2048"/>
      <c r="R372" s="2048"/>
      <c r="S372" s="2048"/>
      <c r="T372" s="2048"/>
      <c r="U372" s="2048"/>
      <c r="V372" s="2048"/>
      <c r="W372" s="2048"/>
      <c r="X372" s="2048"/>
      <c r="Y372" s="2048"/>
      <c r="Z372" s="2048"/>
      <c r="AA372" s="2048"/>
      <c r="AB372" s="2048"/>
      <c r="AC372" s="2048"/>
      <c r="AD372" s="2048"/>
      <c r="AE372" s="2048"/>
      <c r="AF372" s="2048"/>
      <c r="AG372" s="2048"/>
      <c r="AH372" s="2048"/>
      <c r="AI372" s="2048"/>
      <c r="AJ372" s="2048"/>
      <c r="AK372" s="2048"/>
      <c r="AL372" s="2048"/>
      <c r="AM372" s="2048"/>
      <c r="AN372" s="2048"/>
      <c r="AO372" s="2048"/>
      <c r="AP372" s="2048"/>
      <c r="AQ372" s="2048"/>
      <c r="AR372" s="2048"/>
      <c r="AS372" s="2048"/>
      <c r="AT372" s="2048"/>
      <c r="AU372" s="2048"/>
      <c r="AV372" s="2048"/>
      <c r="AW372" s="2048"/>
      <c r="AX372" s="2048"/>
      <c r="AY372" s="2048"/>
      <c r="AZ372" s="2048"/>
      <c r="BA372" s="2048"/>
      <c r="BB372" s="2048"/>
      <c r="BC372" s="2048"/>
      <c r="BD372" s="2048"/>
      <c r="BE372" s="2048"/>
    </row>
    <row r="373" spans="1:67" ht="18.75" customHeight="1">
      <c r="A373" s="2049" t="s">
        <v>1033</v>
      </c>
      <c r="B373" s="2049"/>
      <c r="C373" s="2049"/>
      <c r="D373" s="2049"/>
      <c r="E373" s="2049"/>
      <c r="F373" s="2049"/>
      <c r="G373" s="2049"/>
      <c r="H373" s="2049"/>
      <c r="I373" s="2049"/>
      <c r="J373" s="2049"/>
      <c r="K373" s="2049"/>
      <c r="L373" s="2049"/>
      <c r="M373" s="2049"/>
      <c r="N373" s="2049"/>
      <c r="O373" s="2049"/>
      <c r="P373" s="2049"/>
      <c r="Q373" s="2049"/>
      <c r="R373" s="2049"/>
      <c r="S373" s="2049"/>
      <c r="T373" s="2049"/>
      <c r="U373" s="2049"/>
      <c r="V373" s="2049"/>
      <c r="W373" s="2049"/>
      <c r="X373" s="2049"/>
      <c r="Y373" s="2049"/>
      <c r="Z373" s="2049"/>
      <c r="AA373" s="2049"/>
      <c r="AB373" s="2049"/>
      <c r="AC373" s="2049"/>
      <c r="AD373" s="2049"/>
      <c r="AE373" s="2049"/>
      <c r="AF373" s="2049"/>
      <c r="AG373" s="2049"/>
      <c r="AH373" s="2049"/>
      <c r="AI373" s="2049"/>
      <c r="AJ373" s="2049"/>
      <c r="AK373" s="2049"/>
      <c r="AL373" s="2049"/>
      <c r="AM373" s="2049"/>
      <c r="AN373" s="2049"/>
      <c r="AO373" s="2049"/>
      <c r="AP373" s="2049"/>
      <c r="AQ373" s="2049"/>
      <c r="AR373" s="2049"/>
      <c r="AS373" s="2049"/>
      <c r="AT373" s="2049"/>
      <c r="AU373" s="2049"/>
      <c r="AV373" s="2049"/>
      <c r="AW373" s="2049"/>
      <c r="AX373" s="2049"/>
      <c r="AY373" s="2049"/>
      <c r="AZ373" s="2049"/>
      <c r="BA373" s="2049"/>
      <c r="BB373" s="2049"/>
      <c r="BC373" s="2049"/>
      <c r="BD373" s="2049"/>
      <c r="BE373" s="2049"/>
    </row>
    <row r="374" spans="1:67" s="1523" customFormat="1" ht="18.75" customHeight="1">
      <c r="D374" s="1523" t="s">
        <v>964</v>
      </c>
      <c r="F374" s="1555"/>
      <c r="G374" s="1555"/>
      <c r="O374" s="1523" t="s">
        <v>214</v>
      </c>
      <c r="AE374" s="1532"/>
      <c r="AF374" s="1532"/>
      <c r="AG374" s="1532"/>
      <c r="AH374" s="1532"/>
      <c r="AI374" s="1532"/>
      <c r="AJ374" s="1532"/>
      <c r="AK374" s="1557"/>
      <c r="AL374" s="1532"/>
      <c r="AM374" s="1532"/>
      <c r="AP374" s="1558">
        <v>3876600</v>
      </c>
      <c r="AQ374" s="1566">
        <f>AP374/30</f>
        <v>129220</v>
      </c>
      <c r="AV374" s="1532" t="s">
        <v>55</v>
      </c>
      <c r="AW374" s="1523" t="s">
        <v>195</v>
      </c>
      <c r="BC374" s="1518"/>
      <c r="BD374" s="1532"/>
      <c r="BG374" s="1551"/>
      <c r="BH374" s="1560"/>
      <c r="BI374" s="1560"/>
      <c r="BJ374" s="1555"/>
      <c r="BK374" s="1561"/>
      <c r="BL374" s="1561"/>
      <c r="BM374" s="1561"/>
      <c r="BN374" s="1555"/>
      <c r="BO374" s="1555"/>
    </row>
    <row r="375" spans="1:67" ht="18.75" customHeight="1" thickBot="1">
      <c r="A375" s="1547"/>
      <c r="D375" s="1563"/>
      <c r="E375" s="1563"/>
      <c r="F375" s="1564"/>
      <c r="G375" s="1564"/>
      <c r="H375" s="1563"/>
      <c r="I375" s="1563"/>
      <c r="J375" s="1563"/>
      <c r="K375" s="1563"/>
      <c r="L375" s="1563"/>
      <c r="M375" s="1563"/>
      <c r="N375" s="1563"/>
      <c r="O375" s="1563"/>
      <c r="Q375" s="1563"/>
      <c r="R375" s="1563"/>
      <c r="S375" s="1563"/>
      <c r="T375" s="1563"/>
      <c r="U375" s="1563"/>
      <c r="V375" s="1563"/>
      <c r="W375" s="1563"/>
      <c r="X375" s="1563"/>
      <c r="Y375" s="1563"/>
      <c r="Z375" s="1563"/>
      <c r="AA375" s="1563"/>
      <c r="AB375" s="1563"/>
      <c r="AC375" s="1563"/>
      <c r="AD375" s="1547"/>
      <c r="AE375" s="1563"/>
      <c r="AF375" s="1563"/>
      <c r="AG375" s="1563"/>
      <c r="AH375" s="1563"/>
      <c r="AI375" s="1563"/>
      <c r="AJ375" s="1563"/>
      <c r="AK375" s="1565"/>
      <c r="AL375" s="1563"/>
      <c r="AM375" s="1563"/>
      <c r="AO375" s="1639"/>
      <c r="AP375" s="1558">
        <v>3876600</v>
      </c>
      <c r="AQ375" s="1566">
        <f>AP375/30</f>
        <v>129220</v>
      </c>
    </row>
    <row r="376" spans="1:67" s="1523" customFormat="1" ht="16.5" customHeight="1">
      <c r="A376" s="2050" t="s">
        <v>5</v>
      </c>
      <c r="B376" s="2056" t="s">
        <v>6</v>
      </c>
      <c r="C376" s="2056" t="s">
        <v>52</v>
      </c>
      <c r="D376" s="1569"/>
      <c r="E376" s="1569"/>
      <c r="F376" s="1570"/>
      <c r="G376" s="1570"/>
      <c r="H376" s="2059" t="s">
        <v>2</v>
      </c>
      <c r="I376" s="2060"/>
      <c r="J376" s="2060"/>
      <c r="K376" s="2060"/>
      <c r="L376" s="2060"/>
      <c r="M376" s="2060"/>
      <c r="N376" s="2060"/>
      <c r="O376" s="2060"/>
      <c r="P376" s="2060"/>
      <c r="Q376" s="2060"/>
      <c r="R376" s="2060"/>
      <c r="S376" s="2060"/>
      <c r="T376" s="2060"/>
      <c r="U376" s="2061"/>
      <c r="V376" s="2056" t="s">
        <v>286</v>
      </c>
      <c r="W376" s="2059" t="s">
        <v>3</v>
      </c>
      <c r="X376" s="2060"/>
      <c r="Y376" s="2060"/>
      <c r="Z376" s="2060"/>
      <c r="AA376" s="2060"/>
      <c r="AB376" s="2060"/>
      <c r="AC376" s="2060"/>
      <c r="AD376" s="2061"/>
      <c r="AE376" s="2042" t="s">
        <v>45</v>
      </c>
      <c r="AF376" s="2063" t="s">
        <v>46</v>
      </c>
      <c r="AG376" s="2064"/>
      <c r="AH376" s="2064"/>
      <c r="AI376" s="2064"/>
      <c r="AJ376" s="2064"/>
      <c r="AK376" s="2064"/>
      <c r="AL376" s="2064"/>
      <c r="AM376" s="2065"/>
      <c r="AN376" s="2056" t="s">
        <v>44</v>
      </c>
      <c r="AO376" s="1533" t="s">
        <v>4</v>
      </c>
      <c r="AP376" s="2036" t="s">
        <v>20</v>
      </c>
      <c r="AQ376" s="2037"/>
      <c r="AR376" s="2038"/>
      <c r="AS376" s="2036" t="s">
        <v>54</v>
      </c>
      <c r="AT376" s="2037"/>
      <c r="AU376" s="2037"/>
      <c r="AV376" s="2037"/>
      <c r="AW376" s="2038"/>
      <c r="AX376" s="1569"/>
      <c r="AY376" s="2042" t="s">
        <v>89</v>
      </c>
      <c r="AZ376" s="2045" t="s">
        <v>97</v>
      </c>
      <c r="BA376" s="2045" t="s">
        <v>720</v>
      </c>
      <c r="BB376" s="2045" t="s">
        <v>215</v>
      </c>
      <c r="BC376" s="1539" t="s">
        <v>4</v>
      </c>
      <c r="BD376" s="2063" t="s">
        <v>41</v>
      </c>
      <c r="BE376" s="2084"/>
      <c r="BG376" s="1551"/>
      <c r="BH376" s="1560"/>
      <c r="BI376" s="1560"/>
      <c r="BJ376" s="1555"/>
      <c r="BK376" s="1561"/>
      <c r="BL376" s="1561"/>
      <c r="BM376" s="1561"/>
      <c r="BN376" s="1555"/>
      <c r="BO376" s="1555"/>
    </row>
    <row r="377" spans="1:67" s="1523" customFormat="1" ht="26.25" customHeight="1">
      <c r="A377" s="2051"/>
      <c r="B377" s="2057"/>
      <c r="C377" s="2057"/>
      <c r="D377" s="1519" t="s">
        <v>7</v>
      </c>
      <c r="E377" s="1519" t="s">
        <v>8</v>
      </c>
      <c r="F377" s="1572" t="s">
        <v>9</v>
      </c>
      <c r="G377" s="1572" t="s">
        <v>9</v>
      </c>
      <c r="H377" s="2097" t="s">
        <v>10</v>
      </c>
      <c r="I377" s="2099"/>
      <c r="J377" s="2097" t="s">
        <v>11</v>
      </c>
      <c r="K377" s="2099"/>
      <c r="L377" s="2097" t="s">
        <v>12</v>
      </c>
      <c r="M377" s="2099"/>
      <c r="N377" s="2097" t="s">
        <v>13</v>
      </c>
      <c r="O377" s="2099"/>
      <c r="P377" s="2097" t="s">
        <v>14</v>
      </c>
      <c r="Q377" s="2099"/>
      <c r="R377" s="2100" t="s">
        <v>15</v>
      </c>
      <c r="S377" s="2101"/>
      <c r="T377" s="2097" t="s">
        <v>16</v>
      </c>
      <c r="U377" s="2099"/>
      <c r="V377" s="2057"/>
      <c r="W377" s="2097" t="s">
        <v>17</v>
      </c>
      <c r="X377" s="2099"/>
      <c r="Y377" s="2097" t="s">
        <v>18</v>
      </c>
      <c r="Z377" s="2098"/>
      <c r="AA377" s="2099"/>
      <c r="AB377" s="2097" t="s">
        <v>19</v>
      </c>
      <c r="AC377" s="2098"/>
      <c r="AD377" s="2099"/>
      <c r="AE377" s="2043"/>
      <c r="AF377" s="2066"/>
      <c r="AG377" s="2067"/>
      <c r="AH377" s="2067"/>
      <c r="AI377" s="2067"/>
      <c r="AJ377" s="2067"/>
      <c r="AK377" s="2067"/>
      <c r="AL377" s="2067"/>
      <c r="AM377" s="2068"/>
      <c r="AN377" s="2057"/>
      <c r="AO377" s="1534" t="s">
        <v>9</v>
      </c>
      <c r="AP377" s="2039"/>
      <c r="AQ377" s="2102"/>
      <c r="AR377" s="2041"/>
      <c r="AS377" s="2039"/>
      <c r="AT377" s="2102"/>
      <c r="AU377" s="2102"/>
      <c r="AV377" s="2102"/>
      <c r="AW377" s="2041"/>
      <c r="AX377" s="1519" t="s">
        <v>21</v>
      </c>
      <c r="AY377" s="2043"/>
      <c r="AZ377" s="2046"/>
      <c r="BA377" s="2046"/>
      <c r="BB377" s="2046"/>
      <c r="BC377" s="1540" t="s">
        <v>9</v>
      </c>
      <c r="BD377" s="2085"/>
      <c r="BE377" s="2086"/>
      <c r="BG377" s="1551"/>
      <c r="BH377" s="1560"/>
      <c r="BI377" s="1560"/>
      <c r="BJ377" s="1555"/>
      <c r="BK377" s="1561"/>
      <c r="BL377" s="1561"/>
      <c r="BM377" s="1561"/>
      <c r="BN377" s="1555"/>
      <c r="BO377" s="1555"/>
    </row>
    <row r="378" spans="1:67" s="1523" customFormat="1" ht="93" customHeight="1">
      <c r="A378" s="2051"/>
      <c r="B378" s="2057"/>
      <c r="C378" s="2057"/>
      <c r="D378" s="1519" t="s">
        <v>22</v>
      </c>
      <c r="E378" s="1519" t="s">
        <v>23</v>
      </c>
      <c r="F378" s="1572" t="s">
        <v>24</v>
      </c>
      <c r="G378" s="1572" t="s">
        <v>25</v>
      </c>
      <c r="H378" s="2107" t="s">
        <v>4</v>
      </c>
      <c r="I378" s="2108"/>
      <c r="J378" s="2107" t="s">
        <v>4</v>
      </c>
      <c r="K378" s="2108"/>
      <c r="L378" s="2107" t="s">
        <v>4</v>
      </c>
      <c r="M378" s="2108"/>
      <c r="N378" s="2107" t="s">
        <v>4</v>
      </c>
      <c r="O378" s="2108"/>
      <c r="P378" s="2107" t="s">
        <v>4</v>
      </c>
      <c r="Q378" s="2108"/>
      <c r="R378" s="2116" t="s">
        <v>4</v>
      </c>
      <c r="S378" s="2117"/>
      <c r="T378" s="2107" t="s">
        <v>4</v>
      </c>
      <c r="U378" s="2108"/>
      <c r="V378" s="2057"/>
      <c r="W378" s="1534" t="s">
        <v>27</v>
      </c>
      <c r="X378" s="1640" t="s">
        <v>28</v>
      </c>
      <c r="Y378" s="1534" t="s">
        <v>27</v>
      </c>
      <c r="Z378" s="2107" t="s">
        <v>4</v>
      </c>
      <c r="AA378" s="2108"/>
      <c r="AB378" s="1641" t="s">
        <v>27</v>
      </c>
      <c r="AC378" s="2097" t="s">
        <v>4</v>
      </c>
      <c r="AD378" s="2099"/>
      <c r="AE378" s="2062"/>
      <c r="AF378" s="1642" t="s">
        <v>356</v>
      </c>
      <c r="AG378" s="1642" t="s">
        <v>461</v>
      </c>
      <c r="AH378" s="1642" t="s">
        <v>460</v>
      </c>
      <c r="AI378" s="1642" t="s">
        <v>458</v>
      </c>
      <c r="AJ378" s="1642" t="s">
        <v>459</v>
      </c>
      <c r="AK378" s="1642" t="s">
        <v>462</v>
      </c>
      <c r="AL378" s="1643" t="s">
        <v>278</v>
      </c>
      <c r="AM378" s="1642" t="s">
        <v>97</v>
      </c>
      <c r="AN378" s="2090"/>
      <c r="AO378" s="1534" t="s">
        <v>29</v>
      </c>
      <c r="AP378" s="1519" t="s">
        <v>30</v>
      </c>
      <c r="AQ378" s="1519" t="s">
        <v>31</v>
      </c>
      <c r="AR378" s="1519" t="s">
        <v>4</v>
      </c>
      <c r="AS378" s="1519" t="s">
        <v>30</v>
      </c>
      <c r="AT378" s="1519" t="s">
        <v>31</v>
      </c>
      <c r="AU378" s="1519" t="s">
        <v>30</v>
      </c>
      <c r="AV378" s="1519" t="s">
        <v>31</v>
      </c>
      <c r="AW378" s="1534" t="s">
        <v>4</v>
      </c>
      <c r="AX378" s="1519" t="s">
        <v>32</v>
      </c>
      <c r="AY378" s="2043"/>
      <c r="AZ378" s="2046"/>
      <c r="BA378" s="2046"/>
      <c r="BB378" s="2046"/>
      <c r="BC378" s="1540" t="s">
        <v>33</v>
      </c>
      <c r="BD378" s="2109" t="s">
        <v>42</v>
      </c>
      <c r="BE378" s="2111" t="s">
        <v>43</v>
      </c>
      <c r="BG378" s="1573"/>
      <c r="BH378" s="1560"/>
      <c r="BI378" s="1560"/>
      <c r="BJ378" s="1555"/>
      <c r="BK378" s="1561"/>
      <c r="BL378" s="1561"/>
      <c r="BM378" s="1561"/>
      <c r="BN378" s="1555"/>
      <c r="BO378" s="1555"/>
    </row>
    <row r="379" spans="1:67" s="1523" customFormat="1" ht="29.25" customHeight="1" thickBot="1">
      <c r="A379" s="2105"/>
      <c r="B379" s="2106"/>
      <c r="C379" s="2106"/>
      <c r="D379" s="1644"/>
      <c r="E379" s="1644"/>
      <c r="F379" s="1645" t="s">
        <v>34</v>
      </c>
      <c r="G379" s="1580" t="s">
        <v>34</v>
      </c>
      <c r="H379" s="1527" t="s">
        <v>8</v>
      </c>
      <c r="I379" s="1582" t="s">
        <v>34</v>
      </c>
      <c r="J379" s="1527" t="s">
        <v>8</v>
      </c>
      <c r="K379" s="1582" t="s">
        <v>34</v>
      </c>
      <c r="L379" s="1527" t="s">
        <v>8</v>
      </c>
      <c r="M379" s="1582" t="s">
        <v>34</v>
      </c>
      <c r="N379" s="1527" t="s">
        <v>8</v>
      </c>
      <c r="O379" s="1582" t="s">
        <v>34</v>
      </c>
      <c r="P379" s="1527" t="s">
        <v>8</v>
      </c>
      <c r="Q379" s="1582" t="s">
        <v>34</v>
      </c>
      <c r="R379" s="1527" t="s">
        <v>8</v>
      </c>
      <c r="S379" s="1582" t="s">
        <v>34</v>
      </c>
      <c r="T379" s="1527" t="s">
        <v>8</v>
      </c>
      <c r="U379" s="1582" t="s">
        <v>34</v>
      </c>
      <c r="V379" s="2106"/>
      <c r="W379" s="1527" t="s">
        <v>26</v>
      </c>
      <c r="X379" s="1527" t="s">
        <v>34</v>
      </c>
      <c r="Y379" s="1527" t="s">
        <v>26</v>
      </c>
      <c r="Z379" s="1527" t="s">
        <v>26</v>
      </c>
      <c r="AA379" s="1527" t="s">
        <v>34</v>
      </c>
      <c r="AB379" s="1527" t="s">
        <v>26</v>
      </c>
      <c r="AC379" s="1527" t="s">
        <v>35</v>
      </c>
      <c r="AD379" s="1527" t="s">
        <v>34</v>
      </c>
      <c r="AE379" s="1527" t="s">
        <v>34</v>
      </c>
      <c r="AF379" s="1582" t="s">
        <v>34</v>
      </c>
      <c r="AG379" s="1582" t="s">
        <v>34</v>
      </c>
      <c r="AH379" s="1582" t="s">
        <v>34</v>
      </c>
      <c r="AI379" s="1582" t="s">
        <v>34</v>
      </c>
      <c r="AJ379" s="1582" t="s">
        <v>34</v>
      </c>
      <c r="AK379" s="1582" t="s">
        <v>34</v>
      </c>
      <c r="AL379" s="1582" t="s">
        <v>34</v>
      </c>
      <c r="AM379" s="1582" t="s">
        <v>34</v>
      </c>
      <c r="AN379" s="1527" t="s">
        <v>34</v>
      </c>
      <c r="AO379" s="1527" t="s">
        <v>34</v>
      </c>
      <c r="AP379" s="1640" t="s">
        <v>34</v>
      </c>
      <c r="AQ379" s="1640" t="s">
        <v>34</v>
      </c>
      <c r="AR379" s="1582" t="s">
        <v>34</v>
      </c>
      <c r="AS379" s="1582" t="s">
        <v>58</v>
      </c>
      <c r="AT379" s="1582" t="s">
        <v>34</v>
      </c>
      <c r="AU379" s="1582" t="s">
        <v>59</v>
      </c>
      <c r="AV379" s="1582" t="s">
        <v>34</v>
      </c>
      <c r="AW379" s="1582" t="s">
        <v>34</v>
      </c>
      <c r="AX379" s="1582" t="s">
        <v>34</v>
      </c>
      <c r="AY379" s="2103"/>
      <c r="AZ379" s="2104"/>
      <c r="BA379" s="2047"/>
      <c r="BB379" s="2104"/>
      <c r="BC379" s="1544" t="s">
        <v>34</v>
      </c>
      <c r="BD379" s="2110"/>
      <c r="BE379" s="2112"/>
      <c r="BG379" s="1555" t="s">
        <v>353</v>
      </c>
      <c r="BH379" s="1578" t="s">
        <v>43</v>
      </c>
      <c r="BI379" s="1578" t="s">
        <v>42</v>
      </c>
      <c r="BJ379" s="1555" t="s">
        <v>354</v>
      </c>
      <c r="BK379" s="1561" t="s">
        <v>358</v>
      </c>
      <c r="BL379" s="1561"/>
      <c r="BM379" s="1561"/>
      <c r="BN379" s="1555"/>
      <c r="BO379" s="1555"/>
    </row>
    <row r="380" spans="1:67" ht="83.25" customHeight="1" thickBot="1">
      <c r="A380" s="1584" t="s">
        <v>69</v>
      </c>
      <c r="B380" s="1489" t="s">
        <v>36</v>
      </c>
      <c r="C380" s="1591" t="s">
        <v>605</v>
      </c>
      <c r="D380" s="1647" t="s">
        <v>561</v>
      </c>
      <c r="E380" s="1489">
        <f>'HK UP KEEP, OP '!AH70</f>
        <v>22</v>
      </c>
      <c r="F380" s="1490">
        <v>129220</v>
      </c>
      <c r="G380" s="1490">
        <f t="shared" si="62"/>
        <v>2842840</v>
      </c>
      <c r="H380" s="1489">
        <f>'HK UP KEEP, OP '!AI70</f>
        <v>1</v>
      </c>
      <c r="I380" s="1494">
        <f t="shared" si="33"/>
        <v>129220</v>
      </c>
      <c r="J380" s="1489">
        <f>'HK UP KEEP, OP '!AJ70</f>
        <v>0</v>
      </c>
      <c r="K380" s="1494">
        <f t="shared" si="34"/>
        <v>0</v>
      </c>
      <c r="L380" s="1489"/>
      <c r="M380" s="1494">
        <f t="shared" si="35"/>
        <v>0</v>
      </c>
      <c r="N380" s="1489">
        <f>'HK UP KEEP, OP '!AL70</f>
        <v>4</v>
      </c>
      <c r="O380" s="1494">
        <f t="shared" si="36"/>
        <v>516880</v>
      </c>
      <c r="P380" s="1489">
        <f>'HK UP KEEP, OP '!AM70</f>
        <v>3</v>
      </c>
      <c r="Q380" s="1494">
        <f t="shared" si="37"/>
        <v>387660</v>
      </c>
      <c r="R380" s="1489"/>
      <c r="S380" s="1494">
        <f t="shared" si="38"/>
        <v>0</v>
      </c>
      <c r="T380" s="1489">
        <f>'HK UP KEEP, OP '!AO70+'HK UP KEEP, OP '!AP70+'HK UP KEEP, OP '!AQ70</f>
        <v>0</v>
      </c>
      <c r="U380" s="1494">
        <f t="shared" si="39"/>
        <v>0</v>
      </c>
      <c r="V380" s="1494">
        <f t="shared" si="40"/>
        <v>30</v>
      </c>
      <c r="W380" s="1491">
        <v>2250</v>
      </c>
      <c r="X380" s="1494">
        <f t="shared" si="41"/>
        <v>67500</v>
      </c>
      <c r="Y380" s="1489">
        <v>2500</v>
      </c>
      <c r="Z380" s="1494">
        <f t="shared" si="42"/>
        <v>22</v>
      </c>
      <c r="AA380" s="1648">
        <f t="shared" si="43"/>
        <v>55000</v>
      </c>
      <c r="AB380" s="1489">
        <v>2500</v>
      </c>
      <c r="AC380" s="1489">
        <f>'MASA KERJA AB'!H50</f>
        <v>10</v>
      </c>
      <c r="AD380" s="1492">
        <f>'MASA KERJA AB'!I50</f>
        <v>27000</v>
      </c>
      <c r="AE380" s="1497">
        <f>'LEMBUR DAN PREMI UPKEEP'!AJ67</f>
        <v>1590974.5</v>
      </c>
      <c r="AF380" s="1492">
        <f>'PREMI ALAT'!AL267</f>
        <v>1023990</v>
      </c>
      <c r="AG380" s="1513">
        <f>'PREMI ALAT'!AL272</f>
        <v>332210</v>
      </c>
      <c r="AH380" s="1514">
        <f>'PREMI ALAT'!AL276</f>
        <v>20760.5</v>
      </c>
      <c r="AI380" s="1489">
        <f>'PREMI ALAT'!AL277</f>
        <v>0</v>
      </c>
      <c r="AJ380" s="1490">
        <f>'PREMI ALAT'!AL279</f>
        <v>0</v>
      </c>
      <c r="AK380" s="1501"/>
      <c r="AL380" s="1489"/>
      <c r="AM380" s="1489"/>
      <c r="AN380" s="1489"/>
      <c r="AO380" s="1494">
        <f t="shared" si="44"/>
        <v>6994035</v>
      </c>
      <c r="AP380" s="1489">
        <f t="shared" si="45"/>
        <v>77532</v>
      </c>
      <c r="AQ380" s="1489">
        <f t="shared" si="46"/>
        <v>175997.64</v>
      </c>
      <c r="AR380" s="1489">
        <f t="shared" si="47"/>
        <v>253529.64</v>
      </c>
      <c r="AS380" s="1489">
        <f t="shared" si="48"/>
        <v>39036</v>
      </c>
      <c r="AT380" s="1489">
        <f t="shared" si="49"/>
        <v>156144</v>
      </c>
      <c r="AU380" s="1489">
        <f t="shared" si="50"/>
        <v>38766</v>
      </c>
      <c r="AV380" s="1489">
        <f t="shared" si="51"/>
        <v>77532</v>
      </c>
      <c r="AW380" s="1489">
        <f t="shared" si="52"/>
        <v>311478</v>
      </c>
      <c r="AX380" s="1648">
        <v>4000</v>
      </c>
      <c r="AY380" s="1649">
        <v>92284</v>
      </c>
      <c r="AZ380" s="1494">
        <f t="shared" si="53"/>
        <v>0</v>
      </c>
      <c r="BA380" s="1491"/>
      <c r="BB380" s="1491"/>
      <c r="BC380" s="1489">
        <f t="shared" si="54"/>
        <v>6742417</v>
      </c>
      <c r="BD380" s="1489">
        <f>'HK UP KEEP, OP '!AS70</f>
        <v>0</v>
      </c>
      <c r="BE380" s="1495">
        <f>'HK UP KEEP, OP '!AT70</f>
        <v>1</v>
      </c>
      <c r="BG380" s="1551">
        <f t="shared" si="55"/>
        <v>3876600</v>
      </c>
      <c r="BH380" s="1552">
        <f t="shared" si="56"/>
        <v>0</v>
      </c>
      <c r="BI380" s="1552">
        <f t="shared" si="57"/>
        <v>129220</v>
      </c>
      <c r="BJ380" s="1551">
        <f t="shared" si="58"/>
        <v>-129220</v>
      </c>
      <c r="BK380" s="1553">
        <f t="shared" si="59"/>
        <v>4005820</v>
      </c>
      <c r="BM380" s="1553">
        <f t="shared" si="60"/>
        <v>3117435</v>
      </c>
      <c r="BN380" s="1551">
        <v>30575.999999999996</v>
      </c>
      <c r="BO380" s="1551">
        <f t="shared" si="61"/>
        <v>186720</v>
      </c>
    </row>
    <row r="381" spans="1:67" s="1523" customFormat="1" ht="74.25" customHeight="1" thickBot="1">
      <c r="A381" s="2113" t="s">
        <v>38</v>
      </c>
      <c r="B381" s="2114"/>
      <c r="C381" s="2114"/>
      <c r="D381" s="2115"/>
      <c r="E381" s="1528">
        <f>SUM(E317:E380)</f>
        <v>180</v>
      </c>
      <c r="F381" s="1528">
        <f t="shared" ref="F381:BE381" si="63">SUM(F317:F380)</f>
        <v>1033760</v>
      </c>
      <c r="G381" s="1528">
        <f t="shared" si="63"/>
        <v>23259600</v>
      </c>
      <c r="H381" s="1528">
        <f t="shared" si="63"/>
        <v>9</v>
      </c>
      <c r="I381" s="1528">
        <f t="shared" si="63"/>
        <v>1162980</v>
      </c>
      <c r="J381" s="1528">
        <f t="shared" si="63"/>
        <v>2</v>
      </c>
      <c r="K381" s="1528">
        <f t="shared" si="63"/>
        <v>258440</v>
      </c>
      <c r="L381" s="1528">
        <f t="shared" si="63"/>
        <v>0</v>
      </c>
      <c r="M381" s="1528">
        <f t="shared" si="63"/>
        <v>0</v>
      </c>
      <c r="N381" s="1528">
        <f t="shared" si="63"/>
        <v>32</v>
      </c>
      <c r="O381" s="1528">
        <f t="shared" si="63"/>
        <v>4135040</v>
      </c>
      <c r="P381" s="1528">
        <f t="shared" si="63"/>
        <v>24</v>
      </c>
      <c r="Q381" s="1528">
        <f t="shared" si="63"/>
        <v>3101280</v>
      </c>
      <c r="R381" s="1528">
        <f t="shared" si="63"/>
        <v>0</v>
      </c>
      <c r="S381" s="1528">
        <f t="shared" si="63"/>
        <v>0</v>
      </c>
      <c r="T381" s="1528">
        <f t="shared" si="63"/>
        <v>0</v>
      </c>
      <c r="U381" s="1528">
        <f t="shared" si="63"/>
        <v>0</v>
      </c>
      <c r="V381" s="1528">
        <f t="shared" si="63"/>
        <v>247</v>
      </c>
      <c r="W381" s="1528">
        <f t="shared" si="63"/>
        <v>31000</v>
      </c>
      <c r="X381" s="1528">
        <f t="shared" si="63"/>
        <v>958750</v>
      </c>
      <c r="Y381" s="1528">
        <f t="shared" si="63"/>
        <v>24000</v>
      </c>
      <c r="Z381" s="1528">
        <f t="shared" si="63"/>
        <v>180</v>
      </c>
      <c r="AA381" s="1528">
        <f t="shared" si="63"/>
        <v>538000</v>
      </c>
      <c r="AB381" s="1528">
        <f t="shared" si="63"/>
        <v>20000</v>
      </c>
      <c r="AC381" s="1528">
        <f t="shared" si="63"/>
        <v>74</v>
      </c>
      <c r="AD381" s="1528">
        <f t="shared" si="63"/>
        <v>200500</v>
      </c>
      <c r="AE381" s="1528">
        <f t="shared" si="63"/>
        <v>11977124.92</v>
      </c>
      <c r="AF381" s="1528">
        <f t="shared" si="63"/>
        <v>6707205</v>
      </c>
      <c r="AG381" s="1528">
        <f t="shared" si="63"/>
        <v>1491510</v>
      </c>
      <c r="AH381" s="1528">
        <f t="shared" si="63"/>
        <v>1037134.5</v>
      </c>
      <c r="AI381" s="1528">
        <f t="shared" si="63"/>
        <v>0</v>
      </c>
      <c r="AJ381" s="1528">
        <f t="shared" si="63"/>
        <v>0</v>
      </c>
      <c r="AK381" s="1528">
        <f t="shared" si="63"/>
        <v>0</v>
      </c>
      <c r="AL381" s="1528">
        <f t="shared" si="63"/>
        <v>250000</v>
      </c>
      <c r="AM381" s="1528">
        <f t="shared" si="63"/>
        <v>0</v>
      </c>
      <c r="AN381" s="1528">
        <f t="shared" si="63"/>
        <v>0</v>
      </c>
      <c r="AO381" s="1528">
        <f t="shared" si="63"/>
        <v>55077564.420000009</v>
      </c>
      <c r="AP381" s="1528">
        <f t="shared" si="63"/>
        <v>54892656</v>
      </c>
      <c r="AQ381" s="1528">
        <f t="shared" si="63"/>
        <v>3217061.1200000006</v>
      </c>
      <c r="AR381" s="1528">
        <f t="shared" si="63"/>
        <v>2028237.1200000006</v>
      </c>
      <c r="AS381" s="1528">
        <f t="shared" si="63"/>
        <v>312133</v>
      </c>
      <c r="AT381" s="1528">
        <f t="shared" si="63"/>
        <v>1248532</v>
      </c>
      <c r="AU381" s="1528">
        <f t="shared" si="63"/>
        <v>310128</v>
      </c>
      <c r="AV381" s="1528">
        <f t="shared" si="63"/>
        <v>620256</v>
      </c>
      <c r="AW381" s="1528">
        <f t="shared" si="63"/>
        <v>2491049</v>
      </c>
      <c r="AX381" s="1528">
        <f t="shared" si="63"/>
        <v>32000</v>
      </c>
      <c r="AY381" s="1528">
        <f t="shared" si="63"/>
        <v>711762</v>
      </c>
      <c r="AZ381" s="1528">
        <f t="shared" si="63"/>
        <v>0</v>
      </c>
      <c r="BA381" s="1528">
        <f t="shared" si="63"/>
        <v>0</v>
      </c>
      <c r="BB381" s="1528">
        <f t="shared" si="63"/>
        <v>0</v>
      </c>
      <c r="BC381" s="1545">
        <f t="shared" si="63"/>
        <v>53091285.420000002</v>
      </c>
      <c r="BD381" s="1528">
        <f t="shared" si="63"/>
        <v>0</v>
      </c>
      <c r="BE381" s="1528">
        <f t="shared" si="63"/>
        <v>1</v>
      </c>
      <c r="BF381" s="1654"/>
      <c r="BG381" s="1529">
        <f t="shared" ref="BG381:BO381" si="64">SUM(BG317:BG380)</f>
        <v>31917340</v>
      </c>
      <c r="BH381" s="1529">
        <f t="shared" si="64"/>
        <v>0</v>
      </c>
      <c r="BI381" s="1529">
        <f t="shared" si="64"/>
        <v>129220</v>
      </c>
      <c r="BJ381" s="1529">
        <f t="shared" si="64"/>
        <v>-129220</v>
      </c>
      <c r="BK381" s="1529">
        <f t="shared" si="64"/>
        <v>32046560</v>
      </c>
      <c r="BL381" s="1529">
        <f t="shared" si="64"/>
        <v>0</v>
      </c>
      <c r="BM381" s="1529">
        <f t="shared" si="64"/>
        <v>23160224.420000002</v>
      </c>
      <c r="BN381" s="1529">
        <f t="shared" si="64"/>
        <v>244607.99999999997</v>
      </c>
      <c r="BO381" s="1529">
        <f t="shared" si="64"/>
        <v>1493140</v>
      </c>
    </row>
    <row r="382" spans="1:67" s="1523" customFormat="1" ht="24.75" customHeight="1">
      <c r="A382" s="1655"/>
      <c r="B382" s="1655"/>
      <c r="C382" s="1656"/>
      <c r="D382" s="1655"/>
      <c r="E382" s="1529"/>
      <c r="F382" s="1606"/>
      <c r="G382" s="1606"/>
      <c r="H382" s="1529"/>
      <c r="I382" s="1529"/>
      <c r="J382" s="1529"/>
      <c r="K382" s="1529"/>
      <c r="L382" s="1529"/>
      <c r="M382" s="1529"/>
      <c r="N382" s="1529"/>
      <c r="O382" s="1529"/>
      <c r="P382" s="1529"/>
      <c r="Q382" s="1529"/>
      <c r="R382" s="1529"/>
      <c r="S382" s="1529"/>
      <c r="T382" s="1529"/>
      <c r="U382" s="1529"/>
      <c r="V382" s="1522">
        <f>'HK UP KEEP, OP '!AR72</f>
        <v>247</v>
      </c>
      <c r="W382" s="1657" t="s">
        <v>272</v>
      </c>
      <c r="X382" s="1522"/>
      <c r="Y382" s="1529"/>
      <c r="Z382" s="1529"/>
      <c r="AA382" s="1529"/>
      <c r="AB382" s="1529"/>
      <c r="AC382" s="1529"/>
      <c r="AD382" s="1529"/>
      <c r="AE382" s="1522">
        <f>'LEMBUR DAN PREMI UPKEEP'!AJ69</f>
        <v>11977124.92</v>
      </c>
      <c r="AF382" s="1522"/>
      <c r="AG382" s="1522">
        <f>SUM(AF381:AH381)</f>
        <v>9235849.5</v>
      </c>
      <c r="AH382" s="1529"/>
      <c r="AI382" s="1529"/>
      <c r="AJ382" s="1529"/>
      <c r="AK382" s="1529"/>
      <c r="AL382" s="1529"/>
      <c r="AM382" s="1522">
        <f>316230+262980+522720+519580+403500+454010</f>
        <v>2479020</v>
      </c>
      <c r="AN382" s="1529"/>
      <c r="AO382" s="1529"/>
      <c r="AP382" s="1529"/>
      <c r="AQ382" s="1529"/>
      <c r="AR382" s="1529"/>
      <c r="AS382" s="1529"/>
      <c r="AT382" s="1529"/>
      <c r="AU382" s="1529"/>
      <c r="AV382" s="1529"/>
      <c r="AW382" s="1529"/>
      <c r="AX382" s="1529"/>
      <c r="AY382" s="1529"/>
      <c r="AZ382" s="1529"/>
      <c r="BA382" s="1529"/>
      <c r="BB382" s="1529"/>
      <c r="BC382" s="1546"/>
      <c r="BD382" s="1658"/>
      <c r="BE382" s="1658"/>
      <c r="BG382" s="1555"/>
      <c r="BH382" s="1560"/>
      <c r="BI382" s="1560"/>
      <c r="BJ382" s="1555"/>
      <c r="BK382" s="1561"/>
      <c r="BL382" s="1561"/>
      <c r="BM382" s="1561">
        <f>BG381+BM381</f>
        <v>55077564.420000002</v>
      </c>
      <c r="BN382" s="1555"/>
      <c r="BO382" s="1555"/>
    </row>
    <row r="383" spans="1:67" s="1523" customFormat="1" ht="21.75" customHeight="1">
      <c r="A383" s="1523" t="s">
        <v>87</v>
      </c>
      <c r="B383" s="1599"/>
      <c r="C383" s="1600"/>
      <c r="D383" s="1601"/>
      <c r="E383" s="1530"/>
      <c r="F383" s="1659"/>
      <c r="G383" s="1659"/>
      <c r="H383" s="1530"/>
      <c r="I383" s="1530"/>
      <c r="J383" s="1530"/>
      <c r="K383" s="1530"/>
      <c r="L383" s="1530"/>
      <c r="M383" s="1530"/>
      <c r="N383" s="1530"/>
      <c r="O383" s="1530"/>
      <c r="P383" s="1530"/>
      <c r="Q383" s="1530"/>
      <c r="R383" s="1530"/>
      <c r="S383" s="1530"/>
      <c r="T383" s="1530"/>
      <c r="U383" s="1530"/>
      <c r="V383" s="1521">
        <f>V381-V382</f>
        <v>0</v>
      </c>
      <c r="W383" s="1521"/>
      <c r="X383" s="1521"/>
      <c r="Y383" s="1530"/>
      <c r="Z383" s="1530"/>
      <c r="AA383" s="1530"/>
      <c r="AB383" s="1530"/>
      <c r="AC383" s="1530"/>
      <c r="AD383" s="1530"/>
      <c r="AE383" s="1660">
        <f>AE381-AE382</f>
        <v>0</v>
      </c>
      <c r="AF383" s="1521"/>
      <c r="AG383" s="1521"/>
      <c r="AH383" s="1530"/>
      <c r="AI383" s="1530"/>
      <c r="AJ383" s="1530"/>
      <c r="AK383" s="1661"/>
      <c r="AL383" s="1530"/>
      <c r="AM383" s="1521">
        <f>AM381-AM382</f>
        <v>-2479020</v>
      </c>
      <c r="AN383" s="1530"/>
      <c r="AO383" s="1530"/>
      <c r="AP383" s="1530"/>
      <c r="AQ383" s="1530"/>
      <c r="AR383" s="1530"/>
      <c r="AS383" s="1530"/>
      <c r="AT383" s="1530"/>
      <c r="AU383" s="1530"/>
      <c r="AV383" s="1530"/>
      <c r="AW383" s="1530"/>
      <c r="AY383" s="1530"/>
      <c r="AZ383" s="1530"/>
      <c r="BA383" s="1530"/>
      <c r="BB383" s="1530"/>
      <c r="BC383" s="1536"/>
      <c r="BD383" s="1530"/>
      <c r="BE383" s="1530"/>
      <c r="BG383" s="1555"/>
      <c r="BH383" s="1560"/>
      <c r="BI383" s="1560"/>
      <c r="BJ383" s="1555"/>
      <c r="BK383" s="1561"/>
      <c r="BL383" s="1561"/>
      <c r="BM383" s="1561">
        <f>AO381</f>
        <v>55077564.420000009</v>
      </c>
      <c r="BN383" s="1555"/>
      <c r="BO383" s="1555"/>
    </row>
    <row r="384" spans="1:67" ht="26.25" customHeight="1">
      <c r="A384" s="1523" t="s">
        <v>88</v>
      </c>
      <c r="B384" s="1532"/>
      <c r="C384" s="1605"/>
      <c r="D384" s="1523"/>
      <c r="E384" s="1536"/>
      <c r="F384" s="1662"/>
      <c r="G384" s="1609"/>
      <c r="H384" s="1610"/>
      <c r="I384" s="1610"/>
      <c r="J384" s="1610"/>
      <c r="K384" s="1610"/>
      <c r="L384" s="1610"/>
      <c r="M384" s="1610"/>
      <c r="N384" s="1610"/>
      <c r="O384" s="1610"/>
      <c r="P384" s="1610"/>
      <c r="Q384" s="1610"/>
      <c r="R384" s="1610"/>
      <c r="S384" s="1610"/>
      <c r="T384" s="1610"/>
      <c r="U384" s="1610"/>
      <c r="V384" s="1657"/>
      <c r="W384" s="1657"/>
      <c r="X384" s="1542"/>
      <c r="Y384" s="1610"/>
      <c r="Z384" s="1536"/>
      <c r="AA384" s="1610"/>
      <c r="AB384" s="1610"/>
      <c r="AC384" s="1610"/>
      <c r="AD384" s="1610"/>
      <c r="AE384" s="1531"/>
      <c r="AF384" s="1657">
        <f>AF381+AG381+AH381</f>
        <v>9235849.5</v>
      </c>
      <c r="AG384" s="1610"/>
      <c r="AH384" s="1610"/>
      <c r="AI384" s="1610"/>
      <c r="AJ384" s="1610"/>
      <c r="AK384" s="1610"/>
      <c r="AL384" s="1610"/>
      <c r="AM384" s="1610"/>
      <c r="AN384" s="1536"/>
      <c r="AO384" s="1610"/>
      <c r="AP384" s="1663"/>
      <c r="AQ384" s="1663"/>
      <c r="AR384" s="1536"/>
      <c r="AS384" s="1663"/>
      <c r="AT384" s="1536"/>
      <c r="AU384" s="1663"/>
      <c r="AV384" s="1536"/>
      <c r="AW384" s="1536"/>
      <c r="AX384" s="1536"/>
      <c r="AY384" s="1536"/>
      <c r="AZ384" s="1536"/>
      <c r="BA384" s="1536"/>
      <c r="BB384" s="1536"/>
      <c r="BC384" s="1531"/>
      <c r="BD384" s="1536"/>
      <c r="BE384" s="1536"/>
      <c r="BM384" s="1553">
        <f>BM382-BM383</f>
        <v>0</v>
      </c>
    </row>
    <row r="385" spans="1:69" s="1523" customFormat="1" ht="20.25" customHeight="1">
      <c r="A385" s="1607" t="s">
        <v>672</v>
      </c>
      <c r="B385" s="1532"/>
      <c r="C385" s="1605"/>
      <c r="D385" s="1532"/>
      <c r="E385" s="2049" t="s">
        <v>39</v>
      </c>
      <c r="F385" s="2049"/>
      <c r="G385" s="2049"/>
      <c r="H385" s="1602"/>
      <c r="O385" s="2049" t="s">
        <v>100</v>
      </c>
      <c r="P385" s="2049"/>
      <c r="Q385" s="2049"/>
      <c r="Y385" s="2049" t="s">
        <v>40</v>
      </c>
      <c r="Z385" s="2049"/>
      <c r="AA385" s="2049"/>
      <c r="AB385" s="2049"/>
      <c r="AF385" s="1532"/>
      <c r="AK385" s="1557"/>
      <c r="AL385" s="1664"/>
      <c r="AO385" s="2049" t="s">
        <v>554</v>
      </c>
      <c r="AP385" s="2049"/>
      <c r="AU385" s="2049" t="s">
        <v>61</v>
      </c>
      <c r="AV385" s="2049"/>
      <c r="AW385" s="1556"/>
      <c r="BB385" s="1532"/>
      <c r="BC385" s="1518"/>
      <c r="BD385" s="1603"/>
      <c r="BE385" s="1604"/>
      <c r="BG385" s="1555"/>
      <c r="BH385" s="1560"/>
      <c r="BI385" s="1560"/>
      <c r="BJ385" s="1555"/>
      <c r="BK385" s="1561"/>
      <c r="BL385" s="1561"/>
      <c r="BM385" s="1561"/>
      <c r="BN385" s="1555"/>
      <c r="BO385" s="1555"/>
    </row>
    <row r="386" spans="1:69" s="1523" customFormat="1" ht="22.5" customHeight="1">
      <c r="A386" s="1607"/>
      <c r="B386" s="1532"/>
      <c r="C386" s="1605"/>
      <c r="D386" s="1532"/>
      <c r="E386" s="1532"/>
      <c r="F386" s="1555"/>
      <c r="G386" s="1606"/>
      <c r="H386" s="1602"/>
      <c r="U386" s="1532"/>
      <c r="AA386" s="1532"/>
      <c r="AB386" s="1532"/>
      <c r="AH386" s="1532"/>
      <c r="AI386" s="1532"/>
      <c r="AJ386" s="1532"/>
      <c r="AK386" s="1557"/>
      <c r="AL386" s="1532"/>
      <c r="AM386" s="1532"/>
      <c r="AP386" s="1532"/>
      <c r="AQ386" s="1532"/>
      <c r="AR386" s="1532"/>
      <c r="AT386" s="1532"/>
      <c r="AU386" s="1532"/>
      <c r="AV386" s="1532"/>
      <c r="AW386" s="1556"/>
      <c r="AX386" s="1532"/>
      <c r="AY386" s="1532"/>
      <c r="AZ386" s="1532"/>
      <c r="BA386" s="1532"/>
      <c r="BB386" s="1532"/>
      <c r="BC386" s="1518"/>
      <c r="BD386" s="1603"/>
      <c r="BE386" s="1604"/>
      <c r="BG386" s="1555"/>
      <c r="BH386" s="1560"/>
      <c r="BI386" s="1560"/>
      <c r="BJ386" s="1555"/>
      <c r="BK386" s="1561"/>
      <c r="BL386" s="1561"/>
      <c r="BM386" s="1561"/>
      <c r="BN386" s="1555"/>
      <c r="BO386" s="1555"/>
    </row>
    <row r="387" spans="1:69" ht="22.5" customHeight="1">
      <c r="F387" s="1608"/>
      <c r="G387" s="1609"/>
      <c r="H387" s="1610"/>
      <c r="P387" s="1610"/>
      <c r="Q387" s="1523"/>
      <c r="R387" s="1523"/>
      <c r="S387" s="1523"/>
      <c r="T387" s="1523"/>
      <c r="AA387" s="1610"/>
      <c r="AB387" s="1610"/>
      <c r="AH387" s="1547"/>
      <c r="AI387" s="1547"/>
      <c r="AJ387" s="1547"/>
      <c r="BB387" s="1610"/>
      <c r="BC387" s="1524"/>
      <c r="BD387" s="1524"/>
      <c r="BE387" s="1613"/>
    </row>
    <row r="388" spans="1:69" ht="22.5" customHeight="1">
      <c r="I388" s="1614"/>
      <c r="Q388" s="1523"/>
      <c r="R388" s="1523"/>
      <c r="S388" s="1523"/>
      <c r="T388" s="1523"/>
      <c r="AF388" s="1531"/>
      <c r="AG388" s="1531"/>
      <c r="AH388" s="1547"/>
      <c r="AI388" s="1547"/>
      <c r="AJ388" s="1547"/>
      <c r="AL388" s="1531"/>
      <c r="AO388" s="1531"/>
      <c r="AU388" s="1531"/>
      <c r="AX388" s="1531"/>
      <c r="BC388" s="1524"/>
    </row>
    <row r="389" spans="1:69" ht="18.75" customHeight="1">
      <c r="D389" s="1638"/>
      <c r="E389" s="2124" t="s">
        <v>193</v>
      </c>
      <c r="F389" s="2124"/>
      <c r="G389" s="2124"/>
      <c r="H389" s="1602"/>
      <c r="I389" s="1614"/>
      <c r="L389" s="1665"/>
      <c r="M389" s="1665"/>
      <c r="O389" s="2125" t="s">
        <v>274</v>
      </c>
      <c r="P389" s="2125"/>
      <c r="Q389" s="2125"/>
      <c r="R389" s="1523"/>
      <c r="S389" s="1523"/>
      <c r="T389" s="1523"/>
      <c r="U389" s="1638"/>
      <c r="Y389" s="2124" t="s">
        <v>203</v>
      </c>
      <c r="Z389" s="2124"/>
      <c r="AA389" s="2124"/>
      <c r="AB389" s="2124"/>
      <c r="AF389" s="1666"/>
      <c r="AG389" s="1667"/>
      <c r="AH389" s="1668"/>
      <c r="AI389" s="1668"/>
      <c r="AJ389" s="1668"/>
      <c r="AK389" s="1669"/>
      <c r="AL389" s="1666"/>
      <c r="AM389" s="1666"/>
      <c r="AO389" s="2126" t="s">
        <v>622</v>
      </c>
      <c r="AP389" s="2126"/>
      <c r="AQ389" s="1667"/>
      <c r="AR389" s="1667"/>
      <c r="AT389" s="1670"/>
      <c r="AU389" s="2124" t="s">
        <v>586</v>
      </c>
      <c r="AV389" s="2124"/>
      <c r="AX389" s="1667"/>
      <c r="AY389" s="1667"/>
      <c r="AZ389" s="1667"/>
      <c r="BA389" s="1667"/>
      <c r="BB389" s="1599"/>
    </row>
    <row r="390" spans="1:69" ht="18.75" customHeight="1">
      <c r="E390" s="2127" t="s">
        <v>151</v>
      </c>
      <c r="F390" s="2127"/>
      <c r="G390" s="2127"/>
      <c r="I390" s="1553"/>
      <c r="O390" s="2127" t="s">
        <v>134</v>
      </c>
      <c r="P390" s="2127"/>
      <c r="Q390" s="2127"/>
      <c r="Y390" s="2127" t="s">
        <v>135</v>
      </c>
      <c r="Z390" s="2127"/>
      <c r="AA390" s="2127"/>
      <c r="AB390" s="2127"/>
      <c r="AF390" s="1547"/>
      <c r="AH390" s="1547"/>
      <c r="AI390" s="1547"/>
      <c r="AJ390" s="1547"/>
      <c r="AL390" s="1547"/>
      <c r="AO390" s="2128" t="s">
        <v>623</v>
      </c>
      <c r="AP390" s="2128"/>
      <c r="AU390" s="2127" t="s">
        <v>585</v>
      </c>
      <c r="AV390" s="2127"/>
      <c r="BB390" s="1547"/>
    </row>
    <row r="391" spans="1:69" ht="26.25" customHeight="1">
      <c r="A391" s="2048" t="s">
        <v>0</v>
      </c>
      <c r="B391" s="2048"/>
      <c r="C391" s="2048"/>
      <c r="D391" s="2048"/>
      <c r="E391" s="2048"/>
      <c r="F391" s="2048"/>
      <c r="G391" s="2048"/>
      <c r="H391" s="2048"/>
      <c r="I391" s="2048"/>
      <c r="J391" s="2048"/>
      <c r="K391" s="2048"/>
      <c r="L391" s="2048"/>
      <c r="M391" s="2048"/>
      <c r="N391" s="2048"/>
      <c r="O391" s="2048"/>
      <c r="P391" s="2048"/>
      <c r="Q391" s="2048"/>
      <c r="R391" s="2048"/>
      <c r="S391" s="2048"/>
      <c r="T391" s="2048"/>
      <c r="U391" s="2048"/>
      <c r="V391" s="2048"/>
      <c r="W391" s="2048"/>
      <c r="X391" s="2048"/>
      <c r="Y391" s="2048"/>
      <c r="Z391" s="2048"/>
      <c r="AA391" s="2048"/>
      <c r="AB391" s="2048"/>
      <c r="AC391" s="2048"/>
      <c r="AD391" s="2048"/>
      <c r="AE391" s="2048"/>
      <c r="AF391" s="2048"/>
      <c r="AG391" s="2048"/>
      <c r="AH391" s="2048"/>
      <c r="AI391" s="2048"/>
      <c r="AJ391" s="2048"/>
      <c r="AK391" s="2048"/>
      <c r="AL391" s="2048"/>
      <c r="AM391" s="2048"/>
      <c r="AN391" s="2048"/>
      <c r="AO391" s="2048"/>
      <c r="AP391" s="2048"/>
      <c r="AQ391" s="2048"/>
      <c r="AR391" s="2048"/>
      <c r="AS391" s="2048"/>
      <c r="AT391" s="2048"/>
      <c r="AU391" s="2048"/>
      <c r="AV391" s="2048"/>
      <c r="AW391" s="2048"/>
      <c r="AX391" s="2048"/>
      <c r="AY391" s="2048"/>
      <c r="AZ391" s="2048"/>
      <c r="BA391" s="2048"/>
      <c r="BB391" s="2048"/>
      <c r="BC391" s="2048"/>
      <c r="BD391" s="2048"/>
      <c r="BE391" s="2048"/>
    </row>
    <row r="392" spans="1:69" ht="26.25" customHeight="1">
      <c r="A392" s="2049" t="s">
        <v>1033</v>
      </c>
      <c r="B392" s="2049"/>
      <c r="C392" s="2049"/>
      <c r="D392" s="2049"/>
      <c r="E392" s="2049"/>
      <c r="F392" s="2049"/>
      <c r="G392" s="2049"/>
      <c r="H392" s="2049"/>
      <c r="I392" s="2049"/>
      <c r="J392" s="2049"/>
      <c r="K392" s="2049"/>
      <c r="L392" s="2049"/>
      <c r="M392" s="2049"/>
      <c r="N392" s="2049"/>
      <c r="O392" s="2049"/>
      <c r="P392" s="2049"/>
      <c r="Q392" s="2049"/>
      <c r="R392" s="2049"/>
      <c r="S392" s="2049"/>
      <c r="T392" s="2049"/>
      <c r="U392" s="2049"/>
      <c r="V392" s="2049"/>
      <c r="W392" s="2049"/>
      <c r="X392" s="2049"/>
      <c r="Y392" s="2049"/>
      <c r="Z392" s="2049"/>
      <c r="AA392" s="2049"/>
      <c r="AB392" s="2049"/>
      <c r="AC392" s="2049"/>
      <c r="AD392" s="2049"/>
      <c r="AE392" s="2049"/>
      <c r="AF392" s="2049"/>
      <c r="AG392" s="2049"/>
      <c r="AH392" s="2049"/>
      <c r="AI392" s="2049"/>
      <c r="AJ392" s="2049"/>
      <c r="AK392" s="2049"/>
      <c r="AL392" s="2049"/>
      <c r="AM392" s="2049"/>
      <c r="AN392" s="2049"/>
      <c r="AO392" s="2049"/>
      <c r="AP392" s="2049"/>
      <c r="AQ392" s="2049"/>
      <c r="AR392" s="2049"/>
      <c r="AS392" s="2049"/>
      <c r="AT392" s="2049"/>
      <c r="AU392" s="2049"/>
      <c r="AV392" s="2049"/>
      <c r="AW392" s="2049"/>
      <c r="AX392" s="2049"/>
      <c r="AY392" s="2049"/>
      <c r="AZ392" s="2049"/>
      <c r="BA392" s="2049"/>
      <c r="BB392" s="2049"/>
      <c r="BC392" s="2049"/>
      <c r="BD392" s="2049"/>
      <c r="BE392" s="2049"/>
    </row>
    <row r="393" spans="1:69" ht="26.25" customHeight="1">
      <c r="A393" s="1532"/>
      <c r="B393" s="1532"/>
      <c r="C393" s="1605"/>
      <c r="D393" s="1532"/>
      <c r="E393" s="1532"/>
      <c r="F393" s="1560"/>
      <c r="G393" s="1560"/>
      <c r="H393" s="1532"/>
      <c r="I393" s="1532"/>
      <c r="J393" s="1532"/>
      <c r="K393" s="1532"/>
      <c r="L393" s="1532"/>
      <c r="M393" s="1532"/>
      <c r="N393" s="1532"/>
      <c r="O393" s="1532"/>
      <c r="P393" s="1532"/>
      <c r="Q393" s="1532"/>
      <c r="R393" s="1532"/>
      <c r="S393" s="1532"/>
      <c r="T393" s="1532"/>
      <c r="U393" s="1532"/>
      <c r="V393" s="1532"/>
      <c r="W393" s="1532"/>
      <c r="X393" s="1532"/>
      <c r="Y393" s="1532"/>
      <c r="Z393" s="1532"/>
      <c r="AA393" s="1532"/>
      <c r="AB393" s="1532"/>
      <c r="AC393" s="1532"/>
      <c r="AD393" s="1532"/>
      <c r="AE393" s="1532"/>
      <c r="AF393" s="1532"/>
      <c r="AG393" s="1532"/>
      <c r="AH393" s="1532"/>
      <c r="AI393" s="1532"/>
      <c r="AJ393" s="1532"/>
      <c r="AK393" s="1557"/>
      <c r="AL393" s="1532"/>
      <c r="AM393" s="1532"/>
      <c r="AN393" s="1532"/>
      <c r="AO393" s="1532"/>
      <c r="AP393" s="1558"/>
      <c r="AQ393" s="1559"/>
      <c r="AR393" s="1559"/>
      <c r="AS393" s="1559"/>
      <c r="AT393" s="1671"/>
      <c r="AU393" s="1532"/>
      <c r="AV393" s="1532"/>
      <c r="AW393" s="1532"/>
      <c r="AX393" s="1532"/>
      <c r="AY393" s="1532"/>
      <c r="AZ393" s="1532"/>
      <c r="BA393" s="1532"/>
      <c r="BB393" s="1532"/>
      <c r="BC393" s="1547"/>
      <c r="BD393" s="1532"/>
      <c r="BE393" s="1532"/>
    </row>
    <row r="394" spans="1:69" s="1523" customFormat="1" ht="16.5" customHeight="1">
      <c r="D394" s="1523" t="s">
        <v>964</v>
      </c>
      <c r="F394" s="1555"/>
      <c r="G394" s="1555"/>
      <c r="AE394" s="1532"/>
      <c r="AF394" s="1532"/>
      <c r="AG394" s="1532"/>
      <c r="AH394" s="1532"/>
      <c r="AI394" s="1532"/>
      <c r="AJ394" s="1532"/>
      <c r="AK394" s="1557"/>
      <c r="AL394" s="1532"/>
      <c r="AM394" s="1532"/>
      <c r="AO394" s="1561"/>
      <c r="AP394" s="1558">
        <v>3876600</v>
      </c>
      <c r="AQ394" s="1672">
        <f>AP394/30</f>
        <v>129220</v>
      </c>
      <c r="AR394" s="1673">
        <f>AP394/173*1.5</f>
        <v>33612.138728323698</v>
      </c>
      <c r="AS394" s="1566">
        <f>AP394/173*2</f>
        <v>44816.184971098264</v>
      </c>
      <c r="AT394" s="1674"/>
      <c r="AU394" s="1532" t="s">
        <v>55</v>
      </c>
      <c r="AV394" s="1523" t="s">
        <v>335</v>
      </c>
      <c r="BC394" s="1518"/>
      <c r="BE394" s="1532"/>
      <c r="BG394" s="1555"/>
      <c r="BH394" s="1560"/>
      <c r="BI394" s="1560"/>
      <c r="BJ394" s="1555"/>
      <c r="BK394" s="1561"/>
      <c r="BL394" s="1561"/>
      <c r="BM394" s="1561"/>
      <c r="BN394" s="1555"/>
      <c r="BO394" s="1555"/>
    </row>
    <row r="395" spans="1:69" ht="18.75" customHeight="1" thickBot="1">
      <c r="A395" s="1547"/>
      <c r="D395" s="1532"/>
      <c r="E395" s="1563"/>
      <c r="F395" s="1675"/>
      <c r="G395" s="1564"/>
      <c r="H395" s="1563"/>
      <c r="I395" s="1563"/>
      <c r="J395" s="1563"/>
      <c r="K395" s="1563"/>
      <c r="L395" s="1563"/>
      <c r="M395" s="1563"/>
      <c r="N395" s="1563"/>
      <c r="O395" s="1563"/>
      <c r="Q395" s="1563"/>
      <c r="R395" s="1563"/>
      <c r="S395" s="1563"/>
      <c r="T395" s="1563"/>
      <c r="U395" s="1563"/>
      <c r="V395" s="1563"/>
      <c r="W395" s="1563"/>
      <c r="X395" s="1563"/>
      <c r="Y395" s="1563"/>
      <c r="Z395" s="1563"/>
      <c r="AA395" s="1563"/>
      <c r="AB395" s="1563"/>
      <c r="AC395" s="1563"/>
      <c r="AD395" s="1563"/>
      <c r="AE395" s="1563"/>
      <c r="AF395" s="1563"/>
      <c r="AG395" s="1563"/>
      <c r="AH395" s="1563"/>
      <c r="AI395" s="1563"/>
      <c r="AJ395" s="1563"/>
      <c r="AK395" s="1565"/>
      <c r="AL395" s="1563"/>
      <c r="AM395" s="1563"/>
      <c r="AO395" s="1563"/>
      <c r="AP395" s="1558">
        <v>3876600</v>
      </c>
      <c r="AQ395" s="1566">
        <f>AP395/30</f>
        <v>129220</v>
      </c>
      <c r="AR395" s="1598"/>
      <c r="AS395" s="1598"/>
      <c r="AT395" s="1674"/>
    </row>
    <row r="396" spans="1:69" s="1523" customFormat="1" ht="18.75" customHeight="1">
      <c r="A396" s="2050" t="s">
        <v>5</v>
      </c>
      <c r="B396" s="2056" t="s">
        <v>6</v>
      </c>
      <c r="C396" s="2056" t="s">
        <v>52</v>
      </c>
      <c r="D396" s="1571"/>
      <c r="E396" s="1571"/>
      <c r="F396" s="1676"/>
      <c r="G396" s="1676"/>
      <c r="H396" s="2118" t="s">
        <v>2</v>
      </c>
      <c r="I396" s="2118"/>
      <c r="J396" s="2118"/>
      <c r="K396" s="2118"/>
      <c r="L396" s="2118"/>
      <c r="M396" s="2118"/>
      <c r="N396" s="2118"/>
      <c r="O396" s="2118"/>
      <c r="P396" s="2118"/>
      <c r="Q396" s="2118"/>
      <c r="R396" s="2118"/>
      <c r="S396" s="2118"/>
      <c r="T396" s="2118"/>
      <c r="U396" s="2118"/>
      <c r="V396" s="2056" t="s">
        <v>286</v>
      </c>
      <c r="W396" s="2118" t="s">
        <v>3</v>
      </c>
      <c r="X396" s="2118"/>
      <c r="Y396" s="2118"/>
      <c r="Z396" s="2118"/>
      <c r="AA396" s="2118"/>
      <c r="AB396" s="2118"/>
      <c r="AC396" s="2118"/>
      <c r="AD396" s="2118"/>
      <c r="AE396" s="2119" t="s">
        <v>45</v>
      </c>
      <c r="AF396" s="2063" t="s">
        <v>46</v>
      </c>
      <c r="AG396" s="2064"/>
      <c r="AH396" s="2064"/>
      <c r="AI396" s="2064"/>
      <c r="AJ396" s="2064"/>
      <c r="AK396" s="2065"/>
      <c r="AL396" s="1571"/>
      <c r="AM396" s="2045" t="s">
        <v>361</v>
      </c>
      <c r="AN396" s="2056" t="s">
        <v>44</v>
      </c>
      <c r="AO396" s="1533" t="s">
        <v>4</v>
      </c>
      <c r="AP396" s="2036" t="s">
        <v>20</v>
      </c>
      <c r="AQ396" s="2037"/>
      <c r="AR396" s="2038"/>
      <c r="AS396" s="2036" t="s">
        <v>54</v>
      </c>
      <c r="AT396" s="2037"/>
      <c r="AU396" s="2037"/>
      <c r="AV396" s="2037"/>
      <c r="AW396" s="2038"/>
      <c r="AX396" s="1571"/>
      <c r="AY396" s="2042" t="s">
        <v>90</v>
      </c>
      <c r="AZ396" s="2045" t="s">
        <v>97</v>
      </c>
      <c r="BA396" s="2045" t="s">
        <v>720</v>
      </c>
      <c r="BB396" s="2045" t="s">
        <v>362</v>
      </c>
      <c r="BC396" s="1548" t="s">
        <v>4</v>
      </c>
      <c r="BD396" s="2063" t="s">
        <v>41</v>
      </c>
      <c r="BE396" s="2084"/>
      <c r="BG396" s="1555"/>
      <c r="BH396" s="1560"/>
      <c r="BI396" s="1560"/>
      <c r="BJ396" s="1555"/>
      <c r="BK396" s="1561"/>
      <c r="BL396" s="1561"/>
      <c r="BM396" s="1561"/>
      <c r="BN396" s="1555"/>
      <c r="BO396" s="1555"/>
    </row>
    <row r="397" spans="1:69" s="1523" customFormat="1" ht="25.5" customHeight="1">
      <c r="A397" s="2051"/>
      <c r="B397" s="2057"/>
      <c r="C397" s="2057"/>
      <c r="D397" s="1534" t="s">
        <v>7</v>
      </c>
      <c r="E397" s="1534" t="s">
        <v>8</v>
      </c>
      <c r="F397" s="1677" t="s">
        <v>9</v>
      </c>
      <c r="G397" s="1677" t="s">
        <v>9</v>
      </c>
      <c r="H397" s="2131" t="s">
        <v>10</v>
      </c>
      <c r="I397" s="2131"/>
      <c r="J397" s="2131" t="s">
        <v>11</v>
      </c>
      <c r="K397" s="2131"/>
      <c r="L397" s="2131" t="s">
        <v>12</v>
      </c>
      <c r="M397" s="2131"/>
      <c r="N397" s="2131" t="s">
        <v>13</v>
      </c>
      <c r="O397" s="2131"/>
      <c r="P397" s="2131" t="s">
        <v>14</v>
      </c>
      <c r="Q397" s="2131"/>
      <c r="R397" s="2132" t="s">
        <v>15</v>
      </c>
      <c r="S397" s="2132"/>
      <c r="T397" s="2131" t="s">
        <v>16</v>
      </c>
      <c r="U397" s="2131"/>
      <c r="V397" s="2057"/>
      <c r="W397" s="2131" t="s">
        <v>17</v>
      </c>
      <c r="X397" s="2131"/>
      <c r="Y397" s="2131" t="s">
        <v>18</v>
      </c>
      <c r="Z397" s="2131"/>
      <c r="AA397" s="2131"/>
      <c r="AB397" s="2071" t="s">
        <v>19</v>
      </c>
      <c r="AC397" s="2081"/>
      <c r="AD397" s="2072"/>
      <c r="AE397" s="2120"/>
      <c r="AF397" s="2085"/>
      <c r="AG397" s="2122"/>
      <c r="AH397" s="2122"/>
      <c r="AI397" s="2122"/>
      <c r="AJ397" s="2122"/>
      <c r="AK397" s="2123"/>
      <c r="AL397" s="1678"/>
      <c r="AM397" s="2046"/>
      <c r="AN397" s="2057"/>
      <c r="AO397" s="1534" t="s">
        <v>9</v>
      </c>
      <c r="AP397" s="2039"/>
      <c r="AQ397" s="2040"/>
      <c r="AR397" s="2041"/>
      <c r="AS397" s="2039"/>
      <c r="AT397" s="2040"/>
      <c r="AU397" s="2040"/>
      <c r="AV397" s="2040"/>
      <c r="AW397" s="2041"/>
      <c r="AX397" s="1534" t="s">
        <v>21</v>
      </c>
      <c r="AY397" s="2043"/>
      <c r="AZ397" s="2046"/>
      <c r="BA397" s="2046"/>
      <c r="BB397" s="2046"/>
      <c r="BC397" s="1549" t="s">
        <v>9</v>
      </c>
      <c r="BD397" s="2085"/>
      <c r="BE397" s="2086"/>
      <c r="BG397" s="1555"/>
      <c r="BH397" s="1560"/>
      <c r="BI397" s="1560"/>
      <c r="BJ397" s="1555"/>
      <c r="BK397" s="1561"/>
      <c r="BL397" s="1561"/>
      <c r="BM397" s="1561"/>
      <c r="BN397" s="1555"/>
      <c r="BO397" s="1555"/>
    </row>
    <row r="398" spans="1:69" s="1523" customFormat="1" ht="36" customHeight="1">
      <c r="A398" s="2051"/>
      <c r="B398" s="2057"/>
      <c r="C398" s="2057"/>
      <c r="D398" s="1534" t="s">
        <v>22</v>
      </c>
      <c r="E398" s="1534" t="s">
        <v>23</v>
      </c>
      <c r="F398" s="1677" t="s">
        <v>24</v>
      </c>
      <c r="G398" s="1677" t="s">
        <v>25</v>
      </c>
      <c r="H398" s="2073" t="s">
        <v>4</v>
      </c>
      <c r="I398" s="2073"/>
      <c r="J398" s="2073" t="s">
        <v>4</v>
      </c>
      <c r="K398" s="2073"/>
      <c r="L398" s="2073" t="s">
        <v>4</v>
      </c>
      <c r="M398" s="2073"/>
      <c r="N398" s="2073" t="s">
        <v>4</v>
      </c>
      <c r="O398" s="2073"/>
      <c r="P398" s="2073" t="s">
        <v>4</v>
      </c>
      <c r="Q398" s="2073"/>
      <c r="R398" s="2073" t="s">
        <v>4</v>
      </c>
      <c r="S398" s="2073"/>
      <c r="T398" s="2073" t="s">
        <v>4</v>
      </c>
      <c r="U398" s="2073"/>
      <c r="V398" s="2057"/>
      <c r="W398" s="1534" t="s">
        <v>27</v>
      </c>
      <c r="X398" s="1576" t="s">
        <v>28</v>
      </c>
      <c r="Y398" s="1534" t="s">
        <v>27</v>
      </c>
      <c r="Z398" s="2073" t="s">
        <v>4</v>
      </c>
      <c r="AA398" s="2073"/>
      <c r="AB398" s="1534" t="s">
        <v>27</v>
      </c>
      <c r="AC398" s="2071" t="s">
        <v>4</v>
      </c>
      <c r="AD398" s="2072"/>
      <c r="AE398" s="2121"/>
      <c r="AF398" s="1575" t="s">
        <v>56</v>
      </c>
      <c r="AG398" s="1575" t="s">
        <v>57</v>
      </c>
      <c r="AH398" s="1575" t="s">
        <v>60</v>
      </c>
      <c r="AI398" s="1575" t="s">
        <v>288</v>
      </c>
      <c r="AJ398" s="1575" t="s">
        <v>97</v>
      </c>
      <c r="AK398" s="1575" t="s">
        <v>711</v>
      </c>
      <c r="AL398" s="1679"/>
      <c r="AM398" s="2089"/>
      <c r="AN398" s="2090"/>
      <c r="AO398" s="1534" t="s">
        <v>29</v>
      </c>
      <c r="AP398" s="1534" t="s">
        <v>30</v>
      </c>
      <c r="AQ398" s="1534" t="s">
        <v>31</v>
      </c>
      <c r="AR398" s="1534" t="s">
        <v>4</v>
      </c>
      <c r="AS398" s="1534" t="s">
        <v>30</v>
      </c>
      <c r="AT398" s="1534" t="s">
        <v>31</v>
      </c>
      <c r="AU398" s="1534" t="s">
        <v>30</v>
      </c>
      <c r="AV398" s="1534" t="s">
        <v>31</v>
      </c>
      <c r="AW398" s="1534" t="s">
        <v>4</v>
      </c>
      <c r="AX398" s="1534" t="s">
        <v>32</v>
      </c>
      <c r="AY398" s="2043"/>
      <c r="AZ398" s="2046"/>
      <c r="BA398" s="2046"/>
      <c r="BB398" s="2046"/>
      <c r="BC398" s="1549" t="s">
        <v>33</v>
      </c>
      <c r="BD398" s="2073" t="s">
        <v>42</v>
      </c>
      <c r="BE398" s="2075" t="s">
        <v>43</v>
      </c>
      <c r="BG398" s="1573"/>
      <c r="BH398" s="1560"/>
      <c r="BI398" s="1560"/>
      <c r="BJ398" s="1555"/>
      <c r="BK398" s="1561"/>
      <c r="BL398" s="1561"/>
      <c r="BM398" s="1561"/>
      <c r="BN398" s="1555"/>
      <c r="BO398" s="1555"/>
    </row>
    <row r="399" spans="1:69" s="1523" customFormat="1" ht="46.5" customHeight="1" thickBot="1">
      <c r="A399" s="2051"/>
      <c r="B399" s="2057"/>
      <c r="C399" s="2057"/>
      <c r="D399" s="1534"/>
      <c r="E399" s="1534"/>
      <c r="F399" s="1680" t="s">
        <v>34</v>
      </c>
      <c r="G399" s="1680" t="s">
        <v>34</v>
      </c>
      <c r="H399" s="1576" t="s">
        <v>8</v>
      </c>
      <c r="I399" s="1576" t="s">
        <v>34</v>
      </c>
      <c r="J399" s="1576" t="s">
        <v>8</v>
      </c>
      <c r="K399" s="1576" t="s">
        <v>34</v>
      </c>
      <c r="L399" s="1576" t="s">
        <v>8</v>
      </c>
      <c r="M399" s="1576" t="s">
        <v>34</v>
      </c>
      <c r="N399" s="1576" t="s">
        <v>8</v>
      </c>
      <c r="O399" s="1576" t="s">
        <v>34</v>
      </c>
      <c r="P399" s="1576" t="s">
        <v>8</v>
      </c>
      <c r="Q399" s="1576" t="s">
        <v>34</v>
      </c>
      <c r="R399" s="1576" t="s">
        <v>8</v>
      </c>
      <c r="S399" s="1576" t="s">
        <v>34</v>
      </c>
      <c r="T399" s="1576" t="s">
        <v>8</v>
      </c>
      <c r="U399" s="1576" t="s">
        <v>34</v>
      </c>
      <c r="V399" s="2057"/>
      <c r="W399" s="1576" t="s">
        <v>26</v>
      </c>
      <c r="X399" s="1576" t="s">
        <v>34</v>
      </c>
      <c r="Y399" s="1576" t="s">
        <v>26</v>
      </c>
      <c r="Z399" s="1576" t="s">
        <v>26</v>
      </c>
      <c r="AA399" s="1576" t="s">
        <v>34</v>
      </c>
      <c r="AB399" s="1576" t="s">
        <v>26</v>
      </c>
      <c r="AC399" s="1576" t="s">
        <v>35</v>
      </c>
      <c r="AD399" s="1576" t="s">
        <v>34</v>
      </c>
      <c r="AE399" s="1576" t="s">
        <v>34</v>
      </c>
      <c r="AF399" s="1576" t="s">
        <v>34</v>
      </c>
      <c r="AG399" s="1576" t="s">
        <v>34</v>
      </c>
      <c r="AH399" s="1576" t="s">
        <v>34</v>
      </c>
      <c r="AI399" s="1576" t="s">
        <v>34</v>
      </c>
      <c r="AJ399" s="1576" t="s">
        <v>34</v>
      </c>
      <c r="AK399" s="1681" t="s">
        <v>34</v>
      </c>
      <c r="AL399" s="1534" t="s">
        <v>34</v>
      </c>
      <c r="AM399" s="1576" t="s">
        <v>34</v>
      </c>
      <c r="AN399" s="1576" t="s">
        <v>34</v>
      </c>
      <c r="AO399" s="1576" t="s">
        <v>34</v>
      </c>
      <c r="AP399" s="1576" t="s">
        <v>34</v>
      </c>
      <c r="AQ399" s="1576" t="s">
        <v>34</v>
      </c>
      <c r="AR399" s="1576" t="s">
        <v>34</v>
      </c>
      <c r="AS399" s="1576" t="s">
        <v>58</v>
      </c>
      <c r="AT399" s="1576" t="s">
        <v>34</v>
      </c>
      <c r="AU399" s="1576" t="s">
        <v>59</v>
      </c>
      <c r="AV399" s="1576" t="s">
        <v>34</v>
      </c>
      <c r="AW399" s="1576" t="s">
        <v>34</v>
      </c>
      <c r="AX399" s="1534"/>
      <c r="AY399" s="2043"/>
      <c r="AZ399" s="2046"/>
      <c r="BA399" s="2047"/>
      <c r="BB399" s="2046"/>
      <c r="BC399" s="1549" t="s">
        <v>34</v>
      </c>
      <c r="BD399" s="2129"/>
      <c r="BE399" s="2130"/>
      <c r="BG399" s="1555" t="s">
        <v>353</v>
      </c>
      <c r="BH399" s="1578" t="s">
        <v>43</v>
      </c>
      <c r="BI399" s="1578" t="s">
        <v>42</v>
      </c>
      <c r="BJ399" s="1555" t="s">
        <v>354</v>
      </c>
      <c r="BK399" s="1561" t="s">
        <v>358</v>
      </c>
      <c r="BL399" s="1561"/>
      <c r="BM399" s="1561"/>
      <c r="BN399" s="1555"/>
      <c r="BO399" s="1555"/>
    </row>
    <row r="400" spans="1:69" ht="83.25" customHeight="1" thickBot="1">
      <c r="A400" s="1584" t="s">
        <v>63</v>
      </c>
      <c r="B400" s="1496" t="s">
        <v>36</v>
      </c>
      <c r="C400" s="1585" t="s">
        <v>337</v>
      </c>
      <c r="D400" s="1682" t="s">
        <v>250</v>
      </c>
      <c r="E400" s="1489">
        <f>'HK PANEN'!AH7</f>
        <v>17</v>
      </c>
      <c r="F400" s="1490">
        <v>129220</v>
      </c>
      <c r="G400" s="1490">
        <f>E400*F400</f>
        <v>2196740</v>
      </c>
      <c r="H400" s="1516">
        <f>'HK PANEN'!AI7</f>
        <v>3</v>
      </c>
      <c r="I400" s="1489">
        <f t="shared" ref="I400:I544" si="65">H400*F400</f>
        <v>387660</v>
      </c>
      <c r="J400" s="1489">
        <f>'HK PANEN'!AJ7</f>
        <v>4</v>
      </c>
      <c r="K400" s="1489">
        <f t="shared" ref="K400:K544" si="66">J400*F400</f>
        <v>516880</v>
      </c>
      <c r="L400" s="1489">
        <f>'HK PANEN'!AK7</f>
        <v>0</v>
      </c>
      <c r="M400" s="1489">
        <f t="shared" ref="M400:M544" si="67">L400*F400</f>
        <v>0</v>
      </c>
      <c r="N400" s="1489">
        <f>'HK PANEN'!AL7</f>
        <v>4</v>
      </c>
      <c r="O400" s="1489">
        <f t="shared" ref="O400:O544" si="68">N400*F400</f>
        <v>516880</v>
      </c>
      <c r="P400" s="1489">
        <f>'HK PANEN'!AM7</f>
        <v>3</v>
      </c>
      <c r="Q400" s="1489">
        <f t="shared" ref="Q400:Q544" si="69">P400*F400</f>
        <v>387660</v>
      </c>
      <c r="R400" s="1489">
        <f>'HK PANEN'!AN7</f>
        <v>0</v>
      </c>
      <c r="S400" s="1489">
        <f>R400*F400</f>
        <v>0</v>
      </c>
      <c r="T400" s="1489">
        <f>'HK PANEN'!AO7</f>
        <v>0</v>
      </c>
      <c r="U400" s="1489">
        <f t="shared" ref="U400:U589" si="70">T400*F400</f>
        <v>0</v>
      </c>
      <c r="V400" s="1491">
        <f t="shared" ref="V400:V544" si="71">+T400+R400+P400+N400+L400+J400+H400+E400</f>
        <v>31</v>
      </c>
      <c r="W400" s="1489">
        <v>3700</v>
      </c>
      <c r="X400" s="1489">
        <f t="shared" ref="X400:X589" si="72">W400*V400</f>
        <v>114700</v>
      </c>
      <c r="Y400" s="1489">
        <v>3500</v>
      </c>
      <c r="Z400" s="1491">
        <f>E400</f>
        <v>17</v>
      </c>
      <c r="AA400" s="1649">
        <f t="shared" ref="AA400:AA544" si="73">Z400*Y400</f>
        <v>59500</v>
      </c>
      <c r="AB400" s="1496">
        <v>2500</v>
      </c>
      <c r="AC400" s="1491">
        <f>'MASA KERJA AB'!H53</f>
        <v>3</v>
      </c>
      <c r="AD400" s="1649">
        <f>'MASA KERJA AB'!I53</f>
        <v>7500</v>
      </c>
      <c r="AE400" s="1491">
        <f>'LEMBUR DAN PREMI UPKEEP'!AJ77</f>
        <v>1041976.25</v>
      </c>
      <c r="AF400" s="1489"/>
      <c r="AG400" s="1489"/>
      <c r="AH400" s="1489"/>
      <c r="AI400" s="1489"/>
      <c r="AJ400" s="1489"/>
      <c r="AK400" s="1493"/>
      <c r="AL400" s="1489"/>
      <c r="AM400" s="1489"/>
      <c r="AN400" s="1489"/>
      <c r="AO400" s="1494">
        <f t="shared" ref="AO400:AO589" si="74">SUM(G400+I400+K400+M400+O400+Q400+S400+U400+X400+AA400+AD400+AE400+AF400+AG400+AH400+AI400+AJ400+AK400+AL400+AM400-AN400)</f>
        <v>5229496.25</v>
      </c>
      <c r="AP400" s="1489">
        <f>$AP$394*0.02</f>
        <v>77532</v>
      </c>
      <c r="AQ400" s="1489">
        <f>$AP$394*0.0454</f>
        <v>175997.64</v>
      </c>
      <c r="AR400" s="1489">
        <f t="shared" ref="AR400:AR544" si="75">SUM(AQ400+AP400)</f>
        <v>253529.64</v>
      </c>
      <c r="AS400" s="1489">
        <f>($AP$394+AD400)*1%</f>
        <v>38841</v>
      </c>
      <c r="AT400" s="1489">
        <f>($AP$394+AD400)*4%</f>
        <v>155364</v>
      </c>
      <c r="AU400" s="1489">
        <f>$AP$394*1%</f>
        <v>38766</v>
      </c>
      <c r="AV400" s="1489">
        <f>$AP$394*2%</f>
        <v>77532</v>
      </c>
      <c r="AW400" s="1489">
        <f t="shared" ref="AW400:AW409" si="76">SUM(AS400:AV400)</f>
        <v>310503</v>
      </c>
      <c r="AX400" s="1492">
        <v>4000</v>
      </c>
      <c r="AY400" s="1649">
        <v>63174</v>
      </c>
      <c r="AZ400" s="1491">
        <f t="shared" ref="AZ400:AZ562" si="77">AJ400</f>
        <v>0</v>
      </c>
      <c r="BA400" s="1489"/>
      <c r="BB400" s="1489"/>
      <c r="BC400" s="1489">
        <f t="shared" ref="BC400:BC589" si="78">SUM(AO400-AP400-AS400-AU400-AX400-AY400-AZ400-BB400-BA400)</f>
        <v>5007183.25</v>
      </c>
      <c r="BD400" s="1489">
        <f>'HK PANEN'!AQ7</f>
        <v>0</v>
      </c>
      <c r="BE400" s="1495">
        <f>'HK PANEN'!AR7</f>
        <v>0</v>
      </c>
      <c r="BG400" s="1551">
        <f t="shared" ref="BG400:BG589" si="79">V400*F400</f>
        <v>4005820</v>
      </c>
      <c r="BH400" s="1552">
        <f t="shared" ref="BH400:BH589" si="80">BD400*F400</f>
        <v>0</v>
      </c>
      <c r="BI400" s="1552">
        <f t="shared" ref="BI400:BI589" si="81">BE400*F400</f>
        <v>0</v>
      </c>
      <c r="BJ400" s="1551">
        <f t="shared" ref="BJ400:BJ544" si="82">-(BH400+BI400)</f>
        <v>0</v>
      </c>
      <c r="BK400" s="1553">
        <f t="shared" ref="BK400:BK544" si="83">SUM(BG400:BI400)</f>
        <v>4005820</v>
      </c>
      <c r="BM400" s="1553">
        <f>(X400+AA400+AD400+AE400+AF400+AG400+AH400+AI400+AJ400+AK400+AL400+AM400)-AN400</f>
        <v>1223676.25</v>
      </c>
      <c r="BN400" s="1551">
        <v>31205.999999999996</v>
      </c>
      <c r="BO400" s="1551">
        <f t="shared" ref="BO400:BO589" si="84">BN400+AT400</f>
        <v>186570</v>
      </c>
      <c r="BQ400" s="1531">
        <f t="shared" ref="BQ400:BQ589" si="85">AF400+AJ400</f>
        <v>0</v>
      </c>
    </row>
    <row r="401" spans="1:69" ht="26.25" customHeight="1">
      <c r="A401" s="2049" t="s">
        <v>1033</v>
      </c>
      <c r="B401" s="2049"/>
      <c r="C401" s="2049"/>
      <c r="D401" s="2049"/>
      <c r="E401" s="2049"/>
      <c r="F401" s="2049"/>
      <c r="G401" s="2049"/>
      <c r="H401" s="2049"/>
      <c r="I401" s="2049"/>
      <c r="J401" s="2049"/>
      <c r="K401" s="2049"/>
      <c r="L401" s="2049"/>
      <c r="M401" s="2049"/>
      <c r="N401" s="2049"/>
      <c r="O401" s="2049"/>
      <c r="P401" s="2049"/>
      <c r="Q401" s="2049"/>
      <c r="R401" s="2049"/>
      <c r="S401" s="2049"/>
      <c r="T401" s="2049"/>
      <c r="U401" s="2049"/>
      <c r="V401" s="2049"/>
      <c r="W401" s="2049"/>
      <c r="X401" s="2049"/>
      <c r="Y401" s="2049"/>
      <c r="Z401" s="2049"/>
      <c r="AA401" s="2049"/>
      <c r="AB401" s="2049"/>
      <c r="AC401" s="2049"/>
      <c r="AD401" s="2049"/>
      <c r="AE401" s="2049"/>
      <c r="AF401" s="2049"/>
      <c r="AG401" s="2049"/>
      <c r="AH401" s="2049"/>
      <c r="AI401" s="2049"/>
      <c r="AJ401" s="2049"/>
      <c r="AK401" s="2049"/>
      <c r="AL401" s="2049"/>
      <c r="AM401" s="2049"/>
      <c r="AN401" s="2049"/>
      <c r="AO401" s="2049"/>
      <c r="AP401" s="2049"/>
      <c r="AQ401" s="2049"/>
      <c r="AR401" s="2049"/>
      <c r="AS401" s="2049"/>
      <c r="AT401" s="2049"/>
      <c r="AU401" s="2049"/>
      <c r="AV401" s="2049"/>
      <c r="AW401" s="2049"/>
      <c r="AX401" s="2049"/>
      <c r="AY401" s="2049"/>
      <c r="AZ401" s="2049"/>
      <c r="BA401" s="2049"/>
      <c r="BB401" s="2049"/>
      <c r="BC401" s="2049"/>
      <c r="BD401" s="2049"/>
      <c r="BE401" s="2049"/>
    </row>
    <row r="402" spans="1:69" ht="26.25" customHeight="1">
      <c r="A402" s="1532"/>
      <c r="B402" s="1532"/>
      <c r="C402" s="1605"/>
      <c r="D402" s="1532"/>
      <c r="E402" s="1532"/>
      <c r="F402" s="1560"/>
      <c r="G402" s="1560"/>
      <c r="H402" s="1532"/>
      <c r="I402" s="1532"/>
      <c r="J402" s="1532"/>
      <c r="K402" s="1532"/>
      <c r="L402" s="1532"/>
      <c r="M402" s="1532"/>
      <c r="N402" s="1532"/>
      <c r="O402" s="1532"/>
      <c r="P402" s="1532"/>
      <c r="Q402" s="1532"/>
      <c r="R402" s="1532"/>
      <c r="S402" s="1532"/>
      <c r="T402" s="1532"/>
      <c r="U402" s="1532"/>
      <c r="V402" s="1532"/>
      <c r="W402" s="1532"/>
      <c r="X402" s="1532"/>
      <c r="Y402" s="1532"/>
      <c r="Z402" s="1532"/>
      <c r="AA402" s="1532"/>
      <c r="AB402" s="1532"/>
      <c r="AC402" s="1532"/>
      <c r="AD402" s="1532"/>
      <c r="AE402" s="1532"/>
      <c r="AF402" s="1532"/>
      <c r="AG402" s="1532"/>
      <c r="AH402" s="1532"/>
      <c r="AI402" s="1532"/>
      <c r="AJ402" s="1532"/>
      <c r="AK402" s="1557"/>
      <c r="AL402" s="1532"/>
      <c r="AM402" s="1532"/>
      <c r="AN402" s="1532"/>
      <c r="AO402" s="1532"/>
      <c r="AP402" s="1558"/>
      <c r="AQ402" s="1559"/>
      <c r="AR402" s="1559"/>
      <c r="AS402" s="1559"/>
      <c r="AT402" s="1671"/>
      <c r="AU402" s="1532"/>
      <c r="AV402" s="1532"/>
      <c r="AW402" s="1532"/>
      <c r="AX402" s="1532"/>
      <c r="AY402" s="1532"/>
      <c r="AZ402" s="1532"/>
      <c r="BA402" s="1532"/>
      <c r="BB402" s="1532"/>
      <c r="BC402" s="1547"/>
      <c r="BD402" s="1532"/>
      <c r="BE402" s="1532"/>
    </row>
    <row r="403" spans="1:69" s="1523" customFormat="1" ht="16.5" customHeight="1">
      <c r="D403" s="1523" t="s">
        <v>964</v>
      </c>
      <c r="F403" s="1555"/>
      <c r="G403" s="1555"/>
      <c r="AE403" s="1532"/>
      <c r="AF403" s="1532"/>
      <c r="AG403" s="1532"/>
      <c r="AH403" s="1532"/>
      <c r="AI403" s="1532"/>
      <c r="AJ403" s="1532"/>
      <c r="AK403" s="1557"/>
      <c r="AL403" s="1532"/>
      <c r="AM403" s="1532"/>
      <c r="AO403" s="1561"/>
      <c r="AP403" s="1558">
        <v>3876600</v>
      </c>
      <c r="AQ403" s="1672">
        <f>AP403/30</f>
        <v>129220</v>
      </c>
      <c r="AR403" s="1673">
        <f>AP403/173*1.5</f>
        <v>33612.138728323698</v>
      </c>
      <c r="AS403" s="1566">
        <f>AP403/173*2</f>
        <v>44816.184971098264</v>
      </c>
      <c r="AT403" s="1674"/>
      <c r="AU403" s="1532" t="s">
        <v>55</v>
      </c>
      <c r="AV403" s="1523" t="s">
        <v>335</v>
      </c>
      <c r="BC403" s="1518"/>
      <c r="BE403" s="1532"/>
      <c r="BG403" s="1555"/>
      <c r="BH403" s="1560"/>
      <c r="BI403" s="1560"/>
      <c r="BJ403" s="1555"/>
      <c r="BK403" s="1561"/>
      <c r="BL403" s="1561"/>
      <c r="BM403" s="1561"/>
      <c r="BN403" s="1555"/>
      <c r="BO403" s="1555"/>
    </row>
    <row r="404" spans="1:69" ht="18.75" customHeight="1" thickBot="1">
      <c r="A404" s="1547"/>
      <c r="D404" s="1532"/>
      <c r="E404" s="1563"/>
      <c r="F404" s="1675"/>
      <c r="G404" s="1564"/>
      <c r="H404" s="1563"/>
      <c r="I404" s="1563"/>
      <c r="J404" s="1563"/>
      <c r="K404" s="1563"/>
      <c r="L404" s="1563"/>
      <c r="M404" s="1563"/>
      <c r="N404" s="1563"/>
      <c r="O404" s="1563"/>
      <c r="Q404" s="1563"/>
      <c r="R404" s="1563"/>
      <c r="S404" s="1563"/>
      <c r="T404" s="1563"/>
      <c r="U404" s="1563"/>
      <c r="V404" s="1563"/>
      <c r="W404" s="1563"/>
      <c r="X404" s="1563"/>
      <c r="Y404" s="1563"/>
      <c r="Z404" s="1563"/>
      <c r="AA404" s="1563"/>
      <c r="AB404" s="1563"/>
      <c r="AC404" s="1563"/>
      <c r="AD404" s="1563"/>
      <c r="AE404" s="1563"/>
      <c r="AF404" s="1563"/>
      <c r="AG404" s="1563"/>
      <c r="AH404" s="1563"/>
      <c r="AI404" s="1563"/>
      <c r="AJ404" s="1563"/>
      <c r="AK404" s="1565"/>
      <c r="AL404" s="1563"/>
      <c r="AM404" s="1563"/>
      <c r="AO404" s="1563"/>
      <c r="AP404" s="1558">
        <v>3876600</v>
      </c>
      <c r="AQ404" s="1566">
        <f>AP404/30</f>
        <v>129220</v>
      </c>
      <c r="AR404" s="1598"/>
      <c r="AS404" s="1598"/>
      <c r="AT404" s="1674"/>
    </row>
    <row r="405" spans="1:69" s="1523" customFormat="1" ht="18.75" customHeight="1">
      <c r="A405" s="2050" t="s">
        <v>5</v>
      </c>
      <c r="B405" s="2056" t="s">
        <v>6</v>
      </c>
      <c r="C405" s="2056" t="s">
        <v>52</v>
      </c>
      <c r="D405" s="1571"/>
      <c r="E405" s="1571"/>
      <c r="F405" s="1676"/>
      <c r="G405" s="1676"/>
      <c r="H405" s="2118" t="s">
        <v>2</v>
      </c>
      <c r="I405" s="2118"/>
      <c r="J405" s="2118"/>
      <c r="K405" s="2118"/>
      <c r="L405" s="2118"/>
      <c r="M405" s="2118"/>
      <c r="N405" s="2118"/>
      <c r="O405" s="2118"/>
      <c r="P405" s="2118"/>
      <c r="Q405" s="2118"/>
      <c r="R405" s="2118"/>
      <c r="S405" s="2118"/>
      <c r="T405" s="2118"/>
      <c r="U405" s="2118"/>
      <c r="V405" s="2056" t="s">
        <v>286</v>
      </c>
      <c r="W405" s="2118" t="s">
        <v>3</v>
      </c>
      <c r="X405" s="2118"/>
      <c r="Y405" s="2118"/>
      <c r="Z405" s="2118"/>
      <c r="AA405" s="2118"/>
      <c r="AB405" s="2118"/>
      <c r="AC405" s="2118"/>
      <c r="AD405" s="2118"/>
      <c r="AE405" s="2119" t="s">
        <v>45</v>
      </c>
      <c r="AF405" s="2063" t="s">
        <v>46</v>
      </c>
      <c r="AG405" s="2064"/>
      <c r="AH405" s="2064"/>
      <c r="AI405" s="2064"/>
      <c r="AJ405" s="2064"/>
      <c r="AK405" s="2065"/>
      <c r="AL405" s="1571"/>
      <c r="AM405" s="2045" t="s">
        <v>361</v>
      </c>
      <c r="AN405" s="2056" t="s">
        <v>44</v>
      </c>
      <c r="AO405" s="1533" t="s">
        <v>4</v>
      </c>
      <c r="AP405" s="2036" t="s">
        <v>20</v>
      </c>
      <c r="AQ405" s="2037"/>
      <c r="AR405" s="2038"/>
      <c r="AS405" s="2036" t="s">
        <v>54</v>
      </c>
      <c r="AT405" s="2037"/>
      <c r="AU405" s="2037"/>
      <c r="AV405" s="2037"/>
      <c r="AW405" s="2038"/>
      <c r="AX405" s="1571"/>
      <c r="AY405" s="2042" t="s">
        <v>90</v>
      </c>
      <c r="AZ405" s="2045" t="s">
        <v>97</v>
      </c>
      <c r="BA405" s="2045" t="s">
        <v>720</v>
      </c>
      <c r="BB405" s="2045" t="s">
        <v>362</v>
      </c>
      <c r="BC405" s="1548" t="s">
        <v>4</v>
      </c>
      <c r="BD405" s="2063" t="s">
        <v>41</v>
      </c>
      <c r="BE405" s="2084"/>
      <c r="BG405" s="1555"/>
      <c r="BH405" s="1560"/>
      <c r="BI405" s="1560"/>
      <c r="BJ405" s="1555"/>
      <c r="BK405" s="1561"/>
      <c r="BL405" s="1561"/>
      <c r="BM405" s="1561"/>
      <c r="BN405" s="1555"/>
      <c r="BO405" s="1555"/>
    </row>
    <row r="406" spans="1:69" s="1523" customFormat="1" ht="25.5" customHeight="1">
      <c r="A406" s="2051"/>
      <c r="B406" s="2057"/>
      <c r="C406" s="2057"/>
      <c r="D406" s="1534" t="s">
        <v>7</v>
      </c>
      <c r="E406" s="1534" t="s">
        <v>8</v>
      </c>
      <c r="F406" s="1677" t="s">
        <v>9</v>
      </c>
      <c r="G406" s="1677" t="s">
        <v>9</v>
      </c>
      <c r="H406" s="2131" t="s">
        <v>10</v>
      </c>
      <c r="I406" s="2131"/>
      <c r="J406" s="2131" t="s">
        <v>11</v>
      </c>
      <c r="K406" s="2131"/>
      <c r="L406" s="2131" t="s">
        <v>12</v>
      </c>
      <c r="M406" s="2131"/>
      <c r="N406" s="2131" t="s">
        <v>13</v>
      </c>
      <c r="O406" s="2131"/>
      <c r="P406" s="2131" t="s">
        <v>14</v>
      </c>
      <c r="Q406" s="2131"/>
      <c r="R406" s="2132" t="s">
        <v>15</v>
      </c>
      <c r="S406" s="2132"/>
      <c r="T406" s="2131" t="s">
        <v>16</v>
      </c>
      <c r="U406" s="2131"/>
      <c r="V406" s="2057"/>
      <c r="W406" s="2131" t="s">
        <v>17</v>
      </c>
      <c r="X406" s="2131"/>
      <c r="Y406" s="2131" t="s">
        <v>18</v>
      </c>
      <c r="Z406" s="2131"/>
      <c r="AA406" s="2131"/>
      <c r="AB406" s="2071" t="s">
        <v>19</v>
      </c>
      <c r="AC406" s="2081"/>
      <c r="AD406" s="2072"/>
      <c r="AE406" s="2120"/>
      <c r="AF406" s="2085"/>
      <c r="AG406" s="2122"/>
      <c r="AH406" s="2122"/>
      <c r="AI406" s="2122"/>
      <c r="AJ406" s="2122"/>
      <c r="AK406" s="2123"/>
      <c r="AL406" s="1678"/>
      <c r="AM406" s="2046"/>
      <c r="AN406" s="2057"/>
      <c r="AO406" s="1534" t="s">
        <v>9</v>
      </c>
      <c r="AP406" s="2039"/>
      <c r="AQ406" s="2040"/>
      <c r="AR406" s="2041"/>
      <c r="AS406" s="2039"/>
      <c r="AT406" s="2040"/>
      <c r="AU406" s="2040"/>
      <c r="AV406" s="2040"/>
      <c r="AW406" s="2041"/>
      <c r="AX406" s="1534" t="s">
        <v>21</v>
      </c>
      <c r="AY406" s="2043"/>
      <c r="AZ406" s="2046"/>
      <c r="BA406" s="2046"/>
      <c r="BB406" s="2046"/>
      <c r="BC406" s="1549" t="s">
        <v>9</v>
      </c>
      <c r="BD406" s="2085"/>
      <c r="BE406" s="2086"/>
      <c r="BG406" s="1555"/>
      <c r="BH406" s="1560"/>
      <c r="BI406" s="1560"/>
      <c r="BJ406" s="1555"/>
      <c r="BK406" s="1561"/>
      <c r="BL406" s="1561"/>
      <c r="BM406" s="1561"/>
      <c r="BN406" s="1555"/>
      <c r="BO406" s="1555"/>
    </row>
    <row r="407" spans="1:69" s="1523" customFormat="1" ht="36" customHeight="1">
      <c r="A407" s="2051"/>
      <c r="B407" s="2057"/>
      <c r="C407" s="2057"/>
      <c r="D407" s="1534" t="s">
        <v>22</v>
      </c>
      <c r="E407" s="1534" t="s">
        <v>23</v>
      </c>
      <c r="F407" s="1677" t="s">
        <v>24</v>
      </c>
      <c r="G407" s="1677" t="s">
        <v>25</v>
      </c>
      <c r="H407" s="2073" t="s">
        <v>4</v>
      </c>
      <c r="I407" s="2073"/>
      <c r="J407" s="2073" t="s">
        <v>4</v>
      </c>
      <c r="K407" s="2073"/>
      <c r="L407" s="2073" t="s">
        <v>4</v>
      </c>
      <c r="M407" s="2073"/>
      <c r="N407" s="2073" t="s">
        <v>4</v>
      </c>
      <c r="O407" s="2073"/>
      <c r="P407" s="2073" t="s">
        <v>4</v>
      </c>
      <c r="Q407" s="2073"/>
      <c r="R407" s="2073" t="s">
        <v>4</v>
      </c>
      <c r="S407" s="2073"/>
      <c r="T407" s="2073" t="s">
        <v>4</v>
      </c>
      <c r="U407" s="2073"/>
      <c r="V407" s="2057"/>
      <c r="W407" s="1534" t="s">
        <v>27</v>
      </c>
      <c r="X407" s="1576" t="s">
        <v>28</v>
      </c>
      <c r="Y407" s="1534" t="s">
        <v>27</v>
      </c>
      <c r="Z407" s="2073" t="s">
        <v>4</v>
      </c>
      <c r="AA407" s="2073"/>
      <c r="AB407" s="1534" t="s">
        <v>27</v>
      </c>
      <c r="AC407" s="2071" t="s">
        <v>4</v>
      </c>
      <c r="AD407" s="2072"/>
      <c r="AE407" s="2121"/>
      <c r="AF407" s="1575" t="s">
        <v>56</v>
      </c>
      <c r="AG407" s="1575" t="s">
        <v>57</v>
      </c>
      <c r="AH407" s="1575" t="s">
        <v>60</v>
      </c>
      <c r="AI407" s="1575" t="s">
        <v>288</v>
      </c>
      <c r="AJ407" s="1575" t="s">
        <v>97</v>
      </c>
      <c r="AK407" s="1575" t="s">
        <v>711</v>
      </c>
      <c r="AL407" s="1679"/>
      <c r="AM407" s="2089"/>
      <c r="AN407" s="2090"/>
      <c r="AO407" s="1534" t="s">
        <v>29</v>
      </c>
      <c r="AP407" s="1534" t="s">
        <v>30</v>
      </c>
      <c r="AQ407" s="1534" t="s">
        <v>31</v>
      </c>
      <c r="AR407" s="1534" t="s">
        <v>4</v>
      </c>
      <c r="AS407" s="1534" t="s">
        <v>30</v>
      </c>
      <c r="AT407" s="1534" t="s">
        <v>31</v>
      </c>
      <c r="AU407" s="1534" t="s">
        <v>30</v>
      </c>
      <c r="AV407" s="1534" t="s">
        <v>31</v>
      </c>
      <c r="AW407" s="1534" t="s">
        <v>4</v>
      </c>
      <c r="AX407" s="1534" t="s">
        <v>32</v>
      </c>
      <c r="AY407" s="2043"/>
      <c r="AZ407" s="2046"/>
      <c r="BA407" s="2046"/>
      <c r="BB407" s="2046"/>
      <c r="BC407" s="1549" t="s">
        <v>33</v>
      </c>
      <c r="BD407" s="2073" t="s">
        <v>42</v>
      </c>
      <c r="BE407" s="2075" t="s">
        <v>43</v>
      </c>
      <c r="BG407" s="1573"/>
      <c r="BH407" s="1560"/>
      <c r="BI407" s="1560"/>
      <c r="BJ407" s="1555"/>
      <c r="BK407" s="1561"/>
      <c r="BL407" s="1561"/>
      <c r="BM407" s="1561"/>
      <c r="BN407" s="1555"/>
      <c r="BO407" s="1555"/>
    </row>
    <row r="408" spans="1:69" s="1523" customFormat="1" ht="46.5" customHeight="1" thickBot="1">
      <c r="A408" s="2051"/>
      <c r="B408" s="2057"/>
      <c r="C408" s="2057"/>
      <c r="D408" s="1534"/>
      <c r="E408" s="1534"/>
      <c r="F408" s="1680" t="s">
        <v>34</v>
      </c>
      <c r="G408" s="1680" t="s">
        <v>34</v>
      </c>
      <c r="H408" s="1576" t="s">
        <v>8</v>
      </c>
      <c r="I408" s="1576" t="s">
        <v>34</v>
      </c>
      <c r="J408" s="1576" t="s">
        <v>8</v>
      </c>
      <c r="K408" s="1576" t="s">
        <v>34</v>
      </c>
      <c r="L408" s="1576" t="s">
        <v>8</v>
      </c>
      <c r="M408" s="1576" t="s">
        <v>34</v>
      </c>
      <c r="N408" s="1576" t="s">
        <v>8</v>
      </c>
      <c r="O408" s="1576" t="s">
        <v>34</v>
      </c>
      <c r="P408" s="1576" t="s">
        <v>8</v>
      </c>
      <c r="Q408" s="1576" t="s">
        <v>34</v>
      </c>
      <c r="R408" s="1576" t="s">
        <v>8</v>
      </c>
      <c r="S408" s="1576" t="s">
        <v>34</v>
      </c>
      <c r="T408" s="1576" t="s">
        <v>8</v>
      </c>
      <c r="U408" s="1576" t="s">
        <v>34</v>
      </c>
      <c r="V408" s="2057"/>
      <c r="W408" s="1576" t="s">
        <v>26</v>
      </c>
      <c r="X408" s="1576" t="s">
        <v>34</v>
      </c>
      <c r="Y408" s="1576" t="s">
        <v>26</v>
      </c>
      <c r="Z408" s="1576" t="s">
        <v>26</v>
      </c>
      <c r="AA408" s="1576" t="s">
        <v>34</v>
      </c>
      <c r="AB408" s="1576" t="s">
        <v>26</v>
      </c>
      <c r="AC408" s="1576" t="s">
        <v>35</v>
      </c>
      <c r="AD408" s="1576" t="s">
        <v>34</v>
      </c>
      <c r="AE408" s="1576" t="s">
        <v>34</v>
      </c>
      <c r="AF408" s="1576" t="s">
        <v>34</v>
      </c>
      <c r="AG408" s="1576" t="s">
        <v>34</v>
      </c>
      <c r="AH408" s="1576" t="s">
        <v>34</v>
      </c>
      <c r="AI408" s="1576" t="s">
        <v>34</v>
      </c>
      <c r="AJ408" s="1576" t="s">
        <v>34</v>
      </c>
      <c r="AK408" s="1681" t="s">
        <v>34</v>
      </c>
      <c r="AL408" s="1534" t="s">
        <v>34</v>
      </c>
      <c r="AM408" s="1576" t="s">
        <v>34</v>
      </c>
      <c r="AN408" s="1576" t="s">
        <v>34</v>
      </c>
      <c r="AO408" s="1576" t="s">
        <v>34</v>
      </c>
      <c r="AP408" s="1576" t="s">
        <v>34</v>
      </c>
      <c r="AQ408" s="1576" t="s">
        <v>34</v>
      </c>
      <c r="AR408" s="1576" t="s">
        <v>34</v>
      </c>
      <c r="AS408" s="1576" t="s">
        <v>58</v>
      </c>
      <c r="AT408" s="1576" t="s">
        <v>34</v>
      </c>
      <c r="AU408" s="1576" t="s">
        <v>59</v>
      </c>
      <c r="AV408" s="1576" t="s">
        <v>34</v>
      </c>
      <c r="AW408" s="1576" t="s">
        <v>34</v>
      </c>
      <c r="AX408" s="1534"/>
      <c r="AY408" s="2043"/>
      <c r="AZ408" s="2046"/>
      <c r="BA408" s="2047"/>
      <c r="BB408" s="2046"/>
      <c r="BC408" s="1549" t="s">
        <v>34</v>
      </c>
      <c r="BD408" s="2129"/>
      <c r="BE408" s="2130"/>
      <c r="BG408" s="1555" t="s">
        <v>353</v>
      </c>
      <c r="BH408" s="1578" t="s">
        <v>43</v>
      </c>
      <c r="BI408" s="1578" t="s">
        <v>42</v>
      </c>
      <c r="BJ408" s="1555" t="s">
        <v>354</v>
      </c>
      <c r="BK408" s="1561" t="s">
        <v>358</v>
      </c>
      <c r="BL408" s="1561"/>
      <c r="BM408" s="1561"/>
      <c r="BN408" s="1555"/>
      <c r="BO408" s="1555"/>
    </row>
    <row r="409" spans="1:69" ht="83.25" customHeight="1" thickBot="1">
      <c r="A409" s="1683">
        <v>2</v>
      </c>
      <c r="B409" s="1489" t="s">
        <v>36</v>
      </c>
      <c r="C409" s="1585" t="s">
        <v>144</v>
      </c>
      <c r="D409" s="1590" t="s">
        <v>136</v>
      </c>
      <c r="E409" s="1489">
        <f>'HK PANEN'!AH8</f>
        <v>21</v>
      </c>
      <c r="F409" s="1490">
        <v>129220</v>
      </c>
      <c r="G409" s="1490">
        <f t="shared" ref="G409:G544" si="86">E409*F409</f>
        <v>2713620</v>
      </c>
      <c r="H409" s="1516">
        <f>'HK PANEN'!AI8</f>
        <v>1</v>
      </c>
      <c r="I409" s="1489">
        <f t="shared" si="65"/>
        <v>129220</v>
      </c>
      <c r="J409" s="1489">
        <f>'HK PANEN'!AJ8</f>
        <v>2</v>
      </c>
      <c r="K409" s="1489">
        <f t="shared" si="66"/>
        <v>258440</v>
      </c>
      <c r="L409" s="1489">
        <f>'HK PANEN'!AK8</f>
        <v>0</v>
      </c>
      <c r="M409" s="1489">
        <f t="shared" si="67"/>
        <v>0</v>
      </c>
      <c r="N409" s="1489">
        <f>'HK PANEN'!AL8</f>
        <v>4</v>
      </c>
      <c r="O409" s="1489">
        <f t="shared" si="68"/>
        <v>516880</v>
      </c>
      <c r="P409" s="1489">
        <f>'HK PANEN'!AM8</f>
        <v>3</v>
      </c>
      <c r="Q409" s="1489">
        <f t="shared" si="69"/>
        <v>387660</v>
      </c>
      <c r="R409" s="1489">
        <f>'HK PANEN'!AN8</f>
        <v>0</v>
      </c>
      <c r="S409" s="1489">
        <f t="shared" ref="S409:S589" si="87">R409*F409</f>
        <v>0</v>
      </c>
      <c r="T409" s="1489">
        <f>'HK PANEN'!AO8</f>
        <v>0</v>
      </c>
      <c r="U409" s="1489">
        <f t="shared" si="70"/>
        <v>0</v>
      </c>
      <c r="V409" s="1491">
        <f t="shared" si="71"/>
        <v>31</v>
      </c>
      <c r="W409" s="1491">
        <v>5550</v>
      </c>
      <c r="X409" s="1491">
        <f t="shared" si="72"/>
        <v>172050</v>
      </c>
      <c r="Y409" s="1491">
        <v>2500</v>
      </c>
      <c r="Z409" s="1491">
        <f>E409</f>
        <v>21</v>
      </c>
      <c r="AA409" s="1649">
        <f t="shared" si="73"/>
        <v>52500</v>
      </c>
      <c r="AB409" s="1491">
        <v>2500</v>
      </c>
      <c r="AC409" s="1491">
        <f>'MASA KERJA AB'!H54</f>
        <v>9</v>
      </c>
      <c r="AD409" s="1649">
        <f>'MASA KERJA AB'!I54</f>
        <v>24000</v>
      </c>
      <c r="AE409" s="1497">
        <f>'LEMBUR DAN PREMI UPKEEP'!AJ80</f>
        <v>1602178.53</v>
      </c>
      <c r="AF409" s="1684"/>
      <c r="AG409" s="1684"/>
      <c r="AH409" s="1684"/>
      <c r="AI409" s="1684"/>
      <c r="AJ409" s="1684"/>
      <c r="AK409" s="1685"/>
      <c r="AL409" s="1497"/>
      <c r="AM409" s="1497"/>
      <c r="AN409" s="1491"/>
      <c r="AO409" s="1494">
        <f t="shared" si="74"/>
        <v>5856548.5300000003</v>
      </c>
      <c r="AP409" s="1491">
        <f t="shared" ref="AP409:AP680" si="88">$AP$395*0.02</f>
        <v>77532</v>
      </c>
      <c r="AQ409" s="1491">
        <f t="shared" ref="AQ409:AQ680" si="89">$AP$395*0.0454</f>
        <v>175997.64</v>
      </c>
      <c r="AR409" s="1491">
        <f t="shared" si="75"/>
        <v>253529.64</v>
      </c>
      <c r="AS409" s="1489">
        <f t="shared" ref="AS409:AS589" si="90">($AP$4+AD409)*1%</f>
        <v>39006</v>
      </c>
      <c r="AT409" s="1489">
        <f t="shared" ref="AT409:AT589" si="91">($AP$4+AD409)*4%</f>
        <v>156024</v>
      </c>
      <c r="AU409" s="1491">
        <f t="shared" ref="AU409:AU680" si="92">$AP$395*1%</f>
        <v>38766</v>
      </c>
      <c r="AV409" s="1491">
        <f t="shared" ref="AV409:AV680" si="93">$AP$395*2%</f>
        <v>77532</v>
      </c>
      <c r="AW409" s="1491">
        <f t="shared" si="76"/>
        <v>311328</v>
      </c>
      <c r="AX409" s="1649">
        <v>4000</v>
      </c>
      <c r="AY409" s="1649">
        <v>33226</v>
      </c>
      <c r="AZ409" s="1491">
        <f t="shared" si="77"/>
        <v>0</v>
      </c>
      <c r="BA409" s="1491"/>
      <c r="BB409" s="1489"/>
      <c r="BC409" s="1489">
        <f t="shared" si="78"/>
        <v>5664018.5300000003</v>
      </c>
      <c r="BD409" s="1489">
        <f>'HK PANEN'!AQ8</f>
        <v>0</v>
      </c>
      <c r="BE409" s="1495">
        <f>'HK PANEN'!AR8</f>
        <v>0</v>
      </c>
      <c r="BG409" s="1551">
        <f t="shared" si="79"/>
        <v>4005820</v>
      </c>
      <c r="BH409" s="1552">
        <f t="shared" si="80"/>
        <v>0</v>
      </c>
      <c r="BI409" s="1552">
        <f t="shared" si="81"/>
        <v>0</v>
      </c>
      <c r="BJ409" s="1551">
        <f t="shared" si="82"/>
        <v>0</v>
      </c>
      <c r="BK409" s="1553">
        <f t="shared" si="83"/>
        <v>4005820</v>
      </c>
      <c r="BM409" s="1553">
        <f>(X409+AA409+AD409+AE409+AF409+AG409+AH409+AI409+AJ409+AK409+AL409+AM409)-AN409</f>
        <v>1850728.53</v>
      </c>
      <c r="BN409" s="1551">
        <v>30575.999999999996</v>
      </c>
      <c r="BO409" s="1551">
        <f t="shared" si="84"/>
        <v>186600</v>
      </c>
      <c r="BQ409" s="1531">
        <f t="shared" si="85"/>
        <v>0</v>
      </c>
    </row>
    <row r="410" spans="1:69" ht="26.25" customHeight="1">
      <c r="A410" s="2049" t="s">
        <v>1033</v>
      </c>
      <c r="B410" s="2049"/>
      <c r="C410" s="2049"/>
      <c r="D410" s="2049"/>
      <c r="E410" s="2049"/>
      <c r="F410" s="2049"/>
      <c r="G410" s="2049"/>
      <c r="H410" s="2049"/>
      <c r="I410" s="2049"/>
      <c r="J410" s="2049"/>
      <c r="K410" s="2049"/>
      <c r="L410" s="2049"/>
      <c r="M410" s="2049"/>
      <c r="N410" s="2049"/>
      <c r="O410" s="2049"/>
      <c r="P410" s="2049"/>
      <c r="Q410" s="2049"/>
      <c r="R410" s="2049"/>
      <c r="S410" s="2049"/>
      <c r="T410" s="2049"/>
      <c r="U410" s="2049"/>
      <c r="V410" s="2049"/>
      <c r="W410" s="2049"/>
      <c r="X410" s="2049"/>
      <c r="Y410" s="2049"/>
      <c r="Z410" s="2049"/>
      <c r="AA410" s="2049"/>
      <c r="AB410" s="2049"/>
      <c r="AC410" s="2049"/>
      <c r="AD410" s="2049"/>
      <c r="AE410" s="2049"/>
      <c r="AF410" s="2049"/>
      <c r="AG410" s="2049"/>
      <c r="AH410" s="2049"/>
      <c r="AI410" s="2049"/>
      <c r="AJ410" s="2049"/>
      <c r="AK410" s="2049"/>
      <c r="AL410" s="2049"/>
      <c r="AM410" s="2049"/>
      <c r="AN410" s="2049"/>
      <c r="AO410" s="2049"/>
      <c r="AP410" s="2049"/>
      <c r="AQ410" s="2049"/>
      <c r="AR410" s="2049"/>
      <c r="AS410" s="2049"/>
      <c r="AT410" s="2049"/>
      <c r="AU410" s="2049"/>
      <c r="AV410" s="2049"/>
      <c r="AW410" s="2049"/>
      <c r="AX410" s="2049"/>
      <c r="AY410" s="2049"/>
      <c r="AZ410" s="2049"/>
      <c r="BA410" s="2049"/>
      <c r="BB410" s="2049"/>
      <c r="BC410" s="2049"/>
      <c r="BD410" s="2049"/>
      <c r="BE410" s="2049"/>
    </row>
    <row r="411" spans="1:69" ht="26.25" customHeight="1">
      <c r="A411" s="1532"/>
      <c r="B411" s="1532"/>
      <c r="C411" s="1605"/>
      <c r="D411" s="1532"/>
      <c r="E411" s="1532"/>
      <c r="F411" s="1560"/>
      <c r="G411" s="1560"/>
      <c r="H411" s="1532"/>
      <c r="I411" s="1532"/>
      <c r="J411" s="1532"/>
      <c r="K411" s="1532"/>
      <c r="L411" s="1532"/>
      <c r="M411" s="1532"/>
      <c r="N411" s="1532"/>
      <c r="O411" s="1532"/>
      <c r="P411" s="1532"/>
      <c r="Q411" s="1532"/>
      <c r="R411" s="1532"/>
      <c r="S411" s="1532"/>
      <c r="T411" s="1532"/>
      <c r="U411" s="1532"/>
      <c r="V411" s="1532"/>
      <c r="W411" s="1532"/>
      <c r="X411" s="1532"/>
      <c r="Y411" s="1532"/>
      <c r="Z411" s="1532"/>
      <c r="AA411" s="1532"/>
      <c r="AB411" s="1532"/>
      <c r="AC411" s="1532"/>
      <c r="AD411" s="1532"/>
      <c r="AE411" s="1532"/>
      <c r="AF411" s="1532"/>
      <c r="AG411" s="1532"/>
      <c r="AH411" s="1532"/>
      <c r="AI411" s="1532"/>
      <c r="AJ411" s="1532"/>
      <c r="AK411" s="1557"/>
      <c r="AL411" s="1532"/>
      <c r="AM411" s="1532"/>
      <c r="AN411" s="1532"/>
      <c r="AO411" s="1532"/>
      <c r="AP411" s="1558"/>
      <c r="AQ411" s="1559"/>
      <c r="AR411" s="1559"/>
      <c r="AS411" s="1559"/>
      <c r="AT411" s="1671"/>
      <c r="AU411" s="1532"/>
      <c r="AV411" s="1532"/>
      <c r="AW411" s="1532"/>
      <c r="AX411" s="1532"/>
      <c r="AY411" s="1532"/>
      <c r="AZ411" s="1532"/>
      <c r="BA411" s="1532"/>
      <c r="BB411" s="1532"/>
      <c r="BC411" s="1547"/>
      <c r="BD411" s="1532"/>
      <c r="BE411" s="1532"/>
    </row>
    <row r="412" spans="1:69" s="1523" customFormat="1" ht="16.5" customHeight="1">
      <c r="D412" s="1523" t="s">
        <v>964</v>
      </c>
      <c r="F412" s="1555"/>
      <c r="G412" s="1555"/>
      <c r="AE412" s="1532"/>
      <c r="AF412" s="1532"/>
      <c r="AG412" s="1532"/>
      <c r="AH412" s="1532"/>
      <c r="AI412" s="1532"/>
      <c r="AJ412" s="1532"/>
      <c r="AK412" s="1557"/>
      <c r="AL412" s="1532"/>
      <c r="AM412" s="1532"/>
      <c r="AO412" s="1561"/>
      <c r="AP412" s="1558">
        <v>3876600</v>
      </c>
      <c r="AQ412" s="1672">
        <f>AP412/30</f>
        <v>129220</v>
      </c>
      <c r="AR412" s="1673">
        <f>AP412/173*1.5</f>
        <v>33612.138728323698</v>
      </c>
      <c r="AS412" s="1566">
        <f>AP412/173*2</f>
        <v>44816.184971098264</v>
      </c>
      <c r="AT412" s="1674"/>
      <c r="AU412" s="1532" t="s">
        <v>55</v>
      </c>
      <c r="AV412" s="1523" t="s">
        <v>335</v>
      </c>
      <c r="BC412" s="1518"/>
      <c r="BE412" s="1532"/>
      <c r="BG412" s="1555"/>
      <c r="BH412" s="1560"/>
      <c r="BI412" s="1560"/>
      <c r="BJ412" s="1555"/>
      <c r="BK412" s="1561"/>
      <c r="BL412" s="1561"/>
      <c r="BM412" s="1561"/>
      <c r="BN412" s="1555"/>
      <c r="BO412" s="1555"/>
    </row>
    <row r="413" spans="1:69" ht="18.75" customHeight="1" thickBot="1">
      <c r="A413" s="1547"/>
      <c r="D413" s="1532"/>
      <c r="E413" s="1563"/>
      <c r="F413" s="1675"/>
      <c r="G413" s="1564"/>
      <c r="H413" s="1563"/>
      <c r="I413" s="1563"/>
      <c r="J413" s="1563"/>
      <c r="K413" s="1563"/>
      <c r="L413" s="1563"/>
      <c r="M413" s="1563"/>
      <c r="N413" s="1563"/>
      <c r="O413" s="1563"/>
      <c r="Q413" s="1563"/>
      <c r="R413" s="1563"/>
      <c r="S413" s="1563"/>
      <c r="T413" s="1563"/>
      <c r="U413" s="1563"/>
      <c r="V413" s="1563"/>
      <c r="W413" s="1563"/>
      <c r="X413" s="1563"/>
      <c r="Y413" s="1563"/>
      <c r="Z413" s="1563"/>
      <c r="AA413" s="1563"/>
      <c r="AB413" s="1563"/>
      <c r="AC413" s="1563"/>
      <c r="AD413" s="1563"/>
      <c r="AE413" s="1563"/>
      <c r="AF413" s="1563"/>
      <c r="AG413" s="1563"/>
      <c r="AH413" s="1563"/>
      <c r="AI413" s="1563"/>
      <c r="AJ413" s="1563"/>
      <c r="AK413" s="1565"/>
      <c r="AL413" s="1563"/>
      <c r="AM413" s="1563"/>
      <c r="AO413" s="1563"/>
      <c r="AP413" s="1558">
        <v>3876600</v>
      </c>
      <c r="AQ413" s="1566">
        <f>AP413/30</f>
        <v>129220</v>
      </c>
      <c r="AR413" s="1598"/>
      <c r="AS413" s="1598"/>
      <c r="AT413" s="1674"/>
    </row>
    <row r="414" spans="1:69" s="1523" customFormat="1" ht="18.75" customHeight="1">
      <c r="A414" s="2050" t="s">
        <v>5</v>
      </c>
      <c r="B414" s="2056" t="s">
        <v>6</v>
      </c>
      <c r="C414" s="2056" t="s">
        <v>52</v>
      </c>
      <c r="D414" s="1571"/>
      <c r="E414" s="1571"/>
      <c r="F414" s="1676"/>
      <c r="G414" s="1676"/>
      <c r="H414" s="2118" t="s">
        <v>2</v>
      </c>
      <c r="I414" s="2118"/>
      <c r="J414" s="2118"/>
      <c r="K414" s="2118"/>
      <c r="L414" s="2118"/>
      <c r="M414" s="2118"/>
      <c r="N414" s="2118"/>
      <c r="O414" s="2118"/>
      <c r="P414" s="2118"/>
      <c r="Q414" s="2118"/>
      <c r="R414" s="2118"/>
      <c r="S414" s="2118"/>
      <c r="T414" s="2118"/>
      <c r="U414" s="2118"/>
      <c r="V414" s="2056" t="s">
        <v>286</v>
      </c>
      <c r="W414" s="2118" t="s">
        <v>3</v>
      </c>
      <c r="X414" s="2118"/>
      <c r="Y414" s="2118"/>
      <c r="Z414" s="2118"/>
      <c r="AA414" s="2118"/>
      <c r="AB414" s="2118"/>
      <c r="AC414" s="2118"/>
      <c r="AD414" s="2118"/>
      <c r="AE414" s="2119" t="s">
        <v>45</v>
      </c>
      <c r="AF414" s="2063" t="s">
        <v>46</v>
      </c>
      <c r="AG414" s="2064"/>
      <c r="AH414" s="2064"/>
      <c r="AI414" s="2064"/>
      <c r="AJ414" s="2064"/>
      <c r="AK414" s="2065"/>
      <c r="AL414" s="1571"/>
      <c r="AM414" s="2045" t="s">
        <v>361</v>
      </c>
      <c r="AN414" s="2056" t="s">
        <v>44</v>
      </c>
      <c r="AO414" s="1533" t="s">
        <v>4</v>
      </c>
      <c r="AP414" s="2036" t="s">
        <v>20</v>
      </c>
      <c r="AQ414" s="2037"/>
      <c r="AR414" s="2038"/>
      <c r="AS414" s="2036" t="s">
        <v>54</v>
      </c>
      <c r="AT414" s="2037"/>
      <c r="AU414" s="2037"/>
      <c r="AV414" s="2037"/>
      <c r="AW414" s="2038"/>
      <c r="AX414" s="1571"/>
      <c r="AY414" s="2042" t="s">
        <v>90</v>
      </c>
      <c r="AZ414" s="2045" t="s">
        <v>97</v>
      </c>
      <c r="BA414" s="2045" t="s">
        <v>720</v>
      </c>
      <c r="BB414" s="2045" t="s">
        <v>362</v>
      </c>
      <c r="BC414" s="1548" t="s">
        <v>4</v>
      </c>
      <c r="BD414" s="2063" t="s">
        <v>41</v>
      </c>
      <c r="BE414" s="2084"/>
      <c r="BG414" s="1555"/>
      <c r="BH414" s="1560"/>
      <c r="BI414" s="1560"/>
      <c r="BJ414" s="1555"/>
      <c r="BK414" s="1561"/>
      <c r="BL414" s="1561"/>
      <c r="BM414" s="1561"/>
      <c r="BN414" s="1555"/>
      <c r="BO414" s="1555"/>
    </row>
    <row r="415" spans="1:69" s="1523" customFormat="1" ht="25.5" customHeight="1">
      <c r="A415" s="2051"/>
      <c r="B415" s="2057"/>
      <c r="C415" s="2057"/>
      <c r="D415" s="1534" t="s">
        <v>7</v>
      </c>
      <c r="E415" s="1534" t="s">
        <v>8</v>
      </c>
      <c r="F415" s="1677" t="s">
        <v>9</v>
      </c>
      <c r="G415" s="1677" t="s">
        <v>9</v>
      </c>
      <c r="H415" s="2131" t="s">
        <v>10</v>
      </c>
      <c r="I415" s="2131"/>
      <c r="J415" s="2131" t="s">
        <v>11</v>
      </c>
      <c r="K415" s="2131"/>
      <c r="L415" s="2131" t="s">
        <v>12</v>
      </c>
      <c r="M415" s="2131"/>
      <c r="N415" s="2131" t="s">
        <v>13</v>
      </c>
      <c r="O415" s="2131"/>
      <c r="P415" s="2131" t="s">
        <v>14</v>
      </c>
      <c r="Q415" s="2131"/>
      <c r="R415" s="2132" t="s">
        <v>15</v>
      </c>
      <c r="S415" s="2132"/>
      <c r="T415" s="2131" t="s">
        <v>16</v>
      </c>
      <c r="U415" s="2131"/>
      <c r="V415" s="2057"/>
      <c r="W415" s="2131" t="s">
        <v>17</v>
      </c>
      <c r="X415" s="2131"/>
      <c r="Y415" s="2131" t="s">
        <v>18</v>
      </c>
      <c r="Z415" s="2131"/>
      <c r="AA415" s="2131"/>
      <c r="AB415" s="2071" t="s">
        <v>19</v>
      </c>
      <c r="AC415" s="2081"/>
      <c r="AD415" s="2072"/>
      <c r="AE415" s="2120"/>
      <c r="AF415" s="2085"/>
      <c r="AG415" s="2122"/>
      <c r="AH415" s="2122"/>
      <c r="AI415" s="2122"/>
      <c r="AJ415" s="2122"/>
      <c r="AK415" s="2123"/>
      <c r="AL415" s="1678"/>
      <c r="AM415" s="2046"/>
      <c r="AN415" s="2057"/>
      <c r="AO415" s="1534" t="s">
        <v>9</v>
      </c>
      <c r="AP415" s="2039"/>
      <c r="AQ415" s="2040"/>
      <c r="AR415" s="2041"/>
      <c r="AS415" s="2039"/>
      <c r="AT415" s="2040"/>
      <c r="AU415" s="2040"/>
      <c r="AV415" s="2040"/>
      <c r="AW415" s="2041"/>
      <c r="AX415" s="1534" t="s">
        <v>21</v>
      </c>
      <c r="AY415" s="2043"/>
      <c r="AZ415" s="2046"/>
      <c r="BA415" s="2046"/>
      <c r="BB415" s="2046"/>
      <c r="BC415" s="1549" t="s">
        <v>9</v>
      </c>
      <c r="BD415" s="2085"/>
      <c r="BE415" s="2086"/>
      <c r="BG415" s="1555"/>
      <c r="BH415" s="1560"/>
      <c r="BI415" s="1560"/>
      <c r="BJ415" s="1555"/>
      <c r="BK415" s="1561"/>
      <c r="BL415" s="1561"/>
      <c r="BM415" s="1561"/>
      <c r="BN415" s="1555"/>
      <c r="BO415" s="1555"/>
    </row>
    <row r="416" spans="1:69" s="1523" customFormat="1" ht="36" customHeight="1">
      <c r="A416" s="2051"/>
      <c r="B416" s="2057"/>
      <c r="C416" s="2057"/>
      <c r="D416" s="1534" t="s">
        <v>22</v>
      </c>
      <c r="E416" s="1534" t="s">
        <v>23</v>
      </c>
      <c r="F416" s="1677" t="s">
        <v>24</v>
      </c>
      <c r="G416" s="1677" t="s">
        <v>25</v>
      </c>
      <c r="H416" s="2073" t="s">
        <v>4</v>
      </c>
      <c r="I416" s="2073"/>
      <c r="J416" s="2073" t="s">
        <v>4</v>
      </c>
      <c r="K416" s="2073"/>
      <c r="L416" s="2073" t="s">
        <v>4</v>
      </c>
      <c r="M416" s="2073"/>
      <c r="N416" s="2073" t="s">
        <v>4</v>
      </c>
      <c r="O416" s="2073"/>
      <c r="P416" s="2073" t="s">
        <v>4</v>
      </c>
      <c r="Q416" s="2073"/>
      <c r="R416" s="2073" t="s">
        <v>4</v>
      </c>
      <c r="S416" s="2073"/>
      <c r="T416" s="2073" t="s">
        <v>4</v>
      </c>
      <c r="U416" s="2073"/>
      <c r="V416" s="2057"/>
      <c r="W416" s="1534" t="s">
        <v>27</v>
      </c>
      <c r="X416" s="1576" t="s">
        <v>28</v>
      </c>
      <c r="Y416" s="1534" t="s">
        <v>27</v>
      </c>
      <c r="Z416" s="2073" t="s">
        <v>4</v>
      </c>
      <c r="AA416" s="2073"/>
      <c r="AB416" s="1534" t="s">
        <v>27</v>
      </c>
      <c r="AC416" s="2071" t="s">
        <v>4</v>
      </c>
      <c r="AD416" s="2072"/>
      <c r="AE416" s="2121"/>
      <c r="AF416" s="1575" t="s">
        <v>56</v>
      </c>
      <c r="AG416" s="1575" t="s">
        <v>57</v>
      </c>
      <c r="AH416" s="1575" t="s">
        <v>60</v>
      </c>
      <c r="AI416" s="1575" t="s">
        <v>288</v>
      </c>
      <c r="AJ416" s="1575" t="s">
        <v>97</v>
      </c>
      <c r="AK416" s="1575" t="s">
        <v>711</v>
      </c>
      <c r="AL416" s="1679"/>
      <c r="AM416" s="2089"/>
      <c r="AN416" s="2090"/>
      <c r="AO416" s="1534" t="s">
        <v>29</v>
      </c>
      <c r="AP416" s="1534" t="s">
        <v>30</v>
      </c>
      <c r="AQ416" s="1534" t="s">
        <v>31</v>
      </c>
      <c r="AR416" s="1534" t="s">
        <v>4</v>
      </c>
      <c r="AS416" s="1534" t="s">
        <v>30</v>
      </c>
      <c r="AT416" s="1534" t="s">
        <v>31</v>
      </c>
      <c r="AU416" s="1534" t="s">
        <v>30</v>
      </c>
      <c r="AV416" s="1534" t="s">
        <v>31</v>
      </c>
      <c r="AW416" s="1534" t="s">
        <v>4</v>
      </c>
      <c r="AX416" s="1534" t="s">
        <v>32</v>
      </c>
      <c r="AY416" s="2043"/>
      <c r="AZ416" s="2046"/>
      <c r="BA416" s="2046"/>
      <c r="BB416" s="2046"/>
      <c r="BC416" s="1549" t="s">
        <v>33</v>
      </c>
      <c r="BD416" s="2073" t="s">
        <v>42</v>
      </c>
      <c r="BE416" s="2075" t="s">
        <v>43</v>
      </c>
      <c r="BG416" s="1573"/>
      <c r="BH416" s="1560"/>
      <c r="BI416" s="1560"/>
      <c r="BJ416" s="1555"/>
      <c r="BK416" s="1561"/>
      <c r="BL416" s="1561"/>
      <c r="BM416" s="1561"/>
      <c r="BN416" s="1555"/>
      <c r="BO416" s="1555"/>
    </row>
    <row r="417" spans="1:72" s="1523" customFormat="1" ht="46.5" customHeight="1" thickBot="1">
      <c r="A417" s="2051"/>
      <c r="B417" s="2057"/>
      <c r="C417" s="2057"/>
      <c r="D417" s="1534"/>
      <c r="E417" s="1534"/>
      <c r="F417" s="1680" t="s">
        <v>34</v>
      </c>
      <c r="G417" s="1680" t="s">
        <v>34</v>
      </c>
      <c r="H417" s="1576" t="s">
        <v>8</v>
      </c>
      <c r="I417" s="1576" t="s">
        <v>34</v>
      </c>
      <c r="J417" s="1576" t="s">
        <v>8</v>
      </c>
      <c r="K417" s="1576" t="s">
        <v>34</v>
      </c>
      <c r="L417" s="1576" t="s">
        <v>8</v>
      </c>
      <c r="M417" s="1576" t="s">
        <v>34</v>
      </c>
      <c r="N417" s="1576" t="s">
        <v>8</v>
      </c>
      <c r="O417" s="1576" t="s">
        <v>34</v>
      </c>
      <c r="P417" s="1576" t="s">
        <v>8</v>
      </c>
      <c r="Q417" s="1576" t="s">
        <v>34</v>
      </c>
      <c r="R417" s="1576" t="s">
        <v>8</v>
      </c>
      <c r="S417" s="1576" t="s">
        <v>34</v>
      </c>
      <c r="T417" s="1576" t="s">
        <v>8</v>
      </c>
      <c r="U417" s="1576" t="s">
        <v>34</v>
      </c>
      <c r="V417" s="2057"/>
      <c r="W417" s="1576" t="s">
        <v>26</v>
      </c>
      <c r="X417" s="1576" t="s">
        <v>34</v>
      </c>
      <c r="Y417" s="1576" t="s">
        <v>26</v>
      </c>
      <c r="Z417" s="1576" t="s">
        <v>26</v>
      </c>
      <c r="AA417" s="1576" t="s">
        <v>34</v>
      </c>
      <c r="AB417" s="1576" t="s">
        <v>26</v>
      </c>
      <c r="AC417" s="1576" t="s">
        <v>35</v>
      </c>
      <c r="AD417" s="1576" t="s">
        <v>34</v>
      </c>
      <c r="AE417" s="1576" t="s">
        <v>34</v>
      </c>
      <c r="AF417" s="1576" t="s">
        <v>34</v>
      </c>
      <c r="AG417" s="1576" t="s">
        <v>34</v>
      </c>
      <c r="AH417" s="1576" t="s">
        <v>34</v>
      </c>
      <c r="AI417" s="1576" t="s">
        <v>34</v>
      </c>
      <c r="AJ417" s="1576" t="s">
        <v>34</v>
      </c>
      <c r="AK417" s="1681" t="s">
        <v>34</v>
      </c>
      <c r="AL417" s="1534" t="s">
        <v>34</v>
      </c>
      <c r="AM417" s="1576" t="s">
        <v>34</v>
      </c>
      <c r="AN417" s="1576" t="s">
        <v>34</v>
      </c>
      <c r="AO417" s="1576" t="s">
        <v>34</v>
      </c>
      <c r="AP417" s="1576" t="s">
        <v>34</v>
      </c>
      <c r="AQ417" s="1576" t="s">
        <v>34</v>
      </c>
      <c r="AR417" s="1576" t="s">
        <v>34</v>
      </c>
      <c r="AS417" s="1576" t="s">
        <v>58</v>
      </c>
      <c r="AT417" s="1576" t="s">
        <v>34</v>
      </c>
      <c r="AU417" s="1576" t="s">
        <v>59</v>
      </c>
      <c r="AV417" s="1576" t="s">
        <v>34</v>
      </c>
      <c r="AW417" s="1576" t="s">
        <v>34</v>
      </c>
      <c r="AX417" s="1534"/>
      <c r="AY417" s="2043"/>
      <c r="AZ417" s="2046"/>
      <c r="BA417" s="2047"/>
      <c r="BB417" s="2046"/>
      <c r="BC417" s="1549" t="s">
        <v>34</v>
      </c>
      <c r="BD417" s="2129"/>
      <c r="BE417" s="2130"/>
      <c r="BG417" s="1555" t="s">
        <v>353</v>
      </c>
      <c r="BH417" s="1578" t="s">
        <v>43</v>
      </c>
      <c r="BI417" s="1578" t="s">
        <v>42</v>
      </c>
      <c r="BJ417" s="1555" t="s">
        <v>354</v>
      </c>
      <c r="BK417" s="1561" t="s">
        <v>358</v>
      </c>
      <c r="BL417" s="1561"/>
      <c r="BM417" s="1561"/>
      <c r="BN417" s="1555"/>
      <c r="BO417" s="1555"/>
    </row>
    <row r="418" spans="1:72" ht="83.25" customHeight="1" thickBot="1">
      <c r="A418" s="1683">
        <v>3</v>
      </c>
      <c r="B418" s="1489" t="s">
        <v>37</v>
      </c>
      <c r="C418" s="1591" t="s">
        <v>129</v>
      </c>
      <c r="D418" s="1586" t="s">
        <v>111</v>
      </c>
      <c r="E418" s="1489">
        <f>'HK PANEN'!AH9</f>
        <v>20</v>
      </c>
      <c r="F418" s="1490">
        <v>129220</v>
      </c>
      <c r="G418" s="1490">
        <f t="shared" si="86"/>
        <v>2584400</v>
      </c>
      <c r="H418" s="1516">
        <f>'HK PANEN'!AI9</f>
        <v>0</v>
      </c>
      <c r="I418" s="1489">
        <f t="shared" si="65"/>
        <v>0</v>
      </c>
      <c r="J418" s="1489">
        <f>'HK PANEN'!AJ9</f>
        <v>2</v>
      </c>
      <c r="K418" s="1489">
        <f t="shared" si="66"/>
        <v>258440</v>
      </c>
      <c r="L418" s="1489">
        <f>'HK PANEN'!AK9</f>
        <v>2</v>
      </c>
      <c r="M418" s="1489">
        <f t="shared" si="67"/>
        <v>258440</v>
      </c>
      <c r="N418" s="1489">
        <f>'HK PANEN'!AL9</f>
        <v>4</v>
      </c>
      <c r="O418" s="1489">
        <f t="shared" si="68"/>
        <v>516880</v>
      </c>
      <c r="P418" s="1489">
        <f>'HK PANEN'!AM9</f>
        <v>3</v>
      </c>
      <c r="Q418" s="1489">
        <f t="shared" si="69"/>
        <v>387660</v>
      </c>
      <c r="R418" s="1489">
        <f>'HK PANEN'!AN9</f>
        <v>0</v>
      </c>
      <c r="S418" s="1489">
        <f t="shared" si="87"/>
        <v>0</v>
      </c>
      <c r="T418" s="1489">
        <f>'HK PANEN'!AO9</f>
        <v>0</v>
      </c>
      <c r="U418" s="1489">
        <f t="shared" si="70"/>
        <v>0</v>
      </c>
      <c r="V418" s="1489">
        <f>SUM(E418+H418+J418+L418+N418+P418+R418+T418)</f>
        <v>31</v>
      </c>
      <c r="W418" s="1491">
        <v>2250</v>
      </c>
      <c r="X418" s="1489">
        <f t="shared" si="72"/>
        <v>69750</v>
      </c>
      <c r="Y418" s="1491">
        <v>2500</v>
      </c>
      <c r="Z418" s="1491">
        <f>E418</f>
        <v>20</v>
      </c>
      <c r="AA418" s="1492">
        <f>Z418*Y418</f>
        <v>50000</v>
      </c>
      <c r="AB418" s="1489">
        <v>2500</v>
      </c>
      <c r="AC418" s="1491">
        <f>'MASA KERJA AB'!H55</f>
        <v>17</v>
      </c>
      <c r="AD418" s="1649">
        <f>'MASA KERJA AB'!I55</f>
        <v>50500</v>
      </c>
      <c r="AE418" s="1497">
        <f>'LEMBUR DAN PREMI UPKEEP'!AJ83</f>
        <v>1714218.98</v>
      </c>
      <c r="AF418" s="1489"/>
      <c r="AG418" s="1489"/>
      <c r="AH418" s="1490"/>
      <c r="AI418" s="1489"/>
      <c r="AJ418" s="1490"/>
      <c r="AK418" s="1504"/>
      <c r="AL418" s="1489"/>
      <c r="AM418" s="1489"/>
      <c r="AN418" s="1489"/>
      <c r="AO418" s="1494">
        <f t="shared" si="74"/>
        <v>5890288.9800000004</v>
      </c>
      <c r="AP418" s="1491">
        <f t="shared" si="88"/>
        <v>77532</v>
      </c>
      <c r="AQ418" s="1491">
        <f t="shared" si="89"/>
        <v>175997.64</v>
      </c>
      <c r="AR418" s="1491">
        <f t="shared" si="75"/>
        <v>253529.64</v>
      </c>
      <c r="AS418" s="1489">
        <f t="shared" si="90"/>
        <v>39271</v>
      </c>
      <c r="AT418" s="1489">
        <f t="shared" si="91"/>
        <v>157084</v>
      </c>
      <c r="AU418" s="1491">
        <f t="shared" si="92"/>
        <v>38766</v>
      </c>
      <c r="AV418" s="1491">
        <f t="shared" si="93"/>
        <v>77532</v>
      </c>
      <c r="AW418" s="1491">
        <f t="shared" ref="AW418:AW544" si="94">SUM(AS418:AV418)</f>
        <v>312653</v>
      </c>
      <c r="AX418" s="1649">
        <v>4000</v>
      </c>
      <c r="AY418" s="1649">
        <v>66799</v>
      </c>
      <c r="AZ418" s="1491">
        <f t="shared" si="77"/>
        <v>0</v>
      </c>
      <c r="BA418" s="1489"/>
      <c r="BB418" s="1489"/>
      <c r="BC418" s="1489">
        <f t="shared" si="78"/>
        <v>5663920.9800000004</v>
      </c>
      <c r="BD418" s="1489">
        <f>'HK PANEN'!AQ9</f>
        <v>0</v>
      </c>
      <c r="BE418" s="1495">
        <f>'HK PANEN'!AR9</f>
        <v>0</v>
      </c>
      <c r="BG418" s="1551">
        <f t="shared" si="79"/>
        <v>4005820</v>
      </c>
      <c r="BH418" s="1552">
        <f t="shared" si="80"/>
        <v>0</v>
      </c>
      <c r="BI418" s="1552">
        <f t="shared" si="81"/>
        <v>0</v>
      </c>
      <c r="BJ418" s="1551">
        <f>-(BH418+BI418)</f>
        <v>0</v>
      </c>
      <c r="BK418" s="1553">
        <f t="shared" si="83"/>
        <v>4005820</v>
      </c>
      <c r="BM418" s="1553">
        <f>X418+AA418+AD418+AE418+AF418+AG418+AH418+AI418+AJ418+AK418+AL418+AM418</f>
        <v>1884468.98</v>
      </c>
      <c r="BN418" s="1551">
        <v>30575.999999999996</v>
      </c>
      <c r="BO418" s="1551">
        <f t="shared" si="84"/>
        <v>187660</v>
      </c>
      <c r="BQ418" s="1531">
        <f t="shared" si="85"/>
        <v>0</v>
      </c>
      <c r="BT418" s="1523" t="s">
        <v>718</v>
      </c>
    </row>
    <row r="419" spans="1:72" ht="26.25" customHeight="1">
      <c r="A419" s="2049" t="s">
        <v>1033</v>
      </c>
      <c r="B419" s="2049"/>
      <c r="C419" s="2049"/>
      <c r="D419" s="2049"/>
      <c r="E419" s="2049"/>
      <c r="F419" s="2049"/>
      <c r="G419" s="2049"/>
      <c r="H419" s="2049"/>
      <c r="I419" s="2049"/>
      <c r="J419" s="2049"/>
      <c r="K419" s="2049"/>
      <c r="L419" s="2049"/>
      <c r="M419" s="2049"/>
      <c r="N419" s="2049"/>
      <c r="O419" s="2049"/>
      <c r="P419" s="2049"/>
      <c r="Q419" s="2049"/>
      <c r="R419" s="2049"/>
      <c r="S419" s="2049"/>
      <c r="T419" s="2049"/>
      <c r="U419" s="2049"/>
      <c r="V419" s="2049"/>
      <c r="W419" s="2049"/>
      <c r="X419" s="2049"/>
      <c r="Y419" s="2049"/>
      <c r="Z419" s="2049"/>
      <c r="AA419" s="2049"/>
      <c r="AB419" s="2049"/>
      <c r="AC419" s="2049"/>
      <c r="AD419" s="2049"/>
      <c r="AE419" s="2049"/>
      <c r="AF419" s="2049"/>
      <c r="AG419" s="2049"/>
      <c r="AH419" s="2049"/>
      <c r="AI419" s="2049"/>
      <c r="AJ419" s="2049"/>
      <c r="AK419" s="2049"/>
      <c r="AL419" s="2049"/>
      <c r="AM419" s="2049"/>
      <c r="AN419" s="2049"/>
      <c r="AO419" s="2049"/>
      <c r="AP419" s="2049"/>
      <c r="AQ419" s="2049"/>
      <c r="AR419" s="2049"/>
      <c r="AS419" s="2049"/>
      <c r="AT419" s="2049"/>
      <c r="AU419" s="2049"/>
      <c r="AV419" s="2049"/>
      <c r="AW419" s="2049"/>
      <c r="AX419" s="2049"/>
      <c r="AY419" s="2049"/>
      <c r="AZ419" s="2049"/>
      <c r="BA419" s="2049"/>
      <c r="BB419" s="2049"/>
      <c r="BC419" s="2049"/>
      <c r="BD419" s="2049"/>
      <c r="BE419" s="2049"/>
    </row>
    <row r="420" spans="1:72" ht="26.25" customHeight="1">
      <c r="A420" s="1532"/>
      <c r="B420" s="1532"/>
      <c r="C420" s="1605"/>
      <c r="D420" s="1532"/>
      <c r="E420" s="1532"/>
      <c r="F420" s="1560"/>
      <c r="G420" s="1560"/>
      <c r="H420" s="1532"/>
      <c r="I420" s="1532"/>
      <c r="J420" s="1532"/>
      <c r="K420" s="1532"/>
      <c r="L420" s="1532"/>
      <c r="M420" s="1532"/>
      <c r="N420" s="1532"/>
      <c r="O420" s="1532"/>
      <c r="P420" s="1532"/>
      <c r="Q420" s="1532"/>
      <c r="R420" s="1532"/>
      <c r="S420" s="1532"/>
      <c r="T420" s="1532"/>
      <c r="U420" s="1532"/>
      <c r="V420" s="1532"/>
      <c r="W420" s="1532"/>
      <c r="X420" s="1532"/>
      <c r="Y420" s="1532"/>
      <c r="Z420" s="1532"/>
      <c r="AA420" s="1532"/>
      <c r="AB420" s="1532"/>
      <c r="AC420" s="1532"/>
      <c r="AD420" s="1532"/>
      <c r="AE420" s="1532"/>
      <c r="AF420" s="1532"/>
      <c r="AG420" s="1532"/>
      <c r="AH420" s="1532"/>
      <c r="AI420" s="1532"/>
      <c r="AJ420" s="1532"/>
      <c r="AK420" s="1557"/>
      <c r="AL420" s="1532"/>
      <c r="AM420" s="1532"/>
      <c r="AN420" s="1532"/>
      <c r="AO420" s="1532"/>
      <c r="AP420" s="1558"/>
      <c r="AQ420" s="1559"/>
      <c r="AR420" s="1559"/>
      <c r="AS420" s="1559"/>
      <c r="AT420" s="1671"/>
      <c r="AU420" s="1532"/>
      <c r="AV420" s="1532"/>
      <c r="AW420" s="1532"/>
      <c r="AX420" s="1532"/>
      <c r="AY420" s="1532"/>
      <c r="AZ420" s="1532"/>
      <c r="BA420" s="1532"/>
      <c r="BB420" s="1532"/>
      <c r="BC420" s="1547"/>
      <c r="BD420" s="1532"/>
      <c r="BE420" s="1532"/>
    </row>
    <row r="421" spans="1:72" s="1523" customFormat="1" ht="16.5" customHeight="1">
      <c r="D421" s="1523" t="s">
        <v>964</v>
      </c>
      <c r="F421" s="1555"/>
      <c r="G421" s="1555"/>
      <c r="AE421" s="1532"/>
      <c r="AF421" s="1532"/>
      <c r="AG421" s="1532"/>
      <c r="AH421" s="1532"/>
      <c r="AI421" s="1532"/>
      <c r="AJ421" s="1532"/>
      <c r="AK421" s="1557"/>
      <c r="AL421" s="1532"/>
      <c r="AM421" s="1532"/>
      <c r="AO421" s="1561"/>
      <c r="AP421" s="1558">
        <v>3876600</v>
      </c>
      <c r="AQ421" s="1672">
        <f>AP421/30</f>
        <v>129220</v>
      </c>
      <c r="AR421" s="1673">
        <f>AP421/173*1.5</f>
        <v>33612.138728323698</v>
      </c>
      <c r="AS421" s="1566">
        <f>AP421/173*2</f>
        <v>44816.184971098264</v>
      </c>
      <c r="AT421" s="1674"/>
      <c r="AU421" s="1532" t="s">
        <v>55</v>
      </c>
      <c r="AV421" s="1523" t="s">
        <v>335</v>
      </c>
      <c r="BC421" s="1518"/>
      <c r="BE421" s="1532"/>
      <c r="BG421" s="1555"/>
      <c r="BH421" s="1560"/>
      <c r="BI421" s="1560"/>
      <c r="BJ421" s="1555"/>
      <c r="BK421" s="1561"/>
      <c r="BL421" s="1561"/>
      <c r="BM421" s="1561"/>
      <c r="BN421" s="1555"/>
      <c r="BO421" s="1555"/>
    </row>
    <row r="422" spans="1:72" ht="18.75" customHeight="1" thickBot="1">
      <c r="A422" s="1547"/>
      <c r="D422" s="1532"/>
      <c r="E422" s="1563"/>
      <c r="F422" s="1675"/>
      <c r="G422" s="1564"/>
      <c r="H422" s="1563"/>
      <c r="I422" s="1563"/>
      <c r="J422" s="1563"/>
      <c r="K422" s="1563"/>
      <c r="L422" s="1563"/>
      <c r="M422" s="1563"/>
      <c r="N422" s="1563"/>
      <c r="O422" s="1563"/>
      <c r="Q422" s="1563"/>
      <c r="R422" s="1563"/>
      <c r="S422" s="1563"/>
      <c r="T422" s="1563"/>
      <c r="U422" s="1563"/>
      <c r="V422" s="1563"/>
      <c r="W422" s="1563"/>
      <c r="X422" s="1563"/>
      <c r="Y422" s="1563"/>
      <c r="Z422" s="1563"/>
      <c r="AA422" s="1563"/>
      <c r="AB422" s="1563"/>
      <c r="AC422" s="1563"/>
      <c r="AD422" s="1563"/>
      <c r="AE422" s="1563"/>
      <c r="AF422" s="1563"/>
      <c r="AG422" s="1563"/>
      <c r="AH422" s="1563"/>
      <c r="AI422" s="1563"/>
      <c r="AJ422" s="1563"/>
      <c r="AK422" s="1565"/>
      <c r="AL422" s="1563"/>
      <c r="AM422" s="1563"/>
      <c r="AO422" s="1563"/>
      <c r="AP422" s="1558">
        <v>3876600</v>
      </c>
      <c r="AQ422" s="1566">
        <f>AP422/30</f>
        <v>129220</v>
      </c>
      <c r="AR422" s="1598"/>
      <c r="AS422" s="1598"/>
      <c r="AT422" s="1674"/>
    </row>
    <row r="423" spans="1:72" s="1523" customFormat="1" ht="18.75" customHeight="1">
      <c r="A423" s="2050" t="s">
        <v>5</v>
      </c>
      <c r="B423" s="2056" t="s">
        <v>6</v>
      </c>
      <c r="C423" s="2056" t="s">
        <v>52</v>
      </c>
      <c r="D423" s="1571"/>
      <c r="E423" s="1571"/>
      <c r="F423" s="1676"/>
      <c r="G423" s="1676"/>
      <c r="H423" s="2118" t="s">
        <v>2</v>
      </c>
      <c r="I423" s="2118"/>
      <c r="J423" s="2118"/>
      <c r="K423" s="2118"/>
      <c r="L423" s="2118"/>
      <c r="M423" s="2118"/>
      <c r="N423" s="2118"/>
      <c r="O423" s="2118"/>
      <c r="P423" s="2118"/>
      <c r="Q423" s="2118"/>
      <c r="R423" s="2118"/>
      <c r="S423" s="2118"/>
      <c r="T423" s="2118"/>
      <c r="U423" s="2118"/>
      <c r="V423" s="2056" t="s">
        <v>286</v>
      </c>
      <c r="W423" s="2118" t="s">
        <v>3</v>
      </c>
      <c r="X423" s="2118"/>
      <c r="Y423" s="2118"/>
      <c r="Z423" s="2118"/>
      <c r="AA423" s="2118"/>
      <c r="AB423" s="2118"/>
      <c r="AC423" s="2118"/>
      <c r="AD423" s="2118"/>
      <c r="AE423" s="2119" t="s">
        <v>45</v>
      </c>
      <c r="AF423" s="2063" t="s">
        <v>46</v>
      </c>
      <c r="AG423" s="2064"/>
      <c r="AH423" s="2064"/>
      <c r="AI423" s="2064"/>
      <c r="AJ423" s="2064"/>
      <c r="AK423" s="2065"/>
      <c r="AL423" s="1571"/>
      <c r="AM423" s="2045" t="s">
        <v>361</v>
      </c>
      <c r="AN423" s="2056" t="s">
        <v>44</v>
      </c>
      <c r="AO423" s="1533" t="s">
        <v>4</v>
      </c>
      <c r="AP423" s="2036" t="s">
        <v>20</v>
      </c>
      <c r="AQ423" s="2037"/>
      <c r="AR423" s="2038"/>
      <c r="AS423" s="2036" t="s">
        <v>54</v>
      </c>
      <c r="AT423" s="2037"/>
      <c r="AU423" s="2037"/>
      <c r="AV423" s="2037"/>
      <c r="AW423" s="2038"/>
      <c r="AX423" s="1571"/>
      <c r="AY423" s="2042" t="s">
        <v>90</v>
      </c>
      <c r="AZ423" s="2045" t="s">
        <v>97</v>
      </c>
      <c r="BA423" s="2045" t="s">
        <v>720</v>
      </c>
      <c r="BB423" s="2045" t="s">
        <v>362</v>
      </c>
      <c r="BC423" s="1548" t="s">
        <v>4</v>
      </c>
      <c r="BD423" s="2063" t="s">
        <v>41</v>
      </c>
      <c r="BE423" s="2084"/>
      <c r="BG423" s="1555"/>
      <c r="BH423" s="1560"/>
      <c r="BI423" s="1560"/>
      <c r="BJ423" s="1555"/>
      <c r="BK423" s="1561"/>
      <c r="BL423" s="1561"/>
      <c r="BM423" s="1561"/>
      <c r="BN423" s="1555"/>
      <c r="BO423" s="1555"/>
    </row>
    <row r="424" spans="1:72" s="1523" customFormat="1" ht="25.5" customHeight="1">
      <c r="A424" s="2051"/>
      <c r="B424" s="2057"/>
      <c r="C424" s="2057"/>
      <c r="D424" s="1534" t="s">
        <v>7</v>
      </c>
      <c r="E424" s="1534" t="s">
        <v>8</v>
      </c>
      <c r="F424" s="1677" t="s">
        <v>9</v>
      </c>
      <c r="G424" s="1677" t="s">
        <v>9</v>
      </c>
      <c r="H424" s="2131" t="s">
        <v>10</v>
      </c>
      <c r="I424" s="2131"/>
      <c r="J424" s="2131" t="s">
        <v>11</v>
      </c>
      <c r="K424" s="2131"/>
      <c r="L424" s="2131" t="s">
        <v>12</v>
      </c>
      <c r="M424" s="2131"/>
      <c r="N424" s="2131" t="s">
        <v>13</v>
      </c>
      <c r="O424" s="2131"/>
      <c r="P424" s="2131" t="s">
        <v>14</v>
      </c>
      <c r="Q424" s="2131"/>
      <c r="R424" s="2132" t="s">
        <v>15</v>
      </c>
      <c r="S424" s="2132"/>
      <c r="T424" s="2131" t="s">
        <v>16</v>
      </c>
      <c r="U424" s="2131"/>
      <c r="V424" s="2057"/>
      <c r="W424" s="2131" t="s">
        <v>17</v>
      </c>
      <c r="X424" s="2131"/>
      <c r="Y424" s="2131" t="s">
        <v>18</v>
      </c>
      <c r="Z424" s="2131"/>
      <c r="AA424" s="2131"/>
      <c r="AB424" s="2071" t="s">
        <v>19</v>
      </c>
      <c r="AC424" s="2081"/>
      <c r="AD424" s="2072"/>
      <c r="AE424" s="2120"/>
      <c r="AF424" s="2085"/>
      <c r="AG424" s="2122"/>
      <c r="AH424" s="2122"/>
      <c r="AI424" s="2122"/>
      <c r="AJ424" s="2122"/>
      <c r="AK424" s="2123"/>
      <c r="AL424" s="1678"/>
      <c r="AM424" s="2046"/>
      <c r="AN424" s="2057"/>
      <c r="AO424" s="1534" t="s">
        <v>9</v>
      </c>
      <c r="AP424" s="2039"/>
      <c r="AQ424" s="2040"/>
      <c r="AR424" s="2041"/>
      <c r="AS424" s="2039"/>
      <c r="AT424" s="2040"/>
      <c r="AU424" s="2040"/>
      <c r="AV424" s="2040"/>
      <c r="AW424" s="2041"/>
      <c r="AX424" s="1534" t="s">
        <v>21</v>
      </c>
      <c r="AY424" s="2043"/>
      <c r="AZ424" s="2046"/>
      <c r="BA424" s="2046"/>
      <c r="BB424" s="2046"/>
      <c r="BC424" s="1549" t="s">
        <v>9</v>
      </c>
      <c r="BD424" s="2085"/>
      <c r="BE424" s="2086"/>
      <c r="BG424" s="1555"/>
      <c r="BH424" s="1560"/>
      <c r="BI424" s="1560"/>
      <c r="BJ424" s="1555"/>
      <c r="BK424" s="1561"/>
      <c r="BL424" s="1561"/>
      <c r="BM424" s="1561"/>
      <c r="BN424" s="1555"/>
      <c r="BO424" s="1555"/>
    </row>
    <row r="425" spans="1:72" s="1523" customFormat="1" ht="36" customHeight="1">
      <c r="A425" s="2051"/>
      <c r="B425" s="2057"/>
      <c r="C425" s="2057"/>
      <c r="D425" s="1534" t="s">
        <v>22</v>
      </c>
      <c r="E425" s="1534" t="s">
        <v>23</v>
      </c>
      <c r="F425" s="1677" t="s">
        <v>24</v>
      </c>
      <c r="G425" s="1677" t="s">
        <v>25</v>
      </c>
      <c r="H425" s="2073" t="s">
        <v>4</v>
      </c>
      <c r="I425" s="2073"/>
      <c r="J425" s="2073" t="s">
        <v>4</v>
      </c>
      <c r="K425" s="2073"/>
      <c r="L425" s="2073" t="s">
        <v>4</v>
      </c>
      <c r="M425" s="2073"/>
      <c r="N425" s="2073" t="s">
        <v>4</v>
      </c>
      <c r="O425" s="2073"/>
      <c r="P425" s="2073" t="s">
        <v>4</v>
      </c>
      <c r="Q425" s="2073"/>
      <c r="R425" s="2073" t="s">
        <v>4</v>
      </c>
      <c r="S425" s="2073"/>
      <c r="T425" s="2073" t="s">
        <v>4</v>
      </c>
      <c r="U425" s="2073"/>
      <c r="V425" s="2057"/>
      <c r="W425" s="1534" t="s">
        <v>27</v>
      </c>
      <c r="X425" s="1576" t="s">
        <v>28</v>
      </c>
      <c r="Y425" s="1534" t="s">
        <v>27</v>
      </c>
      <c r="Z425" s="2073" t="s">
        <v>4</v>
      </c>
      <c r="AA425" s="2073"/>
      <c r="AB425" s="1534" t="s">
        <v>27</v>
      </c>
      <c r="AC425" s="2071" t="s">
        <v>4</v>
      </c>
      <c r="AD425" s="2072"/>
      <c r="AE425" s="2121"/>
      <c r="AF425" s="1575" t="s">
        <v>56</v>
      </c>
      <c r="AG425" s="1575" t="s">
        <v>57</v>
      </c>
      <c r="AH425" s="1575" t="s">
        <v>60</v>
      </c>
      <c r="AI425" s="1575" t="s">
        <v>288</v>
      </c>
      <c r="AJ425" s="1575" t="s">
        <v>97</v>
      </c>
      <c r="AK425" s="1575" t="s">
        <v>711</v>
      </c>
      <c r="AL425" s="1679"/>
      <c r="AM425" s="2089"/>
      <c r="AN425" s="2090"/>
      <c r="AO425" s="1534" t="s">
        <v>29</v>
      </c>
      <c r="AP425" s="1534" t="s">
        <v>30</v>
      </c>
      <c r="AQ425" s="1534" t="s">
        <v>31</v>
      </c>
      <c r="AR425" s="1534" t="s">
        <v>4</v>
      </c>
      <c r="AS425" s="1534" t="s">
        <v>30</v>
      </c>
      <c r="AT425" s="1534" t="s">
        <v>31</v>
      </c>
      <c r="AU425" s="1534" t="s">
        <v>30</v>
      </c>
      <c r="AV425" s="1534" t="s">
        <v>31</v>
      </c>
      <c r="AW425" s="1534" t="s">
        <v>4</v>
      </c>
      <c r="AX425" s="1534" t="s">
        <v>32</v>
      </c>
      <c r="AY425" s="2043"/>
      <c r="AZ425" s="2046"/>
      <c r="BA425" s="2046"/>
      <c r="BB425" s="2046"/>
      <c r="BC425" s="1549" t="s">
        <v>33</v>
      </c>
      <c r="BD425" s="2073" t="s">
        <v>42</v>
      </c>
      <c r="BE425" s="2075" t="s">
        <v>43</v>
      </c>
      <c r="BG425" s="1573"/>
      <c r="BH425" s="1560"/>
      <c r="BI425" s="1560"/>
      <c r="BJ425" s="1555"/>
      <c r="BK425" s="1561"/>
      <c r="BL425" s="1561"/>
      <c r="BM425" s="1561"/>
      <c r="BN425" s="1555"/>
      <c r="BO425" s="1555"/>
    </row>
    <row r="426" spans="1:72" s="1523" customFormat="1" ht="46.5" customHeight="1" thickBot="1">
      <c r="A426" s="2051"/>
      <c r="B426" s="2057"/>
      <c r="C426" s="2057"/>
      <c r="D426" s="1534"/>
      <c r="E426" s="1534"/>
      <c r="F426" s="1680" t="s">
        <v>34</v>
      </c>
      <c r="G426" s="1680" t="s">
        <v>34</v>
      </c>
      <c r="H426" s="1576" t="s">
        <v>8</v>
      </c>
      <c r="I426" s="1576" t="s">
        <v>34</v>
      </c>
      <c r="J426" s="1576" t="s">
        <v>8</v>
      </c>
      <c r="K426" s="1576" t="s">
        <v>34</v>
      </c>
      <c r="L426" s="1576" t="s">
        <v>8</v>
      </c>
      <c r="M426" s="1576" t="s">
        <v>34</v>
      </c>
      <c r="N426" s="1576" t="s">
        <v>8</v>
      </c>
      <c r="O426" s="1576" t="s">
        <v>34</v>
      </c>
      <c r="P426" s="1576" t="s">
        <v>8</v>
      </c>
      <c r="Q426" s="1576" t="s">
        <v>34</v>
      </c>
      <c r="R426" s="1576" t="s">
        <v>8</v>
      </c>
      <c r="S426" s="1576" t="s">
        <v>34</v>
      </c>
      <c r="T426" s="1576" t="s">
        <v>8</v>
      </c>
      <c r="U426" s="1576" t="s">
        <v>34</v>
      </c>
      <c r="V426" s="2057"/>
      <c r="W426" s="1576" t="s">
        <v>26</v>
      </c>
      <c r="X426" s="1576" t="s">
        <v>34</v>
      </c>
      <c r="Y426" s="1576" t="s">
        <v>26</v>
      </c>
      <c r="Z426" s="1576" t="s">
        <v>26</v>
      </c>
      <c r="AA426" s="1576" t="s">
        <v>34</v>
      </c>
      <c r="AB426" s="1576" t="s">
        <v>26</v>
      </c>
      <c r="AC426" s="1576" t="s">
        <v>35</v>
      </c>
      <c r="AD426" s="1576" t="s">
        <v>34</v>
      </c>
      <c r="AE426" s="1576" t="s">
        <v>34</v>
      </c>
      <c r="AF426" s="1576" t="s">
        <v>34</v>
      </c>
      <c r="AG426" s="1576" t="s">
        <v>34</v>
      </c>
      <c r="AH426" s="1576" t="s">
        <v>34</v>
      </c>
      <c r="AI426" s="1576" t="s">
        <v>34</v>
      </c>
      <c r="AJ426" s="1576" t="s">
        <v>34</v>
      </c>
      <c r="AK426" s="1681" t="s">
        <v>34</v>
      </c>
      <c r="AL426" s="1534" t="s">
        <v>34</v>
      </c>
      <c r="AM426" s="1576" t="s">
        <v>34</v>
      </c>
      <c r="AN426" s="1576" t="s">
        <v>34</v>
      </c>
      <c r="AO426" s="1576" t="s">
        <v>34</v>
      </c>
      <c r="AP426" s="1576" t="s">
        <v>34</v>
      </c>
      <c r="AQ426" s="1576" t="s">
        <v>34</v>
      </c>
      <c r="AR426" s="1576" t="s">
        <v>34</v>
      </c>
      <c r="AS426" s="1576" t="s">
        <v>58</v>
      </c>
      <c r="AT426" s="1576" t="s">
        <v>34</v>
      </c>
      <c r="AU426" s="1576" t="s">
        <v>59</v>
      </c>
      <c r="AV426" s="1576" t="s">
        <v>34</v>
      </c>
      <c r="AW426" s="1576" t="s">
        <v>34</v>
      </c>
      <c r="AX426" s="1534"/>
      <c r="AY426" s="2043"/>
      <c r="AZ426" s="2046"/>
      <c r="BA426" s="2047"/>
      <c r="BB426" s="2046"/>
      <c r="BC426" s="1549" t="s">
        <v>34</v>
      </c>
      <c r="BD426" s="2129"/>
      <c r="BE426" s="2130"/>
      <c r="BG426" s="1555" t="s">
        <v>353</v>
      </c>
      <c r="BH426" s="1578" t="s">
        <v>43</v>
      </c>
      <c r="BI426" s="1578" t="s">
        <v>42</v>
      </c>
      <c r="BJ426" s="1555" t="s">
        <v>354</v>
      </c>
      <c r="BK426" s="1561" t="s">
        <v>358</v>
      </c>
      <c r="BL426" s="1561"/>
      <c r="BM426" s="1561"/>
      <c r="BN426" s="1555"/>
      <c r="BO426" s="1555"/>
    </row>
    <row r="427" spans="1:72" ht="83.25" customHeight="1" thickBot="1">
      <c r="A427" s="1683">
        <v>4</v>
      </c>
      <c r="B427" s="1489" t="s">
        <v>36</v>
      </c>
      <c r="C427" s="1585" t="s">
        <v>146</v>
      </c>
      <c r="D427" s="1590" t="s">
        <v>138</v>
      </c>
      <c r="E427" s="1489">
        <f>'HK PANEN'!AH10</f>
        <v>23</v>
      </c>
      <c r="F427" s="1490">
        <v>129220</v>
      </c>
      <c r="G427" s="1490">
        <f t="shared" si="86"/>
        <v>2972060</v>
      </c>
      <c r="H427" s="1516">
        <f>'HK PANEN'!AI10</f>
        <v>1</v>
      </c>
      <c r="I427" s="1489">
        <f t="shared" si="65"/>
        <v>129220</v>
      </c>
      <c r="J427" s="1489">
        <f>'HK PANEN'!AJ10</f>
        <v>0</v>
      </c>
      <c r="K427" s="1489">
        <f t="shared" si="66"/>
        <v>0</v>
      </c>
      <c r="L427" s="1489">
        <f>'HK PANEN'!AK10</f>
        <v>0</v>
      </c>
      <c r="M427" s="1489">
        <f t="shared" si="67"/>
        <v>0</v>
      </c>
      <c r="N427" s="1489">
        <f>'HK PANEN'!AL10</f>
        <v>4</v>
      </c>
      <c r="O427" s="1489">
        <f t="shared" si="68"/>
        <v>516880</v>
      </c>
      <c r="P427" s="1489">
        <f>'HK PANEN'!AM10</f>
        <v>3</v>
      </c>
      <c r="Q427" s="1489">
        <f t="shared" si="69"/>
        <v>387660</v>
      </c>
      <c r="R427" s="1489">
        <f>'HK PANEN'!AN10</f>
        <v>0</v>
      </c>
      <c r="S427" s="1489">
        <f t="shared" si="87"/>
        <v>0</v>
      </c>
      <c r="T427" s="1489">
        <f>'HK PANEN'!AO10</f>
        <v>0</v>
      </c>
      <c r="U427" s="1489">
        <f t="shared" si="70"/>
        <v>0</v>
      </c>
      <c r="V427" s="1491">
        <f t="shared" si="71"/>
        <v>31</v>
      </c>
      <c r="W427" s="1491">
        <v>4650</v>
      </c>
      <c r="X427" s="1491">
        <f t="shared" si="72"/>
        <v>144150</v>
      </c>
      <c r="Y427" s="1491"/>
      <c r="Z427" s="1491"/>
      <c r="AA427" s="1491">
        <f t="shared" si="73"/>
        <v>0</v>
      </c>
      <c r="AB427" s="1497">
        <v>2500</v>
      </c>
      <c r="AC427" s="1491">
        <f>'MASA KERJA AB'!H56</f>
        <v>10</v>
      </c>
      <c r="AD427" s="1649">
        <f>'MASA KERJA AB'!I56</f>
        <v>27000</v>
      </c>
      <c r="AE427" s="1497"/>
      <c r="AF427" s="1514">
        <f>'MONITORING '!AK17</f>
        <v>569028</v>
      </c>
      <c r="AG427" s="1498">
        <f>'MONITORING '!AK18</f>
        <v>477750</v>
      </c>
      <c r="AH427" s="1515">
        <v>583150</v>
      </c>
      <c r="AI427" s="1515">
        <f>'INSETIF MEI''25'!L8</f>
        <v>300000</v>
      </c>
      <c r="AJ427" s="1498"/>
      <c r="AK427" s="1499"/>
      <c r="AL427" s="1491"/>
      <c r="AM427" s="1491"/>
      <c r="AN427" s="1491">
        <f>'MONITORING '!AK19</f>
        <v>0</v>
      </c>
      <c r="AO427" s="1494">
        <f t="shared" si="74"/>
        <v>6106898</v>
      </c>
      <c r="AP427" s="1491">
        <f t="shared" si="88"/>
        <v>77532</v>
      </c>
      <c r="AQ427" s="1491">
        <f t="shared" si="89"/>
        <v>175997.64</v>
      </c>
      <c r="AR427" s="1491">
        <f t="shared" si="75"/>
        <v>253529.64</v>
      </c>
      <c r="AS427" s="1489">
        <f t="shared" si="90"/>
        <v>39036</v>
      </c>
      <c r="AT427" s="1489">
        <f t="shared" si="91"/>
        <v>156144</v>
      </c>
      <c r="AU427" s="1491">
        <f t="shared" si="92"/>
        <v>38766</v>
      </c>
      <c r="AV427" s="1491">
        <f t="shared" si="93"/>
        <v>77532</v>
      </c>
      <c r="AW427" s="1491">
        <f t="shared" si="94"/>
        <v>311478</v>
      </c>
      <c r="AX427" s="1649">
        <v>4000</v>
      </c>
      <c r="AY427" s="1649">
        <v>51717</v>
      </c>
      <c r="AZ427" s="1491">
        <f t="shared" si="77"/>
        <v>0</v>
      </c>
      <c r="BA427" s="1491"/>
      <c r="BB427" s="1489"/>
      <c r="BC427" s="1489">
        <f t="shared" si="78"/>
        <v>5895847</v>
      </c>
      <c r="BD427" s="1489">
        <f>'HK PANEN'!AQ10</f>
        <v>0</v>
      </c>
      <c r="BE427" s="1495">
        <f>'HK PANEN'!AR10</f>
        <v>0</v>
      </c>
      <c r="BG427" s="1551">
        <f t="shared" si="79"/>
        <v>4005820</v>
      </c>
      <c r="BH427" s="1552">
        <f t="shared" si="80"/>
        <v>0</v>
      </c>
      <c r="BI427" s="1552">
        <f t="shared" si="81"/>
        <v>0</v>
      </c>
      <c r="BJ427" s="1551">
        <f t="shared" si="82"/>
        <v>0</v>
      </c>
      <c r="BK427" s="1553">
        <f t="shared" si="83"/>
        <v>4005820</v>
      </c>
      <c r="BM427" s="1553">
        <f t="shared" ref="BM427:BM589" si="95">(X427+AA427+AD427+AE427+AF427+AG427+AH427+AI427+AJ427+AK427+AL427+AM427)-AN427</f>
        <v>2101078</v>
      </c>
      <c r="BN427" s="1551">
        <v>30575.999999999996</v>
      </c>
      <c r="BO427" s="1551">
        <f t="shared" si="84"/>
        <v>186720</v>
      </c>
      <c r="BQ427" s="1531">
        <f t="shared" si="85"/>
        <v>569028</v>
      </c>
      <c r="BS427" s="1523" t="s">
        <v>138</v>
      </c>
      <c r="BT427" s="1556">
        <f t="shared" ref="BT427:BT589" si="96">AF427+AJ427</f>
        <v>569028</v>
      </c>
    </row>
    <row r="428" spans="1:72" ht="26.25" customHeight="1">
      <c r="A428" s="2049" t="s">
        <v>1033</v>
      </c>
      <c r="B428" s="2049"/>
      <c r="C428" s="2049"/>
      <c r="D428" s="2049"/>
      <c r="E428" s="2049"/>
      <c r="F428" s="2049"/>
      <c r="G428" s="2049"/>
      <c r="H428" s="2049"/>
      <c r="I428" s="2049"/>
      <c r="J428" s="2049"/>
      <c r="K428" s="2049"/>
      <c r="L428" s="2049"/>
      <c r="M428" s="2049"/>
      <c r="N428" s="2049"/>
      <c r="O428" s="2049"/>
      <c r="P428" s="2049"/>
      <c r="Q428" s="2049"/>
      <c r="R428" s="2049"/>
      <c r="S428" s="2049"/>
      <c r="T428" s="2049"/>
      <c r="U428" s="2049"/>
      <c r="V428" s="2049"/>
      <c r="W428" s="2049"/>
      <c r="X428" s="2049"/>
      <c r="Y428" s="2049"/>
      <c r="Z428" s="2049"/>
      <c r="AA428" s="2049"/>
      <c r="AB428" s="2049"/>
      <c r="AC428" s="2049"/>
      <c r="AD428" s="2049"/>
      <c r="AE428" s="2049"/>
      <c r="AF428" s="2049"/>
      <c r="AG428" s="2049"/>
      <c r="AH428" s="2049"/>
      <c r="AI428" s="2049"/>
      <c r="AJ428" s="2049"/>
      <c r="AK428" s="2049"/>
      <c r="AL428" s="2049"/>
      <c r="AM428" s="2049"/>
      <c r="AN428" s="2049"/>
      <c r="AO428" s="2049"/>
      <c r="AP428" s="2049"/>
      <c r="AQ428" s="2049"/>
      <c r="AR428" s="2049"/>
      <c r="AS428" s="2049"/>
      <c r="AT428" s="2049"/>
      <c r="AU428" s="2049"/>
      <c r="AV428" s="2049"/>
      <c r="AW428" s="2049"/>
      <c r="AX428" s="2049"/>
      <c r="AY428" s="2049"/>
      <c r="AZ428" s="2049"/>
      <c r="BA428" s="2049"/>
      <c r="BB428" s="2049"/>
      <c r="BC428" s="2049"/>
      <c r="BD428" s="2049"/>
      <c r="BE428" s="2049"/>
    </row>
    <row r="429" spans="1:72" ht="26.25" customHeight="1">
      <c r="A429" s="1532"/>
      <c r="B429" s="1532"/>
      <c r="C429" s="1605"/>
      <c r="D429" s="1532"/>
      <c r="E429" s="1532"/>
      <c r="F429" s="1560"/>
      <c r="G429" s="1560"/>
      <c r="H429" s="1532"/>
      <c r="I429" s="1532"/>
      <c r="J429" s="1532"/>
      <c r="K429" s="1532"/>
      <c r="L429" s="1532"/>
      <c r="M429" s="1532"/>
      <c r="N429" s="1532"/>
      <c r="O429" s="1532"/>
      <c r="P429" s="1532"/>
      <c r="Q429" s="1532"/>
      <c r="R429" s="1532"/>
      <c r="S429" s="1532"/>
      <c r="T429" s="1532"/>
      <c r="U429" s="1532"/>
      <c r="V429" s="1532"/>
      <c r="W429" s="1532"/>
      <c r="X429" s="1532"/>
      <c r="Y429" s="1532"/>
      <c r="Z429" s="1532"/>
      <c r="AA429" s="1532"/>
      <c r="AB429" s="1532"/>
      <c r="AC429" s="1532"/>
      <c r="AD429" s="1532"/>
      <c r="AE429" s="1532"/>
      <c r="AF429" s="1532"/>
      <c r="AG429" s="1532"/>
      <c r="AH429" s="1532"/>
      <c r="AI429" s="1532"/>
      <c r="AJ429" s="1532"/>
      <c r="AK429" s="1557"/>
      <c r="AL429" s="1532"/>
      <c r="AM429" s="1532"/>
      <c r="AN429" s="1532"/>
      <c r="AO429" s="1532"/>
      <c r="AP429" s="1558"/>
      <c r="AQ429" s="1559"/>
      <c r="AR429" s="1559"/>
      <c r="AS429" s="1559"/>
      <c r="AT429" s="1671"/>
      <c r="AU429" s="1532"/>
      <c r="AV429" s="1532"/>
      <c r="AW429" s="1532"/>
      <c r="AX429" s="1532"/>
      <c r="AY429" s="1532"/>
      <c r="AZ429" s="1532"/>
      <c r="BA429" s="1532"/>
      <c r="BB429" s="1532"/>
      <c r="BC429" s="1547"/>
      <c r="BD429" s="1532"/>
      <c r="BE429" s="1532"/>
    </row>
    <row r="430" spans="1:72" s="1523" customFormat="1" ht="16.5" customHeight="1">
      <c r="D430" s="1523" t="s">
        <v>964</v>
      </c>
      <c r="F430" s="1555"/>
      <c r="G430" s="1555"/>
      <c r="AE430" s="1532"/>
      <c r="AF430" s="1532"/>
      <c r="AG430" s="1532"/>
      <c r="AH430" s="1532"/>
      <c r="AI430" s="1532"/>
      <c r="AJ430" s="1532"/>
      <c r="AK430" s="1557"/>
      <c r="AL430" s="1532"/>
      <c r="AM430" s="1532"/>
      <c r="AO430" s="1561"/>
      <c r="AP430" s="1558">
        <v>3876600</v>
      </c>
      <c r="AQ430" s="1672">
        <f>AP430/30</f>
        <v>129220</v>
      </c>
      <c r="AR430" s="1673">
        <f>AP430/173*1.5</f>
        <v>33612.138728323698</v>
      </c>
      <c r="AS430" s="1566">
        <f>AP430/173*2</f>
        <v>44816.184971098264</v>
      </c>
      <c r="AT430" s="1674"/>
      <c r="AU430" s="1532" t="s">
        <v>55</v>
      </c>
      <c r="AV430" s="1523" t="s">
        <v>335</v>
      </c>
      <c r="BC430" s="1518"/>
      <c r="BE430" s="1532"/>
      <c r="BG430" s="1555"/>
      <c r="BH430" s="1560"/>
      <c r="BI430" s="1560"/>
      <c r="BJ430" s="1555"/>
      <c r="BK430" s="1561"/>
      <c r="BL430" s="1561"/>
      <c r="BM430" s="1561"/>
      <c r="BN430" s="1555"/>
      <c r="BO430" s="1555"/>
    </row>
    <row r="431" spans="1:72" ht="18.75" customHeight="1" thickBot="1">
      <c r="A431" s="1547"/>
      <c r="D431" s="1532"/>
      <c r="E431" s="1563"/>
      <c r="F431" s="1675"/>
      <c r="G431" s="1564"/>
      <c r="H431" s="1563"/>
      <c r="I431" s="1563"/>
      <c r="J431" s="1563"/>
      <c r="K431" s="1563"/>
      <c r="L431" s="1563"/>
      <c r="M431" s="1563"/>
      <c r="N431" s="1563"/>
      <c r="O431" s="1563"/>
      <c r="Q431" s="1563"/>
      <c r="R431" s="1563"/>
      <c r="S431" s="1563"/>
      <c r="T431" s="1563"/>
      <c r="U431" s="1563"/>
      <c r="V431" s="1563"/>
      <c r="W431" s="1563"/>
      <c r="X431" s="1563"/>
      <c r="Y431" s="1563"/>
      <c r="Z431" s="1563"/>
      <c r="AA431" s="1563"/>
      <c r="AB431" s="1563"/>
      <c r="AC431" s="1563"/>
      <c r="AD431" s="1563"/>
      <c r="AE431" s="1563"/>
      <c r="AF431" s="1563"/>
      <c r="AG431" s="1563"/>
      <c r="AH431" s="1563"/>
      <c r="AI431" s="1563"/>
      <c r="AJ431" s="1563"/>
      <c r="AK431" s="1565"/>
      <c r="AL431" s="1563"/>
      <c r="AM431" s="1563"/>
      <c r="AO431" s="1563"/>
      <c r="AP431" s="1558">
        <v>3876600</v>
      </c>
      <c r="AQ431" s="1566">
        <f>AP431/30</f>
        <v>129220</v>
      </c>
      <c r="AR431" s="1598"/>
      <c r="AS431" s="1598"/>
      <c r="AT431" s="1674"/>
    </row>
    <row r="432" spans="1:72" s="1523" customFormat="1" ht="18.75" customHeight="1">
      <c r="A432" s="2050" t="s">
        <v>5</v>
      </c>
      <c r="B432" s="2056" t="s">
        <v>6</v>
      </c>
      <c r="C432" s="2056" t="s">
        <v>52</v>
      </c>
      <c r="D432" s="1571"/>
      <c r="E432" s="1571"/>
      <c r="F432" s="1676"/>
      <c r="G432" s="1676"/>
      <c r="H432" s="2118" t="s">
        <v>2</v>
      </c>
      <c r="I432" s="2118"/>
      <c r="J432" s="2118"/>
      <c r="K432" s="2118"/>
      <c r="L432" s="2118"/>
      <c r="M432" s="2118"/>
      <c r="N432" s="2118"/>
      <c r="O432" s="2118"/>
      <c r="P432" s="2118"/>
      <c r="Q432" s="2118"/>
      <c r="R432" s="2118"/>
      <c r="S432" s="2118"/>
      <c r="T432" s="2118"/>
      <c r="U432" s="2118"/>
      <c r="V432" s="2056" t="s">
        <v>286</v>
      </c>
      <c r="W432" s="2118" t="s">
        <v>3</v>
      </c>
      <c r="X432" s="2118"/>
      <c r="Y432" s="2118"/>
      <c r="Z432" s="2118"/>
      <c r="AA432" s="2118"/>
      <c r="AB432" s="2118"/>
      <c r="AC432" s="2118"/>
      <c r="AD432" s="2118"/>
      <c r="AE432" s="2119" t="s">
        <v>45</v>
      </c>
      <c r="AF432" s="2063" t="s">
        <v>46</v>
      </c>
      <c r="AG432" s="2064"/>
      <c r="AH432" s="2064"/>
      <c r="AI432" s="2064"/>
      <c r="AJ432" s="2064"/>
      <c r="AK432" s="2065"/>
      <c r="AL432" s="1571"/>
      <c r="AM432" s="2045" t="s">
        <v>361</v>
      </c>
      <c r="AN432" s="2056" t="s">
        <v>44</v>
      </c>
      <c r="AO432" s="1533" t="s">
        <v>4</v>
      </c>
      <c r="AP432" s="2036" t="s">
        <v>20</v>
      </c>
      <c r="AQ432" s="2037"/>
      <c r="AR432" s="2038"/>
      <c r="AS432" s="2036" t="s">
        <v>54</v>
      </c>
      <c r="AT432" s="2037"/>
      <c r="AU432" s="2037"/>
      <c r="AV432" s="2037"/>
      <c r="AW432" s="2038"/>
      <c r="AX432" s="1571"/>
      <c r="AY432" s="2042" t="s">
        <v>90</v>
      </c>
      <c r="AZ432" s="2045" t="s">
        <v>97</v>
      </c>
      <c r="BA432" s="2045" t="s">
        <v>720</v>
      </c>
      <c r="BB432" s="2045" t="s">
        <v>362</v>
      </c>
      <c r="BC432" s="1548" t="s">
        <v>4</v>
      </c>
      <c r="BD432" s="2063" t="s">
        <v>41</v>
      </c>
      <c r="BE432" s="2084"/>
      <c r="BG432" s="1555"/>
      <c r="BH432" s="1560"/>
      <c r="BI432" s="1560"/>
      <c r="BJ432" s="1555"/>
      <c r="BK432" s="1561"/>
      <c r="BL432" s="1561"/>
      <c r="BM432" s="1561"/>
      <c r="BN432" s="1555"/>
      <c r="BO432" s="1555"/>
    </row>
    <row r="433" spans="1:72" s="1523" customFormat="1" ht="25.5" customHeight="1">
      <c r="A433" s="2051"/>
      <c r="B433" s="2057"/>
      <c r="C433" s="2057"/>
      <c r="D433" s="1534" t="s">
        <v>7</v>
      </c>
      <c r="E433" s="1534" t="s">
        <v>8</v>
      </c>
      <c r="F433" s="1677" t="s">
        <v>9</v>
      </c>
      <c r="G433" s="1677" t="s">
        <v>9</v>
      </c>
      <c r="H433" s="2131" t="s">
        <v>10</v>
      </c>
      <c r="I433" s="2131"/>
      <c r="J433" s="2131" t="s">
        <v>11</v>
      </c>
      <c r="K433" s="2131"/>
      <c r="L433" s="2131" t="s">
        <v>12</v>
      </c>
      <c r="M433" s="2131"/>
      <c r="N433" s="2131" t="s">
        <v>13</v>
      </c>
      <c r="O433" s="2131"/>
      <c r="P433" s="2131" t="s">
        <v>14</v>
      </c>
      <c r="Q433" s="2131"/>
      <c r="R433" s="2132" t="s">
        <v>15</v>
      </c>
      <c r="S433" s="2132"/>
      <c r="T433" s="2131" t="s">
        <v>16</v>
      </c>
      <c r="U433" s="2131"/>
      <c r="V433" s="2057"/>
      <c r="W433" s="2131" t="s">
        <v>17</v>
      </c>
      <c r="X433" s="2131"/>
      <c r="Y433" s="2131" t="s">
        <v>18</v>
      </c>
      <c r="Z433" s="2131"/>
      <c r="AA433" s="2131"/>
      <c r="AB433" s="2071" t="s">
        <v>19</v>
      </c>
      <c r="AC433" s="2081"/>
      <c r="AD433" s="2072"/>
      <c r="AE433" s="2120"/>
      <c r="AF433" s="2085"/>
      <c r="AG433" s="2122"/>
      <c r="AH433" s="2122"/>
      <c r="AI433" s="2122"/>
      <c r="AJ433" s="2122"/>
      <c r="AK433" s="2123"/>
      <c r="AL433" s="1678"/>
      <c r="AM433" s="2046"/>
      <c r="AN433" s="2057"/>
      <c r="AO433" s="1534" t="s">
        <v>9</v>
      </c>
      <c r="AP433" s="2039"/>
      <c r="AQ433" s="2040"/>
      <c r="AR433" s="2041"/>
      <c r="AS433" s="2039"/>
      <c r="AT433" s="2040"/>
      <c r="AU433" s="2040"/>
      <c r="AV433" s="2040"/>
      <c r="AW433" s="2041"/>
      <c r="AX433" s="1534" t="s">
        <v>21</v>
      </c>
      <c r="AY433" s="2043"/>
      <c r="AZ433" s="2046"/>
      <c r="BA433" s="2046"/>
      <c r="BB433" s="2046"/>
      <c r="BC433" s="1549" t="s">
        <v>9</v>
      </c>
      <c r="BD433" s="2085"/>
      <c r="BE433" s="2086"/>
      <c r="BG433" s="1555"/>
      <c r="BH433" s="1560"/>
      <c r="BI433" s="1560"/>
      <c r="BJ433" s="1555"/>
      <c r="BK433" s="1561"/>
      <c r="BL433" s="1561"/>
      <c r="BM433" s="1561"/>
      <c r="BN433" s="1555"/>
      <c r="BO433" s="1555"/>
    </row>
    <row r="434" spans="1:72" s="1523" customFormat="1" ht="36" customHeight="1">
      <c r="A434" s="2051"/>
      <c r="B434" s="2057"/>
      <c r="C434" s="2057"/>
      <c r="D434" s="1534" t="s">
        <v>22</v>
      </c>
      <c r="E434" s="1534" t="s">
        <v>23</v>
      </c>
      <c r="F434" s="1677" t="s">
        <v>24</v>
      </c>
      <c r="G434" s="1677" t="s">
        <v>25</v>
      </c>
      <c r="H434" s="2073" t="s">
        <v>4</v>
      </c>
      <c r="I434" s="2073"/>
      <c r="J434" s="2073" t="s">
        <v>4</v>
      </c>
      <c r="K434" s="2073"/>
      <c r="L434" s="2073" t="s">
        <v>4</v>
      </c>
      <c r="M434" s="2073"/>
      <c r="N434" s="2073" t="s">
        <v>4</v>
      </c>
      <c r="O434" s="2073"/>
      <c r="P434" s="2073" t="s">
        <v>4</v>
      </c>
      <c r="Q434" s="2073"/>
      <c r="R434" s="2073" t="s">
        <v>4</v>
      </c>
      <c r="S434" s="2073"/>
      <c r="T434" s="2073" t="s">
        <v>4</v>
      </c>
      <c r="U434" s="2073"/>
      <c r="V434" s="2057"/>
      <c r="W434" s="1534" t="s">
        <v>27</v>
      </c>
      <c r="X434" s="1576" t="s">
        <v>28</v>
      </c>
      <c r="Y434" s="1534" t="s">
        <v>27</v>
      </c>
      <c r="Z434" s="2073" t="s">
        <v>4</v>
      </c>
      <c r="AA434" s="2073"/>
      <c r="AB434" s="1534" t="s">
        <v>27</v>
      </c>
      <c r="AC434" s="2071" t="s">
        <v>4</v>
      </c>
      <c r="AD434" s="2072"/>
      <c r="AE434" s="2121"/>
      <c r="AF434" s="1575" t="s">
        <v>56</v>
      </c>
      <c r="AG434" s="1575" t="s">
        <v>57</v>
      </c>
      <c r="AH434" s="1575" t="s">
        <v>60</v>
      </c>
      <c r="AI434" s="1575" t="s">
        <v>288</v>
      </c>
      <c r="AJ434" s="1575" t="s">
        <v>97</v>
      </c>
      <c r="AK434" s="1575" t="s">
        <v>711</v>
      </c>
      <c r="AL434" s="1679"/>
      <c r="AM434" s="2089"/>
      <c r="AN434" s="2090"/>
      <c r="AO434" s="1534" t="s">
        <v>29</v>
      </c>
      <c r="AP434" s="1534" t="s">
        <v>30</v>
      </c>
      <c r="AQ434" s="1534" t="s">
        <v>31</v>
      </c>
      <c r="AR434" s="1534" t="s">
        <v>4</v>
      </c>
      <c r="AS434" s="1534" t="s">
        <v>30</v>
      </c>
      <c r="AT434" s="1534" t="s">
        <v>31</v>
      </c>
      <c r="AU434" s="1534" t="s">
        <v>30</v>
      </c>
      <c r="AV434" s="1534" t="s">
        <v>31</v>
      </c>
      <c r="AW434" s="1534" t="s">
        <v>4</v>
      </c>
      <c r="AX434" s="1534" t="s">
        <v>32</v>
      </c>
      <c r="AY434" s="2043"/>
      <c r="AZ434" s="2046"/>
      <c r="BA434" s="2046"/>
      <c r="BB434" s="2046"/>
      <c r="BC434" s="1549" t="s">
        <v>33</v>
      </c>
      <c r="BD434" s="2073" t="s">
        <v>42</v>
      </c>
      <c r="BE434" s="2075" t="s">
        <v>43</v>
      </c>
      <c r="BG434" s="1573"/>
      <c r="BH434" s="1560"/>
      <c r="BI434" s="1560"/>
      <c r="BJ434" s="1555"/>
      <c r="BK434" s="1561"/>
      <c r="BL434" s="1561"/>
      <c r="BM434" s="1561"/>
      <c r="BN434" s="1555"/>
      <c r="BO434" s="1555"/>
    </row>
    <row r="435" spans="1:72" s="1523" customFormat="1" ht="46.5" customHeight="1" thickBot="1">
      <c r="A435" s="2051"/>
      <c r="B435" s="2057"/>
      <c r="C435" s="2057"/>
      <c r="D435" s="1534"/>
      <c r="E435" s="1534"/>
      <c r="F435" s="1680" t="s">
        <v>34</v>
      </c>
      <c r="G435" s="1680" t="s">
        <v>34</v>
      </c>
      <c r="H435" s="1576" t="s">
        <v>8</v>
      </c>
      <c r="I435" s="1576" t="s">
        <v>34</v>
      </c>
      <c r="J435" s="1576" t="s">
        <v>8</v>
      </c>
      <c r="K435" s="1576" t="s">
        <v>34</v>
      </c>
      <c r="L435" s="1576" t="s">
        <v>8</v>
      </c>
      <c r="M435" s="1576" t="s">
        <v>34</v>
      </c>
      <c r="N435" s="1576" t="s">
        <v>8</v>
      </c>
      <c r="O435" s="1576" t="s">
        <v>34</v>
      </c>
      <c r="P435" s="1576" t="s">
        <v>8</v>
      </c>
      <c r="Q435" s="1576" t="s">
        <v>34</v>
      </c>
      <c r="R435" s="1576" t="s">
        <v>8</v>
      </c>
      <c r="S435" s="1576" t="s">
        <v>34</v>
      </c>
      <c r="T435" s="1576" t="s">
        <v>8</v>
      </c>
      <c r="U435" s="1576" t="s">
        <v>34</v>
      </c>
      <c r="V435" s="2057"/>
      <c r="W435" s="1576" t="s">
        <v>26</v>
      </c>
      <c r="X435" s="1576" t="s">
        <v>34</v>
      </c>
      <c r="Y435" s="1576" t="s">
        <v>26</v>
      </c>
      <c r="Z435" s="1576" t="s">
        <v>26</v>
      </c>
      <c r="AA435" s="1576" t="s">
        <v>34</v>
      </c>
      <c r="AB435" s="1576" t="s">
        <v>26</v>
      </c>
      <c r="AC435" s="1576" t="s">
        <v>35</v>
      </c>
      <c r="AD435" s="1576" t="s">
        <v>34</v>
      </c>
      <c r="AE435" s="1576" t="s">
        <v>34</v>
      </c>
      <c r="AF435" s="1576" t="s">
        <v>34</v>
      </c>
      <c r="AG435" s="1576" t="s">
        <v>34</v>
      </c>
      <c r="AH435" s="1576" t="s">
        <v>34</v>
      </c>
      <c r="AI435" s="1576" t="s">
        <v>34</v>
      </c>
      <c r="AJ435" s="1576" t="s">
        <v>34</v>
      </c>
      <c r="AK435" s="1681" t="s">
        <v>34</v>
      </c>
      <c r="AL435" s="1534" t="s">
        <v>34</v>
      </c>
      <c r="AM435" s="1576" t="s">
        <v>34</v>
      </c>
      <c r="AN435" s="1576" t="s">
        <v>34</v>
      </c>
      <c r="AO435" s="1576" t="s">
        <v>34</v>
      </c>
      <c r="AP435" s="1576" t="s">
        <v>34</v>
      </c>
      <c r="AQ435" s="1576" t="s">
        <v>34</v>
      </c>
      <c r="AR435" s="1576" t="s">
        <v>34</v>
      </c>
      <c r="AS435" s="1576" t="s">
        <v>58</v>
      </c>
      <c r="AT435" s="1576" t="s">
        <v>34</v>
      </c>
      <c r="AU435" s="1576" t="s">
        <v>59</v>
      </c>
      <c r="AV435" s="1576" t="s">
        <v>34</v>
      </c>
      <c r="AW435" s="1576" t="s">
        <v>34</v>
      </c>
      <c r="AX435" s="1534"/>
      <c r="AY435" s="2043"/>
      <c r="AZ435" s="2046"/>
      <c r="BA435" s="2047"/>
      <c r="BB435" s="2046"/>
      <c r="BC435" s="1549" t="s">
        <v>34</v>
      </c>
      <c r="BD435" s="2129"/>
      <c r="BE435" s="2130"/>
      <c r="BG435" s="1555" t="s">
        <v>353</v>
      </c>
      <c r="BH435" s="1578" t="s">
        <v>43</v>
      </c>
      <c r="BI435" s="1578" t="s">
        <v>42</v>
      </c>
      <c r="BJ435" s="1555" t="s">
        <v>354</v>
      </c>
      <c r="BK435" s="1561" t="s">
        <v>358</v>
      </c>
      <c r="BL435" s="1561"/>
      <c r="BM435" s="1561"/>
      <c r="BN435" s="1555"/>
      <c r="BO435" s="1555"/>
    </row>
    <row r="436" spans="1:72" ht="83.25" customHeight="1" thickBot="1">
      <c r="A436" s="1683">
        <v>5</v>
      </c>
      <c r="B436" s="1489" t="s">
        <v>36</v>
      </c>
      <c r="C436" s="1585" t="s">
        <v>148</v>
      </c>
      <c r="D436" s="1590" t="s">
        <v>141</v>
      </c>
      <c r="E436" s="1489">
        <f>'HK PANEN'!AH11</f>
        <v>24</v>
      </c>
      <c r="F436" s="1490">
        <v>129220</v>
      </c>
      <c r="G436" s="1490">
        <f t="shared" si="86"/>
        <v>3101280</v>
      </c>
      <c r="H436" s="1516">
        <f>'HK PANEN'!AI11</f>
        <v>0</v>
      </c>
      <c r="I436" s="1489">
        <f t="shared" si="65"/>
        <v>0</v>
      </c>
      <c r="J436" s="1489">
        <f>'HK PANEN'!AJ11</f>
        <v>0</v>
      </c>
      <c r="K436" s="1489">
        <f t="shared" si="66"/>
        <v>0</v>
      </c>
      <c r="L436" s="1489">
        <f>'HK PANEN'!AK11</f>
        <v>0</v>
      </c>
      <c r="M436" s="1489">
        <f t="shared" si="67"/>
        <v>0</v>
      </c>
      <c r="N436" s="1489">
        <f>'HK PANEN'!AL11</f>
        <v>4</v>
      </c>
      <c r="O436" s="1489">
        <f t="shared" si="68"/>
        <v>516880</v>
      </c>
      <c r="P436" s="1489">
        <f>'HK PANEN'!AM11</f>
        <v>3</v>
      </c>
      <c r="Q436" s="1489">
        <f t="shared" si="69"/>
        <v>387660</v>
      </c>
      <c r="R436" s="1489">
        <f>'HK PANEN'!AN11</f>
        <v>0</v>
      </c>
      <c r="S436" s="1489">
        <f t="shared" si="87"/>
        <v>0</v>
      </c>
      <c r="T436" s="1489">
        <f>'HK PANEN'!AO11</f>
        <v>0</v>
      </c>
      <c r="U436" s="1489">
        <f t="shared" si="70"/>
        <v>0</v>
      </c>
      <c r="V436" s="1491">
        <f t="shared" si="71"/>
        <v>31</v>
      </c>
      <c r="W436" s="1491">
        <v>2250</v>
      </c>
      <c r="X436" s="1491">
        <f t="shared" si="72"/>
        <v>69750</v>
      </c>
      <c r="Y436" s="1491"/>
      <c r="Z436" s="1491"/>
      <c r="AA436" s="1491">
        <f t="shared" si="73"/>
        <v>0</v>
      </c>
      <c r="AB436" s="1497">
        <v>2500</v>
      </c>
      <c r="AC436" s="1491">
        <f>'MASA KERJA AB'!H57</f>
        <v>5</v>
      </c>
      <c r="AD436" s="1649">
        <f>'MASA KERJA AB'!I57</f>
        <v>12500</v>
      </c>
      <c r="AE436" s="1497"/>
      <c r="AF436" s="1514">
        <f>'MONITORING '!AK30</f>
        <v>274184</v>
      </c>
      <c r="AG436" s="1498">
        <f>'MONITORING '!AK31</f>
        <v>185500</v>
      </c>
      <c r="AH436" s="1515">
        <v>420900</v>
      </c>
      <c r="AI436" s="1515">
        <f>'INSETIF MEI''25'!L9</f>
        <v>150000</v>
      </c>
      <c r="AJ436" s="1498"/>
      <c r="AK436" s="1499"/>
      <c r="AL436" s="1491"/>
      <c r="AM436" s="1491"/>
      <c r="AN436" s="1491">
        <f>'MONITORING '!AK32</f>
        <v>0</v>
      </c>
      <c r="AO436" s="1494">
        <f t="shared" si="74"/>
        <v>5118654</v>
      </c>
      <c r="AP436" s="1491">
        <f t="shared" si="88"/>
        <v>77532</v>
      </c>
      <c r="AQ436" s="1491">
        <f t="shared" si="89"/>
        <v>175997.64</v>
      </c>
      <c r="AR436" s="1491">
        <f t="shared" si="75"/>
        <v>253529.64</v>
      </c>
      <c r="AS436" s="1489">
        <f t="shared" si="90"/>
        <v>38891</v>
      </c>
      <c r="AT436" s="1489">
        <f t="shared" si="91"/>
        <v>155564</v>
      </c>
      <c r="AU436" s="1491">
        <f t="shared" si="92"/>
        <v>38766</v>
      </c>
      <c r="AV436" s="1491">
        <f t="shared" si="93"/>
        <v>77532</v>
      </c>
      <c r="AW436" s="1491">
        <f t="shared" si="94"/>
        <v>310753</v>
      </c>
      <c r="AX436" s="1649">
        <v>4000</v>
      </c>
      <c r="AY436" s="1649">
        <v>29534</v>
      </c>
      <c r="AZ436" s="1491">
        <f t="shared" si="77"/>
        <v>0</v>
      </c>
      <c r="BA436" s="1491"/>
      <c r="BB436" s="1489"/>
      <c r="BC436" s="1489">
        <f t="shared" si="78"/>
        <v>4929931</v>
      </c>
      <c r="BD436" s="1489">
        <f>'HK PANEN'!AQ11</f>
        <v>0</v>
      </c>
      <c r="BE436" s="1495">
        <f>'HK PANEN'!AR11</f>
        <v>0</v>
      </c>
      <c r="BG436" s="1551">
        <f t="shared" si="79"/>
        <v>4005820</v>
      </c>
      <c r="BH436" s="1552">
        <f t="shared" si="80"/>
        <v>0</v>
      </c>
      <c r="BI436" s="1552">
        <f t="shared" si="81"/>
        <v>0</v>
      </c>
      <c r="BJ436" s="1551">
        <f t="shared" si="82"/>
        <v>0</v>
      </c>
      <c r="BK436" s="1553">
        <f t="shared" si="83"/>
        <v>4005820</v>
      </c>
      <c r="BM436" s="1686">
        <f t="shared" si="95"/>
        <v>1112834</v>
      </c>
      <c r="BN436" s="1551">
        <v>30575.999999999996</v>
      </c>
      <c r="BO436" s="1551">
        <f t="shared" si="84"/>
        <v>186140</v>
      </c>
      <c r="BP436" s="1538"/>
      <c r="BQ436" s="1531">
        <f t="shared" si="85"/>
        <v>274184</v>
      </c>
      <c r="BR436" s="1538"/>
      <c r="BS436" s="1556" t="s">
        <v>141</v>
      </c>
      <c r="BT436" s="1556">
        <f t="shared" si="96"/>
        <v>274184</v>
      </c>
    </row>
    <row r="437" spans="1:72" ht="26.25" customHeight="1">
      <c r="A437" s="2049" t="s">
        <v>1033</v>
      </c>
      <c r="B437" s="2049"/>
      <c r="C437" s="2049"/>
      <c r="D437" s="2049"/>
      <c r="E437" s="2049"/>
      <c r="F437" s="2049"/>
      <c r="G437" s="2049"/>
      <c r="H437" s="2049"/>
      <c r="I437" s="2049"/>
      <c r="J437" s="2049"/>
      <c r="K437" s="2049"/>
      <c r="L437" s="2049"/>
      <c r="M437" s="2049"/>
      <c r="N437" s="2049"/>
      <c r="O437" s="2049"/>
      <c r="P437" s="2049"/>
      <c r="Q437" s="2049"/>
      <c r="R437" s="2049"/>
      <c r="S437" s="2049"/>
      <c r="T437" s="2049"/>
      <c r="U437" s="2049"/>
      <c r="V437" s="2049"/>
      <c r="W437" s="2049"/>
      <c r="X437" s="2049"/>
      <c r="Y437" s="2049"/>
      <c r="Z437" s="2049"/>
      <c r="AA437" s="2049"/>
      <c r="AB437" s="2049"/>
      <c r="AC437" s="2049"/>
      <c r="AD437" s="2049"/>
      <c r="AE437" s="2049"/>
      <c r="AF437" s="2049"/>
      <c r="AG437" s="2049"/>
      <c r="AH437" s="2049"/>
      <c r="AI437" s="2049"/>
      <c r="AJ437" s="2049"/>
      <c r="AK437" s="2049"/>
      <c r="AL437" s="2049"/>
      <c r="AM437" s="2049"/>
      <c r="AN437" s="2049"/>
      <c r="AO437" s="2049"/>
      <c r="AP437" s="2049"/>
      <c r="AQ437" s="2049"/>
      <c r="AR437" s="2049"/>
      <c r="AS437" s="2049"/>
      <c r="AT437" s="2049"/>
      <c r="AU437" s="2049"/>
      <c r="AV437" s="2049"/>
      <c r="AW437" s="2049"/>
      <c r="AX437" s="2049"/>
      <c r="AY437" s="2049"/>
      <c r="AZ437" s="2049"/>
      <c r="BA437" s="2049"/>
      <c r="BB437" s="2049"/>
      <c r="BC437" s="2049"/>
      <c r="BD437" s="2049"/>
      <c r="BE437" s="2049"/>
    </row>
    <row r="438" spans="1:72" ht="26.25" customHeight="1">
      <c r="A438" s="1532"/>
      <c r="B438" s="1532"/>
      <c r="C438" s="1605"/>
      <c r="D438" s="1532"/>
      <c r="E438" s="1532"/>
      <c r="F438" s="1560"/>
      <c r="G438" s="1560"/>
      <c r="H438" s="1532"/>
      <c r="I438" s="1532"/>
      <c r="J438" s="1532"/>
      <c r="K438" s="1532"/>
      <c r="L438" s="1532"/>
      <c r="M438" s="1532"/>
      <c r="N438" s="1532"/>
      <c r="O438" s="1532"/>
      <c r="P438" s="1532"/>
      <c r="Q438" s="1532"/>
      <c r="R438" s="1532"/>
      <c r="S438" s="1532"/>
      <c r="T438" s="1532"/>
      <c r="U438" s="1532"/>
      <c r="V438" s="1532"/>
      <c r="W438" s="1532"/>
      <c r="X438" s="1532"/>
      <c r="Y438" s="1532"/>
      <c r="Z438" s="1532"/>
      <c r="AA438" s="1532"/>
      <c r="AB438" s="1532"/>
      <c r="AC438" s="1532"/>
      <c r="AD438" s="1532"/>
      <c r="AE438" s="1532"/>
      <c r="AF438" s="1532"/>
      <c r="AG438" s="1532"/>
      <c r="AH438" s="1532"/>
      <c r="AI438" s="1532"/>
      <c r="AJ438" s="1532"/>
      <c r="AK438" s="1557"/>
      <c r="AL438" s="1532"/>
      <c r="AM438" s="1532"/>
      <c r="AN438" s="1532"/>
      <c r="AO438" s="1532"/>
      <c r="AP438" s="1558"/>
      <c r="AQ438" s="1559"/>
      <c r="AR438" s="1559"/>
      <c r="AS438" s="1559"/>
      <c r="AT438" s="1671"/>
      <c r="AU438" s="1532"/>
      <c r="AV438" s="1532"/>
      <c r="AW438" s="1532"/>
      <c r="AX438" s="1532"/>
      <c r="AY438" s="1532"/>
      <c r="AZ438" s="1532"/>
      <c r="BA438" s="1532"/>
      <c r="BB438" s="1532"/>
      <c r="BC438" s="1547"/>
      <c r="BD438" s="1532"/>
      <c r="BE438" s="1532"/>
    </row>
    <row r="439" spans="1:72" s="1523" customFormat="1" ht="16.5" customHeight="1">
      <c r="D439" s="1523" t="s">
        <v>964</v>
      </c>
      <c r="F439" s="1555"/>
      <c r="G439" s="1555"/>
      <c r="AE439" s="1532"/>
      <c r="AF439" s="1532"/>
      <c r="AG439" s="1532"/>
      <c r="AH439" s="1532"/>
      <c r="AI439" s="1532"/>
      <c r="AJ439" s="1532"/>
      <c r="AK439" s="1557"/>
      <c r="AL439" s="1532"/>
      <c r="AM439" s="1532"/>
      <c r="AO439" s="1561"/>
      <c r="AP439" s="1558">
        <v>3876600</v>
      </c>
      <c r="AQ439" s="1672">
        <f>AP439/30</f>
        <v>129220</v>
      </c>
      <c r="AR439" s="1673">
        <f>AP439/173*1.5</f>
        <v>33612.138728323698</v>
      </c>
      <c r="AS439" s="1566">
        <f>AP439/173*2</f>
        <v>44816.184971098264</v>
      </c>
      <c r="AT439" s="1674"/>
      <c r="AU439" s="1532" t="s">
        <v>55</v>
      </c>
      <c r="AV439" s="1523" t="s">
        <v>335</v>
      </c>
      <c r="BC439" s="1518"/>
      <c r="BE439" s="1532"/>
      <c r="BG439" s="1555"/>
      <c r="BH439" s="1560"/>
      <c r="BI439" s="1560"/>
      <c r="BJ439" s="1555"/>
      <c r="BK439" s="1561"/>
      <c r="BL439" s="1561"/>
      <c r="BM439" s="1561"/>
      <c r="BN439" s="1555"/>
      <c r="BO439" s="1555"/>
    </row>
    <row r="440" spans="1:72" ht="18.75" customHeight="1" thickBot="1">
      <c r="A440" s="1547"/>
      <c r="D440" s="1532"/>
      <c r="E440" s="1563"/>
      <c r="F440" s="1675"/>
      <c r="G440" s="1564"/>
      <c r="H440" s="1563"/>
      <c r="I440" s="1563"/>
      <c r="J440" s="1563"/>
      <c r="K440" s="1563"/>
      <c r="L440" s="1563"/>
      <c r="M440" s="1563"/>
      <c r="N440" s="1563"/>
      <c r="O440" s="1563"/>
      <c r="Q440" s="1563"/>
      <c r="R440" s="1563"/>
      <c r="S440" s="1563"/>
      <c r="T440" s="1563"/>
      <c r="U440" s="1563"/>
      <c r="V440" s="1563"/>
      <c r="W440" s="1563"/>
      <c r="X440" s="1563"/>
      <c r="Y440" s="1563"/>
      <c r="Z440" s="1563"/>
      <c r="AA440" s="1563"/>
      <c r="AB440" s="1563"/>
      <c r="AC440" s="1563"/>
      <c r="AD440" s="1563"/>
      <c r="AE440" s="1563"/>
      <c r="AF440" s="1563"/>
      <c r="AG440" s="1563"/>
      <c r="AH440" s="1563"/>
      <c r="AI440" s="1563"/>
      <c r="AJ440" s="1563"/>
      <c r="AK440" s="1565"/>
      <c r="AL440" s="1563"/>
      <c r="AM440" s="1563"/>
      <c r="AO440" s="1563"/>
      <c r="AP440" s="1558">
        <v>3876600</v>
      </c>
      <c r="AQ440" s="1566">
        <f>AP440/30</f>
        <v>129220</v>
      </c>
      <c r="AR440" s="1598"/>
      <c r="AS440" s="1598"/>
      <c r="AT440" s="1674"/>
    </row>
    <row r="441" spans="1:72" s="1523" customFormat="1" ht="18.75" customHeight="1">
      <c r="A441" s="2050" t="s">
        <v>5</v>
      </c>
      <c r="B441" s="2056" t="s">
        <v>6</v>
      </c>
      <c r="C441" s="2056" t="s">
        <v>52</v>
      </c>
      <c r="D441" s="1571"/>
      <c r="E441" s="1571"/>
      <c r="F441" s="1676"/>
      <c r="G441" s="1676"/>
      <c r="H441" s="2118" t="s">
        <v>2</v>
      </c>
      <c r="I441" s="2118"/>
      <c r="J441" s="2118"/>
      <c r="K441" s="2118"/>
      <c r="L441" s="2118"/>
      <c r="M441" s="2118"/>
      <c r="N441" s="2118"/>
      <c r="O441" s="2118"/>
      <c r="P441" s="2118"/>
      <c r="Q441" s="2118"/>
      <c r="R441" s="2118"/>
      <c r="S441" s="2118"/>
      <c r="T441" s="2118"/>
      <c r="U441" s="2118"/>
      <c r="V441" s="2056" t="s">
        <v>286</v>
      </c>
      <c r="W441" s="2118" t="s">
        <v>3</v>
      </c>
      <c r="X441" s="2118"/>
      <c r="Y441" s="2118"/>
      <c r="Z441" s="2118"/>
      <c r="AA441" s="2118"/>
      <c r="AB441" s="2118"/>
      <c r="AC441" s="2118"/>
      <c r="AD441" s="2118"/>
      <c r="AE441" s="2119" t="s">
        <v>45</v>
      </c>
      <c r="AF441" s="2063" t="s">
        <v>46</v>
      </c>
      <c r="AG441" s="2064"/>
      <c r="AH441" s="2064"/>
      <c r="AI441" s="2064"/>
      <c r="AJ441" s="2064"/>
      <c r="AK441" s="2065"/>
      <c r="AL441" s="1571"/>
      <c r="AM441" s="2045" t="s">
        <v>361</v>
      </c>
      <c r="AN441" s="2056" t="s">
        <v>44</v>
      </c>
      <c r="AO441" s="1533" t="s">
        <v>4</v>
      </c>
      <c r="AP441" s="2036" t="s">
        <v>20</v>
      </c>
      <c r="AQ441" s="2037"/>
      <c r="AR441" s="2038"/>
      <c r="AS441" s="2036" t="s">
        <v>54</v>
      </c>
      <c r="AT441" s="2037"/>
      <c r="AU441" s="2037"/>
      <c r="AV441" s="2037"/>
      <c r="AW441" s="2038"/>
      <c r="AX441" s="1571"/>
      <c r="AY441" s="2042" t="s">
        <v>90</v>
      </c>
      <c r="AZ441" s="2045" t="s">
        <v>97</v>
      </c>
      <c r="BA441" s="2045" t="s">
        <v>720</v>
      </c>
      <c r="BB441" s="2045" t="s">
        <v>362</v>
      </c>
      <c r="BC441" s="1548" t="s">
        <v>4</v>
      </c>
      <c r="BD441" s="2063" t="s">
        <v>41</v>
      </c>
      <c r="BE441" s="2084"/>
      <c r="BG441" s="1555"/>
      <c r="BH441" s="1560"/>
      <c r="BI441" s="1560"/>
      <c r="BJ441" s="1555"/>
      <c r="BK441" s="1561"/>
      <c r="BL441" s="1561"/>
      <c r="BM441" s="1561"/>
      <c r="BN441" s="1555"/>
      <c r="BO441" s="1555"/>
    </row>
    <row r="442" spans="1:72" s="1523" customFormat="1" ht="25.5" customHeight="1">
      <c r="A442" s="2051"/>
      <c r="B442" s="2057"/>
      <c r="C442" s="2057"/>
      <c r="D442" s="1534" t="s">
        <v>7</v>
      </c>
      <c r="E442" s="1534" t="s">
        <v>8</v>
      </c>
      <c r="F442" s="1677" t="s">
        <v>9</v>
      </c>
      <c r="G442" s="1677" t="s">
        <v>9</v>
      </c>
      <c r="H442" s="2131" t="s">
        <v>10</v>
      </c>
      <c r="I442" s="2131"/>
      <c r="J442" s="2131" t="s">
        <v>11</v>
      </c>
      <c r="K442" s="2131"/>
      <c r="L442" s="2131" t="s">
        <v>12</v>
      </c>
      <c r="M442" s="2131"/>
      <c r="N442" s="2131" t="s">
        <v>13</v>
      </c>
      <c r="O442" s="2131"/>
      <c r="P442" s="2131" t="s">
        <v>14</v>
      </c>
      <c r="Q442" s="2131"/>
      <c r="R442" s="2132" t="s">
        <v>15</v>
      </c>
      <c r="S442" s="2132"/>
      <c r="T442" s="2131" t="s">
        <v>16</v>
      </c>
      <c r="U442" s="2131"/>
      <c r="V442" s="2057"/>
      <c r="W442" s="2131" t="s">
        <v>17</v>
      </c>
      <c r="X442" s="2131"/>
      <c r="Y442" s="2131" t="s">
        <v>18</v>
      </c>
      <c r="Z442" s="2131"/>
      <c r="AA442" s="2131"/>
      <c r="AB442" s="2071" t="s">
        <v>19</v>
      </c>
      <c r="AC442" s="2081"/>
      <c r="AD442" s="2072"/>
      <c r="AE442" s="2120"/>
      <c r="AF442" s="2085"/>
      <c r="AG442" s="2122"/>
      <c r="AH442" s="2122"/>
      <c r="AI442" s="2122"/>
      <c r="AJ442" s="2122"/>
      <c r="AK442" s="2123"/>
      <c r="AL442" s="1678"/>
      <c r="AM442" s="2046"/>
      <c r="AN442" s="2057"/>
      <c r="AO442" s="1534" t="s">
        <v>9</v>
      </c>
      <c r="AP442" s="2039"/>
      <c r="AQ442" s="2040"/>
      <c r="AR442" s="2041"/>
      <c r="AS442" s="2039"/>
      <c r="AT442" s="2040"/>
      <c r="AU442" s="2040"/>
      <c r="AV442" s="2040"/>
      <c r="AW442" s="2041"/>
      <c r="AX442" s="1534" t="s">
        <v>21</v>
      </c>
      <c r="AY442" s="2043"/>
      <c r="AZ442" s="2046"/>
      <c r="BA442" s="2046"/>
      <c r="BB442" s="2046"/>
      <c r="BC442" s="1549" t="s">
        <v>9</v>
      </c>
      <c r="BD442" s="2085"/>
      <c r="BE442" s="2086"/>
      <c r="BG442" s="1555"/>
      <c r="BH442" s="1560"/>
      <c r="BI442" s="1560"/>
      <c r="BJ442" s="1555"/>
      <c r="BK442" s="1561"/>
      <c r="BL442" s="1561"/>
      <c r="BM442" s="1561"/>
      <c r="BN442" s="1555"/>
      <c r="BO442" s="1555"/>
    </row>
    <row r="443" spans="1:72" s="1523" customFormat="1" ht="36" customHeight="1">
      <c r="A443" s="2051"/>
      <c r="B443" s="2057"/>
      <c r="C443" s="2057"/>
      <c r="D443" s="1534" t="s">
        <v>22</v>
      </c>
      <c r="E443" s="1534" t="s">
        <v>23</v>
      </c>
      <c r="F443" s="1677" t="s">
        <v>24</v>
      </c>
      <c r="G443" s="1677" t="s">
        <v>25</v>
      </c>
      <c r="H443" s="2073" t="s">
        <v>4</v>
      </c>
      <c r="I443" s="2073"/>
      <c r="J443" s="2073" t="s">
        <v>4</v>
      </c>
      <c r="K443" s="2073"/>
      <c r="L443" s="2073" t="s">
        <v>4</v>
      </c>
      <c r="M443" s="2073"/>
      <c r="N443" s="2073" t="s">
        <v>4</v>
      </c>
      <c r="O443" s="2073"/>
      <c r="P443" s="2073" t="s">
        <v>4</v>
      </c>
      <c r="Q443" s="2073"/>
      <c r="R443" s="2073" t="s">
        <v>4</v>
      </c>
      <c r="S443" s="2073"/>
      <c r="T443" s="2073" t="s">
        <v>4</v>
      </c>
      <c r="U443" s="2073"/>
      <c r="V443" s="2057"/>
      <c r="W443" s="1534" t="s">
        <v>27</v>
      </c>
      <c r="X443" s="1576" t="s">
        <v>28</v>
      </c>
      <c r="Y443" s="1534" t="s">
        <v>27</v>
      </c>
      <c r="Z443" s="2073" t="s">
        <v>4</v>
      </c>
      <c r="AA443" s="2073"/>
      <c r="AB443" s="1534" t="s">
        <v>27</v>
      </c>
      <c r="AC443" s="2071" t="s">
        <v>4</v>
      </c>
      <c r="AD443" s="2072"/>
      <c r="AE443" s="2121"/>
      <c r="AF443" s="1575" t="s">
        <v>56</v>
      </c>
      <c r="AG443" s="1575" t="s">
        <v>57</v>
      </c>
      <c r="AH443" s="1575" t="s">
        <v>60</v>
      </c>
      <c r="AI443" s="1575" t="s">
        <v>288</v>
      </c>
      <c r="AJ443" s="1575" t="s">
        <v>97</v>
      </c>
      <c r="AK443" s="1575" t="s">
        <v>711</v>
      </c>
      <c r="AL443" s="1679"/>
      <c r="AM443" s="2089"/>
      <c r="AN443" s="2090"/>
      <c r="AO443" s="1534" t="s">
        <v>29</v>
      </c>
      <c r="AP443" s="1534" t="s">
        <v>30</v>
      </c>
      <c r="AQ443" s="1534" t="s">
        <v>31</v>
      </c>
      <c r="AR443" s="1534" t="s">
        <v>4</v>
      </c>
      <c r="AS443" s="1534" t="s">
        <v>30</v>
      </c>
      <c r="AT443" s="1534" t="s">
        <v>31</v>
      </c>
      <c r="AU443" s="1534" t="s">
        <v>30</v>
      </c>
      <c r="AV443" s="1534" t="s">
        <v>31</v>
      </c>
      <c r="AW443" s="1534" t="s">
        <v>4</v>
      </c>
      <c r="AX443" s="1534" t="s">
        <v>32</v>
      </c>
      <c r="AY443" s="2043"/>
      <c r="AZ443" s="2046"/>
      <c r="BA443" s="2046"/>
      <c r="BB443" s="2046"/>
      <c r="BC443" s="1549" t="s">
        <v>33</v>
      </c>
      <c r="BD443" s="2073" t="s">
        <v>42</v>
      </c>
      <c r="BE443" s="2075" t="s">
        <v>43</v>
      </c>
      <c r="BG443" s="1573"/>
      <c r="BH443" s="1560"/>
      <c r="BI443" s="1560"/>
      <c r="BJ443" s="1555"/>
      <c r="BK443" s="1561"/>
      <c r="BL443" s="1561"/>
      <c r="BM443" s="1561"/>
      <c r="BN443" s="1555"/>
      <c r="BO443" s="1555"/>
    </row>
    <row r="444" spans="1:72" s="1523" customFormat="1" ht="46.5" customHeight="1" thickBot="1">
      <c r="A444" s="2051"/>
      <c r="B444" s="2057"/>
      <c r="C444" s="2057"/>
      <c r="D444" s="1534"/>
      <c r="E444" s="1534"/>
      <c r="F444" s="1680" t="s">
        <v>34</v>
      </c>
      <c r="G444" s="1680" t="s">
        <v>34</v>
      </c>
      <c r="H444" s="1576" t="s">
        <v>8</v>
      </c>
      <c r="I444" s="1576" t="s">
        <v>34</v>
      </c>
      <c r="J444" s="1576" t="s">
        <v>8</v>
      </c>
      <c r="K444" s="1576" t="s">
        <v>34</v>
      </c>
      <c r="L444" s="1576" t="s">
        <v>8</v>
      </c>
      <c r="M444" s="1576" t="s">
        <v>34</v>
      </c>
      <c r="N444" s="1576" t="s">
        <v>8</v>
      </c>
      <c r="O444" s="1576" t="s">
        <v>34</v>
      </c>
      <c r="P444" s="1576" t="s">
        <v>8</v>
      </c>
      <c r="Q444" s="1576" t="s">
        <v>34</v>
      </c>
      <c r="R444" s="1576" t="s">
        <v>8</v>
      </c>
      <c r="S444" s="1576" t="s">
        <v>34</v>
      </c>
      <c r="T444" s="1576" t="s">
        <v>8</v>
      </c>
      <c r="U444" s="1576" t="s">
        <v>34</v>
      </c>
      <c r="V444" s="2057"/>
      <c r="W444" s="1576" t="s">
        <v>26</v>
      </c>
      <c r="X444" s="1576" t="s">
        <v>34</v>
      </c>
      <c r="Y444" s="1576" t="s">
        <v>26</v>
      </c>
      <c r="Z444" s="1576" t="s">
        <v>26</v>
      </c>
      <c r="AA444" s="1576" t="s">
        <v>34</v>
      </c>
      <c r="AB444" s="1576" t="s">
        <v>26</v>
      </c>
      <c r="AC444" s="1576" t="s">
        <v>35</v>
      </c>
      <c r="AD444" s="1576" t="s">
        <v>34</v>
      </c>
      <c r="AE444" s="1576" t="s">
        <v>34</v>
      </c>
      <c r="AF444" s="1576" t="s">
        <v>34</v>
      </c>
      <c r="AG444" s="1576" t="s">
        <v>34</v>
      </c>
      <c r="AH444" s="1576" t="s">
        <v>34</v>
      </c>
      <c r="AI444" s="1576" t="s">
        <v>34</v>
      </c>
      <c r="AJ444" s="1576" t="s">
        <v>34</v>
      </c>
      <c r="AK444" s="1681" t="s">
        <v>34</v>
      </c>
      <c r="AL444" s="1534" t="s">
        <v>34</v>
      </c>
      <c r="AM444" s="1576" t="s">
        <v>34</v>
      </c>
      <c r="AN444" s="1576" t="s">
        <v>34</v>
      </c>
      <c r="AO444" s="1576" t="s">
        <v>34</v>
      </c>
      <c r="AP444" s="1576" t="s">
        <v>34</v>
      </c>
      <c r="AQ444" s="1576" t="s">
        <v>34</v>
      </c>
      <c r="AR444" s="1576" t="s">
        <v>34</v>
      </c>
      <c r="AS444" s="1576" t="s">
        <v>58</v>
      </c>
      <c r="AT444" s="1576" t="s">
        <v>34</v>
      </c>
      <c r="AU444" s="1576" t="s">
        <v>59</v>
      </c>
      <c r="AV444" s="1576" t="s">
        <v>34</v>
      </c>
      <c r="AW444" s="1576" t="s">
        <v>34</v>
      </c>
      <c r="AX444" s="1534"/>
      <c r="AY444" s="2043"/>
      <c r="AZ444" s="2046"/>
      <c r="BA444" s="2047"/>
      <c r="BB444" s="2046"/>
      <c r="BC444" s="1549" t="s">
        <v>34</v>
      </c>
      <c r="BD444" s="2129"/>
      <c r="BE444" s="2130"/>
      <c r="BG444" s="1555" t="s">
        <v>353</v>
      </c>
      <c r="BH444" s="1578" t="s">
        <v>43</v>
      </c>
      <c r="BI444" s="1578" t="s">
        <v>42</v>
      </c>
      <c r="BJ444" s="1555" t="s">
        <v>354</v>
      </c>
      <c r="BK444" s="1561" t="s">
        <v>358</v>
      </c>
      <c r="BL444" s="1561"/>
      <c r="BM444" s="1561"/>
      <c r="BN444" s="1555"/>
      <c r="BO444" s="1555"/>
    </row>
    <row r="445" spans="1:72" ht="83.25" customHeight="1" thickBot="1">
      <c r="A445" s="1683">
        <v>6</v>
      </c>
      <c r="B445" s="1489" t="s">
        <v>36</v>
      </c>
      <c r="C445" s="1646" t="s">
        <v>149</v>
      </c>
      <c r="D445" s="1590" t="s">
        <v>347</v>
      </c>
      <c r="E445" s="1489">
        <f>'HK PANEN'!AH12</f>
        <v>24</v>
      </c>
      <c r="F445" s="1490">
        <v>129220</v>
      </c>
      <c r="G445" s="1490">
        <f t="shared" si="86"/>
        <v>3101280</v>
      </c>
      <c r="H445" s="1516">
        <f>'HK PANEN'!AI12</f>
        <v>0</v>
      </c>
      <c r="I445" s="1489">
        <f t="shared" si="65"/>
        <v>0</v>
      </c>
      <c r="J445" s="1489">
        <f>'HK PANEN'!AJ12</f>
        <v>0</v>
      </c>
      <c r="K445" s="1489">
        <f t="shared" si="66"/>
        <v>0</v>
      </c>
      <c r="L445" s="1489">
        <f>'HK PANEN'!AK12</f>
        <v>0</v>
      </c>
      <c r="M445" s="1489">
        <f t="shared" si="67"/>
        <v>0</v>
      </c>
      <c r="N445" s="1489">
        <f>'HK PANEN'!AL12</f>
        <v>4</v>
      </c>
      <c r="O445" s="1489">
        <f t="shared" si="68"/>
        <v>516880</v>
      </c>
      <c r="P445" s="1489">
        <f>'HK PANEN'!AM12</f>
        <v>3</v>
      </c>
      <c r="Q445" s="1489">
        <f t="shared" si="69"/>
        <v>387660</v>
      </c>
      <c r="R445" s="1489">
        <f>'HK PANEN'!AN12</f>
        <v>0</v>
      </c>
      <c r="S445" s="1489">
        <f t="shared" si="87"/>
        <v>0</v>
      </c>
      <c r="T445" s="1489">
        <f>'HK PANEN'!AO12</f>
        <v>0</v>
      </c>
      <c r="U445" s="1489">
        <f t="shared" si="70"/>
        <v>0</v>
      </c>
      <c r="V445" s="1491">
        <f t="shared" si="71"/>
        <v>31</v>
      </c>
      <c r="W445" s="1491">
        <v>5550</v>
      </c>
      <c r="X445" s="1491">
        <f t="shared" si="72"/>
        <v>172050</v>
      </c>
      <c r="Y445" s="1491"/>
      <c r="Z445" s="1491"/>
      <c r="AA445" s="1491">
        <f t="shared" si="73"/>
        <v>0</v>
      </c>
      <c r="AB445" s="1491">
        <v>2500</v>
      </c>
      <c r="AC445" s="1491">
        <f>'MASA KERJA AB'!H58</f>
        <v>5</v>
      </c>
      <c r="AD445" s="1649">
        <f>'MASA KERJA AB'!I58</f>
        <v>12500</v>
      </c>
      <c r="AE445" s="1497"/>
      <c r="AF445" s="1514">
        <f>'MONITORING '!AK43</f>
        <v>540479</v>
      </c>
      <c r="AG445" s="1498">
        <f>'MONITORING '!AK44</f>
        <v>330750</v>
      </c>
      <c r="AH445" s="1515">
        <v>472350</v>
      </c>
      <c r="AI445" s="1515">
        <f>'INSETIF MEI''25'!L10</f>
        <v>300000</v>
      </c>
      <c r="AJ445" s="1498"/>
      <c r="AK445" s="1499"/>
      <c r="AL445" s="1491"/>
      <c r="AM445" s="1491"/>
      <c r="AN445" s="1491">
        <f>'MONITORING '!AK45</f>
        <v>0</v>
      </c>
      <c r="AO445" s="1494">
        <f t="shared" si="74"/>
        <v>5833949</v>
      </c>
      <c r="AP445" s="1491">
        <f t="shared" si="88"/>
        <v>77532</v>
      </c>
      <c r="AQ445" s="1491">
        <f t="shared" si="89"/>
        <v>175997.64</v>
      </c>
      <c r="AR445" s="1491">
        <f t="shared" si="75"/>
        <v>253529.64</v>
      </c>
      <c r="AS445" s="1489">
        <f t="shared" si="90"/>
        <v>38891</v>
      </c>
      <c r="AT445" s="1489">
        <f t="shared" si="91"/>
        <v>155564</v>
      </c>
      <c r="AU445" s="1491">
        <f t="shared" si="92"/>
        <v>38766</v>
      </c>
      <c r="AV445" s="1491">
        <f t="shared" si="93"/>
        <v>77532</v>
      </c>
      <c r="AW445" s="1491">
        <f t="shared" si="94"/>
        <v>310753</v>
      </c>
      <c r="AX445" s="1649">
        <v>4000</v>
      </c>
      <c r="AY445" s="1649">
        <v>51916</v>
      </c>
      <c r="AZ445" s="1491">
        <f t="shared" si="77"/>
        <v>0</v>
      </c>
      <c r="BA445" s="1491"/>
      <c r="BB445" s="1489"/>
      <c r="BC445" s="1489">
        <f t="shared" si="78"/>
        <v>5622844</v>
      </c>
      <c r="BD445" s="1489">
        <f>'HK PANEN'!AQ12</f>
        <v>0</v>
      </c>
      <c r="BE445" s="1495">
        <f>'HK PANEN'!AR12</f>
        <v>0</v>
      </c>
      <c r="BG445" s="1551">
        <f t="shared" si="79"/>
        <v>4005820</v>
      </c>
      <c r="BH445" s="1552">
        <f t="shared" si="80"/>
        <v>0</v>
      </c>
      <c r="BI445" s="1552">
        <f t="shared" si="81"/>
        <v>0</v>
      </c>
      <c r="BJ445" s="1551">
        <f t="shared" si="82"/>
        <v>0</v>
      </c>
      <c r="BK445" s="1553">
        <f t="shared" si="83"/>
        <v>4005820</v>
      </c>
      <c r="BM445" s="1686">
        <f t="shared" si="95"/>
        <v>1828129</v>
      </c>
      <c r="BN445" s="1551">
        <v>30575.999999999996</v>
      </c>
      <c r="BO445" s="1551">
        <f t="shared" si="84"/>
        <v>186140</v>
      </c>
      <c r="BP445" s="1538"/>
      <c r="BQ445" s="1531">
        <f t="shared" si="85"/>
        <v>540479</v>
      </c>
      <c r="BR445" s="1538"/>
      <c r="BS445" s="1556" t="s">
        <v>347</v>
      </c>
      <c r="BT445" s="1556">
        <f t="shared" si="96"/>
        <v>540479</v>
      </c>
    </row>
    <row r="446" spans="1:72" ht="26.25" customHeight="1">
      <c r="A446" s="2049" t="s">
        <v>1033</v>
      </c>
      <c r="B446" s="2049"/>
      <c r="C446" s="2049"/>
      <c r="D446" s="2049"/>
      <c r="E446" s="2049"/>
      <c r="F446" s="2049"/>
      <c r="G446" s="2049"/>
      <c r="H446" s="2049"/>
      <c r="I446" s="2049"/>
      <c r="J446" s="2049"/>
      <c r="K446" s="2049"/>
      <c r="L446" s="2049"/>
      <c r="M446" s="2049"/>
      <c r="N446" s="2049"/>
      <c r="O446" s="2049"/>
      <c r="P446" s="2049"/>
      <c r="Q446" s="2049"/>
      <c r="R446" s="2049"/>
      <c r="S446" s="2049"/>
      <c r="T446" s="2049"/>
      <c r="U446" s="2049"/>
      <c r="V446" s="2049"/>
      <c r="W446" s="2049"/>
      <c r="X446" s="2049"/>
      <c r="Y446" s="2049"/>
      <c r="Z446" s="2049"/>
      <c r="AA446" s="2049"/>
      <c r="AB446" s="2049"/>
      <c r="AC446" s="2049"/>
      <c r="AD446" s="2049"/>
      <c r="AE446" s="2049"/>
      <c r="AF446" s="2049"/>
      <c r="AG446" s="2049"/>
      <c r="AH446" s="2049"/>
      <c r="AI446" s="2049"/>
      <c r="AJ446" s="2049"/>
      <c r="AK446" s="2049"/>
      <c r="AL446" s="2049"/>
      <c r="AM446" s="2049"/>
      <c r="AN446" s="2049"/>
      <c r="AO446" s="2049"/>
      <c r="AP446" s="2049"/>
      <c r="AQ446" s="2049"/>
      <c r="AR446" s="2049"/>
      <c r="AS446" s="2049"/>
      <c r="AT446" s="2049"/>
      <c r="AU446" s="2049"/>
      <c r="AV446" s="2049"/>
      <c r="AW446" s="2049"/>
      <c r="AX446" s="2049"/>
      <c r="AY446" s="2049"/>
      <c r="AZ446" s="2049"/>
      <c r="BA446" s="2049"/>
      <c r="BB446" s="2049"/>
      <c r="BC446" s="2049"/>
      <c r="BD446" s="2049"/>
      <c r="BE446" s="2049"/>
    </row>
    <row r="447" spans="1:72" ht="26.25" customHeight="1">
      <c r="A447" s="1532"/>
      <c r="B447" s="1532"/>
      <c r="C447" s="1605"/>
      <c r="D447" s="1532"/>
      <c r="E447" s="1532"/>
      <c r="F447" s="1560"/>
      <c r="G447" s="1560"/>
      <c r="H447" s="1532"/>
      <c r="I447" s="1532"/>
      <c r="J447" s="1532"/>
      <c r="K447" s="1532"/>
      <c r="L447" s="1532"/>
      <c r="M447" s="1532"/>
      <c r="N447" s="1532"/>
      <c r="O447" s="1532"/>
      <c r="P447" s="1532"/>
      <c r="Q447" s="1532"/>
      <c r="R447" s="1532"/>
      <c r="S447" s="1532"/>
      <c r="T447" s="1532"/>
      <c r="U447" s="1532"/>
      <c r="V447" s="1532"/>
      <c r="W447" s="1532"/>
      <c r="X447" s="1532"/>
      <c r="Y447" s="1532"/>
      <c r="Z447" s="1532"/>
      <c r="AA447" s="1532"/>
      <c r="AB447" s="1532"/>
      <c r="AC447" s="1532"/>
      <c r="AD447" s="1532"/>
      <c r="AE447" s="1532"/>
      <c r="AF447" s="1532"/>
      <c r="AG447" s="1532"/>
      <c r="AH447" s="1532"/>
      <c r="AI447" s="1532"/>
      <c r="AJ447" s="1532"/>
      <c r="AK447" s="1557"/>
      <c r="AL447" s="1532"/>
      <c r="AM447" s="1532"/>
      <c r="AN447" s="1532"/>
      <c r="AO447" s="1532"/>
      <c r="AP447" s="1558"/>
      <c r="AQ447" s="1559"/>
      <c r="AR447" s="1559"/>
      <c r="AS447" s="1559"/>
      <c r="AT447" s="1671"/>
      <c r="AU447" s="1532"/>
      <c r="AV447" s="1532"/>
      <c r="AW447" s="1532"/>
      <c r="AX447" s="1532"/>
      <c r="AY447" s="1532"/>
      <c r="AZ447" s="1532"/>
      <c r="BA447" s="1532"/>
      <c r="BB447" s="1532"/>
      <c r="BC447" s="1547"/>
      <c r="BD447" s="1532"/>
      <c r="BE447" s="1532"/>
    </row>
    <row r="448" spans="1:72" s="1523" customFormat="1" ht="16.5" customHeight="1">
      <c r="D448" s="1523" t="s">
        <v>964</v>
      </c>
      <c r="F448" s="1555"/>
      <c r="G448" s="1555"/>
      <c r="AE448" s="1532"/>
      <c r="AF448" s="1532"/>
      <c r="AG448" s="1532"/>
      <c r="AH448" s="1532"/>
      <c r="AI448" s="1532"/>
      <c r="AJ448" s="1532"/>
      <c r="AK448" s="1557"/>
      <c r="AL448" s="1532"/>
      <c r="AM448" s="1532"/>
      <c r="AO448" s="1561"/>
      <c r="AP448" s="1558">
        <v>3876600</v>
      </c>
      <c r="AQ448" s="1672">
        <f>AP448/30</f>
        <v>129220</v>
      </c>
      <c r="AR448" s="1673">
        <f>AP448/173*1.5</f>
        <v>33612.138728323698</v>
      </c>
      <c r="AS448" s="1566">
        <f>AP448/173*2</f>
        <v>44816.184971098264</v>
      </c>
      <c r="AT448" s="1674"/>
      <c r="AU448" s="1532" t="s">
        <v>55</v>
      </c>
      <c r="AV448" s="1523" t="s">
        <v>335</v>
      </c>
      <c r="BC448" s="1518"/>
      <c r="BE448" s="1532"/>
      <c r="BG448" s="1555"/>
      <c r="BH448" s="1560"/>
      <c r="BI448" s="1560"/>
      <c r="BJ448" s="1555"/>
      <c r="BK448" s="1561"/>
      <c r="BL448" s="1561"/>
      <c r="BM448" s="1561"/>
      <c r="BN448" s="1555"/>
      <c r="BO448" s="1555"/>
    </row>
    <row r="449" spans="1:72" ht="18.75" customHeight="1" thickBot="1">
      <c r="A449" s="1547"/>
      <c r="D449" s="1532"/>
      <c r="E449" s="1563"/>
      <c r="F449" s="1675"/>
      <c r="G449" s="1564"/>
      <c r="H449" s="1563"/>
      <c r="I449" s="1563"/>
      <c r="J449" s="1563"/>
      <c r="K449" s="1563"/>
      <c r="L449" s="1563"/>
      <c r="M449" s="1563"/>
      <c r="N449" s="1563"/>
      <c r="O449" s="1563"/>
      <c r="Q449" s="1563"/>
      <c r="R449" s="1563"/>
      <c r="S449" s="1563"/>
      <c r="T449" s="1563"/>
      <c r="U449" s="1563"/>
      <c r="V449" s="1563"/>
      <c r="W449" s="1563"/>
      <c r="X449" s="1563"/>
      <c r="Y449" s="1563"/>
      <c r="Z449" s="1563"/>
      <c r="AA449" s="1563"/>
      <c r="AB449" s="1563"/>
      <c r="AC449" s="1563"/>
      <c r="AD449" s="1563"/>
      <c r="AE449" s="1563"/>
      <c r="AF449" s="1563"/>
      <c r="AG449" s="1563"/>
      <c r="AH449" s="1563"/>
      <c r="AI449" s="1563"/>
      <c r="AJ449" s="1563"/>
      <c r="AK449" s="1565"/>
      <c r="AL449" s="1563"/>
      <c r="AM449" s="1563"/>
      <c r="AO449" s="1563"/>
      <c r="AP449" s="1558">
        <v>3876600</v>
      </c>
      <c r="AQ449" s="1566">
        <f>AP449/30</f>
        <v>129220</v>
      </c>
      <c r="AR449" s="1598"/>
      <c r="AS449" s="1598"/>
      <c r="AT449" s="1674"/>
    </row>
    <row r="450" spans="1:72" s="1523" customFormat="1" ht="18.75" customHeight="1">
      <c r="A450" s="2050" t="s">
        <v>5</v>
      </c>
      <c r="B450" s="2056" t="s">
        <v>6</v>
      </c>
      <c r="C450" s="2056" t="s">
        <v>52</v>
      </c>
      <c r="D450" s="1571"/>
      <c r="E450" s="1571"/>
      <c r="F450" s="1676"/>
      <c r="G450" s="1676"/>
      <c r="H450" s="2118" t="s">
        <v>2</v>
      </c>
      <c r="I450" s="2118"/>
      <c r="J450" s="2118"/>
      <c r="K450" s="2118"/>
      <c r="L450" s="2118"/>
      <c r="M450" s="2118"/>
      <c r="N450" s="2118"/>
      <c r="O450" s="2118"/>
      <c r="P450" s="2118"/>
      <c r="Q450" s="2118"/>
      <c r="R450" s="2118"/>
      <c r="S450" s="2118"/>
      <c r="T450" s="2118"/>
      <c r="U450" s="2118"/>
      <c r="V450" s="2056" t="s">
        <v>286</v>
      </c>
      <c r="W450" s="2118" t="s">
        <v>3</v>
      </c>
      <c r="X450" s="2118"/>
      <c r="Y450" s="2118"/>
      <c r="Z450" s="2118"/>
      <c r="AA450" s="2118"/>
      <c r="AB450" s="2118"/>
      <c r="AC450" s="2118"/>
      <c r="AD450" s="2118"/>
      <c r="AE450" s="2119" t="s">
        <v>45</v>
      </c>
      <c r="AF450" s="2063" t="s">
        <v>46</v>
      </c>
      <c r="AG450" s="2064"/>
      <c r="AH450" s="2064"/>
      <c r="AI450" s="2064"/>
      <c r="AJ450" s="2064"/>
      <c r="AK450" s="2065"/>
      <c r="AL450" s="1571"/>
      <c r="AM450" s="2045" t="s">
        <v>361</v>
      </c>
      <c r="AN450" s="2056" t="s">
        <v>44</v>
      </c>
      <c r="AO450" s="1533" t="s">
        <v>4</v>
      </c>
      <c r="AP450" s="2036" t="s">
        <v>20</v>
      </c>
      <c r="AQ450" s="2037"/>
      <c r="AR450" s="2038"/>
      <c r="AS450" s="2036" t="s">
        <v>54</v>
      </c>
      <c r="AT450" s="2037"/>
      <c r="AU450" s="2037"/>
      <c r="AV450" s="2037"/>
      <c r="AW450" s="2038"/>
      <c r="AX450" s="1571"/>
      <c r="AY450" s="2042" t="s">
        <v>90</v>
      </c>
      <c r="AZ450" s="2045" t="s">
        <v>97</v>
      </c>
      <c r="BA450" s="2045" t="s">
        <v>720</v>
      </c>
      <c r="BB450" s="2045" t="s">
        <v>362</v>
      </c>
      <c r="BC450" s="1548" t="s">
        <v>4</v>
      </c>
      <c r="BD450" s="2063" t="s">
        <v>41</v>
      </c>
      <c r="BE450" s="2084"/>
      <c r="BG450" s="1555"/>
      <c r="BH450" s="1560"/>
      <c r="BI450" s="1560"/>
      <c r="BJ450" s="1555"/>
      <c r="BK450" s="1561"/>
      <c r="BL450" s="1561"/>
      <c r="BM450" s="1561"/>
      <c r="BN450" s="1555"/>
      <c r="BO450" s="1555"/>
    </row>
    <row r="451" spans="1:72" s="1523" customFormat="1" ht="25.5" customHeight="1">
      <c r="A451" s="2051"/>
      <c r="B451" s="2057"/>
      <c r="C451" s="2057"/>
      <c r="D451" s="1534" t="s">
        <v>7</v>
      </c>
      <c r="E451" s="1534" t="s">
        <v>8</v>
      </c>
      <c r="F451" s="1677" t="s">
        <v>9</v>
      </c>
      <c r="G451" s="1677" t="s">
        <v>9</v>
      </c>
      <c r="H451" s="2131" t="s">
        <v>10</v>
      </c>
      <c r="I451" s="2131"/>
      <c r="J451" s="2131" t="s">
        <v>11</v>
      </c>
      <c r="K451" s="2131"/>
      <c r="L451" s="2131" t="s">
        <v>12</v>
      </c>
      <c r="M451" s="2131"/>
      <c r="N451" s="2131" t="s">
        <v>13</v>
      </c>
      <c r="O451" s="2131"/>
      <c r="P451" s="2131" t="s">
        <v>14</v>
      </c>
      <c r="Q451" s="2131"/>
      <c r="R451" s="2132" t="s">
        <v>15</v>
      </c>
      <c r="S451" s="2132"/>
      <c r="T451" s="2131" t="s">
        <v>16</v>
      </c>
      <c r="U451" s="2131"/>
      <c r="V451" s="2057"/>
      <c r="W451" s="2131" t="s">
        <v>17</v>
      </c>
      <c r="X451" s="2131"/>
      <c r="Y451" s="2131" t="s">
        <v>18</v>
      </c>
      <c r="Z451" s="2131"/>
      <c r="AA451" s="2131"/>
      <c r="AB451" s="2071" t="s">
        <v>19</v>
      </c>
      <c r="AC451" s="2081"/>
      <c r="AD451" s="2072"/>
      <c r="AE451" s="2120"/>
      <c r="AF451" s="2085"/>
      <c r="AG451" s="2122"/>
      <c r="AH451" s="2122"/>
      <c r="AI451" s="2122"/>
      <c r="AJ451" s="2122"/>
      <c r="AK451" s="2123"/>
      <c r="AL451" s="1678"/>
      <c r="AM451" s="2046"/>
      <c r="AN451" s="2057"/>
      <c r="AO451" s="1534" t="s">
        <v>9</v>
      </c>
      <c r="AP451" s="2039"/>
      <c r="AQ451" s="2040"/>
      <c r="AR451" s="2041"/>
      <c r="AS451" s="2039"/>
      <c r="AT451" s="2040"/>
      <c r="AU451" s="2040"/>
      <c r="AV451" s="2040"/>
      <c r="AW451" s="2041"/>
      <c r="AX451" s="1534" t="s">
        <v>21</v>
      </c>
      <c r="AY451" s="2043"/>
      <c r="AZ451" s="2046"/>
      <c r="BA451" s="2046"/>
      <c r="BB451" s="2046"/>
      <c r="BC451" s="1549" t="s">
        <v>9</v>
      </c>
      <c r="BD451" s="2085"/>
      <c r="BE451" s="2086"/>
      <c r="BG451" s="1555"/>
      <c r="BH451" s="1560"/>
      <c r="BI451" s="1560"/>
      <c r="BJ451" s="1555"/>
      <c r="BK451" s="1561"/>
      <c r="BL451" s="1561"/>
      <c r="BM451" s="1561"/>
      <c r="BN451" s="1555"/>
      <c r="BO451" s="1555"/>
    </row>
    <row r="452" spans="1:72" s="1523" customFormat="1" ht="36" customHeight="1">
      <c r="A452" s="2051"/>
      <c r="B452" s="2057"/>
      <c r="C452" s="2057"/>
      <c r="D452" s="1534" t="s">
        <v>22</v>
      </c>
      <c r="E452" s="1534" t="s">
        <v>23</v>
      </c>
      <c r="F452" s="1677" t="s">
        <v>24</v>
      </c>
      <c r="G452" s="1677" t="s">
        <v>25</v>
      </c>
      <c r="H452" s="2073" t="s">
        <v>4</v>
      </c>
      <c r="I452" s="2073"/>
      <c r="J452" s="2073" t="s">
        <v>4</v>
      </c>
      <c r="K452" s="2073"/>
      <c r="L452" s="2073" t="s">
        <v>4</v>
      </c>
      <c r="M452" s="2073"/>
      <c r="N452" s="2073" t="s">
        <v>4</v>
      </c>
      <c r="O452" s="2073"/>
      <c r="P452" s="2073" t="s">
        <v>4</v>
      </c>
      <c r="Q452" s="2073"/>
      <c r="R452" s="2073" t="s">
        <v>4</v>
      </c>
      <c r="S452" s="2073"/>
      <c r="T452" s="2073" t="s">
        <v>4</v>
      </c>
      <c r="U452" s="2073"/>
      <c r="V452" s="2057"/>
      <c r="W452" s="1534" t="s">
        <v>27</v>
      </c>
      <c r="X452" s="1576" t="s">
        <v>28</v>
      </c>
      <c r="Y452" s="1534" t="s">
        <v>27</v>
      </c>
      <c r="Z452" s="2073" t="s">
        <v>4</v>
      </c>
      <c r="AA452" s="2073"/>
      <c r="AB452" s="1534" t="s">
        <v>27</v>
      </c>
      <c r="AC452" s="2071" t="s">
        <v>4</v>
      </c>
      <c r="AD452" s="2072"/>
      <c r="AE452" s="2121"/>
      <c r="AF452" s="1575" t="s">
        <v>56</v>
      </c>
      <c r="AG452" s="1575" t="s">
        <v>57</v>
      </c>
      <c r="AH452" s="1575" t="s">
        <v>60</v>
      </c>
      <c r="AI452" s="1575" t="s">
        <v>288</v>
      </c>
      <c r="AJ452" s="1575" t="s">
        <v>97</v>
      </c>
      <c r="AK452" s="1575" t="s">
        <v>711</v>
      </c>
      <c r="AL452" s="1679"/>
      <c r="AM452" s="2089"/>
      <c r="AN452" s="2090"/>
      <c r="AO452" s="1534" t="s">
        <v>29</v>
      </c>
      <c r="AP452" s="1534" t="s">
        <v>30</v>
      </c>
      <c r="AQ452" s="1534" t="s">
        <v>31</v>
      </c>
      <c r="AR452" s="1534" t="s">
        <v>4</v>
      </c>
      <c r="AS452" s="1534" t="s">
        <v>30</v>
      </c>
      <c r="AT452" s="1534" t="s">
        <v>31</v>
      </c>
      <c r="AU452" s="1534" t="s">
        <v>30</v>
      </c>
      <c r="AV452" s="1534" t="s">
        <v>31</v>
      </c>
      <c r="AW452" s="1534" t="s">
        <v>4</v>
      </c>
      <c r="AX452" s="1534" t="s">
        <v>32</v>
      </c>
      <c r="AY452" s="2043"/>
      <c r="AZ452" s="2046"/>
      <c r="BA452" s="2046"/>
      <c r="BB452" s="2046"/>
      <c r="BC452" s="1549" t="s">
        <v>33</v>
      </c>
      <c r="BD452" s="2073" t="s">
        <v>42</v>
      </c>
      <c r="BE452" s="2075" t="s">
        <v>43</v>
      </c>
      <c r="BG452" s="1573"/>
      <c r="BH452" s="1560"/>
      <c r="BI452" s="1560"/>
      <c r="BJ452" s="1555"/>
      <c r="BK452" s="1561"/>
      <c r="BL452" s="1561"/>
      <c r="BM452" s="1561"/>
      <c r="BN452" s="1555"/>
      <c r="BO452" s="1555"/>
    </row>
    <row r="453" spans="1:72" s="1523" customFormat="1" ht="46.5" customHeight="1" thickBot="1">
      <c r="A453" s="2051"/>
      <c r="B453" s="2057"/>
      <c r="C453" s="2057"/>
      <c r="D453" s="1534"/>
      <c r="E453" s="1534"/>
      <c r="F453" s="1680" t="s">
        <v>34</v>
      </c>
      <c r="G453" s="1680" t="s">
        <v>34</v>
      </c>
      <c r="H453" s="1576" t="s">
        <v>8</v>
      </c>
      <c r="I453" s="1576" t="s">
        <v>34</v>
      </c>
      <c r="J453" s="1576" t="s">
        <v>8</v>
      </c>
      <c r="K453" s="1576" t="s">
        <v>34</v>
      </c>
      <c r="L453" s="1576" t="s">
        <v>8</v>
      </c>
      <c r="M453" s="1576" t="s">
        <v>34</v>
      </c>
      <c r="N453" s="1576" t="s">
        <v>8</v>
      </c>
      <c r="O453" s="1576" t="s">
        <v>34</v>
      </c>
      <c r="P453" s="1576" t="s">
        <v>8</v>
      </c>
      <c r="Q453" s="1576" t="s">
        <v>34</v>
      </c>
      <c r="R453" s="1576" t="s">
        <v>8</v>
      </c>
      <c r="S453" s="1576" t="s">
        <v>34</v>
      </c>
      <c r="T453" s="1576" t="s">
        <v>8</v>
      </c>
      <c r="U453" s="1576" t="s">
        <v>34</v>
      </c>
      <c r="V453" s="2057"/>
      <c r="W453" s="1576" t="s">
        <v>26</v>
      </c>
      <c r="X453" s="1576" t="s">
        <v>34</v>
      </c>
      <c r="Y453" s="1576" t="s">
        <v>26</v>
      </c>
      <c r="Z453" s="1576" t="s">
        <v>26</v>
      </c>
      <c r="AA453" s="1576" t="s">
        <v>34</v>
      </c>
      <c r="AB453" s="1576" t="s">
        <v>26</v>
      </c>
      <c r="AC453" s="1576" t="s">
        <v>35</v>
      </c>
      <c r="AD453" s="1576" t="s">
        <v>34</v>
      </c>
      <c r="AE453" s="1576" t="s">
        <v>34</v>
      </c>
      <c r="AF453" s="1576" t="s">
        <v>34</v>
      </c>
      <c r="AG453" s="1576" t="s">
        <v>34</v>
      </c>
      <c r="AH453" s="1576" t="s">
        <v>34</v>
      </c>
      <c r="AI453" s="1576" t="s">
        <v>34</v>
      </c>
      <c r="AJ453" s="1576" t="s">
        <v>34</v>
      </c>
      <c r="AK453" s="1681" t="s">
        <v>34</v>
      </c>
      <c r="AL453" s="1534" t="s">
        <v>34</v>
      </c>
      <c r="AM453" s="1576" t="s">
        <v>34</v>
      </c>
      <c r="AN453" s="1576" t="s">
        <v>34</v>
      </c>
      <c r="AO453" s="1576" t="s">
        <v>34</v>
      </c>
      <c r="AP453" s="1576" t="s">
        <v>34</v>
      </c>
      <c r="AQ453" s="1576" t="s">
        <v>34</v>
      </c>
      <c r="AR453" s="1576" t="s">
        <v>34</v>
      </c>
      <c r="AS453" s="1576" t="s">
        <v>58</v>
      </c>
      <c r="AT453" s="1576" t="s">
        <v>34</v>
      </c>
      <c r="AU453" s="1576" t="s">
        <v>59</v>
      </c>
      <c r="AV453" s="1576" t="s">
        <v>34</v>
      </c>
      <c r="AW453" s="1576" t="s">
        <v>34</v>
      </c>
      <c r="AX453" s="1534"/>
      <c r="AY453" s="2043"/>
      <c r="AZ453" s="2046"/>
      <c r="BA453" s="2047"/>
      <c r="BB453" s="2046"/>
      <c r="BC453" s="1549" t="s">
        <v>34</v>
      </c>
      <c r="BD453" s="2129"/>
      <c r="BE453" s="2130"/>
      <c r="BG453" s="1555" t="s">
        <v>353</v>
      </c>
      <c r="BH453" s="1578" t="s">
        <v>43</v>
      </c>
      <c r="BI453" s="1578" t="s">
        <v>42</v>
      </c>
      <c r="BJ453" s="1555" t="s">
        <v>354</v>
      </c>
      <c r="BK453" s="1561" t="s">
        <v>358</v>
      </c>
      <c r="BL453" s="1561"/>
      <c r="BM453" s="1561"/>
      <c r="BN453" s="1555"/>
      <c r="BO453" s="1555"/>
    </row>
    <row r="454" spans="1:72" ht="83.25" customHeight="1" thickBot="1">
      <c r="A454" s="1683">
        <v>7</v>
      </c>
      <c r="B454" s="1489" t="s">
        <v>36</v>
      </c>
      <c r="C454" s="1585" t="s">
        <v>277</v>
      </c>
      <c r="D454" s="1590" t="s">
        <v>276</v>
      </c>
      <c r="E454" s="1489">
        <f>'HK PANEN'!AH13</f>
        <v>24</v>
      </c>
      <c r="F454" s="1490">
        <v>129220</v>
      </c>
      <c r="G454" s="1490">
        <f t="shared" si="86"/>
        <v>3101280</v>
      </c>
      <c r="H454" s="1516">
        <f>'HK PANEN'!AI13</f>
        <v>0</v>
      </c>
      <c r="I454" s="1489">
        <f t="shared" si="65"/>
        <v>0</v>
      </c>
      <c r="J454" s="1489">
        <f>'HK PANEN'!AJ13</f>
        <v>0</v>
      </c>
      <c r="K454" s="1489">
        <f t="shared" si="66"/>
        <v>0</v>
      </c>
      <c r="L454" s="1489">
        <f>'HK PANEN'!AK13</f>
        <v>0</v>
      </c>
      <c r="M454" s="1489">
        <f t="shared" si="67"/>
        <v>0</v>
      </c>
      <c r="N454" s="1489">
        <f>'HK PANEN'!AL13</f>
        <v>4</v>
      </c>
      <c r="O454" s="1489">
        <f t="shared" si="68"/>
        <v>516880</v>
      </c>
      <c r="P454" s="1489">
        <f>'HK PANEN'!AM13</f>
        <v>3</v>
      </c>
      <c r="Q454" s="1489">
        <f t="shared" si="69"/>
        <v>387660</v>
      </c>
      <c r="R454" s="1489">
        <f>'HK PANEN'!AN13</f>
        <v>0</v>
      </c>
      <c r="S454" s="1489">
        <f t="shared" si="87"/>
        <v>0</v>
      </c>
      <c r="T454" s="1489">
        <f>'HK PANEN'!AO13</f>
        <v>0</v>
      </c>
      <c r="U454" s="1489">
        <f t="shared" si="70"/>
        <v>0</v>
      </c>
      <c r="V454" s="1491">
        <f t="shared" si="71"/>
        <v>31</v>
      </c>
      <c r="W454" s="1491">
        <v>5550</v>
      </c>
      <c r="X454" s="1491">
        <f t="shared" si="72"/>
        <v>172050</v>
      </c>
      <c r="Y454" s="1491"/>
      <c r="Z454" s="1491"/>
      <c r="AA454" s="1491">
        <f t="shared" si="73"/>
        <v>0</v>
      </c>
      <c r="AB454" s="1497">
        <v>2500</v>
      </c>
      <c r="AC454" s="1491">
        <f>'MASA KERJA AB'!H59</f>
        <v>2</v>
      </c>
      <c r="AD454" s="1649">
        <f>'MASA KERJA AB'!I59</f>
        <v>5000</v>
      </c>
      <c r="AE454" s="1497"/>
      <c r="AF454" s="1514">
        <f>'MONITORING '!AK56</f>
        <v>74375</v>
      </c>
      <c r="AG454" s="1498">
        <f>'MONITORING '!AK57</f>
        <v>308000</v>
      </c>
      <c r="AH454" s="1515">
        <v>395550</v>
      </c>
      <c r="AI454" s="1499"/>
      <c r="AJ454" s="1498"/>
      <c r="AK454" s="1499"/>
      <c r="AL454" s="1491"/>
      <c r="AM454" s="1491"/>
      <c r="AN454" s="1649">
        <f>'MONITORING '!AK58</f>
        <v>89547</v>
      </c>
      <c r="AO454" s="1494">
        <f t="shared" si="74"/>
        <v>4871248</v>
      </c>
      <c r="AP454" s="1491">
        <f t="shared" si="88"/>
        <v>77532</v>
      </c>
      <c r="AQ454" s="1491">
        <f t="shared" si="89"/>
        <v>175997.64</v>
      </c>
      <c r="AR454" s="1491">
        <f t="shared" si="75"/>
        <v>253529.64</v>
      </c>
      <c r="AS454" s="1489">
        <f t="shared" si="90"/>
        <v>38816</v>
      </c>
      <c r="AT454" s="1489">
        <f t="shared" si="91"/>
        <v>155264</v>
      </c>
      <c r="AU454" s="1491">
        <f t="shared" si="92"/>
        <v>38766</v>
      </c>
      <c r="AV454" s="1491">
        <f t="shared" si="93"/>
        <v>77532</v>
      </c>
      <c r="AW454" s="1491">
        <f t="shared" si="94"/>
        <v>310378</v>
      </c>
      <c r="AX454" s="1649">
        <v>4000</v>
      </c>
      <c r="AY454" s="1491">
        <v>0</v>
      </c>
      <c r="AZ454" s="1491">
        <f t="shared" si="77"/>
        <v>0</v>
      </c>
      <c r="BA454" s="1491"/>
      <c r="BB454" s="1491"/>
      <c r="BC454" s="1489">
        <f t="shared" si="78"/>
        <v>4712134</v>
      </c>
      <c r="BD454" s="1489">
        <f>'HK PANEN'!AQ13</f>
        <v>0</v>
      </c>
      <c r="BE454" s="1495">
        <f>'HK PANEN'!AR13</f>
        <v>0</v>
      </c>
      <c r="BG454" s="1551">
        <f t="shared" si="79"/>
        <v>4005820</v>
      </c>
      <c r="BH454" s="1552">
        <f t="shared" si="80"/>
        <v>0</v>
      </c>
      <c r="BI454" s="1552">
        <f t="shared" si="81"/>
        <v>0</v>
      </c>
      <c r="BJ454" s="1551">
        <f t="shared" si="82"/>
        <v>0</v>
      </c>
      <c r="BK454" s="1553">
        <f t="shared" si="83"/>
        <v>4005820</v>
      </c>
      <c r="BM454" s="1553">
        <f t="shared" si="95"/>
        <v>865428</v>
      </c>
      <c r="BN454" s="1551">
        <v>30575.999999999996</v>
      </c>
      <c r="BO454" s="1551">
        <f t="shared" si="84"/>
        <v>185840</v>
      </c>
      <c r="BQ454" s="1531">
        <f t="shared" si="85"/>
        <v>74375</v>
      </c>
      <c r="BS454" s="1523" t="s">
        <v>276</v>
      </c>
      <c r="BT454" s="1556">
        <f t="shared" si="96"/>
        <v>74375</v>
      </c>
    </row>
    <row r="455" spans="1:72" ht="26.25" customHeight="1">
      <c r="A455" s="2049" t="s">
        <v>1033</v>
      </c>
      <c r="B455" s="2049"/>
      <c r="C455" s="2049"/>
      <c r="D455" s="2049"/>
      <c r="E455" s="2049"/>
      <c r="F455" s="2049"/>
      <c r="G455" s="2049"/>
      <c r="H455" s="2049"/>
      <c r="I455" s="2049"/>
      <c r="J455" s="2049"/>
      <c r="K455" s="2049"/>
      <c r="L455" s="2049"/>
      <c r="M455" s="2049"/>
      <c r="N455" s="2049"/>
      <c r="O455" s="2049"/>
      <c r="P455" s="2049"/>
      <c r="Q455" s="2049"/>
      <c r="R455" s="2049"/>
      <c r="S455" s="2049"/>
      <c r="T455" s="2049"/>
      <c r="U455" s="2049"/>
      <c r="V455" s="2049"/>
      <c r="W455" s="2049"/>
      <c r="X455" s="2049"/>
      <c r="Y455" s="2049"/>
      <c r="Z455" s="2049"/>
      <c r="AA455" s="2049"/>
      <c r="AB455" s="2049"/>
      <c r="AC455" s="2049"/>
      <c r="AD455" s="2049"/>
      <c r="AE455" s="2049"/>
      <c r="AF455" s="2049"/>
      <c r="AG455" s="2049"/>
      <c r="AH455" s="2049"/>
      <c r="AI455" s="2049"/>
      <c r="AJ455" s="2049"/>
      <c r="AK455" s="2049"/>
      <c r="AL455" s="2049"/>
      <c r="AM455" s="2049"/>
      <c r="AN455" s="2049"/>
      <c r="AO455" s="2049"/>
      <c r="AP455" s="2049"/>
      <c r="AQ455" s="2049"/>
      <c r="AR455" s="2049"/>
      <c r="AS455" s="2049"/>
      <c r="AT455" s="2049"/>
      <c r="AU455" s="2049"/>
      <c r="AV455" s="2049"/>
      <c r="AW455" s="2049"/>
      <c r="AX455" s="2049"/>
      <c r="AY455" s="2049"/>
      <c r="AZ455" s="2049"/>
      <c r="BA455" s="2049"/>
      <c r="BB455" s="2049"/>
      <c r="BC455" s="2049"/>
      <c r="BD455" s="2049"/>
      <c r="BE455" s="2049"/>
    </row>
    <row r="456" spans="1:72" ht="26.25" customHeight="1">
      <c r="A456" s="1532"/>
      <c r="B456" s="1532"/>
      <c r="C456" s="1605"/>
      <c r="D456" s="1532"/>
      <c r="E456" s="1532"/>
      <c r="F456" s="1560"/>
      <c r="G456" s="1560"/>
      <c r="H456" s="1532"/>
      <c r="I456" s="1532"/>
      <c r="J456" s="1532"/>
      <c r="K456" s="1532"/>
      <c r="L456" s="1532"/>
      <c r="M456" s="1532"/>
      <c r="N456" s="1532"/>
      <c r="O456" s="1532"/>
      <c r="P456" s="1532"/>
      <c r="Q456" s="1532"/>
      <c r="R456" s="1532"/>
      <c r="S456" s="1532"/>
      <c r="T456" s="1532"/>
      <c r="U456" s="1532"/>
      <c r="V456" s="1532"/>
      <c r="W456" s="1532"/>
      <c r="X456" s="1532"/>
      <c r="Y456" s="1532"/>
      <c r="Z456" s="1532"/>
      <c r="AA456" s="1532"/>
      <c r="AB456" s="1532"/>
      <c r="AC456" s="1532"/>
      <c r="AD456" s="1532"/>
      <c r="AE456" s="1532"/>
      <c r="AF456" s="1532"/>
      <c r="AG456" s="1532"/>
      <c r="AH456" s="1532"/>
      <c r="AI456" s="1532"/>
      <c r="AJ456" s="1532"/>
      <c r="AK456" s="1557"/>
      <c r="AL456" s="1532"/>
      <c r="AM456" s="1532"/>
      <c r="AN456" s="1532"/>
      <c r="AO456" s="1532"/>
      <c r="AP456" s="1558"/>
      <c r="AQ456" s="1559"/>
      <c r="AR456" s="1559"/>
      <c r="AS456" s="1559"/>
      <c r="AT456" s="1671"/>
      <c r="AU456" s="1532"/>
      <c r="AV456" s="1532"/>
      <c r="AW456" s="1532"/>
      <c r="AX456" s="1532"/>
      <c r="AY456" s="1532"/>
      <c r="AZ456" s="1532"/>
      <c r="BA456" s="1532"/>
      <c r="BB456" s="1532"/>
      <c r="BC456" s="1547"/>
      <c r="BD456" s="1532"/>
      <c r="BE456" s="1532"/>
    </row>
    <row r="457" spans="1:72" s="1523" customFormat="1" ht="16.5" customHeight="1">
      <c r="D457" s="1523" t="s">
        <v>964</v>
      </c>
      <c r="F457" s="1555"/>
      <c r="G457" s="1555"/>
      <c r="AE457" s="1532"/>
      <c r="AF457" s="1532"/>
      <c r="AG457" s="1532"/>
      <c r="AH457" s="1532"/>
      <c r="AI457" s="1532"/>
      <c r="AJ457" s="1532"/>
      <c r="AK457" s="1557"/>
      <c r="AL457" s="1532"/>
      <c r="AM457" s="1532"/>
      <c r="AO457" s="1561"/>
      <c r="AP457" s="1558">
        <v>3876600</v>
      </c>
      <c r="AQ457" s="1672">
        <f>AP457/30</f>
        <v>129220</v>
      </c>
      <c r="AR457" s="1673">
        <f>AP457/173*1.5</f>
        <v>33612.138728323698</v>
      </c>
      <c r="AS457" s="1566">
        <f>AP457/173*2</f>
        <v>44816.184971098264</v>
      </c>
      <c r="AT457" s="1674"/>
      <c r="AU457" s="1532" t="s">
        <v>55</v>
      </c>
      <c r="AV457" s="1523" t="s">
        <v>335</v>
      </c>
      <c r="BC457" s="1518"/>
      <c r="BE457" s="1532"/>
      <c r="BG457" s="1555"/>
      <c r="BH457" s="1560"/>
      <c r="BI457" s="1560"/>
      <c r="BJ457" s="1555"/>
      <c r="BK457" s="1561"/>
      <c r="BL457" s="1561"/>
      <c r="BM457" s="1561"/>
      <c r="BN457" s="1555"/>
      <c r="BO457" s="1555"/>
    </row>
    <row r="458" spans="1:72" ht="18.75" customHeight="1" thickBot="1">
      <c r="A458" s="1547"/>
      <c r="D458" s="1532"/>
      <c r="E458" s="1563"/>
      <c r="F458" s="1675"/>
      <c r="G458" s="1564"/>
      <c r="H458" s="1563"/>
      <c r="I458" s="1563"/>
      <c r="J458" s="1563"/>
      <c r="K458" s="1563"/>
      <c r="L458" s="1563"/>
      <c r="M458" s="1563"/>
      <c r="N458" s="1563"/>
      <c r="O458" s="1563"/>
      <c r="Q458" s="1563"/>
      <c r="R458" s="1563"/>
      <c r="S458" s="1563"/>
      <c r="T458" s="1563"/>
      <c r="U458" s="1563"/>
      <c r="V458" s="1563"/>
      <c r="W458" s="1563"/>
      <c r="X458" s="1563"/>
      <c r="Y458" s="1563"/>
      <c r="Z458" s="1563"/>
      <c r="AA458" s="1563"/>
      <c r="AB458" s="1563"/>
      <c r="AC458" s="1563"/>
      <c r="AD458" s="1563"/>
      <c r="AE458" s="1563"/>
      <c r="AF458" s="1563"/>
      <c r="AG458" s="1563"/>
      <c r="AH458" s="1563"/>
      <c r="AI458" s="1563"/>
      <c r="AJ458" s="1563"/>
      <c r="AK458" s="1565"/>
      <c r="AL458" s="1563"/>
      <c r="AM458" s="1563"/>
      <c r="AO458" s="1563"/>
      <c r="AP458" s="1558">
        <v>3876600</v>
      </c>
      <c r="AQ458" s="1566">
        <f>AP458/30</f>
        <v>129220</v>
      </c>
      <c r="AR458" s="1598"/>
      <c r="AS458" s="1598"/>
      <c r="AT458" s="1674"/>
    </row>
    <row r="459" spans="1:72" s="1523" customFormat="1" ht="18.75" customHeight="1">
      <c r="A459" s="2050" t="s">
        <v>5</v>
      </c>
      <c r="B459" s="2056" t="s">
        <v>6</v>
      </c>
      <c r="C459" s="2056" t="s">
        <v>52</v>
      </c>
      <c r="D459" s="1571"/>
      <c r="E459" s="1571"/>
      <c r="F459" s="1676"/>
      <c r="G459" s="1676"/>
      <c r="H459" s="2118" t="s">
        <v>2</v>
      </c>
      <c r="I459" s="2118"/>
      <c r="J459" s="2118"/>
      <c r="K459" s="2118"/>
      <c r="L459" s="2118"/>
      <c r="M459" s="2118"/>
      <c r="N459" s="2118"/>
      <c r="O459" s="2118"/>
      <c r="P459" s="2118"/>
      <c r="Q459" s="2118"/>
      <c r="R459" s="2118"/>
      <c r="S459" s="2118"/>
      <c r="T459" s="2118"/>
      <c r="U459" s="2118"/>
      <c r="V459" s="2056" t="s">
        <v>286</v>
      </c>
      <c r="W459" s="2118" t="s">
        <v>3</v>
      </c>
      <c r="X459" s="2118"/>
      <c r="Y459" s="2118"/>
      <c r="Z459" s="2118"/>
      <c r="AA459" s="2118"/>
      <c r="AB459" s="2118"/>
      <c r="AC459" s="2118"/>
      <c r="AD459" s="2118"/>
      <c r="AE459" s="2119" t="s">
        <v>45</v>
      </c>
      <c r="AF459" s="2063" t="s">
        <v>46</v>
      </c>
      <c r="AG459" s="2064"/>
      <c r="AH459" s="2064"/>
      <c r="AI459" s="2064"/>
      <c r="AJ459" s="2064"/>
      <c r="AK459" s="2065"/>
      <c r="AL459" s="1571"/>
      <c r="AM459" s="2045" t="s">
        <v>361</v>
      </c>
      <c r="AN459" s="2056" t="s">
        <v>44</v>
      </c>
      <c r="AO459" s="1533" t="s">
        <v>4</v>
      </c>
      <c r="AP459" s="2036" t="s">
        <v>20</v>
      </c>
      <c r="AQ459" s="2037"/>
      <c r="AR459" s="2038"/>
      <c r="AS459" s="2036" t="s">
        <v>54</v>
      </c>
      <c r="AT459" s="2037"/>
      <c r="AU459" s="2037"/>
      <c r="AV459" s="2037"/>
      <c r="AW459" s="2038"/>
      <c r="AX459" s="1571"/>
      <c r="AY459" s="2042" t="s">
        <v>90</v>
      </c>
      <c r="AZ459" s="2045" t="s">
        <v>97</v>
      </c>
      <c r="BA459" s="2045" t="s">
        <v>720</v>
      </c>
      <c r="BB459" s="2045" t="s">
        <v>362</v>
      </c>
      <c r="BC459" s="1548" t="s">
        <v>4</v>
      </c>
      <c r="BD459" s="2063" t="s">
        <v>41</v>
      </c>
      <c r="BE459" s="2084"/>
      <c r="BG459" s="1555"/>
      <c r="BH459" s="1560"/>
      <c r="BI459" s="1560"/>
      <c r="BJ459" s="1555"/>
      <c r="BK459" s="1561"/>
      <c r="BL459" s="1561"/>
      <c r="BM459" s="1561"/>
      <c r="BN459" s="1555"/>
      <c r="BO459" s="1555"/>
    </row>
    <row r="460" spans="1:72" s="1523" customFormat="1" ht="25.5" customHeight="1">
      <c r="A460" s="2051"/>
      <c r="B460" s="2057"/>
      <c r="C460" s="2057"/>
      <c r="D460" s="1534" t="s">
        <v>7</v>
      </c>
      <c r="E460" s="1534" t="s">
        <v>8</v>
      </c>
      <c r="F460" s="1677" t="s">
        <v>9</v>
      </c>
      <c r="G460" s="1677" t="s">
        <v>9</v>
      </c>
      <c r="H460" s="2131" t="s">
        <v>10</v>
      </c>
      <c r="I460" s="2131"/>
      <c r="J460" s="2131" t="s">
        <v>11</v>
      </c>
      <c r="K460" s="2131"/>
      <c r="L460" s="2131" t="s">
        <v>12</v>
      </c>
      <c r="M460" s="2131"/>
      <c r="N460" s="2131" t="s">
        <v>13</v>
      </c>
      <c r="O460" s="2131"/>
      <c r="P460" s="2131" t="s">
        <v>14</v>
      </c>
      <c r="Q460" s="2131"/>
      <c r="R460" s="2132" t="s">
        <v>15</v>
      </c>
      <c r="S460" s="2132"/>
      <c r="T460" s="2131" t="s">
        <v>16</v>
      </c>
      <c r="U460" s="2131"/>
      <c r="V460" s="2057"/>
      <c r="W460" s="2131" t="s">
        <v>17</v>
      </c>
      <c r="X460" s="2131"/>
      <c r="Y460" s="2131" t="s">
        <v>18</v>
      </c>
      <c r="Z460" s="2131"/>
      <c r="AA460" s="2131"/>
      <c r="AB460" s="2071" t="s">
        <v>19</v>
      </c>
      <c r="AC460" s="2081"/>
      <c r="AD460" s="2072"/>
      <c r="AE460" s="2120"/>
      <c r="AF460" s="2085"/>
      <c r="AG460" s="2122"/>
      <c r="AH460" s="2122"/>
      <c r="AI460" s="2122"/>
      <c r="AJ460" s="2122"/>
      <c r="AK460" s="2123"/>
      <c r="AL460" s="1678"/>
      <c r="AM460" s="2046"/>
      <c r="AN460" s="2057"/>
      <c r="AO460" s="1534" t="s">
        <v>9</v>
      </c>
      <c r="AP460" s="2039"/>
      <c r="AQ460" s="2040"/>
      <c r="AR460" s="2041"/>
      <c r="AS460" s="2039"/>
      <c r="AT460" s="2040"/>
      <c r="AU460" s="2040"/>
      <c r="AV460" s="2040"/>
      <c r="AW460" s="2041"/>
      <c r="AX460" s="1534" t="s">
        <v>21</v>
      </c>
      <c r="AY460" s="2043"/>
      <c r="AZ460" s="2046"/>
      <c r="BA460" s="2046"/>
      <c r="BB460" s="2046"/>
      <c r="BC460" s="1549" t="s">
        <v>9</v>
      </c>
      <c r="BD460" s="2085"/>
      <c r="BE460" s="2086"/>
      <c r="BG460" s="1555"/>
      <c r="BH460" s="1560"/>
      <c r="BI460" s="1560"/>
      <c r="BJ460" s="1555"/>
      <c r="BK460" s="1561"/>
      <c r="BL460" s="1561"/>
      <c r="BM460" s="1561"/>
      <c r="BN460" s="1555"/>
      <c r="BO460" s="1555"/>
    </row>
    <row r="461" spans="1:72" s="1523" customFormat="1" ht="36" customHeight="1">
      <c r="A461" s="2051"/>
      <c r="B461" s="2057"/>
      <c r="C461" s="2057"/>
      <c r="D461" s="1534" t="s">
        <v>22</v>
      </c>
      <c r="E461" s="1534" t="s">
        <v>23</v>
      </c>
      <c r="F461" s="1677" t="s">
        <v>24</v>
      </c>
      <c r="G461" s="1677" t="s">
        <v>25</v>
      </c>
      <c r="H461" s="2073" t="s">
        <v>4</v>
      </c>
      <c r="I461" s="2073"/>
      <c r="J461" s="2073" t="s">
        <v>4</v>
      </c>
      <c r="K461" s="2073"/>
      <c r="L461" s="2073" t="s">
        <v>4</v>
      </c>
      <c r="M461" s="2073"/>
      <c r="N461" s="2073" t="s">
        <v>4</v>
      </c>
      <c r="O461" s="2073"/>
      <c r="P461" s="2073" t="s">
        <v>4</v>
      </c>
      <c r="Q461" s="2073"/>
      <c r="R461" s="2073" t="s">
        <v>4</v>
      </c>
      <c r="S461" s="2073"/>
      <c r="T461" s="2073" t="s">
        <v>4</v>
      </c>
      <c r="U461" s="2073"/>
      <c r="V461" s="2057"/>
      <c r="W461" s="1534" t="s">
        <v>27</v>
      </c>
      <c r="X461" s="1576" t="s">
        <v>28</v>
      </c>
      <c r="Y461" s="1534" t="s">
        <v>27</v>
      </c>
      <c r="Z461" s="2073" t="s">
        <v>4</v>
      </c>
      <c r="AA461" s="2073"/>
      <c r="AB461" s="1534" t="s">
        <v>27</v>
      </c>
      <c r="AC461" s="2071" t="s">
        <v>4</v>
      </c>
      <c r="AD461" s="2072"/>
      <c r="AE461" s="2121"/>
      <c r="AF461" s="1575" t="s">
        <v>56</v>
      </c>
      <c r="AG461" s="1575" t="s">
        <v>57</v>
      </c>
      <c r="AH461" s="1575" t="s">
        <v>60</v>
      </c>
      <c r="AI461" s="1575" t="s">
        <v>288</v>
      </c>
      <c r="AJ461" s="1575" t="s">
        <v>97</v>
      </c>
      <c r="AK461" s="1575" t="s">
        <v>711</v>
      </c>
      <c r="AL461" s="1679"/>
      <c r="AM461" s="2089"/>
      <c r="AN461" s="2090"/>
      <c r="AO461" s="1534" t="s">
        <v>29</v>
      </c>
      <c r="AP461" s="1534" t="s">
        <v>30</v>
      </c>
      <c r="AQ461" s="1534" t="s">
        <v>31</v>
      </c>
      <c r="AR461" s="1534" t="s">
        <v>4</v>
      </c>
      <c r="AS461" s="1534" t="s">
        <v>30</v>
      </c>
      <c r="AT461" s="1534" t="s">
        <v>31</v>
      </c>
      <c r="AU461" s="1534" t="s">
        <v>30</v>
      </c>
      <c r="AV461" s="1534" t="s">
        <v>31</v>
      </c>
      <c r="AW461" s="1534" t="s">
        <v>4</v>
      </c>
      <c r="AX461" s="1534" t="s">
        <v>32</v>
      </c>
      <c r="AY461" s="2043"/>
      <c r="AZ461" s="2046"/>
      <c r="BA461" s="2046"/>
      <c r="BB461" s="2046"/>
      <c r="BC461" s="1549" t="s">
        <v>33</v>
      </c>
      <c r="BD461" s="2073" t="s">
        <v>42</v>
      </c>
      <c r="BE461" s="2075" t="s">
        <v>43</v>
      </c>
      <c r="BG461" s="1573"/>
      <c r="BH461" s="1560"/>
      <c r="BI461" s="1560"/>
      <c r="BJ461" s="1555"/>
      <c r="BK461" s="1561"/>
      <c r="BL461" s="1561"/>
      <c r="BM461" s="1561"/>
      <c r="BN461" s="1555"/>
      <c r="BO461" s="1555"/>
    </row>
    <row r="462" spans="1:72" s="1523" customFormat="1" ht="46.5" customHeight="1" thickBot="1">
      <c r="A462" s="2051"/>
      <c r="B462" s="2057"/>
      <c r="C462" s="2057"/>
      <c r="D462" s="1534"/>
      <c r="E462" s="1534"/>
      <c r="F462" s="1680" t="s">
        <v>34</v>
      </c>
      <c r="G462" s="1680" t="s">
        <v>34</v>
      </c>
      <c r="H462" s="1576" t="s">
        <v>8</v>
      </c>
      <c r="I462" s="1576" t="s">
        <v>34</v>
      </c>
      <c r="J462" s="1576" t="s">
        <v>8</v>
      </c>
      <c r="K462" s="1576" t="s">
        <v>34</v>
      </c>
      <c r="L462" s="1576" t="s">
        <v>8</v>
      </c>
      <c r="M462" s="1576" t="s">
        <v>34</v>
      </c>
      <c r="N462" s="1576" t="s">
        <v>8</v>
      </c>
      <c r="O462" s="1576" t="s">
        <v>34</v>
      </c>
      <c r="P462" s="1576" t="s">
        <v>8</v>
      </c>
      <c r="Q462" s="1576" t="s">
        <v>34</v>
      </c>
      <c r="R462" s="1576" t="s">
        <v>8</v>
      </c>
      <c r="S462" s="1576" t="s">
        <v>34</v>
      </c>
      <c r="T462" s="1576" t="s">
        <v>8</v>
      </c>
      <c r="U462" s="1576" t="s">
        <v>34</v>
      </c>
      <c r="V462" s="2057"/>
      <c r="W462" s="1576" t="s">
        <v>26</v>
      </c>
      <c r="X462" s="1576" t="s">
        <v>34</v>
      </c>
      <c r="Y462" s="1576" t="s">
        <v>26</v>
      </c>
      <c r="Z462" s="1576" t="s">
        <v>26</v>
      </c>
      <c r="AA462" s="1576" t="s">
        <v>34</v>
      </c>
      <c r="AB462" s="1576" t="s">
        <v>26</v>
      </c>
      <c r="AC462" s="1576" t="s">
        <v>35</v>
      </c>
      <c r="AD462" s="1576" t="s">
        <v>34</v>
      </c>
      <c r="AE462" s="1576" t="s">
        <v>34</v>
      </c>
      <c r="AF462" s="1576" t="s">
        <v>34</v>
      </c>
      <c r="AG462" s="1576" t="s">
        <v>34</v>
      </c>
      <c r="AH462" s="1576" t="s">
        <v>34</v>
      </c>
      <c r="AI462" s="1576" t="s">
        <v>34</v>
      </c>
      <c r="AJ462" s="1576" t="s">
        <v>34</v>
      </c>
      <c r="AK462" s="1681" t="s">
        <v>34</v>
      </c>
      <c r="AL462" s="1534" t="s">
        <v>34</v>
      </c>
      <c r="AM462" s="1576" t="s">
        <v>34</v>
      </c>
      <c r="AN462" s="1576" t="s">
        <v>34</v>
      </c>
      <c r="AO462" s="1576" t="s">
        <v>34</v>
      </c>
      <c r="AP462" s="1576" t="s">
        <v>34</v>
      </c>
      <c r="AQ462" s="1576" t="s">
        <v>34</v>
      </c>
      <c r="AR462" s="1576" t="s">
        <v>34</v>
      </c>
      <c r="AS462" s="1576" t="s">
        <v>58</v>
      </c>
      <c r="AT462" s="1576" t="s">
        <v>34</v>
      </c>
      <c r="AU462" s="1576" t="s">
        <v>59</v>
      </c>
      <c r="AV462" s="1576" t="s">
        <v>34</v>
      </c>
      <c r="AW462" s="1576" t="s">
        <v>34</v>
      </c>
      <c r="AX462" s="1534"/>
      <c r="AY462" s="2043"/>
      <c r="AZ462" s="2046"/>
      <c r="BA462" s="2047"/>
      <c r="BB462" s="2046"/>
      <c r="BC462" s="1549" t="s">
        <v>34</v>
      </c>
      <c r="BD462" s="2129"/>
      <c r="BE462" s="2130"/>
      <c r="BG462" s="1555" t="s">
        <v>353</v>
      </c>
      <c r="BH462" s="1578" t="s">
        <v>43</v>
      </c>
      <c r="BI462" s="1578" t="s">
        <v>42</v>
      </c>
      <c r="BJ462" s="1555" t="s">
        <v>354</v>
      </c>
      <c r="BK462" s="1561" t="s">
        <v>358</v>
      </c>
      <c r="BL462" s="1561"/>
      <c r="BM462" s="1561"/>
      <c r="BN462" s="1555"/>
      <c r="BO462" s="1555"/>
    </row>
    <row r="463" spans="1:72" ht="83.25" customHeight="1" thickBot="1">
      <c r="A463" s="1683">
        <v>8</v>
      </c>
      <c r="B463" s="1489" t="s">
        <v>36</v>
      </c>
      <c r="C463" s="1585" t="s">
        <v>283</v>
      </c>
      <c r="D463" s="1590" t="s">
        <v>340</v>
      </c>
      <c r="E463" s="1489">
        <f>'HK PANEN'!AH14</f>
        <v>24</v>
      </c>
      <c r="F463" s="1490">
        <v>129220</v>
      </c>
      <c r="G463" s="1490">
        <f t="shared" si="86"/>
        <v>3101280</v>
      </c>
      <c r="H463" s="1516">
        <f>'HK PANEN'!AI14</f>
        <v>0</v>
      </c>
      <c r="I463" s="1489">
        <f t="shared" si="65"/>
        <v>0</v>
      </c>
      <c r="J463" s="1489">
        <f>'HK PANEN'!AJ14</f>
        <v>0</v>
      </c>
      <c r="K463" s="1489">
        <f t="shared" si="66"/>
        <v>0</v>
      </c>
      <c r="L463" s="1489">
        <f>'HK PANEN'!AK14</f>
        <v>0</v>
      </c>
      <c r="M463" s="1489">
        <f t="shared" si="67"/>
        <v>0</v>
      </c>
      <c r="N463" s="1489">
        <f>'HK PANEN'!AL14</f>
        <v>4</v>
      </c>
      <c r="O463" s="1489">
        <f t="shared" si="68"/>
        <v>516880</v>
      </c>
      <c r="P463" s="1489">
        <f>'HK PANEN'!AM14</f>
        <v>3</v>
      </c>
      <c r="Q463" s="1489">
        <f t="shared" si="69"/>
        <v>387660</v>
      </c>
      <c r="R463" s="1489">
        <f>'HK PANEN'!AN14</f>
        <v>0</v>
      </c>
      <c r="S463" s="1489">
        <f t="shared" si="87"/>
        <v>0</v>
      </c>
      <c r="T463" s="1489">
        <f>'HK PANEN'!AO14</f>
        <v>0</v>
      </c>
      <c r="U463" s="1489">
        <f t="shared" si="70"/>
        <v>0</v>
      </c>
      <c r="V463" s="1491">
        <f t="shared" si="71"/>
        <v>31</v>
      </c>
      <c r="W463" s="1491">
        <v>3700</v>
      </c>
      <c r="X463" s="1491">
        <f t="shared" si="72"/>
        <v>114700</v>
      </c>
      <c r="Y463" s="1491"/>
      <c r="Z463" s="1491"/>
      <c r="AA463" s="1491">
        <f t="shared" si="73"/>
        <v>0</v>
      </c>
      <c r="AB463" s="1497">
        <v>2500</v>
      </c>
      <c r="AC463" s="1491">
        <f>'MASA KERJA AB'!H60</f>
        <v>1</v>
      </c>
      <c r="AD463" s="1649">
        <f>'MASA KERJA AB'!I60</f>
        <v>2500</v>
      </c>
      <c r="AE463" s="1497"/>
      <c r="AF463" s="1514">
        <f>'MONITORING '!AK69</f>
        <v>125282</v>
      </c>
      <c r="AG463" s="1498">
        <f>'MONITORING '!AK70</f>
        <v>290500</v>
      </c>
      <c r="AH463" s="1515">
        <v>354350</v>
      </c>
      <c r="AI463" s="1499"/>
      <c r="AJ463" s="1498"/>
      <c r="AK463" s="1499"/>
      <c r="AL463" s="1491"/>
      <c r="AM463" s="1491"/>
      <c r="AN463" s="1491">
        <f>'MONITORING '!AK71</f>
        <v>0</v>
      </c>
      <c r="AO463" s="1494">
        <f t="shared" si="74"/>
        <v>4893152</v>
      </c>
      <c r="AP463" s="1491">
        <f t="shared" si="88"/>
        <v>77532</v>
      </c>
      <c r="AQ463" s="1491">
        <f t="shared" si="89"/>
        <v>175997.64</v>
      </c>
      <c r="AR463" s="1491">
        <f t="shared" si="75"/>
        <v>253529.64</v>
      </c>
      <c r="AS463" s="1489">
        <f t="shared" si="90"/>
        <v>38791</v>
      </c>
      <c r="AT463" s="1489">
        <f t="shared" si="91"/>
        <v>155164</v>
      </c>
      <c r="AU463" s="1491">
        <f t="shared" si="92"/>
        <v>38766</v>
      </c>
      <c r="AV463" s="1491">
        <f t="shared" si="93"/>
        <v>77532</v>
      </c>
      <c r="AW463" s="1491">
        <f t="shared" si="94"/>
        <v>310253</v>
      </c>
      <c r="AX463" s="1649">
        <v>4000</v>
      </c>
      <c r="AY463" s="1649">
        <v>28404</v>
      </c>
      <c r="AZ463" s="1491">
        <f t="shared" si="77"/>
        <v>0</v>
      </c>
      <c r="BA463" s="1491"/>
      <c r="BB463" s="1491"/>
      <c r="BC463" s="1489">
        <f t="shared" si="78"/>
        <v>4705659</v>
      </c>
      <c r="BD463" s="1489">
        <f>'HK PANEN'!AQ14</f>
        <v>0</v>
      </c>
      <c r="BE463" s="1495">
        <f>'HK PANEN'!AR14</f>
        <v>0</v>
      </c>
      <c r="BG463" s="1551">
        <f t="shared" si="79"/>
        <v>4005820</v>
      </c>
      <c r="BH463" s="1552">
        <f t="shared" si="80"/>
        <v>0</v>
      </c>
      <c r="BI463" s="1552">
        <f t="shared" si="81"/>
        <v>0</v>
      </c>
      <c r="BJ463" s="1551">
        <f t="shared" si="82"/>
        <v>0</v>
      </c>
      <c r="BK463" s="1553">
        <f t="shared" si="83"/>
        <v>4005820</v>
      </c>
      <c r="BM463" s="1553">
        <f t="shared" si="95"/>
        <v>887332</v>
      </c>
      <c r="BN463" s="1551">
        <v>30575.999999999996</v>
      </c>
      <c r="BO463" s="1551">
        <f t="shared" si="84"/>
        <v>185740</v>
      </c>
      <c r="BQ463" s="1531">
        <f t="shared" si="85"/>
        <v>125282</v>
      </c>
      <c r="BS463" s="1523" t="s">
        <v>340</v>
      </c>
      <c r="BT463" s="1556">
        <f t="shared" si="96"/>
        <v>125282</v>
      </c>
    </row>
    <row r="464" spans="1:72" ht="26.25" customHeight="1">
      <c r="A464" s="2049" t="s">
        <v>1033</v>
      </c>
      <c r="B464" s="2049"/>
      <c r="C464" s="2049"/>
      <c r="D464" s="2049"/>
      <c r="E464" s="2049"/>
      <c r="F464" s="2049"/>
      <c r="G464" s="2049"/>
      <c r="H464" s="2049"/>
      <c r="I464" s="2049"/>
      <c r="J464" s="2049"/>
      <c r="K464" s="2049"/>
      <c r="L464" s="2049"/>
      <c r="M464" s="2049"/>
      <c r="N464" s="2049"/>
      <c r="O464" s="2049"/>
      <c r="P464" s="2049"/>
      <c r="Q464" s="2049"/>
      <c r="R464" s="2049"/>
      <c r="S464" s="2049"/>
      <c r="T464" s="2049"/>
      <c r="U464" s="2049"/>
      <c r="V464" s="2049"/>
      <c r="W464" s="2049"/>
      <c r="X464" s="2049"/>
      <c r="Y464" s="2049"/>
      <c r="Z464" s="2049"/>
      <c r="AA464" s="2049"/>
      <c r="AB464" s="2049"/>
      <c r="AC464" s="2049"/>
      <c r="AD464" s="2049"/>
      <c r="AE464" s="2049"/>
      <c r="AF464" s="2049"/>
      <c r="AG464" s="2049"/>
      <c r="AH464" s="2049"/>
      <c r="AI464" s="2049"/>
      <c r="AJ464" s="2049"/>
      <c r="AK464" s="2049"/>
      <c r="AL464" s="2049"/>
      <c r="AM464" s="2049"/>
      <c r="AN464" s="2049"/>
      <c r="AO464" s="2049"/>
      <c r="AP464" s="2049"/>
      <c r="AQ464" s="2049"/>
      <c r="AR464" s="2049"/>
      <c r="AS464" s="2049"/>
      <c r="AT464" s="2049"/>
      <c r="AU464" s="2049"/>
      <c r="AV464" s="2049"/>
      <c r="AW464" s="2049"/>
      <c r="AX464" s="2049"/>
      <c r="AY464" s="2049"/>
      <c r="AZ464" s="2049"/>
      <c r="BA464" s="2049"/>
      <c r="BB464" s="2049"/>
      <c r="BC464" s="2049"/>
      <c r="BD464" s="2049"/>
      <c r="BE464" s="2049"/>
    </row>
    <row r="465" spans="1:72" ht="26.25" customHeight="1">
      <c r="A465" s="1532"/>
      <c r="B465" s="1532"/>
      <c r="C465" s="1605"/>
      <c r="D465" s="1532"/>
      <c r="E465" s="1532"/>
      <c r="F465" s="1560"/>
      <c r="G465" s="1560"/>
      <c r="H465" s="1532"/>
      <c r="I465" s="1532"/>
      <c r="J465" s="1532"/>
      <c r="K465" s="1532"/>
      <c r="L465" s="1532"/>
      <c r="M465" s="1532"/>
      <c r="N465" s="1532"/>
      <c r="O465" s="1532"/>
      <c r="P465" s="1532"/>
      <c r="Q465" s="1532"/>
      <c r="R465" s="1532"/>
      <c r="S465" s="1532"/>
      <c r="T465" s="1532"/>
      <c r="U465" s="1532"/>
      <c r="V465" s="1532"/>
      <c r="W465" s="1532"/>
      <c r="X465" s="1532"/>
      <c r="Y465" s="1532"/>
      <c r="Z465" s="1532"/>
      <c r="AA465" s="1532"/>
      <c r="AB465" s="1532"/>
      <c r="AC465" s="1532"/>
      <c r="AD465" s="1532"/>
      <c r="AE465" s="1532"/>
      <c r="AF465" s="1532"/>
      <c r="AG465" s="1532"/>
      <c r="AH465" s="1532"/>
      <c r="AI465" s="1532"/>
      <c r="AJ465" s="1532"/>
      <c r="AK465" s="1557"/>
      <c r="AL465" s="1532"/>
      <c r="AM465" s="1532"/>
      <c r="AN465" s="1532"/>
      <c r="AO465" s="1532"/>
      <c r="AP465" s="1558"/>
      <c r="AQ465" s="1559"/>
      <c r="AR465" s="1559"/>
      <c r="AS465" s="1559"/>
      <c r="AT465" s="1671"/>
      <c r="AU465" s="1532"/>
      <c r="AV465" s="1532"/>
      <c r="AW465" s="1532"/>
      <c r="AX465" s="1532"/>
      <c r="AY465" s="1532"/>
      <c r="AZ465" s="1532"/>
      <c r="BA465" s="1532"/>
      <c r="BB465" s="1532"/>
      <c r="BC465" s="1547"/>
      <c r="BD465" s="1532"/>
      <c r="BE465" s="1532"/>
    </row>
    <row r="466" spans="1:72" s="1523" customFormat="1" ht="16.5" customHeight="1">
      <c r="D466" s="1523" t="s">
        <v>964</v>
      </c>
      <c r="F466" s="1555"/>
      <c r="G466" s="1555"/>
      <c r="AE466" s="1532"/>
      <c r="AF466" s="1532"/>
      <c r="AG466" s="1532"/>
      <c r="AH466" s="1532"/>
      <c r="AI466" s="1532"/>
      <c r="AJ466" s="1532"/>
      <c r="AK466" s="1557"/>
      <c r="AL466" s="1532"/>
      <c r="AM466" s="1532"/>
      <c r="AO466" s="1561"/>
      <c r="AP466" s="1558">
        <v>3876600</v>
      </c>
      <c r="AQ466" s="1672">
        <f>AP466/30</f>
        <v>129220</v>
      </c>
      <c r="AR466" s="1673">
        <f>AP466/173*1.5</f>
        <v>33612.138728323698</v>
      </c>
      <c r="AS466" s="1566">
        <f>AP466/173*2</f>
        <v>44816.184971098264</v>
      </c>
      <c r="AT466" s="1674"/>
      <c r="AU466" s="1532" t="s">
        <v>55</v>
      </c>
      <c r="AV466" s="1523" t="s">
        <v>335</v>
      </c>
      <c r="BC466" s="1518"/>
      <c r="BE466" s="1532"/>
      <c r="BG466" s="1555"/>
      <c r="BH466" s="1560"/>
      <c r="BI466" s="1560"/>
      <c r="BJ466" s="1555"/>
      <c r="BK466" s="1561"/>
      <c r="BL466" s="1561"/>
      <c r="BM466" s="1561"/>
      <c r="BN466" s="1555"/>
      <c r="BO466" s="1555"/>
    </row>
    <row r="467" spans="1:72" ht="18.75" customHeight="1" thickBot="1">
      <c r="A467" s="1547"/>
      <c r="D467" s="1532"/>
      <c r="E467" s="1563"/>
      <c r="F467" s="1675"/>
      <c r="G467" s="1564"/>
      <c r="H467" s="1563"/>
      <c r="I467" s="1563"/>
      <c r="J467" s="1563"/>
      <c r="K467" s="1563"/>
      <c r="L467" s="1563"/>
      <c r="M467" s="1563"/>
      <c r="N467" s="1563"/>
      <c r="O467" s="1563"/>
      <c r="Q467" s="1563"/>
      <c r="R467" s="1563"/>
      <c r="S467" s="1563"/>
      <c r="T467" s="1563"/>
      <c r="U467" s="1563"/>
      <c r="V467" s="1563"/>
      <c r="W467" s="1563"/>
      <c r="X467" s="1563"/>
      <c r="Y467" s="1563"/>
      <c r="Z467" s="1563"/>
      <c r="AA467" s="1563"/>
      <c r="AB467" s="1563"/>
      <c r="AC467" s="1563"/>
      <c r="AD467" s="1563"/>
      <c r="AE467" s="1563"/>
      <c r="AF467" s="1563"/>
      <c r="AG467" s="1563"/>
      <c r="AH467" s="1563"/>
      <c r="AI467" s="1563"/>
      <c r="AJ467" s="1563"/>
      <c r="AK467" s="1565"/>
      <c r="AL467" s="1563"/>
      <c r="AM467" s="1563"/>
      <c r="AO467" s="1563"/>
      <c r="AP467" s="1558">
        <v>3876600</v>
      </c>
      <c r="AQ467" s="1566">
        <f>AP467/30</f>
        <v>129220</v>
      </c>
      <c r="AR467" s="1598"/>
      <c r="AS467" s="1598"/>
      <c r="AT467" s="1674"/>
    </row>
    <row r="468" spans="1:72" s="1523" customFormat="1" ht="18.75" customHeight="1">
      <c r="A468" s="2050" t="s">
        <v>5</v>
      </c>
      <c r="B468" s="2056" t="s">
        <v>6</v>
      </c>
      <c r="C468" s="2056" t="s">
        <v>52</v>
      </c>
      <c r="D468" s="1571"/>
      <c r="E468" s="1571"/>
      <c r="F468" s="1676"/>
      <c r="G468" s="1676"/>
      <c r="H468" s="2118" t="s">
        <v>2</v>
      </c>
      <c r="I468" s="2118"/>
      <c r="J468" s="2118"/>
      <c r="K468" s="2118"/>
      <c r="L468" s="2118"/>
      <c r="M468" s="2118"/>
      <c r="N468" s="2118"/>
      <c r="O468" s="2118"/>
      <c r="P468" s="2118"/>
      <c r="Q468" s="2118"/>
      <c r="R468" s="2118"/>
      <c r="S468" s="2118"/>
      <c r="T468" s="2118"/>
      <c r="U468" s="2118"/>
      <c r="V468" s="2056" t="s">
        <v>286</v>
      </c>
      <c r="W468" s="2118" t="s">
        <v>3</v>
      </c>
      <c r="X468" s="2118"/>
      <c r="Y468" s="2118"/>
      <c r="Z468" s="2118"/>
      <c r="AA468" s="2118"/>
      <c r="AB468" s="2118"/>
      <c r="AC468" s="2118"/>
      <c r="AD468" s="2118"/>
      <c r="AE468" s="2119" t="s">
        <v>45</v>
      </c>
      <c r="AF468" s="2063" t="s">
        <v>46</v>
      </c>
      <c r="AG468" s="2064"/>
      <c r="AH468" s="2064"/>
      <c r="AI468" s="2064"/>
      <c r="AJ468" s="2064"/>
      <c r="AK468" s="2065"/>
      <c r="AL468" s="1571"/>
      <c r="AM468" s="2045" t="s">
        <v>361</v>
      </c>
      <c r="AN468" s="2056" t="s">
        <v>44</v>
      </c>
      <c r="AO468" s="1533" t="s">
        <v>4</v>
      </c>
      <c r="AP468" s="2036" t="s">
        <v>20</v>
      </c>
      <c r="AQ468" s="2037"/>
      <c r="AR468" s="2038"/>
      <c r="AS468" s="2036" t="s">
        <v>54</v>
      </c>
      <c r="AT468" s="2037"/>
      <c r="AU468" s="2037"/>
      <c r="AV468" s="2037"/>
      <c r="AW468" s="2038"/>
      <c r="AX468" s="1571"/>
      <c r="AY468" s="2042" t="s">
        <v>90</v>
      </c>
      <c r="AZ468" s="2045" t="s">
        <v>97</v>
      </c>
      <c r="BA468" s="2045" t="s">
        <v>720</v>
      </c>
      <c r="BB468" s="2045" t="s">
        <v>362</v>
      </c>
      <c r="BC468" s="1548" t="s">
        <v>4</v>
      </c>
      <c r="BD468" s="2063" t="s">
        <v>41</v>
      </c>
      <c r="BE468" s="2084"/>
      <c r="BG468" s="1555"/>
      <c r="BH468" s="1560"/>
      <c r="BI468" s="1560"/>
      <c r="BJ468" s="1555"/>
      <c r="BK468" s="1561"/>
      <c r="BL468" s="1561"/>
      <c r="BM468" s="1561"/>
      <c r="BN468" s="1555"/>
      <c r="BO468" s="1555"/>
    </row>
    <row r="469" spans="1:72" s="1523" customFormat="1" ht="25.5" customHeight="1">
      <c r="A469" s="2051"/>
      <c r="B469" s="2057"/>
      <c r="C469" s="2057"/>
      <c r="D469" s="1534" t="s">
        <v>7</v>
      </c>
      <c r="E469" s="1534" t="s">
        <v>8</v>
      </c>
      <c r="F469" s="1677" t="s">
        <v>9</v>
      </c>
      <c r="G469" s="1677" t="s">
        <v>9</v>
      </c>
      <c r="H469" s="2131" t="s">
        <v>10</v>
      </c>
      <c r="I469" s="2131"/>
      <c r="J469" s="2131" t="s">
        <v>11</v>
      </c>
      <c r="K469" s="2131"/>
      <c r="L469" s="2131" t="s">
        <v>12</v>
      </c>
      <c r="M469" s="2131"/>
      <c r="N469" s="2131" t="s">
        <v>13</v>
      </c>
      <c r="O469" s="2131"/>
      <c r="P469" s="2131" t="s">
        <v>14</v>
      </c>
      <c r="Q469" s="2131"/>
      <c r="R469" s="2132" t="s">
        <v>15</v>
      </c>
      <c r="S469" s="2132"/>
      <c r="T469" s="2131" t="s">
        <v>16</v>
      </c>
      <c r="U469" s="2131"/>
      <c r="V469" s="2057"/>
      <c r="W469" s="2131" t="s">
        <v>17</v>
      </c>
      <c r="X469" s="2131"/>
      <c r="Y469" s="2131" t="s">
        <v>18</v>
      </c>
      <c r="Z469" s="2131"/>
      <c r="AA469" s="2131"/>
      <c r="AB469" s="2071" t="s">
        <v>19</v>
      </c>
      <c r="AC469" s="2081"/>
      <c r="AD469" s="2072"/>
      <c r="AE469" s="2120"/>
      <c r="AF469" s="2085"/>
      <c r="AG469" s="2122"/>
      <c r="AH469" s="2122"/>
      <c r="AI469" s="2122"/>
      <c r="AJ469" s="2122"/>
      <c r="AK469" s="2123"/>
      <c r="AL469" s="1678"/>
      <c r="AM469" s="2046"/>
      <c r="AN469" s="2057"/>
      <c r="AO469" s="1534" t="s">
        <v>9</v>
      </c>
      <c r="AP469" s="2039"/>
      <c r="AQ469" s="2040"/>
      <c r="AR469" s="2041"/>
      <c r="AS469" s="2039"/>
      <c r="AT469" s="2040"/>
      <c r="AU469" s="2040"/>
      <c r="AV469" s="2040"/>
      <c r="AW469" s="2041"/>
      <c r="AX469" s="1534" t="s">
        <v>21</v>
      </c>
      <c r="AY469" s="2043"/>
      <c r="AZ469" s="2046"/>
      <c r="BA469" s="2046"/>
      <c r="BB469" s="2046"/>
      <c r="BC469" s="1549" t="s">
        <v>9</v>
      </c>
      <c r="BD469" s="2085"/>
      <c r="BE469" s="2086"/>
      <c r="BG469" s="1555"/>
      <c r="BH469" s="1560"/>
      <c r="BI469" s="1560"/>
      <c r="BJ469" s="1555"/>
      <c r="BK469" s="1561"/>
      <c r="BL469" s="1561"/>
      <c r="BM469" s="1561"/>
      <c r="BN469" s="1555"/>
      <c r="BO469" s="1555"/>
    </row>
    <row r="470" spans="1:72" s="1523" customFormat="1" ht="36" customHeight="1">
      <c r="A470" s="2051"/>
      <c r="B470" s="2057"/>
      <c r="C470" s="2057"/>
      <c r="D470" s="1534" t="s">
        <v>22</v>
      </c>
      <c r="E470" s="1534" t="s">
        <v>23</v>
      </c>
      <c r="F470" s="1677" t="s">
        <v>24</v>
      </c>
      <c r="G470" s="1677" t="s">
        <v>25</v>
      </c>
      <c r="H470" s="2073" t="s">
        <v>4</v>
      </c>
      <c r="I470" s="2073"/>
      <c r="J470" s="2073" t="s">
        <v>4</v>
      </c>
      <c r="K470" s="2073"/>
      <c r="L470" s="2073" t="s">
        <v>4</v>
      </c>
      <c r="M470" s="2073"/>
      <c r="N470" s="2073" t="s">
        <v>4</v>
      </c>
      <c r="O470" s="2073"/>
      <c r="P470" s="2073" t="s">
        <v>4</v>
      </c>
      <c r="Q470" s="2073"/>
      <c r="R470" s="2073" t="s">
        <v>4</v>
      </c>
      <c r="S470" s="2073"/>
      <c r="T470" s="2073" t="s">
        <v>4</v>
      </c>
      <c r="U470" s="2073"/>
      <c r="V470" s="2057"/>
      <c r="W470" s="1534" t="s">
        <v>27</v>
      </c>
      <c r="X470" s="1576" t="s">
        <v>28</v>
      </c>
      <c r="Y470" s="1534" t="s">
        <v>27</v>
      </c>
      <c r="Z470" s="2073" t="s">
        <v>4</v>
      </c>
      <c r="AA470" s="2073"/>
      <c r="AB470" s="1534" t="s">
        <v>27</v>
      </c>
      <c r="AC470" s="2071" t="s">
        <v>4</v>
      </c>
      <c r="AD470" s="2072"/>
      <c r="AE470" s="2121"/>
      <c r="AF470" s="1575" t="s">
        <v>56</v>
      </c>
      <c r="AG470" s="1575" t="s">
        <v>57</v>
      </c>
      <c r="AH470" s="1575" t="s">
        <v>60</v>
      </c>
      <c r="AI470" s="1575" t="s">
        <v>288</v>
      </c>
      <c r="AJ470" s="1575" t="s">
        <v>97</v>
      </c>
      <c r="AK470" s="1575" t="s">
        <v>711</v>
      </c>
      <c r="AL470" s="1679"/>
      <c r="AM470" s="2089"/>
      <c r="AN470" s="2090"/>
      <c r="AO470" s="1534" t="s">
        <v>29</v>
      </c>
      <c r="AP470" s="1534" t="s">
        <v>30</v>
      </c>
      <c r="AQ470" s="1534" t="s">
        <v>31</v>
      </c>
      <c r="AR470" s="1534" t="s">
        <v>4</v>
      </c>
      <c r="AS470" s="1534" t="s">
        <v>30</v>
      </c>
      <c r="AT470" s="1534" t="s">
        <v>31</v>
      </c>
      <c r="AU470" s="1534" t="s">
        <v>30</v>
      </c>
      <c r="AV470" s="1534" t="s">
        <v>31</v>
      </c>
      <c r="AW470" s="1534" t="s">
        <v>4</v>
      </c>
      <c r="AX470" s="1534" t="s">
        <v>32</v>
      </c>
      <c r="AY470" s="2043"/>
      <c r="AZ470" s="2046"/>
      <c r="BA470" s="2046"/>
      <c r="BB470" s="2046"/>
      <c r="BC470" s="1549" t="s">
        <v>33</v>
      </c>
      <c r="BD470" s="2073" t="s">
        <v>42</v>
      </c>
      <c r="BE470" s="2075" t="s">
        <v>43</v>
      </c>
      <c r="BG470" s="1573"/>
      <c r="BH470" s="1560"/>
      <c r="BI470" s="1560"/>
      <c r="BJ470" s="1555"/>
      <c r="BK470" s="1561"/>
      <c r="BL470" s="1561"/>
      <c r="BM470" s="1561"/>
      <c r="BN470" s="1555"/>
      <c r="BO470" s="1555"/>
    </row>
    <row r="471" spans="1:72" s="1523" customFormat="1" ht="46.5" customHeight="1" thickBot="1">
      <c r="A471" s="2051"/>
      <c r="B471" s="2057"/>
      <c r="C471" s="2057"/>
      <c r="D471" s="1534"/>
      <c r="E471" s="1534"/>
      <c r="F471" s="1680" t="s">
        <v>34</v>
      </c>
      <c r="G471" s="1680" t="s">
        <v>34</v>
      </c>
      <c r="H471" s="1576" t="s">
        <v>8</v>
      </c>
      <c r="I471" s="1576" t="s">
        <v>34</v>
      </c>
      <c r="J471" s="1576" t="s">
        <v>8</v>
      </c>
      <c r="K471" s="1576" t="s">
        <v>34</v>
      </c>
      <c r="L471" s="1576" t="s">
        <v>8</v>
      </c>
      <c r="M471" s="1576" t="s">
        <v>34</v>
      </c>
      <c r="N471" s="1576" t="s">
        <v>8</v>
      </c>
      <c r="O471" s="1576" t="s">
        <v>34</v>
      </c>
      <c r="P471" s="1576" t="s">
        <v>8</v>
      </c>
      <c r="Q471" s="1576" t="s">
        <v>34</v>
      </c>
      <c r="R471" s="1576" t="s">
        <v>8</v>
      </c>
      <c r="S471" s="1576" t="s">
        <v>34</v>
      </c>
      <c r="T471" s="1576" t="s">
        <v>8</v>
      </c>
      <c r="U471" s="1576" t="s">
        <v>34</v>
      </c>
      <c r="V471" s="2057"/>
      <c r="W471" s="1576" t="s">
        <v>26</v>
      </c>
      <c r="X471" s="1576" t="s">
        <v>34</v>
      </c>
      <c r="Y471" s="1576" t="s">
        <v>26</v>
      </c>
      <c r="Z471" s="1576" t="s">
        <v>26</v>
      </c>
      <c r="AA471" s="1576" t="s">
        <v>34</v>
      </c>
      <c r="AB471" s="1576" t="s">
        <v>26</v>
      </c>
      <c r="AC471" s="1576" t="s">
        <v>35</v>
      </c>
      <c r="AD471" s="1576" t="s">
        <v>34</v>
      </c>
      <c r="AE471" s="1576" t="s">
        <v>34</v>
      </c>
      <c r="AF471" s="1576" t="s">
        <v>34</v>
      </c>
      <c r="AG471" s="1576" t="s">
        <v>34</v>
      </c>
      <c r="AH471" s="1576" t="s">
        <v>34</v>
      </c>
      <c r="AI471" s="1576" t="s">
        <v>34</v>
      </c>
      <c r="AJ471" s="1576" t="s">
        <v>34</v>
      </c>
      <c r="AK471" s="1681" t="s">
        <v>34</v>
      </c>
      <c r="AL471" s="1534" t="s">
        <v>34</v>
      </c>
      <c r="AM471" s="1576" t="s">
        <v>34</v>
      </c>
      <c r="AN471" s="1576" t="s">
        <v>34</v>
      </c>
      <c r="AO471" s="1576" t="s">
        <v>34</v>
      </c>
      <c r="AP471" s="1576" t="s">
        <v>34</v>
      </c>
      <c r="AQ471" s="1576" t="s">
        <v>34</v>
      </c>
      <c r="AR471" s="1576" t="s">
        <v>34</v>
      </c>
      <c r="AS471" s="1576" t="s">
        <v>58</v>
      </c>
      <c r="AT471" s="1576" t="s">
        <v>34</v>
      </c>
      <c r="AU471" s="1576" t="s">
        <v>59</v>
      </c>
      <c r="AV471" s="1576" t="s">
        <v>34</v>
      </c>
      <c r="AW471" s="1576" t="s">
        <v>34</v>
      </c>
      <c r="AX471" s="1534"/>
      <c r="AY471" s="2043"/>
      <c r="AZ471" s="2046"/>
      <c r="BA471" s="2047"/>
      <c r="BB471" s="2046"/>
      <c r="BC471" s="1549" t="s">
        <v>34</v>
      </c>
      <c r="BD471" s="2129"/>
      <c r="BE471" s="2130"/>
      <c r="BG471" s="1555" t="s">
        <v>353</v>
      </c>
      <c r="BH471" s="1578" t="s">
        <v>43</v>
      </c>
      <c r="BI471" s="1578" t="s">
        <v>42</v>
      </c>
      <c r="BJ471" s="1555" t="s">
        <v>354</v>
      </c>
      <c r="BK471" s="1561" t="s">
        <v>358</v>
      </c>
      <c r="BL471" s="1561"/>
      <c r="BM471" s="1561"/>
      <c r="BN471" s="1555"/>
      <c r="BO471" s="1555"/>
    </row>
    <row r="472" spans="1:72" ht="83.25" customHeight="1" thickBot="1">
      <c r="A472" s="1683">
        <v>9</v>
      </c>
      <c r="B472" s="1489" t="s">
        <v>36</v>
      </c>
      <c r="C472" s="1585" t="s">
        <v>283</v>
      </c>
      <c r="D472" s="1590" t="s">
        <v>339</v>
      </c>
      <c r="E472" s="1489">
        <f>'HK PANEN'!AH15</f>
        <v>24</v>
      </c>
      <c r="F472" s="1490">
        <v>129220</v>
      </c>
      <c r="G472" s="1490">
        <f t="shared" si="86"/>
        <v>3101280</v>
      </c>
      <c r="H472" s="1516">
        <f>'HK PANEN'!AI15</f>
        <v>0</v>
      </c>
      <c r="I472" s="1489">
        <f t="shared" si="65"/>
        <v>0</v>
      </c>
      <c r="J472" s="1489">
        <f>'HK PANEN'!AJ15</f>
        <v>0</v>
      </c>
      <c r="K472" s="1489">
        <f t="shared" si="66"/>
        <v>0</v>
      </c>
      <c r="L472" s="1489">
        <f>'HK PANEN'!AK15</f>
        <v>0</v>
      </c>
      <c r="M472" s="1489">
        <f t="shared" si="67"/>
        <v>0</v>
      </c>
      <c r="N472" s="1489">
        <f>'HK PANEN'!AL15</f>
        <v>4</v>
      </c>
      <c r="O472" s="1489">
        <f t="shared" si="68"/>
        <v>516880</v>
      </c>
      <c r="P472" s="1489">
        <f>'HK PANEN'!AM15</f>
        <v>3</v>
      </c>
      <c r="Q472" s="1489">
        <f t="shared" si="69"/>
        <v>387660</v>
      </c>
      <c r="R472" s="1489">
        <f>'HK PANEN'!AN15</f>
        <v>0</v>
      </c>
      <c r="S472" s="1489">
        <f t="shared" si="87"/>
        <v>0</v>
      </c>
      <c r="T472" s="1489">
        <f>'HK PANEN'!AO15</f>
        <v>0</v>
      </c>
      <c r="U472" s="1489">
        <f t="shared" si="70"/>
        <v>0</v>
      </c>
      <c r="V472" s="1491">
        <f t="shared" si="71"/>
        <v>31</v>
      </c>
      <c r="W472" s="1491">
        <v>2250</v>
      </c>
      <c r="X472" s="1491">
        <f t="shared" si="72"/>
        <v>69750</v>
      </c>
      <c r="Y472" s="1491"/>
      <c r="Z472" s="1491"/>
      <c r="AA472" s="1491">
        <f t="shared" si="73"/>
        <v>0</v>
      </c>
      <c r="AB472" s="1497">
        <v>2500</v>
      </c>
      <c r="AC472" s="1491">
        <f>'MASA KERJA AB'!H61</f>
        <v>1</v>
      </c>
      <c r="AD472" s="1649">
        <f>'MASA KERJA AB'!I61</f>
        <v>2500</v>
      </c>
      <c r="AE472" s="1497">
        <f>'LEMBUR DAN PREMI UPKEEP'!AJ95</f>
        <v>0</v>
      </c>
      <c r="AF472" s="1514">
        <f>'MONITORING '!AK82</f>
        <v>531258</v>
      </c>
      <c r="AG472" s="1498">
        <f>'MONITORING '!AK83</f>
        <v>253750</v>
      </c>
      <c r="AH472" s="1515">
        <v>371500</v>
      </c>
      <c r="AI472" s="1499"/>
      <c r="AJ472" s="1498"/>
      <c r="AK472" s="1499"/>
      <c r="AL472" s="1491"/>
      <c r="AM472" s="1491"/>
      <c r="AN472" s="1491">
        <f>'MONITORING '!AK84</f>
        <v>0</v>
      </c>
      <c r="AO472" s="1494">
        <f t="shared" si="74"/>
        <v>5234578</v>
      </c>
      <c r="AP472" s="1491">
        <f t="shared" si="88"/>
        <v>77532</v>
      </c>
      <c r="AQ472" s="1491">
        <f t="shared" si="89"/>
        <v>175997.64</v>
      </c>
      <c r="AR472" s="1491">
        <f t="shared" si="75"/>
        <v>253529.64</v>
      </c>
      <c r="AS472" s="1489">
        <f t="shared" si="90"/>
        <v>38791</v>
      </c>
      <c r="AT472" s="1489">
        <f t="shared" si="91"/>
        <v>155164</v>
      </c>
      <c r="AU472" s="1491">
        <f t="shared" si="92"/>
        <v>38766</v>
      </c>
      <c r="AV472" s="1491">
        <f t="shared" si="93"/>
        <v>77532</v>
      </c>
      <c r="AW472" s="1491">
        <f t="shared" si="94"/>
        <v>310253</v>
      </c>
      <c r="AX472" s="1649">
        <v>4000</v>
      </c>
      <c r="AY472" s="1649">
        <v>45167</v>
      </c>
      <c r="AZ472" s="1491">
        <f t="shared" si="77"/>
        <v>0</v>
      </c>
      <c r="BA472" s="1491"/>
      <c r="BB472" s="1491"/>
      <c r="BC472" s="1489">
        <f t="shared" si="78"/>
        <v>5030322</v>
      </c>
      <c r="BD472" s="1489">
        <f>'HK PANEN'!AQ15</f>
        <v>0</v>
      </c>
      <c r="BE472" s="1495">
        <f>'HK PANEN'!AR15</f>
        <v>0</v>
      </c>
      <c r="BG472" s="1551">
        <f t="shared" si="79"/>
        <v>4005820</v>
      </c>
      <c r="BH472" s="1552">
        <f t="shared" si="80"/>
        <v>0</v>
      </c>
      <c r="BI472" s="1552">
        <f t="shared" si="81"/>
        <v>0</v>
      </c>
      <c r="BJ472" s="1551">
        <f t="shared" si="82"/>
        <v>0</v>
      </c>
      <c r="BK472" s="1553">
        <f t="shared" si="83"/>
        <v>4005820</v>
      </c>
      <c r="BM472" s="1553">
        <f t="shared" si="95"/>
        <v>1228758</v>
      </c>
      <c r="BN472" s="1551">
        <v>30575.999999999996</v>
      </c>
      <c r="BO472" s="1551">
        <f t="shared" si="84"/>
        <v>185740</v>
      </c>
      <c r="BQ472" s="1531">
        <f t="shared" si="85"/>
        <v>531258</v>
      </c>
      <c r="BS472" s="1523" t="s">
        <v>339</v>
      </c>
      <c r="BT472" s="1556">
        <f t="shared" si="96"/>
        <v>531258</v>
      </c>
    </row>
    <row r="473" spans="1:72" ht="26.25" customHeight="1">
      <c r="A473" s="2049" t="s">
        <v>1033</v>
      </c>
      <c r="B473" s="2049"/>
      <c r="C473" s="2049"/>
      <c r="D473" s="2049"/>
      <c r="E473" s="2049"/>
      <c r="F473" s="2049"/>
      <c r="G473" s="2049"/>
      <c r="H473" s="2049"/>
      <c r="I473" s="2049"/>
      <c r="J473" s="2049"/>
      <c r="K473" s="2049"/>
      <c r="L473" s="2049"/>
      <c r="M473" s="2049"/>
      <c r="N473" s="2049"/>
      <c r="O473" s="2049"/>
      <c r="P473" s="2049"/>
      <c r="Q473" s="2049"/>
      <c r="R473" s="2049"/>
      <c r="S473" s="2049"/>
      <c r="T473" s="2049"/>
      <c r="U473" s="2049"/>
      <c r="V473" s="2049"/>
      <c r="W473" s="2049"/>
      <c r="X473" s="2049"/>
      <c r="Y473" s="2049"/>
      <c r="Z473" s="2049"/>
      <c r="AA473" s="2049"/>
      <c r="AB473" s="2049"/>
      <c r="AC473" s="2049"/>
      <c r="AD473" s="2049"/>
      <c r="AE473" s="2049"/>
      <c r="AF473" s="2049"/>
      <c r="AG473" s="2049"/>
      <c r="AH473" s="2049"/>
      <c r="AI473" s="2049"/>
      <c r="AJ473" s="2049"/>
      <c r="AK473" s="2049"/>
      <c r="AL473" s="2049"/>
      <c r="AM473" s="2049"/>
      <c r="AN473" s="2049"/>
      <c r="AO473" s="2049"/>
      <c r="AP473" s="2049"/>
      <c r="AQ473" s="2049"/>
      <c r="AR473" s="2049"/>
      <c r="AS473" s="2049"/>
      <c r="AT473" s="2049"/>
      <c r="AU473" s="2049"/>
      <c r="AV473" s="2049"/>
      <c r="AW473" s="2049"/>
      <c r="AX473" s="2049"/>
      <c r="AY473" s="2049"/>
      <c r="AZ473" s="2049"/>
      <c r="BA473" s="2049"/>
      <c r="BB473" s="2049"/>
      <c r="BC473" s="2049"/>
      <c r="BD473" s="2049"/>
      <c r="BE473" s="2049"/>
    </row>
    <row r="474" spans="1:72" ht="26.25" customHeight="1">
      <c r="A474" s="1532"/>
      <c r="B474" s="1532"/>
      <c r="C474" s="1605"/>
      <c r="D474" s="1532"/>
      <c r="E474" s="1532"/>
      <c r="F474" s="1560"/>
      <c r="G474" s="1560"/>
      <c r="H474" s="1532"/>
      <c r="I474" s="1532"/>
      <c r="J474" s="1532"/>
      <c r="K474" s="1532"/>
      <c r="L474" s="1532"/>
      <c r="M474" s="1532"/>
      <c r="N474" s="1532"/>
      <c r="O474" s="1532"/>
      <c r="P474" s="1532"/>
      <c r="Q474" s="1532"/>
      <c r="R474" s="1532"/>
      <c r="S474" s="1532"/>
      <c r="T474" s="1532"/>
      <c r="U474" s="1532"/>
      <c r="V474" s="1532"/>
      <c r="W474" s="1532"/>
      <c r="X474" s="1532"/>
      <c r="Y474" s="1532"/>
      <c r="Z474" s="1532"/>
      <c r="AA474" s="1532"/>
      <c r="AB474" s="1532"/>
      <c r="AC474" s="1532"/>
      <c r="AD474" s="1532"/>
      <c r="AE474" s="1532"/>
      <c r="AF474" s="1532"/>
      <c r="AG474" s="1532"/>
      <c r="AH474" s="1532"/>
      <c r="AI474" s="1532"/>
      <c r="AJ474" s="1532"/>
      <c r="AK474" s="1557"/>
      <c r="AL474" s="1532"/>
      <c r="AM474" s="1532"/>
      <c r="AN474" s="1532"/>
      <c r="AO474" s="1532"/>
      <c r="AP474" s="1558"/>
      <c r="AQ474" s="1559"/>
      <c r="AR474" s="1559"/>
      <c r="AS474" s="1559"/>
      <c r="AT474" s="1671"/>
      <c r="AU474" s="1532"/>
      <c r="AV474" s="1532"/>
      <c r="AW474" s="1532"/>
      <c r="AX474" s="1532"/>
      <c r="AY474" s="1532"/>
      <c r="AZ474" s="1532"/>
      <c r="BA474" s="1532"/>
      <c r="BB474" s="1532"/>
      <c r="BC474" s="1547"/>
      <c r="BD474" s="1532"/>
      <c r="BE474" s="1532"/>
    </row>
    <row r="475" spans="1:72" s="1523" customFormat="1" ht="16.5" customHeight="1">
      <c r="D475" s="1523" t="s">
        <v>964</v>
      </c>
      <c r="F475" s="1555"/>
      <c r="G475" s="1555"/>
      <c r="AE475" s="1532"/>
      <c r="AF475" s="1532"/>
      <c r="AG475" s="1532"/>
      <c r="AH475" s="1532"/>
      <c r="AI475" s="1532"/>
      <c r="AJ475" s="1532"/>
      <c r="AK475" s="1557"/>
      <c r="AL475" s="1532"/>
      <c r="AM475" s="1532"/>
      <c r="AO475" s="1561"/>
      <c r="AP475" s="1558">
        <v>3876600</v>
      </c>
      <c r="AQ475" s="1672">
        <f>AP475/30</f>
        <v>129220</v>
      </c>
      <c r="AR475" s="1673">
        <f>AP475/173*1.5</f>
        <v>33612.138728323698</v>
      </c>
      <c r="AS475" s="1566">
        <f>AP475/173*2</f>
        <v>44816.184971098264</v>
      </c>
      <c r="AT475" s="1674"/>
      <c r="AU475" s="1532" t="s">
        <v>55</v>
      </c>
      <c r="AV475" s="1523" t="s">
        <v>335</v>
      </c>
      <c r="BC475" s="1518"/>
      <c r="BE475" s="1532"/>
      <c r="BG475" s="1555"/>
      <c r="BH475" s="1560"/>
      <c r="BI475" s="1560"/>
      <c r="BJ475" s="1555"/>
      <c r="BK475" s="1561"/>
      <c r="BL475" s="1561"/>
      <c r="BM475" s="1561"/>
      <c r="BN475" s="1555"/>
      <c r="BO475" s="1555"/>
    </row>
    <row r="476" spans="1:72" ht="18.75" customHeight="1" thickBot="1">
      <c r="A476" s="1547"/>
      <c r="D476" s="1532"/>
      <c r="E476" s="1563"/>
      <c r="F476" s="1675"/>
      <c r="G476" s="1564"/>
      <c r="H476" s="1563"/>
      <c r="I476" s="1563"/>
      <c r="J476" s="1563"/>
      <c r="K476" s="1563"/>
      <c r="L476" s="1563"/>
      <c r="M476" s="1563"/>
      <c r="N476" s="1563"/>
      <c r="O476" s="1563"/>
      <c r="Q476" s="1563"/>
      <c r="R476" s="1563"/>
      <c r="S476" s="1563"/>
      <c r="T476" s="1563"/>
      <c r="U476" s="1563"/>
      <c r="V476" s="1563"/>
      <c r="W476" s="1563"/>
      <c r="X476" s="1563"/>
      <c r="Y476" s="1563"/>
      <c r="Z476" s="1563"/>
      <c r="AA476" s="1563"/>
      <c r="AB476" s="1563"/>
      <c r="AC476" s="1563"/>
      <c r="AD476" s="1563"/>
      <c r="AE476" s="1563"/>
      <c r="AF476" s="1563"/>
      <c r="AG476" s="1563"/>
      <c r="AH476" s="1563"/>
      <c r="AI476" s="1563"/>
      <c r="AJ476" s="1563"/>
      <c r="AK476" s="1565"/>
      <c r="AL476" s="1563"/>
      <c r="AM476" s="1563"/>
      <c r="AO476" s="1563"/>
      <c r="AP476" s="1558">
        <v>3876600</v>
      </c>
      <c r="AQ476" s="1566">
        <f>AP476/30</f>
        <v>129220</v>
      </c>
      <c r="AR476" s="1598"/>
      <c r="AS476" s="1598"/>
      <c r="AT476" s="1674"/>
    </row>
    <row r="477" spans="1:72" s="1523" customFormat="1" ht="18.75" customHeight="1">
      <c r="A477" s="2050" t="s">
        <v>5</v>
      </c>
      <c r="B477" s="2056" t="s">
        <v>6</v>
      </c>
      <c r="C477" s="2056" t="s">
        <v>52</v>
      </c>
      <c r="D477" s="1571"/>
      <c r="E477" s="1571"/>
      <c r="F477" s="1676"/>
      <c r="G477" s="1676"/>
      <c r="H477" s="2118" t="s">
        <v>2</v>
      </c>
      <c r="I477" s="2118"/>
      <c r="J477" s="2118"/>
      <c r="K477" s="2118"/>
      <c r="L477" s="2118"/>
      <c r="M477" s="2118"/>
      <c r="N477" s="2118"/>
      <c r="O477" s="2118"/>
      <c r="P477" s="2118"/>
      <c r="Q477" s="2118"/>
      <c r="R477" s="2118"/>
      <c r="S477" s="2118"/>
      <c r="T477" s="2118"/>
      <c r="U477" s="2118"/>
      <c r="V477" s="2056" t="s">
        <v>286</v>
      </c>
      <c r="W477" s="2118" t="s">
        <v>3</v>
      </c>
      <c r="X477" s="2118"/>
      <c r="Y477" s="2118"/>
      <c r="Z477" s="2118"/>
      <c r="AA477" s="2118"/>
      <c r="AB477" s="2118"/>
      <c r="AC477" s="2118"/>
      <c r="AD477" s="2118"/>
      <c r="AE477" s="2119" t="s">
        <v>45</v>
      </c>
      <c r="AF477" s="2063" t="s">
        <v>46</v>
      </c>
      <c r="AG477" s="2064"/>
      <c r="AH477" s="2064"/>
      <c r="AI477" s="2064"/>
      <c r="AJ477" s="2064"/>
      <c r="AK477" s="2065"/>
      <c r="AL477" s="1571"/>
      <c r="AM477" s="2045" t="s">
        <v>361</v>
      </c>
      <c r="AN477" s="2056" t="s">
        <v>44</v>
      </c>
      <c r="AO477" s="1533" t="s">
        <v>4</v>
      </c>
      <c r="AP477" s="2036" t="s">
        <v>20</v>
      </c>
      <c r="AQ477" s="2037"/>
      <c r="AR477" s="2038"/>
      <c r="AS477" s="2036" t="s">
        <v>54</v>
      </c>
      <c r="AT477" s="2037"/>
      <c r="AU477" s="2037"/>
      <c r="AV477" s="2037"/>
      <c r="AW477" s="2038"/>
      <c r="AX477" s="1571"/>
      <c r="AY477" s="2042" t="s">
        <v>90</v>
      </c>
      <c r="AZ477" s="2045" t="s">
        <v>97</v>
      </c>
      <c r="BA477" s="2045" t="s">
        <v>720</v>
      </c>
      <c r="BB477" s="2045" t="s">
        <v>362</v>
      </c>
      <c r="BC477" s="1548" t="s">
        <v>4</v>
      </c>
      <c r="BD477" s="2063" t="s">
        <v>41</v>
      </c>
      <c r="BE477" s="2084"/>
      <c r="BG477" s="1555"/>
      <c r="BH477" s="1560"/>
      <c r="BI477" s="1560"/>
      <c r="BJ477" s="1555"/>
      <c r="BK477" s="1561"/>
      <c r="BL477" s="1561"/>
      <c r="BM477" s="1561"/>
      <c r="BN477" s="1555"/>
      <c r="BO477" s="1555"/>
    </row>
    <row r="478" spans="1:72" s="1523" customFormat="1" ht="25.5" customHeight="1">
      <c r="A478" s="2051"/>
      <c r="B478" s="2057"/>
      <c r="C478" s="2057"/>
      <c r="D478" s="1534" t="s">
        <v>7</v>
      </c>
      <c r="E478" s="1534" t="s">
        <v>8</v>
      </c>
      <c r="F478" s="1677" t="s">
        <v>9</v>
      </c>
      <c r="G478" s="1677" t="s">
        <v>9</v>
      </c>
      <c r="H478" s="2131" t="s">
        <v>10</v>
      </c>
      <c r="I478" s="2131"/>
      <c r="J478" s="2131" t="s">
        <v>11</v>
      </c>
      <c r="K478" s="2131"/>
      <c r="L478" s="2131" t="s">
        <v>12</v>
      </c>
      <c r="M478" s="2131"/>
      <c r="N478" s="2131" t="s">
        <v>13</v>
      </c>
      <c r="O478" s="2131"/>
      <c r="P478" s="2131" t="s">
        <v>14</v>
      </c>
      <c r="Q478" s="2131"/>
      <c r="R478" s="2132" t="s">
        <v>15</v>
      </c>
      <c r="S478" s="2132"/>
      <c r="T478" s="2131" t="s">
        <v>16</v>
      </c>
      <c r="U478" s="2131"/>
      <c r="V478" s="2057"/>
      <c r="W478" s="2131" t="s">
        <v>17</v>
      </c>
      <c r="X478" s="2131"/>
      <c r="Y478" s="2131" t="s">
        <v>18</v>
      </c>
      <c r="Z478" s="2131"/>
      <c r="AA478" s="2131"/>
      <c r="AB478" s="2071" t="s">
        <v>19</v>
      </c>
      <c r="AC478" s="2081"/>
      <c r="AD478" s="2072"/>
      <c r="AE478" s="2120"/>
      <c r="AF478" s="2085"/>
      <c r="AG478" s="2122"/>
      <c r="AH478" s="2122"/>
      <c r="AI478" s="2122"/>
      <c r="AJ478" s="2122"/>
      <c r="AK478" s="2123"/>
      <c r="AL478" s="1678"/>
      <c r="AM478" s="2046"/>
      <c r="AN478" s="2057"/>
      <c r="AO478" s="1534" t="s">
        <v>9</v>
      </c>
      <c r="AP478" s="2039"/>
      <c r="AQ478" s="2040"/>
      <c r="AR478" s="2041"/>
      <c r="AS478" s="2039"/>
      <c r="AT478" s="2040"/>
      <c r="AU478" s="2040"/>
      <c r="AV478" s="2040"/>
      <c r="AW478" s="2041"/>
      <c r="AX478" s="1534" t="s">
        <v>21</v>
      </c>
      <c r="AY478" s="2043"/>
      <c r="AZ478" s="2046"/>
      <c r="BA478" s="2046"/>
      <c r="BB478" s="2046"/>
      <c r="BC478" s="1549" t="s">
        <v>9</v>
      </c>
      <c r="BD478" s="2085"/>
      <c r="BE478" s="2086"/>
      <c r="BG478" s="1555"/>
      <c r="BH478" s="1560"/>
      <c r="BI478" s="1560"/>
      <c r="BJ478" s="1555"/>
      <c r="BK478" s="1561"/>
      <c r="BL478" s="1561"/>
      <c r="BM478" s="1561"/>
      <c r="BN478" s="1555"/>
      <c r="BO478" s="1555"/>
    </row>
    <row r="479" spans="1:72" s="1523" customFormat="1" ht="36" customHeight="1">
      <c r="A479" s="2051"/>
      <c r="B479" s="2057"/>
      <c r="C479" s="2057"/>
      <c r="D479" s="1534" t="s">
        <v>22</v>
      </c>
      <c r="E479" s="1534" t="s">
        <v>23</v>
      </c>
      <c r="F479" s="1677" t="s">
        <v>24</v>
      </c>
      <c r="G479" s="1677" t="s">
        <v>25</v>
      </c>
      <c r="H479" s="2073" t="s">
        <v>4</v>
      </c>
      <c r="I479" s="2073"/>
      <c r="J479" s="2073" t="s">
        <v>4</v>
      </c>
      <c r="K479" s="2073"/>
      <c r="L479" s="2073" t="s">
        <v>4</v>
      </c>
      <c r="M479" s="2073"/>
      <c r="N479" s="2073" t="s">
        <v>4</v>
      </c>
      <c r="O479" s="2073"/>
      <c r="P479" s="2073" t="s">
        <v>4</v>
      </c>
      <c r="Q479" s="2073"/>
      <c r="R479" s="2073" t="s">
        <v>4</v>
      </c>
      <c r="S479" s="2073"/>
      <c r="T479" s="2073" t="s">
        <v>4</v>
      </c>
      <c r="U479" s="2073"/>
      <c r="V479" s="2057"/>
      <c r="W479" s="1534" t="s">
        <v>27</v>
      </c>
      <c r="X479" s="1576" t="s">
        <v>28</v>
      </c>
      <c r="Y479" s="1534" t="s">
        <v>27</v>
      </c>
      <c r="Z479" s="2073" t="s">
        <v>4</v>
      </c>
      <c r="AA479" s="2073"/>
      <c r="AB479" s="1534" t="s">
        <v>27</v>
      </c>
      <c r="AC479" s="2071" t="s">
        <v>4</v>
      </c>
      <c r="AD479" s="2072"/>
      <c r="AE479" s="2121"/>
      <c r="AF479" s="1575" t="s">
        <v>56</v>
      </c>
      <c r="AG479" s="1575" t="s">
        <v>57</v>
      </c>
      <c r="AH479" s="1575" t="s">
        <v>60</v>
      </c>
      <c r="AI479" s="1575" t="s">
        <v>288</v>
      </c>
      <c r="AJ479" s="1575" t="s">
        <v>97</v>
      </c>
      <c r="AK479" s="1575" t="s">
        <v>711</v>
      </c>
      <c r="AL479" s="1679"/>
      <c r="AM479" s="2089"/>
      <c r="AN479" s="2090"/>
      <c r="AO479" s="1534" t="s">
        <v>29</v>
      </c>
      <c r="AP479" s="1534" t="s">
        <v>30</v>
      </c>
      <c r="AQ479" s="1534" t="s">
        <v>31</v>
      </c>
      <c r="AR479" s="1534" t="s">
        <v>4</v>
      </c>
      <c r="AS479" s="1534" t="s">
        <v>30</v>
      </c>
      <c r="AT479" s="1534" t="s">
        <v>31</v>
      </c>
      <c r="AU479" s="1534" t="s">
        <v>30</v>
      </c>
      <c r="AV479" s="1534" t="s">
        <v>31</v>
      </c>
      <c r="AW479" s="1534" t="s">
        <v>4</v>
      </c>
      <c r="AX479" s="1534" t="s">
        <v>32</v>
      </c>
      <c r="AY479" s="2043"/>
      <c r="AZ479" s="2046"/>
      <c r="BA479" s="2046"/>
      <c r="BB479" s="2046"/>
      <c r="BC479" s="1549" t="s">
        <v>33</v>
      </c>
      <c r="BD479" s="2073" t="s">
        <v>42</v>
      </c>
      <c r="BE479" s="2075" t="s">
        <v>43</v>
      </c>
      <c r="BG479" s="1573"/>
      <c r="BH479" s="1560"/>
      <c r="BI479" s="1560"/>
      <c r="BJ479" s="1555"/>
      <c r="BK479" s="1561"/>
      <c r="BL479" s="1561"/>
      <c r="BM479" s="1561"/>
      <c r="BN479" s="1555"/>
      <c r="BO479" s="1555"/>
    </row>
    <row r="480" spans="1:72" s="1523" customFormat="1" ht="46.5" customHeight="1" thickBot="1">
      <c r="A480" s="2051"/>
      <c r="B480" s="2057"/>
      <c r="C480" s="2057"/>
      <c r="D480" s="1534"/>
      <c r="E480" s="1534"/>
      <c r="F480" s="1680" t="s">
        <v>34</v>
      </c>
      <c r="G480" s="1680" t="s">
        <v>34</v>
      </c>
      <c r="H480" s="1576" t="s">
        <v>8</v>
      </c>
      <c r="I480" s="1576" t="s">
        <v>34</v>
      </c>
      <c r="J480" s="1576" t="s">
        <v>8</v>
      </c>
      <c r="K480" s="1576" t="s">
        <v>34</v>
      </c>
      <c r="L480" s="1576" t="s">
        <v>8</v>
      </c>
      <c r="M480" s="1576" t="s">
        <v>34</v>
      </c>
      <c r="N480" s="1576" t="s">
        <v>8</v>
      </c>
      <c r="O480" s="1576" t="s">
        <v>34</v>
      </c>
      <c r="P480" s="1576" t="s">
        <v>8</v>
      </c>
      <c r="Q480" s="1576" t="s">
        <v>34</v>
      </c>
      <c r="R480" s="1576" t="s">
        <v>8</v>
      </c>
      <c r="S480" s="1576" t="s">
        <v>34</v>
      </c>
      <c r="T480" s="1576" t="s">
        <v>8</v>
      </c>
      <c r="U480" s="1576" t="s">
        <v>34</v>
      </c>
      <c r="V480" s="2057"/>
      <c r="W480" s="1576" t="s">
        <v>26</v>
      </c>
      <c r="X480" s="1576" t="s">
        <v>34</v>
      </c>
      <c r="Y480" s="1576" t="s">
        <v>26</v>
      </c>
      <c r="Z480" s="1576" t="s">
        <v>26</v>
      </c>
      <c r="AA480" s="1576" t="s">
        <v>34</v>
      </c>
      <c r="AB480" s="1576" t="s">
        <v>26</v>
      </c>
      <c r="AC480" s="1576" t="s">
        <v>35</v>
      </c>
      <c r="AD480" s="1576" t="s">
        <v>34</v>
      </c>
      <c r="AE480" s="1576" t="s">
        <v>34</v>
      </c>
      <c r="AF480" s="1576" t="s">
        <v>34</v>
      </c>
      <c r="AG480" s="1576" t="s">
        <v>34</v>
      </c>
      <c r="AH480" s="1576" t="s">
        <v>34</v>
      </c>
      <c r="AI480" s="1576" t="s">
        <v>34</v>
      </c>
      <c r="AJ480" s="1576" t="s">
        <v>34</v>
      </c>
      <c r="AK480" s="1681" t="s">
        <v>34</v>
      </c>
      <c r="AL480" s="1534" t="s">
        <v>34</v>
      </c>
      <c r="AM480" s="1576" t="s">
        <v>34</v>
      </c>
      <c r="AN480" s="1576" t="s">
        <v>34</v>
      </c>
      <c r="AO480" s="1576" t="s">
        <v>34</v>
      </c>
      <c r="AP480" s="1576" t="s">
        <v>34</v>
      </c>
      <c r="AQ480" s="1576" t="s">
        <v>34</v>
      </c>
      <c r="AR480" s="1576" t="s">
        <v>34</v>
      </c>
      <c r="AS480" s="1576" t="s">
        <v>58</v>
      </c>
      <c r="AT480" s="1576" t="s">
        <v>34</v>
      </c>
      <c r="AU480" s="1576" t="s">
        <v>59</v>
      </c>
      <c r="AV480" s="1576" t="s">
        <v>34</v>
      </c>
      <c r="AW480" s="1576" t="s">
        <v>34</v>
      </c>
      <c r="AX480" s="1534"/>
      <c r="AY480" s="2043"/>
      <c r="AZ480" s="2046"/>
      <c r="BA480" s="2047"/>
      <c r="BB480" s="2046"/>
      <c r="BC480" s="1549" t="s">
        <v>34</v>
      </c>
      <c r="BD480" s="2129"/>
      <c r="BE480" s="2130"/>
      <c r="BG480" s="1555" t="s">
        <v>353</v>
      </c>
      <c r="BH480" s="1578" t="s">
        <v>43</v>
      </c>
      <c r="BI480" s="1578" t="s">
        <v>42</v>
      </c>
      <c r="BJ480" s="1555" t="s">
        <v>354</v>
      </c>
      <c r="BK480" s="1561" t="s">
        <v>358</v>
      </c>
      <c r="BL480" s="1561"/>
      <c r="BM480" s="1561"/>
      <c r="BN480" s="1555"/>
      <c r="BO480" s="1555"/>
    </row>
    <row r="481" spans="1:72" ht="83.25" customHeight="1" thickBot="1">
      <c r="A481" s="1683">
        <v>10</v>
      </c>
      <c r="B481" s="1489" t="s">
        <v>36</v>
      </c>
      <c r="C481" s="1585" t="s">
        <v>351</v>
      </c>
      <c r="D481" s="1590" t="s">
        <v>346</v>
      </c>
      <c r="E481" s="1489">
        <f>'HK PANEN'!AH16</f>
        <v>24</v>
      </c>
      <c r="F481" s="1490">
        <v>129220</v>
      </c>
      <c r="G481" s="1490">
        <f t="shared" si="86"/>
        <v>3101280</v>
      </c>
      <c r="H481" s="1516">
        <f>'HK PANEN'!AI16</f>
        <v>0</v>
      </c>
      <c r="I481" s="1489">
        <f t="shared" si="65"/>
        <v>0</v>
      </c>
      <c r="J481" s="1489">
        <f>'HK PANEN'!AJ16</f>
        <v>0</v>
      </c>
      <c r="K481" s="1489">
        <f t="shared" si="66"/>
        <v>0</v>
      </c>
      <c r="L481" s="1489">
        <f>'HK PANEN'!AK16</f>
        <v>0</v>
      </c>
      <c r="M481" s="1489">
        <f t="shared" si="67"/>
        <v>0</v>
      </c>
      <c r="N481" s="1489">
        <f>'HK PANEN'!AL16</f>
        <v>4</v>
      </c>
      <c r="O481" s="1489">
        <f t="shared" si="68"/>
        <v>516880</v>
      </c>
      <c r="P481" s="1489">
        <f>'HK PANEN'!AM16</f>
        <v>3</v>
      </c>
      <c r="Q481" s="1489">
        <f t="shared" si="69"/>
        <v>387660</v>
      </c>
      <c r="R481" s="1489">
        <f>'HK PANEN'!AN16</f>
        <v>0</v>
      </c>
      <c r="S481" s="1489">
        <f t="shared" si="87"/>
        <v>0</v>
      </c>
      <c r="T481" s="1489">
        <f>'HK PANEN'!AO16</f>
        <v>0</v>
      </c>
      <c r="U481" s="1489">
        <f t="shared" si="70"/>
        <v>0</v>
      </c>
      <c r="V481" s="1491">
        <f t="shared" si="71"/>
        <v>31</v>
      </c>
      <c r="W481" s="1491">
        <v>5550</v>
      </c>
      <c r="X481" s="1491">
        <f t="shared" si="72"/>
        <v>172050</v>
      </c>
      <c r="Y481" s="1491"/>
      <c r="Z481" s="1491"/>
      <c r="AA481" s="1491">
        <f t="shared" si="73"/>
        <v>0</v>
      </c>
      <c r="AB481" s="1497">
        <v>2500</v>
      </c>
      <c r="AC481" s="1491">
        <f>'MASA KERJA AB'!H62</f>
        <v>1</v>
      </c>
      <c r="AD481" s="1649">
        <f>'MASA KERJA AB'!I62</f>
        <v>2500</v>
      </c>
      <c r="AE481" s="1497"/>
      <c r="AF481" s="1514">
        <f>'MONITORING '!AK95</f>
        <v>542284</v>
      </c>
      <c r="AG481" s="1498">
        <f>'MONITORING '!AK96</f>
        <v>463750</v>
      </c>
      <c r="AH481" s="1515">
        <v>492500</v>
      </c>
      <c r="AI481" s="1515">
        <f>'INSETIF MEI''25'!L14</f>
        <v>300000</v>
      </c>
      <c r="AJ481" s="1498"/>
      <c r="AK481" s="1499"/>
      <c r="AL481" s="1491"/>
      <c r="AM481" s="1491"/>
      <c r="AN481" s="1649">
        <f>'MONITORING '!AK97</f>
        <v>9068</v>
      </c>
      <c r="AO481" s="1494">
        <f t="shared" si="74"/>
        <v>5969836</v>
      </c>
      <c r="AP481" s="1491">
        <f t="shared" si="88"/>
        <v>77532</v>
      </c>
      <c r="AQ481" s="1491">
        <f t="shared" si="89"/>
        <v>175997.64</v>
      </c>
      <c r="AR481" s="1491">
        <f t="shared" si="75"/>
        <v>253529.64</v>
      </c>
      <c r="AS481" s="1489">
        <f t="shared" si="90"/>
        <v>38791</v>
      </c>
      <c r="AT481" s="1489">
        <f t="shared" si="91"/>
        <v>155164</v>
      </c>
      <c r="AU481" s="1491">
        <f t="shared" si="92"/>
        <v>38766</v>
      </c>
      <c r="AV481" s="1491">
        <f t="shared" si="93"/>
        <v>77532</v>
      </c>
      <c r="AW481" s="1491">
        <f t="shared" si="94"/>
        <v>310253</v>
      </c>
      <c r="AX481" s="1649">
        <v>4000</v>
      </c>
      <c r="AY481" s="1649">
        <v>33788</v>
      </c>
      <c r="AZ481" s="1491">
        <f t="shared" si="77"/>
        <v>0</v>
      </c>
      <c r="BA481" s="1491"/>
      <c r="BB481" s="1491"/>
      <c r="BC481" s="1489">
        <f t="shared" si="78"/>
        <v>5776959</v>
      </c>
      <c r="BD481" s="1489">
        <f>'HK PANEN'!AQ16</f>
        <v>0</v>
      </c>
      <c r="BE481" s="1495">
        <f>'HK PANEN'!AR16</f>
        <v>0</v>
      </c>
      <c r="BG481" s="1551">
        <f t="shared" si="79"/>
        <v>4005820</v>
      </c>
      <c r="BH481" s="1552">
        <f t="shared" si="80"/>
        <v>0</v>
      </c>
      <c r="BI481" s="1552">
        <f t="shared" si="81"/>
        <v>0</v>
      </c>
      <c r="BJ481" s="1551">
        <f t="shared" si="82"/>
        <v>0</v>
      </c>
      <c r="BK481" s="1553">
        <f t="shared" si="83"/>
        <v>4005820</v>
      </c>
      <c r="BM481" s="1553">
        <f t="shared" si="95"/>
        <v>1964016</v>
      </c>
      <c r="BN481" s="1551">
        <v>30575.999999999996</v>
      </c>
      <c r="BO481" s="1551">
        <f t="shared" si="84"/>
        <v>185740</v>
      </c>
      <c r="BQ481" s="1531">
        <f t="shared" si="85"/>
        <v>542284</v>
      </c>
      <c r="BS481" s="1523" t="s">
        <v>346</v>
      </c>
      <c r="BT481" s="1556">
        <f t="shared" si="96"/>
        <v>542284</v>
      </c>
    </row>
    <row r="482" spans="1:72" ht="26.25" customHeight="1">
      <c r="A482" s="2049" t="s">
        <v>1033</v>
      </c>
      <c r="B482" s="2049"/>
      <c r="C482" s="2049"/>
      <c r="D482" s="2049"/>
      <c r="E482" s="2049"/>
      <c r="F482" s="2049"/>
      <c r="G482" s="2049"/>
      <c r="H482" s="2049"/>
      <c r="I482" s="2049"/>
      <c r="J482" s="2049"/>
      <c r="K482" s="2049"/>
      <c r="L482" s="2049"/>
      <c r="M482" s="2049"/>
      <c r="N482" s="2049"/>
      <c r="O482" s="2049"/>
      <c r="P482" s="2049"/>
      <c r="Q482" s="2049"/>
      <c r="R482" s="2049"/>
      <c r="S482" s="2049"/>
      <c r="T482" s="2049"/>
      <c r="U482" s="2049"/>
      <c r="V482" s="2049"/>
      <c r="W482" s="2049"/>
      <c r="X482" s="2049"/>
      <c r="Y482" s="2049"/>
      <c r="Z482" s="2049"/>
      <c r="AA482" s="2049"/>
      <c r="AB482" s="2049"/>
      <c r="AC482" s="2049"/>
      <c r="AD482" s="2049"/>
      <c r="AE482" s="2049"/>
      <c r="AF482" s="2049"/>
      <c r="AG482" s="2049"/>
      <c r="AH482" s="2049"/>
      <c r="AI482" s="2049"/>
      <c r="AJ482" s="2049"/>
      <c r="AK482" s="2049"/>
      <c r="AL482" s="2049"/>
      <c r="AM482" s="2049"/>
      <c r="AN482" s="2049"/>
      <c r="AO482" s="2049"/>
      <c r="AP482" s="2049"/>
      <c r="AQ482" s="2049"/>
      <c r="AR482" s="2049"/>
      <c r="AS482" s="2049"/>
      <c r="AT482" s="2049"/>
      <c r="AU482" s="2049"/>
      <c r="AV482" s="2049"/>
      <c r="AW482" s="2049"/>
      <c r="AX482" s="2049"/>
      <c r="AY482" s="2049"/>
      <c r="AZ482" s="2049"/>
      <c r="BA482" s="2049"/>
      <c r="BB482" s="2049"/>
      <c r="BC482" s="2049"/>
      <c r="BD482" s="2049"/>
      <c r="BE482" s="2049"/>
    </row>
    <row r="483" spans="1:72" ht="26.25" customHeight="1">
      <c r="A483" s="1532"/>
      <c r="B483" s="1532"/>
      <c r="C483" s="1605"/>
      <c r="D483" s="1532"/>
      <c r="E483" s="1532"/>
      <c r="F483" s="1560"/>
      <c r="G483" s="1560"/>
      <c r="H483" s="1532"/>
      <c r="I483" s="1532"/>
      <c r="J483" s="1532"/>
      <c r="K483" s="1532"/>
      <c r="L483" s="1532"/>
      <c r="M483" s="1532"/>
      <c r="N483" s="1532"/>
      <c r="O483" s="1532"/>
      <c r="P483" s="1532"/>
      <c r="Q483" s="1532"/>
      <c r="R483" s="1532"/>
      <c r="S483" s="1532"/>
      <c r="T483" s="1532"/>
      <c r="U483" s="1532"/>
      <c r="V483" s="1532"/>
      <c r="W483" s="1532"/>
      <c r="X483" s="1532"/>
      <c r="Y483" s="1532"/>
      <c r="Z483" s="1532"/>
      <c r="AA483" s="1532"/>
      <c r="AB483" s="1532"/>
      <c r="AC483" s="1532"/>
      <c r="AD483" s="1532"/>
      <c r="AE483" s="1532"/>
      <c r="AF483" s="1532"/>
      <c r="AG483" s="1532"/>
      <c r="AH483" s="1532"/>
      <c r="AI483" s="1532"/>
      <c r="AJ483" s="1532"/>
      <c r="AK483" s="1557"/>
      <c r="AL483" s="1532"/>
      <c r="AM483" s="1532"/>
      <c r="AN483" s="1532"/>
      <c r="AO483" s="1532"/>
      <c r="AP483" s="1558"/>
      <c r="AQ483" s="1559"/>
      <c r="AR483" s="1559"/>
      <c r="AS483" s="1559"/>
      <c r="AT483" s="1671"/>
      <c r="AU483" s="1532"/>
      <c r="AV483" s="1532"/>
      <c r="AW483" s="1532"/>
      <c r="AX483" s="1532"/>
      <c r="AY483" s="1532"/>
      <c r="AZ483" s="1532"/>
      <c r="BA483" s="1532"/>
      <c r="BB483" s="1532"/>
      <c r="BC483" s="1547"/>
      <c r="BD483" s="1532"/>
      <c r="BE483" s="1532"/>
    </row>
    <row r="484" spans="1:72" s="1523" customFormat="1" ht="16.5" customHeight="1">
      <c r="D484" s="1523" t="s">
        <v>964</v>
      </c>
      <c r="F484" s="1555"/>
      <c r="G484" s="1555"/>
      <c r="AE484" s="1532"/>
      <c r="AF484" s="1532"/>
      <c r="AG484" s="1532"/>
      <c r="AH484" s="1532"/>
      <c r="AI484" s="1532"/>
      <c r="AJ484" s="1532"/>
      <c r="AK484" s="1557"/>
      <c r="AL484" s="1532"/>
      <c r="AM484" s="1532"/>
      <c r="AO484" s="1561"/>
      <c r="AP484" s="1558">
        <v>3876600</v>
      </c>
      <c r="AQ484" s="1672">
        <f>AP484/30</f>
        <v>129220</v>
      </c>
      <c r="AR484" s="1673">
        <f>AP484/173*1.5</f>
        <v>33612.138728323698</v>
      </c>
      <c r="AS484" s="1566">
        <f>AP484/173*2</f>
        <v>44816.184971098264</v>
      </c>
      <c r="AT484" s="1674"/>
      <c r="AU484" s="1532" t="s">
        <v>55</v>
      </c>
      <c r="AV484" s="1523" t="s">
        <v>335</v>
      </c>
      <c r="BC484" s="1518"/>
      <c r="BE484" s="1532"/>
      <c r="BG484" s="1555"/>
      <c r="BH484" s="1560"/>
      <c r="BI484" s="1560"/>
      <c r="BJ484" s="1555"/>
      <c r="BK484" s="1561"/>
      <c r="BL484" s="1561"/>
      <c r="BM484" s="1561"/>
      <c r="BN484" s="1555"/>
      <c r="BO484" s="1555"/>
    </row>
    <row r="485" spans="1:72" ht="18.75" customHeight="1" thickBot="1">
      <c r="A485" s="1547"/>
      <c r="D485" s="1532"/>
      <c r="E485" s="1563"/>
      <c r="F485" s="1675"/>
      <c r="G485" s="1564"/>
      <c r="H485" s="1563"/>
      <c r="I485" s="1563"/>
      <c r="J485" s="1563"/>
      <c r="K485" s="1563"/>
      <c r="L485" s="1563"/>
      <c r="M485" s="1563"/>
      <c r="N485" s="1563"/>
      <c r="O485" s="1563"/>
      <c r="Q485" s="1563"/>
      <c r="R485" s="1563"/>
      <c r="S485" s="1563"/>
      <c r="T485" s="1563"/>
      <c r="U485" s="1563"/>
      <c r="V485" s="1563"/>
      <c r="W485" s="1563"/>
      <c r="X485" s="1563"/>
      <c r="Y485" s="1563"/>
      <c r="Z485" s="1563"/>
      <c r="AA485" s="1563"/>
      <c r="AB485" s="1563"/>
      <c r="AC485" s="1563"/>
      <c r="AD485" s="1563"/>
      <c r="AE485" s="1563"/>
      <c r="AF485" s="1563"/>
      <c r="AG485" s="1563"/>
      <c r="AH485" s="1563"/>
      <c r="AI485" s="1563"/>
      <c r="AJ485" s="1563"/>
      <c r="AK485" s="1565"/>
      <c r="AL485" s="1563"/>
      <c r="AM485" s="1563"/>
      <c r="AO485" s="1563"/>
      <c r="AP485" s="1558">
        <v>3876600</v>
      </c>
      <c r="AQ485" s="1566">
        <f>AP485/30</f>
        <v>129220</v>
      </c>
      <c r="AR485" s="1598"/>
      <c r="AS485" s="1598"/>
      <c r="AT485" s="1674"/>
    </row>
    <row r="486" spans="1:72" s="1523" customFormat="1" ht="18.75" customHeight="1">
      <c r="A486" s="2050" t="s">
        <v>5</v>
      </c>
      <c r="B486" s="2056" t="s">
        <v>6</v>
      </c>
      <c r="C486" s="2056" t="s">
        <v>52</v>
      </c>
      <c r="D486" s="1571"/>
      <c r="E486" s="1571"/>
      <c r="F486" s="1676"/>
      <c r="G486" s="1676"/>
      <c r="H486" s="2118" t="s">
        <v>2</v>
      </c>
      <c r="I486" s="2118"/>
      <c r="J486" s="2118"/>
      <c r="K486" s="2118"/>
      <c r="L486" s="2118"/>
      <c r="M486" s="2118"/>
      <c r="N486" s="2118"/>
      <c r="O486" s="2118"/>
      <c r="P486" s="2118"/>
      <c r="Q486" s="2118"/>
      <c r="R486" s="2118"/>
      <c r="S486" s="2118"/>
      <c r="T486" s="2118"/>
      <c r="U486" s="2118"/>
      <c r="V486" s="2056" t="s">
        <v>286</v>
      </c>
      <c r="W486" s="2118" t="s">
        <v>3</v>
      </c>
      <c r="X486" s="2118"/>
      <c r="Y486" s="2118"/>
      <c r="Z486" s="2118"/>
      <c r="AA486" s="2118"/>
      <c r="AB486" s="2118"/>
      <c r="AC486" s="2118"/>
      <c r="AD486" s="2118"/>
      <c r="AE486" s="2119" t="s">
        <v>45</v>
      </c>
      <c r="AF486" s="2063" t="s">
        <v>46</v>
      </c>
      <c r="AG486" s="2064"/>
      <c r="AH486" s="2064"/>
      <c r="AI486" s="2064"/>
      <c r="AJ486" s="2064"/>
      <c r="AK486" s="2065"/>
      <c r="AL486" s="1571"/>
      <c r="AM486" s="2045" t="s">
        <v>361</v>
      </c>
      <c r="AN486" s="2056" t="s">
        <v>44</v>
      </c>
      <c r="AO486" s="1533" t="s">
        <v>4</v>
      </c>
      <c r="AP486" s="2036" t="s">
        <v>20</v>
      </c>
      <c r="AQ486" s="2037"/>
      <c r="AR486" s="2038"/>
      <c r="AS486" s="2036" t="s">
        <v>54</v>
      </c>
      <c r="AT486" s="2037"/>
      <c r="AU486" s="2037"/>
      <c r="AV486" s="2037"/>
      <c r="AW486" s="2038"/>
      <c r="AX486" s="1571"/>
      <c r="AY486" s="2042" t="s">
        <v>90</v>
      </c>
      <c r="AZ486" s="2045" t="s">
        <v>97</v>
      </c>
      <c r="BA486" s="2045" t="s">
        <v>720</v>
      </c>
      <c r="BB486" s="2045" t="s">
        <v>362</v>
      </c>
      <c r="BC486" s="1548" t="s">
        <v>4</v>
      </c>
      <c r="BD486" s="2063" t="s">
        <v>41</v>
      </c>
      <c r="BE486" s="2084"/>
      <c r="BG486" s="1555"/>
      <c r="BH486" s="1560"/>
      <c r="BI486" s="1560"/>
      <c r="BJ486" s="1555"/>
      <c r="BK486" s="1561"/>
      <c r="BL486" s="1561"/>
      <c r="BM486" s="1561"/>
      <c r="BN486" s="1555"/>
      <c r="BO486" s="1555"/>
    </row>
    <row r="487" spans="1:72" s="1523" customFormat="1" ht="25.5" customHeight="1">
      <c r="A487" s="2051"/>
      <c r="B487" s="2057"/>
      <c r="C487" s="2057"/>
      <c r="D487" s="1534" t="s">
        <v>7</v>
      </c>
      <c r="E487" s="1534" t="s">
        <v>8</v>
      </c>
      <c r="F487" s="1677" t="s">
        <v>9</v>
      </c>
      <c r="G487" s="1677" t="s">
        <v>9</v>
      </c>
      <c r="H487" s="2131" t="s">
        <v>10</v>
      </c>
      <c r="I487" s="2131"/>
      <c r="J487" s="2131" t="s">
        <v>11</v>
      </c>
      <c r="K487" s="2131"/>
      <c r="L487" s="2131" t="s">
        <v>12</v>
      </c>
      <c r="M487" s="2131"/>
      <c r="N487" s="2131" t="s">
        <v>13</v>
      </c>
      <c r="O487" s="2131"/>
      <c r="P487" s="2131" t="s">
        <v>14</v>
      </c>
      <c r="Q487" s="2131"/>
      <c r="R487" s="2132" t="s">
        <v>15</v>
      </c>
      <c r="S487" s="2132"/>
      <c r="T487" s="2131" t="s">
        <v>16</v>
      </c>
      <c r="U487" s="2131"/>
      <c r="V487" s="2057"/>
      <c r="W487" s="2131" t="s">
        <v>17</v>
      </c>
      <c r="X487" s="2131"/>
      <c r="Y487" s="2131" t="s">
        <v>18</v>
      </c>
      <c r="Z487" s="2131"/>
      <c r="AA487" s="2131"/>
      <c r="AB487" s="2071" t="s">
        <v>19</v>
      </c>
      <c r="AC487" s="2081"/>
      <c r="AD487" s="2072"/>
      <c r="AE487" s="2120"/>
      <c r="AF487" s="2085"/>
      <c r="AG487" s="2122"/>
      <c r="AH487" s="2122"/>
      <c r="AI487" s="2122"/>
      <c r="AJ487" s="2122"/>
      <c r="AK487" s="2123"/>
      <c r="AL487" s="1678"/>
      <c r="AM487" s="2046"/>
      <c r="AN487" s="2057"/>
      <c r="AO487" s="1534" t="s">
        <v>9</v>
      </c>
      <c r="AP487" s="2039"/>
      <c r="AQ487" s="2040"/>
      <c r="AR487" s="2041"/>
      <c r="AS487" s="2039"/>
      <c r="AT487" s="2040"/>
      <c r="AU487" s="2040"/>
      <c r="AV487" s="2040"/>
      <c r="AW487" s="2041"/>
      <c r="AX487" s="1534" t="s">
        <v>21</v>
      </c>
      <c r="AY487" s="2043"/>
      <c r="AZ487" s="2046"/>
      <c r="BA487" s="2046"/>
      <c r="BB487" s="2046"/>
      <c r="BC487" s="1549" t="s">
        <v>9</v>
      </c>
      <c r="BD487" s="2085"/>
      <c r="BE487" s="2086"/>
      <c r="BG487" s="1555"/>
      <c r="BH487" s="1560"/>
      <c r="BI487" s="1560"/>
      <c r="BJ487" s="1555"/>
      <c r="BK487" s="1561"/>
      <c r="BL487" s="1561"/>
      <c r="BM487" s="1561"/>
      <c r="BN487" s="1555"/>
      <c r="BO487" s="1555"/>
    </row>
    <row r="488" spans="1:72" s="1523" customFormat="1" ht="36" customHeight="1">
      <c r="A488" s="2051"/>
      <c r="B488" s="2057"/>
      <c r="C488" s="2057"/>
      <c r="D488" s="1534" t="s">
        <v>22</v>
      </c>
      <c r="E488" s="1534" t="s">
        <v>23</v>
      </c>
      <c r="F488" s="1677" t="s">
        <v>24</v>
      </c>
      <c r="G488" s="1677" t="s">
        <v>25</v>
      </c>
      <c r="H488" s="2073" t="s">
        <v>4</v>
      </c>
      <c r="I488" s="2073"/>
      <c r="J488" s="2073" t="s">
        <v>4</v>
      </c>
      <c r="K488" s="2073"/>
      <c r="L488" s="2073" t="s">
        <v>4</v>
      </c>
      <c r="M488" s="2073"/>
      <c r="N488" s="2073" t="s">
        <v>4</v>
      </c>
      <c r="O488" s="2073"/>
      <c r="P488" s="2073" t="s">
        <v>4</v>
      </c>
      <c r="Q488" s="2073"/>
      <c r="R488" s="2073" t="s">
        <v>4</v>
      </c>
      <c r="S488" s="2073"/>
      <c r="T488" s="2073" t="s">
        <v>4</v>
      </c>
      <c r="U488" s="2073"/>
      <c r="V488" s="2057"/>
      <c r="W488" s="1534" t="s">
        <v>27</v>
      </c>
      <c r="X488" s="1576" t="s">
        <v>28</v>
      </c>
      <c r="Y488" s="1534" t="s">
        <v>27</v>
      </c>
      <c r="Z488" s="2073" t="s">
        <v>4</v>
      </c>
      <c r="AA488" s="2073"/>
      <c r="AB488" s="1534" t="s">
        <v>27</v>
      </c>
      <c r="AC488" s="2071" t="s">
        <v>4</v>
      </c>
      <c r="AD488" s="2072"/>
      <c r="AE488" s="2121"/>
      <c r="AF488" s="1575" t="s">
        <v>56</v>
      </c>
      <c r="AG488" s="1575" t="s">
        <v>57</v>
      </c>
      <c r="AH488" s="1575" t="s">
        <v>60</v>
      </c>
      <c r="AI488" s="1575" t="s">
        <v>288</v>
      </c>
      <c r="AJ488" s="1575" t="s">
        <v>97</v>
      </c>
      <c r="AK488" s="1575" t="s">
        <v>711</v>
      </c>
      <c r="AL488" s="1679"/>
      <c r="AM488" s="2089"/>
      <c r="AN488" s="2090"/>
      <c r="AO488" s="1534" t="s">
        <v>29</v>
      </c>
      <c r="AP488" s="1534" t="s">
        <v>30</v>
      </c>
      <c r="AQ488" s="1534" t="s">
        <v>31</v>
      </c>
      <c r="AR488" s="1534" t="s">
        <v>4</v>
      </c>
      <c r="AS488" s="1534" t="s">
        <v>30</v>
      </c>
      <c r="AT488" s="1534" t="s">
        <v>31</v>
      </c>
      <c r="AU488" s="1534" t="s">
        <v>30</v>
      </c>
      <c r="AV488" s="1534" t="s">
        <v>31</v>
      </c>
      <c r="AW488" s="1534" t="s">
        <v>4</v>
      </c>
      <c r="AX488" s="1534" t="s">
        <v>32</v>
      </c>
      <c r="AY488" s="2043"/>
      <c r="AZ488" s="2046"/>
      <c r="BA488" s="2046"/>
      <c r="BB488" s="2046"/>
      <c r="BC488" s="1549" t="s">
        <v>33</v>
      </c>
      <c r="BD488" s="2073" t="s">
        <v>42</v>
      </c>
      <c r="BE488" s="2075" t="s">
        <v>43</v>
      </c>
      <c r="BG488" s="1573"/>
      <c r="BH488" s="1560"/>
      <c r="BI488" s="1560"/>
      <c r="BJ488" s="1555"/>
      <c r="BK488" s="1561"/>
      <c r="BL488" s="1561"/>
      <c r="BM488" s="1561"/>
      <c r="BN488" s="1555"/>
      <c r="BO488" s="1555"/>
    </row>
    <row r="489" spans="1:72" s="1523" customFormat="1" ht="46.5" customHeight="1" thickBot="1">
      <c r="A489" s="2051"/>
      <c r="B489" s="2057"/>
      <c r="C489" s="2057"/>
      <c r="D489" s="1534"/>
      <c r="E489" s="1534"/>
      <c r="F489" s="1680" t="s">
        <v>34</v>
      </c>
      <c r="G489" s="1680" t="s">
        <v>34</v>
      </c>
      <c r="H489" s="1576" t="s">
        <v>8</v>
      </c>
      <c r="I489" s="1576" t="s">
        <v>34</v>
      </c>
      <c r="J489" s="1576" t="s">
        <v>8</v>
      </c>
      <c r="K489" s="1576" t="s">
        <v>34</v>
      </c>
      <c r="L489" s="1576" t="s">
        <v>8</v>
      </c>
      <c r="M489" s="1576" t="s">
        <v>34</v>
      </c>
      <c r="N489" s="1576" t="s">
        <v>8</v>
      </c>
      <c r="O489" s="1576" t="s">
        <v>34</v>
      </c>
      <c r="P489" s="1576" t="s">
        <v>8</v>
      </c>
      <c r="Q489" s="1576" t="s">
        <v>34</v>
      </c>
      <c r="R489" s="1576" t="s">
        <v>8</v>
      </c>
      <c r="S489" s="1576" t="s">
        <v>34</v>
      </c>
      <c r="T489" s="1576" t="s">
        <v>8</v>
      </c>
      <c r="U489" s="1576" t="s">
        <v>34</v>
      </c>
      <c r="V489" s="2057"/>
      <c r="W489" s="1576" t="s">
        <v>26</v>
      </c>
      <c r="X489" s="1576" t="s">
        <v>34</v>
      </c>
      <c r="Y489" s="1576" t="s">
        <v>26</v>
      </c>
      <c r="Z489" s="1576" t="s">
        <v>26</v>
      </c>
      <c r="AA489" s="1576" t="s">
        <v>34</v>
      </c>
      <c r="AB489" s="1576" t="s">
        <v>26</v>
      </c>
      <c r="AC489" s="1576" t="s">
        <v>35</v>
      </c>
      <c r="AD489" s="1576" t="s">
        <v>34</v>
      </c>
      <c r="AE489" s="1576" t="s">
        <v>34</v>
      </c>
      <c r="AF489" s="1576" t="s">
        <v>34</v>
      </c>
      <c r="AG489" s="1576" t="s">
        <v>34</v>
      </c>
      <c r="AH489" s="1576" t="s">
        <v>34</v>
      </c>
      <c r="AI489" s="1576" t="s">
        <v>34</v>
      </c>
      <c r="AJ489" s="1576" t="s">
        <v>34</v>
      </c>
      <c r="AK489" s="1681" t="s">
        <v>34</v>
      </c>
      <c r="AL489" s="1534" t="s">
        <v>34</v>
      </c>
      <c r="AM489" s="1576" t="s">
        <v>34</v>
      </c>
      <c r="AN489" s="1576" t="s">
        <v>34</v>
      </c>
      <c r="AO489" s="1576" t="s">
        <v>34</v>
      </c>
      <c r="AP489" s="1576" t="s">
        <v>34</v>
      </c>
      <c r="AQ489" s="1576" t="s">
        <v>34</v>
      </c>
      <c r="AR489" s="1576" t="s">
        <v>34</v>
      </c>
      <c r="AS489" s="1576" t="s">
        <v>58</v>
      </c>
      <c r="AT489" s="1576" t="s">
        <v>34</v>
      </c>
      <c r="AU489" s="1576" t="s">
        <v>59</v>
      </c>
      <c r="AV489" s="1576" t="s">
        <v>34</v>
      </c>
      <c r="AW489" s="1576" t="s">
        <v>34</v>
      </c>
      <c r="AX489" s="1534"/>
      <c r="AY489" s="2043"/>
      <c r="AZ489" s="2046"/>
      <c r="BA489" s="2047"/>
      <c r="BB489" s="2046"/>
      <c r="BC489" s="1549" t="s">
        <v>34</v>
      </c>
      <c r="BD489" s="2129"/>
      <c r="BE489" s="2130"/>
      <c r="BG489" s="1555" t="s">
        <v>353</v>
      </c>
      <c r="BH489" s="1578" t="s">
        <v>43</v>
      </c>
      <c r="BI489" s="1578" t="s">
        <v>42</v>
      </c>
      <c r="BJ489" s="1555" t="s">
        <v>354</v>
      </c>
      <c r="BK489" s="1561" t="s">
        <v>358</v>
      </c>
      <c r="BL489" s="1561"/>
      <c r="BM489" s="1561"/>
      <c r="BN489" s="1555"/>
      <c r="BO489" s="1555"/>
    </row>
    <row r="490" spans="1:72" ht="83.25" customHeight="1" thickBot="1">
      <c r="A490" s="1683">
        <v>11</v>
      </c>
      <c r="B490" s="1489" t="s">
        <v>36</v>
      </c>
      <c r="C490" s="1585" t="s">
        <v>395</v>
      </c>
      <c r="D490" s="1590" t="s">
        <v>370</v>
      </c>
      <c r="E490" s="1489">
        <f>'HK PANEN'!AH17</f>
        <v>24</v>
      </c>
      <c r="F490" s="1490">
        <v>129220</v>
      </c>
      <c r="G490" s="1490">
        <f t="shared" si="86"/>
        <v>3101280</v>
      </c>
      <c r="H490" s="1516">
        <f>'HK PANEN'!AI17</f>
        <v>0</v>
      </c>
      <c r="I490" s="1489">
        <f t="shared" si="65"/>
        <v>0</v>
      </c>
      <c r="J490" s="1489">
        <f>'HK PANEN'!AJ17</f>
        <v>0</v>
      </c>
      <c r="K490" s="1489">
        <f t="shared" si="66"/>
        <v>0</v>
      </c>
      <c r="L490" s="1489">
        <f>'HK PANEN'!AK17</f>
        <v>0</v>
      </c>
      <c r="M490" s="1489">
        <f t="shared" si="67"/>
        <v>0</v>
      </c>
      <c r="N490" s="1489">
        <f>'HK PANEN'!AL17</f>
        <v>4</v>
      </c>
      <c r="O490" s="1489">
        <f t="shared" si="68"/>
        <v>516880</v>
      </c>
      <c r="P490" s="1489">
        <f>'HK PANEN'!AM17</f>
        <v>3</v>
      </c>
      <c r="Q490" s="1489">
        <f t="shared" si="69"/>
        <v>387660</v>
      </c>
      <c r="R490" s="1489">
        <f>'HK PANEN'!AN17</f>
        <v>0</v>
      </c>
      <c r="S490" s="1489">
        <f t="shared" si="87"/>
        <v>0</v>
      </c>
      <c r="T490" s="1489">
        <f>'HK PANEN'!AO17</f>
        <v>0</v>
      </c>
      <c r="U490" s="1489">
        <f t="shared" si="70"/>
        <v>0</v>
      </c>
      <c r="V490" s="1491">
        <f t="shared" si="71"/>
        <v>31</v>
      </c>
      <c r="W490" s="1491">
        <v>4650</v>
      </c>
      <c r="X490" s="1491">
        <f t="shared" si="72"/>
        <v>144150</v>
      </c>
      <c r="Y490" s="1491"/>
      <c r="Z490" s="1491"/>
      <c r="AA490" s="1491">
        <f t="shared" si="73"/>
        <v>0</v>
      </c>
      <c r="AB490" s="1497">
        <v>2500</v>
      </c>
      <c r="AC490" s="1491">
        <f>'MASA KERJA AB'!H63</f>
        <v>1</v>
      </c>
      <c r="AD490" s="1649">
        <f>'MASA KERJA AB'!I63</f>
        <v>2500</v>
      </c>
      <c r="AE490" s="1497"/>
      <c r="AF490" s="1514">
        <f>'MONITORING '!AK108</f>
        <v>891466</v>
      </c>
      <c r="AG490" s="1498">
        <f>'MONITORING '!AK109</f>
        <v>460250</v>
      </c>
      <c r="AH490" s="1515">
        <v>742000</v>
      </c>
      <c r="AI490" s="1515">
        <f>'INSETIF MEI''25'!L15</f>
        <v>300000</v>
      </c>
      <c r="AJ490" s="1498"/>
      <c r="AK490" s="1499"/>
      <c r="AL490" s="1491"/>
      <c r="AM490" s="1491"/>
      <c r="AN490" s="1649">
        <f>'MONITORING '!AK110</f>
        <v>28338</v>
      </c>
      <c r="AO490" s="1494">
        <f t="shared" si="74"/>
        <v>6517848</v>
      </c>
      <c r="AP490" s="1491">
        <f t="shared" si="88"/>
        <v>77532</v>
      </c>
      <c r="AQ490" s="1491">
        <f t="shared" si="89"/>
        <v>175997.64</v>
      </c>
      <c r="AR490" s="1491">
        <f t="shared" si="75"/>
        <v>253529.64</v>
      </c>
      <c r="AS490" s="1489">
        <f t="shared" si="90"/>
        <v>38791</v>
      </c>
      <c r="AT490" s="1489">
        <f t="shared" si="91"/>
        <v>155164</v>
      </c>
      <c r="AU490" s="1491">
        <f t="shared" si="92"/>
        <v>38766</v>
      </c>
      <c r="AV490" s="1491">
        <f t="shared" si="93"/>
        <v>77532</v>
      </c>
      <c r="AW490" s="1491">
        <f t="shared" si="94"/>
        <v>310253</v>
      </c>
      <c r="AX490" s="1649">
        <v>4000</v>
      </c>
      <c r="AY490" s="1649">
        <v>73806</v>
      </c>
      <c r="AZ490" s="1491">
        <f t="shared" si="77"/>
        <v>0</v>
      </c>
      <c r="BA490" s="1491"/>
      <c r="BB490" s="1491"/>
      <c r="BC490" s="1489">
        <f t="shared" si="78"/>
        <v>6284953</v>
      </c>
      <c r="BD490" s="1489">
        <f>'HK PANEN'!AQ17</f>
        <v>0</v>
      </c>
      <c r="BE490" s="1495">
        <f>'HK PANEN'!AR17</f>
        <v>0</v>
      </c>
      <c r="BG490" s="1551">
        <f t="shared" si="79"/>
        <v>4005820</v>
      </c>
      <c r="BH490" s="1552">
        <f t="shared" si="80"/>
        <v>0</v>
      </c>
      <c r="BI490" s="1552">
        <f t="shared" si="81"/>
        <v>0</v>
      </c>
      <c r="BJ490" s="1551">
        <f t="shared" si="82"/>
        <v>0</v>
      </c>
      <c r="BK490" s="1553">
        <f t="shared" si="83"/>
        <v>4005820</v>
      </c>
      <c r="BM490" s="1553">
        <f t="shared" si="95"/>
        <v>2512028</v>
      </c>
      <c r="BN490" s="1551">
        <v>30575.999999999996</v>
      </c>
      <c r="BO490" s="1551">
        <f t="shared" si="84"/>
        <v>185740</v>
      </c>
      <c r="BQ490" s="1531">
        <f t="shared" si="85"/>
        <v>891466</v>
      </c>
      <c r="BS490" s="1523" t="s">
        <v>370</v>
      </c>
      <c r="BT490" s="1556">
        <f t="shared" si="96"/>
        <v>891466</v>
      </c>
    </row>
    <row r="491" spans="1:72" ht="26.25" customHeight="1">
      <c r="A491" s="2049" t="s">
        <v>1033</v>
      </c>
      <c r="B491" s="2049"/>
      <c r="C491" s="2049"/>
      <c r="D491" s="2049"/>
      <c r="E491" s="2049"/>
      <c r="F491" s="2049"/>
      <c r="G491" s="2049"/>
      <c r="H491" s="2049"/>
      <c r="I491" s="2049"/>
      <c r="J491" s="2049"/>
      <c r="K491" s="2049"/>
      <c r="L491" s="2049"/>
      <c r="M491" s="2049"/>
      <c r="N491" s="2049"/>
      <c r="O491" s="2049"/>
      <c r="P491" s="2049"/>
      <c r="Q491" s="2049"/>
      <c r="R491" s="2049"/>
      <c r="S491" s="2049"/>
      <c r="T491" s="2049"/>
      <c r="U491" s="2049"/>
      <c r="V491" s="2049"/>
      <c r="W491" s="2049"/>
      <c r="X491" s="2049"/>
      <c r="Y491" s="2049"/>
      <c r="Z491" s="2049"/>
      <c r="AA491" s="2049"/>
      <c r="AB491" s="2049"/>
      <c r="AC491" s="2049"/>
      <c r="AD491" s="2049"/>
      <c r="AE491" s="2049"/>
      <c r="AF491" s="2049"/>
      <c r="AG491" s="2049"/>
      <c r="AH491" s="2049"/>
      <c r="AI491" s="2049"/>
      <c r="AJ491" s="2049"/>
      <c r="AK491" s="2049"/>
      <c r="AL491" s="2049"/>
      <c r="AM491" s="2049"/>
      <c r="AN491" s="2049"/>
      <c r="AO491" s="2049"/>
      <c r="AP491" s="2049"/>
      <c r="AQ491" s="2049"/>
      <c r="AR491" s="2049"/>
      <c r="AS491" s="2049"/>
      <c r="AT491" s="2049"/>
      <c r="AU491" s="2049"/>
      <c r="AV491" s="2049"/>
      <c r="AW491" s="2049"/>
      <c r="AX491" s="2049"/>
      <c r="AY491" s="2049"/>
      <c r="AZ491" s="2049"/>
      <c r="BA491" s="2049"/>
      <c r="BB491" s="2049"/>
      <c r="BC491" s="2049"/>
      <c r="BD491" s="2049"/>
      <c r="BE491" s="2049"/>
    </row>
    <row r="492" spans="1:72" ht="26.25" customHeight="1">
      <c r="A492" s="1532"/>
      <c r="B492" s="1532"/>
      <c r="C492" s="1605"/>
      <c r="D492" s="1532"/>
      <c r="E492" s="1532"/>
      <c r="F492" s="1560"/>
      <c r="G492" s="1560"/>
      <c r="H492" s="1532"/>
      <c r="I492" s="1532"/>
      <c r="J492" s="1532"/>
      <c r="K492" s="1532"/>
      <c r="L492" s="1532"/>
      <c r="M492" s="1532"/>
      <c r="N492" s="1532"/>
      <c r="O492" s="1532"/>
      <c r="P492" s="1532"/>
      <c r="Q492" s="1532"/>
      <c r="R492" s="1532"/>
      <c r="S492" s="1532"/>
      <c r="T492" s="1532"/>
      <c r="U492" s="1532"/>
      <c r="V492" s="1532"/>
      <c r="W492" s="1532"/>
      <c r="X492" s="1532"/>
      <c r="Y492" s="1532"/>
      <c r="Z492" s="1532"/>
      <c r="AA492" s="1532"/>
      <c r="AB492" s="1532"/>
      <c r="AC492" s="1532"/>
      <c r="AD492" s="1532"/>
      <c r="AE492" s="1532"/>
      <c r="AF492" s="1532"/>
      <c r="AG492" s="1532"/>
      <c r="AH492" s="1532"/>
      <c r="AI492" s="1532"/>
      <c r="AJ492" s="1532"/>
      <c r="AK492" s="1557"/>
      <c r="AL492" s="1532"/>
      <c r="AM492" s="1532"/>
      <c r="AN492" s="1532"/>
      <c r="AO492" s="1532"/>
      <c r="AP492" s="1558"/>
      <c r="AQ492" s="1559"/>
      <c r="AR492" s="1559"/>
      <c r="AS492" s="1559"/>
      <c r="AT492" s="1671"/>
      <c r="AU492" s="1532"/>
      <c r="AV492" s="1532"/>
      <c r="AW492" s="1532"/>
      <c r="AX492" s="1532"/>
      <c r="AY492" s="1532"/>
      <c r="AZ492" s="1532"/>
      <c r="BA492" s="1532"/>
      <c r="BB492" s="1532"/>
      <c r="BC492" s="1547"/>
      <c r="BD492" s="1532"/>
      <c r="BE492" s="1532"/>
    </row>
    <row r="493" spans="1:72" s="1523" customFormat="1" ht="16.5" customHeight="1">
      <c r="D493" s="1523" t="s">
        <v>964</v>
      </c>
      <c r="F493" s="1555"/>
      <c r="G493" s="1555"/>
      <c r="AE493" s="1532"/>
      <c r="AF493" s="1532"/>
      <c r="AG493" s="1532"/>
      <c r="AH493" s="1532"/>
      <c r="AI493" s="1532"/>
      <c r="AJ493" s="1532"/>
      <c r="AK493" s="1557"/>
      <c r="AL493" s="1532"/>
      <c r="AM493" s="1532"/>
      <c r="AO493" s="1561"/>
      <c r="AP493" s="1558">
        <v>3876600</v>
      </c>
      <c r="AQ493" s="1672">
        <f>AP493/30</f>
        <v>129220</v>
      </c>
      <c r="AR493" s="1673">
        <f>AP493/173*1.5</f>
        <v>33612.138728323698</v>
      </c>
      <c r="AS493" s="1566">
        <f>AP493/173*2</f>
        <v>44816.184971098264</v>
      </c>
      <c r="AT493" s="1674"/>
      <c r="AU493" s="1532" t="s">
        <v>55</v>
      </c>
      <c r="AV493" s="1523" t="s">
        <v>335</v>
      </c>
      <c r="BC493" s="1518"/>
      <c r="BE493" s="1532"/>
      <c r="BG493" s="1555"/>
      <c r="BH493" s="1560"/>
      <c r="BI493" s="1560"/>
      <c r="BJ493" s="1555"/>
      <c r="BK493" s="1561"/>
      <c r="BL493" s="1561"/>
      <c r="BM493" s="1561"/>
      <c r="BN493" s="1555"/>
      <c r="BO493" s="1555"/>
    </row>
    <row r="494" spans="1:72" ht="18.75" customHeight="1" thickBot="1">
      <c r="A494" s="1547"/>
      <c r="D494" s="1532"/>
      <c r="E494" s="1563"/>
      <c r="F494" s="1675"/>
      <c r="G494" s="1564"/>
      <c r="H494" s="1563"/>
      <c r="I494" s="1563"/>
      <c r="J494" s="1563"/>
      <c r="K494" s="1563"/>
      <c r="L494" s="1563"/>
      <c r="M494" s="1563"/>
      <c r="N494" s="1563"/>
      <c r="O494" s="1563"/>
      <c r="Q494" s="1563"/>
      <c r="R494" s="1563"/>
      <c r="S494" s="1563"/>
      <c r="T494" s="1563"/>
      <c r="U494" s="1563"/>
      <c r="V494" s="1563"/>
      <c r="W494" s="1563"/>
      <c r="X494" s="1563"/>
      <c r="Y494" s="1563"/>
      <c r="Z494" s="1563"/>
      <c r="AA494" s="1563"/>
      <c r="AB494" s="1563"/>
      <c r="AC494" s="1563"/>
      <c r="AD494" s="1563"/>
      <c r="AE494" s="1563"/>
      <c r="AF494" s="1563"/>
      <c r="AG494" s="1563"/>
      <c r="AH494" s="1563"/>
      <c r="AI494" s="1563"/>
      <c r="AJ494" s="1563"/>
      <c r="AK494" s="1565"/>
      <c r="AL494" s="1563"/>
      <c r="AM494" s="1563"/>
      <c r="AO494" s="1563"/>
      <c r="AP494" s="1558">
        <v>3876600</v>
      </c>
      <c r="AQ494" s="1566">
        <f>AP494/30</f>
        <v>129220</v>
      </c>
      <c r="AR494" s="1598"/>
      <c r="AS494" s="1598"/>
      <c r="AT494" s="1674"/>
    </row>
    <row r="495" spans="1:72" s="1523" customFormat="1" ht="18.75" customHeight="1">
      <c r="A495" s="2050" t="s">
        <v>5</v>
      </c>
      <c r="B495" s="2056" t="s">
        <v>6</v>
      </c>
      <c r="C495" s="2056" t="s">
        <v>52</v>
      </c>
      <c r="D495" s="1571"/>
      <c r="E495" s="1571"/>
      <c r="F495" s="1676"/>
      <c r="G495" s="1676"/>
      <c r="H495" s="2118" t="s">
        <v>2</v>
      </c>
      <c r="I495" s="2118"/>
      <c r="J495" s="2118"/>
      <c r="K495" s="2118"/>
      <c r="L495" s="2118"/>
      <c r="M495" s="2118"/>
      <c r="N495" s="2118"/>
      <c r="O495" s="2118"/>
      <c r="P495" s="2118"/>
      <c r="Q495" s="2118"/>
      <c r="R495" s="2118"/>
      <c r="S495" s="2118"/>
      <c r="T495" s="2118"/>
      <c r="U495" s="2118"/>
      <c r="V495" s="2056" t="s">
        <v>286</v>
      </c>
      <c r="W495" s="2118" t="s">
        <v>3</v>
      </c>
      <c r="X495" s="2118"/>
      <c r="Y495" s="2118"/>
      <c r="Z495" s="2118"/>
      <c r="AA495" s="2118"/>
      <c r="AB495" s="2118"/>
      <c r="AC495" s="2118"/>
      <c r="AD495" s="2118"/>
      <c r="AE495" s="2119" t="s">
        <v>45</v>
      </c>
      <c r="AF495" s="2063" t="s">
        <v>46</v>
      </c>
      <c r="AG495" s="2064"/>
      <c r="AH495" s="2064"/>
      <c r="AI495" s="2064"/>
      <c r="AJ495" s="2064"/>
      <c r="AK495" s="2065"/>
      <c r="AL495" s="1571"/>
      <c r="AM495" s="2045" t="s">
        <v>361</v>
      </c>
      <c r="AN495" s="2056" t="s">
        <v>44</v>
      </c>
      <c r="AO495" s="1533" t="s">
        <v>4</v>
      </c>
      <c r="AP495" s="2036" t="s">
        <v>20</v>
      </c>
      <c r="AQ495" s="2037"/>
      <c r="AR495" s="2038"/>
      <c r="AS495" s="2036" t="s">
        <v>54</v>
      </c>
      <c r="AT495" s="2037"/>
      <c r="AU495" s="2037"/>
      <c r="AV495" s="2037"/>
      <c r="AW495" s="2038"/>
      <c r="AX495" s="1571"/>
      <c r="AY495" s="2042" t="s">
        <v>90</v>
      </c>
      <c r="AZ495" s="2045" t="s">
        <v>97</v>
      </c>
      <c r="BA495" s="2045" t="s">
        <v>720</v>
      </c>
      <c r="BB495" s="2045" t="s">
        <v>362</v>
      </c>
      <c r="BC495" s="1548" t="s">
        <v>4</v>
      </c>
      <c r="BD495" s="2063" t="s">
        <v>41</v>
      </c>
      <c r="BE495" s="2084"/>
      <c r="BG495" s="1555"/>
      <c r="BH495" s="1560"/>
      <c r="BI495" s="1560"/>
      <c r="BJ495" s="1555"/>
      <c r="BK495" s="1561"/>
      <c r="BL495" s="1561"/>
      <c r="BM495" s="1561"/>
      <c r="BN495" s="1555"/>
      <c r="BO495" s="1555"/>
    </row>
    <row r="496" spans="1:72" s="1523" customFormat="1" ht="25.5" customHeight="1">
      <c r="A496" s="2051"/>
      <c r="B496" s="2057"/>
      <c r="C496" s="2057"/>
      <c r="D496" s="1534" t="s">
        <v>7</v>
      </c>
      <c r="E496" s="1534" t="s">
        <v>8</v>
      </c>
      <c r="F496" s="1677" t="s">
        <v>9</v>
      </c>
      <c r="G496" s="1677" t="s">
        <v>9</v>
      </c>
      <c r="H496" s="2131" t="s">
        <v>10</v>
      </c>
      <c r="I496" s="2131"/>
      <c r="J496" s="2131" t="s">
        <v>11</v>
      </c>
      <c r="K496" s="2131"/>
      <c r="L496" s="2131" t="s">
        <v>12</v>
      </c>
      <c r="M496" s="2131"/>
      <c r="N496" s="2131" t="s">
        <v>13</v>
      </c>
      <c r="O496" s="2131"/>
      <c r="P496" s="2131" t="s">
        <v>14</v>
      </c>
      <c r="Q496" s="2131"/>
      <c r="R496" s="2132" t="s">
        <v>15</v>
      </c>
      <c r="S496" s="2132"/>
      <c r="T496" s="2131" t="s">
        <v>16</v>
      </c>
      <c r="U496" s="2131"/>
      <c r="V496" s="2057"/>
      <c r="W496" s="2131" t="s">
        <v>17</v>
      </c>
      <c r="X496" s="2131"/>
      <c r="Y496" s="2131" t="s">
        <v>18</v>
      </c>
      <c r="Z496" s="2131"/>
      <c r="AA496" s="2131"/>
      <c r="AB496" s="2071" t="s">
        <v>19</v>
      </c>
      <c r="AC496" s="2081"/>
      <c r="AD496" s="2072"/>
      <c r="AE496" s="2120"/>
      <c r="AF496" s="2085"/>
      <c r="AG496" s="2122"/>
      <c r="AH496" s="2122"/>
      <c r="AI496" s="2122"/>
      <c r="AJ496" s="2122"/>
      <c r="AK496" s="2123"/>
      <c r="AL496" s="1678"/>
      <c r="AM496" s="2046"/>
      <c r="AN496" s="2057"/>
      <c r="AO496" s="1534" t="s">
        <v>9</v>
      </c>
      <c r="AP496" s="2039"/>
      <c r="AQ496" s="2040"/>
      <c r="AR496" s="2041"/>
      <c r="AS496" s="2039"/>
      <c r="AT496" s="2040"/>
      <c r="AU496" s="2040"/>
      <c r="AV496" s="2040"/>
      <c r="AW496" s="2041"/>
      <c r="AX496" s="1534" t="s">
        <v>21</v>
      </c>
      <c r="AY496" s="2043"/>
      <c r="AZ496" s="2046"/>
      <c r="BA496" s="2046"/>
      <c r="BB496" s="2046"/>
      <c r="BC496" s="1549" t="s">
        <v>9</v>
      </c>
      <c r="BD496" s="2085"/>
      <c r="BE496" s="2086"/>
      <c r="BG496" s="1555"/>
      <c r="BH496" s="1560"/>
      <c r="BI496" s="1560"/>
      <c r="BJ496" s="1555"/>
      <c r="BK496" s="1561"/>
      <c r="BL496" s="1561"/>
      <c r="BM496" s="1561"/>
      <c r="BN496" s="1555"/>
      <c r="BO496" s="1555"/>
    </row>
    <row r="497" spans="1:72" s="1523" customFormat="1" ht="36" customHeight="1">
      <c r="A497" s="2051"/>
      <c r="B497" s="2057"/>
      <c r="C497" s="2057"/>
      <c r="D497" s="1534" t="s">
        <v>22</v>
      </c>
      <c r="E497" s="1534" t="s">
        <v>23</v>
      </c>
      <c r="F497" s="1677" t="s">
        <v>24</v>
      </c>
      <c r="G497" s="1677" t="s">
        <v>25</v>
      </c>
      <c r="H497" s="2073" t="s">
        <v>4</v>
      </c>
      <c r="I497" s="2073"/>
      <c r="J497" s="2073" t="s">
        <v>4</v>
      </c>
      <c r="K497" s="2073"/>
      <c r="L497" s="2073" t="s">
        <v>4</v>
      </c>
      <c r="M497" s="2073"/>
      <c r="N497" s="2073" t="s">
        <v>4</v>
      </c>
      <c r="O497" s="2073"/>
      <c r="P497" s="2073" t="s">
        <v>4</v>
      </c>
      <c r="Q497" s="2073"/>
      <c r="R497" s="2073" t="s">
        <v>4</v>
      </c>
      <c r="S497" s="2073"/>
      <c r="T497" s="2073" t="s">
        <v>4</v>
      </c>
      <c r="U497" s="2073"/>
      <c r="V497" s="2057"/>
      <c r="W497" s="1534" t="s">
        <v>27</v>
      </c>
      <c r="X497" s="1576" t="s">
        <v>28</v>
      </c>
      <c r="Y497" s="1534" t="s">
        <v>27</v>
      </c>
      <c r="Z497" s="2073" t="s">
        <v>4</v>
      </c>
      <c r="AA497" s="2073"/>
      <c r="AB497" s="1534" t="s">
        <v>27</v>
      </c>
      <c r="AC497" s="2071" t="s">
        <v>4</v>
      </c>
      <c r="AD497" s="2072"/>
      <c r="AE497" s="2121"/>
      <c r="AF497" s="1575" t="s">
        <v>56</v>
      </c>
      <c r="AG497" s="1575" t="s">
        <v>57</v>
      </c>
      <c r="AH497" s="1575" t="s">
        <v>60</v>
      </c>
      <c r="AI497" s="1575" t="s">
        <v>288</v>
      </c>
      <c r="AJ497" s="1575" t="s">
        <v>97</v>
      </c>
      <c r="AK497" s="1575" t="s">
        <v>711</v>
      </c>
      <c r="AL497" s="1679"/>
      <c r="AM497" s="2089"/>
      <c r="AN497" s="2090"/>
      <c r="AO497" s="1534" t="s">
        <v>29</v>
      </c>
      <c r="AP497" s="1534" t="s">
        <v>30</v>
      </c>
      <c r="AQ497" s="1534" t="s">
        <v>31</v>
      </c>
      <c r="AR497" s="1534" t="s">
        <v>4</v>
      </c>
      <c r="AS497" s="1534" t="s">
        <v>30</v>
      </c>
      <c r="AT497" s="1534" t="s">
        <v>31</v>
      </c>
      <c r="AU497" s="1534" t="s">
        <v>30</v>
      </c>
      <c r="AV497" s="1534" t="s">
        <v>31</v>
      </c>
      <c r="AW497" s="1534" t="s">
        <v>4</v>
      </c>
      <c r="AX497" s="1534" t="s">
        <v>32</v>
      </c>
      <c r="AY497" s="2043"/>
      <c r="AZ497" s="2046"/>
      <c r="BA497" s="2046"/>
      <c r="BB497" s="2046"/>
      <c r="BC497" s="1549" t="s">
        <v>33</v>
      </c>
      <c r="BD497" s="2073" t="s">
        <v>42</v>
      </c>
      <c r="BE497" s="2075" t="s">
        <v>43</v>
      </c>
      <c r="BG497" s="1573"/>
      <c r="BH497" s="1560"/>
      <c r="BI497" s="1560"/>
      <c r="BJ497" s="1555"/>
      <c r="BK497" s="1561"/>
      <c r="BL497" s="1561"/>
      <c r="BM497" s="1561"/>
      <c r="BN497" s="1555"/>
      <c r="BO497" s="1555"/>
    </row>
    <row r="498" spans="1:72" s="1523" customFormat="1" ht="46.5" customHeight="1" thickBot="1">
      <c r="A498" s="2051"/>
      <c r="B498" s="2057"/>
      <c r="C498" s="2057"/>
      <c r="D498" s="1534"/>
      <c r="E498" s="1534"/>
      <c r="F498" s="1680" t="s">
        <v>34</v>
      </c>
      <c r="G498" s="1680" t="s">
        <v>34</v>
      </c>
      <c r="H498" s="1576" t="s">
        <v>8</v>
      </c>
      <c r="I498" s="1576" t="s">
        <v>34</v>
      </c>
      <c r="J498" s="1576" t="s">
        <v>8</v>
      </c>
      <c r="K498" s="1576" t="s">
        <v>34</v>
      </c>
      <c r="L498" s="1576" t="s">
        <v>8</v>
      </c>
      <c r="M498" s="1576" t="s">
        <v>34</v>
      </c>
      <c r="N498" s="1576" t="s">
        <v>8</v>
      </c>
      <c r="O498" s="1576" t="s">
        <v>34</v>
      </c>
      <c r="P498" s="1576" t="s">
        <v>8</v>
      </c>
      <c r="Q498" s="1576" t="s">
        <v>34</v>
      </c>
      <c r="R498" s="1576" t="s">
        <v>8</v>
      </c>
      <c r="S498" s="1576" t="s">
        <v>34</v>
      </c>
      <c r="T498" s="1576" t="s">
        <v>8</v>
      </c>
      <c r="U498" s="1576" t="s">
        <v>34</v>
      </c>
      <c r="V498" s="2057"/>
      <c r="W498" s="1576" t="s">
        <v>26</v>
      </c>
      <c r="X498" s="1576" t="s">
        <v>34</v>
      </c>
      <c r="Y498" s="1576" t="s">
        <v>26</v>
      </c>
      <c r="Z498" s="1576" t="s">
        <v>26</v>
      </c>
      <c r="AA498" s="1576" t="s">
        <v>34</v>
      </c>
      <c r="AB498" s="1576" t="s">
        <v>26</v>
      </c>
      <c r="AC498" s="1576" t="s">
        <v>35</v>
      </c>
      <c r="AD498" s="1576" t="s">
        <v>34</v>
      </c>
      <c r="AE498" s="1576" t="s">
        <v>34</v>
      </c>
      <c r="AF498" s="1576" t="s">
        <v>34</v>
      </c>
      <c r="AG498" s="1576" t="s">
        <v>34</v>
      </c>
      <c r="AH498" s="1576" t="s">
        <v>34</v>
      </c>
      <c r="AI498" s="1576" t="s">
        <v>34</v>
      </c>
      <c r="AJ498" s="1576" t="s">
        <v>34</v>
      </c>
      <c r="AK498" s="1681" t="s">
        <v>34</v>
      </c>
      <c r="AL498" s="1534" t="s">
        <v>34</v>
      </c>
      <c r="AM498" s="1576" t="s">
        <v>34</v>
      </c>
      <c r="AN498" s="1576" t="s">
        <v>34</v>
      </c>
      <c r="AO498" s="1576" t="s">
        <v>34</v>
      </c>
      <c r="AP498" s="1576" t="s">
        <v>34</v>
      </c>
      <c r="AQ498" s="1576" t="s">
        <v>34</v>
      </c>
      <c r="AR498" s="1576" t="s">
        <v>34</v>
      </c>
      <c r="AS498" s="1576" t="s">
        <v>58</v>
      </c>
      <c r="AT498" s="1576" t="s">
        <v>34</v>
      </c>
      <c r="AU498" s="1576" t="s">
        <v>59</v>
      </c>
      <c r="AV498" s="1576" t="s">
        <v>34</v>
      </c>
      <c r="AW498" s="1576" t="s">
        <v>34</v>
      </c>
      <c r="AX498" s="1534"/>
      <c r="AY498" s="2043"/>
      <c r="AZ498" s="2046"/>
      <c r="BA498" s="2047"/>
      <c r="BB498" s="2046"/>
      <c r="BC498" s="1549" t="s">
        <v>34</v>
      </c>
      <c r="BD498" s="2129"/>
      <c r="BE498" s="2130"/>
      <c r="BG498" s="1555" t="s">
        <v>353</v>
      </c>
      <c r="BH498" s="1578" t="s">
        <v>43</v>
      </c>
      <c r="BI498" s="1578" t="s">
        <v>42</v>
      </c>
      <c r="BJ498" s="1555" t="s">
        <v>354</v>
      </c>
      <c r="BK498" s="1561" t="s">
        <v>358</v>
      </c>
      <c r="BL498" s="1561"/>
      <c r="BM498" s="1561"/>
      <c r="BN498" s="1555"/>
      <c r="BO498" s="1555"/>
    </row>
    <row r="499" spans="1:72" ht="83.25" customHeight="1" thickBot="1">
      <c r="A499" s="1683">
        <v>12</v>
      </c>
      <c r="B499" s="1489" t="s">
        <v>36</v>
      </c>
      <c r="C499" s="1585" t="s">
        <v>396</v>
      </c>
      <c r="D499" s="1687" t="s">
        <v>405</v>
      </c>
      <c r="E499" s="1489">
        <f>'HK PANEN'!AH18</f>
        <v>24</v>
      </c>
      <c r="F499" s="1490">
        <v>129220</v>
      </c>
      <c r="G499" s="1490">
        <f t="shared" si="86"/>
        <v>3101280</v>
      </c>
      <c r="H499" s="1516">
        <f>'HK PANEN'!AI18</f>
        <v>0</v>
      </c>
      <c r="I499" s="1489">
        <f t="shared" si="65"/>
        <v>0</v>
      </c>
      <c r="J499" s="1489">
        <f>'HK PANEN'!AJ18</f>
        <v>0</v>
      </c>
      <c r="K499" s="1489">
        <f t="shared" si="66"/>
        <v>0</v>
      </c>
      <c r="L499" s="1489">
        <f>'HK PANEN'!AK18</f>
        <v>0</v>
      </c>
      <c r="M499" s="1489">
        <f t="shared" si="67"/>
        <v>0</v>
      </c>
      <c r="N499" s="1489">
        <f>'HK PANEN'!AL18</f>
        <v>4</v>
      </c>
      <c r="O499" s="1489">
        <f t="shared" si="68"/>
        <v>516880</v>
      </c>
      <c r="P499" s="1489">
        <f>'HK PANEN'!AM18</f>
        <v>3</v>
      </c>
      <c r="Q499" s="1489">
        <f t="shared" si="69"/>
        <v>387660</v>
      </c>
      <c r="R499" s="1489">
        <f>'HK PANEN'!AN18</f>
        <v>0</v>
      </c>
      <c r="S499" s="1489">
        <f t="shared" si="87"/>
        <v>0</v>
      </c>
      <c r="T499" s="1489">
        <f>'HK PANEN'!AO18</f>
        <v>0</v>
      </c>
      <c r="U499" s="1489">
        <f t="shared" si="70"/>
        <v>0</v>
      </c>
      <c r="V499" s="1491">
        <f t="shared" si="71"/>
        <v>31</v>
      </c>
      <c r="W499" s="1491">
        <v>4650</v>
      </c>
      <c r="X499" s="1491">
        <f t="shared" si="72"/>
        <v>144150</v>
      </c>
      <c r="Y499" s="1491"/>
      <c r="Z499" s="1491"/>
      <c r="AA499" s="1491">
        <f t="shared" si="73"/>
        <v>0</v>
      </c>
      <c r="AB499" s="1497">
        <v>2500</v>
      </c>
      <c r="AC499" s="1491">
        <f>'MASA KERJA AB'!H64</f>
        <v>1</v>
      </c>
      <c r="AD499" s="1649">
        <f>'MASA KERJA AB'!I64</f>
        <v>2500</v>
      </c>
      <c r="AE499" s="1497"/>
      <c r="AF499" s="1514">
        <f>'MONITORING '!AK121</f>
        <v>186465</v>
      </c>
      <c r="AG499" s="1498">
        <f>'MONITORING '!AK122</f>
        <v>224000</v>
      </c>
      <c r="AH499" s="1515">
        <v>357000</v>
      </c>
      <c r="AI499" s="1515">
        <f>'INSETIF MEI''25'!L16</f>
        <v>150000</v>
      </c>
      <c r="AJ499" s="1498"/>
      <c r="AK499" s="1499"/>
      <c r="AL499" s="1491"/>
      <c r="AM499" s="1491"/>
      <c r="AN499" s="1491">
        <f>'MONITORING '!AK123</f>
        <v>0</v>
      </c>
      <c r="AO499" s="1494">
        <f t="shared" si="74"/>
        <v>5069935</v>
      </c>
      <c r="AP499" s="1491">
        <f t="shared" si="88"/>
        <v>77532</v>
      </c>
      <c r="AQ499" s="1491">
        <f t="shared" si="89"/>
        <v>175997.64</v>
      </c>
      <c r="AR499" s="1491">
        <f t="shared" si="75"/>
        <v>253529.64</v>
      </c>
      <c r="AS499" s="1489">
        <f t="shared" si="90"/>
        <v>38791</v>
      </c>
      <c r="AT499" s="1489">
        <f t="shared" si="91"/>
        <v>155164</v>
      </c>
      <c r="AU499" s="1491">
        <f t="shared" si="92"/>
        <v>38766</v>
      </c>
      <c r="AV499" s="1491">
        <f t="shared" si="93"/>
        <v>77532</v>
      </c>
      <c r="AW499" s="1491">
        <f t="shared" si="94"/>
        <v>310253</v>
      </c>
      <c r="AX499" s="1649">
        <v>4000</v>
      </c>
      <c r="AY499" s="1491">
        <v>0</v>
      </c>
      <c r="AZ499" s="1491">
        <f t="shared" si="77"/>
        <v>0</v>
      </c>
      <c r="BA499" s="1491"/>
      <c r="BB499" s="1491"/>
      <c r="BC499" s="1489">
        <f t="shared" si="78"/>
        <v>4910846</v>
      </c>
      <c r="BD499" s="1489">
        <f>'HK PANEN'!AQ18</f>
        <v>0</v>
      </c>
      <c r="BE499" s="1495">
        <f>'HK PANEN'!AR18</f>
        <v>0</v>
      </c>
      <c r="BG499" s="1551">
        <f t="shared" si="79"/>
        <v>4005820</v>
      </c>
      <c r="BH499" s="1552">
        <f t="shared" si="80"/>
        <v>0</v>
      </c>
      <c r="BI499" s="1552">
        <f t="shared" si="81"/>
        <v>0</v>
      </c>
      <c r="BJ499" s="1551">
        <f t="shared" si="82"/>
        <v>0</v>
      </c>
      <c r="BK499" s="1553">
        <f t="shared" si="83"/>
        <v>4005820</v>
      </c>
      <c r="BM499" s="1553">
        <f t="shared" si="95"/>
        <v>1064115</v>
      </c>
      <c r="BN499" s="1551">
        <v>30575.999999999996</v>
      </c>
      <c r="BO499" s="1551">
        <f t="shared" si="84"/>
        <v>185740</v>
      </c>
      <c r="BQ499" s="1531">
        <f t="shared" si="85"/>
        <v>186465</v>
      </c>
      <c r="BS499" s="1523" t="s">
        <v>405</v>
      </c>
      <c r="BT499" s="1556">
        <f t="shared" si="96"/>
        <v>186465</v>
      </c>
    </row>
    <row r="500" spans="1:72" ht="26.25" customHeight="1">
      <c r="A500" s="2049" t="s">
        <v>1033</v>
      </c>
      <c r="B500" s="2049"/>
      <c r="C500" s="2049"/>
      <c r="D500" s="2049"/>
      <c r="E500" s="2049"/>
      <c r="F500" s="2049"/>
      <c r="G500" s="2049"/>
      <c r="H500" s="2049"/>
      <c r="I500" s="2049"/>
      <c r="J500" s="2049"/>
      <c r="K500" s="2049"/>
      <c r="L500" s="2049"/>
      <c r="M500" s="2049"/>
      <c r="N500" s="2049"/>
      <c r="O500" s="2049"/>
      <c r="P500" s="2049"/>
      <c r="Q500" s="2049"/>
      <c r="R500" s="2049"/>
      <c r="S500" s="2049"/>
      <c r="T500" s="2049"/>
      <c r="U500" s="2049"/>
      <c r="V500" s="2049"/>
      <c r="W500" s="2049"/>
      <c r="X500" s="2049"/>
      <c r="Y500" s="2049"/>
      <c r="Z500" s="2049"/>
      <c r="AA500" s="2049"/>
      <c r="AB500" s="2049"/>
      <c r="AC500" s="2049"/>
      <c r="AD500" s="2049"/>
      <c r="AE500" s="2049"/>
      <c r="AF500" s="2049"/>
      <c r="AG500" s="2049"/>
      <c r="AH500" s="2049"/>
      <c r="AI500" s="2049"/>
      <c r="AJ500" s="2049"/>
      <c r="AK500" s="2049"/>
      <c r="AL500" s="2049"/>
      <c r="AM500" s="2049"/>
      <c r="AN500" s="2049"/>
      <c r="AO500" s="2049"/>
      <c r="AP500" s="2049"/>
      <c r="AQ500" s="2049"/>
      <c r="AR500" s="2049"/>
      <c r="AS500" s="2049"/>
      <c r="AT500" s="2049"/>
      <c r="AU500" s="2049"/>
      <c r="AV500" s="2049"/>
      <c r="AW500" s="2049"/>
      <c r="AX500" s="2049"/>
      <c r="AY500" s="2049"/>
      <c r="AZ500" s="2049"/>
      <c r="BA500" s="2049"/>
      <c r="BB500" s="2049"/>
      <c r="BC500" s="2049"/>
      <c r="BD500" s="2049"/>
      <c r="BE500" s="2049"/>
    </row>
    <row r="501" spans="1:72" ht="26.25" customHeight="1">
      <c r="A501" s="1532"/>
      <c r="B501" s="1532"/>
      <c r="C501" s="1605"/>
      <c r="D501" s="1532"/>
      <c r="E501" s="1532"/>
      <c r="F501" s="1560"/>
      <c r="G501" s="1560"/>
      <c r="H501" s="1532"/>
      <c r="I501" s="1532"/>
      <c r="J501" s="1532"/>
      <c r="K501" s="1532"/>
      <c r="L501" s="1532"/>
      <c r="M501" s="1532"/>
      <c r="N501" s="1532"/>
      <c r="O501" s="1532"/>
      <c r="P501" s="1532"/>
      <c r="Q501" s="1532"/>
      <c r="R501" s="1532"/>
      <c r="S501" s="1532"/>
      <c r="T501" s="1532"/>
      <c r="U501" s="1532"/>
      <c r="V501" s="1532"/>
      <c r="W501" s="1532"/>
      <c r="X501" s="1532"/>
      <c r="Y501" s="1532"/>
      <c r="Z501" s="1532"/>
      <c r="AA501" s="1532"/>
      <c r="AB501" s="1532"/>
      <c r="AC501" s="1532"/>
      <c r="AD501" s="1532"/>
      <c r="AE501" s="1532"/>
      <c r="AF501" s="1532"/>
      <c r="AG501" s="1532"/>
      <c r="AH501" s="1532"/>
      <c r="AI501" s="1532"/>
      <c r="AJ501" s="1532"/>
      <c r="AK501" s="1557"/>
      <c r="AL501" s="1532"/>
      <c r="AM501" s="1532"/>
      <c r="AN501" s="1532"/>
      <c r="AO501" s="1532"/>
      <c r="AP501" s="1558"/>
      <c r="AQ501" s="1559"/>
      <c r="AR501" s="1559"/>
      <c r="AS501" s="1559"/>
      <c r="AT501" s="1671"/>
      <c r="AU501" s="1532"/>
      <c r="AV501" s="1532"/>
      <c r="AW501" s="1532"/>
      <c r="AX501" s="1532"/>
      <c r="AY501" s="1532"/>
      <c r="AZ501" s="1532"/>
      <c r="BA501" s="1532"/>
      <c r="BB501" s="1532"/>
      <c r="BC501" s="1547"/>
      <c r="BD501" s="1532"/>
      <c r="BE501" s="1532"/>
    </row>
    <row r="502" spans="1:72" s="1523" customFormat="1" ht="16.5" customHeight="1">
      <c r="D502" s="1523" t="s">
        <v>964</v>
      </c>
      <c r="F502" s="1555"/>
      <c r="G502" s="1555"/>
      <c r="AE502" s="1532"/>
      <c r="AF502" s="1532"/>
      <c r="AG502" s="1532"/>
      <c r="AH502" s="1532"/>
      <c r="AI502" s="1532"/>
      <c r="AJ502" s="1532"/>
      <c r="AK502" s="1557"/>
      <c r="AL502" s="1532"/>
      <c r="AM502" s="1532"/>
      <c r="AO502" s="1561"/>
      <c r="AP502" s="1558">
        <v>3876600</v>
      </c>
      <c r="AQ502" s="1672">
        <f>AP502/30</f>
        <v>129220</v>
      </c>
      <c r="AR502" s="1673">
        <f>AP502/173*1.5</f>
        <v>33612.138728323698</v>
      </c>
      <c r="AS502" s="1566">
        <f>AP502/173*2</f>
        <v>44816.184971098264</v>
      </c>
      <c r="AT502" s="1674"/>
      <c r="AU502" s="1532" t="s">
        <v>55</v>
      </c>
      <c r="AV502" s="1523" t="s">
        <v>335</v>
      </c>
      <c r="BC502" s="1518"/>
      <c r="BE502" s="1532"/>
      <c r="BG502" s="1555"/>
      <c r="BH502" s="1560"/>
      <c r="BI502" s="1560"/>
      <c r="BJ502" s="1555"/>
      <c r="BK502" s="1561"/>
      <c r="BL502" s="1561"/>
      <c r="BM502" s="1561"/>
      <c r="BN502" s="1555"/>
      <c r="BO502" s="1555"/>
    </row>
    <row r="503" spans="1:72" ht="18.75" customHeight="1" thickBot="1">
      <c r="A503" s="1547"/>
      <c r="D503" s="1532"/>
      <c r="E503" s="1563"/>
      <c r="F503" s="1675"/>
      <c r="G503" s="1564"/>
      <c r="H503" s="1563"/>
      <c r="I503" s="1563"/>
      <c r="J503" s="1563"/>
      <c r="K503" s="1563"/>
      <c r="L503" s="1563"/>
      <c r="M503" s="1563"/>
      <c r="N503" s="1563"/>
      <c r="O503" s="1563"/>
      <c r="Q503" s="1563"/>
      <c r="R503" s="1563"/>
      <c r="S503" s="1563"/>
      <c r="T503" s="1563"/>
      <c r="U503" s="1563"/>
      <c r="V503" s="1563"/>
      <c r="W503" s="1563"/>
      <c r="X503" s="1563"/>
      <c r="Y503" s="1563"/>
      <c r="Z503" s="1563"/>
      <c r="AA503" s="1563"/>
      <c r="AB503" s="1563"/>
      <c r="AC503" s="1563"/>
      <c r="AD503" s="1563"/>
      <c r="AE503" s="1563"/>
      <c r="AF503" s="1563"/>
      <c r="AG503" s="1563"/>
      <c r="AH503" s="1563"/>
      <c r="AI503" s="1563"/>
      <c r="AJ503" s="1563"/>
      <c r="AK503" s="1565"/>
      <c r="AL503" s="1563"/>
      <c r="AM503" s="1563"/>
      <c r="AO503" s="1563"/>
      <c r="AP503" s="1558">
        <v>3876600</v>
      </c>
      <c r="AQ503" s="1566">
        <f>AP503/30</f>
        <v>129220</v>
      </c>
      <c r="AR503" s="1598"/>
      <c r="AS503" s="1598"/>
      <c r="AT503" s="1674"/>
    </row>
    <row r="504" spans="1:72" s="1523" customFormat="1" ht="18.75" customHeight="1">
      <c r="A504" s="2050" t="s">
        <v>5</v>
      </c>
      <c r="B504" s="2056" t="s">
        <v>6</v>
      </c>
      <c r="C504" s="2056" t="s">
        <v>52</v>
      </c>
      <c r="D504" s="1571"/>
      <c r="E504" s="1571"/>
      <c r="F504" s="1676"/>
      <c r="G504" s="1676"/>
      <c r="H504" s="2118" t="s">
        <v>2</v>
      </c>
      <c r="I504" s="2118"/>
      <c r="J504" s="2118"/>
      <c r="K504" s="2118"/>
      <c r="L504" s="2118"/>
      <c r="M504" s="2118"/>
      <c r="N504" s="2118"/>
      <c r="O504" s="2118"/>
      <c r="P504" s="2118"/>
      <c r="Q504" s="2118"/>
      <c r="R504" s="2118"/>
      <c r="S504" s="2118"/>
      <c r="T504" s="2118"/>
      <c r="U504" s="2118"/>
      <c r="V504" s="2056" t="s">
        <v>286</v>
      </c>
      <c r="W504" s="2118" t="s">
        <v>3</v>
      </c>
      <c r="X504" s="2118"/>
      <c r="Y504" s="2118"/>
      <c r="Z504" s="2118"/>
      <c r="AA504" s="2118"/>
      <c r="AB504" s="2118"/>
      <c r="AC504" s="2118"/>
      <c r="AD504" s="2118"/>
      <c r="AE504" s="2119" t="s">
        <v>45</v>
      </c>
      <c r="AF504" s="2063" t="s">
        <v>46</v>
      </c>
      <c r="AG504" s="2064"/>
      <c r="AH504" s="2064"/>
      <c r="AI504" s="2064"/>
      <c r="AJ504" s="2064"/>
      <c r="AK504" s="2065"/>
      <c r="AL504" s="1571"/>
      <c r="AM504" s="2045" t="s">
        <v>361</v>
      </c>
      <c r="AN504" s="2056" t="s">
        <v>44</v>
      </c>
      <c r="AO504" s="1533" t="s">
        <v>4</v>
      </c>
      <c r="AP504" s="2036" t="s">
        <v>20</v>
      </c>
      <c r="AQ504" s="2037"/>
      <c r="AR504" s="2038"/>
      <c r="AS504" s="2036" t="s">
        <v>54</v>
      </c>
      <c r="AT504" s="2037"/>
      <c r="AU504" s="2037"/>
      <c r="AV504" s="2037"/>
      <c r="AW504" s="2038"/>
      <c r="AX504" s="1571"/>
      <c r="AY504" s="2042" t="s">
        <v>90</v>
      </c>
      <c r="AZ504" s="2045" t="s">
        <v>97</v>
      </c>
      <c r="BA504" s="2045" t="s">
        <v>720</v>
      </c>
      <c r="BB504" s="2045" t="s">
        <v>362</v>
      </c>
      <c r="BC504" s="1548" t="s">
        <v>4</v>
      </c>
      <c r="BD504" s="2063" t="s">
        <v>41</v>
      </c>
      <c r="BE504" s="2084"/>
      <c r="BG504" s="1555"/>
      <c r="BH504" s="1560"/>
      <c r="BI504" s="1560"/>
      <c r="BJ504" s="1555"/>
      <c r="BK504" s="1561"/>
      <c r="BL504" s="1561"/>
      <c r="BM504" s="1561"/>
      <c r="BN504" s="1555"/>
      <c r="BO504" s="1555"/>
    </row>
    <row r="505" spans="1:72" s="1523" customFormat="1" ht="25.5" customHeight="1">
      <c r="A505" s="2051"/>
      <c r="B505" s="2057"/>
      <c r="C505" s="2057"/>
      <c r="D505" s="1534" t="s">
        <v>7</v>
      </c>
      <c r="E505" s="1534" t="s">
        <v>8</v>
      </c>
      <c r="F505" s="1677" t="s">
        <v>9</v>
      </c>
      <c r="G505" s="1677" t="s">
        <v>9</v>
      </c>
      <c r="H505" s="2131" t="s">
        <v>10</v>
      </c>
      <c r="I505" s="2131"/>
      <c r="J505" s="2131" t="s">
        <v>11</v>
      </c>
      <c r="K505" s="2131"/>
      <c r="L505" s="2131" t="s">
        <v>12</v>
      </c>
      <c r="M505" s="2131"/>
      <c r="N505" s="2131" t="s">
        <v>13</v>
      </c>
      <c r="O505" s="2131"/>
      <c r="P505" s="2131" t="s">
        <v>14</v>
      </c>
      <c r="Q505" s="2131"/>
      <c r="R505" s="2132" t="s">
        <v>15</v>
      </c>
      <c r="S505" s="2132"/>
      <c r="T505" s="2131" t="s">
        <v>16</v>
      </c>
      <c r="U505" s="2131"/>
      <c r="V505" s="2057"/>
      <c r="W505" s="2131" t="s">
        <v>17</v>
      </c>
      <c r="X505" s="2131"/>
      <c r="Y505" s="2131" t="s">
        <v>18</v>
      </c>
      <c r="Z505" s="2131"/>
      <c r="AA505" s="2131"/>
      <c r="AB505" s="2071" t="s">
        <v>19</v>
      </c>
      <c r="AC505" s="2081"/>
      <c r="AD505" s="2072"/>
      <c r="AE505" s="2120"/>
      <c r="AF505" s="2085"/>
      <c r="AG505" s="2122"/>
      <c r="AH505" s="2122"/>
      <c r="AI505" s="2122"/>
      <c r="AJ505" s="2122"/>
      <c r="AK505" s="2123"/>
      <c r="AL505" s="1678"/>
      <c r="AM505" s="2046"/>
      <c r="AN505" s="2057"/>
      <c r="AO505" s="1534" t="s">
        <v>9</v>
      </c>
      <c r="AP505" s="2039"/>
      <c r="AQ505" s="2040"/>
      <c r="AR505" s="2041"/>
      <c r="AS505" s="2039"/>
      <c r="AT505" s="2040"/>
      <c r="AU505" s="2040"/>
      <c r="AV505" s="2040"/>
      <c r="AW505" s="2041"/>
      <c r="AX505" s="1534" t="s">
        <v>21</v>
      </c>
      <c r="AY505" s="2043"/>
      <c r="AZ505" s="2046"/>
      <c r="BA505" s="2046"/>
      <c r="BB505" s="2046"/>
      <c r="BC505" s="1549" t="s">
        <v>9</v>
      </c>
      <c r="BD505" s="2085"/>
      <c r="BE505" s="2086"/>
      <c r="BG505" s="1555"/>
      <c r="BH505" s="1560"/>
      <c r="BI505" s="1560"/>
      <c r="BJ505" s="1555"/>
      <c r="BK505" s="1561"/>
      <c r="BL505" s="1561"/>
      <c r="BM505" s="1561"/>
      <c r="BN505" s="1555"/>
      <c r="BO505" s="1555"/>
    </row>
    <row r="506" spans="1:72" s="1523" customFormat="1" ht="36" customHeight="1">
      <c r="A506" s="2051"/>
      <c r="B506" s="2057"/>
      <c r="C506" s="2057"/>
      <c r="D506" s="1534" t="s">
        <v>22</v>
      </c>
      <c r="E506" s="1534" t="s">
        <v>23</v>
      </c>
      <c r="F506" s="1677" t="s">
        <v>24</v>
      </c>
      <c r="G506" s="1677" t="s">
        <v>25</v>
      </c>
      <c r="H506" s="2073" t="s">
        <v>4</v>
      </c>
      <c r="I506" s="2073"/>
      <c r="J506" s="2073" t="s">
        <v>4</v>
      </c>
      <c r="K506" s="2073"/>
      <c r="L506" s="2073" t="s">
        <v>4</v>
      </c>
      <c r="M506" s="2073"/>
      <c r="N506" s="2073" t="s">
        <v>4</v>
      </c>
      <c r="O506" s="2073"/>
      <c r="P506" s="2073" t="s">
        <v>4</v>
      </c>
      <c r="Q506" s="2073"/>
      <c r="R506" s="2073" t="s">
        <v>4</v>
      </c>
      <c r="S506" s="2073"/>
      <c r="T506" s="2073" t="s">
        <v>4</v>
      </c>
      <c r="U506" s="2073"/>
      <c r="V506" s="2057"/>
      <c r="W506" s="1534" t="s">
        <v>27</v>
      </c>
      <c r="X506" s="1576" t="s">
        <v>28</v>
      </c>
      <c r="Y506" s="1534" t="s">
        <v>27</v>
      </c>
      <c r="Z506" s="2073" t="s">
        <v>4</v>
      </c>
      <c r="AA506" s="2073"/>
      <c r="AB506" s="1534" t="s">
        <v>27</v>
      </c>
      <c r="AC506" s="2071" t="s">
        <v>4</v>
      </c>
      <c r="AD506" s="2072"/>
      <c r="AE506" s="2121"/>
      <c r="AF506" s="1575" t="s">
        <v>56</v>
      </c>
      <c r="AG506" s="1575" t="s">
        <v>57</v>
      </c>
      <c r="AH506" s="1575" t="s">
        <v>60</v>
      </c>
      <c r="AI506" s="1575" t="s">
        <v>288</v>
      </c>
      <c r="AJ506" s="1575" t="s">
        <v>97</v>
      </c>
      <c r="AK506" s="1575" t="s">
        <v>711</v>
      </c>
      <c r="AL506" s="1679"/>
      <c r="AM506" s="2089"/>
      <c r="AN506" s="2090"/>
      <c r="AO506" s="1534" t="s">
        <v>29</v>
      </c>
      <c r="AP506" s="1534" t="s">
        <v>30</v>
      </c>
      <c r="AQ506" s="1534" t="s">
        <v>31</v>
      </c>
      <c r="AR506" s="1534" t="s">
        <v>4</v>
      </c>
      <c r="AS506" s="1534" t="s">
        <v>30</v>
      </c>
      <c r="AT506" s="1534" t="s">
        <v>31</v>
      </c>
      <c r="AU506" s="1534" t="s">
        <v>30</v>
      </c>
      <c r="AV506" s="1534" t="s">
        <v>31</v>
      </c>
      <c r="AW506" s="1534" t="s">
        <v>4</v>
      </c>
      <c r="AX506" s="1534" t="s">
        <v>32</v>
      </c>
      <c r="AY506" s="2043"/>
      <c r="AZ506" s="2046"/>
      <c r="BA506" s="2046"/>
      <c r="BB506" s="2046"/>
      <c r="BC506" s="1549" t="s">
        <v>33</v>
      </c>
      <c r="BD506" s="2073" t="s">
        <v>42</v>
      </c>
      <c r="BE506" s="2075" t="s">
        <v>43</v>
      </c>
      <c r="BG506" s="1573"/>
      <c r="BH506" s="1560"/>
      <c r="BI506" s="1560"/>
      <c r="BJ506" s="1555"/>
      <c r="BK506" s="1561"/>
      <c r="BL506" s="1561"/>
      <c r="BM506" s="1561"/>
      <c r="BN506" s="1555"/>
      <c r="BO506" s="1555"/>
    </row>
    <row r="507" spans="1:72" s="1523" customFormat="1" ht="46.5" customHeight="1" thickBot="1">
      <c r="A507" s="2051"/>
      <c r="B507" s="2057"/>
      <c r="C507" s="2057"/>
      <c r="D507" s="1534"/>
      <c r="E507" s="1534"/>
      <c r="F507" s="1680" t="s">
        <v>34</v>
      </c>
      <c r="G507" s="1680" t="s">
        <v>34</v>
      </c>
      <c r="H507" s="1576" t="s">
        <v>8</v>
      </c>
      <c r="I507" s="1576" t="s">
        <v>34</v>
      </c>
      <c r="J507" s="1576" t="s">
        <v>8</v>
      </c>
      <c r="K507" s="1576" t="s">
        <v>34</v>
      </c>
      <c r="L507" s="1576" t="s">
        <v>8</v>
      </c>
      <c r="M507" s="1576" t="s">
        <v>34</v>
      </c>
      <c r="N507" s="1576" t="s">
        <v>8</v>
      </c>
      <c r="O507" s="1576" t="s">
        <v>34</v>
      </c>
      <c r="P507" s="1576" t="s">
        <v>8</v>
      </c>
      <c r="Q507" s="1576" t="s">
        <v>34</v>
      </c>
      <c r="R507" s="1576" t="s">
        <v>8</v>
      </c>
      <c r="S507" s="1576" t="s">
        <v>34</v>
      </c>
      <c r="T507" s="1576" t="s">
        <v>8</v>
      </c>
      <c r="U507" s="1576" t="s">
        <v>34</v>
      </c>
      <c r="V507" s="2057"/>
      <c r="W507" s="1576" t="s">
        <v>26</v>
      </c>
      <c r="X507" s="1576" t="s">
        <v>34</v>
      </c>
      <c r="Y507" s="1576" t="s">
        <v>26</v>
      </c>
      <c r="Z507" s="1576" t="s">
        <v>26</v>
      </c>
      <c r="AA507" s="1576" t="s">
        <v>34</v>
      </c>
      <c r="AB507" s="1576" t="s">
        <v>26</v>
      </c>
      <c r="AC507" s="1576" t="s">
        <v>35</v>
      </c>
      <c r="AD507" s="1576" t="s">
        <v>34</v>
      </c>
      <c r="AE507" s="1576" t="s">
        <v>34</v>
      </c>
      <c r="AF507" s="1576" t="s">
        <v>34</v>
      </c>
      <c r="AG507" s="1576" t="s">
        <v>34</v>
      </c>
      <c r="AH507" s="1576" t="s">
        <v>34</v>
      </c>
      <c r="AI507" s="1576" t="s">
        <v>34</v>
      </c>
      <c r="AJ507" s="1576" t="s">
        <v>34</v>
      </c>
      <c r="AK507" s="1681" t="s">
        <v>34</v>
      </c>
      <c r="AL507" s="1534" t="s">
        <v>34</v>
      </c>
      <c r="AM507" s="1576" t="s">
        <v>34</v>
      </c>
      <c r="AN507" s="1576" t="s">
        <v>34</v>
      </c>
      <c r="AO507" s="1576" t="s">
        <v>34</v>
      </c>
      <c r="AP507" s="1576" t="s">
        <v>34</v>
      </c>
      <c r="AQ507" s="1576" t="s">
        <v>34</v>
      </c>
      <c r="AR507" s="1576" t="s">
        <v>34</v>
      </c>
      <c r="AS507" s="1576" t="s">
        <v>58</v>
      </c>
      <c r="AT507" s="1576" t="s">
        <v>34</v>
      </c>
      <c r="AU507" s="1576" t="s">
        <v>59</v>
      </c>
      <c r="AV507" s="1576" t="s">
        <v>34</v>
      </c>
      <c r="AW507" s="1576" t="s">
        <v>34</v>
      </c>
      <c r="AX507" s="1534"/>
      <c r="AY507" s="2043"/>
      <c r="AZ507" s="2046"/>
      <c r="BA507" s="2047"/>
      <c r="BB507" s="2046"/>
      <c r="BC507" s="1549" t="s">
        <v>34</v>
      </c>
      <c r="BD507" s="2129"/>
      <c r="BE507" s="2130"/>
      <c r="BG507" s="1555" t="s">
        <v>353</v>
      </c>
      <c r="BH507" s="1578" t="s">
        <v>43</v>
      </c>
      <c r="BI507" s="1578" t="s">
        <v>42</v>
      </c>
      <c r="BJ507" s="1555" t="s">
        <v>354</v>
      </c>
      <c r="BK507" s="1561" t="s">
        <v>358</v>
      </c>
      <c r="BL507" s="1561"/>
      <c r="BM507" s="1561"/>
      <c r="BN507" s="1555"/>
      <c r="BO507" s="1555"/>
    </row>
    <row r="508" spans="1:72" ht="83.25" customHeight="1" thickBot="1">
      <c r="A508" s="1683">
        <v>13</v>
      </c>
      <c r="B508" s="1489" t="s">
        <v>36</v>
      </c>
      <c r="C508" s="1585" t="s">
        <v>423</v>
      </c>
      <c r="D508" s="1590" t="s">
        <v>409</v>
      </c>
      <c r="E508" s="1489">
        <f>'HK PANEN'!AH19</f>
        <v>24</v>
      </c>
      <c r="F508" s="1490">
        <v>129220</v>
      </c>
      <c r="G508" s="1490">
        <f t="shared" si="86"/>
        <v>3101280</v>
      </c>
      <c r="H508" s="1516">
        <f>'HK PANEN'!AI19</f>
        <v>0</v>
      </c>
      <c r="I508" s="1489">
        <f t="shared" si="65"/>
        <v>0</v>
      </c>
      <c r="J508" s="1489">
        <f>'HK PANEN'!AJ19</f>
        <v>0</v>
      </c>
      <c r="K508" s="1489">
        <f t="shared" si="66"/>
        <v>0</v>
      </c>
      <c r="L508" s="1489">
        <f>'HK PANEN'!AK19</f>
        <v>0</v>
      </c>
      <c r="M508" s="1489">
        <f t="shared" si="67"/>
        <v>0</v>
      </c>
      <c r="N508" s="1489">
        <f>'HK PANEN'!AL19</f>
        <v>4</v>
      </c>
      <c r="O508" s="1489">
        <f t="shared" si="68"/>
        <v>516880</v>
      </c>
      <c r="P508" s="1489">
        <f>'HK PANEN'!AM19</f>
        <v>3</v>
      </c>
      <c r="Q508" s="1489">
        <f t="shared" si="69"/>
        <v>387660</v>
      </c>
      <c r="R508" s="1489">
        <f>'HK PANEN'!AN19</f>
        <v>0</v>
      </c>
      <c r="S508" s="1489">
        <f t="shared" si="87"/>
        <v>0</v>
      </c>
      <c r="T508" s="1489">
        <f>'HK PANEN'!AO19</f>
        <v>0</v>
      </c>
      <c r="U508" s="1489">
        <f t="shared" si="70"/>
        <v>0</v>
      </c>
      <c r="V508" s="1491">
        <f t="shared" si="71"/>
        <v>31</v>
      </c>
      <c r="W508" s="1491">
        <v>5550</v>
      </c>
      <c r="X508" s="1491">
        <f t="shared" si="72"/>
        <v>172050</v>
      </c>
      <c r="Y508" s="1491"/>
      <c r="Z508" s="1491"/>
      <c r="AA508" s="1491">
        <f t="shared" si="73"/>
        <v>0</v>
      </c>
      <c r="AB508" s="1497"/>
      <c r="AC508" s="1491">
        <f>'MASA KERJA AB'!H65</f>
        <v>1</v>
      </c>
      <c r="AD508" s="1649">
        <f>'MASA KERJA AB'!I65</f>
        <v>2500</v>
      </c>
      <c r="AE508" s="1497">
        <f>'LEMBUR DAN PREMI UPKEEP'!AJ92</f>
        <v>0</v>
      </c>
      <c r="AF508" s="1514">
        <f>'MONITORING '!AK134</f>
        <v>334646</v>
      </c>
      <c r="AG508" s="1498">
        <f>'MONITORING '!AK135</f>
        <v>245000</v>
      </c>
      <c r="AH508" s="1515">
        <v>524850</v>
      </c>
      <c r="AI508" s="1499"/>
      <c r="AJ508" s="1498"/>
      <c r="AK508" s="1499"/>
      <c r="AL508" s="1491"/>
      <c r="AM508" s="1491"/>
      <c r="AN508" s="1491">
        <f>'MONITORING '!AK136</f>
        <v>0</v>
      </c>
      <c r="AO508" s="1494">
        <f t="shared" si="74"/>
        <v>5284866</v>
      </c>
      <c r="AP508" s="1491">
        <f t="shared" si="88"/>
        <v>77532</v>
      </c>
      <c r="AQ508" s="1491">
        <f t="shared" si="89"/>
        <v>175997.64</v>
      </c>
      <c r="AR508" s="1491">
        <f t="shared" si="75"/>
        <v>253529.64</v>
      </c>
      <c r="AS508" s="1489">
        <f t="shared" si="90"/>
        <v>38791</v>
      </c>
      <c r="AT508" s="1489">
        <f t="shared" si="91"/>
        <v>155164</v>
      </c>
      <c r="AU508" s="1491">
        <f t="shared" si="92"/>
        <v>38766</v>
      </c>
      <c r="AV508" s="1491">
        <f t="shared" si="93"/>
        <v>77532</v>
      </c>
      <c r="AW508" s="1491">
        <f t="shared" si="94"/>
        <v>310253</v>
      </c>
      <c r="AX508" s="1649">
        <v>4000</v>
      </c>
      <c r="AY508" s="1491">
        <v>0</v>
      </c>
      <c r="AZ508" s="1491">
        <f t="shared" si="77"/>
        <v>0</v>
      </c>
      <c r="BA508" s="1491"/>
      <c r="BB508" s="1491"/>
      <c r="BC508" s="1489">
        <f t="shared" si="78"/>
        <v>5125777</v>
      </c>
      <c r="BD508" s="1489">
        <f>'HK PANEN'!AQ19</f>
        <v>0</v>
      </c>
      <c r="BE508" s="1495">
        <f>'HK PANEN'!AR19</f>
        <v>0</v>
      </c>
      <c r="BG508" s="1551">
        <f t="shared" si="79"/>
        <v>4005820</v>
      </c>
      <c r="BH508" s="1552">
        <f t="shared" si="80"/>
        <v>0</v>
      </c>
      <c r="BI508" s="1552">
        <f t="shared" si="81"/>
        <v>0</v>
      </c>
      <c r="BJ508" s="1551">
        <f t="shared" si="82"/>
        <v>0</v>
      </c>
      <c r="BK508" s="1553">
        <f t="shared" si="83"/>
        <v>4005820</v>
      </c>
      <c r="BM508" s="1553">
        <f t="shared" si="95"/>
        <v>1279046</v>
      </c>
      <c r="BN508" s="1551">
        <v>30575.999999999996</v>
      </c>
      <c r="BO508" s="1551">
        <f t="shared" si="84"/>
        <v>185740</v>
      </c>
      <c r="BQ508" s="1531">
        <f t="shared" si="85"/>
        <v>334646</v>
      </c>
      <c r="BS508" s="1523" t="s">
        <v>409</v>
      </c>
      <c r="BT508" s="1556">
        <f t="shared" si="96"/>
        <v>334646</v>
      </c>
    </row>
    <row r="509" spans="1:72" ht="26.25" customHeight="1">
      <c r="A509" s="2049" t="s">
        <v>1033</v>
      </c>
      <c r="B509" s="2049"/>
      <c r="C509" s="2049"/>
      <c r="D509" s="2049"/>
      <c r="E509" s="2049"/>
      <c r="F509" s="2049"/>
      <c r="G509" s="2049"/>
      <c r="H509" s="2049"/>
      <c r="I509" s="2049"/>
      <c r="J509" s="2049"/>
      <c r="K509" s="2049"/>
      <c r="L509" s="2049"/>
      <c r="M509" s="2049"/>
      <c r="N509" s="2049"/>
      <c r="O509" s="2049"/>
      <c r="P509" s="2049"/>
      <c r="Q509" s="2049"/>
      <c r="R509" s="2049"/>
      <c r="S509" s="2049"/>
      <c r="T509" s="2049"/>
      <c r="U509" s="2049"/>
      <c r="V509" s="2049"/>
      <c r="W509" s="2049"/>
      <c r="X509" s="2049"/>
      <c r="Y509" s="2049"/>
      <c r="Z509" s="2049"/>
      <c r="AA509" s="2049"/>
      <c r="AB509" s="2049"/>
      <c r="AC509" s="2049"/>
      <c r="AD509" s="2049"/>
      <c r="AE509" s="2049"/>
      <c r="AF509" s="2049"/>
      <c r="AG509" s="2049"/>
      <c r="AH509" s="2049"/>
      <c r="AI509" s="2049"/>
      <c r="AJ509" s="2049"/>
      <c r="AK509" s="2049"/>
      <c r="AL509" s="2049"/>
      <c r="AM509" s="2049"/>
      <c r="AN509" s="2049"/>
      <c r="AO509" s="2049"/>
      <c r="AP509" s="2049"/>
      <c r="AQ509" s="2049"/>
      <c r="AR509" s="2049"/>
      <c r="AS509" s="2049"/>
      <c r="AT509" s="2049"/>
      <c r="AU509" s="2049"/>
      <c r="AV509" s="2049"/>
      <c r="AW509" s="2049"/>
      <c r="AX509" s="2049"/>
      <c r="AY509" s="2049"/>
      <c r="AZ509" s="2049"/>
      <c r="BA509" s="2049"/>
      <c r="BB509" s="2049"/>
      <c r="BC509" s="2049"/>
      <c r="BD509" s="2049"/>
      <c r="BE509" s="2049"/>
    </row>
    <row r="510" spans="1:72" ht="26.25" customHeight="1">
      <c r="A510" s="1532"/>
      <c r="B510" s="1532"/>
      <c r="C510" s="1605"/>
      <c r="D510" s="1532"/>
      <c r="E510" s="1532"/>
      <c r="F510" s="1560"/>
      <c r="G510" s="1560"/>
      <c r="H510" s="1532"/>
      <c r="I510" s="1532"/>
      <c r="J510" s="1532"/>
      <c r="K510" s="1532"/>
      <c r="L510" s="1532"/>
      <c r="M510" s="1532"/>
      <c r="N510" s="1532"/>
      <c r="O510" s="1532"/>
      <c r="P510" s="1532"/>
      <c r="Q510" s="1532"/>
      <c r="R510" s="1532"/>
      <c r="S510" s="1532"/>
      <c r="T510" s="1532"/>
      <c r="U510" s="1532"/>
      <c r="V510" s="1532"/>
      <c r="W510" s="1532"/>
      <c r="X510" s="1532"/>
      <c r="Y510" s="1532"/>
      <c r="Z510" s="1532"/>
      <c r="AA510" s="1532"/>
      <c r="AB510" s="1532"/>
      <c r="AC510" s="1532"/>
      <c r="AD510" s="1532"/>
      <c r="AE510" s="1532"/>
      <c r="AF510" s="1532"/>
      <c r="AG510" s="1532"/>
      <c r="AH510" s="1532"/>
      <c r="AI510" s="1532"/>
      <c r="AJ510" s="1532"/>
      <c r="AK510" s="1557"/>
      <c r="AL510" s="1532"/>
      <c r="AM510" s="1532"/>
      <c r="AN510" s="1532"/>
      <c r="AO510" s="1532"/>
      <c r="AP510" s="1558"/>
      <c r="AQ510" s="1559"/>
      <c r="AR510" s="1559"/>
      <c r="AS510" s="1559"/>
      <c r="AT510" s="1671"/>
      <c r="AU510" s="1532"/>
      <c r="AV510" s="1532"/>
      <c r="AW510" s="1532"/>
      <c r="AX510" s="1532"/>
      <c r="AY510" s="1532"/>
      <c r="AZ510" s="1532"/>
      <c r="BA510" s="1532"/>
      <c r="BB510" s="1532"/>
      <c r="BC510" s="1547"/>
      <c r="BD510" s="1532"/>
      <c r="BE510" s="1532"/>
    </row>
    <row r="511" spans="1:72" s="1523" customFormat="1" ht="16.5" customHeight="1">
      <c r="D511" s="1523" t="s">
        <v>964</v>
      </c>
      <c r="F511" s="1555"/>
      <c r="G511" s="1555"/>
      <c r="AE511" s="1532"/>
      <c r="AF511" s="1532"/>
      <c r="AG511" s="1532"/>
      <c r="AH511" s="1532"/>
      <c r="AI511" s="1532"/>
      <c r="AJ511" s="1532"/>
      <c r="AK511" s="1557"/>
      <c r="AL511" s="1532"/>
      <c r="AM511" s="1532"/>
      <c r="AO511" s="1561"/>
      <c r="AP511" s="1558">
        <v>3876600</v>
      </c>
      <c r="AQ511" s="1672">
        <f>AP511/30</f>
        <v>129220</v>
      </c>
      <c r="AR511" s="1673">
        <f>AP511/173*1.5</f>
        <v>33612.138728323698</v>
      </c>
      <c r="AS511" s="1566">
        <f>AP511/173*2</f>
        <v>44816.184971098264</v>
      </c>
      <c r="AT511" s="1674"/>
      <c r="AU511" s="1532" t="s">
        <v>55</v>
      </c>
      <c r="AV511" s="1523" t="s">
        <v>335</v>
      </c>
      <c r="BC511" s="1518"/>
      <c r="BE511" s="1532"/>
      <c r="BG511" s="1555"/>
      <c r="BH511" s="1560"/>
      <c r="BI511" s="1560"/>
      <c r="BJ511" s="1555"/>
      <c r="BK511" s="1561"/>
      <c r="BL511" s="1561"/>
      <c r="BM511" s="1561"/>
      <c r="BN511" s="1555"/>
      <c r="BO511" s="1555"/>
    </row>
    <row r="512" spans="1:72" ht="18.75" customHeight="1" thickBot="1">
      <c r="A512" s="1547"/>
      <c r="D512" s="1532"/>
      <c r="E512" s="1563"/>
      <c r="F512" s="1675"/>
      <c r="G512" s="1564"/>
      <c r="H512" s="1563"/>
      <c r="I512" s="1563"/>
      <c r="J512" s="1563"/>
      <c r="K512" s="1563"/>
      <c r="L512" s="1563"/>
      <c r="M512" s="1563"/>
      <c r="N512" s="1563"/>
      <c r="O512" s="1563"/>
      <c r="Q512" s="1563"/>
      <c r="R512" s="1563"/>
      <c r="S512" s="1563"/>
      <c r="T512" s="1563"/>
      <c r="U512" s="1563"/>
      <c r="V512" s="1563"/>
      <c r="W512" s="1563"/>
      <c r="X512" s="1563"/>
      <c r="Y512" s="1563"/>
      <c r="Z512" s="1563"/>
      <c r="AA512" s="1563"/>
      <c r="AB512" s="1563"/>
      <c r="AC512" s="1563"/>
      <c r="AD512" s="1563"/>
      <c r="AE512" s="1563"/>
      <c r="AF512" s="1563"/>
      <c r="AG512" s="1563"/>
      <c r="AH512" s="1563"/>
      <c r="AI512" s="1563"/>
      <c r="AJ512" s="1563"/>
      <c r="AK512" s="1565"/>
      <c r="AL512" s="1563"/>
      <c r="AM512" s="1563"/>
      <c r="AO512" s="1563"/>
      <c r="AP512" s="1558">
        <v>3876600</v>
      </c>
      <c r="AQ512" s="1566">
        <f>AP512/30</f>
        <v>129220</v>
      </c>
      <c r="AR512" s="1598"/>
      <c r="AS512" s="1598"/>
      <c r="AT512" s="1674"/>
    </row>
    <row r="513" spans="1:72" s="1523" customFormat="1" ht="18.75" customHeight="1">
      <c r="A513" s="2050" t="s">
        <v>5</v>
      </c>
      <c r="B513" s="2056" t="s">
        <v>6</v>
      </c>
      <c r="C513" s="2056" t="s">
        <v>52</v>
      </c>
      <c r="D513" s="1571"/>
      <c r="E513" s="1571"/>
      <c r="F513" s="1676"/>
      <c r="G513" s="1676"/>
      <c r="H513" s="2118" t="s">
        <v>2</v>
      </c>
      <c r="I513" s="2118"/>
      <c r="J513" s="2118"/>
      <c r="K513" s="2118"/>
      <c r="L513" s="2118"/>
      <c r="M513" s="2118"/>
      <c r="N513" s="2118"/>
      <c r="O513" s="2118"/>
      <c r="P513" s="2118"/>
      <c r="Q513" s="2118"/>
      <c r="R513" s="2118"/>
      <c r="S513" s="2118"/>
      <c r="T513" s="2118"/>
      <c r="U513" s="2118"/>
      <c r="V513" s="2056" t="s">
        <v>286</v>
      </c>
      <c r="W513" s="2118" t="s">
        <v>3</v>
      </c>
      <c r="X513" s="2118"/>
      <c r="Y513" s="2118"/>
      <c r="Z513" s="2118"/>
      <c r="AA513" s="2118"/>
      <c r="AB513" s="2118"/>
      <c r="AC513" s="2118"/>
      <c r="AD513" s="2118"/>
      <c r="AE513" s="2119" t="s">
        <v>45</v>
      </c>
      <c r="AF513" s="2063" t="s">
        <v>46</v>
      </c>
      <c r="AG513" s="2064"/>
      <c r="AH513" s="2064"/>
      <c r="AI513" s="2064"/>
      <c r="AJ513" s="2064"/>
      <c r="AK513" s="2065"/>
      <c r="AL513" s="1571"/>
      <c r="AM513" s="2045" t="s">
        <v>361</v>
      </c>
      <c r="AN513" s="2056" t="s">
        <v>44</v>
      </c>
      <c r="AO513" s="1533" t="s">
        <v>4</v>
      </c>
      <c r="AP513" s="2036" t="s">
        <v>20</v>
      </c>
      <c r="AQ513" s="2037"/>
      <c r="AR513" s="2038"/>
      <c r="AS513" s="2036" t="s">
        <v>54</v>
      </c>
      <c r="AT513" s="2037"/>
      <c r="AU513" s="2037"/>
      <c r="AV513" s="2037"/>
      <c r="AW513" s="2038"/>
      <c r="AX513" s="1571"/>
      <c r="AY513" s="2042" t="s">
        <v>90</v>
      </c>
      <c r="AZ513" s="2045" t="s">
        <v>97</v>
      </c>
      <c r="BA513" s="2045" t="s">
        <v>720</v>
      </c>
      <c r="BB513" s="2045" t="s">
        <v>362</v>
      </c>
      <c r="BC513" s="1548" t="s">
        <v>4</v>
      </c>
      <c r="BD513" s="2063" t="s">
        <v>41</v>
      </c>
      <c r="BE513" s="2084"/>
      <c r="BG513" s="1555"/>
      <c r="BH513" s="1560"/>
      <c r="BI513" s="1560"/>
      <c r="BJ513" s="1555"/>
      <c r="BK513" s="1561"/>
      <c r="BL513" s="1561"/>
      <c r="BM513" s="1561"/>
      <c r="BN513" s="1555"/>
      <c r="BO513" s="1555"/>
    </row>
    <row r="514" spans="1:72" s="1523" customFormat="1" ht="25.5" customHeight="1">
      <c r="A514" s="2051"/>
      <c r="B514" s="2057"/>
      <c r="C514" s="2057"/>
      <c r="D514" s="1534" t="s">
        <v>7</v>
      </c>
      <c r="E514" s="1534" t="s">
        <v>8</v>
      </c>
      <c r="F514" s="1677" t="s">
        <v>9</v>
      </c>
      <c r="G514" s="1677" t="s">
        <v>9</v>
      </c>
      <c r="H514" s="2131" t="s">
        <v>10</v>
      </c>
      <c r="I514" s="2131"/>
      <c r="J514" s="2131" t="s">
        <v>11</v>
      </c>
      <c r="K514" s="2131"/>
      <c r="L514" s="2131" t="s">
        <v>12</v>
      </c>
      <c r="M514" s="2131"/>
      <c r="N514" s="2131" t="s">
        <v>13</v>
      </c>
      <c r="O514" s="2131"/>
      <c r="P514" s="2131" t="s">
        <v>14</v>
      </c>
      <c r="Q514" s="2131"/>
      <c r="R514" s="2132" t="s">
        <v>15</v>
      </c>
      <c r="S514" s="2132"/>
      <c r="T514" s="2131" t="s">
        <v>16</v>
      </c>
      <c r="U514" s="2131"/>
      <c r="V514" s="2057"/>
      <c r="W514" s="2131" t="s">
        <v>17</v>
      </c>
      <c r="X514" s="2131"/>
      <c r="Y514" s="2131" t="s">
        <v>18</v>
      </c>
      <c r="Z514" s="2131"/>
      <c r="AA514" s="2131"/>
      <c r="AB514" s="2071" t="s">
        <v>19</v>
      </c>
      <c r="AC514" s="2081"/>
      <c r="AD514" s="2072"/>
      <c r="AE514" s="2120"/>
      <c r="AF514" s="2085"/>
      <c r="AG514" s="2122"/>
      <c r="AH514" s="2122"/>
      <c r="AI514" s="2122"/>
      <c r="AJ514" s="2122"/>
      <c r="AK514" s="2123"/>
      <c r="AL514" s="1678"/>
      <c r="AM514" s="2046"/>
      <c r="AN514" s="2057"/>
      <c r="AO514" s="1534" t="s">
        <v>9</v>
      </c>
      <c r="AP514" s="2039"/>
      <c r="AQ514" s="2040"/>
      <c r="AR514" s="2041"/>
      <c r="AS514" s="2039"/>
      <c r="AT514" s="2040"/>
      <c r="AU514" s="2040"/>
      <c r="AV514" s="2040"/>
      <c r="AW514" s="2041"/>
      <c r="AX514" s="1534" t="s">
        <v>21</v>
      </c>
      <c r="AY514" s="2043"/>
      <c r="AZ514" s="2046"/>
      <c r="BA514" s="2046"/>
      <c r="BB514" s="2046"/>
      <c r="BC514" s="1549" t="s">
        <v>9</v>
      </c>
      <c r="BD514" s="2085"/>
      <c r="BE514" s="2086"/>
      <c r="BG514" s="1555"/>
      <c r="BH514" s="1560"/>
      <c r="BI514" s="1560"/>
      <c r="BJ514" s="1555"/>
      <c r="BK514" s="1561"/>
      <c r="BL514" s="1561"/>
      <c r="BM514" s="1561"/>
      <c r="BN514" s="1555"/>
      <c r="BO514" s="1555"/>
    </row>
    <row r="515" spans="1:72" s="1523" customFormat="1" ht="36" customHeight="1">
      <c r="A515" s="2051"/>
      <c r="B515" s="2057"/>
      <c r="C515" s="2057"/>
      <c r="D515" s="1534" t="s">
        <v>22</v>
      </c>
      <c r="E515" s="1534" t="s">
        <v>23</v>
      </c>
      <c r="F515" s="1677" t="s">
        <v>24</v>
      </c>
      <c r="G515" s="1677" t="s">
        <v>25</v>
      </c>
      <c r="H515" s="2073" t="s">
        <v>4</v>
      </c>
      <c r="I515" s="2073"/>
      <c r="J515" s="2073" t="s">
        <v>4</v>
      </c>
      <c r="K515" s="2073"/>
      <c r="L515" s="2073" t="s">
        <v>4</v>
      </c>
      <c r="M515" s="2073"/>
      <c r="N515" s="2073" t="s">
        <v>4</v>
      </c>
      <c r="O515" s="2073"/>
      <c r="P515" s="2073" t="s">
        <v>4</v>
      </c>
      <c r="Q515" s="2073"/>
      <c r="R515" s="2073" t="s">
        <v>4</v>
      </c>
      <c r="S515" s="2073"/>
      <c r="T515" s="2073" t="s">
        <v>4</v>
      </c>
      <c r="U515" s="2073"/>
      <c r="V515" s="2057"/>
      <c r="W515" s="1534" t="s">
        <v>27</v>
      </c>
      <c r="X515" s="1576" t="s">
        <v>28</v>
      </c>
      <c r="Y515" s="1534" t="s">
        <v>27</v>
      </c>
      <c r="Z515" s="2073" t="s">
        <v>4</v>
      </c>
      <c r="AA515" s="2073"/>
      <c r="AB515" s="1534" t="s">
        <v>27</v>
      </c>
      <c r="AC515" s="2071" t="s">
        <v>4</v>
      </c>
      <c r="AD515" s="2072"/>
      <c r="AE515" s="2121"/>
      <c r="AF515" s="1575" t="s">
        <v>56</v>
      </c>
      <c r="AG515" s="1575" t="s">
        <v>57</v>
      </c>
      <c r="AH515" s="1575" t="s">
        <v>60</v>
      </c>
      <c r="AI515" s="1575" t="s">
        <v>288</v>
      </c>
      <c r="AJ515" s="1575" t="s">
        <v>97</v>
      </c>
      <c r="AK515" s="1575" t="s">
        <v>711</v>
      </c>
      <c r="AL515" s="1679"/>
      <c r="AM515" s="2089"/>
      <c r="AN515" s="2090"/>
      <c r="AO515" s="1534" t="s">
        <v>29</v>
      </c>
      <c r="AP515" s="1534" t="s">
        <v>30</v>
      </c>
      <c r="AQ515" s="1534" t="s">
        <v>31</v>
      </c>
      <c r="AR515" s="1534" t="s">
        <v>4</v>
      </c>
      <c r="AS515" s="1534" t="s">
        <v>30</v>
      </c>
      <c r="AT515" s="1534" t="s">
        <v>31</v>
      </c>
      <c r="AU515" s="1534" t="s">
        <v>30</v>
      </c>
      <c r="AV515" s="1534" t="s">
        <v>31</v>
      </c>
      <c r="AW515" s="1534" t="s">
        <v>4</v>
      </c>
      <c r="AX515" s="1534" t="s">
        <v>32</v>
      </c>
      <c r="AY515" s="2043"/>
      <c r="AZ515" s="2046"/>
      <c r="BA515" s="2046"/>
      <c r="BB515" s="2046"/>
      <c r="BC515" s="1549" t="s">
        <v>33</v>
      </c>
      <c r="BD515" s="2073" t="s">
        <v>42</v>
      </c>
      <c r="BE515" s="2075" t="s">
        <v>43</v>
      </c>
      <c r="BG515" s="1573"/>
      <c r="BH515" s="1560"/>
      <c r="BI515" s="1560"/>
      <c r="BJ515" s="1555"/>
      <c r="BK515" s="1561"/>
      <c r="BL515" s="1561"/>
      <c r="BM515" s="1561"/>
      <c r="BN515" s="1555"/>
      <c r="BO515" s="1555"/>
    </row>
    <row r="516" spans="1:72" s="1523" customFormat="1" ht="46.5" customHeight="1" thickBot="1">
      <c r="A516" s="2051"/>
      <c r="B516" s="2057"/>
      <c r="C516" s="2057"/>
      <c r="D516" s="1534"/>
      <c r="E516" s="1534"/>
      <c r="F516" s="1680" t="s">
        <v>34</v>
      </c>
      <c r="G516" s="1680" t="s">
        <v>34</v>
      </c>
      <c r="H516" s="1576" t="s">
        <v>8</v>
      </c>
      <c r="I516" s="1576" t="s">
        <v>34</v>
      </c>
      <c r="J516" s="1576" t="s">
        <v>8</v>
      </c>
      <c r="K516" s="1576" t="s">
        <v>34</v>
      </c>
      <c r="L516" s="1576" t="s">
        <v>8</v>
      </c>
      <c r="M516" s="1576" t="s">
        <v>34</v>
      </c>
      <c r="N516" s="1576" t="s">
        <v>8</v>
      </c>
      <c r="O516" s="1576" t="s">
        <v>34</v>
      </c>
      <c r="P516" s="1576" t="s">
        <v>8</v>
      </c>
      <c r="Q516" s="1576" t="s">
        <v>34</v>
      </c>
      <c r="R516" s="1576" t="s">
        <v>8</v>
      </c>
      <c r="S516" s="1576" t="s">
        <v>34</v>
      </c>
      <c r="T516" s="1576" t="s">
        <v>8</v>
      </c>
      <c r="U516" s="1576" t="s">
        <v>34</v>
      </c>
      <c r="V516" s="2057"/>
      <c r="W516" s="1576" t="s">
        <v>26</v>
      </c>
      <c r="X516" s="1576" t="s">
        <v>34</v>
      </c>
      <c r="Y516" s="1576" t="s">
        <v>26</v>
      </c>
      <c r="Z516" s="1576" t="s">
        <v>26</v>
      </c>
      <c r="AA516" s="1576" t="s">
        <v>34</v>
      </c>
      <c r="AB516" s="1576" t="s">
        <v>26</v>
      </c>
      <c r="AC516" s="1576" t="s">
        <v>35</v>
      </c>
      <c r="AD516" s="1576" t="s">
        <v>34</v>
      </c>
      <c r="AE516" s="1576" t="s">
        <v>34</v>
      </c>
      <c r="AF516" s="1576" t="s">
        <v>34</v>
      </c>
      <c r="AG516" s="1576" t="s">
        <v>34</v>
      </c>
      <c r="AH516" s="1576" t="s">
        <v>34</v>
      </c>
      <c r="AI516" s="1576" t="s">
        <v>34</v>
      </c>
      <c r="AJ516" s="1576" t="s">
        <v>34</v>
      </c>
      <c r="AK516" s="1681" t="s">
        <v>34</v>
      </c>
      <c r="AL516" s="1534" t="s">
        <v>34</v>
      </c>
      <c r="AM516" s="1576" t="s">
        <v>34</v>
      </c>
      <c r="AN516" s="1576" t="s">
        <v>34</v>
      </c>
      <c r="AO516" s="1576" t="s">
        <v>34</v>
      </c>
      <c r="AP516" s="1576" t="s">
        <v>34</v>
      </c>
      <c r="AQ516" s="1576" t="s">
        <v>34</v>
      </c>
      <c r="AR516" s="1576" t="s">
        <v>34</v>
      </c>
      <c r="AS516" s="1576" t="s">
        <v>58</v>
      </c>
      <c r="AT516" s="1576" t="s">
        <v>34</v>
      </c>
      <c r="AU516" s="1576" t="s">
        <v>59</v>
      </c>
      <c r="AV516" s="1576" t="s">
        <v>34</v>
      </c>
      <c r="AW516" s="1576" t="s">
        <v>34</v>
      </c>
      <c r="AX516" s="1534"/>
      <c r="AY516" s="2043"/>
      <c r="AZ516" s="2046"/>
      <c r="BA516" s="2047"/>
      <c r="BB516" s="2046"/>
      <c r="BC516" s="1549" t="s">
        <v>34</v>
      </c>
      <c r="BD516" s="2129"/>
      <c r="BE516" s="2130"/>
      <c r="BG516" s="1555" t="s">
        <v>353</v>
      </c>
      <c r="BH516" s="1578" t="s">
        <v>43</v>
      </c>
      <c r="BI516" s="1578" t="s">
        <v>42</v>
      </c>
      <c r="BJ516" s="1555" t="s">
        <v>354</v>
      </c>
      <c r="BK516" s="1561" t="s">
        <v>358</v>
      </c>
      <c r="BL516" s="1561"/>
      <c r="BM516" s="1561"/>
      <c r="BN516" s="1555"/>
      <c r="BO516" s="1555"/>
    </row>
    <row r="517" spans="1:72" ht="83.25" customHeight="1" thickBot="1">
      <c r="A517" s="1683">
        <v>14</v>
      </c>
      <c r="B517" s="1489" t="s">
        <v>36</v>
      </c>
      <c r="C517" s="1585" t="s">
        <v>467</v>
      </c>
      <c r="D517" s="1590" t="s">
        <v>464</v>
      </c>
      <c r="E517" s="1489">
        <f>'HK PANEN'!AH20</f>
        <v>19</v>
      </c>
      <c r="F517" s="1490">
        <v>129220</v>
      </c>
      <c r="G517" s="1490">
        <f t="shared" si="86"/>
        <v>2455180</v>
      </c>
      <c r="H517" s="1516">
        <f>'HK PANEN'!AI20</f>
        <v>2</v>
      </c>
      <c r="I517" s="1489">
        <f t="shared" si="65"/>
        <v>258440</v>
      </c>
      <c r="J517" s="1489">
        <f>'HK PANEN'!AJ20</f>
        <v>3</v>
      </c>
      <c r="K517" s="1489">
        <f t="shared" si="66"/>
        <v>387660</v>
      </c>
      <c r="L517" s="1489">
        <f>'HK PANEN'!AK20</f>
        <v>0</v>
      </c>
      <c r="M517" s="1489">
        <f t="shared" si="67"/>
        <v>0</v>
      </c>
      <c r="N517" s="1489">
        <f>'HK PANEN'!AL20</f>
        <v>4</v>
      </c>
      <c r="O517" s="1489">
        <f t="shared" si="68"/>
        <v>516880</v>
      </c>
      <c r="P517" s="1489">
        <f>'HK PANEN'!AM20</f>
        <v>3</v>
      </c>
      <c r="Q517" s="1489">
        <f t="shared" si="69"/>
        <v>387660</v>
      </c>
      <c r="R517" s="1489">
        <f>'HK PANEN'!AN20</f>
        <v>0</v>
      </c>
      <c r="S517" s="1489">
        <f t="shared" si="87"/>
        <v>0</v>
      </c>
      <c r="T517" s="1489">
        <f>'HK PANEN'!AO20</f>
        <v>0</v>
      </c>
      <c r="U517" s="1489">
        <f t="shared" si="70"/>
        <v>0</v>
      </c>
      <c r="V517" s="1491">
        <f t="shared" si="71"/>
        <v>31</v>
      </c>
      <c r="W517" s="1491">
        <v>5550</v>
      </c>
      <c r="X517" s="1491">
        <f t="shared" si="72"/>
        <v>172050</v>
      </c>
      <c r="Y517" s="1491"/>
      <c r="Z517" s="1491"/>
      <c r="AA517" s="1491">
        <f t="shared" si="73"/>
        <v>0</v>
      </c>
      <c r="AB517" s="1497"/>
      <c r="AC517" s="1491">
        <f>'MASA KERJA AB'!H66</f>
        <v>0</v>
      </c>
      <c r="AD517" s="1491">
        <f>'MASA KERJA AB'!I66</f>
        <v>0</v>
      </c>
      <c r="AE517" s="1497"/>
      <c r="AF517" s="1514">
        <f>'MONITORING '!AK147</f>
        <v>367554</v>
      </c>
      <c r="AG517" s="1498">
        <f>'MONITORING '!AK148</f>
        <v>262500</v>
      </c>
      <c r="AH517" s="1515">
        <v>399750</v>
      </c>
      <c r="AI517" s="1515">
        <f>'INSETIF MEI''25'!L18</f>
        <v>150000</v>
      </c>
      <c r="AJ517" s="1498"/>
      <c r="AK517" s="1499"/>
      <c r="AL517" s="1491"/>
      <c r="AM517" s="1491"/>
      <c r="AN517" s="1491">
        <f>'MONITORING '!AK149</f>
        <v>0</v>
      </c>
      <c r="AO517" s="1494">
        <f t="shared" si="74"/>
        <v>5357674</v>
      </c>
      <c r="AP517" s="1491">
        <f t="shared" si="88"/>
        <v>77532</v>
      </c>
      <c r="AQ517" s="1491">
        <f t="shared" si="89"/>
        <v>175997.64</v>
      </c>
      <c r="AR517" s="1491">
        <f t="shared" si="75"/>
        <v>253529.64</v>
      </c>
      <c r="AS517" s="1489">
        <f t="shared" si="90"/>
        <v>38766</v>
      </c>
      <c r="AT517" s="1489">
        <f t="shared" si="91"/>
        <v>155064</v>
      </c>
      <c r="AU517" s="1491">
        <f t="shared" si="92"/>
        <v>38766</v>
      </c>
      <c r="AV517" s="1491">
        <f t="shared" si="93"/>
        <v>77532</v>
      </c>
      <c r="AW517" s="1491">
        <f t="shared" si="94"/>
        <v>310128</v>
      </c>
      <c r="AX517" s="1649">
        <v>4000</v>
      </c>
      <c r="AY517" s="1491">
        <v>0</v>
      </c>
      <c r="AZ517" s="1491">
        <f t="shared" si="77"/>
        <v>0</v>
      </c>
      <c r="BA517" s="1491"/>
      <c r="BB517" s="1491"/>
      <c r="BC517" s="1489">
        <f t="shared" si="78"/>
        <v>5198610</v>
      </c>
      <c r="BD517" s="1489">
        <f>'HK PANEN'!AQ20</f>
        <v>0</v>
      </c>
      <c r="BE517" s="1495">
        <f>'HK PANEN'!AR20</f>
        <v>0</v>
      </c>
      <c r="BG517" s="1551">
        <f t="shared" si="79"/>
        <v>4005820</v>
      </c>
      <c r="BH517" s="1552">
        <f t="shared" si="80"/>
        <v>0</v>
      </c>
      <c r="BI517" s="1552">
        <f t="shared" si="81"/>
        <v>0</v>
      </c>
      <c r="BJ517" s="1551">
        <f t="shared" si="82"/>
        <v>0</v>
      </c>
      <c r="BK517" s="1553">
        <f t="shared" si="83"/>
        <v>4005820</v>
      </c>
      <c r="BM517" s="1553">
        <f t="shared" si="95"/>
        <v>1351854</v>
      </c>
      <c r="BN517" s="1551">
        <v>30575.999999999996</v>
      </c>
      <c r="BO517" s="1551">
        <f t="shared" si="84"/>
        <v>185640</v>
      </c>
      <c r="BQ517" s="1531">
        <f t="shared" si="85"/>
        <v>367554</v>
      </c>
      <c r="BS517" s="1523" t="s">
        <v>464</v>
      </c>
      <c r="BT517" s="1556">
        <f t="shared" si="96"/>
        <v>367554</v>
      </c>
    </row>
    <row r="518" spans="1:72" ht="26.25" customHeight="1">
      <c r="A518" s="2049" t="s">
        <v>1033</v>
      </c>
      <c r="B518" s="2049"/>
      <c r="C518" s="2049"/>
      <c r="D518" s="2049"/>
      <c r="E518" s="2049"/>
      <c r="F518" s="2049"/>
      <c r="G518" s="2049"/>
      <c r="H518" s="2049"/>
      <c r="I518" s="2049"/>
      <c r="J518" s="2049"/>
      <c r="K518" s="2049"/>
      <c r="L518" s="2049"/>
      <c r="M518" s="2049"/>
      <c r="N518" s="2049"/>
      <c r="O518" s="2049"/>
      <c r="P518" s="2049"/>
      <c r="Q518" s="2049"/>
      <c r="R518" s="2049"/>
      <c r="S518" s="2049"/>
      <c r="T518" s="2049"/>
      <c r="U518" s="2049"/>
      <c r="V518" s="2049"/>
      <c r="W518" s="2049"/>
      <c r="X518" s="2049"/>
      <c r="Y518" s="2049"/>
      <c r="Z518" s="2049"/>
      <c r="AA518" s="2049"/>
      <c r="AB518" s="2049"/>
      <c r="AC518" s="2049"/>
      <c r="AD518" s="2049"/>
      <c r="AE518" s="2049"/>
      <c r="AF518" s="2049"/>
      <c r="AG518" s="2049"/>
      <c r="AH518" s="2049"/>
      <c r="AI518" s="2049"/>
      <c r="AJ518" s="2049"/>
      <c r="AK518" s="2049"/>
      <c r="AL518" s="2049"/>
      <c r="AM518" s="2049"/>
      <c r="AN518" s="2049"/>
      <c r="AO518" s="2049"/>
      <c r="AP518" s="2049"/>
      <c r="AQ518" s="2049"/>
      <c r="AR518" s="2049"/>
      <c r="AS518" s="2049"/>
      <c r="AT518" s="2049"/>
      <c r="AU518" s="2049"/>
      <c r="AV518" s="2049"/>
      <c r="AW518" s="2049"/>
      <c r="AX518" s="2049"/>
      <c r="AY518" s="2049"/>
      <c r="AZ518" s="2049"/>
      <c r="BA518" s="2049"/>
      <c r="BB518" s="2049"/>
      <c r="BC518" s="2049"/>
      <c r="BD518" s="2049"/>
      <c r="BE518" s="2049"/>
    </row>
    <row r="519" spans="1:72" ht="26.25" customHeight="1">
      <c r="A519" s="1532"/>
      <c r="B519" s="1532"/>
      <c r="C519" s="1605"/>
      <c r="D519" s="1532"/>
      <c r="E519" s="1532"/>
      <c r="F519" s="1560"/>
      <c r="G519" s="1560"/>
      <c r="H519" s="1532"/>
      <c r="I519" s="1532"/>
      <c r="J519" s="1532"/>
      <c r="K519" s="1532"/>
      <c r="L519" s="1532"/>
      <c r="M519" s="1532"/>
      <c r="N519" s="1532"/>
      <c r="O519" s="1532"/>
      <c r="P519" s="1532"/>
      <c r="Q519" s="1532"/>
      <c r="R519" s="1532"/>
      <c r="S519" s="1532"/>
      <c r="T519" s="1532"/>
      <c r="U519" s="1532"/>
      <c r="V519" s="1532"/>
      <c r="W519" s="1532"/>
      <c r="X519" s="1532"/>
      <c r="Y519" s="1532"/>
      <c r="Z519" s="1532"/>
      <c r="AA519" s="1532"/>
      <c r="AB519" s="1532"/>
      <c r="AC519" s="1532"/>
      <c r="AD519" s="1532"/>
      <c r="AE519" s="1532"/>
      <c r="AF519" s="1532"/>
      <c r="AG519" s="1532"/>
      <c r="AH519" s="1532"/>
      <c r="AI519" s="1532"/>
      <c r="AJ519" s="1532"/>
      <c r="AK519" s="1557"/>
      <c r="AL519" s="1532"/>
      <c r="AM519" s="1532"/>
      <c r="AN519" s="1532"/>
      <c r="AO519" s="1532"/>
      <c r="AP519" s="1558"/>
      <c r="AQ519" s="1559"/>
      <c r="AR519" s="1559"/>
      <c r="AS519" s="1559"/>
      <c r="AT519" s="1671"/>
      <c r="AU519" s="1532"/>
      <c r="AV519" s="1532"/>
      <c r="AW519" s="1532"/>
      <c r="AX519" s="1532"/>
      <c r="AY519" s="1532"/>
      <c r="AZ519" s="1532"/>
      <c r="BA519" s="1532"/>
      <c r="BB519" s="1532"/>
      <c r="BC519" s="1547"/>
      <c r="BD519" s="1532"/>
      <c r="BE519" s="1532"/>
    </row>
    <row r="520" spans="1:72" s="1523" customFormat="1" ht="16.5" customHeight="1">
      <c r="D520" s="1523" t="s">
        <v>964</v>
      </c>
      <c r="F520" s="1555"/>
      <c r="G520" s="1555"/>
      <c r="AE520" s="1532"/>
      <c r="AF520" s="1532"/>
      <c r="AG520" s="1532"/>
      <c r="AH520" s="1532"/>
      <c r="AI520" s="1532"/>
      <c r="AJ520" s="1532"/>
      <c r="AK520" s="1557"/>
      <c r="AL520" s="1532"/>
      <c r="AM520" s="1532"/>
      <c r="AO520" s="1561"/>
      <c r="AP520" s="1558">
        <v>3876600</v>
      </c>
      <c r="AQ520" s="1672">
        <f>AP520/30</f>
        <v>129220</v>
      </c>
      <c r="AR520" s="1673">
        <f>AP520/173*1.5</f>
        <v>33612.138728323698</v>
      </c>
      <c r="AS520" s="1566">
        <f>AP520/173*2</f>
        <v>44816.184971098264</v>
      </c>
      <c r="AT520" s="1674"/>
      <c r="AU520" s="1532" t="s">
        <v>55</v>
      </c>
      <c r="AV520" s="1523" t="s">
        <v>335</v>
      </c>
      <c r="BC520" s="1518"/>
      <c r="BE520" s="1532"/>
      <c r="BG520" s="1555"/>
      <c r="BH520" s="1560"/>
      <c r="BI520" s="1560"/>
      <c r="BJ520" s="1555"/>
      <c r="BK520" s="1561"/>
      <c r="BL520" s="1561"/>
      <c r="BM520" s="1561"/>
      <c r="BN520" s="1555"/>
      <c r="BO520" s="1555"/>
    </row>
    <row r="521" spans="1:72" ht="18.75" customHeight="1" thickBot="1">
      <c r="A521" s="1547"/>
      <c r="D521" s="1532"/>
      <c r="E521" s="1563"/>
      <c r="F521" s="1675"/>
      <c r="G521" s="1564"/>
      <c r="H521" s="1563"/>
      <c r="I521" s="1563"/>
      <c r="J521" s="1563"/>
      <c r="K521" s="1563"/>
      <c r="L521" s="1563"/>
      <c r="M521" s="1563"/>
      <c r="N521" s="1563"/>
      <c r="O521" s="1563"/>
      <c r="Q521" s="1563"/>
      <c r="R521" s="1563"/>
      <c r="S521" s="1563"/>
      <c r="T521" s="1563"/>
      <c r="U521" s="1563"/>
      <c r="V521" s="1563"/>
      <c r="W521" s="1563"/>
      <c r="X521" s="1563"/>
      <c r="Y521" s="1563"/>
      <c r="Z521" s="1563"/>
      <c r="AA521" s="1563"/>
      <c r="AB521" s="1563"/>
      <c r="AC521" s="1563"/>
      <c r="AD521" s="1563"/>
      <c r="AE521" s="1563"/>
      <c r="AF521" s="1563"/>
      <c r="AG521" s="1563"/>
      <c r="AH521" s="1563"/>
      <c r="AI521" s="1563"/>
      <c r="AJ521" s="1563"/>
      <c r="AK521" s="1565"/>
      <c r="AL521" s="1563"/>
      <c r="AM521" s="1563"/>
      <c r="AO521" s="1563"/>
      <c r="AP521" s="1558">
        <v>3876600</v>
      </c>
      <c r="AQ521" s="1566">
        <f>AP521/30</f>
        <v>129220</v>
      </c>
      <c r="AR521" s="1598"/>
      <c r="AS521" s="1598"/>
      <c r="AT521" s="1674"/>
    </row>
    <row r="522" spans="1:72" s="1523" customFormat="1" ht="18.75" customHeight="1">
      <c r="A522" s="2050" t="s">
        <v>5</v>
      </c>
      <c r="B522" s="2056" t="s">
        <v>6</v>
      </c>
      <c r="C522" s="2056" t="s">
        <v>52</v>
      </c>
      <c r="D522" s="1571"/>
      <c r="E522" s="1571"/>
      <c r="F522" s="1676"/>
      <c r="G522" s="1676"/>
      <c r="H522" s="2118" t="s">
        <v>2</v>
      </c>
      <c r="I522" s="2118"/>
      <c r="J522" s="2118"/>
      <c r="K522" s="2118"/>
      <c r="L522" s="2118"/>
      <c r="M522" s="2118"/>
      <c r="N522" s="2118"/>
      <c r="O522" s="2118"/>
      <c r="P522" s="2118"/>
      <c r="Q522" s="2118"/>
      <c r="R522" s="2118"/>
      <c r="S522" s="2118"/>
      <c r="T522" s="2118"/>
      <c r="U522" s="2118"/>
      <c r="V522" s="2056" t="s">
        <v>286</v>
      </c>
      <c r="W522" s="2118" t="s">
        <v>3</v>
      </c>
      <c r="X522" s="2118"/>
      <c r="Y522" s="2118"/>
      <c r="Z522" s="2118"/>
      <c r="AA522" s="2118"/>
      <c r="AB522" s="2118"/>
      <c r="AC522" s="2118"/>
      <c r="AD522" s="2118"/>
      <c r="AE522" s="2119" t="s">
        <v>45</v>
      </c>
      <c r="AF522" s="2063" t="s">
        <v>46</v>
      </c>
      <c r="AG522" s="2064"/>
      <c r="AH522" s="2064"/>
      <c r="AI522" s="2064"/>
      <c r="AJ522" s="2064"/>
      <c r="AK522" s="2065"/>
      <c r="AL522" s="1571"/>
      <c r="AM522" s="2045" t="s">
        <v>361</v>
      </c>
      <c r="AN522" s="2056" t="s">
        <v>44</v>
      </c>
      <c r="AO522" s="1533" t="s">
        <v>4</v>
      </c>
      <c r="AP522" s="2036" t="s">
        <v>20</v>
      </c>
      <c r="AQ522" s="2037"/>
      <c r="AR522" s="2038"/>
      <c r="AS522" s="2036" t="s">
        <v>54</v>
      </c>
      <c r="AT522" s="2037"/>
      <c r="AU522" s="2037"/>
      <c r="AV522" s="2037"/>
      <c r="AW522" s="2038"/>
      <c r="AX522" s="1571"/>
      <c r="AY522" s="2042" t="s">
        <v>90</v>
      </c>
      <c r="AZ522" s="2045" t="s">
        <v>97</v>
      </c>
      <c r="BA522" s="2045" t="s">
        <v>720</v>
      </c>
      <c r="BB522" s="2045" t="s">
        <v>362</v>
      </c>
      <c r="BC522" s="1548" t="s">
        <v>4</v>
      </c>
      <c r="BD522" s="2063" t="s">
        <v>41</v>
      </c>
      <c r="BE522" s="2084"/>
      <c r="BG522" s="1555"/>
      <c r="BH522" s="1560"/>
      <c r="BI522" s="1560"/>
      <c r="BJ522" s="1555"/>
      <c r="BK522" s="1561"/>
      <c r="BL522" s="1561"/>
      <c r="BM522" s="1561"/>
      <c r="BN522" s="1555"/>
      <c r="BO522" s="1555"/>
    </row>
    <row r="523" spans="1:72" s="1523" customFormat="1" ht="25.5" customHeight="1">
      <c r="A523" s="2051"/>
      <c r="B523" s="2057"/>
      <c r="C523" s="2057"/>
      <c r="D523" s="1534" t="s">
        <v>7</v>
      </c>
      <c r="E523" s="1534" t="s">
        <v>8</v>
      </c>
      <c r="F523" s="1677" t="s">
        <v>9</v>
      </c>
      <c r="G523" s="1677" t="s">
        <v>9</v>
      </c>
      <c r="H523" s="2131" t="s">
        <v>10</v>
      </c>
      <c r="I523" s="2131"/>
      <c r="J523" s="2131" t="s">
        <v>11</v>
      </c>
      <c r="K523" s="2131"/>
      <c r="L523" s="2131" t="s">
        <v>12</v>
      </c>
      <c r="M523" s="2131"/>
      <c r="N523" s="2131" t="s">
        <v>13</v>
      </c>
      <c r="O523" s="2131"/>
      <c r="P523" s="2131" t="s">
        <v>14</v>
      </c>
      <c r="Q523" s="2131"/>
      <c r="R523" s="2132" t="s">
        <v>15</v>
      </c>
      <c r="S523" s="2132"/>
      <c r="T523" s="2131" t="s">
        <v>16</v>
      </c>
      <c r="U523" s="2131"/>
      <c r="V523" s="2057"/>
      <c r="W523" s="2131" t="s">
        <v>17</v>
      </c>
      <c r="X523" s="2131"/>
      <c r="Y523" s="2131" t="s">
        <v>18</v>
      </c>
      <c r="Z523" s="2131"/>
      <c r="AA523" s="2131"/>
      <c r="AB523" s="2071" t="s">
        <v>19</v>
      </c>
      <c r="AC523" s="2081"/>
      <c r="AD523" s="2072"/>
      <c r="AE523" s="2120"/>
      <c r="AF523" s="2085"/>
      <c r="AG523" s="2122"/>
      <c r="AH523" s="2122"/>
      <c r="AI523" s="2122"/>
      <c r="AJ523" s="2122"/>
      <c r="AK523" s="2123"/>
      <c r="AL523" s="1678"/>
      <c r="AM523" s="2046"/>
      <c r="AN523" s="2057"/>
      <c r="AO523" s="1534" t="s">
        <v>9</v>
      </c>
      <c r="AP523" s="2039"/>
      <c r="AQ523" s="2040"/>
      <c r="AR523" s="2041"/>
      <c r="AS523" s="2039"/>
      <c r="AT523" s="2040"/>
      <c r="AU523" s="2040"/>
      <c r="AV523" s="2040"/>
      <c r="AW523" s="2041"/>
      <c r="AX523" s="1534" t="s">
        <v>21</v>
      </c>
      <c r="AY523" s="2043"/>
      <c r="AZ523" s="2046"/>
      <c r="BA523" s="2046"/>
      <c r="BB523" s="2046"/>
      <c r="BC523" s="1549" t="s">
        <v>9</v>
      </c>
      <c r="BD523" s="2085"/>
      <c r="BE523" s="2086"/>
      <c r="BG523" s="1555"/>
      <c r="BH523" s="1560"/>
      <c r="BI523" s="1560"/>
      <c r="BJ523" s="1555"/>
      <c r="BK523" s="1561"/>
      <c r="BL523" s="1561"/>
      <c r="BM523" s="1561"/>
      <c r="BN523" s="1555"/>
      <c r="BO523" s="1555"/>
    </row>
    <row r="524" spans="1:72" s="1523" customFormat="1" ht="36" customHeight="1">
      <c r="A524" s="2051"/>
      <c r="B524" s="2057"/>
      <c r="C524" s="2057"/>
      <c r="D524" s="1534" t="s">
        <v>22</v>
      </c>
      <c r="E524" s="1534" t="s">
        <v>23</v>
      </c>
      <c r="F524" s="1677" t="s">
        <v>24</v>
      </c>
      <c r="G524" s="1677" t="s">
        <v>25</v>
      </c>
      <c r="H524" s="2073" t="s">
        <v>4</v>
      </c>
      <c r="I524" s="2073"/>
      <c r="J524" s="2073" t="s">
        <v>4</v>
      </c>
      <c r="K524" s="2073"/>
      <c r="L524" s="2073" t="s">
        <v>4</v>
      </c>
      <c r="M524" s="2073"/>
      <c r="N524" s="2073" t="s">
        <v>4</v>
      </c>
      <c r="O524" s="2073"/>
      <c r="P524" s="2073" t="s">
        <v>4</v>
      </c>
      <c r="Q524" s="2073"/>
      <c r="R524" s="2073" t="s">
        <v>4</v>
      </c>
      <c r="S524" s="2073"/>
      <c r="T524" s="2073" t="s">
        <v>4</v>
      </c>
      <c r="U524" s="2073"/>
      <c r="V524" s="2057"/>
      <c r="W524" s="1534" t="s">
        <v>27</v>
      </c>
      <c r="X524" s="1576" t="s">
        <v>28</v>
      </c>
      <c r="Y524" s="1534" t="s">
        <v>27</v>
      </c>
      <c r="Z524" s="2073" t="s">
        <v>4</v>
      </c>
      <c r="AA524" s="2073"/>
      <c r="AB524" s="1534" t="s">
        <v>27</v>
      </c>
      <c r="AC524" s="2071" t="s">
        <v>4</v>
      </c>
      <c r="AD524" s="2072"/>
      <c r="AE524" s="2121"/>
      <c r="AF524" s="1575" t="s">
        <v>56</v>
      </c>
      <c r="AG524" s="1575" t="s">
        <v>57</v>
      </c>
      <c r="AH524" s="1575" t="s">
        <v>60</v>
      </c>
      <c r="AI524" s="1575" t="s">
        <v>288</v>
      </c>
      <c r="AJ524" s="1575" t="s">
        <v>97</v>
      </c>
      <c r="AK524" s="1575" t="s">
        <v>711</v>
      </c>
      <c r="AL524" s="1679"/>
      <c r="AM524" s="2089"/>
      <c r="AN524" s="2090"/>
      <c r="AO524" s="1534" t="s">
        <v>29</v>
      </c>
      <c r="AP524" s="1534" t="s">
        <v>30</v>
      </c>
      <c r="AQ524" s="1534" t="s">
        <v>31</v>
      </c>
      <c r="AR524" s="1534" t="s">
        <v>4</v>
      </c>
      <c r="AS524" s="1534" t="s">
        <v>30</v>
      </c>
      <c r="AT524" s="1534" t="s">
        <v>31</v>
      </c>
      <c r="AU524" s="1534" t="s">
        <v>30</v>
      </c>
      <c r="AV524" s="1534" t="s">
        <v>31</v>
      </c>
      <c r="AW524" s="1534" t="s">
        <v>4</v>
      </c>
      <c r="AX524" s="1534" t="s">
        <v>32</v>
      </c>
      <c r="AY524" s="2043"/>
      <c r="AZ524" s="2046"/>
      <c r="BA524" s="2046"/>
      <c r="BB524" s="2046"/>
      <c r="BC524" s="1549" t="s">
        <v>33</v>
      </c>
      <c r="BD524" s="2073" t="s">
        <v>42</v>
      </c>
      <c r="BE524" s="2075" t="s">
        <v>43</v>
      </c>
      <c r="BG524" s="1573"/>
      <c r="BH524" s="1560"/>
      <c r="BI524" s="1560"/>
      <c r="BJ524" s="1555"/>
      <c r="BK524" s="1561"/>
      <c r="BL524" s="1561"/>
      <c r="BM524" s="1561"/>
      <c r="BN524" s="1555"/>
      <c r="BO524" s="1555"/>
    </row>
    <row r="525" spans="1:72" s="1523" customFormat="1" ht="46.5" customHeight="1" thickBot="1">
      <c r="A525" s="2051"/>
      <c r="B525" s="2057"/>
      <c r="C525" s="2057"/>
      <c r="D525" s="1534"/>
      <c r="E525" s="1534"/>
      <c r="F525" s="1680" t="s">
        <v>34</v>
      </c>
      <c r="G525" s="1680" t="s">
        <v>34</v>
      </c>
      <c r="H525" s="1576" t="s">
        <v>8</v>
      </c>
      <c r="I525" s="1576" t="s">
        <v>34</v>
      </c>
      <c r="J525" s="1576" t="s">
        <v>8</v>
      </c>
      <c r="K525" s="1576" t="s">
        <v>34</v>
      </c>
      <c r="L525" s="1576" t="s">
        <v>8</v>
      </c>
      <c r="M525" s="1576" t="s">
        <v>34</v>
      </c>
      <c r="N525" s="1576" t="s">
        <v>8</v>
      </c>
      <c r="O525" s="1576" t="s">
        <v>34</v>
      </c>
      <c r="P525" s="1576" t="s">
        <v>8</v>
      </c>
      <c r="Q525" s="1576" t="s">
        <v>34</v>
      </c>
      <c r="R525" s="1576" t="s">
        <v>8</v>
      </c>
      <c r="S525" s="1576" t="s">
        <v>34</v>
      </c>
      <c r="T525" s="1576" t="s">
        <v>8</v>
      </c>
      <c r="U525" s="1576" t="s">
        <v>34</v>
      </c>
      <c r="V525" s="2057"/>
      <c r="W525" s="1576" t="s">
        <v>26</v>
      </c>
      <c r="X525" s="1576" t="s">
        <v>34</v>
      </c>
      <c r="Y525" s="1576" t="s">
        <v>26</v>
      </c>
      <c r="Z525" s="1576" t="s">
        <v>26</v>
      </c>
      <c r="AA525" s="1576" t="s">
        <v>34</v>
      </c>
      <c r="AB525" s="1576" t="s">
        <v>26</v>
      </c>
      <c r="AC525" s="1576" t="s">
        <v>35</v>
      </c>
      <c r="AD525" s="1576" t="s">
        <v>34</v>
      </c>
      <c r="AE525" s="1576" t="s">
        <v>34</v>
      </c>
      <c r="AF525" s="1576" t="s">
        <v>34</v>
      </c>
      <c r="AG525" s="1576" t="s">
        <v>34</v>
      </c>
      <c r="AH525" s="1576" t="s">
        <v>34</v>
      </c>
      <c r="AI525" s="1576" t="s">
        <v>34</v>
      </c>
      <c r="AJ525" s="1576" t="s">
        <v>34</v>
      </c>
      <c r="AK525" s="1681" t="s">
        <v>34</v>
      </c>
      <c r="AL525" s="1534" t="s">
        <v>34</v>
      </c>
      <c r="AM525" s="1576" t="s">
        <v>34</v>
      </c>
      <c r="AN525" s="1576" t="s">
        <v>34</v>
      </c>
      <c r="AO525" s="1576" t="s">
        <v>34</v>
      </c>
      <c r="AP525" s="1576" t="s">
        <v>34</v>
      </c>
      <c r="AQ525" s="1576" t="s">
        <v>34</v>
      </c>
      <c r="AR525" s="1576" t="s">
        <v>34</v>
      </c>
      <c r="AS525" s="1576" t="s">
        <v>58</v>
      </c>
      <c r="AT525" s="1576" t="s">
        <v>34</v>
      </c>
      <c r="AU525" s="1576" t="s">
        <v>59</v>
      </c>
      <c r="AV525" s="1576" t="s">
        <v>34</v>
      </c>
      <c r="AW525" s="1576" t="s">
        <v>34</v>
      </c>
      <c r="AX525" s="1534"/>
      <c r="AY525" s="2043"/>
      <c r="AZ525" s="2046"/>
      <c r="BA525" s="2047"/>
      <c r="BB525" s="2046"/>
      <c r="BC525" s="1549" t="s">
        <v>34</v>
      </c>
      <c r="BD525" s="2129"/>
      <c r="BE525" s="2130"/>
      <c r="BG525" s="1555" t="s">
        <v>353</v>
      </c>
      <c r="BH525" s="1578" t="s">
        <v>43</v>
      </c>
      <c r="BI525" s="1578" t="s">
        <v>42</v>
      </c>
      <c r="BJ525" s="1555" t="s">
        <v>354</v>
      </c>
      <c r="BK525" s="1561" t="s">
        <v>358</v>
      </c>
      <c r="BL525" s="1561"/>
      <c r="BM525" s="1561"/>
      <c r="BN525" s="1555"/>
      <c r="BO525" s="1555"/>
    </row>
    <row r="526" spans="1:72" ht="83.25" customHeight="1" thickBot="1">
      <c r="A526" s="1683">
        <v>15</v>
      </c>
      <c r="B526" s="1489" t="s">
        <v>36</v>
      </c>
      <c r="C526" s="1585" t="s">
        <v>470</v>
      </c>
      <c r="D526" s="1590" t="s">
        <v>469</v>
      </c>
      <c r="E526" s="1489">
        <f>'HK PANEN'!AH21</f>
        <v>23</v>
      </c>
      <c r="F526" s="1490">
        <v>129220</v>
      </c>
      <c r="G526" s="1490">
        <f t="shared" si="86"/>
        <v>2972060</v>
      </c>
      <c r="H526" s="1516">
        <f>'HK PANEN'!AI21</f>
        <v>0</v>
      </c>
      <c r="I526" s="1489">
        <f t="shared" si="65"/>
        <v>0</v>
      </c>
      <c r="J526" s="1489">
        <f>'HK PANEN'!AJ21</f>
        <v>0</v>
      </c>
      <c r="K526" s="1489">
        <f t="shared" si="66"/>
        <v>0</v>
      </c>
      <c r="L526" s="1489">
        <f>'HK PANEN'!AK21</f>
        <v>0</v>
      </c>
      <c r="M526" s="1489">
        <f t="shared" si="67"/>
        <v>0</v>
      </c>
      <c r="N526" s="1489">
        <f>'HK PANEN'!AL21</f>
        <v>4</v>
      </c>
      <c r="O526" s="1489">
        <f t="shared" si="68"/>
        <v>516880</v>
      </c>
      <c r="P526" s="1489">
        <f>'HK PANEN'!AM21</f>
        <v>3</v>
      </c>
      <c r="Q526" s="1489">
        <f t="shared" si="69"/>
        <v>387660</v>
      </c>
      <c r="R526" s="1489">
        <f>'HK PANEN'!AN21</f>
        <v>0</v>
      </c>
      <c r="S526" s="1489">
        <f t="shared" si="87"/>
        <v>0</v>
      </c>
      <c r="T526" s="1489">
        <f>'HK PANEN'!AO21</f>
        <v>0</v>
      </c>
      <c r="U526" s="1489">
        <f t="shared" si="70"/>
        <v>0</v>
      </c>
      <c r="V526" s="1491">
        <f t="shared" si="71"/>
        <v>30</v>
      </c>
      <c r="W526" s="1491">
        <v>5550</v>
      </c>
      <c r="X526" s="1491">
        <f t="shared" si="72"/>
        <v>166500</v>
      </c>
      <c r="Y526" s="1491"/>
      <c r="Z526" s="1491"/>
      <c r="AA526" s="1491">
        <f t="shared" si="73"/>
        <v>0</v>
      </c>
      <c r="AB526" s="1497"/>
      <c r="AC526" s="1491">
        <f>'MASA KERJA AB'!H67</f>
        <v>0</v>
      </c>
      <c r="AD526" s="1491">
        <f>'MASA KERJA AB'!I67</f>
        <v>0</v>
      </c>
      <c r="AE526" s="1497"/>
      <c r="AF526" s="1514">
        <f>'MONITORING '!AK160</f>
        <v>969578</v>
      </c>
      <c r="AG526" s="1498">
        <f>'MONITORING '!AK161</f>
        <v>343000</v>
      </c>
      <c r="AH526" s="1515">
        <v>651800</v>
      </c>
      <c r="AI526" s="1499"/>
      <c r="AJ526" s="1498"/>
      <c r="AK526" s="1499"/>
      <c r="AL526" s="1491"/>
      <c r="AM526" s="1491"/>
      <c r="AN526" s="1491">
        <f>'MONITORING '!AK162</f>
        <v>0</v>
      </c>
      <c r="AO526" s="1494">
        <f t="shared" si="74"/>
        <v>6007478</v>
      </c>
      <c r="AP526" s="1491">
        <f t="shared" si="88"/>
        <v>77532</v>
      </c>
      <c r="AQ526" s="1491">
        <f t="shared" si="89"/>
        <v>175997.64</v>
      </c>
      <c r="AR526" s="1491">
        <f t="shared" si="75"/>
        <v>253529.64</v>
      </c>
      <c r="AS526" s="1489">
        <f t="shared" si="90"/>
        <v>38766</v>
      </c>
      <c r="AT526" s="1489">
        <f t="shared" si="91"/>
        <v>155064</v>
      </c>
      <c r="AU526" s="1491">
        <f t="shared" si="92"/>
        <v>38766</v>
      </c>
      <c r="AV526" s="1491">
        <f t="shared" si="93"/>
        <v>77532</v>
      </c>
      <c r="AW526" s="1491">
        <f t="shared" si="94"/>
        <v>310128</v>
      </c>
      <c r="AX526" s="1649">
        <v>4000</v>
      </c>
      <c r="AY526" s="1649">
        <v>32851</v>
      </c>
      <c r="AZ526" s="1491">
        <f t="shared" si="77"/>
        <v>0</v>
      </c>
      <c r="BA526" s="1491"/>
      <c r="BB526" s="1491"/>
      <c r="BC526" s="1489">
        <f t="shared" si="78"/>
        <v>5815563</v>
      </c>
      <c r="BD526" s="1489">
        <f>'HK PANEN'!AQ21</f>
        <v>0</v>
      </c>
      <c r="BE526" s="1495">
        <f>'HK PANEN'!AR21</f>
        <v>1</v>
      </c>
      <c r="BG526" s="1551">
        <f t="shared" si="79"/>
        <v>3876600</v>
      </c>
      <c r="BH526" s="1552">
        <f t="shared" si="80"/>
        <v>0</v>
      </c>
      <c r="BI526" s="1552">
        <f t="shared" si="81"/>
        <v>129220</v>
      </c>
      <c r="BJ526" s="1551">
        <f t="shared" si="82"/>
        <v>-129220</v>
      </c>
      <c r="BK526" s="1553">
        <f t="shared" si="83"/>
        <v>4005820</v>
      </c>
      <c r="BM526" s="1553">
        <f t="shared" si="95"/>
        <v>2130878</v>
      </c>
      <c r="BN526" s="1551">
        <v>30575.999999999996</v>
      </c>
      <c r="BO526" s="1551">
        <f t="shared" si="84"/>
        <v>185640</v>
      </c>
      <c r="BQ526" s="1531">
        <f t="shared" si="85"/>
        <v>969578</v>
      </c>
      <c r="BS526" s="1523" t="s">
        <v>469</v>
      </c>
      <c r="BT526" s="1556">
        <f t="shared" si="96"/>
        <v>969578</v>
      </c>
    </row>
    <row r="527" spans="1:72" ht="26.25" customHeight="1">
      <c r="A527" s="2049" t="s">
        <v>1033</v>
      </c>
      <c r="B527" s="2049"/>
      <c r="C527" s="2049"/>
      <c r="D527" s="2049"/>
      <c r="E527" s="2049"/>
      <c r="F527" s="2049"/>
      <c r="G527" s="2049"/>
      <c r="H527" s="2049"/>
      <c r="I527" s="2049"/>
      <c r="J527" s="2049"/>
      <c r="K527" s="2049"/>
      <c r="L527" s="2049"/>
      <c r="M527" s="2049"/>
      <c r="N527" s="2049"/>
      <c r="O527" s="2049"/>
      <c r="P527" s="2049"/>
      <c r="Q527" s="2049"/>
      <c r="R527" s="2049"/>
      <c r="S527" s="2049"/>
      <c r="T527" s="2049"/>
      <c r="U527" s="2049"/>
      <c r="V527" s="2049"/>
      <c r="W527" s="2049"/>
      <c r="X527" s="2049"/>
      <c r="Y527" s="2049"/>
      <c r="Z527" s="2049"/>
      <c r="AA527" s="2049"/>
      <c r="AB527" s="2049"/>
      <c r="AC527" s="2049"/>
      <c r="AD527" s="2049"/>
      <c r="AE527" s="2049"/>
      <c r="AF527" s="2049"/>
      <c r="AG527" s="2049"/>
      <c r="AH527" s="2049"/>
      <c r="AI527" s="2049"/>
      <c r="AJ527" s="2049"/>
      <c r="AK527" s="2049"/>
      <c r="AL527" s="2049"/>
      <c r="AM527" s="2049"/>
      <c r="AN527" s="2049"/>
      <c r="AO527" s="2049"/>
      <c r="AP527" s="2049"/>
      <c r="AQ527" s="2049"/>
      <c r="AR527" s="2049"/>
      <c r="AS527" s="2049"/>
      <c r="AT527" s="2049"/>
      <c r="AU527" s="2049"/>
      <c r="AV527" s="2049"/>
      <c r="AW527" s="2049"/>
      <c r="AX527" s="2049"/>
      <c r="AY527" s="2049"/>
      <c r="AZ527" s="2049"/>
      <c r="BA527" s="2049"/>
      <c r="BB527" s="2049"/>
      <c r="BC527" s="2049"/>
      <c r="BD527" s="2049"/>
      <c r="BE527" s="2049"/>
    </row>
    <row r="528" spans="1:72" ht="26.25" customHeight="1">
      <c r="A528" s="1532"/>
      <c r="B528" s="1532"/>
      <c r="C528" s="1605"/>
      <c r="D528" s="1532"/>
      <c r="E528" s="1532"/>
      <c r="F528" s="1560"/>
      <c r="G528" s="1560"/>
      <c r="H528" s="1532"/>
      <c r="I528" s="1532"/>
      <c r="J528" s="1532"/>
      <c r="K528" s="1532"/>
      <c r="L528" s="1532"/>
      <c r="M528" s="1532"/>
      <c r="N528" s="1532"/>
      <c r="O528" s="1532"/>
      <c r="P528" s="1532"/>
      <c r="Q528" s="1532"/>
      <c r="R528" s="1532"/>
      <c r="S528" s="1532"/>
      <c r="T528" s="1532"/>
      <c r="U528" s="1532"/>
      <c r="V528" s="1532"/>
      <c r="W528" s="1532"/>
      <c r="X528" s="1532"/>
      <c r="Y528" s="1532"/>
      <c r="Z528" s="1532"/>
      <c r="AA528" s="1532"/>
      <c r="AB528" s="1532"/>
      <c r="AC528" s="1532"/>
      <c r="AD528" s="1532"/>
      <c r="AE528" s="1532"/>
      <c r="AF528" s="1532"/>
      <c r="AG528" s="1532"/>
      <c r="AH528" s="1532"/>
      <c r="AI528" s="1532"/>
      <c r="AJ528" s="1532"/>
      <c r="AK528" s="1557"/>
      <c r="AL528" s="1532"/>
      <c r="AM528" s="1532"/>
      <c r="AN528" s="1532"/>
      <c r="AO528" s="1532"/>
      <c r="AP528" s="1558"/>
      <c r="AQ528" s="1559"/>
      <c r="AR528" s="1559"/>
      <c r="AS528" s="1559"/>
      <c r="AT528" s="1671"/>
      <c r="AU528" s="1532"/>
      <c r="AV528" s="1532"/>
      <c r="AW528" s="1532"/>
      <c r="AX528" s="1532"/>
      <c r="AY528" s="1532"/>
      <c r="AZ528" s="1532"/>
      <c r="BA528" s="1532"/>
      <c r="BB528" s="1532"/>
      <c r="BC528" s="1547"/>
      <c r="BD528" s="1532"/>
      <c r="BE528" s="1532"/>
    </row>
    <row r="529" spans="1:72" s="1523" customFormat="1" ht="16.5" customHeight="1">
      <c r="D529" s="1523" t="s">
        <v>964</v>
      </c>
      <c r="F529" s="1555"/>
      <c r="G529" s="1555"/>
      <c r="AE529" s="1532"/>
      <c r="AF529" s="1532"/>
      <c r="AG529" s="1532"/>
      <c r="AH529" s="1532"/>
      <c r="AI529" s="1532"/>
      <c r="AJ529" s="1532"/>
      <c r="AK529" s="1557"/>
      <c r="AL529" s="1532"/>
      <c r="AM529" s="1532"/>
      <c r="AO529" s="1561"/>
      <c r="AP529" s="1558">
        <v>3876600</v>
      </c>
      <c r="AQ529" s="1672">
        <f>AP529/30</f>
        <v>129220</v>
      </c>
      <c r="AR529" s="1673">
        <f>AP529/173*1.5</f>
        <v>33612.138728323698</v>
      </c>
      <c r="AS529" s="1566">
        <f>AP529/173*2</f>
        <v>44816.184971098264</v>
      </c>
      <c r="AT529" s="1674"/>
      <c r="AU529" s="1532" t="s">
        <v>55</v>
      </c>
      <c r="AV529" s="1523" t="s">
        <v>335</v>
      </c>
      <c r="BC529" s="1518"/>
      <c r="BE529" s="1532"/>
      <c r="BG529" s="1555"/>
      <c r="BH529" s="1560"/>
      <c r="BI529" s="1560"/>
      <c r="BJ529" s="1555"/>
      <c r="BK529" s="1561"/>
      <c r="BL529" s="1561"/>
      <c r="BM529" s="1561"/>
      <c r="BN529" s="1555"/>
      <c r="BO529" s="1555"/>
    </row>
    <row r="530" spans="1:72" ht="18.75" customHeight="1" thickBot="1">
      <c r="A530" s="1547"/>
      <c r="D530" s="1532"/>
      <c r="E530" s="1563"/>
      <c r="F530" s="1675"/>
      <c r="G530" s="1564"/>
      <c r="H530" s="1563"/>
      <c r="I530" s="1563"/>
      <c r="J530" s="1563"/>
      <c r="K530" s="1563"/>
      <c r="L530" s="1563"/>
      <c r="M530" s="1563"/>
      <c r="N530" s="1563"/>
      <c r="O530" s="1563"/>
      <c r="Q530" s="1563"/>
      <c r="R530" s="1563"/>
      <c r="S530" s="1563"/>
      <c r="T530" s="1563"/>
      <c r="U530" s="1563"/>
      <c r="V530" s="1563"/>
      <c r="W530" s="1563"/>
      <c r="X530" s="1563"/>
      <c r="Y530" s="1563"/>
      <c r="Z530" s="1563"/>
      <c r="AA530" s="1563"/>
      <c r="AB530" s="1563"/>
      <c r="AC530" s="1563"/>
      <c r="AD530" s="1563"/>
      <c r="AE530" s="1563"/>
      <c r="AF530" s="1563"/>
      <c r="AG530" s="1563"/>
      <c r="AH530" s="1563"/>
      <c r="AI530" s="1563"/>
      <c r="AJ530" s="1563"/>
      <c r="AK530" s="1565"/>
      <c r="AL530" s="1563"/>
      <c r="AM530" s="1563"/>
      <c r="AO530" s="1563"/>
      <c r="AP530" s="1558">
        <v>3876600</v>
      </c>
      <c r="AQ530" s="1566">
        <f>AP530/30</f>
        <v>129220</v>
      </c>
      <c r="AR530" s="1598"/>
      <c r="AS530" s="1598"/>
      <c r="AT530" s="1674"/>
    </row>
    <row r="531" spans="1:72" s="1523" customFormat="1" ht="18.75" customHeight="1">
      <c r="A531" s="2050" t="s">
        <v>5</v>
      </c>
      <c r="B531" s="2056" t="s">
        <v>6</v>
      </c>
      <c r="C531" s="2056" t="s">
        <v>52</v>
      </c>
      <c r="D531" s="1571"/>
      <c r="E531" s="1571"/>
      <c r="F531" s="1676"/>
      <c r="G531" s="1676"/>
      <c r="H531" s="2118" t="s">
        <v>2</v>
      </c>
      <c r="I531" s="2118"/>
      <c r="J531" s="2118"/>
      <c r="K531" s="2118"/>
      <c r="L531" s="2118"/>
      <c r="M531" s="2118"/>
      <c r="N531" s="2118"/>
      <c r="O531" s="2118"/>
      <c r="P531" s="2118"/>
      <c r="Q531" s="2118"/>
      <c r="R531" s="2118"/>
      <c r="S531" s="2118"/>
      <c r="T531" s="2118"/>
      <c r="U531" s="2118"/>
      <c r="V531" s="2056" t="s">
        <v>286</v>
      </c>
      <c r="W531" s="2118" t="s">
        <v>3</v>
      </c>
      <c r="X531" s="2118"/>
      <c r="Y531" s="2118"/>
      <c r="Z531" s="2118"/>
      <c r="AA531" s="2118"/>
      <c r="AB531" s="2118"/>
      <c r="AC531" s="2118"/>
      <c r="AD531" s="2118"/>
      <c r="AE531" s="2119" t="s">
        <v>45</v>
      </c>
      <c r="AF531" s="2063" t="s">
        <v>46</v>
      </c>
      <c r="AG531" s="2064"/>
      <c r="AH531" s="2064"/>
      <c r="AI531" s="2064"/>
      <c r="AJ531" s="2064"/>
      <c r="AK531" s="2065"/>
      <c r="AL531" s="1571"/>
      <c r="AM531" s="2045" t="s">
        <v>361</v>
      </c>
      <c r="AN531" s="2056" t="s">
        <v>44</v>
      </c>
      <c r="AO531" s="1533" t="s">
        <v>4</v>
      </c>
      <c r="AP531" s="2036" t="s">
        <v>20</v>
      </c>
      <c r="AQ531" s="2037"/>
      <c r="AR531" s="2038"/>
      <c r="AS531" s="2036" t="s">
        <v>54</v>
      </c>
      <c r="AT531" s="2037"/>
      <c r="AU531" s="2037"/>
      <c r="AV531" s="2037"/>
      <c r="AW531" s="2038"/>
      <c r="AX531" s="1571"/>
      <c r="AY531" s="2042" t="s">
        <v>90</v>
      </c>
      <c r="AZ531" s="2045" t="s">
        <v>97</v>
      </c>
      <c r="BA531" s="2045" t="s">
        <v>720</v>
      </c>
      <c r="BB531" s="2045" t="s">
        <v>362</v>
      </c>
      <c r="BC531" s="1548" t="s">
        <v>4</v>
      </c>
      <c r="BD531" s="2063" t="s">
        <v>41</v>
      </c>
      <c r="BE531" s="2084"/>
      <c r="BG531" s="1555"/>
      <c r="BH531" s="1560"/>
      <c r="BI531" s="1560"/>
      <c r="BJ531" s="1555"/>
      <c r="BK531" s="1561"/>
      <c r="BL531" s="1561"/>
      <c r="BM531" s="1561"/>
      <c r="BN531" s="1555"/>
      <c r="BO531" s="1555"/>
    </row>
    <row r="532" spans="1:72" s="1523" customFormat="1" ht="25.5" customHeight="1">
      <c r="A532" s="2051"/>
      <c r="B532" s="2057"/>
      <c r="C532" s="2057"/>
      <c r="D532" s="1534" t="s">
        <v>7</v>
      </c>
      <c r="E532" s="1534" t="s">
        <v>8</v>
      </c>
      <c r="F532" s="1677" t="s">
        <v>9</v>
      </c>
      <c r="G532" s="1677" t="s">
        <v>9</v>
      </c>
      <c r="H532" s="2131" t="s">
        <v>10</v>
      </c>
      <c r="I532" s="2131"/>
      <c r="J532" s="2131" t="s">
        <v>11</v>
      </c>
      <c r="K532" s="2131"/>
      <c r="L532" s="2131" t="s">
        <v>12</v>
      </c>
      <c r="M532" s="2131"/>
      <c r="N532" s="2131" t="s">
        <v>13</v>
      </c>
      <c r="O532" s="2131"/>
      <c r="P532" s="2131" t="s">
        <v>14</v>
      </c>
      <c r="Q532" s="2131"/>
      <c r="R532" s="2132" t="s">
        <v>15</v>
      </c>
      <c r="S532" s="2132"/>
      <c r="T532" s="2131" t="s">
        <v>16</v>
      </c>
      <c r="U532" s="2131"/>
      <c r="V532" s="2057"/>
      <c r="W532" s="2131" t="s">
        <v>17</v>
      </c>
      <c r="X532" s="2131"/>
      <c r="Y532" s="2131" t="s">
        <v>18</v>
      </c>
      <c r="Z532" s="2131"/>
      <c r="AA532" s="2131"/>
      <c r="AB532" s="2071" t="s">
        <v>19</v>
      </c>
      <c r="AC532" s="2081"/>
      <c r="AD532" s="2072"/>
      <c r="AE532" s="2120"/>
      <c r="AF532" s="2085"/>
      <c r="AG532" s="2122"/>
      <c r="AH532" s="2122"/>
      <c r="AI532" s="2122"/>
      <c r="AJ532" s="2122"/>
      <c r="AK532" s="2123"/>
      <c r="AL532" s="1678"/>
      <c r="AM532" s="2046"/>
      <c r="AN532" s="2057"/>
      <c r="AO532" s="1534" t="s">
        <v>9</v>
      </c>
      <c r="AP532" s="2039"/>
      <c r="AQ532" s="2040"/>
      <c r="AR532" s="2041"/>
      <c r="AS532" s="2039"/>
      <c r="AT532" s="2040"/>
      <c r="AU532" s="2040"/>
      <c r="AV532" s="2040"/>
      <c r="AW532" s="2041"/>
      <c r="AX532" s="1534" t="s">
        <v>21</v>
      </c>
      <c r="AY532" s="2043"/>
      <c r="AZ532" s="2046"/>
      <c r="BA532" s="2046"/>
      <c r="BB532" s="2046"/>
      <c r="BC532" s="1549" t="s">
        <v>9</v>
      </c>
      <c r="BD532" s="2085"/>
      <c r="BE532" s="2086"/>
      <c r="BG532" s="1555"/>
      <c r="BH532" s="1560"/>
      <c r="BI532" s="1560"/>
      <c r="BJ532" s="1555"/>
      <c r="BK532" s="1561"/>
      <c r="BL532" s="1561"/>
      <c r="BM532" s="1561"/>
      <c r="BN532" s="1555"/>
      <c r="BO532" s="1555"/>
    </row>
    <row r="533" spans="1:72" s="1523" customFormat="1" ht="36" customHeight="1">
      <c r="A533" s="2051"/>
      <c r="B533" s="2057"/>
      <c r="C533" s="2057"/>
      <c r="D533" s="1534" t="s">
        <v>22</v>
      </c>
      <c r="E533" s="1534" t="s">
        <v>23</v>
      </c>
      <c r="F533" s="1677" t="s">
        <v>24</v>
      </c>
      <c r="G533" s="1677" t="s">
        <v>25</v>
      </c>
      <c r="H533" s="2073" t="s">
        <v>4</v>
      </c>
      <c r="I533" s="2073"/>
      <c r="J533" s="2073" t="s">
        <v>4</v>
      </c>
      <c r="K533" s="2073"/>
      <c r="L533" s="2073" t="s">
        <v>4</v>
      </c>
      <c r="M533" s="2073"/>
      <c r="N533" s="2073" t="s">
        <v>4</v>
      </c>
      <c r="O533" s="2073"/>
      <c r="P533" s="2073" t="s">
        <v>4</v>
      </c>
      <c r="Q533" s="2073"/>
      <c r="R533" s="2073" t="s">
        <v>4</v>
      </c>
      <c r="S533" s="2073"/>
      <c r="T533" s="2073" t="s">
        <v>4</v>
      </c>
      <c r="U533" s="2073"/>
      <c r="V533" s="2057"/>
      <c r="W533" s="1534" t="s">
        <v>27</v>
      </c>
      <c r="X533" s="1576" t="s">
        <v>28</v>
      </c>
      <c r="Y533" s="1534" t="s">
        <v>27</v>
      </c>
      <c r="Z533" s="2073" t="s">
        <v>4</v>
      </c>
      <c r="AA533" s="2073"/>
      <c r="AB533" s="1534" t="s">
        <v>27</v>
      </c>
      <c r="AC533" s="2071" t="s">
        <v>4</v>
      </c>
      <c r="AD533" s="2072"/>
      <c r="AE533" s="2121"/>
      <c r="AF533" s="1575" t="s">
        <v>56</v>
      </c>
      <c r="AG533" s="1575" t="s">
        <v>57</v>
      </c>
      <c r="AH533" s="1575" t="s">
        <v>60</v>
      </c>
      <c r="AI533" s="1575" t="s">
        <v>288</v>
      </c>
      <c r="AJ533" s="1575" t="s">
        <v>97</v>
      </c>
      <c r="AK533" s="1575" t="s">
        <v>711</v>
      </c>
      <c r="AL533" s="1679"/>
      <c r="AM533" s="2089"/>
      <c r="AN533" s="2090"/>
      <c r="AO533" s="1534" t="s">
        <v>29</v>
      </c>
      <c r="AP533" s="1534" t="s">
        <v>30</v>
      </c>
      <c r="AQ533" s="1534" t="s">
        <v>31</v>
      </c>
      <c r="AR533" s="1534" t="s">
        <v>4</v>
      </c>
      <c r="AS533" s="1534" t="s">
        <v>30</v>
      </c>
      <c r="AT533" s="1534" t="s">
        <v>31</v>
      </c>
      <c r="AU533" s="1534" t="s">
        <v>30</v>
      </c>
      <c r="AV533" s="1534" t="s">
        <v>31</v>
      </c>
      <c r="AW533" s="1534" t="s">
        <v>4</v>
      </c>
      <c r="AX533" s="1534" t="s">
        <v>32</v>
      </c>
      <c r="AY533" s="2043"/>
      <c r="AZ533" s="2046"/>
      <c r="BA533" s="2046"/>
      <c r="BB533" s="2046"/>
      <c r="BC533" s="1549" t="s">
        <v>33</v>
      </c>
      <c r="BD533" s="2073" t="s">
        <v>42</v>
      </c>
      <c r="BE533" s="2075" t="s">
        <v>43</v>
      </c>
      <c r="BG533" s="1573"/>
      <c r="BH533" s="1560"/>
      <c r="BI533" s="1560"/>
      <c r="BJ533" s="1555"/>
      <c r="BK533" s="1561"/>
      <c r="BL533" s="1561"/>
      <c r="BM533" s="1561"/>
      <c r="BN533" s="1555"/>
      <c r="BO533" s="1555"/>
    </row>
    <row r="534" spans="1:72" s="1523" customFormat="1" ht="46.5" customHeight="1" thickBot="1">
      <c r="A534" s="2051"/>
      <c r="B534" s="2057"/>
      <c r="C534" s="2057"/>
      <c r="D534" s="1534"/>
      <c r="E534" s="1534"/>
      <c r="F534" s="1680" t="s">
        <v>34</v>
      </c>
      <c r="G534" s="1680" t="s">
        <v>34</v>
      </c>
      <c r="H534" s="1576" t="s">
        <v>8</v>
      </c>
      <c r="I534" s="1576" t="s">
        <v>34</v>
      </c>
      <c r="J534" s="1576" t="s">
        <v>8</v>
      </c>
      <c r="K534" s="1576" t="s">
        <v>34</v>
      </c>
      <c r="L534" s="1576" t="s">
        <v>8</v>
      </c>
      <c r="M534" s="1576" t="s">
        <v>34</v>
      </c>
      <c r="N534" s="1576" t="s">
        <v>8</v>
      </c>
      <c r="O534" s="1576" t="s">
        <v>34</v>
      </c>
      <c r="P534" s="1576" t="s">
        <v>8</v>
      </c>
      <c r="Q534" s="1576" t="s">
        <v>34</v>
      </c>
      <c r="R534" s="1576" t="s">
        <v>8</v>
      </c>
      <c r="S534" s="1576" t="s">
        <v>34</v>
      </c>
      <c r="T534" s="1576" t="s">
        <v>8</v>
      </c>
      <c r="U534" s="1576" t="s">
        <v>34</v>
      </c>
      <c r="V534" s="2057"/>
      <c r="W534" s="1576" t="s">
        <v>26</v>
      </c>
      <c r="X534" s="1576" t="s">
        <v>34</v>
      </c>
      <c r="Y534" s="1576" t="s">
        <v>26</v>
      </c>
      <c r="Z534" s="1576" t="s">
        <v>26</v>
      </c>
      <c r="AA534" s="1576" t="s">
        <v>34</v>
      </c>
      <c r="AB534" s="1576" t="s">
        <v>26</v>
      </c>
      <c r="AC534" s="1576" t="s">
        <v>35</v>
      </c>
      <c r="AD534" s="1576" t="s">
        <v>34</v>
      </c>
      <c r="AE534" s="1576" t="s">
        <v>34</v>
      </c>
      <c r="AF534" s="1576" t="s">
        <v>34</v>
      </c>
      <c r="AG534" s="1576" t="s">
        <v>34</v>
      </c>
      <c r="AH534" s="1576" t="s">
        <v>34</v>
      </c>
      <c r="AI534" s="1576" t="s">
        <v>34</v>
      </c>
      <c r="AJ534" s="1576" t="s">
        <v>34</v>
      </c>
      <c r="AK534" s="1681" t="s">
        <v>34</v>
      </c>
      <c r="AL534" s="1534" t="s">
        <v>34</v>
      </c>
      <c r="AM534" s="1576" t="s">
        <v>34</v>
      </c>
      <c r="AN534" s="1576" t="s">
        <v>34</v>
      </c>
      <c r="AO534" s="1576" t="s">
        <v>34</v>
      </c>
      <c r="AP534" s="1576" t="s">
        <v>34</v>
      </c>
      <c r="AQ534" s="1576" t="s">
        <v>34</v>
      </c>
      <c r="AR534" s="1576" t="s">
        <v>34</v>
      </c>
      <c r="AS534" s="1576" t="s">
        <v>58</v>
      </c>
      <c r="AT534" s="1576" t="s">
        <v>34</v>
      </c>
      <c r="AU534" s="1576" t="s">
        <v>59</v>
      </c>
      <c r="AV534" s="1576" t="s">
        <v>34</v>
      </c>
      <c r="AW534" s="1576" t="s">
        <v>34</v>
      </c>
      <c r="AX534" s="1534"/>
      <c r="AY534" s="2043"/>
      <c r="AZ534" s="2046"/>
      <c r="BA534" s="2047"/>
      <c r="BB534" s="2046"/>
      <c r="BC534" s="1549" t="s">
        <v>34</v>
      </c>
      <c r="BD534" s="2129"/>
      <c r="BE534" s="2130"/>
      <c r="BG534" s="1555" t="s">
        <v>353</v>
      </c>
      <c r="BH534" s="1578" t="s">
        <v>43</v>
      </c>
      <c r="BI534" s="1578" t="s">
        <v>42</v>
      </c>
      <c r="BJ534" s="1555" t="s">
        <v>354</v>
      </c>
      <c r="BK534" s="1561" t="s">
        <v>358</v>
      </c>
      <c r="BL534" s="1561"/>
      <c r="BM534" s="1561"/>
      <c r="BN534" s="1555"/>
      <c r="BO534" s="1555"/>
    </row>
    <row r="535" spans="1:72" ht="83.25" customHeight="1" thickBot="1">
      <c r="A535" s="1683">
        <v>16</v>
      </c>
      <c r="B535" s="1489" t="s">
        <v>36</v>
      </c>
      <c r="C535" s="1585" t="s">
        <v>475</v>
      </c>
      <c r="D535" s="1590" t="s">
        <v>474</v>
      </c>
      <c r="E535" s="1489">
        <f>'HK PANEN'!AH22</f>
        <v>24</v>
      </c>
      <c r="F535" s="1490">
        <v>129220</v>
      </c>
      <c r="G535" s="1490">
        <f t="shared" si="86"/>
        <v>3101280</v>
      </c>
      <c r="H535" s="1516">
        <f>'HK PANEN'!AI22</f>
        <v>0</v>
      </c>
      <c r="I535" s="1489">
        <f t="shared" si="65"/>
        <v>0</v>
      </c>
      <c r="J535" s="1489">
        <f>'HK PANEN'!AJ22</f>
        <v>0</v>
      </c>
      <c r="K535" s="1489">
        <f t="shared" si="66"/>
        <v>0</v>
      </c>
      <c r="L535" s="1489">
        <f>'HK PANEN'!AK22</f>
        <v>0</v>
      </c>
      <c r="M535" s="1489">
        <f t="shared" si="67"/>
        <v>0</v>
      </c>
      <c r="N535" s="1489">
        <f>'HK PANEN'!AL22</f>
        <v>4</v>
      </c>
      <c r="O535" s="1489">
        <f t="shared" si="68"/>
        <v>516880</v>
      </c>
      <c r="P535" s="1489">
        <f>'HK PANEN'!AM22</f>
        <v>3</v>
      </c>
      <c r="Q535" s="1489">
        <f t="shared" si="69"/>
        <v>387660</v>
      </c>
      <c r="R535" s="1489">
        <f>'HK PANEN'!AN22</f>
        <v>0</v>
      </c>
      <c r="S535" s="1489">
        <f t="shared" si="87"/>
        <v>0</v>
      </c>
      <c r="T535" s="1489">
        <f>'HK PANEN'!AO22</f>
        <v>0</v>
      </c>
      <c r="U535" s="1489">
        <f t="shared" si="70"/>
        <v>0</v>
      </c>
      <c r="V535" s="1491">
        <f t="shared" si="71"/>
        <v>31</v>
      </c>
      <c r="W535" s="1491">
        <v>4650</v>
      </c>
      <c r="X535" s="1491">
        <f t="shared" si="72"/>
        <v>144150</v>
      </c>
      <c r="Y535" s="1491"/>
      <c r="Z535" s="1491"/>
      <c r="AA535" s="1491">
        <f t="shared" si="73"/>
        <v>0</v>
      </c>
      <c r="AB535" s="1497"/>
      <c r="AC535" s="1491">
        <f>'MASA KERJA AB'!H68</f>
        <v>0</v>
      </c>
      <c r="AD535" s="1491">
        <f>'MASA KERJA AB'!I68</f>
        <v>0</v>
      </c>
      <c r="AE535" s="1497"/>
      <c r="AF535" s="1514">
        <f>'MONITORING '!AK173</f>
        <v>103166</v>
      </c>
      <c r="AG535" s="1498">
        <f>'MONITORING '!AK174</f>
        <v>231000</v>
      </c>
      <c r="AH535" s="1515">
        <v>416500</v>
      </c>
      <c r="AI535" s="1515">
        <f>'INSETIF MEI''25'!L20</f>
        <v>150000</v>
      </c>
      <c r="AJ535" s="1498"/>
      <c r="AK535" s="1499"/>
      <c r="AL535" s="1491"/>
      <c r="AM535" s="1491"/>
      <c r="AN535" s="1491">
        <f>'MONITORING '!AK175</f>
        <v>0</v>
      </c>
      <c r="AO535" s="1494">
        <f t="shared" si="74"/>
        <v>5050636</v>
      </c>
      <c r="AP535" s="1491">
        <f t="shared" si="88"/>
        <v>77532</v>
      </c>
      <c r="AQ535" s="1491">
        <f t="shared" si="89"/>
        <v>175997.64</v>
      </c>
      <c r="AR535" s="1491">
        <f t="shared" si="75"/>
        <v>253529.64</v>
      </c>
      <c r="AS535" s="1489">
        <f t="shared" si="90"/>
        <v>38766</v>
      </c>
      <c r="AT535" s="1489">
        <f t="shared" si="91"/>
        <v>155064</v>
      </c>
      <c r="AU535" s="1491">
        <f t="shared" si="92"/>
        <v>38766</v>
      </c>
      <c r="AV535" s="1491">
        <f t="shared" si="93"/>
        <v>77532</v>
      </c>
      <c r="AW535" s="1491">
        <f t="shared" si="94"/>
        <v>310128</v>
      </c>
      <c r="AX535" s="1649">
        <v>4000</v>
      </c>
      <c r="AY535" s="1491">
        <v>0</v>
      </c>
      <c r="AZ535" s="1491">
        <f t="shared" si="77"/>
        <v>0</v>
      </c>
      <c r="BA535" s="1491"/>
      <c r="BB535" s="1491"/>
      <c r="BC535" s="1489">
        <f t="shared" si="78"/>
        <v>4891572</v>
      </c>
      <c r="BD535" s="1489">
        <f>'HK PANEN'!AQ22</f>
        <v>0</v>
      </c>
      <c r="BE535" s="1495">
        <f>'HK PANEN'!AR22</f>
        <v>0</v>
      </c>
      <c r="BG535" s="1551">
        <f t="shared" si="79"/>
        <v>4005820</v>
      </c>
      <c r="BH535" s="1552">
        <f t="shared" si="80"/>
        <v>0</v>
      </c>
      <c r="BI535" s="1552">
        <f t="shared" si="81"/>
        <v>0</v>
      </c>
      <c r="BJ535" s="1551">
        <f t="shared" si="82"/>
        <v>0</v>
      </c>
      <c r="BK535" s="1553">
        <f t="shared" si="83"/>
        <v>4005820</v>
      </c>
      <c r="BM535" s="1553">
        <f t="shared" si="95"/>
        <v>1044816</v>
      </c>
      <c r="BN535" s="1551">
        <v>30575.999999999996</v>
      </c>
      <c r="BO535" s="1551">
        <f t="shared" si="84"/>
        <v>185640</v>
      </c>
      <c r="BQ535" s="1531">
        <f t="shared" si="85"/>
        <v>103166</v>
      </c>
      <c r="BS535" s="1523" t="s">
        <v>474</v>
      </c>
      <c r="BT535" s="1556">
        <f t="shared" si="96"/>
        <v>103166</v>
      </c>
    </row>
    <row r="536" spans="1:72" ht="26.25" customHeight="1">
      <c r="A536" s="2049" t="s">
        <v>1033</v>
      </c>
      <c r="B536" s="2049"/>
      <c r="C536" s="2049"/>
      <c r="D536" s="2049"/>
      <c r="E536" s="2049"/>
      <c r="F536" s="2049"/>
      <c r="G536" s="2049"/>
      <c r="H536" s="2049"/>
      <c r="I536" s="2049"/>
      <c r="J536" s="2049"/>
      <c r="K536" s="2049"/>
      <c r="L536" s="2049"/>
      <c r="M536" s="2049"/>
      <c r="N536" s="2049"/>
      <c r="O536" s="2049"/>
      <c r="P536" s="2049"/>
      <c r="Q536" s="2049"/>
      <c r="R536" s="2049"/>
      <c r="S536" s="2049"/>
      <c r="T536" s="2049"/>
      <c r="U536" s="2049"/>
      <c r="V536" s="2049"/>
      <c r="W536" s="2049"/>
      <c r="X536" s="2049"/>
      <c r="Y536" s="2049"/>
      <c r="Z536" s="2049"/>
      <c r="AA536" s="2049"/>
      <c r="AB536" s="2049"/>
      <c r="AC536" s="2049"/>
      <c r="AD536" s="2049"/>
      <c r="AE536" s="2049"/>
      <c r="AF536" s="2049"/>
      <c r="AG536" s="2049"/>
      <c r="AH536" s="2049"/>
      <c r="AI536" s="2049"/>
      <c r="AJ536" s="2049"/>
      <c r="AK536" s="2049"/>
      <c r="AL536" s="2049"/>
      <c r="AM536" s="2049"/>
      <c r="AN536" s="2049"/>
      <c r="AO536" s="2049"/>
      <c r="AP536" s="2049"/>
      <c r="AQ536" s="2049"/>
      <c r="AR536" s="2049"/>
      <c r="AS536" s="2049"/>
      <c r="AT536" s="2049"/>
      <c r="AU536" s="2049"/>
      <c r="AV536" s="2049"/>
      <c r="AW536" s="2049"/>
      <c r="AX536" s="2049"/>
      <c r="AY536" s="2049"/>
      <c r="AZ536" s="2049"/>
      <c r="BA536" s="2049"/>
      <c r="BB536" s="2049"/>
      <c r="BC536" s="2049"/>
      <c r="BD536" s="2049"/>
      <c r="BE536" s="2049"/>
    </row>
    <row r="537" spans="1:72" ht="26.25" customHeight="1">
      <c r="A537" s="1532"/>
      <c r="B537" s="1532"/>
      <c r="C537" s="1605"/>
      <c r="D537" s="1532"/>
      <c r="E537" s="1532"/>
      <c r="F537" s="1560"/>
      <c r="G537" s="1560"/>
      <c r="H537" s="1532"/>
      <c r="I537" s="1532"/>
      <c r="J537" s="1532"/>
      <c r="K537" s="1532"/>
      <c r="L537" s="1532"/>
      <c r="M537" s="1532"/>
      <c r="N537" s="1532"/>
      <c r="O537" s="1532"/>
      <c r="P537" s="1532"/>
      <c r="Q537" s="1532"/>
      <c r="R537" s="1532"/>
      <c r="S537" s="1532"/>
      <c r="T537" s="1532"/>
      <c r="U537" s="1532"/>
      <c r="V537" s="1532"/>
      <c r="W537" s="1532"/>
      <c r="X537" s="1532"/>
      <c r="Y537" s="1532"/>
      <c r="Z537" s="1532"/>
      <c r="AA537" s="1532"/>
      <c r="AB537" s="1532"/>
      <c r="AC537" s="1532"/>
      <c r="AD537" s="1532"/>
      <c r="AE537" s="1532"/>
      <c r="AF537" s="1532"/>
      <c r="AG537" s="1532"/>
      <c r="AH537" s="1532"/>
      <c r="AI537" s="1532"/>
      <c r="AJ537" s="1532"/>
      <c r="AK537" s="1557"/>
      <c r="AL537" s="1532"/>
      <c r="AM537" s="1532"/>
      <c r="AN537" s="1532"/>
      <c r="AO537" s="1532"/>
      <c r="AP537" s="1558"/>
      <c r="AQ537" s="1559"/>
      <c r="AR537" s="1559"/>
      <c r="AS537" s="1559"/>
      <c r="AT537" s="1671"/>
      <c r="AU537" s="1532"/>
      <c r="AV537" s="1532"/>
      <c r="AW537" s="1532"/>
      <c r="AX537" s="1532"/>
      <c r="AY537" s="1532"/>
      <c r="AZ537" s="1532"/>
      <c r="BA537" s="1532"/>
      <c r="BB537" s="1532"/>
      <c r="BC537" s="1547"/>
      <c r="BD537" s="1532"/>
      <c r="BE537" s="1532"/>
    </row>
    <row r="538" spans="1:72" s="1523" customFormat="1" ht="16.5" customHeight="1">
      <c r="D538" s="1523" t="s">
        <v>964</v>
      </c>
      <c r="F538" s="1555"/>
      <c r="G538" s="1555"/>
      <c r="AE538" s="1532"/>
      <c r="AF538" s="1532"/>
      <c r="AG538" s="1532"/>
      <c r="AH538" s="1532"/>
      <c r="AI538" s="1532"/>
      <c r="AJ538" s="1532"/>
      <c r="AK538" s="1557"/>
      <c r="AL538" s="1532"/>
      <c r="AM538" s="1532"/>
      <c r="AO538" s="1561"/>
      <c r="AP538" s="1558">
        <v>3876600</v>
      </c>
      <c r="AQ538" s="1672">
        <f>AP538/30</f>
        <v>129220</v>
      </c>
      <c r="AR538" s="1673">
        <f>AP538/173*1.5</f>
        <v>33612.138728323698</v>
      </c>
      <c r="AS538" s="1566">
        <f>AP538/173*2</f>
        <v>44816.184971098264</v>
      </c>
      <c r="AT538" s="1674"/>
      <c r="AU538" s="1532" t="s">
        <v>55</v>
      </c>
      <c r="AV538" s="1523" t="s">
        <v>335</v>
      </c>
      <c r="BC538" s="1518"/>
      <c r="BE538" s="1532"/>
      <c r="BG538" s="1555"/>
      <c r="BH538" s="1560"/>
      <c r="BI538" s="1560"/>
      <c r="BJ538" s="1555"/>
      <c r="BK538" s="1561"/>
      <c r="BL538" s="1561"/>
      <c r="BM538" s="1561"/>
      <c r="BN538" s="1555"/>
      <c r="BO538" s="1555"/>
    </row>
    <row r="539" spans="1:72" ht="18.75" customHeight="1" thickBot="1">
      <c r="A539" s="1547"/>
      <c r="D539" s="1532"/>
      <c r="E539" s="1563"/>
      <c r="F539" s="1675"/>
      <c r="G539" s="1564"/>
      <c r="H539" s="1563"/>
      <c r="I539" s="1563"/>
      <c r="J539" s="1563"/>
      <c r="K539" s="1563"/>
      <c r="L539" s="1563"/>
      <c r="M539" s="1563"/>
      <c r="N539" s="1563"/>
      <c r="O539" s="1563"/>
      <c r="Q539" s="1563"/>
      <c r="R539" s="1563"/>
      <c r="S539" s="1563"/>
      <c r="T539" s="1563"/>
      <c r="U539" s="1563"/>
      <c r="V539" s="1563"/>
      <c r="W539" s="1563"/>
      <c r="X539" s="1563"/>
      <c r="Y539" s="1563"/>
      <c r="Z539" s="1563"/>
      <c r="AA539" s="1563"/>
      <c r="AB539" s="1563"/>
      <c r="AC539" s="1563"/>
      <c r="AD539" s="1563"/>
      <c r="AE539" s="1563"/>
      <c r="AF539" s="1563"/>
      <c r="AG539" s="1563"/>
      <c r="AH539" s="1563"/>
      <c r="AI539" s="1563"/>
      <c r="AJ539" s="1563"/>
      <c r="AK539" s="1565"/>
      <c r="AL539" s="1563"/>
      <c r="AM539" s="1563"/>
      <c r="AO539" s="1563"/>
      <c r="AP539" s="1558">
        <v>3876600</v>
      </c>
      <c r="AQ539" s="1566">
        <f>AP539/30</f>
        <v>129220</v>
      </c>
      <c r="AR539" s="1598"/>
      <c r="AS539" s="1598"/>
      <c r="AT539" s="1674"/>
    </row>
    <row r="540" spans="1:72" s="1523" customFormat="1" ht="18.75" customHeight="1">
      <c r="A540" s="2050" t="s">
        <v>5</v>
      </c>
      <c r="B540" s="2056" t="s">
        <v>6</v>
      </c>
      <c r="C540" s="2056" t="s">
        <v>52</v>
      </c>
      <c r="D540" s="1571"/>
      <c r="E540" s="1571"/>
      <c r="F540" s="1676"/>
      <c r="G540" s="1676"/>
      <c r="H540" s="2118" t="s">
        <v>2</v>
      </c>
      <c r="I540" s="2118"/>
      <c r="J540" s="2118"/>
      <c r="K540" s="2118"/>
      <c r="L540" s="2118"/>
      <c r="M540" s="2118"/>
      <c r="N540" s="2118"/>
      <c r="O540" s="2118"/>
      <c r="P540" s="2118"/>
      <c r="Q540" s="2118"/>
      <c r="R540" s="2118"/>
      <c r="S540" s="2118"/>
      <c r="T540" s="2118"/>
      <c r="U540" s="2118"/>
      <c r="V540" s="2056" t="s">
        <v>286</v>
      </c>
      <c r="W540" s="2118" t="s">
        <v>3</v>
      </c>
      <c r="X540" s="2118"/>
      <c r="Y540" s="2118"/>
      <c r="Z540" s="2118"/>
      <c r="AA540" s="2118"/>
      <c r="AB540" s="2118"/>
      <c r="AC540" s="2118"/>
      <c r="AD540" s="2118"/>
      <c r="AE540" s="2119" t="s">
        <v>45</v>
      </c>
      <c r="AF540" s="2063" t="s">
        <v>46</v>
      </c>
      <c r="AG540" s="2064"/>
      <c r="AH540" s="2064"/>
      <c r="AI540" s="2064"/>
      <c r="AJ540" s="2064"/>
      <c r="AK540" s="2065"/>
      <c r="AL540" s="1571"/>
      <c r="AM540" s="2045" t="s">
        <v>361</v>
      </c>
      <c r="AN540" s="2056" t="s">
        <v>44</v>
      </c>
      <c r="AO540" s="1533" t="s">
        <v>4</v>
      </c>
      <c r="AP540" s="2036" t="s">
        <v>20</v>
      </c>
      <c r="AQ540" s="2037"/>
      <c r="AR540" s="2038"/>
      <c r="AS540" s="2036" t="s">
        <v>54</v>
      </c>
      <c r="AT540" s="2037"/>
      <c r="AU540" s="2037"/>
      <c r="AV540" s="2037"/>
      <c r="AW540" s="2038"/>
      <c r="AX540" s="1571"/>
      <c r="AY540" s="2042" t="s">
        <v>90</v>
      </c>
      <c r="AZ540" s="2045" t="s">
        <v>97</v>
      </c>
      <c r="BA540" s="2045" t="s">
        <v>720</v>
      </c>
      <c r="BB540" s="2045" t="s">
        <v>362</v>
      </c>
      <c r="BC540" s="1548" t="s">
        <v>4</v>
      </c>
      <c r="BD540" s="2063" t="s">
        <v>41</v>
      </c>
      <c r="BE540" s="2084"/>
      <c r="BG540" s="1555"/>
      <c r="BH540" s="1560"/>
      <c r="BI540" s="1560"/>
      <c r="BJ540" s="1555"/>
      <c r="BK540" s="1561"/>
      <c r="BL540" s="1561"/>
      <c r="BM540" s="1561"/>
      <c r="BN540" s="1555"/>
      <c r="BO540" s="1555"/>
    </row>
    <row r="541" spans="1:72" s="1523" customFormat="1" ht="25.5" customHeight="1">
      <c r="A541" s="2051"/>
      <c r="B541" s="2057"/>
      <c r="C541" s="2057"/>
      <c r="D541" s="1534" t="s">
        <v>7</v>
      </c>
      <c r="E541" s="1534" t="s">
        <v>8</v>
      </c>
      <c r="F541" s="1677" t="s">
        <v>9</v>
      </c>
      <c r="G541" s="1677" t="s">
        <v>9</v>
      </c>
      <c r="H541" s="2131" t="s">
        <v>10</v>
      </c>
      <c r="I541" s="2131"/>
      <c r="J541" s="2131" t="s">
        <v>11</v>
      </c>
      <c r="K541" s="2131"/>
      <c r="L541" s="2131" t="s">
        <v>12</v>
      </c>
      <c r="M541" s="2131"/>
      <c r="N541" s="2131" t="s">
        <v>13</v>
      </c>
      <c r="O541" s="2131"/>
      <c r="P541" s="2131" t="s">
        <v>14</v>
      </c>
      <c r="Q541" s="2131"/>
      <c r="R541" s="2132" t="s">
        <v>15</v>
      </c>
      <c r="S541" s="2132"/>
      <c r="T541" s="2131" t="s">
        <v>16</v>
      </c>
      <c r="U541" s="2131"/>
      <c r="V541" s="2057"/>
      <c r="W541" s="2131" t="s">
        <v>17</v>
      </c>
      <c r="X541" s="2131"/>
      <c r="Y541" s="2131" t="s">
        <v>18</v>
      </c>
      <c r="Z541" s="2131"/>
      <c r="AA541" s="2131"/>
      <c r="AB541" s="2071" t="s">
        <v>19</v>
      </c>
      <c r="AC541" s="2081"/>
      <c r="AD541" s="2072"/>
      <c r="AE541" s="2120"/>
      <c r="AF541" s="2085"/>
      <c r="AG541" s="2122"/>
      <c r="AH541" s="2122"/>
      <c r="AI541" s="2122"/>
      <c r="AJ541" s="2122"/>
      <c r="AK541" s="2123"/>
      <c r="AL541" s="1678"/>
      <c r="AM541" s="2046"/>
      <c r="AN541" s="2057"/>
      <c r="AO541" s="1534" t="s">
        <v>9</v>
      </c>
      <c r="AP541" s="2039"/>
      <c r="AQ541" s="2040"/>
      <c r="AR541" s="2041"/>
      <c r="AS541" s="2039"/>
      <c r="AT541" s="2040"/>
      <c r="AU541" s="2040"/>
      <c r="AV541" s="2040"/>
      <c r="AW541" s="2041"/>
      <c r="AX541" s="1534" t="s">
        <v>21</v>
      </c>
      <c r="AY541" s="2043"/>
      <c r="AZ541" s="2046"/>
      <c r="BA541" s="2046"/>
      <c r="BB541" s="2046"/>
      <c r="BC541" s="1549" t="s">
        <v>9</v>
      </c>
      <c r="BD541" s="2085"/>
      <c r="BE541" s="2086"/>
      <c r="BG541" s="1555"/>
      <c r="BH541" s="1560"/>
      <c r="BI541" s="1560"/>
      <c r="BJ541" s="1555"/>
      <c r="BK541" s="1561"/>
      <c r="BL541" s="1561"/>
      <c r="BM541" s="1561"/>
      <c r="BN541" s="1555"/>
      <c r="BO541" s="1555"/>
    </row>
    <row r="542" spans="1:72" s="1523" customFormat="1" ht="36" customHeight="1">
      <c r="A542" s="2051"/>
      <c r="B542" s="2057"/>
      <c r="C542" s="2057"/>
      <c r="D542" s="1534" t="s">
        <v>22</v>
      </c>
      <c r="E542" s="1534" t="s">
        <v>23</v>
      </c>
      <c r="F542" s="1677" t="s">
        <v>24</v>
      </c>
      <c r="G542" s="1677" t="s">
        <v>25</v>
      </c>
      <c r="H542" s="2073" t="s">
        <v>4</v>
      </c>
      <c r="I542" s="2073"/>
      <c r="J542" s="2073" t="s">
        <v>4</v>
      </c>
      <c r="K542" s="2073"/>
      <c r="L542" s="2073" t="s">
        <v>4</v>
      </c>
      <c r="M542" s="2073"/>
      <c r="N542" s="2073" t="s">
        <v>4</v>
      </c>
      <c r="O542" s="2073"/>
      <c r="P542" s="2073" t="s">
        <v>4</v>
      </c>
      <c r="Q542" s="2073"/>
      <c r="R542" s="2073" t="s">
        <v>4</v>
      </c>
      <c r="S542" s="2073"/>
      <c r="T542" s="2073" t="s">
        <v>4</v>
      </c>
      <c r="U542" s="2073"/>
      <c r="V542" s="2057"/>
      <c r="W542" s="1534" t="s">
        <v>27</v>
      </c>
      <c r="X542" s="1576" t="s">
        <v>28</v>
      </c>
      <c r="Y542" s="1534" t="s">
        <v>27</v>
      </c>
      <c r="Z542" s="2073" t="s">
        <v>4</v>
      </c>
      <c r="AA542" s="2073"/>
      <c r="AB542" s="1534" t="s">
        <v>27</v>
      </c>
      <c r="AC542" s="2071" t="s">
        <v>4</v>
      </c>
      <c r="AD542" s="2072"/>
      <c r="AE542" s="2121"/>
      <c r="AF542" s="1575" t="s">
        <v>56</v>
      </c>
      <c r="AG542" s="1575" t="s">
        <v>57</v>
      </c>
      <c r="AH542" s="1575" t="s">
        <v>60</v>
      </c>
      <c r="AI542" s="1575" t="s">
        <v>288</v>
      </c>
      <c r="AJ542" s="1575" t="s">
        <v>97</v>
      </c>
      <c r="AK542" s="1575" t="s">
        <v>711</v>
      </c>
      <c r="AL542" s="1679"/>
      <c r="AM542" s="2089"/>
      <c r="AN542" s="2090"/>
      <c r="AO542" s="1534" t="s">
        <v>29</v>
      </c>
      <c r="AP542" s="1534" t="s">
        <v>30</v>
      </c>
      <c r="AQ542" s="1534" t="s">
        <v>31</v>
      </c>
      <c r="AR542" s="1534" t="s">
        <v>4</v>
      </c>
      <c r="AS542" s="1534" t="s">
        <v>30</v>
      </c>
      <c r="AT542" s="1534" t="s">
        <v>31</v>
      </c>
      <c r="AU542" s="1534" t="s">
        <v>30</v>
      </c>
      <c r="AV542" s="1534" t="s">
        <v>31</v>
      </c>
      <c r="AW542" s="1534" t="s">
        <v>4</v>
      </c>
      <c r="AX542" s="1534" t="s">
        <v>32</v>
      </c>
      <c r="AY542" s="2043"/>
      <c r="AZ542" s="2046"/>
      <c r="BA542" s="2046"/>
      <c r="BB542" s="2046"/>
      <c r="BC542" s="1549" t="s">
        <v>33</v>
      </c>
      <c r="BD542" s="2073" t="s">
        <v>42</v>
      </c>
      <c r="BE542" s="2075" t="s">
        <v>43</v>
      </c>
      <c r="BG542" s="1573"/>
      <c r="BH542" s="1560"/>
      <c r="BI542" s="1560"/>
      <c r="BJ542" s="1555"/>
      <c r="BK542" s="1561"/>
      <c r="BL542" s="1561"/>
      <c r="BM542" s="1561"/>
      <c r="BN542" s="1555"/>
      <c r="BO542" s="1555"/>
    </row>
    <row r="543" spans="1:72" s="1523" customFormat="1" ht="46.5" customHeight="1" thickBot="1">
      <c r="A543" s="2051"/>
      <c r="B543" s="2057"/>
      <c r="C543" s="2057"/>
      <c r="D543" s="1534"/>
      <c r="E543" s="1534"/>
      <c r="F543" s="1680" t="s">
        <v>34</v>
      </c>
      <c r="G543" s="1680" t="s">
        <v>34</v>
      </c>
      <c r="H543" s="1576" t="s">
        <v>8</v>
      </c>
      <c r="I543" s="1576" t="s">
        <v>34</v>
      </c>
      <c r="J543" s="1576" t="s">
        <v>8</v>
      </c>
      <c r="K543" s="1576" t="s">
        <v>34</v>
      </c>
      <c r="L543" s="1576" t="s">
        <v>8</v>
      </c>
      <c r="M543" s="1576" t="s">
        <v>34</v>
      </c>
      <c r="N543" s="1576" t="s">
        <v>8</v>
      </c>
      <c r="O543" s="1576" t="s">
        <v>34</v>
      </c>
      <c r="P543" s="1576" t="s">
        <v>8</v>
      </c>
      <c r="Q543" s="1576" t="s">
        <v>34</v>
      </c>
      <c r="R543" s="1576" t="s">
        <v>8</v>
      </c>
      <c r="S543" s="1576" t="s">
        <v>34</v>
      </c>
      <c r="T543" s="1576" t="s">
        <v>8</v>
      </c>
      <c r="U543" s="1576" t="s">
        <v>34</v>
      </c>
      <c r="V543" s="2057"/>
      <c r="W543" s="1576" t="s">
        <v>26</v>
      </c>
      <c r="X543" s="1576" t="s">
        <v>34</v>
      </c>
      <c r="Y543" s="1576" t="s">
        <v>26</v>
      </c>
      <c r="Z543" s="1576" t="s">
        <v>26</v>
      </c>
      <c r="AA543" s="1576" t="s">
        <v>34</v>
      </c>
      <c r="AB543" s="1576" t="s">
        <v>26</v>
      </c>
      <c r="AC543" s="1576" t="s">
        <v>35</v>
      </c>
      <c r="AD543" s="1576" t="s">
        <v>34</v>
      </c>
      <c r="AE543" s="1576" t="s">
        <v>34</v>
      </c>
      <c r="AF543" s="1576" t="s">
        <v>34</v>
      </c>
      <c r="AG543" s="1576" t="s">
        <v>34</v>
      </c>
      <c r="AH543" s="1576" t="s">
        <v>34</v>
      </c>
      <c r="AI543" s="1576" t="s">
        <v>34</v>
      </c>
      <c r="AJ543" s="1576" t="s">
        <v>34</v>
      </c>
      <c r="AK543" s="1681" t="s">
        <v>34</v>
      </c>
      <c r="AL543" s="1534" t="s">
        <v>34</v>
      </c>
      <c r="AM543" s="1576" t="s">
        <v>34</v>
      </c>
      <c r="AN543" s="1576" t="s">
        <v>34</v>
      </c>
      <c r="AO543" s="1576" t="s">
        <v>34</v>
      </c>
      <c r="AP543" s="1576" t="s">
        <v>34</v>
      </c>
      <c r="AQ543" s="1576" t="s">
        <v>34</v>
      </c>
      <c r="AR543" s="1576" t="s">
        <v>34</v>
      </c>
      <c r="AS543" s="1576" t="s">
        <v>58</v>
      </c>
      <c r="AT543" s="1576" t="s">
        <v>34</v>
      </c>
      <c r="AU543" s="1576" t="s">
        <v>59</v>
      </c>
      <c r="AV543" s="1576" t="s">
        <v>34</v>
      </c>
      <c r="AW543" s="1576" t="s">
        <v>34</v>
      </c>
      <c r="AX543" s="1534"/>
      <c r="AY543" s="2043"/>
      <c r="AZ543" s="2046"/>
      <c r="BA543" s="2047"/>
      <c r="BB543" s="2046"/>
      <c r="BC543" s="1549" t="s">
        <v>34</v>
      </c>
      <c r="BD543" s="2129"/>
      <c r="BE543" s="2130"/>
      <c r="BG543" s="1555" t="s">
        <v>353</v>
      </c>
      <c r="BH543" s="1578" t="s">
        <v>43</v>
      </c>
      <c r="BI543" s="1578" t="s">
        <v>42</v>
      </c>
      <c r="BJ543" s="1555" t="s">
        <v>354</v>
      </c>
      <c r="BK543" s="1561" t="s">
        <v>358</v>
      </c>
      <c r="BL543" s="1561"/>
      <c r="BM543" s="1561"/>
      <c r="BN543" s="1555"/>
      <c r="BO543" s="1555"/>
    </row>
    <row r="544" spans="1:72" ht="83.25" customHeight="1" thickBot="1">
      <c r="A544" s="1683">
        <v>17</v>
      </c>
      <c r="B544" s="1489" t="s">
        <v>36</v>
      </c>
      <c r="C544" s="1585" t="s">
        <v>584</v>
      </c>
      <c r="D544" s="1590" t="s">
        <v>555</v>
      </c>
      <c r="E544" s="1489">
        <f>'HK PANEN'!AH23</f>
        <v>24</v>
      </c>
      <c r="F544" s="1490">
        <v>129220</v>
      </c>
      <c r="G544" s="1490">
        <f t="shared" si="86"/>
        <v>3101280</v>
      </c>
      <c r="H544" s="1516">
        <f>'HK PANEN'!AI23</f>
        <v>0</v>
      </c>
      <c r="I544" s="1489">
        <f t="shared" si="65"/>
        <v>0</v>
      </c>
      <c r="J544" s="1489">
        <f>'HK PANEN'!AJ23</f>
        <v>0</v>
      </c>
      <c r="K544" s="1489">
        <f t="shared" si="66"/>
        <v>0</v>
      </c>
      <c r="L544" s="1489">
        <f>'HK PANEN'!AK23</f>
        <v>0</v>
      </c>
      <c r="M544" s="1489">
        <f t="shared" si="67"/>
        <v>0</v>
      </c>
      <c r="N544" s="1489">
        <f>'HK PANEN'!AL23</f>
        <v>4</v>
      </c>
      <c r="O544" s="1489">
        <f t="shared" si="68"/>
        <v>516880</v>
      </c>
      <c r="P544" s="1489">
        <f>'HK PANEN'!AM23</f>
        <v>3</v>
      </c>
      <c r="Q544" s="1489">
        <f t="shared" si="69"/>
        <v>387660</v>
      </c>
      <c r="R544" s="1489">
        <f>'HK PANEN'!AN23</f>
        <v>0</v>
      </c>
      <c r="S544" s="1489">
        <f t="shared" si="87"/>
        <v>0</v>
      </c>
      <c r="T544" s="1489">
        <f>'HK PANEN'!AO23</f>
        <v>0</v>
      </c>
      <c r="U544" s="1489">
        <f t="shared" si="70"/>
        <v>0</v>
      </c>
      <c r="V544" s="1491">
        <f t="shared" si="71"/>
        <v>31</v>
      </c>
      <c r="W544" s="1491">
        <v>3700</v>
      </c>
      <c r="X544" s="1491">
        <f t="shared" si="72"/>
        <v>114700</v>
      </c>
      <c r="Y544" s="1491"/>
      <c r="Z544" s="1491"/>
      <c r="AA544" s="1491">
        <f t="shared" si="73"/>
        <v>0</v>
      </c>
      <c r="AB544" s="1497"/>
      <c r="AC544" s="1491">
        <f>'MASA KERJA AB'!H69</f>
        <v>0</v>
      </c>
      <c r="AD544" s="1491">
        <f>'MASA KERJA AB'!I69</f>
        <v>0</v>
      </c>
      <c r="AE544" s="1497">
        <f>'LEMBUR DAN PREMI UPKEEP'!AJ68</f>
        <v>0</v>
      </c>
      <c r="AF544" s="1514">
        <f>'MONITORING '!AK186</f>
        <v>412523</v>
      </c>
      <c r="AG544" s="1498">
        <f>'MONITORING '!AK187</f>
        <v>325500</v>
      </c>
      <c r="AH544" s="1515">
        <v>775150</v>
      </c>
      <c r="AI544" s="1515">
        <f>'INSETIF MEI''25'!L21</f>
        <v>300000</v>
      </c>
      <c r="AJ544" s="1498"/>
      <c r="AK544" s="1499"/>
      <c r="AL544" s="1491"/>
      <c r="AM544" s="1491"/>
      <c r="AN544" s="1491">
        <f>'MONITORING '!AK188</f>
        <v>0</v>
      </c>
      <c r="AO544" s="1494">
        <f t="shared" si="74"/>
        <v>5933693</v>
      </c>
      <c r="AP544" s="1491">
        <f t="shared" si="88"/>
        <v>77532</v>
      </c>
      <c r="AQ544" s="1491">
        <f t="shared" si="89"/>
        <v>175997.64</v>
      </c>
      <c r="AR544" s="1491">
        <f t="shared" si="75"/>
        <v>253529.64</v>
      </c>
      <c r="AS544" s="1489">
        <f t="shared" si="90"/>
        <v>38766</v>
      </c>
      <c r="AT544" s="1489">
        <f t="shared" si="91"/>
        <v>155064</v>
      </c>
      <c r="AU544" s="1491">
        <f t="shared" si="92"/>
        <v>38766</v>
      </c>
      <c r="AV544" s="1491">
        <f t="shared" si="93"/>
        <v>77532</v>
      </c>
      <c r="AW544" s="1491">
        <f t="shared" si="94"/>
        <v>310128</v>
      </c>
      <c r="AX544" s="1649">
        <v>4000</v>
      </c>
      <c r="AY544" s="1649">
        <v>64213</v>
      </c>
      <c r="AZ544" s="1491">
        <f t="shared" si="77"/>
        <v>0</v>
      </c>
      <c r="BA544" s="1491"/>
      <c r="BB544" s="1491"/>
      <c r="BC544" s="1489">
        <f t="shared" si="78"/>
        <v>5710416</v>
      </c>
      <c r="BD544" s="1489">
        <f>'HK PANEN'!AQ23</f>
        <v>0</v>
      </c>
      <c r="BE544" s="1495">
        <f>'HK PANEN'!AR23</f>
        <v>0</v>
      </c>
      <c r="BG544" s="1551">
        <f t="shared" si="79"/>
        <v>4005820</v>
      </c>
      <c r="BH544" s="1552">
        <f t="shared" si="80"/>
        <v>0</v>
      </c>
      <c r="BI544" s="1552">
        <f t="shared" si="81"/>
        <v>0</v>
      </c>
      <c r="BJ544" s="1551">
        <f t="shared" si="82"/>
        <v>0</v>
      </c>
      <c r="BK544" s="1553">
        <f t="shared" si="83"/>
        <v>4005820</v>
      </c>
      <c r="BM544" s="1553">
        <f t="shared" si="95"/>
        <v>1927873</v>
      </c>
      <c r="BN544" s="1551">
        <v>30577</v>
      </c>
      <c r="BO544" s="1551">
        <f t="shared" si="84"/>
        <v>185641</v>
      </c>
      <c r="BQ544" s="1531">
        <f t="shared" si="85"/>
        <v>412523</v>
      </c>
      <c r="BS544" s="1523" t="s">
        <v>555</v>
      </c>
      <c r="BT544" s="1556">
        <f t="shared" si="96"/>
        <v>412523</v>
      </c>
    </row>
    <row r="545" spans="1:72" ht="26.25" customHeight="1">
      <c r="A545" s="2049" t="s">
        <v>1033</v>
      </c>
      <c r="B545" s="2049"/>
      <c r="C545" s="2049"/>
      <c r="D545" s="2049"/>
      <c r="E545" s="2049"/>
      <c r="F545" s="2049"/>
      <c r="G545" s="2049"/>
      <c r="H545" s="2049"/>
      <c r="I545" s="2049"/>
      <c r="J545" s="2049"/>
      <c r="K545" s="2049"/>
      <c r="L545" s="2049"/>
      <c r="M545" s="2049"/>
      <c r="N545" s="2049"/>
      <c r="O545" s="2049"/>
      <c r="P545" s="2049"/>
      <c r="Q545" s="2049"/>
      <c r="R545" s="2049"/>
      <c r="S545" s="2049"/>
      <c r="T545" s="2049"/>
      <c r="U545" s="2049"/>
      <c r="V545" s="2049"/>
      <c r="W545" s="2049"/>
      <c r="X545" s="2049"/>
      <c r="Y545" s="2049"/>
      <c r="Z545" s="2049"/>
      <c r="AA545" s="2049"/>
      <c r="AB545" s="2049"/>
      <c r="AC545" s="2049"/>
      <c r="AD545" s="2049"/>
      <c r="AE545" s="2049"/>
      <c r="AF545" s="2049"/>
      <c r="AG545" s="2049"/>
      <c r="AH545" s="2049"/>
      <c r="AI545" s="2049"/>
      <c r="AJ545" s="2049"/>
      <c r="AK545" s="2049"/>
      <c r="AL545" s="2049"/>
      <c r="AM545" s="2049"/>
      <c r="AN545" s="2049"/>
      <c r="AO545" s="2049"/>
      <c r="AP545" s="2049"/>
      <c r="AQ545" s="2049"/>
      <c r="AR545" s="2049"/>
      <c r="AS545" s="2049"/>
      <c r="AT545" s="2049"/>
      <c r="AU545" s="2049"/>
      <c r="AV545" s="2049"/>
      <c r="AW545" s="2049"/>
      <c r="AX545" s="2049"/>
      <c r="AY545" s="2049"/>
      <c r="AZ545" s="2049"/>
      <c r="BA545" s="2049"/>
      <c r="BB545" s="2049"/>
      <c r="BC545" s="2049"/>
      <c r="BD545" s="2049"/>
      <c r="BE545" s="2049"/>
    </row>
    <row r="546" spans="1:72" ht="26.25" customHeight="1">
      <c r="A546" s="1532"/>
      <c r="B546" s="1532"/>
      <c r="C546" s="1605"/>
      <c r="D546" s="1532"/>
      <c r="E546" s="1532"/>
      <c r="F546" s="1560"/>
      <c r="G546" s="1560"/>
      <c r="H546" s="1532"/>
      <c r="I546" s="1532"/>
      <c r="J546" s="1532"/>
      <c r="K546" s="1532"/>
      <c r="L546" s="1532"/>
      <c r="M546" s="1532"/>
      <c r="N546" s="1532"/>
      <c r="O546" s="1532"/>
      <c r="P546" s="1532"/>
      <c r="Q546" s="1532"/>
      <c r="R546" s="1532"/>
      <c r="S546" s="1532"/>
      <c r="T546" s="1532"/>
      <c r="U546" s="1532"/>
      <c r="V546" s="1532"/>
      <c r="W546" s="1532"/>
      <c r="X546" s="1532"/>
      <c r="Y546" s="1532"/>
      <c r="Z546" s="1532"/>
      <c r="AA546" s="1532"/>
      <c r="AB546" s="1532"/>
      <c r="AC546" s="1532"/>
      <c r="AD546" s="1532"/>
      <c r="AE546" s="1532"/>
      <c r="AF546" s="1532"/>
      <c r="AG546" s="1532"/>
      <c r="AH546" s="1532"/>
      <c r="AI546" s="1532"/>
      <c r="AJ546" s="1532"/>
      <c r="AK546" s="1557"/>
      <c r="AL546" s="1532"/>
      <c r="AM546" s="1532"/>
      <c r="AN546" s="1532"/>
      <c r="AO546" s="1532"/>
      <c r="AP546" s="1558"/>
      <c r="AQ546" s="1559"/>
      <c r="AR546" s="1559"/>
      <c r="AS546" s="1559"/>
      <c r="AT546" s="1671"/>
      <c r="AU546" s="1532"/>
      <c r="AV546" s="1532"/>
      <c r="AW546" s="1532"/>
      <c r="AX546" s="1532"/>
      <c r="AY546" s="1532"/>
      <c r="AZ546" s="1532"/>
      <c r="BA546" s="1532"/>
      <c r="BB546" s="1532"/>
      <c r="BC546" s="1547"/>
      <c r="BD546" s="1532"/>
      <c r="BE546" s="1532"/>
    </row>
    <row r="547" spans="1:72" s="1523" customFormat="1" ht="16.5" customHeight="1">
      <c r="D547" s="1523" t="s">
        <v>964</v>
      </c>
      <c r="F547" s="1555"/>
      <c r="G547" s="1555"/>
      <c r="AE547" s="1532"/>
      <c r="AF547" s="1532"/>
      <c r="AG547" s="1532"/>
      <c r="AH547" s="1532"/>
      <c r="AI547" s="1532"/>
      <c r="AJ547" s="1532"/>
      <c r="AK547" s="1557"/>
      <c r="AL547" s="1532"/>
      <c r="AM547" s="1532"/>
      <c r="AO547" s="1561"/>
      <c r="AP547" s="1558">
        <v>3876600</v>
      </c>
      <c r="AQ547" s="1672">
        <f>AP547/30</f>
        <v>129220</v>
      </c>
      <c r="AR547" s="1673">
        <f>AP547/173*1.5</f>
        <v>33612.138728323698</v>
      </c>
      <c r="AS547" s="1566">
        <f>AP547/173*2</f>
        <v>44816.184971098264</v>
      </c>
      <c r="AT547" s="1674"/>
      <c r="AU547" s="1532" t="s">
        <v>55</v>
      </c>
      <c r="AV547" s="1523" t="s">
        <v>335</v>
      </c>
      <c r="BC547" s="1518"/>
      <c r="BE547" s="1532"/>
      <c r="BG547" s="1555"/>
      <c r="BH547" s="1560"/>
      <c r="BI547" s="1560"/>
      <c r="BJ547" s="1555"/>
      <c r="BK547" s="1561"/>
      <c r="BL547" s="1561"/>
      <c r="BM547" s="1561"/>
      <c r="BN547" s="1555"/>
      <c r="BO547" s="1555"/>
    </row>
    <row r="548" spans="1:72" ht="18.75" customHeight="1" thickBot="1">
      <c r="A548" s="1547"/>
      <c r="D548" s="1532"/>
      <c r="E548" s="1563"/>
      <c r="F548" s="1675"/>
      <c r="G548" s="1564"/>
      <c r="H548" s="1563"/>
      <c r="I548" s="1563"/>
      <c r="J548" s="1563"/>
      <c r="K548" s="1563"/>
      <c r="L548" s="1563"/>
      <c r="M548" s="1563"/>
      <c r="N548" s="1563"/>
      <c r="O548" s="1563"/>
      <c r="Q548" s="1563"/>
      <c r="R548" s="1563"/>
      <c r="S548" s="1563"/>
      <c r="T548" s="1563"/>
      <c r="U548" s="1563"/>
      <c r="V548" s="1563"/>
      <c r="W548" s="1563"/>
      <c r="X548" s="1563"/>
      <c r="Y548" s="1563"/>
      <c r="Z548" s="1563"/>
      <c r="AA548" s="1563"/>
      <c r="AB548" s="1563"/>
      <c r="AC548" s="1563"/>
      <c r="AD548" s="1563"/>
      <c r="AE548" s="1563"/>
      <c r="AF548" s="1563"/>
      <c r="AG548" s="1563"/>
      <c r="AH548" s="1563"/>
      <c r="AI548" s="1563"/>
      <c r="AJ548" s="1563"/>
      <c r="AK548" s="1565"/>
      <c r="AL548" s="1563"/>
      <c r="AM548" s="1563"/>
      <c r="AO548" s="1563"/>
      <c r="AP548" s="1558">
        <v>3876600</v>
      </c>
      <c r="AQ548" s="1566">
        <f>AP548/30</f>
        <v>129220</v>
      </c>
      <c r="AR548" s="1598"/>
      <c r="AS548" s="1598"/>
      <c r="AT548" s="1674"/>
    </row>
    <row r="549" spans="1:72" s="1523" customFormat="1" ht="18.75" customHeight="1">
      <c r="A549" s="2050" t="s">
        <v>5</v>
      </c>
      <c r="B549" s="2056" t="s">
        <v>6</v>
      </c>
      <c r="C549" s="2056" t="s">
        <v>52</v>
      </c>
      <c r="D549" s="1571"/>
      <c r="E549" s="1571"/>
      <c r="F549" s="1676"/>
      <c r="G549" s="1676"/>
      <c r="H549" s="2118" t="s">
        <v>2</v>
      </c>
      <c r="I549" s="2118"/>
      <c r="J549" s="2118"/>
      <c r="K549" s="2118"/>
      <c r="L549" s="2118"/>
      <c r="M549" s="2118"/>
      <c r="N549" s="2118"/>
      <c r="O549" s="2118"/>
      <c r="P549" s="2118"/>
      <c r="Q549" s="2118"/>
      <c r="R549" s="2118"/>
      <c r="S549" s="2118"/>
      <c r="T549" s="2118"/>
      <c r="U549" s="2118"/>
      <c r="V549" s="2056" t="s">
        <v>286</v>
      </c>
      <c r="W549" s="2118" t="s">
        <v>3</v>
      </c>
      <c r="X549" s="2118"/>
      <c r="Y549" s="2118"/>
      <c r="Z549" s="2118"/>
      <c r="AA549" s="2118"/>
      <c r="AB549" s="2118"/>
      <c r="AC549" s="2118"/>
      <c r="AD549" s="2118"/>
      <c r="AE549" s="2119" t="s">
        <v>45</v>
      </c>
      <c r="AF549" s="2063" t="s">
        <v>46</v>
      </c>
      <c r="AG549" s="2064"/>
      <c r="AH549" s="2064"/>
      <c r="AI549" s="2064"/>
      <c r="AJ549" s="2064"/>
      <c r="AK549" s="2065"/>
      <c r="AL549" s="1571"/>
      <c r="AM549" s="2045" t="s">
        <v>361</v>
      </c>
      <c r="AN549" s="2056" t="s">
        <v>44</v>
      </c>
      <c r="AO549" s="1533" t="s">
        <v>4</v>
      </c>
      <c r="AP549" s="2036" t="s">
        <v>20</v>
      </c>
      <c r="AQ549" s="2037"/>
      <c r="AR549" s="2038"/>
      <c r="AS549" s="2036" t="s">
        <v>54</v>
      </c>
      <c r="AT549" s="2037"/>
      <c r="AU549" s="2037"/>
      <c r="AV549" s="2037"/>
      <c r="AW549" s="2038"/>
      <c r="AX549" s="1571"/>
      <c r="AY549" s="2042" t="s">
        <v>90</v>
      </c>
      <c r="AZ549" s="2045" t="s">
        <v>97</v>
      </c>
      <c r="BA549" s="2045" t="s">
        <v>720</v>
      </c>
      <c r="BB549" s="2045" t="s">
        <v>362</v>
      </c>
      <c r="BC549" s="1548" t="s">
        <v>4</v>
      </c>
      <c r="BD549" s="2063" t="s">
        <v>41</v>
      </c>
      <c r="BE549" s="2084"/>
      <c r="BG549" s="1555"/>
      <c r="BH549" s="1560"/>
      <c r="BI549" s="1560"/>
      <c r="BJ549" s="1555"/>
      <c r="BK549" s="1561"/>
      <c r="BL549" s="1561"/>
      <c r="BM549" s="1561"/>
      <c r="BN549" s="1555"/>
      <c r="BO549" s="1555"/>
    </row>
    <row r="550" spans="1:72" s="1523" customFormat="1" ht="25.5" customHeight="1">
      <c r="A550" s="2051"/>
      <c r="B550" s="2057"/>
      <c r="C550" s="2057"/>
      <c r="D550" s="1534" t="s">
        <v>7</v>
      </c>
      <c r="E550" s="1534" t="s">
        <v>8</v>
      </c>
      <c r="F550" s="1677" t="s">
        <v>9</v>
      </c>
      <c r="G550" s="1677" t="s">
        <v>9</v>
      </c>
      <c r="H550" s="2131" t="s">
        <v>10</v>
      </c>
      <c r="I550" s="2131"/>
      <c r="J550" s="2131" t="s">
        <v>11</v>
      </c>
      <c r="K550" s="2131"/>
      <c r="L550" s="2131" t="s">
        <v>12</v>
      </c>
      <c r="M550" s="2131"/>
      <c r="N550" s="2131" t="s">
        <v>13</v>
      </c>
      <c r="O550" s="2131"/>
      <c r="P550" s="2131" t="s">
        <v>14</v>
      </c>
      <c r="Q550" s="2131"/>
      <c r="R550" s="2132" t="s">
        <v>15</v>
      </c>
      <c r="S550" s="2132"/>
      <c r="T550" s="2131" t="s">
        <v>16</v>
      </c>
      <c r="U550" s="2131"/>
      <c r="V550" s="2057"/>
      <c r="W550" s="2131" t="s">
        <v>17</v>
      </c>
      <c r="X550" s="2131"/>
      <c r="Y550" s="2131" t="s">
        <v>18</v>
      </c>
      <c r="Z550" s="2131"/>
      <c r="AA550" s="2131"/>
      <c r="AB550" s="2071" t="s">
        <v>19</v>
      </c>
      <c r="AC550" s="2081"/>
      <c r="AD550" s="2072"/>
      <c r="AE550" s="2120"/>
      <c r="AF550" s="2085"/>
      <c r="AG550" s="2122"/>
      <c r="AH550" s="2122"/>
      <c r="AI550" s="2122"/>
      <c r="AJ550" s="2122"/>
      <c r="AK550" s="2123"/>
      <c r="AL550" s="1678"/>
      <c r="AM550" s="2046"/>
      <c r="AN550" s="2057"/>
      <c r="AO550" s="1534" t="s">
        <v>9</v>
      </c>
      <c r="AP550" s="2039"/>
      <c r="AQ550" s="2040"/>
      <c r="AR550" s="2041"/>
      <c r="AS550" s="2039"/>
      <c r="AT550" s="2040"/>
      <c r="AU550" s="2040"/>
      <c r="AV550" s="2040"/>
      <c r="AW550" s="2041"/>
      <c r="AX550" s="1534" t="s">
        <v>21</v>
      </c>
      <c r="AY550" s="2043"/>
      <c r="AZ550" s="2046"/>
      <c r="BA550" s="2046"/>
      <c r="BB550" s="2046"/>
      <c r="BC550" s="1549" t="s">
        <v>9</v>
      </c>
      <c r="BD550" s="2085"/>
      <c r="BE550" s="2086"/>
      <c r="BG550" s="1555"/>
      <c r="BH550" s="1560"/>
      <c r="BI550" s="1560"/>
      <c r="BJ550" s="1555"/>
      <c r="BK550" s="1561"/>
      <c r="BL550" s="1561"/>
      <c r="BM550" s="1561"/>
      <c r="BN550" s="1555"/>
      <c r="BO550" s="1555"/>
    </row>
    <row r="551" spans="1:72" s="1523" customFormat="1" ht="36" customHeight="1">
      <c r="A551" s="2051"/>
      <c r="B551" s="2057"/>
      <c r="C551" s="2057"/>
      <c r="D551" s="1534" t="s">
        <v>22</v>
      </c>
      <c r="E551" s="1534" t="s">
        <v>23</v>
      </c>
      <c r="F551" s="1677" t="s">
        <v>24</v>
      </c>
      <c r="G551" s="1677" t="s">
        <v>25</v>
      </c>
      <c r="H551" s="2073" t="s">
        <v>4</v>
      </c>
      <c r="I551" s="2073"/>
      <c r="J551" s="2073" t="s">
        <v>4</v>
      </c>
      <c r="K551" s="2073"/>
      <c r="L551" s="2073" t="s">
        <v>4</v>
      </c>
      <c r="M551" s="2073"/>
      <c r="N551" s="2073" t="s">
        <v>4</v>
      </c>
      <c r="O551" s="2073"/>
      <c r="P551" s="2073" t="s">
        <v>4</v>
      </c>
      <c r="Q551" s="2073"/>
      <c r="R551" s="2073" t="s">
        <v>4</v>
      </c>
      <c r="S551" s="2073"/>
      <c r="T551" s="2073" t="s">
        <v>4</v>
      </c>
      <c r="U551" s="2073"/>
      <c r="V551" s="2057"/>
      <c r="W551" s="1534" t="s">
        <v>27</v>
      </c>
      <c r="X551" s="1576" t="s">
        <v>28</v>
      </c>
      <c r="Y551" s="1534" t="s">
        <v>27</v>
      </c>
      <c r="Z551" s="2073" t="s">
        <v>4</v>
      </c>
      <c r="AA551" s="2073"/>
      <c r="AB551" s="1534" t="s">
        <v>27</v>
      </c>
      <c r="AC551" s="2071" t="s">
        <v>4</v>
      </c>
      <c r="AD551" s="2072"/>
      <c r="AE551" s="2121"/>
      <c r="AF551" s="1575" t="s">
        <v>56</v>
      </c>
      <c r="AG551" s="1575" t="s">
        <v>57</v>
      </c>
      <c r="AH551" s="1575" t="s">
        <v>60</v>
      </c>
      <c r="AI551" s="1575" t="s">
        <v>288</v>
      </c>
      <c r="AJ551" s="1575" t="s">
        <v>97</v>
      </c>
      <c r="AK551" s="1575" t="s">
        <v>711</v>
      </c>
      <c r="AL551" s="1679"/>
      <c r="AM551" s="2089"/>
      <c r="AN551" s="2090"/>
      <c r="AO551" s="1534" t="s">
        <v>29</v>
      </c>
      <c r="AP551" s="1534" t="s">
        <v>30</v>
      </c>
      <c r="AQ551" s="1534" t="s">
        <v>31</v>
      </c>
      <c r="AR551" s="1534" t="s">
        <v>4</v>
      </c>
      <c r="AS551" s="1534" t="s">
        <v>30</v>
      </c>
      <c r="AT551" s="1534" t="s">
        <v>31</v>
      </c>
      <c r="AU551" s="1534" t="s">
        <v>30</v>
      </c>
      <c r="AV551" s="1534" t="s">
        <v>31</v>
      </c>
      <c r="AW551" s="1534" t="s">
        <v>4</v>
      </c>
      <c r="AX551" s="1534" t="s">
        <v>32</v>
      </c>
      <c r="AY551" s="2043"/>
      <c r="AZ551" s="2046"/>
      <c r="BA551" s="2046"/>
      <c r="BB551" s="2046"/>
      <c r="BC551" s="1549" t="s">
        <v>33</v>
      </c>
      <c r="BD551" s="2073" t="s">
        <v>42</v>
      </c>
      <c r="BE551" s="2075" t="s">
        <v>43</v>
      </c>
      <c r="BG551" s="1573"/>
      <c r="BH551" s="1560"/>
      <c r="BI551" s="1560"/>
      <c r="BJ551" s="1555"/>
      <c r="BK551" s="1561"/>
      <c r="BL551" s="1561"/>
      <c r="BM551" s="1561"/>
      <c r="BN551" s="1555"/>
      <c r="BO551" s="1555"/>
    </row>
    <row r="552" spans="1:72" s="1523" customFormat="1" ht="46.5" customHeight="1" thickBot="1">
      <c r="A552" s="2051"/>
      <c r="B552" s="2057"/>
      <c r="C552" s="2057"/>
      <c r="D552" s="1534"/>
      <c r="E552" s="1534"/>
      <c r="F552" s="1680" t="s">
        <v>34</v>
      </c>
      <c r="G552" s="1680" t="s">
        <v>34</v>
      </c>
      <c r="H552" s="1576" t="s">
        <v>8</v>
      </c>
      <c r="I552" s="1576" t="s">
        <v>34</v>
      </c>
      <c r="J552" s="1576" t="s">
        <v>8</v>
      </c>
      <c r="K552" s="1576" t="s">
        <v>34</v>
      </c>
      <c r="L552" s="1576" t="s">
        <v>8</v>
      </c>
      <c r="M552" s="1576" t="s">
        <v>34</v>
      </c>
      <c r="N552" s="1576" t="s">
        <v>8</v>
      </c>
      <c r="O552" s="1576" t="s">
        <v>34</v>
      </c>
      <c r="P552" s="1576" t="s">
        <v>8</v>
      </c>
      <c r="Q552" s="1576" t="s">
        <v>34</v>
      </c>
      <c r="R552" s="1576" t="s">
        <v>8</v>
      </c>
      <c r="S552" s="1576" t="s">
        <v>34</v>
      </c>
      <c r="T552" s="1576" t="s">
        <v>8</v>
      </c>
      <c r="U552" s="1576" t="s">
        <v>34</v>
      </c>
      <c r="V552" s="2057"/>
      <c r="W552" s="1576" t="s">
        <v>26</v>
      </c>
      <c r="X552" s="1576" t="s">
        <v>34</v>
      </c>
      <c r="Y552" s="1576" t="s">
        <v>26</v>
      </c>
      <c r="Z552" s="1576" t="s">
        <v>26</v>
      </c>
      <c r="AA552" s="1576" t="s">
        <v>34</v>
      </c>
      <c r="AB552" s="1576" t="s">
        <v>26</v>
      </c>
      <c r="AC552" s="1576" t="s">
        <v>35</v>
      </c>
      <c r="AD552" s="1576" t="s">
        <v>34</v>
      </c>
      <c r="AE552" s="1576" t="s">
        <v>34</v>
      </c>
      <c r="AF552" s="1576" t="s">
        <v>34</v>
      </c>
      <c r="AG552" s="1576" t="s">
        <v>34</v>
      </c>
      <c r="AH552" s="1576" t="s">
        <v>34</v>
      </c>
      <c r="AI552" s="1576" t="s">
        <v>34</v>
      </c>
      <c r="AJ552" s="1576" t="s">
        <v>34</v>
      </c>
      <c r="AK552" s="1681" t="s">
        <v>34</v>
      </c>
      <c r="AL552" s="1534" t="s">
        <v>34</v>
      </c>
      <c r="AM552" s="1576" t="s">
        <v>34</v>
      </c>
      <c r="AN552" s="1576" t="s">
        <v>34</v>
      </c>
      <c r="AO552" s="1576" t="s">
        <v>34</v>
      </c>
      <c r="AP552" s="1576" t="s">
        <v>34</v>
      </c>
      <c r="AQ552" s="1576" t="s">
        <v>34</v>
      </c>
      <c r="AR552" s="1576" t="s">
        <v>34</v>
      </c>
      <c r="AS552" s="1576" t="s">
        <v>58</v>
      </c>
      <c r="AT552" s="1576" t="s">
        <v>34</v>
      </c>
      <c r="AU552" s="1576" t="s">
        <v>59</v>
      </c>
      <c r="AV552" s="1576" t="s">
        <v>34</v>
      </c>
      <c r="AW552" s="1576" t="s">
        <v>34</v>
      </c>
      <c r="AX552" s="1534"/>
      <c r="AY552" s="2043"/>
      <c r="AZ552" s="2046"/>
      <c r="BA552" s="2047"/>
      <c r="BB552" s="2046"/>
      <c r="BC552" s="1549" t="s">
        <v>34</v>
      </c>
      <c r="BD552" s="2129"/>
      <c r="BE552" s="2130"/>
      <c r="BG552" s="1555" t="s">
        <v>353</v>
      </c>
      <c r="BH552" s="1578" t="s">
        <v>43</v>
      </c>
      <c r="BI552" s="1578" t="s">
        <v>42</v>
      </c>
      <c r="BJ552" s="1555" t="s">
        <v>354</v>
      </c>
      <c r="BK552" s="1561" t="s">
        <v>358</v>
      </c>
      <c r="BL552" s="1561"/>
      <c r="BM552" s="1561"/>
      <c r="BN552" s="1555"/>
      <c r="BO552" s="1555"/>
    </row>
    <row r="553" spans="1:72" ht="83.25" customHeight="1" thickBot="1">
      <c r="A553" s="1683">
        <v>18</v>
      </c>
      <c r="B553" s="1489" t="s">
        <v>36</v>
      </c>
      <c r="C553" s="1585" t="s">
        <v>701</v>
      </c>
      <c r="D553" s="1590" t="s">
        <v>647</v>
      </c>
      <c r="E553" s="1489">
        <f>'HK PANEN'!AH24</f>
        <v>20</v>
      </c>
      <c r="F553" s="1490">
        <v>129220</v>
      </c>
      <c r="G553" s="1509">
        <f>F553*E553</f>
        <v>2584400</v>
      </c>
      <c r="H553" s="1516">
        <f>'HK PANEN'!AI24</f>
        <v>1</v>
      </c>
      <c r="I553" s="1491">
        <f>H553*F553</f>
        <v>129220</v>
      </c>
      <c r="J553" s="1489">
        <f>'HK PANEN'!AJ24</f>
        <v>1</v>
      </c>
      <c r="K553" s="1491">
        <f>J553*F553</f>
        <v>129220</v>
      </c>
      <c r="L553" s="1489">
        <f>'HK PANEN'!AK24</f>
        <v>0</v>
      </c>
      <c r="M553" s="1491">
        <f>L553*F553</f>
        <v>0</v>
      </c>
      <c r="N553" s="1489">
        <f>'HK PANEN'!AL24</f>
        <v>4</v>
      </c>
      <c r="O553" s="1497">
        <f>N553*F553</f>
        <v>516880</v>
      </c>
      <c r="P553" s="1489">
        <f>'HK PANEN'!AM24</f>
        <v>3</v>
      </c>
      <c r="Q553" s="1497">
        <f>P553*F553</f>
        <v>387660</v>
      </c>
      <c r="R553" s="1489">
        <f>'HK PANEN'!AN24</f>
        <v>0</v>
      </c>
      <c r="S553" s="1489">
        <f t="shared" si="87"/>
        <v>0</v>
      </c>
      <c r="T553" s="1489">
        <f>'HK PANEN'!AO24</f>
        <v>0</v>
      </c>
      <c r="U553" s="1489">
        <f t="shared" si="70"/>
        <v>0</v>
      </c>
      <c r="V553" s="1491">
        <f>+T553+R553+P553+N553+L553+J553+H553+E553</f>
        <v>29</v>
      </c>
      <c r="W553" s="1491">
        <v>2250</v>
      </c>
      <c r="X553" s="1491">
        <f t="shared" si="72"/>
        <v>65250</v>
      </c>
      <c r="Y553" s="1491"/>
      <c r="Z553" s="1491"/>
      <c r="AA553" s="1491">
        <f>Z553*Y553</f>
        <v>0</v>
      </c>
      <c r="AB553" s="1497"/>
      <c r="AC553" s="1491">
        <f>'MASA KERJA AB'!H70</f>
        <v>0</v>
      </c>
      <c r="AD553" s="1491">
        <f>'MASA KERJA AB'!I70</f>
        <v>0</v>
      </c>
      <c r="AE553" s="1497"/>
      <c r="AF553" s="1514">
        <f>'MONITORING '!AK199</f>
        <v>259306</v>
      </c>
      <c r="AG553" s="1498">
        <f>'MONITORING '!AK200</f>
        <v>250250</v>
      </c>
      <c r="AH553" s="1515">
        <v>608150</v>
      </c>
      <c r="AI553" s="1515">
        <f>'INSETIF MEI''25'!L22</f>
        <v>150000</v>
      </c>
      <c r="AJ553" s="1498"/>
      <c r="AK553" s="1499"/>
      <c r="AL553" s="1491"/>
      <c r="AM553" s="1491"/>
      <c r="AN553" s="1649">
        <f>'MONITORING '!AK201</f>
        <v>53946</v>
      </c>
      <c r="AO553" s="1494">
        <f t="shared" si="74"/>
        <v>5026390</v>
      </c>
      <c r="AP553" s="1491">
        <f t="shared" si="88"/>
        <v>77532</v>
      </c>
      <c r="AQ553" s="1491">
        <f t="shared" si="89"/>
        <v>175997.64</v>
      </c>
      <c r="AR553" s="1491">
        <f>SUM(AQ553+AP553)</f>
        <v>253529.64</v>
      </c>
      <c r="AS553" s="1489">
        <f t="shared" si="90"/>
        <v>38766</v>
      </c>
      <c r="AT553" s="1489">
        <f t="shared" si="91"/>
        <v>155064</v>
      </c>
      <c r="AU553" s="1491">
        <f t="shared" si="92"/>
        <v>38766</v>
      </c>
      <c r="AV553" s="1491">
        <f t="shared" si="93"/>
        <v>77532</v>
      </c>
      <c r="AW553" s="1491">
        <f>SUM(AS553:AV553)</f>
        <v>310128</v>
      </c>
      <c r="AX553" s="1649">
        <v>4000</v>
      </c>
      <c r="AY553" s="1491">
        <v>0</v>
      </c>
      <c r="AZ553" s="1491">
        <f t="shared" si="77"/>
        <v>0</v>
      </c>
      <c r="BA553" s="1491"/>
      <c r="BB553" s="1491"/>
      <c r="BC553" s="1489">
        <f t="shared" si="78"/>
        <v>4867326</v>
      </c>
      <c r="BD553" s="1489">
        <f>'HK PANEN'!AQ24</f>
        <v>0</v>
      </c>
      <c r="BE553" s="1495">
        <f>'HK PANEN'!AR24</f>
        <v>2</v>
      </c>
      <c r="BG553" s="1551">
        <f t="shared" si="79"/>
        <v>3747380</v>
      </c>
      <c r="BH553" s="1552">
        <f t="shared" si="80"/>
        <v>0</v>
      </c>
      <c r="BI553" s="1552">
        <f t="shared" si="81"/>
        <v>258440</v>
      </c>
      <c r="BJ553" s="1551">
        <f>-(BH553+BI553)</f>
        <v>-258440</v>
      </c>
      <c r="BK553" s="1553">
        <f>SUM(BG553:BI553)</f>
        <v>4005820</v>
      </c>
      <c r="BM553" s="1553">
        <f t="shared" si="95"/>
        <v>1279010</v>
      </c>
      <c r="BN553" s="1551">
        <v>30578</v>
      </c>
      <c r="BO553" s="1551">
        <f t="shared" si="84"/>
        <v>185642</v>
      </c>
      <c r="BQ553" s="1531">
        <f t="shared" si="85"/>
        <v>259306</v>
      </c>
      <c r="BS553" s="1688" t="s">
        <v>647</v>
      </c>
      <c r="BT553" s="1556">
        <f t="shared" si="96"/>
        <v>259306</v>
      </c>
    </row>
    <row r="554" spans="1:72" ht="26.25" customHeight="1">
      <c r="A554" s="2049" t="s">
        <v>1033</v>
      </c>
      <c r="B554" s="2049"/>
      <c r="C554" s="2049"/>
      <c r="D554" s="2049"/>
      <c r="E554" s="2049"/>
      <c r="F554" s="2049"/>
      <c r="G554" s="2049"/>
      <c r="H554" s="2049"/>
      <c r="I554" s="2049"/>
      <c r="J554" s="2049"/>
      <c r="K554" s="2049"/>
      <c r="L554" s="2049"/>
      <c r="M554" s="2049"/>
      <c r="N554" s="2049"/>
      <c r="O554" s="2049"/>
      <c r="P554" s="2049"/>
      <c r="Q554" s="2049"/>
      <c r="R554" s="2049"/>
      <c r="S554" s="2049"/>
      <c r="T554" s="2049"/>
      <c r="U554" s="2049"/>
      <c r="V554" s="2049"/>
      <c r="W554" s="2049"/>
      <c r="X554" s="2049"/>
      <c r="Y554" s="2049"/>
      <c r="Z554" s="2049"/>
      <c r="AA554" s="2049"/>
      <c r="AB554" s="2049"/>
      <c r="AC554" s="2049"/>
      <c r="AD554" s="2049"/>
      <c r="AE554" s="2049"/>
      <c r="AF554" s="2049"/>
      <c r="AG554" s="2049"/>
      <c r="AH554" s="2049"/>
      <c r="AI554" s="2049"/>
      <c r="AJ554" s="2049"/>
      <c r="AK554" s="2049"/>
      <c r="AL554" s="2049"/>
      <c r="AM554" s="2049"/>
      <c r="AN554" s="2049"/>
      <c r="AO554" s="2049"/>
      <c r="AP554" s="2049"/>
      <c r="AQ554" s="2049"/>
      <c r="AR554" s="2049"/>
      <c r="AS554" s="2049"/>
      <c r="AT554" s="2049"/>
      <c r="AU554" s="2049"/>
      <c r="AV554" s="2049"/>
      <c r="AW554" s="2049"/>
      <c r="AX554" s="2049"/>
      <c r="AY554" s="2049"/>
      <c r="AZ554" s="2049"/>
      <c r="BA554" s="2049"/>
      <c r="BB554" s="2049"/>
      <c r="BC554" s="2049"/>
      <c r="BD554" s="2049"/>
      <c r="BE554" s="2049"/>
    </row>
    <row r="555" spans="1:72" ht="26.25" customHeight="1">
      <c r="A555" s="1532"/>
      <c r="B555" s="1532"/>
      <c r="C555" s="1605"/>
      <c r="D555" s="1532"/>
      <c r="E555" s="1532"/>
      <c r="F555" s="1560"/>
      <c r="G555" s="1560"/>
      <c r="H555" s="1532"/>
      <c r="I555" s="1532"/>
      <c r="J555" s="1532"/>
      <c r="K555" s="1532"/>
      <c r="L555" s="1532"/>
      <c r="M555" s="1532"/>
      <c r="N555" s="1532"/>
      <c r="O555" s="1532"/>
      <c r="P555" s="1532"/>
      <c r="Q555" s="1532"/>
      <c r="R555" s="1532"/>
      <c r="S555" s="1532"/>
      <c r="T555" s="1532"/>
      <c r="U555" s="1532"/>
      <c r="V555" s="1532"/>
      <c r="W555" s="1532"/>
      <c r="X555" s="1532"/>
      <c r="Y555" s="1532"/>
      <c r="Z555" s="1532"/>
      <c r="AA555" s="1532"/>
      <c r="AB555" s="1532"/>
      <c r="AC555" s="1532"/>
      <c r="AD555" s="1532"/>
      <c r="AE555" s="1532"/>
      <c r="AF555" s="1532"/>
      <c r="AG555" s="1532"/>
      <c r="AH555" s="1532"/>
      <c r="AI555" s="1532"/>
      <c r="AJ555" s="1532"/>
      <c r="AK555" s="1557"/>
      <c r="AL555" s="1532"/>
      <c r="AM555" s="1532"/>
      <c r="AN555" s="1532"/>
      <c r="AO555" s="1532"/>
      <c r="AP555" s="1558"/>
      <c r="AQ555" s="1559"/>
      <c r="AR555" s="1559"/>
      <c r="AS555" s="1559"/>
      <c r="AT555" s="1671"/>
      <c r="AU555" s="1532"/>
      <c r="AV555" s="1532"/>
      <c r="AW555" s="1532"/>
      <c r="AX555" s="1532"/>
      <c r="AY555" s="1532"/>
      <c r="AZ555" s="1532"/>
      <c r="BA555" s="1532"/>
      <c r="BB555" s="1532"/>
      <c r="BC555" s="1547"/>
      <c r="BD555" s="1532"/>
      <c r="BE555" s="1532"/>
    </row>
    <row r="556" spans="1:72" s="1523" customFormat="1" ht="16.5" customHeight="1">
      <c r="D556" s="1523" t="s">
        <v>964</v>
      </c>
      <c r="F556" s="1555"/>
      <c r="G556" s="1555"/>
      <c r="AE556" s="1532"/>
      <c r="AF556" s="1532"/>
      <c r="AG556" s="1532"/>
      <c r="AH556" s="1532"/>
      <c r="AI556" s="1532"/>
      <c r="AJ556" s="1532"/>
      <c r="AK556" s="1557"/>
      <c r="AL556" s="1532"/>
      <c r="AM556" s="1532"/>
      <c r="AO556" s="1561"/>
      <c r="AP556" s="1558">
        <v>3876600</v>
      </c>
      <c r="AQ556" s="1672">
        <f>AP556/30</f>
        <v>129220</v>
      </c>
      <c r="AR556" s="1673">
        <f>AP556/173*1.5</f>
        <v>33612.138728323698</v>
      </c>
      <c r="AS556" s="1566">
        <f>AP556/173*2</f>
        <v>44816.184971098264</v>
      </c>
      <c r="AT556" s="1674"/>
      <c r="AU556" s="1532" t="s">
        <v>55</v>
      </c>
      <c r="AV556" s="1523" t="s">
        <v>335</v>
      </c>
      <c r="BC556" s="1518"/>
      <c r="BE556" s="1532"/>
      <c r="BG556" s="1555"/>
      <c r="BH556" s="1560"/>
      <c r="BI556" s="1560"/>
      <c r="BJ556" s="1555"/>
      <c r="BK556" s="1561"/>
      <c r="BL556" s="1561"/>
      <c r="BM556" s="1561"/>
      <c r="BN556" s="1555"/>
      <c r="BO556" s="1555"/>
    </row>
    <row r="557" spans="1:72" ht="18.75" customHeight="1" thickBot="1">
      <c r="A557" s="1547"/>
      <c r="D557" s="1532"/>
      <c r="E557" s="1563"/>
      <c r="F557" s="1675"/>
      <c r="G557" s="1564"/>
      <c r="H557" s="1563"/>
      <c r="I557" s="1563"/>
      <c r="J557" s="1563"/>
      <c r="K557" s="1563"/>
      <c r="L557" s="1563"/>
      <c r="M557" s="1563"/>
      <c r="N557" s="1563"/>
      <c r="O557" s="1563"/>
      <c r="Q557" s="1563"/>
      <c r="R557" s="1563"/>
      <c r="S557" s="1563"/>
      <c r="T557" s="1563"/>
      <c r="U557" s="1563"/>
      <c r="V557" s="1563"/>
      <c r="W557" s="1563"/>
      <c r="X557" s="1563"/>
      <c r="Y557" s="1563"/>
      <c r="Z557" s="1563"/>
      <c r="AA557" s="1563"/>
      <c r="AB557" s="1563"/>
      <c r="AC557" s="1563"/>
      <c r="AD557" s="1563"/>
      <c r="AE557" s="1563"/>
      <c r="AF557" s="1563"/>
      <c r="AG557" s="1563"/>
      <c r="AH557" s="1563"/>
      <c r="AI557" s="1563"/>
      <c r="AJ557" s="1563"/>
      <c r="AK557" s="1565"/>
      <c r="AL557" s="1563"/>
      <c r="AM557" s="1563"/>
      <c r="AO557" s="1563"/>
      <c r="AP557" s="1558">
        <v>3876600</v>
      </c>
      <c r="AQ557" s="1566">
        <f>AP557/30</f>
        <v>129220</v>
      </c>
      <c r="AR557" s="1598"/>
      <c r="AS557" s="1598"/>
      <c r="AT557" s="1674"/>
    </row>
    <row r="558" spans="1:72" s="1523" customFormat="1" ht="18.75" customHeight="1">
      <c r="A558" s="2050" t="s">
        <v>5</v>
      </c>
      <c r="B558" s="2056" t="s">
        <v>6</v>
      </c>
      <c r="C558" s="2056" t="s">
        <v>52</v>
      </c>
      <c r="D558" s="1571"/>
      <c r="E558" s="1571"/>
      <c r="F558" s="1676"/>
      <c r="G558" s="1676"/>
      <c r="H558" s="2118" t="s">
        <v>2</v>
      </c>
      <c r="I558" s="2118"/>
      <c r="J558" s="2118"/>
      <c r="K558" s="2118"/>
      <c r="L558" s="2118"/>
      <c r="M558" s="2118"/>
      <c r="N558" s="2118"/>
      <c r="O558" s="2118"/>
      <c r="P558" s="2118"/>
      <c r="Q558" s="2118"/>
      <c r="R558" s="2118"/>
      <c r="S558" s="2118"/>
      <c r="T558" s="2118"/>
      <c r="U558" s="2118"/>
      <c r="V558" s="2056" t="s">
        <v>286</v>
      </c>
      <c r="W558" s="2118" t="s">
        <v>3</v>
      </c>
      <c r="X558" s="2118"/>
      <c r="Y558" s="2118"/>
      <c r="Z558" s="2118"/>
      <c r="AA558" s="2118"/>
      <c r="AB558" s="2118"/>
      <c r="AC558" s="2118"/>
      <c r="AD558" s="2118"/>
      <c r="AE558" s="2119" t="s">
        <v>45</v>
      </c>
      <c r="AF558" s="2063" t="s">
        <v>46</v>
      </c>
      <c r="AG558" s="2064"/>
      <c r="AH558" s="2064"/>
      <c r="AI558" s="2064"/>
      <c r="AJ558" s="2064"/>
      <c r="AK558" s="2065"/>
      <c r="AL558" s="1571"/>
      <c r="AM558" s="2045" t="s">
        <v>361</v>
      </c>
      <c r="AN558" s="2056" t="s">
        <v>44</v>
      </c>
      <c r="AO558" s="1533" t="s">
        <v>4</v>
      </c>
      <c r="AP558" s="2036" t="s">
        <v>20</v>
      </c>
      <c r="AQ558" s="2037"/>
      <c r="AR558" s="2038"/>
      <c r="AS558" s="2036" t="s">
        <v>54</v>
      </c>
      <c r="AT558" s="2037"/>
      <c r="AU558" s="2037"/>
      <c r="AV558" s="2037"/>
      <c r="AW558" s="2038"/>
      <c r="AX558" s="1571"/>
      <c r="AY558" s="2042" t="s">
        <v>90</v>
      </c>
      <c r="AZ558" s="2045" t="s">
        <v>97</v>
      </c>
      <c r="BA558" s="2045" t="s">
        <v>720</v>
      </c>
      <c r="BB558" s="2045" t="s">
        <v>362</v>
      </c>
      <c r="BC558" s="1548" t="s">
        <v>4</v>
      </c>
      <c r="BD558" s="2063" t="s">
        <v>41</v>
      </c>
      <c r="BE558" s="2084"/>
      <c r="BG558" s="1555"/>
      <c r="BH558" s="1560"/>
      <c r="BI558" s="1560"/>
      <c r="BJ558" s="1555"/>
      <c r="BK558" s="1561"/>
      <c r="BL558" s="1561"/>
      <c r="BM558" s="1561"/>
      <c r="BN558" s="1555"/>
      <c r="BO558" s="1555"/>
    </row>
    <row r="559" spans="1:72" s="1523" customFormat="1" ht="25.5" customHeight="1">
      <c r="A559" s="2051"/>
      <c r="B559" s="2057"/>
      <c r="C559" s="2057"/>
      <c r="D559" s="1534" t="s">
        <v>7</v>
      </c>
      <c r="E559" s="1534" t="s">
        <v>8</v>
      </c>
      <c r="F559" s="1677" t="s">
        <v>9</v>
      </c>
      <c r="G559" s="1677" t="s">
        <v>9</v>
      </c>
      <c r="H559" s="2131" t="s">
        <v>10</v>
      </c>
      <c r="I559" s="2131"/>
      <c r="J559" s="2131" t="s">
        <v>11</v>
      </c>
      <c r="K559" s="2131"/>
      <c r="L559" s="2131" t="s">
        <v>12</v>
      </c>
      <c r="M559" s="2131"/>
      <c r="N559" s="2131" t="s">
        <v>13</v>
      </c>
      <c r="O559" s="2131"/>
      <c r="P559" s="2131" t="s">
        <v>14</v>
      </c>
      <c r="Q559" s="2131"/>
      <c r="R559" s="2132" t="s">
        <v>15</v>
      </c>
      <c r="S559" s="2132"/>
      <c r="T559" s="2131" t="s">
        <v>16</v>
      </c>
      <c r="U559" s="2131"/>
      <c r="V559" s="2057"/>
      <c r="W559" s="2131" t="s">
        <v>17</v>
      </c>
      <c r="X559" s="2131"/>
      <c r="Y559" s="2131" t="s">
        <v>18</v>
      </c>
      <c r="Z559" s="2131"/>
      <c r="AA559" s="2131"/>
      <c r="AB559" s="2071" t="s">
        <v>19</v>
      </c>
      <c r="AC559" s="2081"/>
      <c r="AD559" s="2072"/>
      <c r="AE559" s="2120"/>
      <c r="AF559" s="2085"/>
      <c r="AG559" s="2122"/>
      <c r="AH559" s="2122"/>
      <c r="AI559" s="2122"/>
      <c r="AJ559" s="2122"/>
      <c r="AK559" s="2123"/>
      <c r="AL559" s="1678"/>
      <c r="AM559" s="2046"/>
      <c r="AN559" s="2057"/>
      <c r="AO559" s="1534" t="s">
        <v>9</v>
      </c>
      <c r="AP559" s="2039"/>
      <c r="AQ559" s="2040"/>
      <c r="AR559" s="2041"/>
      <c r="AS559" s="2039"/>
      <c r="AT559" s="2040"/>
      <c r="AU559" s="2040"/>
      <c r="AV559" s="2040"/>
      <c r="AW559" s="2041"/>
      <c r="AX559" s="1534" t="s">
        <v>21</v>
      </c>
      <c r="AY559" s="2043"/>
      <c r="AZ559" s="2046"/>
      <c r="BA559" s="2046"/>
      <c r="BB559" s="2046"/>
      <c r="BC559" s="1549" t="s">
        <v>9</v>
      </c>
      <c r="BD559" s="2085"/>
      <c r="BE559" s="2086"/>
      <c r="BG559" s="1555"/>
      <c r="BH559" s="1560"/>
      <c r="BI559" s="1560"/>
      <c r="BJ559" s="1555"/>
      <c r="BK559" s="1561"/>
      <c r="BL559" s="1561"/>
      <c r="BM559" s="1561"/>
      <c r="BN559" s="1555"/>
      <c r="BO559" s="1555"/>
    </row>
    <row r="560" spans="1:72" s="1523" customFormat="1" ht="36" customHeight="1">
      <c r="A560" s="2051"/>
      <c r="B560" s="2057"/>
      <c r="C560" s="2057"/>
      <c r="D560" s="1534" t="s">
        <v>22</v>
      </c>
      <c r="E560" s="1534" t="s">
        <v>23</v>
      </c>
      <c r="F560" s="1677" t="s">
        <v>24</v>
      </c>
      <c r="G560" s="1677" t="s">
        <v>25</v>
      </c>
      <c r="H560" s="2073" t="s">
        <v>4</v>
      </c>
      <c r="I560" s="2073"/>
      <c r="J560" s="2073" t="s">
        <v>4</v>
      </c>
      <c r="K560" s="2073"/>
      <c r="L560" s="2073" t="s">
        <v>4</v>
      </c>
      <c r="M560" s="2073"/>
      <c r="N560" s="2073" t="s">
        <v>4</v>
      </c>
      <c r="O560" s="2073"/>
      <c r="P560" s="2073" t="s">
        <v>4</v>
      </c>
      <c r="Q560" s="2073"/>
      <c r="R560" s="2073" t="s">
        <v>4</v>
      </c>
      <c r="S560" s="2073"/>
      <c r="T560" s="2073" t="s">
        <v>4</v>
      </c>
      <c r="U560" s="2073"/>
      <c r="V560" s="2057"/>
      <c r="W560" s="1534" t="s">
        <v>27</v>
      </c>
      <c r="X560" s="1576" t="s">
        <v>28</v>
      </c>
      <c r="Y560" s="1534" t="s">
        <v>27</v>
      </c>
      <c r="Z560" s="2073" t="s">
        <v>4</v>
      </c>
      <c r="AA560" s="2073"/>
      <c r="AB560" s="1534" t="s">
        <v>27</v>
      </c>
      <c r="AC560" s="2071" t="s">
        <v>4</v>
      </c>
      <c r="AD560" s="2072"/>
      <c r="AE560" s="2121"/>
      <c r="AF560" s="1575" t="s">
        <v>56</v>
      </c>
      <c r="AG560" s="1575" t="s">
        <v>57</v>
      </c>
      <c r="AH560" s="1575" t="s">
        <v>60</v>
      </c>
      <c r="AI560" s="1575" t="s">
        <v>288</v>
      </c>
      <c r="AJ560" s="1575" t="s">
        <v>97</v>
      </c>
      <c r="AK560" s="1575" t="s">
        <v>711</v>
      </c>
      <c r="AL560" s="1679"/>
      <c r="AM560" s="2089"/>
      <c r="AN560" s="2090"/>
      <c r="AO560" s="1534" t="s">
        <v>29</v>
      </c>
      <c r="AP560" s="1534" t="s">
        <v>30</v>
      </c>
      <c r="AQ560" s="1534" t="s">
        <v>31</v>
      </c>
      <c r="AR560" s="1534" t="s">
        <v>4</v>
      </c>
      <c r="AS560" s="1534" t="s">
        <v>30</v>
      </c>
      <c r="AT560" s="1534" t="s">
        <v>31</v>
      </c>
      <c r="AU560" s="1534" t="s">
        <v>30</v>
      </c>
      <c r="AV560" s="1534" t="s">
        <v>31</v>
      </c>
      <c r="AW560" s="1534" t="s">
        <v>4</v>
      </c>
      <c r="AX560" s="1534" t="s">
        <v>32</v>
      </c>
      <c r="AY560" s="2043"/>
      <c r="AZ560" s="2046"/>
      <c r="BA560" s="2046"/>
      <c r="BB560" s="2046"/>
      <c r="BC560" s="1549" t="s">
        <v>33</v>
      </c>
      <c r="BD560" s="2073" t="s">
        <v>42</v>
      </c>
      <c r="BE560" s="2075" t="s">
        <v>43</v>
      </c>
      <c r="BG560" s="1573"/>
      <c r="BH560" s="1560"/>
      <c r="BI560" s="1560"/>
      <c r="BJ560" s="1555"/>
      <c r="BK560" s="1561"/>
      <c r="BL560" s="1561"/>
      <c r="BM560" s="1561"/>
      <c r="BN560" s="1555"/>
      <c r="BO560" s="1555"/>
    </row>
    <row r="561" spans="1:72" s="1523" customFormat="1" ht="46.5" customHeight="1" thickBot="1">
      <c r="A561" s="2051"/>
      <c r="B561" s="2057"/>
      <c r="C561" s="2057"/>
      <c r="D561" s="1534"/>
      <c r="E561" s="1534"/>
      <c r="F561" s="1680" t="s">
        <v>34</v>
      </c>
      <c r="G561" s="1680" t="s">
        <v>34</v>
      </c>
      <c r="H561" s="1576" t="s">
        <v>8</v>
      </c>
      <c r="I561" s="1576" t="s">
        <v>34</v>
      </c>
      <c r="J561" s="1576" t="s">
        <v>8</v>
      </c>
      <c r="K561" s="1576" t="s">
        <v>34</v>
      </c>
      <c r="L561" s="1576" t="s">
        <v>8</v>
      </c>
      <c r="M561" s="1576" t="s">
        <v>34</v>
      </c>
      <c r="N561" s="1576" t="s">
        <v>8</v>
      </c>
      <c r="O561" s="1576" t="s">
        <v>34</v>
      </c>
      <c r="P561" s="1576" t="s">
        <v>8</v>
      </c>
      <c r="Q561" s="1576" t="s">
        <v>34</v>
      </c>
      <c r="R561" s="1576" t="s">
        <v>8</v>
      </c>
      <c r="S561" s="1576" t="s">
        <v>34</v>
      </c>
      <c r="T561" s="1576" t="s">
        <v>8</v>
      </c>
      <c r="U561" s="1576" t="s">
        <v>34</v>
      </c>
      <c r="V561" s="2057"/>
      <c r="W561" s="1576" t="s">
        <v>26</v>
      </c>
      <c r="X561" s="1576" t="s">
        <v>34</v>
      </c>
      <c r="Y561" s="1576" t="s">
        <v>26</v>
      </c>
      <c r="Z561" s="1576" t="s">
        <v>26</v>
      </c>
      <c r="AA561" s="1576" t="s">
        <v>34</v>
      </c>
      <c r="AB561" s="1576" t="s">
        <v>26</v>
      </c>
      <c r="AC561" s="1576" t="s">
        <v>35</v>
      </c>
      <c r="AD561" s="1576" t="s">
        <v>34</v>
      </c>
      <c r="AE561" s="1576" t="s">
        <v>34</v>
      </c>
      <c r="AF561" s="1576" t="s">
        <v>34</v>
      </c>
      <c r="AG561" s="1576" t="s">
        <v>34</v>
      </c>
      <c r="AH561" s="1576" t="s">
        <v>34</v>
      </c>
      <c r="AI561" s="1576" t="s">
        <v>34</v>
      </c>
      <c r="AJ561" s="1576" t="s">
        <v>34</v>
      </c>
      <c r="AK561" s="1681" t="s">
        <v>34</v>
      </c>
      <c r="AL561" s="1534" t="s">
        <v>34</v>
      </c>
      <c r="AM561" s="1576" t="s">
        <v>34</v>
      </c>
      <c r="AN561" s="1576" t="s">
        <v>34</v>
      </c>
      <c r="AO561" s="1576" t="s">
        <v>34</v>
      </c>
      <c r="AP561" s="1576" t="s">
        <v>34</v>
      </c>
      <c r="AQ561" s="1576" t="s">
        <v>34</v>
      </c>
      <c r="AR561" s="1576" t="s">
        <v>34</v>
      </c>
      <c r="AS561" s="1576" t="s">
        <v>58</v>
      </c>
      <c r="AT561" s="1576" t="s">
        <v>34</v>
      </c>
      <c r="AU561" s="1576" t="s">
        <v>59</v>
      </c>
      <c r="AV561" s="1576" t="s">
        <v>34</v>
      </c>
      <c r="AW561" s="1576" t="s">
        <v>34</v>
      </c>
      <c r="AX561" s="1534"/>
      <c r="AY561" s="2043"/>
      <c r="AZ561" s="2046"/>
      <c r="BA561" s="2047"/>
      <c r="BB561" s="2046"/>
      <c r="BC561" s="1549" t="s">
        <v>34</v>
      </c>
      <c r="BD561" s="2129"/>
      <c r="BE561" s="2130"/>
      <c r="BG561" s="1555" t="s">
        <v>353</v>
      </c>
      <c r="BH561" s="1578" t="s">
        <v>43</v>
      </c>
      <c r="BI561" s="1578" t="s">
        <v>42</v>
      </c>
      <c r="BJ561" s="1555" t="s">
        <v>354</v>
      </c>
      <c r="BK561" s="1561" t="s">
        <v>358</v>
      </c>
      <c r="BL561" s="1561"/>
      <c r="BM561" s="1561"/>
      <c r="BN561" s="1555"/>
      <c r="BO561" s="1555"/>
    </row>
    <row r="562" spans="1:72" ht="83.25" customHeight="1" thickBot="1">
      <c r="A562" s="1683">
        <v>19</v>
      </c>
      <c r="B562" s="1489" t="s">
        <v>36</v>
      </c>
      <c r="C562" s="1585" t="s">
        <v>702</v>
      </c>
      <c r="D562" s="1590" t="s">
        <v>646</v>
      </c>
      <c r="E562" s="1489">
        <f>'HK PANEN'!AH25</f>
        <v>13</v>
      </c>
      <c r="F562" s="1490">
        <v>129220</v>
      </c>
      <c r="G562" s="1509">
        <f>F562*E562</f>
        <v>1679860</v>
      </c>
      <c r="H562" s="1516">
        <f>'HK PANEN'!AI25</f>
        <v>0</v>
      </c>
      <c r="I562" s="1491">
        <f>H562*F562</f>
        <v>0</v>
      </c>
      <c r="J562" s="1489">
        <f>'HK PANEN'!AJ25</f>
        <v>0</v>
      </c>
      <c r="K562" s="1491">
        <f>J562*F562</f>
        <v>0</v>
      </c>
      <c r="L562" s="1489">
        <f>'HK PANEN'!AK25</f>
        <v>0</v>
      </c>
      <c r="M562" s="1491">
        <f>L562*F562</f>
        <v>0</v>
      </c>
      <c r="N562" s="1489">
        <f>'HK PANEN'!AL25</f>
        <v>3</v>
      </c>
      <c r="O562" s="1497">
        <f>N562*F562</f>
        <v>387660</v>
      </c>
      <c r="P562" s="1489">
        <f>'HK PANEN'!AM25</f>
        <v>2</v>
      </c>
      <c r="Q562" s="1497">
        <f>P562*F562</f>
        <v>258440</v>
      </c>
      <c r="R562" s="1489">
        <f>'HK PANEN'!AN25</f>
        <v>0</v>
      </c>
      <c r="S562" s="1489">
        <f t="shared" si="87"/>
        <v>0</v>
      </c>
      <c r="T562" s="1489">
        <f>'HK PANEN'!AO25</f>
        <v>0</v>
      </c>
      <c r="U562" s="1489">
        <f t="shared" si="70"/>
        <v>0</v>
      </c>
      <c r="V562" s="1491">
        <f>+T562+R562+P562+N562+L562+J562+H562+E562</f>
        <v>18</v>
      </c>
      <c r="W562" s="1491">
        <v>4650</v>
      </c>
      <c r="X562" s="1491">
        <f t="shared" si="72"/>
        <v>83700</v>
      </c>
      <c r="Y562" s="1491"/>
      <c r="Z562" s="1491"/>
      <c r="AA562" s="1491">
        <f>Z562*Y562</f>
        <v>0</v>
      </c>
      <c r="AB562" s="1497"/>
      <c r="AC562" s="1491">
        <f>'MASA KERJA AB'!H71</f>
        <v>0</v>
      </c>
      <c r="AD562" s="1491">
        <f>'MASA KERJA AB'!I71</f>
        <v>0</v>
      </c>
      <c r="AE562" s="1497"/>
      <c r="AF562" s="1514">
        <f>'MONITORING '!AK212</f>
        <v>538917</v>
      </c>
      <c r="AG562" s="1498">
        <f>'MONITORING '!AK213</f>
        <v>225750</v>
      </c>
      <c r="AH562" s="1515"/>
      <c r="AI562" s="1499">
        <f>'INSETIF MEI''25'!L23</f>
        <v>0</v>
      </c>
      <c r="AJ562" s="1498"/>
      <c r="AK562" s="1499"/>
      <c r="AL562" s="1491"/>
      <c r="AM562" s="1491"/>
      <c r="AN562" s="1491">
        <f>'MONITORING '!AK214</f>
        <v>0</v>
      </c>
      <c r="AO562" s="1494">
        <f t="shared" si="74"/>
        <v>3174327</v>
      </c>
      <c r="AP562" s="1491">
        <f t="shared" si="88"/>
        <v>77532</v>
      </c>
      <c r="AQ562" s="1491">
        <f t="shared" si="89"/>
        <v>175997.64</v>
      </c>
      <c r="AR562" s="1491">
        <f>SUM(AQ562+AP562)</f>
        <v>253529.64</v>
      </c>
      <c r="AS562" s="1489">
        <f t="shared" si="90"/>
        <v>38766</v>
      </c>
      <c r="AT562" s="1489">
        <f t="shared" si="91"/>
        <v>155064</v>
      </c>
      <c r="AU562" s="1491">
        <f t="shared" si="92"/>
        <v>38766</v>
      </c>
      <c r="AV562" s="1491">
        <f t="shared" si="93"/>
        <v>77532</v>
      </c>
      <c r="AW562" s="1491">
        <f>SUM(AS562:AV562)</f>
        <v>310128</v>
      </c>
      <c r="AX562" s="1649">
        <v>4000</v>
      </c>
      <c r="AY562" s="1491">
        <v>0</v>
      </c>
      <c r="AZ562" s="1491">
        <f t="shared" si="77"/>
        <v>0</v>
      </c>
      <c r="BA562" s="1491"/>
      <c r="BB562" s="1491"/>
      <c r="BC562" s="1489">
        <f t="shared" si="78"/>
        <v>3015263</v>
      </c>
      <c r="BD562" s="1489">
        <f>'HK PANEN'!AQ25</f>
        <v>0</v>
      </c>
      <c r="BE562" s="1495">
        <f>'HK PANEN'!AR25</f>
        <v>4</v>
      </c>
      <c r="BG562" s="1551">
        <f t="shared" si="79"/>
        <v>2325960</v>
      </c>
      <c r="BH562" s="1552">
        <f t="shared" si="80"/>
        <v>0</v>
      </c>
      <c r="BI562" s="1552">
        <f t="shared" si="81"/>
        <v>516880</v>
      </c>
      <c r="BJ562" s="1551">
        <f>-(BH562+BI562)</f>
        <v>-516880</v>
      </c>
      <c r="BK562" s="1553">
        <f>SUM(BG562:BI562)</f>
        <v>2842840</v>
      </c>
      <c r="BM562" s="1553">
        <f t="shared" si="95"/>
        <v>848367</v>
      </c>
      <c r="BN562" s="1551">
        <v>30579</v>
      </c>
      <c r="BO562" s="1551">
        <f t="shared" si="84"/>
        <v>185643</v>
      </c>
      <c r="BQ562" s="1531">
        <f t="shared" si="85"/>
        <v>538917</v>
      </c>
      <c r="BS562" s="1688" t="s">
        <v>646</v>
      </c>
      <c r="BT562" s="1556">
        <f t="shared" si="96"/>
        <v>538917</v>
      </c>
    </row>
    <row r="563" spans="1:72" ht="26.25" customHeight="1">
      <c r="A563" s="2049" t="s">
        <v>1033</v>
      </c>
      <c r="B563" s="2049"/>
      <c r="C563" s="2049"/>
      <c r="D563" s="2049"/>
      <c r="E563" s="2049"/>
      <c r="F563" s="2049"/>
      <c r="G563" s="2049"/>
      <c r="H563" s="2049"/>
      <c r="I563" s="2049"/>
      <c r="J563" s="2049"/>
      <c r="K563" s="2049"/>
      <c r="L563" s="2049"/>
      <c r="M563" s="2049"/>
      <c r="N563" s="2049"/>
      <c r="O563" s="2049"/>
      <c r="P563" s="2049"/>
      <c r="Q563" s="2049"/>
      <c r="R563" s="2049"/>
      <c r="S563" s="2049"/>
      <c r="T563" s="2049"/>
      <c r="U563" s="2049"/>
      <c r="V563" s="2049"/>
      <c r="W563" s="2049"/>
      <c r="X563" s="2049"/>
      <c r="Y563" s="2049"/>
      <c r="Z563" s="2049"/>
      <c r="AA563" s="2049"/>
      <c r="AB563" s="2049"/>
      <c r="AC563" s="2049"/>
      <c r="AD563" s="2049"/>
      <c r="AE563" s="2049"/>
      <c r="AF563" s="2049"/>
      <c r="AG563" s="2049"/>
      <c r="AH563" s="2049"/>
      <c r="AI563" s="2049"/>
      <c r="AJ563" s="2049"/>
      <c r="AK563" s="2049"/>
      <c r="AL563" s="2049"/>
      <c r="AM563" s="2049"/>
      <c r="AN563" s="2049"/>
      <c r="AO563" s="2049"/>
      <c r="AP563" s="2049"/>
      <c r="AQ563" s="2049"/>
      <c r="AR563" s="2049"/>
      <c r="AS563" s="2049"/>
      <c r="AT563" s="2049"/>
      <c r="AU563" s="2049"/>
      <c r="AV563" s="2049"/>
      <c r="AW563" s="2049"/>
      <c r="AX563" s="2049"/>
      <c r="AY563" s="2049"/>
      <c r="AZ563" s="2049"/>
      <c r="BA563" s="2049"/>
      <c r="BB563" s="2049"/>
      <c r="BC563" s="2049"/>
      <c r="BD563" s="2049"/>
      <c r="BE563" s="2049"/>
    </row>
    <row r="564" spans="1:72" ht="26.25" customHeight="1">
      <c r="A564" s="1532"/>
      <c r="B564" s="1532"/>
      <c r="C564" s="1605"/>
      <c r="D564" s="1532"/>
      <c r="E564" s="1532"/>
      <c r="F564" s="1560"/>
      <c r="G564" s="1560"/>
      <c r="H564" s="1532"/>
      <c r="I564" s="1532"/>
      <c r="J564" s="1532"/>
      <c r="K564" s="1532"/>
      <c r="L564" s="1532"/>
      <c r="M564" s="1532"/>
      <c r="N564" s="1532"/>
      <c r="O564" s="1532"/>
      <c r="P564" s="1532"/>
      <c r="Q564" s="1532"/>
      <c r="R564" s="1532"/>
      <c r="S564" s="1532"/>
      <c r="T564" s="1532"/>
      <c r="U564" s="1532"/>
      <c r="V564" s="1532"/>
      <c r="W564" s="1532"/>
      <c r="X564" s="1532"/>
      <c r="Y564" s="1532"/>
      <c r="Z564" s="1532"/>
      <c r="AA564" s="1532"/>
      <c r="AB564" s="1532"/>
      <c r="AC564" s="1532"/>
      <c r="AD564" s="1532"/>
      <c r="AE564" s="1532"/>
      <c r="AF564" s="1532"/>
      <c r="AG564" s="1532"/>
      <c r="AH564" s="1532"/>
      <c r="AI564" s="1532"/>
      <c r="AJ564" s="1532"/>
      <c r="AK564" s="1557"/>
      <c r="AL564" s="1532"/>
      <c r="AM564" s="1532"/>
      <c r="AN564" s="1532"/>
      <c r="AO564" s="1532"/>
      <c r="AP564" s="1558"/>
      <c r="AQ564" s="1559"/>
      <c r="AR564" s="1559"/>
      <c r="AS564" s="1559"/>
      <c r="AT564" s="1671"/>
      <c r="AU564" s="1532"/>
      <c r="AV564" s="1532"/>
      <c r="AW564" s="1532"/>
      <c r="AX564" s="1532"/>
      <c r="AY564" s="1532"/>
      <c r="AZ564" s="1532"/>
      <c r="BA564" s="1532"/>
      <c r="BB564" s="1532"/>
      <c r="BC564" s="1547"/>
      <c r="BD564" s="1532"/>
      <c r="BE564" s="1532"/>
    </row>
    <row r="565" spans="1:72" s="1523" customFormat="1" ht="16.5" customHeight="1">
      <c r="D565" s="1523" t="s">
        <v>964</v>
      </c>
      <c r="F565" s="1555"/>
      <c r="G565" s="1555"/>
      <c r="AE565" s="1532"/>
      <c r="AF565" s="1532"/>
      <c r="AG565" s="1532"/>
      <c r="AH565" s="1532"/>
      <c r="AI565" s="1532"/>
      <c r="AJ565" s="1532"/>
      <c r="AK565" s="1557"/>
      <c r="AL565" s="1532"/>
      <c r="AM565" s="1532"/>
      <c r="AO565" s="1561"/>
      <c r="AP565" s="1558">
        <v>3876600</v>
      </c>
      <c r="AQ565" s="1672">
        <f>AP565/30</f>
        <v>129220</v>
      </c>
      <c r="AR565" s="1673">
        <f>AP565/173*1.5</f>
        <v>33612.138728323698</v>
      </c>
      <c r="AS565" s="1566">
        <f>AP565/173*2</f>
        <v>44816.184971098264</v>
      </c>
      <c r="AT565" s="1674"/>
      <c r="AU565" s="1532" t="s">
        <v>55</v>
      </c>
      <c r="AV565" s="1523" t="s">
        <v>335</v>
      </c>
      <c r="BC565" s="1518"/>
      <c r="BE565" s="1532"/>
      <c r="BG565" s="1555"/>
      <c r="BH565" s="1560"/>
      <c r="BI565" s="1560"/>
      <c r="BJ565" s="1555"/>
      <c r="BK565" s="1561"/>
      <c r="BL565" s="1561"/>
      <c r="BM565" s="1561"/>
      <c r="BN565" s="1555"/>
      <c r="BO565" s="1555"/>
    </row>
    <row r="566" spans="1:72" ht="18.75" customHeight="1" thickBot="1">
      <c r="A566" s="1547"/>
      <c r="D566" s="1532"/>
      <c r="E566" s="1563"/>
      <c r="F566" s="1675"/>
      <c r="G566" s="1564"/>
      <c r="H566" s="1563"/>
      <c r="I566" s="1563"/>
      <c r="J566" s="1563"/>
      <c r="K566" s="1563"/>
      <c r="L566" s="1563"/>
      <c r="M566" s="1563"/>
      <c r="N566" s="1563"/>
      <c r="O566" s="1563"/>
      <c r="Q566" s="1563"/>
      <c r="R566" s="1563"/>
      <c r="S566" s="1563"/>
      <c r="T566" s="1563"/>
      <c r="U566" s="1563"/>
      <c r="V566" s="1563"/>
      <c r="W566" s="1563"/>
      <c r="X566" s="1563"/>
      <c r="Y566" s="1563"/>
      <c r="Z566" s="1563"/>
      <c r="AA566" s="1563"/>
      <c r="AB566" s="1563"/>
      <c r="AC566" s="1563"/>
      <c r="AD566" s="1563"/>
      <c r="AE566" s="1563"/>
      <c r="AF566" s="1563"/>
      <c r="AG566" s="1563"/>
      <c r="AH566" s="1563"/>
      <c r="AI566" s="1563"/>
      <c r="AJ566" s="1563"/>
      <c r="AK566" s="1565"/>
      <c r="AL566" s="1563"/>
      <c r="AM566" s="1563"/>
      <c r="AO566" s="1563"/>
      <c r="AP566" s="1558">
        <v>3876600</v>
      </c>
      <c r="AQ566" s="1566">
        <f>AP566/30</f>
        <v>129220</v>
      </c>
      <c r="AR566" s="1598"/>
      <c r="AS566" s="1598"/>
      <c r="AT566" s="1674"/>
    </row>
    <row r="567" spans="1:72" s="1523" customFormat="1" ht="18.75" customHeight="1">
      <c r="A567" s="2050" t="s">
        <v>5</v>
      </c>
      <c r="B567" s="2056" t="s">
        <v>6</v>
      </c>
      <c r="C567" s="2056" t="s">
        <v>52</v>
      </c>
      <c r="D567" s="1571"/>
      <c r="E567" s="1571"/>
      <c r="F567" s="1676"/>
      <c r="G567" s="1676"/>
      <c r="H567" s="2118" t="s">
        <v>2</v>
      </c>
      <c r="I567" s="2118"/>
      <c r="J567" s="2118"/>
      <c r="K567" s="2118"/>
      <c r="L567" s="2118"/>
      <c r="M567" s="2118"/>
      <c r="N567" s="2118"/>
      <c r="O567" s="2118"/>
      <c r="P567" s="2118"/>
      <c r="Q567" s="2118"/>
      <c r="R567" s="2118"/>
      <c r="S567" s="2118"/>
      <c r="T567" s="2118"/>
      <c r="U567" s="2118"/>
      <c r="V567" s="2056" t="s">
        <v>286</v>
      </c>
      <c r="W567" s="2118" t="s">
        <v>3</v>
      </c>
      <c r="X567" s="2118"/>
      <c r="Y567" s="2118"/>
      <c r="Z567" s="2118"/>
      <c r="AA567" s="2118"/>
      <c r="AB567" s="2118"/>
      <c r="AC567" s="2118"/>
      <c r="AD567" s="2118"/>
      <c r="AE567" s="2119" t="s">
        <v>45</v>
      </c>
      <c r="AF567" s="2063" t="s">
        <v>46</v>
      </c>
      <c r="AG567" s="2064"/>
      <c r="AH567" s="2064"/>
      <c r="AI567" s="2064"/>
      <c r="AJ567" s="2064"/>
      <c r="AK567" s="2065"/>
      <c r="AL567" s="1571"/>
      <c r="AM567" s="2045" t="s">
        <v>361</v>
      </c>
      <c r="AN567" s="2056" t="s">
        <v>44</v>
      </c>
      <c r="AO567" s="1533" t="s">
        <v>4</v>
      </c>
      <c r="AP567" s="2036" t="s">
        <v>20</v>
      </c>
      <c r="AQ567" s="2037"/>
      <c r="AR567" s="2038"/>
      <c r="AS567" s="2036" t="s">
        <v>54</v>
      </c>
      <c r="AT567" s="2037"/>
      <c r="AU567" s="2037"/>
      <c r="AV567" s="2037"/>
      <c r="AW567" s="2038"/>
      <c r="AX567" s="1571"/>
      <c r="AY567" s="2042" t="s">
        <v>90</v>
      </c>
      <c r="AZ567" s="2045" t="s">
        <v>97</v>
      </c>
      <c r="BA567" s="2045" t="s">
        <v>720</v>
      </c>
      <c r="BB567" s="2045" t="s">
        <v>362</v>
      </c>
      <c r="BC567" s="1548" t="s">
        <v>4</v>
      </c>
      <c r="BD567" s="2063" t="s">
        <v>41</v>
      </c>
      <c r="BE567" s="2084"/>
      <c r="BG567" s="1555"/>
      <c r="BH567" s="1560"/>
      <c r="BI567" s="1560"/>
      <c r="BJ567" s="1555"/>
      <c r="BK567" s="1561"/>
      <c r="BL567" s="1561"/>
      <c r="BM567" s="1561"/>
      <c r="BN567" s="1555"/>
      <c r="BO567" s="1555"/>
    </row>
    <row r="568" spans="1:72" s="1523" customFormat="1" ht="25.5" customHeight="1">
      <c r="A568" s="2051"/>
      <c r="B568" s="2057"/>
      <c r="C568" s="2057"/>
      <c r="D568" s="1534" t="s">
        <v>7</v>
      </c>
      <c r="E568" s="1534" t="s">
        <v>8</v>
      </c>
      <c r="F568" s="1677" t="s">
        <v>9</v>
      </c>
      <c r="G568" s="1677" t="s">
        <v>9</v>
      </c>
      <c r="H568" s="2131" t="s">
        <v>10</v>
      </c>
      <c r="I568" s="2131"/>
      <c r="J568" s="2131" t="s">
        <v>11</v>
      </c>
      <c r="K568" s="2131"/>
      <c r="L568" s="2131" t="s">
        <v>12</v>
      </c>
      <c r="M568" s="2131"/>
      <c r="N568" s="2131" t="s">
        <v>13</v>
      </c>
      <c r="O568" s="2131"/>
      <c r="P568" s="2131" t="s">
        <v>14</v>
      </c>
      <c r="Q568" s="2131"/>
      <c r="R568" s="2132" t="s">
        <v>15</v>
      </c>
      <c r="S568" s="2132"/>
      <c r="T568" s="2131" t="s">
        <v>16</v>
      </c>
      <c r="U568" s="2131"/>
      <c r="V568" s="2057"/>
      <c r="W568" s="2131" t="s">
        <v>17</v>
      </c>
      <c r="X568" s="2131"/>
      <c r="Y568" s="2131" t="s">
        <v>18</v>
      </c>
      <c r="Z568" s="2131"/>
      <c r="AA568" s="2131"/>
      <c r="AB568" s="2071" t="s">
        <v>19</v>
      </c>
      <c r="AC568" s="2081"/>
      <c r="AD568" s="2072"/>
      <c r="AE568" s="2120"/>
      <c r="AF568" s="2085"/>
      <c r="AG568" s="2122"/>
      <c r="AH568" s="2122"/>
      <c r="AI568" s="2122"/>
      <c r="AJ568" s="2122"/>
      <c r="AK568" s="2123"/>
      <c r="AL568" s="1678"/>
      <c r="AM568" s="2046"/>
      <c r="AN568" s="2057"/>
      <c r="AO568" s="1534" t="s">
        <v>9</v>
      </c>
      <c r="AP568" s="2039"/>
      <c r="AQ568" s="2040"/>
      <c r="AR568" s="2041"/>
      <c r="AS568" s="2039"/>
      <c r="AT568" s="2040"/>
      <c r="AU568" s="2040"/>
      <c r="AV568" s="2040"/>
      <c r="AW568" s="2041"/>
      <c r="AX568" s="1534" t="s">
        <v>21</v>
      </c>
      <c r="AY568" s="2043"/>
      <c r="AZ568" s="2046"/>
      <c r="BA568" s="2046"/>
      <c r="BB568" s="2046"/>
      <c r="BC568" s="1549" t="s">
        <v>9</v>
      </c>
      <c r="BD568" s="2085"/>
      <c r="BE568" s="2086"/>
      <c r="BG568" s="1555"/>
      <c r="BH568" s="1560"/>
      <c r="BI568" s="1560"/>
      <c r="BJ568" s="1555"/>
      <c r="BK568" s="1561"/>
      <c r="BL568" s="1561"/>
      <c r="BM568" s="1561"/>
      <c r="BN568" s="1555"/>
      <c r="BO568" s="1555"/>
    </row>
    <row r="569" spans="1:72" s="1523" customFormat="1" ht="36" customHeight="1">
      <c r="A569" s="2051"/>
      <c r="B569" s="2057"/>
      <c r="C569" s="2057"/>
      <c r="D569" s="1534" t="s">
        <v>22</v>
      </c>
      <c r="E569" s="1534" t="s">
        <v>23</v>
      </c>
      <c r="F569" s="1677" t="s">
        <v>24</v>
      </c>
      <c r="G569" s="1677" t="s">
        <v>25</v>
      </c>
      <c r="H569" s="2073" t="s">
        <v>4</v>
      </c>
      <c r="I569" s="2073"/>
      <c r="J569" s="2073" t="s">
        <v>4</v>
      </c>
      <c r="K569" s="2073"/>
      <c r="L569" s="2073" t="s">
        <v>4</v>
      </c>
      <c r="M569" s="2073"/>
      <c r="N569" s="2073" t="s">
        <v>4</v>
      </c>
      <c r="O569" s="2073"/>
      <c r="P569" s="2073" t="s">
        <v>4</v>
      </c>
      <c r="Q569" s="2073"/>
      <c r="R569" s="2073" t="s">
        <v>4</v>
      </c>
      <c r="S569" s="2073"/>
      <c r="T569" s="2073" t="s">
        <v>4</v>
      </c>
      <c r="U569" s="2073"/>
      <c r="V569" s="2057"/>
      <c r="W569" s="1534" t="s">
        <v>27</v>
      </c>
      <c r="X569" s="1576" t="s">
        <v>28</v>
      </c>
      <c r="Y569" s="1534" t="s">
        <v>27</v>
      </c>
      <c r="Z569" s="2073" t="s">
        <v>4</v>
      </c>
      <c r="AA569" s="2073"/>
      <c r="AB569" s="1534" t="s">
        <v>27</v>
      </c>
      <c r="AC569" s="2071" t="s">
        <v>4</v>
      </c>
      <c r="AD569" s="2072"/>
      <c r="AE569" s="2121"/>
      <c r="AF569" s="1575" t="s">
        <v>56</v>
      </c>
      <c r="AG569" s="1575" t="s">
        <v>57</v>
      </c>
      <c r="AH569" s="1575" t="s">
        <v>60</v>
      </c>
      <c r="AI569" s="1575" t="s">
        <v>288</v>
      </c>
      <c r="AJ569" s="1575" t="s">
        <v>97</v>
      </c>
      <c r="AK569" s="1575" t="s">
        <v>711</v>
      </c>
      <c r="AL569" s="1679"/>
      <c r="AM569" s="2089"/>
      <c r="AN569" s="2090"/>
      <c r="AO569" s="1534" t="s">
        <v>29</v>
      </c>
      <c r="AP569" s="1534" t="s">
        <v>30</v>
      </c>
      <c r="AQ569" s="1534" t="s">
        <v>31</v>
      </c>
      <c r="AR569" s="1534" t="s">
        <v>4</v>
      </c>
      <c r="AS569" s="1534" t="s">
        <v>30</v>
      </c>
      <c r="AT569" s="1534" t="s">
        <v>31</v>
      </c>
      <c r="AU569" s="1534" t="s">
        <v>30</v>
      </c>
      <c r="AV569" s="1534" t="s">
        <v>31</v>
      </c>
      <c r="AW569" s="1534" t="s">
        <v>4</v>
      </c>
      <c r="AX569" s="1534" t="s">
        <v>32</v>
      </c>
      <c r="AY569" s="2043"/>
      <c r="AZ569" s="2046"/>
      <c r="BA569" s="2046"/>
      <c r="BB569" s="2046"/>
      <c r="BC569" s="1549" t="s">
        <v>33</v>
      </c>
      <c r="BD569" s="2073" t="s">
        <v>42</v>
      </c>
      <c r="BE569" s="2075" t="s">
        <v>43</v>
      </c>
      <c r="BG569" s="1573"/>
      <c r="BH569" s="1560"/>
      <c r="BI569" s="1560"/>
      <c r="BJ569" s="1555"/>
      <c r="BK569" s="1561"/>
      <c r="BL569" s="1561"/>
      <c r="BM569" s="1561"/>
      <c r="BN569" s="1555"/>
      <c r="BO569" s="1555"/>
    </row>
    <row r="570" spans="1:72" s="1523" customFormat="1" ht="46.5" customHeight="1" thickBot="1">
      <c r="A570" s="2051"/>
      <c r="B570" s="2057"/>
      <c r="C570" s="2057"/>
      <c r="D570" s="1534"/>
      <c r="E570" s="1534"/>
      <c r="F570" s="1680" t="s">
        <v>34</v>
      </c>
      <c r="G570" s="1680" t="s">
        <v>34</v>
      </c>
      <c r="H570" s="1576" t="s">
        <v>8</v>
      </c>
      <c r="I570" s="1576" t="s">
        <v>34</v>
      </c>
      <c r="J570" s="1576" t="s">
        <v>8</v>
      </c>
      <c r="K570" s="1576" t="s">
        <v>34</v>
      </c>
      <c r="L570" s="1576" t="s">
        <v>8</v>
      </c>
      <c r="M570" s="1576" t="s">
        <v>34</v>
      </c>
      <c r="N570" s="1576" t="s">
        <v>8</v>
      </c>
      <c r="O570" s="1576" t="s">
        <v>34</v>
      </c>
      <c r="P570" s="1576" t="s">
        <v>8</v>
      </c>
      <c r="Q570" s="1576" t="s">
        <v>34</v>
      </c>
      <c r="R570" s="1576" t="s">
        <v>8</v>
      </c>
      <c r="S570" s="1576" t="s">
        <v>34</v>
      </c>
      <c r="T570" s="1576" t="s">
        <v>8</v>
      </c>
      <c r="U570" s="1576" t="s">
        <v>34</v>
      </c>
      <c r="V570" s="2057"/>
      <c r="W570" s="1576" t="s">
        <v>26</v>
      </c>
      <c r="X570" s="1576" t="s">
        <v>34</v>
      </c>
      <c r="Y570" s="1576" t="s">
        <v>26</v>
      </c>
      <c r="Z570" s="1576" t="s">
        <v>26</v>
      </c>
      <c r="AA570" s="1576" t="s">
        <v>34</v>
      </c>
      <c r="AB570" s="1576" t="s">
        <v>26</v>
      </c>
      <c r="AC570" s="1576" t="s">
        <v>35</v>
      </c>
      <c r="AD570" s="1576" t="s">
        <v>34</v>
      </c>
      <c r="AE570" s="1576" t="s">
        <v>34</v>
      </c>
      <c r="AF570" s="1576" t="s">
        <v>34</v>
      </c>
      <c r="AG570" s="1576" t="s">
        <v>34</v>
      </c>
      <c r="AH570" s="1576" t="s">
        <v>34</v>
      </c>
      <c r="AI570" s="1576" t="s">
        <v>34</v>
      </c>
      <c r="AJ570" s="1576" t="s">
        <v>34</v>
      </c>
      <c r="AK570" s="1681" t="s">
        <v>34</v>
      </c>
      <c r="AL570" s="1534" t="s">
        <v>34</v>
      </c>
      <c r="AM570" s="1576" t="s">
        <v>34</v>
      </c>
      <c r="AN570" s="1576" t="s">
        <v>34</v>
      </c>
      <c r="AO570" s="1576" t="s">
        <v>34</v>
      </c>
      <c r="AP570" s="1576" t="s">
        <v>34</v>
      </c>
      <c r="AQ570" s="1576" t="s">
        <v>34</v>
      </c>
      <c r="AR570" s="1576" t="s">
        <v>34</v>
      </c>
      <c r="AS570" s="1576" t="s">
        <v>58</v>
      </c>
      <c r="AT570" s="1576" t="s">
        <v>34</v>
      </c>
      <c r="AU570" s="1576" t="s">
        <v>59</v>
      </c>
      <c r="AV570" s="1576" t="s">
        <v>34</v>
      </c>
      <c r="AW570" s="1576" t="s">
        <v>34</v>
      </c>
      <c r="AX570" s="1534"/>
      <c r="AY570" s="2043"/>
      <c r="AZ570" s="2046"/>
      <c r="BA570" s="2047"/>
      <c r="BB570" s="2046"/>
      <c r="BC570" s="1549" t="s">
        <v>34</v>
      </c>
      <c r="BD570" s="2129"/>
      <c r="BE570" s="2130"/>
      <c r="BG570" s="1555" t="s">
        <v>353</v>
      </c>
      <c r="BH570" s="1578" t="s">
        <v>43</v>
      </c>
      <c r="BI570" s="1578" t="s">
        <v>42</v>
      </c>
      <c r="BJ570" s="1555" t="s">
        <v>354</v>
      </c>
      <c r="BK570" s="1561" t="s">
        <v>358</v>
      </c>
      <c r="BL570" s="1561"/>
      <c r="BM570" s="1561"/>
      <c r="BN570" s="1555"/>
      <c r="BO570" s="1555"/>
    </row>
    <row r="571" spans="1:72" ht="83.25" customHeight="1" thickBot="1">
      <c r="A571" s="1683">
        <v>20</v>
      </c>
      <c r="B571" s="1489" t="s">
        <v>36</v>
      </c>
      <c r="C571" s="1585" t="s">
        <v>1016</v>
      </c>
      <c r="D571" s="1590" t="s">
        <v>688</v>
      </c>
      <c r="E571" s="1489">
        <f>'HK PANEN'!AH26</f>
        <v>24</v>
      </c>
      <c r="F571" s="1490">
        <v>129220</v>
      </c>
      <c r="G571" s="1509">
        <f t="shared" ref="G571:G589" si="97">F571*E571</f>
        <v>3101280</v>
      </c>
      <c r="H571" s="1516">
        <f>'HK PANEN'!AI26</f>
        <v>0</v>
      </c>
      <c r="I571" s="1491">
        <f t="shared" ref="I571:I589" si="98">H571*F571</f>
        <v>0</v>
      </c>
      <c r="J571" s="1489">
        <f>'HK PANEN'!AJ26</f>
        <v>0</v>
      </c>
      <c r="K571" s="1491">
        <f t="shared" ref="K571:K589" si="99">J571*F571</f>
        <v>0</v>
      </c>
      <c r="L571" s="1489">
        <f>'HK PANEN'!AK26</f>
        <v>0</v>
      </c>
      <c r="M571" s="1491">
        <f t="shared" ref="M571:M589" si="100">L571*F571</f>
        <v>0</v>
      </c>
      <c r="N571" s="1489">
        <f>'HK PANEN'!AL26</f>
        <v>4</v>
      </c>
      <c r="O571" s="1497">
        <f t="shared" ref="O571:O589" si="101">N571*F571</f>
        <v>516880</v>
      </c>
      <c r="P571" s="1489">
        <f>'HK PANEN'!AM26</f>
        <v>3</v>
      </c>
      <c r="Q571" s="1497">
        <f t="shared" ref="Q571:Q589" si="102">P571*F571</f>
        <v>387660</v>
      </c>
      <c r="R571" s="1489">
        <f>'HK PANEN'!AN26</f>
        <v>0</v>
      </c>
      <c r="S571" s="1489">
        <f t="shared" si="87"/>
        <v>0</v>
      </c>
      <c r="T571" s="1489">
        <f>'HK PANEN'!AO26</f>
        <v>0</v>
      </c>
      <c r="U571" s="1489">
        <f t="shared" si="70"/>
        <v>0</v>
      </c>
      <c r="V571" s="1491">
        <f t="shared" ref="V571:V589" si="103">+T571+R571+P571+N571+L571+J571+H571+E571</f>
        <v>31</v>
      </c>
      <c r="W571" s="1649">
        <v>4650</v>
      </c>
      <c r="X571" s="1491">
        <f t="shared" si="72"/>
        <v>144150</v>
      </c>
      <c r="Y571" s="1491"/>
      <c r="Z571" s="1491"/>
      <c r="AA571" s="1491">
        <f t="shared" ref="AA571:AA589" si="104">Z571*Y571</f>
        <v>0</v>
      </c>
      <c r="AB571" s="1497"/>
      <c r="AC571" s="1491">
        <f>'MASA KERJA AB'!H72</f>
        <v>0</v>
      </c>
      <c r="AD571" s="1491">
        <f>'MASA KERJA AB'!I72</f>
        <v>0</v>
      </c>
      <c r="AE571" s="1497"/>
      <c r="AF571" s="1514">
        <f>'MONITORING '!AK225</f>
        <v>2466</v>
      </c>
      <c r="AG571" s="1498">
        <f>'MONITORING '!AK226</f>
        <v>302750</v>
      </c>
      <c r="AH571" s="1515">
        <v>414200</v>
      </c>
      <c r="AI571" s="1499">
        <f>'INSETIF MEI''25'!L24</f>
        <v>0</v>
      </c>
      <c r="AJ571" s="1498"/>
      <c r="AK571" s="1499"/>
      <c r="AL571" s="1491"/>
      <c r="AM571" s="1491"/>
      <c r="AN571" s="1649">
        <f>'MONITORING '!AK227</f>
        <v>121286</v>
      </c>
      <c r="AO571" s="1494">
        <f t="shared" si="74"/>
        <v>4748100</v>
      </c>
      <c r="AP571" s="1491">
        <f t="shared" si="88"/>
        <v>77532</v>
      </c>
      <c r="AQ571" s="1491">
        <f t="shared" si="89"/>
        <v>175997.64</v>
      </c>
      <c r="AR571" s="1491">
        <f t="shared" ref="AR571:AR589" si="105">SUM(AQ571+AP571)</f>
        <v>253529.64</v>
      </c>
      <c r="AS571" s="1489">
        <f t="shared" si="90"/>
        <v>38766</v>
      </c>
      <c r="AT571" s="1489">
        <f t="shared" si="91"/>
        <v>155064</v>
      </c>
      <c r="AU571" s="1491">
        <f t="shared" si="92"/>
        <v>38766</v>
      </c>
      <c r="AV571" s="1491">
        <f t="shared" si="93"/>
        <v>77532</v>
      </c>
      <c r="AW571" s="1491">
        <f t="shared" ref="AW571:AW589" si="106">SUM(AS571:AV571)</f>
        <v>310128</v>
      </c>
      <c r="AX571" s="1649">
        <v>4000</v>
      </c>
      <c r="AY571" s="1491">
        <v>0</v>
      </c>
      <c r="AZ571" s="1491">
        <f>AJ571</f>
        <v>0</v>
      </c>
      <c r="BA571" s="1491"/>
      <c r="BB571" s="1491"/>
      <c r="BC571" s="1489">
        <f t="shared" si="78"/>
        <v>4589036</v>
      </c>
      <c r="BD571" s="1489">
        <f>'HK PANEN'!AQ26</f>
        <v>0</v>
      </c>
      <c r="BE571" s="1495">
        <f>'HK PANEN'!AR26</f>
        <v>0</v>
      </c>
      <c r="BG571" s="1551">
        <f t="shared" si="79"/>
        <v>4005820</v>
      </c>
      <c r="BH571" s="1552">
        <f t="shared" si="80"/>
        <v>0</v>
      </c>
      <c r="BI571" s="1552">
        <f t="shared" si="81"/>
        <v>0</v>
      </c>
      <c r="BJ571" s="1551">
        <f t="shared" ref="BJ571:BJ589" si="107">-(BH571+BI571)</f>
        <v>0</v>
      </c>
      <c r="BK571" s="1553">
        <f t="shared" ref="BK571:BK589" si="108">SUM(BG571:BI571)</f>
        <v>4005820</v>
      </c>
      <c r="BM571" s="1553">
        <f t="shared" si="95"/>
        <v>742280</v>
      </c>
      <c r="BN571" s="1551">
        <v>30580</v>
      </c>
      <c r="BO571" s="1551">
        <f t="shared" si="84"/>
        <v>185644</v>
      </c>
      <c r="BQ571" s="1531">
        <f t="shared" si="85"/>
        <v>2466</v>
      </c>
      <c r="BS571" s="1688" t="s">
        <v>688</v>
      </c>
      <c r="BT571" s="1556">
        <f t="shared" si="96"/>
        <v>2466</v>
      </c>
    </row>
    <row r="572" spans="1:72" ht="26.25" customHeight="1">
      <c r="A572" s="2049" t="s">
        <v>1033</v>
      </c>
      <c r="B572" s="2049"/>
      <c r="C572" s="2049"/>
      <c r="D572" s="2049"/>
      <c r="E572" s="2049"/>
      <c r="F572" s="2049"/>
      <c r="G572" s="2049"/>
      <c r="H572" s="2049"/>
      <c r="I572" s="2049"/>
      <c r="J572" s="2049"/>
      <c r="K572" s="2049"/>
      <c r="L572" s="2049"/>
      <c r="M572" s="2049"/>
      <c r="N572" s="2049"/>
      <c r="O572" s="2049"/>
      <c r="P572" s="2049"/>
      <c r="Q572" s="2049"/>
      <c r="R572" s="2049"/>
      <c r="S572" s="2049"/>
      <c r="T572" s="2049"/>
      <c r="U572" s="2049"/>
      <c r="V572" s="2049"/>
      <c r="W572" s="2049"/>
      <c r="X572" s="2049"/>
      <c r="Y572" s="2049"/>
      <c r="Z572" s="2049"/>
      <c r="AA572" s="2049"/>
      <c r="AB572" s="2049"/>
      <c r="AC572" s="2049"/>
      <c r="AD572" s="2049"/>
      <c r="AE572" s="2049"/>
      <c r="AF572" s="2049"/>
      <c r="AG572" s="2049"/>
      <c r="AH572" s="2049"/>
      <c r="AI572" s="2049"/>
      <c r="AJ572" s="2049"/>
      <c r="AK572" s="2049"/>
      <c r="AL572" s="2049"/>
      <c r="AM572" s="2049"/>
      <c r="AN572" s="2049"/>
      <c r="AO572" s="2049"/>
      <c r="AP572" s="2049"/>
      <c r="AQ572" s="2049"/>
      <c r="AR572" s="2049"/>
      <c r="AS572" s="2049"/>
      <c r="AT572" s="2049"/>
      <c r="AU572" s="2049"/>
      <c r="AV572" s="2049"/>
      <c r="AW572" s="2049"/>
      <c r="AX572" s="2049"/>
      <c r="AY572" s="2049"/>
      <c r="AZ572" s="2049"/>
      <c r="BA572" s="2049"/>
      <c r="BB572" s="2049"/>
      <c r="BC572" s="2049"/>
      <c r="BD572" s="2049"/>
      <c r="BE572" s="2049"/>
    </row>
    <row r="573" spans="1:72" ht="26.25" customHeight="1">
      <c r="A573" s="1532"/>
      <c r="B573" s="1532"/>
      <c r="C573" s="1605"/>
      <c r="D573" s="1532"/>
      <c r="E573" s="1532"/>
      <c r="F573" s="1560"/>
      <c r="G573" s="1560"/>
      <c r="H573" s="1532"/>
      <c r="I573" s="1532"/>
      <c r="J573" s="1532"/>
      <c r="K573" s="1532"/>
      <c r="L573" s="1532"/>
      <c r="M573" s="1532"/>
      <c r="N573" s="1532"/>
      <c r="O573" s="1532"/>
      <c r="P573" s="1532"/>
      <c r="Q573" s="1532"/>
      <c r="R573" s="1532"/>
      <c r="S573" s="1532"/>
      <c r="T573" s="1532"/>
      <c r="U573" s="1532"/>
      <c r="V573" s="1532"/>
      <c r="W573" s="1532"/>
      <c r="X573" s="1532"/>
      <c r="Y573" s="1532"/>
      <c r="Z573" s="1532"/>
      <c r="AA573" s="1532"/>
      <c r="AB573" s="1532"/>
      <c r="AC573" s="1532"/>
      <c r="AD573" s="1532"/>
      <c r="AE573" s="1532"/>
      <c r="AF573" s="1532"/>
      <c r="AG573" s="1532"/>
      <c r="AH573" s="1532"/>
      <c r="AI573" s="1532"/>
      <c r="AJ573" s="1532"/>
      <c r="AK573" s="1557"/>
      <c r="AL573" s="1532"/>
      <c r="AM573" s="1532"/>
      <c r="AN573" s="1532"/>
      <c r="AO573" s="1532"/>
      <c r="AP573" s="1558"/>
      <c r="AQ573" s="1559"/>
      <c r="AR573" s="1559"/>
      <c r="AS573" s="1559"/>
      <c r="AT573" s="1671"/>
      <c r="AU573" s="1532"/>
      <c r="AV573" s="1532"/>
      <c r="AW573" s="1532"/>
      <c r="AX573" s="1532"/>
      <c r="AY573" s="1532"/>
      <c r="AZ573" s="1532"/>
      <c r="BA573" s="1532"/>
      <c r="BB573" s="1532"/>
      <c r="BC573" s="1547"/>
      <c r="BD573" s="1532"/>
      <c r="BE573" s="1532"/>
    </row>
    <row r="574" spans="1:72" s="1523" customFormat="1" ht="16.5" customHeight="1">
      <c r="D574" s="1523" t="s">
        <v>964</v>
      </c>
      <c r="F574" s="1555"/>
      <c r="G574" s="1555"/>
      <c r="AE574" s="1532"/>
      <c r="AF574" s="1532"/>
      <c r="AG574" s="1532"/>
      <c r="AH574" s="1532"/>
      <c r="AI574" s="1532"/>
      <c r="AJ574" s="1532"/>
      <c r="AK574" s="1557"/>
      <c r="AL574" s="1532"/>
      <c r="AM574" s="1532"/>
      <c r="AO574" s="1561"/>
      <c r="AP574" s="1558">
        <v>3876600</v>
      </c>
      <c r="AQ574" s="1672">
        <f>AP574/30</f>
        <v>129220</v>
      </c>
      <c r="AR574" s="1673">
        <f>AP574/173*1.5</f>
        <v>33612.138728323698</v>
      </c>
      <c r="AS574" s="1566">
        <f>AP574/173*2</f>
        <v>44816.184971098264</v>
      </c>
      <c r="AT574" s="1674"/>
      <c r="AU574" s="1532" t="s">
        <v>55</v>
      </c>
      <c r="AV574" s="1523" t="s">
        <v>335</v>
      </c>
      <c r="BC574" s="1518"/>
      <c r="BE574" s="1532"/>
      <c r="BG574" s="1555"/>
      <c r="BH574" s="1560"/>
      <c r="BI574" s="1560"/>
      <c r="BJ574" s="1555"/>
      <c r="BK574" s="1561"/>
      <c r="BL574" s="1561"/>
      <c r="BM574" s="1561"/>
      <c r="BN574" s="1555"/>
      <c r="BO574" s="1555"/>
    </row>
    <row r="575" spans="1:72" ht="18.75" customHeight="1" thickBot="1">
      <c r="A575" s="1547"/>
      <c r="D575" s="1532"/>
      <c r="E575" s="1563"/>
      <c r="F575" s="1675"/>
      <c r="G575" s="1564"/>
      <c r="H575" s="1563"/>
      <c r="I575" s="1563"/>
      <c r="J575" s="1563"/>
      <c r="K575" s="1563"/>
      <c r="L575" s="1563"/>
      <c r="M575" s="1563"/>
      <c r="N575" s="1563"/>
      <c r="O575" s="1563"/>
      <c r="Q575" s="1563"/>
      <c r="R575" s="1563"/>
      <c r="S575" s="1563"/>
      <c r="T575" s="1563"/>
      <c r="U575" s="1563"/>
      <c r="V575" s="1563"/>
      <c r="W575" s="1563"/>
      <c r="X575" s="1563"/>
      <c r="Y575" s="1563"/>
      <c r="Z575" s="1563"/>
      <c r="AA575" s="1563"/>
      <c r="AB575" s="1563"/>
      <c r="AC575" s="1563"/>
      <c r="AD575" s="1563"/>
      <c r="AE575" s="1563"/>
      <c r="AF575" s="1563"/>
      <c r="AG575" s="1563"/>
      <c r="AH575" s="1563"/>
      <c r="AI575" s="1563"/>
      <c r="AJ575" s="1563"/>
      <c r="AK575" s="1565"/>
      <c r="AL575" s="1563"/>
      <c r="AM575" s="1563"/>
      <c r="AO575" s="1563"/>
      <c r="AP575" s="1558">
        <v>3876600</v>
      </c>
      <c r="AQ575" s="1566">
        <f>AP575/30</f>
        <v>129220</v>
      </c>
      <c r="AR575" s="1598"/>
      <c r="AS575" s="1598"/>
      <c r="AT575" s="1674"/>
    </row>
    <row r="576" spans="1:72" s="1523" customFormat="1" ht="18.75" customHeight="1">
      <c r="A576" s="2050" t="s">
        <v>5</v>
      </c>
      <c r="B576" s="2056" t="s">
        <v>6</v>
      </c>
      <c r="C576" s="2056" t="s">
        <v>52</v>
      </c>
      <c r="D576" s="1571"/>
      <c r="E576" s="1571"/>
      <c r="F576" s="1676"/>
      <c r="G576" s="1676"/>
      <c r="H576" s="2118" t="s">
        <v>2</v>
      </c>
      <c r="I576" s="2118"/>
      <c r="J576" s="2118"/>
      <c r="K576" s="2118"/>
      <c r="L576" s="2118"/>
      <c r="M576" s="2118"/>
      <c r="N576" s="2118"/>
      <c r="O576" s="2118"/>
      <c r="P576" s="2118"/>
      <c r="Q576" s="2118"/>
      <c r="R576" s="2118"/>
      <c r="S576" s="2118"/>
      <c r="T576" s="2118"/>
      <c r="U576" s="2118"/>
      <c r="V576" s="2056" t="s">
        <v>286</v>
      </c>
      <c r="W576" s="2118" t="s">
        <v>3</v>
      </c>
      <c r="X576" s="2118"/>
      <c r="Y576" s="2118"/>
      <c r="Z576" s="2118"/>
      <c r="AA576" s="2118"/>
      <c r="AB576" s="2118"/>
      <c r="AC576" s="2118"/>
      <c r="AD576" s="2118"/>
      <c r="AE576" s="2119" t="s">
        <v>45</v>
      </c>
      <c r="AF576" s="2063" t="s">
        <v>46</v>
      </c>
      <c r="AG576" s="2064"/>
      <c r="AH576" s="2064"/>
      <c r="AI576" s="2064"/>
      <c r="AJ576" s="2064"/>
      <c r="AK576" s="2065"/>
      <c r="AL576" s="1571"/>
      <c r="AM576" s="2045" t="s">
        <v>361</v>
      </c>
      <c r="AN576" s="2056" t="s">
        <v>44</v>
      </c>
      <c r="AO576" s="1533" t="s">
        <v>4</v>
      </c>
      <c r="AP576" s="2036" t="s">
        <v>20</v>
      </c>
      <c r="AQ576" s="2037"/>
      <c r="AR576" s="2038"/>
      <c r="AS576" s="2036" t="s">
        <v>54</v>
      </c>
      <c r="AT576" s="2037"/>
      <c r="AU576" s="2037"/>
      <c r="AV576" s="2037"/>
      <c r="AW576" s="2038"/>
      <c r="AX576" s="1571"/>
      <c r="AY576" s="2042" t="s">
        <v>90</v>
      </c>
      <c r="AZ576" s="2045" t="s">
        <v>97</v>
      </c>
      <c r="BA576" s="2045" t="s">
        <v>720</v>
      </c>
      <c r="BB576" s="2045" t="s">
        <v>362</v>
      </c>
      <c r="BC576" s="1548" t="s">
        <v>4</v>
      </c>
      <c r="BD576" s="2063" t="s">
        <v>41</v>
      </c>
      <c r="BE576" s="2084"/>
      <c r="BG576" s="1555"/>
      <c r="BH576" s="1560"/>
      <c r="BI576" s="1560"/>
      <c r="BJ576" s="1555"/>
      <c r="BK576" s="1561"/>
      <c r="BL576" s="1561"/>
      <c r="BM576" s="1561"/>
      <c r="BN576" s="1555"/>
      <c r="BO576" s="1555"/>
    </row>
    <row r="577" spans="1:75" s="1523" customFormat="1" ht="25.5" customHeight="1">
      <c r="A577" s="2051"/>
      <c r="B577" s="2057"/>
      <c r="C577" s="2057"/>
      <c r="D577" s="1534" t="s">
        <v>7</v>
      </c>
      <c r="E577" s="1534" t="s">
        <v>8</v>
      </c>
      <c r="F577" s="1677" t="s">
        <v>9</v>
      </c>
      <c r="G577" s="1677" t="s">
        <v>9</v>
      </c>
      <c r="H577" s="2131" t="s">
        <v>10</v>
      </c>
      <c r="I577" s="2131"/>
      <c r="J577" s="2131" t="s">
        <v>11</v>
      </c>
      <c r="K577" s="2131"/>
      <c r="L577" s="2131" t="s">
        <v>12</v>
      </c>
      <c r="M577" s="2131"/>
      <c r="N577" s="2131" t="s">
        <v>13</v>
      </c>
      <c r="O577" s="2131"/>
      <c r="P577" s="2131" t="s">
        <v>14</v>
      </c>
      <c r="Q577" s="2131"/>
      <c r="R577" s="2132" t="s">
        <v>15</v>
      </c>
      <c r="S577" s="2132"/>
      <c r="T577" s="2131" t="s">
        <v>16</v>
      </c>
      <c r="U577" s="2131"/>
      <c r="V577" s="2057"/>
      <c r="W577" s="2131" t="s">
        <v>17</v>
      </c>
      <c r="X577" s="2131"/>
      <c r="Y577" s="2131" t="s">
        <v>18</v>
      </c>
      <c r="Z577" s="2131"/>
      <c r="AA577" s="2131"/>
      <c r="AB577" s="2071" t="s">
        <v>19</v>
      </c>
      <c r="AC577" s="2081"/>
      <c r="AD577" s="2072"/>
      <c r="AE577" s="2120"/>
      <c r="AF577" s="2085"/>
      <c r="AG577" s="2122"/>
      <c r="AH577" s="2122"/>
      <c r="AI577" s="2122"/>
      <c r="AJ577" s="2122"/>
      <c r="AK577" s="2123"/>
      <c r="AL577" s="1678"/>
      <c r="AM577" s="2046"/>
      <c r="AN577" s="2057"/>
      <c r="AO577" s="1534" t="s">
        <v>9</v>
      </c>
      <c r="AP577" s="2039"/>
      <c r="AQ577" s="2040"/>
      <c r="AR577" s="2041"/>
      <c r="AS577" s="2039"/>
      <c r="AT577" s="2040"/>
      <c r="AU577" s="2040"/>
      <c r="AV577" s="2040"/>
      <c r="AW577" s="2041"/>
      <c r="AX577" s="1534" t="s">
        <v>21</v>
      </c>
      <c r="AY577" s="2043"/>
      <c r="AZ577" s="2046"/>
      <c r="BA577" s="2046"/>
      <c r="BB577" s="2046"/>
      <c r="BC577" s="1549" t="s">
        <v>9</v>
      </c>
      <c r="BD577" s="2085"/>
      <c r="BE577" s="2086"/>
      <c r="BG577" s="1555"/>
      <c r="BH577" s="1560"/>
      <c r="BI577" s="1560"/>
      <c r="BJ577" s="1555"/>
      <c r="BK577" s="1561"/>
      <c r="BL577" s="1561"/>
      <c r="BM577" s="1561"/>
      <c r="BN577" s="1555"/>
      <c r="BO577" s="1555"/>
    </row>
    <row r="578" spans="1:75" s="1523" customFormat="1" ht="36" customHeight="1">
      <c r="A578" s="2051"/>
      <c r="B578" s="2057"/>
      <c r="C578" s="2057"/>
      <c r="D578" s="1534" t="s">
        <v>22</v>
      </c>
      <c r="E578" s="1534" t="s">
        <v>23</v>
      </c>
      <c r="F578" s="1677" t="s">
        <v>24</v>
      </c>
      <c r="G578" s="1677" t="s">
        <v>25</v>
      </c>
      <c r="H578" s="2073" t="s">
        <v>4</v>
      </c>
      <c r="I578" s="2073"/>
      <c r="J578" s="2073" t="s">
        <v>4</v>
      </c>
      <c r="K578" s="2073"/>
      <c r="L578" s="2073" t="s">
        <v>4</v>
      </c>
      <c r="M578" s="2073"/>
      <c r="N578" s="2073" t="s">
        <v>4</v>
      </c>
      <c r="O578" s="2073"/>
      <c r="P578" s="2073" t="s">
        <v>4</v>
      </c>
      <c r="Q578" s="2073"/>
      <c r="R578" s="2073" t="s">
        <v>4</v>
      </c>
      <c r="S578" s="2073"/>
      <c r="T578" s="2073" t="s">
        <v>4</v>
      </c>
      <c r="U578" s="2073"/>
      <c r="V578" s="2057"/>
      <c r="W578" s="1534" t="s">
        <v>27</v>
      </c>
      <c r="X578" s="1576" t="s">
        <v>28</v>
      </c>
      <c r="Y578" s="1534" t="s">
        <v>27</v>
      </c>
      <c r="Z578" s="2073" t="s">
        <v>4</v>
      </c>
      <c r="AA578" s="2073"/>
      <c r="AB578" s="1534" t="s">
        <v>27</v>
      </c>
      <c r="AC578" s="2071" t="s">
        <v>4</v>
      </c>
      <c r="AD578" s="2072"/>
      <c r="AE578" s="2121"/>
      <c r="AF578" s="1575" t="s">
        <v>56</v>
      </c>
      <c r="AG578" s="1575" t="s">
        <v>57</v>
      </c>
      <c r="AH578" s="1575" t="s">
        <v>60</v>
      </c>
      <c r="AI578" s="1575" t="s">
        <v>288</v>
      </c>
      <c r="AJ578" s="1575" t="s">
        <v>97</v>
      </c>
      <c r="AK578" s="1575" t="s">
        <v>711</v>
      </c>
      <c r="AL578" s="1679"/>
      <c r="AM578" s="2089"/>
      <c r="AN578" s="2090"/>
      <c r="AO578" s="1534" t="s">
        <v>29</v>
      </c>
      <c r="AP578" s="1534" t="s">
        <v>30</v>
      </c>
      <c r="AQ578" s="1534" t="s">
        <v>31</v>
      </c>
      <c r="AR578" s="1534" t="s">
        <v>4</v>
      </c>
      <c r="AS578" s="1534" t="s">
        <v>30</v>
      </c>
      <c r="AT578" s="1534" t="s">
        <v>31</v>
      </c>
      <c r="AU578" s="1534" t="s">
        <v>30</v>
      </c>
      <c r="AV578" s="1534" t="s">
        <v>31</v>
      </c>
      <c r="AW578" s="1534" t="s">
        <v>4</v>
      </c>
      <c r="AX578" s="1534" t="s">
        <v>32</v>
      </c>
      <c r="AY578" s="2043"/>
      <c r="AZ578" s="2046"/>
      <c r="BA578" s="2046"/>
      <c r="BB578" s="2046"/>
      <c r="BC578" s="1549" t="s">
        <v>33</v>
      </c>
      <c r="BD578" s="2073" t="s">
        <v>42</v>
      </c>
      <c r="BE578" s="2075" t="s">
        <v>43</v>
      </c>
      <c r="BG578" s="1573"/>
      <c r="BH578" s="1560"/>
      <c r="BI578" s="1560"/>
      <c r="BJ578" s="1555"/>
      <c r="BK578" s="1561"/>
      <c r="BL578" s="1561"/>
      <c r="BM578" s="1561"/>
      <c r="BN578" s="1555"/>
      <c r="BO578" s="1555"/>
    </row>
    <row r="579" spans="1:75" s="1523" customFormat="1" ht="46.5" customHeight="1" thickBot="1">
      <c r="A579" s="2051"/>
      <c r="B579" s="2057"/>
      <c r="C579" s="2057"/>
      <c r="D579" s="1534"/>
      <c r="E579" s="1534"/>
      <c r="F579" s="1680" t="s">
        <v>34</v>
      </c>
      <c r="G579" s="1680" t="s">
        <v>34</v>
      </c>
      <c r="H579" s="1576" t="s">
        <v>8</v>
      </c>
      <c r="I579" s="1576" t="s">
        <v>34</v>
      </c>
      <c r="J579" s="1576" t="s">
        <v>8</v>
      </c>
      <c r="K579" s="1576" t="s">
        <v>34</v>
      </c>
      <c r="L579" s="1576" t="s">
        <v>8</v>
      </c>
      <c r="M579" s="1576" t="s">
        <v>34</v>
      </c>
      <c r="N579" s="1576" t="s">
        <v>8</v>
      </c>
      <c r="O579" s="1576" t="s">
        <v>34</v>
      </c>
      <c r="P579" s="1576" t="s">
        <v>8</v>
      </c>
      <c r="Q579" s="1576" t="s">
        <v>34</v>
      </c>
      <c r="R579" s="1576" t="s">
        <v>8</v>
      </c>
      <c r="S579" s="1576" t="s">
        <v>34</v>
      </c>
      <c r="T579" s="1576" t="s">
        <v>8</v>
      </c>
      <c r="U579" s="1576" t="s">
        <v>34</v>
      </c>
      <c r="V579" s="2057"/>
      <c r="W579" s="1576" t="s">
        <v>26</v>
      </c>
      <c r="X579" s="1576" t="s">
        <v>34</v>
      </c>
      <c r="Y579" s="1576" t="s">
        <v>26</v>
      </c>
      <c r="Z579" s="1576" t="s">
        <v>26</v>
      </c>
      <c r="AA579" s="1576" t="s">
        <v>34</v>
      </c>
      <c r="AB579" s="1576" t="s">
        <v>26</v>
      </c>
      <c r="AC579" s="1576" t="s">
        <v>35</v>
      </c>
      <c r="AD579" s="1576" t="s">
        <v>34</v>
      </c>
      <c r="AE579" s="1576" t="s">
        <v>34</v>
      </c>
      <c r="AF579" s="1576" t="s">
        <v>34</v>
      </c>
      <c r="AG579" s="1576" t="s">
        <v>34</v>
      </c>
      <c r="AH579" s="1576" t="s">
        <v>34</v>
      </c>
      <c r="AI579" s="1576" t="s">
        <v>34</v>
      </c>
      <c r="AJ579" s="1576" t="s">
        <v>34</v>
      </c>
      <c r="AK579" s="1681" t="s">
        <v>34</v>
      </c>
      <c r="AL579" s="1534" t="s">
        <v>34</v>
      </c>
      <c r="AM579" s="1576" t="s">
        <v>34</v>
      </c>
      <c r="AN579" s="1576" t="s">
        <v>34</v>
      </c>
      <c r="AO579" s="1576" t="s">
        <v>34</v>
      </c>
      <c r="AP579" s="1576" t="s">
        <v>34</v>
      </c>
      <c r="AQ579" s="1576" t="s">
        <v>34</v>
      </c>
      <c r="AR579" s="1576" t="s">
        <v>34</v>
      </c>
      <c r="AS579" s="1576" t="s">
        <v>58</v>
      </c>
      <c r="AT579" s="1576" t="s">
        <v>34</v>
      </c>
      <c r="AU579" s="1576" t="s">
        <v>59</v>
      </c>
      <c r="AV579" s="1576" t="s">
        <v>34</v>
      </c>
      <c r="AW579" s="1576" t="s">
        <v>34</v>
      </c>
      <c r="AX579" s="1534"/>
      <c r="AY579" s="2043"/>
      <c r="AZ579" s="2046"/>
      <c r="BA579" s="2047"/>
      <c r="BB579" s="2046"/>
      <c r="BC579" s="1549" t="s">
        <v>34</v>
      </c>
      <c r="BD579" s="2129"/>
      <c r="BE579" s="2130"/>
      <c r="BG579" s="1555" t="s">
        <v>353</v>
      </c>
      <c r="BH579" s="1578" t="s">
        <v>43</v>
      </c>
      <c r="BI579" s="1578" t="s">
        <v>42</v>
      </c>
      <c r="BJ579" s="1555" t="s">
        <v>354</v>
      </c>
      <c r="BK579" s="1561" t="s">
        <v>358</v>
      </c>
      <c r="BL579" s="1561"/>
      <c r="BM579" s="1561"/>
      <c r="BN579" s="1555"/>
      <c r="BO579" s="1555"/>
    </row>
    <row r="580" spans="1:75" ht="83.25" customHeight="1" thickBot="1">
      <c r="A580" s="1683">
        <v>21</v>
      </c>
      <c r="B580" s="1489" t="s">
        <v>36</v>
      </c>
      <c r="C580" s="1585" t="s">
        <v>698</v>
      </c>
      <c r="D580" s="1590" t="s">
        <v>691</v>
      </c>
      <c r="E580" s="1489">
        <f>'HK PANEN'!AH27</f>
        <v>24</v>
      </c>
      <c r="F580" s="1490">
        <v>129220</v>
      </c>
      <c r="G580" s="1509">
        <f t="shared" si="97"/>
        <v>3101280</v>
      </c>
      <c r="H580" s="1516">
        <f>'HK PANEN'!AI27</f>
        <v>0</v>
      </c>
      <c r="I580" s="1491">
        <f t="shared" si="98"/>
        <v>0</v>
      </c>
      <c r="J580" s="1489">
        <f>'HK PANEN'!AJ27</f>
        <v>0</v>
      </c>
      <c r="K580" s="1491">
        <f t="shared" si="99"/>
        <v>0</v>
      </c>
      <c r="L580" s="1489">
        <f>'HK PANEN'!AK27</f>
        <v>0</v>
      </c>
      <c r="M580" s="1491">
        <f t="shared" si="100"/>
        <v>0</v>
      </c>
      <c r="N580" s="1489">
        <f>'HK PANEN'!AL27</f>
        <v>4</v>
      </c>
      <c r="O580" s="1497">
        <f t="shared" si="101"/>
        <v>516880</v>
      </c>
      <c r="P580" s="1489">
        <f>'HK PANEN'!AM27</f>
        <v>3</v>
      </c>
      <c r="Q580" s="1497">
        <f t="shared" si="102"/>
        <v>387660</v>
      </c>
      <c r="R580" s="1489">
        <f>'HK PANEN'!AN27</f>
        <v>0</v>
      </c>
      <c r="S580" s="1489">
        <f t="shared" si="87"/>
        <v>0</v>
      </c>
      <c r="T580" s="1489">
        <f>'HK PANEN'!AO27</f>
        <v>0</v>
      </c>
      <c r="U580" s="1489">
        <f t="shared" si="70"/>
        <v>0</v>
      </c>
      <c r="V580" s="1491">
        <f t="shared" si="103"/>
        <v>31</v>
      </c>
      <c r="W580" s="1491">
        <v>3700</v>
      </c>
      <c r="X580" s="1491">
        <f t="shared" si="72"/>
        <v>114700</v>
      </c>
      <c r="Y580" s="1491"/>
      <c r="Z580" s="1491"/>
      <c r="AA580" s="1491">
        <f t="shared" si="104"/>
        <v>0</v>
      </c>
      <c r="AB580" s="1497"/>
      <c r="AC580" s="1491">
        <f>'MASA KERJA AB'!H73</f>
        <v>0</v>
      </c>
      <c r="AD580" s="1491">
        <f>'MASA KERJA AB'!I73</f>
        <v>0</v>
      </c>
      <c r="AE580" s="1497"/>
      <c r="AF580" s="1514">
        <f>'MONITORING '!AK238</f>
        <v>520710</v>
      </c>
      <c r="AG580" s="1498">
        <f>'MONITORING '!AK239</f>
        <v>225750</v>
      </c>
      <c r="AH580" s="1515">
        <v>315550</v>
      </c>
      <c r="AI580" s="1499"/>
      <c r="AJ580" s="1498"/>
      <c r="AK580" s="1499"/>
      <c r="AL580" s="1491"/>
      <c r="AM580" s="1491"/>
      <c r="AN580" s="1491">
        <f>'MONITORING '!AK240</f>
        <v>0</v>
      </c>
      <c r="AO580" s="1494">
        <f t="shared" si="74"/>
        <v>5182530</v>
      </c>
      <c r="AP580" s="1491">
        <f t="shared" si="88"/>
        <v>77532</v>
      </c>
      <c r="AQ580" s="1491">
        <f t="shared" si="89"/>
        <v>175997.64</v>
      </c>
      <c r="AR580" s="1491">
        <f t="shared" si="105"/>
        <v>253529.64</v>
      </c>
      <c r="AS580" s="1489">
        <f t="shared" si="90"/>
        <v>38766</v>
      </c>
      <c r="AT580" s="1489">
        <f t="shared" si="91"/>
        <v>155064</v>
      </c>
      <c r="AU580" s="1491">
        <f t="shared" si="92"/>
        <v>38766</v>
      </c>
      <c r="AV580" s="1491">
        <f t="shared" si="93"/>
        <v>77532</v>
      </c>
      <c r="AW580" s="1491">
        <f t="shared" si="106"/>
        <v>310128</v>
      </c>
      <c r="AX580" s="1649">
        <v>4000</v>
      </c>
      <c r="AY580" s="1491">
        <v>0</v>
      </c>
      <c r="AZ580" s="1491">
        <f>AJ580</f>
        <v>0</v>
      </c>
      <c r="BA580" s="1491"/>
      <c r="BB580" s="1491"/>
      <c r="BC580" s="1489">
        <f t="shared" si="78"/>
        <v>5023466</v>
      </c>
      <c r="BD580" s="1489">
        <f>'HK PANEN'!AQ27</f>
        <v>0</v>
      </c>
      <c r="BE580" s="1495">
        <f>'HK PANEN'!AR27</f>
        <v>0</v>
      </c>
      <c r="BG580" s="1551">
        <f t="shared" si="79"/>
        <v>4005820</v>
      </c>
      <c r="BH580" s="1552">
        <f t="shared" si="80"/>
        <v>0</v>
      </c>
      <c r="BI580" s="1552">
        <f t="shared" si="81"/>
        <v>0</v>
      </c>
      <c r="BJ580" s="1551">
        <f t="shared" si="107"/>
        <v>0</v>
      </c>
      <c r="BK580" s="1553">
        <f t="shared" si="108"/>
        <v>4005820</v>
      </c>
      <c r="BM580" s="1553">
        <f t="shared" si="95"/>
        <v>1176710</v>
      </c>
      <c r="BN580" s="1551">
        <v>30581</v>
      </c>
      <c r="BO580" s="1551">
        <f t="shared" si="84"/>
        <v>185645</v>
      </c>
      <c r="BQ580" s="1531">
        <f t="shared" si="85"/>
        <v>520710</v>
      </c>
      <c r="BS580" s="1688" t="s">
        <v>691</v>
      </c>
      <c r="BT580" s="1556">
        <f t="shared" si="96"/>
        <v>520710</v>
      </c>
    </row>
    <row r="581" spans="1:75" ht="26.25" customHeight="1">
      <c r="A581" s="2049" t="s">
        <v>1033</v>
      </c>
      <c r="B581" s="2049"/>
      <c r="C581" s="2049"/>
      <c r="D581" s="2049"/>
      <c r="E581" s="2049"/>
      <c r="F581" s="2049"/>
      <c r="G581" s="2049"/>
      <c r="H581" s="2049"/>
      <c r="I581" s="2049"/>
      <c r="J581" s="2049"/>
      <c r="K581" s="2049"/>
      <c r="L581" s="2049"/>
      <c r="M581" s="2049"/>
      <c r="N581" s="2049"/>
      <c r="O581" s="2049"/>
      <c r="P581" s="2049"/>
      <c r="Q581" s="2049"/>
      <c r="R581" s="2049"/>
      <c r="S581" s="2049"/>
      <c r="T581" s="2049"/>
      <c r="U581" s="2049"/>
      <c r="V581" s="2049"/>
      <c r="W581" s="2049"/>
      <c r="X581" s="2049"/>
      <c r="Y581" s="2049"/>
      <c r="Z581" s="2049"/>
      <c r="AA581" s="2049"/>
      <c r="AB581" s="2049"/>
      <c r="AC581" s="2049"/>
      <c r="AD581" s="2049"/>
      <c r="AE581" s="2049"/>
      <c r="AF581" s="2049"/>
      <c r="AG581" s="2049"/>
      <c r="AH581" s="2049"/>
      <c r="AI581" s="2049"/>
      <c r="AJ581" s="2049"/>
      <c r="AK581" s="2049"/>
      <c r="AL581" s="2049"/>
      <c r="AM581" s="2049"/>
      <c r="AN581" s="2049"/>
      <c r="AO581" s="2049"/>
      <c r="AP581" s="2049"/>
      <c r="AQ581" s="2049"/>
      <c r="AR581" s="2049"/>
      <c r="AS581" s="2049"/>
      <c r="AT581" s="2049"/>
      <c r="AU581" s="2049"/>
      <c r="AV581" s="2049"/>
      <c r="AW581" s="2049"/>
      <c r="AX581" s="2049"/>
      <c r="AY581" s="2049"/>
      <c r="AZ581" s="2049"/>
      <c r="BA581" s="2049"/>
      <c r="BB581" s="2049"/>
      <c r="BC581" s="2049"/>
      <c r="BD581" s="2049"/>
      <c r="BE581" s="2049"/>
    </row>
    <row r="582" spans="1:75" ht="26.25" customHeight="1">
      <c r="A582" s="1532"/>
      <c r="B582" s="1532"/>
      <c r="C582" s="1605"/>
      <c r="D582" s="1532"/>
      <c r="E582" s="1532"/>
      <c r="F582" s="1560"/>
      <c r="G582" s="1560"/>
      <c r="H582" s="1532"/>
      <c r="I582" s="1532"/>
      <c r="J582" s="1532"/>
      <c r="K582" s="1532"/>
      <c r="L582" s="1532"/>
      <c r="M582" s="1532"/>
      <c r="N582" s="1532"/>
      <c r="O582" s="1532"/>
      <c r="P582" s="1532"/>
      <c r="Q582" s="1532"/>
      <c r="R582" s="1532"/>
      <c r="S582" s="1532"/>
      <c r="T582" s="1532"/>
      <c r="U582" s="1532"/>
      <c r="V582" s="1532"/>
      <c r="W582" s="1532"/>
      <c r="X582" s="1532"/>
      <c r="Y582" s="1532"/>
      <c r="Z582" s="1532"/>
      <c r="AA582" s="1532"/>
      <c r="AB582" s="1532"/>
      <c r="AC582" s="1532"/>
      <c r="AD582" s="1532"/>
      <c r="AE582" s="1532"/>
      <c r="AF582" s="1532"/>
      <c r="AG582" s="1532"/>
      <c r="AH582" s="1532"/>
      <c r="AI582" s="1532"/>
      <c r="AJ582" s="1532"/>
      <c r="AK582" s="1557"/>
      <c r="AL582" s="1532"/>
      <c r="AM582" s="1532"/>
      <c r="AN582" s="1532"/>
      <c r="AO582" s="1532"/>
      <c r="AP582" s="1558"/>
      <c r="AQ582" s="1559"/>
      <c r="AR582" s="1559"/>
      <c r="AS582" s="1559"/>
      <c r="AT582" s="1671"/>
      <c r="AU582" s="1532"/>
      <c r="AV582" s="1532"/>
      <c r="AW582" s="1532"/>
      <c r="AX582" s="1532"/>
      <c r="AY582" s="1532"/>
      <c r="AZ582" s="1532"/>
      <c r="BA582" s="1532"/>
      <c r="BB582" s="1532"/>
      <c r="BC582" s="1547"/>
      <c r="BD582" s="1532"/>
      <c r="BE582" s="1532"/>
    </row>
    <row r="583" spans="1:75" s="1523" customFormat="1" ht="16.5" customHeight="1">
      <c r="D583" s="1523" t="s">
        <v>964</v>
      </c>
      <c r="F583" s="1555"/>
      <c r="G583" s="1555"/>
      <c r="AE583" s="1532"/>
      <c r="AF583" s="1532"/>
      <c r="AG583" s="1532"/>
      <c r="AH583" s="1532"/>
      <c r="AI583" s="1532"/>
      <c r="AJ583" s="1532"/>
      <c r="AK583" s="1557"/>
      <c r="AL583" s="1532"/>
      <c r="AM583" s="1532"/>
      <c r="AO583" s="1561"/>
      <c r="AP583" s="1558">
        <v>3876600</v>
      </c>
      <c r="AQ583" s="1672">
        <f>AP583/30</f>
        <v>129220</v>
      </c>
      <c r="AR583" s="1673">
        <f>AP583/173*1.5</f>
        <v>33612.138728323698</v>
      </c>
      <c r="AS583" s="1566">
        <f>AP583/173*2</f>
        <v>44816.184971098264</v>
      </c>
      <c r="AT583" s="1674"/>
      <c r="AU583" s="1532" t="s">
        <v>55</v>
      </c>
      <c r="AV583" s="1523" t="s">
        <v>335</v>
      </c>
      <c r="BC583" s="1518"/>
      <c r="BE583" s="1532"/>
      <c r="BG583" s="1555"/>
      <c r="BH583" s="1560"/>
      <c r="BI583" s="1560"/>
      <c r="BJ583" s="1555"/>
      <c r="BK583" s="1561"/>
      <c r="BL583" s="1561"/>
      <c r="BM583" s="1561"/>
      <c r="BN583" s="1555"/>
      <c r="BO583" s="1555"/>
    </row>
    <row r="584" spans="1:75" ht="18.75" customHeight="1" thickBot="1">
      <c r="A584" s="1547"/>
      <c r="D584" s="1532"/>
      <c r="E584" s="1563"/>
      <c r="F584" s="1675"/>
      <c r="G584" s="1564"/>
      <c r="H584" s="1563"/>
      <c r="I584" s="1563"/>
      <c r="J584" s="1563"/>
      <c r="K584" s="1563"/>
      <c r="L584" s="1563"/>
      <c r="M584" s="1563"/>
      <c r="N584" s="1563"/>
      <c r="O584" s="1563"/>
      <c r="Q584" s="1563"/>
      <c r="R584" s="1563"/>
      <c r="S584" s="1563"/>
      <c r="T584" s="1563"/>
      <c r="U584" s="1563"/>
      <c r="V584" s="1563"/>
      <c r="W584" s="1563"/>
      <c r="X584" s="1563"/>
      <c r="Y584" s="1563"/>
      <c r="Z584" s="1563"/>
      <c r="AA584" s="1563"/>
      <c r="AB584" s="1563"/>
      <c r="AC584" s="1563"/>
      <c r="AD584" s="1563"/>
      <c r="AE584" s="1563"/>
      <c r="AF584" s="1563"/>
      <c r="AG584" s="1563"/>
      <c r="AH584" s="1563"/>
      <c r="AI584" s="1563"/>
      <c r="AJ584" s="1563"/>
      <c r="AK584" s="1565"/>
      <c r="AL584" s="1563"/>
      <c r="AM584" s="1563"/>
      <c r="AO584" s="1563"/>
      <c r="AP584" s="1558">
        <v>3876600</v>
      </c>
      <c r="AQ584" s="1566">
        <f>AP584/30</f>
        <v>129220</v>
      </c>
      <c r="AR584" s="1598"/>
      <c r="AS584" s="1598"/>
      <c r="AT584" s="1674"/>
    </row>
    <row r="585" spans="1:75" s="1523" customFormat="1" ht="18.75" customHeight="1">
      <c r="A585" s="2050" t="s">
        <v>5</v>
      </c>
      <c r="B585" s="2056" t="s">
        <v>6</v>
      </c>
      <c r="C585" s="2056" t="s">
        <v>52</v>
      </c>
      <c r="D585" s="1571"/>
      <c r="E585" s="1571"/>
      <c r="F585" s="1676"/>
      <c r="G585" s="1676"/>
      <c r="H585" s="2118" t="s">
        <v>2</v>
      </c>
      <c r="I585" s="2118"/>
      <c r="J585" s="2118"/>
      <c r="K585" s="2118"/>
      <c r="L585" s="2118"/>
      <c r="M585" s="2118"/>
      <c r="N585" s="2118"/>
      <c r="O585" s="2118"/>
      <c r="P585" s="2118"/>
      <c r="Q585" s="2118"/>
      <c r="R585" s="2118"/>
      <c r="S585" s="2118"/>
      <c r="T585" s="2118"/>
      <c r="U585" s="2118"/>
      <c r="V585" s="2056" t="s">
        <v>286</v>
      </c>
      <c r="W585" s="2118" t="s">
        <v>3</v>
      </c>
      <c r="X585" s="2118"/>
      <c r="Y585" s="2118"/>
      <c r="Z585" s="2118"/>
      <c r="AA585" s="2118"/>
      <c r="AB585" s="2118"/>
      <c r="AC585" s="2118"/>
      <c r="AD585" s="2118"/>
      <c r="AE585" s="2119" t="s">
        <v>45</v>
      </c>
      <c r="AF585" s="2063" t="s">
        <v>46</v>
      </c>
      <c r="AG585" s="2064"/>
      <c r="AH585" s="2064"/>
      <c r="AI585" s="2064"/>
      <c r="AJ585" s="2064"/>
      <c r="AK585" s="2065"/>
      <c r="AL585" s="1571"/>
      <c r="AM585" s="2045" t="s">
        <v>361</v>
      </c>
      <c r="AN585" s="2056" t="s">
        <v>44</v>
      </c>
      <c r="AO585" s="1533" t="s">
        <v>4</v>
      </c>
      <c r="AP585" s="2036" t="s">
        <v>20</v>
      </c>
      <c r="AQ585" s="2037"/>
      <c r="AR585" s="2038"/>
      <c r="AS585" s="2036" t="s">
        <v>54</v>
      </c>
      <c r="AT585" s="2037"/>
      <c r="AU585" s="2037"/>
      <c r="AV585" s="2037"/>
      <c r="AW585" s="2038"/>
      <c r="AX585" s="1571"/>
      <c r="AY585" s="2042" t="s">
        <v>90</v>
      </c>
      <c r="AZ585" s="2045" t="s">
        <v>97</v>
      </c>
      <c r="BA585" s="2045" t="s">
        <v>720</v>
      </c>
      <c r="BB585" s="2045" t="s">
        <v>362</v>
      </c>
      <c r="BC585" s="1548" t="s">
        <v>4</v>
      </c>
      <c r="BD585" s="2063" t="s">
        <v>41</v>
      </c>
      <c r="BE585" s="2084"/>
      <c r="BG585" s="1555"/>
      <c r="BH585" s="1560"/>
      <c r="BI585" s="1560"/>
      <c r="BJ585" s="1555"/>
      <c r="BK585" s="1561"/>
      <c r="BL585" s="1561"/>
      <c r="BM585" s="1561"/>
      <c r="BN585" s="1555"/>
      <c r="BO585" s="1555"/>
    </row>
    <row r="586" spans="1:75" s="1523" customFormat="1" ht="25.5" customHeight="1">
      <c r="A586" s="2051"/>
      <c r="B586" s="2057"/>
      <c r="C586" s="2057"/>
      <c r="D586" s="1534" t="s">
        <v>7</v>
      </c>
      <c r="E586" s="1534" t="s">
        <v>8</v>
      </c>
      <c r="F586" s="1677" t="s">
        <v>9</v>
      </c>
      <c r="G586" s="1677" t="s">
        <v>9</v>
      </c>
      <c r="H586" s="2131" t="s">
        <v>10</v>
      </c>
      <c r="I586" s="2131"/>
      <c r="J586" s="2131" t="s">
        <v>11</v>
      </c>
      <c r="K586" s="2131"/>
      <c r="L586" s="2131" t="s">
        <v>12</v>
      </c>
      <c r="M586" s="2131"/>
      <c r="N586" s="2131" t="s">
        <v>13</v>
      </c>
      <c r="O586" s="2131"/>
      <c r="P586" s="2131" t="s">
        <v>14</v>
      </c>
      <c r="Q586" s="2131"/>
      <c r="R586" s="2132" t="s">
        <v>15</v>
      </c>
      <c r="S586" s="2132"/>
      <c r="T586" s="2131" t="s">
        <v>16</v>
      </c>
      <c r="U586" s="2131"/>
      <c r="V586" s="2057"/>
      <c r="W586" s="2131" t="s">
        <v>17</v>
      </c>
      <c r="X586" s="2131"/>
      <c r="Y586" s="2131" t="s">
        <v>18</v>
      </c>
      <c r="Z586" s="2131"/>
      <c r="AA586" s="2131"/>
      <c r="AB586" s="2071" t="s">
        <v>19</v>
      </c>
      <c r="AC586" s="2081"/>
      <c r="AD586" s="2072"/>
      <c r="AE586" s="2120"/>
      <c r="AF586" s="2085"/>
      <c r="AG586" s="2122"/>
      <c r="AH586" s="2122"/>
      <c r="AI586" s="2122"/>
      <c r="AJ586" s="2122"/>
      <c r="AK586" s="2123"/>
      <c r="AL586" s="1678"/>
      <c r="AM586" s="2046"/>
      <c r="AN586" s="2057"/>
      <c r="AO586" s="1534" t="s">
        <v>9</v>
      </c>
      <c r="AP586" s="2039"/>
      <c r="AQ586" s="2040"/>
      <c r="AR586" s="2041"/>
      <c r="AS586" s="2039"/>
      <c r="AT586" s="2040"/>
      <c r="AU586" s="2040"/>
      <c r="AV586" s="2040"/>
      <c r="AW586" s="2041"/>
      <c r="AX586" s="1534" t="s">
        <v>21</v>
      </c>
      <c r="AY586" s="2043"/>
      <c r="AZ586" s="2046"/>
      <c r="BA586" s="2046"/>
      <c r="BB586" s="2046"/>
      <c r="BC586" s="1549" t="s">
        <v>9</v>
      </c>
      <c r="BD586" s="2085"/>
      <c r="BE586" s="2086"/>
      <c r="BG586" s="1555"/>
      <c r="BH586" s="1560"/>
      <c r="BI586" s="1560"/>
      <c r="BJ586" s="1555"/>
      <c r="BK586" s="1561"/>
      <c r="BL586" s="1561"/>
      <c r="BM586" s="1561"/>
      <c r="BN586" s="1555"/>
      <c r="BO586" s="1555"/>
    </row>
    <row r="587" spans="1:75" s="1523" customFormat="1" ht="36" customHeight="1">
      <c r="A587" s="2051"/>
      <c r="B587" s="2057"/>
      <c r="C587" s="2057"/>
      <c r="D587" s="1534" t="s">
        <v>22</v>
      </c>
      <c r="E587" s="1534" t="s">
        <v>23</v>
      </c>
      <c r="F587" s="1677" t="s">
        <v>24</v>
      </c>
      <c r="G587" s="1677" t="s">
        <v>25</v>
      </c>
      <c r="H587" s="2073" t="s">
        <v>4</v>
      </c>
      <c r="I587" s="2073"/>
      <c r="J587" s="2073" t="s">
        <v>4</v>
      </c>
      <c r="K587" s="2073"/>
      <c r="L587" s="2073" t="s">
        <v>4</v>
      </c>
      <c r="M587" s="2073"/>
      <c r="N587" s="2073" t="s">
        <v>4</v>
      </c>
      <c r="O587" s="2073"/>
      <c r="P587" s="2073" t="s">
        <v>4</v>
      </c>
      <c r="Q587" s="2073"/>
      <c r="R587" s="2073" t="s">
        <v>4</v>
      </c>
      <c r="S587" s="2073"/>
      <c r="T587" s="2073" t="s">
        <v>4</v>
      </c>
      <c r="U587" s="2073"/>
      <c r="V587" s="2057"/>
      <c r="W587" s="1534" t="s">
        <v>27</v>
      </c>
      <c r="X587" s="1576" t="s">
        <v>28</v>
      </c>
      <c r="Y587" s="1534" t="s">
        <v>27</v>
      </c>
      <c r="Z587" s="2073" t="s">
        <v>4</v>
      </c>
      <c r="AA587" s="2073"/>
      <c r="AB587" s="1534" t="s">
        <v>27</v>
      </c>
      <c r="AC587" s="2071" t="s">
        <v>4</v>
      </c>
      <c r="AD587" s="2072"/>
      <c r="AE587" s="2121"/>
      <c r="AF587" s="1575" t="s">
        <v>56</v>
      </c>
      <c r="AG587" s="1575" t="s">
        <v>57</v>
      </c>
      <c r="AH587" s="1575" t="s">
        <v>60</v>
      </c>
      <c r="AI587" s="1575" t="s">
        <v>288</v>
      </c>
      <c r="AJ587" s="1575" t="s">
        <v>97</v>
      </c>
      <c r="AK587" s="1575" t="s">
        <v>711</v>
      </c>
      <c r="AL587" s="1679"/>
      <c r="AM587" s="2089"/>
      <c r="AN587" s="2090"/>
      <c r="AO587" s="1534" t="s">
        <v>29</v>
      </c>
      <c r="AP587" s="1534" t="s">
        <v>30</v>
      </c>
      <c r="AQ587" s="1534" t="s">
        <v>31</v>
      </c>
      <c r="AR587" s="1534" t="s">
        <v>4</v>
      </c>
      <c r="AS587" s="1534" t="s">
        <v>30</v>
      </c>
      <c r="AT587" s="1534" t="s">
        <v>31</v>
      </c>
      <c r="AU587" s="1534" t="s">
        <v>30</v>
      </c>
      <c r="AV587" s="1534" t="s">
        <v>31</v>
      </c>
      <c r="AW587" s="1534" t="s">
        <v>4</v>
      </c>
      <c r="AX587" s="1534" t="s">
        <v>32</v>
      </c>
      <c r="AY587" s="2043"/>
      <c r="AZ587" s="2046"/>
      <c r="BA587" s="2046"/>
      <c r="BB587" s="2046"/>
      <c r="BC587" s="1549" t="s">
        <v>33</v>
      </c>
      <c r="BD587" s="2073" t="s">
        <v>42</v>
      </c>
      <c r="BE587" s="2075" t="s">
        <v>43</v>
      </c>
      <c r="BG587" s="1573"/>
      <c r="BH587" s="1560"/>
      <c r="BI587" s="1560"/>
      <c r="BJ587" s="1555"/>
      <c r="BK587" s="1561"/>
      <c r="BL587" s="1561"/>
      <c r="BM587" s="1561"/>
      <c r="BN587" s="1555"/>
      <c r="BO587" s="1555"/>
    </row>
    <row r="588" spans="1:75" s="1523" customFormat="1" ht="46.5" customHeight="1" thickBot="1">
      <c r="A588" s="2051"/>
      <c r="B588" s="2057"/>
      <c r="C588" s="2057"/>
      <c r="D588" s="1534"/>
      <c r="E588" s="1534"/>
      <c r="F588" s="1680" t="s">
        <v>34</v>
      </c>
      <c r="G588" s="1680" t="s">
        <v>34</v>
      </c>
      <c r="H588" s="1576" t="s">
        <v>8</v>
      </c>
      <c r="I588" s="1576" t="s">
        <v>34</v>
      </c>
      <c r="J588" s="1576" t="s">
        <v>8</v>
      </c>
      <c r="K588" s="1576" t="s">
        <v>34</v>
      </c>
      <c r="L588" s="1576" t="s">
        <v>8</v>
      </c>
      <c r="M588" s="1576" t="s">
        <v>34</v>
      </c>
      <c r="N588" s="1576" t="s">
        <v>8</v>
      </c>
      <c r="O588" s="1576" t="s">
        <v>34</v>
      </c>
      <c r="P588" s="1576" t="s">
        <v>8</v>
      </c>
      <c r="Q588" s="1576" t="s">
        <v>34</v>
      </c>
      <c r="R588" s="1576" t="s">
        <v>8</v>
      </c>
      <c r="S588" s="1576" t="s">
        <v>34</v>
      </c>
      <c r="T588" s="1576" t="s">
        <v>8</v>
      </c>
      <c r="U588" s="1576" t="s">
        <v>34</v>
      </c>
      <c r="V588" s="2057"/>
      <c r="W588" s="1576" t="s">
        <v>26</v>
      </c>
      <c r="X588" s="1576" t="s">
        <v>34</v>
      </c>
      <c r="Y588" s="1576" t="s">
        <v>26</v>
      </c>
      <c r="Z588" s="1576" t="s">
        <v>26</v>
      </c>
      <c r="AA588" s="1576" t="s">
        <v>34</v>
      </c>
      <c r="AB588" s="1576" t="s">
        <v>26</v>
      </c>
      <c r="AC588" s="1576" t="s">
        <v>35</v>
      </c>
      <c r="AD588" s="1576" t="s">
        <v>34</v>
      </c>
      <c r="AE588" s="1576" t="s">
        <v>34</v>
      </c>
      <c r="AF588" s="1576" t="s">
        <v>34</v>
      </c>
      <c r="AG588" s="1576" t="s">
        <v>34</v>
      </c>
      <c r="AH588" s="1576" t="s">
        <v>34</v>
      </c>
      <c r="AI588" s="1576" t="s">
        <v>34</v>
      </c>
      <c r="AJ588" s="1576" t="s">
        <v>34</v>
      </c>
      <c r="AK588" s="1681" t="s">
        <v>34</v>
      </c>
      <c r="AL588" s="1534" t="s">
        <v>34</v>
      </c>
      <c r="AM588" s="1576" t="s">
        <v>34</v>
      </c>
      <c r="AN588" s="1576" t="s">
        <v>34</v>
      </c>
      <c r="AO588" s="1576" t="s">
        <v>34</v>
      </c>
      <c r="AP588" s="1576" t="s">
        <v>34</v>
      </c>
      <c r="AQ588" s="1576" t="s">
        <v>34</v>
      </c>
      <c r="AR588" s="1576" t="s">
        <v>34</v>
      </c>
      <c r="AS588" s="1576" t="s">
        <v>58</v>
      </c>
      <c r="AT588" s="1576" t="s">
        <v>34</v>
      </c>
      <c r="AU588" s="1576" t="s">
        <v>59</v>
      </c>
      <c r="AV588" s="1576" t="s">
        <v>34</v>
      </c>
      <c r="AW588" s="1576" t="s">
        <v>34</v>
      </c>
      <c r="AX588" s="1534"/>
      <c r="AY588" s="2043"/>
      <c r="AZ588" s="2046"/>
      <c r="BA588" s="2047"/>
      <c r="BB588" s="2046"/>
      <c r="BC588" s="1549" t="s">
        <v>34</v>
      </c>
      <c r="BD588" s="2129"/>
      <c r="BE588" s="2130"/>
      <c r="BG588" s="1555" t="s">
        <v>353</v>
      </c>
      <c r="BH588" s="1578" t="s">
        <v>43</v>
      </c>
      <c r="BI588" s="1578" t="s">
        <v>42</v>
      </c>
      <c r="BJ588" s="1555" t="s">
        <v>354</v>
      </c>
      <c r="BK588" s="1561" t="s">
        <v>358</v>
      </c>
      <c r="BL588" s="1561"/>
      <c r="BM588" s="1561"/>
      <c r="BN588" s="1555"/>
      <c r="BO588" s="1555"/>
    </row>
    <row r="589" spans="1:75" ht="83.25" customHeight="1" thickBot="1">
      <c r="A589" s="1683">
        <v>22</v>
      </c>
      <c r="B589" s="1489" t="s">
        <v>36</v>
      </c>
      <c r="C589" s="1585" t="s">
        <v>699</v>
      </c>
      <c r="D589" s="1590" t="s">
        <v>692</v>
      </c>
      <c r="E589" s="1489">
        <f>'HK PANEN'!AH28</f>
        <v>24</v>
      </c>
      <c r="F589" s="1490">
        <v>129220</v>
      </c>
      <c r="G589" s="1509">
        <f t="shared" si="97"/>
        <v>3101280</v>
      </c>
      <c r="H589" s="1516">
        <f>'HK PANEN'!AI28</f>
        <v>0</v>
      </c>
      <c r="I589" s="1491">
        <f t="shared" si="98"/>
        <v>0</v>
      </c>
      <c r="J589" s="1489">
        <f>'HK PANEN'!AJ28</f>
        <v>0</v>
      </c>
      <c r="K589" s="1491">
        <f t="shared" si="99"/>
        <v>0</v>
      </c>
      <c r="L589" s="1489">
        <f>'HK PANEN'!AK28</f>
        <v>0</v>
      </c>
      <c r="M589" s="1491">
        <f t="shared" si="100"/>
        <v>0</v>
      </c>
      <c r="N589" s="1489">
        <f>'HK PANEN'!AL28</f>
        <v>4</v>
      </c>
      <c r="O589" s="1497">
        <f t="shared" si="101"/>
        <v>516880</v>
      </c>
      <c r="P589" s="1489">
        <f>'HK PANEN'!AM28</f>
        <v>3</v>
      </c>
      <c r="Q589" s="1497">
        <f t="shared" si="102"/>
        <v>387660</v>
      </c>
      <c r="R589" s="1489">
        <f>'HK PANEN'!AN28</f>
        <v>0</v>
      </c>
      <c r="S589" s="1489">
        <f t="shared" si="87"/>
        <v>0</v>
      </c>
      <c r="T589" s="1489">
        <f>'HK PANEN'!AO28</f>
        <v>0</v>
      </c>
      <c r="U589" s="1489">
        <f t="shared" si="70"/>
        <v>0</v>
      </c>
      <c r="V589" s="1491">
        <f t="shared" si="103"/>
        <v>31</v>
      </c>
      <c r="W589" s="1491">
        <v>2250</v>
      </c>
      <c r="X589" s="1491">
        <f t="shared" si="72"/>
        <v>69750</v>
      </c>
      <c r="Y589" s="1491"/>
      <c r="Z589" s="1491"/>
      <c r="AA589" s="1491">
        <f t="shared" si="104"/>
        <v>0</v>
      </c>
      <c r="AB589" s="1497"/>
      <c r="AC589" s="1491">
        <f>'MASA KERJA AB'!H74</f>
        <v>0</v>
      </c>
      <c r="AD589" s="1491">
        <f>'MASA KERJA AB'!I74</f>
        <v>0</v>
      </c>
      <c r="AE589" s="1497"/>
      <c r="AF589" s="1514">
        <f>'MONITORING '!AK251</f>
        <v>410886</v>
      </c>
      <c r="AG589" s="1498">
        <f>'MONITORING '!AK252</f>
        <v>229250</v>
      </c>
      <c r="AH589" s="1515">
        <v>317650</v>
      </c>
      <c r="AI589" s="1499"/>
      <c r="AJ589" s="1498"/>
      <c r="AK589" s="1499"/>
      <c r="AL589" s="1491"/>
      <c r="AM589" s="1491"/>
      <c r="AN589" s="1649">
        <f>'MONITORING '!AK253</f>
        <v>52141</v>
      </c>
      <c r="AO589" s="1494">
        <f t="shared" si="74"/>
        <v>4981215</v>
      </c>
      <c r="AP589" s="1491">
        <f t="shared" si="88"/>
        <v>77532</v>
      </c>
      <c r="AQ589" s="1491">
        <f t="shared" si="89"/>
        <v>175997.64</v>
      </c>
      <c r="AR589" s="1491">
        <f t="shared" si="105"/>
        <v>253529.64</v>
      </c>
      <c r="AS589" s="1489">
        <f t="shared" si="90"/>
        <v>38766</v>
      </c>
      <c r="AT589" s="1489">
        <f t="shared" si="91"/>
        <v>155064</v>
      </c>
      <c r="AU589" s="1491">
        <f t="shared" si="92"/>
        <v>38766</v>
      </c>
      <c r="AV589" s="1491">
        <f t="shared" si="93"/>
        <v>77532</v>
      </c>
      <c r="AW589" s="1491">
        <f t="shared" si="106"/>
        <v>310128</v>
      </c>
      <c r="AX589" s="1649">
        <v>4000</v>
      </c>
      <c r="AY589" s="1491">
        <v>0</v>
      </c>
      <c r="AZ589" s="1491">
        <f>AJ589</f>
        <v>0</v>
      </c>
      <c r="BA589" s="1491"/>
      <c r="BB589" s="1491"/>
      <c r="BC589" s="1489">
        <f t="shared" si="78"/>
        <v>4822151</v>
      </c>
      <c r="BD589" s="1489">
        <f>'HK PANEN'!AQ28</f>
        <v>0</v>
      </c>
      <c r="BE589" s="1495">
        <f>'HK PANEN'!AR28</f>
        <v>0</v>
      </c>
      <c r="BG589" s="1551">
        <f t="shared" si="79"/>
        <v>4005820</v>
      </c>
      <c r="BH589" s="1552">
        <f t="shared" si="80"/>
        <v>0</v>
      </c>
      <c r="BI589" s="1552">
        <f t="shared" si="81"/>
        <v>0</v>
      </c>
      <c r="BJ589" s="1551">
        <f t="shared" si="107"/>
        <v>0</v>
      </c>
      <c r="BK589" s="1553">
        <f t="shared" si="108"/>
        <v>4005820</v>
      </c>
      <c r="BM589" s="1553">
        <f t="shared" si="95"/>
        <v>975395</v>
      </c>
      <c r="BN589" s="1551">
        <v>30582</v>
      </c>
      <c r="BO589" s="1551">
        <f t="shared" si="84"/>
        <v>185646</v>
      </c>
      <c r="BQ589" s="1531">
        <f t="shared" si="85"/>
        <v>410886</v>
      </c>
      <c r="BS589" s="1689" t="s">
        <v>692</v>
      </c>
      <c r="BT589" s="1556">
        <f t="shared" si="96"/>
        <v>410886</v>
      </c>
    </row>
    <row r="590" spans="1:75" s="1523" customFormat="1" ht="64.5" customHeight="1" thickBot="1">
      <c r="A590" s="1690"/>
      <c r="B590" s="1691"/>
      <c r="C590" s="1692"/>
      <c r="D590" s="1691" t="s">
        <v>38</v>
      </c>
      <c r="E590" s="1535">
        <f>SUM(E400:E589)</f>
        <v>492</v>
      </c>
      <c r="F590" s="1535">
        <f t="shared" ref="F590:BC590" si="109">SUM(F400:F589)</f>
        <v>2842840</v>
      </c>
      <c r="G590" s="1535">
        <f t="shared" si="109"/>
        <v>63576240</v>
      </c>
      <c r="H590" s="1535">
        <f t="shared" si="109"/>
        <v>8</v>
      </c>
      <c r="I590" s="1535">
        <f t="shared" si="109"/>
        <v>1033760</v>
      </c>
      <c r="J590" s="1535">
        <f t="shared" si="109"/>
        <v>12</v>
      </c>
      <c r="K590" s="1535">
        <f t="shared" si="109"/>
        <v>1550640</v>
      </c>
      <c r="L590" s="1535">
        <f t="shared" si="109"/>
        <v>2</v>
      </c>
      <c r="M590" s="1535">
        <f t="shared" si="109"/>
        <v>258440</v>
      </c>
      <c r="N590" s="1535">
        <f t="shared" si="109"/>
        <v>87</v>
      </c>
      <c r="O590" s="1535">
        <f t="shared" si="109"/>
        <v>11242140</v>
      </c>
      <c r="P590" s="1535">
        <f t="shared" si="109"/>
        <v>65</v>
      </c>
      <c r="Q590" s="1535">
        <f t="shared" si="109"/>
        <v>8399300</v>
      </c>
      <c r="R590" s="1535">
        <f t="shared" si="109"/>
        <v>0</v>
      </c>
      <c r="S590" s="1535">
        <f t="shared" si="109"/>
        <v>0</v>
      </c>
      <c r="T590" s="1535">
        <f t="shared" si="109"/>
        <v>0</v>
      </c>
      <c r="U590" s="1535">
        <f t="shared" si="109"/>
        <v>0</v>
      </c>
      <c r="V590" s="1535">
        <f t="shared" si="109"/>
        <v>666</v>
      </c>
      <c r="W590" s="1535">
        <f t="shared" si="109"/>
        <v>92800</v>
      </c>
      <c r="X590" s="1535">
        <f t="shared" si="109"/>
        <v>2806300</v>
      </c>
      <c r="Y590" s="1535">
        <f t="shared" si="109"/>
        <v>8500</v>
      </c>
      <c r="Z590" s="1535">
        <f t="shared" si="109"/>
        <v>58</v>
      </c>
      <c r="AA590" s="1535">
        <f t="shared" si="109"/>
        <v>162000</v>
      </c>
      <c r="AB590" s="1535">
        <f t="shared" si="109"/>
        <v>30000</v>
      </c>
      <c r="AC590" s="1535">
        <f t="shared" si="109"/>
        <v>57</v>
      </c>
      <c r="AD590" s="1535">
        <f t="shared" si="109"/>
        <v>154000</v>
      </c>
      <c r="AE590" s="1535">
        <f t="shared" si="109"/>
        <v>4358373.76</v>
      </c>
      <c r="AF590" s="1535">
        <f t="shared" si="109"/>
        <v>7654573</v>
      </c>
      <c r="AG590" s="1535">
        <f t="shared" si="109"/>
        <v>5635000</v>
      </c>
      <c r="AH590" s="1535">
        <f t="shared" si="109"/>
        <v>8612900</v>
      </c>
      <c r="AI590" s="1535">
        <f t="shared" si="109"/>
        <v>2250000</v>
      </c>
      <c r="AJ590" s="1535">
        <f t="shared" si="109"/>
        <v>0</v>
      </c>
      <c r="AK590" s="1535">
        <f t="shared" si="109"/>
        <v>0</v>
      </c>
      <c r="AL590" s="1535">
        <f t="shared" si="109"/>
        <v>0</v>
      </c>
      <c r="AM590" s="1535">
        <f t="shared" si="109"/>
        <v>0</v>
      </c>
      <c r="AN590" s="1535">
        <f t="shared" si="109"/>
        <v>354326</v>
      </c>
      <c r="AO590" s="1535">
        <f t="shared" si="109"/>
        <v>117339340.76000001</v>
      </c>
      <c r="AP590" s="1535">
        <f t="shared" si="109"/>
        <v>164522904</v>
      </c>
      <c r="AQ590" s="1535">
        <f t="shared" si="109"/>
        <v>9299188.0799999982</v>
      </c>
      <c r="AR590" s="1535">
        <f t="shared" si="109"/>
        <v>6283506.9932947941</v>
      </c>
      <c r="AS590" s="1535">
        <f t="shared" si="109"/>
        <v>1795531.8843930643</v>
      </c>
      <c r="AT590" s="1535">
        <f t="shared" si="109"/>
        <v>3417568</v>
      </c>
      <c r="AU590" s="1535">
        <f t="shared" si="109"/>
        <v>852852</v>
      </c>
      <c r="AV590" s="1535">
        <f t="shared" si="109"/>
        <v>1705704</v>
      </c>
      <c r="AW590" s="1535">
        <f t="shared" si="109"/>
        <v>6830516</v>
      </c>
      <c r="AX590" s="1535">
        <f t="shared" si="109"/>
        <v>88000</v>
      </c>
      <c r="AY590" s="1535">
        <f t="shared" si="109"/>
        <v>574595</v>
      </c>
      <c r="AZ590" s="1535">
        <f t="shared" si="109"/>
        <v>0</v>
      </c>
      <c r="BA590" s="1535">
        <f t="shared" si="109"/>
        <v>0</v>
      </c>
      <c r="BB590" s="1535">
        <f t="shared" si="109"/>
        <v>0</v>
      </c>
      <c r="BC590" s="1502">
        <f t="shared" si="109"/>
        <v>113263797.76000001</v>
      </c>
      <c r="BD590" s="1535">
        <f>SUM(BD400:BD589)</f>
        <v>0</v>
      </c>
      <c r="BE590" s="1693">
        <f>SUM(BE400:BE589)</f>
        <v>7</v>
      </c>
      <c r="BF590" s="1694"/>
      <c r="BG590" s="1694">
        <f>SUM(BG400:BG589)</f>
        <v>86060520</v>
      </c>
      <c r="BH590" s="1694">
        <f t="shared" ref="BH590:BT590" si="110">SUM(BH400:BH589)</f>
        <v>0</v>
      </c>
      <c r="BI590" s="1694">
        <f t="shared" si="110"/>
        <v>904540</v>
      </c>
      <c r="BJ590" s="1694">
        <f t="shared" si="110"/>
        <v>-904540</v>
      </c>
      <c r="BK590" s="1694">
        <f t="shared" si="110"/>
        <v>86965060</v>
      </c>
      <c r="BL590" s="1694">
        <f t="shared" si="110"/>
        <v>0</v>
      </c>
      <c r="BM590" s="1694">
        <f t="shared" si="110"/>
        <v>31278820.759999998</v>
      </c>
      <c r="BN590" s="1694">
        <f t="shared" si="110"/>
        <v>673323</v>
      </c>
      <c r="BO590" s="1694">
        <f t="shared" si="110"/>
        <v>4090891</v>
      </c>
      <c r="BP590" s="1694">
        <f t="shared" si="110"/>
        <v>0</v>
      </c>
      <c r="BQ590" s="1694">
        <f t="shared" si="110"/>
        <v>7654573</v>
      </c>
      <c r="BR590" s="1694">
        <f t="shared" si="110"/>
        <v>0</v>
      </c>
      <c r="BS590" s="1694">
        <f t="shared" si="110"/>
        <v>0</v>
      </c>
      <c r="BT590" s="1694">
        <f t="shared" si="110"/>
        <v>7654573</v>
      </c>
      <c r="BU590" s="1694">
        <f t="shared" ref="BU590:BW590" si="111">SUM(BU400:BU562)</f>
        <v>0</v>
      </c>
      <c r="BV590" s="1694">
        <f t="shared" si="111"/>
        <v>0</v>
      </c>
      <c r="BW590" s="1694">
        <f t="shared" si="111"/>
        <v>0</v>
      </c>
    </row>
    <row r="591" spans="1:75" ht="27.75" customHeight="1">
      <c r="D591" s="1601"/>
      <c r="E591" s="1522">
        <f>'HK PANEN'!AH29</f>
        <v>492</v>
      </c>
      <c r="F591" s="1597"/>
      <c r="G591" s="1597"/>
      <c r="H591" s="1598">
        <f>'HK PANEN'!AI29</f>
        <v>8</v>
      </c>
      <c r="I591" s="1522"/>
      <c r="J591" s="1522">
        <f>'HK PANEN'!AJ29</f>
        <v>12</v>
      </c>
      <c r="K591" s="1522"/>
      <c r="L591" s="1522"/>
      <c r="M591" s="1522"/>
      <c r="N591" s="1522">
        <f>'HK PANEN'!AL29</f>
        <v>87</v>
      </c>
      <c r="O591" s="1522"/>
      <c r="P591" s="1522">
        <f>'HK PANEN'!AM29</f>
        <v>65</v>
      </c>
      <c r="Q591" s="1522"/>
      <c r="R591" s="1522"/>
      <c r="S591" s="1522"/>
      <c r="T591" s="1522"/>
      <c r="U591" s="1522"/>
      <c r="V591" s="1522">
        <f>'HK PANEN'!AP29</f>
        <v>666</v>
      </c>
      <c r="W591" s="1522"/>
      <c r="X591" s="1522"/>
      <c r="Y591" s="1522"/>
      <c r="Z591" s="1522"/>
      <c r="AA591" s="1522"/>
      <c r="AB591" s="1522"/>
      <c r="AC591" s="1522"/>
      <c r="AD591" s="1522"/>
      <c r="AE591" s="1522">
        <f>'LEMBUR DAN PREMI UPKEEP'!AJ97</f>
        <v>4358373.76</v>
      </c>
      <c r="AF591" s="1522"/>
      <c r="AG591" s="1695"/>
      <c r="AH591" s="1695"/>
      <c r="AI591" s="1543"/>
      <c r="AJ591" s="1522"/>
      <c r="AK591" s="1522"/>
      <c r="AL591" s="1522"/>
      <c r="AM591" s="1522"/>
      <c r="AN591" s="1522"/>
      <c r="AO591" s="1696">
        <f>G590+I590+K590+O590+Q590+X590+AA590+AD590+AE590+AF590+AG590+AH590+AI590+AJ590-AN590</f>
        <v>117080900.76000001</v>
      </c>
      <c r="AP591" s="1522"/>
      <c r="AQ591" s="1522"/>
      <c r="AR591" s="1522"/>
      <c r="AS591" s="1522"/>
      <c r="AT591" s="1522"/>
      <c r="AU591" s="1522"/>
      <c r="AV591" s="1522"/>
      <c r="AW591" s="1522"/>
      <c r="AX591" s="1522"/>
      <c r="AY591" s="1522"/>
      <c r="AZ591" s="1522"/>
      <c r="BA591" s="1522"/>
      <c r="BB591" s="1522"/>
      <c r="BC591" s="1543"/>
      <c r="BD591" s="1529"/>
      <c r="BE591" s="1529"/>
      <c r="BF591" s="1529"/>
      <c r="BT591" s="1556"/>
    </row>
    <row r="592" spans="1:75" ht="26.25" customHeight="1">
      <c r="A592" s="2049" t="s">
        <v>88</v>
      </c>
      <c r="B592" s="2049"/>
      <c r="C592" s="2049"/>
      <c r="D592" s="2049"/>
      <c r="E592" s="2049"/>
      <c r="F592" s="1662"/>
      <c r="G592" s="1609"/>
      <c r="I592" s="1610"/>
      <c r="J592" s="1610"/>
      <c r="K592" s="1610"/>
      <c r="L592" s="1610"/>
      <c r="M592" s="1610"/>
      <c r="N592" s="1610"/>
      <c r="O592" s="1610"/>
      <c r="P592" s="1610"/>
      <c r="Q592" s="1610"/>
      <c r="R592" s="1610"/>
      <c r="S592" s="1610"/>
      <c r="T592" s="1610"/>
      <c r="U592" s="1610"/>
      <c r="V592" s="1610"/>
      <c r="W592" s="1610"/>
      <c r="X592" s="1610"/>
      <c r="Y592" s="1536"/>
      <c r="Z592" s="1610"/>
      <c r="AA592" s="1536"/>
      <c r="AB592" s="1610"/>
      <c r="AC592" s="1610"/>
      <c r="AD592" s="1610"/>
      <c r="AE592" s="1657">
        <f>AE590-AE591</f>
        <v>0</v>
      </c>
      <c r="AF592" s="1531"/>
      <c r="AG592" s="1531"/>
      <c r="AH592" s="1531"/>
      <c r="AI592" s="1531"/>
      <c r="AJ592" s="1531"/>
      <c r="AK592" s="1697">
        <f>AK590-AK591</f>
        <v>0</v>
      </c>
      <c r="AL592" s="1531"/>
      <c r="AM592" s="1531"/>
      <c r="AN592" s="1531"/>
      <c r="AO592" s="1567">
        <f>AO591-AP590-AS590-AU590-AX590-AY590-AZ590</f>
        <v>-50752982.124393061</v>
      </c>
      <c r="AP592" s="1531"/>
      <c r="AQ592" s="1531"/>
      <c r="AR592" s="1531"/>
      <c r="AS592" s="1531"/>
      <c r="AT592" s="1531"/>
      <c r="AU592" s="1531"/>
      <c r="AV592" s="1531"/>
      <c r="AW592" s="1531"/>
      <c r="AX592" s="1531"/>
      <c r="AY592" s="1531"/>
      <c r="AZ592" s="1531"/>
      <c r="BA592" s="1531"/>
      <c r="BB592" s="1531"/>
      <c r="BC592" s="1531"/>
      <c r="BD592" s="1531"/>
      <c r="BE592" s="1531"/>
      <c r="BF592" s="1531"/>
      <c r="BT592" s="1556"/>
    </row>
    <row r="593" spans="1:72" ht="26.25" customHeight="1">
      <c r="A593" s="1607" t="s">
        <v>672</v>
      </c>
      <c r="B593" s="1532"/>
      <c r="C593" s="1605"/>
      <c r="D593" s="1532"/>
      <c r="E593" s="1536"/>
      <c r="F593" s="1662"/>
      <c r="G593" s="1609"/>
      <c r="I593" s="1610"/>
      <c r="J593" s="1610"/>
      <c r="K593" s="1610"/>
      <c r="L593" s="1610"/>
      <c r="M593" s="1610"/>
      <c r="N593" s="1610"/>
      <c r="O593" s="1610"/>
      <c r="P593" s="1610"/>
      <c r="Q593" s="1610"/>
      <c r="R593" s="1610"/>
      <c r="S593" s="1610"/>
      <c r="T593" s="1610"/>
      <c r="U593" s="1610"/>
      <c r="V593" s="1610"/>
      <c r="W593" s="1610"/>
      <c r="X593" s="1610"/>
      <c r="Y593" s="1536"/>
      <c r="Z593" s="1610"/>
      <c r="AA593" s="1536"/>
      <c r="AB593" s="1610"/>
      <c r="AC593" s="1610"/>
      <c r="AD593" s="1610"/>
      <c r="AE593" s="1657"/>
      <c r="AF593" s="1531"/>
      <c r="AG593" s="1698"/>
      <c r="AH593" s="1698"/>
      <c r="AI593" s="1610"/>
      <c r="AJ593" s="1610"/>
      <c r="AK593" s="1610"/>
      <c r="AL593" s="1699"/>
      <c r="AM593" s="1698"/>
      <c r="AN593" s="1610"/>
      <c r="AO593" s="1700"/>
      <c r="AP593" s="1610"/>
      <c r="AQ593" s="1663"/>
      <c r="AR593" s="1663"/>
      <c r="AS593" s="1536"/>
      <c r="AT593" s="1663"/>
      <c r="AU593" s="1536"/>
      <c r="AV593" s="1663"/>
      <c r="AW593" s="1536"/>
      <c r="AX593" s="1536"/>
      <c r="AY593" s="1536"/>
      <c r="AZ593" s="1536"/>
      <c r="BA593" s="1536"/>
      <c r="BB593" s="1536"/>
      <c r="BC593" s="1536"/>
      <c r="BE593" s="1536"/>
      <c r="BF593" s="1536"/>
      <c r="BT593" s="1556"/>
    </row>
    <row r="594" spans="1:72" ht="26.25" customHeight="1">
      <c r="A594" s="1518" t="s">
        <v>62</v>
      </c>
      <c r="B594" s="1532"/>
      <c r="C594" s="1605"/>
      <c r="D594" s="1523"/>
      <c r="E594" s="1536"/>
      <c r="F594" s="1662"/>
      <c r="G594" s="1609"/>
      <c r="H594" s="1610"/>
      <c r="I594" s="1610"/>
      <c r="J594" s="1610"/>
      <c r="K594" s="1610"/>
      <c r="L594" s="1610"/>
      <c r="M594" s="1610"/>
      <c r="N594" s="1610"/>
      <c r="O594" s="1610"/>
      <c r="P594" s="1610"/>
      <c r="Q594" s="1610"/>
      <c r="R594" s="1610"/>
      <c r="S594" s="1610"/>
      <c r="T594" s="1610"/>
      <c r="U594" s="1610"/>
      <c r="V594" s="1610"/>
      <c r="W594" s="1610"/>
      <c r="X594" s="1536"/>
      <c r="Y594" s="1610"/>
      <c r="Z594" s="1536"/>
      <c r="AA594" s="1610"/>
      <c r="AB594" s="1610"/>
      <c r="AC594" s="1610"/>
      <c r="AD594" s="1610"/>
      <c r="AE594" s="1531"/>
      <c r="AF594" s="1610"/>
      <c r="AG594" s="1699"/>
      <c r="AH594" s="1698"/>
      <c r="AI594" s="1610"/>
      <c r="AJ594" s="1700"/>
      <c r="AK594" s="1610"/>
      <c r="AL594" s="1561"/>
      <c r="AP594" s="1663"/>
      <c r="AQ594" s="1663"/>
      <c r="AR594" s="1536"/>
      <c r="AS594" s="1663"/>
      <c r="AT594" s="1536"/>
      <c r="AU594" s="1663"/>
      <c r="AV594" s="1536"/>
      <c r="AW594" s="1536"/>
      <c r="AX594" s="1536"/>
      <c r="AY594" s="1536"/>
      <c r="AZ594" s="1536"/>
      <c r="BA594" s="1536"/>
      <c r="BB594" s="1536"/>
      <c r="BD594" s="1536"/>
      <c r="BE594" s="1536"/>
      <c r="BT594" s="1556"/>
    </row>
    <row r="595" spans="1:72" s="1523" customFormat="1" ht="20.25" customHeight="1">
      <c r="A595" s="1557"/>
      <c r="B595" s="1532"/>
      <c r="C595" s="1701"/>
      <c r="F595" s="1560" t="s">
        <v>39</v>
      </c>
      <c r="G595" s="1560"/>
      <c r="H595" s="1532"/>
      <c r="I595" s="1532"/>
      <c r="J595" s="1532"/>
      <c r="W595" s="2049" t="s">
        <v>100</v>
      </c>
      <c r="X595" s="2049"/>
      <c r="Y595" s="2049"/>
      <c r="AF595" s="1532" t="s">
        <v>40</v>
      </c>
      <c r="AG595" s="1532"/>
      <c r="AH595" s="1532"/>
      <c r="AI595" s="1532"/>
      <c r="AJ595" s="1532"/>
      <c r="AK595" s="1557"/>
      <c r="AL595" s="1556"/>
      <c r="AO595" s="2049" t="s">
        <v>554</v>
      </c>
      <c r="AP595" s="2049"/>
      <c r="AU595" s="2049" t="s">
        <v>61</v>
      </c>
      <c r="AV595" s="2049"/>
      <c r="AW595" s="2049"/>
      <c r="BB595" s="1532"/>
      <c r="BC595" s="1518"/>
      <c r="BD595" s="1603"/>
      <c r="BE595" s="1604"/>
      <c r="BG595" s="1555"/>
      <c r="BH595" s="1560"/>
      <c r="BI595" s="1560"/>
      <c r="BJ595" s="1555"/>
      <c r="BK595" s="1561"/>
      <c r="BL595" s="1561"/>
      <c r="BM595" s="1561"/>
      <c r="BN595" s="1555"/>
      <c r="BO595" s="1555"/>
      <c r="BT595" s="1556"/>
    </row>
    <row r="596" spans="1:72" s="1523" customFormat="1" ht="22.5" customHeight="1">
      <c r="B596" s="1532"/>
      <c r="C596" s="1701"/>
      <c r="F596" s="1560"/>
      <c r="G596" s="1606"/>
      <c r="AF596" s="1532"/>
      <c r="AG596" s="1532"/>
      <c r="AH596" s="1532"/>
      <c r="AJ596" s="1532"/>
      <c r="AK596" s="1557"/>
      <c r="AL596" s="1561"/>
      <c r="AM596" s="1556"/>
      <c r="AP596" s="1532"/>
      <c r="AQ596" s="1532"/>
      <c r="AR596" s="1532"/>
      <c r="AU596" s="1532"/>
      <c r="AX596" s="1532"/>
      <c r="AY596" s="1532"/>
      <c r="AZ596" s="1532"/>
      <c r="BA596" s="1532"/>
      <c r="BB596" s="1532"/>
      <c r="BC596" s="1518"/>
      <c r="BD596" s="1603"/>
      <c r="BE596" s="1604"/>
      <c r="BG596" s="1555"/>
      <c r="BH596" s="1560"/>
      <c r="BI596" s="1560"/>
      <c r="BJ596" s="1555"/>
      <c r="BK596" s="1561"/>
      <c r="BL596" s="1561"/>
      <c r="BM596" s="1561"/>
      <c r="BN596" s="1555"/>
      <c r="BO596" s="1555"/>
      <c r="BT596" s="1556"/>
    </row>
    <row r="597" spans="1:72" ht="22.5" customHeight="1">
      <c r="C597" s="1702"/>
      <c r="G597" s="1609"/>
      <c r="K597" s="1523"/>
      <c r="L597" s="1523"/>
      <c r="M597" s="1523"/>
      <c r="N597" s="1523"/>
      <c r="R597" s="1523"/>
      <c r="S597" s="1523"/>
      <c r="T597" s="1532"/>
      <c r="U597" s="1532"/>
      <c r="V597" s="1602"/>
      <c r="W597" s="1523"/>
      <c r="X597" s="1602"/>
      <c r="Y597" s="1523"/>
      <c r="AE597" s="1523"/>
      <c r="AF597" s="1602"/>
      <c r="AG597" s="1602"/>
      <c r="AH597" s="1602"/>
      <c r="AI597" s="1523"/>
      <c r="AJ597" s="1523"/>
      <c r="AK597" s="1557"/>
      <c r="AL597" s="1556"/>
      <c r="AM597" s="1523"/>
      <c r="AN597" s="1523"/>
      <c r="AQ597" s="1523"/>
      <c r="AR597" s="1523"/>
      <c r="AS597" s="1523"/>
      <c r="BB597" s="1610"/>
      <c r="BC597" s="1524"/>
      <c r="BD597" s="1524"/>
      <c r="BE597" s="1613"/>
      <c r="BT597" s="1556"/>
    </row>
    <row r="598" spans="1:72" ht="22.5" customHeight="1">
      <c r="C598" s="1702"/>
      <c r="K598" s="1523"/>
      <c r="L598" s="1523"/>
      <c r="M598" s="1523"/>
      <c r="N598" s="1523"/>
      <c r="R598" s="1523"/>
      <c r="S598" s="1523"/>
      <c r="T598" s="1523"/>
      <c r="U598" s="1523"/>
      <c r="V598" s="1523"/>
      <c r="W598" s="1523"/>
      <c r="X598" s="1523"/>
      <c r="Y598" s="1523"/>
      <c r="AE598" s="1523"/>
      <c r="AF598" s="1523"/>
      <c r="AG598" s="1523"/>
      <c r="AH598" s="1523"/>
      <c r="AI598" s="1517"/>
      <c r="AJ598" s="1523"/>
      <c r="AK598" s="1703"/>
      <c r="AL598" s="1556"/>
      <c r="AM598" s="1523"/>
      <c r="AN598" s="1523"/>
      <c r="AO598" s="1531"/>
      <c r="AQ598" s="1523"/>
      <c r="AR598" s="1523"/>
      <c r="AS598" s="1523"/>
      <c r="AU598" s="1531"/>
      <c r="BC598" s="1524"/>
      <c r="BT598" s="1556"/>
    </row>
    <row r="599" spans="1:72" ht="18.75" customHeight="1">
      <c r="D599" s="1638"/>
      <c r="F599" s="1704" t="s">
        <v>193</v>
      </c>
      <c r="G599" s="1704"/>
      <c r="H599" s="1666"/>
      <c r="I599" s="1666"/>
      <c r="J599" s="1666"/>
      <c r="K599" s="1523"/>
      <c r="L599" s="1523"/>
      <c r="M599" s="1523"/>
      <c r="N599" s="1523"/>
      <c r="R599" s="1665"/>
      <c r="S599" s="1665"/>
      <c r="T599" s="1665"/>
      <c r="U599" s="1665"/>
      <c r="V599" s="1665"/>
      <c r="W599" s="2125" t="s">
        <v>274</v>
      </c>
      <c r="X599" s="2125"/>
      <c r="Y599" s="2125"/>
      <c r="AE599" s="1523"/>
      <c r="AF599" s="1666" t="s">
        <v>203</v>
      </c>
      <c r="AG599" s="1666"/>
      <c r="AH599" s="1666"/>
      <c r="AI599" s="1666"/>
      <c r="AJ599" s="1666"/>
      <c r="AK599" s="1669"/>
      <c r="AL599" s="1523"/>
      <c r="AM599" s="1523"/>
      <c r="AN599" s="1670"/>
      <c r="AO599" s="2126" t="s">
        <v>622</v>
      </c>
      <c r="AP599" s="2126"/>
      <c r="AQ599" s="1667"/>
      <c r="AR599" s="1667"/>
      <c r="AS599" s="1523"/>
      <c r="AU599" s="2124" t="s">
        <v>586</v>
      </c>
      <c r="AV599" s="2124"/>
      <c r="AW599" s="2124"/>
      <c r="AX599" s="1670"/>
      <c r="AY599" s="1670"/>
      <c r="AZ599" s="1670"/>
      <c r="BA599" s="1667"/>
      <c r="BB599" s="1599"/>
      <c r="BT599" s="1556"/>
    </row>
    <row r="600" spans="1:72" ht="18.75" customHeight="1">
      <c r="F600" s="1552" t="s">
        <v>151</v>
      </c>
      <c r="G600" s="1552"/>
      <c r="H600" s="1547"/>
      <c r="I600" s="1547"/>
      <c r="J600" s="1547"/>
      <c r="K600" s="1523"/>
      <c r="L600" s="1523"/>
      <c r="M600" s="1523"/>
      <c r="N600" s="1523"/>
      <c r="W600" s="2127" t="s">
        <v>134</v>
      </c>
      <c r="X600" s="2127"/>
      <c r="Y600" s="2127"/>
      <c r="AF600" s="1547" t="s">
        <v>135</v>
      </c>
      <c r="AG600" s="1547"/>
      <c r="AH600" s="1547"/>
      <c r="AI600" s="1547"/>
      <c r="AJ600" s="1547"/>
      <c r="AO600" s="2128" t="s">
        <v>623</v>
      </c>
      <c r="AP600" s="2128"/>
      <c r="AU600" s="2127" t="s">
        <v>585</v>
      </c>
      <c r="AV600" s="2127"/>
      <c r="AW600" s="2127"/>
      <c r="BB600" s="1547"/>
      <c r="BT600" s="1556"/>
    </row>
    <row r="601" spans="1:72" ht="26.25" customHeight="1">
      <c r="A601" s="2048" t="s">
        <v>0</v>
      </c>
      <c r="B601" s="2048"/>
      <c r="C601" s="2048"/>
      <c r="D601" s="2048"/>
      <c r="E601" s="2048"/>
      <c r="F601" s="2048"/>
      <c r="G601" s="2048"/>
      <c r="H601" s="2048"/>
      <c r="I601" s="2048"/>
      <c r="J601" s="2048"/>
      <c r="K601" s="2048"/>
      <c r="L601" s="2048"/>
      <c r="M601" s="2048"/>
      <c r="N601" s="2048"/>
      <c r="O601" s="2048"/>
      <c r="P601" s="2048"/>
      <c r="Q601" s="2048"/>
      <c r="R601" s="2048"/>
      <c r="S601" s="2048"/>
      <c r="T601" s="2048"/>
      <c r="U601" s="2048"/>
      <c r="V601" s="2048"/>
      <c r="W601" s="2048"/>
      <c r="X601" s="2048"/>
      <c r="Y601" s="2048"/>
      <c r="Z601" s="2048"/>
      <c r="AA601" s="2048"/>
      <c r="AB601" s="2048"/>
      <c r="AC601" s="2048"/>
      <c r="AD601" s="2048"/>
      <c r="AE601" s="2048"/>
      <c r="AF601" s="2048"/>
      <c r="AG601" s="2048"/>
      <c r="AH601" s="2048"/>
      <c r="AI601" s="2048"/>
      <c r="AJ601" s="2048"/>
      <c r="AK601" s="2048"/>
      <c r="AL601" s="2048"/>
      <c r="AM601" s="2048"/>
      <c r="AN601" s="2048"/>
      <c r="AO601" s="2048"/>
      <c r="AP601" s="2048"/>
      <c r="AQ601" s="2048"/>
      <c r="AR601" s="2048"/>
      <c r="AS601" s="2048"/>
      <c r="AT601" s="2048"/>
      <c r="AU601" s="2048"/>
      <c r="AV601" s="2048"/>
      <c r="AW601" s="2048"/>
      <c r="AX601" s="2048"/>
      <c r="AY601" s="2048"/>
      <c r="AZ601" s="2048"/>
      <c r="BA601" s="2048"/>
      <c r="BB601" s="2048"/>
      <c r="BC601" s="2048"/>
      <c r="BD601" s="2048"/>
      <c r="BE601" s="2048"/>
      <c r="BT601" s="1556"/>
    </row>
    <row r="602" spans="1:72" ht="26.25" customHeight="1">
      <c r="A602" s="2049" t="s">
        <v>1033</v>
      </c>
      <c r="B602" s="2049"/>
      <c r="C602" s="2049"/>
      <c r="D602" s="2049"/>
      <c r="E602" s="2049"/>
      <c r="F602" s="2049"/>
      <c r="G602" s="2049"/>
      <c r="H602" s="2049"/>
      <c r="I602" s="2049"/>
      <c r="J602" s="2049"/>
      <c r="K602" s="2049"/>
      <c r="L602" s="2049"/>
      <c r="M602" s="2049"/>
      <c r="N602" s="2049"/>
      <c r="O602" s="2049"/>
      <c r="P602" s="2049"/>
      <c r="Q602" s="2049"/>
      <c r="R602" s="2049"/>
      <c r="S602" s="2049"/>
      <c r="T602" s="2049"/>
      <c r="U602" s="2049"/>
      <c r="V602" s="2049"/>
      <c r="W602" s="2049"/>
      <c r="X602" s="2049"/>
      <c r="Y602" s="2049"/>
      <c r="Z602" s="2049"/>
      <c r="AA602" s="2049"/>
      <c r="AB602" s="2049"/>
      <c r="AC602" s="2049"/>
      <c r="AD602" s="2049"/>
      <c r="AE602" s="2049"/>
      <c r="AF602" s="2049"/>
      <c r="AG602" s="2049"/>
      <c r="AH602" s="2049"/>
      <c r="AI602" s="2049"/>
      <c r="AJ602" s="2049"/>
      <c r="AK602" s="2049"/>
      <c r="AL602" s="2049"/>
      <c r="AM602" s="2049"/>
      <c r="AN602" s="2049"/>
      <c r="AO602" s="2049"/>
      <c r="AP602" s="2049"/>
      <c r="AQ602" s="2049"/>
      <c r="AR602" s="2049"/>
      <c r="AS602" s="2049"/>
      <c r="AT602" s="2049"/>
      <c r="AU602" s="2049"/>
      <c r="AV602" s="2049"/>
      <c r="AW602" s="2049"/>
      <c r="AX602" s="2049"/>
      <c r="AY602" s="2049"/>
      <c r="AZ602" s="2049"/>
      <c r="BA602" s="2049"/>
      <c r="BB602" s="2049"/>
      <c r="BC602" s="2049"/>
      <c r="BD602" s="2049"/>
      <c r="BE602" s="2049"/>
      <c r="BT602" s="1556"/>
    </row>
    <row r="603" spans="1:72" ht="26.25" customHeight="1">
      <c r="A603" s="1532"/>
      <c r="B603" s="1532"/>
      <c r="C603" s="1605"/>
      <c r="D603" s="1532"/>
      <c r="E603" s="1532"/>
      <c r="F603" s="1560"/>
      <c r="G603" s="1560"/>
      <c r="H603" s="1532"/>
      <c r="I603" s="1532"/>
      <c r="J603" s="1532"/>
      <c r="K603" s="1532"/>
      <c r="L603" s="1532"/>
      <c r="M603" s="1532"/>
      <c r="N603" s="1532"/>
      <c r="O603" s="1532"/>
      <c r="P603" s="1532"/>
      <c r="Q603" s="1532"/>
      <c r="R603" s="1532"/>
      <c r="S603" s="1532"/>
      <c r="T603" s="1532"/>
      <c r="U603" s="1532"/>
      <c r="V603" s="1532"/>
      <c r="W603" s="1532"/>
      <c r="X603" s="1532"/>
      <c r="Y603" s="1532"/>
      <c r="Z603" s="1532"/>
      <c r="AA603" s="1532"/>
      <c r="AB603" s="1532"/>
      <c r="AC603" s="1532"/>
      <c r="AD603" s="1532"/>
      <c r="AE603" s="1532"/>
      <c r="AF603" s="1532"/>
      <c r="AG603" s="1532"/>
      <c r="AH603" s="1532"/>
      <c r="AI603" s="1532"/>
      <c r="AJ603" s="1532"/>
      <c r="AK603" s="1557"/>
      <c r="AL603" s="1532"/>
      <c r="AM603" s="1532"/>
      <c r="AN603" s="1532"/>
      <c r="AO603" s="1532"/>
      <c r="AP603" s="1671"/>
      <c r="AQ603" s="1671"/>
      <c r="AR603" s="1671"/>
      <c r="AS603" s="1671"/>
      <c r="AT603" s="1532"/>
      <c r="AU603" s="1532"/>
      <c r="AV603" s="1532"/>
      <c r="AW603" s="1532"/>
      <c r="AX603" s="1532"/>
      <c r="AY603" s="1532"/>
      <c r="AZ603" s="1532"/>
      <c r="BA603" s="1532"/>
      <c r="BB603" s="1532"/>
      <c r="BC603" s="1547"/>
      <c r="BD603" s="1532"/>
      <c r="BE603" s="1532"/>
      <c r="BT603" s="1556"/>
    </row>
    <row r="604" spans="1:72" s="1523" customFormat="1" ht="16.5" customHeight="1">
      <c r="D604" s="1523" t="s">
        <v>964</v>
      </c>
      <c r="F604" s="1555"/>
      <c r="G604" s="1555"/>
      <c r="AE604" s="1532"/>
      <c r="AF604" s="1532"/>
      <c r="AG604" s="1532"/>
      <c r="AH604" s="1532"/>
      <c r="AI604" s="1532"/>
      <c r="AJ604" s="1532"/>
      <c r="AK604" s="1557"/>
      <c r="AL604" s="1532"/>
      <c r="AM604" s="1532"/>
      <c r="AO604" s="1561"/>
      <c r="AP604" s="1558">
        <v>3876600</v>
      </c>
      <c r="AQ604" s="1672">
        <f>AP604/30</f>
        <v>129220</v>
      </c>
      <c r="AR604" s="1705">
        <f>AP604/173*1.5</f>
        <v>33612.138728323698</v>
      </c>
      <c r="AS604" s="1706">
        <f>AP604/173*2</f>
        <v>44816.184971098264</v>
      </c>
      <c r="AT604" s="1532" t="s">
        <v>55</v>
      </c>
      <c r="AU604" s="1523" t="s">
        <v>329</v>
      </c>
      <c r="BC604" s="1518"/>
      <c r="BE604" s="1532"/>
      <c r="BG604" s="1555"/>
      <c r="BH604" s="1560"/>
      <c r="BI604" s="1560"/>
      <c r="BJ604" s="1555"/>
      <c r="BK604" s="1561"/>
      <c r="BL604" s="1561"/>
      <c r="BM604" s="1561"/>
      <c r="BN604" s="1555"/>
      <c r="BO604" s="1555"/>
      <c r="BT604" s="1556"/>
    </row>
    <row r="605" spans="1:72" ht="18.75" customHeight="1" thickBot="1">
      <c r="A605" s="1547"/>
      <c r="D605" s="1532"/>
      <c r="E605" s="1563"/>
      <c r="F605" s="1675"/>
      <c r="G605" s="1564"/>
      <c r="H605" s="1563"/>
      <c r="I605" s="1563"/>
      <c r="J605" s="1563"/>
      <c r="K605" s="1563"/>
      <c r="L605" s="1563"/>
      <c r="M605" s="1563"/>
      <c r="N605" s="1563"/>
      <c r="O605" s="1563"/>
      <c r="Q605" s="1563"/>
      <c r="R605" s="1563"/>
      <c r="S605" s="1563"/>
      <c r="T605" s="1563"/>
      <c r="U605" s="1563"/>
      <c r="V605" s="1563"/>
      <c r="W605" s="1563"/>
      <c r="X605" s="1563"/>
      <c r="Y605" s="1563"/>
      <c r="Z605" s="1563"/>
      <c r="AA605" s="1563"/>
      <c r="AB605" s="1563"/>
      <c r="AC605" s="1563"/>
      <c r="AD605" s="1563"/>
      <c r="AE605" s="1563"/>
      <c r="AF605" s="1563"/>
      <c r="AG605" s="1563"/>
      <c r="AH605" s="1563"/>
      <c r="AI605" s="1563"/>
      <c r="AJ605" s="1563"/>
      <c r="AK605" s="1565"/>
      <c r="AL605" s="1563"/>
      <c r="AM605" s="1563"/>
      <c r="AO605" s="1563"/>
      <c r="AP605" s="1558">
        <v>3876600</v>
      </c>
      <c r="AQ605" s="1566">
        <f>AP605/30</f>
        <v>129220</v>
      </c>
      <c r="AR605" s="1598"/>
      <c r="AS605" s="1598"/>
      <c r="AT605" s="1556"/>
      <c r="BT605" s="1556"/>
    </row>
    <row r="606" spans="1:72" s="1523" customFormat="1" ht="18.75" customHeight="1">
      <c r="A606" s="2050" t="s">
        <v>5</v>
      </c>
      <c r="B606" s="2056" t="s">
        <v>6</v>
      </c>
      <c r="C606" s="2056" t="s">
        <v>52</v>
      </c>
      <c r="D606" s="1571"/>
      <c r="E606" s="1571"/>
      <c r="F606" s="1676"/>
      <c r="G606" s="1676"/>
      <c r="H606" s="2118" t="s">
        <v>2</v>
      </c>
      <c r="I606" s="2118"/>
      <c r="J606" s="2118"/>
      <c r="K606" s="2118"/>
      <c r="L606" s="2118"/>
      <c r="M606" s="2118"/>
      <c r="N606" s="2118"/>
      <c r="O606" s="2118"/>
      <c r="P606" s="2118"/>
      <c r="Q606" s="2118"/>
      <c r="R606" s="2118"/>
      <c r="S606" s="2118"/>
      <c r="T606" s="2118"/>
      <c r="U606" s="2118"/>
      <c r="V606" s="2056" t="s">
        <v>286</v>
      </c>
      <c r="W606" s="2118" t="s">
        <v>3</v>
      </c>
      <c r="X606" s="2118"/>
      <c r="Y606" s="2118"/>
      <c r="Z606" s="2118"/>
      <c r="AA606" s="2118"/>
      <c r="AB606" s="2118"/>
      <c r="AC606" s="2118"/>
      <c r="AD606" s="2118"/>
      <c r="AE606" s="2042" t="s">
        <v>45</v>
      </c>
      <c r="AF606" s="2063" t="s">
        <v>46</v>
      </c>
      <c r="AG606" s="2064"/>
      <c r="AH606" s="2064"/>
      <c r="AI606" s="2064"/>
      <c r="AJ606" s="2064"/>
      <c r="AK606" s="2065"/>
      <c r="AL606" s="2045"/>
      <c r="AM606" s="2045" t="s">
        <v>98</v>
      </c>
      <c r="AN606" s="2056" t="s">
        <v>44</v>
      </c>
      <c r="AO606" s="1533" t="s">
        <v>4</v>
      </c>
      <c r="AP606" s="2036" t="s">
        <v>20</v>
      </c>
      <c r="AQ606" s="2037"/>
      <c r="AR606" s="2038"/>
      <c r="AS606" s="2036" t="s">
        <v>54</v>
      </c>
      <c r="AT606" s="2037"/>
      <c r="AU606" s="2037"/>
      <c r="AV606" s="2037"/>
      <c r="AW606" s="2038"/>
      <c r="AX606" s="1571"/>
      <c r="AY606" s="2042" t="s">
        <v>90</v>
      </c>
      <c r="AZ606" s="2045" t="s">
        <v>97</v>
      </c>
      <c r="BA606" s="2045" t="s">
        <v>720</v>
      </c>
      <c r="BB606" s="2045"/>
      <c r="BC606" s="1548" t="s">
        <v>4</v>
      </c>
      <c r="BD606" s="2063" t="s">
        <v>41</v>
      </c>
      <c r="BE606" s="2084"/>
      <c r="BG606" s="1555"/>
      <c r="BH606" s="1560"/>
      <c r="BI606" s="1560"/>
      <c r="BJ606" s="1555"/>
      <c r="BK606" s="1561"/>
      <c r="BL606" s="1561"/>
      <c r="BM606" s="1561"/>
      <c r="BN606" s="1555"/>
      <c r="BO606" s="1555"/>
      <c r="BT606" s="1556"/>
    </row>
    <row r="607" spans="1:72" s="1523" customFormat="1" ht="25.5" customHeight="1">
      <c r="A607" s="2051"/>
      <c r="B607" s="2057"/>
      <c r="C607" s="2057"/>
      <c r="D607" s="1534" t="s">
        <v>7</v>
      </c>
      <c r="E607" s="1534" t="s">
        <v>8</v>
      </c>
      <c r="F607" s="1677" t="s">
        <v>9</v>
      </c>
      <c r="G607" s="1677" t="s">
        <v>9</v>
      </c>
      <c r="H607" s="2131" t="s">
        <v>10</v>
      </c>
      <c r="I607" s="2131"/>
      <c r="J607" s="2131" t="s">
        <v>11</v>
      </c>
      <c r="K607" s="2131"/>
      <c r="L607" s="2131" t="s">
        <v>12</v>
      </c>
      <c r="M607" s="2131"/>
      <c r="N607" s="2131" t="s">
        <v>13</v>
      </c>
      <c r="O607" s="2131"/>
      <c r="P607" s="2131" t="s">
        <v>14</v>
      </c>
      <c r="Q607" s="2131"/>
      <c r="R607" s="2132" t="s">
        <v>15</v>
      </c>
      <c r="S607" s="2132"/>
      <c r="T607" s="2131" t="s">
        <v>16</v>
      </c>
      <c r="U607" s="2131"/>
      <c r="V607" s="2057"/>
      <c r="W607" s="2131" t="s">
        <v>17</v>
      </c>
      <c r="X607" s="2131"/>
      <c r="Y607" s="2131" t="s">
        <v>18</v>
      </c>
      <c r="Z607" s="2131"/>
      <c r="AA607" s="2131"/>
      <c r="AB607" s="2071" t="s">
        <v>19</v>
      </c>
      <c r="AC607" s="2081"/>
      <c r="AD607" s="2072"/>
      <c r="AE607" s="2043"/>
      <c r="AF607" s="2085"/>
      <c r="AG607" s="2122"/>
      <c r="AH607" s="2122"/>
      <c r="AI607" s="2122"/>
      <c r="AJ607" s="2122"/>
      <c r="AK607" s="2123"/>
      <c r="AL607" s="2046"/>
      <c r="AM607" s="2046"/>
      <c r="AN607" s="2057"/>
      <c r="AO607" s="1534" t="s">
        <v>9</v>
      </c>
      <c r="AP607" s="2039"/>
      <c r="AQ607" s="2040"/>
      <c r="AR607" s="2041"/>
      <c r="AS607" s="2039"/>
      <c r="AT607" s="2040"/>
      <c r="AU607" s="2040"/>
      <c r="AV607" s="2040"/>
      <c r="AW607" s="2041"/>
      <c r="AX607" s="1534" t="s">
        <v>21</v>
      </c>
      <c r="AY607" s="2043"/>
      <c r="AZ607" s="2046"/>
      <c r="BA607" s="2046"/>
      <c r="BB607" s="2046"/>
      <c r="BC607" s="1549" t="s">
        <v>9</v>
      </c>
      <c r="BD607" s="2085"/>
      <c r="BE607" s="2086"/>
      <c r="BG607" s="1555"/>
      <c r="BH607" s="1560"/>
      <c r="BI607" s="1560"/>
      <c r="BJ607" s="1555"/>
      <c r="BK607" s="1561"/>
      <c r="BL607" s="1561"/>
      <c r="BM607" s="1561"/>
      <c r="BN607" s="1555"/>
      <c r="BO607" s="1555"/>
      <c r="BT607" s="1556"/>
    </row>
    <row r="608" spans="1:72" s="1532" customFormat="1" ht="36" customHeight="1">
      <c r="A608" s="2051"/>
      <c r="B608" s="2057"/>
      <c r="C608" s="2057"/>
      <c r="D608" s="1534" t="s">
        <v>22</v>
      </c>
      <c r="E608" s="1534" t="s">
        <v>23</v>
      </c>
      <c r="F608" s="1677" t="s">
        <v>24</v>
      </c>
      <c r="G608" s="1677" t="s">
        <v>25</v>
      </c>
      <c r="H608" s="2073" t="s">
        <v>4</v>
      </c>
      <c r="I608" s="2073"/>
      <c r="J608" s="2073" t="s">
        <v>4</v>
      </c>
      <c r="K608" s="2073"/>
      <c r="L608" s="2073" t="s">
        <v>4</v>
      </c>
      <c r="M608" s="2073"/>
      <c r="N608" s="2073" t="s">
        <v>4</v>
      </c>
      <c r="O608" s="2073"/>
      <c r="P608" s="2073" t="s">
        <v>4</v>
      </c>
      <c r="Q608" s="2073"/>
      <c r="R608" s="2073" t="s">
        <v>4</v>
      </c>
      <c r="S608" s="2073"/>
      <c r="T608" s="2073" t="s">
        <v>4</v>
      </c>
      <c r="U608" s="2073"/>
      <c r="V608" s="2057"/>
      <c r="W608" s="1534" t="s">
        <v>27</v>
      </c>
      <c r="X608" s="1576" t="s">
        <v>28</v>
      </c>
      <c r="Y608" s="1534" t="s">
        <v>27</v>
      </c>
      <c r="Z608" s="2073" t="s">
        <v>4</v>
      </c>
      <c r="AA608" s="2073"/>
      <c r="AB608" s="1534" t="s">
        <v>27</v>
      </c>
      <c r="AC608" s="2071" t="s">
        <v>4</v>
      </c>
      <c r="AD608" s="2072"/>
      <c r="AE608" s="2062"/>
      <c r="AF608" s="1575" t="s">
        <v>56</v>
      </c>
      <c r="AG608" s="1575" t="s">
        <v>57</v>
      </c>
      <c r="AH608" s="1575" t="s">
        <v>60</v>
      </c>
      <c r="AI608" s="1575" t="s">
        <v>288</v>
      </c>
      <c r="AJ608" s="1575" t="s">
        <v>97</v>
      </c>
      <c r="AK608" s="1575" t="s">
        <v>355</v>
      </c>
      <c r="AL608" s="2089"/>
      <c r="AM608" s="2089"/>
      <c r="AN608" s="2090"/>
      <c r="AO608" s="1534" t="s">
        <v>29</v>
      </c>
      <c r="AP608" s="1534" t="s">
        <v>30</v>
      </c>
      <c r="AQ608" s="1534" t="s">
        <v>31</v>
      </c>
      <c r="AR608" s="1534" t="s">
        <v>4</v>
      </c>
      <c r="AS608" s="1534" t="s">
        <v>30</v>
      </c>
      <c r="AT608" s="1534" t="s">
        <v>31</v>
      </c>
      <c r="AU608" s="1534" t="s">
        <v>30</v>
      </c>
      <c r="AV608" s="1534" t="s">
        <v>31</v>
      </c>
      <c r="AW608" s="1534" t="s">
        <v>4</v>
      </c>
      <c r="AX608" s="1534" t="s">
        <v>32</v>
      </c>
      <c r="AY608" s="2043"/>
      <c r="AZ608" s="2046"/>
      <c r="BA608" s="2046"/>
      <c r="BB608" s="2046"/>
      <c r="BC608" s="1549" t="s">
        <v>33</v>
      </c>
      <c r="BD608" s="2073" t="s">
        <v>42</v>
      </c>
      <c r="BE608" s="2075" t="s">
        <v>43</v>
      </c>
      <c r="BG608" s="1560"/>
      <c r="BH608" s="1560"/>
      <c r="BI608" s="1560"/>
      <c r="BJ608" s="1560"/>
      <c r="BK608" s="1707"/>
      <c r="BL608" s="1561"/>
      <c r="BM608" s="1561"/>
      <c r="BN608" s="1555"/>
      <c r="BO608" s="1555"/>
      <c r="BT608" s="1556"/>
    </row>
    <row r="609" spans="1:72" s="1523" customFormat="1" ht="24" customHeight="1" thickBot="1">
      <c r="A609" s="2052"/>
      <c r="B609" s="2058"/>
      <c r="C609" s="2058"/>
      <c r="D609" s="1537"/>
      <c r="E609" s="1537"/>
      <c r="F609" s="1579" t="s">
        <v>34</v>
      </c>
      <c r="G609" s="1579" t="s">
        <v>34</v>
      </c>
      <c r="H609" s="1581" t="s">
        <v>8</v>
      </c>
      <c r="I609" s="1581" t="s">
        <v>34</v>
      </c>
      <c r="J609" s="1581" t="s">
        <v>8</v>
      </c>
      <c r="K609" s="1581" t="s">
        <v>34</v>
      </c>
      <c r="L609" s="1581" t="s">
        <v>8</v>
      </c>
      <c r="M609" s="1581" t="s">
        <v>34</v>
      </c>
      <c r="N609" s="1581" t="s">
        <v>8</v>
      </c>
      <c r="O609" s="1581" t="s">
        <v>34</v>
      </c>
      <c r="P609" s="1581" t="s">
        <v>8</v>
      </c>
      <c r="Q609" s="1581" t="s">
        <v>34</v>
      </c>
      <c r="R609" s="1581" t="s">
        <v>8</v>
      </c>
      <c r="S609" s="1581" t="s">
        <v>34</v>
      </c>
      <c r="T609" s="1581" t="s">
        <v>8</v>
      </c>
      <c r="U609" s="1581" t="s">
        <v>34</v>
      </c>
      <c r="V609" s="2058"/>
      <c r="W609" s="1581" t="s">
        <v>26</v>
      </c>
      <c r="X609" s="1581" t="s">
        <v>34</v>
      </c>
      <c r="Y609" s="1581" t="s">
        <v>26</v>
      </c>
      <c r="Z609" s="1581" t="s">
        <v>26</v>
      </c>
      <c r="AA609" s="1581" t="s">
        <v>34</v>
      </c>
      <c r="AB609" s="1581" t="s">
        <v>26</v>
      </c>
      <c r="AC609" s="1581" t="s">
        <v>35</v>
      </c>
      <c r="AD609" s="1581" t="s">
        <v>34</v>
      </c>
      <c r="AE609" s="1581" t="s">
        <v>34</v>
      </c>
      <c r="AF609" s="1581" t="s">
        <v>34</v>
      </c>
      <c r="AG609" s="1581" t="s">
        <v>34</v>
      </c>
      <c r="AH609" s="1581" t="s">
        <v>34</v>
      </c>
      <c r="AI609" s="1581" t="s">
        <v>34</v>
      </c>
      <c r="AJ609" s="1581" t="s">
        <v>34</v>
      </c>
      <c r="AK609" s="1708" t="s">
        <v>34</v>
      </c>
      <c r="AL609" s="1581" t="s">
        <v>34</v>
      </c>
      <c r="AM609" s="1581" t="s">
        <v>34</v>
      </c>
      <c r="AN609" s="1581" t="s">
        <v>34</v>
      </c>
      <c r="AO609" s="1581" t="s">
        <v>34</v>
      </c>
      <c r="AP609" s="1581" t="s">
        <v>34</v>
      </c>
      <c r="AQ609" s="1581" t="s">
        <v>34</v>
      </c>
      <c r="AR609" s="1581" t="s">
        <v>34</v>
      </c>
      <c r="AS609" s="1581" t="s">
        <v>58</v>
      </c>
      <c r="AT609" s="1581" t="s">
        <v>34</v>
      </c>
      <c r="AU609" s="1581" t="s">
        <v>59</v>
      </c>
      <c r="AV609" s="1581" t="s">
        <v>34</v>
      </c>
      <c r="AW609" s="1581" t="s">
        <v>34</v>
      </c>
      <c r="AX609" s="1537"/>
      <c r="AY609" s="2044"/>
      <c r="AZ609" s="2047"/>
      <c r="BA609" s="2047"/>
      <c r="BB609" s="2047"/>
      <c r="BC609" s="1550" t="s">
        <v>34</v>
      </c>
      <c r="BD609" s="2074"/>
      <c r="BE609" s="2076"/>
      <c r="BG609" s="1555" t="s">
        <v>353</v>
      </c>
      <c r="BH609" s="1578" t="s">
        <v>43</v>
      </c>
      <c r="BI609" s="1578" t="s">
        <v>42</v>
      </c>
      <c r="BJ609" s="1555" t="s">
        <v>354</v>
      </c>
      <c r="BK609" s="1561" t="s">
        <v>358</v>
      </c>
      <c r="BL609" s="1561"/>
      <c r="BM609" s="1561"/>
      <c r="BN609" s="1555"/>
      <c r="BO609" s="1555"/>
      <c r="BT609" s="1523" t="s">
        <v>718</v>
      </c>
    </row>
    <row r="610" spans="1:72" ht="83.25" customHeight="1" thickBot="1">
      <c r="A610" s="1683">
        <v>1</v>
      </c>
      <c r="B610" s="1489" t="s">
        <v>36</v>
      </c>
      <c r="C610" s="1585" t="s">
        <v>767</v>
      </c>
      <c r="D610" s="1590" t="s">
        <v>748</v>
      </c>
      <c r="E610" s="1516">
        <f>'HK PANEN'!AH48</f>
        <v>24</v>
      </c>
      <c r="F610" s="1490">
        <v>129220</v>
      </c>
      <c r="G610" s="1509">
        <f t="shared" ref="G610:G680" si="112">F610*E610</f>
        <v>3101280</v>
      </c>
      <c r="H610" s="1516">
        <f>'HK PANEN'!AI48</f>
        <v>0</v>
      </c>
      <c r="I610" s="1491">
        <f t="shared" ref="I610:I680" si="113">H610*F610</f>
        <v>0</v>
      </c>
      <c r="J610" s="1516">
        <f>'HK PANEN'!AJ48</f>
        <v>0</v>
      </c>
      <c r="K610" s="1491">
        <f t="shared" ref="K610:K680" si="114">J610*F610</f>
        <v>0</v>
      </c>
      <c r="L610" s="1516"/>
      <c r="M610" s="1491">
        <f t="shared" ref="M610:M680" si="115">L610*F610</f>
        <v>0</v>
      </c>
      <c r="N610" s="1516">
        <f>'HK PANEN'!AL48</f>
        <v>4</v>
      </c>
      <c r="O610" s="1497">
        <f t="shared" ref="O610:O680" si="116">N610*F610</f>
        <v>516880</v>
      </c>
      <c r="P610" s="1516">
        <f>'HK PANEN'!AM48</f>
        <v>3</v>
      </c>
      <c r="Q610" s="1497">
        <f t="shared" ref="Q610:Q680" si="117">P610*F610</f>
        <v>387660</v>
      </c>
      <c r="R610" s="1489"/>
      <c r="S610" s="1497">
        <f t="shared" ref="S610:S680" si="118">R610*H610</f>
        <v>0</v>
      </c>
      <c r="T610" s="1516">
        <f>'HK PANEN'!AO62</f>
        <v>0</v>
      </c>
      <c r="U610" s="1491">
        <f t="shared" ref="U610:U680" si="119">T610*F610</f>
        <v>0</v>
      </c>
      <c r="V610" s="1491">
        <f t="shared" ref="V610:V680" si="120">+T610+R610+P610+N610+L610+J610+H610+E610</f>
        <v>31</v>
      </c>
      <c r="W610" s="1491"/>
      <c r="X610" s="1491"/>
      <c r="Y610" s="1491"/>
      <c r="Z610" s="1491"/>
      <c r="AA610" s="1491">
        <f t="shared" ref="AA610:AA680" si="121">Z610*Y610</f>
        <v>0</v>
      </c>
      <c r="AB610" s="1497"/>
      <c r="AC610" s="1491"/>
      <c r="AD610" s="1497">
        <f t="shared" ref="AD610:AD680" si="122">AB610*AC610</f>
        <v>0</v>
      </c>
      <c r="AE610" s="1497"/>
      <c r="AF610" s="1514">
        <f>'MONITORING '!AK264</f>
        <v>63176</v>
      </c>
      <c r="AG610" s="1498">
        <f>'MONITORING '!AK265</f>
        <v>243250</v>
      </c>
      <c r="AH610" s="1515">
        <v>380150</v>
      </c>
      <c r="AI610" s="1491">
        <f>'INSETIF MEI''25'!L27</f>
        <v>0</v>
      </c>
      <c r="AJ610" s="1498"/>
      <c r="AK610" s="1499"/>
      <c r="AL610" s="1491"/>
      <c r="AM610" s="1491"/>
      <c r="AN610" s="1649">
        <f>'MONITORING '!AK266</f>
        <v>78212</v>
      </c>
      <c r="AO610" s="1494">
        <f t="shared" ref="AO610:AO680" si="123">SUM(G610+I610+K610+M610+O610+Q610+S610+U610+X610+AA610+AD610+AE610+AF610+AG610+AH610+AI610+AJ610+AK610+AL610+AM610-AN610)</f>
        <v>4614184</v>
      </c>
      <c r="AP610" s="1491">
        <f t="shared" si="88"/>
        <v>77532</v>
      </c>
      <c r="AQ610" s="1491">
        <f t="shared" si="89"/>
        <v>175997.64</v>
      </c>
      <c r="AR610" s="1491">
        <f t="shared" ref="AR610:AR680" si="124">SUM(AQ610+AP610)</f>
        <v>253529.64</v>
      </c>
      <c r="AS610" s="1489">
        <f t="shared" ref="AS610:AS670" si="125">($AP$4+AD610)*1%</f>
        <v>38766</v>
      </c>
      <c r="AT610" s="1489">
        <f t="shared" ref="AT610:AT670" si="126">($AP$4+AD610)*4%</f>
        <v>155064</v>
      </c>
      <c r="AU610" s="1491">
        <f t="shared" si="92"/>
        <v>38766</v>
      </c>
      <c r="AV610" s="1491">
        <f t="shared" si="93"/>
        <v>77532</v>
      </c>
      <c r="AW610" s="1491">
        <f t="shared" ref="AW610:AW640" si="127">SUM(AS610:AV610)</f>
        <v>310128</v>
      </c>
      <c r="AX610" s="1491"/>
      <c r="AY610" s="1491"/>
      <c r="AZ610" s="1491">
        <f t="shared" ref="AZ610:AZ680" si="128">AJ610</f>
        <v>0</v>
      </c>
      <c r="BA610" s="1491"/>
      <c r="BB610" s="1491"/>
      <c r="BC610" s="1489">
        <f t="shared" ref="BC610:BC640" si="129">SUM(AO610-AP610-AS610-AU610-AX610-AY610-AZ610-BB610)-BA610</f>
        <v>4459120</v>
      </c>
      <c r="BD610" s="1489">
        <f>'HK PANEN'!AQ48</f>
        <v>0</v>
      </c>
      <c r="BE610" s="1495">
        <f>'HK PANEN'!AR48</f>
        <v>0</v>
      </c>
      <c r="BG610" s="1551">
        <f t="shared" ref="BG610:BG680" si="130">V610*F610</f>
        <v>4005820</v>
      </c>
      <c r="BH610" s="1552">
        <f t="shared" ref="BH610:BH680" si="131">BD610*F610</f>
        <v>0</v>
      </c>
      <c r="BI610" s="1552">
        <f t="shared" ref="BI610:BI680" si="132">BE610*F610</f>
        <v>0</v>
      </c>
      <c r="BJ610" s="1551">
        <f t="shared" ref="BJ610:BJ680" si="133">-(BH610+BI610)</f>
        <v>0</v>
      </c>
      <c r="BK610" s="1553">
        <f t="shared" ref="BK610:BK680" si="134">SUM(BG610:BI610)</f>
        <v>4005820</v>
      </c>
      <c r="BS610" s="1689" t="s">
        <v>692</v>
      </c>
      <c r="BT610" s="1556">
        <f t="shared" ref="BT610:BT680" si="135">AF610+AJ610</f>
        <v>63176</v>
      </c>
    </row>
    <row r="611" spans="1:72" ht="26.25" customHeight="1">
      <c r="A611" s="2048" t="s">
        <v>0</v>
      </c>
      <c r="B611" s="2048"/>
      <c r="C611" s="2048"/>
      <c r="D611" s="2048"/>
      <c r="E611" s="2048"/>
      <c r="F611" s="2048"/>
      <c r="G611" s="2048"/>
      <c r="H611" s="2048"/>
      <c r="I611" s="2048"/>
      <c r="J611" s="2048"/>
      <c r="K611" s="2048"/>
      <c r="L611" s="2048"/>
      <c r="M611" s="2048"/>
      <c r="N611" s="2048"/>
      <c r="O611" s="2048"/>
      <c r="P611" s="2048"/>
      <c r="Q611" s="2048"/>
      <c r="R611" s="2048"/>
      <c r="S611" s="2048"/>
      <c r="T611" s="2048"/>
      <c r="U611" s="2048"/>
      <c r="V611" s="2048"/>
      <c r="W611" s="2048"/>
      <c r="X611" s="2048"/>
      <c r="Y611" s="2048"/>
      <c r="Z611" s="2048"/>
      <c r="AA611" s="2048"/>
      <c r="AB611" s="2048"/>
      <c r="AC611" s="2048"/>
      <c r="AD611" s="2048"/>
      <c r="AE611" s="2048"/>
      <c r="AF611" s="2048"/>
      <c r="AG611" s="2048"/>
      <c r="AH611" s="2048"/>
      <c r="AI611" s="2048"/>
      <c r="AJ611" s="2048"/>
      <c r="AK611" s="2048"/>
      <c r="AL611" s="2048"/>
      <c r="AM611" s="2048"/>
      <c r="AN611" s="2048"/>
      <c r="AO611" s="2048"/>
      <c r="AP611" s="2048"/>
      <c r="AQ611" s="2048"/>
      <c r="AR611" s="2048"/>
      <c r="AS611" s="2048"/>
      <c r="AT611" s="2048"/>
      <c r="AU611" s="2048"/>
      <c r="AV611" s="2048"/>
      <c r="AW611" s="2048"/>
      <c r="AX611" s="2048"/>
      <c r="AY611" s="2048"/>
      <c r="AZ611" s="2048"/>
      <c r="BA611" s="2048"/>
      <c r="BB611" s="2048"/>
      <c r="BC611" s="2048"/>
      <c r="BD611" s="2048"/>
      <c r="BE611" s="2048"/>
      <c r="BT611" s="1556"/>
    </row>
    <row r="612" spans="1:72" ht="26.25" customHeight="1">
      <c r="A612" s="2049" t="s">
        <v>1033</v>
      </c>
      <c r="B612" s="2049"/>
      <c r="C612" s="2049"/>
      <c r="D612" s="2049"/>
      <c r="E612" s="2049"/>
      <c r="F612" s="2049"/>
      <c r="G612" s="2049"/>
      <c r="H612" s="2049"/>
      <c r="I612" s="2049"/>
      <c r="J612" s="2049"/>
      <c r="K612" s="2049"/>
      <c r="L612" s="2049"/>
      <c r="M612" s="2049"/>
      <c r="N612" s="2049"/>
      <c r="O612" s="2049"/>
      <c r="P612" s="2049"/>
      <c r="Q612" s="2049"/>
      <c r="R612" s="2049"/>
      <c r="S612" s="2049"/>
      <c r="T612" s="2049"/>
      <c r="U612" s="2049"/>
      <c r="V612" s="2049"/>
      <c r="W612" s="2049"/>
      <c r="X612" s="2049"/>
      <c r="Y612" s="2049"/>
      <c r="Z612" s="2049"/>
      <c r="AA612" s="2049"/>
      <c r="AB612" s="2049"/>
      <c r="AC612" s="2049"/>
      <c r="AD612" s="2049"/>
      <c r="AE612" s="2049"/>
      <c r="AF612" s="2049"/>
      <c r="AG612" s="2049"/>
      <c r="AH612" s="2049"/>
      <c r="AI612" s="2049"/>
      <c r="AJ612" s="2049"/>
      <c r="AK612" s="2049"/>
      <c r="AL612" s="2049"/>
      <c r="AM612" s="2049"/>
      <c r="AN612" s="2049"/>
      <c r="AO612" s="2049"/>
      <c r="AP612" s="2049"/>
      <c r="AQ612" s="2049"/>
      <c r="AR612" s="2049"/>
      <c r="AS612" s="2049"/>
      <c r="AT612" s="2049"/>
      <c r="AU612" s="2049"/>
      <c r="AV612" s="2049"/>
      <c r="AW612" s="2049"/>
      <c r="AX612" s="2049"/>
      <c r="AY612" s="2049"/>
      <c r="AZ612" s="2049"/>
      <c r="BA612" s="2049"/>
      <c r="BB612" s="2049"/>
      <c r="BC612" s="2049"/>
      <c r="BD612" s="2049"/>
      <c r="BE612" s="2049"/>
      <c r="BT612" s="1556"/>
    </row>
    <row r="613" spans="1:72" ht="26.25" customHeight="1">
      <c r="A613" s="1532"/>
      <c r="B613" s="1532"/>
      <c r="C613" s="1605"/>
      <c r="D613" s="1532"/>
      <c r="E613" s="1532"/>
      <c r="F613" s="1560"/>
      <c r="G613" s="1560"/>
      <c r="H613" s="1532"/>
      <c r="I613" s="1532"/>
      <c r="J613" s="1532"/>
      <c r="K613" s="1532"/>
      <c r="L613" s="1532"/>
      <c r="M613" s="1532"/>
      <c r="N613" s="1532"/>
      <c r="O613" s="1532"/>
      <c r="P613" s="1532"/>
      <c r="Q613" s="1532"/>
      <c r="R613" s="1532"/>
      <c r="S613" s="1532"/>
      <c r="T613" s="1532"/>
      <c r="U613" s="1532"/>
      <c r="V613" s="1532"/>
      <c r="W613" s="1532"/>
      <c r="X613" s="1532"/>
      <c r="Y613" s="1532"/>
      <c r="Z613" s="1532"/>
      <c r="AA613" s="1532"/>
      <c r="AB613" s="1532"/>
      <c r="AC613" s="1532"/>
      <c r="AD613" s="1532"/>
      <c r="AE613" s="1532"/>
      <c r="AF613" s="1532"/>
      <c r="AG613" s="1532"/>
      <c r="AH613" s="1532"/>
      <c r="AI613" s="1532"/>
      <c r="AJ613" s="1532"/>
      <c r="AK613" s="1557"/>
      <c r="AL613" s="1532"/>
      <c r="AM613" s="1532"/>
      <c r="AN613" s="1532"/>
      <c r="AO613" s="1532"/>
      <c r="AP613" s="1671"/>
      <c r="AQ613" s="1671"/>
      <c r="AR613" s="1671"/>
      <c r="AS613" s="1671"/>
      <c r="AT613" s="1532"/>
      <c r="AU613" s="1532"/>
      <c r="AV613" s="1532"/>
      <c r="AW613" s="1532"/>
      <c r="AX613" s="1532"/>
      <c r="AY613" s="1532"/>
      <c r="AZ613" s="1532"/>
      <c r="BA613" s="1532"/>
      <c r="BB613" s="1532"/>
      <c r="BC613" s="1547"/>
      <c r="BD613" s="1532"/>
      <c r="BE613" s="1532"/>
      <c r="BT613" s="1556"/>
    </row>
    <row r="614" spans="1:72" s="1523" customFormat="1" ht="16.5" customHeight="1">
      <c r="D614" s="1523" t="s">
        <v>964</v>
      </c>
      <c r="F614" s="1555"/>
      <c r="G614" s="1555"/>
      <c r="AE614" s="1532"/>
      <c r="AF614" s="1532"/>
      <c r="AG614" s="1532"/>
      <c r="AH614" s="1532"/>
      <c r="AI614" s="1532"/>
      <c r="AJ614" s="1532"/>
      <c r="AK614" s="1557"/>
      <c r="AL614" s="1532"/>
      <c r="AM614" s="1532"/>
      <c r="AO614" s="1561"/>
      <c r="AP614" s="1558">
        <v>3876600</v>
      </c>
      <c r="AQ614" s="1672">
        <f>AP614/30</f>
        <v>129220</v>
      </c>
      <c r="AR614" s="1705">
        <f>AP614/173*1.5</f>
        <v>33612.138728323698</v>
      </c>
      <c r="AS614" s="1706">
        <f>AP614/173*2</f>
        <v>44816.184971098264</v>
      </c>
      <c r="AT614" s="1532" t="s">
        <v>55</v>
      </c>
      <c r="AU614" s="1523" t="s">
        <v>329</v>
      </c>
      <c r="BC614" s="1518"/>
      <c r="BE614" s="1532"/>
      <c r="BG614" s="1555"/>
      <c r="BH614" s="1560"/>
      <c r="BI614" s="1560"/>
      <c r="BJ614" s="1555"/>
      <c r="BK614" s="1561"/>
      <c r="BL614" s="1561"/>
      <c r="BM614" s="1561"/>
      <c r="BN614" s="1555"/>
      <c r="BO614" s="1555"/>
      <c r="BT614" s="1556"/>
    </row>
    <row r="615" spans="1:72" ht="18.75" customHeight="1" thickBot="1">
      <c r="A615" s="1547"/>
      <c r="D615" s="1532"/>
      <c r="E615" s="1563"/>
      <c r="F615" s="1675"/>
      <c r="G615" s="1564"/>
      <c r="H615" s="1563"/>
      <c r="I615" s="1563"/>
      <c r="J615" s="1563"/>
      <c r="K615" s="1563"/>
      <c r="L615" s="1563"/>
      <c r="M615" s="1563"/>
      <c r="N615" s="1563"/>
      <c r="O615" s="1563"/>
      <c r="Q615" s="1563"/>
      <c r="R615" s="1563"/>
      <c r="S615" s="1563"/>
      <c r="T615" s="1563"/>
      <c r="U615" s="1563"/>
      <c r="V615" s="1563"/>
      <c r="W615" s="1563"/>
      <c r="X615" s="1563"/>
      <c r="Y615" s="1563"/>
      <c r="Z615" s="1563"/>
      <c r="AA615" s="1563"/>
      <c r="AB615" s="1563"/>
      <c r="AC615" s="1563"/>
      <c r="AD615" s="1563"/>
      <c r="AE615" s="1563"/>
      <c r="AF615" s="1563"/>
      <c r="AG615" s="1563"/>
      <c r="AH615" s="1563"/>
      <c r="AI615" s="1563"/>
      <c r="AJ615" s="1563"/>
      <c r="AK615" s="1565"/>
      <c r="AL615" s="1563"/>
      <c r="AM615" s="1563"/>
      <c r="AO615" s="1563"/>
      <c r="AP615" s="1558">
        <v>3876600</v>
      </c>
      <c r="AQ615" s="1566">
        <f>AP615/30</f>
        <v>129220</v>
      </c>
      <c r="AR615" s="1598"/>
      <c r="AS615" s="1598"/>
      <c r="AT615" s="1556"/>
      <c r="BT615" s="1556"/>
    </row>
    <row r="616" spans="1:72" s="1523" customFormat="1" ht="18.75" customHeight="1">
      <c r="A616" s="2050" t="s">
        <v>5</v>
      </c>
      <c r="B616" s="2056" t="s">
        <v>6</v>
      </c>
      <c r="C616" s="2056" t="s">
        <v>52</v>
      </c>
      <c r="D616" s="1571"/>
      <c r="E616" s="1571"/>
      <c r="F616" s="1676"/>
      <c r="G616" s="1676"/>
      <c r="H616" s="2118" t="s">
        <v>2</v>
      </c>
      <c r="I616" s="2118"/>
      <c r="J616" s="2118"/>
      <c r="K616" s="2118"/>
      <c r="L616" s="2118"/>
      <c r="M616" s="2118"/>
      <c r="N616" s="2118"/>
      <c r="O616" s="2118"/>
      <c r="P616" s="2118"/>
      <c r="Q616" s="2118"/>
      <c r="R616" s="2118"/>
      <c r="S616" s="2118"/>
      <c r="T616" s="2118"/>
      <c r="U616" s="2118"/>
      <c r="V616" s="2056" t="s">
        <v>286</v>
      </c>
      <c r="W616" s="2118" t="s">
        <v>3</v>
      </c>
      <c r="X616" s="2118"/>
      <c r="Y616" s="2118"/>
      <c r="Z616" s="2118"/>
      <c r="AA616" s="2118"/>
      <c r="AB616" s="2118"/>
      <c r="AC616" s="2118"/>
      <c r="AD616" s="2118"/>
      <c r="AE616" s="2042" t="s">
        <v>45</v>
      </c>
      <c r="AF616" s="2063" t="s">
        <v>46</v>
      </c>
      <c r="AG616" s="2064"/>
      <c r="AH616" s="2064"/>
      <c r="AI616" s="2064"/>
      <c r="AJ616" s="2064"/>
      <c r="AK616" s="2065"/>
      <c r="AL616" s="2045"/>
      <c r="AM616" s="2045" t="s">
        <v>98</v>
      </c>
      <c r="AN616" s="2056" t="s">
        <v>44</v>
      </c>
      <c r="AO616" s="1533" t="s">
        <v>4</v>
      </c>
      <c r="AP616" s="2036" t="s">
        <v>20</v>
      </c>
      <c r="AQ616" s="2037"/>
      <c r="AR616" s="2038"/>
      <c r="AS616" s="2036" t="s">
        <v>54</v>
      </c>
      <c r="AT616" s="2037"/>
      <c r="AU616" s="2037"/>
      <c r="AV616" s="2037"/>
      <c r="AW616" s="2038"/>
      <c r="AX616" s="1571"/>
      <c r="AY616" s="2042" t="s">
        <v>90</v>
      </c>
      <c r="AZ616" s="2045" t="s">
        <v>97</v>
      </c>
      <c r="BA616" s="2045" t="s">
        <v>720</v>
      </c>
      <c r="BB616" s="2045"/>
      <c r="BC616" s="1548" t="s">
        <v>4</v>
      </c>
      <c r="BD616" s="2063" t="s">
        <v>41</v>
      </c>
      <c r="BE616" s="2084"/>
      <c r="BG616" s="1555"/>
      <c r="BH616" s="1560"/>
      <c r="BI616" s="1560"/>
      <c r="BJ616" s="1555"/>
      <c r="BK616" s="1561"/>
      <c r="BL616" s="1561"/>
      <c r="BM616" s="1561"/>
      <c r="BN616" s="1555"/>
      <c r="BO616" s="1555"/>
      <c r="BT616" s="1556"/>
    </row>
    <row r="617" spans="1:72" s="1523" customFormat="1" ht="25.5" customHeight="1">
      <c r="A617" s="2051"/>
      <c r="B617" s="2057"/>
      <c r="C617" s="2057"/>
      <c r="D617" s="1534" t="s">
        <v>7</v>
      </c>
      <c r="E617" s="1534" t="s">
        <v>8</v>
      </c>
      <c r="F617" s="1677" t="s">
        <v>9</v>
      </c>
      <c r="G617" s="1677" t="s">
        <v>9</v>
      </c>
      <c r="H617" s="2131" t="s">
        <v>10</v>
      </c>
      <c r="I617" s="2131"/>
      <c r="J617" s="2131" t="s">
        <v>11</v>
      </c>
      <c r="K617" s="2131"/>
      <c r="L617" s="2131" t="s">
        <v>12</v>
      </c>
      <c r="M617" s="2131"/>
      <c r="N617" s="2131" t="s">
        <v>13</v>
      </c>
      <c r="O617" s="2131"/>
      <c r="P617" s="2131" t="s">
        <v>14</v>
      </c>
      <c r="Q617" s="2131"/>
      <c r="R617" s="2132" t="s">
        <v>15</v>
      </c>
      <c r="S617" s="2132"/>
      <c r="T617" s="2131" t="s">
        <v>16</v>
      </c>
      <c r="U617" s="2131"/>
      <c r="V617" s="2057"/>
      <c r="W617" s="2131" t="s">
        <v>17</v>
      </c>
      <c r="X617" s="2131"/>
      <c r="Y617" s="2131" t="s">
        <v>18</v>
      </c>
      <c r="Z617" s="2131"/>
      <c r="AA617" s="2131"/>
      <c r="AB617" s="2071" t="s">
        <v>19</v>
      </c>
      <c r="AC617" s="2081"/>
      <c r="AD617" s="2072"/>
      <c r="AE617" s="2043"/>
      <c r="AF617" s="2085"/>
      <c r="AG617" s="2122"/>
      <c r="AH617" s="2122"/>
      <c r="AI617" s="2122"/>
      <c r="AJ617" s="2122"/>
      <c r="AK617" s="2123"/>
      <c r="AL617" s="2046"/>
      <c r="AM617" s="2046"/>
      <c r="AN617" s="2057"/>
      <c r="AO617" s="1534" t="s">
        <v>9</v>
      </c>
      <c r="AP617" s="2039"/>
      <c r="AQ617" s="2040"/>
      <c r="AR617" s="2041"/>
      <c r="AS617" s="2039"/>
      <c r="AT617" s="2040"/>
      <c r="AU617" s="2040"/>
      <c r="AV617" s="2040"/>
      <c r="AW617" s="2041"/>
      <c r="AX617" s="1534" t="s">
        <v>21</v>
      </c>
      <c r="AY617" s="2043"/>
      <c r="AZ617" s="2046"/>
      <c r="BA617" s="2046"/>
      <c r="BB617" s="2046"/>
      <c r="BC617" s="1549" t="s">
        <v>9</v>
      </c>
      <c r="BD617" s="2085"/>
      <c r="BE617" s="2086"/>
      <c r="BG617" s="1555"/>
      <c r="BH617" s="1560"/>
      <c r="BI617" s="1560"/>
      <c r="BJ617" s="1555"/>
      <c r="BK617" s="1561"/>
      <c r="BL617" s="1561"/>
      <c r="BM617" s="1561"/>
      <c r="BN617" s="1555"/>
      <c r="BO617" s="1555"/>
      <c r="BT617" s="1556"/>
    </row>
    <row r="618" spans="1:72" s="1532" customFormat="1" ht="36" customHeight="1">
      <c r="A618" s="2051"/>
      <c r="B618" s="2057"/>
      <c r="C618" s="2057"/>
      <c r="D618" s="1534" t="s">
        <v>22</v>
      </c>
      <c r="E618" s="1534" t="s">
        <v>23</v>
      </c>
      <c r="F618" s="1677" t="s">
        <v>24</v>
      </c>
      <c r="G618" s="1677" t="s">
        <v>25</v>
      </c>
      <c r="H618" s="2073" t="s">
        <v>4</v>
      </c>
      <c r="I618" s="2073"/>
      <c r="J618" s="2073" t="s">
        <v>4</v>
      </c>
      <c r="K618" s="2073"/>
      <c r="L618" s="2073" t="s">
        <v>4</v>
      </c>
      <c r="M618" s="2073"/>
      <c r="N618" s="2073" t="s">
        <v>4</v>
      </c>
      <c r="O618" s="2073"/>
      <c r="P618" s="2073" t="s">
        <v>4</v>
      </c>
      <c r="Q618" s="2073"/>
      <c r="R618" s="2073" t="s">
        <v>4</v>
      </c>
      <c r="S618" s="2073"/>
      <c r="T618" s="2073" t="s">
        <v>4</v>
      </c>
      <c r="U618" s="2073"/>
      <c r="V618" s="2057"/>
      <c r="W618" s="1534" t="s">
        <v>27</v>
      </c>
      <c r="X618" s="1576" t="s">
        <v>28</v>
      </c>
      <c r="Y618" s="1534" t="s">
        <v>27</v>
      </c>
      <c r="Z618" s="2073" t="s">
        <v>4</v>
      </c>
      <c r="AA618" s="2073"/>
      <c r="AB618" s="1534" t="s">
        <v>27</v>
      </c>
      <c r="AC618" s="2071" t="s">
        <v>4</v>
      </c>
      <c r="AD618" s="2072"/>
      <c r="AE618" s="2062"/>
      <c r="AF618" s="1575" t="s">
        <v>56</v>
      </c>
      <c r="AG618" s="1575" t="s">
        <v>57</v>
      </c>
      <c r="AH618" s="1575" t="s">
        <v>60</v>
      </c>
      <c r="AI618" s="1575" t="s">
        <v>288</v>
      </c>
      <c r="AJ618" s="1575" t="s">
        <v>97</v>
      </c>
      <c r="AK618" s="1575" t="s">
        <v>355</v>
      </c>
      <c r="AL618" s="2089"/>
      <c r="AM618" s="2089"/>
      <c r="AN618" s="2090"/>
      <c r="AO618" s="1534" t="s">
        <v>29</v>
      </c>
      <c r="AP618" s="1534" t="s">
        <v>30</v>
      </c>
      <c r="AQ618" s="1534" t="s">
        <v>31</v>
      </c>
      <c r="AR618" s="1534" t="s">
        <v>4</v>
      </c>
      <c r="AS618" s="1534" t="s">
        <v>30</v>
      </c>
      <c r="AT618" s="1534" t="s">
        <v>31</v>
      </c>
      <c r="AU618" s="1534" t="s">
        <v>30</v>
      </c>
      <c r="AV618" s="1534" t="s">
        <v>31</v>
      </c>
      <c r="AW618" s="1534" t="s">
        <v>4</v>
      </c>
      <c r="AX618" s="1534" t="s">
        <v>32</v>
      </c>
      <c r="AY618" s="2043"/>
      <c r="AZ618" s="2046"/>
      <c r="BA618" s="2046"/>
      <c r="BB618" s="2046"/>
      <c r="BC618" s="1549" t="s">
        <v>33</v>
      </c>
      <c r="BD618" s="2073" t="s">
        <v>42</v>
      </c>
      <c r="BE618" s="2075" t="s">
        <v>43</v>
      </c>
      <c r="BG618" s="1560"/>
      <c r="BH618" s="1560"/>
      <c r="BI618" s="1560"/>
      <c r="BJ618" s="1560"/>
      <c r="BK618" s="1707"/>
      <c r="BL618" s="1561"/>
      <c r="BM618" s="1561"/>
      <c r="BN618" s="1555"/>
      <c r="BO618" s="1555"/>
      <c r="BT618" s="1556"/>
    </row>
    <row r="619" spans="1:72" s="1523" customFormat="1" ht="24" customHeight="1" thickBot="1">
      <c r="A619" s="2052"/>
      <c r="B619" s="2058"/>
      <c r="C619" s="2058"/>
      <c r="D619" s="1537"/>
      <c r="E619" s="1537"/>
      <c r="F619" s="1579" t="s">
        <v>34</v>
      </c>
      <c r="G619" s="1579" t="s">
        <v>34</v>
      </c>
      <c r="H619" s="1581" t="s">
        <v>8</v>
      </c>
      <c r="I619" s="1581" t="s">
        <v>34</v>
      </c>
      <c r="J619" s="1581" t="s">
        <v>8</v>
      </c>
      <c r="K619" s="1581" t="s">
        <v>34</v>
      </c>
      <c r="L619" s="1581" t="s">
        <v>8</v>
      </c>
      <c r="M619" s="1581" t="s">
        <v>34</v>
      </c>
      <c r="N619" s="1581" t="s">
        <v>8</v>
      </c>
      <c r="O619" s="1581" t="s">
        <v>34</v>
      </c>
      <c r="P619" s="1581" t="s">
        <v>8</v>
      </c>
      <c r="Q619" s="1581" t="s">
        <v>34</v>
      </c>
      <c r="R619" s="1581" t="s">
        <v>8</v>
      </c>
      <c r="S619" s="1581" t="s">
        <v>34</v>
      </c>
      <c r="T619" s="1581" t="s">
        <v>8</v>
      </c>
      <c r="U619" s="1581" t="s">
        <v>34</v>
      </c>
      <c r="V619" s="2058"/>
      <c r="W619" s="1581" t="s">
        <v>26</v>
      </c>
      <c r="X619" s="1581" t="s">
        <v>34</v>
      </c>
      <c r="Y619" s="1581" t="s">
        <v>26</v>
      </c>
      <c r="Z619" s="1581" t="s">
        <v>26</v>
      </c>
      <c r="AA619" s="1581" t="s">
        <v>34</v>
      </c>
      <c r="AB619" s="1581" t="s">
        <v>26</v>
      </c>
      <c r="AC619" s="1581" t="s">
        <v>35</v>
      </c>
      <c r="AD619" s="1581" t="s">
        <v>34</v>
      </c>
      <c r="AE619" s="1581" t="s">
        <v>34</v>
      </c>
      <c r="AF619" s="1581" t="s">
        <v>34</v>
      </c>
      <c r="AG619" s="1581" t="s">
        <v>34</v>
      </c>
      <c r="AH619" s="1581" t="s">
        <v>34</v>
      </c>
      <c r="AI619" s="1581" t="s">
        <v>34</v>
      </c>
      <c r="AJ619" s="1581" t="s">
        <v>34</v>
      </c>
      <c r="AK619" s="1708" t="s">
        <v>34</v>
      </c>
      <c r="AL619" s="1581" t="s">
        <v>34</v>
      </c>
      <c r="AM619" s="1581" t="s">
        <v>34</v>
      </c>
      <c r="AN619" s="1581" t="s">
        <v>34</v>
      </c>
      <c r="AO619" s="1581" t="s">
        <v>34</v>
      </c>
      <c r="AP619" s="1581" t="s">
        <v>34</v>
      </c>
      <c r="AQ619" s="1581" t="s">
        <v>34</v>
      </c>
      <c r="AR619" s="1581" t="s">
        <v>34</v>
      </c>
      <c r="AS619" s="1581" t="s">
        <v>58</v>
      </c>
      <c r="AT619" s="1581" t="s">
        <v>34</v>
      </c>
      <c r="AU619" s="1581" t="s">
        <v>59</v>
      </c>
      <c r="AV619" s="1581" t="s">
        <v>34</v>
      </c>
      <c r="AW619" s="1581" t="s">
        <v>34</v>
      </c>
      <c r="AX619" s="1537"/>
      <c r="AY619" s="2044"/>
      <c r="AZ619" s="2047"/>
      <c r="BA619" s="2047"/>
      <c r="BB619" s="2047"/>
      <c r="BC619" s="1550" t="s">
        <v>34</v>
      </c>
      <c r="BD619" s="2074"/>
      <c r="BE619" s="2076"/>
      <c r="BG619" s="1555" t="s">
        <v>353</v>
      </c>
      <c r="BH619" s="1578" t="s">
        <v>43</v>
      </c>
      <c r="BI619" s="1578" t="s">
        <v>42</v>
      </c>
      <c r="BJ619" s="1555" t="s">
        <v>354</v>
      </c>
      <c r="BK619" s="1561" t="s">
        <v>358</v>
      </c>
      <c r="BL619" s="1561"/>
      <c r="BM619" s="1561"/>
      <c r="BN619" s="1555"/>
      <c r="BO619" s="1555"/>
      <c r="BT619" s="1523" t="s">
        <v>718</v>
      </c>
    </row>
    <row r="620" spans="1:72" ht="83.25" customHeight="1" thickBot="1">
      <c r="A620" s="1683">
        <v>2</v>
      </c>
      <c r="B620" s="1489" t="s">
        <v>36</v>
      </c>
      <c r="C620" s="1585" t="s">
        <v>765</v>
      </c>
      <c r="D620" s="1590" t="s">
        <v>749</v>
      </c>
      <c r="E620" s="1516">
        <f>'HK PANEN'!AH49</f>
        <v>24</v>
      </c>
      <c r="F620" s="1490">
        <v>129220</v>
      </c>
      <c r="G620" s="1509">
        <f t="shared" si="112"/>
        <v>3101280</v>
      </c>
      <c r="H620" s="1516">
        <f>'HK PANEN'!AI49</f>
        <v>0</v>
      </c>
      <c r="I620" s="1491">
        <f t="shared" si="113"/>
        <v>0</v>
      </c>
      <c r="J620" s="1516">
        <f>'HK PANEN'!AJ49</f>
        <v>0</v>
      </c>
      <c r="K620" s="1491">
        <f t="shared" si="114"/>
        <v>0</v>
      </c>
      <c r="L620" s="1516"/>
      <c r="M620" s="1491">
        <f t="shared" si="115"/>
        <v>0</v>
      </c>
      <c r="N620" s="1516">
        <f>'HK PANEN'!AL49</f>
        <v>4</v>
      </c>
      <c r="O620" s="1497">
        <f t="shared" si="116"/>
        <v>516880</v>
      </c>
      <c r="P620" s="1516">
        <f>'HK PANEN'!AM49</f>
        <v>3</v>
      </c>
      <c r="Q620" s="1497">
        <f t="shared" si="117"/>
        <v>387660</v>
      </c>
      <c r="R620" s="1489"/>
      <c r="S620" s="1497">
        <f t="shared" si="118"/>
        <v>0</v>
      </c>
      <c r="T620" s="1516">
        <f>'HK PANEN'!AO63</f>
        <v>0</v>
      </c>
      <c r="U620" s="1491">
        <f t="shared" si="119"/>
        <v>0</v>
      </c>
      <c r="V620" s="1491">
        <f t="shared" si="120"/>
        <v>31</v>
      </c>
      <c r="W620" s="1491"/>
      <c r="X620" s="1491"/>
      <c r="Y620" s="1491"/>
      <c r="Z620" s="1491"/>
      <c r="AA620" s="1491">
        <f t="shared" si="121"/>
        <v>0</v>
      </c>
      <c r="AB620" s="1497"/>
      <c r="AC620" s="1491"/>
      <c r="AD620" s="1497">
        <f t="shared" si="122"/>
        <v>0</v>
      </c>
      <c r="AE620" s="1497"/>
      <c r="AF620" s="1514">
        <f>'MONITORING '!AK277</f>
        <v>71388</v>
      </c>
      <c r="AG620" s="1498">
        <f>'MONITORING '!AK278</f>
        <v>255500</v>
      </c>
      <c r="AH620" s="1515">
        <v>384000</v>
      </c>
      <c r="AI620" s="1491">
        <f>'INSETIF MEI''25'!L28</f>
        <v>0</v>
      </c>
      <c r="AJ620" s="1498"/>
      <c r="AK620" s="1499"/>
      <c r="AL620" s="1491"/>
      <c r="AM620" s="1491"/>
      <c r="AN620" s="1649">
        <f>'MONITORING '!AK279</f>
        <v>72545</v>
      </c>
      <c r="AO620" s="1494">
        <f t="shared" si="123"/>
        <v>4644163</v>
      </c>
      <c r="AP620" s="1491">
        <f t="shared" si="88"/>
        <v>77532</v>
      </c>
      <c r="AQ620" s="1491">
        <f t="shared" si="89"/>
        <v>175997.64</v>
      </c>
      <c r="AR620" s="1491">
        <f t="shared" si="124"/>
        <v>253529.64</v>
      </c>
      <c r="AS620" s="1489">
        <f t="shared" si="125"/>
        <v>38766</v>
      </c>
      <c r="AT620" s="1489">
        <f t="shared" si="126"/>
        <v>155064</v>
      </c>
      <c r="AU620" s="1491">
        <f t="shared" si="92"/>
        <v>38766</v>
      </c>
      <c r="AV620" s="1491">
        <f t="shared" si="93"/>
        <v>77532</v>
      </c>
      <c r="AW620" s="1491">
        <f t="shared" si="127"/>
        <v>310128</v>
      </c>
      <c r="AX620" s="1491"/>
      <c r="AY620" s="1491"/>
      <c r="AZ620" s="1491">
        <f t="shared" si="128"/>
        <v>0</v>
      </c>
      <c r="BA620" s="1491"/>
      <c r="BB620" s="1491"/>
      <c r="BC620" s="1489">
        <f t="shared" si="129"/>
        <v>4489099</v>
      </c>
      <c r="BD620" s="1489">
        <f>'HK PANEN'!AQ49</f>
        <v>0</v>
      </c>
      <c r="BE620" s="1495">
        <f>'HK PANEN'!AR49</f>
        <v>0</v>
      </c>
      <c r="BG620" s="1551">
        <f t="shared" si="130"/>
        <v>4005820</v>
      </c>
      <c r="BH620" s="1552">
        <f t="shared" si="131"/>
        <v>0</v>
      </c>
      <c r="BI620" s="1552">
        <f t="shared" si="132"/>
        <v>0</v>
      </c>
      <c r="BJ620" s="1551">
        <f t="shared" si="133"/>
        <v>0</v>
      </c>
      <c r="BK620" s="1553">
        <f t="shared" si="134"/>
        <v>4005820</v>
      </c>
      <c r="BS620" s="1689" t="s">
        <v>692</v>
      </c>
      <c r="BT620" s="1556">
        <f t="shared" si="135"/>
        <v>71388</v>
      </c>
    </row>
    <row r="621" spans="1:72" ht="26.25" customHeight="1">
      <c r="A621" s="2048" t="s">
        <v>0</v>
      </c>
      <c r="B621" s="2048"/>
      <c r="C621" s="2048"/>
      <c r="D621" s="2048"/>
      <c r="E621" s="2048"/>
      <c r="F621" s="2048"/>
      <c r="G621" s="2048"/>
      <c r="H621" s="2048"/>
      <c r="I621" s="2048"/>
      <c r="J621" s="2048"/>
      <c r="K621" s="2048"/>
      <c r="L621" s="2048"/>
      <c r="M621" s="2048"/>
      <c r="N621" s="2048"/>
      <c r="O621" s="2048"/>
      <c r="P621" s="2048"/>
      <c r="Q621" s="2048"/>
      <c r="R621" s="2048"/>
      <c r="S621" s="2048"/>
      <c r="T621" s="2048"/>
      <c r="U621" s="2048"/>
      <c r="V621" s="2048"/>
      <c r="W621" s="2048"/>
      <c r="X621" s="2048"/>
      <c r="Y621" s="2048"/>
      <c r="Z621" s="2048"/>
      <c r="AA621" s="2048"/>
      <c r="AB621" s="2048"/>
      <c r="AC621" s="2048"/>
      <c r="AD621" s="2048"/>
      <c r="AE621" s="2048"/>
      <c r="AF621" s="2048"/>
      <c r="AG621" s="2048"/>
      <c r="AH621" s="2048"/>
      <c r="AI621" s="2048"/>
      <c r="AJ621" s="2048"/>
      <c r="AK621" s="2048"/>
      <c r="AL621" s="2048"/>
      <c r="AM621" s="2048"/>
      <c r="AN621" s="2048"/>
      <c r="AO621" s="2048"/>
      <c r="AP621" s="2048"/>
      <c r="AQ621" s="2048"/>
      <c r="AR621" s="2048"/>
      <c r="AS621" s="2048"/>
      <c r="AT621" s="2048"/>
      <c r="AU621" s="2048"/>
      <c r="AV621" s="2048"/>
      <c r="AW621" s="2048"/>
      <c r="AX621" s="2048"/>
      <c r="AY621" s="2048"/>
      <c r="AZ621" s="2048"/>
      <c r="BA621" s="2048"/>
      <c r="BB621" s="2048"/>
      <c r="BC621" s="2048"/>
      <c r="BD621" s="2048"/>
      <c r="BE621" s="2048"/>
      <c r="BT621" s="1556"/>
    </row>
    <row r="622" spans="1:72" ht="26.25" customHeight="1">
      <c r="A622" s="2049" t="s">
        <v>1033</v>
      </c>
      <c r="B622" s="2049"/>
      <c r="C622" s="2049"/>
      <c r="D622" s="2049"/>
      <c r="E622" s="2049"/>
      <c r="F622" s="2049"/>
      <c r="G622" s="2049"/>
      <c r="H622" s="2049"/>
      <c r="I622" s="2049"/>
      <c r="J622" s="2049"/>
      <c r="K622" s="2049"/>
      <c r="L622" s="2049"/>
      <c r="M622" s="2049"/>
      <c r="N622" s="2049"/>
      <c r="O622" s="2049"/>
      <c r="P622" s="2049"/>
      <c r="Q622" s="2049"/>
      <c r="R622" s="2049"/>
      <c r="S622" s="2049"/>
      <c r="T622" s="2049"/>
      <c r="U622" s="2049"/>
      <c r="V622" s="2049"/>
      <c r="W622" s="2049"/>
      <c r="X622" s="2049"/>
      <c r="Y622" s="2049"/>
      <c r="Z622" s="2049"/>
      <c r="AA622" s="2049"/>
      <c r="AB622" s="2049"/>
      <c r="AC622" s="2049"/>
      <c r="AD622" s="2049"/>
      <c r="AE622" s="2049"/>
      <c r="AF622" s="2049"/>
      <c r="AG622" s="2049"/>
      <c r="AH622" s="2049"/>
      <c r="AI622" s="2049"/>
      <c r="AJ622" s="2049"/>
      <c r="AK622" s="2049"/>
      <c r="AL622" s="2049"/>
      <c r="AM622" s="2049"/>
      <c r="AN622" s="2049"/>
      <c r="AO622" s="2049"/>
      <c r="AP622" s="2049"/>
      <c r="AQ622" s="2049"/>
      <c r="AR622" s="2049"/>
      <c r="AS622" s="2049"/>
      <c r="AT622" s="2049"/>
      <c r="AU622" s="2049"/>
      <c r="AV622" s="2049"/>
      <c r="AW622" s="2049"/>
      <c r="AX622" s="2049"/>
      <c r="AY622" s="2049"/>
      <c r="AZ622" s="2049"/>
      <c r="BA622" s="2049"/>
      <c r="BB622" s="2049"/>
      <c r="BC622" s="2049"/>
      <c r="BD622" s="2049"/>
      <c r="BE622" s="2049"/>
      <c r="BT622" s="1556"/>
    </row>
    <row r="623" spans="1:72" ht="26.25" customHeight="1">
      <c r="A623" s="1532"/>
      <c r="B623" s="1532"/>
      <c r="C623" s="1605"/>
      <c r="D623" s="1532"/>
      <c r="E623" s="1532"/>
      <c r="F623" s="1560"/>
      <c r="G623" s="1560"/>
      <c r="H623" s="1532"/>
      <c r="I623" s="1532"/>
      <c r="J623" s="1532"/>
      <c r="K623" s="1532"/>
      <c r="L623" s="1532"/>
      <c r="M623" s="1532"/>
      <c r="N623" s="1532"/>
      <c r="O623" s="1532"/>
      <c r="P623" s="1532"/>
      <c r="Q623" s="1532"/>
      <c r="R623" s="1532"/>
      <c r="S623" s="1532"/>
      <c r="T623" s="1532"/>
      <c r="U623" s="1532"/>
      <c r="V623" s="1532"/>
      <c r="W623" s="1532"/>
      <c r="X623" s="1532"/>
      <c r="Y623" s="1532"/>
      <c r="Z623" s="1532"/>
      <c r="AA623" s="1532"/>
      <c r="AB623" s="1532"/>
      <c r="AC623" s="1532"/>
      <c r="AD623" s="1532"/>
      <c r="AE623" s="1532"/>
      <c r="AF623" s="1532"/>
      <c r="AG623" s="1532"/>
      <c r="AH623" s="1532"/>
      <c r="AI623" s="1532"/>
      <c r="AJ623" s="1532"/>
      <c r="AK623" s="1557"/>
      <c r="AL623" s="1532"/>
      <c r="AM623" s="1532"/>
      <c r="AN623" s="1532"/>
      <c r="AO623" s="1532"/>
      <c r="AP623" s="1671"/>
      <c r="AQ623" s="1671"/>
      <c r="AR623" s="1671"/>
      <c r="AS623" s="1671"/>
      <c r="AT623" s="1532"/>
      <c r="AU623" s="1532"/>
      <c r="AV623" s="1532"/>
      <c r="AW623" s="1532"/>
      <c r="AX623" s="1532"/>
      <c r="AY623" s="1532"/>
      <c r="AZ623" s="1532"/>
      <c r="BA623" s="1532"/>
      <c r="BB623" s="1532"/>
      <c r="BC623" s="1547"/>
      <c r="BD623" s="1532"/>
      <c r="BE623" s="1532"/>
      <c r="BT623" s="1556"/>
    </row>
    <row r="624" spans="1:72" s="1523" customFormat="1" ht="16.5" customHeight="1">
      <c r="D624" s="1523" t="s">
        <v>964</v>
      </c>
      <c r="F624" s="1555"/>
      <c r="G624" s="1555"/>
      <c r="AE624" s="1532"/>
      <c r="AF624" s="1532"/>
      <c r="AG624" s="1532"/>
      <c r="AH624" s="1532"/>
      <c r="AI624" s="1532"/>
      <c r="AJ624" s="1532"/>
      <c r="AK624" s="1557"/>
      <c r="AL624" s="1532"/>
      <c r="AM624" s="1532"/>
      <c r="AO624" s="1561"/>
      <c r="AP624" s="1558">
        <v>3876600</v>
      </c>
      <c r="AQ624" s="1672">
        <f>AP624/30</f>
        <v>129220</v>
      </c>
      <c r="AR624" s="1705">
        <f>AP624/173*1.5</f>
        <v>33612.138728323698</v>
      </c>
      <c r="AS624" s="1706">
        <f>AP624/173*2</f>
        <v>44816.184971098264</v>
      </c>
      <c r="AT624" s="1532" t="s">
        <v>55</v>
      </c>
      <c r="AU624" s="1523" t="s">
        <v>329</v>
      </c>
      <c r="BC624" s="1518"/>
      <c r="BE624" s="1532"/>
      <c r="BG624" s="1555"/>
      <c r="BH624" s="1560"/>
      <c r="BI624" s="1560"/>
      <c r="BJ624" s="1555"/>
      <c r="BK624" s="1561"/>
      <c r="BL624" s="1561"/>
      <c r="BM624" s="1561"/>
      <c r="BN624" s="1555"/>
      <c r="BO624" s="1555"/>
      <c r="BT624" s="1556"/>
    </row>
    <row r="625" spans="1:72" ht="18.75" customHeight="1" thickBot="1">
      <c r="A625" s="1547"/>
      <c r="D625" s="1532"/>
      <c r="E625" s="1563"/>
      <c r="F625" s="1675"/>
      <c r="G625" s="1564"/>
      <c r="H625" s="1563"/>
      <c r="I625" s="1563"/>
      <c r="J625" s="1563"/>
      <c r="K625" s="1563"/>
      <c r="L625" s="1563"/>
      <c r="M625" s="1563"/>
      <c r="N625" s="1563"/>
      <c r="O625" s="1563"/>
      <c r="Q625" s="1563"/>
      <c r="R625" s="1563"/>
      <c r="S625" s="1563"/>
      <c r="T625" s="1563"/>
      <c r="U625" s="1563"/>
      <c r="V625" s="1563"/>
      <c r="W625" s="1563"/>
      <c r="X625" s="1563"/>
      <c r="Y625" s="1563"/>
      <c r="Z625" s="1563"/>
      <c r="AA625" s="1563"/>
      <c r="AB625" s="1563"/>
      <c r="AC625" s="1563"/>
      <c r="AD625" s="1563"/>
      <c r="AE625" s="1563"/>
      <c r="AF625" s="1563"/>
      <c r="AG625" s="1563"/>
      <c r="AH625" s="1563"/>
      <c r="AI625" s="1563"/>
      <c r="AJ625" s="1563"/>
      <c r="AK625" s="1565"/>
      <c r="AL625" s="1563"/>
      <c r="AM625" s="1563"/>
      <c r="AO625" s="1563"/>
      <c r="AP625" s="1558">
        <v>3876600</v>
      </c>
      <c r="AQ625" s="1566">
        <f>AP625/30</f>
        <v>129220</v>
      </c>
      <c r="AR625" s="1598"/>
      <c r="AS625" s="1598"/>
      <c r="AT625" s="1556"/>
      <c r="BT625" s="1556"/>
    </row>
    <row r="626" spans="1:72" s="1523" customFormat="1" ht="18.75" customHeight="1">
      <c r="A626" s="2050" t="s">
        <v>5</v>
      </c>
      <c r="B626" s="2056" t="s">
        <v>6</v>
      </c>
      <c r="C626" s="2056" t="s">
        <v>52</v>
      </c>
      <c r="D626" s="1571"/>
      <c r="E626" s="1571"/>
      <c r="F626" s="1676"/>
      <c r="G626" s="1676"/>
      <c r="H626" s="2118" t="s">
        <v>2</v>
      </c>
      <c r="I626" s="2118"/>
      <c r="J626" s="2118"/>
      <c r="K626" s="2118"/>
      <c r="L626" s="2118"/>
      <c r="M626" s="2118"/>
      <c r="N626" s="2118"/>
      <c r="O626" s="2118"/>
      <c r="P626" s="2118"/>
      <c r="Q626" s="2118"/>
      <c r="R626" s="2118"/>
      <c r="S626" s="2118"/>
      <c r="T626" s="2118"/>
      <c r="U626" s="2118"/>
      <c r="V626" s="2056" t="s">
        <v>286</v>
      </c>
      <c r="W626" s="2118" t="s">
        <v>3</v>
      </c>
      <c r="X626" s="2118"/>
      <c r="Y626" s="2118"/>
      <c r="Z626" s="2118"/>
      <c r="AA626" s="2118"/>
      <c r="AB626" s="2118"/>
      <c r="AC626" s="2118"/>
      <c r="AD626" s="2118"/>
      <c r="AE626" s="2042" t="s">
        <v>45</v>
      </c>
      <c r="AF626" s="2063" t="s">
        <v>46</v>
      </c>
      <c r="AG626" s="2064"/>
      <c r="AH626" s="2064"/>
      <c r="AI626" s="2064"/>
      <c r="AJ626" s="2064"/>
      <c r="AK626" s="2065"/>
      <c r="AL626" s="2045"/>
      <c r="AM626" s="2045" t="s">
        <v>98</v>
      </c>
      <c r="AN626" s="2056" t="s">
        <v>44</v>
      </c>
      <c r="AO626" s="1533" t="s">
        <v>4</v>
      </c>
      <c r="AP626" s="2036" t="s">
        <v>20</v>
      </c>
      <c r="AQ626" s="2037"/>
      <c r="AR626" s="2038"/>
      <c r="AS626" s="2036" t="s">
        <v>54</v>
      </c>
      <c r="AT626" s="2037"/>
      <c r="AU626" s="2037"/>
      <c r="AV626" s="2037"/>
      <c r="AW626" s="2038"/>
      <c r="AX626" s="1571"/>
      <c r="AY626" s="2042" t="s">
        <v>90</v>
      </c>
      <c r="AZ626" s="2045" t="s">
        <v>97</v>
      </c>
      <c r="BA626" s="2045" t="s">
        <v>720</v>
      </c>
      <c r="BB626" s="2045"/>
      <c r="BC626" s="1548" t="s">
        <v>4</v>
      </c>
      <c r="BD626" s="2063" t="s">
        <v>41</v>
      </c>
      <c r="BE626" s="2084"/>
      <c r="BG626" s="1555"/>
      <c r="BH626" s="1560"/>
      <c r="BI626" s="1560"/>
      <c r="BJ626" s="1555"/>
      <c r="BK626" s="1561"/>
      <c r="BL626" s="1561"/>
      <c r="BM626" s="1561"/>
      <c r="BN626" s="1555"/>
      <c r="BO626" s="1555"/>
      <c r="BT626" s="1556"/>
    </row>
    <row r="627" spans="1:72" s="1523" customFormat="1" ht="25.5" customHeight="1">
      <c r="A627" s="2051"/>
      <c r="B627" s="2057"/>
      <c r="C627" s="2057"/>
      <c r="D627" s="1534" t="s">
        <v>7</v>
      </c>
      <c r="E627" s="1534" t="s">
        <v>8</v>
      </c>
      <c r="F627" s="1677" t="s">
        <v>9</v>
      </c>
      <c r="G627" s="1677" t="s">
        <v>9</v>
      </c>
      <c r="H627" s="2131" t="s">
        <v>10</v>
      </c>
      <c r="I627" s="2131"/>
      <c r="J627" s="2131" t="s">
        <v>11</v>
      </c>
      <c r="K627" s="2131"/>
      <c r="L627" s="2131" t="s">
        <v>12</v>
      </c>
      <c r="M627" s="2131"/>
      <c r="N627" s="2131" t="s">
        <v>13</v>
      </c>
      <c r="O627" s="2131"/>
      <c r="P627" s="2131" t="s">
        <v>14</v>
      </c>
      <c r="Q627" s="2131"/>
      <c r="R627" s="2132" t="s">
        <v>15</v>
      </c>
      <c r="S627" s="2132"/>
      <c r="T627" s="2131" t="s">
        <v>16</v>
      </c>
      <c r="U627" s="2131"/>
      <c r="V627" s="2057"/>
      <c r="W627" s="2131" t="s">
        <v>17</v>
      </c>
      <c r="X627" s="2131"/>
      <c r="Y627" s="2131" t="s">
        <v>18</v>
      </c>
      <c r="Z627" s="2131"/>
      <c r="AA627" s="2131"/>
      <c r="AB627" s="2071" t="s">
        <v>19</v>
      </c>
      <c r="AC627" s="2081"/>
      <c r="AD627" s="2072"/>
      <c r="AE627" s="2043"/>
      <c r="AF627" s="2085"/>
      <c r="AG627" s="2122"/>
      <c r="AH627" s="2122"/>
      <c r="AI627" s="2122"/>
      <c r="AJ627" s="2122"/>
      <c r="AK627" s="2123"/>
      <c r="AL627" s="2046"/>
      <c r="AM627" s="2046"/>
      <c r="AN627" s="2057"/>
      <c r="AO627" s="1534" t="s">
        <v>9</v>
      </c>
      <c r="AP627" s="2039"/>
      <c r="AQ627" s="2040"/>
      <c r="AR627" s="2041"/>
      <c r="AS627" s="2039"/>
      <c r="AT627" s="2040"/>
      <c r="AU627" s="2040"/>
      <c r="AV627" s="2040"/>
      <c r="AW627" s="2041"/>
      <c r="AX627" s="1534" t="s">
        <v>21</v>
      </c>
      <c r="AY627" s="2043"/>
      <c r="AZ627" s="2046"/>
      <c r="BA627" s="2046"/>
      <c r="BB627" s="2046"/>
      <c r="BC627" s="1549" t="s">
        <v>9</v>
      </c>
      <c r="BD627" s="2085"/>
      <c r="BE627" s="2086"/>
      <c r="BG627" s="1555"/>
      <c r="BH627" s="1560"/>
      <c r="BI627" s="1560"/>
      <c r="BJ627" s="1555"/>
      <c r="BK627" s="1561"/>
      <c r="BL627" s="1561"/>
      <c r="BM627" s="1561"/>
      <c r="BN627" s="1555"/>
      <c r="BO627" s="1555"/>
      <c r="BT627" s="1556"/>
    </row>
    <row r="628" spans="1:72" s="1532" customFormat="1" ht="36" customHeight="1">
      <c r="A628" s="2051"/>
      <c r="B628" s="2057"/>
      <c r="C628" s="2057"/>
      <c r="D628" s="1534" t="s">
        <v>22</v>
      </c>
      <c r="E628" s="1534" t="s">
        <v>23</v>
      </c>
      <c r="F628" s="1677" t="s">
        <v>24</v>
      </c>
      <c r="G628" s="1677" t="s">
        <v>25</v>
      </c>
      <c r="H628" s="2073" t="s">
        <v>4</v>
      </c>
      <c r="I628" s="2073"/>
      <c r="J628" s="2073" t="s">
        <v>4</v>
      </c>
      <c r="K628" s="2073"/>
      <c r="L628" s="2073" t="s">
        <v>4</v>
      </c>
      <c r="M628" s="2073"/>
      <c r="N628" s="2073" t="s">
        <v>4</v>
      </c>
      <c r="O628" s="2073"/>
      <c r="P628" s="2073" t="s">
        <v>4</v>
      </c>
      <c r="Q628" s="2073"/>
      <c r="R628" s="2073" t="s">
        <v>4</v>
      </c>
      <c r="S628" s="2073"/>
      <c r="T628" s="2073" t="s">
        <v>4</v>
      </c>
      <c r="U628" s="2073"/>
      <c r="V628" s="2057"/>
      <c r="W628" s="1534" t="s">
        <v>27</v>
      </c>
      <c r="X628" s="1576" t="s">
        <v>28</v>
      </c>
      <c r="Y628" s="1534" t="s">
        <v>27</v>
      </c>
      <c r="Z628" s="2073" t="s">
        <v>4</v>
      </c>
      <c r="AA628" s="2073"/>
      <c r="AB628" s="1534" t="s">
        <v>27</v>
      </c>
      <c r="AC628" s="2071" t="s">
        <v>4</v>
      </c>
      <c r="AD628" s="2072"/>
      <c r="AE628" s="2062"/>
      <c r="AF628" s="1575" t="s">
        <v>56</v>
      </c>
      <c r="AG628" s="1575" t="s">
        <v>57</v>
      </c>
      <c r="AH628" s="1575" t="s">
        <v>60</v>
      </c>
      <c r="AI628" s="1575" t="s">
        <v>288</v>
      </c>
      <c r="AJ628" s="1575" t="s">
        <v>97</v>
      </c>
      <c r="AK628" s="1575" t="s">
        <v>355</v>
      </c>
      <c r="AL628" s="2089"/>
      <c r="AM628" s="2089"/>
      <c r="AN628" s="2090"/>
      <c r="AO628" s="1534" t="s">
        <v>29</v>
      </c>
      <c r="AP628" s="1534" t="s">
        <v>30</v>
      </c>
      <c r="AQ628" s="1534" t="s">
        <v>31</v>
      </c>
      <c r="AR628" s="1534" t="s">
        <v>4</v>
      </c>
      <c r="AS628" s="1534" t="s">
        <v>30</v>
      </c>
      <c r="AT628" s="1534" t="s">
        <v>31</v>
      </c>
      <c r="AU628" s="1534" t="s">
        <v>30</v>
      </c>
      <c r="AV628" s="1534" t="s">
        <v>31</v>
      </c>
      <c r="AW628" s="1534" t="s">
        <v>4</v>
      </c>
      <c r="AX628" s="1534" t="s">
        <v>32</v>
      </c>
      <c r="AY628" s="2043"/>
      <c r="AZ628" s="2046"/>
      <c r="BA628" s="2046"/>
      <c r="BB628" s="2046"/>
      <c r="BC628" s="1549" t="s">
        <v>33</v>
      </c>
      <c r="BD628" s="2073" t="s">
        <v>42</v>
      </c>
      <c r="BE628" s="2075" t="s">
        <v>43</v>
      </c>
      <c r="BG628" s="1560"/>
      <c r="BH628" s="1560"/>
      <c r="BI628" s="1560"/>
      <c r="BJ628" s="1560"/>
      <c r="BK628" s="1707"/>
      <c r="BL628" s="1561"/>
      <c r="BM628" s="1561"/>
      <c r="BN628" s="1555"/>
      <c r="BO628" s="1555"/>
      <c r="BT628" s="1556"/>
    </row>
    <row r="629" spans="1:72" s="1523" customFormat="1" ht="24" customHeight="1" thickBot="1">
      <c r="A629" s="2052"/>
      <c r="B629" s="2058"/>
      <c r="C629" s="2058"/>
      <c r="D629" s="1537"/>
      <c r="E629" s="1537"/>
      <c r="F629" s="1579" t="s">
        <v>34</v>
      </c>
      <c r="G629" s="1579" t="s">
        <v>34</v>
      </c>
      <c r="H629" s="1581" t="s">
        <v>8</v>
      </c>
      <c r="I629" s="1581" t="s">
        <v>34</v>
      </c>
      <c r="J629" s="1581" t="s">
        <v>8</v>
      </c>
      <c r="K629" s="1581" t="s">
        <v>34</v>
      </c>
      <c r="L629" s="1581" t="s">
        <v>8</v>
      </c>
      <c r="M629" s="1581" t="s">
        <v>34</v>
      </c>
      <c r="N629" s="1581" t="s">
        <v>8</v>
      </c>
      <c r="O629" s="1581" t="s">
        <v>34</v>
      </c>
      <c r="P629" s="1581" t="s">
        <v>8</v>
      </c>
      <c r="Q629" s="1581" t="s">
        <v>34</v>
      </c>
      <c r="R629" s="1581" t="s">
        <v>8</v>
      </c>
      <c r="S629" s="1581" t="s">
        <v>34</v>
      </c>
      <c r="T629" s="1581" t="s">
        <v>8</v>
      </c>
      <c r="U629" s="1581" t="s">
        <v>34</v>
      </c>
      <c r="V629" s="2058"/>
      <c r="W629" s="1581" t="s">
        <v>26</v>
      </c>
      <c r="X629" s="1581" t="s">
        <v>34</v>
      </c>
      <c r="Y629" s="1581" t="s">
        <v>26</v>
      </c>
      <c r="Z629" s="1581" t="s">
        <v>26</v>
      </c>
      <c r="AA629" s="1581" t="s">
        <v>34</v>
      </c>
      <c r="AB629" s="1581" t="s">
        <v>26</v>
      </c>
      <c r="AC629" s="1581" t="s">
        <v>35</v>
      </c>
      <c r="AD629" s="1581" t="s">
        <v>34</v>
      </c>
      <c r="AE629" s="1581" t="s">
        <v>34</v>
      </c>
      <c r="AF629" s="1581" t="s">
        <v>34</v>
      </c>
      <c r="AG629" s="1581" t="s">
        <v>34</v>
      </c>
      <c r="AH629" s="1581" t="s">
        <v>34</v>
      </c>
      <c r="AI629" s="1581" t="s">
        <v>34</v>
      </c>
      <c r="AJ629" s="1581" t="s">
        <v>34</v>
      </c>
      <c r="AK629" s="1708" t="s">
        <v>34</v>
      </c>
      <c r="AL629" s="1581" t="s">
        <v>34</v>
      </c>
      <c r="AM629" s="1581" t="s">
        <v>34</v>
      </c>
      <c r="AN629" s="1581" t="s">
        <v>34</v>
      </c>
      <c r="AO629" s="1581" t="s">
        <v>34</v>
      </c>
      <c r="AP629" s="1581" t="s">
        <v>34</v>
      </c>
      <c r="AQ629" s="1581" t="s">
        <v>34</v>
      </c>
      <c r="AR629" s="1581" t="s">
        <v>34</v>
      </c>
      <c r="AS629" s="1581" t="s">
        <v>58</v>
      </c>
      <c r="AT629" s="1581" t="s">
        <v>34</v>
      </c>
      <c r="AU629" s="1581" t="s">
        <v>59</v>
      </c>
      <c r="AV629" s="1581" t="s">
        <v>34</v>
      </c>
      <c r="AW629" s="1581" t="s">
        <v>34</v>
      </c>
      <c r="AX629" s="1537"/>
      <c r="AY629" s="2044"/>
      <c r="AZ629" s="2047"/>
      <c r="BA629" s="2047"/>
      <c r="BB629" s="2047"/>
      <c r="BC629" s="1550" t="s">
        <v>34</v>
      </c>
      <c r="BD629" s="2074"/>
      <c r="BE629" s="2076"/>
      <c r="BG629" s="1555" t="s">
        <v>353</v>
      </c>
      <c r="BH629" s="1578" t="s">
        <v>43</v>
      </c>
      <c r="BI629" s="1578" t="s">
        <v>42</v>
      </c>
      <c r="BJ629" s="1555" t="s">
        <v>354</v>
      </c>
      <c r="BK629" s="1561" t="s">
        <v>358</v>
      </c>
      <c r="BL629" s="1561"/>
      <c r="BM629" s="1561"/>
      <c r="BN629" s="1555"/>
      <c r="BO629" s="1555"/>
      <c r="BT629" s="1523" t="s">
        <v>718</v>
      </c>
    </row>
    <row r="630" spans="1:72" ht="83.25" customHeight="1" thickBot="1">
      <c r="A630" s="1683">
        <v>3</v>
      </c>
      <c r="B630" s="1489" t="s">
        <v>36</v>
      </c>
      <c r="C630" s="1585" t="s">
        <v>766</v>
      </c>
      <c r="D630" s="1590" t="s">
        <v>750</v>
      </c>
      <c r="E630" s="1516">
        <f>'HK PANEN'!AH50</f>
        <v>21</v>
      </c>
      <c r="F630" s="1490">
        <v>129220</v>
      </c>
      <c r="G630" s="1509">
        <f t="shared" si="112"/>
        <v>2713620</v>
      </c>
      <c r="H630" s="1516">
        <f>'HK PANEN'!AI50</f>
        <v>0</v>
      </c>
      <c r="I630" s="1491">
        <f t="shared" si="113"/>
        <v>0</v>
      </c>
      <c r="J630" s="1516">
        <f>'HK PANEN'!AJ50</f>
        <v>1</v>
      </c>
      <c r="K630" s="1491">
        <f t="shared" si="114"/>
        <v>129220</v>
      </c>
      <c r="L630" s="1516"/>
      <c r="M630" s="1491">
        <f t="shared" si="115"/>
        <v>0</v>
      </c>
      <c r="N630" s="1516">
        <f>'HK PANEN'!AL50</f>
        <v>4</v>
      </c>
      <c r="O630" s="1497">
        <f t="shared" si="116"/>
        <v>516880</v>
      </c>
      <c r="P630" s="1516">
        <f>'HK PANEN'!AM50</f>
        <v>3</v>
      </c>
      <c r="Q630" s="1497">
        <f t="shared" si="117"/>
        <v>387660</v>
      </c>
      <c r="R630" s="1489"/>
      <c r="S630" s="1497">
        <f t="shared" si="118"/>
        <v>0</v>
      </c>
      <c r="T630" s="1516">
        <f>'HK PANEN'!AO64</f>
        <v>0</v>
      </c>
      <c r="U630" s="1491">
        <f t="shared" si="119"/>
        <v>0</v>
      </c>
      <c r="V630" s="1491">
        <f t="shared" si="120"/>
        <v>29</v>
      </c>
      <c r="W630" s="1491"/>
      <c r="X630" s="1491"/>
      <c r="Y630" s="1491"/>
      <c r="Z630" s="1491"/>
      <c r="AA630" s="1491">
        <f t="shared" si="121"/>
        <v>0</v>
      </c>
      <c r="AB630" s="1497"/>
      <c r="AC630" s="1491"/>
      <c r="AD630" s="1497">
        <f t="shared" si="122"/>
        <v>0</v>
      </c>
      <c r="AE630" s="1497"/>
      <c r="AF630" s="1514">
        <f>'MONITORING '!AK290</f>
        <v>455403</v>
      </c>
      <c r="AG630" s="1498">
        <f>'MONITORING '!AK291</f>
        <v>180250</v>
      </c>
      <c r="AH630" s="1515">
        <v>410800</v>
      </c>
      <c r="AI630" s="1491">
        <f>'INSETIF MEI''25'!L29</f>
        <v>0</v>
      </c>
      <c r="AJ630" s="1498"/>
      <c r="AK630" s="1499"/>
      <c r="AL630" s="1491"/>
      <c r="AM630" s="1491"/>
      <c r="AN630" s="1491">
        <f>'MONITORING '!AK292</f>
        <v>0</v>
      </c>
      <c r="AO630" s="1494">
        <f t="shared" si="123"/>
        <v>4793833</v>
      </c>
      <c r="AP630" s="1491">
        <f t="shared" si="88"/>
        <v>77532</v>
      </c>
      <c r="AQ630" s="1491">
        <f t="shared" si="89"/>
        <v>175997.64</v>
      </c>
      <c r="AR630" s="1491">
        <f t="shared" si="124"/>
        <v>253529.64</v>
      </c>
      <c r="AS630" s="1489">
        <f t="shared" si="125"/>
        <v>38766</v>
      </c>
      <c r="AT630" s="1489">
        <f t="shared" si="126"/>
        <v>155064</v>
      </c>
      <c r="AU630" s="1491">
        <f t="shared" si="92"/>
        <v>38766</v>
      </c>
      <c r="AV630" s="1491">
        <f t="shared" si="93"/>
        <v>77532</v>
      </c>
      <c r="AW630" s="1491">
        <f t="shared" si="127"/>
        <v>310128</v>
      </c>
      <c r="AX630" s="1491"/>
      <c r="AY630" s="1491"/>
      <c r="AZ630" s="1491">
        <f t="shared" si="128"/>
        <v>0</v>
      </c>
      <c r="BA630" s="1491"/>
      <c r="BB630" s="1491"/>
      <c r="BC630" s="1489">
        <f t="shared" si="129"/>
        <v>4638769</v>
      </c>
      <c r="BD630" s="1489">
        <f>'HK PANEN'!AQ50</f>
        <v>2</v>
      </c>
      <c r="BE630" s="1495">
        <f>'HK PANEN'!AR50</f>
        <v>0</v>
      </c>
      <c r="BG630" s="1551">
        <f t="shared" si="130"/>
        <v>3747380</v>
      </c>
      <c r="BH630" s="1552">
        <f t="shared" si="131"/>
        <v>258440</v>
      </c>
      <c r="BI630" s="1552">
        <f t="shared" si="132"/>
        <v>0</v>
      </c>
      <c r="BJ630" s="1551">
        <f t="shared" si="133"/>
        <v>-258440</v>
      </c>
      <c r="BK630" s="1553">
        <f t="shared" si="134"/>
        <v>4005820</v>
      </c>
      <c r="BS630" s="1689" t="s">
        <v>692</v>
      </c>
      <c r="BT630" s="1556">
        <f t="shared" si="135"/>
        <v>455403</v>
      </c>
    </row>
    <row r="631" spans="1:72" ht="26.25" customHeight="1">
      <c r="A631" s="2048" t="s">
        <v>0</v>
      </c>
      <c r="B631" s="2048"/>
      <c r="C631" s="2048"/>
      <c r="D631" s="2048"/>
      <c r="E631" s="2048"/>
      <c r="F631" s="2048"/>
      <c r="G631" s="2048"/>
      <c r="H631" s="2048"/>
      <c r="I631" s="2048"/>
      <c r="J631" s="2048"/>
      <c r="K631" s="2048"/>
      <c r="L631" s="2048"/>
      <c r="M631" s="2048"/>
      <c r="N631" s="2048"/>
      <c r="O631" s="2048"/>
      <c r="P631" s="2048"/>
      <c r="Q631" s="2048"/>
      <c r="R631" s="2048"/>
      <c r="S631" s="2048"/>
      <c r="T631" s="2048"/>
      <c r="U631" s="2048"/>
      <c r="V631" s="2048"/>
      <c r="W631" s="2048"/>
      <c r="X631" s="2048"/>
      <c r="Y631" s="2048"/>
      <c r="Z631" s="2048"/>
      <c r="AA631" s="2048"/>
      <c r="AB631" s="2048"/>
      <c r="AC631" s="2048"/>
      <c r="AD631" s="2048"/>
      <c r="AE631" s="2048"/>
      <c r="AF631" s="2048"/>
      <c r="AG631" s="2048"/>
      <c r="AH631" s="2048"/>
      <c r="AI631" s="2048"/>
      <c r="AJ631" s="2048"/>
      <c r="AK631" s="2048"/>
      <c r="AL631" s="2048"/>
      <c r="AM631" s="2048"/>
      <c r="AN631" s="2048"/>
      <c r="AO631" s="2048"/>
      <c r="AP631" s="2048"/>
      <c r="AQ631" s="2048"/>
      <c r="AR631" s="2048"/>
      <c r="AS631" s="2048"/>
      <c r="AT631" s="2048"/>
      <c r="AU631" s="2048"/>
      <c r="AV631" s="2048"/>
      <c r="AW631" s="2048"/>
      <c r="AX631" s="2048"/>
      <c r="AY631" s="2048"/>
      <c r="AZ631" s="2048"/>
      <c r="BA631" s="2048"/>
      <c r="BB631" s="2048"/>
      <c r="BC631" s="2048"/>
      <c r="BD631" s="2048"/>
      <c r="BE631" s="2048"/>
      <c r="BT631" s="1556"/>
    </row>
    <row r="632" spans="1:72" ht="26.25" customHeight="1">
      <c r="A632" s="2049" t="s">
        <v>1033</v>
      </c>
      <c r="B632" s="2049"/>
      <c r="C632" s="2049"/>
      <c r="D632" s="2049"/>
      <c r="E632" s="2049"/>
      <c r="F632" s="2049"/>
      <c r="G632" s="2049"/>
      <c r="H632" s="2049"/>
      <c r="I632" s="2049"/>
      <c r="J632" s="2049"/>
      <c r="K632" s="2049"/>
      <c r="L632" s="2049"/>
      <c r="M632" s="2049"/>
      <c r="N632" s="2049"/>
      <c r="O632" s="2049"/>
      <c r="P632" s="2049"/>
      <c r="Q632" s="2049"/>
      <c r="R632" s="2049"/>
      <c r="S632" s="2049"/>
      <c r="T632" s="2049"/>
      <c r="U632" s="2049"/>
      <c r="V632" s="2049"/>
      <c r="W632" s="2049"/>
      <c r="X632" s="2049"/>
      <c r="Y632" s="2049"/>
      <c r="Z632" s="2049"/>
      <c r="AA632" s="2049"/>
      <c r="AB632" s="2049"/>
      <c r="AC632" s="2049"/>
      <c r="AD632" s="2049"/>
      <c r="AE632" s="2049"/>
      <c r="AF632" s="2049"/>
      <c r="AG632" s="2049"/>
      <c r="AH632" s="2049"/>
      <c r="AI632" s="2049"/>
      <c r="AJ632" s="2049"/>
      <c r="AK632" s="2049"/>
      <c r="AL632" s="2049"/>
      <c r="AM632" s="2049"/>
      <c r="AN632" s="2049"/>
      <c r="AO632" s="2049"/>
      <c r="AP632" s="2049"/>
      <c r="AQ632" s="2049"/>
      <c r="AR632" s="2049"/>
      <c r="AS632" s="2049"/>
      <c r="AT632" s="2049"/>
      <c r="AU632" s="2049"/>
      <c r="AV632" s="2049"/>
      <c r="AW632" s="2049"/>
      <c r="AX632" s="2049"/>
      <c r="AY632" s="2049"/>
      <c r="AZ632" s="2049"/>
      <c r="BA632" s="2049"/>
      <c r="BB632" s="2049"/>
      <c r="BC632" s="2049"/>
      <c r="BD632" s="2049"/>
      <c r="BE632" s="2049"/>
      <c r="BT632" s="1556"/>
    </row>
    <row r="633" spans="1:72" ht="26.25" customHeight="1">
      <c r="A633" s="1532"/>
      <c r="B633" s="1532"/>
      <c r="C633" s="1605"/>
      <c r="D633" s="1532"/>
      <c r="E633" s="1532"/>
      <c r="F633" s="1560"/>
      <c r="G633" s="1560"/>
      <c r="H633" s="1532"/>
      <c r="I633" s="1532"/>
      <c r="J633" s="1532"/>
      <c r="K633" s="1532"/>
      <c r="L633" s="1532"/>
      <c r="M633" s="1532"/>
      <c r="N633" s="1532"/>
      <c r="O633" s="1532"/>
      <c r="P633" s="1532"/>
      <c r="Q633" s="1532"/>
      <c r="R633" s="1532"/>
      <c r="S633" s="1532"/>
      <c r="T633" s="1532"/>
      <c r="U633" s="1532"/>
      <c r="V633" s="1532"/>
      <c r="W633" s="1532"/>
      <c r="X633" s="1532"/>
      <c r="Y633" s="1532"/>
      <c r="Z633" s="1532"/>
      <c r="AA633" s="1532"/>
      <c r="AB633" s="1532"/>
      <c r="AC633" s="1532"/>
      <c r="AD633" s="1532"/>
      <c r="AE633" s="1532"/>
      <c r="AF633" s="1532"/>
      <c r="AG633" s="1532"/>
      <c r="AH633" s="1532"/>
      <c r="AI633" s="1532"/>
      <c r="AJ633" s="1532"/>
      <c r="AK633" s="1557"/>
      <c r="AL633" s="1532"/>
      <c r="AM633" s="1532"/>
      <c r="AN633" s="1532"/>
      <c r="AO633" s="1532"/>
      <c r="AP633" s="1671"/>
      <c r="AQ633" s="1671"/>
      <c r="AR633" s="1671"/>
      <c r="AS633" s="1671"/>
      <c r="AT633" s="1532"/>
      <c r="AU633" s="1532"/>
      <c r="AV633" s="1532"/>
      <c r="AW633" s="1532"/>
      <c r="AX633" s="1532"/>
      <c r="AY633" s="1532"/>
      <c r="AZ633" s="1532"/>
      <c r="BA633" s="1532"/>
      <c r="BB633" s="1532"/>
      <c r="BC633" s="1547"/>
      <c r="BD633" s="1532"/>
      <c r="BE633" s="1532"/>
      <c r="BT633" s="1556"/>
    </row>
    <row r="634" spans="1:72" s="1523" customFormat="1" ht="16.5" customHeight="1">
      <c r="D634" s="1523" t="s">
        <v>964</v>
      </c>
      <c r="F634" s="1555"/>
      <c r="G634" s="1555"/>
      <c r="AE634" s="1532"/>
      <c r="AF634" s="1532"/>
      <c r="AG634" s="1532"/>
      <c r="AH634" s="1532"/>
      <c r="AI634" s="1532"/>
      <c r="AJ634" s="1532"/>
      <c r="AK634" s="1557"/>
      <c r="AL634" s="1532"/>
      <c r="AM634" s="1532"/>
      <c r="AO634" s="1561"/>
      <c r="AP634" s="1558">
        <v>3876600</v>
      </c>
      <c r="AQ634" s="1672">
        <f>AP634/30</f>
        <v>129220</v>
      </c>
      <c r="AR634" s="1705">
        <f>AP634/173*1.5</f>
        <v>33612.138728323698</v>
      </c>
      <c r="AS634" s="1706">
        <f>AP634/173*2</f>
        <v>44816.184971098264</v>
      </c>
      <c r="AT634" s="1532" t="s">
        <v>55</v>
      </c>
      <c r="AU634" s="1523" t="s">
        <v>329</v>
      </c>
      <c r="BC634" s="1518"/>
      <c r="BE634" s="1532"/>
      <c r="BG634" s="1555"/>
      <c r="BH634" s="1560"/>
      <c r="BI634" s="1560"/>
      <c r="BJ634" s="1555"/>
      <c r="BK634" s="1561"/>
      <c r="BL634" s="1561"/>
      <c r="BM634" s="1561"/>
      <c r="BN634" s="1555"/>
      <c r="BO634" s="1555"/>
      <c r="BT634" s="1556"/>
    </row>
    <row r="635" spans="1:72" ht="18.75" customHeight="1" thickBot="1">
      <c r="A635" s="1547"/>
      <c r="D635" s="1532"/>
      <c r="E635" s="1563"/>
      <c r="F635" s="1675"/>
      <c r="G635" s="1564"/>
      <c r="H635" s="1563"/>
      <c r="I635" s="1563"/>
      <c r="J635" s="1563"/>
      <c r="K635" s="1563"/>
      <c r="L635" s="1563"/>
      <c r="M635" s="1563"/>
      <c r="N635" s="1563"/>
      <c r="O635" s="1563"/>
      <c r="Q635" s="1563"/>
      <c r="R635" s="1563"/>
      <c r="S635" s="1563"/>
      <c r="T635" s="1563"/>
      <c r="U635" s="1563"/>
      <c r="V635" s="1563"/>
      <c r="W635" s="1563"/>
      <c r="X635" s="1563"/>
      <c r="Y635" s="1563"/>
      <c r="Z635" s="1563"/>
      <c r="AA635" s="1563"/>
      <c r="AB635" s="1563"/>
      <c r="AC635" s="1563"/>
      <c r="AD635" s="1563"/>
      <c r="AE635" s="1563"/>
      <c r="AF635" s="1563"/>
      <c r="AG635" s="1563"/>
      <c r="AH635" s="1563"/>
      <c r="AI635" s="1563"/>
      <c r="AJ635" s="1563"/>
      <c r="AK635" s="1565"/>
      <c r="AL635" s="1563"/>
      <c r="AM635" s="1563"/>
      <c r="AO635" s="1563"/>
      <c r="AP635" s="1558">
        <v>3876600</v>
      </c>
      <c r="AQ635" s="1566">
        <f>AP635/30</f>
        <v>129220</v>
      </c>
      <c r="AR635" s="1598"/>
      <c r="AS635" s="1598"/>
      <c r="AT635" s="1556"/>
      <c r="BT635" s="1556"/>
    </row>
    <row r="636" spans="1:72" s="1523" customFormat="1" ht="18.75" customHeight="1">
      <c r="A636" s="2050" t="s">
        <v>5</v>
      </c>
      <c r="B636" s="2056" t="s">
        <v>6</v>
      </c>
      <c r="C636" s="2056" t="s">
        <v>52</v>
      </c>
      <c r="D636" s="1571"/>
      <c r="E636" s="1571"/>
      <c r="F636" s="1676"/>
      <c r="G636" s="1676"/>
      <c r="H636" s="2118" t="s">
        <v>2</v>
      </c>
      <c r="I636" s="2118"/>
      <c r="J636" s="2118"/>
      <c r="K636" s="2118"/>
      <c r="L636" s="2118"/>
      <c r="M636" s="2118"/>
      <c r="N636" s="2118"/>
      <c r="O636" s="2118"/>
      <c r="P636" s="2118"/>
      <c r="Q636" s="2118"/>
      <c r="R636" s="2118"/>
      <c r="S636" s="2118"/>
      <c r="T636" s="2118"/>
      <c r="U636" s="2118"/>
      <c r="V636" s="2056" t="s">
        <v>286</v>
      </c>
      <c r="W636" s="2118" t="s">
        <v>3</v>
      </c>
      <c r="X636" s="2118"/>
      <c r="Y636" s="2118"/>
      <c r="Z636" s="2118"/>
      <c r="AA636" s="2118"/>
      <c r="AB636" s="2118"/>
      <c r="AC636" s="2118"/>
      <c r="AD636" s="2118"/>
      <c r="AE636" s="2042" t="s">
        <v>45</v>
      </c>
      <c r="AF636" s="2063" t="s">
        <v>46</v>
      </c>
      <c r="AG636" s="2064"/>
      <c r="AH636" s="2064"/>
      <c r="AI636" s="2064"/>
      <c r="AJ636" s="2064"/>
      <c r="AK636" s="2065"/>
      <c r="AL636" s="2045"/>
      <c r="AM636" s="2045" t="s">
        <v>98</v>
      </c>
      <c r="AN636" s="2056" t="s">
        <v>44</v>
      </c>
      <c r="AO636" s="1533" t="s">
        <v>4</v>
      </c>
      <c r="AP636" s="2036" t="s">
        <v>20</v>
      </c>
      <c r="AQ636" s="2037"/>
      <c r="AR636" s="2038"/>
      <c r="AS636" s="2036" t="s">
        <v>54</v>
      </c>
      <c r="AT636" s="2037"/>
      <c r="AU636" s="2037"/>
      <c r="AV636" s="2037"/>
      <c r="AW636" s="2038"/>
      <c r="AX636" s="1571"/>
      <c r="AY636" s="2042" t="s">
        <v>90</v>
      </c>
      <c r="AZ636" s="2045" t="s">
        <v>97</v>
      </c>
      <c r="BA636" s="2045" t="s">
        <v>720</v>
      </c>
      <c r="BB636" s="2045"/>
      <c r="BC636" s="1548" t="s">
        <v>4</v>
      </c>
      <c r="BD636" s="2063" t="s">
        <v>41</v>
      </c>
      <c r="BE636" s="2084"/>
      <c r="BG636" s="1555"/>
      <c r="BH636" s="1560"/>
      <c r="BI636" s="1560"/>
      <c r="BJ636" s="1555"/>
      <c r="BK636" s="1561"/>
      <c r="BL636" s="1561"/>
      <c r="BM636" s="1561"/>
      <c r="BN636" s="1555"/>
      <c r="BO636" s="1555"/>
      <c r="BT636" s="1556"/>
    </row>
    <row r="637" spans="1:72" s="1523" customFormat="1" ht="25.5" customHeight="1">
      <c r="A637" s="2051"/>
      <c r="B637" s="2057"/>
      <c r="C637" s="2057"/>
      <c r="D637" s="1534" t="s">
        <v>7</v>
      </c>
      <c r="E637" s="1534" t="s">
        <v>8</v>
      </c>
      <c r="F637" s="1677" t="s">
        <v>9</v>
      </c>
      <c r="G637" s="1677" t="s">
        <v>9</v>
      </c>
      <c r="H637" s="2131" t="s">
        <v>10</v>
      </c>
      <c r="I637" s="2131"/>
      <c r="J637" s="2131" t="s">
        <v>11</v>
      </c>
      <c r="K637" s="2131"/>
      <c r="L637" s="2131" t="s">
        <v>12</v>
      </c>
      <c r="M637" s="2131"/>
      <c r="N637" s="2131" t="s">
        <v>13</v>
      </c>
      <c r="O637" s="2131"/>
      <c r="P637" s="2131" t="s">
        <v>14</v>
      </c>
      <c r="Q637" s="2131"/>
      <c r="R637" s="2132" t="s">
        <v>15</v>
      </c>
      <c r="S637" s="2132"/>
      <c r="T637" s="2131" t="s">
        <v>16</v>
      </c>
      <c r="U637" s="2131"/>
      <c r="V637" s="2057"/>
      <c r="W637" s="2131" t="s">
        <v>17</v>
      </c>
      <c r="X637" s="2131"/>
      <c r="Y637" s="2131" t="s">
        <v>18</v>
      </c>
      <c r="Z637" s="2131"/>
      <c r="AA637" s="2131"/>
      <c r="AB637" s="2071" t="s">
        <v>19</v>
      </c>
      <c r="AC637" s="2081"/>
      <c r="AD637" s="2072"/>
      <c r="AE637" s="2043"/>
      <c r="AF637" s="2085"/>
      <c r="AG637" s="2122"/>
      <c r="AH637" s="2122"/>
      <c r="AI637" s="2122"/>
      <c r="AJ637" s="2122"/>
      <c r="AK637" s="2123"/>
      <c r="AL637" s="2046"/>
      <c r="AM637" s="2046"/>
      <c r="AN637" s="2057"/>
      <c r="AO637" s="1534" t="s">
        <v>9</v>
      </c>
      <c r="AP637" s="2039"/>
      <c r="AQ637" s="2040"/>
      <c r="AR637" s="2041"/>
      <c r="AS637" s="2039"/>
      <c r="AT637" s="2040"/>
      <c r="AU637" s="2040"/>
      <c r="AV637" s="2040"/>
      <c r="AW637" s="2041"/>
      <c r="AX637" s="1534" t="s">
        <v>21</v>
      </c>
      <c r="AY637" s="2043"/>
      <c r="AZ637" s="2046"/>
      <c r="BA637" s="2046"/>
      <c r="BB637" s="2046"/>
      <c r="BC637" s="1549" t="s">
        <v>9</v>
      </c>
      <c r="BD637" s="2085"/>
      <c r="BE637" s="2086"/>
      <c r="BG637" s="1555"/>
      <c r="BH637" s="1560"/>
      <c r="BI637" s="1560"/>
      <c r="BJ637" s="1555"/>
      <c r="BK637" s="1561"/>
      <c r="BL637" s="1561"/>
      <c r="BM637" s="1561"/>
      <c r="BN637" s="1555"/>
      <c r="BO637" s="1555"/>
      <c r="BT637" s="1556"/>
    </row>
    <row r="638" spans="1:72" s="1532" customFormat="1" ht="36" customHeight="1">
      <c r="A638" s="2051"/>
      <c r="B638" s="2057"/>
      <c r="C638" s="2057"/>
      <c r="D638" s="1534" t="s">
        <v>22</v>
      </c>
      <c r="E638" s="1534" t="s">
        <v>23</v>
      </c>
      <c r="F638" s="1677" t="s">
        <v>24</v>
      </c>
      <c r="G638" s="1677" t="s">
        <v>25</v>
      </c>
      <c r="H638" s="2073" t="s">
        <v>4</v>
      </c>
      <c r="I638" s="2073"/>
      <c r="J638" s="2073" t="s">
        <v>4</v>
      </c>
      <c r="K638" s="2073"/>
      <c r="L638" s="2073" t="s">
        <v>4</v>
      </c>
      <c r="M638" s="2073"/>
      <c r="N638" s="2073" t="s">
        <v>4</v>
      </c>
      <c r="O638" s="2073"/>
      <c r="P638" s="2073" t="s">
        <v>4</v>
      </c>
      <c r="Q638" s="2073"/>
      <c r="R638" s="2073" t="s">
        <v>4</v>
      </c>
      <c r="S638" s="2073"/>
      <c r="T638" s="2073" t="s">
        <v>4</v>
      </c>
      <c r="U638" s="2073"/>
      <c r="V638" s="2057"/>
      <c r="W638" s="1534" t="s">
        <v>27</v>
      </c>
      <c r="X638" s="1576" t="s">
        <v>28</v>
      </c>
      <c r="Y638" s="1534" t="s">
        <v>27</v>
      </c>
      <c r="Z638" s="2073" t="s">
        <v>4</v>
      </c>
      <c r="AA638" s="2073"/>
      <c r="AB638" s="1534" t="s">
        <v>27</v>
      </c>
      <c r="AC638" s="2071" t="s">
        <v>4</v>
      </c>
      <c r="AD638" s="2072"/>
      <c r="AE638" s="2062"/>
      <c r="AF638" s="1575" t="s">
        <v>56</v>
      </c>
      <c r="AG638" s="1575" t="s">
        <v>57</v>
      </c>
      <c r="AH638" s="1575" t="s">
        <v>60</v>
      </c>
      <c r="AI638" s="1575" t="s">
        <v>288</v>
      </c>
      <c r="AJ638" s="1575" t="s">
        <v>97</v>
      </c>
      <c r="AK638" s="1575" t="s">
        <v>355</v>
      </c>
      <c r="AL638" s="2089"/>
      <c r="AM638" s="2089"/>
      <c r="AN638" s="2090"/>
      <c r="AO638" s="1534" t="s">
        <v>29</v>
      </c>
      <c r="AP638" s="1534" t="s">
        <v>30</v>
      </c>
      <c r="AQ638" s="1534" t="s">
        <v>31</v>
      </c>
      <c r="AR638" s="1534" t="s">
        <v>4</v>
      </c>
      <c r="AS638" s="1534" t="s">
        <v>30</v>
      </c>
      <c r="AT638" s="1534" t="s">
        <v>31</v>
      </c>
      <c r="AU638" s="1534" t="s">
        <v>30</v>
      </c>
      <c r="AV638" s="1534" t="s">
        <v>31</v>
      </c>
      <c r="AW638" s="1534" t="s">
        <v>4</v>
      </c>
      <c r="AX638" s="1534" t="s">
        <v>32</v>
      </c>
      <c r="AY638" s="2043"/>
      <c r="AZ638" s="2046"/>
      <c r="BA638" s="2046"/>
      <c r="BB638" s="2046"/>
      <c r="BC638" s="1549" t="s">
        <v>33</v>
      </c>
      <c r="BD638" s="2073" t="s">
        <v>42</v>
      </c>
      <c r="BE638" s="2075" t="s">
        <v>43</v>
      </c>
      <c r="BG638" s="1560"/>
      <c r="BH638" s="1560"/>
      <c r="BI638" s="1560"/>
      <c r="BJ638" s="1560"/>
      <c r="BK638" s="1707"/>
      <c r="BL638" s="1561"/>
      <c r="BM638" s="1561"/>
      <c r="BN638" s="1555"/>
      <c r="BO638" s="1555"/>
      <c r="BT638" s="1556"/>
    </row>
    <row r="639" spans="1:72" s="1523" customFormat="1" ht="24" customHeight="1" thickBot="1">
      <c r="A639" s="2052"/>
      <c r="B639" s="2058"/>
      <c r="C639" s="2058"/>
      <c r="D639" s="1537"/>
      <c r="E639" s="1537"/>
      <c r="F639" s="1579" t="s">
        <v>34</v>
      </c>
      <c r="G639" s="1579" t="s">
        <v>34</v>
      </c>
      <c r="H639" s="1581" t="s">
        <v>8</v>
      </c>
      <c r="I639" s="1581" t="s">
        <v>34</v>
      </c>
      <c r="J639" s="1581" t="s">
        <v>8</v>
      </c>
      <c r="K639" s="1581" t="s">
        <v>34</v>
      </c>
      <c r="L639" s="1581" t="s">
        <v>8</v>
      </c>
      <c r="M639" s="1581" t="s">
        <v>34</v>
      </c>
      <c r="N639" s="1581" t="s">
        <v>8</v>
      </c>
      <c r="O639" s="1581" t="s">
        <v>34</v>
      </c>
      <c r="P639" s="1581" t="s">
        <v>8</v>
      </c>
      <c r="Q639" s="1581" t="s">
        <v>34</v>
      </c>
      <c r="R639" s="1581" t="s">
        <v>8</v>
      </c>
      <c r="S639" s="1581" t="s">
        <v>34</v>
      </c>
      <c r="T639" s="1581" t="s">
        <v>8</v>
      </c>
      <c r="U639" s="1581" t="s">
        <v>34</v>
      </c>
      <c r="V639" s="2058"/>
      <c r="W639" s="1581" t="s">
        <v>26</v>
      </c>
      <c r="X639" s="1581" t="s">
        <v>34</v>
      </c>
      <c r="Y639" s="1581" t="s">
        <v>26</v>
      </c>
      <c r="Z639" s="1581" t="s">
        <v>26</v>
      </c>
      <c r="AA639" s="1581" t="s">
        <v>34</v>
      </c>
      <c r="AB639" s="1581" t="s">
        <v>26</v>
      </c>
      <c r="AC639" s="1581" t="s">
        <v>35</v>
      </c>
      <c r="AD639" s="1581" t="s">
        <v>34</v>
      </c>
      <c r="AE639" s="1581" t="s">
        <v>34</v>
      </c>
      <c r="AF639" s="1581" t="s">
        <v>34</v>
      </c>
      <c r="AG639" s="1581" t="s">
        <v>34</v>
      </c>
      <c r="AH639" s="1581" t="s">
        <v>34</v>
      </c>
      <c r="AI639" s="1581" t="s">
        <v>34</v>
      </c>
      <c r="AJ639" s="1581" t="s">
        <v>34</v>
      </c>
      <c r="AK639" s="1708" t="s">
        <v>34</v>
      </c>
      <c r="AL639" s="1581" t="s">
        <v>34</v>
      </c>
      <c r="AM639" s="1581" t="s">
        <v>34</v>
      </c>
      <c r="AN639" s="1581" t="s">
        <v>34</v>
      </c>
      <c r="AO639" s="1581" t="s">
        <v>34</v>
      </c>
      <c r="AP639" s="1581" t="s">
        <v>34</v>
      </c>
      <c r="AQ639" s="1581" t="s">
        <v>34</v>
      </c>
      <c r="AR639" s="1581" t="s">
        <v>34</v>
      </c>
      <c r="AS639" s="1581" t="s">
        <v>58</v>
      </c>
      <c r="AT639" s="1581" t="s">
        <v>34</v>
      </c>
      <c r="AU639" s="1581" t="s">
        <v>59</v>
      </c>
      <c r="AV639" s="1581" t="s">
        <v>34</v>
      </c>
      <c r="AW639" s="1581" t="s">
        <v>34</v>
      </c>
      <c r="AX639" s="1537"/>
      <c r="AY639" s="2044"/>
      <c r="AZ639" s="2047"/>
      <c r="BA639" s="2047"/>
      <c r="BB639" s="2047"/>
      <c r="BC639" s="1550" t="s">
        <v>34</v>
      </c>
      <c r="BD639" s="2074"/>
      <c r="BE639" s="2076"/>
      <c r="BG639" s="1555" t="s">
        <v>353</v>
      </c>
      <c r="BH639" s="1578" t="s">
        <v>43</v>
      </c>
      <c r="BI639" s="1578" t="s">
        <v>42</v>
      </c>
      <c r="BJ639" s="1555" t="s">
        <v>354</v>
      </c>
      <c r="BK639" s="1561" t="s">
        <v>358</v>
      </c>
      <c r="BL639" s="1561"/>
      <c r="BM639" s="1561"/>
      <c r="BN639" s="1555"/>
      <c r="BO639" s="1555"/>
      <c r="BT639" s="1523" t="s">
        <v>718</v>
      </c>
    </row>
    <row r="640" spans="1:72" ht="83.25" customHeight="1" thickBot="1">
      <c r="A640" s="1683">
        <v>4</v>
      </c>
      <c r="B640" s="1489" t="s">
        <v>36</v>
      </c>
      <c r="C640" s="1585" t="s">
        <v>764</v>
      </c>
      <c r="D640" s="1590" t="s">
        <v>751</v>
      </c>
      <c r="E640" s="1516">
        <f>'HK PANEN'!AH51</f>
        <v>24</v>
      </c>
      <c r="F640" s="1490">
        <v>129220</v>
      </c>
      <c r="G640" s="1509">
        <f t="shared" si="112"/>
        <v>3101280</v>
      </c>
      <c r="H640" s="1516">
        <f>'HK PANEN'!AI51</f>
        <v>0</v>
      </c>
      <c r="I640" s="1491">
        <f t="shared" si="113"/>
        <v>0</v>
      </c>
      <c r="J640" s="1516">
        <f>'HK PANEN'!AJ51</f>
        <v>0</v>
      </c>
      <c r="K640" s="1491">
        <f t="shared" si="114"/>
        <v>0</v>
      </c>
      <c r="L640" s="1516"/>
      <c r="M640" s="1491">
        <f t="shared" si="115"/>
        <v>0</v>
      </c>
      <c r="N640" s="1516">
        <f>'HK PANEN'!AL51</f>
        <v>4</v>
      </c>
      <c r="O640" s="1497">
        <f t="shared" si="116"/>
        <v>516880</v>
      </c>
      <c r="P640" s="1516">
        <f>'HK PANEN'!AM51</f>
        <v>3</v>
      </c>
      <c r="Q640" s="1497">
        <f t="shared" si="117"/>
        <v>387660</v>
      </c>
      <c r="R640" s="1489"/>
      <c r="S640" s="1497">
        <f t="shared" si="118"/>
        <v>0</v>
      </c>
      <c r="T640" s="1516">
        <f>'HK PANEN'!AO65</f>
        <v>0</v>
      </c>
      <c r="U640" s="1491">
        <f t="shared" si="119"/>
        <v>0</v>
      </c>
      <c r="V640" s="1491">
        <f t="shared" si="120"/>
        <v>31</v>
      </c>
      <c r="W640" s="1491"/>
      <c r="X640" s="1491"/>
      <c r="Y640" s="1491"/>
      <c r="Z640" s="1491"/>
      <c r="AA640" s="1491">
        <f t="shared" si="121"/>
        <v>0</v>
      </c>
      <c r="AB640" s="1497"/>
      <c r="AC640" s="1491"/>
      <c r="AD640" s="1497">
        <f t="shared" si="122"/>
        <v>0</v>
      </c>
      <c r="AE640" s="1497"/>
      <c r="AF640" s="1514">
        <f>'MONITORING '!AK303</f>
        <v>103968</v>
      </c>
      <c r="AG640" s="1498">
        <f>'MONITORING '!AK304</f>
        <v>239750</v>
      </c>
      <c r="AH640" s="1515">
        <v>430400</v>
      </c>
      <c r="AI640" s="1491"/>
      <c r="AJ640" s="1498"/>
      <c r="AK640" s="1499"/>
      <c r="AL640" s="1491"/>
      <c r="AM640" s="1491"/>
      <c r="AN640" s="1491">
        <f>'MONITORING '!AK305</f>
        <v>0</v>
      </c>
      <c r="AO640" s="1494">
        <f t="shared" si="123"/>
        <v>4779938</v>
      </c>
      <c r="AP640" s="1491">
        <f t="shared" si="88"/>
        <v>77532</v>
      </c>
      <c r="AQ640" s="1491">
        <f t="shared" si="89"/>
        <v>175997.64</v>
      </c>
      <c r="AR640" s="1491">
        <f t="shared" si="124"/>
        <v>253529.64</v>
      </c>
      <c r="AS640" s="1489">
        <f t="shared" si="125"/>
        <v>38766</v>
      </c>
      <c r="AT640" s="1489">
        <f t="shared" si="126"/>
        <v>155064</v>
      </c>
      <c r="AU640" s="1491">
        <f t="shared" si="92"/>
        <v>38766</v>
      </c>
      <c r="AV640" s="1491">
        <f t="shared" si="93"/>
        <v>77532</v>
      </c>
      <c r="AW640" s="1491">
        <f t="shared" si="127"/>
        <v>310128</v>
      </c>
      <c r="AX640" s="1491"/>
      <c r="AY640" s="1491"/>
      <c r="AZ640" s="1491">
        <f t="shared" si="128"/>
        <v>0</v>
      </c>
      <c r="BA640" s="1491"/>
      <c r="BB640" s="1491"/>
      <c r="BC640" s="1489">
        <f t="shared" si="129"/>
        <v>4624874</v>
      </c>
      <c r="BD640" s="1489">
        <f>'HK PANEN'!AQ51</f>
        <v>0</v>
      </c>
      <c r="BE640" s="1495">
        <f>'HK PANEN'!AR51</f>
        <v>0</v>
      </c>
      <c r="BG640" s="1551">
        <f t="shared" si="130"/>
        <v>4005820</v>
      </c>
      <c r="BH640" s="1552">
        <f t="shared" si="131"/>
        <v>0</v>
      </c>
      <c r="BI640" s="1552">
        <f t="shared" si="132"/>
        <v>0</v>
      </c>
      <c r="BJ640" s="1551">
        <f t="shared" si="133"/>
        <v>0</v>
      </c>
      <c r="BK640" s="1553">
        <f t="shared" si="134"/>
        <v>4005820</v>
      </c>
      <c r="BS640" s="1689" t="s">
        <v>692</v>
      </c>
      <c r="BT640" s="1556">
        <f t="shared" si="135"/>
        <v>103968</v>
      </c>
    </row>
    <row r="641" spans="1:72" ht="26.25" customHeight="1">
      <c r="A641" s="2048" t="s">
        <v>0</v>
      </c>
      <c r="B641" s="2048"/>
      <c r="C641" s="2048"/>
      <c r="D641" s="2048"/>
      <c r="E641" s="2048"/>
      <c r="F641" s="2048"/>
      <c r="G641" s="2048"/>
      <c r="H641" s="2048"/>
      <c r="I641" s="2048"/>
      <c r="J641" s="2048"/>
      <c r="K641" s="2048"/>
      <c r="L641" s="2048"/>
      <c r="M641" s="2048"/>
      <c r="N641" s="2048"/>
      <c r="O641" s="2048"/>
      <c r="P641" s="2048"/>
      <c r="Q641" s="2048"/>
      <c r="R641" s="2048"/>
      <c r="S641" s="2048"/>
      <c r="T641" s="2048"/>
      <c r="U641" s="2048"/>
      <c r="V641" s="2048"/>
      <c r="W641" s="2048"/>
      <c r="X641" s="2048"/>
      <c r="Y641" s="2048"/>
      <c r="Z641" s="2048"/>
      <c r="AA641" s="2048"/>
      <c r="AB641" s="2048"/>
      <c r="AC641" s="2048"/>
      <c r="AD641" s="2048"/>
      <c r="AE641" s="2048"/>
      <c r="AF641" s="2048"/>
      <c r="AG641" s="2048"/>
      <c r="AH641" s="2048"/>
      <c r="AI641" s="2048"/>
      <c r="AJ641" s="2048"/>
      <c r="AK641" s="2048"/>
      <c r="AL641" s="2048"/>
      <c r="AM641" s="2048"/>
      <c r="AN641" s="2048"/>
      <c r="AO641" s="2048"/>
      <c r="AP641" s="2048"/>
      <c r="AQ641" s="2048"/>
      <c r="AR641" s="2048"/>
      <c r="AS641" s="2048"/>
      <c r="AT641" s="2048"/>
      <c r="AU641" s="2048"/>
      <c r="AV641" s="2048"/>
      <c r="AW641" s="2048"/>
      <c r="AX641" s="2048"/>
      <c r="AY641" s="2048"/>
      <c r="AZ641" s="2048"/>
      <c r="BA641" s="2048"/>
      <c r="BB641" s="2048"/>
      <c r="BC641" s="2048"/>
      <c r="BD641" s="2048"/>
      <c r="BE641" s="2048"/>
      <c r="BT641" s="1556"/>
    </row>
    <row r="642" spans="1:72" ht="26.25" customHeight="1">
      <c r="A642" s="2049" t="s">
        <v>1033</v>
      </c>
      <c r="B642" s="2049"/>
      <c r="C642" s="2049"/>
      <c r="D642" s="2049"/>
      <c r="E642" s="2049"/>
      <c r="F642" s="2049"/>
      <c r="G642" s="2049"/>
      <c r="H642" s="2049"/>
      <c r="I642" s="2049"/>
      <c r="J642" s="2049"/>
      <c r="K642" s="2049"/>
      <c r="L642" s="2049"/>
      <c r="M642" s="2049"/>
      <c r="N642" s="2049"/>
      <c r="O642" s="2049"/>
      <c r="P642" s="2049"/>
      <c r="Q642" s="2049"/>
      <c r="R642" s="2049"/>
      <c r="S642" s="2049"/>
      <c r="T642" s="2049"/>
      <c r="U642" s="2049"/>
      <c r="V642" s="2049"/>
      <c r="W642" s="2049"/>
      <c r="X642" s="2049"/>
      <c r="Y642" s="2049"/>
      <c r="Z642" s="2049"/>
      <c r="AA642" s="2049"/>
      <c r="AB642" s="2049"/>
      <c r="AC642" s="2049"/>
      <c r="AD642" s="2049"/>
      <c r="AE642" s="2049"/>
      <c r="AF642" s="2049"/>
      <c r="AG642" s="2049"/>
      <c r="AH642" s="2049"/>
      <c r="AI642" s="2049"/>
      <c r="AJ642" s="2049"/>
      <c r="AK642" s="2049"/>
      <c r="AL642" s="2049"/>
      <c r="AM642" s="2049"/>
      <c r="AN642" s="2049"/>
      <c r="AO642" s="2049"/>
      <c r="AP642" s="2049"/>
      <c r="AQ642" s="2049"/>
      <c r="AR642" s="2049"/>
      <c r="AS642" s="2049"/>
      <c r="AT642" s="2049"/>
      <c r="AU642" s="2049"/>
      <c r="AV642" s="2049"/>
      <c r="AW642" s="2049"/>
      <c r="AX642" s="2049"/>
      <c r="AY642" s="2049"/>
      <c r="AZ642" s="2049"/>
      <c r="BA642" s="2049"/>
      <c r="BB642" s="2049"/>
      <c r="BC642" s="2049"/>
      <c r="BD642" s="2049"/>
      <c r="BE642" s="2049"/>
      <c r="BT642" s="1556"/>
    </row>
    <row r="643" spans="1:72" ht="26.25" customHeight="1">
      <c r="A643" s="1532"/>
      <c r="B643" s="1532"/>
      <c r="C643" s="1605"/>
      <c r="D643" s="1532"/>
      <c r="E643" s="1532"/>
      <c r="F643" s="1560"/>
      <c r="G643" s="1560"/>
      <c r="H643" s="1532"/>
      <c r="I643" s="1532"/>
      <c r="J643" s="1532"/>
      <c r="K643" s="1532"/>
      <c r="L643" s="1532"/>
      <c r="M643" s="1532"/>
      <c r="N643" s="1532"/>
      <c r="O643" s="1532"/>
      <c r="P643" s="1532"/>
      <c r="Q643" s="1532"/>
      <c r="R643" s="1532"/>
      <c r="S643" s="1532"/>
      <c r="T643" s="1532"/>
      <c r="U643" s="1532"/>
      <c r="V643" s="1532"/>
      <c r="W643" s="1532"/>
      <c r="X643" s="1532"/>
      <c r="Y643" s="1532"/>
      <c r="Z643" s="1532"/>
      <c r="AA643" s="1532"/>
      <c r="AB643" s="1532"/>
      <c r="AC643" s="1532"/>
      <c r="AD643" s="1532"/>
      <c r="AE643" s="1532"/>
      <c r="AF643" s="1532"/>
      <c r="AG643" s="1532"/>
      <c r="AH643" s="1532"/>
      <c r="AI643" s="1532"/>
      <c r="AJ643" s="1532"/>
      <c r="AK643" s="1557"/>
      <c r="AL643" s="1532"/>
      <c r="AM643" s="1532"/>
      <c r="AN643" s="1532"/>
      <c r="AO643" s="1532"/>
      <c r="AP643" s="1671"/>
      <c r="AQ643" s="1671"/>
      <c r="AR643" s="1671"/>
      <c r="AS643" s="1671"/>
      <c r="AT643" s="1532"/>
      <c r="AU643" s="1532"/>
      <c r="AV643" s="1532"/>
      <c r="AW643" s="1532"/>
      <c r="AX643" s="1532"/>
      <c r="AY643" s="1532"/>
      <c r="AZ643" s="1532"/>
      <c r="BA643" s="1532"/>
      <c r="BB643" s="1532"/>
      <c r="BC643" s="1547"/>
      <c r="BD643" s="1532"/>
      <c r="BE643" s="1532"/>
      <c r="BT643" s="1556"/>
    </row>
    <row r="644" spans="1:72" s="1523" customFormat="1" ht="16.5" customHeight="1">
      <c r="D644" s="1523" t="s">
        <v>964</v>
      </c>
      <c r="F644" s="1555"/>
      <c r="G644" s="1555"/>
      <c r="AE644" s="1532"/>
      <c r="AF644" s="1532"/>
      <c r="AG644" s="1532"/>
      <c r="AH644" s="1532"/>
      <c r="AI644" s="1532"/>
      <c r="AJ644" s="1532"/>
      <c r="AK644" s="1557"/>
      <c r="AL644" s="1532"/>
      <c r="AM644" s="1532"/>
      <c r="AO644" s="1561"/>
      <c r="AP644" s="1558">
        <v>3876600</v>
      </c>
      <c r="AQ644" s="1672">
        <f>AP644/30</f>
        <v>129220</v>
      </c>
      <c r="AR644" s="1705">
        <f>AP644/173*1.5</f>
        <v>33612.138728323698</v>
      </c>
      <c r="AS644" s="1706">
        <f>AP644/173*2</f>
        <v>44816.184971098264</v>
      </c>
      <c r="AT644" s="1532" t="s">
        <v>55</v>
      </c>
      <c r="AU644" s="1523" t="s">
        <v>329</v>
      </c>
      <c r="BC644" s="1518"/>
      <c r="BE644" s="1532"/>
      <c r="BG644" s="1555"/>
      <c r="BH644" s="1560"/>
      <c r="BI644" s="1560"/>
      <c r="BJ644" s="1555"/>
      <c r="BK644" s="1561"/>
      <c r="BL644" s="1561"/>
      <c r="BM644" s="1561"/>
      <c r="BN644" s="1555"/>
      <c r="BO644" s="1555"/>
      <c r="BT644" s="1556"/>
    </row>
    <row r="645" spans="1:72" ht="18.75" customHeight="1" thickBot="1">
      <c r="A645" s="1547"/>
      <c r="D645" s="1532"/>
      <c r="E645" s="1563"/>
      <c r="F645" s="1675"/>
      <c r="G645" s="1564"/>
      <c r="H645" s="1563"/>
      <c r="I645" s="1563"/>
      <c r="J645" s="1563"/>
      <c r="K645" s="1563"/>
      <c r="L645" s="1563"/>
      <c r="M645" s="1563"/>
      <c r="N645" s="1563"/>
      <c r="O645" s="1563"/>
      <c r="Q645" s="1563"/>
      <c r="R645" s="1563"/>
      <c r="S645" s="1563"/>
      <c r="T645" s="1563"/>
      <c r="U645" s="1563"/>
      <c r="V645" s="1563"/>
      <c r="W645" s="1563"/>
      <c r="X645" s="1563"/>
      <c r="Y645" s="1563"/>
      <c r="Z645" s="1563"/>
      <c r="AA645" s="1563"/>
      <c r="AB645" s="1563"/>
      <c r="AC645" s="1563"/>
      <c r="AD645" s="1563"/>
      <c r="AE645" s="1563"/>
      <c r="AF645" s="1563"/>
      <c r="AG645" s="1563"/>
      <c r="AH645" s="1563"/>
      <c r="AI645" s="1563"/>
      <c r="AJ645" s="1563"/>
      <c r="AK645" s="1565"/>
      <c r="AL645" s="1563"/>
      <c r="AM645" s="1563"/>
      <c r="AO645" s="1563"/>
      <c r="AP645" s="1558">
        <v>3876600</v>
      </c>
      <c r="AQ645" s="1566">
        <f>AP645/30</f>
        <v>129220</v>
      </c>
      <c r="AR645" s="1598"/>
      <c r="AS645" s="1598"/>
      <c r="AT645" s="1556"/>
      <c r="BT645" s="1556"/>
    </row>
    <row r="646" spans="1:72" s="1523" customFormat="1" ht="18.75" customHeight="1">
      <c r="A646" s="2050" t="s">
        <v>5</v>
      </c>
      <c r="B646" s="2056" t="s">
        <v>6</v>
      </c>
      <c r="C646" s="2056" t="s">
        <v>52</v>
      </c>
      <c r="D646" s="1571"/>
      <c r="E646" s="1571"/>
      <c r="F646" s="1676"/>
      <c r="G646" s="1676"/>
      <c r="H646" s="2118" t="s">
        <v>2</v>
      </c>
      <c r="I646" s="2118"/>
      <c r="J646" s="2118"/>
      <c r="K646" s="2118"/>
      <c r="L646" s="2118"/>
      <c r="M646" s="2118"/>
      <c r="N646" s="2118"/>
      <c r="O646" s="2118"/>
      <c r="P646" s="2118"/>
      <c r="Q646" s="2118"/>
      <c r="R646" s="2118"/>
      <c r="S646" s="2118"/>
      <c r="T646" s="2118"/>
      <c r="U646" s="2118"/>
      <c r="V646" s="2056" t="s">
        <v>286</v>
      </c>
      <c r="W646" s="2118" t="s">
        <v>3</v>
      </c>
      <c r="X646" s="2118"/>
      <c r="Y646" s="2118"/>
      <c r="Z646" s="2118"/>
      <c r="AA646" s="2118"/>
      <c r="AB646" s="2118"/>
      <c r="AC646" s="2118"/>
      <c r="AD646" s="2118"/>
      <c r="AE646" s="2042" t="s">
        <v>45</v>
      </c>
      <c r="AF646" s="2063" t="s">
        <v>46</v>
      </c>
      <c r="AG646" s="2064"/>
      <c r="AH646" s="2064"/>
      <c r="AI646" s="2064"/>
      <c r="AJ646" s="2064"/>
      <c r="AK646" s="2065"/>
      <c r="AL646" s="2045"/>
      <c r="AM646" s="2045" t="s">
        <v>98</v>
      </c>
      <c r="AN646" s="2056" t="s">
        <v>44</v>
      </c>
      <c r="AO646" s="1533" t="s">
        <v>4</v>
      </c>
      <c r="AP646" s="2036" t="s">
        <v>20</v>
      </c>
      <c r="AQ646" s="2037"/>
      <c r="AR646" s="2038"/>
      <c r="AS646" s="2036" t="s">
        <v>54</v>
      </c>
      <c r="AT646" s="2037"/>
      <c r="AU646" s="2037"/>
      <c r="AV646" s="2037"/>
      <c r="AW646" s="2038"/>
      <c r="AX646" s="1571"/>
      <c r="AY646" s="2042" t="s">
        <v>90</v>
      </c>
      <c r="AZ646" s="2045" t="s">
        <v>97</v>
      </c>
      <c r="BA646" s="2045" t="s">
        <v>720</v>
      </c>
      <c r="BB646" s="2045"/>
      <c r="BC646" s="1548" t="s">
        <v>4</v>
      </c>
      <c r="BD646" s="2063" t="s">
        <v>41</v>
      </c>
      <c r="BE646" s="2084"/>
      <c r="BG646" s="1555"/>
      <c r="BH646" s="1560"/>
      <c r="BI646" s="1560"/>
      <c r="BJ646" s="1555"/>
      <c r="BK646" s="1561"/>
      <c r="BL646" s="1561"/>
      <c r="BM646" s="1561"/>
      <c r="BN646" s="1555"/>
      <c r="BO646" s="1555"/>
      <c r="BT646" s="1556"/>
    </row>
    <row r="647" spans="1:72" s="1523" customFormat="1" ht="25.5" customHeight="1">
      <c r="A647" s="2051"/>
      <c r="B647" s="2057"/>
      <c r="C647" s="2057"/>
      <c r="D647" s="1534" t="s">
        <v>7</v>
      </c>
      <c r="E647" s="1534" t="s">
        <v>8</v>
      </c>
      <c r="F647" s="1677" t="s">
        <v>9</v>
      </c>
      <c r="G647" s="1677" t="s">
        <v>9</v>
      </c>
      <c r="H647" s="2131" t="s">
        <v>10</v>
      </c>
      <c r="I647" s="2131"/>
      <c r="J647" s="2131" t="s">
        <v>11</v>
      </c>
      <c r="K647" s="2131"/>
      <c r="L647" s="2131" t="s">
        <v>12</v>
      </c>
      <c r="M647" s="2131"/>
      <c r="N647" s="2131" t="s">
        <v>13</v>
      </c>
      <c r="O647" s="2131"/>
      <c r="P647" s="2131" t="s">
        <v>14</v>
      </c>
      <c r="Q647" s="2131"/>
      <c r="R647" s="2132" t="s">
        <v>15</v>
      </c>
      <c r="S647" s="2132"/>
      <c r="T647" s="2131" t="s">
        <v>16</v>
      </c>
      <c r="U647" s="2131"/>
      <c r="V647" s="2057"/>
      <c r="W647" s="2131" t="s">
        <v>17</v>
      </c>
      <c r="X647" s="2131"/>
      <c r="Y647" s="2131" t="s">
        <v>18</v>
      </c>
      <c r="Z647" s="2131"/>
      <c r="AA647" s="2131"/>
      <c r="AB647" s="2071" t="s">
        <v>19</v>
      </c>
      <c r="AC647" s="2081"/>
      <c r="AD647" s="2072"/>
      <c r="AE647" s="2043"/>
      <c r="AF647" s="2085"/>
      <c r="AG647" s="2122"/>
      <c r="AH647" s="2122"/>
      <c r="AI647" s="2122"/>
      <c r="AJ647" s="2122"/>
      <c r="AK647" s="2123"/>
      <c r="AL647" s="2046"/>
      <c r="AM647" s="2046"/>
      <c r="AN647" s="2057"/>
      <c r="AO647" s="1534" t="s">
        <v>9</v>
      </c>
      <c r="AP647" s="2039"/>
      <c r="AQ647" s="2040"/>
      <c r="AR647" s="2041"/>
      <c r="AS647" s="2039"/>
      <c r="AT647" s="2040"/>
      <c r="AU647" s="2040"/>
      <c r="AV647" s="2040"/>
      <c r="AW647" s="2041"/>
      <c r="AX647" s="1534" t="s">
        <v>21</v>
      </c>
      <c r="AY647" s="2043"/>
      <c r="AZ647" s="2046"/>
      <c r="BA647" s="2046"/>
      <c r="BB647" s="2046"/>
      <c r="BC647" s="1549" t="s">
        <v>9</v>
      </c>
      <c r="BD647" s="2085"/>
      <c r="BE647" s="2086"/>
      <c r="BG647" s="1555"/>
      <c r="BH647" s="1560"/>
      <c r="BI647" s="1560"/>
      <c r="BJ647" s="1555"/>
      <c r="BK647" s="1561"/>
      <c r="BL647" s="1561"/>
      <c r="BM647" s="1561"/>
      <c r="BN647" s="1555"/>
      <c r="BO647" s="1555"/>
      <c r="BT647" s="1556"/>
    </row>
    <row r="648" spans="1:72" s="1532" customFormat="1" ht="36" customHeight="1">
      <c r="A648" s="2051"/>
      <c r="B648" s="2057"/>
      <c r="C648" s="2057"/>
      <c r="D648" s="1534" t="s">
        <v>22</v>
      </c>
      <c r="E648" s="1534" t="s">
        <v>23</v>
      </c>
      <c r="F648" s="1677" t="s">
        <v>24</v>
      </c>
      <c r="G648" s="1677" t="s">
        <v>25</v>
      </c>
      <c r="H648" s="2073" t="s">
        <v>4</v>
      </c>
      <c r="I648" s="2073"/>
      <c r="J648" s="2073" t="s">
        <v>4</v>
      </c>
      <c r="K648" s="2073"/>
      <c r="L648" s="2073" t="s">
        <v>4</v>
      </c>
      <c r="M648" s="2073"/>
      <c r="N648" s="2073" t="s">
        <v>4</v>
      </c>
      <c r="O648" s="2073"/>
      <c r="P648" s="2073" t="s">
        <v>4</v>
      </c>
      <c r="Q648" s="2073"/>
      <c r="R648" s="2073" t="s">
        <v>4</v>
      </c>
      <c r="S648" s="2073"/>
      <c r="T648" s="2073" t="s">
        <v>4</v>
      </c>
      <c r="U648" s="2073"/>
      <c r="V648" s="2057"/>
      <c r="W648" s="1534" t="s">
        <v>27</v>
      </c>
      <c r="X648" s="1576" t="s">
        <v>28</v>
      </c>
      <c r="Y648" s="1534" t="s">
        <v>27</v>
      </c>
      <c r="Z648" s="2073" t="s">
        <v>4</v>
      </c>
      <c r="AA648" s="2073"/>
      <c r="AB648" s="1534" t="s">
        <v>27</v>
      </c>
      <c r="AC648" s="2071" t="s">
        <v>4</v>
      </c>
      <c r="AD648" s="2072"/>
      <c r="AE648" s="2062"/>
      <c r="AF648" s="1575" t="s">
        <v>56</v>
      </c>
      <c r="AG648" s="1575" t="s">
        <v>57</v>
      </c>
      <c r="AH648" s="1575" t="s">
        <v>60</v>
      </c>
      <c r="AI648" s="1575" t="s">
        <v>288</v>
      </c>
      <c r="AJ648" s="1575" t="s">
        <v>97</v>
      </c>
      <c r="AK648" s="1575" t="s">
        <v>355</v>
      </c>
      <c r="AL648" s="2089"/>
      <c r="AM648" s="2089"/>
      <c r="AN648" s="2090"/>
      <c r="AO648" s="1534" t="s">
        <v>29</v>
      </c>
      <c r="AP648" s="1534" t="s">
        <v>30</v>
      </c>
      <c r="AQ648" s="1534" t="s">
        <v>31</v>
      </c>
      <c r="AR648" s="1534" t="s">
        <v>4</v>
      </c>
      <c r="AS648" s="1534" t="s">
        <v>30</v>
      </c>
      <c r="AT648" s="1534" t="s">
        <v>31</v>
      </c>
      <c r="AU648" s="1534" t="s">
        <v>30</v>
      </c>
      <c r="AV648" s="1534" t="s">
        <v>31</v>
      </c>
      <c r="AW648" s="1534" t="s">
        <v>4</v>
      </c>
      <c r="AX648" s="1534" t="s">
        <v>32</v>
      </c>
      <c r="AY648" s="2043"/>
      <c r="AZ648" s="2046"/>
      <c r="BA648" s="2046"/>
      <c r="BB648" s="2046"/>
      <c r="BC648" s="1549" t="s">
        <v>33</v>
      </c>
      <c r="BD648" s="2073" t="s">
        <v>42</v>
      </c>
      <c r="BE648" s="2075" t="s">
        <v>43</v>
      </c>
      <c r="BG648" s="1560"/>
      <c r="BH648" s="1560"/>
      <c r="BI648" s="1560"/>
      <c r="BJ648" s="1560"/>
      <c r="BK648" s="1707"/>
      <c r="BL648" s="1561"/>
      <c r="BM648" s="1561"/>
      <c r="BN648" s="1555"/>
      <c r="BO648" s="1555"/>
      <c r="BT648" s="1556"/>
    </row>
    <row r="649" spans="1:72" s="1523" customFormat="1" ht="24" customHeight="1" thickBot="1">
      <c r="A649" s="2052"/>
      <c r="B649" s="2058"/>
      <c r="C649" s="2058"/>
      <c r="D649" s="1537"/>
      <c r="E649" s="1537"/>
      <c r="F649" s="1579" t="s">
        <v>34</v>
      </c>
      <c r="G649" s="1579" t="s">
        <v>34</v>
      </c>
      <c r="H649" s="1581" t="s">
        <v>8</v>
      </c>
      <c r="I649" s="1581" t="s">
        <v>34</v>
      </c>
      <c r="J649" s="1581" t="s">
        <v>8</v>
      </c>
      <c r="K649" s="1581" t="s">
        <v>34</v>
      </c>
      <c r="L649" s="1581" t="s">
        <v>8</v>
      </c>
      <c r="M649" s="1581" t="s">
        <v>34</v>
      </c>
      <c r="N649" s="1581" t="s">
        <v>8</v>
      </c>
      <c r="O649" s="1581" t="s">
        <v>34</v>
      </c>
      <c r="P649" s="1581" t="s">
        <v>8</v>
      </c>
      <c r="Q649" s="1581" t="s">
        <v>34</v>
      </c>
      <c r="R649" s="1581" t="s">
        <v>8</v>
      </c>
      <c r="S649" s="1581" t="s">
        <v>34</v>
      </c>
      <c r="T649" s="1581" t="s">
        <v>8</v>
      </c>
      <c r="U649" s="1581" t="s">
        <v>34</v>
      </c>
      <c r="V649" s="2058"/>
      <c r="W649" s="1581" t="s">
        <v>26</v>
      </c>
      <c r="X649" s="1581" t="s">
        <v>34</v>
      </c>
      <c r="Y649" s="1581" t="s">
        <v>26</v>
      </c>
      <c r="Z649" s="1581" t="s">
        <v>26</v>
      </c>
      <c r="AA649" s="1581" t="s">
        <v>34</v>
      </c>
      <c r="AB649" s="1581" t="s">
        <v>26</v>
      </c>
      <c r="AC649" s="1581" t="s">
        <v>35</v>
      </c>
      <c r="AD649" s="1581" t="s">
        <v>34</v>
      </c>
      <c r="AE649" s="1581" t="s">
        <v>34</v>
      </c>
      <c r="AF649" s="1581" t="s">
        <v>34</v>
      </c>
      <c r="AG649" s="1581" t="s">
        <v>34</v>
      </c>
      <c r="AH649" s="1581" t="s">
        <v>34</v>
      </c>
      <c r="AI649" s="1581" t="s">
        <v>34</v>
      </c>
      <c r="AJ649" s="1581" t="s">
        <v>34</v>
      </c>
      <c r="AK649" s="1708" t="s">
        <v>34</v>
      </c>
      <c r="AL649" s="1581" t="s">
        <v>34</v>
      </c>
      <c r="AM649" s="1581" t="s">
        <v>34</v>
      </c>
      <c r="AN649" s="1581" t="s">
        <v>34</v>
      </c>
      <c r="AO649" s="1581" t="s">
        <v>34</v>
      </c>
      <c r="AP649" s="1581" t="s">
        <v>34</v>
      </c>
      <c r="AQ649" s="1581" t="s">
        <v>34</v>
      </c>
      <c r="AR649" s="1581" t="s">
        <v>34</v>
      </c>
      <c r="AS649" s="1581" t="s">
        <v>58</v>
      </c>
      <c r="AT649" s="1581" t="s">
        <v>34</v>
      </c>
      <c r="AU649" s="1581" t="s">
        <v>59</v>
      </c>
      <c r="AV649" s="1581" t="s">
        <v>34</v>
      </c>
      <c r="AW649" s="1581" t="s">
        <v>34</v>
      </c>
      <c r="AX649" s="1537"/>
      <c r="AY649" s="2044"/>
      <c r="AZ649" s="2047"/>
      <c r="BA649" s="2047"/>
      <c r="BB649" s="2047"/>
      <c r="BC649" s="1550" t="s">
        <v>34</v>
      </c>
      <c r="BD649" s="2074"/>
      <c r="BE649" s="2076"/>
      <c r="BG649" s="1555" t="s">
        <v>353</v>
      </c>
      <c r="BH649" s="1578" t="s">
        <v>43</v>
      </c>
      <c r="BI649" s="1578" t="s">
        <v>42</v>
      </c>
      <c r="BJ649" s="1555" t="s">
        <v>354</v>
      </c>
      <c r="BK649" s="1561" t="s">
        <v>358</v>
      </c>
      <c r="BL649" s="1561"/>
      <c r="BM649" s="1561"/>
      <c r="BN649" s="1555"/>
      <c r="BO649" s="1555"/>
      <c r="BT649" s="1523" t="s">
        <v>718</v>
      </c>
    </row>
    <row r="650" spans="1:72" ht="83.25" customHeight="1" thickBot="1">
      <c r="A650" s="1683">
        <v>5</v>
      </c>
      <c r="B650" s="1489" t="s">
        <v>36</v>
      </c>
      <c r="C650" s="1585" t="s">
        <v>1028</v>
      </c>
      <c r="D650" s="1590" t="s">
        <v>775</v>
      </c>
      <c r="E650" s="1516">
        <f>'HK PANEN'!AH52</f>
        <v>24</v>
      </c>
      <c r="F650" s="1490">
        <v>129220</v>
      </c>
      <c r="G650" s="1509">
        <f t="shared" si="112"/>
        <v>3101280</v>
      </c>
      <c r="H650" s="1516">
        <f>'HK PANEN'!AI52</f>
        <v>0</v>
      </c>
      <c r="I650" s="1491">
        <f t="shared" si="113"/>
        <v>0</v>
      </c>
      <c r="J650" s="1516">
        <f>'HK PANEN'!AJ52</f>
        <v>0</v>
      </c>
      <c r="K650" s="1491">
        <f t="shared" si="114"/>
        <v>0</v>
      </c>
      <c r="L650" s="1516"/>
      <c r="M650" s="1491">
        <f t="shared" si="115"/>
        <v>0</v>
      </c>
      <c r="N650" s="1516">
        <f>'HK PANEN'!AL52</f>
        <v>4</v>
      </c>
      <c r="O650" s="1497">
        <f t="shared" si="116"/>
        <v>516880</v>
      </c>
      <c r="P650" s="1516">
        <f>'HK PANEN'!AM52</f>
        <v>2</v>
      </c>
      <c r="Q650" s="1497">
        <f t="shared" si="117"/>
        <v>258440</v>
      </c>
      <c r="R650" s="1489"/>
      <c r="S650" s="1497">
        <f t="shared" si="118"/>
        <v>0</v>
      </c>
      <c r="T650" s="1516">
        <f>'HK PANEN'!AO66</f>
        <v>0</v>
      </c>
      <c r="U650" s="1491">
        <f t="shared" si="119"/>
        <v>0</v>
      </c>
      <c r="V650" s="1491">
        <f t="shared" si="120"/>
        <v>30</v>
      </c>
      <c r="W650" s="1491"/>
      <c r="X650" s="1491"/>
      <c r="Y650" s="1491"/>
      <c r="Z650" s="1491"/>
      <c r="AA650" s="1491">
        <f t="shared" si="121"/>
        <v>0</v>
      </c>
      <c r="AB650" s="1497"/>
      <c r="AC650" s="1491"/>
      <c r="AD650" s="1497">
        <f t="shared" si="122"/>
        <v>0</v>
      </c>
      <c r="AE650" s="1497"/>
      <c r="AF650" s="1514">
        <f>'MONITORING '!AK316</f>
        <v>133645</v>
      </c>
      <c r="AG650" s="1498">
        <f>'MONITORING '!AK317</f>
        <v>290500</v>
      </c>
      <c r="AH650" s="1515">
        <v>381000</v>
      </c>
      <c r="AI650" s="1491">
        <f>'INSETIF MEI''25'!L31</f>
        <v>0</v>
      </c>
      <c r="AJ650" s="1498"/>
      <c r="AK650" s="1499"/>
      <c r="AL650" s="1491"/>
      <c r="AM650" s="1491"/>
      <c r="AN650" s="1649">
        <f>'MONITORING '!AK318</f>
        <v>110555</v>
      </c>
      <c r="AO650" s="1494">
        <f t="shared" si="123"/>
        <v>4571190</v>
      </c>
      <c r="AP650" s="1491">
        <f t="shared" si="88"/>
        <v>77532</v>
      </c>
      <c r="AQ650" s="1491">
        <f t="shared" si="89"/>
        <v>175997.64</v>
      </c>
      <c r="AR650" s="1491">
        <f t="shared" si="124"/>
        <v>253529.64</v>
      </c>
      <c r="AS650" s="1489">
        <f t="shared" si="125"/>
        <v>38766</v>
      </c>
      <c r="AT650" s="1489">
        <f t="shared" si="126"/>
        <v>155064</v>
      </c>
      <c r="AU650" s="1491">
        <f t="shared" si="92"/>
        <v>38766</v>
      </c>
      <c r="AV650" s="1491">
        <f t="shared" si="93"/>
        <v>77532</v>
      </c>
      <c r="AW650" s="1491">
        <f t="shared" ref="AW650:AW680" si="136">SUM(AS650:AV650)</f>
        <v>310128</v>
      </c>
      <c r="AX650" s="1491"/>
      <c r="AY650" s="1491"/>
      <c r="AZ650" s="1491">
        <f t="shared" si="128"/>
        <v>0</v>
      </c>
      <c r="BA650" s="1491"/>
      <c r="BB650" s="1491"/>
      <c r="BC650" s="1489">
        <f t="shared" ref="BC650:BC680" si="137">SUM(AO650-AP650-AS650-AU650-AX650-AY650-AZ650-BB650)-BA650</f>
        <v>4416126</v>
      </c>
      <c r="BD650" s="1489">
        <f>'HK PANEN'!AQ52</f>
        <v>0</v>
      </c>
      <c r="BE650" s="1495">
        <f>'HK PANEN'!AR52</f>
        <v>0</v>
      </c>
      <c r="BG650" s="1551">
        <f t="shared" si="130"/>
        <v>3876600</v>
      </c>
      <c r="BH650" s="1552">
        <f t="shared" si="131"/>
        <v>0</v>
      </c>
      <c r="BI650" s="1552">
        <f t="shared" si="132"/>
        <v>0</v>
      </c>
      <c r="BJ650" s="1551">
        <f t="shared" si="133"/>
        <v>0</v>
      </c>
      <c r="BK650" s="1553">
        <f t="shared" si="134"/>
        <v>3876600</v>
      </c>
      <c r="BS650" s="1689" t="s">
        <v>692</v>
      </c>
      <c r="BT650" s="1556">
        <f t="shared" si="135"/>
        <v>133645</v>
      </c>
    </row>
    <row r="651" spans="1:72" ht="26.25" customHeight="1">
      <c r="A651" s="2048" t="s">
        <v>0</v>
      </c>
      <c r="B651" s="2048"/>
      <c r="C651" s="2048"/>
      <c r="D651" s="2048"/>
      <c r="E651" s="2048"/>
      <c r="F651" s="2048"/>
      <c r="G651" s="2048"/>
      <c r="H651" s="2048"/>
      <c r="I651" s="2048"/>
      <c r="J651" s="2048"/>
      <c r="K651" s="2048"/>
      <c r="L651" s="2048"/>
      <c r="M651" s="2048"/>
      <c r="N651" s="2048"/>
      <c r="O651" s="2048"/>
      <c r="P651" s="2048"/>
      <c r="Q651" s="2048"/>
      <c r="R651" s="2048"/>
      <c r="S651" s="2048"/>
      <c r="T651" s="2048"/>
      <c r="U651" s="2048"/>
      <c r="V651" s="2048"/>
      <c r="W651" s="2048"/>
      <c r="X651" s="2048"/>
      <c r="Y651" s="2048"/>
      <c r="Z651" s="2048"/>
      <c r="AA651" s="2048"/>
      <c r="AB651" s="2048"/>
      <c r="AC651" s="2048"/>
      <c r="AD651" s="2048"/>
      <c r="AE651" s="2048"/>
      <c r="AF651" s="2048"/>
      <c r="AG651" s="2048"/>
      <c r="AH651" s="2048"/>
      <c r="AI651" s="2048"/>
      <c r="AJ651" s="2048"/>
      <c r="AK651" s="2048"/>
      <c r="AL651" s="2048"/>
      <c r="AM651" s="2048"/>
      <c r="AN651" s="2048"/>
      <c r="AO651" s="2048"/>
      <c r="AP651" s="2048"/>
      <c r="AQ651" s="2048"/>
      <c r="AR651" s="2048"/>
      <c r="AS651" s="2048"/>
      <c r="AT651" s="2048"/>
      <c r="AU651" s="2048"/>
      <c r="AV651" s="2048"/>
      <c r="AW651" s="2048"/>
      <c r="AX651" s="2048"/>
      <c r="AY651" s="2048"/>
      <c r="AZ651" s="2048"/>
      <c r="BA651" s="2048"/>
      <c r="BB651" s="2048"/>
      <c r="BC651" s="2048"/>
      <c r="BD651" s="2048"/>
      <c r="BE651" s="2048"/>
      <c r="BT651" s="1556"/>
    </row>
    <row r="652" spans="1:72" ht="26.25" customHeight="1">
      <c r="A652" s="2049" t="s">
        <v>1033</v>
      </c>
      <c r="B652" s="2049"/>
      <c r="C652" s="2049"/>
      <c r="D652" s="2049"/>
      <c r="E652" s="2049"/>
      <c r="F652" s="2049"/>
      <c r="G652" s="2049"/>
      <c r="H652" s="2049"/>
      <c r="I652" s="2049"/>
      <c r="J652" s="2049"/>
      <c r="K652" s="2049"/>
      <c r="L652" s="2049"/>
      <c r="M652" s="2049"/>
      <c r="N652" s="2049"/>
      <c r="O652" s="2049"/>
      <c r="P652" s="2049"/>
      <c r="Q652" s="2049"/>
      <c r="R652" s="2049"/>
      <c r="S652" s="2049"/>
      <c r="T652" s="2049"/>
      <c r="U652" s="2049"/>
      <c r="V652" s="2049"/>
      <c r="W652" s="2049"/>
      <c r="X652" s="2049"/>
      <c r="Y652" s="2049"/>
      <c r="Z652" s="2049"/>
      <c r="AA652" s="2049"/>
      <c r="AB652" s="2049"/>
      <c r="AC652" s="2049"/>
      <c r="AD652" s="2049"/>
      <c r="AE652" s="2049"/>
      <c r="AF652" s="2049"/>
      <c r="AG652" s="2049"/>
      <c r="AH652" s="2049"/>
      <c r="AI652" s="2049"/>
      <c r="AJ652" s="2049"/>
      <c r="AK652" s="2049"/>
      <c r="AL652" s="2049"/>
      <c r="AM652" s="2049"/>
      <c r="AN652" s="2049"/>
      <c r="AO652" s="2049"/>
      <c r="AP652" s="2049"/>
      <c r="AQ652" s="2049"/>
      <c r="AR652" s="2049"/>
      <c r="AS652" s="2049"/>
      <c r="AT652" s="2049"/>
      <c r="AU652" s="2049"/>
      <c r="AV652" s="2049"/>
      <c r="AW652" s="2049"/>
      <c r="AX652" s="2049"/>
      <c r="AY652" s="2049"/>
      <c r="AZ652" s="2049"/>
      <c r="BA652" s="2049"/>
      <c r="BB652" s="2049"/>
      <c r="BC652" s="2049"/>
      <c r="BD652" s="2049"/>
      <c r="BE652" s="2049"/>
      <c r="BT652" s="1556"/>
    </row>
    <row r="653" spans="1:72" ht="26.25" customHeight="1">
      <c r="A653" s="1532"/>
      <c r="B653" s="1532"/>
      <c r="C653" s="1605"/>
      <c r="D653" s="1532"/>
      <c r="E653" s="1532"/>
      <c r="F653" s="1560"/>
      <c r="G653" s="1560"/>
      <c r="H653" s="1532"/>
      <c r="I653" s="1532"/>
      <c r="J653" s="1532"/>
      <c r="K653" s="1532"/>
      <c r="L653" s="1532"/>
      <c r="M653" s="1532"/>
      <c r="N653" s="1532"/>
      <c r="O653" s="1532"/>
      <c r="P653" s="1532"/>
      <c r="Q653" s="1532"/>
      <c r="R653" s="1532"/>
      <c r="S653" s="1532"/>
      <c r="T653" s="1532"/>
      <c r="U653" s="1532"/>
      <c r="V653" s="1532"/>
      <c r="W653" s="1532"/>
      <c r="X653" s="1532"/>
      <c r="Y653" s="1532"/>
      <c r="Z653" s="1532"/>
      <c r="AA653" s="1532"/>
      <c r="AB653" s="1532"/>
      <c r="AC653" s="1532"/>
      <c r="AD653" s="1532"/>
      <c r="AE653" s="1532"/>
      <c r="AF653" s="1532"/>
      <c r="AG653" s="1532"/>
      <c r="AH653" s="1532"/>
      <c r="AI653" s="1532"/>
      <c r="AJ653" s="1532"/>
      <c r="AK653" s="1557"/>
      <c r="AL653" s="1532"/>
      <c r="AM653" s="1532"/>
      <c r="AN653" s="1532"/>
      <c r="AO653" s="1532"/>
      <c r="AP653" s="1671"/>
      <c r="AQ653" s="1671"/>
      <c r="AR653" s="1671"/>
      <c r="AS653" s="1671"/>
      <c r="AT653" s="1532"/>
      <c r="AU653" s="1532"/>
      <c r="AV653" s="1532"/>
      <c r="AW653" s="1532"/>
      <c r="AX653" s="1532"/>
      <c r="AY653" s="1532"/>
      <c r="AZ653" s="1532"/>
      <c r="BA653" s="1532"/>
      <c r="BB653" s="1532"/>
      <c r="BC653" s="1547"/>
      <c r="BD653" s="1532"/>
      <c r="BE653" s="1532"/>
      <c r="BT653" s="1556"/>
    </row>
    <row r="654" spans="1:72" s="1523" customFormat="1" ht="16.5" customHeight="1">
      <c r="D654" s="1523" t="s">
        <v>964</v>
      </c>
      <c r="F654" s="1555"/>
      <c r="G654" s="1555"/>
      <c r="AE654" s="1532"/>
      <c r="AF654" s="1532"/>
      <c r="AG654" s="1532"/>
      <c r="AH654" s="1532"/>
      <c r="AI654" s="1532"/>
      <c r="AJ654" s="1532"/>
      <c r="AK654" s="1557"/>
      <c r="AL654" s="1532"/>
      <c r="AM654" s="1532"/>
      <c r="AO654" s="1561"/>
      <c r="AP654" s="1558">
        <v>3876600</v>
      </c>
      <c r="AQ654" s="1672">
        <f>AP654/30</f>
        <v>129220</v>
      </c>
      <c r="AR654" s="1705">
        <f>AP654/173*1.5</f>
        <v>33612.138728323698</v>
      </c>
      <c r="AS654" s="1706">
        <f>AP654/173*2</f>
        <v>44816.184971098264</v>
      </c>
      <c r="AT654" s="1532" t="s">
        <v>55</v>
      </c>
      <c r="AU654" s="1523" t="s">
        <v>329</v>
      </c>
      <c r="BC654" s="1518"/>
      <c r="BE654" s="1532"/>
      <c r="BG654" s="1555"/>
      <c r="BH654" s="1560"/>
      <c r="BI654" s="1560"/>
      <c r="BJ654" s="1555"/>
      <c r="BK654" s="1561"/>
      <c r="BL654" s="1561"/>
      <c r="BM654" s="1561"/>
      <c r="BN654" s="1555"/>
      <c r="BO654" s="1555"/>
      <c r="BT654" s="1556"/>
    </row>
    <row r="655" spans="1:72" ht="18.75" customHeight="1" thickBot="1">
      <c r="A655" s="1547"/>
      <c r="D655" s="1532"/>
      <c r="E655" s="1563"/>
      <c r="F655" s="1675"/>
      <c r="G655" s="1564"/>
      <c r="H655" s="1563"/>
      <c r="I655" s="1563"/>
      <c r="J655" s="1563"/>
      <c r="K655" s="1563"/>
      <c r="L655" s="1563"/>
      <c r="M655" s="1563"/>
      <c r="N655" s="1563"/>
      <c r="O655" s="1563"/>
      <c r="Q655" s="1563"/>
      <c r="R655" s="1563"/>
      <c r="S655" s="1563"/>
      <c r="T655" s="1563"/>
      <c r="U655" s="1563"/>
      <c r="V655" s="1563"/>
      <c r="W655" s="1563"/>
      <c r="X655" s="1563"/>
      <c r="Y655" s="1563"/>
      <c r="Z655" s="1563"/>
      <c r="AA655" s="1563"/>
      <c r="AB655" s="1563"/>
      <c r="AC655" s="1563"/>
      <c r="AD655" s="1563"/>
      <c r="AE655" s="1563"/>
      <c r="AF655" s="1563"/>
      <c r="AG655" s="1563"/>
      <c r="AH655" s="1563"/>
      <c r="AI655" s="1563"/>
      <c r="AJ655" s="1563"/>
      <c r="AK655" s="1565"/>
      <c r="AL655" s="1563"/>
      <c r="AM655" s="1563"/>
      <c r="AO655" s="1563"/>
      <c r="AP655" s="1558">
        <v>3876600</v>
      </c>
      <c r="AQ655" s="1566">
        <f>AP655/30</f>
        <v>129220</v>
      </c>
      <c r="AR655" s="1598"/>
      <c r="AS655" s="1598"/>
      <c r="AT655" s="1556"/>
      <c r="BT655" s="1556"/>
    </row>
    <row r="656" spans="1:72" s="1523" customFormat="1" ht="18.75" customHeight="1">
      <c r="A656" s="2050" t="s">
        <v>5</v>
      </c>
      <c r="B656" s="2056" t="s">
        <v>6</v>
      </c>
      <c r="C656" s="2056" t="s">
        <v>52</v>
      </c>
      <c r="D656" s="1571"/>
      <c r="E656" s="1571"/>
      <c r="F656" s="1676"/>
      <c r="G656" s="1676"/>
      <c r="H656" s="2118" t="s">
        <v>2</v>
      </c>
      <c r="I656" s="2118"/>
      <c r="J656" s="2118"/>
      <c r="K656" s="2118"/>
      <c r="L656" s="2118"/>
      <c r="M656" s="2118"/>
      <c r="N656" s="2118"/>
      <c r="O656" s="2118"/>
      <c r="P656" s="2118"/>
      <c r="Q656" s="2118"/>
      <c r="R656" s="2118"/>
      <c r="S656" s="2118"/>
      <c r="T656" s="2118"/>
      <c r="U656" s="2118"/>
      <c r="V656" s="2056" t="s">
        <v>286</v>
      </c>
      <c r="W656" s="2118" t="s">
        <v>3</v>
      </c>
      <c r="X656" s="2118"/>
      <c r="Y656" s="2118"/>
      <c r="Z656" s="2118"/>
      <c r="AA656" s="2118"/>
      <c r="AB656" s="2118"/>
      <c r="AC656" s="2118"/>
      <c r="AD656" s="2118"/>
      <c r="AE656" s="2042" t="s">
        <v>45</v>
      </c>
      <c r="AF656" s="2063" t="s">
        <v>46</v>
      </c>
      <c r="AG656" s="2064"/>
      <c r="AH656" s="2064"/>
      <c r="AI656" s="2064"/>
      <c r="AJ656" s="2064"/>
      <c r="AK656" s="2065"/>
      <c r="AL656" s="2045"/>
      <c r="AM656" s="2045" t="s">
        <v>98</v>
      </c>
      <c r="AN656" s="2056" t="s">
        <v>44</v>
      </c>
      <c r="AO656" s="1533" t="s">
        <v>4</v>
      </c>
      <c r="AP656" s="2036" t="s">
        <v>20</v>
      </c>
      <c r="AQ656" s="2037"/>
      <c r="AR656" s="2038"/>
      <c r="AS656" s="2036" t="s">
        <v>54</v>
      </c>
      <c r="AT656" s="2037"/>
      <c r="AU656" s="2037"/>
      <c r="AV656" s="2037"/>
      <c r="AW656" s="2038"/>
      <c r="AX656" s="1571"/>
      <c r="AY656" s="2042" t="s">
        <v>90</v>
      </c>
      <c r="AZ656" s="2045" t="s">
        <v>97</v>
      </c>
      <c r="BA656" s="2045" t="s">
        <v>720</v>
      </c>
      <c r="BB656" s="2045"/>
      <c r="BC656" s="1548" t="s">
        <v>4</v>
      </c>
      <c r="BD656" s="2063" t="s">
        <v>41</v>
      </c>
      <c r="BE656" s="2084"/>
      <c r="BG656" s="1555"/>
      <c r="BH656" s="1560"/>
      <c r="BI656" s="1560"/>
      <c r="BJ656" s="1555"/>
      <c r="BK656" s="1561"/>
      <c r="BL656" s="1561"/>
      <c r="BM656" s="1561"/>
      <c r="BN656" s="1555"/>
      <c r="BO656" s="1555"/>
      <c r="BT656" s="1556"/>
    </row>
    <row r="657" spans="1:72" s="1523" customFormat="1" ht="25.5" customHeight="1">
      <c r="A657" s="2051"/>
      <c r="B657" s="2057"/>
      <c r="C657" s="2057"/>
      <c r="D657" s="1534" t="s">
        <v>7</v>
      </c>
      <c r="E657" s="1534" t="s">
        <v>8</v>
      </c>
      <c r="F657" s="1677" t="s">
        <v>9</v>
      </c>
      <c r="G657" s="1677" t="s">
        <v>9</v>
      </c>
      <c r="H657" s="2131" t="s">
        <v>10</v>
      </c>
      <c r="I657" s="2131"/>
      <c r="J657" s="2131" t="s">
        <v>11</v>
      </c>
      <c r="K657" s="2131"/>
      <c r="L657" s="2131" t="s">
        <v>12</v>
      </c>
      <c r="M657" s="2131"/>
      <c r="N657" s="2131" t="s">
        <v>13</v>
      </c>
      <c r="O657" s="2131"/>
      <c r="P657" s="2131" t="s">
        <v>14</v>
      </c>
      <c r="Q657" s="2131"/>
      <c r="R657" s="2132" t="s">
        <v>15</v>
      </c>
      <c r="S657" s="2132"/>
      <c r="T657" s="2131" t="s">
        <v>16</v>
      </c>
      <c r="U657" s="2131"/>
      <c r="V657" s="2057"/>
      <c r="W657" s="2131" t="s">
        <v>17</v>
      </c>
      <c r="X657" s="2131"/>
      <c r="Y657" s="2131" t="s">
        <v>18</v>
      </c>
      <c r="Z657" s="2131"/>
      <c r="AA657" s="2131"/>
      <c r="AB657" s="2071" t="s">
        <v>19</v>
      </c>
      <c r="AC657" s="2081"/>
      <c r="AD657" s="2072"/>
      <c r="AE657" s="2043"/>
      <c r="AF657" s="2085"/>
      <c r="AG657" s="2122"/>
      <c r="AH657" s="2122"/>
      <c r="AI657" s="2122"/>
      <c r="AJ657" s="2122"/>
      <c r="AK657" s="2123"/>
      <c r="AL657" s="2046"/>
      <c r="AM657" s="2046"/>
      <c r="AN657" s="2057"/>
      <c r="AO657" s="1534" t="s">
        <v>9</v>
      </c>
      <c r="AP657" s="2039"/>
      <c r="AQ657" s="2040"/>
      <c r="AR657" s="2041"/>
      <c r="AS657" s="2039"/>
      <c r="AT657" s="2040"/>
      <c r="AU657" s="2040"/>
      <c r="AV657" s="2040"/>
      <c r="AW657" s="2041"/>
      <c r="AX657" s="1534" t="s">
        <v>21</v>
      </c>
      <c r="AY657" s="2043"/>
      <c r="AZ657" s="2046"/>
      <c r="BA657" s="2046"/>
      <c r="BB657" s="2046"/>
      <c r="BC657" s="1549" t="s">
        <v>9</v>
      </c>
      <c r="BD657" s="2085"/>
      <c r="BE657" s="2086"/>
      <c r="BG657" s="1555"/>
      <c r="BH657" s="1560"/>
      <c r="BI657" s="1560"/>
      <c r="BJ657" s="1555"/>
      <c r="BK657" s="1561"/>
      <c r="BL657" s="1561"/>
      <c r="BM657" s="1561"/>
      <c r="BN657" s="1555"/>
      <c r="BO657" s="1555"/>
      <c r="BT657" s="1556"/>
    </row>
    <row r="658" spans="1:72" s="1532" customFormat="1" ht="36" customHeight="1">
      <c r="A658" s="2051"/>
      <c r="B658" s="2057"/>
      <c r="C658" s="2057"/>
      <c r="D658" s="1534" t="s">
        <v>22</v>
      </c>
      <c r="E658" s="1534" t="s">
        <v>23</v>
      </c>
      <c r="F658" s="1677" t="s">
        <v>24</v>
      </c>
      <c r="G658" s="1677" t="s">
        <v>25</v>
      </c>
      <c r="H658" s="2073" t="s">
        <v>4</v>
      </c>
      <c r="I658" s="2073"/>
      <c r="J658" s="2073" t="s">
        <v>4</v>
      </c>
      <c r="K658" s="2073"/>
      <c r="L658" s="2073" t="s">
        <v>4</v>
      </c>
      <c r="M658" s="2073"/>
      <c r="N658" s="2073" t="s">
        <v>4</v>
      </c>
      <c r="O658" s="2073"/>
      <c r="P658" s="2073" t="s">
        <v>4</v>
      </c>
      <c r="Q658" s="2073"/>
      <c r="R658" s="2073" t="s">
        <v>4</v>
      </c>
      <c r="S658" s="2073"/>
      <c r="T658" s="2073" t="s">
        <v>4</v>
      </c>
      <c r="U658" s="2073"/>
      <c r="V658" s="2057"/>
      <c r="W658" s="1534" t="s">
        <v>27</v>
      </c>
      <c r="X658" s="1576" t="s">
        <v>28</v>
      </c>
      <c r="Y658" s="1534" t="s">
        <v>27</v>
      </c>
      <c r="Z658" s="2073" t="s">
        <v>4</v>
      </c>
      <c r="AA658" s="2073"/>
      <c r="AB658" s="1534" t="s">
        <v>27</v>
      </c>
      <c r="AC658" s="2071" t="s">
        <v>4</v>
      </c>
      <c r="AD658" s="2072"/>
      <c r="AE658" s="2062"/>
      <c r="AF658" s="1575" t="s">
        <v>56</v>
      </c>
      <c r="AG658" s="1575" t="s">
        <v>57</v>
      </c>
      <c r="AH658" s="1575" t="s">
        <v>60</v>
      </c>
      <c r="AI658" s="1575" t="s">
        <v>288</v>
      </c>
      <c r="AJ658" s="1575" t="s">
        <v>97</v>
      </c>
      <c r="AK658" s="1575" t="s">
        <v>355</v>
      </c>
      <c r="AL658" s="2089"/>
      <c r="AM658" s="2089"/>
      <c r="AN658" s="2090"/>
      <c r="AO658" s="1534" t="s">
        <v>29</v>
      </c>
      <c r="AP658" s="1534" t="s">
        <v>30</v>
      </c>
      <c r="AQ658" s="1534" t="s">
        <v>31</v>
      </c>
      <c r="AR658" s="1534" t="s">
        <v>4</v>
      </c>
      <c r="AS658" s="1534" t="s">
        <v>30</v>
      </c>
      <c r="AT658" s="1534" t="s">
        <v>31</v>
      </c>
      <c r="AU658" s="1534" t="s">
        <v>30</v>
      </c>
      <c r="AV658" s="1534" t="s">
        <v>31</v>
      </c>
      <c r="AW658" s="1534" t="s">
        <v>4</v>
      </c>
      <c r="AX658" s="1534" t="s">
        <v>32</v>
      </c>
      <c r="AY658" s="2043"/>
      <c r="AZ658" s="2046"/>
      <c r="BA658" s="2046"/>
      <c r="BB658" s="2046"/>
      <c r="BC658" s="1549" t="s">
        <v>33</v>
      </c>
      <c r="BD658" s="2073" t="s">
        <v>42</v>
      </c>
      <c r="BE658" s="2075" t="s">
        <v>43</v>
      </c>
      <c r="BG658" s="1560"/>
      <c r="BH658" s="1560"/>
      <c r="BI658" s="1560"/>
      <c r="BJ658" s="1560"/>
      <c r="BK658" s="1707"/>
      <c r="BL658" s="1561"/>
      <c r="BM658" s="1561"/>
      <c r="BN658" s="1555"/>
      <c r="BO658" s="1555"/>
      <c r="BT658" s="1556"/>
    </row>
    <row r="659" spans="1:72" s="1523" customFormat="1" ht="24" customHeight="1" thickBot="1">
      <c r="A659" s="2052"/>
      <c r="B659" s="2058"/>
      <c r="C659" s="2058"/>
      <c r="D659" s="1537"/>
      <c r="E659" s="1537"/>
      <c r="F659" s="1579" t="s">
        <v>34</v>
      </c>
      <c r="G659" s="1579" t="s">
        <v>34</v>
      </c>
      <c r="H659" s="1581" t="s">
        <v>8</v>
      </c>
      <c r="I659" s="1581" t="s">
        <v>34</v>
      </c>
      <c r="J659" s="1581" t="s">
        <v>8</v>
      </c>
      <c r="K659" s="1581" t="s">
        <v>34</v>
      </c>
      <c r="L659" s="1581" t="s">
        <v>8</v>
      </c>
      <c r="M659" s="1581" t="s">
        <v>34</v>
      </c>
      <c r="N659" s="1581" t="s">
        <v>8</v>
      </c>
      <c r="O659" s="1581" t="s">
        <v>34</v>
      </c>
      <c r="P659" s="1581" t="s">
        <v>8</v>
      </c>
      <c r="Q659" s="1581" t="s">
        <v>34</v>
      </c>
      <c r="R659" s="1581" t="s">
        <v>8</v>
      </c>
      <c r="S659" s="1581" t="s">
        <v>34</v>
      </c>
      <c r="T659" s="1581" t="s">
        <v>8</v>
      </c>
      <c r="U659" s="1581" t="s">
        <v>34</v>
      </c>
      <c r="V659" s="2058"/>
      <c r="W659" s="1581" t="s">
        <v>26</v>
      </c>
      <c r="X659" s="1581" t="s">
        <v>34</v>
      </c>
      <c r="Y659" s="1581" t="s">
        <v>26</v>
      </c>
      <c r="Z659" s="1581" t="s">
        <v>26</v>
      </c>
      <c r="AA659" s="1581" t="s">
        <v>34</v>
      </c>
      <c r="AB659" s="1581" t="s">
        <v>26</v>
      </c>
      <c r="AC659" s="1581" t="s">
        <v>35</v>
      </c>
      <c r="AD659" s="1581" t="s">
        <v>34</v>
      </c>
      <c r="AE659" s="1581" t="s">
        <v>34</v>
      </c>
      <c r="AF659" s="1581" t="s">
        <v>34</v>
      </c>
      <c r="AG659" s="1581" t="s">
        <v>34</v>
      </c>
      <c r="AH659" s="1581" t="s">
        <v>34</v>
      </c>
      <c r="AI659" s="1581" t="s">
        <v>34</v>
      </c>
      <c r="AJ659" s="1581" t="s">
        <v>34</v>
      </c>
      <c r="AK659" s="1708" t="s">
        <v>34</v>
      </c>
      <c r="AL659" s="1581" t="s">
        <v>34</v>
      </c>
      <c r="AM659" s="1581" t="s">
        <v>34</v>
      </c>
      <c r="AN659" s="1581" t="s">
        <v>34</v>
      </c>
      <c r="AO659" s="1581" t="s">
        <v>34</v>
      </c>
      <c r="AP659" s="1581" t="s">
        <v>34</v>
      </c>
      <c r="AQ659" s="1581" t="s">
        <v>34</v>
      </c>
      <c r="AR659" s="1581" t="s">
        <v>34</v>
      </c>
      <c r="AS659" s="1581" t="s">
        <v>58</v>
      </c>
      <c r="AT659" s="1581" t="s">
        <v>34</v>
      </c>
      <c r="AU659" s="1581" t="s">
        <v>59</v>
      </c>
      <c r="AV659" s="1581" t="s">
        <v>34</v>
      </c>
      <c r="AW659" s="1581" t="s">
        <v>34</v>
      </c>
      <c r="AX659" s="1537"/>
      <c r="AY659" s="2044"/>
      <c r="AZ659" s="2047"/>
      <c r="BA659" s="2047"/>
      <c r="BB659" s="2047"/>
      <c r="BC659" s="1550" t="s">
        <v>34</v>
      </c>
      <c r="BD659" s="2074"/>
      <c r="BE659" s="2076"/>
      <c r="BG659" s="1555" t="s">
        <v>353</v>
      </c>
      <c r="BH659" s="1578" t="s">
        <v>43</v>
      </c>
      <c r="BI659" s="1578" t="s">
        <v>42</v>
      </c>
      <c r="BJ659" s="1555" t="s">
        <v>354</v>
      </c>
      <c r="BK659" s="1561" t="s">
        <v>358</v>
      </c>
      <c r="BL659" s="1561"/>
      <c r="BM659" s="1561"/>
      <c r="BN659" s="1555"/>
      <c r="BO659" s="1555"/>
      <c r="BT659" s="1523" t="s">
        <v>718</v>
      </c>
    </row>
    <row r="660" spans="1:72" ht="83.25" customHeight="1" thickBot="1">
      <c r="A660" s="1683">
        <v>6</v>
      </c>
      <c r="B660" s="1489" t="s">
        <v>36</v>
      </c>
      <c r="C660" s="1585" t="s">
        <v>1029</v>
      </c>
      <c r="D660" s="1590" t="s">
        <v>774</v>
      </c>
      <c r="E660" s="1516">
        <f>'HK PANEN'!AH53</f>
        <v>24</v>
      </c>
      <c r="F660" s="1490">
        <v>129220</v>
      </c>
      <c r="G660" s="1509">
        <f t="shared" si="112"/>
        <v>3101280</v>
      </c>
      <c r="H660" s="1516">
        <f>'HK PANEN'!AI53</f>
        <v>0</v>
      </c>
      <c r="I660" s="1491">
        <f t="shared" si="113"/>
        <v>0</v>
      </c>
      <c r="J660" s="1516">
        <f>'HK PANEN'!AJ53</f>
        <v>0</v>
      </c>
      <c r="K660" s="1491">
        <f t="shared" si="114"/>
        <v>0</v>
      </c>
      <c r="L660" s="1516"/>
      <c r="M660" s="1491">
        <f t="shared" si="115"/>
        <v>0</v>
      </c>
      <c r="N660" s="1516">
        <f>'HK PANEN'!AL53</f>
        <v>4</v>
      </c>
      <c r="O660" s="1497">
        <f t="shared" si="116"/>
        <v>516880</v>
      </c>
      <c r="P660" s="1516">
        <f>'HK PANEN'!AM53</f>
        <v>2</v>
      </c>
      <c r="Q660" s="1497">
        <f t="shared" si="117"/>
        <v>258440</v>
      </c>
      <c r="R660" s="1489"/>
      <c r="S660" s="1497">
        <f t="shared" si="118"/>
        <v>0</v>
      </c>
      <c r="T660" s="1516">
        <f>'HK PANEN'!AO67</f>
        <v>0</v>
      </c>
      <c r="U660" s="1491">
        <f t="shared" si="119"/>
        <v>0</v>
      </c>
      <c r="V660" s="1491">
        <f t="shared" si="120"/>
        <v>30</v>
      </c>
      <c r="W660" s="1491"/>
      <c r="X660" s="1491"/>
      <c r="Y660" s="1491"/>
      <c r="Z660" s="1491"/>
      <c r="AA660" s="1491">
        <f t="shared" si="121"/>
        <v>0</v>
      </c>
      <c r="AB660" s="1497"/>
      <c r="AC660" s="1491"/>
      <c r="AD660" s="1497">
        <f t="shared" si="122"/>
        <v>0</v>
      </c>
      <c r="AE660" s="1497"/>
      <c r="AF660" s="1514">
        <f>'MONITORING '!AK329</f>
        <v>71362</v>
      </c>
      <c r="AG660" s="1498">
        <f>'MONITORING '!AK330</f>
        <v>329000</v>
      </c>
      <c r="AH660" s="1515">
        <v>382650</v>
      </c>
      <c r="AI660" s="1491">
        <f>'INSETIF MEI''25'!L32</f>
        <v>0</v>
      </c>
      <c r="AJ660" s="1498"/>
      <c r="AK660" s="1499"/>
      <c r="AL660" s="1491"/>
      <c r="AM660" s="1491"/>
      <c r="AN660" s="1649">
        <f>'MONITORING '!AK331</f>
        <v>109119</v>
      </c>
      <c r="AO660" s="1494">
        <f t="shared" si="123"/>
        <v>4550493</v>
      </c>
      <c r="AP660" s="1491">
        <f t="shared" si="88"/>
        <v>77532</v>
      </c>
      <c r="AQ660" s="1491">
        <f t="shared" si="89"/>
        <v>175997.64</v>
      </c>
      <c r="AR660" s="1491">
        <f t="shared" si="124"/>
        <v>253529.64</v>
      </c>
      <c r="AS660" s="1489">
        <f t="shared" si="125"/>
        <v>38766</v>
      </c>
      <c r="AT660" s="1489">
        <f t="shared" si="126"/>
        <v>155064</v>
      </c>
      <c r="AU660" s="1491">
        <f t="shared" si="92"/>
        <v>38766</v>
      </c>
      <c r="AV660" s="1491">
        <f t="shared" si="93"/>
        <v>77532</v>
      </c>
      <c r="AW660" s="1491">
        <f t="shared" si="136"/>
        <v>310128</v>
      </c>
      <c r="AX660" s="1491"/>
      <c r="AY660" s="1491"/>
      <c r="AZ660" s="1491">
        <f t="shared" si="128"/>
        <v>0</v>
      </c>
      <c r="BA660" s="1491"/>
      <c r="BB660" s="1491"/>
      <c r="BC660" s="1489">
        <f t="shared" si="137"/>
        <v>4395429</v>
      </c>
      <c r="BD660" s="1489">
        <f>'HK PANEN'!AQ53</f>
        <v>0</v>
      </c>
      <c r="BE660" s="1495">
        <f>'HK PANEN'!AR53</f>
        <v>0</v>
      </c>
      <c r="BG660" s="1551">
        <f t="shared" si="130"/>
        <v>3876600</v>
      </c>
      <c r="BH660" s="1552">
        <f t="shared" si="131"/>
        <v>0</v>
      </c>
      <c r="BI660" s="1552">
        <f t="shared" si="132"/>
        <v>0</v>
      </c>
      <c r="BJ660" s="1551">
        <f t="shared" si="133"/>
        <v>0</v>
      </c>
      <c r="BK660" s="1553">
        <f t="shared" si="134"/>
        <v>3876600</v>
      </c>
      <c r="BS660" s="1689" t="s">
        <v>692</v>
      </c>
      <c r="BT660" s="1556">
        <f t="shared" si="135"/>
        <v>71362</v>
      </c>
    </row>
    <row r="661" spans="1:72" ht="26.25" customHeight="1">
      <c r="A661" s="2048" t="s">
        <v>0</v>
      </c>
      <c r="B661" s="2048"/>
      <c r="C661" s="2048"/>
      <c r="D661" s="2048"/>
      <c r="E661" s="2048"/>
      <c r="F661" s="2048"/>
      <c r="G661" s="2048"/>
      <c r="H661" s="2048"/>
      <c r="I661" s="2048"/>
      <c r="J661" s="2048"/>
      <c r="K661" s="2048"/>
      <c r="L661" s="2048"/>
      <c r="M661" s="2048"/>
      <c r="N661" s="2048"/>
      <c r="O661" s="2048"/>
      <c r="P661" s="2048"/>
      <c r="Q661" s="2048"/>
      <c r="R661" s="2048"/>
      <c r="S661" s="2048"/>
      <c r="T661" s="2048"/>
      <c r="U661" s="2048"/>
      <c r="V661" s="2048"/>
      <c r="W661" s="2048"/>
      <c r="X661" s="2048"/>
      <c r="Y661" s="2048"/>
      <c r="Z661" s="2048"/>
      <c r="AA661" s="2048"/>
      <c r="AB661" s="2048"/>
      <c r="AC661" s="2048"/>
      <c r="AD661" s="2048"/>
      <c r="AE661" s="2048"/>
      <c r="AF661" s="2048"/>
      <c r="AG661" s="2048"/>
      <c r="AH661" s="2048"/>
      <c r="AI661" s="2048"/>
      <c r="AJ661" s="2048"/>
      <c r="AK661" s="2048"/>
      <c r="AL661" s="2048"/>
      <c r="AM661" s="2048"/>
      <c r="AN661" s="2048"/>
      <c r="AO661" s="2048"/>
      <c r="AP661" s="2048"/>
      <c r="AQ661" s="2048"/>
      <c r="AR661" s="2048"/>
      <c r="AS661" s="2048"/>
      <c r="AT661" s="2048"/>
      <c r="AU661" s="2048"/>
      <c r="AV661" s="2048"/>
      <c r="AW661" s="2048"/>
      <c r="AX661" s="2048"/>
      <c r="AY661" s="2048"/>
      <c r="AZ661" s="2048"/>
      <c r="BA661" s="2048"/>
      <c r="BB661" s="2048"/>
      <c r="BC661" s="2048"/>
      <c r="BD661" s="2048"/>
      <c r="BE661" s="2048"/>
      <c r="BT661" s="1556"/>
    </row>
    <row r="662" spans="1:72" ht="26.25" customHeight="1">
      <c r="A662" s="2049" t="s">
        <v>1033</v>
      </c>
      <c r="B662" s="2049"/>
      <c r="C662" s="2049"/>
      <c r="D662" s="2049"/>
      <c r="E662" s="2049"/>
      <c r="F662" s="2049"/>
      <c r="G662" s="2049"/>
      <c r="H662" s="2049"/>
      <c r="I662" s="2049"/>
      <c r="J662" s="2049"/>
      <c r="K662" s="2049"/>
      <c r="L662" s="2049"/>
      <c r="M662" s="2049"/>
      <c r="N662" s="2049"/>
      <c r="O662" s="2049"/>
      <c r="P662" s="2049"/>
      <c r="Q662" s="2049"/>
      <c r="R662" s="2049"/>
      <c r="S662" s="2049"/>
      <c r="T662" s="2049"/>
      <c r="U662" s="2049"/>
      <c r="V662" s="2049"/>
      <c r="W662" s="2049"/>
      <c r="X662" s="2049"/>
      <c r="Y662" s="2049"/>
      <c r="Z662" s="2049"/>
      <c r="AA662" s="2049"/>
      <c r="AB662" s="2049"/>
      <c r="AC662" s="2049"/>
      <c r="AD662" s="2049"/>
      <c r="AE662" s="2049"/>
      <c r="AF662" s="2049"/>
      <c r="AG662" s="2049"/>
      <c r="AH662" s="2049"/>
      <c r="AI662" s="2049"/>
      <c r="AJ662" s="2049"/>
      <c r="AK662" s="2049"/>
      <c r="AL662" s="2049"/>
      <c r="AM662" s="2049"/>
      <c r="AN662" s="2049"/>
      <c r="AO662" s="2049"/>
      <c r="AP662" s="2049"/>
      <c r="AQ662" s="2049"/>
      <c r="AR662" s="2049"/>
      <c r="AS662" s="2049"/>
      <c r="AT662" s="2049"/>
      <c r="AU662" s="2049"/>
      <c r="AV662" s="2049"/>
      <c r="AW662" s="2049"/>
      <c r="AX662" s="2049"/>
      <c r="AY662" s="2049"/>
      <c r="AZ662" s="2049"/>
      <c r="BA662" s="2049"/>
      <c r="BB662" s="2049"/>
      <c r="BC662" s="2049"/>
      <c r="BD662" s="2049"/>
      <c r="BE662" s="2049"/>
      <c r="BT662" s="1556"/>
    </row>
    <row r="663" spans="1:72" ht="26.25" customHeight="1">
      <c r="A663" s="1532"/>
      <c r="B663" s="1532"/>
      <c r="C663" s="1605"/>
      <c r="D663" s="1532"/>
      <c r="E663" s="1532"/>
      <c r="F663" s="1560"/>
      <c r="G663" s="1560"/>
      <c r="H663" s="1532"/>
      <c r="I663" s="1532"/>
      <c r="J663" s="1532"/>
      <c r="K663" s="1532"/>
      <c r="L663" s="1532"/>
      <c r="M663" s="1532"/>
      <c r="N663" s="1532"/>
      <c r="O663" s="1532"/>
      <c r="P663" s="1532"/>
      <c r="Q663" s="1532"/>
      <c r="R663" s="1532"/>
      <c r="S663" s="1532"/>
      <c r="T663" s="1532"/>
      <c r="U663" s="1532"/>
      <c r="V663" s="1532"/>
      <c r="W663" s="1532"/>
      <c r="X663" s="1532"/>
      <c r="Y663" s="1532"/>
      <c r="Z663" s="1532"/>
      <c r="AA663" s="1532"/>
      <c r="AB663" s="1532"/>
      <c r="AC663" s="1532"/>
      <c r="AD663" s="1532"/>
      <c r="AE663" s="1532"/>
      <c r="AF663" s="1532"/>
      <c r="AG663" s="1532"/>
      <c r="AH663" s="1532"/>
      <c r="AI663" s="1532"/>
      <c r="AJ663" s="1532"/>
      <c r="AK663" s="1557"/>
      <c r="AL663" s="1532"/>
      <c r="AM663" s="1532"/>
      <c r="AN663" s="1532"/>
      <c r="AO663" s="1532"/>
      <c r="AP663" s="1671"/>
      <c r="AQ663" s="1671"/>
      <c r="AR663" s="1671"/>
      <c r="AS663" s="1671"/>
      <c r="AT663" s="1532"/>
      <c r="AU663" s="1532"/>
      <c r="AV663" s="1532"/>
      <c r="AW663" s="1532"/>
      <c r="AX663" s="1532"/>
      <c r="AY663" s="1532"/>
      <c r="AZ663" s="1532"/>
      <c r="BA663" s="1532"/>
      <c r="BB663" s="1532"/>
      <c r="BC663" s="1547"/>
      <c r="BD663" s="1532"/>
      <c r="BE663" s="1532"/>
      <c r="BT663" s="1556"/>
    </row>
    <row r="664" spans="1:72" s="1523" customFormat="1" ht="16.5" customHeight="1">
      <c r="D664" s="1523" t="s">
        <v>964</v>
      </c>
      <c r="F664" s="1555"/>
      <c r="G664" s="1555"/>
      <c r="AE664" s="1532"/>
      <c r="AF664" s="1532"/>
      <c r="AG664" s="1532"/>
      <c r="AH664" s="1532"/>
      <c r="AI664" s="1532"/>
      <c r="AJ664" s="1532"/>
      <c r="AK664" s="1557"/>
      <c r="AL664" s="1532"/>
      <c r="AM664" s="1532"/>
      <c r="AO664" s="1561"/>
      <c r="AP664" s="1558">
        <v>3876600</v>
      </c>
      <c r="AQ664" s="1672">
        <f>AP664/30</f>
        <v>129220</v>
      </c>
      <c r="AR664" s="1705">
        <f>AP664/173*1.5</f>
        <v>33612.138728323698</v>
      </c>
      <c r="AS664" s="1706">
        <f>AP664/173*2</f>
        <v>44816.184971098264</v>
      </c>
      <c r="AT664" s="1532" t="s">
        <v>55</v>
      </c>
      <c r="AU664" s="1523" t="s">
        <v>329</v>
      </c>
      <c r="BC664" s="1518"/>
      <c r="BE664" s="1532"/>
      <c r="BG664" s="1555"/>
      <c r="BH664" s="1560"/>
      <c r="BI664" s="1560"/>
      <c r="BJ664" s="1555"/>
      <c r="BK664" s="1561"/>
      <c r="BL664" s="1561"/>
      <c r="BM664" s="1561"/>
      <c r="BN664" s="1555"/>
      <c r="BO664" s="1555"/>
      <c r="BT664" s="1556"/>
    </row>
    <row r="665" spans="1:72" ht="18.75" customHeight="1" thickBot="1">
      <c r="A665" s="1547"/>
      <c r="D665" s="1532"/>
      <c r="E665" s="1563"/>
      <c r="F665" s="1675"/>
      <c r="G665" s="1564"/>
      <c r="H665" s="1563"/>
      <c r="I665" s="1563"/>
      <c r="J665" s="1563"/>
      <c r="K665" s="1563"/>
      <c r="L665" s="1563"/>
      <c r="M665" s="1563"/>
      <c r="N665" s="1563"/>
      <c r="O665" s="1563"/>
      <c r="Q665" s="1563"/>
      <c r="R665" s="1563"/>
      <c r="S665" s="1563"/>
      <c r="T665" s="1563"/>
      <c r="U665" s="1563"/>
      <c r="V665" s="1563"/>
      <c r="W665" s="1563"/>
      <c r="X665" s="1563"/>
      <c r="Y665" s="1563"/>
      <c r="Z665" s="1563"/>
      <c r="AA665" s="1563"/>
      <c r="AB665" s="1563"/>
      <c r="AC665" s="1563"/>
      <c r="AD665" s="1563"/>
      <c r="AE665" s="1563"/>
      <c r="AF665" s="1563"/>
      <c r="AG665" s="1563"/>
      <c r="AH665" s="1563"/>
      <c r="AI665" s="1563"/>
      <c r="AJ665" s="1563"/>
      <c r="AK665" s="1565"/>
      <c r="AL665" s="1563"/>
      <c r="AM665" s="1563"/>
      <c r="AO665" s="1563"/>
      <c r="AP665" s="1558">
        <v>3876600</v>
      </c>
      <c r="AQ665" s="1566">
        <f>AP665/30</f>
        <v>129220</v>
      </c>
      <c r="AR665" s="1598"/>
      <c r="AS665" s="1598"/>
      <c r="AT665" s="1556"/>
      <c r="BT665" s="1556"/>
    </row>
    <row r="666" spans="1:72" s="1523" customFormat="1" ht="18.75" customHeight="1">
      <c r="A666" s="2050" t="s">
        <v>5</v>
      </c>
      <c r="B666" s="2056" t="s">
        <v>6</v>
      </c>
      <c r="C666" s="2056" t="s">
        <v>52</v>
      </c>
      <c r="D666" s="1571"/>
      <c r="E666" s="1571"/>
      <c r="F666" s="1676"/>
      <c r="G666" s="1676"/>
      <c r="H666" s="2118" t="s">
        <v>2</v>
      </c>
      <c r="I666" s="2118"/>
      <c r="J666" s="2118"/>
      <c r="K666" s="2118"/>
      <c r="L666" s="2118"/>
      <c r="M666" s="2118"/>
      <c r="N666" s="2118"/>
      <c r="O666" s="2118"/>
      <c r="P666" s="2118"/>
      <c r="Q666" s="2118"/>
      <c r="R666" s="2118"/>
      <c r="S666" s="2118"/>
      <c r="T666" s="2118"/>
      <c r="U666" s="2118"/>
      <c r="V666" s="2056" t="s">
        <v>286</v>
      </c>
      <c r="W666" s="2118" t="s">
        <v>3</v>
      </c>
      <c r="X666" s="2118"/>
      <c r="Y666" s="2118"/>
      <c r="Z666" s="2118"/>
      <c r="AA666" s="2118"/>
      <c r="AB666" s="2118"/>
      <c r="AC666" s="2118"/>
      <c r="AD666" s="2118"/>
      <c r="AE666" s="2042" t="s">
        <v>45</v>
      </c>
      <c r="AF666" s="2063" t="s">
        <v>46</v>
      </c>
      <c r="AG666" s="2064"/>
      <c r="AH666" s="2064"/>
      <c r="AI666" s="2064"/>
      <c r="AJ666" s="2064"/>
      <c r="AK666" s="2065"/>
      <c r="AL666" s="2045"/>
      <c r="AM666" s="2045" t="s">
        <v>98</v>
      </c>
      <c r="AN666" s="2056" t="s">
        <v>44</v>
      </c>
      <c r="AO666" s="1533" t="s">
        <v>4</v>
      </c>
      <c r="AP666" s="2036" t="s">
        <v>20</v>
      </c>
      <c r="AQ666" s="2037"/>
      <c r="AR666" s="2038"/>
      <c r="AS666" s="2036" t="s">
        <v>54</v>
      </c>
      <c r="AT666" s="2037"/>
      <c r="AU666" s="2037"/>
      <c r="AV666" s="2037"/>
      <c r="AW666" s="2038"/>
      <c r="AX666" s="1571"/>
      <c r="AY666" s="2042" t="s">
        <v>90</v>
      </c>
      <c r="AZ666" s="2045" t="s">
        <v>97</v>
      </c>
      <c r="BA666" s="2045" t="s">
        <v>720</v>
      </c>
      <c r="BB666" s="2045"/>
      <c r="BC666" s="1548" t="s">
        <v>4</v>
      </c>
      <c r="BD666" s="2063" t="s">
        <v>41</v>
      </c>
      <c r="BE666" s="2084"/>
      <c r="BG666" s="1555"/>
      <c r="BH666" s="1560"/>
      <c r="BI666" s="1560"/>
      <c r="BJ666" s="1555"/>
      <c r="BK666" s="1561"/>
      <c r="BL666" s="1561"/>
      <c r="BM666" s="1561"/>
      <c r="BN666" s="1555"/>
      <c r="BO666" s="1555"/>
      <c r="BT666" s="1556"/>
    </row>
    <row r="667" spans="1:72" s="1523" customFormat="1" ht="25.5" customHeight="1">
      <c r="A667" s="2051"/>
      <c r="B667" s="2057"/>
      <c r="C667" s="2057"/>
      <c r="D667" s="1534" t="s">
        <v>7</v>
      </c>
      <c r="E667" s="1534" t="s">
        <v>8</v>
      </c>
      <c r="F667" s="1677" t="s">
        <v>9</v>
      </c>
      <c r="G667" s="1677" t="s">
        <v>9</v>
      </c>
      <c r="H667" s="2131" t="s">
        <v>10</v>
      </c>
      <c r="I667" s="2131"/>
      <c r="J667" s="2131" t="s">
        <v>11</v>
      </c>
      <c r="K667" s="2131"/>
      <c r="L667" s="2131" t="s">
        <v>12</v>
      </c>
      <c r="M667" s="2131"/>
      <c r="N667" s="2131" t="s">
        <v>13</v>
      </c>
      <c r="O667" s="2131"/>
      <c r="P667" s="2131" t="s">
        <v>14</v>
      </c>
      <c r="Q667" s="2131"/>
      <c r="R667" s="2132" t="s">
        <v>15</v>
      </c>
      <c r="S667" s="2132"/>
      <c r="T667" s="2131" t="s">
        <v>16</v>
      </c>
      <c r="U667" s="2131"/>
      <c r="V667" s="2057"/>
      <c r="W667" s="2131" t="s">
        <v>17</v>
      </c>
      <c r="X667" s="2131"/>
      <c r="Y667" s="2131" t="s">
        <v>18</v>
      </c>
      <c r="Z667" s="2131"/>
      <c r="AA667" s="2131"/>
      <c r="AB667" s="2071" t="s">
        <v>19</v>
      </c>
      <c r="AC667" s="2081"/>
      <c r="AD667" s="2072"/>
      <c r="AE667" s="2043"/>
      <c r="AF667" s="2085"/>
      <c r="AG667" s="2122"/>
      <c r="AH667" s="2122"/>
      <c r="AI667" s="2122"/>
      <c r="AJ667" s="2122"/>
      <c r="AK667" s="2123"/>
      <c r="AL667" s="2046"/>
      <c r="AM667" s="2046"/>
      <c r="AN667" s="2057"/>
      <c r="AO667" s="1534" t="s">
        <v>9</v>
      </c>
      <c r="AP667" s="2039"/>
      <c r="AQ667" s="2040"/>
      <c r="AR667" s="2041"/>
      <c r="AS667" s="2039"/>
      <c r="AT667" s="2040"/>
      <c r="AU667" s="2040"/>
      <c r="AV667" s="2040"/>
      <c r="AW667" s="2041"/>
      <c r="AX667" s="1534" t="s">
        <v>21</v>
      </c>
      <c r="AY667" s="2043"/>
      <c r="AZ667" s="2046"/>
      <c r="BA667" s="2046"/>
      <c r="BB667" s="2046"/>
      <c r="BC667" s="1549" t="s">
        <v>9</v>
      </c>
      <c r="BD667" s="2085"/>
      <c r="BE667" s="2086"/>
      <c r="BG667" s="1555"/>
      <c r="BH667" s="1560"/>
      <c r="BI667" s="1560"/>
      <c r="BJ667" s="1555"/>
      <c r="BK667" s="1561"/>
      <c r="BL667" s="1561"/>
      <c r="BM667" s="1561"/>
      <c r="BN667" s="1555"/>
      <c r="BO667" s="1555"/>
      <c r="BT667" s="1556"/>
    </row>
    <row r="668" spans="1:72" s="1532" customFormat="1" ht="36" customHeight="1">
      <c r="A668" s="2051"/>
      <c r="B668" s="2057"/>
      <c r="C668" s="2057"/>
      <c r="D668" s="1534" t="s">
        <v>22</v>
      </c>
      <c r="E668" s="1534" t="s">
        <v>23</v>
      </c>
      <c r="F668" s="1677" t="s">
        <v>24</v>
      </c>
      <c r="G668" s="1677" t="s">
        <v>25</v>
      </c>
      <c r="H668" s="2073" t="s">
        <v>4</v>
      </c>
      <c r="I668" s="2073"/>
      <c r="J668" s="2073" t="s">
        <v>4</v>
      </c>
      <c r="K668" s="2073"/>
      <c r="L668" s="2073" t="s">
        <v>4</v>
      </c>
      <c r="M668" s="2073"/>
      <c r="N668" s="2073" t="s">
        <v>4</v>
      </c>
      <c r="O668" s="2073"/>
      <c r="P668" s="2073" t="s">
        <v>4</v>
      </c>
      <c r="Q668" s="2073"/>
      <c r="R668" s="2073" t="s">
        <v>4</v>
      </c>
      <c r="S668" s="2073"/>
      <c r="T668" s="2073" t="s">
        <v>4</v>
      </c>
      <c r="U668" s="2073"/>
      <c r="V668" s="2057"/>
      <c r="W668" s="1534" t="s">
        <v>27</v>
      </c>
      <c r="X668" s="1576" t="s">
        <v>28</v>
      </c>
      <c r="Y668" s="1534" t="s">
        <v>27</v>
      </c>
      <c r="Z668" s="2073" t="s">
        <v>4</v>
      </c>
      <c r="AA668" s="2073"/>
      <c r="AB668" s="1534" t="s">
        <v>27</v>
      </c>
      <c r="AC668" s="2071" t="s">
        <v>4</v>
      </c>
      <c r="AD668" s="2072"/>
      <c r="AE668" s="2062"/>
      <c r="AF668" s="1575" t="s">
        <v>56</v>
      </c>
      <c r="AG668" s="1575" t="s">
        <v>57</v>
      </c>
      <c r="AH668" s="1575" t="s">
        <v>60</v>
      </c>
      <c r="AI668" s="1575" t="s">
        <v>288</v>
      </c>
      <c r="AJ668" s="1575" t="s">
        <v>97</v>
      </c>
      <c r="AK668" s="1575" t="s">
        <v>355</v>
      </c>
      <c r="AL668" s="2089"/>
      <c r="AM668" s="2089"/>
      <c r="AN668" s="2090"/>
      <c r="AO668" s="1534" t="s">
        <v>29</v>
      </c>
      <c r="AP668" s="1534" t="s">
        <v>30</v>
      </c>
      <c r="AQ668" s="1534" t="s">
        <v>31</v>
      </c>
      <c r="AR668" s="1534" t="s">
        <v>4</v>
      </c>
      <c r="AS668" s="1534" t="s">
        <v>30</v>
      </c>
      <c r="AT668" s="1534" t="s">
        <v>31</v>
      </c>
      <c r="AU668" s="1534" t="s">
        <v>30</v>
      </c>
      <c r="AV668" s="1534" t="s">
        <v>31</v>
      </c>
      <c r="AW668" s="1534" t="s">
        <v>4</v>
      </c>
      <c r="AX668" s="1534" t="s">
        <v>32</v>
      </c>
      <c r="AY668" s="2043"/>
      <c r="AZ668" s="2046"/>
      <c r="BA668" s="2046"/>
      <c r="BB668" s="2046"/>
      <c r="BC668" s="1549" t="s">
        <v>33</v>
      </c>
      <c r="BD668" s="2073" t="s">
        <v>42</v>
      </c>
      <c r="BE668" s="2075" t="s">
        <v>43</v>
      </c>
      <c r="BG668" s="1560"/>
      <c r="BH668" s="1560"/>
      <c r="BI668" s="1560"/>
      <c r="BJ668" s="1560"/>
      <c r="BK668" s="1707"/>
      <c r="BL668" s="1561"/>
      <c r="BM668" s="1561"/>
      <c r="BN668" s="1555"/>
      <c r="BO668" s="1555"/>
      <c r="BT668" s="1556"/>
    </row>
    <row r="669" spans="1:72" s="1523" customFormat="1" ht="24" customHeight="1" thickBot="1">
      <c r="A669" s="2052"/>
      <c r="B669" s="2058"/>
      <c r="C669" s="2058"/>
      <c r="D669" s="1537"/>
      <c r="E669" s="1537"/>
      <c r="F669" s="1579" t="s">
        <v>34</v>
      </c>
      <c r="G669" s="1579" t="s">
        <v>34</v>
      </c>
      <c r="H669" s="1581" t="s">
        <v>8</v>
      </c>
      <c r="I669" s="1581" t="s">
        <v>34</v>
      </c>
      <c r="J669" s="1581" t="s">
        <v>8</v>
      </c>
      <c r="K669" s="1581" t="s">
        <v>34</v>
      </c>
      <c r="L669" s="1581" t="s">
        <v>8</v>
      </c>
      <c r="M669" s="1581" t="s">
        <v>34</v>
      </c>
      <c r="N669" s="1581" t="s">
        <v>8</v>
      </c>
      <c r="O669" s="1581" t="s">
        <v>34</v>
      </c>
      <c r="P669" s="1581" t="s">
        <v>8</v>
      </c>
      <c r="Q669" s="1581" t="s">
        <v>34</v>
      </c>
      <c r="R669" s="1581" t="s">
        <v>8</v>
      </c>
      <c r="S669" s="1581" t="s">
        <v>34</v>
      </c>
      <c r="T669" s="1581" t="s">
        <v>8</v>
      </c>
      <c r="U669" s="1581" t="s">
        <v>34</v>
      </c>
      <c r="V669" s="2058"/>
      <c r="W669" s="1581" t="s">
        <v>26</v>
      </c>
      <c r="X669" s="1581" t="s">
        <v>34</v>
      </c>
      <c r="Y669" s="1581" t="s">
        <v>26</v>
      </c>
      <c r="Z669" s="1581" t="s">
        <v>26</v>
      </c>
      <c r="AA669" s="1581" t="s">
        <v>34</v>
      </c>
      <c r="AB669" s="1581" t="s">
        <v>26</v>
      </c>
      <c r="AC669" s="1581" t="s">
        <v>35</v>
      </c>
      <c r="AD669" s="1581" t="s">
        <v>34</v>
      </c>
      <c r="AE669" s="1581" t="s">
        <v>34</v>
      </c>
      <c r="AF669" s="1581" t="s">
        <v>34</v>
      </c>
      <c r="AG669" s="1581" t="s">
        <v>34</v>
      </c>
      <c r="AH669" s="1581" t="s">
        <v>34</v>
      </c>
      <c r="AI669" s="1581" t="s">
        <v>34</v>
      </c>
      <c r="AJ669" s="1581" t="s">
        <v>34</v>
      </c>
      <c r="AK669" s="1708" t="s">
        <v>34</v>
      </c>
      <c r="AL669" s="1581" t="s">
        <v>34</v>
      </c>
      <c r="AM669" s="1581" t="s">
        <v>34</v>
      </c>
      <c r="AN669" s="1581" t="s">
        <v>34</v>
      </c>
      <c r="AO669" s="1581" t="s">
        <v>34</v>
      </c>
      <c r="AP669" s="1581" t="s">
        <v>34</v>
      </c>
      <c r="AQ669" s="1581" t="s">
        <v>34</v>
      </c>
      <c r="AR669" s="1581" t="s">
        <v>34</v>
      </c>
      <c r="AS669" s="1581" t="s">
        <v>58</v>
      </c>
      <c r="AT669" s="1581" t="s">
        <v>34</v>
      </c>
      <c r="AU669" s="1581" t="s">
        <v>59</v>
      </c>
      <c r="AV669" s="1581" t="s">
        <v>34</v>
      </c>
      <c r="AW669" s="1581" t="s">
        <v>34</v>
      </c>
      <c r="AX669" s="1537"/>
      <c r="AY669" s="2044"/>
      <c r="AZ669" s="2047"/>
      <c r="BA669" s="2047"/>
      <c r="BB669" s="2047"/>
      <c r="BC669" s="1550" t="s">
        <v>34</v>
      </c>
      <c r="BD669" s="2074"/>
      <c r="BE669" s="2076"/>
      <c r="BG669" s="1555" t="s">
        <v>353</v>
      </c>
      <c r="BH669" s="1578" t="s">
        <v>43</v>
      </c>
      <c r="BI669" s="1578" t="s">
        <v>42</v>
      </c>
      <c r="BJ669" s="1555" t="s">
        <v>354</v>
      </c>
      <c r="BK669" s="1561" t="s">
        <v>358</v>
      </c>
      <c r="BL669" s="1561"/>
      <c r="BM669" s="1561"/>
      <c r="BN669" s="1555"/>
      <c r="BO669" s="1555"/>
      <c r="BT669" s="1523" t="s">
        <v>718</v>
      </c>
    </row>
    <row r="670" spans="1:72" ht="83.25" customHeight="1" thickBot="1">
      <c r="A670" s="1683">
        <v>7</v>
      </c>
      <c r="B670" s="1489" t="s">
        <v>36</v>
      </c>
      <c r="C670" s="1585" t="s">
        <v>1030</v>
      </c>
      <c r="D670" s="1590" t="s">
        <v>776</v>
      </c>
      <c r="E670" s="1516">
        <f>'HK PANEN'!AH54</f>
        <v>14</v>
      </c>
      <c r="F670" s="1490">
        <v>129220</v>
      </c>
      <c r="G670" s="1509">
        <f t="shared" si="112"/>
        <v>1809080</v>
      </c>
      <c r="H670" s="1516">
        <f>'HK PANEN'!AI54</f>
        <v>0</v>
      </c>
      <c r="I670" s="1491">
        <f t="shared" si="113"/>
        <v>0</v>
      </c>
      <c r="J670" s="1516">
        <f>'HK PANEN'!AJ54</f>
        <v>0</v>
      </c>
      <c r="K670" s="1491">
        <f t="shared" si="114"/>
        <v>0</v>
      </c>
      <c r="L670" s="1516"/>
      <c r="M670" s="1491">
        <f t="shared" si="115"/>
        <v>0</v>
      </c>
      <c r="N670" s="1516">
        <f>'HK PANEN'!AL54</f>
        <v>2</v>
      </c>
      <c r="O670" s="1497">
        <f t="shared" si="116"/>
        <v>258440</v>
      </c>
      <c r="P670" s="1516">
        <f>'HK PANEN'!AM54</f>
        <v>1</v>
      </c>
      <c r="Q670" s="1497">
        <f t="shared" si="117"/>
        <v>129220</v>
      </c>
      <c r="R670" s="1489"/>
      <c r="S670" s="1497">
        <f t="shared" si="118"/>
        <v>0</v>
      </c>
      <c r="T670" s="1516">
        <f>'HK PANEN'!AO68</f>
        <v>0</v>
      </c>
      <c r="U670" s="1491">
        <f t="shared" si="119"/>
        <v>0</v>
      </c>
      <c r="V670" s="1491">
        <f t="shared" si="120"/>
        <v>17</v>
      </c>
      <c r="W670" s="1491"/>
      <c r="X670" s="1491"/>
      <c r="Y670" s="1491"/>
      <c r="Z670" s="1491"/>
      <c r="AA670" s="1491">
        <f t="shared" si="121"/>
        <v>0</v>
      </c>
      <c r="AB670" s="1497"/>
      <c r="AC670" s="1491"/>
      <c r="AD670" s="1497">
        <f t="shared" si="122"/>
        <v>0</v>
      </c>
      <c r="AE670" s="1497"/>
      <c r="AF670" s="1498">
        <f>'MONITORING '!AK342</f>
        <v>0</v>
      </c>
      <c r="AG670" s="1498">
        <f>'MONITORING '!AK343</f>
        <v>54250</v>
      </c>
      <c r="AH670" s="1515">
        <v>0</v>
      </c>
      <c r="AI670" s="1491">
        <f>'INSETIF MEI''25'!L33</f>
        <v>0</v>
      </c>
      <c r="AJ670" s="1498"/>
      <c r="AK670" s="1499"/>
      <c r="AL670" s="1491"/>
      <c r="AM670" s="1491"/>
      <c r="AN670" s="1649">
        <f>'MONITORING '!AK344</f>
        <v>196701</v>
      </c>
      <c r="AO670" s="1494">
        <f t="shared" si="123"/>
        <v>2054289</v>
      </c>
      <c r="AP670" s="1491">
        <f t="shared" si="88"/>
        <v>77532</v>
      </c>
      <c r="AQ670" s="1491">
        <f t="shared" si="89"/>
        <v>175997.64</v>
      </c>
      <c r="AR670" s="1491">
        <f t="shared" si="124"/>
        <v>253529.64</v>
      </c>
      <c r="AS670" s="1489">
        <f t="shared" si="125"/>
        <v>38766</v>
      </c>
      <c r="AT670" s="1489">
        <f t="shared" si="126"/>
        <v>155064</v>
      </c>
      <c r="AU670" s="1491">
        <f t="shared" si="92"/>
        <v>38766</v>
      </c>
      <c r="AV670" s="1491">
        <f t="shared" si="93"/>
        <v>77532</v>
      </c>
      <c r="AW670" s="1491">
        <f t="shared" si="136"/>
        <v>310128</v>
      </c>
      <c r="AX670" s="1491"/>
      <c r="AY670" s="1491"/>
      <c r="AZ670" s="1491">
        <f t="shared" si="128"/>
        <v>0</v>
      </c>
      <c r="BA670" s="1491"/>
      <c r="BB670" s="1491"/>
      <c r="BC670" s="1489">
        <f t="shared" si="137"/>
        <v>1899225</v>
      </c>
      <c r="BD670" s="1489">
        <f>'HK PANEN'!AQ54</f>
        <v>0</v>
      </c>
      <c r="BE670" s="1495">
        <f>'HK PANEN'!AR54</f>
        <v>2</v>
      </c>
      <c r="BG670" s="1551">
        <f t="shared" si="130"/>
        <v>2196740</v>
      </c>
      <c r="BH670" s="1552">
        <f t="shared" si="131"/>
        <v>0</v>
      </c>
      <c r="BI670" s="1552">
        <f t="shared" si="132"/>
        <v>258440</v>
      </c>
      <c r="BJ670" s="1551">
        <f t="shared" si="133"/>
        <v>-258440</v>
      </c>
      <c r="BK670" s="1553">
        <f t="shared" si="134"/>
        <v>2455180</v>
      </c>
      <c r="BS670" s="1689" t="s">
        <v>692</v>
      </c>
      <c r="BT670" s="1556">
        <f t="shared" si="135"/>
        <v>0</v>
      </c>
    </row>
    <row r="671" spans="1:72" ht="26.25" customHeight="1">
      <c r="A671" s="2048" t="s">
        <v>0</v>
      </c>
      <c r="B671" s="2048"/>
      <c r="C671" s="2048"/>
      <c r="D671" s="2048"/>
      <c r="E671" s="2048"/>
      <c r="F671" s="2048"/>
      <c r="G671" s="2048"/>
      <c r="H671" s="2048"/>
      <c r="I671" s="2048"/>
      <c r="J671" s="2048"/>
      <c r="K671" s="2048"/>
      <c r="L671" s="2048"/>
      <c r="M671" s="2048"/>
      <c r="N671" s="2048"/>
      <c r="O671" s="2048"/>
      <c r="P671" s="2048"/>
      <c r="Q671" s="2048"/>
      <c r="R671" s="2048"/>
      <c r="S671" s="2048"/>
      <c r="T671" s="2048"/>
      <c r="U671" s="2048"/>
      <c r="V671" s="2048"/>
      <c r="W671" s="2048"/>
      <c r="X671" s="2048"/>
      <c r="Y671" s="2048"/>
      <c r="Z671" s="2048"/>
      <c r="AA671" s="2048"/>
      <c r="AB671" s="2048"/>
      <c r="AC671" s="2048"/>
      <c r="AD671" s="2048"/>
      <c r="AE671" s="2048"/>
      <c r="AF671" s="2048"/>
      <c r="AG671" s="2048"/>
      <c r="AH671" s="2048"/>
      <c r="AI671" s="2048"/>
      <c r="AJ671" s="2048"/>
      <c r="AK671" s="2048"/>
      <c r="AL671" s="2048"/>
      <c r="AM671" s="2048"/>
      <c r="AN671" s="2048"/>
      <c r="AO671" s="2048"/>
      <c r="AP671" s="2048"/>
      <c r="AQ671" s="2048"/>
      <c r="AR671" s="2048"/>
      <c r="AS671" s="2048"/>
      <c r="AT671" s="2048"/>
      <c r="AU671" s="2048"/>
      <c r="AV671" s="2048"/>
      <c r="AW671" s="2048"/>
      <c r="AX671" s="2048"/>
      <c r="AY671" s="2048"/>
      <c r="AZ671" s="2048"/>
      <c r="BA671" s="2048"/>
      <c r="BB671" s="2048"/>
      <c r="BC671" s="2048"/>
      <c r="BD671" s="2048"/>
      <c r="BE671" s="2048"/>
      <c r="BT671" s="1556"/>
    </row>
    <row r="672" spans="1:72" ht="26.25" customHeight="1">
      <c r="A672" s="2049" t="s">
        <v>1033</v>
      </c>
      <c r="B672" s="2049"/>
      <c r="C672" s="2049"/>
      <c r="D672" s="2049"/>
      <c r="E672" s="2049"/>
      <c r="F672" s="2049"/>
      <c r="G672" s="2049"/>
      <c r="H672" s="2049"/>
      <c r="I672" s="2049"/>
      <c r="J672" s="2049"/>
      <c r="K672" s="2049"/>
      <c r="L672" s="2049"/>
      <c r="M672" s="2049"/>
      <c r="N672" s="2049"/>
      <c r="O672" s="2049"/>
      <c r="P672" s="2049"/>
      <c r="Q672" s="2049"/>
      <c r="R672" s="2049"/>
      <c r="S672" s="2049"/>
      <c r="T672" s="2049"/>
      <c r="U672" s="2049"/>
      <c r="V672" s="2049"/>
      <c r="W672" s="2049"/>
      <c r="X672" s="2049"/>
      <c r="Y672" s="2049"/>
      <c r="Z672" s="2049"/>
      <c r="AA672" s="2049"/>
      <c r="AB672" s="2049"/>
      <c r="AC672" s="2049"/>
      <c r="AD672" s="2049"/>
      <c r="AE672" s="2049"/>
      <c r="AF672" s="2049"/>
      <c r="AG672" s="2049"/>
      <c r="AH672" s="2049"/>
      <c r="AI672" s="2049"/>
      <c r="AJ672" s="2049"/>
      <c r="AK672" s="2049"/>
      <c r="AL672" s="2049"/>
      <c r="AM672" s="2049"/>
      <c r="AN672" s="2049"/>
      <c r="AO672" s="2049"/>
      <c r="AP672" s="2049"/>
      <c r="AQ672" s="2049"/>
      <c r="AR672" s="2049"/>
      <c r="AS672" s="2049"/>
      <c r="AT672" s="2049"/>
      <c r="AU672" s="2049"/>
      <c r="AV672" s="2049"/>
      <c r="AW672" s="2049"/>
      <c r="AX672" s="2049"/>
      <c r="AY672" s="2049"/>
      <c r="AZ672" s="2049"/>
      <c r="BA672" s="2049"/>
      <c r="BB672" s="2049"/>
      <c r="BC672" s="2049"/>
      <c r="BD672" s="2049"/>
      <c r="BE672" s="2049"/>
      <c r="BT672" s="1556"/>
    </row>
    <row r="673" spans="1:72" ht="26.25" customHeight="1">
      <c r="A673" s="1532"/>
      <c r="B673" s="1532"/>
      <c r="C673" s="1605"/>
      <c r="D673" s="1532"/>
      <c r="E673" s="1532"/>
      <c r="F673" s="1560"/>
      <c r="G673" s="1560"/>
      <c r="H673" s="1532"/>
      <c r="I673" s="1532"/>
      <c r="J673" s="1532"/>
      <c r="K673" s="1532"/>
      <c r="L673" s="1532"/>
      <c r="M673" s="1532"/>
      <c r="N673" s="1532"/>
      <c r="O673" s="1532"/>
      <c r="P673" s="1532"/>
      <c r="Q673" s="1532"/>
      <c r="R673" s="1532"/>
      <c r="S673" s="1532"/>
      <c r="T673" s="1532"/>
      <c r="U673" s="1532"/>
      <c r="V673" s="1532"/>
      <c r="W673" s="1532"/>
      <c r="X673" s="1532"/>
      <c r="Y673" s="1532"/>
      <c r="Z673" s="1532"/>
      <c r="AA673" s="1532"/>
      <c r="AB673" s="1532"/>
      <c r="AC673" s="1532"/>
      <c r="AD673" s="1532"/>
      <c r="AE673" s="1532"/>
      <c r="AF673" s="1532"/>
      <c r="AG673" s="1532"/>
      <c r="AH673" s="1532"/>
      <c r="AI673" s="1532"/>
      <c r="AJ673" s="1532"/>
      <c r="AK673" s="1557"/>
      <c r="AL673" s="1532"/>
      <c r="AM673" s="1532"/>
      <c r="AN673" s="1532"/>
      <c r="AO673" s="1532"/>
      <c r="AP673" s="1671"/>
      <c r="AQ673" s="1671"/>
      <c r="AR673" s="1671"/>
      <c r="AS673" s="1671"/>
      <c r="AT673" s="1532"/>
      <c r="AU673" s="1532"/>
      <c r="AV673" s="1532"/>
      <c r="AW673" s="1532"/>
      <c r="AX673" s="1532"/>
      <c r="AY673" s="1532"/>
      <c r="AZ673" s="1532"/>
      <c r="BA673" s="1532"/>
      <c r="BB673" s="1532"/>
      <c r="BC673" s="1547"/>
      <c r="BD673" s="1532"/>
      <c r="BE673" s="1532"/>
      <c r="BT673" s="1556"/>
    </row>
    <row r="674" spans="1:72" s="1523" customFormat="1" ht="16.5" customHeight="1">
      <c r="D674" s="1523" t="s">
        <v>964</v>
      </c>
      <c r="F674" s="1555"/>
      <c r="G674" s="1555"/>
      <c r="AE674" s="1532"/>
      <c r="AF674" s="1532"/>
      <c r="AG674" s="1532"/>
      <c r="AH674" s="1532"/>
      <c r="AI674" s="1532"/>
      <c r="AJ674" s="1532"/>
      <c r="AK674" s="1557"/>
      <c r="AL674" s="1532"/>
      <c r="AM674" s="1532"/>
      <c r="AO674" s="1561"/>
      <c r="AP674" s="1558">
        <v>3876600</v>
      </c>
      <c r="AQ674" s="1672">
        <f>AP674/30</f>
        <v>129220</v>
      </c>
      <c r="AR674" s="1705">
        <f>AP674/173*1.5</f>
        <v>33612.138728323698</v>
      </c>
      <c r="AS674" s="1706">
        <f>AP674/173*2</f>
        <v>44816.184971098264</v>
      </c>
      <c r="AT674" s="1532" t="s">
        <v>55</v>
      </c>
      <c r="AU674" s="1523" t="s">
        <v>329</v>
      </c>
      <c r="BC674" s="1518"/>
      <c r="BE674" s="1532"/>
      <c r="BG674" s="1555"/>
      <c r="BH674" s="1560"/>
      <c r="BI674" s="1560"/>
      <c r="BJ674" s="1555"/>
      <c r="BK674" s="1561"/>
      <c r="BL674" s="1561"/>
      <c r="BM674" s="1561"/>
      <c r="BN674" s="1555"/>
      <c r="BO674" s="1555"/>
      <c r="BT674" s="1556"/>
    </row>
    <row r="675" spans="1:72" ht="18.75" customHeight="1" thickBot="1">
      <c r="A675" s="1547"/>
      <c r="D675" s="1532"/>
      <c r="E675" s="1563"/>
      <c r="F675" s="1675"/>
      <c r="G675" s="1564"/>
      <c r="H675" s="1563"/>
      <c r="I675" s="1563"/>
      <c r="J675" s="1563"/>
      <c r="K675" s="1563"/>
      <c r="L675" s="1563"/>
      <c r="M675" s="1563"/>
      <c r="N675" s="1563"/>
      <c r="O675" s="1563"/>
      <c r="Q675" s="1563"/>
      <c r="R675" s="1563"/>
      <c r="S675" s="1563"/>
      <c r="T675" s="1563"/>
      <c r="U675" s="1563"/>
      <c r="V675" s="1563"/>
      <c r="W675" s="1563"/>
      <c r="X675" s="1563"/>
      <c r="Y675" s="1563"/>
      <c r="Z675" s="1563"/>
      <c r="AA675" s="1563"/>
      <c r="AB675" s="1563"/>
      <c r="AC675" s="1563"/>
      <c r="AD675" s="1563"/>
      <c r="AE675" s="1563"/>
      <c r="AF675" s="1563"/>
      <c r="AG675" s="1563"/>
      <c r="AH675" s="1563"/>
      <c r="AI675" s="1563"/>
      <c r="AJ675" s="1563"/>
      <c r="AK675" s="1565"/>
      <c r="AL675" s="1563"/>
      <c r="AM675" s="1563"/>
      <c r="AO675" s="1563"/>
      <c r="AP675" s="1558">
        <v>3876600</v>
      </c>
      <c r="AQ675" s="1566">
        <f>AP675/30</f>
        <v>129220</v>
      </c>
      <c r="AR675" s="1598"/>
      <c r="AS675" s="1598"/>
      <c r="AT675" s="1556"/>
      <c r="BT675" s="1556"/>
    </row>
    <row r="676" spans="1:72" s="1523" customFormat="1" ht="18.75" customHeight="1">
      <c r="A676" s="2050" t="s">
        <v>5</v>
      </c>
      <c r="B676" s="2056" t="s">
        <v>6</v>
      </c>
      <c r="C676" s="2056" t="s">
        <v>52</v>
      </c>
      <c r="D676" s="1571"/>
      <c r="E676" s="1571"/>
      <c r="F676" s="1676"/>
      <c r="G676" s="1676"/>
      <c r="H676" s="2118" t="s">
        <v>2</v>
      </c>
      <c r="I676" s="2118"/>
      <c r="J676" s="2118"/>
      <c r="K676" s="2118"/>
      <c r="L676" s="2118"/>
      <c r="M676" s="2118"/>
      <c r="N676" s="2118"/>
      <c r="O676" s="2118"/>
      <c r="P676" s="2118"/>
      <c r="Q676" s="2118"/>
      <c r="R676" s="2118"/>
      <c r="S676" s="2118"/>
      <c r="T676" s="2118"/>
      <c r="U676" s="2118"/>
      <c r="V676" s="2056" t="s">
        <v>286</v>
      </c>
      <c r="W676" s="2118" t="s">
        <v>3</v>
      </c>
      <c r="X676" s="2118"/>
      <c r="Y676" s="2118"/>
      <c r="Z676" s="2118"/>
      <c r="AA676" s="2118"/>
      <c r="AB676" s="2118"/>
      <c r="AC676" s="2118"/>
      <c r="AD676" s="2118"/>
      <c r="AE676" s="2042" t="s">
        <v>45</v>
      </c>
      <c r="AF676" s="2063" t="s">
        <v>46</v>
      </c>
      <c r="AG676" s="2064"/>
      <c r="AH676" s="2064"/>
      <c r="AI676" s="2064"/>
      <c r="AJ676" s="2064"/>
      <c r="AK676" s="2065"/>
      <c r="AL676" s="2045"/>
      <c r="AM676" s="2045" t="s">
        <v>98</v>
      </c>
      <c r="AN676" s="2056" t="s">
        <v>44</v>
      </c>
      <c r="AO676" s="1533" t="s">
        <v>4</v>
      </c>
      <c r="AP676" s="2036" t="s">
        <v>20</v>
      </c>
      <c r="AQ676" s="2037"/>
      <c r="AR676" s="2038"/>
      <c r="AS676" s="2036" t="s">
        <v>54</v>
      </c>
      <c r="AT676" s="2037"/>
      <c r="AU676" s="2037"/>
      <c r="AV676" s="2037"/>
      <c r="AW676" s="2038"/>
      <c r="AX676" s="1571"/>
      <c r="AY676" s="2042" t="s">
        <v>90</v>
      </c>
      <c r="AZ676" s="2045" t="s">
        <v>97</v>
      </c>
      <c r="BA676" s="2045" t="s">
        <v>720</v>
      </c>
      <c r="BB676" s="2045"/>
      <c r="BC676" s="1548" t="s">
        <v>4</v>
      </c>
      <c r="BD676" s="2063" t="s">
        <v>41</v>
      </c>
      <c r="BE676" s="2084"/>
      <c r="BG676" s="1555"/>
      <c r="BH676" s="1560"/>
      <c r="BI676" s="1560"/>
      <c r="BJ676" s="1555"/>
      <c r="BK676" s="1561"/>
      <c r="BL676" s="1561"/>
      <c r="BM676" s="1561"/>
      <c r="BN676" s="1555"/>
      <c r="BO676" s="1555"/>
      <c r="BT676" s="1556"/>
    </row>
    <row r="677" spans="1:72" s="1523" customFormat="1" ht="25.5" customHeight="1">
      <c r="A677" s="2051"/>
      <c r="B677" s="2057"/>
      <c r="C677" s="2057"/>
      <c r="D677" s="1534" t="s">
        <v>7</v>
      </c>
      <c r="E677" s="1534" t="s">
        <v>8</v>
      </c>
      <c r="F677" s="1677" t="s">
        <v>9</v>
      </c>
      <c r="G677" s="1677" t="s">
        <v>9</v>
      </c>
      <c r="H677" s="2131" t="s">
        <v>10</v>
      </c>
      <c r="I677" s="2131"/>
      <c r="J677" s="2131" t="s">
        <v>11</v>
      </c>
      <c r="K677" s="2131"/>
      <c r="L677" s="2131" t="s">
        <v>12</v>
      </c>
      <c r="M677" s="2131"/>
      <c r="N677" s="2131" t="s">
        <v>13</v>
      </c>
      <c r="O677" s="2131"/>
      <c r="P677" s="2131" t="s">
        <v>14</v>
      </c>
      <c r="Q677" s="2131"/>
      <c r="R677" s="2132" t="s">
        <v>15</v>
      </c>
      <c r="S677" s="2132"/>
      <c r="T677" s="2131" t="s">
        <v>16</v>
      </c>
      <c r="U677" s="2131"/>
      <c r="V677" s="2057"/>
      <c r="W677" s="2131" t="s">
        <v>17</v>
      </c>
      <c r="X677" s="2131"/>
      <c r="Y677" s="2131" t="s">
        <v>18</v>
      </c>
      <c r="Z677" s="2131"/>
      <c r="AA677" s="2131"/>
      <c r="AB677" s="2071" t="s">
        <v>19</v>
      </c>
      <c r="AC677" s="2081"/>
      <c r="AD677" s="2072"/>
      <c r="AE677" s="2043"/>
      <c r="AF677" s="2085"/>
      <c r="AG677" s="2122"/>
      <c r="AH677" s="2122"/>
      <c r="AI677" s="2122"/>
      <c r="AJ677" s="2122"/>
      <c r="AK677" s="2123"/>
      <c r="AL677" s="2046"/>
      <c r="AM677" s="2046"/>
      <c r="AN677" s="2057"/>
      <c r="AO677" s="1534" t="s">
        <v>9</v>
      </c>
      <c r="AP677" s="2039"/>
      <c r="AQ677" s="2040"/>
      <c r="AR677" s="2041"/>
      <c r="AS677" s="2039"/>
      <c r="AT677" s="2040"/>
      <c r="AU677" s="2040"/>
      <c r="AV677" s="2040"/>
      <c r="AW677" s="2041"/>
      <c r="AX677" s="1534" t="s">
        <v>21</v>
      </c>
      <c r="AY677" s="2043"/>
      <c r="AZ677" s="2046"/>
      <c r="BA677" s="2046"/>
      <c r="BB677" s="2046"/>
      <c r="BC677" s="1549" t="s">
        <v>9</v>
      </c>
      <c r="BD677" s="2085"/>
      <c r="BE677" s="2086"/>
      <c r="BG677" s="1555"/>
      <c r="BH677" s="1560"/>
      <c r="BI677" s="1560"/>
      <c r="BJ677" s="1555"/>
      <c r="BK677" s="1561"/>
      <c r="BL677" s="1561"/>
      <c r="BM677" s="1561"/>
      <c r="BN677" s="1555"/>
      <c r="BO677" s="1555"/>
      <c r="BT677" s="1556"/>
    </row>
    <row r="678" spans="1:72" s="1532" customFormat="1" ht="36" customHeight="1">
      <c r="A678" s="2051"/>
      <c r="B678" s="2057"/>
      <c r="C678" s="2057"/>
      <c r="D678" s="1534" t="s">
        <v>22</v>
      </c>
      <c r="E678" s="1534" t="s">
        <v>23</v>
      </c>
      <c r="F678" s="1677" t="s">
        <v>24</v>
      </c>
      <c r="G678" s="1677" t="s">
        <v>25</v>
      </c>
      <c r="H678" s="2073" t="s">
        <v>4</v>
      </c>
      <c r="I678" s="2073"/>
      <c r="J678" s="2073" t="s">
        <v>4</v>
      </c>
      <c r="K678" s="2073"/>
      <c r="L678" s="2073" t="s">
        <v>4</v>
      </c>
      <c r="M678" s="2073"/>
      <c r="N678" s="2073" t="s">
        <v>4</v>
      </c>
      <c r="O678" s="2073"/>
      <c r="P678" s="2073" t="s">
        <v>4</v>
      </c>
      <c r="Q678" s="2073"/>
      <c r="R678" s="2073" t="s">
        <v>4</v>
      </c>
      <c r="S678" s="2073"/>
      <c r="T678" s="2073" t="s">
        <v>4</v>
      </c>
      <c r="U678" s="2073"/>
      <c r="V678" s="2057"/>
      <c r="W678" s="1534" t="s">
        <v>27</v>
      </c>
      <c r="X678" s="1576" t="s">
        <v>28</v>
      </c>
      <c r="Y678" s="1534" t="s">
        <v>27</v>
      </c>
      <c r="Z678" s="2073" t="s">
        <v>4</v>
      </c>
      <c r="AA678" s="2073"/>
      <c r="AB678" s="1534" t="s">
        <v>27</v>
      </c>
      <c r="AC678" s="2071" t="s">
        <v>4</v>
      </c>
      <c r="AD678" s="2072"/>
      <c r="AE678" s="2062"/>
      <c r="AF678" s="1575" t="s">
        <v>56</v>
      </c>
      <c r="AG678" s="1575" t="s">
        <v>57</v>
      </c>
      <c r="AH678" s="1575" t="s">
        <v>60</v>
      </c>
      <c r="AI678" s="1575" t="s">
        <v>288</v>
      </c>
      <c r="AJ678" s="1575" t="s">
        <v>97</v>
      </c>
      <c r="AK678" s="1575" t="s">
        <v>355</v>
      </c>
      <c r="AL678" s="2089"/>
      <c r="AM678" s="2089"/>
      <c r="AN678" s="2090"/>
      <c r="AO678" s="1534" t="s">
        <v>29</v>
      </c>
      <c r="AP678" s="1534" t="s">
        <v>30</v>
      </c>
      <c r="AQ678" s="1534" t="s">
        <v>31</v>
      </c>
      <c r="AR678" s="1534" t="s">
        <v>4</v>
      </c>
      <c r="AS678" s="1534" t="s">
        <v>30</v>
      </c>
      <c r="AT678" s="1534" t="s">
        <v>31</v>
      </c>
      <c r="AU678" s="1534" t="s">
        <v>30</v>
      </c>
      <c r="AV678" s="1534" t="s">
        <v>31</v>
      </c>
      <c r="AW678" s="1534" t="s">
        <v>4</v>
      </c>
      <c r="AX678" s="1534" t="s">
        <v>32</v>
      </c>
      <c r="AY678" s="2043"/>
      <c r="AZ678" s="2046"/>
      <c r="BA678" s="2046"/>
      <c r="BB678" s="2046"/>
      <c r="BC678" s="1549" t="s">
        <v>33</v>
      </c>
      <c r="BD678" s="2073" t="s">
        <v>42</v>
      </c>
      <c r="BE678" s="2075" t="s">
        <v>43</v>
      </c>
      <c r="BG678" s="1560"/>
      <c r="BH678" s="1560"/>
      <c r="BI678" s="1560"/>
      <c r="BJ678" s="1560"/>
      <c r="BK678" s="1707"/>
      <c r="BL678" s="1561"/>
      <c r="BM678" s="1561"/>
      <c r="BN678" s="1555"/>
      <c r="BO678" s="1555"/>
      <c r="BT678" s="1556"/>
    </row>
    <row r="679" spans="1:72" s="1523" customFormat="1" ht="24" customHeight="1" thickBot="1">
      <c r="A679" s="2052"/>
      <c r="B679" s="2058"/>
      <c r="C679" s="2058"/>
      <c r="D679" s="1537"/>
      <c r="E679" s="1537"/>
      <c r="F679" s="1579" t="s">
        <v>34</v>
      </c>
      <c r="G679" s="1579" t="s">
        <v>34</v>
      </c>
      <c r="H679" s="1581" t="s">
        <v>8</v>
      </c>
      <c r="I679" s="1581" t="s">
        <v>34</v>
      </c>
      <c r="J679" s="1581" t="s">
        <v>8</v>
      </c>
      <c r="K679" s="1581" t="s">
        <v>34</v>
      </c>
      <c r="L679" s="1581" t="s">
        <v>8</v>
      </c>
      <c r="M679" s="1581" t="s">
        <v>34</v>
      </c>
      <c r="N679" s="1581" t="s">
        <v>8</v>
      </c>
      <c r="O679" s="1581" t="s">
        <v>34</v>
      </c>
      <c r="P679" s="1581" t="s">
        <v>8</v>
      </c>
      <c r="Q679" s="1581" t="s">
        <v>34</v>
      </c>
      <c r="R679" s="1581" t="s">
        <v>8</v>
      </c>
      <c r="S679" s="1581" t="s">
        <v>34</v>
      </c>
      <c r="T679" s="1581" t="s">
        <v>8</v>
      </c>
      <c r="U679" s="1581" t="s">
        <v>34</v>
      </c>
      <c r="V679" s="2058"/>
      <c r="W679" s="1581" t="s">
        <v>26</v>
      </c>
      <c r="X679" s="1581" t="s">
        <v>34</v>
      </c>
      <c r="Y679" s="1581" t="s">
        <v>26</v>
      </c>
      <c r="Z679" s="1581" t="s">
        <v>26</v>
      </c>
      <c r="AA679" s="1581" t="s">
        <v>34</v>
      </c>
      <c r="AB679" s="1581" t="s">
        <v>26</v>
      </c>
      <c r="AC679" s="1581" t="s">
        <v>35</v>
      </c>
      <c r="AD679" s="1581" t="s">
        <v>34</v>
      </c>
      <c r="AE679" s="1581" t="s">
        <v>34</v>
      </c>
      <c r="AF679" s="1581" t="s">
        <v>34</v>
      </c>
      <c r="AG679" s="1581" t="s">
        <v>34</v>
      </c>
      <c r="AH679" s="1581" t="s">
        <v>34</v>
      </c>
      <c r="AI679" s="1581" t="s">
        <v>34</v>
      </c>
      <c r="AJ679" s="1581" t="s">
        <v>34</v>
      </c>
      <c r="AK679" s="1708" t="s">
        <v>34</v>
      </c>
      <c r="AL679" s="1581" t="s">
        <v>34</v>
      </c>
      <c r="AM679" s="1581" t="s">
        <v>34</v>
      </c>
      <c r="AN679" s="1581" t="s">
        <v>34</v>
      </c>
      <c r="AO679" s="1581" t="s">
        <v>34</v>
      </c>
      <c r="AP679" s="1581" t="s">
        <v>34</v>
      </c>
      <c r="AQ679" s="1581" t="s">
        <v>34</v>
      </c>
      <c r="AR679" s="1581" t="s">
        <v>34</v>
      </c>
      <c r="AS679" s="1581" t="s">
        <v>58</v>
      </c>
      <c r="AT679" s="1581" t="s">
        <v>34</v>
      </c>
      <c r="AU679" s="1581" t="s">
        <v>59</v>
      </c>
      <c r="AV679" s="1581" t="s">
        <v>34</v>
      </c>
      <c r="AW679" s="1581" t="s">
        <v>34</v>
      </c>
      <c r="AX679" s="1537"/>
      <c r="AY679" s="2044"/>
      <c r="AZ679" s="2047"/>
      <c r="BA679" s="2047"/>
      <c r="BB679" s="2047"/>
      <c r="BC679" s="1550" t="s">
        <v>34</v>
      </c>
      <c r="BD679" s="2074"/>
      <c r="BE679" s="2076"/>
      <c r="BG679" s="1555" t="s">
        <v>353</v>
      </c>
      <c r="BH679" s="1578" t="s">
        <v>43</v>
      </c>
      <c r="BI679" s="1578" t="s">
        <v>42</v>
      </c>
      <c r="BJ679" s="1555" t="s">
        <v>354</v>
      </c>
      <c r="BK679" s="1561" t="s">
        <v>358</v>
      </c>
      <c r="BL679" s="1561"/>
      <c r="BM679" s="1561"/>
      <c r="BN679" s="1555"/>
      <c r="BO679" s="1555"/>
      <c r="BT679" s="1523" t="s">
        <v>718</v>
      </c>
    </row>
    <row r="680" spans="1:72" ht="83.25" customHeight="1" thickBot="1">
      <c r="A680" s="1683">
        <v>8</v>
      </c>
      <c r="B680" s="1489" t="s">
        <v>36</v>
      </c>
      <c r="C680" s="1585" t="s">
        <v>1031</v>
      </c>
      <c r="D680" s="1590" t="s">
        <v>963</v>
      </c>
      <c r="E680" s="1516">
        <f>'HK PANEN'!AH55</f>
        <v>8</v>
      </c>
      <c r="F680" s="1490">
        <v>129220</v>
      </c>
      <c r="G680" s="1509">
        <f t="shared" si="112"/>
        <v>1033760</v>
      </c>
      <c r="H680" s="1516">
        <f>'HK PANEN'!AI55</f>
        <v>0</v>
      </c>
      <c r="I680" s="1491">
        <f t="shared" si="113"/>
        <v>0</v>
      </c>
      <c r="J680" s="1516">
        <f>'HK PANEN'!AJ55</f>
        <v>0</v>
      </c>
      <c r="K680" s="1491">
        <f t="shared" si="114"/>
        <v>0</v>
      </c>
      <c r="L680" s="1516"/>
      <c r="M680" s="1491">
        <f t="shared" si="115"/>
        <v>0</v>
      </c>
      <c r="N680" s="1516">
        <f>'HK PANEN'!AL55</f>
        <v>1</v>
      </c>
      <c r="O680" s="1497">
        <f t="shared" si="116"/>
        <v>129220</v>
      </c>
      <c r="P680" s="1516">
        <f>'HK PANEN'!AM55</f>
        <v>1</v>
      </c>
      <c r="Q680" s="1497">
        <f t="shared" si="117"/>
        <v>129220</v>
      </c>
      <c r="R680" s="1489"/>
      <c r="S680" s="1497">
        <f t="shared" si="118"/>
        <v>0</v>
      </c>
      <c r="T680" s="1516">
        <f>'HK PANEN'!AO69</f>
        <v>0</v>
      </c>
      <c r="U680" s="1491">
        <f t="shared" si="119"/>
        <v>0</v>
      </c>
      <c r="V680" s="1491">
        <f t="shared" si="120"/>
        <v>10</v>
      </c>
      <c r="W680" s="1491"/>
      <c r="X680" s="1491"/>
      <c r="Y680" s="1491"/>
      <c r="Z680" s="1491"/>
      <c r="AA680" s="1491">
        <f t="shared" si="121"/>
        <v>0</v>
      </c>
      <c r="AB680" s="1497"/>
      <c r="AC680" s="1491"/>
      <c r="AD680" s="1497">
        <f t="shared" si="122"/>
        <v>0</v>
      </c>
      <c r="AE680" s="1497"/>
      <c r="AF680" s="1498">
        <f>'MONITORING '!AK355</f>
        <v>0</v>
      </c>
      <c r="AG680" s="1498">
        <f>'MONITORING '!AK356</f>
        <v>119000</v>
      </c>
      <c r="AH680" s="1515">
        <v>0</v>
      </c>
      <c r="AI680" s="1491">
        <f>'INSETIF MEI''25'!L34</f>
        <v>0</v>
      </c>
      <c r="AJ680" s="1498"/>
      <c r="AK680" s="1499"/>
      <c r="AL680" s="1491"/>
      <c r="AM680" s="1491"/>
      <c r="AN680" s="1491">
        <f>'MONITORING '!AK357</f>
        <v>0</v>
      </c>
      <c r="AO680" s="1494">
        <f t="shared" si="123"/>
        <v>1411200</v>
      </c>
      <c r="AP680" s="1491">
        <f t="shared" si="88"/>
        <v>77532</v>
      </c>
      <c r="AQ680" s="1491">
        <f t="shared" si="89"/>
        <v>175997.64</v>
      </c>
      <c r="AR680" s="1491">
        <f t="shared" si="124"/>
        <v>253529.64</v>
      </c>
      <c r="AS680" s="1489"/>
      <c r="AT680" s="1489"/>
      <c r="AU680" s="1491">
        <f t="shared" si="92"/>
        <v>38766</v>
      </c>
      <c r="AV680" s="1491">
        <f t="shared" si="93"/>
        <v>77532</v>
      </c>
      <c r="AW680" s="1491">
        <f t="shared" si="136"/>
        <v>116298</v>
      </c>
      <c r="AX680" s="1491"/>
      <c r="AY680" s="1491"/>
      <c r="AZ680" s="1491">
        <f t="shared" si="128"/>
        <v>0</v>
      </c>
      <c r="BA680" s="1491"/>
      <c r="BB680" s="1491"/>
      <c r="BC680" s="1489">
        <f t="shared" si="137"/>
        <v>1294902</v>
      </c>
      <c r="BD680" s="1489">
        <f>'HK PANEN'!AQ55</f>
        <v>0</v>
      </c>
      <c r="BE680" s="1495">
        <f>'HK PANEN'!AR55</f>
        <v>0</v>
      </c>
      <c r="BG680" s="1551">
        <f t="shared" si="130"/>
        <v>1292200</v>
      </c>
      <c r="BH680" s="1552">
        <f t="shared" si="131"/>
        <v>0</v>
      </c>
      <c r="BI680" s="1552">
        <f t="shared" si="132"/>
        <v>0</v>
      </c>
      <c r="BJ680" s="1551">
        <f t="shared" si="133"/>
        <v>0</v>
      </c>
      <c r="BK680" s="1553">
        <f t="shared" si="134"/>
        <v>1292200</v>
      </c>
      <c r="BS680" s="1689" t="s">
        <v>692</v>
      </c>
      <c r="BT680" s="1556">
        <f t="shared" si="135"/>
        <v>0</v>
      </c>
    </row>
    <row r="681" spans="1:72" ht="49.5" customHeight="1" thickBot="1">
      <c r="A681" s="1709"/>
      <c r="B681" s="1496"/>
      <c r="C681" s="1585"/>
      <c r="D681" s="1691" t="s">
        <v>38</v>
      </c>
      <c r="E681" s="1535">
        <f t="shared" ref="E681:AJ681" si="138">SUM(E610:E680)</f>
        <v>163</v>
      </c>
      <c r="F681" s="1535">
        <f t="shared" si="138"/>
        <v>1033760</v>
      </c>
      <c r="G681" s="1535">
        <f t="shared" si="138"/>
        <v>21062860</v>
      </c>
      <c r="H681" s="1535">
        <f t="shared" si="138"/>
        <v>0</v>
      </c>
      <c r="I681" s="1535">
        <f t="shared" si="138"/>
        <v>0</v>
      </c>
      <c r="J681" s="1535">
        <f t="shared" si="138"/>
        <v>1</v>
      </c>
      <c r="K681" s="1535">
        <f t="shared" si="138"/>
        <v>129220</v>
      </c>
      <c r="L681" s="1535">
        <f t="shared" si="138"/>
        <v>0</v>
      </c>
      <c r="M681" s="1535">
        <f t="shared" si="138"/>
        <v>0</v>
      </c>
      <c r="N681" s="1535">
        <f t="shared" si="138"/>
        <v>27</v>
      </c>
      <c r="O681" s="1535">
        <f t="shared" si="138"/>
        <v>3488940</v>
      </c>
      <c r="P681" s="1535">
        <f t="shared" si="138"/>
        <v>18</v>
      </c>
      <c r="Q681" s="1535">
        <f t="shared" si="138"/>
        <v>2325960</v>
      </c>
      <c r="R681" s="1535">
        <f t="shared" si="138"/>
        <v>0</v>
      </c>
      <c r="S681" s="1535">
        <f t="shared" si="138"/>
        <v>0</v>
      </c>
      <c r="T681" s="1535">
        <f t="shared" si="138"/>
        <v>0</v>
      </c>
      <c r="U681" s="1535">
        <f t="shared" si="138"/>
        <v>0</v>
      </c>
      <c r="V681" s="1535">
        <f t="shared" si="138"/>
        <v>209</v>
      </c>
      <c r="W681" s="1535">
        <f t="shared" si="138"/>
        <v>0</v>
      </c>
      <c r="X681" s="1535">
        <f t="shared" si="138"/>
        <v>0</v>
      </c>
      <c r="Y681" s="1535">
        <f t="shared" si="138"/>
        <v>0</v>
      </c>
      <c r="Z681" s="1535">
        <f t="shared" si="138"/>
        <v>0</v>
      </c>
      <c r="AA681" s="1535">
        <f t="shared" si="138"/>
        <v>0</v>
      </c>
      <c r="AB681" s="1535">
        <f t="shared" si="138"/>
        <v>0</v>
      </c>
      <c r="AC681" s="1535">
        <f t="shared" si="138"/>
        <v>0</v>
      </c>
      <c r="AD681" s="1535">
        <f t="shared" si="138"/>
        <v>0</v>
      </c>
      <c r="AE681" s="1535">
        <f t="shared" si="138"/>
        <v>0</v>
      </c>
      <c r="AF681" s="1535">
        <f t="shared" si="138"/>
        <v>898942</v>
      </c>
      <c r="AG681" s="1535">
        <f t="shared" si="138"/>
        <v>1711500</v>
      </c>
      <c r="AH681" s="1535">
        <f t="shared" si="138"/>
        <v>2369000</v>
      </c>
      <c r="AI681" s="1535">
        <f t="shared" si="138"/>
        <v>0</v>
      </c>
      <c r="AJ681" s="1535">
        <f t="shared" si="138"/>
        <v>0</v>
      </c>
      <c r="AK681" s="1535">
        <f t="shared" ref="AK681:BE681" si="139">SUM(AK610:AK680)</f>
        <v>0</v>
      </c>
      <c r="AL681" s="1535">
        <f t="shared" si="139"/>
        <v>0</v>
      </c>
      <c r="AM681" s="1535">
        <f t="shared" si="139"/>
        <v>0</v>
      </c>
      <c r="AN681" s="1535">
        <f t="shared" si="139"/>
        <v>567132</v>
      </c>
      <c r="AO681" s="1535">
        <f t="shared" si="139"/>
        <v>31419290</v>
      </c>
      <c r="AP681" s="1535">
        <f t="shared" si="139"/>
        <v>54892656</v>
      </c>
      <c r="AQ681" s="1535">
        <f t="shared" si="139"/>
        <v>3217061.1200000006</v>
      </c>
      <c r="AR681" s="1535">
        <f t="shared" si="139"/>
        <v>2263522.0910982653</v>
      </c>
      <c r="AS681" s="1535">
        <f t="shared" si="139"/>
        <v>585075.29479768779</v>
      </c>
      <c r="AT681" s="1535">
        <f t="shared" si="139"/>
        <v>1085448</v>
      </c>
      <c r="AU681" s="1535">
        <f t="shared" si="139"/>
        <v>310128</v>
      </c>
      <c r="AV681" s="1535">
        <f t="shared" si="139"/>
        <v>620256</v>
      </c>
      <c r="AW681" s="1535">
        <f t="shared" si="139"/>
        <v>2287194</v>
      </c>
      <c r="AX681" s="1535">
        <f t="shared" si="139"/>
        <v>0</v>
      </c>
      <c r="AY681" s="1535">
        <f t="shared" si="139"/>
        <v>0</v>
      </c>
      <c r="AZ681" s="1535">
        <f t="shared" si="139"/>
        <v>0</v>
      </c>
      <c r="BA681" s="1535">
        <f t="shared" si="139"/>
        <v>0</v>
      </c>
      <c r="BB681" s="1535">
        <f t="shared" si="139"/>
        <v>0</v>
      </c>
      <c r="BC681" s="1502">
        <f t="shared" si="139"/>
        <v>30217544</v>
      </c>
      <c r="BD681" s="1535">
        <f t="shared" si="139"/>
        <v>2</v>
      </c>
      <c r="BE681" s="1693">
        <f t="shared" si="139"/>
        <v>2</v>
      </c>
      <c r="BF681" s="1698"/>
      <c r="BG681" s="1698">
        <f>SUM(BG610:BG680)</f>
        <v>27006980</v>
      </c>
      <c r="BH681" s="1698">
        <f>SUM(BH610:BH680)</f>
        <v>258440</v>
      </c>
      <c r="BI681" s="1698">
        <f>SUM(BI610:BI680)</f>
        <v>258440</v>
      </c>
      <c r="BJ681" s="1698">
        <f>SUM(BJ610:BJ680)</f>
        <v>-516880</v>
      </c>
      <c r="BK681" s="1698">
        <f>SUM(BK610:BK680)</f>
        <v>27523860</v>
      </c>
      <c r="BL681" s="1698">
        <f>SUM(BL571:BL680)</f>
        <v>0</v>
      </c>
      <c r="BM681" s="1698">
        <f>SUM(BM571:BM680)</f>
        <v>34173205.759999998</v>
      </c>
      <c r="BN681" s="1698">
        <f>SUM(BN571:BN680)</f>
        <v>765066</v>
      </c>
      <c r="BO681" s="1698">
        <f>SUM(BO571:BO680)</f>
        <v>4647826</v>
      </c>
      <c r="BT681" s="1556">
        <f>SUM(BT571:BT589)</f>
        <v>934062</v>
      </c>
    </row>
    <row r="682" spans="1:72" ht="27.75" customHeight="1">
      <c r="D682" s="1601"/>
      <c r="E682" s="1522">
        <f>'HK PANEN'!AH44</f>
        <v>0</v>
      </c>
      <c r="F682" s="1597"/>
      <c r="G682" s="1597"/>
      <c r="H682" s="1522">
        <f>'HK PANEN'!AI44</f>
        <v>0</v>
      </c>
      <c r="I682" s="1522"/>
      <c r="J682" s="1522">
        <f>'HK PANEN'!AJ44</f>
        <v>0</v>
      </c>
      <c r="K682" s="1522"/>
      <c r="L682" s="1522"/>
      <c r="M682" s="1522"/>
      <c r="N682" s="1522">
        <f>'HK PANEN'!AL44</f>
        <v>0</v>
      </c>
      <c r="O682" s="1522"/>
      <c r="P682" s="1522">
        <f>'HK PANEN'!AM44</f>
        <v>0</v>
      </c>
      <c r="Q682" s="1522"/>
      <c r="R682" s="1522"/>
      <c r="S682" s="1522"/>
      <c r="T682" s="1522"/>
      <c r="U682" s="1522"/>
      <c r="V682" s="1522">
        <f>'HK PANEN'!AP56</f>
        <v>209</v>
      </c>
      <c r="W682" s="1522"/>
      <c r="X682" s="1522"/>
      <c r="Y682" s="1522"/>
      <c r="Z682" s="1529"/>
      <c r="AA682" s="1529"/>
      <c r="AB682" s="1529"/>
      <c r="AC682" s="1529"/>
      <c r="AD682" s="1529"/>
      <c r="AE682" s="1529"/>
      <c r="AF682" s="1698"/>
      <c r="AG682" s="1698"/>
      <c r="AH682" s="1546"/>
      <c r="AI682" s="1529"/>
      <c r="AJ682" s="1529"/>
      <c r="AK682" s="1529"/>
      <c r="AL682" s="1529"/>
      <c r="AM682" s="1529"/>
      <c r="AN682" s="1694"/>
      <c r="AO682" s="1529"/>
      <c r="AP682" s="1529"/>
      <c r="AQ682" s="1529"/>
      <c r="AR682" s="1529"/>
      <c r="AS682" s="1529"/>
      <c r="AT682" s="1529"/>
      <c r="AU682" s="1529"/>
      <c r="AV682" s="1529"/>
      <c r="AW682" s="1529"/>
      <c r="AX682" s="1529"/>
      <c r="AY682" s="1522">
        <f>AY681+AY590+AY381+AY298</f>
        <v>1748017</v>
      </c>
      <c r="AZ682" s="1529"/>
      <c r="BA682" s="1529"/>
      <c r="BB682" s="1529"/>
      <c r="BC682" s="1546"/>
      <c r="BD682" s="1529"/>
      <c r="BE682" s="1529"/>
      <c r="BF682" s="1538"/>
      <c r="BT682" s="1556"/>
    </row>
    <row r="683" spans="1:72" ht="26.25" customHeight="1">
      <c r="A683" s="1523" t="s">
        <v>88</v>
      </c>
      <c r="B683" s="1532"/>
      <c r="C683" s="1605"/>
      <c r="D683" s="1523"/>
      <c r="E683" s="1542">
        <f>E681-E682</f>
        <v>163</v>
      </c>
      <c r="F683" s="1710"/>
      <c r="G683" s="1711"/>
      <c r="H683" s="1657">
        <f>H681-H682</f>
        <v>0</v>
      </c>
      <c r="I683" s="1657"/>
      <c r="J683" s="1657">
        <f>J681-J682</f>
        <v>1</v>
      </c>
      <c r="K683" s="1657"/>
      <c r="L683" s="1657"/>
      <c r="M683" s="1657"/>
      <c r="N683" s="1657">
        <f>N681-N682</f>
        <v>27</v>
      </c>
      <c r="O683" s="1657"/>
      <c r="P683" s="1657">
        <f>P681-P682</f>
        <v>18</v>
      </c>
      <c r="Q683" s="1657"/>
      <c r="R683" s="1657"/>
      <c r="S683" s="1657"/>
      <c r="T683" s="1657"/>
      <c r="U683" s="1657"/>
      <c r="V683" s="1657">
        <f>V590+V681</f>
        <v>875</v>
      </c>
      <c r="W683" s="1657"/>
      <c r="X683" s="1542"/>
      <c r="Y683" s="1657"/>
      <c r="Z683" s="1536"/>
      <c r="AA683" s="1610"/>
      <c r="AB683" s="1610"/>
      <c r="AC683" s="1610"/>
      <c r="AD683" s="1610"/>
      <c r="AE683" s="1531"/>
      <c r="AF683" s="1531"/>
      <c r="AG683" s="1531"/>
      <c r="AH683" s="1531"/>
      <c r="AI683" s="1531"/>
      <c r="AJ683" s="1531"/>
      <c r="AK683" s="1697"/>
      <c r="AL683" s="1531"/>
      <c r="AM683" s="1531"/>
      <c r="AN683" s="1531"/>
      <c r="AO683" s="1531"/>
      <c r="AP683" s="1531"/>
      <c r="AQ683" s="1531"/>
      <c r="AR683" s="1531"/>
      <c r="AS683" s="1531"/>
      <c r="AT683" s="1531"/>
      <c r="AU683" s="1531"/>
      <c r="AV683" s="1531"/>
      <c r="AW683" s="1531"/>
      <c r="AX683" s="1531"/>
      <c r="AY683" s="1567">
        <f>AY681+AY590</f>
        <v>574595</v>
      </c>
      <c r="AZ683" s="1531"/>
      <c r="BA683" s="1531"/>
      <c r="BB683" s="1531"/>
      <c r="BC683" s="1531"/>
      <c r="BD683" s="1531"/>
      <c r="BE683" s="1531"/>
      <c r="BT683" s="1556"/>
    </row>
    <row r="684" spans="1:72" ht="26.25" customHeight="1">
      <c r="A684" s="1607" t="s">
        <v>344</v>
      </c>
      <c r="B684" s="1607" t="s">
        <v>672</v>
      </c>
      <c r="C684" s="1605"/>
      <c r="D684" s="1532"/>
      <c r="E684" s="1542"/>
      <c r="F684" s="1710"/>
      <c r="G684" s="1711"/>
      <c r="H684" s="1657"/>
      <c r="I684" s="1657"/>
      <c r="J684" s="1657"/>
      <c r="K684" s="1657"/>
      <c r="L684" s="1657"/>
      <c r="M684" s="1657"/>
      <c r="N684" s="1657"/>
      <c r="O684" s="1657"/>
      <c r="P684" s="1657"/>
      <c r="Q684" s="1657"/>
      <c r="R684" s="1657"/>
      <c r="S684" s="1657"/>
      <c r="T684" s="1657"/>
      <c r="U684" s="1657"/>
      <c r="V684" s="1657">
        <f>'HK PANEN'!AP60</f>
        <v>875</v>
      </c>
      <c r="W684" s="1657" t="s">
        <v>272</v>
      </c>
      <c r="X684" s="1542"/>
      <c r="Y684" s="1657"/>
      <c r="Z684" s="1536"/>
      <c r="AA684" s="1610"/>
      <c r="AB684" s="1610"/>
      <c r="AC684" s="1610"/>
      <c r="AD684" s="1610"/>
      <c r="AE684" s="1531">
        <f>AE682-AE683</f>
        <v>0</v>
      </c>
      <c r="AF684" s="1698"/>
      <c r="AG684" s="1698"/>
      <c r="AH684" s="1610"/>
      <c r="AI684" s="1610"/>
      <c r="AJ684" s="1610"/>
      <c r="AK684" s="1712"/>
      <c r="AL684" s="1698"/>
      <c r="AM684" s="1610"/>
      <c r="AN684" s="1700"/>
      <c r="AO684" s="1610"/>
      <c r="AP684" s="1663"/>
      <c r="AQ684" s="1663"/>
      <c r="AR684" s="1536"/>
      <c r="AS684" s="1663"/>
      <c r="AT684" s="1536"/>
      <c r="AU684" s="1663"/>
      <c r="AV684" s="1536"/>
      <c r="AW684" s="1536"/>
      <c r="AX684" s="1536"/>
      <c r="AY684" s="1542"/>
      <c r="AZ684" s="1536"/>
      <c r="BA684" s="1536"/>
      <c r="BB684" s="1536"/>
      <c r="BD684" s="1536"/>
      <c r="BE684" s="1536"/>
      <c r="BT684" s="1556"/>
    </row>
    <row r="685" spans="1:72" ht="26.25" customHeight="1">
      <c r="A685" s="1518" t="s">
        <v>62</v>
      </c>
      <c r="B685" s="1532"/>
      <c r="C685" s="1605"/>
      <c r="D685" s="1523"/>
      <c r="E685" s="1536"/>
      <c r="F685" s="1662"/>
      <c r="G685" s="1609"/>
      <c r="H685" s="1610"/>
      <c r="I685" s="1610"/>
      <c r="J685" s="1610"/>
      <c r="K685" s="1610"/>
      <c r="L685" s="1610"/>
      <c r="M685" s="1610"/>
      <c r="N685" s="1610"/>
      <c r="O685" s="1610"/>
      <c r="P685" s="1610"/>
      <c r="Q685" s="1610"/>
      <c r="R685" s="1610"/>
      <c r="S685" s="1610"/>
      <c r="T685" s="1610"/>
      <c r="U685" s="1610"/>
      <c r="V685" s="1610">
        <f>V683-V684</f>
        <v>0</v>
      </c>
      <c r="W685" s="1610"/>
      <c r="X685" s="1536"/>
      <c r="Y685" s="1610"/>
      <c r="Z685" s="1536"/>
      <c r="AA685" s="1610"/>
      <c r="AB685" s="1610"/>
      <c r="AC685" s="1610"/>
      <c r="AD685" s="1610"/>
      <c r="AE685" s="1531"/>
      <c r="AF685" s="1610"/>
      <c r="AG685" s="1699"/>
      <c r="AH685" s="1698"/>
      <c r="AI685" s="1610"/>
      <c r="AJ685" s="1700"/>
      <c r="AK685" s="1610"/>
      <c r="AL685" s="1561"/>
      <c r="AP685" s="1663"/>
      <c r="AQ685" s="1663"/>
      <c r="AR685" s="1536"/>
      <c r="AS685" s="1663"/>
      <c r="AT685" s="1536"/>
      <c r="AU685" s="1663"/>
      <c r="AV685" s="1536"/>
      <c r="AW685" s="1536"/>
      <c r="AX685" s="1536"/>
      <c r="AY685" s="1542"/>
      <c r="AZ685" s="1536"/>
      <c r="BA685" s="1536"/>
      <c r="BB685" s="1536"/>
      <c r="BD685" s="1536"/>
      <c r="BE685" s="1536"/>
      <c r="BT685" s="1556"/>
    </row>
    <row r="686" spans="1:72" s="1523" customFormat="1" ht="20.25" customHeight="1">
      <c r="A686" s="1557"/>
      <c r="B686" s="1532"/>
      <c r="C686" s="1701"/>
      <c r="F686" s="1560" t="s">
        <v>39</v>
      </c>
      <c r="G686" s="1560"/>
      <c r="H686" s="1532"/>
      <c r="I686" s="1532"/>
      <c r="J686" s="1532"/>
      <c r="W686" s="2049" t="s">
        <v>100</v>
      </c>
      <c r="X686" s="2049"/>
      <c r="Y686" s="2049"/>
      <c r="AF686" s="1532" t="s">
        <v>40</v>
      </c>
      <c r="AG686" s="1532"/>
      <c r="AH686" s="1532"/>
      <c r="AI686" s="1532"/>
      <c r="AJ686" s="1532"/>
      <c r="AK686" s="1557"/>
      <c r="AL686" s="1556"/>
      <c r="AO686" s="2049" t="s">
        <v>554</v>
      </c>
      <c r="AP686" s="2049"/>
      <c r="AU686" s="2049" t="s">
        <v>61</v>
      </c>
      <c r="AV686" s="2049"/>
      <c r="AW686" s="2049"/>
      <c r="BB686" s="1532"/>
      <c r="BC686" s="1518"/>
      <c r="BD686" s="1603"/>
      <c r="BE686" s="1604"/>
      <c r="BG686" s="1555"/>
      <c r="BH686" s="1560"/>
      <c r="BI686" s="1560"/>
      <c r="BJ686" s="1555"/>
      <c r="BK686" s="1561"/>
      <c r="BL686" s="1561"/>
      <c r="BM686" s="1561"/>
      <c r="BN686" s="1555"/>
      <c r="BO686" s="1555"/>
      <c r="BT686" s="1556"/>
    </row>
    <row r="687" spans="1:72" s="1523" customFormat="1" ht="22.5" customHeight="1">
      <c r="B687" s="1532"/>
      <c r="C687" s="1701"/>
      <c r="F687" s="1560"/>
      <c r="G687" s="1606"/>
      <c r="AF687" s="1532"/>
      <c r="AG687" s="1532"/>
      <c r="AH687" s="1532"/>
      <c r="AJ687" s="1532"/>
      <c r="AK687" s="1557"/>
      <c r="AL687" s="1561"/>
      <c r="AM687" s="1556"/>
      <c r="AP687" s="1532"/>
      <c r="AQ687" s="1532"/>
      <c r="AR687" s="1532"/>
      <c r="AU687" s="1532"/>
      <c r="AX687" s="1532"/>
      <c r="AY687" s="1532"/>
      <c r="AZ687" s="1532"/>
      <c r="BA687" s="1532"/>
      <c r="BB687" s="1532"/>
      <c r="BC687" s="1518"/>
      <c r="BD687" s="1603"/>
      <c r="BE687" s="1604"/>
      <c r="BG687" s="1555"/>
      <c r="BH687" s="1560"/>
      <c r="BI687" s="1560"/>
      <c r="BJ687" s="1555"/>
      <c r="BK687" s="1561"/>
      <c r="BL687" s="1561"/>
      <c r="BM687" s="1561"/>
      <c r="BN687" s="1555"/>
      <c r="BO687" s="1555"/>
      <c r="BT687" s="1556"/>
    </row>
    <row r="688" spans="1:72" ht="22.5" customHeight="1">
      <c r="C688" s="1702"/>
      <c r="G688" s="1609"/>
      <c r="K688" s="1523"/>
      <c r="L688" s="1523"/>
      <c r="M688" s="1523"/>
      <c r="N688" s="1523"/>
      <c r="R688" s="1523"/>
      <c r="S688" s="1523"/>
      <c r="T688" s="1532"/>
      <c r="U688" s="1532"/>
      <c r="V688" s="1602"/>
      <c r="W688" s="1523"/>
      <c r="X688" s="1602"/>
      <c r="Y688" s="1523"/>
      <c r="AE688" s="1523"/>
      <c r="AF688" s="1602"/>
      <c r="AG688" s="1602"/>
      <c r="AH688" s="1602"/>
      <c r="AI688" s="1523"/>
      <c r="AJ688" s="1523"/>
      <c r="AK688" s="1557"/>
      <c r="AL688" s="1556"/>
      <c r="AM688" s="1523"/>
      <c r="AN688" s="1523"/>
      <c r="AQ688" s="1523"/>
      <c r="AR688" s="1523"/>
      <c r="AS688" s="1523"/>
      <c r="BB688" s="1610"/>
      <c r="BC688" s="1524"/>
      <c r="BD688" s="1524"/>
      <c r="BE688" s="1613"/>
      <c r="BT688" s="1556"/>
    </row>
    <row r="689" spans="1:76" ht="22.5" customHeight="1">
      <c r="C689" s="1702"/>
      <c r="K689" s="1523"/>
      <c r="L689" s="1523"/>
      <c r="M689" s="1523"/>
      <c r="N689" s="1523"/>
      <c r="R689" s="1523"/>
      <c r="S689" s="1523"/>
      <c r="T689" s="1523"/>
      <c r="U689" s="1523"/>
      <c r="V689" s="1523"/>
      <c r="W689" s="1523"/>
      <c r="X689" s="1523"/>
      <c r="Y689" s="1523"/>
      <c r="AE689" s="1523"/>
      <c r="AF689" s="1523"/>
      <c r="AG689" s="1523"/>
      <c r="AH689" s="1523"/>
      <c r="AI689" s="1517"/>
      <c r="AJ689" s="1523"/>
      <c r="AK689" s="1703"/>
      <c r="AL689" s="1556"/>
      <c r="AM689" s="1523"/>
      <c r="AN689" s="1523"/>
      <c r="AO689" s="1531"/>
      <c r="AQ689" s="1523"/>
      <c r="AR689" s="1523"/>
      <c r="AS689" s="1523"/>
      <c r="AU689" s="1531"/>
      <c r="BC689" s="1524"/>
      <c r="BT689" s="1556"/>
    </row>
    <row r="690" spans="1:76" ht="18.75" customHeight="1">
      <c r="D690" s="1638"/>
      <c r="F690" s="1704" t="s">
        <v>193</v>
      </c>
      <c r="G690" s="1704"/>
      <c r="H690" s="1666"/>
      <c r="I690" s="1666"/>
      <c r="J690" s="1666"/>
      <c r="K690" s="1523"/>
      <c r="L690" s="1523"/>
      <c r="M690" s="1523"/>
      <c r="N690" s="1523"/>
      <c r="R690" s="1665"/>
      <c r="S690" s="1665"/>
      <c r="T690" s="1665"/>
      <c r="U690" s="1665"/>
      <c r="V690" s="1665"/>
      <c r="W690" s="2125" t="s">
        <v>274</v>
      </c>
      <c r="X690" s="2125"/>
      <c r="Y690" s="2125"/>
      <c r="AE690" s="1523"/>
      <c r="AF690" s="1666" t="s">
        <v>203</v>
      </c>
      <c r="AG690" s="1666"/>
      <c r="AH690" s="1666"/>
      <c r="AI690" s="1666"/>
      <c r="AJ690" s="1666"/>
      <c r="AK690" s="1669"/>
      <c r="AL690" s="1523"/>
      <c r="AM690" s="1523"/>
      <c r="AN690" s="1670"/>
      <c r="AO690" s="2126" t="s">
        <v>622</v>
      </c>
      <c r="AP690" s="2126"/>
      <c r="AQ690" s="1667"/>
      <c r="AR690" s="1667"/>
      <c r="AS690" s="1523"/>
      <c r="AU690" s="2124" t="s">
        <v>586</v>
      </c>
      <c r="AV690" s="2124"/>
      <c r="AW690" s="2124"/>
      <c r="AX690" s="1670"/>
      <c r="AY690" s="1670"/>
      <c r="AZ690" s="1670"/>
      <c r="BA690" s="1667"/>
      <c r="BB690" s="1599"/>
      <c r="BT690" s="1556"/>
    </row>
    <row r="691" spans="1:76" ht="18.75" customHeight="1">
      <c r="F691" s="1552" t="s">
        <v>151</v>
      </c>
      <c r="G691" s="1552"/>
      <c r="H691" s="1547"/>
      <c r="I691" s="1547"/>
      <c r="J691" s="1547"/>
      <c r="K691" s="1523"/>
      <c r="L691" s="1523"/>
      <c r="M691" s="1523"/>
      <c r="N691" s="1523"/>
      <c r="W691" s="2127" t="s">
        <v>134</v>
      </c>
      <c r="X691" s="2127"/>
      <c r="Y691" s="2127"/>
      <c r="AF691" s="1547" t="s">
        <v>135</v>
      </c>
      <c r="AG691" s="1547"/>
      <c r="AH691" s="1547"/>
      <c r="AI691" s="1547"/>
      <c r="AJ691" s="1547"/>
      <c r="AO691" s="2128" t="s">
        <v>623</v>
      </c>
      <c r="AP691" s="2128"/>
      <c r="AU691" s="2127" t="s">
        <v>585</v>
      </c>
      <c r="AV691" s="2127"/>
      <c r="AW691" s="2127"/>
      <c r="BB691" s="1547"/>
      <c r="BT691" s="1556"/>
    </row>
    <row r="692" spans="1:76">
      <c r="A692" s="1713"/>
      <c r="C692" s="1605"/>
      <c r="D692" s="1714"/>
      <c r="K692" s="1523"/>
      <c r="L692" s="1523"/>
      <c r="M692" s="1523"/>
      <c r="N692" s="1523"/>
      <c r="O692" s="1523"/>
      <c r="P692" s="1523"/>
      <c r="Q692" s="1523"/>
      <c r="R692" s="1523"/>
      <c r="S692" s="1523"/>
      <c r="T692" s="1523"/>
      <c r="U692" s="1523"/>
      <c r="V692" s="1523"/>
      <c r="W692" s="1523"/>
      <c r="X692" s="1523"/>
      <c r="Y692" s="1523"/>
      <c r="Z692" s="1523"/>
      <c r="AA692" s="1523"/>
      <c r="AB692" s="1523"/>
      <c r="AC692" s="1523"/>
      <c r="AD692" s="1523"/>
      <c r="AE692" s="1523"/>
      <c r="AF692" s="1523"/>
      <c r="AG692" s="1523"/>
      <c r="AH692" s="1523"/>
      <c r="AI692" s="1523"/>
      <c r="AJ692" s="1523"/>
      <c r="AK692" s="1557"/>
      <c r="AL692" s="1523"/>
      <c r="AM692" s="1523"/>
      <c r="AN692" s="1523"/>
      <c r="AO692" s="1523"/>
      <c r="AP692" s="1523"/>
      <c r="AQ692" s="1523"/>
      <c r="AR692" s="1523"/>
      <c r="AS692" s="1523"/>
      <c r="AT692" s="1523"/>
    </row>
    <row r="693" spans="1:76">
      <c r="A693" s="1715"/>
      <c r="B693" s="1532"/>
      <c r="D693" s="1714"/>
    </row>
    <row r="694" spans="1:76">
      <c r="A694" s="1714"/>
      <c r="B694" s="1532"/>
      <c r="D694" s="1714"/>
    </row>
    <row r="695" spans="1:76">
      <c r="A695" s="1715"/>
      <c r="B695" s="1532"/>
      <c r="D695" s="1523"/>
    </row>
    <row r="696" spans="1:76" s="1523" customFormat="1">
      <c r="A696" s="1517" t="e">
        <f>#REF!+A380+#REF!</f>
        <v>#REF!</v>
      </c>
      <c r="B696" s="1664"/>
      <c r="C696" s="1716"/>
      <c r="D696" s="1517"/>
      <c r="E696" s="1517">
        <f t="shared" ref="E696:AE696" si="140">E298+E381+E590+E681</f>
        <v>1495</v>
      </c>
      <c r="F696" s="1555">
        <f t="shared" si="140"/>
        <v>9174620</v>
      </c>
      <c r="G696" s="1555">
        <f t="shared" si="140"/>
        <v>193183900</v>
      </c>
      <c r="H696" s="1517">
        <f t="shared" si="140"/>
        <v>40</v>
      </c>
      <c r="I696" s="1517">
        <f t="shared" si="140"/>
        <v>5168800</v>
      </c>
      <c r="J696" s="1517">
        <f t="shared" si="140"/>
        <v>64</v>
      </c>
      <c r="K696" s="1517">
        <f t="shared" si="140"/>
        <v>8270080</v>
      </c>
      <c r="L696" s="1517">
        <f t="shared" si="140"/>
        <v>24</v>
      </c>
      <c r="M696" s="1517">
        <f t="shared" si="140"/>
        <v>3101280</v>
      </c>
      <c r="N696" s="1517">
        <f t="shared" si="140"/>
        <v>275</v>
      </c>
      <c r="O696" s="1517">
        <f t="shared" si="140"/>
        <v>35535500</v>
      </c>
      <c r="P696" s="1517">
        <f t="shared" si="140"/>
        <v>204</v>
      </c>
      <c r="Q696" s="1517">
        <f t="shared" si="140"/>
        <v>26360880</v>
      </c>
      <c r="R696" s="1517">
        <f t="shared" si="140"/>
        <v>0</v>
      </c>
      <c r="S696" s="1517">
        <f t="shared" si="140"/>
        <v>0</v>
      </c>
      <c r="T696" s="1517">
        <f t="shared" si="140"/>
        <v>0</v>
      </c>
      <c r="U696" s="1517">
        <f t="shared" si="140"/>
        <v>0</v>
      </c>
      <c r="V696" s="1517">
        <f t="shared" si="140"/>
        <v>2102</v>
      </c>
      <c r="W696" s="1517">
        <f t="shared" si="140"/>
        <v>235750</v>
      </c>
      <c r="X696" s="1517">
        <f t="shared" si="140"/>
        <v>7070050</v>
      </c>
      <c r="Y696" s="1517">
        <f t="shared" si="140"/>
        <v>43500</v>
      </c>
      <c r="Z696" s="1517">
        <f t="shared" si="140"/>
        <v>315</v>
      </c>
      <c r="AA696" s="1517">
        <f t="shared" si="140"/>
        <v>908500</v>
      </c>
      <c r="AB696" s="1517">
        <f t="shared" si="140"/>
        <v>132500</v>
      </c>
      <c r="AC696" s="1517">
        <f t="shared" si="140"/>
        <v>570</v>
      </c>
      <c r="AD696" s="1517">
        <f t="shared" si="140"/>
        <v>1585500</v>
      </c>
      <c r="AE696" s="1517">
        <f t="shared" si="140"/>
        <v>30934369.789999999</v>
      </c>
      <c r="AF696" s="1517">
        <f>AF298+AF590+AF681</f>
        <v>8631712</v>
      </c>
      <c r="AG696" s="1517">
        <f>AG298+AG590+AG681</f>
        <v>7453250</v>
      </c>
      <c r="AH696" s="1517">
        <f>AH298+AH590+AH681</f>
        <v>10981900</v>
      </c>
      <c r="AI696" s="1517">
        <f>AI590+AI681</f>
        <v>2250000</v>
      </c>
      <c r="AJ696" s="1517">
        <f>AJ590+AJ681+AL298</f>
        <v>0</v>
      </c>
      <c r="AK696" s="1703">
        <f>AK298</f>
        <v>909000</v>
      </c>
      <c r="AL696" s="1517">
        <f>AL381+AL590+AL681</f>
        <v>250000</v>
      </c>
      <c r="AM696" s="1517">
        <f>AM298+AM381+AM590+AM681</f>
        <v>0</v>
      </c>
      <c r="AN696" s="1517">
        <f>AN298+AN590+AN681</f>
        <v>921458</v>
      </c>
      <c r="AO696" s="1517">
        <f t="shared" ref="AO696:BE696" si="141">AO298+AO381+AO590+AO681</f>
        <v>351149113.29000002</v>
      </c>
      <c r="AP696" s="1517">
        <f t="shared" si="141"/>
        <v>524969172</v>
      </c>
      <c r="AQ696" s="1517">
        <f t="shared" si="141"/>
        <v>29811312.440000005</v>
      </c>
      <c r="AR696" s="1517">
        <f t="shared" si="141"/>
        <v>20017332.763699412</v>
      </c>
      <c r="AS696" s="1517">
        <f t="shared" si="141"/>
        <v>130237646.09826586</v>
      </c>
      <c r="AT696" s="1517">
        <f t="shared" si="141"/>
        <v>10917900</v>
      </c>
      <c r="AU696" s="1517">
        <f t="shared" si="141"/>
        <v>2752386</v>
      </c>
      <c r="AV696" s="1517">
        <f t="shared" si="141"/>
        <v>5504772</v>
      </c>
      <c r="AW696" s="1517">
        <f t="shared" si="141"/>
        <v>21904533</v>
      </c>
      <c r="AX696" s="1517">
        <f t="shared" si="141"/>
        <v>252000</v>
      </c>
      <c r="AY696" s="1517">
        <f t="shared" si="141"/>
        <v>1748017</v>
      </c>
      <c r="AZ696" s="1517">
        <f t="shared" si="141"/>
        <v>0</v>
      </c>
      <c r="BA696" s="1517">
        <f t="shared" si="141"/>
        <v>0</v>
      </c>
      <c r="BB696" s="1517">
        <f t="shared" si="141"/>
        <v>0</v>
      </c>
      <c r="BC696" s="1531">
        <f t="shared" si="141"/>
        <v>338162463.29000002</v>
      </c>
      <c r="BD696" s="1517">
        <f t="shared" si="141"/>
        <v>9</v>
      </c>
      <c r="BE696" s="1517">
        <f t="shared" si="141"/>
        <v>20</v>
      </c>
      <c r="BF696" s="1517"/>
      <c r="BG696" s="1517">
        <f t="shared" ref="BG696:BS696" si="142">BG298+BG381+BG590+BG681</f>
        <v>271620440</v>
      </c>
      <c r="BH696" s="1517">
        <f t="shared" si="142"/>
        <v>1162980</v>
      </c>
      <c r="BI696" s="1517">
        <f t="shared" si="142"/>
        <v>2584400</v>
      </c>
      <c r="BJ696" s="1517">
        <f t="shared" si="142"/>
        <v>-3747380</v>
      </c>
      <c r="BK696" s="1517">
        <f t="shared" si="142"/>
        <v>275367820</v>
      </c>
      <c r="BL696" s="1517">
        <f t="shared" si="142"/>
        <v>9045400</v>
      </c>
      <c r="BM696" s="1517">
        <f t="shared" si="142"/>
        <v>108516392.50999999</v>
      </c>
      <c r="BN696" s="1517">
        <f t="shared" si="142"/>
        <v>2661680.9991600001</v>
      </c>
      <c r="BO696" s="1517">
        <f t="shared" si="142"/>
        <v>28894109.120000008</v>
      </c>
      <c r="BP696" s="1517">
        <f t="shared" si="142"/>
        <v>0</v>
      </c>
      <c r="BQ696" s="1517">
        <f t="shared" si="142"/>
        <v>7654573</v>
      </c>
      <c r="BR696" s="1517">
        <f t="shared" si="142"/>
        <v>0</v>
      </c>
      <c r="BS696" s="1517">
        <f t="shared" si="142"/>
        <v>0</v>
      </c>
      <c r="BT696" s="1517">
        <f>BT298+BT381+BT590+BT681+AF288</f>
        <v>8666832</v>
      </c>
      <c r="BU696" s="1517">
        <f>BU298+BU381+BU590+BU681</f>
        <v>0</v>
      </c>
      <c r="BV696" s="1517">
        <f>BV298+BV381+BV590+BV681</f>
        <v>0</v>
      </c>
      <c r="BW696" s="1517">
        <f>BW298+BW381+BW590+BW681</f>
        <v>0</v>
      </c>
      <c r="BX696" s="1517">
        <f>BX298+BX381+BX590+BX681</f>
        <v>0</v>
      </c>
    </row>
    <row r="697" spans="1:76">
      <c r="A697" s="1523"/>
      <c r="B697" s="1532"/>
      <c r="D697" s="1523"/>
      <c r="V697" s="1518">
        <f>'HK UP KEEP, OP '!AR43</f>
        <v>0</v>
      </c>
      <c r="W697" s="1518" t="s">
        <v>696</v>
      </c>
      <c r="AA697" s="1518">
        <v>853500</v>
      </c>
      <c r="AE697" s="1551">
        <f>'LEMBUR DAN PREMI UPKEEP'!AJ35+'LEMBUR DAN PREMI UPKEEP'!AJ69+'LEMBUR DAN PREMI UPKEEP'!AJ97</f>
        <v>30934369.789999999</v>
      </c>
      <c r="AF697" s="1538">
        <f>'MONITORING '!AK521</f>
        <v>8631712</v>
      </c>
      <c r="AG697" s="1538">
        <f>'MONITORING '!AK522</f>
        <v>7453250</v>
      </c>
      <c r="AH697" s="1553">
        <f>'[2]PENGAJUAN PRUNING MEI 2025'!$P$36</f>
        <v>10981900</v>
      </c>
      <c r="AI697" s="1553">
        <f>'INSETIF MEI''25'!L43</f>
        <v>3600000</v>
      </c>
      <c r="AJ697" s="1717"/>
      <c r="AK697" s="1717">
        <f>'LEMBUR DAN PREMI UPKEEP'!AK125</f>
        <v>0</v>
      </c>
      <c r="AL697" s="1717"/>
      <c r="AM697" s="1717"/>
      <c r="AN697" s="1538">
        <f>'MONITORING '!AK523</f>
        <v>921458</v>
      </c>
      <c r="AO697" s="1538"/>
      <c r="AX697" s="1518">
        <v>264000</v>
      </c>
      <c r="AY697" s="1538">
        <f>'[3]PPH 21 MEI 2025+EXGRATIA 2024'!$AO$88</f>
        <v>1748017</v>
      </c>
      <c r="BA697" s="1551">
        <f>'[3]PPH 21 THR + GAJI MARET'!$AR$80</f>
        <v>-346672</v>
      </c>
      <c r="BC697" s="1538">
        <f>'BRI MEI 2025'!C81</f>
        <v>338162463.29000002</v>
      </c>
    </row>
    <row r="698" spans="1:76">
      <c r="A698" s="1523"/>
      <c r="B698" s="1718"/>
      <c r="D698" s="1719"/>
      <c r="V698" s="1531">
        <f>'HK PANEN'!AP60+'HK UP KEEP, OP '!AR72+'HK UP KEEP, OP '!AR41</f>
        <v>2102</v>
      </c>
      <c r="W698" s="1518" t="s">
        <v>272</v>
      </c>
      <c r="AA698" s="1531">
        <f>AA696-AA697</f>
        <v>55000</v>
      </c>
      <c r="AD698" s="1531">
        <f>AD696-AD697</f>
        <v>1585500</v>
      </c>
      <c r="AE698" s="1531">
        <f t="shared" ref="AE698:AK698" si="143">AE696-AE697</f>
        <v>0</v>
      </c>
      <c r="AF698" s="1531">
        <f>AF696-AF697</f>
        <v>0</v>
      </c>
      <c r="AG698" s="1531">
        <f t="shared" si="143"/>
        <v>0</v>
      </c>
      <c r="AH698" s="1531">
        <f t="shared" si="143"/>
        <v>0</v>
      </c>
      <c r="AI698" s="1531">
        <f t="shared" si="143"/>
        <v>-1350000</v>
      </c>
      <c r="AJ698" s="1531">
        <f t="shared" si="143"/>
        <v>0</v>
      </c>
      <c r="AK698" s="1531">
        <f t="shared" si="143"/>
        <v>909000</v>
      </c>
      <c r="AL698" s="1531"/>
      <c r="AM698" s="1531"/>
      <c r="AN698" s="1531">
        <f>AN696-AN697</f>
        <v>0</v>
      </c>
      <c r="AO698" s="1531"/>
      <c r="AX698" s="1531">
        <f>AX696-AX697</f>
        <v>-12000</v>
      </c>
      <c r="AY698" s="1531">
        <f>AY696-AY697</f>
        <v>0</v>
      </c>
      <c r="BA698" s="1531">
        <f>BA696-BA697</f>
        <v>346672</v>
      </c>
      <c r="BC698" s="1538">
        <f>BC696-BC697</f>
        <v>0</v>
      </c>
    </row>
    <row r="699" spans="1:76">
      <c r="A699" s="1523"/>
      <c r="B699" s="1532"/>
      <c r="D699" s="1523"/>
      <c r="G699" s="1551">
        <f>G696+I696+K696+M696+O696+Q696+S696+U696</f>
        <v>271620440</v>
      </c>
      <c r="V699" s="1531">
        <f>V696-V697-V698</f>
        <v>0</v>
      </c>
      <c r="W699" s="1518" t="s">
        <v>275</v>
      </c>
      <c r="AF699" s="1531"/>
      <c r="AY699" s="1531"/>
    </row>
    <row r="700" spans="1:76">
      <c r="A700" s="1523"/>
      <c r="B700" s="1532"/>
      <c r="D700" s="1523"/>
      <c r="AF700" s="1531">
        <f>AF696+AI697</f>
        <v>12231712</v>
      </c>
      <c r="AH700" s="1538">
        <f>AH697-AH699</f>
        <v>10981900</v>
      </c>
    </row>
    <row r="701" spans="1:76">
      <c r="A701" s="1523"/>
      <c r="B701" s="1532"/>
      <c r="D701" s="1523"/>
    </row>
    <row r="702" spans="1:76">
      <c r="A702" s="1518" t="s">
        <v>214</v>
      </c>
      <c r="D702" s="1523"/>
      <c r="G702" s="1518"/>
      <c r="AF702" s="1531">
        <f>AF696+AI696</f>
        <v>10881712</v>
      </c>
      <c r="BE702" s="1518"/>
    </row>
    <row r="704" spans="1:76">
      <c r="AF704" s="1538">
        <f>AF681+AI681+AF590+AI590</f>
        <v>10803515</v>
      </c>
    </row>
  </sheetData>
  <autoFilter ref="AC1:AC702" xr:uid="{00000000-0009-0000-0000-000009000000}"/>
  <mergeCells count="2871">
    <mergeCell ref="W676:AD676"/>
    <mergeCell ref="AE676:AE678"/>
    <mergeCell ref="AF676:AK677"/>
    <mergeCell ref="AL676:AL678"/>
    <mergeCell ref="AM676:AM678"/>
    <mergeCell ref="W33:X33"/>
    <mergeCell ref="AN32:AN34"/>
    <mergeCell ref="AP32:AR33"/>
    <mergeCell ref="AS32:AW33"/>
    <mergeCell ref="AY32:AY35"/>
    <mergeCell ref="T678:U678"/>
    <mergeCell ref="Z678:AA678"/>
    <mergeCell ref="AC678:AD678"/>
    <mergeCell ref="BD678:BD679"/>
    <mergeCell ref="BE678:BE679"/>
    <mergeCell ref="H678:I678"/>
    <mergeCell ref="J678:K678"/>
    <mergeCell ref="L678:M678"/>
    <mergeCell ref="N678:O678"/>
    <mergeCell ref="P678:Q678"/>
    <mergeCell ref="R678:S678"/>
    <mergeCell ref="BD676:BE677"/>
    <mergeCell ref="H677:I677"/>
    <mergeCell ref="J677:K677"/>
    <mergeCell ref="L677:M677"/>
    <mergeCell ref="N677:O677"/>
    <mergeCell ref="P677:Q677"/>
    <mergeCell ref="R677:S677"/>
    <mergeCell ref="T677:U677"/>
    <mergeCell ref="W677:X677"/>
    <mergeCell ref="Y677:AA677"/>
    <mergeCell ref="AP676:AR677"/>
    <mergeCell ref="AS676:AW677"/>
    <mergeCell ref="AY676:AY679"/>
    <mergeCell ref="AZ676:AZ679"/>
    <mergeCell ref="BA676:BA679"/>
    <mergeCell ref="BB676:BB679"/>
    <mergeCell ref="A661:BE661"/>
    <mergeCell ref="A662:BE662"/>
    <mergeCell ref="T658:U658"/>
    <mergeCell ref="Z658:AA658"/>
    <mergeCell ref="AC658:AD658"/>
    <mergeCell ref="BD658:BD659"/>
    <mergeCell ref="BE658:BE659"/>
    <mergeCell ref="H658:I658"/>
    <mergeCell ref="AN676:AN678"/>
    <mergeCell ref="AB677:AD677"/>
    <mergeCell ref="AC34:AD34"/>
    <mergeCell ref="BD34:BD35"/>
    <mergeCell ref="BE34:BE35"/>
    <mergeCell ref="A671:BE671"/>
    <mergeCell ref="A672:BE672"/>
    <mergeCell ref="A676:A679"/>
    <mergeCell ref="B676:B679"/>
    <mergeCell ref="C676:C679"/>
    <mergeCell ref="H676:U676"/>
    <mergeCell ref="V676:V679"/>
    <mergeCell ref="L34:M34"/>
    <mergeCell ref="N34:O34"/>
    <mergeCell ref="P34:Q34"/>
    <mergeCell ref="R34:S34"/>
    <mergeCell ref="T34:U34"/>
    <mergeCell ref="Z34:AA34"/>
    <mergeCell ref="BB32:BB35"/>
    <mergeCell ref="A666:A669"/>
    <mergeCell ref="B666:B669"/>
    <mergeCell ref="C666:C669"/>
    <mergeCell ref="AZ32:AZ35"/>
    <mergeCell ref="BA32:BA35"/>
    <mergeCell ref="H32:U32"/>
    <mergeCell ref="V32:V35"/>
    <mergeCell ref="W32:AD32"/>
    <mergeCell ref="AE32:AE34"/>
    <mergeCell ref="AF32:AL33"/>
    <mergeCell ref="AM32:AM34"/>
    <mergeCell ref="Y33:AA33"/>
    <mergeCell ref="AB33:AD33"/>
    <mergeCell ref="H34:I34"/>
    <mergeCell ref="J34:K34"/>
    <mergeCell ref="T668:U668"/>
    <mergeCell ref="Z668:AA668"/>
    <mergeCell ref="AC668:AD668"/>
    <mergeCell ref="P668:Q668"/>
    <mergeCell ref="R668:S668"/>
    <mergeCell ref="P667:Q667"/>
    <mergeCell ref="R667:S667"/>
    <mergeCell ref="T667:U667"/>
    <mergeCell ref="W667:X667"/>
    <mergeCell ref="Y667:AA667"/>
    <mergeCell ref="AB667:AD667"/>
    <mergeCell ref="AS656:AW657"/>
    <mergeCell ref="AY656:AY659"/>
    <mergeCell ref="AZ656:AZ659"/>
    <mergeCell ref="BA656:BA659"/>
    <mergeCell ref="A656:A659"/>
    <mergeCell ref="B656:B659"/>
    <mergeCell ref="BD32:BE33"/>
    <mergeCell ref="H33:I33"/>
    <mergeCell ref="J33:K33"/>
    <mergeCell ref="L33:M33"/>
    <mergeCell ref="N33:O33"/>
    <mergeCell ref="BD666:BE667"/>
    <mergeCell ref="AE666:AE668"/>
    <mergeCell ref="AF666:AK667"/>
    <mergeCell ref="AL666:AL668"/>
    <mergeCell ref="AM666:AM668"/>
    <mergeCell ref="AN666:AN668"/>
    <mergeCell ref="AP666:AR667"/>
    <mergeCell ref="BD668:BD669"/>
    <mergeCell ref="BE668:BE669"/>
    <mergeCell ref="AS666:AW667"/>
    <mergeCell ref="AY666:AY669"/>
    <mergeCell ref="AZ666:AZ669"/>
    <mergeCell ref="BA666:BA669"/>
    <mergeCell ref="BB666:BB669"/>
    <mergeCell ref="L667:M667"/>
    <mergeCell ref="N667:O667"/>
    <mergeCell ref="J658:K658"/>
    <mergeCell ref="L658:M658"/>
    <mergeCell ref="N658:O658"/>
    <mergeCell ref="P658:Q658"/>
    <mergeCell ref="R658:S658"/>
    <mergeCell ref="P657:Q657"/>
    <mergeCell ref="R657:S657"/>
    <mergeCell ref="T657:U657"/>
    <mergeCell ref="W657:X657"/>
    <mergeCell ref="Y657:AA657"/>
    <mergeCell ref="AB657:AD657"/>
    <mergeCell ref="BB656:BB659"/>
    <mergeCell ref="H666:U666"/>
    <mergeCell ref="V666:V669"/>
    <mergeCell ref="W666:AD666"/>
    <mergeCell ref="H667:I667"/>
    <mergeCell ref="J667:K667"/>
    <mergeCell ref="H668:I668"/>
    <mergeCell ref="J668:K668"/>
    <mergeCell ref="L668:M668"/>
    <mergeCell ref="N668:O668"/>
    <mergeCell ref="BD656:BE657"/>
    <mergeCell ref="AE656:AE658"/>
    <mergeCell ref="AF656:AK657"/>
    <mergeCell ref="AL656:AL658"/>
    <mergeCell ref="AM656:AM658"/>
    <mergeCell ref="AN656:AN658"/>
    <mergeCell ref="AP656:AR657"/>
    <mergeCell ref="C656:C659"/>
    <mergeCell ref="H656:U656"/>
    <mergeCell ref="V656:V659"/>
    <mergeCell ref="W656:AD656"/>
    <mergeCell ref="H657:I657"/>
    <mergeCell ref="J657:K657"/>
    <mergeCell ref="L657:M657"/>
    <mergeCell ref="N657:O657"/>
    <mergeCell ref="A651:BE651"/>
    <mergeCell ref="A652:BE652"/>
    <mergeCell ref="W647:X647"/>
    <mergeCell ref="Y647:AA647"/>
    <mergeCell ref="AB647:AD647"/>
    <mergeCell ref="H648:I648"/>
    <mergeCell ref="J648:K648"/>
    <mergeCell ref="L648:M648"/>
    <mergeCell ref="N648:O648"/>
    <mergeCell ref="P648:Q648"/>
    <mergeCell ref="R648:S648"/>
    <mergeCell ref="T648:U648"/>
    <mergeCell ref="BA646:BA649"/>
    <mergeCell ref="BB646:BB649"/>
    <mergeCell ref="BD646:BE647"/>
    <mergeCell ref="H647:I647"/>
    <mergeCell ref="J647:K647"/>
    <mergeCell ref="L647:M647"/>
    <mergeCell ref="N647:O647"/>
    <mergeCell ref="P647:Q647"/>
    <mergeCell ref="R647:S647"/>
    <mergeCell ref="T647:U647"/>
    <mergeCell ref="AM646:AM648"/>
    <mergeCell ref="AN646:AN648"/>
    <mergeCell ref="B646:B649"/>
    <mergeCell ref="C646:C649"/>
    <mergeCell ref="H646:U646"/>
    <mergeCell ref="V646:V649"/>
    <mergeCell ref="W646:AD646"/>
    <mergeCell ref="AE646:AE648"/>
    <mergeCell ref="AF646:AK647"/>
    <mergeCell ref="AL646:AL648"/>
    <mergeCell ref="T638:U638"/>
    <mergeCell ref="Z638:AA638"/>
    <mergeCell ref="AC638:AD638"/>
    <mergeCell ref="BD638:BD639"/>
    <mergeCell ref="BE638:BE639"/>
    <mergeCell ref="A641:BE641"/>
    <mergeCell ref="H638:I638"/>
    <mergeCell ref="J638:K638"/>
    <mergeCell ref="L638:M638"/>
    <mergeCell ref="N638:O638"/>
    <mergeCell ref="P638:Q638"/>
    <mergeCell ref="R638:S638"/>
    <mergeCell ref="A636:A639"/>
    <mergeCell ref="B636:B639"/>
    <mergeCell ref="C636:C639"/>
    <mergeCell ref="Z648:AA648"/>
    <mergeCell ref="AC648:AD648"/>
    <mergeCell ref="BD648:BD649"/>
    <mergeCell ref="BE648:BE649"/>
    <mergeCell ref="P637:Q637"/>
    <mergeCell ref="R637:S637"/>
    <mergeCell ref="T637:U637"/>
    <mergeCell ref="W637:X637"/>
    <mergeCell ref="Y637:AA637"/>
    <mergeCell ref="AB637:AD637"/>
    <mergeCell ref="AS636:AW637"/>
    <mergeCell ref="AY636:AY639"/>
    <mergeCell ref="AZ636:AZ639"/>
    <mergeCell ref="BA636:BA639"/>
    <mergeCell ref="BB636:BB639"/>
    <mergeCell ref="BD636:BE637"/>
    <mergeCell ref="AE636:AE638"/>
    <mergeCell ref="AF636:AK637"/>
    <mergeCell ref="AL636:AL638"/>
    <mergeCell ref="AM636:AM638"/>
    <mergeCell ref="AN636:AN638"/>
    <mergeCell ref="AP636:AR637"/>
    <mergeCell ref="H636:U636"/>
    <mergeCell ref="V636:V639"/>
    <mergeCell ref="W636:AD636"/>
    <mergeCell ref="H637:I637"/>
    <mergeCell ref="J637:K637"/>
    <mergeCell ref="L637:M637"/>
    <mergeCell ref="N637:O637"/>
    <mergeCell ref="AP646:AR647"/>
    <mergeCell ref="AS646:AW647"/>
    <mergeCell ref="AY646:AY649"/>
    <mergeCell ref="AZ646:AZ649"/>
    <mergeCell ref="A642:BE642"/>
    <mergeCell ref="A646:A649"/>
    <mergeCell ref="Z628:AA628"/>
    <mergeCell ref="AC628:AD628"/>
    <mergeCell ref="BD628:BD629"/>
    <mergeCell ref="BE628:BE629"/>
    <mergeCell ref="A631:BE631"/>
    <mergeCell ref="A632:BE632"/>
    <mergeCell ref="W627:X627"/>
    <mergeCell ref="Y627:AA627"/>
    <mergeCell ref="AB627:AD627"/>
    <mergeCell ref="H628:I628"/>
    <mergeCell ref="J628:K628"/>
    <mergeCell ref="L628:M628"/>
    <mergeCell ref="N628:O628"/>
    <mergeCell ref="P628:Q628"/>
    <mergeCell ref="R628:S628"/>
    <mergeCell ref="T628:U628"/>
    <mergeCell ref="BA626:BA629"/>
    <mergeCell ref="BB626:BB629"/>
    <mergeCell ref="BD626:BE627"/>
    <mergeCell ref="H627:I627"/>
    <mergeCell ref="J627:K627"/>
    <mergeCell ref="L627:M627"/>
    <mergeCell ref="N627:O627"/>
    <mergeCell ref="P627:Q627"/>
    <mergeCell ref="R627:S627"/>
    <mergeCell ref="T627:U627"/>
    <mergeCell ref="AM626:AM628"/>
    <mergeCell ref="AN626:AN628"/>
    <mergeCell ref="AP626:AR627"/>
    <mergeCell ref="AS626:AW627"/>
    <mergeCell ref="AY626:AY629"/>
    <mergeCell ref="AZ626:AZ629"/>
    <mergeCell ref="BE618:BE619"/>
    <mergeCell ref="A621:BE621"/>
    <mergeCell ref="T617:U617"/>
    <mergeCell ref="W617:X617"/>
    <mergeCell ref="Y617:AA617"/>
    <mergeCell ref="AB617:AD617"/>
    <mergeCell ref="H618:I618"/>
    <mergeCell ref="J618:K618"/>
    <mergeCell ref="L618:M618"/>
    <mergeCell ref="N618:O618"/>
    <mergeCell ref="P618:Q618"/>
    <mergeCell ref="R618:S618"/>
    <mergeCell ref="AZ616:AZ619"/>
    <mergeCell ref="BA616:BA619"/>
    <mergeCell ref="BB616:BB619"/>
    <mergeCell ref="BD616:BE617"/>
    <mergeCell ref="H617:I617"/>
    <mergeCell ref="J617:K617"/>
    <mergeCell ref="L617:M617"/>
    <mergeCell ref="N617:O617"/>
    <mergeCell ref="P617:Q617"/>
    <mergeCell ref="R617:S617"/>
    <mergeCell ref="AL616:AL618"/>
    <mergeCell ref="AM616:AM618"/>
    <mergeCell ref="AN616:AN618"/>
    <mergeCell ref="AP616:AR617"/>
    <mergeCell ref="H616:U616"/>
    <mergeCell ref="V616:V619"/>
    <mergeCell ref="W616:AD616"/>
    <mergeCell ref="A585:A588"/>
    <mergeCell ref="B585:B588"/>
    <mergeCell ref="C585:C588"/>
    <mergeCell ref="Y586:AA586"/>
    <mergeCell ref="H608:I608"/>
    <mergeCell ref="J608:K608"/>
    <mergeCell ref="L608:M608"/>
    <mergeCell ref="N608:O608"/>
    <mergeCell ref="P608:Q608"/>
    <mergeCell ref="R608:S608"/>
    <mergeCell ref="AO600:AP600"/>
    <mergeCell ref="AU600:AW600"/>
    <mergeCell ref="AB586:AD586"/>
    <mergeCell ref="H587:I587"/>
    <mergeCell ref="J587:K587"/>
    <mergeCell ref="L587:M587"/>
    <mergeCell ref="N587:O587"/>
    <mergeCell ref="P587:Q587"/>
    <mergeCell ref="R587:S587"/>
    <mergeCell ref="T587:U587"/>
    <mergeCell ref="Z587:AA587"/>
    <mergeCell ref="AC587:AD587"/>
    <mergeCell ref="AC618:AD618"/>
    <mergeCell ref="BD618:BD619"/>
    <mergeCell ref="AY585:AY588"/>
    <mergeCell ref="AZ585:AZ588"/>
    <mergeCell ref="BA585:BA588"/>
    <mergeCell ref="BB585:BB588"/>
    <mergeCell ref="BD585:BE586"/>
    <mergeCell ref="H586:I586"/>
    <mergeCell ref="J586:K586"/>
    <mergeCell ref="L586:M586"/>
    <mergeCell ref="N586:O586"/>
    <mergeCell ref="P586:Q586"/>
    <mergeCell ref="AE585:AE587"/>
    <mergeCell ref="AF585:AK586"/>
    <mergeCell ref="AM585:AM587"/>
    <mergeCell ref="AN585:AN587"/>
    <mergeCell ref="AP585:AR586"/>
    <mergeCell ref="AS585:AW586"/>
    <mergeCell ref="H585:U585"/>
    <mergeCell ref="V585:V588"/>
    <mergeCell ref="W585:AD585"/>
    <mergeCell ref="R586:S586"/>
    <mergeCell ref="T586:U586"/>
    <mergeCell ref="W586:X586"/>
    <mergeCell ref="BD587:BD588"/>
    <mergeCell ref="BE587:BE588"/>
    <mergeCell ref="AS616:AW617"/>
    <mergeCell ref="AY616:AY619"/>
    <mergeCell ref="A611:BE611"/>
    <mergeCell ref="A612:BE612"/>
    <mergeCell ref="A616:A619"/>
    <mergeCell ref="B616:B619"/>
    <mergeCell ref="C616:C619"/>
    <mergeCell ref="T578:U578"/>
    <mergeCell ref="Z578:AA578"/>
    <mergeCell ref="AC578:AD578"/>
    <mergeCell ref="BD578:BD579"/>
    <mergeCell ref="BE578:BE579"/>
    <mergeCell ref="A581:BE581"/>
    <mergeCell ref="T577:U577"/>
    <mergeCell ref="W577:X577"/>
    <mergeCell ref="Y577:AA577"/>
    <mergeCell ref="AB577:AD577"/>
    <mergeCell ref="H578:I578"/>
    <mergeCell ref="J578:K578"/>
    <mergeCell ref="L578:M578"/>
    <mergeCell ref="N578:O578"/>
    <mergeCell ref="P578:Q578"/>
    <mergeCell ref="R578:S578"/>
    <mergeCell ref="AZ576:AZ579"/>
    <mergeCell ref="BA576:BA579"/>
    <mergeCell ref="BB576:BB579"/>
    <mergeCell ref="BD576:BE577"/>
    <mergeCell ref="H577:I577"/>
    <mergeCell ref="J577:K577"/>
    <mergeCell ref="L577:M577"/>
    <mergeCell ref="N577:O577"/>
    <mergeCell ref="P577:Q577"/>
    <mergeCell ref="R577:S577"/>
    <mergeCell ref="AF576:AK577"/>
    <mergeCell ref="AM576:AM578"/>
    <mergeCell ref="AN576:AN578"/>
    <mergeCell ref="AP576:AR577"/>
    <mergeCell ref="AS576:AW577"/>
    <mergeCell ref="AY576:AY579"/>
    <mergeCell ref="BD569:BD570"/>
    <mergeCell ref="BE569:BE570"/>
    <mergeCell ref="A572:BE572"/>
    <mergeCell ref="A576:A579"/>
    <mergeCell ref="B576:B579"/>
    <mergeCell ref="C576:C579"/>
    <mergeCell ref="H576:U576"/>
    <mergeCell ref="V576:V579"/>
    <mergeCell ref="W576:AD576"/>
    <mergeCell ref="AE576:AE578"/>
    <mergeCell ref="AB568:AD568"/>
    <mergeCell ref="H569:I569"/>
    <mergeCell ref="J569:K569"/>
    <mergeCell ref="L569:M569"/>
    <mergeCell ref="N569:O569"/>
    <mergeCell ref="P569:Q569"/>
    <mergeCell ref="R569:S569"/>
    <mergeCell ref="T569:U569"/>
    <mergeCell ref="Z569:AA569"/>
    <mergeCell ref="AC569:AD569"/>
    <mergeCell ref="AY567:AY570"/>
    <mergeCell ref="AZ567:AZ570"/>
    <mergeCell ref="BA567:BA570"/>
    <mergeCell ref="BB567:BB570"/>
    <mergeCell ref="BD567:BE568"/>
    <mergeCell ref="H568:I568"/>
    <mergeCell ref="J568:K568"/>
    <mergeCell ref="L568:M568"/>
    <mergeCell ref="N568:O568"/>
    <mergeCell ref="P568:Q568"/>
    <mergeCell ref="AE567:AE569"/>
    <mergeCell ref="AF567:AK568"/>
    <mergeCell ref="AM567:AM569"/>
    <mergeCell ref="AN567:AN569"/>
    <mergeCell ref="AP567:AR568"/>
    <mergeCell ref="AS567:AW568"/>
    <mergeCell ref="A567:A570"/>
    <mergeCell ref="B567:B570"/>
    <mergeCell ref="C567:C570"/>
    <mergeCell ref="H567:U567"/>
    <mergeCell ref="V567:V570"/>
    <mergeCell ref="W567:AD567"/>
    <mergeCell ref="R568:S568"/>
    <mergeCell ref="T568:U568"/>
    <mergeCell ref="W568:X568"/>
    <mergeCell ref="Y568:AA568"/>
    <mergeCell ref="T560:U560"/>
    <mergeCell ref="Z560:AA560"/>
    <mergeCell ref="AC560:AD560"/>
    <mergeCell ref="BD560:BD561"/>
    <mergeCell ref="BE560:BE561"/>
    <mergeCell ref="A563:BE563"/>
    <mergeCell ref="T559:U559"/>
    <mergeCell ref="W559:X559"/>
    <mergeCell ref="Y559:AA559"/>
    <mergeCell ref="AB559:AD559"/>
    <mergeCell ref="H560:I560"/>
    <mergeCell ref="J560:K560"/>
    <mergeCell ref="L560:M560"/>
    <mergeCell ref="N560:O560"/>
    <mergeCell ref="P560:Q560"/>
    <mergeCell ref="R560:S560"/>
    <mergeCell ref="AZ558:AZ561"/>
    <mergeCell ref="BA558:BA561"/>
    <mergeCell ref="BB558:BB561"/>
    <mergeCell ref="BD558:BE559"/>
    <mergeCell ref="H559:I559"/>
    <mergeCell ref="J559:K559"/>
    <mergeCell ref="L559:M559"/>
    <mergeCell ref="N559:O559"/>
    <mergeCell ref="P559:Q559"/>
    <mergeCell ref="R559:S559"/>
    <mergeCell ref="AF558:AK559"/>
    <mergeCell ref="AM558:AM560"/>
    <mergeCell ref="AN558:AN560"/>
    <mergeCell ref="AP558:AR559"/>
    <mergeCell ref="AS558:AW559"/>
    <mergeCell ref="AY558:AY561"/>
    <mergeCell ref="BD551:BD552"/>
    <mergeCell ref="BE551:BE552"/>
    <mergeCell ref="A554:BE554"/>
    <mergeCell ref="A558:A561"/>
    <mergeCell ref="B558:B561"/>
    <mergeCell ref="C558:C561"/>
    <mergeCell ref="H558:U558"/>
    <mergeCell ref="V558:V561"/>
    <mergeCell ref="W558:AD558"/>
    <mergeCell ref="AE558:AE560"/>
    <mergeCell ref="AB550:AD550"/>
    <mergeCell ref="H551:I551"/>
    <mergeCell ref="J551:K551"/>
    <mergeCell ref="L551:M551"/>
    <mergeCell ref="N551:O551"/>
    <mergeCell ref="P551:Q551"/>
    <mergeCell ref="R551:S551"/>
    <mergeCell ref="T551:U551"/>
    <mergeCell ref="Z551:AA551"/>
    <mergeCell ref="AC551:AD551"/>
    <mergeCell ref="AY549:AY552"/>
    <mergeCell ref="AZ549:AZ552"/>
    <mergeCell ref="BA549:BA552"/>
    <mergeCell ref="BB549:BB552"/>
    <mergeCell ref="BD549:BE550"/>
    <mergeCell ref="H550:I550"/>
    <mergeCell ref="J550:K550"/>
    <mergeCell ref="L550:M550"/>
    <mergeCell ref="N550:O550"/>
    <mergeCell ref="P550:Q550"/>
    <mergeCell ref="AE549:AE551"/>
    <mergeCell ref="AF549:AK550"/>
    <mergeCell ref="AM549:AM551"/>
    <mergeCell ref="AN549:AN551"/>
    <mergeCell ref="AP549:AR550"/>
    <mergeCell ref="AS549:AW550"/>
    <mergeCell ref="A549:A552"/>
    <mergeCell ref="B549:B552"/>
    <mergeCell ref="C549:C552"/>
    <mergeCell ref="H549:U549"/>
    <mergeCell ref="V549:V552"/>
    <mergeCell ref="W549:AD549"/>
    <mergeCell ref="R550:S550"/>
    <mergeCell ref="T550:U550"/>
    <mergeCell ref="W550:X550"/>
    <mergeCell ref="Y550:AA550"/>
    <mergeCell ref="T542:U542"/>
    <mergeCell ref="Z542:AA542"/>
    <mergeCell ref="AC542:AD542"/>
    <mergeCell ref="BD542:BD543"/>
    <mergeCell ref="BE542:BE543"/>
    <mergeCell ref="A545:BE545"/>
    <mergeCell ref="T541:U541"/>
    <mergeCell ref="W541:X541"/>
    <mergeCell ref="Y541:AA541"/>
    <mergeCell ref="AB541:AD541"/>
    <mergeCell ref="H542:I542"/>
    <mergeCell ref="J542:K542"/>
    <mergeCell ref="L542:M542"/>
    <mergeCell ref="N542:O542"/>
    <mergeCell ref="P542:Q542"/>
    <mergeCell ref="R542:S542"/>
    <mergeCell ref="AZ540:AZ543"/>
    <mergeCell ref="BA540:BA543"/>
    <mergeCell ref="BB540:BB543"/>
    <mergeCell ref="BD540:BE541"/>
    <mergeCell ref="H541:I541"/>
    <mergeCell ref="J541:K541"/>
    <mergeCell ref="L541:M541"/>
    <mergeCell ref="N541:O541"/>
    <mergeCell ref="P541:Q541"/>
    <mergeCell ref="R541:S541"/>
    <mergeCell ref="AF540:AK541"/>
    <mergeCell ref="AM540:AM542"/>
    <mergeCell ref="AN540:AN542"/>
    <mergeCell ref="AP540:AR541"/>
    <mergeCell ref="AS540:AW541"/>
    <mergeCell ref="AY540:AY543"/>
    <mergeCell ref="BD533:BD534"/>
    <mergeCell ref="BE533:BE534"/>
    <mergeCell ref="A536:BE536"/>
    <mergeCell ref="A540:A543"/>
    <mergeCell ref="B540:B543"/>
    <mergeCell ref="C540:C543"/>
    <mergeCell ref="H540:U540"/>
    <mergeCell ref="V540:V543"/>
    <mergeCell ref="W540:AD540"/>
    <mergeCell ref="AE540:AE542"/>
    <mergeCell ref="AB532:AD532"/>
    <mergeCell ref="H533:I533"/>
    <mergeCell ref="J533:K533"/>
    <mergeCell ref="L533:M533"/>
    <mergeCell ref="N533:O533"/>
    <mergeCell ref="P533:Q533"/>
    <mergeCell ref="R533:S533"/>
    <mergeCell ref="T533:U533"/>
    <mergeCell ref="Z533:AA533"/>
    <mergeCell ref="AC533:AD533"/>
    <mergeCell ref="AY531:AY534"/>
    <mergeCell ref="AZ531:AZ534"/>
    <mergeCell ref="BA531:BA534"/>
    <mergeCell ref="BB531:BB534"/>
    <mergeCell ref="BD531:BE532"/>
    <mergeCell ref="H532:I532"/>
    <mergeCell ref="J532:K532"/>
    <mergeCell ref="L532:M532"/>
    <mergeCell ref="N532:O532"/>
    <mergeCell ref="P532:Q532"/>
    <mergeCell ref="AE531:AE533"/>
    <mergeCell ref="AF531:AK532"/>
    <mergeCell ref="AM531:AM533"/>
    <mergeCell ref="AN531:AN533"/>
    <mergeCell ref="AP531:AR532"/>
    <mergeCell ref="AS531:AW532"/>
    <mergeCell ref="A531:A534"/>
    <mergeCell ref="B531:B534"/>
    <mergeCell ref="C531:C534"/>
    <mergeCell ref="H531:U531"/>
    <mergeCell ref="V531:V534"/>
    <mergeCell ref="W531:AD531"/>
    <mergeCell ref="R532:S532"/>
    <mergeCell ref="T532:U532"/>
    <mergeCell ref="W532:X532"/>
    <mergeCell ref="Y532:AA532"/>
    <mergeCell ref="T524:U524"/>
    <mergeCell ref="Z524:AA524"/>
    <mergeCell ref="AC524:AD524"/>
    <mergeCell ref="BD524:BD525"/>
    <mergeCell ref="BE524:BE525"/>
    <mergeCell ref="A527:BE527"/>
    <mergeCell ref="T523:U523"/>
    <mergeCell ref="W523:X523"/>
    <mergeCell ref="Y523:AA523"/>
    <mergeCell ref="AB523:AD523"/>
    <mergeCell ref="H524:I524"/>
    <mergeCell ref="J524:K524"/>
    <mergeCell ref="L524:M524"/>
    <mergeCell ref="N524:O524"/>
    <mergeCell ref="P524:Q524"/>
    <mergeCell ref="R524:S524"/>
    <mergeCell ref="AZ522:AZ525"/>
    <mergeCell ref="BA522:BA525"/>
    <mergeCell ref="BB522:BB525"/>
    <mergeCell ref="BD522:BE523"/>
    <mergeCell ref="H523:I523"/>
    <mergeCell ref="J523:K523"/>
    <mergeCell ref="L523:M523"/>
    <mergeCell ref="N523:O523"/>
    <mergeCell ref="P523:Q523"/>
    <mergeCell ref="R523:S523"/>
    <mergeCell ref="AF522:AK523"/>
    <mergeCell ref="AM522:AM524"/>
    <mergeCell ref="AN522:AN524"/>
    <mergeCell ref="AP522:AR523"/>
    <mergeCell ref="AS522:AW523"/>
    <mergeCell ref="AY522:AY525"/>
    <mergeCell ref="BD515:BD516"/>
    <mergeCell ref="BE515:BE516"/>
    <mergeCell ref="A518:BE518"/>
    <mergeCell ref="A522:A525"/>
    <mergeCell ref="B522:B525"/>
    <mergeCell ref="C522:C525"/>
    <mergeCell ref="H522:U522"/>
    <mergeCell ref="V522:V525"/>
    <mergeCell ref="W522:AD522"/>
    <mergeCell ref="AE522:AE524"/>
    <mergeCell ref="AB514:AD514"/>
    <mergeCell ref="H515:I515"/>
    <mergeCell ref="J515:K515"/>
    <mergeCell ref="L515:M515"/>
    <mergeCell ref="N515:O515"/>
    <mergeCell ref="P515:Q515"/>
    <mergeCell ref="R515:S515"/>
    <mergeCell ref="T515:U515"/>
    <mergeCell ref="Z515:AA515"/>
    <mergeCell ref="AC515:AD515"/>
    <mergeCell ref="AY513:AY516"/>
    <mergeCell ref="AZ513:AZ516"/>
    <mergeCell ref="BA513:BA516"/>
    <mergeCell ref="BB513:BB516"/>
    <mergeCell ref="BD513:BE514"/>
    <mergeCell ref="H514:I514"/>
    <mergeCell ref="J514:K514"/>
    <mergeCell ref="L514:M514"/>
    <mergeCell ref="N514:O514"/>
    <mergeCell ref="P514:Q514"/>
    <mergeCell ref="AE513:AE515"/>
    <mergeCell ref="AF513:AK514"/>
    <mergeCell ref="AM513:AM515"/>
    <mergeCell ref="AN513:AN515"/>
    <mergeCell ref="AP513:AR514"/>
    <mergeCell ref="AS513:AW514"/>
    <mergeCell ref="A513:A516"/>
    <mergeCell ref="B513:B516"/>
    <mergeCell ref="C513:C516"/>
    <mergeCell ref="H513:U513"/>
    <mergeCell ref="V513:V516"/>
    <mergeCell ref="W513:AD513"/>
    <mergeCell ref="R514:S514"/>
    <mergeCell ref="T514:U514"/>
    <mergeCell ref="W514:X514"/>
    <mergeCell ref="Y514:AA514"/>
    <mergeCell ref="T506:U506"/>
    <mergeCell ref="Z506:AA506"/>
    <mergeCell ref="AC506:AD506"/>
    <mergeCell ref="BD506:BD507"/>
    <mergeCell ref="BE506:BE507"/>
    <mergeCell ref="A509:BE509"/>
    <mergeCell ref="T505:U505"/>
    <mergeCell ref="W505:X505"/>
    <mergeCell ref="Y505:AA505"/>
    <mergeCell ref="AB505:AD505"/>
    <mergeCell ref="H506:I506"/>
    <mergeCell ref="J506:K506"/>
    <mergeCell ref="L506:M506"/>
    <mergeCell ref="N506:O506"/>
    <mergeCell ref="P506:Q506"/>
    <mergeCell ref="R506:S506"/>
    <mergeCell ref="AZ504:AZ507"/>
    <mergeCell ref="BA504:BA507"/>
    <mergeCell ref="BB504:BB507"/>
    <mergeCell ref="BD504:BE505"/>
    <mergeCell ref="H505:I505"/>
    <mergeCell ref="J505:K505"/>
    <mergeCell ref="L505:M505"/>
    <mergeCell ref="N505:O505"/>
    <mergeCell ref="P505:Q505"/>
    <mergeCell ref="R505:S505"/>
    <mergeCell ref="AF504:AK505"/>
    <mergeCell ref="AM504:AM506"/>
    <mergeCell ref="AN504:AN506"/>
    <mergeCell ref="AP504:AR505"/>
    <mergeCell ref="AS504:AW505"/>
    <mergeCell ref="AY504:AY507"/>
    <mergeCell ref="BD497:BD498"/>
    <mergeCell ref="BE497:BE498"/>
    <mergeCell ref="A500:BE500"/>
    <mergeCell ref="A504:A507"/>
    <mergeCell ref="B504:B507"/>
    <mergeCell ref="C504:C507"/>
    <mergeCell ref="H504:U504"/>
    <mergeCell ref="V504:V507"/>
    <mergeCell ref="W504:AD504"/>
    <mergeCell ref="AE504:AE506"/>
    <mergeCell ref="AB496:AD496"/>
    <mergeCell ref="H497:I497"/>
    <mergeCell ref="J497:K497"/>
    <mergeCell ref="L497:M497"/>
    <mergeCell ref="N497:O497"/>
    <mergeCell ref="P497:Q497"/>
    <mergeCell ref="R497:S497"/>
    <mergeCell ref="T497:U497"/>
    <mergeCell ref="Z497:AA497"/>
    <mergeCell ref="AC497:AD497"/>
    <mergeCell ref="AY495:AY498"/>
    <mergeCell ref="AZ495:AZ498"/>
    <mergeCell ref="BA495:BA498"/>
    <mergeCell ref="BB495:BB498"/>
    <mergeCell ref="BD495:BE496"/>
    <mergeCell ref="H496:I496"/>
    <mergeCell ref="J496:K496"/>
    <mergeCell ref="L496:M496"/>
    <mergeCell ref="N496:O496"/>
    <mergeCell ref="P496:Q496"/>
    <mergeCell ref="AE495:AE497"/>
    <mergeCell ref="AF495:AK496"/>
    <mergeCell ref="AM495:AM497"/>
    <mergeCell ref="AN495:AN497"/>
    <mergeCell ref="AP495:AR496"/>
    <mergeCell ref="AS495:AW496"/>
    <mergeCell ref="A495:A498"/>
    <mergeCell ref="B495:B498"/>
    <mergeCell ref="C495:C498"/>
    <mergeCell ref="H495:U495"/>
    <mergeCell ref="V495:V498"/>
    <mergeCell ref="W495:AD495"/>
    <mergeCell ref="R496:S496"/>
    <mergeCell ref="T496:U496"/>
    <mergeCell ref="W496:X496"/>
    <mergeCell ref="Y496:AA496"/>
    <mergeCell ref="T488:U488"/>
    <mergeCell ref="Z488:AA488"/>
    <mergeCell ref="AC488:AD488"/>
    <mergeCell ref="A491:BE491"/>
    <mergeCell ref="T487:U487"/>
    <mergeCell ref="W487:X487"/>
    <mergeCell ref="Y487:AA487"/>
    <mergeCell ref="AB487:AD487"/>
    <mergeCell ref="H488:I488"/>
    <mergeCell ref="J488:K488"/>
    <mergeCell ref="L488:M488"/>
    <mergeCell ref="N488:O488"/>
    <mergeCell ref="P488:Q488"/>
    <mergeCell ref="R488:S488"/>
    <mergeCell ref="AZ486:AZ489"/>
    <mergeCell ref="BA486:BA489"/>
    <mergeCell ref="BB486:BB489"/>
    <mergeCell ref="BD486:BE487"/>
    <mergeCell ref="H487:I487"/>
    <mergeCell ref="J487:K487"/>
    <mergeCell ref="L487:M487"/>
    <mergeCell ref="N487:O487"/>
    <mergeCell ref="P487:Q487"/>
    <mergeCell ref="R487:S487"/>
    <mergeCell ref="AF486:AK487"/>
    <mergeCell ref="AM486:AM488"/>
    <mergeCell ref="AN486:AN488"/>
    <mergeCell ref="AP486:AR487"/>
    <mergeCell ref="AS486:AW487"/>
    <mergeCell ref="AY486:AY489"/>
    <mergeCell ref="A482:BE482"/>
    <mergeCell ref="A486:A489"/>
    <mergeCell ref="B486:B489"/>
    <mergeCell ref="C486:C489"/>
    <mergeCell ref="H486:U486"/>
    <mergeCell ref="V486:V489"/>
    <mergeCell ref="W486:AD486"/>
    <mergeCell ref="AE486:AE488"/>
    <mergeCell ref="AB478:AD478"/>
    <mergeCell ref="H479:I479"/>
    <mergeCell ref="J479:K479"/>
    <mergeCell ref="L479:M479"/>
    <mergeCell ref="N479:O479"/>
    <mergeCell ref="P479:Q479"/>
    <mergeCell ref="R479:S479"/>
    <mergeCell ref="T479:U479"/>
    <mergeCell ref="Z479:AA479"/>
    <mergeCell ref="AC479:AD479"/>
    <mergeCell ref="AY477:AY480"/>
    <mergeCell ref="AZ477:AZ480"/>
    <mergeCell ref="BA477:BA480"/>
    <mergeCell ref="BB477:BB480"/>
    <mergeCell ref="BD477:BE478"/>
    <mergeCell ref="H478:I478"/>
    <mergeCell ref="J478:K478"/>
    <mergeCell ref="L478:M478"/>
    <mergeCell ref="N478:O478"/>
    <mergeCell ref="P478:Q478"/>
    <mergeCell ref="AE477:AE479"/>
    <mergeCell ref="AF477:AK478"/>
    <mergeCell ref="BD488:BD489"/>
    <mergeCell ref="BE488:BE489"/>
    <mergeCell ref="AM477:AM479"/>
    <mergeCell ref="AN477:AN479"/>
    <mergeCell ref="AP477:AR478"/>
    <mergeCell ref="AS477:AW478"/>
    <mergeCell ref="A477:A480"/>
    <mergeCell ref="B477:B480"/>
    <mergeCell ref="C477:C480"/>
    <mergeCell ref="H477:U477"/>
    <mergeCell ref="V477:V480"/>
    <mergeCell ref="W477:AD477"/>
    <mergeCell ref="R478:S478"/>
    <mergeCell ref="T478:U478"/>
    <mergeCell ref="W478:X478"/>
    <mergeCell ref="Y478:AA478"/>
    <mergeCell ref="T470:U470"/>
    <mergeCell ref="Z470:AA470"/>
    <mergeCell ref="AC470:AD470"/>
    <mergeCell ref="A473:BE473"/>
    <mergeCell ref="BD479:BD480"/>
    <mergeCell ref="BE479:BE480"/>
    <mergeCell ref="T469:U469"/>
    <mergeCell ref="W469:X469"/>
    <mergeCell ref="Y469:AA469"/>
    <mergeCell ref="AB469:AD469"/>
    <mergeCell ref="H470:I470"/>
    <mergeCell ref="J470:K470"/>
    <mergeCell ref="L470:M470"/>
    <mergeCell ref="N470:O470"/>
    <mergeCell ref="P470:Q470"/>
    <mergeCell ref="R470:S470"/>
    <mergeCell ref="AZ468:AZ471"/>
    <mergeCell ref="BA468:BA471"/>
    <mergeCell ref="BB468:BB471"/>
    <mergeCell ref="BD468:BE469"/>
    <mergeCell ref="H469:I469"/>
    <mergeCell ref="J469:K469"/>
    <mergeCell ref="L469:M469"/>
    <mergeCell ref="N469:O469"/>
    <mergeCell ref="P469:Q469"/>
    <mergeCell ref="R469:S469"/>
    <mergeCell ref="AF468:AK469"/>
    <mergeCell ref="AM468:AM470"/>
    <mergeCell ref="AN468:AN470"/>
    <mergeCell ref="AP468:AR469"/>
    <mergeCell ref="AS468:AW469"/>
    <mergeCell ref="AY468:AY471"/>
    <mergeCell ref="A464:BE464"/>
    <mergeCell ref="A468:A471"/>
    <mergeCell ref="B468:B471"/>
    <mergeCell ref="C468:C471"/>
    <mergeCell ref="H468:U468"/>
    <mergeCell ref="V468:V471"/>
    <mergeCell ref="W468:AD468"/>
    <mergeCell ref="AE468:AE470"/>
    <mergeCell ref="AB460:AD460"/>
    <mergeCell ref="H461:I461"/>
    <mergeCell ref="J461:K461"/>
    <mergeCell ref="L461:M461"/>
    <mergeCell ref="N461:O461"/>
    <mergeCell ref="P461:Q461"/>
    <mergeCell ref="R461:S461"/>
    <mergeCell ref="T461:U461"/>
    <mergeCell ref="Z461:AA461"/>
    <mergeCell ref="AC461:AD461"/>
    <mergeCell ref="AY459:AY462"/>
    <mergeCell ref="AZ459:AZ462"/>
    <mergeCell ref="BA459:BA462"/>
    <mergeCell ref="BB459:BB462"/>
    <mergeCell ref="BD459:BE460"/>
    <mergeCell ref="H460:I460"/>
    <mergeCell ref="J460:K460"/>
    <mergeCell ref="L460:M460"/>
    <mergeCell ref="N460:O460"/>
    <mergeCell ref="P460:Q460"/>
    <mergeCell ref="AE459:AE461"/>
    <mergeCell ref="AF459:AK460"/>
    <mergeCell ref="BD470:BD471"/>
    <mergeCell ref="BE470:BE471"/>
    <mergeCell ref="AM459:AM461"/>
    <mergeCell ref="AN459:AN461"/>
    <mergeCell ref="AP459:AR460"/>
    <mergeCell ref="AS459:AW460"/>
    <mergeCell ref="A459:A462"/>
    <mergeCell ref="B459:B462"/>
    <mergeCell ref="C459:C462"/>
    <mergeCell ref="H459:U459"/>
    <mergeCell ref="V459:V462"/>
    <mergeCell ref="W459:AD459"/>
    <mergeCell ref="R460:S460"/>
    <mergeCell ref="T460:U460"/>
    <mergeCell ref="W460:X460"/>
    <mergeCell ref="Y460:AA460"/>
    <mergeCell ref="T452:U452"/>
    <mergeCell ref="Z452:AA452"/>
    <mergeCell ref="AC452:AD452"/>
    <mergeCell ref="A455:BE455"/>
    <mergeCell ref="BD461:BD462"/>
    <mergeCell ref="BE461:BE462"/>
    <mergeCell ref="T451:U451"/>
    <mergeCell ref="W451:X451"/>
    <mergeCell ref="Y451:AA451"/>
    <mergeCell ref="AB451:AD451"/>
    <mergeCell ref="H452:I452"/>
    <mergeCell ref="J452:K452"/>
    <mergeCell ref="L452:M452"/>
    <mergeCell ref="N452:O452"/>
    <mergeCell ref="P452:Q452"/>
    <mergeCell ref="R452:S452"/>
    <mergeCell ref="AZ450:AZ453"/>
    <mergeCell ref="BA450:BA453"/>
    <mergeCell ref="BB450:BB453"/>
    <mergeCell ref="BD450:BE451"/>
    <mergeCell ref="H451:I451"/>
    <mergeCell ref="J451:K451"/>
    <mergeCell ref="L451:M451"/>
    <mergeCell ref="N451:O451"/>
    <mergeCell ref="P451:Q451"/>
    <mergeCell ref="R451:S451"/>
    <mergeCell ref="AF450:AK451"/>
    <mergeCell ref="AM450:AM452"/>
    <mergeCell ref="AN450:AN452"/>
    <mergeCell ref="AP450:AR451"/>
    <mergeCell ref="AS450:AW451"/>
    <mergeCell ref="AY450:AY453"/>
    <mergeCell ref="A446:BE446"/>
    <mergeCell ref="A450:A453"/>
    <mergeCell ref="B450:B453"/>
    <mergeCell ref="C450:C453"/>
    <mergeCell ref="H450:U450"/>
    <mergeCell ref="V450:V453"/>
    <mergeCell ref="W450:AD450"/>
    <mergeCell ref="AE450:AE452"/>
    <mergeCell ref="AB442:AD442"/>
    <mergeCell ref="H443:I443"/>
    <mergeCell ref="J443:K443"/>
    <mergeCell ref="L443:M443"/>
    <mergeCell ref="N443:O443"/>
    <mergeCell ref="P443:Q443"/>
    <mergeCell ref="R443:S443"/>
    <mergeCell ref="T443:U443"/>
    <mergeCell ref="Z443:AA443"/>
    <mergeCell ref="AC443:AD443"/>
    <mergeCell ref="AY441:AY444"/>
    <mergeCell ref="AZ441:AZ444"/>
    <mergeCell ref="BA441:BA444"/>
    <mergeCell ref="BB441:BB444"/>
    <mergeCell ref="BD441:BE442"/>
    <mergeCell ref="H442:I442"/>
    <mergeCell ref="J442:K442"/>
    <mergeCell ref="L442:M442"/>
    <mergeCell ref="N442:O442"/>
    <mergeCell ref="P442:Q442"/>
    <mergeCell ref="AE441:AE443"/>
    <mergeCell ref="AF441:AK442"/>
    <mergeCell ref="BD452:BD453"/>
    <mergeCell ref="BE452:BE453"/>
    <mergeCell ref="AM441:AM443"/>
    <mergeCell ref="AN441:AN443"/>
    <mergeCell ref="AP441:AR442"/>
    <mergeCell ref="AS441:AW442"/>
    <mergeCell ref="A441:A444"/>
    <mergeCell ref="B441:B444"/>
    <mergeCell ref="C441:C444"/>
    <mergeCell ref="H441:U441"/>
    <mergeCell ref="V441:V444"/>
    <mergeCell ref="W441:AD441"/>
    <mergeCell ref="R442:S442"/>
    <mergeCell ref="T442:U442"/>
    <mergeCell ref="W442:X442"/>
    <mergeCell ref="Y442:AA442"/>
    <mergeCell ref="T434:U434"/>
    <mergeCell ref="Z434:AA434"/>
    <mergeCell ref="AC434:AD434"/>
    <mergeCell ref="A437:BE437"/>
    <mergeCell ref="BD443:BD444"/>
    <mergeCell ref="BE443:BE444"/>
    <mergeCell ref="T433:U433"/>
    <mergeCell ref="W433:X433"/>
    <mergeCell ref="Y433:AA433"/>
    <mergeCell ref="AB433:AD433"/>
    <mergeCell ref="H434:I434"/>
    <mergeCell ref="J434:K434"/>
    <mergeCell ref="L434:M434"/>
    <mergeCell ref="N434:O434"/>
    <mergeCell ref="P434:Q434"/>
    <mergeCell ref="R434:S434"/>
    <mergeCell ref="AZ432:AZ435"/>
    <mergeCell ref="BA432:BA435"/>
    <mergeCell ref="BB432:BB435"/>
    <mergeCell ref="BD432:BE433"/>
    <mergeCell ref="H433:I433"/>
    <mergeCell ref="J433:K433"/>
    <mergeCell ref="L433:M433"/>
    <mergeCell ref="N433:O433"/>
    <mergeCell ref="P433:Q433"/>
    <mergeCell ref="R433:S433"/>
    <mergeCell ref="AF432:AK433"/>
    <mergeCell ref="AM432:AM434"/>
    <mergeCell ref="AN432:AN434"/>
    <mergeCell ref="AP432:AR433"/>
    <mergeCell ref="AS432:AW433"/>
    <mergeCell ref="AY432:AY435"/>
    <mergeCell ref="A428:BE428"/>
    <mergeCell ref="A432:A435"/>
    <mergeCell ref="B432:B435"/>
    <mergeCell ref="C432:C435"/>
    <mergeCell ref="H432:U432"/>
    <mergeCell ref="V432:V435"/>
    <mergeCell ref="W432:AD432"/>
    <mergeCell ref="AE432:AE434"/>
    <mergeCell ref="AB424:AD424"/>
    <mergeCell ref="H425:I425"/>
    <mergeCell ref="J425:K425"/>
    <mergeCell ref="L425:M425"/>
    <mergeCell ref="N425:O425"/>
    <mergeCell ref="P425:Q425"/>
    <mergeCell ref="R425:S425"/>
    <mergeCell ref="T425:U425"/>
    <mergeCell ref="Z425:AA425"/>
    <mergeCell ref="AC425:AD425"/>
    <mergeCell ref="AY423:AY426"/>
    <mergeCell ref="AZ423:AZ426"/>
    <mergeCell ref="BA423:BA426"/>
    <mergeCell ref="BB423:BB426"/>
    <mergeCell ref="BD423:BE424"/>
    <mergeCell ref="H424:I424"/>
    <mergeCell ref="J424:K424"/>
    <mergeCell ref="L424:M424"/>
    <mergeCell ref="N424:O424"/>
    <mergeCell ref="P424:Q424"/>
    <mergeCell ref="AE423:AE425"/>
    <mergeCell ref="AF423:AK424"/>
    <mergeCell ref="BD434:BD435"/>
    <mergeCell ref="BE434:BE435"/>
    <mergeCell ref="AM423:AM425"/>
    <mergeCell ref="AN423:AN425"/>
    <mergeCell ref="AP423:AR424"/>
    <mergeCell ref="AS423:AW424"/>
    <mergeCell ref="A423:A426"/>
    <mergeCell ref="B423:B426"/>
    <mergeCell ref="C423:C426"/>
    <mergeCell ref="H423:U423"/>
    <mergeCell ref="V423:V426"/>
    <mergeCell ref="W423:AD423"/>
    <mergeCell ref="R424:S424"/>
    <mergeCell ref="T424:U424"/>
    <mergeCell ref="W424:X424"/>
    <mergeCell ref="Y424:AA424"/>
    <mergeCell ref="T416:U416"/>
    <mergeCell ref="Z416:AA416"/>
    <mergeCell ref="AC416:AD416"/>
    <mergeCell ref="A419:BE419"/>
    <mergeCell ref="AY414:AY417"/>
    <mergeCell ref="AZ414:AZ417"/>
    <mergeCell ref="BA414:BA417"/>
    <mergeCell ref="BB414:BB417"/>
    <mergeCell ref="BD414:BE415"/>
    <mergeCell ref="BD425:BD426"/>
    <mergeCell ref="BE425:BE426"/>
    <mergeCell ref="T415:U415"/>
    <mergeCell ref="W415:X415"/>
    <mergeCell ref="Y415:AA415"/>
    <mergeCell ref="AB415:AD415"/>
    <mergeCell ref="H416:I416"/>
    <mergeCell ref="J416:K416"/>
    <mergeCell ref="L416:M416"/>
    <mergeCell ref="BD407:BD408"/>
    <mergeCell ref="AZ405:AZ408"/>
    <mergeCell ref="A410:BE410"/>
    <mergeCell ref="A414:A417"/>
    <mergeCell ref="B414:B417"/>
    <mergeCell ref="C414:C417"/>
    <mergeCell ref="H414:U414"/>
    <mergeCell ref="V414:V417"/>
    <mergeCell ref="W406:X406"/>
    <mergeCell ref="Y406:AA406"/>
    <mergeCell ref="AB406:AD406"/>
    <mergeCell ref="H407:I407"/>
    <mergeCell ref="J407:K407"/>
    <mergeCell ref="L407:M407"/>
    <mergeCell ref="N407:O407"/>
    <mergeCell ref="P407:Q407"/>
    <mergeCell ref="R407:S407"/>
    <mergeCell ref="T407:U407"/>
    <mergeCell ref="BA405:BA408"/>
    <mergeCell ref="BB405:BB408"/>
    <mergeCell ref="BD405:BE406"/>
    <mergeCell ref="H406:I406"/>
    <mergeCell ref="J406:K406"/>
    <mergeCell ref="L406:M406"/>
    <mergeCell ref="N406:O406"/>
    <mergeCell ref="P406:Q406"/>
    <mergeCell ref="R406:S406"/>
    <mergeCell ref="T406:U406"/>
    <mergeCell ref="AM405:AM407"/>
    <mergeCell ref="AN405:AN407"/>
    <mergeCell ref="BD416:BD417"/>
    <mergeCell ref="BE416:BE417"/>
    <mergeCell ref="AY405:AY408"/>
    <mergeCell ref="N416:O416"/>
    <mergeCell ref="P416:Q416"/>
    <mergeCell ref="R416:S416"/>
    <mergeCell ref="H415:I415"/>
    <mergeCell ref="J415:K415"/>
    <mergeCell ref="L415:M415"/>
    <mergeCell ref="N415:O415"/>
    <mergeCell ref="P415:Q415"/>
    <mergeCell ref="R415:S415"/>
    <mergeCell ref="AS414:AW415"/>
    <mergeCell ref="W414:AD414"/>
    <mergeCell ref="AE414:AE416"/>
    <mergeCell ref="AF414:AK415"/>
    <mergeCell ref="AM414:AM416"/>
    <mergeCell ref="AN414:AN416"/>
    <mergeCell ref="AP414:AR415"/>
    <mergeCell ref="A401:BE401"/>
    <mergeCell ref="A405:A408"/>
    <mergeCell ref="B405:B408"/>
    <mergeCell ref="C405:C408"/>
    <mergeCell ref="H405:U405"/>
    <mergeCell ref="V405:V408"/>
    <mergeCell ref="W405:AD405"/>
    <mergeCell ref="Y377:AA377"/>
    <mergeCell ref="AB377:AD377"/>
    <mergeCell ref="H378:I378"/>
    <mergeCell ref="J378:K378"/>
    <mergeCell ref="L378:M378"/>
    <mergeCell ref="N378:O378"/>
    <mergeCell ref="P378:Q378"/>
    <mergeCell ref="R378:S378"/>
    <mergeCell ref="T378:U378"/>
    <mergeCell ref="Z378:AA378"/>
    <mergeCell ref="BB376:BB379"/>
    <mergeCell ref="BD376:BE377"/>
    <mergeCell ref="H377:I377"/>
    <mergeCell ref="J377:K377"/>
    <mergeCell ref="L377:M377"/>
    <mergeCell ref="N377:O377"/>
    <mergeCell ref="P377:Q377"/>
    <mergeCell ref="R377:S377"/>
    <mergeCell ref="Z407:AA407"/>
    <mergeCell ref="AC407:AD407"/>
    <mergeCell ref="T377:U377"/>
    <mergeCell ref="W377:X377"/>
    <mergeCell ref="BE407:BE408"/>
    <mergeCell ref="AN376:AN378"/>
    <mergeCell ref="AP376:AR377"/>
    <mergeCell ref="AS376:AW377"/>
    <mergeCell ref="AY376:AY379"/>
    <mergeCell ref="AZ376:AZ379"/>
    <mergeCell ref="BA376:BA379"/>
    <mergeCell ref="A372:BE372"/>
    <mergeCell ref="A373:BE373"/>
    <mergeCell ref="A376:A379"/>
    <mergeCell ref="B376:B379"/>
    <mergeCell ref="C376:C379"/>
    <mergeCell ref="H376:U376"/>
    <mergeCell ref="V376:V379"/>
    <mergeCell ref="W376:AD376"/>
    <mergeCell ref="AE376:AE378"/>
    <mergeCell ref="AF376:AM377"/>
    <mergeCell ref="AC369:AD369"/>
    <mergeCell ref="BD369:BD370"/>
    <mergeCell ref="BE369:BE370"/>
    <mergeCell ref="AC378:AD378"/>
    <mergeCell ref="BD378:BD379"/>
    <mergeCell ref="BE378:BE379"/>
    <mergeCell ref="R368:S368"/>
    <mergeCell ref="T368:U368"/>
    <mergeCell ref="W368:X368"/>
    <mergeCell ref="Y368:AA368"/>
    <mergeCell ref="AB368:AD368"/>
    <mergeCell ref="H369:I369"/>
    <mergeCell ref="J369:K369"/>
    <mergeCell ref="L369:M369"/>
    <mergeCell ref="N369:O369"/>
    <mergeCell ref="P369:Q369"/>
    <mergeCell ref="AY367:AY370"/>
    <mergeCell ref="AZ367:AZ370"/>
    <mergeCell ref="BA367:BA370"/>
    <mergeCell ref="BB367:BB370"/>
    <mergeCell ref="BD367:BE368"/>
    <mergeCell ref="H368:I368"/>
    <mergeCell ref="J368:K368"/>
    <mergeCell ref="L368:M368"/>
    <mergeCell ref="N368:O368"/>
    <mergeCell ref="P368:Q368"/>
    <mergeCell ref="W367:AD367"/>
    <mergeCell ref="AE367:AE369"/>
    <mergeCell ref="AF367:AM368"/>
    <mergeCell ref="AN367:AN369"/>
    <mergeCell ref="AP367:AR368"/>
    <mergeCell ref="AS367:AW368"/>
    <mergeCell ref="A363:BE363"/>
    <mergeCell ref="A364:BE364"/>
    <mergeCell ref="A367:A370"/>
    <mergeCell ref="B367:B370"/>
    <mergeCell ref="C367:C370"/>
    <mergeCell ref="H367:U367"/>
    <mergeCell ref="V367:V370"/>
    <mergeCell ref="Y359:AA359"/>
    <mergeCell ref="AB359:AD359"/>
    <mergeCell ref="H360:I360"/>
    <mergeCell ref="J360:K360"/>
    <mergeCell ref="L360:M360"/>
    <mergeCell ref="N360:O360"/>
    <mergeCell ref="P360:Q360"/>
    <mergeCell ref="R360:S360"/>
    <mergeCell ref="T360:U360"/>
    <mergeCell ref="Z360:AA360"/>
    <mergeCell ref="BB358:BB361"/>
    <mergeCell ref="BD358:BE359"/>
    <mergeCell ref="H359:I359"/>
    <mergeCell ref="J359:K359"/>
    <mergeCell ref="L359:M359"/>
    <mergeCell ref="N359:O359"/>
    <mergeCell ref="P359:Q359"/>
    <mergeCell ref="R359:S359"/>
    <mergeCell ref="T359:U359"/>
    <mergeCell ref="W359:X359"/>
    <mergeCell ref="AN358:AN360"/>
    <mergeCell ref="AP358:AR359"/>
    <mergeCell ref="R369:S369"/>
    <mergeCell ref="T369:U369"/>
    <mergeCell ref="Z369:AA369"/>
    <mergeCell ref="AS358:AW359"/>
    <mergeCell ref="AY358:AY361"/>
    <mergeCell ref="AZ358:AZ361"/>
    <mergeCell ref="BA358:BA361"/>
    <mergeCell ref="A354:BE354"/>
    <mergeCell ref="A355:BE355"/>
    <mergeCell ref="A358:A361"/>
    <mergeCell ref="B358:B361"/>
    <mergeCell ref="C358:C361"/>
    <mergeCell ref="H358:U358"/>
    <mergeCell ref="V358:V361"/>
    <mergeCell ref="W358:AD358"/>
    <mergeCell ref="AE358:AE360"/>
    <mergeCell ref="AF358:AM359"/>
    <mergeCell ref="R351:S351"/>
    <mergeCell ref="T351:U351"/>
    <mergeCell ref="Z351:AA351"/>
    <mergeCell ref="AC351:AD351"/>
    <mergeCell ref="BD351:BD352"/>
    <mergeCell ref="BE351:BE352"/>
    <mergeCell ref="AC360:AD360"/>
    <mergeCell ref="BD360:BD361"/>
    <mergeCell ref="BE360:BE361"/>
    <mergeCell ref="P351:Q351"/>
    <mergeCell ref="AY349:AY352"/>
    <mergeCell ref="AZ349:AZ352"/>
    <mergeCell ref="BA349:BA352"/>
    <mergeCell ref="BB349:BB352"/>
    <mergeCell ref="BD349:BE350"/>
    <mergeCell ref="H350:I350"/>
    <mergeCell ref="J350:K350"/>
    <mergeCell ref="L350:M350"/>
    <mergeCell ref="N350:O350"/>
    <mergeCell ref="P350:Q350"/>
    <mergeCell ref="W349:AD349"/>
    <mergeCell ref="AE349:AE351"/>
    <mergeCell ref="AF349:AM350"/>
    <mergeCell ref="AN349:AN351"/>
    <mergeCell ref="AP349:AR350"/>
    <mergeCell ref="AS349:AW350"/>
    <mergeCell ref="BD342:BD343"/>
    <mergeCell ref="BE342:BE343"/>
    <mergeCell ref="A345:BE345"/>
    <mergeCell ref="A346:BE346"/>
    <mergeCell ref="A349:A352"/>
    <mergeCell ref="B349:B352"/>
    <mergeCell ref="C349:C352"/>
    <mergeCell ref="H349:U349"/>
    <mergeCell ref="V349:V352"/>
    <mergeCell ref="R350:S350"/>
    <mergeCell ref="Y341:AA341"/>
    <mergeCell ref="AB341:AD341"/>
    <mergeCell ref="H342:I342"/>
    <mergeCell ref="J342:K342"/>
    <mergeCell ref="L342:M342"/>
    <mergeCell ref="N342:O342"/>
    <mergeCell ref="P342:Q342"/>
    <mergeCell ref="R342:S342"/>
    <mergeCell ref="T342:U342"/>
    <mergeCell ref="Z342:AA342"/>
    <mergeCell ref="BB340:BB343"/>
    <mergeCell ref="BD340:BE341"/>
    <mergeCell ref="H341:I341"/>
    <mergeCell ref="J341:K341"/>
    <mergeCell ref="L341:M341"/>
    <mergeCell ref="N341:O341"/>
    <mergeCell ref="P341:Q341"/>
    <mergeCell ref="R341:S341"/>
    <mergeCell ref="T341:U341"/>
    <mergeCell ref="W341:X341"/>
    <mergeCell ref="AN340:AN342"/>
    <mergeCell ref="AP340:AR341"/>
    <mergeCell ref="BD331:BE332"/>
    <mergeCell ref="H332:I332"/>
    <mergeCell ref="J332:K332"/>
    <mergeCell ref="L332:M332"/>
    <mergeCell ref="N332:O332"/>
    <mergeCell ref="P332:Q332"/>
    <mergeCell ref="W331:AD331"/>
    <mergeCell ref="AE331:AE333"/>
    <mergeCell ref="AF331:AM332"/>
    <mergeCell ref="AN331:AN333"/>
    <mergeCell ref="AP331:AR332"/>
    <mergeCell ref="AS331:AW332"/>
    <mergeCell ref="AS340:AW341"/>
    <mergeCell ref="AY340:AY343"/>
    <mergeCell ref="AZ340:AZ343"/>
    <mergeCell ref="BA340:BA343"/>
    <mergeCell ref="A336:BE336"/>
    <mergeCell ref="A337:BE337"/>
    <mergeCell ref="A340:A343"/>
    <mergeCell ref="B340:B343"/>
    <mergeCell ref="C340:C343"/>
    <mergeCell ref="H340:U340"/>
    <mergeCell ref="V340:V343"/>
    <mergeCell ref="W340:AD340"/>
    <mergeCell ref="AE340:AE342"/>
    <mergeCell ref="AF340:AM341"/>
    <mergeCell ref="R333:S333"/>
    <mergeCell ref="T333:U333"/>
    <mergeCell ref="Z333:AA333"/>
    <mergeCell ref="AC333:AD333"/>
    <mergeCell ref="BD333:BD334"/>
    <mergeCell ref="BE333:BE334"/>
    <mergeCell ref="AY322:AY325"/>
    <mergeCell ref="AZ322:AZ325"/>
    <mergeCell ref="BA322:BA325"/>
    <mergeCell ref="R332:S332"/>
    <mergeCell ref="T332:U332"/>
    <mergeCell ref="W332:X332"/>
    <mergeCell ref="Y332:AA332"/>
    <mergeCell ref="AB332:AD332"/>
    <mergeCell ref="H333:I333"/>
    <mergeCell ref="J333:K333"/>
    <mergeCell ref="L333:M333"/>
    <mergeCell ref="N333:O333"/>
    <mergeCell ref="P333:Q333"/>
    <mergeCell ref="AY331:AY334"/>
    <mergeCell ref="AZ331:AZ334"/>
    <mergeCell ref="BA331:BA334"/>
    <mergeCell ref="BB331:BB334"/>
    <mergeCell ref="R295:S295"/>
    <mergeCell ref="T295:U295"/>
    <mergeCell ref="BA293:BA296"/>
    <mergeCell ref="BB293:BB296"/>
    <mergeCell ref="BD293:BE294"/>
    <mergeCell ref="H294:I294"/>
    <mergeCell ref="J294:K294"/>
    <mergeCell ref="L294:M294"/>
    <mergeCell ref="AC324:AD324"/>
    <mergeCell ref="BD324:BD325"/>
    <mergeCell ref="BE324:BE325"/>
    <mergeCell ref="A327:BE327"/>
    <mergeCell ref="A328:BE328"/>
    <mergeCell ref="A331:A334"/>
    <mergeCell ref="B331:B334"/>
    <mergeCell ref="C331:C334"/>
    <mergeCell ref="H331:U331"/>
    <mergeCell ref="V331:V334"/>
    <mergeCell ref="L324:M324"/>
    <mergeCell ref="N324:O324"/>
    <mergeCell ref="P324:Q324"/>
    <mergeCell ref="R324:S324"/>
    <mergeCell ref="T324:U324"/>
    <mergeCell ref="Z324:AA324"/>
    <mergeCell ref="BB322:BB325"/>
    <mergeCell ref="BD322:BE323"/>
    <mergeCell ref="H323:I323"/>
    <mergeCell ref="J323:K323"/>
    <mergeCell ref="L323:M323"/>
    <mergeCell ref="N323:O323"/>
    <mergeCell ref="P323:Q323"/>
    <mergeCell ref="R323:S323"/>
    <mergeCell ref="N294:O294"/>
    <mergeCell ref="P294:Q294"/>
    <mergeCell ref="R294:S294"/>
    <mergeCell ref="T294:U294"/>
    <mergeCell ref="AM293:AM295"/>
    <mergeCell ref="AN293:AN295"/>
    <mergeCell ref="AP293:AR294"/>
    <mergeCell ref="AS293:AW294"/>
    <mergeCell ref="AY293:AY296"/>
    <mergeCell ref="AZ293:AZ296"/>
    <mergeCell ref="A289:BE289"/>
    <mergeCell ref="A290:BE290"/>
    <mergeCell ref="A293:A296"/>
    <mergeCell ref="B293:B296"/>
    <mergeCell ref="C293:C296"/>
    <mergeCell ref="H293:U293"/>
    <mergeCell ref="V293:V296"/>
    <mergeCell ref="W293:AD293"/>
    <mergeCell ref="AE293:AE295"/>
    <mergeCell ref="AF293:AL294"/>
    <mergeCell ref="Z295:AA295"/>
    <mergeCell ref="AC295:AD295"/>
    <mergeCell ref="BD295:BD296"/>
    <mergeCell ref="BE295:BE296"/>
    <mergeCell ref="W294:X294"/>
    <mergeCell ref="Y294:AA294"/>
    <mergeCell ref="AB294:AD294"/>
    <mergeCell ref="H295:I295"/>
    <mergeCell ref="J295:K295"/>
    <mergeCell ref="L295:M295"/>
    <mergeCell ref="N295:O295"/>
    <mergeCell ref="P295:Q295"/>
    <mergeCell ref="T286:U286"/>
    <mergeCell ref="Z286:AA286"/>
    <mergeCell ref="AC286:AD286"/>
    <mergeCell ref="BD286:BD287"/>
    <mergeCell ref="BE286:BE287"/>
    <mergeCell ref="R285:S285"/>
    <mergeCell ref="T285:U285"/>
    <mergeCell ref="W285:X285"/>
    <mergeCell ref="Y285:AA285"/>
    <mergeCell ref="AB285:AD285"/>
    <mergeCell ref="H286:I286"/>
    <mergeCell ref="J286:K286"/>
    <mergeCell ref="L286:M286"/>
    <mergeCell ref="N286:O286"/>
    <mergeCell ref="P286:Q286"/>
    <mergeCell ref="AY284:AY287"/>
    <mergeCell ref="AZ284:AZ287"/>
    <mergeCell ref="BA284:BA287"/>
    <mergeCell ref="BB284:BB287"/>
    <mergeCell ref="BD284:BE285"/>
    <mergeCell ref="H285:I285"/>
    <mergeCell ref="J285:K285"/>
    <mergeCell ref="L285:M285"/>
    <mergeCell ref="N285:O285"/>
    <mergeCell ref="P285:Q285"/>
    <mergeCell ref="AE284:AE286"/>
    <mergeCell ref="AF284:AL285"/>
    <mergeCell ref="AM284:AM286"/>
    <mergeCell ref="AN284:AN286"/>
    <mergeCell ref="AP284:AR285"/>
    <mergeCell ref="AS284:AW285"/>
    <mergeCell ref="BE277:BE278"/>
    <mergeCell ref="A280:BE280"/>
    <mergeCell ref="A281:BE281"/>
    <mergeCell ref="A284:A287"/>
    <mergeCell ref="B284:B287"/>
    <mergeCell ref="C284:C287"/>
    <mergeCell ref="H284:U284"/>
    <mergeCell ref="V284:V287"/>
    <mergeCell ref="W284:AD284"/>
    <mergeCell ref="AB276:AD276"/>
    <mergeCell ref="H277:I277"/>
    <mergeCell ref="J277:K277"/>
    <mergeCell ref="L277:M277"/>
    <mergeCell ref="N277:O277"/>
    <mergeCell ref="P277:Q277"/>
    <mergeCell ref="R277:S277"/>
    <mergeCell ref="T277:U277"/>
    <mergeCell ref="Z277:AA277"/>
    <mergeCell ref="AC277:AD277"/>
    <mergeCell ref="AY275:AY278"/>
    <mergeCell ref="AZ275:AZ278"/>
    <mergeCell ref="BA275:BA278"/>
    <mergeCell ref="BB275:BB278"/>
    <mergeCell ref="BD275:BE276"/>
    <mergeCell ref="H276:I276"/>
    <mergeCell ref="J276:K276"/>
    <mergeCell ref="L276:M276"/>
    <mergeCell ref="N276:O276"/>
    <mergeCell ref="P276:Q276"/>
    <mergeCell ref="AE275:AE277"/>
    <mergeCell ref="AF275:AL276"/>
    <mergeCell ref="R286:S286"/>
    <mergeCell ref="AM275:AM277"/>
    <mergeCell ref="AN275:AN277"/>
    <mergeCell ref="AP275:AR276"/>
    <mergeCell ref="AS275:AW276"/>
    <mergeCell ref="A275:A278"/>
    <mergeCell ref="B275:B278"/>
    <mergeCell ref="C275:C278"/>
    <mergeCell ref="H275:U275"/>
    <mergeCell ref="V275:V278"/>
    <mergeCell ref="W275:AD275"/>
    <mergeCell ref="R276:S276"/>
    <mergeCell ref="T276:U276"/>
    <mergeCell ref="W276:X276"/>
    <mergeCell ref="Y276:AA276"/>
    <mergeCell ref="Z268:AA268"/>
    <mergeCell ref="AC268:AD268"/>
    <mergeCell ref="BD268:BD269"/>
    <mergeCell ref="BD277:BD278"/>
    <mergeCell ref="BE268:BE269"/>
    <mergeCell ref="A271:BE271"/>
    <mergeCell ref="A272:BE272"/>
    <mergeCell ref="W267:X267"/>
    <mergeCell ref="Y267:AA267"/>
    <mergeCell ref="AB267:AD267"/>
    <mergeCell ref="H268:I268"/>
    <mergeCell ref="J268:K268"/>
    <mergeCell ref="L268:M268"/>
    <mergeCell ref="N268:O268"/>
    <mergeCell ref="P268:Q268"/>
    <mergeCell ref="R268:S268"/>
    <mergeCell ref="T268:U268"/>
    <mergeCell ref="BA266:BA269"/>
    <mergeCell ref="BB266:BB269"/>
    <mergeCell ref="BD266:BE267"/>
    <mergeCell ref="H267:I267"/>
    <mergeCell ref="J267:K267"/>
    <mergeCell ref="L267:M267"/>
    <mergeCell ref="N267:O267"/>
    <mergeCell ref="P267:Q267"/>
    <mergeCell ref="R267:S267"/>
    <mergeCell ref="T267:U267"/>
    <mergeCell ref="AM266:AM268"/>
    <mergeCell ref="AN266:AN268"/>
    <mergeCell ref="AP266:AR267"/>
    <mergeCell ref="AS266:AW267"/>
    <mergeCell ref="AY266:AY269"/>
    <mergeCell ref="AZ266:AZ269"/>
    <mergeCell ref="A262:BE262"/>
    <mergeCell ref="A263:BE263"/>
    <mergeCell ref="A266:A269"/>
    <mergeCell ref="B266:B269"/>
    <mergeCell ref="C266:C269"/>
    <mergeCell ref="H266:U266"/>
    <mergeCell ref="V266:V269"/>
    <mergeCell ref="W266:AD266"/>
    <mergeCell ref="AE266:AE268"/>
    <mergeCell ref="AF266:AL267"/>
    <mergeCell ref="R259:S259"/>
    <mergeCell ref="T259:U259"/>
    <mergeCell ref="Z259:AA259"/>
    <mergeCell ref="AC259:AD259"/>
    <mergeCell ref="BD259:BD260"/>
    <mergeCell ref="BE259:BE260"/>
    <mergeCell ref="R258:S258"/>
    <mergeCell ref="T258:U258"/>
    <mergeCell ref="W258:X258"/>
    <mergeCell ref="Y258:AA258"/>
    <mergeCell ref="AB258:AD258"/>
    <mergeCell ref="H259:I259"/>
    <mergeCell ref="J259:K259"/>
    <mergeCell ref="L259:M259"/>
    <mergeCell ref="N259:O259"/>
    <mergeCell ref="P259:Q259"/>
    <mergeCell ref="AY257:AY260"/>
    <mergeCell ref="AZ257:AZ260"/>
    <mergeCell ref="BA257:BA260"/>
    <mergeCell ref="BB257:BB260"/>
    <mergeCell ref="BD257:BE258"/>
    <mergeCell ref="H258:I258"/>
    <mergeCell ref="J258:K258"/>
    <mergeCell ref="L258:M258"/>
    <mergeCell ref="N258:O258"/>
    <mergeCell ref="P258:Q258"/>
    <mergeCell ref="AE257:AE259"/>
    <mergeCell ref="AF257:AL258"/>
    <mergeCell ref="AM257:AM259"/>
    <mergeCell ref="AN257:AN259"/>
    <mergeCell ref="AP257:AR258"/>
    <mergeCell ref="AS257:AW258"/>
    <mergeCell ref="BD250:BD251"/>
    <mergeCell ref="BE250:BE251"/>
    <mergeCell ref="A253:BE253"/>
    <mergeCell ref="A254:BE254"/>
    <mergeCell ref="A257:A260"/>
    <mergeCell ref="B257:B260"/>
    <mergeCell ref="C257:C260"/>
    <mergeCell ref="H257:U257"/>
    <mergeCell ref="V257:V260"/>
    <mergeCell ref="W257:AD257"/>
    <mergeCell ref="A248:A251"/>
    <mergeCell ref="B248:B251"/>
    <mergeCell ref="C248:C251"/>
    <mergeCell ref="Y249:AA249"/>
    <mergeCell ref="AB249:AD249"/>
    <mergeCell ref="H250:I250"/>
    <mergeCell ref="J250:K250"/>
    <mergeCell ref="L250:M250"/>
    <mergeCell ref="N250:O250"/>
    <mergeCell ref="P250:Q250"/>
    <mergeCell ref="R250:S250"/>
    <mergeCell ref="T250:U250"/>
    <mergeCell ref="Z250:AA250"/>
    <mergeCell ref="AC250:AD250"/>
    <mergeCell ref="AY248:AY251"/>
    <mergeCell ref="AZ248:AZ251"/>
    <mergeCell ref="BA248:BA251"/>
    <mergeCell ref="BB248:BB251"/>
    <mergeCell ref="BD248:BE249"/>
    <mergeCell ref="H249:I249"/>
    <mergeCell ref="J249:K249"/>
    <mergeCell ref="L249:M249"/>
    <mergeCell ref="N249:O249"/>
    <mergeCell ref="P249:Q249"/>
    <mergeCell ref="AE248:AE250"/>
    <mergeCell ref="AF248:AL249"/>
    <mergeCell ref="AM248:AM250"/>
    <mergeCell ref="AN248:AN250"/>
    <mergeCell ref="AP248:AR249"/>
    <mergeCell ref="AS248:AW249"/>
    <mergeCell ref="H248:U248"/>
    <mergeCell ref="V248:V251"/>
    <mergeCell ref="W248:AD248"/>
    <mergeCell ref="R249:S249"/>
    <mergeCell ref="T249:U249"/>
    <mergeCell ref="W249:X249"/>
    <mergeCell ref="Z241:AA241"/>
    <mergeCell ref="AC241:AD241"/>
    <mergeCell ref="BD241:BD242"/>
    <mergeCell ref="BE241:BE242"/>
    <mergeCell ref="A244:BE244"/>
    <mergeCell ref="A245:BE245"/>
    <mergeCell ref="W240:X240"/>
    <mergeCell ref="Y240:AA240"/>
    <mergeCell ref="AB240:AD240"/>
    <mergeCell ref="H241:I241"/>
    <mergeCell ref="J241:K241"/>
    <mergeCell ref="L241:M241"/>
    <mergeCell ref="N241:O241"/>
    <mergeCell ref="P241:Q241"/>
    <mergeCell ref="R241:S241"/>
    <mergeCell ref="T241:U241"/>
    <mergeCell ref="BA239:BA242"/>
    <mergeCell ref="BB239:BB242"/>
    <mergeCell ref="BD239:BE240"/>
    <mergeCell ref="H240:I240"/>
    <mergeCell ref="J240:K240"/>
    <mergeCell ref="L240:M240"/>
    <mergeCell ref="N240:O240"/>
    <mergeCell ref="P240:Q240"/>
    <mergeCell ref="R240:S240"/>
    <mergeCell ref="T240:U240"/>
    <mergeCell ref="AM239:AM241"/>
    <mergeCell ref="AN239:AN241"/>
    <mergeCell ref="AP239:AR240"/>
    <mergeCell ref="AS239:AW240"/>
    <mergeCell ref="AY239:AY242"/>
    <mergeCell ref="AZ239:AZ242"/>
    <mergeCell ref="A235:BE235"/>
    <mergeCell ref="A236:BE236"/>
    <mergeCell ref="A239:A242"/>
    <mergeCell ref="B239:B242"/>
    <mergeCell ref="C239:C242"/>
    <mergeCell ref="H239:U239"/>
    <mergeCell ref="V239:V242"/>
    <mergeCell ref="W239:AD239"/>
    <mergeCell ref="AE239:AE241"/>
    <mergeCell ref="AF239:AL240"/>
    <mergeCell ref="R232:S232"/>
    <mergeCell ref="T232:U232"/>
    <mergeCell ref="Z232:AA232"/>
    <mergeCell ref="AC232:AD232"/>
    <mergeCell ref="BD232:BD233"/>
    <mergeCell ref="BE232:BE233"/>
    <mergeCell ref="R231:S231"/>
    <mergeCell ref="T231:U231"/>
    <mergeCell ref="W231:X231"/>
    <mergeCell ref="Y231:AA231"/>
    <mergeCell ref="AB231:AD231"/>
    <mergeCell ref="H232:I232"/>
    <mergeCell ref="J232:K232"/>
    <mergeCell ref="L232:M232"/>
    <mergeCell ref="N232:O232"/>
    <mergeCell ref="P232:Q232"/>
    <mergeCell ref="AY230:AY233"/>
    <mergeCell ref="AZ230:AZ233"/>
    <mergeCell ref="BA230:BA233"/>
    <mergeCell ref="BB230:BB233"/>
    <mergeCell ref="BD230:BE231"/>
    <mergeCell ref="H231:I231"/>
    <mergeCell ref="J231:K231"/>
    <mergeCell ref="L231:M231"/>
    <mergeCell ref="N231:O231"/>
    <mergeCell ref="P231:Q231"/>
    <mergeCell ref="AE230:AE232"/>
    <mergeCell ref="AF230:AL231"/>
    <mergeCell ref="AM230:AM232"/>
    <mergeCell ref="AN230:AN232"/>
    <mergeCell ref="AP230:AR231"/>
    <mergeCell ref="AS230:AW231"/>
    <mergeCell ref="BD223:BD224"/>
    <mergeCell ref="BE223:BE224"/>
    <mergeCell ref="A226:BE226"/>
    <mergeCell ref="A227:BE227"/>
    <mergeCell ref="A230:A233"/>
    <mergeCell ref="B230:B233"/>
    <mergeCell ref="C230:C233"/>
    <mergeCell ref="H230:U230"/>
    <mergeCell ref="V230:V233"/>
    <mergeCell ref="W230:AD230"/>
    <mergeCell ref="A221:A224"/>
    <mergeCell ref="B221:B224"/>
    <mergeCell ref="C221:C224"/>
    <mergeCell ref="Y222:AA222"/>
    <mergeCell ref="AB222:AD222"/>
    <mergeCell ref="H223:I223"/>
    <mergeCell ref="J223:K223"/>
    <mergeCell ref="L223:M223"/>
    <mergeCell ref="N223:O223"/>
    <mergeCell ref="P223:Q223"/>
    <mergeCell ref="R223:S223"/>
    <mergeCell ref="T223:U223"/>
    <mergeCell ref="Z223:AA223"/>
    <mergeCell ref="AC223:AD223"/>
    <mergeCell ref="AY221:AY224"/>
    <mergeCell ref="AZ221:AZ224"/>
    <mergeCell ref="BA221:BA224"/>
    <mergeCell ref="BB221:BB224"/>
    <mergeCell ref="BD221:BE222"/>
    <mergeCell ref="H222:I222"/>
    <mergeCell ref="J222:K222"/>
    <mergeCell ref="L222:M222"/>
    <mergeCell ref="N222:O222"/>
    <mergeCell ref="P222:Q222"/>
    <mergeCell ref="AE221:AE223"/>
    <mergeCell ref="AF221:AL222"/>
    <mergeCell ref="AM221:AM223"/>
    <mergeCell ref="AN221:AN223"/>
    <mergeCell ref="AP221:AR222"/>
    <mergeCell ref="AS221:AW222"/>
    <mergeCell ref="H221:U221"/>
    <mergeCell ref="V221:V224"/>
    <mergeCell ref="W221:AD221"/>
    <mergeCell ref="R222:S222"/>
    <mergeCell ref="T222:U222"/>
    <mergeCell ref="W222:X222"/>
    <mergeCell ref="Z214:AA214"/>
    <mergeCell ref="AC214:AD214"/>
    <mergeCell ref="BD214:BD215"/>
    <mergeCell ref="BE214:BE215"/>
    <mergeCell ref="A217:BE217"/>
    <mergeCell ref="A218:BE218"/>
    <mergeCell ref="W213:X213"/>
    <mergeCell ref="Y213:AA213"/>
    <mergeCell ref="AB213:AD213"/>
    <mergeCell ref="H214:I214"/>
    <mergeCell ref="J214:K214"/>
    <mergeCell ref="L214:M214"/>
    <mergeCell ref="N214:O214"/>
    <mergeCell ref="P214:Q214"/>
    <mergeCell ref="R214:S214"/>
    <mergeCell ref="T214:U214"/>
    <mergeCell ref="BA212:BA215"/>
    <mergeCell ref="BB212:BB215"/>
    <mergeCell ref="BD212:BE213"/>
    <mergeCell ref="H213:I213"/>
    <mergeCell ref="J213:K213"/>
    <mergeCell ref="L213:M213"/>
    <mergeCell ref="N213:O213"/>
    <mergeCell ref="P213:Q213"/>
    <mergeCell ref="R213:S213"/>
    <mergeCell ref="T213:U213"/>
    <mergeCell ref="AM212:AM214"/>
    <mergeCell ref="AN212:AN214"/>
    <mergeCell ref="AP212:AR213"/>
    <mergeCell ref="AS212:AW213"/>
    <mergeCell ref="AY212:AY215"/>
    <mergeCell ref="AZ212:AZ215"/>
    <mergeCell ref="A208:BE208"/>
    <mergeCell ref="A209:BE209"/>
    <mergeCell ref="A212:A215"/>
    <mergeCell ref="B212:B215"/>
    <mergeCell ref="C212:C215"/>
    <mergeCell ref="H212:U212"/>
    <mergeCell ref="V212:V215"/>
    <mergeCell ref="W212:AD212"/>
    <mergeCell ref="AE212:AE214"/>
    <mergeCell ref="AF212:AL213"/>
    <mergeCell ref="R205:S205"/>
    <mergeCell ref="T205:U205"/>
    <mergeCell ref="Z205:AA205"/>
    <mergeCell ref="AC205:AD205"/>
    <mergeCell ref="BD205:BD206"/>
    <mergeCell ref="BE205:BE206"/>
    <mergeCell ref="R204:S204"/>
    <mergeCell ref="T204:U204"/>
    <mergeCell ref="W204:X204"/>
    <mergeCell ref="Y204:AA204"/>
    <mergeCell ref="AB204:AD204"/>
    <mergeCell ref="H205:I205"/>
    <mergeCell ref="J205:K205"/>
    <mergeCell ref="L205:M205"/>
    <mergeCell ref="N205:O205"/>
    <mergeCell ref="P205:Q205"/>
    <mergeCell ref="AY203:AY206"/>
    <mergeCell ref="AZ203:AZ206"/>
    <mergeCell ref="BA203:BA206"/>
    <mergeCell ref="BB203:BB206"/>
    <mergeCell ref="BD203:BE204"/>
    <mergeCell ref="H204:I204"/>
    <mergeCell ref="J204:K204"/>
    <mergeCell ref="L204:M204"/>
    <mergeCell ref="N204:O204"/>
    <mergeCell ref="P204:Q204"/>
    <mergeCell ref="AE203:AE205"/>
    <mergeCell ref="AF203:AL204"/>
    <mergeCell ref="AM203:AM205"/>
    <mergeCell ref="AN203:AN205"/>
    <mergeCell ref="AP203:AR204"/>
    <mergeCell ref="AS203:AW204"/>
    <mergeCell ref="BD196:BD197"/>
    <mergeCell ref="BE196:BE197"/>
    <mergeCell ref="A199:BE199"/>
    <mergeCell ref="A200:BE200"/>
    <mergeCell ref="A203:A206"/>
    <mergeCell ref="B203:B206"/>
    <mergeCell ref="C203:C206"/>
    <mergeCell ref="H203:U203"/>
    <mergeCell ref="V203:V206"/>
    <mergeCell ref="W203:AD203"/>
    <mergeCell ref="A194:A197"/>
    <mergeCell ref="B194:B197"/>
    <mergeCell ref="C194:C197"/>
    <mergeCell ref="Y195:AA195"/>
    <mergeCell ref="AB195:AD195"/>
    <mergeCell ref="H196:I196"/>
    <mergeCell ref="J196:K196"/>
    <mergeCell ref="L196:M196"/>
    <mergeCell ref="N196:O196"/>
    <mergeCell ref="P196:Q196"/>
    <mergeCell ref="R196:S196"/>
    <mergeCell ref="T196:U196"/>
    <mergeCell ref="Z196:AA196"/>
    <mergeCell ref="AC196:AD196"/>
    <mergeCell ref="AY194:AY197"/>
    <mergeCell ref="AZ194:AZ197"/>
    <mergeCell ref="BA194:BA197"/>
    <mergeCell ref="BB194:BB197"/>
    <mergeCell ref="BD194:BE195"/>
    <mergeCell ref="H195:I195"/>
    <mergeCell ref="J195:K195"/>
    <mergeCell ref="L195:M195"/>
    <mergeCell ref="N195:O195"/>
    <mergeCell ref="P195:Q195"/>
    <mergeCell ref="AE194:AE196"/>
    <mergeCell ref="AF194:AL195"/>
    <mergeCell ref="AM194:AM196"/>
    <mergeCell ref="AN194:AN196"/>
    <mergeCell ref="AP194:AR195"/>
    <mergeCell ref="AS194:AW195"/>
    <mergeCell ref="H194:U194"/>
    <mergeCell ref="V194:V197"/>
    <mergeCell ref="W194:AD194"/>
    <mergeCell ref="R195:S195"/>
    <mergeCell ref="T195:U195"/>
    <mergeCell ref="W195:X195"/>
    <mergeCell ref="Z187:AA187"/>
    <mergeCell ref="AC187:AD187"/>
    <mergeCell ref="BD187:BD188"/>
    <mergeCell ref="BE187:BE188"/>
    <mergeCell ref="A190:BE190"/>
    <mergeCell ref="A191:BE191"/>
    <mergeCell ref="W186:X186"/>
    <mergeCell ref="Y186:AA186"/>
    <mergeCell ref="AB186:AD186"/>
    <mergeCell ref="H187:I187"/>
    <mergeCell ref="J187:K187"/>
    <mergeCell ref="L187:M187"/>
    <mergeCell ref="N187:O187"/>
    <mergeCell ref="P187:Q187"/>
    <mergeCell ref="R187:S187"/>
    <mergeCell ref="T187:U187"/>
    <mergeCell ref="BA185:BA188"/>
    <mergeCell ref="BB185:BB188"/>
    <mergeCell ref="BD185:BE186"/>
    <mergeCell ref="H186:I186"/>
    <mergeCell ref="J186:K186"/>
    <mergeCell ref="L186:M186"/>
    <mergeCell ref="N186:O186"/>
    <mergeCell ref="P186:Q186"/>
    <mergeCell ref="R186:S186"/>
    <mergeCell ref="T186:U186"/>
    <mergeCell ref="AM185:AM187"/>
    <mergeCell ref="AN185:AN187"/>
    <mergeCell ref="AP185:AR186"/>
    <mergeCell ref="AS185:AW186"/>
    <mergeCell ref="AY185:AY188"/>
    <mergeCell ref="AZ185:AZ188"/>
    <mergeCell ref="A181:BE181"/>
    <mergeCell ref="A182:BE182"/>
    <mergeCell ref="A185:A188"/>
    <mergeCell ref="B185:B188"/>
    <mergeCell ref="C185:C188"/>
    <mergeCell ref="H185:U185"/>
    <mergeCell ref="V185:V188"/>
    <mergeCell ref="W185:AD185"/>
    <mergeCell ref="AE185:AE187"/>
    <mergeCell ref="AF185:AL186"/>
    <mergeCell ref="R178:S178"/>
    <mergeCell ref="T178:U178"/>
    <mergeCell ref="Z178:AA178"/>
    <mergeCell ref="AC178:AD178"/>
    <mergeCell ref="BD178:BD179"/>
    <mergeCell ref="BE178:BE179"/>
    <mergeCell ref="R177:S177"/>
    <mergeCell ref="T177:U177"/>
    <mergeCell ref="W177:X177"/>
    <mergeCell ref="Y177:AA177"/>
    <mergeCell ref="AB177:AD177"/>
    <mergeCell ref="H178:I178"/>
    <mergeCell ref="J178:K178"/>
    <mergeCell ref="L178:M178"/>
    <mergeCell ref="N178:O178"/>
    <mergeCell ref="P178:Q178"/>
    <mergeCell ref="AY176:AY179"/>
    <mergeCell ref="AZ176:AZ179"/>
    <mergeCell ref="BA176:BA179"/>
    <mergeCell ref="BB176:BB179"/>
    <mergeCell ref="BD176:BE177"/>
    <mergeCell ref="H177:I177"/>
    <mergeCell ref="J177:K177"/>
    <mergeCell ref="L177:M177"/>
    <mergeCell ref="N177:O177"/>
    <mergeCell ref="P177:Q177"/>
    <mergeCell ref="AE176:AE178"/>
    <mergeCell ref="AF176:AL177"/>
    <mergeCell ref="AM176:AM178"/>
    <mergeCell ref="AN176:AN178"/>
    <mergeCell ref="AP176:AR177"/>
    <mergeCell ref="AS176:AW177"/>
    <mergeCell ref="BD169:BD170"/>
    <mergeCell ref="BE169:BE170"/>
    <mergeCell ref="A172:BE172"/>
    <mergeCell ref="A173:BE173"/>
    <mergeCell ref="A176:A179"/>
    <mergeCell ref="B176:B179"/>
    <mergeCell ref="C176:C179"/>
    <mergeCell ref="H176:U176"/>
    <mergeCell ref="V176:V179"/>
    <mergeCell ref="W176:AD176"/>
    <mergeCell ref="A167:A170"/>
    <mergeCell ref="B167:B170"/>
    <mergeCell ref="C167:C170"/>
    <mergeCell ref="Y168:AA168"/>
    <mergeCell ref="AB168:AD168"/>
    <mergeCell ref="H169:I169"/>
    <mergeCell ref="J169:K169"/>
    <mergeCell ref="L169:M169"/>
    <mergeCell ref="N169:O169"/>
    <mergeCell ref="P169:Q169"/>
    <mergeCell ref="R169:S169"/>
    <mergeCell ref="T169:U169"/>
    <mergeCell ref="Z169:AA169"/>
    <mergeCell ref="AC169:AD169"/>
    <mergeCell ref="AY167:AY170"/>
    <mergeCell ref="AZ167:AZ170"/>
    <mergeCell ref="BA167:BA170"/>
    <mergeCell ref="BB167:BB170"/>
    <mergeCell ref="BD167:BE168"/>
    <mergeCell ref="H168:I168"/>
    <mergeCell ref="J168:K168"/>
    <mergeCell ref="L168:M168"/>
    <mergeCell ref="N168:O168"/>
    <mergeCell ref="P168:Q168"/>
    <mergeCell ref="AE167:AE169"/>
    <mergeCell ref="AF167:AL168"/>
    <mergeCell ref="AM167:AM169"/>
    <mergeCell ref="AN167:AN169"/>
    <mergeCell ref="AP167:AR168"/>
    <mergeCell ref="AS167:AW168"/>
    <mergeCell ref="H167:U167"/>
    <mergeCell ref="V167:V170"/>
    <mergeCell ref="W167:AD167"/>
    <mergeCell ref="R168:S168"/>
    <mergeCell ref="T168:U168"/>
    <mergeCell ref="W168:X168"/>
    <mergeCell ref="Z160:AA160"/>
    <mergeCell ref="AC160:AD160"/>
    <mergeCell ref="BD160:BD161"/>
    <mergeCell ref="BE160:BE161"/>
    <mergeCell ref="A163:BE163"/>
    <mergeCell ref="A164:BE164"/>
    <mergeCell ref="W159:X159"/>
    <mergeCell ref="Y159:AA159"/>
    <mergeCell ref="AB159:AD159"/>
    <mergeCell ref="H160:I160"/>
    <mergeCell ref="J160:K160"/>
    <mergeCell ref="L160:M160"/>
    <mergeCell ref="N160:O160"/>
    <mergeCell ref="P160:Q160"/>
    <mergeCell ref="R160:S160"/>
    <mergeCell ref="T160:U160"/>
    <mergeCell ref="BA158:BA161"/>
    <mergeCell ref="BB158:BB161"/>
    <mergeCell ref="BD158:BE159"/>
    <mergeCell ref="H159:I159"/>
    <mergeCell ref="J159:K159"/>
    <mergeCell ref="L159:M159"/>
    <mergeCell ref="N159:O159"/>
    <mergeCell ref="P159:Q159"/>
    <mergeCell ref="R159:S159"/>
    <mergeCell ref="T159:U159"/>
    <mergeCell ref="AM158:AM160"/>
    <mergeCell ref="AN158:AN160"/>
    <mergeCell ref="AP158:AR159"/>
    <mergeCell ref="AS158:AW159"/>
    <mergeCell ref="AY158:AY161"/>
    <mergeCell ref="AZ158:AZ161"/>
    <mergeCell ref="A154:BE154"/>
    <mergeCell ref="A155:BE155"/>
    <mergeCell ref="A158:A161"/>
    <mergeCell ref="B158:B161"/>
    <mergeCell ref="C158:C161"/>
    <mergeCell ref="H158:U158"/>
    <mergeCell ref="V158:V161"/>
    <mergeCell ref="W158:AD158"/>
    <mergeCell ref="AE158:AE160"/>
    <mergeCell ref="AF158:AL159"/>
    <mergeCell ref="R151:S151"/>
    <mergeCell ref="T151:U151"/>
    <mergeCell ref="Z151:AA151"/>
    <mergeCell ref="AC151:AD151"/>
    <mergeCell ref="BD151:BD152"/>
    <mergeCell ref="BE151:BE152"/>
    <mergeCell ref="R150:S150"/>
    <mergeCell ref="T150:U150"/>
    <mergeCell ref="W150:X150"/>
    <mergeCell ref="Y150:AA150"/>
    <mergeCell ref="AB150:AD150"/>
    <mergeCell ref="H151:I151"/>
    <mergeCell ref="J151:K151"/>
    <mergeCell ref="L151:M151"/>
    <mergeCell ref="N151:O151"/>
    <mergeCell ref="P151:Q151"/>
    <mergeCell ref="AY149:AY152"/>
    <mergeCell ref="AZ149:AZ152"/>
    <mergeCell ref="BA149:BA152"/>
    <mergeCell ref="BB149:BB152"/>
    <mergeCell ref="BD149:BE150"/>
    <mergeCell ref="H150:I150"/>
    <mergeCell ref="J150:K150"/>
    <mergeCell ref="L150:M150"/>
    <mergeCell ref="N150:O150"/>
    <mergeCell ref="P150:Q150"/>
    <mergeCell ref="AE149:AE151"/>
    <mergeCell ref="AF149:AL150"/>
    <mergeCell ref="AM149:AM151"/>
    <mergeCell ref="AN149:AN151"/>
    <mergeCell ref="AP149:AR150"/>
    <mergeCell ref="AS149:AW150"/>
    <mergeCell ref="BD142:BD143"/>
    <mergeCell ref="BE142:BE143"/>
    <mergeCell ref="A145:BE145"/>
    <mergeCell ref="A146:BE146"/>
    <mergeCell ref="A149:A152"/>
    <mergeCell ref="B149:B152"/>
    <mergeCell ref="C149:C152"/>
    <mergeCell ref="H149:U149"/>
    <mergeCell ref="V149:V152"/>
    <mergeCell ref="W149:AD149"/>
    <mergeCell ref="A140:A143"/>
    <mergeCell ref="B140:B143"/>
    <mergeCell ref="C140:C143"/>
    <mergeCell ref="Y141:AA141"/>
    <mergeCell ref="AB141:AD141"/>
    <mergeCell ref="H142:I142"/>
    <mergeCell ref="J142:K142"/>
    <mergeCell ref="L142:M142"/>
    <mergeCell ref="N142:O142"/>
    <mergeCell ref="P142:Q142"/>
    <mergeCell ref="R142:S142"/>
    <mergeCell ref="T142:U142"/>
    <mergeCell ref="Z142:AA142"/>
    <mergeCell ref="AC142:AD142"/>
    <mergeCell ref="AY140:AY143"/>
    <mergeCell ref="AZ140:AZ143"/>
    <mergeCell ref="BA140:BA143"/>
    <mergeCell ref="BB140:BB143"/>
    <mergeCell ref="BD140:BE141"/>
    <mergeCell ref="H141:I141"/>
    <mergeCell ref="J141:K141"/>
    <mergeCell ref="L141:M141"/>
    <mergeCell ref="N141:O141"/>
    <mergeCell ref="P141:Q141"/>
    <mergeCell ref="AE140:AE142"/>
    <mergeCell ref="AF140:AL141"/>
    <mergeCell ref="AM140:AM142"/>
    <mergeCell ref="AN140:AN142"/>
    <mergeCell ref="AP140:AR141"/>
    <mergeCell ref="AS140:AW141"/>
    <mergeCell ref="H140:U140"/>
    <mergeCell ref="V140:V143"/>
    <mergeCell ref="W140:AD140"/>
    <mergeCell ref="R141:S141"/>
    <mergeCell ref="T141:U141"/>
    <mergeCell ref="W141:X141"/>
    <mergeCell ref="Z133:AA133"/>
    <mergeCell ref="AC133:AD133"/>
    <mergeCell ref="BD133:BD134"/>
    <mergeCell ref="BE133:BE134"/>
    <mergeCell ref="A136:BE136"/>
    <mergeCell ref="A137:BE137"/>
    <mergeCell ref="W132:X132"/>
    <mergeCell ref="Y132:AA132"/>
    <mergeCell ref="AB132:AD132"/>
    <mergeCell ref="H133:I133"/>
    <mergeCell ref="J133:K133"/>
    <mergeCell ref="L133:M133"/>
    <mergeCell ref="N133:O133"/>
    <mergeCell ref="P133:Q133"/>
    <mergeCell ref="R133:S133"/>
    <mergeCell ref="T133:U133"/>
    <mergeCell ref="BA131:BA134"/>
    <mergeCell ref="BB131:BB134"/>
    <mergeCell ref="BD131:BE132"/>
    <mergeCell ref="H132:I132"/>
    <mergeCell ref="J132:K132"/>
    <mergeCell ref="L132:M132"/>
    <mergeCell ref="N132:O132"/>
    <mergeCell ref="P132:Q132"/>
    <mergeCell ref="R132:S132"/>
    <mergeCell ref="T132:U132"/>
    <mergeCell ref="AM131:AM133"/>
    <mergeCell ref="AN131:AN133"/>
    <mergeCell ref="AP131:AR132"/>
    <mergeCell ref="AS131:AW132"/>
    <mergeCell ref="AY131:AY134"/>
    <mergeCell ref="AZ131:AZ134"/>
    <mergeCell ref="A127:BE127"/>
    <mergeCell ref="A128:BE128"/>
    <mergeCell ref="A131:A134"/>
    <mergeCell ref="B131:B134"/>
    <mergeCell ref="C131:C134"/>
    <mergeCell ref="H131:U131"/>
    <mergeCell ref="V131:V134"/>
    <mergeCell ref="W131:AD131"/>
    <mergeCell ref="AE131:AE133"/>
    <mergeCell ref="AF131:AL132"/>
    <mergeCell ref="R124:S124"/>
    <mergeCell ref="T124:U124"/>
    <mergeCell ref="Z124:AA124"/>
    <mergeCell ref="AC124:AD124"/>
    <mergeCell ref="BD124:BD125"/>
    <mergeCell ref="BE124:BE125"/>
    <mergeCell ref="R123:S123"/>
    <mergeCell ref="T123:U123"/>
    <mergeCell ref="W123:X123"/>
    <mergeCell ref="Y123:AA123"/>
    <mergeCell ref="AB123:AD123"/>
    <mergeCell ref="H124:I124"/>
    <mergeCell ref="J124:K124"/>
    <mergeCell ref="L124:M124"/>
    <mergeCell ref="N124:O124"/>
    <mergeCell ref="P124:Q124"/>
    <mergeCell ref="AY122:AY125"/>
    <mergeCell ref="AZ122:AZ125"/>
    <mergeCell ref="BA122:BA125"/>
    <mergeCell ref="BB122:BB125"/>
    <mergeCell ref="BD122:BE123"/>
    <mergeCell ref="H123:I123"/>
    <mergeCell ref="J123:K123"/>
    <mergeCell ref="L123:M123"/>
    <mergeCell ref="N123:O123"/>
    <mergeCell ref="P123:Q123"/>
    <mergeCell ref="AE122:AE124"/>
    <mergeCell ref="AF122:AL123"/>
    <mergeCell ref="AM122:AM124"/>
    <mergeCell ref="AN122:AN124"/>
    <mergeCell ref="AP122:AR123"/>
    <mergeCell ref="AS122:AW123"/>
    <mergeCell ref="BD115:BD116"/>
    <mergeCell ref="BE115:BE116"/>
    <mergeCell ref="A118:BE118"/>
    <mergeCell ref="A119:BE119"/>
    <mergeCell ref="A122:A125"/>
    <mergeCell ref="B122:B125"/>
    <mergeCell ref="C122:C125"/>
    <mergeCell ref="H122:U122"/>
    <mergeCell ref="V122:V125"/>
    <mergeCell ref="W122:AD122"/>
    <mergeCell ref="A113:A116"/>
    <mergeCell ref="B113:B116"/>
    <mergeCell ref="C113:C116"/>
    <mergeCell ref="Y114:AA114"/>
    <mergeCell ref="AB114:AD114"/>
    <mergeCell ref="H115:I115"/>
    <mergeCell ref="J115:K115"/>
    <mergeCell ref="L115:M115"/>
    <mergeCell ref="N115:O115"/>
    <mergeCell ref="P115:Q115"/>
    <mergeCell ref="R115:S115"/>
    <mergeCell ref="T115:U115"/>
    <mergeCell ref="Z115:AA115"/>
    <mergeCell ref="AC115:AD115"/>
    <mergeCell ref="AY113:AY116"/>
    <mergeCell ref="AZ113:AZ116"/>
    <mergeCell ref="BA113:BA116"/>
    <mergeCell ref="BB113:BB116"/>
    <mergeCell ref="BD113:BE114"/>
    <mergeCell ref="H114:I114"/>
    <mergeCell ref="J114:K114"/>
    <mergeCell ref="L114:M114"/>
    <mergeCell ref="N114:O114"/>
    <mergeCell ref="P114:Q114"/>
    <mergeCell ref="AE113:AE115"/>
    <mergeCell ref="AF113:AL114"/>
    <mergeCell ref="AM113:AM115"/>
    <mergeCell ref="AN113:AN115"/>
    <mergeCell ref="AP113:AR114"/>
    <mergeCell ref="AS113:AW114"/>
    <mergeCell ref="H113:U113"/>
    <mergeCell ref="V113:V116"/>
    <mergeCell ref="W113:AD113"/>
    <mergeCell ref="R114:S114"/>
    <mergeCell ref="T114:U114"/>
    <mergeCell ref="W114:X114"/>
    <mergeCell ref="Z106:AA106"/>
    <mergeCell ref="AC106:AD106"/>
    <mergeCell ref="BD106:BD107"/>
    <mergeCell ref="BE106:BE107"/>
    <mergeCell ref="A109:BE109"/>
    <mergeCell ref="A110:BE110"/>
    <mergeCell ref="W105:X105"/>
    <mergeCell ref="Y105:AA105"/>
    <mergeCell ref="AB105:AD105"/>
    <mergeCell ref="H106:I106"/>
    <mergeCell ref="J106:K106"/>
    <mergeCell ref="L106:M106"/>
    <mergeCell ref="N106:O106"/>
    <mergeCell ref="P106:Q106"/>
    <mergeCell ref="R106:S106"/>
    <mergeCell ref="T106:U106"/>
    <mergeCell ref="BA104:BA107"/>
    <mergeCell ref="BB104:BB107"/>
    <mergeCell ref="BD104:BE105"/>
    <mergeCell ref="H105:I105"/>
    <mergeCell ref="J105:K105"/>
    <mergeCell ref="L105:M105"/>
    <mergeCell ref="N105:O105"/>
    <mergeCell ref="P105:Q105"/>
    <mergeCell ref="R105:S105"/>
    <mergeCell ref="T105:U105"/>
    <mergeCell ref="AM104:AM106"/>
    <mergeCell ref="AN104:AN106"/>
    <mergeCell ref="AP104:AR105"/>
    <mergeCell ref="AS104:AW105"/>
    <mergeCell ref="AY104:AY107"/>
    <mergeCell ref="AZ104:AZ107"/>
    <mergeCell ref="A100:BE100"/>
    <mergeCell ref="A101:BE101"/>
    <mergeCell ref="A104:A107"/>
    <mergeCell ref="B104:B107"/>
    <mergeCell ref="C104:C107"/>
    <mergeCell ref="H104:U104"/>
    <mergeCell ref="V104:V107"/>
    <mergeCell ref="W104:AD104"/>
    <mergeCell ref="AE104:AE106"/>
    <mergeCell ref="AF104:AL105"/>
    <mergeCell ref="R97:S97"/>
    <mergeCell ref="T97:U97"/>
    <mergeCell ref="Z97:AA97"/>
    <mergeCell ref="AC97:AD97"/>
    <mergeCell ref="BD97:BD98"/>
    <mergeCell ref="BE97:BE98"/>
    <mergeCell ref="R96:S96"/>
    <mergeCell ref="T96:U96"/>
    <mergeCell ref="W96:X96"/>
    <mergeCell ref="Y96:AA96"/>
    <mergeCell ref="AB96:AD96"/>
    <mergeCell ref="H97:I97"/>
    <mergeCell ref="J97:K97"/>
    <mergeCell ref="L97:M97"/>
    <mergeCell ref="N97:O97"/>
    <mergeCell ref="P97:Q97"/>
    <mergeCell ref="AY95:AY98"/>
    <mergeCell ref="AZ95:AZ98"/>
    <mergeCell ref="BA95:BA98"/>
    <mergeCell ref="BB95:BB98"/>
    <mergeCell ref="BD95:BE96"/>
    <mergeCell ref="H96:I96"/>
    <mergeCell ref="J96:K96"/>
    <mergeCell ref="L96:M96"/>
    <mergeCell ref="N96:O96"/>
    <mergeCell ref="P96:Q96"/>
    <mergeCell ref="AE95:AE97"/>
    <mergeCell ref="AF95:AL96"/>
    <mergeCell ref="AM95:AM97"/>
    <mergeCell ref="AN95:AN97"/>
    <mergeCell ref="AP95:AR96"/>
    <mergeCell ref="AS95:AW96"/>
    <mergeCell ref="BD88:BD89"/>
    <mergeCell ref="BE88:BE89"/>
    <mergeCell ref="A91:BE91"/>
    <mergeCell ref="A92:BE92"/>
    <mergeCell ref="A95:A98"/>
    <mergeCell ref="B95:B98"/>
    <mergeCell ref="C95:C98"/>
    <mergeCell ref="H95:U95"/>
    <mergeCell ref="V95:V98"/>
    <mergeCell ref="W95:AD95"/>
    <mergeCell ref="A86:A89"/>
    <mergeCell ref="B86:B89"/>
    <mergeCell ref="C86:C89"/>
    <mergeCell ref="Y87:AA87"/>
    <mergeCell ref="AB87:AD87"/>
    <mergeCell ref="H88:I88"/>
    <mergeCell ref="J88:K88"/>
    <mergeCell ref="L88:M88"/>
    <mergeCell ref="N88:O88"/>
    <mergeCell ref="P88:Q88"/>
    <mergeCell ref="R88:S88"/>
    <mergeCell ref="T88:U88"/>
    <mergeCell ref="Z88:AA88"/>
    <mergeCell ref="AC88:AD88"/>
    <mergeCell ref="AY86:AY89"/>
    <mergeCell ref="AZ86:AZ89"/>
    <mergeCell ref="BA86:BA89"/>
    <mergeCell ref="BB86:BB89"/>
    <mergeCell ref="BD86:BE87"/>
    <mergeCell ref="H87:I87"/>
    <mergeCell ref="J87:K87"/>
    <mergeCell ref="L87:M87"/>
    <mergeCell ref="N87:O87"/>
    <mergeCell ref="P87:Q87"/>
    <mergeCell ref="AE86:AE88"/>
    <mergeCell ref="AF86:AL87"/>
    <mergeCell ref="AM86:AM88"/>
    <mergeCell ref="AN86:AN88"/>
    <mergeCell ref="AP86:AR87"/>
    <mergeCell ref="AS86:AW87"/>
    <mergeCell ref="H86:U86"/>
    <mergeCell ref="V86:V89"/>
    <mergeCell ref="W86:AD86"/>
    <mergeCell ref="R87:S87"/>
    <mergeCell ref="T87:U87"/>
    <mergeCell ref="W87:X87"/>
    <mergeCell ref="Z79:AA79"/>
    <mergeCell ref="AC79:AD79"/>
    <mergeCell ref="BD79:BD80"/>
    <mergeCell ref="BE79:BE80"/>
    <mergeCell ref="A82:BE82"/>
    <mergeCell ref="A83:BE83"/>
    <mergeCell ref="W78:X78"/>
    <mergeCell ref="Y78:AA78"/>
    <mergeCell ref="AB78:AD78"/>
    <mergeCell ref="H79:I79"/>
    <mergeCell ref="J79:K79"/>
    <mergeCell ref="L79:M79"/>
    <mergeCell ref="N79:O79"/>
    <mergeCell ref="P79:Q79"/>
    <mergeCell ref="R79:S79"/>
    <mergeCell ref="T79:U79"/>
    <mergeCell ref="BA77:BA80"/>
    <mergeCell ref="BB77:BB80"/>
    <mergeCell ref="BD77:BE78"/>
    <mergeCell ref="H78:I78"/>
    <mergeCell ref="J78:K78"/>
    <mergeCell ref="L78:M78"/>
    <mergeCell ref="N78:O78"/>
    <mergeCell ref="P78:Q78"/>
    <mergeCell ref="R78:S78"/>
    <mergeCell ref="T78:U78"/>
    <mergeCell ref="AM77:AM79"/>
    <mergeCell ref="AN77:AN79"/>
    <mergeCell ref="AP77:AR78"/>
    <mergeCell ref="AS77:AW78"/>
    <mergeCell ref="AY77:AY80"/>
    <mergeCell ref="AZ77:AZ80"/>
    <mergeCell ref="A73:BE73"/>
    <mergeCell ref="A74:BE74"/>
    <mergeCell ref="A77:A80"/>
    <mergeCell ref="B77:B80"/>
    <mergeCell ref="C77:C80"/>
    <mergeCell ref="H77:U77"/>
    <mergeCell ref="V77:V80"/>
    <mergeCell ref="W77:AD77"/>
    <mergeCell ref="AE77:AE79"/>
    <mergeCell ref="AF77:AL78"/>
    <mergeCell ref="R70:S70"/>
    <mergeCell ref="T70:U70"/>
    <mergeCell ref="Z70:AA70"/>
    <mergeCell ref="AC70:AD70"/>
    <mergeCell ref="BD70:BD71"/>
    <mergeCell ref="BE70:BE71"/>
    <mergeCell ref="R69:S69"/>
    <mergeCell ref="T69:U69"/>
    <mergeCell ref="W69:X69"/>
    <mergeCell ref="Y69:AA69"/>
    <mergeCell ref="AB69:AD69"/>
    <mergeCell ref="H70:I70"/>
    <mergeCell ref="J70:K70"/>
    <mergeCell ref="L70:M70"/>
    <mergeCell ref="N70:O70"/>
    <mergeCell ref="P70:Q70"/>
    <mergeCell ref="AY68:AY71"/>
    <mergeCell ref="AZ68:AZ71"/>
    <mergeCell ref="BA68:BA71"/>
    <mergeCell ref="BB68:BB71"/>
    <mergeCell ref="BD68:BE69"/>
    <mergeCell ref="H69:I69"/>
    <mergeCell ref="J69:K69"/>
    <mergeCell ref="L69:M69"/>
    <mergeCell ref="N69:O69"/>
    <mergeCell ref="P69:Q69"/>
    <mergeCell ref="AE68:AE70"/>
    <mergeCell ref="AF68:AL69"/>
    <mergeCell ref="AM68:AM70"/>
    <mergeCell ref="AN68:AN70"/>
    <mergeCell ref="AP68:AR69"/>
    <mergeCell ref="AS68:AW69"/>
    <mergeCell ref="BD61:BD62"/>
    <mergeCell ref="BE61:BE62"/>
    <mergeCell ref="A64:BE64"/>
    <mergeCell ref="A65:BE65"/>
    <mergeCell ref="A68:A71"/>
    <mergeCell ref="B68:B71"/>
    <mergeCell ref="C68:C71"/>
    <mergeCell ref="H68:U68"/>
    <mergeCell ref="V68:V71"/>
    <mergeCell ref="W68:AD68"/>
    <mergeCell ref="A59:A62"/>
    <mergeCell ref="B59:B62"/>
    <mergeCell ref="C59:C62"/>
    <mergeCell ref="Y60:AA60"/>
    <mergeCell ref="AB60:AD60"/>
    <mergeCell ref="H61:I61"/>
    <mergeCell ref="J61:K61"/>
    <mergeCell ref="L61:M61"/>
    <mergeCell ref="N61:O61"/>
    <mergeCell ref="P61:Q61"/>
    <mergeCell ref="R61:S61"/>
    <mergeCell ref="T61:U61"/>
    <mergeCell ref="Z61:AA61"/>
    <mergeCell ref="AC61:AD61"/>
    <mergeCell ref="AY59:AY62"/>
    <mergeCell ref="AZ59:AZ62"/>
    <mergeCell ref="BA59:BA62"/>
    <mergeCell ref="BB59:BB62"/>
    <mergeCell ref="BD59:BE60"/>
    <mergeCell ref="H60:I60"/>
    <mergeCell ref="J60:K60"/>
    <mergeCell ref="L60:M60"/>
    <mergeCell ref="N60:O60"/>
    <mergeCell ref="P60:Q60"/>
    <mergeCell ref="AE59:AE61"/>
    <mergeCell ref="AF59:AL60"/>
    <mergeCell ref="AM59:AM61"/>
    <mergeCell ref="AN59:AN61"/>
    <mergeCell ref="AP59:AR60"/>
    <mergeCell ref="AS59:AW60"/>
    <mergeCell ref="H59:U59"/>
    <mergeCell ref="V59:V62"/>
    <mergeCell ref="W59:AD59"/>
    <mergeCell ref="R60:S60"/>
    <mergeCell ref="T60:U60"/>
    <mergeCell ref="W60:X60"/>
    <mergeCell ref="Z52:AA52"/>
    <mergeCell ref="AC52:AD52"/>
    <mergeCell ref="BD52:BD53"/>
    <mergeCell ref="BE52:BE53"/>
    <mergeCell ref="A55:BE55"/>
    <mergeCell ref="A56:BE56"/>
    <mergeCell ref="W51:X51"/>
    <mergeCell ref="Y51:AA51"/>
    <mergeCell ref="AB51:AD51"/>
    <mergeCell ref="H52:I52"/>
    <mergeCell ref="J52:K52"/>
    <mergeCell ref="L52:M52"/>
    <mergeCell ref="N52:O52"/>
    <mergeCell ref="P52:Q52"/>
    <mergeCell ref="R52:S52"/>
    <mergeCell ref="T52:U52"/>
    <mergeCell ref="BA50:BA53"/>
    <mergeCell ref="BB50:BB53"/>
    <mergeCell ref="BD50:BE51"/>
    <mergeCell ref="H51:I51"/>
    <mergeCell ref="J51:K51"/>
    <mergeCell ref="L51:M51"/>
    <mergeCell ref="N51:O51"/>
    <mergeCell ref="P51:Q51"/>
    <mergeCell ref="R51:S51"/>
    <mergeCell ref="T51:U51"/>
    <mergeCell ref="AM50:AM52"/>
    <mergeCell ref="AN50:AN52"/>
    <mergeCell ref="AP50:AR51"/>
    <mergeCell ref="AS50:AW51"/>
    <mergeCell ref="AY50:AY53"/>
    <mergeCell ref="AZ50:AZ53"/>
    <mergeCell ref="A46:BE46"/>
    <mergeCell ref="A47:BE47"/>
    <mergeCell ref="A50:A53"/>
    <mergeCell ref="B50:B53"/>
    <mergeCell ref="C50:C53"/>
    <mergeCell ref="H50:U50"/>
    <mergeCell ref="V50:V53"/>
    <mergeCell ref="W50:AD50"/>
    <mergeCell ref="AE50:AE52"/>
    <mergeCell ref="AF50:AL51"/>
    <mergeCell ref="R43:S43"/>
    <mergeCell ref="T43:U43"/>
    <mergeCell ref="Z43:AA43"/>
    <mergeCell ref="AC43:AD43"/>
    <mergeCell ref="BD43:BD44"/>
    <mergeCell ref="BE43:BE44"/>
    <mergeCell ref="R42:S42"/>
    <mergeCell ref="T42:U42"/>
    <mergeCell ref="W42:X42"/>
    <mergeCell ref="Y42:AA42"/>
    <mergeCell ref="AB42:AD42"/>
    <mergeCell ref="H43:I43"/>
    <mergeCell ref="J43:K43"/>
    <mergeCell ref="L43:M43"/>
    <mergeCell ref="N43:O43"/>
    <mergeCell ref="P43:Q43"/>
    <mergeCell ref="AY41:AY44"/>
    <mergeCell ref="AZ41:AZ44"/>
    <mergeCell ref="BA41:BA44"/>
    <mergeCell ref="BB41:BB44"/>
    <mergeCell ref="BD41:BE42"/>
    <mergeCell ref="H42:I42"/>
    <mergeCell ref="J42:K42"/>
    <mergeCell ref="L42:M42"/>
    <mergeCell ref="N42:O42"/>
    <mergeCell ref="P42:Q42"/>
    <mergeCell ref="AE41:AE43"/>
    <mergeCell ref="AF41:AL42"/>
    <mergeCell ref="AM41:AM43"/>
    <mergeCell ref="AN41:AN43"/>
    <mergeCell ref="AP41:AR42"/>
    <mergeCell ref="AS41:AW42"/>
    <mergeCell ref="BD25:BD26"/>
    <mergeCell ref="BE25:BE26"/>
    <mergeCell ref="A37:BE37"/>
    <mergeCell ref="A38:BE38"/>
    <mergeCell ref="A41:A44"/>
    <mergeCell ref="B41:B44"/>
    <mergeCell ref="C41:C44"/>
    <mergeCell ref="H41:U41"/>
    <mergeCell ref="V41:V44"/>
    <mergeCell ref="W41:AD41"/>
    <mergeCell ref="A23:A26"/>
    <mergeCell ref="B23:B26"/>
    <mergeCell ref="C23:C26"/>
    <mergeCell ref="Y24:AA24"/>
    <mergeCell ref="A28:BE28"/>
    <mergeCell ref="A29:BE29"/>
    <mergeCell ref="A32:A35"/>
    <mergeCell ref="B32:B35"/>
    <mergeCell ref="C32:C35"/>
    <mergeCell ref="P33:Q33"/>
    <mergeCell ref="R33:S33"/>
    <mergeCell ref="T33:U33"/>
    <mergeCell ref="AB24:AD24"/>
    <mergeCell ref="H25:I25"/>
    <mergeCell ref="J25:K25"/>
    <mergeCell ref="L25:M25"/>
    <mergeCell ref="N25:O25"/>
    <mergeCell ref="P25:Q25"/>
    <mergeCell ref="R25:S25"/>
    <mergeCell ref="T25:U25"/>
    <mergeCell ref="Z25:AA25"/>
    <mergeCell ref="AC25:AD25"/>
    <mergeCell ref="AY23:AY26"/>
    <mergeCell ref="AZ23:AZ26"/>
    <mergeCell ref="BA23:BA26"/>
    <mergeCell ref="BB23:BB26"/>
    <mergeCell ref="BD23:BE24"/>
    <mergeCell ref="H24:I24"/>
    <mergeCell ref="J24:K24"/>
    <mergeCell ref="L24:M24"/>
    <mergeCell ref="N24:O24"/>
    <mergeCell ref="P24:Q24"/>
    <mergeCell ref="AE23:AE25"/>
    <mergeCell ref="AF23:AL24"/>
    <mergeCell ref="AM23:AM25"/>
    <mergeCell ref="AN23:AN25"/>
    <mergeCell ref="AP23:AR24"/>
    <mergeCell ref="AS23:AW24"/>
    <mergeCell ref="H23:U23"/>
    <mergeCell ref="V23:V26"/>
    <mergeCell ref="W23:AD23"/>
    <mergeCell ref="R24:S24"/>
    <mergeCell ref="T24:U24"/>
    <mergeCell ref="W24:X24"/>
    <mergeCell ref="A19:BE19"/>
    <mergeCell ref="A20:BE20"/>
    <mergeCell ref="J16:K16"/>
    <mergeCell ref="L16:M16"/>
    <mergeCell ref="N16:O16"/>
    <mergeCell ref="P16:Q16"/>
    <mergeCell ref="R16:S16"/>
    <mergeCell ref="T16:U16"/>
    <mergeCell ref="BA14:BA17"/>
    <mergeCell ref="BB14:BB17"/>
    <mergeCell ref="BD14:BE15"/>
    <mergeCell ref="H15:I15"/>
    <mergeCell ref="J15:K15"/>
    <mergeCell ref="L15:M15"/>
    <mergeCell ref="N15:O15"/>
    <mergeCell ref="P15:Q15"/>
    <mergeCell ref="R15:S15"/>
    <mergeCell ref="T15:U15"/>
    <mergeCell ref="AM14:AM16"/>
    <mergeCell ref="AN14:AN16"/>
    <mergeCell ref="AP14:AR15"/>
    <mergeCell ref="AS14:AW15"/>
    <mergeCell ref="AY14:AY17"/>
    <mergeCell ref="AZ14:AZ17"/>
    <mergeCell ref="C14:C17"/>
    <mergeCell ref="H14:U14"/>
    <mergeCell ref="V14:V17"/>
    <mergeCell ref="W14:AD14"/>
    <mergeCell ref="AB15:AD15"/>
    <mergeCell ref="H16:I16"/>
    <mergeCell ref="Z16:AA16"/>
    <mergeCell ref="AC16:AD16"/>
    <mergeCell ref="W690:Y690"/>
    <mergeCell ref="AO690:AP690"/>
    <mergeCell ref="AU690:AW690"/>
    <mergeCell ref="W691:Y691"/>
    <mergeCell ref="AO691:AP691"/>
    <mergeCell ref="AU691:AW691"/>
    <mergeCell ref="T608:U608"/>
    <mergeCell ref="Z608:AA608"/>
    <mergeCell ref="AC608:AD608"/>
    <mergeCell ref="BD608:BD609"/>
    <mergeCell ref="BE608:BE609"/>
    <mergeCell ref="W686:Y686"/>
    <mergeCell ref="AO686:AP686"/>
    <mergeCell ref="AU686:AW686"/>
    <mergeCell ref="AE616:AE618"/>
    <mergeCell ref="AF616:AK617"/>
    <mergeCell ref="T607:U607"/>
    <mergeCell ref="W607:X607"/>
    <mergeCell ref="Y607:AA607"/>
    <mergeCell ref="AB607:AD607"/>
    <mergeCell ref="A622:BE622"/>
    <mergeCell ref="A626:A629"/>
    <mergeCell ref="B626:B629"/>
    <mergeCell ref="C626:C629"/>
    <mergeCell ref="H626:U626"/>
    <mergeCell ref="V626:V629"/>
    <mergeCell ref="W626:AD626"/>
    <mergeCell ref="AE626:AE628"/>
    <mergeCell ref="AF626:AK627"/>
    <mergeCell ref="AL626:AL628"/>
    <mergeCell ref="T618:U618"/>
    <mergeCell ref="Z618:AA618"/>
    <mergeCell ref="BD16:BD17"/>
    <mergeCell ref="BE16:BE17"/>
    <mergeCell ref="AZ606:AZ609"/>
    <mergeCell ref="BA606:BA609"/>
    <mergeCell ref="BB606:BB609"/>
    <mergeCell ref="BD606:BE607"/>
    <mergeCell ref="H607:I607"/>
    <mergeCell ref="J607:K607"/>
    <mergeCell ref="L607:M607"/>
    <mergeCell ref="N607:O607"/>
    <mergeCell ref="P607:Q607"/>
    <mergeCell ref="R607:S607"/>
    <mergeCell ref="AL606:AL608"/>
    <mergeCell ref="AM606:AM608"/>
    <mergeCell ref="AN606:AN608"/>
    <mergeCell ref="AP606:AR607"/>
    <mergeCell ref="AS606:AW607"/>
    <mergeCell ref="AY606:AY609"/>
    <mergeCell ref="A601:BE601"/>
    <mergeCell ref="A602:BE602"/>
    <mergeCell ref="A606:A609"/>
    <mergeCell ref="B606:B609"/>
    <mergeCell ref="C606:C609"/>
    <mergeCell ref="H606:U606"/>
    <mergeCell ref="V606:V609"/>
    <mergeCell ref="W606:AD606"/>
    <mergeCell ref="AE606:AE608"/>
    <mergeCell ref="AF606:AK607"/>
    <mergeCell ref="W599:Y599"/>
    <mergeCell ref="AO599:AP599"/>
    <mergeCell ref="AU599:AW599"/>
    <mergeCell ref="W600:Y600"/>
    <mergeCell ref="BD398:BD399"/>
    <mergeCell ref="BE398:BE399"/>
    <mergeCell ref="A592:E592"/>
    <mergeCell ref="W595:Y595"/>
    <mergeCell ref="AO595:AP595"/>
    <mergeCell ref="AU595:AW595"/>
    <mergeCell ref="AE405:AE407"/>
    <mergeCell ref="AF405:AK406"/>
    <mergeCell ref="W397:X397"/>
    <mergeCell ref="Y397:AA397"/>
    <mergeCell ref="AB397:AD397"/>
    <mergeCell ref="H398:I398"/>
    <mergeCell ref="J398:K398"/>
    <mergeCell ref="L398:M398"/>
    <mergeCell ref="N398:O398"/>
    <mergeCell ref="P398:Q398"/>
    <mergeCell ref="R398:S398"/>
    <mergeCell ref="T398:U398"/>
    <mergeCell ref="BA396:BA399"/>
    <mergeCell ref="BB396:BB399"/>
    <mergeCell ref="BD396:BE397"/>
    <mergeCell ref="H397:I397"/>
    <mergeCell ref="J397:K397"/>
    <mergeCell ref="L397:M397"/>
    <mergeCell ref="N397:O397"/>
    <mergeCell ref="P397:Q397"/>
    <mergeCell ref="R397:S397"/>
    <mergeCell ref="T397:U397"/>
    <mergeCell ref="AM396:AM398"/>
    <mergeCell ref="AN396:AN398"/>
    <mergeCell ref="AP405:AR406"/>
    <mergeCell ref="AS405:AW406"/>
    <mergeCell ref="A318:BE318"/>
    <mergeCell ref="A319:BE319"/>
    <mergeCell ref="R315:S315"/>
    <mergeCell ref="T315:U315"/>
    <mergeCell ref="Z315:AA315"/>
    <mergeCell ref="AC315:AD315"/>
    <mergeCell ref="AP396:AR397"/>
    <mergeCell ref="AS396:AW397"/>
    <mergeCell ref="AY396:AY399"/>
    <mergeCell ref="AZ396:AZ399"/>
    <mergeCell ref="A391:BE391"/>
    <mergeCell ref="A392:BE392"/>
    <mergeCell ref="A396:A399"/>
    <mergeCell ref="B396:B399"/>
    <mergeCell ref="C396:C399"/>
    <mergeCell ref="H396:U396"/>
    <mergeCell ref="V396:V399"/>
    <mergeCell ref="W396:AD396"/>
    <mergeCell ref="AE396:AE398"/>
    <mergeCell ref="AF396:AK397"/>
    <mergeCell ref="E389:G389"/>
    <mergeCell ref="O389:Q389"/>
    <mergeCell ref="Y389:AB389"/>
    <mergeCell ref="AO389:AP389"/>
    <mergeCell ref="AU389:AV389"/>
    <mergeCell ref="E390:G390"/>
    <mergeCell ref="O390:Q390"/>
    <mergeCell ref="Y390:AB390"/>
    <mergeCell ref="AO390:AP390"/>
    <mergeCell ref="AU390:AV390"/>
    <mergeCell ref="Z398:AA398"/>
    <mergeCell ref="AC398:AD398"/>
    <mergeCell ref="A381:D381"/>
    <mergeCell ref="E385:G385"/>
    <mergeCell ref="O385:Q385"/>
    <mergeCell ref="Y385:AB385"/>
    <mergeCell ref="AO385:AP385"/>
    <mergeCell ref="AU385:AV385"/>
    <mergeCell ref="A322:A325"/>
    <mergeCell ref="B322:B325"/>
    <mergeCell ref="C322:C325"/>
    <mergeCell ref="H322:U322"/>
    <mergeCell ref="V322:V325"/>
    <mergeCell ref="W322:AD322"/>
    <mergeCell ref="AE322:AE324"/>
    <mergeCell ref="AF322:AM323"/>
    <mergeCell ref="Y323:AA323"/>
    <mergeCell ref="AB323:AD323"/>
    <mergeCell ref="H324:I324"/>
    <mergeCell ref="J324:K324"/>
    <mergeCell ref="T323:U323"/>
    <mergeCell ref="W323:X323"/>
    <mergeCell ref="AN322:AN324"/>
    <mergeCell ref="AP322:AR323"/>
    <mergeCell ref="AS322:AW323"/>
    <mergeCell ref="AC342:AD342"/>
    <mergeCell ref="T350:U350"/>
    <mergeCell ref="W350:X350"/>
    <mergeCell ref="Y350:AA350"/>
    <mergeCell ref="AB350:AD350"/>
    <mergeCell ref="H351:I351"/>
    <mergeCell ref="J351:K351"/>
    <mergeCell ref="L351:M351"/>
    <mergeCell ref="N351:O351"/>
    <mergeCell ref="BB313:BB316"/>
    <mergeCell ref="A310:BE310"/>
    <mergeCell ref="A313:A316"/>
    <mergeCell ref="B313:B316"/>
    <mergeCell ref="C313:C316"/>
    <mergeCell ref="H313:U313"/>
    <mergeCell ref="V313:V316"/>
    <mergeCell ref="W313:AD313"/>
    <mergeCell ref="AE313:AE315"/>
    <mergeCell ref="AF313:AM314"/>
    <mergeCell ref="AN313:AN315"/>
    <mergeCell ref="H315:I315"/>
    <mergeCell ref="J315:K315"/>
    <mergeCell ref="L315:M315"/>
    <mergeCell ref="N315:O315"/>
    <mergeCell ref="P315:Q315"/>
    <mergeCell ref="BD315:BD316"/>
    <mergeCell ref="BE315:BE316"/>
    <mergeCell ref="E306:G306"/>
    <mergeCell ref="M306:O306"/>
    <mergeCell ref="Z306:AB306"/>
    <mergeCell ref="AO306:AP306"/>
    <mergeCell ref="AV306:AX306"/>
    <mergeCell ref="A309:BE309"/>
    <mergeCell ref="E301:G301"/>
    <mergeCell ref="M301:O301"/>
    <mergeCell ref="Z301:AB301"/>
    <mergeCell ref="AO301:AP301"/>
    <mergeCell ref="AV301:AX301"/>
    <mergeCell ref="E305:G305"/>
    <mergeCell ref="M305:O305"/>
    <mergeCell ref="Z305:AB305"/>
    <mergeCell ref="AO305:AP305"/>
    <mergeCell ref="AV305:AX305"/>
    <mergeCell ref="AB314:AD314"/>
    <mergeCell ref="BD313:BE314"/>
    <mergeCell ref="H314:I314"/>
    <mergeCell ref="J314:K314"/>
    <mergeCell ref="L314:M314"/>
    <mergeCell ref="N314:O314"/>
    <mergeCell ref="P314:Q314"/>
    <mergeCell ref="R314:S314"/>
    <mergeCell ref="T314:U314"/>
    <mergeCell ref="W314:X314"/>
    <mergeCell ref="Y314:AA314"/>
    <mergeCell ref="AP313:AR314"/>
    <mergeCell ref="AS313:AW314"/>
    <mergeCell ref="AY313:AY316"/>
    <mergeCell ref="AZ313:AZ316"/>
    <mergeCell ref="BA313:BA316"/>
    <mergeCell ref="A298:D298"/>
    <mergeCell ref="A300:D300"/>
    <mergeCell ref="A10:BE10"/>
    <mergeCell ref="A11:BE11"/>
    <mergeCell ref="A14:A17"/>
    <mergeCell ref="B14:B17"/>
    <mergeCell ref="W6:X6"/>
    <mergeCell ref="Y6:AA6"/>
    <mergeCell ref="AB6:AD6"/>
    <mergeCell ref="H7:I7"/>
    <mergeCell ref="J7:K7"/>
    <mergeCell ref="L7:M7"/>
    <mergeCell ref="N7:O7"/>
    <mergeCell ref="P7:Q7"/>
    <mergeCell ref="R7:S7"/>
    <mergeCell ref="T7:U7"/>
    <mergeCell ref="BA5:BA8"/>
    <mergeCell ref="BB5:BB8"/>
    <mergeCell ref="BD5:BE6"/>
    <mergeCell ref="H6:I6"/>
    <mergeCell ref="J6:K6"/>
    <mergeCell ref="L6:M6"/>
    <mergeCell ref="N6:O6"/>
    <mergeCell ref="P6:Q6"/>
    <mergeCell ref="R6:S6"/>
    <mergeCell ref="T6:U6"/>
    <mergeCell ref="AM5:AM7"/>
    <mergeCell ref="AN5:AN7"/>
    <mergeCell ref="AE14:AE16"/>
    <mergeCell ref="AF14:AL15"/>
    <mergeCell ref="W15:X15"/>
    <mergeCell ref="Y15:AA15"/>
    <mergeCell ref="AP5:AR6"/>
    <mergeCell ref="AS5:AW6"/>
    <mergeCell ref="AY5:AY8"/>
    <mergeCell ref="AZ5:AZ8"/>
    <mergeCell ref="A1:BE1"/>
    <mergeCell ref="A2:BE2"/>
    <mergeCell ref="A5:A8"/>
    <mergeCell ref="B5:B8"/>
    <mergeCell ref="C5:C8"/>
    <mergeCell ref="H5:U5"/>
    <mergeCell ref="V5:V8"/>
    <mergeCell ref="W5:AD5"/>
    <mergeCell ref="AE5:AE7"/>
    <mergeCell ref="AF5:AL6"/>
    <mergeCell ref="Z7:AA7"/>
    <mergeCell ref="AC7:AD7"/>
    <mergeCell ref="BD7:BD8"/>
    <mergeCell ref="BE7:BE8"/>
  </mergeCells>
  <printOptions horizontalCentered="1"/>
  <pageMargins left="0" right="0" top="0" bottom="0" header="0" footer="0"/>
  <pageSetup paperSize="10000" scale="30" orientation="landscape" horizontalDpi="4294967293" verticalDpi="300" r:id="rId1"/>
  <headerFooter alignWithMargins="0"/>
  <rowBreaks count="15" manualBreakCount="15">
    <brk id="54" max="16383" man="1"/>
    <brk id="108" max="16383" man="1"/>
    <brk id="144" max="16383" man="1"/>
    <brk id="189" max="16383" man="1"/>
    <brk id="225" max="16383" man="1"/>
    <brk id="270" max="16383" man="1"/>
    <brk id="288" max="16383" man="1"/>
    <brk id="306" max="16383" man="1"/>
    <brk id="362" max="56" man="1"/>
    <brk id="390" max="16383" man="1"/>
    <brk id="445" max="56" man="1"/>
    <brk id="499" max="56" man="1"/>
    <brk id="553" max="56" man="1"/>
    <brk id="600" max="56" man="1"/>
    <brk id="660" max="56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BX161"/>
  <sheetViews>
    <sheetView tabSelected="1" zoomScale="80" zoomScaleNormal="80" zoomScaleSheetLayoutView="85" workbookViewId="0">
      <pane xSplit="5" ySplit="8" topLeftCell="AJ88" activePane="bottomRight" state="frozen"/>
      <selection pane="topRight" activeCell="F1" sqref="F1"/>
      <selection pane="bottomLeft" activeCell="A9" sqref="A9"/>
      <selection pane="bottomRight" activeCell="AS93" sqref="AS93:AT93"/>
    </sheetView>
  </sheetViews>
  <sheetFormatPr defaultColWidth="9" defaultRowHeight="18.75"/>
  <cols>
    <col min="1" max="1" width="4.5703125" style="764" customWidth="1"/>
    <col min="2" max="2" width="3.5703125" style="1162" customWidth="1"/>
    <col min="3" max="3" width="3.7109375" style="778" customWidth="1"/>
    <col min="4" max="4" width="18.5703125" style="821" customWidth="1"/>
    <col min="5" max="5" width="8.140625" style="764" customWidth="1"/>
    <col min="6" max="6" width="17.85546875" style="941" customWidth="1"/>
    <col min="7" max="7" width="22.85546875" style="765" customWidth="1"/>
    <col min="8" max="8" width="6.5703125" style="764" customWidth="1"/>
    <col min="9" max="9" width="18.7109375" style="764" customWidth="1"/>
    <col min="10" max="10" width="8.28515625" style="764" customWidth="1"/>
    <col min="11" max="11" width="18.42578125" style="764" customWidth="1"/>
    <col min="12" max="12" width="8.28515625" style="764" customWidth="1"/>
    <col min="13" max="13" width="17.7109375" style="764" customWidth="1"/>
    <col min="14" max="14" width="9.5703125" style="764" customWidth="1"/>
    <col min="15" max="15" width="20.42578125" style="764" customWidth="1"/>
    <col min="16" max="16" width="8.140625" style="764" customWidth="1"/>
    <col min="17" max="17" width="18.5703125" style="764" customWidth="1"/>
    <col min="18" max="21" width="7.140625" style="764" customWidth="1"/>
    <col min="22" max="22" width="9.5703125" style="764" customWidth="1"/>
    <col min="23" max="23" width="14.7109375" style="764" customWidth="1"/>
    <col min="24" max="24" width="18.140625" style="764" customWidth="1"/>
    <col min="25" max="25" width="14.85546875" style="764" customWidth="1"/>
    <col min="26" max="26" width="9.7109375" style="764" customWidth="1"/>
    <col min="27" max="27" width="16.7109375" style="764" customWidth="1"/>
    <col min="28" max="28" width="14.5703125" style="764" customWidth="1"/>
    <col min="29" max="29" width="8.140625" style="764" customWidth="1"/>
    <col min="30" max="30" width="16" style="764" customWidth="1"/>
    <col min="31" max="31" width="20.5703125" style="764" customWidth="1"/>
    <col min="32" max="32" width="18.28515625" style="764" customWidth="1"/>
    <col min="33" max="33" width="19.140625" style="764" customWidth="1"/>
    <col min="34" max="34" width="18" style="764" customWidth="1"/>
    <col min="35" max="35" width="18.5703125" style="764" customWidth="1"/>
    <col min="36" max="36" width="11.28515625" style="764" customWidth="1"/>
    <col min="37" max="37" width="13.7109375" style="844" customWidth="1"/>
    <col min="38" max="38" width="16.42578125" style="764" customWidth="1"/>
    <col min="39" max="39" width="6.85546875" style="764" customWidth="1"/>
    <col min="40" max="40" width="16" style="764" customWidth="1"/>
    <col min="41" max="41" width="21.7109375" style="764" customWidth="1"/>
    <col min="42" max="42" width="19" style="764" customWidth="1"/>
    <col min="43" max="44" width="18.28515625" style="764" customWidth="1"/>
    <col min="45" max="45" width="17" style="764" customWidth="1"/>
    <col min="46" max="46" width="19.7109375" style="764" customWidth="1"/>
    <col min="47" max="47" width="17" style="764" customWidth="1"/>
    <col min="48" max="48" width="19.28515625" style="764" customWidth="1"/>
    <col min="49" max="49" width="19" style="764" customWidth="1"/>
    <col min="50" max="50" width="14.42578125" style="764" customWidth="1"/>
    <col min="51" max="51" width="15.28515625" style="764" customWidth="1"/>
    <col min="52" max="52" width="7.28515625" style="764" customWidth="1"/>
    <col min="53" max="53" width="11.7109375" style="764" customWidth="1"/>
    <col min="54" max="54" width="7.5703125" style="764" customWidth="1"/>
    <col min="55" max="55" width="24.42578125" style="1423" customWidth="1"/>
    <col min="56" max="56" width="6.85546875" style="764" customWidth="1"/>
    <col min="57" max="57" width="6.28515625" style="1162" customWidth="1"/>
    <col min="58" max="58" width="9" style="764" customWidth="1"/>
    <col min="59" max="59" width="18.7109375" style="765" customWidth="1"/>
    <col min="60" max="60" width="14.28515625" style="766" customWidth="1"/>
    <col min="61" max="61" width="14.42578125" style="766" customWidth="1"/>
    <col min="62" max="62" width="21.7109375" style="765" customWidth="1"/>
    <col min="63" max="63" width="28.42578125" style="767" customWidth="1"/>
    <col min="64" max="64" width="15.5703125" style="767" customWidth="1"/>
    <col min="65" max="65" width="15.7109375" style="767" customWidth="1"/>
    <col min="66" max="66" width="11" style="765" customWidth="1"/>
    <col min="67" max="67" width="23" style="765" bestFit="1" customWidth="1"/>
    <col min="68" max="68" width="11.140625" style="764" bestFit="1" customWidth="1"/>
    <col min="69" max="69" width="13.5703125" style="764" bestFit="1" customWidth="1"/>
    <col min="70" max="70" width="11" style="764" bestFit="1" customWidth="1"/>
    <col min="71" max="71" width="31.140625" style="768" customWidth="1"/>
    <col min="72" max="72" width="17" style="768" customWidth="1"/>
    <col min="73" max="16384" width="9" style="764"/>
  </cols>
  <sheetData>
    <row r="1" spans="1:72" ht="23.25" customHeight="1">
      <c r="A1" s="2139" t="s">
        <v>0</v>
      </c>
      <c r="B1" s="2139"/>
      <c r="C1" s="2139"/>
      <c r="D1" s="2139"/>
      <c r="E1" s="2139"/>
      <c r="F1" s="2139"/>
      <c r="G1" s="2139"/>
      <c r="H1" s="2139"/>
      <c r="I1" s="2139"/>
      <c r="J1" s="2139"/>
      <c r="K1" s="2139"/>
      <c r="L1" s="2139"/>
      <c r="M1" s="2139"/>
      <c r="N1" s="2139"/>
      <c r="O1" s="2139"/>
      <c r="P1" s="2139"/>
      <c r="Q1" s="2139"/>
      <c r="R1" s="2139"/>
      <c r="S1" s="2139"/>
      <c r="T1" s="2139"/>
      <c r="U1" s="2139"/>
      <c r="V1" s="2139"/>
      <c r="W1" s="2139"/>
      <c r="X1" s="2139"/>
      <c r="Y1" s="2139"/>
      <c r="Z1" s="2139"/>
      <c r="AA1" s="2139"/>
      <c r="AB1" s="2139"/>
      <c r="AC1" s="2139"/>
      <c r="AD1" s="2139"/>
      <c r="AE1" s="2139"/>
      <c r="AF1" s="2139"/>
      <c r="AG1" s="2139"/>
      <c r="AH1" s="2139"/>
      <c r="AI1" s="2139"/>
      <c r="AJ1" s="2139"/>
      <c r="AK1" s="2139"/>
      <c r="AL1" s="2139"/>
      <c r="AM1" s="2139"/>
      <c r="AN1" s="2139"/>
      <c r="AO1" s="2139"/>
      <c r="AP1" s="2139"/>
      <c r="AQ1" s="2139"/>
      <c r="AR1" s="2139"/>
      <c r="AS1" s="2139"/>
      <c r="AT1" s="2139"/>
      <c r="AU1" s="2139"/>
      <c r="AV1" s="2139"/>
      <c r="AW1" s="2139"/>
      <c r="AX1" s="2139"/>
      <c r="AY1" s="2139"/>
      <c r="AZ1" s="2139"/>
      <c r="BA1" s="2139"/>
      <c r="BB1" s="2139"/>
      <c r="BC1" s="2139"/>
      <c r="BD1" s="2139"/>
      <c r="BE1" s="2139"/>
    </row>
    <row r="2" spans="1:72" ht="26.25" customHeight="1">
      <c r="A2" s="2136" t="s">
        <v>1</v>
      </c>
      <c r="B2" s="2136"/>
      <c r="C2" s="2136"/>
      <c r="D2" s="2136"/>
      <c r="E2" s="2136"/>
      <c r="F2" s="2136"/>
      <c r="G2" s="2136"/>
      <c r="H2" s="2136"/>
      <c r="I2" s="2136"/>
      <c r="J2" s="2136"/>
      <c r="K2" s="2136"/>
      <c r="L2" s="2136"/>
      <c r="M2" s="2136"/>
      <c r="N2" s="2136"/>
      <c r="O2" s="2136"/>
      <c r="P2" s="2136"/>
      <c r="Q2" s="2136"/>
      <c r="R2" s="2136"/>
      <c r="S2" s="2136"/>
      <c r="T2" s="2136"/>
      <c r="U2" s="2136"/>
      <c r="V2" s="2136"/>
      <c r="W2" s="2136"/>
      <c r="X2" s="2136"/>
      <c r="Y2" s="2136"/>
      <c r="Z2" s="2136"/>
      <c r="AA2" s="2136"/>
      <c r="AB2" s="2136"/>
      <c r="AC2" s="2136"/>
      <c r="AD2" s="2136"/>
      <c r="AE2" s="2136"/>
      <c r="AF2" s="2136"/>
      <c r="AG2" s="2136"/>
      <c r="AH2" s="2136"/>
      <c r="AI2" s="2136"/>
      <c r="AJ2" s="2136"/>
      <c r="AK2" s="2136"/>
      <c r="AL2" s="2136"/>
      <c r="AM2" s="2136"/>
      <c r="AN2" s="2136"/>
      <c r="AO2" s="2136"/>
      <c r="AP2" s="2136"/>
      <c r="AQ2" s="2136"/>
      <c r="AR2" s="2136"/>
      <c r="AS2" s="2136"/>
      <c r="AT2" s="2136"/>
      <c r="AU2" s="2136"/>
      <c r="AV2" s="2136"/>
      <c r="AW2" s="2136"/>
      <c r="AX2" s="2136"/>
      <c r="AY2" s="2136"/>
      <c r="AZ2" s="2136"/>
      <c r="BA2" s="2136"/>
      <c r="BB2" s="2136"/>
      <c r="BC2" s="2136"/>
      <c r="BD2" s="2136"/>
      <c r="BE2" s="2136"/>
    </row>
    <row r="3" spans="1:72" s="768" customFormat="1" ht="18.75" customHeight="1">
      <c r="C3" s="769"/>
      <c r="D3" s="770" t="s">
        <v>964</v>
      </c>
      <c r="F3" s="788"/>
      <c r="G3" s="772"/>
      <c r="X3" s="773"/>
      <c r="AE3" s="964"/>
      <c r="AK3" s="774"/>
      <c r="AP3" s="1034">
        <v>3876600</v>
      </c>
      <c r="AQ3" s="1024">
        <f>AP3/30</f>
        <v>129220</v>
      </c>
      <c r="AR3" s="1024">
        <f>AP3/173*1.5</f>
        <v>33612.138728323698</v>
      </c>
      <c r="AS3" s="1025">
        <f>AP3/173*2</f>
        <v>44816.184971098264</v>
      </c>
      <c r="AW3" s="964" t="s">
        <v>55</v>
      </c>
      <c r="AX3" s="768" t="s">
        <v>152</v>
      </c>
      <c r="BC3" s="1422"/>
      <c r="BE3" s="964"/>
      <c r="BG3" s="772"/>
      <c r="BH3" s="776"/>
      <c r="BI3" s="776"/>
      <c r="BJ3" s="772"/>
      <c r="BK3" s="777"/>
      <c r="BL3" s="777"/>
      <c r="BM3" s="777"/>
      <c r="BN3" s="772"/>
      <c r="BO3" s="772"/>
    </row>
    <row r="4" spans="1:72" ht="15" customHeight="1" thickBot="1">
      <c r="A4" s="1162"/>
      <c r="D4" s="779"/>
      <c r="E4" s="780"/>
      <c r="F4" s="950"/>
      <c r="G4" s="781"/>
      <c r="H4" s="780"/>
      <c r="I4" s="780"/>
      <c r="J4" s="780"/>
      <c r="K4" s="780"/>
      <c r="L4" s="780"/>
      <c r="M4" s="780"/>
      <c r="N4" s="780"/>
      <c r="O4" s="780"/>
      <c r="Q4" s="780"/>
      <c r="R4" s="780"/>
      <c r="S4" s="780"/>
      <c r="T4" s="780"/>
      <c r="U4" s="780"/>
      <c r="V4" s="780"/>
      <c r="W4" s="780"/>
      <c r="X4" s="780"/>
      <c r="Y4" s="780"/>
      <c r="Z4" s="780"/>
      <c r="AA4" s="780"/>
      <c r="AB4" s="780"/>
      <c r="AC4" s="780"/>
      <c r="AD4" s="1162"/>
      <c r="AE4" s="780"/>
      <c r="AF4" s="780"/>
      <c r="AG4" s="780"/>
      <c r="AH4" s="780"/>
      <c r="AI4" s="780"/>
      <c r="AJ4" s="780"/>
      <c r="AK4" s="782"/>
      <c r="AL4" s="780"/>
      <c r="AM4" s="780"/>
      <c r="AO4" s="780"/>
      <c r="AP4" s="1034">
        <v>3876600</v>
      </c>
      <c r="AQ4" s="1035">
        <f>AP4/30</f>
        <v>129220</v>
      </c>
      <c r="AR4" s="1026"/>
      <c r="AS4" s="1027">
        <f>AP4+24000</f>
        <v>3900600</v>
      </c>
    </row>
    <row r="5" spans="1:72" s="771" customFormat="1" ht="15.75" customHeight="1">
      <c r="A5" s="2275" t="s">
        <v>5</v>
      </c>
      <c r="B5" s="2278" t="s">
        <v>6</v>
      </c>
      <c r="C5" s="2157" t="s">
        <v>52</v>
      </c>
      <c r="D5" s="783"/>
      <c r="E5" s="784"/>
      <c r="F5" s="785"/>
      <c r="G5" s="785"/>
      <c r="H5" s="2281" t="s">
        <v>2</v>
      </c>
      <c r="I5" s="2282"/>
      <c r="J5" s="2282"/>
      <c r="K5" s="2282"/>
      <c r="L5" s="2282"/>
      <c r="M5" s="2282"/>
      <c r="N5" s="2282"/>
      <c r="O5" s="2282"/>
      <c r="P5" s="2282"/>
      <c r="Q5" s="2282"/>
      <c r="R5" s="2282"/>
      <c r="S5" s="2282"/>
      <c r="T5" s="2282"/>
      <c r="U5" s="2283"/>
      <c r="V5" s="2157" t="s">
        <v>286</v>
      </c>
      <c r="W5" s="2281" t="s">
        <v>3</v>
      </c>
      <c r="X5" s="2282"/>
      <c r="Y5" s="2282"/>
      <c r="Z5" s="2282"/>
      <c r="AA5" s="2282"/>
      <c r="AB5" s="2282"/>
      <c r="AC5" s="2282"/>
      <c r="AD5" s="2283"/>
      <c r="AE5" s="2269" t="s">
        <v>45</v>
      </c>
      <c r="AF5" s="2260" t="s">
        <v>46</v>
      </c>
      <c r="AG5" s="2261"/>
      <c r="AH5" s="2261"/>
      <c r="AI5" s="2261"/>
      <c r="AJ5" s="2261"/>
      <c r="AK5" s="2261"/>
      <c r="AL5" s="2262"/>
      <c r="AM5" s="2146" t="s">
        <v>98</v>
      </c>
      <c r="AN5" s="2157" t="s">
        <v>44</v>
      </c>
      <c r="AO5" s="786" t="s">
        <v>4</v>
      </c>
      <c r="AP5" s="2256" t="s">
        <v>20</v>
      </c>
      <c r="AQ5" s="2257"/>
      <c r="AR5" s="2266"/>
      <c r="AS5" s="2256" t="s">
        <v>54</v>
      </c>
      <c r="AT5" s="2257"/>
      <c r="AU5" s="2257"/>
      <c r="AV5" s="2257"/>
      <c r="AW5" s="2257"/>
      <c r="AX5" s="787"/>
      <c r="AY5" s="2269" t="s">
        <v>89</v>
      </c>
      <c r="AZ5" s="2146" t="s">
        <v>97</v>
      </c>
      <c r="BA5" s="2146" t="s">
        <v>719</v>
      </c>
      <c r="BB5" s="2146" t="s">
        <v>210</v>
      </c>
      <c r="BC5" s="1424" t="s">
        <v>4</v>
      </c>
      <c r="BD5" s="2260" t="s">
        <v>41</v>
      </c>
      <c r="BE5" s="2289"/>
      <c r="BG5" s="788"/>
      <c r="BH5" s="789"/>
      <c r="BI5" s="789"/>
      <c r="BJ5" s="788"/>
      <c r="BK5" s="790"/>
      <c r="BL5" s="790"/>
      <c r="BM5" s="790"/>
      <c r="BN5" s="788"/>
      <c r="BO5" s="788"/>
    </row>
    <row r="6" spans="1:72" s="771" customFormat="1" ht="25.5" customHeight="1">
      <c r="A6" s="2276"/>
      <c r="B6" s="2279"/>
      <c r="C6" s="2158"/>
      <c r="D6" s="791" t="s">
        <v>7</v>
      </c>
      <c r="E6" s="792" t="s">
        <v>8</v>
      </c>
      <c r="F6" s="793" t="s">
        <v>9</v>
      </c>
      <c r="G6" s="793" t="s">
        <v>9</v>
      </c>
      <c r="H6" s="2241" t="s">
        <v>10</v>
      </c>
      <c r="I6" s="2242"/>
      <c r="J6" s="2241" t="s">
        <v>11</v>
      </c>
      <c r="K6" s="2242"/>
      <c r="L6" s="2241" t="s">
        <v>12</v>
      </c>
      <c r="M6" s="2242"/>
      <c r="N6" s="2241" t="s">
        <v>13</v>
      </c>
      <c r="O6" s="2242"/>
      <c r="P6" s="2241" t="s">
        <v>14</v>
      </c>
      <c r="Q6" s="2242"/>
      <c r="R6" s="2248" t="s">
        <v>15</v>
      </c>
      <c r="S6" s="2249"/>
      <c r="T6" s="2241" t="s">
        <v>16</v>
      </c>
      <c r="U6" s="2242"/>
      <c r="V6" s="2158"/>
      <c r="W6" s="2241" t="s">
        <v>17</v>
      </c>
      <c r="X6" s="2242"/>
      <c r="Y6" s="2241" t="s">
        <v>18</v>
      </c>
      <c r="Z6" s="2272"/>
      <c r="AA6" s="2242"/>
      <c r="AB6" s="2241" t="s">
        <v>19</v>
      </c>
      <c r="AC6" s="2272"/>
      <c r="AD6" s="2242"/>
      <c r="AE6" s="2270"/>
      <c r="AF6" s="2263"/>
      <c r="AG6" s="2264"/>
      <c r="AH6" s="2264"/>
      <c r="AI6" s="2264"/>
      <c r="AJ6" s="2264"/>
      <c r="AK6" s="2264"/>
      <c r="AL6" s="2265"/>
      <c r="AM6" s="2147"/>
      <c r="AN6" s="2158"/>
      <c r="AO6" s="794" t="s">
        <v>9</v>
      </c>
      <c r="AP6" s="2258"/>
      <c r="AQ6" s="2259"/>
      <c r="AR6" s="2267"/>
      <c r="AS6" s="2258"/>
      <c r="AT6" s="2259"/>
      <c r="AU6" s="2259"/>
      <c r="AV6" s="2259"/>
      <c r="AW6" s="2259"/>
      <c r="AX6" s="794" t="s">
        <v>21</v>
      </c>
      <c r="AY6" s="2270"/>
      <c r="AZ6" s="2147"/>
      <c r="BA6" s="2147"/>
      <c r="BB6" s="2147"/>
      <c r="BC6" s="1425" t="s">
        <v>9</v>
      </c>
      <c r="BD6" s="2290"/>
      <c r="BE6" s="2291"/>
      <c r="BG6" s="796"/>
      <c r="BH6" s="796"/>
      <c r="BI6" s="796"/>
      <c r="BJ6" s="788"/>
      <c r="BK6" s="790"/>
      <c r="BL6" s="790"/>
      <c r="BM6" s="790"/>
      <c r="BN6" s="788"/>
      <c r="BO6" s="788"/>
    </row>
    <row r="7" spans="1:72" s="771" customFormat="1" ht="63" customHeight="1">
      <c r="A7" s="2276"/>
      <c r="B7" s="2279"/>
      <c r="C7" s="2158"/>
      <c r="D7" s="791" t="s">
        <v>22</v>
      </c>
      <c r="E7" s="792" t="s">
        <v>23</v>
      </c>
      <c r="F7" s="793" t="s">
        <v>24</v>
      </c>
      <c r="G7" s="793" t="s">
        <v>25</v>
      </c>
      <c r="H7" s="2244" t="s">
        <v>4</v>
      </c>
      <c r="I7" s="2245"/>
      <c r="J7" s="2244" t="s">
        <v>4</v>
      </c>
      <c r="K7" s="2245"/>
      <c r="L7" s="2244" t="s">
        <v>4</v>
      </c>
      <c r="M7" s="2245"/>
      <c r="N7" s="2244" t="s">
        <v>4</v>
      </c>
      <c r="O7" s="2245"/>
      <c r="P7" s="2244" t="s">
        <v>4</v>
      </c>
      <c r="Q7" s="2245"/>
      <c r="R7" s="2246" t="s">
        <v>4</v>
      </c>
      <c r="S7" s="2247"/>
      <c r="T7" s="2244" t="s">
        <v>4</v>
      </c>
      <c r="U7" s="2245"/>
      <c r="V7" s="2158"/>
      <c r="W7" s="794" t="s">
        <v>27</v>
      </c>
      <c r="X7" s="1231" t="s">
        <v>28</v>
      </c>
      <c r="Y7" s="794" t="s">
        <v>27</v>
      </c>
      <c r="Z7" s="2244" t="s">
        <v>4</v>
      </c>
      <c r="AA7" s="2245"/>
      <c r="AB7" s="794" t="s">
        <v>27</v>
      </c>
      <c r="AC7" s="2241" t="s">
        <v>4</v>
      </c>
      <c r="AD7" s="2242"/>
      <c r="AE7" s="2284"/>
      <c r="AF7" s="797" t="s">
        <v>56</v>
      </c>
      <c r="AG7" s="797" t="s">
        <v>57</v>
      </c>
      <c r="AH7" s="797" t="s">
        <v>60</v>
      </c>
      <c r="AI7" s="797" t="s">
        <v>202</v>
      </c>
      <c r="AJ7" s="797" t="s">
        <v>218</v>
      </c>
      <c r="AK7" s="797" t="s">
        <v>572</v>
      </c>
      <c r="AL7" s="798" t="s">
        <v>288</v>
      </c>
      <c r="AM7" s="2273"/>
      <c r="AN7" s="2274"/>
      <c r="AO7" s="794" t="s">
        <v>29</v>
      </c>
      <c r="AP7" s="792" t="s">
        <v>30</v>
      </c>
      <c r="AQ7" s="792" t="s">
        <v>31</v>
      </c>
      <c r="AR7" s="792" t="s">
        <v>4</v>
      </c>
      <c r="AS7" s="1232" t="s">
        <v>30</v>
      </c>
      <c r="AT7" s="1231" t="s">
        <v>31</v>
      </c>
      <c r="AU7" s="1231" t="s">
        <v>30</v>
      </c>
      <c r="AV7" s="1231" t="s">
        <v>31</v>
      </c>
      <c r="AW7" s="1230" t="s">
        <v>4</v>
      </c>
      <c r="AX7" s="794" t="s">
        <v>32</v>
      </c>
      <c r="AY7" s="2270"/>
      <c r="AZ7" s="2147"/>
      <c r="BA7" s="2147"/>
      <c r="BB7" s="2147"/>
      <c r="BC7" s="1425" t="s">
        <v>33</v>
      </c>
      <c r="BD7" s="2285" t="s">
        <v>42</v>
      </c>
      <c r="BE7" s="2287" t="s">
        <v>43</v>
      </c>
      <c r="BG7" s="796"/>
      <c r="BH7" s="799"/>
      <c r="BI7" s="799"/>
      <c r="BJ7" s="788"/>
      <c r="BK7" s="790"/>
      <c r="BL7" s="790"/>
      <c r="BM7" s="790"/>
      <c r="BN7" s="788"/>
      <c r="BO7" s="788"/>
    </row>
    <row r="8" spans="1:72" s="771" customFormat="1" ht="21" customHeight="1" thickBot="1">
      <c r="A8" s="2277"/>
      <c r="B8" s="2280"/>
      <c r="C8" s="2250"/>
      <c r="D8" s="800"/>
      <c r="E8" s="801"/>
      <c r="F8" s="951" t="s">
        <v>34</v>
      </c>
      <c r="G8" s="803" t="s">
        <v>34</v>
      </c>
      <c r="H8" s="802" t="s">
        <v>8</v>
      </c>
      <c r="I8" s="804" t="s">
        <v>34</v>
      </c>
      <c r="J8" s="802" t="s">
        <v>8</v>
      </c>
      <c r="K8" s="804" t="s">
        <v>34</v>
      </c>
      <c r="L8" s="802" t="s">
        <v>8</v>
      </c>
      <c r="M8" s="804" t="s">
        <v>34</v>
      </c>
      <c r="N8" s="802" t="s">
        <v>8</v>
      </c>
      <c r="O8" s="804" t="s">
        <v>34</v>
      </c>
      <c r="P8" s="802" t="s">
        <v>8</v>
      </c>
      <c r="Q8" s="804" t="s">
        <v>34</v>
      </c>
      <c r="R8" s="802" t="s">
        <v>8</v>
      </c>
      <c r="S8" s="804" t="s">
        <v>34</v>
      </c>
      <c r="T8" s="802" t="s">
        <v>8</v>
      </c>
      <c r="U8" s="804" t="s">
        <v>34</v>
      </c>
      <c r="V8" s="2250"/>
      <c r="W8" s="802" t="s">
        <v>26</v>
      </c>
      <c r="X8" s="802" t="s">
        <v>34</v>
      </c>
      <c r="Y8" s="802" t="s">
        <v>26</v>
      </c>
      <c r="Z8" s="802" t="s">
        <v>26</v>
      </c>
      <c r="AA8" s="802" t="s">
        <v>34</v>
      </c>
      <c r="AB8" s="802" t="s">
        <v>26</v>
      </c>
      <c r="AC8" s="802" t="s">
        <v>35</v>
      </c>
      <c r="AD8" s="802" t="s">
        <v>34</v>
      </c>
      <c r="AE8" s="802" t="s">
        <v>34</v>
      </c>
      <c r="AF8" s="804" t="s">
        <v>34</v>
      </c>
      <c r="AG8" s="804" t="s">
        <v>34</v>
      </c>
      <c r="AH8" s="804" t="s">
        <v>34</v>
      </c>
      <c r="AI8" s="804" t="s">
        <v>34</v>
      </c>
      <c r="AJ8" s="804" t="s">
        <v>34</v>
      </c>
      <c r="AK8" s="804" t="s">
        <v>34</v>
      </c>
      <c r="AL8" s="804" t="s">
        <v>34</v>
      </c>
      <c r="AM8" s="804" t="s">
        <v>34</v>
      </c>
      <c r="AN8" s="802" t="s">
        <v>34</v>
      </c>
      <c r="AO8" s="804" t="s">
        <v>34</v>
      </c>
      <c r="AP8" s="804" t="s">
        <v>34</v>
      </c>
      <c r="AQ8" s="804" t="s">
        <v>34</v>
      </c>
      <c r="AR8" s="804" t="s">
        <v>34</v>
      </c>
      <c r="AS8" s="802" t="s">
        <v>58</v>
      </c>
      <c r="AT8" s="804" t="s">
        <v>34</v>
      </c>
      <c r="AU8" s="804" t="s">
        <v>59</v>
      </c>
      <c r="AV8" s="804" t="s">
        <v>34</v>
      </c>
      <c r="AW8" s="805" t="s">
        <v>34</v>
      </c>
      <c r="AX8" s="1233"/>
      <c r="AY8" s="2271"/>
      <c r="AZ8" s="2148"/>
      <c r="BA8" s="2148"/>
      <c r="BB8" s="2148"/>
      <c r="BC8" s="1426" t="s">
        <v>34</v>
      </c>
      <c r="BD8" s="2286"/>
      <c r="BE8" s="2288"/>
      <c r="BG8" s="788" t="s">
        <v>353</v>
      </c>
      <c r="BH8" s="799" t="s">
        <v>43</v>
      </c>
      <c r="BI8" s="799" t="s">
        <v>42</v>
      </c>
      <c r="BJ8" s="788" t="s">
        <v>354</v>
      </c>
      <c r="BK8" s="790" t="s">
        <v>358</v>
      </c>
      <c r="BL8" s="790"/>
      <c r="BM8" s="790" t="s">
        <v>625</v>
      </c>
      <c r="BN8" s="788" t="s">
        <v>626</v>
      </c>
      <c r="BO8" s="788" t="s">
        <v>627</v>
      </c>
      <c r="BQ8" s="771" t="s">
        <v>685</v>
      </c>
    </row>
    <row r="9" spans="1:72" s="810" customFormat="1" ht="36.75" customHeight="1">
      <c r="A9" s="806" t="s">
        <v>63</v>
      </c>
      <c r="B9" s="807" t="s">
        <v>36</v>
      </c>
      <c r="C9" s="808" t="s">
        <v>451</v>
      </c>
      <c r="D9" s="809" t="s">
        <v>438</v>
      </c>
      <c r="E9" s="1036">
        <f>'HK UP KEEP, OP '!AH7</f>
        <v>16</v>
      </c>
      <c r="F9" s="952">
        <v>129220</v>
      </c>
      <c r="G9" s="1140">
        <f t="shared" ref="G9:G16" si="0">E9*F9</f>
        <v>2067520</v>
      </c>
      <c r="H9" s="1036">
        <f>'HK UP KEEP, OP '!AI7</f>
        <v>2</v>
      </c>
      <c r="I9" s="1036">
        <f t="shared" ref="I9:I10" si="1">H9*F9</f>
        <v>258440</v>
      </c>
      <c r="J9" s="1036">
        <f>'HK UP KEEP, OP '!AJ7</f>
        <v>2</v>
      </c>
      <c r="K9" s="1036">
        <f t="shared" ref="K9:K10" si="2">J9*F9</f>
        <v>258440</v>
      </c>
      <c r="L9" s="1036">
        <f>'HK UP KEEP, OP '!AK7</f>
        <v>0</v>
      </c>
      <c r="M9" s="1036">
        <f t="shared" ref="M9:M10" si="3">L9*F9</f>
        <v>0</v>
      </c>
      <c r="N9" s="1036">
        <f>'HK UP KEEP, OP '!AL7</f>
        <v>4</v>
      </c>
      <c r="O9" s="1036">
        <f t="shared" ref="O9:O10" si="4">N9*F9</f>
        <v>516880</v>
      </c>
      <c r="P9" s="1036">
        <f>'HK UP KEEP, OP '!AM7</f>
        <v>3</v>
      </c>
      <c r="Q9" s="1036">
        <f t="shared" ref="Q9:Q10" si="5">P9*F9</f>
        <v>387660</v>
      </c>
      <c r="R9" s="1036">
        <f>'HK UP KEEP, OP '!AN7</f>
        <v>0</v>
      </c>
      <c r="S9" s="1036">
        <f t="shared" ref="S9:S10" si="6">R9*F9</f>
        <v>0</v>
      </c>
      <c r="T9" s="1036">
        <f>'HK UP KEEP, OP '!AO7+'HK UP KEEP, OP '!AP7+'HK UP KEEP, OP '!AQ7</f>
        <v>0</v>
      </c>
      <c r="U9" s="1036">
        <f t="shared" ref="U9:U10" si="7">T9*F9</f>
        <v>0</v>
      </c>
      <c r="V9" s="1036">
        <f t="shared" ref="V9:V41" si="8">SUM(E9+H9+J9+L9+N9+P9+R9+T9)</f>
        <v>27</v>
      </c>
      <c r="W9" s="1141">
        <v>4650</v>
      </c>
      <c r="X9" s="1036">
        <f t="shared" ref="X9:X41" si="9">W9*V9</f>
        <v>125550</v>
      </c>
      <c r="Y9" s="1036">
        <v>3500</v>
      </c>
      <c r="Z9" s="1036">
        <f>E9</f>
        <v>16</v>
      </c>
      <c r="AA9" s="1302">
        <f>Z9*Y9</f>
        <v>56000</v>
      </c>
      <c r="AB9" s="1036">
        <v>2500</v>
      </c>
      <c r="AC9" s="1036">
        <f>'MASA KERJA AB'!H8</f>
        <v>17</v>
      </c>
      <c r="AD9" s="1302">
        <f>'MASA KERJA AB'!I8</f>
        <v>50500</v>
      </c>
      <c r="AE9" s="1141">
        <f>'LEMBUR DAN PREMI UPKEEP'!AJ21</f>
        <v>33612.14</v>
      </c>
      <c r="AF9" s="1036"/>
      <c r="AG9" s="1036"/>
      <c r="AH9" s="1036"/>
      <c r="AI9" s="1036"/>
      <c r="AJ9" s="1036"/>
      <c r="AK9" s="1142"/>
      <c r="AL9" s="1036"/>
      <c r="AM9" s="1036"/>
      <c r="AN9" s="1036"/>
      <c r="AO9" s="1143">
        <f t="shared" ref="AO9:AO41" si="10">SUM(G9+I9+K9+M9+O9+Q9+S9+U9+X9+AA9+AD9+AE9+AF9+AG9+AH9+AI9+AJ9+AK9+AL9+AM9+AN9)</f>
        <v>3754602.14</v>
      </c>
      <c r="AP9" s="1036">
        <f>$AP$3*0.02</f>
        <v>77532</v>
      </c>
      <c r="AQ9" s="1036">
        <f>$AP$3*0.0454</f>
        <v>175997.64</v>
      </c>
      <c r="AR9" s="1036">
        <f t="shared" ref="AR9:AR10" si="11">SUM(AQ9+AP9)</f>
        <v>253529.64</v>
      </c>
      <c r="AS9" s="1036">
        <f>($AP$3+AD9)*1%</f>
        <v>39271</v>
      </c>
      <c r="AT9" s="1036">
        <f>($AP$3+AD9)*4%</f>
        <v>157084</v>
      </c>
      <c r="AU9" s="1036">
        <f>$AP$3*1%</f>
        <v>38766</v>
      </c>
      <c r="AV9" s="1036">
        <f>$AP$3*2%</f>
        <v>77532</v>
      </c>
      <c r="AW9" s="1036">
        <f t="shared" ref="AW9:AW10" si="12">SUM(AS9:AV9)</f>
        <v>312653</v>
      </c>
      <c r="AX9" s="1302">
        <v>4000</v>
      </c>
      <c r="AY9" s="1036">
        <v>0</v>
      </c>
      <c r="AZ9" s="1036">
        <f t="shared" ref="AZ9:AZ41" si="13">AL9</f>
        <v>0</v>
      </c>
      <c r="BA9" s="1036"/>
      <c r="BB9" s="1036"/>
      <c r="BC9" s="1427">
        <f t="shared" ref="BC9:BC41" si="14">SUM(AO9-AP9-AS9-AU9-AX9-AY9-AZ9-BB9-BA9)</f>
        <v>3595033.14</v>
      </c>
      <c r="BD9" s="1036">
        <f>'HK UP KEEP, OP '!AS7</f>
        <v>2</v>
      </c>
      <c r="BE9" s="1260">
        <f>'HK UP KEEP, OP '!AT7</f>
        <v>2</v>
      </c>
      <c r="BG9" s="765">
        <f t="shared" ref="BG9:BG41" si="15">V9*F9</f>
        <v>3488940</v>
      </c>
      <c r="BH9" s="766">
        <f t="shared" ref="BH9:BH41" si="16">BD9*F9</f>
        <v>258440</v>
      </c>
      <c r="BI9" s="766">
        <f t="shared" ref="BI9:BI41" si="17">BE9*F9</f>
        <v>258440</v>
      </c>
      <c r="BJ9" s="765">
        <f t="shared" ref="BJ9:BJ41" si="18">-(BH9+BI9)</f>
        <v>-516880</v>
      </c>
      <c r="BK9" s="767">
        <f>SUM(BG9:BI9)</f>
        <v>4005820</v>
      </c>
      <c r="BL9" s="767">
        <f>BK9+BH9+BI9</f>
        <v>4522700</v>
      </c>
      <c r="BM9" s="767">
        <f>X9+AA9+AD9+AE9+AF9+AG9+AH9+AI9+AJ9+AK9+AL9+AM9</f>
        <v>265662.14</v>
      </c>
      <c r="BN9" s="765">
        <v>30827.999159999996</v>
      </c>
      <c r="BO9" s="765">
        <f t="shared" ref="BO9:BO41" si="19">AP9+AQ9+AS9+AT9+AU9+AV9</f>
        <v>566182.64</v>
      </c>
      <c r="BQ9" s="1333"/>
      <c r="BS9" s="963"/>
      <c r="BT9" s="963"/>
    </row>
    <row r="10" spans="1:72" s="810" customFormat="1" ht="36.75" customHeight="1">
      <c r="A10" s="811" t="s">
        <v>53</v>
      </c>
      <c r="B10" s="812" t="s">
        <v>37</v>
      </c>
      <c r="C10" s="813" t="s">
        <v>186</v>
      </c>
      <c r="D10" s="814" t="s">
        <v>101</v>
      </c>
      <c r="E10" s="1037">
        <f>'HK UP KEEP, OP '!AH8</f>
        <v>16</v>
      </c>
      <c r="F10" s="953">
        <v>129220</v>
      </c>
      <c r="G10" s="1144">
        <f t="shared" si="0"/>
        <v>2067520</v>
      </c>
      <c r="H10" s="1037">
        <f>'HK UP KEEP, OP '!AI8</f>
        <v>2</v>
      </c>
      <c r="I10" s="1037">
        <f t="shared" si="1"/>
        <v>258440</v>
      </c>
      <c r="J10" s="1037">
        <f>'HK UP KEEP, OP '!AJ8</f>
        <v>0</v>
      </c>
      <c r="K10" s="1037">
        <f t="shared" si="2"/>
        <v>0</v>
      </c>
      <c r="L10" s="1037">
        <f>'HK UP KEEP, OP '!AK8</f>
        <v>2</v>
      </c>
      <c r="M10" s="1037">
        <f t="shared" si="3"/>
        <v>258440</v>
      </c>
      <c r="N10" s="1037">
        <f>'HK UP KEEP, OP '!AL8</f>
        <v>4</v>
      </c>
      <c r="O10" s="1037">
        <f t="shared" si="4"/>
        <v>516880</v>
      </c>
      <c r="P10" s="1037">
        <f>'HK UP KEEP, OP '!AM8</f>
        <v>3</v>
      </c>
      <c r="Q10" s="1037">
        <f t="shared" si="5"/>
        <v>387660</v>
      </c>
      <c r="R10" s="1037">
        <f>'HK UP KEEP, OP '!AN8</f>
        <v>0</v>
      </c>
      <c r="S10" s="1037">
        <f t="shared" si="6"/>
        <v>0</v>
      </c>
      <c r="T10" s="1037">
        <f>'HK UP KEEP, OP '!AO8+'HK UP KEEP, OP '!AP8+'HK UP KEEP, OP '!AQ8</f>
        <v>0</v>
      </c>
      <c r="U10" s="1037">
        <f t="shared" si="7"/>
        <v>0</v>
      </c>
      <c r="V10" s="1037">
        <f t="shared" si="8"/>
        <v>27</v>
      </c>
      <c r="W10" s="1145">
        <v>2250</v>
      </c>
      <c r="X10" s="1037">
        <f t="shared" si="9"/>
        <v>60750</v>
      </c>
      <c r="Y10" s="1037"/>
      <c r="Z10" s="1037"/>
      <c r="AA10" s="1037"/>
      <c r="AB10" s="1037">
        <v>2500</v>
      </c>
      <c r="AC10" s="1037">
        <f>'MASA KERJA AB'!H9</f>
        <v>16</v>
      </c>
      <c r="AD10" s="1303">
        <f>'MASA KERJA AB'!I9</f>
        <v>47000</v>
      </c>
      <c r="AE10" s="1145"/>
      <c r="AF10" s="1037"/>
      <c r="AG10" s="1037"/>
      <c r="AH10" s="1037"/>
      <c r="AI10" s="1037"/>
      <c r="AJ10" s="1037"/>
      <c r="AK10" s="1266"/>
      <c r="AL10" s="1037"/>
      <c r="AM10" s="1037"/>
      <c r="AN10" s="1037"/>
      <c r="AO10" s="1147">
        <f t="shared" si="10"/>
        <v>3596690</v>
      </c>
      <c r="AP10" s="1037">
        <f t="shared" ref="AP10:AP41" si="20">$AP$4*0.02</f>
        <v>77532</v>
      </c>
      <c r="AQ10" s="1037">
        <f t="shared" ref="AQ10:AQ41" si="21">$AP$4*0.0454</f>
        <v>175997.64</v>
      </c>
      <c r="AR10" s="1037">
        <f t="shared" si="11"/>
        <v>253529.64</v>
      </c>
      <c r="AS10" s="1037">
        <f t="shared" ref="AS10:AS41" si="22">($AP$4+AD10)*1%</f>
        <v>39236</v>
      </c>
      <c r="AT10" s="1037">
        <f t="shared" ref="AT10:AT41" si="23">($AP$4+AD10)*4%</f>
        <v>156944</v>
      </c>
      <c r="AU10" s="1037">
        <f t="shared" ref="AU10:AU41" si="24">$AP$4*1%</f>
        <v>38766</v>
      </c>
      <c r="AV10" s="1037">
        <f t="shared" ref="AV10:AV41" si="25">$AP$4*2%</f>
        <v>77532</v>
      </c>
      <c r="AW10" s="1037">
        <f t="shared" si="12"/>
        <v>312478</v>
      </c>
      <c r="AX10" s="1303">
        <v>4000</v>
      </c>
      <c r="AY10" s="1037">
        <v>0</v>
      </c>
      <c r="AZ10" s="1037">
        <f t="shared" si="13"/>
        <v>0</v>
      </c>
      <c r="BA10" s="1037"/>
      <c r="BB10" s="1037"/>
      <c r="BC10" s="1386">
        <f t="shared" si="14"/>
        <v>3437156</v>
      </c>
      <c r="BD10" s="1037">
        <f>'HK UP KEEP, OP '!AS8</f>
        <v>3</v>
      </c>
      <c r="BE10" s="1262">
        <f>'HK UP KEEP, OP '!AT8</f>
        <v>1</v>
      </c>
      <c r="BG10" s="765">
        <f t="shared" si="15"/>
        <v>3488940</v>
      </c>
      <c r="BH10" s="766">
        <f t="shared" si="16"/>
        <v>387660</v>
      </c>
      <c r="BI10" s="766">
        <f t="shared" si="17"/>
        <v>129220</v>
      </c>
      <c r="BJ10" s="765">
        <f t="shared" si="18"/>
        <v>-516880</v>
      </c>
      <c r="BK10" s="767">
        <f t="shared" ref="BK10:BK41" si="26">SUM(BG10:BI10)</f>
        <v>4005820</v>
      </c>
      <c r="BL10" s="767">
        <f>BK10+BH10+BI10</f>
        <v>4522700</v>
      </c>
      <c r="BM10" s="767">
        <f>X10+AA10+AD10+AE10+AF10+AG10+AH10+AI10+AJ10+AK10+AL10+AM10</f>
        <v>107750</v>
      </c>
      <c r="BN10" s="765">
        <v>30575.999999999996</v>
      </c>
      <c r="BO10" s="765">
        <f t="shared" si="19"/>
        <v>566007.64</v>
      </c>
      <c r="BS10" s="963"/>
      <c r="BT10" s="963"/>
    </row>
    <row r="11" spans="1:72" s="810" customFormat="1" ht="36.75" customHeight="1">
      <c r="A11" s="811" t="s">
        <v>64</v>
      </c>
      <c r="B11" s="812" t="s">
        <v>37</v>
      </c>
      <c r="C11" s="813" t="s">
        <v>196</v>
      </c>
      <c r="D11" s="814" t="s">
        <v>187</v>
      </c>
      <c r="E11" s="1037">
        <f>'HK UP KEEP, OP '!AH9</f>
        <v>24</v>
      </c>
      <c r="F11" s="953">
        <v>129220</v>
      </c>
      <c r="G11" s="1144">
        <f t="shared" si="0"/>
        <v>3101280</v>
      </c>
      <c r="H11" s="1037">
        <f>'HK UP KEEP, OP '!AI9</f>
        <v>0</v>
      </c>
      <c r="I11" s="1037">
        <f t="shared" ref="I11:I41" si="27">H11*F11</f>
        <v>0</v>
      </c>
      <c r="J11" s="1037">
        <f>'HK UP KEEP, OP '!AJ9</f>
        <v>0</v>
      </c>
      <c r="K11" s="1037">
        <f t="shared" ref="K11:K41" si="28">J11*F11</f>
        <v>0</v>
      </c>
      <c r="L11" s="1037">
        <f>'HK UP KEEP, OP '!AK9</f>
        <v>0</v>
      </c>
      <c r="M11" s="1037">
        <f t="shared" ref="M11:M41" si="29">L11*F11</f>
        <v>0</v>
      </c>
      <c r="N11" s="1037">
        <f>'HK UP KEEP, OP '!AL9</f>
        <v>4</v>
      </c>
      <c r="O11" s="1037">
        <f t="shared" ref="O11:O41" si="30">N11*F11</f>
        <v>516880</v>
      </c>
      <c r="P11" s="1037">
        <f>'HK UP KEEP, OP '!AM9</f>
        <v>3</v>
      </c>
      <c r="Q11" s="1037">
        <f t="shared" ref="Q11:Q41" si="31">P11*F11</f>
        <v>387660</v>
      </c>
      <c r="R11" s="1037">
        <f>'HK UP KEEP, OP '!AN9</f>
        <v>0</v>
      </c>
      <c r="S11" s="1037">
        <f t="shared" ref="S11:S41" si="32">R11*F11</f>
        <v>0</v>
      </c>
      <c r="T11" s="1037">
        <f>'HK UP KEEP, OP '!AO9+'HK UP KEEP, OP '!AP9+'HK UP KEEP, OP '!AQ9</f>
        <v>0</v>
      </c>
      <c r="U11" s="1037">
        <f t="shared" ref="U11:U41" si="33">T11*F11</f>
        <v>0</v>
      </c>
      <c r="V11" s="1037">
        <f t="shared" si="8"/>
        <v>31</v>
      </c>
      <c r="W11" s="1145">
        <v>2250</v>
      </c>
      <c r="X11" s="1037">
        <f t="shared" si="9"/>
        <v>69750</v>
      </c>
      <c r="Y11" s="1037">
        <v>2500</v>
      </c>
      <c r="Z11" s="1037">
        <f>E11</f>
        <v>24</v>
      </c>
      <c r="AA11" s="1303">
        <f t="shared" ref="AA11:AA41" si="34">Z11*Y11</f>
        <v>60000</v>
      </c>
      <c r="AB11" s="1037">
        <v>2500</v>
      </c>
      <c r="AC11" s="1037">
        <f>'MASA KERJA AB'!H10</f>
        <v>10</v>
      </c>
      <c r="AD11" s="1303">
        <f>'MASA KERJA AB'!I10</f>
        <v>27000</v>
      </c>
      <c r="AE11" s="1145">
        <f>'LEMBUR DAN PREMI UPKEEP'!AJ6</f>
        <v>4212721.04</v>
      </c>
      <c r="AF11" s="1037"/>
      <c r="AG11" s="1037"/>
      <c r="AH11" s="1037"/>
      <c r="AI11" s="1037"/>
      <c r="AJ11" s="1037"/>
      <c r="AK11" s="1266"/>
      <c r="AL11" s="1037"/>
      <c r="AM11" s="1037"/>
      <c r="AN11" s="1037"/>
      <c r="AO11" s="1147">
        <f t="shared" si="10"/>
        <v>8375291.04</v>
      </c>
      <c r="AP11" s="1037">
        <f t="shared" si="20"/>
        <v>77532</v>
      </c>
      <c r="AQ11" s="1037">
        <f t="shared" si="21"/>
        <v>175997.64</v>
      </c>
      <c r="AR11" s="1037">
        <f t="shared" ref="AR11:AR41" si="35">SUM(AQ11+AP11)</f>
        <v>253529.64</v>
      </c>
      <c r="AS11" s="1037">
        <f t="shared" si="22"/>
        <v>39036</v>
      </c>
      <c r="AT11" s="1037">
        <f t="shared" si="23"/>
        <v>156144</v>
      </c>
      <c r="AU11" s="1037">
        <f t="shared" si="24"/>
        <v>38766</v>
      </c>
      <c r="AV11" s="1037">
        <f t="shared" si="25"/>
        <v>77532</v>
      </c>
      <c r="AW11" s="1037">
        <f t="shared" ref="AW11:AW41" si="36">SUM(AS11:AV11)</f>
        <v>311478</v>
      </c>
      <c r="AX11" s="1303">
        <v>4000</v>
      </c>
      <c r="AY11" s="1303">
        <v>165620</v>
      </c>
      <c r="AZ11" s="1037">
        <f t="shared" si="13"/>
        <v>0</v>
      </c>
      <c r="BA11" s="1037"/>
      <c r="BB11" s="1037"/>
      <c r="BC11" s="1386">
        <f t="shared" si="14"/>
        <v>8050337.04</v>
      </c>
      <c r="BD11" s="1037">
        <f>'HK UP KEEP, OP '!AS9</f>
        <v>0</v>
      </c>
      <c r="BE11" s="1262">
        <f>'HK UP KEEP, OP '!AT9</f>
        <v>0</v>
      </c>
      <c r="BG11" s="765">
        <f t="shared" si="15"/>
        <v>4005820</v>
      </c>
      <c r="BH11" s="766">
        <f t="shared" si="16"/>
        <v>0</v>
      </c>
      <c r="BI11" s="766">
        <f t="shared" si="17"/>
        <v>0</v>
      </c>
      <c r="BJ11" s="765">
        <f t="shared" si="18"/>
        <v>0</v>
      </c>
      <c r="BK11" s="767">
        <f t="shared" si="26"/>
        <v>4005820</v>
      </c>
      <c r="BL11" s="767"/>
      <c r="BM11" s="767">
        <f>X11+AA11+AD11+AE11+AF11+AG11+AH11+AI11+AJ11+AK11+AL11+AM11</f>
        <v>4369471.04</v>
      </c>
      <c r="BN11" s="765">
        <v>30575.999999999996</v>
      </c>
      <c r="BO11" s="765">
        <f t="shared" si="19"/>
        <v>565007.64</v>
      </c>
      <c r="BS11" s="963"/>
      <c r="BT11" s="963"/>
    </row>
    <row r="12" spans="1:72" s="810" customFormat="1" ht="36.75" customHeight="1">
      <c r="A12" s="811" t="s">
        <v>65</v>
      </c>
      <c r="B12" s="812" t="s">
        <v>36</v>
      </c>
      <c r="C12" s="813" t="s">
        <v>481</v>
      </c>
      <c r="D12" s="814" t="s">
        <v>479</v>
      </c>
      <c r="E12" s="1037">
        <f>'HK UP KEEP, OP '!AH10</f>
        <v>24</v>
      </c>
      <c r="F12" s="953">
        <v>129220</v>
      </c>
      <c r="G12" s="1144">
        <f t="shared" si="0"/>
        <v>3101280</v>
      </c>
      <c r="H12" s="1037">
        <f>'HK UP KEEP, OP '!AI10</f>
        <v>0</v>
      </c>
      <c r="I12" s="1037">
        <f t="shared" si="27"/>
        <v>0</v>
      </c>
      <c r="J12" s="1037">
        <f>'HK UP KEEP, OP '!AJ10</f>
        <v>0</v>
      </c>
      <c r="K12" s="1037">
        <f t="shared" si="28"/>
        <v>0</v>
      </c>
      <c r="L12" s="1037">
        <f>'HK UP KEEP, OP '!AK10</f>
        <v>0</v>
      </c>
      <c r="M12" s="1037">
        <f t="shared" si="29"/>
        <v>0</v>
      </c>
      <c r="N12" s="1037">
        <f>'HK UP KEEP, OP '!AL10</f>
        <v>4</v>
      </c>
      <c r="O12" s="1037">
        <f t="shared" si="30"/>
        <v>516880</v>
      </c>
      <c r="P12" s="1037">
        <f>'HK UP KEEP, OP '!AM10</f>
        <v>3</v>
      </c>
      <c r="Q12" s="1037">
        <f t="shared" si="31"/>
        <v>387660</v>
      </c>
      <c r="R12" s="1037">
        <f>'HK UP KEEP, OP '!AN10</f>
        <v>0</v>
      </c>
      <c r="S12" s="1037">
        <f t="shared" si="32"/>
        <v>0</v>
      </c>
      <c r="T12" s="1037">
        <f>'HK UP KEEP, OP '!AO10+'HK UP KEEP, OP '!AP10+'HK UP KEEP, OP '!AQ10</f>
        <v>0</v>
      </c>
      <c r="U12" s="1037">
        <f t="shared" si="33"/>
        <v>0</v>
      </c>
      <c r="V12" s="1037">
        <f t="shared" si="8"/>
        <v>31</v>
      </c>
      <c r="W12" s="1145">
        <v>4650</v>
      </c>
      <c r="X12" s="1037">
        <f t="shared" si="9"/>
        <v>144150</v>
      </c>
      <c r="Y12" s="1037">
        <v>2500</v>
      </c>
      <c r="Z12" s="1037">
        <f>E12</f>
        <v>24</v>
      </c>
      <c r="AA12" s="1303">
        <f t="shared" si="34"/>
        <v>60000</v>
      </c>
      <c r="AB12" s="1037">
        <v>2500</v>
      </c>
      <c r="AC12" s="1037">
        <f>'MASA KERJA AB'!H11</f>
        <v>10</v>
      </c>
      <c r="AD12" s="1303">
        <f>'MASA KERJA AB'!I11</f>
        <v>27000</v>
      </c>
      <c r="AE12" s="1145">
        <f>'LEMBUR DAN PREMI UPKEEP'!AJ9</f>
        <v>4324761.49</v>
      </c>
      <c r="AF12" s="1037"/>
      <c r="AG12" s="1037"/>
      <c r="AH12" s="1037"/>
      <c r="AI12" s="1037"/>
      <c r="AJ12" s="1037"/>
      <c r="AK12" s="1266"/>
      <c r="AL12" s="1037"/>
      <c r="AM12" s="1037"/>
      <c r="AN12" s="1037"/>
      <c r="AO12" s="1147">
        <f t="shared" si="10"/>
        <v>8561731.4900000002</v>
      </c>
      <c r="AP12" s="1037">
        <f t="shared" si="20"/>
        <v>77532</v>
      </c>
      <c r="AQ12" s="1037">
        <f t="shared" si="21"/>
        <v>175997.64</v>
      </c>
      <c r="AR12" s="1037">
        <f t="shared" si="35"/>
        <v>253529.64</v>
      </c>
      <c r="AS12" s="1037">
        <f t="shared" si="22"/>
        <v>39036</v>
      </c>
      <c r="AT12" s="1037">
        <f t="shared" si="23"/>
        <v>156144</v>
      </c>
      <c r="AU12" s="1037">
        <f t="shared" si="24"/>
        <v>38766</v>
      </c>
      <c r="AV12" s="1037">
        <f t="shared" si="25"/>
        <v>77532</v>
      </c>
      <c r="AW12" s="1037">
        <f t="shared" si="36"/>
        <v>311478</v>
      </c>
      <c r="AX12" s="1303">
        <v>4000</v>
      </c>
      <c r="AY12" s="1303">
        <v>144757</v>
      </c>
      <c r="AZ12" s="1037">
        <f t="shared" si="13"/>
        <v>0</v>
      </c>
      <c r="BA12" s="1037"/>
      <c r="BB12" s="1037"/>
      <c r="BC12" s="1386">
        <f t="shared" si="14"/>
        <v>8257640.4900000002</v>
      </c>
      <c r="BD12" s="1037">
        <f>'HK UP KEEP, OP '!AS10</f>
        <v>0</v>
      </c>
      <c r="BE12" s="1262">
        <f>'HK UP KEEP, OP '!AT10</f>
        <v>0</v>
      </c>
      <c r="BG12" s="765">
        <f t="shared" si="15"/>
        <v>4005820</v>
      </c>
      <c r="BH12" s="766">
        <f t="shared" si="16"/>
        <v>0</v>
      </c>
      <c r="BI12" s="766">
        <f t="shared" si="17"/>
        <v>0</v>
      </c>
      <c r="BJ12" s="765">
        <f t="shared" si="18"/>
        <v>0</v>
      </c>
      <c r="BK12" s="767">
        <f t="shared" si="26"/>
        <v>4005820</v>
      </c>
      <c r="BL12" s="767"/>
      <c r="BM12" s="767">
        <f>X12+AA12+AD12+AE12+AF12+AG12+AH12+AI12+AJ12+AK12+AL12+AM12</f>
        <v>4555911.49</v>
      </c>
      <c r="BN12" s="765">
        <v>30575.999999999996</v>
      </c>
      <c r="BO12" s="765">
        <f t="shared" si="19"/>
        <v>565007.64</v>
      </c>
      <c r="BS12" s="963"/>
      <c r="BT12" s="963"/>
    </row>
    <row r="13" spans="1:72" s="810" customFormat="1" ht="36.75" customHeight="1">
      <c r="A13" s="811" t="s">
        <v>66</v>
      </c>
      <c r="B13" s="812" t="s">
        <v>37</v>
      </c>
      <c r="C13" s="813" t="s">
        <v>639</v>
      </c>
      <c r="D13" s="814" t="s">
        <v>628</v>
      </c>
      <c r="E13" s="1037">
        <f>'HK UP KEEP, OP '!AH11</f>
        <v>13</v>
      </c>
      <c r="F13" s="953">
        <v>129220</v>
      </c>
      <c r="G13" s="1144">
        <f t="shared" si="0"/>
        <v>1679860</v>
      </c>
      <c r="H13" s="1037">
        <f>'HK UP KEEP, OP '!AI11</f>
        <v>0</v>
      </c>
      <c r="I13" s="1037">
        <f t="shared" si="27"/>
        <v>0</v>
      </c>
      <c r="J13" s="1037">
        <f>'HK UP KEEP, OP '!AJ11</f>
        <v>11</v>
      </c>
      <c r="K13" s="1037">
        <f t="shared" si="28"/>
        <v>1421420</v>
      </c>
      <c r="L13" s="1037">
        <f>'HK UP KEEP, OP '!AK11</f>
        <v>0</v>
      </c>
      <c r="M13" s="1037">
        <f t="shared" si="29"/>
        <v>0</v>
      </c>
      <c r="N13" s="1037">
        <f>'HK UP KEEP, OP '!AL11</f>
        <v>4</v>
      </c>
      <c r="O13" s="1037">
        <f t="shared" si="30"/>
        <v>516880</v>
      </c>
      <c r="P13" s="1037">
        <f>'HK UP KEEP, OP '!AM11</f>
        <v>3</v>
      </c>
      <c r="Q13" s="1037">
        <f t="shared" si="31"/>
        <v>387660</v>
      </c>
      <c r="R13" s="1037">
        <f>'HK UP KEEP, OP '!AN11</f>
        <v>0</v>
      </c>
      <c r="S13" s="1037">
        <f t="shared" si="32"/>
        <v>0</v>
      </c>
      <c r="T13" s="1037">
        <f>'HK UP KEEP, OP '!AO11+'HK UP KEEP, OP '!AP11+'HK UP KEEP, OP '!AQ11</f>
        <v>0</v>
      </c>
      <c r="U13" s="1037">
        <f t="shared" si="33"/>
        <v>0</v>
      </c>
      <c r="V13" s="1037">
        <f t="shared" si="8"/>
        <v>31</v>
      </c>
      <c r="W13" s="1145">
        <v>2250</v>
      </c>
      <c r="X13" s="1037">
        <f t="shared" si="9"/>
        <v>69750</v>
      </c>
      <c r="Y13" s="1037">
        <v>2500</v>
      </c>
      <c r="Z13" s="1037">
        <f>E13</f>
        <v>13</v>
      </c>
      <c r="AA13" s="1303">
        <f t="shared" ref="AA13" si="37">Z13*Y13</f>
        <v>32500</v>
      </c>
      <c r="AB13" s="1037">
        <v>2500</v>
      </c>
      <c r="AC13" s="1037">
        <f>'MASA KERJA AB'!H12</f>
        <v>15</v>
      </c>
      <c r="AD13" s="1303">
        <f>'MASA KERJA AB'!I12</f>
        <v>43500</v>
      </c>
      <c r="AE13" s="1145">
        <f>'LEMBUR DAN PREMI UPKEEP'!AJ12</f>
        <v>627426.54</v>
      </c>
      <c r="AF13" s="1037"/>
      <c r="AG13" s="1037"/>
      <c r="AH13" s="1037"/>
      <c r="AI13" s="1037"/>
      <c r="AJ13" s="1037"/>
      <c r="AK13" s="1266"/>
      <c r="AL13" s="1037"/>
      <c r="AM13" s="1037"/>
      <c r="AN13" s="1037"/>
      <c r="AO13" s="1147">
        <f t="shared" si="10"/>
        <v>4778996.54</v>
      </c>
      <c r="AP13" s="1037">
        <f t="shared" si="20"/>
        <v>77532</v>
      </c>
      <c r="AQ13" s="1037">
        <f t="shared" si="21"/>
        <v>175997.64</v>
      </c>
      <c r="AR13" s="1037">
        <f t="shared" si="35"/>
        <v>253529.64</v>
      </c>
      <c r="AS13" s="1037">
        <f t="shared" si="22"/>
        <v>39201</v>
      </c>
      <c r="AT13" s="1037">
        <f t="shared" si="23"/>
        <v>156804</v>
      </c>
      <c r="AU13" s="1037">
        <f t="shared" si="24"/>
        <v>38766</v>
      </c>
      <c r="AV13" s="1037">
        <f t="shared" si="25"/>
        <v>77532</v>
      </c>
      <c r="AW13" s="1037">
        <f t="shared" si="36"/>
        <v>312303</v>
      </c>
      <c r="AX13" s="1303">
        <v>4000</v>
      </c>
      <c r="AY13" s="1303">
        <v>13921</v>
      </c>
      <c r="AZ13" s="1037">
        <f t="shared" si="13"/>
        <v>0</v>
      </c>
      <c r="BA13" s="1037"/>
      <c r="BB13" s="1037"/>
      <c r="BC13" s="1386">
        <f t="shared" si="14"/>
        <v>4605576.54</v>
      </c>
      <c r="BD13" s="1037">
        <f>'HK UP KEEP, OP '!AS11</f>
        <v>0</v>
      </c>
      <c r="BE13" s="1262">
        <f>'HK UP KEEP, OP '!AT11</f>
        <v>0</v>
      </c>
      <c r="BG13" s="765">
        <f t="shared" si="15"/>
        <v>4005820</v>
      </c>
      <c r="BH13" s="766">
        <f t="shared" si="16"/>
        <v>0</v>
      </c>
      <c r="BI13" s="766">
        <f t="shared" si="17"/>
        <v>0</v>
      </c>
      <c r="BJ13" s="765">
        <f t="shared" si="18"/>
        <v>0</v>
      </c>
      <c r="BK13" s="767">
        <f t="shared" si="26"/>
        <v>4005820</v>
      </c>
      <c r="BL13" s="767"/>
      <c r="BM13" s="767"/>
      <c r="BN13" s="765"/>
      <c r="BO13" s="765">
        <f t="shared" si="19"/>
        <v>565832.64</v>
      </c>
      <c r="BS13" s="963"/>
      <c r="BT13" s="963"/>
    </row>
    <row r="14" spans="1:72" ht="36.75" customHeight="1">
      <c r="A14" s="811" t="s">
        <v>67</v>
      </c>
      <c r="B14" s="812" t="s">
        <v>36</v>
      </c>
      <c r="C14" s="813" t="s">
        <v>199</v>
      </c>
      <c r="D14" s="814" t="s">
        <v>198</v>
      </c>
      <c r="E14" s="1037">
        <f>'HK UP KEEP, OP '!AH12</f>
        <v>24</v>
      </c>
      <c r="F14" s="953">
        <v>129220</v>
      </c>
      <c r="G14" s="1144">
        <f t="shared" si="0"/>
        <v>3101280</v>
      </c>
      <c r="H14" s="1037">
        <f>'HK UP KEEP, OP '!AI12</f>
        <v>0</v>
      </c>
      <c r="I14" s="1037">
        <f t="shared" si="27"/>
        <v>0</v>
      </c>
      <c r="J14" s="1037">
        <f>'HK UP KEEP, OP '!AJ12</f>
        <v>0</v>
      </c>
      <c r="K14" s="1037">
        <f t="shared" si="28"/>
        <v>0</v>
      </c>
      <c r="L14" s="1037">
        <f>'HK UP KEEP, OP '!AK12</f>
        <v>0</v>
      </c>
      <c r="M14" s="1037">
        <f t="shared" si="29"/>
        <v>0</v>
      </c>
      <c r="N14" s="1037">
        <f>'HK UP KEEP, OP '!AL12</f>
        <v>4</v>
      </c>
      <c r="O14" s="1037">
        <f t="shared" si="30"/>
        <v>516880</v>
      </c>
      <c r="P14" s="1037">
        <f>'HK UP KEEP, OP '!AM12</f>
        <v>3</v>
      </c>
      <c r="Q14" s="1037">
        <f t="shared" si="31"/>
        <v>387660</v>
      </c>
      <c r="R14" s="1037">
        <f>'HK UP KEEP, OP '!AN12</f>
        <v>0</v>
      </c>
      <c r="S14" s="1037">
        <f t="shared" si="32"/>
        <v>0</v>
      </c>
      <c r="T14" s="1037">
        <f>'HK UP KEEP, OP '!AO12+'HK UP KEEP, OP '!AP12+'HK UP KEEP, OP '!AQ12</f>
        <v>0</v>
      </c>
      <c r="U14" s="1037">
        <f t="shared" si="33"/>
        <v>0</v>
      </c>
      <c r="V14" s="1037">
        <f t="shared" si="8"/>
        <v>31</v>
      </c>
      <c r="W14" s="1037">
        <v>4650</v>
      </c>
      <c r="X14" s="1037">
        <f t="shared" si="9"/>
        <v>144150</v>
      </c>
      <c r="Y14" s="1037"/>
      <c r="Z14" s="1037"/>
      <c r="AA14" s="1037">
        <f t="shared" si="34"/>
        <v>0</v>
      </c>
      <c r="AB14" s="1265">
        <v>2500</v>
      </c>
      <c r="AC14" s="1037">
        <f>'MASA KERJA AB'!H13</f>
        <v>7</v>
      </c>
      <c r="AD14" s="1303">
        <f>'MASA KERJA AB'!I13</f>
        <v>18000</v>
      </c>
      <c r="AE14" s="1146">
        <f>'LEMBUR DAN PREMI UPKEEP'!AJ15</f>
        <v>3204356.98</v>
      </c>
      <c r="AF14" s="1037"/>
      <c r="AG14" s="1037"/>
      <c r="AH14" s="1149"/>
      <c r="AI14" s="1303">
        <v>120000</v>
      </c>
      <c r="AJ14" s="1144"/>
      <c r="AK14" s="1150"/>
      <c r="AL14" s="1267"/>
      <c r="AM14" s="1037"/>
      <c r="AN14" s="1037"/>
      <c r="AO14" s="1147">
        <f t="shared" si="10"/>
        <v>7492326.9800000004</v>
      </c>
      <c r="AP14" s="1037">
        <f t="shared" si="20"/>
        <v>77532</v>
      </c>
      <c r="AQ14" s="1037">
        <f t="shared" si="21"/>
        <v>175997.64</v>
      </c>
      <c r="AR14" s="1037">
        <f t="shared" si="35"/>
        <v>253529.64</v>
      </c>
      <c r="AS14" s="1037">
        <f t="shared" si="22"/>
        <v>38946</v>
      </c>
      <c r="AT14" s="1037">
        <f t="shared" si="23"/>
        <v>155784</v>
      </c>
      <c r="AU14" s="1037">
        <f t="shared" si="24"/>
        <v>38766</v>
      </c>
      <c r="AV14" s="1037">
        <f t="shared" si="25"/>
        <v>77532</v>
      </c>
      <c r="AW14" s="1037">
        <f t="shared" si="36"/>
        <v>311028</v>
      </c>
      <c r="AX14" s="1303">
        <v>4000</v>
      </c>
      <c r="AY14" s="1303">
        <v>82807</v>
      </c>
      <c r="AZ14" s="1037">
        <f t="shared" si="13"/>
        <v>0</v>
      </c>
      <c r="BA14" s="1037"/>
      <c r="BB14" s="1037"/>
      <c r="BC14" s="1386">
        <f t="shared" si="14"/>
        <v>7250275.9800000004</v>
      </c>
      <c r="BD14" s="1037">
        <f>'HK UP KEEP, OP '!AS12</f>
        <v>0</v>
      </c>
      <c r="BE14" s="1262">
        <f>'HK UP KEEP, OP '!AT12</f>
        <v>0</v>
      </c>
      <c r="BG14" s="765">
        <f t="shared" si="15"/>
        <v>4005820</v>
      </c>
      <c r="BH14" s="766">
        <f t="shared" si="16"/>
        <v>0</v>
      </c>
      <c r="BI14" s="766">
        <f t="shared" si="17"/>
        <v>0</v>
      </c>
      <c r="BJ14" s="765">
        <f t="shared" si="18"/>
        <v>0</v>
      </c>
      <c r="BK14" s="767">
        <f t="shared" si="26"/>
        <v>4005820</v>
      </c>
      <c r="BM14" s="767">
        <f t="shared" ref="BM14:BM41" si="38">X14+AA14+AD14+AE14+AF14+AG14+AH14+AI14+AJ14+AK14+AL14+AM14</f>
        <v>3486506.98</v>
      </c>
      <c r="BN14" s="765">
        <v>30575.999999999996</v>
      </c>
      <c r="BO14" s="765">
        <f t="shared" si="19"/>
        <v>564557.64</v>
      </c>
    </row>
    <row r="15" spans="1:72" ht="36.75" customHeight="1">
      <c r="A15" s="811" t="s">
        <v>68</v>
      </c>
      <c r="B15" s="815" t="s">
        <v>36</v>
      </c>
      <c r="C15" s="813" t="s">
        <v>452</v>
      </c>
      <c r="D15" s="814" t="s">
        <v>439</v>
      </c>
      <c r="E15" s="1037">
        <f>'HK UP KEEP, OP '!AH13</f>
        <v>20</v>
      </c>
      <c r="F15" s="953">
        <v>129220</v>
      </c>
      <c r="G15" s="1144">
        <f t="shared" si="0"/>
        <v>2584400</v>
      </c>
      <c r="H15" s="1037">
        <f>'HK UP KEEP, OP '!AI13</f>
        <v>2</v>
      </c>
      <c r="I15" s="1037">
        <f t="shared" si="27"/>
        <v>258440</v>
      </c>
      <c r="J15" s="1037">
        <f>'HK UP KEEP, OP '!AJ13</f>
        <v>2</v>
      </c>
      <c r="K15" s="1037">
        <f t="shared" si="28"/>
        <v>258440</v>
      </c>
      <c r="L15" s="1037">
        <f>'HK UP KEEP, OP '!AK13</f>
        <v>0</v>
      </c>
      <c r="M15" s="1037">
        <f t="shared" si="29"/>
        <v>0</v>
      </c>
      <c r="N15" s="1037">
        <f>'HK UP KEEP, OP '!AL13</f>
        <v>4</v>
      </c>
      <c r="O15" s="1037">
        <f t="shared" si="30"/>
        <v>516880</v>
      </c>
      <c r="P15" s="1037">
        <f>'HK UP KEEP, OP '!AM13</f>
        <v>3</v>
      </c>
      <c r="Q15" s="1037">
        <f t="shared" si="31"/>
        <v>387660</v>
      </c>
      <c r="R15" s="1037">
        <f>'HK UP KEEP, OP '!AN13</f>
        <v>0</v>
      </c>
      <c r="S15" s="1037">
        <f t="shared" si="32"/>
        <v>0</v>
      </c>
      <c r="T15" s="1037">
        <f>'HK UP KEEP, OP '!AO13+'HK UP KEEP, OP '!AP13+'HK UP KEEP, OP '!AQ13</f>
        <v>0</v>
      </c>
      <c r="U15" s="1037">
        <f t="shared" si="33"/>
        <v>0</v>
      </c>
      <c r="V15" s="1037">
        <f t="shared" si="8"/>
        <v>31</v>
      </c>
      <c r="W15" s="1037">
        <v>4200</v>
      </c>
      <c r="X15" s="1037">
        <f t="shared" si="9"/>
        <v>130200</v>
      </c>
      <c r="Y15" s="1037"/>
      <c r="Z15" s="1037"/>
      <c r="AA15" s="1037">
        <f>Z15*Y15</f>
        <v>0</v>
      </c>
      <c r="AB15" s="1037">
        <v>2500</v>
      </c>
      <c r="AC15" s="1037">
        <f>'MASA KERJA AB'!H14</f>
        <v>12</v>
      </c>
      <c r="AD15" s="1303">
        <f>'MASA KERJA AB'!I14</f>
        <v>33000</v>
      </c>
      <c r="AE15" s="1145">
        <f>'LEMBUR DAN PREMI UPKEEP'!AJ18</f>
        <v>2195992.92</v>
      </c>
      <c r="AF15" s="1037"/>
      <c r="AG15" s="1037"/>
      <c r="AH15" s="1037"/>
      <c r="AI15" s="1303">
        <v>120000</v>
      </c>
      <c r="AJ15" s="1037"/>
      <c r="AK15" s="1266"/>
      <c r="AL15" s="1037"/>
      <c r="AM15" s="1037"/>
      <c r="AN15" s="1037"/>
      <c r="AO15" s="1147">
        <f t="shared" si="10"/>
        <v>6485012.9199999999</v>
      </c>
      <c r="AP15" s="1037">
        <f t="shared" si="20"/>
        <v>77532</v>
      </c>
      <c r="AQ15" s="1037">
        <f t="shared" si="21"/>
        <v>175997.64</v>
      </c>
      <c r="AR15" s="1037">
        <f t="shared" si="35"/>
        <v>253529.64</v>
      </c>
      <c r="AS15" s="1037">
        <f t="shared" si="22"/>
        <v>39096</v>
      </c>
      <c r="AT15" s="1037">
        <f t="shared" si="23"/>
        <v>156384</v>
      </c>
      <c r="AU15" s="1037">
        <f t="shared" si="24"/>
        <v>38766</v>
      </c>
      <c r="AV15" s="1037">
        <f t="shared" si="25"/>
        <v>77532</v>
      </c>
      <c r="AW15" s="1037">
        <f t="shared" si="36"/>
        <v>311778</v>
      </c>
      <c r="AX15" s="1303">
        <v>4000</v>
      </c>
      <c r="AY15" s="1303">
        <v>54555</v>
      </c>
      <c r="AZ15" s="1037">
        <f t="shared" si="13"/>
        <v>0</v>
      </c>
      <c r="BA15" s="1037"/>
      <c r="BB15" s="1037"/>
      <c r="BC15" s="1386">
        <f t="shared" si="14"/>
        <v>6271063.9199999999</v>
      </c>
      <c r="BD15" s="1037">
        <f>'HK UP KEEP, OP '!AS13</f>
        <v>0</v>
      </c>
      <c r="BE15" s="1262">
        <f>'HK UP KEEP, OP '!AT13</f>
        <v>0</v>
      </c>
      <c r="BG15" s="765">
        <f t="shared" si="15"/>
        <v>4005820</v>
      </c>
      <c r="BH15" s="766">
        <f t="shared" si="16"/>
        <v>0</v>
      </c>
      <c r="BI15" s="766">
        <f t="shared" si="17"/>
        <v>0</v>
      </c>
      <c r="BJ15" s="765">
        <f t="shared" si="18"/>
        <v>0</v>
      </c>
      <c r="BK15" s="767">
        <f t="shared" si="26"/>
        <v>4005820</v>
      </c>
      <c r="BM15" s="767">
        <f t="shared" si="38"/>
        <v>2479192.92</v>
      </c>
      <c r="BN15" s="765">
        <v>30575.999999999996</v>
      </c>
      <c r="BO15" s="765">
        <f t="shared" si="19"/>
        <v>565307.64</v>
      </c>
    </row>
    <row r="16" spans="1:72" ht="36.75" customHeight="1">
      <c r="A16" s="811" t="s">
        <v>69</v>
      </c>
      <c r="B16" s="812" t="s">
        <v>36</v>
      </c>
      <c r="C16" s="813" t="s">
        <v>338</v>
      </c>
      <c r="D16" s="816" t="s">
        <v>453</v>
      </c>
      <c r="E16" s="1037">
        <f>'HK UP KEEP, OP '!AH14</f>
        <v>21</v>
      </c>
      <c r="F16" s="953">
        <v>129220</v>
      </c>
      <c r="G16" s="1144">
        <f t="shared" si="0"/>
        <v>2713620</v>
      </c>
      <c r="H16" s="1037">
        <f>'HK UP KEEP, OP '!AI14</f>
        <v>2</v>
      </c>
      <c r="I16" s="1037">
        <f t="shared" si="27"/>
        <v>258440</v>
      </c>
      <c r="J16" s="1037">
        <f>'HK UP KEEP, OP '!AJ14</f>
        <v>1</v>
      </c>
      <c r="K16" s="1037">
        <f t="shared" si="28"/>
        <v>129220</v>
      </c>
      <c r="L16" s="1037">
        <f>'HK UP KEEP, OP '!AK14</f>
        <v>0</v>
      </c>
      <c r="M16" s="1037">
        <f t="shared" si="29"/>
        <v>0</v>
      </c>
      <c r="N16" s="1037">
        <f>'HK UP KEEP, OP '!AL14</f>
        <v>4</v>
      </c>
      <c r="O16" s="1037">
        <f t="shared" si="30"/>
        <v>516880</v>
      </c>
      <c r="P16" s="1037">
        <f>'HK UP KEEP, OP '!AM14</f>
        <v>3</v>
      </c>
      <c r="Q16" s="1037">
        <f t="shared" si="31"/>
        <v>387660</v>
      </c>
      <c r="R16" s="1037">
        <f>'HK UP KEEP, OP '!AN14</f>
        <v>0</v>
      </c>
      <c r="S16" s="1037">
        <f t="shared" si="32"/>
        <v>0</v>
      </c>
      <c r="T16" s="1037">
        <f>'HK UP KEEP, OP '!AO14+'HK UP KEEP, OP '!AP14+'HK UP KEEP, OP '!AQ14</f>
        <v>0</v>
      </c>
      <c r="U16" s="1037">
        <f t="shared" si="33"/>
        <v>0</v>
      </c>
      <c r="V16" s="1037">
        <f t="shared" si="8"/>
        <v>31</v>
      </c>
      <c r="W16" s="1145">
        <v>4650</v>
      </c>
      <c r="X16" s="1037">
        <f t="shared" si="9"/>
        <v>144150</v>
      </c>
      <c r="Y16" s="1147"/>
      <c r="Z16" s="1147"/>
      <c r="AA16" s="1147">
        <f t="shared" si="34"/>
        <v>0</v>
      </c>
      <c r="AB16" s="1265">
        <v>2500</v>
      </c>
      <c r="AC16" s="1037">
        <f>'MASA KERJA AB'!H15</f>
        <v>10</v>
      </c>
      <c r="AD16" s="1303">
        <f>'MASA KERJA AB'!I15</f>
        <v>27000</v>
      </c>
      <c r="AE16" s="1145"/>
      <c r="AF16" s="1037"/>
      <c r="AG16" s="1037"/>
      <c r="AH16" s="1147"/>
      <c r="AI16" s="1037"/>
      <c r="AJ16" s="1147"/>
      <c r="AK16" s="1264"/>
      <c r="AL16" s="1147"/>
      <c r="AM16" s="1147"/>
      <c r="AN16" s="1147"/>
      <c r="AO16" s="1147">
        <f t="shared" si="10"/>
        <v>4176970</v>
      </c>
      <c r="AP16" s="1037">
        <f t="shared" si="20"/>
        <v>77532</v>
      </c>
      <c r="AQ16" s="1037">
        <f t="shared" si="21"/>
        <v>175997.64</v>
      </c>
      <c r="AR16" s="1037">
        <f t="shared" si="35"/>
        <v>253529.64</v>
      </c>
      <c r="AS16" s="1037">
        <f t="shared" si="22"/>
        <v>39036</v>
      </c>
      <c r="AT16" s="1037">
        <f t="shared" si="23"/>
        <v>156144</v>
      </c>
      <c r="AU16" s="1037">
        <f t="shared" si="24"/>
        <v>38766</v>
      </c>
      <c r="AV16" s="1037">
        <f t="shared" si="25"/>
        <v>77532</v>
      </c>
      <c r="AW16" s="1037">
        <f t="shared" si="36"/>
        <v>311478</v>
      </c>
      <c r="AX16" s="1303">
        <v>4000</v>
      </c>
      <c r="AY16" s="1145">
        <v>0</v>
      </c>
      <c r="AZ16" s="1037">
        <f t="shared" si="13"/>
        <v>0</v>
      </c>
      <c r="BA16" s="1037"/>
      <c r="BB16" s="1147"/>
      <c r="BC16" s="1386">
        <f t="shared" si="14"/>
        <v>4017636</v>
      </c>
      <c r="BD16" s="1037">
        <f>'HK UP KEEP, OP '!AS14</f>
        <v>0</v>
      </c>
      <c r="BE16" s="1262">
        <f>'HK UP KEEP, OP '!AT14</f>
        <v>0</v>
      </c>
      <c r="BG16" s="765">
        <f t="shared" si="15"/>
        <v>4005820</v>
      </c>
      <c r="BH16" s="766">
        <f t="shared" si="16"/>
        <v>0</v>
      </c>
      <c r="BI16" s="766">
        <f t="shared" si="17"/>
        <v>0</v>
      </c>
      <c r="BJ16" s="765">
        <f t="shared" si="18"/>
        <v>0</v>
      </c>
      <c r="BK16" s="767">
        <f t="shared" si="26"/>
        <v>4005820</v>
      </c>
      <c r="BM16" s="767">
        <f t="shared" si="38"/>
        <v>171150</v>
      </c>
      <c r="BN16" s="765">
        <v>30575.999999999996</v>
      </c>
      <c r="BO16" s="765">
        <f t="shared" si="19"/>
        <v>565007.64</v>
      </c>
    </row>
    <row r="17" spans="1:72" s="810" customFormat="1" ht="36.75" customHeight="1">
      <c r="A17" s="811" t="s">
        <v>70</v>
      </c>
      <c r="B17" s="815" t="s">
        <v>37</v>
      </c>
      <c r="C17" s="813" t="s">
        <v>117</v>
      </c>
      <c r="D17" s="814" t="s">
        <v>222</v>
      </c>
      <c r="E17" s="1037">
        <f>'HK UP KEEP, OP '!AH15</f>
        <v>19</v>
      </c>
      <c r="F17" s="953">
        <v>129220</v>
      </c>
      <c r="G17" s="1144">
        <f t="shared" ref="G17:G41" si="39">E17*F17</f>
        <v>2455180</v>
      </c>
      <c r="H17" s="1037">
        <f>'HK UP KEEP, OP '!AI15</f>
        <v>0</v>
      </c>
      <c r="I17" s="1037">
        <f t="shared" si="27"/>
        <v>0</v>
      </c>
      <c r="J17" s="1037">
        <f>'HK UP KEEP, OP '!AJ15</f>
        <v>3</v>
      </c>
      <c r="K17" s="1037">
        <f t="shared" si="28"/>
        <v>387660</v>
      </c>
      <c r="L17" s="1037">
        <f>'HK UP KEEP, OP '!AK15</f>
        <v>2</v>
      </c>
      <c r="M17" s="1037">
        <f t="shared" si="29"/>
        <v>258440</v>
      </c>
      <c r="N17" s="1037">
        <f>'HK UP KEEP, OP '!AL15</f>
        <v>4</v>
      </c>
      <c r="O17" s="1037">
        <f t="shared" si="30"/>
        <v>516880</v>
      </c>
      <c r="P17" s="1037">
        <f>'HK UP KEEP, OP '!AM15</f>
        <v>3</v>
      </c>
      <c r="Q17" s="1037">
        <f t="shared" si="31"/>
        <v>387660</v>
      </c>
      <c r="R17" s="1037">
        <f>'HK UP KEEP, OP '!AN15</f>
        <v>0</v>
      </c>
      <c r="S17" s="1037">
        <f t="shared" si="32"/>
        <v>0</v>
      </c>
      <c r="T17" s="1037">
        <f>'HK UP KEEP, OP '!AO15+'HK UP KEEP, OP '!AP15+'HK UP KEEP, OP '!AQ15</f>
        <v>0</v>
      </c>
      <c r="U17" s="1037">
        <f t="shared" si="33"/>
        <v>0</v>
      </c>
      <c r="V17" s="1037">
        <f t="shared" si="8"/>
        <v>31</v>
      </c>
      <c r="W17" s="1268">
        <v>2250</v>
      </c>
      <c r="X17" s="1037">
        <f t="shared" si="9"/>
        <v>69750</v>
      </c>
      <c r="Y17" s="1269"/>
      <c r="Z17" s="1037"/>
      <c r="AA17" s="1037">
        <f t="shared" si="34"/>
        <v>0</v>
      </c>
      <c r="AB17" s="1265">
        <v>2500</v>
      </c>
      <c r="AC17" s="1037">
        <f>'MASA KERJA AB'!H16</f>
        <v>12</v>
      </c>
      <c r="AD17" s="1303">
        <f>'MASA KERJA AB'!I16</f>
        <v>33000</v>
      </c>
      <c r="AE17" s="1146"/>
      <c r="AF17" s="1037"/>
      <c r="AG17" s="1037"/>
      <c r="AH17" s="1265"/>
      <c r="AI17" s="1037"/>
      <c r="AJ17" s="1265"/>
      <c r="AK17" s="1269"/>
      <c r="AL17" s="1265"/>
      <c r="AM17" s="1265"/>
      <c r="AN17" s="1037"/>
      <c r="AO17" s="1147">
        <f t="shared" si="10"/>
        <v>4108570</v>
      </c>
      <c r="AP17" s="1037">
        <f t="shared" si="20"/>
        <v>77532</v>
      </c>
      <c r="AQ17" s="1037">
        <f t="shared" si="21"/>
        <v>175997.64</v>
      </c>
      <c r="AR17" s="1037">
        <f t="shared" si="35"/>
        <v>253529.64</v>
      </c>
      <c r="AS17" s="1037">
        <f t="shared" si="22"/>
        <v>39096</v>
      </c>
      <c r="AT17" s="1037">
        <f t="shared" si="23"/>
        <v>156384</v>
      </c>
      <c r="AU17" s="1037">
        <f t="shared" si="24"/>
        <v>38766</v>
      </c>
      <c r="AV17" s="1037">
        <f t="shared" si="25"/>
        <v>77532</v>
      </c>
      <c r="AW17" s="1037">
        <f t="shared" si="36"/>
        <v>311778</v>
      </c>
      <c r="AX17" s="1303">
        <v>4000</v>
      </c>
      <c r="AY17" s="1145">
        <v>0</v>
      </c>
      <c r="AZ17" s="1037">
        <f t="shared" si="13"/>
        <v>0</v>
      </c>
      <c r="BA17" s="1037"/>
      <c r="BB17" s="1265"/>
      <c r="BC17" s="1386">
        <f t="shared" si="14"/>
        <v>3949176</v>
      </c>
      <c r="BD17" s="1037">
        <f>'HK UP KEEP, OP '!AS15</f>
        <v>0</v>
      </c>
      <c r="BE17" s="1262">
        <f>'HK UP KEEP, OP '!AT15</f>
        <v>0</v>
      </c>
      <c r="BG17" s="765">
        <f t="shared" si="15"/>
        <v>4005820</v>
      </c>
      <c r="BH17" s="766">
        <f t="shared" si="16"/>
        <v>0</v>
      </c>
      <c r="BI17" s="766">
        <f t="shared" si="17"/>
        <v>0</v>
      </c>
      <c r="BJ17" s="765">
        <f t="shared" si="18"/>
        <v>0</v>
      </c>
      <c r="BK17" s="767">
        <f t="shared" si="26"/>
        <v>4005820</v>
      </c>
      <c r="BL17" s="767"/>
      <c r="BM17" s="767">
        <f t="shared" si="38"/>
        <v>102750</v>
      </c>
      <c r="BN17" s="765">
        <v>30575.999999999996</v>
      </c>
      <c r="BO17" s="765">
        <f t="shared" si="19"/>
        <v>565307.64</v>
      </c>
      <c r="BS17" s="963"/>
      <c r="BT17" s="963"/>
    </row>
    <row r="18" spans="1:72" ht="36.75" customHeight="1">
      <c r="A18" s="811" t="s">
        <v>71</v>
      </c>
      <c r="B18" s="812" t="s">
        <v>37</v>
      </c>
      <c r="C18" s="817" t="s">
        <v>118</v>
      </c>
      <c r="D18" s="814" t="s">
        <v>102</v>
      </c>
      <c r="E18" s="1037">
        <f>'HK UP KEEP, OP '!AH16</f>
        <v>21</v>
      </c>
      <c r="F18" s="953">
        <v>129220</v>
      </c>
      <c r="G18" s="1144">
        <f t="shared" si="39"/>
        <v>2713620</v>
      </c>
      <c r="H18" s="1037">
        <f>'HK UP KEEP, OP '!AI16</f>
        <v>0</v>
      </c>
      <c r="I18" s="1037">
        <f t="shared" si="27"/>
        <v>0</v>
      </c>
      <c r="J18" s="1037">
        <f>'HK UP KEEP, OP '!AJ16</f>
        <v>1</v>
      </c>
      <c r="K18" s="1037">
        <f t="shared" si="28"/>
        <v>129220</v>
      </c>
      <c r="L18" s="1037">
        <f>'HK UP KEEP, OP '!AK16</f>
        <v>2</v>
      </c>
      <c r="M18" s="1037">
        <f t="shared" si="29"/>
        <v>258440</v>
      </c>
      <c r="N18" s="1037">
        <f>'HK UP KEEP, OP '!AL16</f>
        <v>4</v>
      </c>
      <c r="O18" s="1037">
        <f t="shared" si="30"/>
        <v>516880</v>
      </c>
      <c r="P18" s="1037">
        <f>'HK UP KEEP, OP '!AM16</f>
        <v>3</v>
      </c>
      <c r="Q18" s="1037">
        <f t="shared" si="31"/>
        <v>387660</v>
      </c>
      <c r="R18" s="1037">
        <f>'HK UP KEEP, OP '!AN16</f>
        <v>0</v>
      </c>
      <c r="S18" s="1037">
        <f t="shared" si="32"/>
        <v>0</v>
      </c>
      <c r="T18" s="1037">
        <f>'HK UP KEEP, OP '!AO16+'HK UP KEEP, OP '!AP16+'HK UP KEEP, OP '!AQ16</f>
        <v>0</v>
      </c>
      <c r="U18" s="1037">
        <f t="shared" si="33"/>
        <v>0</v>
      </c>
      <c r="V18" s="1037">
        <f t="shared" si="8"/>
        <v>31</v>
      </c>
      <c r="W18" s="1145">
        <v>2250</v>
      </c>
      <c r="X18" s="1037">
        <f t="shared" si="9"/>
        <v>69750</v>
      </c>
      <c r="Y18" s="1037"/>
      <c r="Z18" s="1037"/>
      <c r="AA18" s="1037">
        <f t="shared" si="34"/>
        <v>0</v>
      </c>
      <c r="AB18" s="1037">
        <v>2500</v>
      </c>
      <c r="AC18" s="1037">
        <f>'MASA KERJA AB'!H17</f>
        <v>16</v>
      </c>
      <c r="AD18" s="1303">
        <f>'MASA KERJA AB'!I17</f>
        <v>43500</v>
      </c>
      <c r="AE18" s="1146"/>
      <c r="AF18" s="1037"/>
      <c r="AG18" s="1037"/>
      <c r="AH18" s="1144"/>
      <c r="AI18" s="1037"/>
      <c r="AJ18" s="1144"/>
      <c r="AK18" s="1148"/>
      <c r="AL18" s="1037"/>
      <c r="AM18" s="1037"/>
      <c r="AN18" s="1037"/>
      <c r="AO18" s="1147">
        <f t="shared" si="10"/>
        <v>4119070</v>
      </c>
      <c r="AP18" s="1037">
        <f t="shared" si="20"/>
        <v>77532</v>
      </c>
      <c r="AQ18" s="1037">
        <f t="shared" si="21"/>
        <v>175997.64</v>
      </c>
      <c r="AR18" s="1037">
        <f t="shared" si="35"/>
        <v>253529.64</v>
      </c>
      <c r="AS18" s="1037">
        <f t="shared" si="22"/>
        <v>39201</v>
      </c>
      <c r="AT18" s="1037">
        <f t="shared" si="23"/>
        <v>156804</v>
      </c>
      <c r="AU18" s="1037">
        <f t="shared" si="24"/>
        <v>38766</v>
      </c>
      <c r="AV18" s="1037">
        <f t="shared" si="25"/>
        <v>77532</v>
      </c>
      <c r="AW18" s="1037">
        <f t="shared" si="36"/>
        <v>312303</v>
      </c>
      <c r="AX18" s="1303">
        <v>4000</v>
      </c>
      <c r="AY18" s="1145">
        <v>0</v>
      </c>
      <c r="AZ18" s="1037">
        <f t="shared" si="13"/>
        <v>0</v>
      </c>
      <c r="BA18" s="1037"/>
      <c r="BB18" s="1037"/>
      <c r="BC18" s="1386">
        <f t="shared" si="14"/>
        <v>3959571</v>
      </c>
      <c r="BD18" s="1037">
        <f>'HK UP KEEP, OP '!AS16</f>
        <v>0</v>
      </c>
      <c r="BE18" s="1262">
        <f>'HK UP KEEP, OP '!AT16</f>
        <v>0</v>
      </c>
      <c r="BG18" s="765">
        <f t="shared" si="15"/>
        <v>4005820</v>
      </c>
      <c r="BH18" s="766">
        <f t="shared" si="16"/>
        <v>0</v>
      </c>
      <c r="BI18" s="766">
        <f t="shared" si="17"/>
        <v>0</v>
      </c>
      <c r="BJ18" s="765">
        <f t="shared" si="18"/>
        <v>0</v>
      </c>
      <c r="BK18" s="767">
        <f t="shared" si="26"/>
        <v>4005820</v>
      </c>
      <c r="BM18" s="767">
        <f t="shared" si="38"/>
        <v>113250</v>
      </c>
      <c r="BN18" s="765">
        <v>30575.999999999996</v>
      </c>
      <c r="BO18" s="765">
        <f t="shared" si="19"/>
        <v>565832.64</v>
      </c>
    </row>
    <row r="19" spans="1:72" s="810" customFormat="1" ht="36.75" customHeight="1">
      <c r="A19" s="811" t="s">
        <v>72</v>
      </c>
      <c r="B19" s="812" t="s">
        <v>37</v>
      </c>
      <c r="C19" s="813" t="s">
        <v>119</v>
      </c>
      <c r="D19" s="814" t="s">
        <v>103</v>
      </c>
      <c r="E19" s="1037">
        <f>'HK UP KEEP, OP '!AH17</f>
        <v>19</v>
      </c>
      <c r="F19" s="953">
        <v>129220</v>
      </c>
      <c r="G19" s="1144">
        <f t="shared" si="39"/>
        <v>2455180</v>
      </c>
      <c r="H19" s="1037">
        <f>'HK UP KEEP, OP '!AI17</f>
        <v>1</v>
      </c>
      <c r="I19" s="1037">
        <f t="shared" si="27"/>
        <v>129220</v>
      </c>
      <c r="J19" s="1037">
        <f>'HK UP KEEP, OP '!AJ17</f>
        <v>2</v>
      </c>
      <c r="K19" s="1037">
        <f t="shared" si="28"/>
        <v>258440</v>
      </c>
      <c r="L19" s="1037">
        <f>'HK UP KEEP, OP '!AK17</f>
        <v>2</v>
      </c>
      <c r="M19" s="1037">
        <f t="shared" si="29"/>
        <v>258440</v>
      </c>
      <c r="N19" s="1037">
        <f>'HK UP KEEP, OP '!AL17</f>
        <v>4</v>
      </c>
      <c r="O19" s="1037">
        <f t="shared" si="30"/>
        <v>516880</v>
      </c>
      <c r="P19" s="1037">
        <f>'HK UP KEEP, OP '!AM17</f>
        <v>3</v>
      </c>
      <c r="Q19" s="1037">
        <f t="shared" si="31"/>
        <v>387660</v>
      </c>
      <c r="R19" s="1037">
        <f>'HK UP KEEP, OP '!AN17</f>
        <v>0</v>
      </c>
      <c r="S19" s="1037">
        <f t="shared" si="32"/>
        <v>0</v>
      </c>
      <c r="T19" s="1037">
        <f>'HK UP KEEP, OP '!AO17+'HK UP KEEP, OP '!AP17+'HK UP KEEP, OP '!AQ17</f>
        <v>0</v>
      </c>
      <c r="U19" s="1037">
        <f t="shared" si="33"/>
        <v>0</v>
      </c>
      <c r="V19" s="1037">
        <f t="shared" si="8"/>
        <v>31</v>
      </c>
      <c r="W19" s="1145">
        <v>2250</v>
      </c>
      <c r="X19" s="1037">
        <f t="shared" si="9"/>
        <v>69750</v>
      </c>
      <c r="Y19" s="1037"/>
      <c r="Z19" s="1037"/>
      <c r="AA19" s="1037">
        <f t="shared" si="34"/>
        <v>0</v>
      </c>
      <c r="AB19" s="1037">
        <v>2500</v>
      </c>
      <c r="AC19" s="1037">
        <f>'MASA KERJA AB'!H18</f>
        <v>10</v>
      </c>
      <c r="AD19" s="1303">
        <f>'MASA KERJA AB'!I18</f>
        <v>24000</v>
      </c>
      <c r="AE19" s="1146"/>
      <c r="AF19" s="1037"/>
      <c r="AG19" s="1037"/>
      <c r="AH19" s="1037"/>
      <c r="AI19" s="1037"/>
      <c r="AJ19" s="1037"/>
      <c r="AK19" s="1266"/>
      <c r="AL19" s="1037"/>
      <c r="AM19" s="1037"/>
      <c r="AN19" s="1037"/>
      <c r="AO19" s="1147">
        <f t="shared" si="10"/>
        <v>4099570</v>
      </c>
      <c r="AP19" s="1037">
        <f t="shared" si="20"/>
        <v>77532</v>
      </c>
      <c r="AQ19" s="1037">
        <f t="shared" si="21"/>
        <v>175997.64</v>
      </c>
      <c r="AR19" s="1037">
        <f t="shared" si="35"/>
        <v>253529.64</v>
      </c>
      <c r="AS19" s="1037">
        <f t="shared" si="22"/>
        <v>39006</v>
      </c>
      <c r="AT19" s="1037">
        <f t="shared" si="23"/>
        <v>156024</v>
      </c>
      <c r="AU19" s="1037">
        <f t="shared" si="24"/>
        <v>38766</v>
      </c>
      <c r="AV19" s="1037">
        <f t="shared" si="25"/>
        <v>77532</v>
      </c>
      <c r="AW19" s="1037">
        <f t="shared" si="36"/>
        <v>311328</v>
      </c>
      <c r="AX19" s="1303">
        <v>4000</v>
      </c>
      <c r="AY19" s="1145">
        <v>0</v>
      </c>
      <c r="AZ19" s="1037">
        <f t="shared" si="13"/>
        <v>0</v>
      </c>
      <c r="BA19" s="1037"/>
      <c r="BB19" s="1037"/>
      <c r="BC19" s="1386">
        <f t="shared" si="14"/>
        <v>3940266</v>
      </c>
      <c r="BD19" s="1037">
        <f>'HK UP KEEP, OP '!AS17</f>
        <v>0</v>
      </c>
      <c r="BE19" s="1262">
        <f>'HK UP KEEP, OP '!AT17</f>
        <v>0</v>
      </c>
      <c r="BG19" s="765">
        <f t="shared" si="15"/>
        <v>4005820</v>
      </c>
      <c r="BH19" s="766">
        <f t="shared" si="16"/>
        <v>0</v>
      </c>
      <c r="BI19" s="766">
        <f t="shared" si="17"/>
        <v>0</v>
      </c>
      <c r="BJ19" s="765">
        <f t="shared" si="18"/>
        <v>0</v>
      </c>
      <c r="BK19" s="767">
        <f t="shared" si="26"/>
        <v>4005820</v>
      </c>
      <c r="BL19" s="767"/>
      <c r="BM19" s="767">
        <f t="shared" si="38"/>
        <v>93750</v>
      </c>
      <c r="BN19" s="765">
        <v>30575.999999999996</v>
      </c>
      <c r="BO19" s="765">
        <f t="shared" si="19"/>
        <v>564857.64</v>
      </c>
      <c r="BS19" s="963"/>
      <c r="BT19" s="963"/>
    </row>
    <row r="20" spans="1:72" ht="36.75" customHeight="1">
      <c r="A20" s="811" t="s">
        <v>73</v>
      </c>
      <c r="B20" s="815" t="s">
        <v>37</v>
      </c>
      <c r="C20" s="813" t="s">
        <v>116</v>
      </c>
      <c r="D20" s="816" t="s">
        <v>476</v>
      </c>
      <c r="E20" s="1037">
        <f>'HK UP KEEP, OP '!AH18</f>
        <v>21</v>
      </c>
      <c r="F20" s="953">
        <v>129220</v>
      </c>
      <c r="G20" s="1144">
        <f t="shared" si="39"/>
        <v>2713620</v>
      </c>
      <c r="H20" s="1037">
        <f>'HK UP KEEP, OP '!AI18</f>
        <v>0</v>
      </c>
      <c r="I20" s="1037">
        <f t="shared" si="27"/>
        <v>0</v>
      </c>
      <c r="J20" s="1037">
        <f>'HK UP KEEP, OP '!AJ18</f>
        <v>1</v>
      </c>
      <c r="K20" s="1037">
        <f t="shared" si="28"/>
        <v>129220</v>
      </c>
      <c r="L20" s="1037">
        <f>'HK UP KEEP, OP '!AK18</f>
        <v>2</v>
      </c>
      <c r="M20" s="1037">
        <f t="shared" si="29"/>
        <v>258440</v>
      </c>
      <c r="N20" s="1037">
        <f>'HK UP KEEP, OP '!AL18</f>
        <v>4</v>
      </c>
      <c r="O20" s="1037">
        <f t="shared" si="30"/>
        <v>516880</v>
      </c>
      <c r="P20" s="1037">
        <f>'HK UP KEEP, OP '!AM18</f>
        <v>3</v>
      </c>
      <c r="Q20" s="1037">
        <f t="shared" si="31"/>
        <v>387660</v>
      </c>
      <c r="R20" s="1037">
        <f>'HK UP KEEP, OP '!AN18</f>
        <v>0</v>
      </c>
      <c r="S20" s="1037">
        <f t="shared" si="32"/>
        <v>0</v>
      </c>
      <c r="T20" s="1037">
        <f>'HK UP KEEP, OP '!AO18+'HK UP KEEP, OP '!AP18+'HK UP KEEP, OP '!AQ18</f>
        <v>0</v>
      </c>
      <c r="U20" s="1037">
        <f t="shared" si="33"/>
        <v>0</v>
      </c>
      <c r="V20" s="1037">
        <f t="shared" si="8"/>
        <v>31</v>
      </c>
      <c r="W20" s="1145">
        <v>2250</v>
      </c>
      <c r="X20" s="1037">
        <f t="shared" si="9"/>
        <v>69750</v>
      </c>
      <c r="Y20" s="1037"/>
      <c r="Z20" s="1037"/>
      <c r="AA20" s="1037">
        <f t="shared" si="34"/>
        <v>0</v>
      </c>
      <c r="AB20" s="1037">
        <v>2500</v>
      </c>
      <c r="AC20" s="1037">
        <f>'MASA KERJA AB'!H19</f>
        <v>16</v>
      </c>
      <c r="AD20" s="1303">
        <f>'MASA KERJA AB'!I19</f>
        <v>47000</v>
      </c>
      <c r="AE20" s="1145"/>
      <c r="AF20" s="1037"/>
      <c r="AG20" s="1037"/>
      <c r="AH20" s="1037"/>
      <c r="AI20" s="1037"/>
      <c r="AJ20" s="1037"/>
      <c r="AK20" s="1266"/>
      <c r="AL20" s="1037"/>
      <c r="AM20" s="1037"/>
      <c r="AN20" s="1037"/>
      <c r="AO20" s="1147">
        <f t="shared" si="10"/>
        <v>4122570</v>
      </c>
      <c r="AP20" s="1037">
        <f t="shared" si="20"/>
        <v>77532</v>
      </c>
      <c r="AQ20" s="1037">
        <f t="shared" si="21"/>
        <v>175997.64</v>
      </c>
      <c r="AR20" s="1037">
        <f t="shared" si="35"/>
        <v>253529.64</v>
      </c>
      <c r="AS20" s="1037">
        <f t="shared" si="22"/>
        <v>39236</v>
      </c>
      <c r="AT20" s="1037">
        <f t="shared" si="23"/>
        <v>156944</v>
      </c>
      <c r="AU20" s="1037">
        <f t="shared" si="24"/>
        <v>38766</v>
      </c>
      <c r="AV20" s="1037">
        <f t="shared" si="25"/>
        <v>77532</v>
      </c>
      <c r="AW20" s="1037">
        <f t="shared" si="36"/>
        <v>312478</v>
      </c>
      <c r="AX20" s="1303">
        <v>4000</v>
      </c>
      <c r="AY20" s="1145">
        <v>0</v>
      </c>
      <c r="AZ20" s="1037">
        <f t="shared" si="13"/>
        <v>0</v>
      </c>
      <c r="BA20" s="1037"/>
      <c r="BB20" s="1037"/>
      <c r="BC20" s="1386">
        <f t="shared" si="14"/>
        <v>3963036</v>
      </c>
      <c r="BD20" s="1037">
        <f>'HK UP KEEP, OP '!AS18</f>
        <v>0</v>
      </c>
      <c r="BE20" s="1262">
        <f>'HK UP KEEP, OP '!AT18</f>
        <v>0</v>
      </c>
      <c r="BG20" s="765">
        <f t="shared" si="15"/>
        <v>4005820</v>
      </c>
      <c r="BH20" s="766">
        <f t="shared" si="16"/>
        <v>0</v>
      </c>
      <c r="BI20" s="766">
        <f t="shared" si="17"/>
        <v>0</v>
      </c>
      <c r="BJ20" s="765">
        <f t="shared" si="18"/>
        <v>0</v>
      </c>
      <c r="BK20" s="767">
        <f t="shared" si="26"/>
        <v>4005820</v>
      </c>
      <c r="BM20" s="767">
        <f t="shared" si="38"/>
        <v>116750</v>
      </c>
      <c r="BN20" s="765">
        <v>30575.999999999996</v>
      </c>
      <c r="BO20" s="765">
        <f t="shared" si="19"/>
        <v>566007.64</v>
      </c>
    </row>
    <row r="21" spans="1:72" ht="36.75" customHeight="1">
      <c r="A21" s="811" t="s">
        <v>74</v>
      </c>
      <c r="B21" s="812" t="s">
        <v>37</v>
      </c>
      <c r="C21" s="813" t="s">
        <v>120</v>
      </c>
      <c r="D21" s="814" t="s">
        <v>105</v>
      </c>
      <c r="E21" s="1037">
        <f>'HK UP KEEP, OP '!AH19</f>
        <v>20</v>
      </c>
      <c r="F21" s="953">
        <v>129220</v>
      </c>
      <c r="G21" s="1144">
        <f t="shared" si="39"/>
        <v>2584400</v>
      </c>
      <c r="H21" s="1037">
        <f>'HK UP KEEP, OP '!AI19</f>
        <v>1</v>
      </c>
      <c r="I21" s="1037">
        <f t="shared" si="27"/>
        <v>129220</v>
      </c>
      <c r="J21" s="1037">
        <f>'HK UP KEEP, OP '!AJ19</f>
        <v>1</v>
      </c>
      <c r="K21" s="1037">
        <f t="shared" si="28"/>
        <v>129220</v>
      </c>
      <c r="L21" s="1037">
        <f>'HK UP KEEP, OP '!AK19</f>
        <v>2</v>
      </c>
      <c r="M21" s="1037">
        <f t="shared" si="29"/>
        <v>258440</v>
      </c>
      <c r="N21" s="1037">
        <f>'HK UP KEEP, OP '!AL19</f>
        <v>4</v>
      </c>
      <c r="O21" s="1037">
        <f t="shared" si="30"/>
        <v>516880</v>
      </c>
      <c r="P21" s="1037">
        <f>'HK UP KEEP, OP '!AM19</f>
        <v>3</v>
      </c>
      <c r="Q21" s="1037">
        <f t="shared" si="31"/>
        <v>387660</v>
      </c>
      <c r="R21" s="1037">
        <f>'HK UP KEEP, OP '!AN19</f>
        <v>0</v>
      </c>
      <c r="S21" s="1037">
        <f t="shared" si="32"/>
        <v>0</v>
      </c>
      <c r="T21" s="1037">
        <f>'HK UP KEEP, OP '!AO19+'HK UP KEEP, OP '!AP19+'HK UP KEEP, OP '!AQ19</f>
        <v>0</v>
      </c>
      <c r="U21" s="1037">
        <f t="shared" si="33"/>
        <v>0</v>
      </c>
      <c r="V21" s="1037">
        <f t="shared" si="8"/>
        <v>31</v>
      </c>
      <c r="W21" s="1145">
        <v>2250</v>
      </c>
      <c r="X21" s="1037">
        <f t="shared" si="9"/>
        <v>69750</v>
      </c>
      <c r="Y21" s="1037"/>
      <c r="Z21" s="1037"/>
      <c r="AA21" s="1037">
        <f t="shared" si="34"/>
        <v>0</v>
      </c>
      <c r="AB21" s="1037">
        <v>2500</v>
      </c>
      <c r="AC21" s="1037">
        <f>'MASA KERJA AB'!H20</f>
        <v>17</v>
      </c>
      <c r="AD21" s="1303">
        <f>'MASA KERJA AB'!I20</f>
        <v>50500</v>
      </c>
      <c r="AE21" s="1146"/>
      <c r="AF21" s="1037"/>
      <c r="AG21" s="1037"/>
      <c r="AH21" s="1145"/>
      <c r="AI21" s="1037"/>
      <c r="AJ21" s="1037"/>
      <c r="AK21" s="1304">
        <v>141000</v>
      </c>
      <c r="AL21" s="1267"/>
      <c r="AM21" s="1037"/>
      <c r="AN21" s="1270"/>
      <c r="AO21" s="1147">
        <f t="shared" si="10"/>
        <v>4267070</v>
      </c>
      <c r="AP21" s="1037">
        <f t="shared" si="20"/>
        <v>77532</v>
      </c>
      <c r="AQ21" s="1037">
        <f t="shared" si="21"/>
        <v>175997.64</v>
      </c>
      <c r="AR21" s="1037">
        <f t="shared" si="35"/>
        <v>253529.64</v>
      </c>
      <c r="AS21" s="1037">
        <f t="shared" si="22"/>
        <v>39271</v>
      </c>
      <c r="AT21" s="1037">
        <f t="shared" si="23"/>
        <v>157084</v>
      </c>
      <c r="AU21" s="1037">
        <f t="shared" si="24"/>
        <v>38766</v>
      </c>
      <c r="AV21" s="1037">
        <f t="shared" si="25"/>
        <v>77532</v>
      </c>
      <c r="AW21" s="1037">
        <f t="shared" si="36"/>
        <v>312653</v>
      </c>
      <c r="AX21" s="1303">
        <v>4000</v>
      </c>
      <c r="AY21" s="1145">
        <v>0</v>
      </c>
      <c r="AZ21" s="1037">
        <f t="shared" si="13"/>
        <v>0</v>
      </c>
      <c r="BA21" s="1037"/>
      <c r="BB21" s="1037"/>
      <c r="BC21" s="1386">
        <f t="shared" si="14"/>
        <v>4107501</v>
      </c>
      <c r="BD21" s="1037">
        <f>'HK UP KEEP, OP '!AS19</f>
        <v>0</v>
      </c>
      <c r="BE21" s="1262">
        <f>'HK UP KEEP, OP '!AT19</f>
        <v>0</v>
      </c>
      <c r="BG21" s="765">
        <f t="shared" si="15"/>
        <v>4005820</v>
      </c>
      <c r="BH21" s="766">
        <f t="shared" si="16"/>
        <v>0</v>
      </c>
      <c r="BI21" s="766">
        <f t="shared" si="17"/>
        <v>0</v>
      </c>
      <c r="BJ21" s="765">
        <f t="shared" si="18"/>
        <v>0</v>
      </c>
      <c r="BK21" s="767">
        <f t="shared" si="26"/>
        <v>4005820</v>
      </c>
      <c r="BM21" s="767">
        <f t="shared" si="38"/>
        <v>261250</v>
      </c>
      <c r="BN21" s="765">
        <v>30575.999999999996</v>
      </c>
      <c r="BO21" s="765">
        <f t="shared" si="19"/>
        <v>566182.64</v>
      </c>
    </row>
    <row r="22" spans="1:72" ht="36.75" customHeight="1">
      <c r="A22" s="811" t="s">
        <v>75</v>
      </c>
      <c r="B22" s="815" t="s">
        <v>36</v>
      </c>
      <c r="C22" s="813" t="s">
        <v>121</v>
      </c>
      <c r="D22" s="814" t="s">
        <v>209</v>
      </c>
      <c r="E22" s="1037">
        <f>'HK UP KEEP, OP '!AH20</f>
        <v>20</v>
      </c>
      <c r="F22" s="953">
        <v>129220</v>
      </c>
      <c r="G22" s="1144">
        <f t="shared" si="39"/>
        <v>2584400</v>
      </c>
      <c r="H22" s="1037">
        <f>'HK UP KEEP, OP '!AI20</f>
        <v>1</v>
      </c>
      <c r="I22" s="1037">
        <f t="shared" si="27"/>
        <v>129220</v>
      </c>
      <c r="J22" s="1037">
        <f>'HK UP KEEP, OP '!AJ20</f>
        <v>3</v>
      </c>
      <c r="K22" s="1037">
        <f t="shared" si="28"/>
        <v>387660</v>
      </c>
      <c r="L22" s="1037">
        <f>'HK UP KEEP, OP '!AK20</f>
        <v>0</v>
      </c>
      <c r="M22" s="1037">
        <f t="shared" si="29"/>
        <v>0</v>
      </c>
      <c r="N22" s="1037">
        <f>'HK UP KEEP, OP '!AL20</f>
        <v>4</v>
      </c>
      <c r="O22" s="1037">
        <f t="shared" si="30"/>
        <v>516880</v>
      </c>
      <c r="P22" s="1037">
        <f>'HK UP KEEP, OP '!AM20</f>
        <v>3</v>
      </c>
      <c r="Q22" s="1037">
        <f t="shared" si="31"/>
        <v>387660</v>
      </c>
      <c r="R22" s="1037">
        <f>'HK UP KEEP, OP '!AN20</f>
        <v>0</v>
      </c>
      <c r="S22" s="1037">
        <f t="shared" si="32"/>
        <v>0</v>
      </c>
      <c r="T22" s="1037">
        <f>'HK UP KEEP, OP '!AO20+'HK UP KEEP, OP '!AP20+'HK UP KEEP, OP '!AQ20</f>
        <v>0</v>
      </c>
      <c r="U22" s="1037">
        <f t="shared" si="33"/>
        <v>0</v>
      </c>
      <c r="V22" s="1037">
        <f t="shared" si="8"/>
        <v>31</v>
      </c>
      <c r="W22" s="1145">
        <v>5550</v>
      </c>
      <c r="X22" s="1037">
        <f t="shared" si="9"/>
        <v>172050</v>
      </c>
      <c r="Y22" s="1037"/>
      <c r="Z22" s="1037"/>
      <c r="AA22" s="1037">
        <f t="shared" si="34"/>
        <v>0</v>
      </c>
      <c r="AB22" s="1037">
        <v>2500</v>
      </c>
      <c r="AC22" s="1037">
        <f>'MASA KERJA AB'!H21</f>
        <v>17</v>
      </c>
      <c r="AD22" s="1303">
        <f>'MASA KERJA AB'!I21</f>
        <v>50500</v>
      </c>
      <c r="AE22" s="1145"/>
      <c r="AF22" s="1037"/>
      <c r="AG22" s="1037"/>
      <c r="AH22" s="1037"/>
      <c r="AI22" s="1037"/>
      <c r="AJ22" s="1037">
        <f>'LEMBUR DAN PREMI UPKEEP'!AJ108</f>
        <v>0</v>
      </c>
      <c r="AK22" s="1304">
        <v>174000</v>
      </c>
      <c r="AL22" s="1037"/>
      <c r="AM22" s="1037"/>
      <c r="AN22" s="1037"/>
      <c r="AO22" s="1147">
        <f t="shared" si="10"/>
        <v>4402370</v>
      </c>
      <c r="AP22" s="1037">
        <f t="shared" si="20"/>
        <v>77532</v>
      </c>
      <c r="AQ22" s="1037">
        <f t="shared" si="21"/>
        <v>175997.64</v>
      </c>
      <c r="AR22" s="1037">
        <f t="shared" si="35"/>
        <v>253529.64</v>
      </c>
      <c r="AS22" s="1037">
        <f t="shared" si="22"/>
        <v>39271</v>
      </c>
      <c r="AT22" s="1037">
        <f t="shared" si="23"/>
        <v>157084</v>
      </c>
      <c r="AU22" s="1037">
        <f t="shared" si="24"/>
        <v>38766</v>
      </c>
      <c r="AV22" s="1037">
        <f t="shared" si="25"/>
        <v>77532</v>
      </c>
      <c r="AW22" s="1037">
        <f t="shared" si="36"/>
        <v>312653</v>
      </c>
      <c r="AX22" s="1303">
        <v>4000</v>
      </c>
      <c r="AY22" s="1145">
        <v>0</v>
      </c>
      <c r="AZ22" s="1037">
        <f t="shared" si="13"/>
        <v>0</v>
      </c>
      <c r="BA22" s="1037"/>
      <c r="BB22" s="1037"/>
      <c r="BC22" s="1386">
        <f t="shared" si="14"/>
        <v>4242801</v>
      </c>
      <c r="BD22" s="1037">
        <f>'HK UP KEEP, OP '!AS20</f>
        <v>0</v>
      </c>
      <c r="BE22" s="1262">
        <f>'HK UP KEEP, OP '!AT20</f>
        <v>0</v>
      </c>
      <c r="BG22" s="765">
        <f t="shared" si="15"/>
        <v>4005820</v>
      </c>
      <c r="BH22" s="766">
        <f t="shared" si="16"/>
        <v>0</v>
      </c>
      <c r="BI22" s="766">
        <f t="shared" si="17"/>
        <v>0</v>
      </c>
      <c r="BJ22" s="765">
        <f t="shared" si="18"/>
        <v>0</v>
      </c>
      <c r="BK22" s="767">
        <f t="shared" si="26"/>
        <v>4005820</v>
      </c>
      <c r="BM22" s="767">
        <f t="shared" si="38"/>
        <v>396550</v>
      </c>
      <c r="BN22" s="765">
        <v>30575.999999999996</v>
      </c>
      <c r="BO22" s="765">
        <f t="shared" si="19"/>
        <v>566182.64</v>
      </c>
    </row>
    <row r="23" spans="1:72" ht="36.75" customHeight="1">
      <c r="A23" s="811" t="s">
        <v>76</v>
      </c>
      <c r="B23" s="815" t="s">
        <v>37</v>
      </c>
      <c r="C23" s="813" t="s">
        <v>122</v>
      </c>
      <c r="D23" s="814" t="s">
        <v>106</v>
      </c>
      <c r="E23" s="1037">
        <f>'HK UP KEEP, OP '!AH21</f>
        <v>17</v>
      </c>
      <c r="F23" s="953">
        <v>129220</v>
      </c>
      <c r="G23" s="1144">
        <f t="shared" si="39"/>
        <v>2196740</v>
      </c>
      <c r="H23" s="1037">
        <f>'HK UP KEEP, OP '!AI21</f>
        <v>1</v>
      </c>
      <c r="I23" s="1037">
        <f t="shared" si="27"/>
        <v>129220</v>
      </c>
      <c r="J23" s="1037">
        <f>'HK UP KEEP, OP '!AJ21</f>
        <v>6</v>
      </c>
      <c r="K23" s="1037">
        <f t="shared" si="28"/>
        <v>775320</v>
      </c>
      <c r="L23" s="1037">
        <f>'HK UP KEEP, OP '!AK21</f>
        <v>0</v>
      </c>
      <c r="M23" s="1037">
        <f t="shared" si="29"/>
        <v>0</v>
      </c>
      <c r="N23" s="1037">
        <f>'HK UP KEEP, OP '!AL21</f>
        <v>4</v>
      </c>
      <c r="O23" s="1037">
        <f t="shared" si="30"/>
        <v>516880</v>
      </c>
      <c r="P23" s="1037">
        <f>'HK UP KEEP, OP '!AM21</f>
        <v>3</v>
      </c>
      <c r="Q23" s="1037">
        <f t="shared" si="31"/>
        <v>387660</v>
      </c>
      <c r="R23" s="1037">
        <f>'HK UP KEEP, OP '!AN21</f>
        <v>0</v>
      </c>
      <c r="S23" s="1037">
        <f t="shared" si="32"/>
        <v>0</v>
      </c>
      <c r="T23" s="1037">
        <f>'HK UP KEEP, OP '!AO21+'HK UP KEEP, OP '!AP21+'HK UP KEEP, OP '!AQ21</f>
        <v>0</v>
      </c>
      <c r="U23" s="1037">
        <f t="shared" si="33"/>
        <v>0</v>
      </c>
      <c r="V23" s="1037">
        <f t="shared" si="8"/>
        <v>31</v>
      </c>
      <c r="W23" s="1145">
        <v>2250</v>
      </c>
      <c r="X23" s="1037">
        <f t="shared" si="9"/>
        <v>69750</v>
      </c>
      <c r="Y23" s="1037"/>
      <c r="Z23" s="1037"/>
      <c r="AA23" s="1037">
        <f t="shared" si="34"/>
        <v>0</v>
      </c>
      <c r="AB23" s="1037">
        <v>2500</v>
      </c>
      <c r="AC23" s="1037">
        <f>'MASA KERJA AB'!H22</f>
        <v>16</v>
      </c>
      <c r="AD23" s="1303">
        <f>'MASA KERJA AB'!I22</f>
        <v>47000</v>
      </c>
      <c r="AE23" s="1145"/>
      <c r="AF23" s="1037"/>
      <c r="AG23" s="1037"/>
      <c r="AH23" s="1037"/>
      <c r="AI23" s="1037"/>
      <c r="AJ23" s="1271"/>
      <c r="AK23" s="1266"/>
      <c r="AL23" s="1037"/>
      <c r="AM23" s="1037"/>
      <c r="AN23" s="1037"/>
      <c r="AO23" s="1147">
        <f t="shared" si="10"/>
        <v>4122570</v>
      </c>
      <c r="AP23" s="1037">
        <f t="shared" si="20"/>
        <v>77532</v>
      </c>
      <c r="AQ23" s="1037">
        <f t="shared" si="21"/>
        <v>175997.64</v>
      </c>
      <c r="AR23" s="1037">
        <f t="shared" si="35"/>
        <v>253529.64</v>
      </c>
      <c r="AS23" s="1037">
        <f t="shared" si="22"/>
        <v>39236</v>
      </c>
      <c r="AT23" s="1037">
        <f t="shared" si="23"/>
        <v>156944</v>
      </c>
      <c r="AU23" s="1037">
        <f t="shared" si="24"/>
        <v>38766</v>
      </c>
      <c r="AV23" s="1037">
        <f t="shared" si="25"/>
        <v>77532</v>
      </c>
      <c r="AW23" s="1037">
        <f t="shared" si="36"/>
        <v>312478</v>
      </c>
      <c r="AX23" s="1303">
        <v>4000</v>
      </c>
      <c r="AY23" s="1145">
        <v>0</v>
      </c>
      <c r="AZ23" s="1037">
        <f t="shared" si="13"/>
        <v>0</v>
      </c>
      <c r="BA23" s="1037"/>
      <c r="BB23" s="1037"/>
      <c r="BC23" s="1386">
        <f t="shared" si="14"/>
        <v>3963036</v>
      </c>
      <c r="BD23" s="1037">
        <f>'HK UP KEEP, OP '!AS21</f>
        <v>0</v>
      </c>
      <c r="BE23" s="1262">
        <f>'HK UP KEEP, OP '!AT21</f>
        <v>0</v>
      </c>
      <c r="BG23" s="765">
        <f t="shared" si="15"/>
        <v>4005820</v>
      </c>
      <c r="BH23" s="766">
        <f t="shared" si="16"/>
        <v>0</v>
      </c>
      <c r="BI23" s="766">
        <f t="shared" si="17"/>
        <v>0</v>
      </c>
      <c r="BJ23" s="765">
        <f t="shared" si="18"/>
        <v>0</v>
      </c>
      <c r="BK23" s="767">
        <f t="shared" si="26"/>
        <v>4005820</v>
      </c>
      <c r="BM23" s="767">
        <f t="shared" si="38"/>
        <v>116750</v>
      </c>
      <c r="BN23" s="765">
        <v>30575.999999999996</v>
      </c>
      <c r="BO23" s="765">
        <f t="shared" si="19"/>
        <v>566007.64</v>
      </c>
    </row>
    <row r="24" spans="1:72" ht="36.75" customHeight="1">
      <c r="A24" s="811" t="s">
        <v>77</v>
      </c>
      <c r="B24" s="815" t="s">
        <v>37</v>
      </c>
      <c r="C24" s="813" t="s">
        <v>123</v>
      </c>
      <c r="D24" s="814" t="s">
        <v>107</v>
      </c>
      <c r="E24" s="1037">
        <f>'HK UP KEEP, OP '!AH22</f>
        <v>23</v>
      </c>
      <c r="F24" s="953">
        <v>129220</v>
      </c>
      <c r="G24" s="1144">
        <f t="shared" si="39"/>
        <v>2972060</v>
      </c>
      <c r="H24" s="1037">
        <f>'HK UP KEEP, OP '!AI22</f>
        <v>1</v>
      </c>
      <c r="I24" s="1037">
        <f t="shared" si="27"/>
        <v>129220</v>
      </c>
      <c r="J24" s="1037">
        <f>'HK UP KEEP, OP '!AJ22</f>
        <v>0</v>
      </c>
      <c r="K24" s="1037">
        <f t="shared" si="28"/>
        <v>0</v>
      </c>
      <c r="L24" s="1037">
        <f>'HK UP KEEP, OP '!AK22</f>
        <v>0</v>
      </c>
      <c r="M24" s="1037">
        <f t="shared" si="29"/>
        <v>0</v>
      </c>
      <c r="N24" s="1037">
        <f>'HK UP KEEP, OP '!AL22</f>
        <v>4</v>
      </c>
      <c r="O24" s="1037">
        <f t="shared" si="30"/>
        <v>516880</v>
      </c>
      <c r="P24" s="1037">
        <f>'HK UP KEEP, OP '!AM22</f>
        <v>3</v>
      </c>
      <c r="Q24" s="1037">
        <f t="shared" si="31"/>
        <v>387660</v>
      </c>
      <c r="R24" s="1037">
        <f>'HK UP KEEP, OP '!AN22</f>
        <v>0</v>
      </c>
      <c r="S24" s="1037">
        <f t="shared" si="32"/>
        <v>0</v>
      </c>
      <c r="T24" s="1037">
        <f>'HK UP KEEP, OP '!AO22+'HK UP KEEP, OP '!AP22+'HK UP KEEP, OP '!AQ22</f>
        <v>0</v>
      </c>
      <c r="U24" s="1037">
        <f t="shared" si="33"/>
        <v>0</v>
      </c>
      <c r="V24" s="1037">
        <f t="shared" si="8"/>
        <v>31</v>
      </c>
      <c r="W24" s="1268">
        <v>2250</v>
      </c>
      <c r="X24" s="1037">
        <f t="shared" si="9"/>
        <v>69750</v>
      </c>
      <c r="Y24" s="1269"/>
      <c r="Z24" s="1037"/>
      <c r="AA24" s="1037">
        <f t="shared" si="34"/>
        <v>0</v>
      </c>
      <c r="AB24" s="1265">
        <v>2500</v>
      </c>
      <c r="AC24" s="1037">
        <f>'MASA KERJA AB'!H23</f>
        <v>17</v>
      </c>
      <c r="AD24" s="1303">
        <f>'MASA KERJA AB'!I23</f>
        <v>50500</v>
      </c>
      <c r="AE24" s="1145"/>
      <c r="AF24" s="1037"/>
      <c r="AG24" s="1037"/>
      <c r="AH24" s="1265"/>
      <c r="AI24" s="1037"/>
      <c r="AJ24" s="1265"/>
      <c r="AK24" s="1269"/>
      <c r="AL24" s="1265"/>
      <c r="AM24" s="1265"/>
      <c r="AN24" s="1037"/>
      <c r="AO24" s="1147">
        <f t="shared" si="10"/>
        <v>4126070</v>
      </c>
      <c r="AP24" s="1037">
        <f t="shared" si="20"/>
        <v>77532</v>
      </c>
      <c r="AQ24" s="1037">
        <f t="shared" si="21"/>
        <v>175997.64</v>
      </c>
      <c r="AR24" s="1037">
        <f t="shared" si="35"/>
        <v>253529.64</v>
      </c>
      <c r="AS24" s="1037">
        <f t="shared" si="22"/>
        <v>39271</v>
      </c>
      <c r="AT24" s="1037">
        <f t="shared" si="23"/>
        <v>157084</v>
      </c>
      <c r="AU24" s="1037">
        <f t="shared" si="24"/>
        <v>38766</v>
      </c>
      <c r="AV24" s="1037">
        <f t="shared" si="25"/>
        <v>77532</v>
      </c>
      <c r="AW24" s="1037">
        <f t="shared" si="36"/>
        <v>312653</v>
      </c>
      <c r="AX24" s="1303">
        <v>4000</v>
      </c>
      <c r="AY24" s="1145">
        <v>0</v>
      </c>
      <c r="AZ24" s="1037">
        <f t="shared" si="13"/>
        <v>0</v>
      </c>
      <c r="BA24" s="1037"/>
      <c r="BB24" s="1265"/>
      <c r="BC24" s="1386">
        <f t="shared" si="14"/>
        <v>3966501</v>
      </c>
      <c r="BD24" s="1037">
        <f>'HK UP KEEP, OP '!AS22</f>
        <v>0</v>
      </c>
      <c r="BE24" s="1262">
        <f>'HK UP KEEP, OP '!AT22</f>
        <v>0</v>
      </c>
      <c r="BG24" s="765">
        <f t="shared" si="15"/>
        <v>4005820</v>
      </c>
      <c r="BH24" s="766">
        <f t="shared" si="16"/>
        <v>0</v>
      </c>
      <c r="BI24" s="766">
        <f t="shared" si="17"/>
        <v>0</v>
      </c>
      <c r="BJ24" s="765">
        <f t="shared" si="18"/>
        <v>0</v>
      </c>
      <c r="BK24" s="767">
        <f t="shared" si="26"/>
        <v>4005820</v>
      </c>
      <c r="BM24" s="767">
        <f t="shared" si="38"/>
        <v>120250</v>
      </c>
      <c r="BN24" s="765">
        <v>30575.999999999996</v>
      </c>
      <c r="BO24" s="765">
        <f t="shared" si="19"/>
        <v>566182.64</v>
      </c>
    </row>
    <row r="25" spans="1:72" ht="36.75" customHeight="1">
      <c r="A25" s="811" t="s">
        <v>78</v>
      </c>
      <c r="B25" s="812" t="s">
        <v>37</v>
      </c>
      <c r="C25" s="813" t="s">
        <v>124</v>
      </c>
      <c r="D25" s="814" t="s">
        <v>108</v>
      </c>
      <c r="E25" s="1037">
        <f>'HK UP KEEP, OP '!AH23</f>
        <v>19</v>
      </c>
      <c r="F25" s="953">
        <v>129220</v>
      </c>
      <c r="G25" s="1144">
        <f t="shared" si="39"/>
        <v>2455180</v>
      </c>
      <c r="H25" s="1037">
        <f>'HK UP KEEP, OP '!AI23</f>
        <v>1</v>
      </c>
      <c r="I25" s="1037">
        <f t="shared" si="27"/>
        <v>129220</v>
      </c>
      <c r="J25" s="1037">
        <f>'HK UP KEEP, OP '!AJ23</f>
        <v>1</v>
      </c>
      <c r="K25" s="1037">
        <f t="shared" si="28"/>
        <v>129220</v>
      </c>
      <c r="L25" s="1037">
        <f>'HK UP KEEP, OP '!AK23</f>
        <v>2</v>
      </c>
      <c r="M25" s="1037">
        <f t="shared" si="29"/>
        <v>258440</v>
      </c>
      <c r="N25" s="1037">
        <f>'HK UP KEEP, OP '!AL23</f>
        <v>4</v>
      </c>
      <c r="O25" s="1037">
        <f t="shared" si="30"/>
        <v>516880</v>
      </c>
      <c r="P25" s="1037">
        <f>'HK UP KEEP, OP '!AM23</f>
        <v>3</v>
      </c>
      <c r="Q25" s="1037">
        <f t="shared" si="31"/>
        <v>387660</v>
      </c>
      <c r="R25" s="1037">
        <f>'HK UP KEEP, OP '!AN23</f>
        <v>0</v>
      </c>
      <c r="S25" s="1037">
        <f t="shared" si="32"/>
        <v>0</v>
      </c>
      <c r="T25" s="1037">
        <f>'HK UP KEEP, OP '!AO23+'HK UP KEEP, OP '!AP23+'HK UP KEEP, OP '!AQ23</f>
        <v>0</v>
      </c>
      <c r="U25" s="1037">
        <f t="shared" si="33"/>
        <v>0</v>
      </c>
      <c r="V25" s="1037">
        <f t="shared" si="8"/>
        <v>30</v>
      </c>
      <c r="W25" s="1145">
        <v>2250</v>
      </c>
      <c r="X25" s="1037">
        <f t="shared" si="9"/>
        <v>67500</v>
      </c>
      <c r="Y25" s="1037"/>
      <c r="Z25" s="1037"/>
      <c r="AA25" s="1037">
        <f t="shared" si="34"/>
        <v>0</v>
      </c>
      <c r="AB25" s="1265">
        <v>2500</v>
      </c>
      <c r="AC25" s="1037">
        <f>'MASA KERJA AB'!H24</f>
        <v>10</v>
      </c>
      <c r="AD25" s="1303">
        <f>'MASA KERJA AB'!I24</f>
        <v>27000</v>
      </c>
      <c r="AE25" s="1146"/>
      <c r="AF25" s="1037"/>
      <c r="AG25" s="1037"/>
      <c r="AH25" s="1265"/>
      <c r="AI25" s="1037"/>
      <c r="AJ25" s="1265"/>
      <c r="AK25" s="1269"/>
      <c r="AL25" s="1265"/>
      <c r="AM25" s="1265"/>
      <c r="AN25" s="1037"/>
      <c r="AO25" s="1147">
        <f t="shared" si="10"/>
        <v>3971100</v>
      </c>
      <c r="AP25" s="1037">
        <f t="shared" si="20"/>
        <v>77532</v>
      </c>
      <c r="AQ25" s="1037">
        <f t="shared" si="21"/>
        <v>175997.64</v>
      </c>
      <c r="AR25" s="1037">
        <f t="shared" si="35"/>
        <v>253529.64</v>
      </c>
      <c r="AS25" s="1037">
        <f t="shared" si="22"/>
        <v>39036</v>
      </c>
      <c r="AT25" s="1037">
        <f t="shared" si="23"/>
        <v>156144</v>
      </c>
      <c r="AU25" s="1037">
        <f t="shared" si="24"/>
        <v>38766</v>
      </c>
      <c r="AV25" s="1037">
        <f t="shared" si="25"/>
        <v>77532</v>
      </c>
      <c r="AW25" s="1037">
        <f t="shared" si="36"/>
        <v>311478</v>
      </c>
      <c r="AX25" s="1303">
        <v>4000</v>
      </c>
      <c r="AY25" s="1145">
        <v>0</v>
      </c>
      <c r="AZ25" s="1037">
        <f t="shared" si="13"/>
        <v>0</v>
      </c>
      <c r="BA25" s="1037"/>
      <c r="BB25" s="1265"/>
      <c r="BC25" s="1386">
        <f t="shared" si="14"/>
        <v>3811766</v>
      </c>
      <c r="BD25" s="1037">
        <f>'HK UP KEEP, OP '!AS23</f>
        <v>0</v>
      </c>
      <c r="BE25" s="1262">
        <f>'HK UP KEEP, OP '!AT23</f>
        <v>1</v>
      </c>
      <c r="BG25" s="765">
        <f t="shared" si="15"/>
        <v>3876600</v>
      </c>
      <c r="BH25" s="766">
        <f t="shared" si="16"/>
        <v>0</v>
      </c>
      <c r="BI25" s="766">
        <f t="shared" si="17"/>
        <v>129220</v>
      </c>
      <c r="BJ25" s="765">
        <f t="shared" si="18"/>
        <v>-129220</v>
      </c>
      <c r="BK25" s="767">
        <f t="shared" si="26"/>
        <v>4005820</v>
      </c>
      <c r="BM25" s="767">
        <f t="shared" si="38"/>
        <v>94500</v>
      </c>
      <c r="BN25" s="765">
        <v>30575.999999999996</v>
      </c>
      <c r="BO25" s="765">
        <f t="shared" si="19"/>
        <v>565007.64</v>
      </c>
    </row>
    <row r="26" spans="1:72" s="810" customFormat="1" ht="36.75" customHeight="1">
      <c r="A26" s="811" t="s">
        <v>79</v>
      </c>
      <c r="B26" s="812" t="s">
        <v>36</v>
      </c>
      <c r="C26" s="813" t="s">
        <v>125</v>
      </c>
      <c r="D26" s="816" t="s">
        <v>194</v>
      </c>
      <c r="E26" s="1037">
        <f>'HK UP KEEP, OP '!AH24</f>
        <v>24</v>
      </c>
      <c r="F26" s="953">
        <v>129220</v>
      </c>
      <c r="G26" s="1144">
        <f t="shared" si="39"/>
        <v>3101280</v>
      </c>
      <c r="H26" s="1037">
        <f>'HK UP KEEP, OP '!AI24</f>
        <v>0</v>
      </c>
      <c r="I26" s="1037">
        <f t="shared" si="27"/>
        <v>0</v>
      </c>
      <c r="J26" s="1037">
        <f>'HK UP KEEP, OP '!AJ24</f>
        <v>0</v>
      </c>
      <c r="K26" s="1037">
        <f t="shared" si="28"/>
        <v>0</v>
      </c>
      <c r="L26" s="1037">
        <f>'HK UP KEEP, OP '!AK24</f>
        <v>0</v>
      </c>
      <c r="M26" s="1037">
        <f t="shared" si="29"/>
        <v>0</v>
      </c>
      <c r="N26" s="1037">
        <f>'HK UP KEEP, OP '!AL24</f>
        <v>4</v>
      </c>
      <c r="O26" s="1037">
        <f t="shared" si="30"/>
        <v>516880</v>
      </c>
      <c r="P26" s="1037">
        <f>'HK UP KEEP, OP '!AM24</f>
        <v>3</v>
      </c>
      <c r="Q26" s="1037">
        <f t="shared" si="31"/>
        <v>387660</v>
      </c>
      <c r="R26" s="1037">
        <f>'HK UP KEEP, OP '!AN24</f>
        <v>0</v>
      </c>
      <c r="S26" s="1037">
        <f t="shared" si="32"/>
        <v>0</v>
      </c>
      <c r="T26" s="1037">
        <f>'HK UP KEEP, OP '!AO24+'HK UP KEEP, OP '!AP24+'HK UP KEEP, OP '!AQ24</f>
        <v>0</v>
      </c>
      <c r="U26" s="1037">
        <f t="shared" si="33"/>
        <v>0</v>
      </c>
      <c r="V26" s="1037">
        <f t="shared" si="8"/>
        <v>31</v>
      </c>
      <c r="W26" s="1145">
        <v>5550</v>
      </c>
      <c r="X26" s="1037">
        <f t="shared" si="9"/>
        <v>172050</v>
      </c>
      <c r="Y26" s="1037"/>
      <c r="Z26" s="1037"/>
      <c r="AA26" s="1037">
        <f t="shared" si="34"/>
        <v>0</v>
      </c>
      <c r="AB26" s="1265">
        <v>2500</v>
      </c>
      <c r="AC26" s="1037">
        <f>'MASA KERJA AB'!H25</f>
        <v>16</v>
      </c>
      <c r="AD26" s="1303">
        <f>'MASA KERJA AB'!I25</f>
        <v>43500</v>
      </c>
      <c r="AE26" s="1146"/>
      <c r="AF26" s="1037"/>
      <c r="AG26" s="1037"/>
      <c r="AH26" s="1265"/>
      <c r="AI26" s="1037"/>
      <c r="AJ26" s="1265"/>
      <c r="AK26" s="1269"/>
      <c r="AL26" s="1265"/>
      <c r="AM26" s="1265"/>
      <c r="AN26" s="1037"/>
      <c r="AO26" s="1147">
        <f t="shared" si="10"/>
        <v>4221370</v>
      </c>
      <c r="AP26" s="1037">
        <f t="shared" si="20"/>
        <v>77532</v>
      </c>
      <c r="AQ26" s="1037">
        <f t="shared" si="21"/>
        <v>175997.64</v>
      </c>
      <c r="AR26" s="1037">
        <f t="shared" si="35"/>
        <v>253529.64</v>
      </c>
      <c r="AS26" s="1037">
        <f t="shared" si="22"/>
        <v>39201</v>
      </c>
      <c r="AT26" s="1037">
        <f t="shared" si="23"/>
        <v>156804</v>
      </c>
      <c r="AU26" s="1037">
        <f t="shared" si="24"/>
        <v>38766</v>
      </c>
      <c r="AV26" s="1037">
        <f t="shared" si="25"/>
        <v>77532</v>
      </c>
      <c r="AW26" s="1037">
        <f t="shared" si="36"/>
        <v>312303</v>
      </c>
      <c r="AX26" s="1303">
        <v>4000</v>
      </c>
      <c r="AY26" s="1145">
        <v>0</v>
      </c>
      <c r="AZ26" s="1037">
        <f t="shared" si="13"/>
        <v>0</v>
      </c>
      <c r="BA26" s="1037"/>
      <c r="BB26" s="1265"/>
      <c r="BC26" s="1386">
        <f t="shared" si="14"/>
        <v>4061871</v>
      </c>
      <c r="BD26" s="1037">
        <f>'HK UP KEEP, OP '!AS24</f>
        <v>0</v>
      </c>
      <c r="BE26" s="1262">
        <f>'HK UP KEEP, OP '!AT24</f>
        <v>0</v>
      </c>
      <c r="BG26" s="765">
        <f t="shared" si="15"/>
        <v>4005820</v>
      </c>
      <c r="BH26" s="766">
        <f t="shared" si="16"/>
        <v>0</v>
      </c>
      <c r="BI26" s="766">
        <f t="shared" si="17"/>
        <v>0</v>
      </c>
      <c r="BJ26" s="765">
        <f t="shared" si="18"/>
        <v>0</v>
      </c>
      <c r="BK26" s="767">
        <f t="shared" si="26"/>
        <v>4005820</v>
      </c>
      <c r="BL26" s="767"/>
      <c r="BM26" s="767">
        <f t="shared" si="38"/>
        <v>215550</v>
      </c>
      <c r="BN26" s="765">
        <v>30575.999999999996</v>
      </c>
      <c r="BO26" s="765">
        <f t="shared" si="19"/>
        <v>565832.64</v>
      </c>
      <c r="BS26" s="963"/>
      <c r="BT26" s="963"/>
    </row>
    <row r="27" spans="1:72" ht="36.75" customHeight="1">
      <c r="A27" s="811" t="s">
        <v>80</v>
      </c>
      <c r="B27" s="812" t="s">
        <v>37</v>
      </c>
      <c r="C27" s="813" t="s">
        <v>126</v>
      </c>
      <c r="D27" s="814" t="s">
        <v>109</v>
      </c>
      <c r="E27" s="1037">
        <f>'HK UP KEEP, OP '!AH25</f>
        <v>24</v>
      </c>
      <c r="F27" s="953">
        <v>129220</v>
      </c>
      <c r="G27" s="1144">
        <f t="shared" si="39"/>
        <v>3101280</v>
      </c>
      <c r="H27" s="1037">
        <f>'HK UP KEEP, OP '!AI25</f>
        <v>0</v>
      </c>
      <c r="I27" s="1037">
        <f t="shared" si="27"/>
        <v>0</v>
      </c>
      <c r="J27" s="1037">
        <f>'HK UP KEEP, OP '!AJ25</f>
        <v>0</v>
      </c>
      <c r="K27" s="1037">
        <f t="shared" si="28"/>
        <v>0</v>
      </c>
      <c r="L27" s="1037">
        <f>'HK UP KEEP, OP '!AK25</f>
        <v>0</v>
      </c>
      <c r="M27" s="1037">
        <f t="shared" si="29"/>
        <v>0</v>
      </c>
      <c r="N27" s="1037">
        <f>'HK UP KEEP, OP '!AL25</f>
        <v>4</v>
      </c>
      <c r="O27" s="1037">
        <f t="shared" si="30"/>
        <v>516880</v>
      </c>
      <c r="P27" s="1037">
        <f>'HK UP KEEP, OP '!AM25</f>
        <v>3</v>
      </c>
      <c r="Q27" s="1037">
        <f t="shared" si="31"/>
        <v>387660</v>
      </c>
      <c r="R27" s="1037">
        <f>'HK UP KEEP, OP '!AN25</f>
        <v>0</v>
      </c>
      <c r="S27" s="1037">
        <f t="shared" si="32"/>
        <v>0</v>
      </c>
      <c r="T27" s="1037">
        <f>'HK UP KEEP, OP '!AO25+'HK UP KEEP, OP '!AP25+'HK UP KEEP, OP '!AQ25</f>
        <v>0</v>
      </c>
      <c r="U27" s="1037">
        <f t="shared" si="33"/>
        <v>0</v>
      </c>
      <c r="V27" s="1037">
        <f t="shared" si="8"/>
        <v>31</v>
      </c>
      <c r="W27" s="1145">
        <v>2250</v>
      </c>
      <c r="X27" s="1037">
        <f t="shared" si="9"/>
        <v>69750</v>
      </c>
      <c r="Y27" s="1037"/>
      <c r="Z27" s="1037"/>
      <c r="AA27" s="1037">
        <f t="shared" si="34"/>
        <v>0</v>
      </c>
      <c r="AB27" s="1037">
        <v>2500</v>
      </c>
      <c r="AC27" s="1037">
        <f>'MASA KERJA AB'!H26</f>
        <v>16</v>
      </c>
      <c r="AD27" s="1303">
        <f>'MASA KERJA AB'!I26</f>
        <v>47000</v>
      </c>
      <c r="AE27" s="1145"/>
      <c r="AF27" s="1037"/>
      <c r="AG27" s="1037"/>
      <c r="AH27" s="1037"/>
      <c r="AI27" s="1037"/>
      <c r="AJ27" s="1037"/>
      <c r="AK27" s="1266"/>
      <c r="AL27" s="1037"/>
      <c r="AM27" s="1037"/>
      <c r="AN27" s="1037"/>
      <c r="AO27" s="1147">
        <f t="shared" si="10"/>
        <v>4122570</v>
      </c>
      <c r="AP27" s="1037">
        <f t="shared" si="20"/>
        <v>77532</v>
      </c>
      <c r="AQ27" s="1037">
        <f t="shared" si="21"/>
        <v>175997.64</v>
      </c>
      <c r="AR27" s="1037">
        <f t="shared" si="35"/>
        <v>253529.64</v>
      </c>
      <c r="AS27" s="1037">
        <f t="shared" si="22"/>
        <v>39236</v>
      </c>
      <c r="AT27" s="1037">
        <f t="shared" si="23"/>
        <v>156944</v>
      </c>
      <c r="AU27" s="1037">
        <f t="shared" si="24"/>
        <v>38766</v>
      </c>
      <c r="AV27" s="1037">
        <f t="shared" si="25"/>
        <v>77532</v>
      </c>
      <c r="AW27" s="1037">
        <f t="shared" si="36"/>
        <v>312478</v>
      </c>
      <c r="AX27" s="1303">
        <v>4000</v>
      </c>
      <c r="AY27" s="1145">
        <v>0</v>
      </c>
      <c r="AZ27" s="1037">
        <f t="shared" si="13"/>
        <v>0</v>
      </c>
      <c r="BA27" s="1037"/>
      <c r="BB27" s="1037"/>
      <c r="BC27" s="1386">
        <f t="shared" si="14"/>
        <v>3963036</v>
      </c>
      <c r="BD27" s="1037">
        <f>'HK UP KEEP, OP '!AS25</f>
        <v>0</v>
      </c>
      <c r="BE27" s="1262">
        <f>'HK UP KEEP, OP '!AT25</f>
        <v>0</v>
      </c>
      <c r="BG27" s="765">
        <f t="shared" si="15"/>
        <v>4005820</v>
      </c>
      <c r="BH27" s="766">
        <f t="shared" si="16"/>
        <v>0</v>
      </c>
      <c r="BI27" s="766">
        <f t="shared" si="17"/>
        <v>0</v>
      </c>
      <c r="BJ27" s="765">
        <f t="shared" si="18"/>
        <v>0</v>
      </c>
      <c r="BK27" s="767">
        <f t="shared" si="26"/>
        <v>4005820</v>
      </c>
      <c r="BM27" s="767">
        <f t="shared" si="38"/>
        <v>116750</v>
      </c>
      <c r="BN27" s="765">
        <v>30575.999999999996</v>
      </c>
      <c r="BO27" s="765">
        <f t="shared" si="19"/>
        <v>566007.64</v>
      </c>
    </row>
    <row r="28" spans="1:72" ht="36.75" customHeight="1">
      <c r="A28" s="811" t="s">
        <v>81</v>
      </c>
      <c r="B28" s="815" t="s">
        <v>36</v>
      </c>
      <c r="C28" s="813" t="s">
        <v>127</v>
      </c>
      <c r="D28" s="814" t="s">
        <v>110</v>
      </c>
      <c r="E28" s="1037">
        <f>'HK UP KEEP, OP '!AH26</f>
        <v>21</v>
      </c>
      <c r="F28" s="953">
        <v>129220</v>
      </c>
      <c r="G28" s="1144">
        <f t="shared" si="39"/>
        <v>2713620</v>
      </c>
      <c r="H28" s="1037">
        <f>'HK UP KEEP, OP '!AI26</f>
        <v>1</v>
      </c>
      <c r="I28" s="1037">
        <f t="shared" si="27"/>
        <v>129220</v>
      </c>
      <c r="J28" s="1037">
        <f>'HK UP KEEP, OP '!AJ26</f>
        <v>1</v>
      </c>
      <c r="K28" s="1037">
        <f t="shared" si="28"/>
        <v>129220</v>
      </c>
      <c r="L28" s="1037">
        <f>'HK UP KEEP, OP '!AK26</f>
        <v>0</v>
      </c>
      <c r="M28" s="1037">
        <f t="shared" si="29"/>
        <v>0</v>
      </c>
      <c r="N28" s="1037">
        <f>'HK UP KEEP, OP '!AL26</f>
        <v>4</v>
      </c>
      <c r="O28" s="1037">
        <f t="shared" si="30"/>
        <v>516880</v>
      </c>
      <c r="P28" s="1037">
        <f>'HK UP KEEP, OP '!AM26</f>
        <v>3</v>
      </c>
      <c r="Q28" s="1037">
        <f t="shared" si="31"/>
        <v>387660</v>
      </c>
      <c r="R28" s="1037">
        <f>'HK UP KEEP, OP '!AN26</f>
        <v>0</v>
      </c>
      <c r="S28" s="1037">
        <f t="shared" si="32"/>
        <v>0</v>
      </c>
      <c r="T28" s="1037">
        <f>'HK UP KEEP, OP '!AO26+'HK UP KEEP, OP '!AP26+'HK UP KEEP, OP '!AQ26</f>
        <v>0</v>
      </c>
      <c r="U28" s="1037">
        <f t="shared" si="33"/>
        <v>0</v>
      </c>
      <c r="V28" s="1037">
        <f t="shared" si="8"/>
        <v>30</v>
      </c>
      <c r="W28" s="1268">
        <v>5550</v>
      </c>
      <c r="X28" s="1037">
        <f t="shared" si="9"/>
        <v>166500</v>
      </c>
      <c r="Y28" s="1269"/>
      <c r="Z28" s="1037"/>
      <c r="AA28" s="1037">
        <f t="shared" si="34"/>
        <v>0</v>
      </c>
      <c r="AB28" s="1265">
        <v>2500</v>
      </c>
      <c r="AC28" s="1037">
        <f>'MASA KERJA AB'!H27</f>
        <v>16</v>
      </c>
      <c r="AD28" s="1303">
        <f>'MASA KERJA AB'!I27</f>
        <v>47000</v>
      </c>
      <c r="AE28" s="1145">
        <f>'LEMBUR DAN PREMI UPKEEP'!AJ30</f>
        <v>0</v>
      </c>
      <c r="AF28" s="1037"/>
      <c r="AG28" s="1037"/>
      <c r="AH28" s="1265"/>
      <c r="AI28" s="1037"/>
      <c r="AJ28" s="1265"/>
      <c r="AK28" s="1305">
        <v>144000</v>
      </c>
      <c r="AL28" s="1265"/>
      <c r="AM28" s="1265"/>
      <c r="AN28" s="1037"/>
      <c r="AO28" s="1147">
        <f t="shared" si="10"/>
        <v>4234100</v>
      </c>
      <c r="AP28" s="1037">
        <f t="shared" si="20"/>
        <v>77532</v>
      </c>
      <c r="AQ28" s="1037">
        <f t="shared" si="21"/>
        <v>175997.64</v>
      </c>
      <c r="AR28" s="1037">
        <f t="shared" si="35"/>
        <v>253529.64</v>
      </c>
      <c r="AS28" s="1037">
        <f t="shared" si="22"/>
        <v>39236</v>
      </c>
      <c r="AT28" s="1037">
        <f t="shared" si="23"/>
        <v>156944</v>
      </c>
      <c r="AU28" s="1037">
        <f t="shared" si="24"/>
        <v>38766</v>
      </c>
      <c r="AV28" s="1037">
        <f t="shared" si="25"/>
        <v>77532</v>
      </c>
      <c r="AW28" s="1037">
        <f t="shared" si="36"/>
        <v>312478</v>
      </c>
      <c r="AX28" s="1303">
        <v>4000</v>
      </c>
      <c r="AY28" s="1145">
        <v>0</v>
      </c>
      <c r="AZ28" s="1037">
        <f t="shared" si="13"/>
        <v>0</v>
      </c>
      <c r="BA28" s="1037"/>
      <c r="BB28" s="1265"/>
      <c r="BC28" s="1386">
        <f t="shared" si="14"/>
        <v>4074566</v>
      </c>
      <c r="BD28" s="1037">
        <f>'HK UP KEEP, OP '!AS26</f>
        <v>0</v>
      </c>
      <c r="BE28" s="1262">
        <f>'HK UP KEEP, OP '!AT26</f>
        <v>1</v>
      </c>
      <c r="BG28" s="765">
        <f t="shared" si="15"/>
        <v>3876600</v>
      </c>
      <c r="BH28" s="766">
        <f t="shared" si="16"/>
        <v>0</v>
      </c>
      <c r="BI28" s="766">
        <f t="shared" si="17"/>
        <v>129220</v>
      </c>
      <c r="BJ28" s="765">
        <f t="shared" si="18"/>
        <v>-129220</v>
      </c>
      <c r="BK28" s="767">
        <f t="shared" si="26"/>
        <v>4005820</v>
      </c>
      <c r="BM28" s="767">
        <f t="shared" si="38"/>
        <v>357500</v>
      </c>
      <c r="BN28" s="765">
        <v>30575.999999999996</v>
      </c>
      <c r="BO28" s="765">
        <f t="shared" si="19"/>
        <v>566007.64</v>
      </c>
    </row>
    <row r="29" spans="1:72" ht="36.75" customHeight="1">
      <c r="A29" s="811" t="s">
        <v>82</v>
      </c>
      <c r="B29" s="812" t="s">
        <v>36</v>
      </c>
      <c r="C29" s="813" t="s">
        <v>128</v>
      </c>
      <c r="D29" s="816" t="s">
        <v>197</v>
      </c>
      <c r="E29" s="1037">
        <f>'HK UP KEEP, OP '!AH27</f>
        <v>16</v>
      </c>
      <c r="F29" s="953">
        <v>129220</v>
      </c>
      <c r="G29" s="1144">
        <f t="shared" si="39"/>
        <v>2067520</v>
      </c>
      <c r="H29" s="1037">
        <f>'HK UP KEEP, OP '!AI27</f>
        <v>1</v>
      </c>
      <c r="I29" s="1037">
        <f t="shared" si="27"/>
        <v>129220</v>
      </c>
      <c r="J29" s="1037">
        <f>'HK UP KEEP, OP '!AJ27</f>
        <v>4</v>
      </c>
      <c r="K29" s="1037">
        <f t="shared" si="28"/>
        <v>516880</v>
      </c>
      <c r="L29" s="1037">
        <f>'HK UP KEEP, OP '!AK27</f>
        <v>0</v>
      </c>
      <c r="M29" s="1037">
        <f t="shared" si="29"/>
        <v>0</v>
      </c>
      <c r="N29" s="1037">
        <f>'HK UP KEEP, OP '!AL27</f>
        <v>4</v>
      </c>
      <c r="O29" s="1037">
        <f t="shared" si="30"/>
        <v>516880</v>
      </c>
      <c r="P29" s="1037">
        <f>'HK UP KEEP, OP '!AM27</f>
        <v>3</v>
      </c>
      <c r="Q29" s="1037">
        <f t="shared" si="31"/>
        <v>387660</v>
      </c>
      <c r="R29" s="1037">
        <f>'HK UP KEEP, OP '!AN27</f>
        <v>0</v>
      </c>
      <c r="S29" s="1037">
        <f t="shared" si="32"/>
        <v>0</v>
      </c>
      <c r="T29" s="1037">
        <f>'HK UP KEEP, OP '!AO27+'HK UP KEEP, OP '!AP27+'HK UP KEEP, OP '!AQ27</f>
        <v>0</v>
      </c>
      <c r="U29" s="1037">
        <f t="shared" si="33"/>
        <v>0</v>
      </c>
      <c r="V29" s="1037">
        <f t="shared" si="8"/>
        <v>28</v>
      </c>
      <c r="W29" s="1145">
        <v>5550</v>
      </c>
      <c r="X29" s="1037">
        <f t="shared" si="9"/>
        <v>155400</v>
      </c>
      <c r="Y29" s="1037"/>
      <c r="Z29" s="1037"/>
      <c r="AA29" s="1037">
        <f t="shared" si="34"/>
        <v>0</v>
      </c>
      <c r="AB29" s="1037">
        <v>2500</v>
      </c>
      <c r="AC29" s="1037">
        <f>'MASA KERJA AB'!H28</f>
        <v>16</v>
      </c>
      <c r="AD29" s="1303">
        <f>'MASA KERJA AB'!I28</f>
        <v>43500</v>
      </c>
      <c r="AE29" s="1146">
        <f>'LEMBUR DAN PREMI UPKEEP'!AJ27</f>
        <v>0</v>
      </c>
      <c r="AF29" s="1037"/>
      <c r="AG29" s="1037"/>
      <c r="AH29" s="1037"/>
      <c r="AI29" s="1037"/>
      <c r="AJ29" s="1037"/>
      <c r="AK29" s="1266"/>
      <c r="AL29" s="1037"/>
      <c r="AM29" s="1037"/>
      <c r="AN29" s="1037"/>
      <c r="AO29" s="1147">
        <f t="shared" si="10"/>
        <v>3817060</v>
      </c>
      <c r="AP29" s="1037">
        <f t="shared" si="20"/>
        <v>77532</v>
      </c>
      <c r="AQ29" s="1037">
        <f t="shared" si="21"/>
        <v>175997.64</v>
      </c>
      <c r="AR29" s="1037">
        <f t="shared" si="35"/>
        <v>253529.64</v>
      </c>
      <c r="AS29" s="1037">
        <f t="shared" si="22"/>
        <v>39201</v>
      </c>
      <c r="AT29" s="1037">
        <f t="shared" si="23"/>
        <v>156804</v>
      </c>
      <c r="AU29" s="1037">
        <f t="shared" si="24"/>
        <v>38766</v>
      </c>
      <c r="AV29" s="1037">
        <f t="shared" si="25"/>
        <v>77532</v>
      </c>
      <c r="AW29" s="1037">
        <f t="shared" si="36"/>
        <v>312303</v>
      </c>
      <c r="AX29" s="1303">
        <v>4000</v>
      </c>
      <c r="AY29" s="1145">
        <v>0</v>
      </c>
      <c r="AZ29" s="1037">
        <f t="shared" si="13"/>
        <v>0</v>
      </c>
      <c r="BA29" s="1037"/>
      <c r="BB29" s="1037"/>
      <c r="BC29" s="1386">
        <f t="shared" si="14"/>
        <v>3657561</v>
      </c>
      <c r="BD29" s="1037">
        <f>'HK UP KEEP, OP '!AS27</f>
        <v>1</v>
      </c>
      <c r="BE29" s="1262">
        <f>'HK UP KEEP, OP '!AT27</f>
        <v>2</v>
      </c>
      <c r="BG29" s="765">
        <f t="shared" si="15"/>
        <v>3618160</v>
      </c>
      <c r="BH29" s="766">
        <f t="shared" si="16"/>
        <v>129220</v>
      </c>
      <c r="BI29" s="766">
        <f t="shared" si="17"/>
        <v>258440</v>
      </c>
      <c r="BJ29" s="765">
        <f t="shared" si="18"/>
        <v>-387660</v>
      </c>
      <c r="BK29" s="767">
        <f t="shared" si="26"/>
        <v>4005820</v>
      </c>
      <c r="BM29" s="767">
        <f t="shared" si="38"/>
        <v>198900</v>
      </c>
      <c r="BN29" s="765">
        <v>30575.999999999996</v>
      </c>
      <c r="BO29" s="765">
        <f t="shared" si="19"/>
        <v>565832.64</v>
      </c>
    </row>
    <row r="30" spans="1:72" ht="36.75" customHeight="1">
      <c r="A30" s="811" t="s">
        <v>83</v>
      </c>
      <c r="B30" s="812" t="s">
        <v>37</v>
      </c>
      <c r="C30" s="813" t="s">
        <v>130</v>
      </c>
      <c r="D30" s="814" t="s">
        <v>112</v>
      </c>
      <c r="E30" s="1037">
        <f>'HK UP KEEP, OP '!AH28</f>
        <v>21</v>
      </c>
      <c r="F30" s="953">
        <v>129220</v>
      </c>
      <c r="G30" s="1144">
        <f t="shared" si="39"/>
        <v>2713620</v>
      </c>
      <c r="H30" s="1037">
        <f>'HK UP KEEP, OP '!AI28</f>
        <v>1</v>
      </c>
      <c r="I30" s="1037">
        <f t="shared" si="27"/>
        <v>129220</v>
      </c>
      <c r="J30" s="1037">
        <f>'HK UP KEEP, OP '!AJ28</f>
        <v>2</v>
      </c>
      <c r="K30" s="1037">
        <f t="shared" si="28"/>
        <v>258440</v>
      </c>
      <c r="L30" s="1037">
        <f>'HK UP KEEP, OP '!AK28</f>
        <v>0</v>
      </c>
      <c r="M30" s="1037">
        <f t="shared" si="29"/>
        <v>0</v>
      </c>
      <c r="N30" s="1037">
        <f>'HK UP KEEP, OP '!AL28</f>
        <v>4</v>
      </c>
      <c r="O30" s="1037">
        <f t="shared" si="30"/>
        <v>516880</v>
      </c>
      <c r="P30" s="1037">
        <f>'HK UP KEEP, OP '!AM28</f>
        <v>3</v>
      </c>
      <c r="Q30" s="1037">
        <f t="shared" si="31"/>
        <v>387660</v>
      </c>
      <c r="R30" s="1037">
        <f>'HK UP KEEP, OP '!AN28</f>
        <v>0</v>
      </c>
      <c r="S30" s="1037">
        <f t="shared" si="32"/>
        <v>0</v>
      </c>
      <c r="T30" s="1037">
        <f>'HK UP KEEP, OP '!AO28+'HK UP KEEP, OP '!AP28+'HK UP KEEP, OP '!AQ28</f>
        <v>0</v>
      </c>
      <c r="U30" s="1037">
        <f t="shared" si="33"/>
        <v>0</v>
      </c>
      <c r="V30" s="1037">
        <f t="shared" si="8"/>
        <v>31</v>
      </c>
      <c r="W30" s="1145">
        <v>2250</v>
      </c>
      <c r="X30" s="1037">
        <f t="shared" si="9"/>
        <v>69750</v>
      </c>
      <c r="Y30" s="1037"/>
      <c r="Z30" s="1037"/>
      <c r="AA30" s="1037">
        <f t="shared" si="34"/>
        <v>0</v>
      </c>
      <c r="AB30" s="1037">
        <v>2500</v>
      </c>
      <c r="AC30" s="1037">
        <f>'MASA KERJA AB'!H29</f>
        <v>15</v>
      </c>
      <c r="AD30" s="1303">
        <f>'MASA KERJA AB'!I29</f>
        <v>43500</v>
      </c>
      <c r="AE30" s="1146"/>
      <c r="AF30" s="1037"/>
      <c r="AG30" s="1037"/>
      <c r="AH30" s="1037"/>
      <c r="AI30" s="1037"/>
      <c r="AJ30" s="1037"/>
      <c r="AK30" s="1266"/>
      <c r="AL30" s="1037"/>
      <c r="AM30" s="1037"/>
      <c r="AN30" s="1037"/>
      <c r="AO30" s="1147">
        <f t="shared" si="10"/>
        <v>4119070</v>
      </c>
      <c r="AP30" s="1037">
        <f t="shared" si="20"/>
        <v>77532</v>
      </c>
      <c r="AQ30" s="1037">
        <f t="shared" si="21"/>
        <v>175997.64</v>
      </c>
      <c r="AR30" s="1037">
        <f t="shared" si="35"/>
        <v>253529.64</v>
      </c>
      <c r="AS30" s="1037">
        <f t="shared" si="22"/>
        <v>39201</v>
      </c>
      <c r="AT30" s="1037">
        <f t="shared" si="23"/>
        <v>156804</v>
      </c>
      <c r="AU30" s="1037">
        <f t="shared" si="24"/>
        <v>38766</v>
      </c>
      <c r="AV30" s="1037">
        <f t="shared" si="25"/>
        <v>77532</v>
      </c>
      <c r="AW30" s="1037">
        <f t="shared" si="36"/>
        <v>312303</v>
      </c>
      <c r="AX30" s="1303">
        <v>4000</v>
      </c>
      <c r="AY30" s="1145">
        <v>0</v>
      </c>
      <c r="AZ30" s="1037">
        <f t="shared" si="13"/>
        <v>0</v>
      </c>
      <c r="BA30" s="1037"/>
      <c r="BB30" s="1037"/>
      <c r="BC30" s="1386">
        <f t="shared" si="14"/>
        <v>3959571</v>
      </c>
      <c r="BD30" s="1037">
        <f>'HK UP KEEP, OP '!AS28</f>
        <v>0</v>
      </c>
      <c r="BE30" s="1262">
        <f>'HK UP KEEP, OP '!AT28</f>
        <v>0</v>
      </c>
      <c r="BG30" s="765">
        <f t="shared" si="15"/>
        <v>4005820</v>
      </c>
      <c r="BH30" s="766">
        <f t="shared" si="16"/>
        <v>0</v>
      </c>
      <c r="BI30" s="766">
        <f t="shared" si="17"/>
        <v>0</v>
      </c>
      <c r="BJ30" s="765">
        <f t="shared" si="18"/>
        <v>0</v>
      </c>
      <c r="BK30" s="767">
        <f t="shared" si="26"/>
        <v>4005820</v>
      </c>
      <c r="BM30" s="767">
        <f t="shared" si="38"/>
        <v>113250</v>
      </c>
      <c r="BN30" s="765">
        <v>30575.999999999996</v>
      </c>
      <c r="BO30" s="765">
        <f t="shared" si="19"/>
        <v>565832.64</v>
      </c>
    </row>
    <row r="31" spans="1:72" ht="36.75" customHeight="1">
      <c r="A31" s="811" t="s">
        <v>84</v>
      </c>
      <c r="B31" s="812" t="s">
        <v>37</v>
      </c>
      <c r="C31" s="813" t="s">
        <v>131</v>
      </c>
      <c r="D31" s="814" t="s">
        <v>113</v>
      </c>
      <c r="E31" s="1037">
        <f>'HK UP KEEP, OP '!AH29</f>
        <v>22</v>
      </c>
      <c r="F31" s="953">
        <v>129220</v>
      </c>
      <c r="G31" s="1144">
        <f t="shared" si="39"/>
        <v>2842840</v>
      </c>
      <c r="H31" s="1037">
        <f>'HK UP KEEP, OP '!AI29</f>
        <v>1</v>
      </c>
      <c r="I31" s="1037">
        <f t="shared" si="27"/>
        <v>129220</v>
      </c>
      <c r="J31" s="1037">
        <f>'HK UP KEEP, OP '!AJ29</f>
        <v>1</v>
      </c>
      <c r="K31" s="1037">
        <f t="shared" si="28"/>
        <v>129220</v>
      </c>
      <c r="L31" s="1037">
        <f>'HK UP KEEP, OP '!AK29</f>
        <v>0</v>
      </c>
      <c r="M31" s="1037">
        <f t="shared" si="29"/>
        <v>0</v>
      </c>
      <c r="N31" s="1037">
        <f>'HK UP KEEP, OP '!AL29</f>
        <v>4</v>
      </c>
      <c r="O31" s="1037">
        <f t="shared" si="30"/>
        <v>516880</v>
      </c>
      <c r="P31" s="1037">
        <f>'HK UP KEEP, OP '!AM29</f>
        <v>3</v>
      </c>
      <c r="Q31" s="1037">
        <f t="shared" si="31"/>
        <v>387660</v>
      </c>
      <c r="R31" s="1037">
        <f>'HK UP KEEP, OP '!AN29</f>
        <v>0</v>
      </c>
      <c r="S31" s="1037">
        <f t="shared" si="32"/>
        <v>0</v>
      </c>
      <c r="T31" s="1037">
        <f>'HK UP KEEP, OP '!AO29+'HK UP KEEP, OP '!AP29+'HK UP KEEP, OP '!AQ29</f>
        <v>0</v>
      </c>
      <c r="U31" s="1037">
        <f t="shared" si="33"/>
        <v>0</v>
      </c>
      <c r="V31" s="1037">
        <f t="shared" si="8"/>
        <v>31</v>
      </c>
      <c r="W31" s="1145">
        <v>2250</v>
      </c>
      <c r="X31" s="1037">
        <f t="shared" si="9"/>
        <v>69750</v>
      </c>
      <c r="Y31" s="1037"/>
      <c r="Z31" s="1037"/>
      <c r="AA31" s="1037">
        <f t="shared" si="34"/>
        <v>0</v>
      </c>
      <c r="AB31" s="1037">
        <v>2500</v>
      </c>
      <c r="AC31" s="1037">
        <f>'MASA KERJA AB'!H30</f>
        <v>16</v>
      </c>
      <c r="AD31" s="1303">
        <f>'MASA KERJA AB'!I30</f>
        <v>47000</v>
      </c>
      <c r="AE31" s="1145"/>
      <c r="AF31" s="1037"/>
      <c r="AG31" s="1037"/>
      <c r="AH31" s="1037"/>
      <c r="AI31" s="1037"/>
      <c r="AJ31" s="1271"/>
      <c r="AK31" s="1266"/>
      <c r="AL31" s="1037"/>
      <c r="AM31" s="1037"/>
      <c r="AN31" s="1037"/>
      <c r="AO31" s="1147">
        <f t="shared" si="10"/>
        <v>4122570</v>
      </c>
      <c r="AP31" s="1037">
        <f t="shared" si="20"/>
        <v>77532</v>
      </c>
      <c r="AQ31" s="1037">
        <f t="shared" si="21"/>
        <v>175997.64</v>
      </c>
      <c r="AR31" s="1037">
        <f t="shared" si="35"/>
        <v>253529.64</v>
      </c>
      <c r="AS31" s="1037">
        <f t="shared" si="22"/>
        <v>39236</v>
      </c>
      <c r="AT31" s="1037">
        <f t="shared" si="23"/>
        <v>156944</v>
      </c>
      <c r="AU31" s="1037">
        <f t="shared" si="24"/>
        <v>38766</v>
      </c>
      <c r="AV31" s="1037">
        <f t="shared" si="25"/>
        <v>77532</v>
      </c>
      <c r="AW31" s="1037">
        <f t="shared" si="36"/>
        <v>312478</v>
      </c>
      <c r="AX31" s="1303">
        <v>4000</v>
      </c>
      <c r="AY31" s="1145">
        <v>0</v>
      </c>
      <c r="AZ31" s="1037">
        <f t="shared" si="13"/>
        <v>0</v>
      </c>
      <c r="BA31" s="1037"/>
      <c r="BB31" s="1037"/>
      <c r="BC31" s="1386">
        <f t="shared" si="14"/>
        <v>3963036</v>
      </c>
      <c r="BD31" s="1037">
        <f>'HK UP KEEP, OP '!AS29</f>
        <v>0</v>
      </c>
      <c r="BE31" s="1262">
        <f>'HK UP KEEP, OP '!AT29</f>
        <v>0</v>
      </c>
      <c r="BG31" s="765">
        <f t="shared" si="15"/>
        <v>4005820</v>
      </c>
      <c r="BH31" s="766">
        <f t="shared" si="16"/>
        <v>0</v>
      </c>
      <c r="BI31" s="766">
        <f t="shared" si="17"/>
        <v>0</v>
      </c>
      <c r="BJ31" s="765">
        <f t="shared" si="18"/>
        <v>0</v>
      </c>
      <c r="BK31" s="767">
        <f t="shared" si="26"/>
        <v>4005820</v>
      </c>
      <c r="BM31" s="767">
        <f t="shared" si="38"/>
        <v>116750</v>
      </c>
      <c r="BN31" s="765">
        <v>30575.999999999996</v>
      </c>
      <c r="BO31" s="765">
        <f t="shared" si="19"/>
        <v>566007.64</v>
      </c>
    </row>
    <row r="32" spans="1:72" ht="36.75" customHeight="1">
      <c r="A32" s="811" t="s">
        <v>85</v>
      </c>
      <c r="B32" s="812" t="s">
        <v>37</v>
      </c>
      <c r="C32" s="817" t="s">
        <v>132</v>
      </c>
      <c r="D32" s="814" t="s">
        <v>114</v>
      </c>
      <c r="E32" s="1037">
        <f>'HK UP KEEP, OP '!AH30</f>
        <v>21</v>
      </c>
      <c r="F32" s="953">
        <v>129220</v>
      </c>
      <c r="G32" s="1144">
        <f t="shared" si="39"/>
        <v>2713620</v>
      </c>
      <c r="H32" s="1037">
        <f>'HK UP KEEP, OP '!AI30</f>
        <v>0</v>
      </c>
      <c r="I32" s="1037">
        <f t="shared" si="27"/>
        <v>0</v>
      </c>
      <c r="J32" s="1037">
        <f>'HK UP KEEP, OP '!AJ30</f>
        <v>1</v>
      </c>
      <c r="K32" s="1037">
        <f t="shared" si="28"/>
        <v>129220</v>
      </c>
      <c r="L32" s="1037">
        <f>'HK UP KEEP, OP '!AK30</f>
        <v>2</v>
      </c>
      <c r="M32" s="1037">
        <f t="shared" si="29"/>
        <v>258440</v>
      </c>
      <c r="N32" s="1037">
        <f>'HK UP KEEP, OP '!AL30</f>
        <v>4</v>
      </c>
      <c r="O32" s="1037">
        <f t="shared" si="30"/>
        <v>516880</v>
      </c>
      <c r="P32" s="1037">
        <f>'HK UP KEEP, OP '!AM30</f>
        <v>3</v>
      </c>
      <c r="Q32" s="1037">
        <f t="shared" si="31"/>
        <v>387660</v>
      </c>
      <c r="R32" s="1037">
        <f>'HK UP KEEP, OP '!AN30</f>
        <v>0</v>
      </c>
      <c r="S32" s="1037">
        <f t="shared" si="32"/>
        <v>0</v>
      </c>
      <c r="T32" s="1037">
        <f>'HK UP KEEP, OP '!AO30+'HK UP KEEP, OP '!AP30+'HK UP KEEP, OP '!AQ30</f>
        <v>0</v>
      </c>
      <c r="U32" s="1037">
        <f t="shared" si="33"/>
        <v>0</v>
      </c>
      <c r="V32" s="1037">
        <f t="shared" si="8"/>
        <v>31</v>
      </c>
      <c r="W32" s="1145">
        <v>2250</v>
      </c>
      <c r="X32" s="1037">
        <f t="shared" si="9"/>
        <v>69750</v>
      </c>
      <c r="Y32" s="1037"/>
      <c r="Z32" s="1037"/>
      <c r="AA32" s="1037">
        <f t="shared" si="34"/>
        <v>0</v>
      </c>
      <c r="AB32" s="1037">
        <v>2500</v>
      </c>
      <c r="AC32" s="1037">
        <f>'MASA KERJA AB'!H31</f>
        <v>16</v>
      </c>
      <c r="AD32" s="1303">
        <f>'MASA KERJA AB'!I31</f>
        <v>43500</v>
      </c>
      <c r="AE32" s="1146"/>
      <c r="AF32" s="1037"/>
      <c r="AG32" s="1037"/>
      <c r="AH32" s="1144"/>
      <c r="AI32" s="1037"/>
      <c r="AJ32" s="1144"/>
      <c r="AK32" s="1148"/>
      <c r="AL32" s="1037"/>
      <c r="AM32" s="1037"/>
      <c r="AN32" s="1037"/>
      <c r="AO32" s="1147">
        <f t="shared" si="10"/>
        <v>4119070</v>
      </c>
      <c r="AP32" s="1037">
        <f t="shared" si="20"/>
        <v>77532</v>
      </c>
      <c r="AQ32" s="1037">
        <f t="shared" si="21"/>
        <v>175997.64</v>
      </c>
      <c r="AR32" s="1037">
        <f t="shared" si="35"/>
        <v>253529.64</v>
      </c>
      <c r="AS32" s="1037">
        <f t="shared" si="22"/>
        <v>39201</v>
      </c>
      <c r="AT32" s="1037">
        <f t="shared" si="23"/>
        <v>156804</v>
      </c>
      <c r="AU32" s="1037">
        <f t="shared" si="24"/>
        <v>38766</v>
      </c>
      <c r="AV32" s="1037">
        <f t="shared" si="25"/>
        <v>77532</v>
      </c>
      <c r="AW32" s="1037">
        <f t="shared" si="36"/>
        <v>312303</v>
      </c>
      <c r="AX32" s="1303">
        <v>4000</v>
      </c>
      <c r="AY32" s="1145">
        <v>0</v>
      </c>
      <c r="AZ32" s="1037">
        <f t="shared" si="13"/>
        <v>0</v>
      </c>
      <c r="BA32" s="1037"/>
      <c r="BB32" s="1037"/>
      <c r="BC32" s="1386">
        <f t="shared" si="14"/>
        <v>3959571</v>
      </c>
      <c r="BD32" s="1037">
        <f>'HK UP KEEP, OP '!AS30</f>
        <v>0</v>
      </c>
      <c r="BE32" s="1262">
        <f>'HK UP KEEP, OP '!AT30</f>
        <v>0</v>
      </c>
      <c r="BG32" s="765">
        <f t="shared" si="15"/>
        <v>4005820</v>
      </c>
      <c r="BH32" s="766">
        <f t="shared" si="16"/>
        <v>0</v>
      </c>
      <c r="BI32" s="766">
        <f t="shared" si="17"/>
        <v>0</v>
      </c>
      <c r="BJ32" s="765">
        <f t="shared" si="18"/>
        <v>0</v>
      </c>
      <c r="BK32" s="767">
        <f t="shared" si="26"/>
        <v>4005820</v>
      </c>
      <c r="BM32" s="767">
        <f t="shared" si="38"/>
        <v>113250</v>
      </c>
      <c r="BN32" s="765">
        <v>30575.999999999996</v>
      </c>
      <c r="BO32" s="765">
        <f t="shared" si="19"/>
        <v>565832.64</v>
      </c>
    </row>
    <row r="33" spans="1:71" ht="36.75" customHeight="1">
      <c r="A33" s="811" t="s">
        <v>86</v>
      </c>
      <c r="B33" s="812" t="s">
        <v>36</v>
      </c>
      <c r="C33" s="813" t="s">
        <v>133</v>
      </c>
      <c r="D33" s="814" t="s">
        <v>115</v>
      </c>
      <c r="E33" s="1037">
        <f>'HK UP KEEP, OP '!AH31</f>
        <v>24</v>
      </c>
      <c r="F33" s="953">
        <v>129220</v>
      </c>
      <c r="G33" s="1144">
        <f t="shared" si="39"/>
        <v>3101280</v>
      </c>
      <c r="H33" s="1037">
        <f>'HK UP KEEP, OP '!AI31</f>
        <v>0</v>
      </c>
      <c r="I33" s="1037">
        <f t="shared" si="27"/>
        <v>0</v>
      </c>
      <c r="J33" s="1037">
        <f>'HK UP KEEP, OP '!AJ31</f>
        <v>0</v>
      </c>
      <c r="K33" s="1037">
        <f t="shared" si="28"/>
        <v>0</v>
      </c>
      <c r="L33" s="1037">
        <f>'HK UP KEEP, OP '!AK31</f>
        <v>0</v>
      </c>
      <c r="M33" s="1037">
        <f t="shared" si="29"/>
        <v>0</v>
      </c>
      <c r="N33" s="1037">
        <f>'HK UP KEEP, OP '!AL31</f>
        <v>4</v>
      </c>
      <c r="O33" s="1037">
        <f t="shared" si="30"/>
        <v>516880</v>
      </c>
      <c r="P33" s="1037">
        <f>'HK UP KEEP, OP '!AM31</f>
        <v>3</v>
      </c>
      <c r="Q33" s="1037">
        <f t="shared" si="31"/>
        <v>387660</v>
      </c>
      <c r="R33" s="1037">
        <f>'HK UP KEEP, OP '!AN31</f>
        <v>0</v>
      </c>
      <c r="S33" s="1037">
        <f t="shared" si="32"/>
        <v>0</v>
      </c>
      <c r="T33" s="1037">
        <f>'HK UP KEEP, OP '!AO31+'HK UP KEEP, OP '!AP31+'HK UP KEEP, OP '!AQ31</f>
        <v>0</v>
      </c>
      <c r="U33" s="1037">
        <f t="shared" si="33"/>
        <v>0</v>
      </c>
      <c r="V33" s="1037">
        <f t="shared" si="8"/>
        <v>31</v>
      </c>
      <c r="W33" s="1145">
        <v>4650</v>
      </c>
      <c r="X33" s="1037">
        <f t="shared" si="9"/>
        <v>144150</v>
      </c>
      <c r="Y33" s="1037"/>
      <c r="Z33" s="1037"/>
      <c r="AA33" s="1037">
        <f t="shared" si="34"/>
        <v>0</v>
      </c>
      <c r="AB33" s="1265">
        <v>2500</v>
      </c>
      <c r="AC33" s="1037">
        <f>'MASA KERJA AB'!H32</f>
        <v>16</v>
      </c>
      <c r="AD33" s="1303">
        <f>'MASA KERJA AB'!I32</f>
        <v>43500</v>
      </c>
      <c r="AE33" s="1146"/>
      <c r="AF33" s="1037"/>
      <c r="AG33" s="1037"/>
      <c r="AH33" s="1261"/>
      <c r="AI33" s="1037"/>
      <c r="AJ33" s="1261">
        <f>'LEMBUR DAN PREMI UPKEEP'!AJ109</f>
        <v>0</v>
      </c>
      <c r="AK33" s="1306">
        <v>189000</v>
      </c>
      <c r="AL33" s="1037"/>
      <c r="AM33" s="1037"/>
      <c r="AN33" s="1037"/>
      <c r="AO33" s="1147">
        <f t="shared" si="10"/>
        <v>4382470</v>
      </c>
      <c r="AP33" s="1037">
        <f t="shared" si="20"/>
        <v>77532</v>
      </c>
      <c r="AQ33" s="1037">
        <f t="shared" si="21"/>
        <v>175997.64</v>
      </c>
      <c r="AR33" s="1037">
        <f t="shared" si="35"/>
        <v>253529.64</v>
      </c>
      <c r="AS33" s="1037">
        <f t="shared" si="22"/>
        <v>39201</v>
      </c>
      <c r="AT33" s="1037">
        <f t="shared" si="23"/>
        <v>156804</v>
      </c>
      <c r="AU33" s="1037">
        <f t="shared" si="24"/>
        <v>38766</v>
      </c>
      <c r="AV33" s="1037">
        <f t="shared" si="25"/>
        <v>77532</v>
      </c>
      <c r="AW33" s="1037">
        <f t="shared" si="36"/>
        <v>312303</v>
      </c>
      <c r="AX33" s="1303">
        <v>4000</v>
      </c>
      <c r="AY33" s="1145">
        <v>0</v>
      </c>
      <c r="AZ33" s="1037">
        <f t="shared" si="13"/>
        <v>0</v>
      </c>
      <c r="BA33" s="1037"/>
      <c r="BB33" s="1037"/>
      <c r="BC33" s="1386">
        <f t="shared" si="14"/>
        <v>4222971</v>
      </c>
      <c r="BD33" s="1037">
        <f>'HK UP KEEP, OP '!AS31</f>
        <v>0</v>
      </c>
      <c r="BE33" s="1262">
        <f>'HK UP KEEP, OP '!AT31</f>
        <v>0</v>
      </c>
      <c r="BG33" s="765">
        <f t="shared" si="15"/>
        <v>4005820</v>
      </c>
      <c r="BH33" s="766">
        <f t="shared" si="16"/>
        <v>0</v>
      </c>
      <c r="BI33" s="766">
        <f t="shared" si="17"/>
        <v>0</v>
      </c>
      <c r="BJ33" s="765">
        <f t="shared" si="18"/>
        <v>0</v>
      </c>
      <c r="BK33" s="767">
        <f t="shared" si="26"/>
        <v>4005820</v>
      </c>
      <c r="BM33" s="767">
        <f t="shared" si="38"/>
        <v>376650</v>
      </c>
      <c r="BN33" s="765">
        <v>30575.999999999996</v>
      </c>
      <c r="BO33" s="765">
        <f t="shared" si="19"/>
        <v>565832.64</v>
      </c>
    </row>
    <row r="34" spans="1:71" ht="36.75" customHeight="1">
      <c r="A34" s="811" t="s">
        <v>91</v>
      </c>
      <c r="B34" s="812" t="s">
        <v>36</v>
      </c>
      <c r="C34" s="813" t="s">
        <v>145</v>
      </c>
      <c r="D34" s="814" t="s">
        <v>137</v>
      </c>
      <c r="E34" s="1037">
        <f>'HK UP KEEP, OP '!AH32</f>
        <v>24</v>
      </c>
      <c r="F34" s="953">
        <v>129220</v>
      </c>
      <c r="G34" s="1144">
        <f t="shared" si="39"/>
        <v>3101280</v>
      </c>
      <c r="H34" s="1037">
        <f>'HK UP KEEP, OP '!AI32</f>
        <v>0</v>
      </c>
      <c r="I34" s="1037">
        <f t="shared" si="27"/>
        <v>0</v>
      </c>
      <c r="J34" s="1037">
        <f>'HK UP KEEP, OP '!AJ32</f>
        <v>0</v>
      </c>
      <c r="K34" s="1037">
        <f t="shared" si="28"/>
        <v>0</v>
      </c>
      <c r="L34" s="1037">
        <f>'HK UP KEEP, OP '!AK32</f>
        <v>0</v>
      </c>
      <c r="M34" s="1037">
        <f t="shared" si="29"/>
        <v>0</v>
      </c>
      <c r="N34" s="1037">
        <f>'HK UP KEEP, OP '!AL32</f>
        <v>4</v>
      </c>
      <c r="O34" s="1037">
        <f t="shared" si="30"/>
        <v>516880</v>
      </c>
      <c r="P34" s="1037">
        <f>'HK UP KEEP, OP '!AM32</f>
        <v>3</v>
      </c>
      <c r="Q34" s="1037">
        <f t="shared" si="31"/>
        <v>387660</v>
      </c>
      <c r="R34" s="1037">
        <f>'HK UP KEEP, OP '!AN32</f>
        <v>0</v>
      </c>
      <c r="S34" s="1037">
        <f t="shared" si="32"/>
        <v>0</v>
      </c>
      <c r="T34" s="1037">
        <f>'HK UP KEEP, OP '!AO32+'HK UP KEEP, OP '!AP32+'HK UP KEEP, OP '!AQ32</f>
        <v>0</v>
      </c>
      <c r="U34" s="1037">
        <f t="shared" si="33"/>
        <v>0</v>
      </c>
      <c r="V34" s="1037">
        <f t="shared" si="8"/>
        <v>31</v>
      </c>
      <c r="W34" s="1037">
        <v>4650</v>
      </c>
      <c r="X34" s="1037">
        <f t="shared" si="9"/>
        <v>144150</v>
      </c>
      <c r="Y34" s="1037"/>
      <c r="Z34" s="1037"/>
      <c r="AA34" s="1037">
        <f t="shared" si="34"/>
        <v>0</v>
      </c>
      <c r="AB34" s="1037">
        <v>2500</v>
      </c>
      <c r="AC34" s="1037">
        <f>'MASA KERJA AB'!H33</f>
        <v>8</v>
      </c>
      <c r="AD34" s="1303">
        <f>'MASA KERJA AB'!I33</f>
        <v>18000</v>
      </c>
      <c r="AE34" s="1146">
        <f>'LEMBUR DAN PREMI UPKEEP'!AJ24</f>
        <v>0</v>
      </c>
      <c r="AF34" s="1149">
        <f>'MONITORING '!AK381</f>
        <v>0</v>
      </c>
      <c r="AG34" s="1037">
        <f>'MONITORING '!AK382</f>
        <v>1750</v>
      </c>
      <c r="AH34" s="1272"/>
      <c r="AI34" s="1273"/>
      <c r="AJ34" s="1144"/>
      <c r="AK34" s="1307">
        <v>60000</v>
      </c>
      <c r="AL34" s="1037"/>
      <c r="AM34" s="1145"/>
      <c r="AN34" s="1145"/>
      <c r="AO34" s="1147">
        <f t="shared" si="10"/>
        <v>4229720</v>
      </c>
      <c r="AP34" s="1037">
        <f t="shared" si="20"/>
        <v>77532</v>
      </c>
      <c r="AQ34" s="1037">
        <f t="shared" si="21"/>
        <v>175997.64</v>
      </c>
      <c r="AR34" s="1037">
        <f t="shared" si="35"/>
        <v>253529.64</v>
      </c>
      <c r="AS34" s="1037">
        <f t="shared" si="22"/>
        <v>38946</v>
      </c>
      <c r="AT34" s="1037">
        <f t="shared" si="23"/>
        <v>155784</v>
      </c>
      <c r="AU34" s="1037">
        <f t="shared" si="24"/>
        <v>38766</v>
      </c>
      <c r="AV34" s="1037">
        <f t="shared" si="25"/>
        <v>77532</v>
      </c>
      <c r="AW34" s="1037">
        <f t="shared" si="36"/>
        <v>311028</v>
      </c>
      <c r="AX34" s="1303">
        <v>4000</v>
      </c>
      <c r="AY34" s="1145">
        <v>0</v>
      </c>
      <c r="AZ34" s="1037">
        <f t="shared" si="13"/>
        <v>0</v>
      </c>
      <c r="BA34" s="1145"/>
      <c r="BB34" s="1037"/>
      <c r="BC34" s="1386">
        <f t="shared" si="14"/>
        <v>4070476</v>
      </c>
      <c r="BD34" s="1037">
        <f>'HK UP KEEP, OP '!AS32</f>
        <v>0</v>
      </c>
      <c r="BE34" s="1262">
        <f>'HK UP KEEP, OP '!AT32</f>
        <v>0</v>
      </c>
      <c r="BG34" s="765">
        <f t="shared" si="15"/>
        <v>4005820</v>
      </c>
      <c r="BH34" s="766">
        <f t="shared" si="16"/>
        <v>0</v>
      </c>
      <c r="BI34" s="766">
        <f t="shared" si="17"/>
        <v>0</v>
      </c>
      <c r="BJ34" s="765">
        <f t="shared" si="18"/>
        <v>0</v>
      </c>
      <c r="BK34" s="767">
        <f t="shared" si="26"/>
        <v>4005820</v>
      </c>
      <c r="BM34" s="767">
        <f t="shared" si="38"/>
        <v>223900</v>
      </c>
      <c r="BN34" s="765">
        <v>30575.999999999996</v>
      </c>
      <c r="BO34" s="765">
        <f t="shared" si="19"/>
        <v>564557.64</v>
      </c>
    </row>
    <row r="35" spans="1:71" ht="36.75" customHeight="1">
      <c r="A35" s="811" t="s">
        <v>92</v>
      </c>
      <c r="B35" s="815" t="s">
        <v>37</v>
      </c>
      <c r="C35" s="813" t="s">
        <v>211</v>
      </c>
      <c r="D35" s="814" t="s">
        <v>212</v>
      </c>
      <c r="E35" s="1037">
        <f>'HK UP KEEP, OP '!AH33</f>
        <v>20</v>
      </c>
      <c r="F35" s="953">
        <v>129220</v>
      </c>
      <c r="G35" s="1144">
        <f t="shared" si="39"/>
        <v>2584400</v>
      </c>
      <c r="H35" s="1037">
        <f>'HK UP KEEP, OP '!AI33</f>
        <v>1</v>
      </c>
      <c r="I35" s="1037">
        <f t="shared" si="27"/>
        <v>129220</v>
      </c>
      <c r="J35" s="1037">
        <f>'HK UP KEEP, OP '!AJ33</f>
        <v>1</v>
      </c>
      <c r="K35" s="1037">
        <f t="shared" si="28"/>
        <v>129220</v>
      </c>
      <c r="L35" s="1037">
        <f>'HK UP KEEP, OP '!AK33</f>
        <v>2</v>
      </c>
      <c r="M35" s="1037">
        <f t="shared" si="29"/>
        <v>258440</v>
      </c>
      <c r="N35" s="1037">
        <f>'HK UP KEEP, OP '!AL33</f>
        <v>4</v>
      </c>
      <c r="O35" s="1037">
        <f t="shared" si="30"/>
        <v>516880</v>
      </c>
      <c r="P35" s="1037">
        <f>'HK UP KEEP, OP '!AM33</f>
        <v>3</v>
      </c>
      <c r="Q35" s="1037">
        <f t="shared" si="31"/>
        <v>387660</v>
      </c>
      <c r="R35" s="1037">
        <f>'HK UP KEEP, OP '!AN33</f>
        <v>0</v>
      </c>
      <c r="S35" s="1037">
        <f t="shared" si="32"/>
        <v>0</v>
      </c>
      <c r="T35" s="1037">
        <f>'HK UP KEEP, OP '!AO33+'HK UP KEEP, OP '!AP33+'HK UP KEEP, OP '!AQ33</f>
        <v>0</v>
      </c>
      <c r="U35" s="1037">
        <f t="shared" si="33"/>
        <v>0</v>
      </c>
      <c r="V35" s="1037">
        <f t="shared" si="8"/>
        <v>31</v>
      </c>
      <c r="W35" s="1037">
        <v>2250</v>
      </c>
      <c r="X35" s="1037">
        <f t="shared" si="9"/>
        <v>69750</v>
      </c>
      <c r="Y35" s="1037"/>
      <c r="Z35" s="1037"/>
      <c r="AA35" s="1037">
        <f t="shared" si="34"/>
        <v>0</v>
      </c>
      <c r="AB35" s="1037">
        <v>2500</v>
      </c>
      <c r="AC35" s="1037">
        <f>'MASA KERJA AB'!H34</f>
        <v>16</v>
      </c>
      <c r="AD35" s="1303">
        <f>'MASA KERJA AB'!I34</f>
        <v>47000</v>
      </c>
      <c r="AE35" s="1145"/>
      <c r="AF35" s="1037"/>
      <c r="AG35" s="1037"/>
      <c r="AH35" s="1037"/>
      <c r="AI35" s="1037"/>
      <c r="AJ35" s="1037"/>
      <c r="AK35" s="1266"/>
      <c r="AL35" s="1037"/>
      <c r="AM35" s="1037"/>
      <c r="AN35" s="1037"/>
      <c r="AO35" s="1147">
        <f t="shared" si="10"/>
        <v>4122570</v>
      </c>
      <c r="AP35" s="1037">
        <f t="shared" si="20"/>
        <v>77532</v>
      </c>
      <c r="AQ35" s="1037">
        <f t="shared" si="21"/>
        <v>175997.64</v>
      </c>
      <c r="AR35" s="1037">
        <f t="shared" si="35"/>
        <v>253529.64</v>
      </c>
      <c r="AS35" s="1037">
        <f t="shared" si="22"/>
        <v>39236</v>
      </c>
      <c r="AT35" s="1037">
        <f t="shared" si="23"/>
        <v>156944</v>
      </c>
      <c r="AU35" s="1037">
        <f t="shared" si="24"/>
        <v>38766</v>
      </c>
      <c r="AV35" s="1037">
        <f t="shared" si="25"/>
        <v>77532</v>
      </c>
      <c r="AW35" s="1037">
        <f t="shared" si="36"/>
        <v>312478</v>
      </c>
      <c r="AX35" s="1303">
        <v>4000</v>
      </c>
      <c r="AY35" s="1145">
        <v>0</v>
      </c>
      <c r="AZ35" s="1037">
        <f t="shared" si="13"/>
        <v>0</v>
      </c>
      <c r="BA35" s="1037"/>
      <c r="BB35" s="1037"/>
      <c r="BC35" s="1386">
        <f t="shared" si="14"/>
        <v>3963036</v>
      </c>
      <c r="BD35" s="1037">
        <f>'HK UP KEEP, OP '!AS33</f>
        <v>0</v>
      </c>
      <c r="BE35" s="1262">
        <f>'HK UP KEEP, OP '!AT33</f>
        <v>0</v>
      </c>
      <c r="BG35" s="765">
        <f t="shared" si="15"/>
        <v>4005820</v>
      </c>
      <c r="BH35" s="766">
        <f t="shared" si="16"/>
        <v>0</v>
      </c>
      <c r="BI35" s="766">
        <f t="shared" si="17"/>
        <v>0</v>
      </c>
      <c r="BJ35" s="765">
        <f t="shared" si="18"/>
        <v>0</v>
      </c>
      <c r="BK35" s="767">
        <f t="shared" si="26"/>
        <v>4005820</v>
      </c>
      <c r="BM35" s="767">
        <f t="shared" si="38"/>
        <v>116750</v>
      </c>
      <c r="BN35" s="765">
        <v>30575.999999999996</v>
      </c>
      <c r="BO35" s="765">
        <f t="shared" si="19"/>
        <v>566007.64</v>
      </c>
    </row>
    <row r="36" spans="1:71" ht="36.75" customHeight="1">
      <c r="A36" s="811" t="s">
        <v>93</v>
      </c>
      <c r="B36" s="815" t="s">
        <v>37</v>
      </c>
      <c r="C36" s="813" t="s">
        <v>419</v>
      </c>
      <c r="D36" s="814" t="s">
        <v>375</v>
      </c>
      <c r="E36" s="1037">
        <f>'HK UP KEEP, OP '!AH34</f>
        <v>21</v>
      </c>
      <c r="F36" s="953">
        <v>129220</v>
      </c>
      <c r="G36" s="1144">
        <f t="shared" si="39"/>
        <v>2713620</v>
      </c>
      <c r="H36" s="1037">
        <f>'HK UP KEEP, OP '!AI34</f>
        <v>0</v>
      </c>
      <c r="I36" s="1037">
        <f t="shared" si="27"/>
        <v>0</v>
      </c>
      <c r="J36" s="1037">
        <f>'HK UP KEEP, OP '!AJ34</f>
        <v>1</v>
      </c>
      <c r="K36" s="1037">
        <f t="shared" si="28"/>
        <v>129220</v>
      </c>
      <c r="L36" s="1037">
        <f>'HK UP KEEP, OP '!AK34</f>
        <v>2</v>
      </c>
      <c r="M36" s="1037">
        <f t="shared" si="29"/>
        <v>258440</v>
      </c>
      <c r="N36" s="1037">
        <f>'HK UP KEEP, OP '!AL34</f>
        <v>4</v>
      </c>
      <c r="O36" s="1037">
        <f t="shared" si="30"/>
        <v>516880</v>
      </c>
      <c r="P36" s="1037">
        <f>'HK UP KEEP, OP '!AM34</f>
        <v>3</v>
      </c>
      <c r="Q36" s="1037">
        <f t="shared" si="31"/>
        <v>387660</v>
      </c>
      <c r="R36" s="1037">
        <f>'HK UP KEEP, OP '!AN34</f>
        <v>0</v>
      </c>
      <c r="S36" s="1037">
        <f t="shared" si="32"/>
        <v>0</v>
      </c>
      <c r="T36" s="1037">
        <f>'HK UP KEEP, OP '!AO34+'HK UP KEEP, OP '!AP34+'HK UP KEEP, OP '!AQ34</f>
        <v>0</v>
      </c>
      <c r="U36" s="1037">
        <f t="shared" si="33"/>
        <v>0</v>
      </c>
      <c r="V36" s="1037">
        <f t="shared" si="8"/>
        <v>31</v>
      </c>
      <c r="W36" s="1037">
        <v>2250</v>
      </c>
      <c r="X36" s="1037">
        <f t="shared" si="9"/>
        <v>69750</v>
      </c>
      <c r="Y36" s="1037"/>
      <c r="Z36" s="1037"/>
      <c r="AA36" s="1037">
        <f t="shared" si="34"/>
        <v>0</v>
      </c>
      <c r="AB36" s="1037">
        <v>2500</v>
      </c>
      <c r="AC36" s="1037">
        <f>'MASA KERJA AB'!H35</f>
        <v>15</v>
      </c>
      <c r="AD36" s="1303">
        <f>'MASA KERJA AB'!I35</f>
        <v>40000</v>
      </c>
      <c r="AE36" s="1145"/>
      <c r="AF36" s="1037"/>
      <c r="AG36" s="1037"/>
      <c r="AH36" s="1037"/>
      <c r="AI36" s="1037"/>
      <c r="AJ36" s="1037"/>
      <c r="AK36" s="1266"/>
      <c r="AL36" s="1037"/>
      <c r="AM36" s="1037"/>
      <c r="AN36" s="1037"/>
      <c r="AO36" s="1147">
        <f t="shared" si="10"/>
        <v>4115570</v>
      </c>
      <c r="AP36" s="1037">
        <f t="shared" si="20"/>
        <v>77532</v>
      </c>
      <c r="AQ36" s="1037">
        <f t="shared" si="21"/>
        <v>175997.64</v>
      </c>
      <c r="AR36" s="1037">
        <f t="shared" si="35"/>
        <v>253529.64</v>
      </c>
      <c r="AS36" s="1037">
        <f t="shared" si="22"/>
        <v>39166</v>
      </c>
      <c r="AT36" s="1037">
        <f t="shared" si="23"/>
        <v>156664</v>
      </c>
      <c r="AU36" s="1037">
        <f t="shared" si="24"/>
        <v>38766</v>
      </c>
      <c r="AV36" s="1037">
        <f t="shared" si="25"/>
        <v>77532</v>
      </c>
      <c r="AW36" s="1037">
        <f t="shared" si="36"/>
        <v>312128</v>
      </c>
      <c r="AX36" s="1303">
        <v>4000</v>
      </c>
      <c r="AY36" s="1145">
        <v>0</v>
      </c>
      <c r="AZ36" s="1037">
        <f t="shared" si="13"/>
        <v>0</v>
      </c>
      <c r="BA36" s="1037"/>
      <c r="BB36" s="1037"/>
      <c r="BC36" s="1386">
        <f t="shared" si="14"/>
        <v>3956106</v>
      </c>
      <c r="BD36" s="1037">
        <f>'HK UP KEEP, OP '!AS34</f>
        <v>0</v>
      </c>
      <c r="BE36" s="1262">
        <f>'HK UP KEEP, OP '!AT34</f>
        <v>0</v>
      </c>
      <c r="BG36" s="765">
        <f t="shared" si="15"/>
        <v>4005820</v>
      </c>
      <c r="BH36" s="766">
        <f t="shared" si="16"/>
        <v>0</v>
      </c>
      <c r="BI36" s="766">
        <f t="shared" si="17"/>
        <v>0</v>
      </c>
      <c r="BJ36" s="765">
        <f t="shared" si="18"/>
        <v>0</v>
      </c>
      <c r="BK36" s="767">
        <f t="shared" si="26"/>
        <v>4005820</v>
      </c>
      <c r="BM36" s="767">
        <f t="shared" si="38"/>
        <v>109750</v>
      </c>
      <c r="BN36" s="765">
        <v>30575.999999999996</v>
      </c>
      <c r="BO36" s="765">
        <f t="shared" si="19"/>
        <v>565657.64</v>
      </c>
    </row>
    <row r="37" spans="1:71" ht="36.75" customHeight="1">
      <c r="A37" s="811" t="s">
        <v>94</v>
      </c>
      <c r="B37" s="815" t="s">
        <v>37</v>
      </c>
      <c r="C37" s="813" t="s">
        <v>420</v>
      </c>
      <c r="D37" s="814" t="s">
        <v>376</v>
      </c>
      <c r="E37" s="1037">
        <f>'HK UP KEEP, OP '!AH35</f>
        <v>20</v>
      </c>
      <c r="F37" s="953">
        <v>129220</v>
      </c>
      <c r="G37" s="1144">
        <f t="shared" si="39"/>
        <v>2584400</v>
      </c>
      <c r="H37" s="1037">
        <f>'HK UP KEEP, OP '!AI35</f>
        <v>1</v>
      </c>
      <c r="I37" s="1037">
        <f t="shared" si="27"/>
        <v>129220</v>
      </c>
      <c r="J37" s="1037">
        <f>'HK UP KEEP, OP '!AJ35</f>
        <v>1</v>
      </c>
      <c r="K37" s="1037">
        <f t="shared" si="28"/>
        <v>129220</v>
      </c>
      <c r="L37" s="1037">
        <f>'HK UP KEEP, OP '!AK35</f>
        <v>2</v>
      </c>
      <c r="M37" s="1037">
        <f t="shared" si="29"/>
        <v>258440</v>
      </c>
      <c r="N37" s="1037">
        <f>'HK UP KEEP, OP '!AL35</f>
        <v>4</v>
      </c>
      <c r="O37" s="1037">
        <f t="shared" si="30"/>
        <v>516880</v>
      </c>
      <c r="P37" s="1037">
        <f>'HK UP KEEP, OP '!AM35</f>
        <v>3</v>
      </c>
      <c r="Q37" s="1037">
        <f t="shared" si="31"/>
        <v>387660</v>
      </c>
      <c r="R37" s="1037">
        <f>'HK UP KEEP, OP '!AN35</f>
        <v>0</v>
      </c>
      <c r="S37" s="1037">
        <f t="shared" si="32"/>
        <v>0</v>
      </c>
      <c r="T37" s="1037">
        <f>'HK UP KEEP, OP '!AO35+'HK UP KEEP, OP '!AP35+'HK UP KEEP, OP '!AQ35</f>
        <v>0</v>
      </c>
      <c r="U37" s="1037">
        <f t="shared" si="33"/>
        <v>0</v>
      </c>
      <c r="V37" s="1037">
        <f t="shared" si="8"/>
        <v>31</v>
      </c>
      <c r="W37" s="1037">
        <v>2250</v>
      </c>
      <c r="X37" s="1037">
        <f t="shared" si="9"/>
        <v>69750</v>
      </c>
      <c r="Y37" s="1037"/>
      <c r="Z37" s="1037"/>
      <c r="AA37" s="1037">
        <f t="shared" si="34"/>
        <v>0</v>
      </c>
      <c r="AB37" s="1037">
        <v>2500</v>
      </c>
      <c r="AC37" s="1037">
        <f>'MASA KERJA AB'!H36</f>
        <v>9</v>
      </c>
      <c r="AD37" s="1303">
        <f>'MASA KERJA AB'!I36</f>
        <v>24000</v>
      </c>
      <c r="AE37" s="1145"/>
      <c r="AF37" s="1037"/>
      <c r="AG37" s="1037"/>
      <c r="AH37" s="1037"/>
      <c r="AI37" s="1037"/>
      <c r="AJ37" s="1037"/>
      <c r="AK37" s="1266"/>
      <c r="AL37" s="1037"/>
      <c r="AM37" s="1037"/>
      <c r="AN37" s="1037"/>
      <c r="AO37" s="1147">
        <f t="shared" si="10"/>
        <v>4099570</v>
      </c>
      <c r="AP37" s="1037">
        <f t="shared" si="20"/>
        <v>77532</v>
      </c>
      <c r="AQ37" s="1037">
        <f t="shared" si="21"/>
        <v>175997.64</v>
      </c>
      <c r="AR37" s="1037">
        <f t="shared" si="35"/>
        <v>253529.64</v>
      </c>
      <c r="AS37" s="1037">
        <f t="shared" si="22"/>
        <v>39006</v>
      </c>
      <c r="AT37" s="1037">
        <f t="shared" si="23"/>
        <v>156024</v>
      </c>
      <c r="AU37" s="1037">
        <f t="shared" si="24"/>
        <v>38766</v>
      </c>
      <c r="AV37" s="1037">
        <f t="shared" si="25"/>
        <v>77532</v>
      </c>
      <c r="AW37" s="1037">
        <f t="shared" si="36"/>
        <v>311328</v>
      </c>
      <c r="AX37" s="1303">
        <v>4000</v>
      </c>
      <c r="AY37" s="1145">
        <v>0</v>
      </c>
      <c r="AZ37" s="1037">
        <f t="shared" si="13"/>
        <v>0</v>
      </c>
      <c r="BA37" s="1037"/>
      <c r="BB37" s="1037"/>
      <c r="BC37" s="1386">
        <f t="shared" si="14"/>
        <v>3940266</v>
      </c>
      <c r="BD37" s="1037">
        <f>'HK UP KEEP, OP '!AS35</f>
        <v>0</v>
      </c>
      <c r="BE37" s="1262">
        <f>'HK UP KEEP, OP '!AT35</f>
        <v>0</v>
      </c>
      <c r="BG37" s="765">
        <f t="shared" si="15"/>
        <v>4005820</v>
      </c>
      <c r="BH37" s="766">
        <f t="shared" si="16"/>
        <v>0</v>
      </c>
      <c r="BI37" s="766">
        <f t="shared" si="17"/>
        <v>0</v>
      </c>
      <c r="BJ37" s="765">
        <f t="shared" si="18"/>
        <v>0</v>
      </c>
      <c r="BK37" s="767">
        <f t="shared" si="26"/>
        <v>4005820</v>
      </c>
      <c r="BM37" s="767">
        <f t="shared" si="38"/>
        <v>93750</v>
      </c>
      <c r="BN37" s="765">
        <v>30575.999999999996</v>
      </c>
      <c r="BO37" s="765">
        <f t="shared" si="19"/>
        <v>564857.64</v>
      </c>
    </row>
    <row r="38" spans="1:71" ht="36.75" customHeight="1">
      <c r="A38" s="811" t="s">
        <v>95</v>
      </c>
      <c r="B38" s="815" t="s">
        <v>36</v>
      </c>
      <c r="C38" s="813" t="s">
        <v>421</v>
      </c>
      <c r="D38" s="814" t="s">
        <v>377</v>
      </c>
      <c r="E38" s="1037">
        <f>'HK UP KEEP, OP '!AH36</f>
        <v>18</v>
      </c>
      <c r="F38" s="953">
        <v>129220</v>
      </c>
      <c r="G38" s="1144">
        <f t="shared" si="39"/>
        <v>2325960</v>
      </c>
      <c r="H38" s="1037">
        <f>'HK UP KEEP, OP '!AI36</f>
        <v>1</v>
      </c>
      <c r="I38" s="1037">
        <f t="shared" si="27"/>
        <v>129220</v>
      </c>
      <c r="J38" s="1037">
        <f>'HK UP KEEP, OP '!AJ36</f>
        <v>2</v>
      </c>
      <c r="K38" s="1037">
        <f t="shared" si="28"/>
        <v>258440</v>
      </c>
      <c r="L38" s="1037">
        <f>'HK UP KEEP, OP '!AK36</f>
        <v>0</v>
      </c>
      <c r="M38" s="1037">
        <f t="shared" si="29"/>
        <v>0</v>
      </c>
      <c r="N38" s="1037">
        <f>'HK UP KEEP, OP '!AL36</f>
        <v>4</v>
      </c>
      <c r="O38" s="1037">
        <f t="shared" si="30"/>
        <v>516880</v>
      </c>
      <c r="P38" s="1037">
        <f>'HK UP KEEP, OP '!AM36</f>
        <v>3</v>
      </c>
      <c r="Q38" s="1037">
        <f t="shared" si="31"/>
        <v>387660</v>
      </c>
      <c r="R38" s="1037">
        <f>'HK UP KEEP, OP '!AN36</f>
        <v>0</v>
      </c>
      <c r="S38" s="1037">
        <f t="shared" si="32"/>
        <v>0</v>
      </c>
      <c r="T38" s="1037">
        <f>'HK UP KEEP, OP '!AO36+'HK UP KEEP, OP '!AP36+'HK UP KEEP, OP '!AQ36</f>
        <v>0</v>
      </c>
      <c r="U38" s="1037">
        <f t="shared" si="33"/>
        <v>0</v>
      </c>
      <c r="V38" s="1037">
        <f t="shared" si="8"/>
        <v>28</v>
      </c>
      <c r="W38" s="1037">
        <v>4650</v>
      </c>
      <c r="X38" s="1037">
        <f t="shared" si="9"/>
        <v>130200</v>
      </c>
      <c r="Y38" s="1037"/>
      <c r="Z38" s="1037"/>
      <c r="AA38" s="1037">
        <f t="shared" si="34"/>
        <v>0</v>
      </c>
      <c r="AB38" s="1037">
        <v>2500</v>
      </c>
      <c r="AC38" s="1037">
        <f>'MASA KERJA AB'!H37</f>
        <v>12</v>
      </c>
      <c r="AD38" s="1303">
        <f>'MASA KERJA AB'!I37</f>
        <v>33000</v>
      </c>
      <c r="AE38" s="1145"/>
      <c r="AF38" s="1037"/>
      <c r="AG38" s="1037"/>
      <c r="AH38" s="1037"/>
      <c r="AI38" s="1037"/>
      <c r="AJ38" s="1037">
        <f>'LEMBUR DAN PREMI UPKEEP'!AJ110</f>
        <v>0</v>
      </c>
      <c r="AK38" s="1304">
        <v>126000</v>
      </c>
      <c r="AL38" s="1037"/>
      <c r="AM38" s="1037"/>
      <c r="AN38" s="1037"/>
      <c r="AO38" s="1147">
        <f t="shared" si="10"/>
        <v>3907360</v>
      </c>
      <c r="AP38" s="1037">
        <f t="shared" si="20"/>
        <v>77532</v>
      </c>
      <c r="AQ38" s="1037">
        <f t="shared" si="21"/>
        <v>175997.64</v>
      </c>
      <c r="AR38" s="1037">
        <f t="shared" si="35"/>
        <v>253529.64</v>
      </c>
      <c r="AS38" s="1037">
        <f t="shared" si="22"/>
        <v>39096</v>
      </c>
      <c r="AT38" s="1037">
        <f t="shared" si="23"/>
        <v>156384</v>
      </c>
      <c r="AU38" s="1037">
        <f t="shared" si="24"/>
        <v>38766</v>
      </c>
      <c r="AV38" s="1037">
        <f t="shared" si="25"/>
        <v>77532</v>
      </c>
      <c r="AW38" s="1037">
        <f t="shared" si="36"/>
        <v>311778</v>
      </c>
      <c r="AX38" s="1303">
        <v>4000</v>
      </c>
      <c r="AY38" s="1145">
        <v>0</v>
      </c>
      <c r="AZ38" s="1037">
        <f t="shared" si="13"/>
        <v>0</v>
      </c>
      <c r="BA38" s="1037"/>
      <c r="BB38" s="1037"/>
      <c r="BC38" s="1386">
        <f t="shared" si="14"/>
        <v>3747966</v>
      </c>
      <c r="BD38" s="1037">
        <f>'HK UP KEEP, OP '!AS36</f>
        <v>1</v>
      </c>
      <c r="BE38" s="1262">
        <f>'HK UP KEEP, OP '!AT36</f>
        <v>2</v>
      </c>
      <c r="BG38" s="765">
        <f t="shared" si="15"/>
        <v>3618160</v>
      </c>
      <c r="BH38" s="766">
        <f t="shared" si="16"/>
        <v>129220</v>
      </c>
      <c r="BI38" s="766">
        <f t="shared" si="17"/>
        <v>258440</v>
      </c>
      <c r="BJ38" s="765">
        <f t="shared" si="18"/>
        <v>-387660</v>
      </c>
      <c r="BK38" s="767">
        <f t="shared" si="26"/>
        <v>4005820</v>
      </c>
      <c r="BM38" s="767">
        <f t="shared" si="38"/>
        <v>289200</v>
      </c>
      <c r="BN38" s="765">
        <v>30575.999999999996</v>
      </c>
      <c r="BO38" s="765">
        <f t="shared" si="19"/>
        <v>565307.64</v>
      </c>
    </row>
    <row r="39" spans="1:71" ht="36.75" customHeight="1">
      <c r="A39" s="811" t="s">
        <v>96</v>
      </c>
      <c r="B39" s="815" t="s">
        <v>36</v>
      </c>
      <c r="C39" s="813" t="s">
        <v>422</v>
      </c>
      <c r="D39" s="814" t="s">
        <v>378</v>
      </c>
      <c r="E39" s="1037">
        <f>'HK UP KEEP, OP '!AH37</f>
        <v>3</v>
      </c>
      <c r="F39" s="953">
        <v>129220</v>
      </c>
      <c r="G39" s="1144">
        <f t="shared" si="39"/>
        <v>387660</v>
      </c>
      <c r="H39" s="1037">
        <f>'HK UP KEEP, OP '!AI37</f>
        <v>0</v>
      </c>
      <c r="I39" s="1037">
        <f t="shared" si="27"/>
        <v>0</v>
      </c>
      <c r="J39" s="1037">
        <f>'HK UP KEEP, OP '!AJ37</f>
        <v>0</v>
      </c>
      <c r="K39" s="1037">
        <f t="shared" si="28"/>
        <v>0</v>
      </c>
      <c r="L39" s="1037">
        <f>'HK UP KEEP, OP '!AK37</f>
        <v>0</v>
      </c>
      <c r="M39" s="1037">
        <f t="shared" si="29"/>
        <v>0</v>
      </c>
      <c r="N39" s="1037">
        <f>'HK UP KEEP, OP '!AL37</f>
        <v>1</v>
      </c>
      <c r="O39" s="1037">
        <f t="shared" si="30"/>
        <v>129220</v>
      </c>
      <c r="P39" s="1037">
        <f>'HK UP KEEP, OP '!AM37</f>
        <v>1</v>
      </c>
      <c r="Q39" s="1037">
        <f t="shared" si="31"/>
        <v>129220</v>
      </c>
      <c r="R39" s="1037">
        <f>'HK UP KEEP, OP '!AN37</f>
        <v>0</v>
      </c>
      <c r="S39" s="1037">
        <f t="shared" si="32"/>
        <v>0</v>
      </c>
      <c r="T39" s="1037">
        <f>'HK UP KEEP, OP '!AO37+'HK UP KEEP, OP '!AP37+'HK UP KEEP, OP '!AQ37</f>
        <v>0</v>
      </c>
      <c r="U39" s="1037">
        <f t="shared" si="33"/>
        <v>0</v>
      </c>
      <c r="V39" s="1037">
        <f t="shared" si="8"/>
        <v>5</v>
      </c>
      <c r="W39" s="1037">
        <v>3700</v>
      </c>
      <c r="X39" s="1037">
        <f t="shared" si="9"/>
        <v>18500</v>
      </c>
      <c r="Y39" s="1037"/>
      <c r="Z39" s="1037"/>
      <c r="AA39" s="1037">
        <f t="shared" si="34"/>
        <v>0</v>
      </c>
      <c r="AB39" s="1037">
        <v>2500</v>
      </c>
      <c r="AC39" s="1037">
        <f>'MASA KERJA AB'!H38</f>
        <v>3</v>
      </c>
      <c r="AD39" s="1303">
        <f>'MASA KERJA AB'!I38</f>
        <v>7500</v>
      </c>
      <c r="AE39" s="1145"/>
      <c r="AF39" s="1037"/>
      <c r="AG39" s="1037"/>
      <c r="AH39" s="1037"/>
      <c r="AI39" s="1037"/>
      <c r="AJ39" s="1037"/>
      <c r="AK39" s="1266"/>
      <c r="AL39" s="1037"/>
      <c r="AM39" s="1037"/>
      <c r="AN39" s="1037"/>
      <c r="AO39" s="1147">
        <f t="shared" si="10"/>
        <v>672100</v>
      </c>
      <c r="AP39" s="1037">
        <f t="shared" si="20"/>
        <v>77532</v>
      </c>
      <c r="AQ39" s="1037">
        <f t="shared" si="21"/>
        <v>175997.64</v>
      </c>
      <c r="AR39" s="1037">
        <f t="shared" si="35"/>
        <v>253529.64</v>
      </c>
      <c r="AS39" s="1037">
        <f t="shared" si="22"/>
        <v>38841</v>
      </c>
      <c r="AT39" s="1037">
        <f t="shared" si="23"/>
        <v>155364</v>
      </c>
      <c r="AU39" s="1037">
        <f t="shared" si="24"/>
        <v>38766</v>
      </c>
      <c r="AV39" s="1037">
        <f t="shared" si="25"/>
        <v>77532</v>
      </c>
      <c r="AW39" s="1037">
        <f t="shared" si="36"/>
        <v>310503</v>
      </c>
      <c r="AX39" s="1303">
        <v>4000</v>
      </c>
      <c r="AY39" s="1145">
        <v>0</v>
      </c>
      <c r="AZ39" s="1037">
        <f t="shared" si="13"/>
        <v>0</v>
      </c>
      <c r="BA39" s="1037"/>
      <c r="BB39" s="1037"/>
      <c r="BC39" s="1386">
        <f t="shared" si="14"/>
        <v>512961</v>
      </c>
      <c r="BD39" s="1037">
        <f>'HK UP KEEP, OP '!AS37</f>
        <v>0</v>
      </c>
      <c r="BE39" s="1262">
        <f>'HK UP KEEP, OP '!AT37</f>
        <v>0</v>
      </c>
      <c r="BG39" s="765">
        <f t="shared" si="15"/>
        <v>646100</v>
      </c>
      <c r="BH39" s="766">
        <f t="shared" si="16"/>
        <v>0</v>
      </c>
      <c r="BI39" s="766">
        <f t="shared" si="17"/>
        <v>0</v>
      </c>
      <c r="BJ39" s="765">
        <f t="shared" si="18"/>
        <v>0</v>
      </c>
      <c r="BK39" s="767">
        <f t="shared" si="26"/>
        <v>646100</v>
      </c>
      <c r="BM39" s="767">
        <f t="shared" si="38"/>
        <v>26000</v>
      </c>
      <c r="BN39" s="765">
        <v>30575.999999999996</v>
      </c>
      <c r="BO39" s="765">
        <f t="shared" si="19"/>
        <v>564032.64</v>
      </c>
    </row>
    <row r="40" spans="1:71" ht="36.75" customHeight="1">
      <c r="A40" s="811" t="s">
        <v>364</v>
      </c>
      <c r="B40" s="812" t="s">
        <v>36</v>
      </c>
      <c r="C40" s="813" t="s">
        <v>446</v>
      </c>
      <c r="D40" s="816" t="s">
        <v>444</v>
      </c>
      <c r="E40" s="1037">
        <f>'HK UP KEEP, OP '!AH38</f>
        <v>23</v>
      </c>
      <c r="F40" s="953">
        <v>129220</v>
      </c>
      <c r="G40" s="1144">
        <f t="shared" si="39"/>
        <v>2972060</v>
      </c>
      <c r="H40" s="1037">
        <f>'HK UP KEEP, OP '!AI38</f>
        <v>1</v>
      </c>
      <c r="I40" s="1037">
        <f t="shared" si="27"/>
        <v>129220</v>
      </c>
      <c r="J40" s="1037">
        <f>'HK UP KEEP, OP '!AJ38</f>
        <v>0</v>
      </c>
      <c r="K40" s="1037">
        <f t="shared" si="28"/>
        <v>0</v>
      </c>
      <c r="L40" s="1037">
        <f>'HK UP KEEP, OP '!AK38</f>
        <v>0</v>
      </c>
      <c r="M40" s="1037">
        <f t="shared" si="29"/>
        <v>0</v>
      </c>
      <c r="N40" s="1037">
        <f>'HK UP KEEP, OP '!AL38</f>
        <v>4</v>
      </c>
      <c r="O40" s="1037">
        <f t="shared" si="30"/>
        <v>516880</v>
      </c>
      <c r="P40" s="1037">
        <f>'HK UP KEEP, OP '!AM38</f>
        <v>3</v>
      </c>
      <c r="Q40" s="1037">
        <f t="shared" si="31"/>
        <v>387660</v>
      </c>
      <c r="R40" s="1037">
        <f>'HK UP KEEP, OP '!AN38</f>
        <v>0</v>
      </c>
      <c r="S40" s="1037">
        <f t="shared" si="32"/>
        <v>0</v>
      </c>
      <c r="T40" s="1037">
        <f>'HK UP KEEP, OP '!AO38+'HK UP KEEP, OP '!AP38+'HK UP KEEP, OP '!AQ38</f>
        <v>0</v>
      </c>
      <c r="U40" s="1037">
        <f t="shared" si="33"/>
        <v>0</v>
      </c>
      <c r="V40" s="1037">
        <f t="shared" si="8"/>
        <v>31</v>
      </c>
      <c r="W40" s="1145">
        <v>5550</v>
      </c>
      <c r="X40" s="1145">
        <f t="shared" si="9"/>
        <v>172050</v>
      </c>
      <c r="Y40" s="1145"/>
      <c r="Z40" s="1145"/>
      <c r="AA40" s="1145">
        <f t="shared" si="34"/>
        <v>0</v>
      </c>
      <c r="AB40" s="1037">
        <v>2500</v>
      </c>
      <c r="AC40" s="1037">
        <f>'MASA KERJA AB'!H39</f>
        <v>9</v>
      </c>
      <c r="AD40" s="1303">
        <f>'MASA KERJA AB'!I39</f>
        <v>24000</v>
      </c>
      <c r="AE40" s="1146"/>
      <c r="AF40" s="1309">
        <f>'MONITORING '!AK368</f>
        <v>78197</v>
      </c>
      <c r="AG40" s="1149">
        <f>'MONITORING '!AK369</f>
        <v>105000</v>
      </c>
      <c r="AH40" s="1150"/>
      <c r="AI40" s="1150"/>
      <c r="AJ40" s="1149"/>
      <c r="AK40" s="1308">
        <v>75000</v>
      </c>
      <c r="AL40" s="1145"/>
      <c r="AM40" s="1145"/>
      <c r="AN40" s="1145">
        <f>'MONITORING '!AK370</f>
        <v>0</v>
      </c>
      <c r="AO40" s="1147">
        <f t="shared" si="10"/>
        <v>4460067</v>
      </c>
      <c r="AP40" s="1037">
        <f t="shared" si="20"/>
        <v>77532</v>
      </c>
      <c r="AQ40" s="1037">
        <f t="shared" si="21"/>
        <v>175997.64</v>
      </c>
      <c r="AR40" s="1037">
        <f t="shared" si="35"/>
        <v>253529.64</v>
      </c>
      <c r="AS40" s="1037">
        <f t="shared" si="22"/>
        <v>39006</v>
      </c>
      <c r="AT40" s="1037">
        <f t="shared" si="23"/>
        <v>156024</v>
      </c>
      <c r="AU40" s="1037">
        <f t="shared" si="24"/>
        <v>38766</v>
      </c>
      <c r="AV40" s="1037">
        <f t="shared" si="25"/>
        <v>77532</v>
      </c>
      <c r="AW40" s="1037">
        <f t="shared" si="36"/>
        <v>311328</v>
      </c>
      <c r="AX40" s="1303">
        <v>4000</v>
      </c>
      <c r="AY40" s="1145">
        <v>0</v>
      </c>
      <c r="AZ40" s="1037">
        <f t="shared" si="13"/>
        <v>0</v>
      </c>
      <c r="BA40" s="1145"/>
      <c r="BB40" s="1145"/>
      <c r="BC40" s="1386">
        <f t="shared" si="14"/>
        <v>4300763</v>
      </c>
      <c r="BD40" s="1037">
        <f>'HK UP KEEP, OP '!AS38</f>
        <v>0</v>
      </c>
      <c r="BE40" s="1262">
        <f>'HK UP KEEP, OP '!AT38</f>
        <v>0</v>
      </c>
      <c r="BG40" s="765">
        <f t="shared" si="15"/>
        <v>4005820</v>
      </c>
      <c r="BH40" s="766">
        <f t="shared" si="16"/>
        <v>0</v>
      </c>
      <c r="BI40" s="766">
        <f t="shared" si="17"/>
        <v>0</v>
      </c>
      <c r="BJ40" s="765">
        <f t="shared" si="18"/>
        <v>0</v>
      </c>
      <c r="BK40" s="767">
        <f t="shared" si="26"/>
        <v>4005820</v>
      </c>
      <c r="BM40" s="767">
        <f t="shared" si="38"/>
        <v>454247</v>
      </c>
      <c r="BN40" s="765">
        <v>30575.999999999996</v>
      </c>
      <c r="BO40" s="765">
        <f t="shared" si="19"/>
        <v>564857.64</v>
      </c>
    </row>
    <row r="41" spans="1:71" ht="38.25" customHeight="1" thickBot="1">
      <c r="A41" s="811" t="s">
        <v>365</v>
      </c>
      <c r="B41" s="812" t="s">
        <v>36</v>
      </c>
      <c r="C41" s="817" t="s">
        <v>147</v>
      </c>
      <c r="D41" s="816" t="s">
        <v>140</v>
      </c>
      <c r="E41" s="1038">
        <f>'HK UP KEEP, OP '!AH39</f>
        <v>21</v>
      </c>
      <c r="F41" s="953">
        <v>129220</v>
      </c>
      <c r="G41" s="1144">
        <f t="shared" si="39"/>
        <v>2713620</v>
      </c>
      <c r="H41" s="1037">
        <f>'HK UP KEEP, OP '!AI39</f>
        <v>1</v>
      </c>
      <c r="I41" s="1037">
        <f t="shared" si="27"/>
        <v>129220</v>
      </c>
      <c r="J41" s="1037">
        <f>'HK UP KEEP, OP '!AJ39</f>
        <v>1</v>
      </c>
      <c r="K41" s="1037">
        <f t="shared" si="28"/>
        <v>129220</v>
      </c>
      <c r="L41" s="1037">
        <f>'HK UP KEEP, OP '!AK39</f>
        <v>0</v>
      </c>
      <c r="M41" s="1037">
        <f t="shared" si="29"/>
        <v>0</v>
      </c>
      <c r="N41" s="1037">
        <f>'HK UP KEEP, OP '!AL39</f>
        <v>4</v>
      </c>
      <c r="O41" s="1037">
        <f t="shared" si="30"/>
        <v>516880</v>
      </c>
      <c r="P41" s="1037">
        <f>'HK UP KEEP, OP '!AM39</f>
        <v>3</v>
      </c>
      <c r="Q41" s="1037">
        <f t="shared" si="31"/>
        <v>387660</v>
      </c>
      <c r="R41" s="1037">
        <f>'HK UP KEEP, OP '!AN39</f>
        <v>0</v>
      </c>
      <c r="S41" s="1037">
        <f t="shared" si="32"/>
        <v>0</v>
      </c>
      <c r="T41" s="1037">
        <f>'HK UP KEEP, OP '!AO39+'HK UP KEEP, OP '!AP39+'HK UP KEEP, OP '!AQ39</f>
        <v>0</v>
      </c>
      <c r="U41" s="1037">
        <f t="shared" si="33"/>
        <v>0</v>
      </c>
      <c r="V41" s="1037">
        <f t="shared" si="8"/>
        <v>30</v>
      </c>
      <c r="W41" s="1145">
        <v>3250</v>
      </c>
      <c r="X41" s="1145">
        <f t="shared" si="9"/>
        <v>97500</v>
      </c>
      <c r="Y41" s="1145"/>
      <c r="Z41" s="1145"/>
      <c r="AA41" s="1145">
        <f t="shared" si="34"/>
        <v>0</v>
      </c>
      <c r="AB41" s="1037">
        <v>2500</v>
      </c>
      <c r="AC41" s="1038">
        <f>'MASA KERJA AB'!H40</f>
        <v>12</v>
      </c>
      <c r="AD41" s="1303">
        <f>'MASA KERJA AB'!I40</f>
        <v>33000</v>
      </c>
      <c r="AE41" s="1146">
        <f>'LEMBUR DAN PREMI UPKEEP'!AJ33</f>
        <v>0</v>
      </c>
      <c r="AF41" s="1149"/>
      <c r="AG41" s="1149"/>
      <c r="AH41" s="1150"/>
      <c r="AI41" s="1150"/>
      <c r="AJ41" s="1149"/>
      <c r="AK41" s="1150"/>
      <c r="AL41" s="1145"/>
      <c r="AM41" s="1145"/>
      <c r="AN41" s="1145">
        <f>'MONITORING '!AK383</f>
        <v>0</v>
      </c>
      <c r="AO41" s="1147">
        <f t="shared" si="10"/>
        <v>4007100</v>
      </c>
      <c r="AP41" s="1037">
        <f t="shared" si="20"/>
        <v>77532</v>
      </c>
      <c r="AQ41" s="1037">
        <f t="shared" si="21"/>
        <v>175997.64</v>
      </c>
      <c r="AR41" s="1037">
        <f t="shared" si="35"/>
        <v>253529.64</v>
      </c>
      <c r="AS41" s="1037">
        <f t="shared" si="22"/>
        <v>39096</v>
      </c>
      <c r="AT41" s="1037">
        <f t="shared" si="23"/>
        <v>156384</v>
      </c>
      <c r="AU41" s="1037">
        <f t="shared" si="24"/>
        <v>38766</v>
      </c>
      <c r="AV41" s="1037">
        <f t="shared" si="25"/>
        <v>77532</v>
      </c>
      <c r="AW41" s="1037">
        <f t="shared" si="36"/>
        <v>311778</v>
      </c>
      <c r="AX41" s="1303">
        <v>4000</v>
      </c>
      <c r="AY41" s="1145">
        <v>0</v>
      </c>
      <c r="AZ41" s="1037">
        <f t="shared" si="13"/>
        <v>0</v>
      </c>
      <c r="BA41" s="1145"/>
      <c r="BB41" s="1145"/>
      <c r="BC41" s="1393">
        <f t="shared" si="14"/>
        <v>3847706</v>
      </c>
      <c r="BD41" s="1037">
        <f>'HK UP KEEP, OP '!AS39</f>
        <v>0</v>
      </c>
      <c r="BE41" s="1262">
        <f>'HK UP KEEP, OP '!AT39</f>
        <v>1</v>
      </c>
      <c r="BG41" s="765">
        <f t="shared" si="15"/>
        <v>3876600</v>
      </c>
      <c r="BH41" s="766">
        <f t="shared" si="16"/>
        <v>0</v>
      </c>
      <c r="BI41" s="766">
        <f t="shared" si="17"/>
        <v>129220</v>
      </c>
      <c r="BJ41" s="765">
        <f t="shared" si="18"/>
        <v>-129220</v>
      </c>
      <c r="BK41" s="767">
        <f t="shared" si="26"/>
        <v>4005820</v>
      </c>
      <c r="BM41" s="767">
        <f t="shared" si="38"/>
        <v>130500</v>
      </c>
      <c r="BN41" s="765">
        <v>30575.999999999996</v>
      </c>
      <c r="BO41" s="765">
        <f t="shared" si="19"/>
        <v>565307.64</v>
      </c>
      <c r="BP41" s="820"/>
      <c r="BQ41" s="820"/>
      <c r="BR41" s="820"/>
      <c r="BS41" s="773"/>
    </row>
    <row r="42" spans="1:71" s="1423" customFormat="1" ht="39" customHeight="1" thickBot="1">
      <c r="A42" s="2238" t="s">
        <v>38</v>
      </c>
      <c r="B42" s="2239"/>
      <c r="C42" s="2239"/>
      <c r="D42" s="2240"/>
      <c r="E42" s="1449">
        <f>SUM(E9:E41)</f>
        <v>660</v>
      </c>
      <c r="F42" s="1449">
        <f t="shared" ref="F42:BE42" si="40">SUM(F9:F41)</f>
        <v>4264260</v>
      </c>
      <c r="G42" s="1449">
        <f t="shared" si="40"/>
        <v>85285200</v>
      </c>
      <c r="H42" s="1449">
        <f t="shared" si="40"/>
        <v>23</v>
      </c>
      <c r="I42" s="1449">
        <f t="shared" si="40"/>
        <v>2972060</v>
      </c>
      <c r="J42" s="1449">
        <f t="shared" si="40"/>
        <v>49</v>
      </c>
      <c r="K42" s="1449">
        <f t="shared" si="40"/>
        <v>6331780</v>
      </c>
      <c r="L42" s="1449">
        <f t="shared" si="40"/>
        <v>22</v>
      </c>
      <c r="M42" s="1449">
        <f t="shared" si="40"/>
        <v>2842840</v>
      </c>
      <c r="N42" s="1449">
        <f t="shared" si="40"/>
        <v>129</v>
      </c>
      <c r="O42" s="1449">
        <f t="shared" si="40"/>
        <v>16669380</v>
      </c>
      <c r="P42" s="1449">
        <f t="shared" si="40"/>
        <v>97</v>
      </c>
      <c r="Q42" s="1449">
        <f t="shared" si="40"/>
        <v>12534340</v>
      </c>
      <c r="R42" s="1449">
        <f t="shared" si="40"/>
        <v>0</v>
      </c>
      <c r="S42" s="1449">
        <f t="shared" si="40"/>
        <v>0</v>
      </c>
      <c r="T42" s="1449">
        <f t="shared" si="40"/>
        <v>0</v>
      </c>
      <c r="U42" s="1449">
        <f t="shared" si="40"/>
        <v>0</v>
      </c>
      <c r="V42" s="1449">
        <f t="shared" si="40"/>
        <v>980</v>
      </c>
      <c r="W42" s="1449">
        <f t="shared" si="40"/>
        <v>111950</v>
      </c>
      <c r="X42" s="1449">
        <f t="shared" si="40"/>
        <v>3305000</v>
      </c>
      <c r="Y42" s="1449">
        <f t="shared" si="40"/>
        <v>11000</v>
      </c>
      <c r="Z42" s="1449">
        <f t="shared" si="40"/>
        <v>77</v>
      </c>
      <c r="AA42" s="1449">
        <f t="shared" si="40"/>
        <v>208500</v>
      </c>
      <c r="AB42" s="1449">
        <f t="shared" si="40"/>
        <v>82500</v>
      </c>
      <c r="AC42" s="1449">
        <f t="shared" si="40"/>
        <v>439</v>
      </c>
      <c r="AD42" s="1449">
        <f t="shared" si="40"/>
        <v>1231000</v>
      </c>
      <c r="AE42" s="1449">
        <f t="shared" si="40"/>
        <v>14598871.110000001</v>
      </c>
      <c r="AF42" s="1449">
        <f t="shared" si="40"/>
        <v>78197</v>
      </c>
      <c r="AG42" s="1449">
        <f t="shared" si="40"/>
        <v>106750</v>
      </c>
      <c r="AH42" s="1449">
        <f t="shared" si="40"/>
        <v>0</v>
      </c>
      <c r="AI42" s="1449">
        <f t="shared" si="40"/>
        <v>240000</v>
      </c>
      <c r="AJ42" s="1449">
        <f t="shared" si="40"/>
        <v>0</v>
      </c>
      <c r="AK42" s="1449">
        <f t="shared" si="40"/>
        <v>909000</v>
      </c>
      <c r="AL42" s="1449">
        <f t="shared" si="40"/>
        <v>0</v>
      </c>
      <c r="AM42" s="1449">
        <f t="shared" si="40"/>
        <v>0</v>
      </c>
      <c r="AN42" s="1449">
        <f t="shared" si="40"/>
        <v>0</v>
      </c>
      <c r="AO42" s="1449">
        <f t="shared" si="40"/>
        <v>147312918.11000001</v>
      </c>
      <c r="AP42" s="1449">
        <f t="shared" si="40"/>
        <v>2558556</v>
      </c>
      <c r="AQ42" s="1449">
        <f t="shared" si="40"/>
        <v>5807922.1199999992</v>
      </c>
      <c r="AR42" s="1449">
        <f t="shared" si="40"/>
        <v>8366478.1199999964</v>
      </c>
      <c r="AS42" s="1449">
        <f t="shared" si="40"/>
        <v>1291588</v>
      </c>
      <c r="AT42" s="1449">
        <f t="shared" si="40"/>
        <v>5166352</v>
      </c>
      <c r="AU42" s="1449">
        <f t="shared" si="40"/>
        <v>1279278</v>
      </c>
      <c r="AV42" s="1449">
        <f t="shared" si="40"/>
        <v>2558556</v>
      </c>
      <c r="AW42" s="1449">
        <f t="shared" si="40"/>
        <v>10295774</v>
      </c>
      <c r="AX42" s="1449">
        <f t="shared" si="40"/>
        <v>132000</v>
      </c>
      <c r="AY42" s="1449">
        <f t="shared" si="40"/>
        <v>461660</v>
      </c>
      <c r="AZ42" s="1449">
        <f t="shared" si="40"/>
        <v>0</v>
      </c>
      <c r="BA42" s="1449">
        <f t="shared" si="40"/>
        <v>0</v>
      </c>
      <c r="BB42" s="1449">
        <f t="shared" si="40"/>
        <v>0</v>
      </c>
      <c r="BC42" s="1449">
        <f t="shared" si="40"/>
        <v>141589836.11000001</v>
      </c>
      <c r="BD42" s="1449">
        <f t="shared" si="40"/>
        <v>7</v>
      </c>
      <c r="BE42" s="1450">
        <f t="shared" si="40"/>
        <v>10</v>
      </c>
      <c r="BF42" s="1451"/>
      <c r="BG42" s="1442">
        <f t="shared" ref="BG42:BO42" si="41">SUM(BG9:BG41)</f>
        <v>126635600</v>
      </c>
      <c r="BH42" s="1442">
        <f t="shared" si="41"/>
        <v>904540</v>
      </c>
      <c r="BI42" s="1442">
        <f t="shared" si="41"/>
        <v>1292200</v>
      </c>
      <c r="BJ42" s="1442">
        <f t="shared" si="41"/>
        <v>-2196740</v>
      </c>
      <c r="BK42" s="1442">
        <f t="shared" si="41"/>
        <v>128832340</v>
      </c>
      <c r="BL42" s="1442">
        <f t="shared" si="41"/>
        <v>9045400</v>
      </c>
      <c r="BM42" s="1442">
        <f t="shared" si="41"/>
        <v>19904141.57</v>
      </c>
      <c r="BN42" s="1442">
        <f t="shared" si="41"/>
        <v>978683.99915999989</v>
      </c>
      <c r="BO42" s="1442">
        <f t="shared" si="41"/>
        <v>18662252.120000008</v>
      </c>
    </row>
    <row r="43" spans="1:71" s="770" customFormat="1" ht="13.5" customHeight="1">
      <c r="A43" s="822"/>
      <c r="B43" s="822"/>
      <c r="C43" s="823"/>
      <c r="D43" s="822"/>
      <c r="E43" s="1028">
        <f>'HK UP KEEP, OP '!AH40</f>
        <v>660</v>
      </c>
      <c r="F43" s="1030"/>
      <c r="G43" s="1030"/>
      <c r="H43" s="1028">
        <f>'HK UP KEEP, OP '!AI40</f>
        <v>23</v>
      </c>
      <c r="I43" s="1028"/>
      <c r="J43" s="1028">
        <f>'HK UP KEEP, OP '!AJ40</f>
        <v>49</v>
      </c>
      <c r="K43" s="1028"/>
      <c r="L43" s="1028">
        <f>'HK UP KEEP, OP '!AK40</f>
        <v>22</v>
      </c>
      <c r="M43" s="1028"/>
      <c r="N43" s="1028">
        <f>'HK UP KEEP, OP '!AL40</f>
        <v>129</v>
      </c>
      <c r="O43" s="1028"/>
      <c r="P43" s="1028">
        <f>'HK UP KEEP, OP '!AM40</f>
        <v>97</v>
      </c>
      <c r="Q43" s="1028"/>
      <c r="R43" s="1028">
        <f>'HK UP KEEP, OP '!AN40</f>
        <v>0</v>
      </c>
      <c r="S43" s="1028"/>
      <c r="T43" s="1028">
        <f>'HK UP KEEP, OP '!AP40</f>
        <v>0</v>
      </c>
      <c r="U43" s="1028"/>
      <c r="V43" s="1028">
        <f>'HK UP KEEP, OP '!AR41</f>
        <v>980</v>
      </c>
      <c r="W43" s="1028" t="s">
        <v>272</v>
      </c>
      <c r="X43" s="1028"/>
      <c r="Y43" s="1028"/>
      <c r="Z43" s="1028"/>
      <c r="AA43" s="1028"/>
      <c r="AB43" s="1028"/>
      <c r="AC43" s="1028"/>
      <c r="AD43" s="1028">
        <v>1228500</v>
      </c>
      <c r="AE43" s="1028">
        <f>'LEMBUR DAN PREMI UPKEEP'!AJ35</f>
        <v>14598871.110000001</v>
      </c>
      <c r="AF43" s="1028"/>
      <c r="AG43" s="1028"/>
      <c r="AH43" s="1028"/>
      <c r="AI43" s="1028"/>
      <c r="AJ43" s="1028">
        <f>'LEMBUR DAN PREMI UPKEEP'!AJ113</f>
        <v>0</v>
      </c>
      <c r="AK43" s="1031">
        <f>'LEMBUR DAN PREMI UPKEEP'!AK125</f>
        <v>0</v>
      </c>
      <c r="AL43" s="1028"/>
      <c r="AM43" s="1028"/>
      <c r="AN43" s="1028"/>
      <c r="AO43" s="1028"/>
      <c r="AP43" s="1028"/>
      <c r="AQ43" s="1028"/>
      <c r="AR43" s="1028"/>
      <c r="AS43" s="824"/>
      <c r="AT43" s="824"/>
      <c r="AU43" s="824"/>
      <c r="AV43" s="824"/>
      <c r="AW43" s="824"/>
      <c r="AX43" s="1028">
        <v>128000</v>
      </c>
      <c r="AY43" s="1028"/>
      <c r="AZ43" s="1028"/>
      <c r="BA43" s="1028"/>
      <c r="BB43" s="1028"/>
      <c r="BC43" s="1428"/>
      <c r="BD43" s="1028">
        <f>'HK UP KEEP, OP '!AS40</f>
        <v>7</v>
      </c>
      <c r="BE43" s="1028">
        <f>'HK UP KEEP, OP '!AT40</f>
        <v>10</v>
      </c>
      <c r="BG43" s="825"/>
      <c r="BH43" s="826"/>
      <c r="BI43" s="826"/>
      <c r="BJ43" s="827"/>
      <c r="BK43" s="828"/>
      <c r="BL43" s="828"/>
      <c r="BM43" s="828"/>
      <c r="BN43" s="827"/>
      <c r="BO43" s="827"/>
    </row>
    <row r="44" spans="1:71" ht="38.25" customHeight="1">
      <c r="A44" s="2252" t="s">
        <v>62</v>
      </c>
      <c r="B44" s="2252"/>
      <c r="C44" s="2252"/>
      <c r="D44" s="2252"/>
      <c r="E44" s="1029">
        <f>E42-E43</f>
        <v>0</v>
      </c>
      <c r="F44" s="1032"/>
      <c r="G44" s="1029"/>
      <c r="H44" s="1029">
        <f>H42-H43</f>
        <v>0</v>
      </c>
      <c r="I44" s="1029"/>
      <c r="J44" s="1029">
        <f>J42-J43</f>
        <v>0</v>
      </c>
      <c r="K44" s="1029"/>
      <c r="L44" s="1029">
        <f>L42-L43</f>
        <v>0</v>
      </c>
      <c r="M44" s="1029"/>
      <c r="N44" s="1029">
        <f>N42-N43</f>
        <v>0</v>
      </c>
      <c r="O44" s="1029"/>
      <c r="P44" s="1029">
        <f>P42-P43</f>
        <v>0</v>
      </c>
      <c r="Q44" s="1029"/>
      <c r="R44" s="1029">
        <f>R42-R43</f>
        <v>0</v>
      </c>
      <c r="S44" s="1029"/>
      <c r="T44" s="1029">
        <f>T42-T43</f>
        <v>0</v>
      </c>
      <c r="U44" s="1029"/>
      <c r="V44" s="1029">
        <f>V42-V43</f>
        <v>0</v>
      </c>
      <c r="W44" s="1033"/>
      <c r="X44" s="1029"/>
      <c r="Y44" s="1029"/>
      <c r="Z44" s="1029"/>
      <c r="AA44" s="1029"/>
      <c r="AB44" s="1029"/>
      <c r="AC44" s="1029"/>
      <c r="AD44" s="1029">
        <f>AD43-AD42</f>
        <v>-2500</v>
      </c>
      <c r="AE44" s="1029">
        <f>AE42-AE43</f>
        <v>0</v>
      </c>
      <c r="AF44" s="1029"/>
      <c r="AG44" s="1029"/>
      <c r="AH44" s="1029"/>
      <c r="AI44" s="1029"/>
      <c r="AJ44" s="1029">
        <f>AJ42-AJ43</f>
        <v>0</v>
      </c>
      <c r="AK44" s="1029">
        <f>AK42-AK43</f>
        <v>909000</v>
      </c>
      <c r="AL44" s="1029"/>
      <c r="AM44" s="1029"/>
      <c r="AN44" s="1029"/>
      <c r="AO44" s="1029"/>
      <c r="AP44" s="1029"/>
      <c r="AQ44" s="1029"/>
      <c r="AR44" s="1029"/>
      <c r="AS44" s="829"/>
      <c r="AT44" s="829"/>
      <c r="AU44" s="829"/>
      <c r="AV44" s="829"/>
      <c r="AW44" s="829"/>
      <c r="AX44" s="1029">
        <f>AX42-AX43</f>
        <v>4000</v>
      </c>
      <c r="AY44" s="1029"/>
      <c r="AZ44" s="1029"/>
      <c r="BA44" s="1029"/>
      <c r="BB44" s="1029"/>
      <c r="BC44" s="1429"/>
      <c r="BD44" s="1029">
        <f>BD42-BD43</f>
        <v>0</v>
      </c>
      <c r="BE44" s="1029">
        <f>BE42-BE43</f>
        <v>0</v>
      </c>
      <c r="BF44" s="820"/>
    </row>
    <row r="45" spans="1:71" s="768" customFormat="1" ht="18.75" customHeight="1">
      <c r="A45" s="768" t="s">
        <v>87</v>
      </c>
      <c r="B45" s="1139"/>
      <c r="C45" s="830"/>
      <c r="D45" s="831"/>
      <c r="E45" s="2136" t="s">
        <v>39</v>
      </c>
      <c r="F45" s="2136"/>
      <c r="G45" s="2136"/>
      <c r="H45" s="832"/>
      <c r="M45" s="2136" t="s">
        <v>100</v>
      </c>
      <c r="N45" s="2136"/>
      <c r="O45" s="2136"/>
      <c r="U45" s="775"/>
      <c r="Z45" s="2136" t="s">
        <v>40</v>
      </c>
      <c r="AA45" s="2136"/>
      <c r="AB45" s="2136"/>
      <c r="AE45" s="773"/>
      <c r="AK45" s="774"/>
      <c r="AO45" s="2136" t="s">
        <v>554</v>
      </c>
      <c r="AP45" s="2136"/>
      <c r="AV45" s="2136" t="s">
        <v>61</v>
      </c>
      <c r="AW45" s="2136"/>
      <c r="AX45" s="2136"/>
      <c r="BB45" s="964"/>
      <c r="BC45" s="1430"/>
      <c r="BD45" s="833"/>
      <c r="BE45" s="834"/>
      <c r="BG45" s="765"/>
      <c r="BH45" s="776"/>
      <c r="BI45" s="776"/>
      <c r="BJ45" s="772"/>
      <c r="BK45" s="777"/>
      <c r="BL45" s="777"/>
      <c r="BM45" s="777"/>
      <c r="BN45" s="772"/>
      <c r="BO45" s="772"/>
    </row>
    <row r="46" spans="1:71" ht="17.25" customHeight="1">
      <c r="A46" s="768" t="s">
        <v>88</v>
      </c>
      <c r="B46" s="964"/>
      <c r="C46" s="835"/>
      <c r="D46" s="770"/>
      <c r="E46" s="964"/>
      <c r="F46" s="788"/>
      <c r="G46" s="836"/>
      <c r="H46" s="832"/>
      <c r="I46" s="768"/>
      <c r="J46" s="768"/>
      <c r="K46" s="768"/>
      <c r="L46" s="768"/>
      <c r="M46" s="768"/>
      <c r="P46" s="768"/>
      <c r="Q46" s="768"/>
      <c r="R46" s="768"/>
      <c r="S46" s="768"/>
      <c r="T46" s="768"/>
      <c r="U46" s="829"/>
      <c r="Z46" s="964"/>
      <c r="AA46" s="964"/>
      <c r="AB46" s="964"/>
      <c r="AC46" s="964"/>
      <c r="AE46" s="768"/>
      <c r="AF46" s="768"/>
      <c r="AG46" s="768"/>
      <c r="AH46" s="768"/>
      <c r="AJ46" s="768"/>
      <c r="AK46" s="774"/>
      <c r="AL46" s="964"/>
      <c r="AM46" s="964"/>
      <c r="AN46" s="964"/>
      <c r="AO46" s="768"/>
      <c r="AP46" s="964"/>
      <c r="AQ46" s="964"/>
      <c r="AR46" s="964"/>
      <c r="AV46" s="964"/>
      <c r="AW46" s="964"/>
      <c r="AX46" s="964"/>
      <c r="AY46" s="964"/>
      <c r="AZ46" s="964"/>
      <c r="BA46" s="964"/>
      <c r="BB46" s="964"/>
      <c r="BC46" s="1430"/>
      <c r="BD46" s="833"/>
      <c r="BE46" s="834"/>
    </row>
    <row r="47" spans="1:71" s="768" customFormat="1" ht="17.25" customHeight="1">
      <c r="A47" s="837" t="s">
        <v>672</v>
      </c>
      <c r="B47" s="964"/>
      <c r="C47" s="835"/>
      <c r="D47" s="838"/>
      <c r="E47" s="764"/>
      <c r="F47" s="954"/>
      <c r="G47" s="839"/>
      <c r="H47" s="840"/>
      <c r="I47" s="764"/>
      <c r="J47" s="764"/>
      <c r="K47" s="764"/>
      <c r="L47" s="764"/>
      <c r="M47" s="764"/>
      <c r="P47" s="764"/>
      <c r="Q47" s="764"/>
      <c r="R47" s="1162"/>
      <c r="S47" s="1162"/>
      <c r="T47" s="840"/>
      <c r="U47" s="841"/>
      <c r="Z47" s="842"/>
      <c r="AA47" s="842"/>
      <c r="AB47" s="1162"/>
      <c r="AC47" s="764"/>
      <c r="AE47" s="843"/>
      <c r="AF47" s="764"/>
      <c r="AG47" s="764"/>
      <c r="AH47" s="764"/>
      <c r="AJ47" s="764"/>
      <c r="AK47" s="844"/>
      <c r="AL47" s="1162"/>
      <c r="AM47" s="1162"/>
      <c r="AN47" s="1162"/>
      <c r="AO47" s="764"/>
      <c r="AP47" s="764"/>
      <c r="AQ47" s="764"/>
      <c r="AR47" s="764"/>
      <c r="AV47" s="764"/>
      <c r="AW47" s="764"/>
      <c r="AX47" s="764"/>
      <c r="AY47" s="764"/>
      <c r="AZ47" s="764"/>
      <c r="BA47" s="764"/>
      <c r="BB47" s="840"/>
      <c r="BC47" s="1431"/>
      <c r="BD47" s="843"/>
      <c r="BE47" s="845"/>
      <c r="BG47" s="765"/>
      <c r="BH47" s="776"/>
      <c r="BI47" s="776"/>
      <c r="BJ47" s="772"/>
      <c r="BK47" s="777"/>
      <c r="BL47" s="777"/>
      <c r="BM47" s="777"/>
      <c r="BN47" s="772"/>
      <c r="BO47" s="772"/>
    </row>
    <row r="48" spans="1:71" s="768" customFormat="1" ht="17.25" customHeight="1">
      <c r="A48" s="837"/>
      <c r="B48" s="964"/>
      <c r="C48" s="835"/>
      <c r="D48" s="838"/>
      <c r="E48" s="764"/>
      <c r="F48" s="941"/>
      <c r="G48" s="765"/>
      <c r="H48" s="764"/>
      <c r="I48" s="847"/>
      <c r="J48" s="764"/>
      <c r="K48" s="764"/>
      <c r="L48" s="764"/>
      <c r="M48" s="764"/>
      <c r="P48" s="764"/>
      <c r="Q48" s="764"/>
      <c r="R48" s="764"/>
      <c r="S48" s="764"/>
      <c r="T48" s="764"/>
      <c r="U48" s="764"/>
      <c r="Z48" s="1162"/>
      <c r="AA48" s="1162"/>
      <c r="AB48" s="1162"/>
      <c r="AC48" s="764"/>
      <c r="AE48" s="843"/>
      <c r="AF48" s="841"/>
      <c r="AG48" s="841"/>
      <c r="AH48" s="764"/>
      <c r="AJ48" s="841"/>
      <c r="AK48" s="844"/>
      <c r="AL48" s="1162"/>
      <c r="AM48" s="1162"/>
      <c r="AN48" s="1162"/>
      <c r="AO48" s="841"/>
      <c r="AP48" s="764"/>
      <c r="AQ48" s="764"/>
      <c r="AR48" s="764"/>
      <c r="AV48" s="841"/>
      <c r="AW48" s="764"/>
      <c r="AX48" s="764"/>
      <c r="AY48" s="764"/>
      <c r="AZ48" s="764"/>
      <c r="BA48" s="764"/>
      <c r="BB48" s="764"/>
      <c r="BC48" s="1431"/>
      <c r="BD48" s="764"/>
      <c r="BE48" s="1162"/>
      <c r="BG48" s="765"/>
      <c r="BH48" s="776"/>
      <c r="BI48" s="776"/>
      <c r="BJ48" s="772"/>
      <c r="BK48" s="777"/>
      <c r="BL48" s="777"/>
      <c r="BM48" s="777"/>
      <c r="BN48" s="772"/>
      <c r="BO48" s="772"/>
    </row>
    <row r="49" spans="1:72" s="1339" customFormat="1" ht="21.75" customHeight="1">
      <c r="B49" s="1340"/>
      <c r="C49" s="1341"/>
      <c r="E49" s="2251" t="s">
        <v>193</v>
      </c>
      <c r="F49" s="2251"/>
      <c r="G49" s="2251"/>
      <c r="H49" s="1342"/>
      <c r="I49" s="1343"/>
      <c r="L49" s="1344"/>
      <c r="M49" s="2243" t="s">
        <v>274</v>
      </c>
      <c r="N49" s="2243"/>
      <c r="O49" s="2243"/>
      <c r="P49" s="1345"/>
      <c r="Q49" s="1345"/>
      <c r="R49" s="1345"/>
      <c r="S49" s="1345"/>
      <c r="T49" s="1345"/>
      <c r="U49" s="1344"/>
      <c r="Z49" s="2251" t="s">
        <v>203</v>
      </c>
      <c r="AA49" s="2251"/>
      <c r="AB49" s="2251"/>
      <c r="AC49" s="1022"/>
      <c r="AE49" s="1346"/>
      <c r="AG49" s="1346"/>
      <c r="AJ49" s="1346"/>
      <c r="AK49" s="1347"/>
      <c r="AL49" s="1348"/>
      <c r="AM49" s="1348"/>
      <c r="AN49" s="1349"/>
      <c r="AO49" s="2254" t="s">
        <v>622</v>
      </c>
      <c r="AP49" s="2254"/>
      <c r="AQ49" s="1346"/>
      <c r="AR49" s="1346"/>
      <c r="AV49" s="2268" t="s">
        <v>586</v>
      </c>
      <c r="AW49" s="2268"/>
      <c r="AX49" s="2268"/>
      <c r="AY49" s="1346"/>
      <c r="AZ49" s="1346"/>
      <c r="BA49" s="1346"/>
      <c r="BB49" s="1350"/>
      <c r="BC49" s="1432"/>
      <c r="BE49" s="1340"/>
      <c r="BG49" s="1351"/>
      <c r="BH49" s="1352"/>
      <c r="BI49" s="1352"/>
      <c r="BJ49" s="1351"/>
      <c r="BK49" s="1353"/>
      <c r="BL49" s="1353"/>
      <c r="BM49" s="1353"/>
      <c r="BN49" s="1351"/>
      <c r="BO49" s="1351"/>
      <c r="BS49" s="1354"/>
      <c r="BT49" s="1354"/>
    </row>
    <row r="50" spans="1:72" s="1355" customFormat="1" ht="22.5" customHeight="1">
      <c r="B50" s="1021"/>
      <c r="C50" s="1356"/>
      <c r="D50" s="1357"/>
      <c r="E50" s="2253" t="s">
        <v>151</v>
      </c>
      <c r="F50" s="2253"/>
      <c r="G50" s="2253"/>
      <c r="I50" s="1358"/>
      <c r="M50" s="2253" t="s">
        <v>134</v>
      </c>
      <c r="N50" s="2253"/>
      <c r="O50" s="2253"/>
      <c r="Z50" s="2253" t="s">
        <v>135</v>
      </c>
      <c r="AA50" s="2253"/>
      <c r="AB50" s="2253"/>
      <c r="AK50" s="1359"/>
      <c r="AL50" s="1021"/>
      <c r="AM50" s="1021"/>
      <c r="AN50" s="1021"/>
      <c r="AO50" s="2255" t="s">
        <v>623</v>
      </c>
      <c r="AP50" s="2255"/>
      <c r="AV50" s="2253" t="s">
        <v>585</v>
      </c>
      <c r="AW50" s="2253"/>
      <c r="AX50" s="2253"/>
      <c r="BB50" s="1021"/>
      <c r="BC50" s="1433"/>
      <c r="BE50" s="1021"/>
      <c r="BG50" s="1360"/>
      <c r="BH50" s="1161"/>
      <c r="BI50" s="1161"/>
      <c r="BJ50" s="1360"/>
      <c r="BK50" s="1358"/>
      <c r="BL50" s="1358"/>
      <c r="BM50" s="1358"/>
      <c r="BN50" s="1360"/>
      <c r="BO50" s="1360"/>
      <c r="BS50" s="1361"/>
      <c r="BT50" s="1361"/>
    </row>
    <row r="51" spans="1:72" ht="18.75" customHeight="1">
      <c r="D51" s="853"/>
      <c r="BE51" s="764"/>
    </row>
    <row r="52" spans="1:72" ht="18.75" customHeight="1">
      <c r="BE52" s="764"/>
    </row>
    <row r="53" spans="1:72" ht="19.5" customHeight="1">
      <c r="A53" s="2139" t="s">
        <v>0</v>
      </c>
      <c r="B53" s="2139"/>
      <c r="C53" s="2139"/>
      <c r="D53" s="2139"/>
      <c r="E53" s="2139"/>
      <c r="F53" s="2139"/>
      <c r="G53" s="2139"/>
      <c r="H53" s="2139"/>
      <c r="I53" s="2139"/>
      <c r="J53" s="2139"/>
      <c r="K53" s="2139"/>
      <c r="L53" s="2139"/>
      <c r="M53" s="2139"/>
      <c r="N53" s="2139"/>
      <c r="O53" s="2139"/>
      <c r="P53" s="2139"/>
      <c r="Q53" s="2139"/>
      <c r="R53" s="2139"/>
      <c r="S53" s="2139"/>
      <c r="T53" s="2139"/>
      <c r="U53" s="2139"/>
      <c r="V53" s="2139"/>
      <c r="W53" s="2139"/>
      <c r="X53" s="2139"/>
      <c r="Y53" s="2139"/>
      <c r="Z53" s="2139"/>
      <c r="AA53" s="2139"/>
      <c r="AB53" s="2139"/>
      <c r="AC53" s="2139"/>
      <c r="AD53" s="2139"/>
      <c r="AE53" s="2139"/>
      <c r="AF53" s="2139"/>
      <c r="AG53" s="2139"/>
      <c r="AH53" s="2139"/>
      <c r="AI53" s="2139"/>
      <c r="AJ53" s="2139"/>
      <c r="AK53" s="2139"/>
      <c r="AL53" s="2139"/>
      <c r="AM53" s="2139"/>
      <c r="AN53" s="2139"/>
      <c r="AO53" s="2139"/>
      <c r="AP53" s="2139"/>
      <c r="AQ53" s="2139"/>
      <c r="AR53" s="2139"/>
      <c r="AS53" s="2139"/>
      <c r="AT53" s="2139"/>
      <c r="AU53" s="2139"/>
      <c r="AV53" s="2139"/>
      <c r="AW53" s="2139"/>
      <c r="AX53" s="2139"/>
      <c r="AY53" s="2139"/>
      <c r="AZ53" s="2139"/>
      <c r="BA53" s="2139"/>
      <c r="BB53" s="2139"/>
      <c r="BC53" s="2139"/>
      <c r="BD53" s="2139"/>
      <c r="BE53" s="2139"/>
    </row>
    <row r="54" spans="1:72" ht="18.75" customHeight="1">
      <c r="A54" s="2136" t="s">
        <v>1</v>
      </c>
      <c r="B54" s="2136"/>
      <c r="C54" s="2136"/>
      <c r="D54" s="2136"/>
      <c r="E54" s="2136"/>
      <c r="F54" s="2136"/>
      <c r="G54" s="2136"/>
      <c r="H54" s="2136"/>
      <c r="I54" s="2136"/>
      <c r="J54" s="2136"/>
      <c r="K54" s="2136"/>
      <c r="L54" s="2136"/>
      <c r="M54" s="2136"/>
      <c r="N54" s="2136"/>
      <c r="O54" s="2136"/>
      <c r="P54" s="2136"/>
      <c r="Q54" s="2136"/>
      <c r="R54" s="2136"/>
      <c r="S54" s="2136"/>
      <c r="T54" s="2136"/>
      <c r="U54" s="2136"/>
      <c r="V54" s="2136"/>
      <c r="W54" s="2136"/>
      <c r="X54" s="2136"/>
      <c r="Y54" s="2136"/>
      <c r="Z54" s="2136"/>
      <c r="AA54" s="2136"/>
      <c r="AB54" s="2136"/>
      <c r="AC54" s="2136"/>
      <c r="AD54" s="2136"/>
      <c r="AE54" s="2136"/>
      <c r="AF54" s="2136"/>
      <c r="AG54" s="2136"/>
      <c r="AH54" s="2136"/>
      <c r="AI54" s="2136"/>
      <c r="AJ54" s="2136"/>
      <c r="AK54" s="2136"/>
      <c r="AL54" s="2136"/>
      <c r="AM54" s="2136"/>
      <c r="AN54" s="2136"/>
      <c r="AO54" s="2136"/>
      <c r="AP54" s="2136"/>
      <c r="AQ54" s="2136"/>
      <c r="AR54" s="2136"/>
      <c r="AS54" s="2136"/>
      <c r="AT54" s="2136"/>
      <c r="AU54" s="2136"/>
      <c r="AV54" s="2136"/>
      <c r="AW54" s="2136"/>
      <c r="AX54" s="2136"/>
      <c r="AY54" s="2136"/>
      <c r="AZ54" s="2136"/>
      <c r="BA54" s="2136"/>
      <c r="BB54" s="2136"/>
      <c r="BC54" s="2136"/>
      <c r="BD54" s="2136"/>
      <c r="BE54" s="2136"/>
    </row>
    <row r="55" spans="1:72" s="768" customFormat="1" ht="18.75" customHeight="1">
      <c r="D55" s="770" t="s">
        <v>964</v>
      </c>
      <c r="F55" s="772"/>
      <c r="G55" s="772"/>
      <c r="O55" s="768" t="s">
        <v>214</v>
      </c>
      <c r="AE55" s="964"/>
      <c r="AF55" s="964"/>
      <c r="AG55" s="964"/>
      <c r="AH55" s="964"/>
      <c r="AI55" s="964"/>
      <c r="AJ55" s="964"/>
      <c r="AK55" s="774"/>
      <c r="AL55" s="964"/>
      <c r="AM55" s="964"/>
      <c r="AP55" s="1034">
        <v>3876600</v>
      </c>
      <c r="AQ55" s="1035">
        <f>AP55/30</f>
        <v>129220</v>
      </c>
      <c r="AV55" s="964" t="s">
        <v>55</v>
      </c>
      <c r="AW55" s="768" t="s">
        <v>195</v>
      </c>
      <c r="BC55" s="1430"/>
      <c r="BD55" s="964"/>
      <c r="BG55" s="765"/>
      <c r="BH55" s="776"/>
      <c r="BI55" s="776"/>
      <c r="BJ55" s="772"/>
      <c r="BK55" s="777"/>
      <c r="BL55" s="777"/>
      <c r="BM55" s="777"/>
      <c r="BN55" s="772"/>
      <c r="BO55" s="772"/>
    </row>
    <row r="56" spans="1:72" ht="18.75" customHeight="1" thickBot="1">
      <c r="A56" s="1162"/>
      <c r="D56" s="779"/>
      <c r="E56" s="780"/>
      <c r="F56" s="950"/>
      <c r="G56" s="781"/>
      <c r="H56" s="780"/>
      <c r="I56" s="780"/>
      <c r="J56" s="780"/>
      <c r="K56" s="780"/>
      <c r="L56" s="780"/>
      <c r="M56" s="780"/>
      <c r="N56" s="780"/>
      <c r="O56" s="780"/>
      <c r="Q56" s="780"/>
      <c r="R56" s="780"/>
      <c r="S56" s="780"/>
      <c r="T56" s="780"/>
      <c r="U56" s="780"/>
      <c r="V56" s="780"/>
      <c r="W56" s="780"/>
      <c r="X56" s="780"/>
      <c r="Y56" s="780"/>
      <c r="Z56" s="780"/>
      <c r="AA56" s="780"/>
      <c r="AB56" s="780"/>
      <c r="AC56" s="780"/>
      <c r="AD56" s="1162"/>
      <c r="AE56" s="780"/>
      <c r="AF56" s="780"/>
      <c r="AG56" s="780"/>
      <c r="AH56" s="780"/>
      <c r="AI56" s="780"/>
      <c r="AJ56" s="780"/>
      <c r="AK56" s="782"/>
      <c r="AL56" s="780"/>
      <c r="AM56" s="780"/>
      <c r="AO56" s="854"/>
      <c r="AP56" s="1034">
        <v>3876600</v>
      </c>
      <c r="AQ56" s="1035">
        <f>AP56/30</f>
        <v>129220</v>
      </c>
    </row>
    <row r="57" spans="1:72" s="768" customFormat="1" ht="16.5" customHeight="1">
      <c r="A57" s="2234" t="s">
        <v>5</v>
      </c>
      <c r="B57" s="2223" t="s">
        <v>6</v>
      </c>
      <c r="C57" s="2157" t="s">
        <v>52</v>
      </c>
      <c r="D57" s="783"/>
      <c r="E57" s="855"/>
      <c r="F57" s="785"/>
      <c r="G57" s="856"/>
      <c r="H57" s="2168" t="s">
        <v>2</v>
      </c>
      <c r="I57" s="2169"/>
      <c r="J57" s="2169"/>
      <c r="K57" s="2169"/>
      <c r="L57" s="2169"/>
      <c r="M57" s="2169"/>
      <c r="N57" s="2169"/>
      <c r="O57" s="2169"/>
      <c r="P57" s="2169"/>
      <c r="Q57" s="2169"/>
      <c r="R57" s="2169"/>
      <c r="S57" s="2169"/>
      <c r="T57" s="2169"/>
      <c r="U57" s="2170"/>
      <c r="V57" s="2223" t="s">
        <v>286</v>
      </c>
      <c r="W57" s="2168" t="s">
        <v>3</v>
      </c>
      <c r="X57" s="2169"/>
      <c r="Y57" s="2169"/>
      <c r="Z57" s="2169"/>
      <c r="AA57" s="2169"/>
      <c r="AB57" s="2169"/>
      <c r="AC57" s="2169"/>
      <c r="AD57" s="2170"/>
      <c r="AE57" s="2216" t="s">
        <v>45</v>
      </c>
      <c r="AF57" s="2206" t="s">
        <v>46</v>
      </c>
      <c r="AG57" s="2227"/>
      <c r="AH57" s="2227"/>
      <c r="AI57" s="2227"/>
      <c r="AJ57" s="2227"/>
      <c r="AK57" s="2227"/>
      <c r="AL57" s="2227"/>
      <c r="AM57" s="2228"/>
      <c r="AN57" s="2223" t="s">
        <v>44</v>
      </c>
      <c r="AO57" s="857" t="s">
        <v>4</v>
      </c>
      <c r="AP57" s="2210" t="s">
        <v>20</v>
      </c>
      <c r="AQ57" s="2211"/>
      <c r="AR57" s="2212"/>
      <c r="AS57" s="2210" t="s">
        <v>54</v>
      </c>
      <c r="AT57" s="2211"/>
      <c r="AU57" s="2211"/>
      <c r="AV57" s="2211"/>
      <c r="AW57" s="2212"/>
      <c r="AX57" s="855"/>
      <c r="AY57" s="2216" t="s">
        <v>89</v>
      </c>
      <c r="AZ57" s="2146" t="s">
        <v>97</v>
      </c>
      <c r="BA57" s="2146" t="s">
        <v>720</v>
      </c>
      <c r="BB57" s="2203" t="s">
        <v>215</v>
      </c>
      <c r="BC57" s="1424" t="s">
        <v>4</v>
      </c>
      <c r="BD57" s="2206" t="s">
        <v>41</v>
      </c>
      <c r="BE57" s="2207"/>
      <c r="BG57" s="765"/>
      <c r="BH57" s="776"/>
      <c r="BI57" s="776"/>
      <c r="BJ57" s="772"/>
      <c r="BK57" s="777"/>
      <c r="BL57" s="777"/>
      <c r="BM57" s="777"/>
      <c r="BN57" s="772"/>
      <c r="BO57" s="772"/>
    </row>
    <row r="58" spans="1:72" s="768" customFormat="1" ht="26.25" customHeight="1">
      <c r="A58" s="2235"/>
      <c r="B58" s="2224"/>
      <c r="C58" s="2158"/>
      <c r="D58" s="791" t="s">
        <v>7</v>
      </c>
      <c r="E58" s="795" t="s">
        <v>8</v>
      </c>
      <c r="F58" s="793" t="s">
        <v>9</v>
      </c>
      <c r="G58" s="858" t="s">
        <v>9</v>
      </c>
      <c r="H58" s="2161" t="s">
        <v>10</v>
      </c>
      <c r="I58" s="2162"/>
      <c r="J58" s="2161" t="s">
        <v>11</v>
      </c>
      <c r="K58" s="2162"/>
      <c r="L58" s="2161" t="s">
        <v>12</v>
      </c>
      <c r="M58" s="2162"/>
      <c r="N58" s="2161" t="s">
        <v>13</v>
      </c>
      <c r="O58" s="2162"/>
      <c r="P58" s="2221" t="s">
        <v>14</v>
      </c>
      <c r="Q58" s="2222"/>
      <c r="R58" s="2232" t="s">
        <v>15</v>
      </c>
      <c r="S58" s="2233"/>
      <c r="T58" s="2161" t="s">
        <v>16</v>
      </c>
      <c r="U58" s="2162"/>
      <c r="V58" s="2224"/>
      <c r="W58" s="2161" t="s">
        <v>17</v>
      </c>
      <c r="X58" s="2162"/>
      <c r="Y58" s="2161" t="s">
        <v>18</v>
      </c>
      <c r="Z58" s="2226"/>
      <c r="AA58" s="2162"/>
      <c r="AB58" s="2161" t="s">
        <v>19</v>
      </c>
      <c r="AC58" s="2226"/>
      <c r="AD58" s="2162"/>
      <c r="AE58" s="2217"/>
      <c r="AF58" s="2229"/>
      <c r="AG58" s="2230"/>
      <c r="AH58" s="2230"/>
      <c r="AI58" s="2230"/>
      <c r="AJ58" s="2230"/>
      <c r="AK58" s="2230"/>
      <c r="AL58" s="2230"/>
      <c r="AM58" s="2231"/>
      <c r="AN58" s="2224"/>
      <c r="AO58" s="859" t="s">
        <v>9</v>
      </c>
      <c r="AP58" s="2213"/>
      <c r="AQ58" s="2214"/>
      <c r="AR58" s="2215"/>
      <c r="AS58" s="2213"/>
      <c r="AT58" s="2214"/>
      <c r="AU58" s="2214"/>
      <c r="AV58" s="2214"/>
      <c r="AW58" s="2215"/>
      <c r="AX58" s="795" t="s">
        <v>21</v>
      </c>
      <c r="AY58" s="2217"/>
      <c r="AZ58" s="2147"/>
      <c r="BA58" s="2147"/>
      <c r="BB58" s="2204"/>
      <c r="BC58" s="1425" t="s">
        <v>9</v>
      </c>
      <c r="BD58" s="2208"/>
      <c r="BE58" s="2209"/>
      <c r="BG58" s="765"/>
      <c r="BH58" s="776"/>
      <c r="BI58" s="776"/>
      <c r="BJ58" s="772"/>
      <c r="BK58" s="777"/>
      <c r="BL58" s="777"/>
      <c r="BM58" s="777"/>
      <c r="BN58" s="772"/>
      <c r="BO58" s="772"/>
    </row>
    <row r="59" spans="1:72" s="771" customFormat="1" ht="93" customHeight="1">
      <c r="A59" s="2235"/>
      <c r="B59" s="2224"/>
      <c r="C59" s="2158"/>
      <c r="D59" s="791" t="s">
        <v>22</v>
      </c>
      <c r="E59" s="792" t="s">
        <v>23</v>
      </c>
      <c r="F59" s="793" t="s">
        <v>24</v>
      </c>
      <c r="G59" s="793" t="s">
        <v>25</v>
      </c>
      <c r="H59" s="2163" t="s">
        <v>4</v>
      </c>
      <c r="I59" s="2164"/>
      <c r="J59" s="2163" t="s">
        <v>4</v>
      </c>
      <c r="K59" s="2164"/>
      <c r="L59" s="2163" t="s">
        <v>4</v>
      </c>
      <c r="M59" s="2164"/>
      <c r="N59" s="2163" t="s">
        <v>4</v>
      </c>
      <c r="O59" s="2164"/>
      <c r="P59" s="2163" t="s">
        <v>4</v>
      </c>
      <c r="Q59" s="2164"/>
      <c r="R59" s="2201" t="s">
        <v>4</v>
      </c>
      <c r="S59" s="2202"/>
      <c r="T59" s="2163" t="s">
        <v>4</v>
      </c>
      <c r="U59" s="2164"/>
      <c r="V59" s="2224"/>
      <c r="W59" s="794" t="s">
        <v>27</v>
      </c>
      <c r="X59" s="1235" t="s">
        <v>28</v>
      </c>
      <c r="Y59" s="794" t="s">
        <v>27</v>
      </c>
      <c r="Z59" s="2163" t="s">
        <v>4</v>
      </c>
      <c r="AA59" s="2164"/>
      <c r="AB59" s="860" t="s">
        <v>27</v>
      </c>
      <c r="AC59" s="2221" t="s">
        <v>4</v>
      </c>
      <c r="AD59" s="2222"/>
      <c r="AE59" s="2220"/>
      <c r="AF59" s="861" t="s">
        <v>356</v>
      </c>
      <c r="AG59" s="861" t="s">
        <v>461</v>
      </c>
      <c r="AH59" s="861" t="s">
        <v>460</v>
      </c>
      <c r="AI59" s="861" t="s">
        <v>458</v>
      </c>
      <c r="AJ59" s="861" t="s">
        <v>459</v>
      </c>
      <c r="AK59" s="861" t="s">
        <v>462</v>
      </c>
      <c r="AL59" s="862" t="s">
        <v>278</v>
      </c>
      <c r="AM59" s="861" t="s">
        <v>97</v>
      </c>
      <c r="AN59" s="2225"/>
      <c r="AO59" s="794" t="s">
        <v>29</v>
      </c>
      <c r="AP59" s="792" t="s">
        <v>30</v>
      </c>
      <c r="AQ59" s="792" t="s">
        <v>31</v>
      </c>
      <c r="AR59" s="792" t="s">
        <v>4</v>
      </c>
      <c r="AS59" s="792" t="s">
        <v>30</v>
      </c>
      <c r="AT59" s="792" t="s">
        <v>31</v>
      </c>
      <c r="AU59" s="792" t="s">
        <v>30</v>
      </c>
      <c r="AV59" s="792" t="s">
        <v>31</v>
      </c>
      <c r="AW59" s="794" t="s">
        <v>4</v>
      </c>
      <c r="AX59" s="792" t="s">
        <v>32</v>
      </c>
      <c r="AY59" s="2217"/>
      <c r="AZ59" s="2147"/>
      <c r="BA59" s="2147"/>
      <c r="BB59" s="2204"/>
      <c r="BC59" s="1425" t="s">
        <v>33</v>
      </c>
      <c r="BD59" s="2197" t="s">
        <v>42</v>
      </c>
      <c r="BE59" s="2199" t="s">
        <v>43</v>
      </c>
      <c r="BG59" s="796"/>
      <c r="BH59" s="789"/>
      <c r="BI59" s="789"/>
      <c r="BJ59" s="788"/>
      <c r="BK59" s="790"/>
      <c r="BL59" s="790"/>
      <c r="BM59" s="790"/>
      <c r="BN59" s="788"/>
      <c r="BO59" s="788"/>
    </row>
    <row r="60" spans="1:72" s="771" customFormat="1" ht="29.25" customHeight="1" thickBot="1">
      <c r="A60" s="2236"/>
      <c r="B60" s="2237"/>
      <c r="C60" s="2159"/>
      <c r="D60" s="863"/>
      <c r="E60" s="864"/>
      <c r="F60" s="955" t="s">
        <v>34</v>
      </c>
      <c r="G60" s="803" t="s">
        <v>34</v>
      </c>
      <c r="H60" s="865" t="s">
        <v>8</v>
      </c>
      <c r="I60" s="804" t="s">
        <v>34</v>
      </c>
      <c r="J60" s="865" t="s">
        <v>8</v>
      </c>
      <c r="K60" s="804" t="s">
        <v>34</v>
      </c>
      <c r="L60" s="865" t="s">
        <v>8</v>
      </c>
      <c r="M60" s="804" t="s">
        <v>34</v>
      </c>
      <c r="N60" s="865" t="s">
        <v>8</v>
      </c>
      <c r="O60" s="804" t="s">
        <v>34</v>
      </c>
      <c r="P60" s="865" t="s">
        <v>8</v>
      </c>
      <c r="Q60" s="804" t="s">
        <v>34</v>
      </c>
      <c r="R60" s="865" t="s">
        <v>8</v>
      </c>
      <c r="S60" s="804" t="s">
        <v>34</v>
      </c>
      <c r="T60" s="865" t="s">
        <v>8</v>
      </c>
      <c r="U60" s="804" t="s">
        <v>34</v>
      </c>
      <c r="V60" s="2237"/>
      <c r="W60" s="865" t="s">
        <v>26</v>
      </c>
      <c r="X60" s="865" t="s">
        <v>34</v>
      </c>
      <c r="Y60" s="865" t="s">
        <v>26</v>
      </c>
      <c r="Z60" s="865" t="s">
        <v>26</v>
      </c>
      <c r="AA60" s="865" t="s">
        <v>34</v>
      </c>
      <c r="AB60" s="865" t="s">
        <v>26</v>
      </c>
      <c r="AC60" s="865" t="s">
        <v>35</v>
      </c>
      <c r="AD60" s="865" t="s">
        <v>34</v>
      </c>
      <c r="AE60" s="865" t="s">
        <v>34</v>
      </c>
      <c r="AF60" s="804" t="s">
        <v>34</v>
      </c>
      <c r="AG60" s="804" t="s">
        <v>34</v>
      </c>
      <c r="AH60" s="804" t="s">
        <v>34</v>
      </c>
      <c r="AI60" s="804" t="s">
        <v>34</v>
      </c>
      <c r="AJ60" s="804" t="s">
        <v>34</v>
      </c>
      <c r="AK60" s="804" t="s">
        <v>34</v>
      </c>
      <c r="AL60" s="804" t="s">
        <v>34</v>
      </c>
      <c r="AM60" s="804" t="s">
        <v>34</v>
      </c>
      <c r="AN60" s="865" t="s">
        <v>34</v>
      </c>
      <c r="AO60" s="865" t="s">
        <v>34</v>
      </c>
      <c r="AP60" s="1235" t="s">
        <v>34</v>
      </c>
      <c r="AQ60" s="1235" t="s">
        <v>34</v>
      </c>
      <c r="AR60" s="804" t="s">
        <v>34</v>
      </c>
      <c r="AS60" s="804" t="s">
        <v>58</v>
      </c>
      <c r="AT60" s="804" t="s">
        <v>34</v>
      </c>
      <c r="AU60" s="804" t="s">
        <v>59</v>
      </c>
      <c r="AV60" s="804" t="s">
        <v>34</v>
      </c>
      <c r="AW60" s="804" t="s">
        <v>34</v>
      </c>
      <c r="AX60" s="804" t="s">
        <v>34</v>
      </c>
      <c r="AY60" s="2218"/>
      <c r="AZ60" s="2219"/>
      <c r="BA60" s="2148"/>
      <c r="BB60" s="2205"/>
      <c r="BC60" s="1434" t="s">
        <v>34</v>
      </c>
      <c r="BD60" s="2198"/>
      <c r="BE60" s="2200"/>
      <c r="BG60" s="788" t="s">
        <v>353</v>
      </c>
      <c r="BH60" s="799" t="s">
        <v>43</v>
      </c>
      <c r="BI60" s="799" t="s">
        <v>42</v>
      </c>
      <c r="BJ60" s="788" t="s">
        <v>354</v>
      </c>
      <c r="BK60" s="790" t="s">
        <v>358</v>
      </c>
      <c r="BL60" s="790"/>
      <c r="BM60" s="790"/>
      <c r="BN60" s="788"/>
      <c r="BO60" s="788"/>
    </row>
    <row r="61" spans="1:72" ht="59.25" customHeight="1">
      <c r="A61" s="806" t="s">
        <v>63</v>
      </c>
      <c r="B61" s="807" t="s">
        <v>36</v>
      </c>
      <c r="C61" s="866" t="s">
        <v>216</v>
      </c>
      <c r="D61" s="867" t="s">
        <v>153</v>
      </c>
      <c r="E61" s="1036">
        <f>'HK UP KEEP, OP '!AH63</f>
        <v>23</v>
      </c>
      <c r="F61" s="956">
        <v>129220</v>
      </c>
      <c r="G61" s="1452">
        <f>SUM(F61*E61)</f>
        <v>2972060</v>
      </c>
      <c r="H61" s="1427">
        <f>'HK UP KEEP, OP '!AI63</f>
        <v>1</v>
      </c>
      <c r="I61" s="1453">
        <f t="shared" ref="I61:I62" si="42">H61*F61</f>
        <v>129220</v>
      </c>
      <c r="J61" s="1427">
        <f>'HK UP KEEP, OP '!AJ63</f>
        <v>0</v>
      </c>
      <c r="K61" s="1453">
        <f t="shared" ref="K61:K62" si="43">J61*F61</f>
        <v>0</v>
      </c>
      <c r="L61" s="1427"/>
      <c r="M61" s="1453">
        <f t="shared" ref="M61:M62" si="44">L61*F61</f>
        <v>0</v>
      </c>
      <c r="N61" s="1427">
        <f>'HK UP KEEP, OP '!AL63</f>
        <v>4</v>
      </c>
      <c r="O61" s="1453">
        <f t="shared" ref="O61:O62" si="45">N61*F61</f>
        <v>516880</v>
      </c>
      <c r="P61" s="1427">
        <f>'HK UP KEEP, OP '!AM63</f>
        <v>3</v>
      </c>
      <c r="Q61" s="1453">
        <f t="shared" ref="Q61:Q62" si="46">P61*F61</f>
        <v>387660</v>
      </c>
      <c r="R61" s="1427"/>
      <c r="S61" s="1453">
        <f t="shared" ref="S61:S62" si="47">R61*F61</f>
        <v>0</v>
      </c>
      <c r="T61" s="1427">
        <f>'HK UP KEEP, OP '!AO63+'HK UP KEEP, OP '!AP63+'HK UP KEEP, OP '!AQ63</f>
        <v>0</v>
      </c>
      <c r="U61" s="1453">
        <f t="shared" ref="U61:U62" si="48">T61*F61</f>
        <v>0</v>
      </c>
      <c r="V61" s="1453">
        <f t="shared" ref="V61:V68" si="49">SUM(E61+H61+J61+L61+N61+P61+R61+T61)</f>
        <v>31</v>
      </c>
      <c r="W61" s="1377">
        <v>4650</v>
      </c>
      <c r="X61" s="1453">
        <f t="shared" ref="X61:X68" si="50">W61*V61</f>
        <v>144150</v>
      </c>
      <c r="Y61" s="1453">
        <v>3500</v>
      </c>
      <c r="Z61" s="1453">
        <f t="shared" ref="Z61:Z68" si="51">E61</f>
        <v>23</v>
      </c>
      <c r="AA61" s="1454">
        <f t="shared" ref="AA61:AA68" si="52">Z61*Y61</f>
        <v>80500</v>
      </c>
      <c r="AB61" s="1453">
        <v>2500</v>
      </c>
      <c r="AC61" s="1427">
        <f>'MASA KERJA AB'!H43</f>
        <v>14</v>
      </c>
      <c r="AD61" s="1455">
        <f>'MASA KERJA AB'!I43</f>
        <v>40000</v>
      </c>
      <c r="AE61" s="1377">
        <f>'LEMBUR DAN PREMI UPKEEP'!AJ43</f>
        <v>963547.96</v>
      </c>
      <c r="AF61" s="1454">
        <f>'PREMI ALAT'!AL28</f>
        <v>799692.5</v>
      </c>
      <c r="AG61" s="1454">
        <f>'PREMI ALAT'!AL32</f>
        <v>132500</v>
      </c>
      <c r="AH61" s="1454">
        <f>'PREMI ALAT'!AL36</f>
        <v>27087</v>
      </c>
      <c r="AI61" s="1453">
        <f>'PREMI ALAT'!AL37</f>
        <v>0</v>
      </c>
      <c r="AJ61" s="1453">
        <f>'PREMI ALAT'!AL39</f>
        <v>0</v>
      </c>
      <c r="AK61" s="1456"/>
      <c r="AL61" s="1453"/>
      <c r="AM61" s="1453"/>
      <c r="AN61" s="1453"/>
      <c r="AO61" s="1453">
        <f t="shared" ref="AO61:AO68" si="53">SUM(G61+I61+K61+M61+O61+Q61+S61+U61+X61+AA61+AD61+AE61+AF61+AG61+AH61+AI61+AJ61+AK61+AL61+AM61-AN61)</f>
        <v>6193297.46</v>
      </c>
      <c r="AP61" s="1427">
        <f t="shared" ref="AP61:AP68" si="54">$AP$56*0.02</f>
        <v>77532</v>
      </c>
      <c r="AQ61" s="1427">
        <f t="shared" ref="AQ61:AQ68" si="55">$AP$56*0.0454</f>
        <v>175997.64</v>
      </c>
      <c r="AR61" s="1427">
        <f t="shared" ref="AR61:AR68" si="56">SUM(AQ61+AP61)</f>
        <v>253529.64</v>
      </c>
      <c r="AS61" s="1427">
        <f t="shared" ref="AS61:AS68" si="57">($AP$56+AD61)*1%</f>
        <v>39166</v>
      </c>
      <c r="AT61" s="1427">
        <f t="shared" ref="AT61:AT68" si="58">($AP$56+AD61)*4%</f>
        <v>156664</v>
      </c>
      <c r="AU61" s="1427">
        <f t="shared" ref="AU61:AU68" si="59">$AP$56*1%</f>
        <v>38766</v>
      </c>
      <c r="AV61" s="1427">
        <f t="shared" ref="AV61:AV68" si="60">$AP$56*2%</f>
        <v>77532</v>
      </c>
      <c r="AW61" s="1427">
        <f t="shared" ref="AW61:AW68" si="61">SUM(AS61:AV61)</f>
        <v>312128</v>
      </c>
      <c r="AX61" s="1454">
        <v>4000</v>
      </c>
      <c r="AY61" s="1476">
        <v>54619</v>
      </c>
      <c r="AZ61" s="1453">
        <f t="shared" ref="AZ61:AZ68" si="62">AM61</f>
        <v>0</v>
      </c>
      <c r="BA61" s="1377"/>
      <c r="BB61" s="1377"/>
      <c r="BC61" s="1427">
        <f t="shared" ref="BC61:BC68" si="63">SUM(AO61-AP61-AS61-AU61-AX61-AY61-AZ61-BB61-BA61)</f>
        <v>5979214.46</v>
      </c>
      <c r="BD61" s="1263">
        <f>'HK UP KEEP, OP '!AS63</f>
        <v>0</v>
      </c>
      <c r="BE61" s="1260">
        <f>'HK UP KEEP, OP '!AT63</f>
        <v>0</v>
      </c>
      <c r="BG61" s="765">
        <f t="shared" ref="BG61:BG68" si="64">V61*F61</f>
        <v>4005820</v>
      </c>
      <c r="BH61" s="766">
        <f t="shared" ref="BH61:BH68" si="65">BD61*F61</f>
        <v>0</v>
      </c>
      <c r="BI61" s="766">
        <f t="shared" ref="BI61:BI68" si="66">BE61*F61</f>
        <v>0</v>
      </c>
      <c r="BJ61" s="765">
        <f t="shared" ref="BJ61:BJ68" si="67">-(BH61+BI61)</f>
        <v>0</v>
      </c>
      <c r="BK61" s="767">
        <f t="shared" ref="BK61:BK68" si="68">SUM(BG61:BI61)</f>
        <v>4005820</v>
      </c>
      <c r="BM61" s="767">
        <f t="shared" ref="BM61:BM68" si="69">X61+AA61+AD61+AE61+AF61+AG61+AH61+AI61+AJ61+AK61+AL61+AM61</f>
        <v>2187477.46</v>
      </c>
      <c r="BN61" s="765">
        <v>30575.999999999996</v>
      </c>
      <c r="BO61" s="765">
        <f t="shared" ref="BO61:BO68" si="70">BN61+AT61</f>
        <v>187240</v>
      </c>
    </row>
    <row r="62" spans="1:72" ht="59.25" customHeight="1">
      <c r="A62" s="811" t="s">
        <v>53</v>
      </c>
      <c r="B62" s="812" t="s">
        <v>36</v>
      </c>
      <c r="C62" s="868" t="s">
        <v>217</v>
      </c>
      <c r="D62" s="869" t="s">
        <v>154</v>
      </c>
      <c r="E62" s="1037">
        <f>'HK UP KEEP, OP '!AH64</f>
        <v>23</v>
      </c>
      <c r="F62" s="953">
        <v>129220</v>
      </c>
      <c r="G62" s="1457">
        <f>SUM(F62*E62)</f>
        <v>2972060</v>
      </c>
      <c r="H62" s="1386">
        <f>'HK UP KEEP, OP '!AI64</f>
        <v>1</v>
      </c>
      <c r="I62" s="1392">
        <f t="shared" si="42"/>
        <v>129220</v>
      </c>
      <c r="J62" s="1386">
        <f>'HK UP KEEP, OP '!AJ64</f>
        <v>0</v>
      </c>
      <c r="K62" s="1392">
        <f t="shared" si="43"/>
        <v>0</v>
      </c>
      <c r="L62" s="1386"/>
      <c r="M62" s="1392">
        <f t="shared" si="44"/>
        <v>0</v>
      </c>
      <c r="N62" s="1386">
        <f>'HK UP KEEP, OP '!AL64</f>
        <v>4</v>
      </c>
      <c r="O62" s="1392">
        <f t="shared" si="45"/>
        <v>516880</v>
      </c>
      <c r="P62" s="1386">
        <f>'HK UP KEEP, OP '!AM64</f>
        <v>3</v>
      </c>
      <c r="Q62" s="1392">
        <f t="shared" si="46"/>
        <v>387660</v>
      </c>
      <c r="R62" s="1386"/>
      <c r="S62" s="1392">
        <f t="shared" si="47"/>
        <v>0</v>
      </c>
      <c r="T62" s="1386">
        <f>'HK UP KEEP, OP '!AO64+'HK UP KEEP, OP '!AP64+'HK UP KEEP, OP '!AQ64</f>
        <v>0</v>
      </c>
      <c r="U62" s="1392">
        <f t="shared" si="48"/>
        <v>0</v>
      </c>
      <c r="V62" s="1392">
        <f t="shared" si="49"/>
        <v>31</v>
      </c>
      <c r="W62" s="1386">
        <v>3700</v>
      </c>
      <c r="X62" s="1392">
        <f t="shared" si="50"/>
        <v>114700</v>
      </c>
      <c r="Y62" s="1392">
        <v>2500</v>
      </c>
      <c r="Z62" s="1392">
        <f t="shared" si="51"/>
        <v>23</v>
      </c>
      <c r="AA62" s="1458">
        <f t="shared" si="52"/>
        <v>57500</v>
      </c>
      <c r="AB62" s="1392">
        <v>2500</v>
      </c>
      <c r="AC62" s="1386">
        <f>'MASA KERJA AB'!H44</f>
        <v>9</v>
      </c>
      <c r="AD62" s="1459">
        <f>'MASA KERJA AB'!I44</f>
        <v>24000</v>
      </c>
      <c r="AE62" s="1384">
        <f>'LEMBUR DAN PREMI UPKEEP'!AJ46</f>
        <v>851507.5</v>
      </c>
      <c r="AF62" s="1458">
        <f>'PREMI ALAT'!AL59</f>
        <v>636980</v>
      </c>
      <c r="AG62" s="1458">
        <f>'PREMI ALAT'!AL63</f>
        <v>120500</v>
      </c>
      <c r="AH62" s="1458">
        <f>'PREMI ALAT'!AL67</f>
        <v>22572.5</v>
      </c>
      <c r="AI62" s="1392">
        <f>'PREMI ALAT'!AL68</f>
        <v>0</v>
      </c>
      <c r="AJ62" s="1392">
        <f>'PREMI ALAT'!AL70</f>
        <v>0</v>
      </c>
      <c r="AK62" s="1460"/>
      <c r="AL62" s="1392"/>
      <c r="AM62" s="1392"/>
      <c r="AN62" s="1392"/>
      <c r="AO62" s="1392">
        <f t="shared" si="53"/>
        <v>5833580</v>
      </c>
      <c r="AP62" s="1386">
        <f t="shared" si="54"/>
        <v>77532</v>
      </c>
      <c r="AQ62" s="1386">
        <f t="shared" si="55"/>
        <v>175997.64</v>
      </c>
      <c r="AR62" s="1386">
        <f t="shared" si="56"/>
        <v>253529.64</v>
      </c>
      <c r="AS62" s="1386">
        <f t="shared" si="57"/>
        <v>39006</v>
      </c>
      <c r="AT62" s="1386">
        <f t="shared" si="58"/>
        <v>156024</v>
      </c>
      <c r="AU62" s="1386">
        <f t="shared" si="59"/>
        <v>38766</v>
      </c>
      <c r="AV62" s="1386">
        <f t="shared" si="60"/>
        <v>77532</v>
      </c>
      <c r="AW62" s="1386">
        <f t="shared" si="61"/>
        <v>311328</v>
      </c>
      <c r="AX62" s="1458">
        <v>4000</v>
      </c>
      <c r="AY62" s="1391">
        <v>86527</v>
      </c>
      <c r="AZ62" s="1392">
        <f t="shared" si="62"/>
        <v>0</v>
      </c>
      <c r="BA62" s="1384"/>
      <c r="BB62" s="1384"/>
      <c r="BC62" s="1386">
        <f t="shared" si="63"/>
        <v>5587749</v>
      </c>
      <c r="BD62" s="1037">
        <f>'HK UP KEEP, OP '!AS64</f>
        <v>0</v>
      </c>
      <c r="BE62" s="1262">
        <f>'HK UP KEEP, OP '!AT64</f>
        <v>0</v>
      </c>
      <c r="BG62" s="765">
        <f t="shared" si="64"/>
        <v>4005820</v>
      </c>
      <c r="BH62" s="766">
        <f t="shared" si="65"/>
        <v>0</v>
      </c>
      <c r="BI62" s="766">
        <f t="shared" si="66"/>
        <v>0</v>
      </c>
      <c r="BJ62" s="765">
        <f t="shared" si="67"/>
        <v>0</v>
      </c>
      <c r="BK62" s="767">
        <f t="shared" si="68"/>
        <v>4005820</v>
      </c>
      <c r="BM62" s="767">
        <f t="shared" si="69"/>
        <v>1827760</v>
      </c>
      <c r="BN62" s="765">
        <v>30575.999999999996</v>
      </c>
      <c r="BO62" s="765">
        <f t="shared" si="70"/>
        <v>186600</v>
      </c>
    </row>
    <row r="63" spans="1:72" ht="59.25" customHeight="1">
      <c r="A63" s="811" t="s">
        <v>64</v>
      </c>
      <c r="B63" s="812" t="s">
        <v>36</v>
      </c>
      <c r="C63" s="870" t="s">
        <v>219</v>
      </c>
      <c r="D63" s="871" t="s">
        <v>327</v>
      </c>
      <c r="E63" s="1037">
        <f>'HK UP KEEP, OP '!AH65</f>
        <v>22</v>
      </c>
      <c r="F63" s="953">
        <v>129220</v>
      </c>
      <c r="G63" s="1457">
        <f t="shared" ref="G63:G68" si="71">SUM(F63*E63)</f>
        <v>2842840</v>
      </c>
      <c r="H63" s="1386">
        <f>'HK UP KEEP, OP '!AI65</f>
        <v>1</v>
      </c>
      <c r="I63" s="1392">
        <f t="shared" ref="I63:I68" si="72">H63*F63</f>
        <v>129220</v>
      </c>
      <c r="J63" s="1386">
        <f>'HK UP KEEP, OP '!AJ65</f>
        <v>1</v>
      </c>
      <c r="K63" s="1392">
        <f t="shared" ref="K63:K68" si="73">J63*F63</f>
        <v>129220</v>
      </c>
      <c r="L63" s="1386"/>
      <c r="M63" s="1392">
        <f t="shared" ref="M63:M68" si="74">L63*F63</f>
        <v>0</v>
      </c>
      <c r="N63" s="1386">
        <f>'HK UP KEEP, OP '!AL65</f>
        <v>4</v>
      </c>
      <c r="O63" s="1392">
        <f t="shared" ref="O63:O68" si="75">N63*F63</f>
        <v>516880</v>
      </c>
      <c r="P63" s="1386">
        <f>'HK UP KEEP, OP '!AM65</f>
        <v>3</v>
      </c>
      <c r="Q63" s="1392">
        <f t="shared" ref="Q63:Q68" si="76">P63*F63</f>
        <v>387660</v>
      </c>
      <c r="R63" s="1386"/>
      <c r="S63" s="1392">
        <f t="shared" ref="S63:S68" si="77">R63*F63</f>
        <v>0</v>
      </c>
      <c r="T63" s="1386">
        <f>'HK UP KEEP, OP '!AO65+'HK UP KEEP, OP '!AP65+'HK UP KEEP, OP '!AQ65</f>
        <v>0</v>
      </c>
      <c r="U63" s="1392">
        <f t="shared" ref="U63:U68" si="78">T63*F63</f>
        <v>0</v>
      </c>
      <c r="V63" s="1392">
        <f t="shared" si="49"/>
        <v>31</v>
      </c>
      <c r="W63" s="1386">
        <v>4650</v>
      </c>
      <c r="X63" s="1392">
        <f t="shared" si="50"/>
        <v>144150</v>
      </c>
      <c r="Y63" s="1392">
        <v>3500</v>
      </c>
      <c r="Z63" s="1392">
        <f t="shared" si="51"/>
        <v>22</v>
      </c>
      <c r="AA63" s="1458">
        <f t="shared" si="52"/>
        <v>77000</v>
      </c>
      <c r="AB63" s="1461">
        <v>2500</v>
      </c>
      <c r="AC63" s="1386">
        <f>'MASA KERJA AB'!H45</f>
        <v>9</v>
      </c>
      <c r="AD63" s="1459">
        <f>'MASA KERJA AB'!I45</f>
        <v>24000</v>
      </c>
      <c r="AE63" s="1385">
        <f>'LEMBUR DAN PREMI UPKEEP'!AJ50</f>
        <v>1299669.32</v>
      </c>
      <c r="AF63" s="1459">
        <f>'PREMI ALAT'!AL96</f>
        <v>1539005</v>
      </c>
      <c r="AG63" s="1462">
        <f>'PREMI ALAT'!AL101</f>
        <v>258550</v>
      </c>
      <c r="AH63" s="1387">
        <f>'PREMI ALAT'!AL105</f>
        <v>102021.5</v>
      </c>
      <c r="AI63" s="1386">
        <f>'PREMI ALAT'!AL106</f>
        <v>0</v>
      </c>
      <c r="AJ63" s="1457">
        <f>'PREMI ALAT'!AL108</f>
        <v>0</v>
      </c>
      <c r="AK63" s="1460"/>
      <c r="AL63" s="1463"/>
      <c r="AM63" s="1392"/>
      <c r="AN63" s="1386"/>
      <c r="AO63" s="1392">
        <f t="shared" si="53"/>
        <v>7450215.8200000003</v>
      </c>
      <c r="AP63" s="1386">
        <f t="shared" si="54"/>
        <v>77532</v>
      </c>
      <c r="AQ63" s="1386">
        <f t="shared" si="55"/>
        <v>175997.64</v>
      </c>
      <c r="AR63" s="1386">
        <f t="shared" si="56"/>
        <v>253529.64</v>
      </c>
      <c r="AS63" s="1386">
        <f t="shared" si="57"/>
        <v>39006</v>
      </c>
      <c r="AT63" s="1386">
        <f t="shared" si="58"/>
        <v>156024</v>
      </c>
      <c r="AU63" s="1386">
        <f t="shared" si="59"/>
        <v>38766</v>
      </c>
      <c r="AV63" s="1386">
        <f t="shared" si="60"/>
        <v>77532</v>
      </c>
      <c r="AW63" s="1386">
        <f t="shared" si="61"/>
        <v>311328</v>
      </c>
      <c r="AX63" s="1458">
        <v>4000</v>
      </c>
      <c r="AY63" s="1391">
        <v>85388</v>
      </c>
      <c r="AZ63" s="1392">
        <f t="shared" si="62"/>
        <v>0</v>
      </c>
      <c r="BA63" s="1384"/>
      <c r="BB63" s="1384"/>
      <c r="BC63" s="1386">
        <f t="shared" si="63"/>
        <v>7205523.8200000003</v>
      </c>
      <c r="BD63" s="1037">
        <f>'HK UP KEEP, OP '!AS65</f>
        <v>0</v>
      </c>
      <c r="BE63" s="1262">
        <f>'HK UP KEEP, OP '!AT65</f>
        <v>0</v>
      </c>
      <c r="BG63" s="765">
        <f t="shared" si="64"/>
        <v>4005820</v>
      </c>
      <c r="BH63" s="766">
        <f t="shared" si="65"/>
        <v>0</v>
      </c>
      <c r="BI63" s="766">
        <f t="shared" si="66"/>
        <v>0</v>
      </c>
      <c r="BJ63" s="765">
        <f t="shared" si="67"/>
        <v>0</v>
      </c>
      <c r="BK63" s="767">
        <f t="shared" si="68"/>
        <v>4005820</v>
      </c>
      <c r="BM63" s="767">
        <f t="shared" si="69"/>
        <v>3444395.8200000003</v>
      </c>
      <c r="BN63" s="765">
        <v>30575.999999999996</v>
      </c>
      <c r="BO63" s="765">
        <f t="shared" si="70"/>
        <v>186600</v>
      </c>
    </row>
    <row r="64" spans="1:72" ht="59.25" customHeight="1">
      <c r="A64" s="811" t="s">
        <v>65</v>
      </c>
      <c r="B64" s="812" t="s">
        <v>36</v>
      </c>
      <c r="C64" s="817" t="s">
        <v>155</v>
      </c>
      <c r="D64" s="869" t="s">
        <v>99</v>
      </c>
      <c r="E64" s="1037">
        <f>'HK UP KEEP, OP '!AH66</f>
        <v>23</v>
      </c>
      <c r="F64" s="953">
        <v>129220</v>
      </c>
      <c r="G64" s="1457">
        <f t="shared" si="71"/>
        <v>2972060</v>
      </c>
      <c r="H64" s="1386">
        <f>'HK UP KEEP, OP '!AI66</f>
        <v>1</v>
      </c>
      <c r="I64" s="1392">
        <f t="shared" si="72"/>
        <v>129220</v>
      </c>
      <c r="J64" s="1386">
        <f>'HK UP KEEP, OP '!AJ66</f>
        <v>0</v>
      </c>
      <c r="K64" s="1392">
        <f t="shared" si="73"/>
        <v>0</v>
      </c>
      <c r="L64" s="1386"/>
      <c r="M64" s="1392">
        <f t="shared" si="74"/>
        <v>0</v>
      </c>
      <c r="N64" s="1386">
        <f>'HK UP KEEP, OP '!AL66</f>
        <v>4</v>
      </c>
      <c r="O64" s="1392">
        <f t="shared" si="75"/>
        <v>516880</v>
      </c>
      <c r="P64" s="1386">
        <f>'HK UP KEEP, OP '!AM66</f>
        <v>3</v>
      </c>
      <c r="Q64" s="1392">
        <f t="shared" si="76"/>
        <v>387660</v>
      </c>
      <c r="R64" s="1386"/>
      <c r="S64" s="1392">
        <f t="shared" si="77"/>
        <v>0</v>
      </c>
      <c r="T64" s="1386">
        <f>'HK UP KEEP, OP '!AO66+'HK UP KEEP, OP '!AP66+'HK UP KEEP, OP '!AQ66</f>
        <v>0</v>
      </c>
      <c r="U64" s="1392">
        <f t="shared" si="78"/>
        <v>0</v>
      </c>
      <c r="V64" s="1392">
        <f t="shared" si="49"/>
        <v>31</v>
      </c>
      <c r="W64" s="1384">
        <v>2250</v>
      </c>
      <c r="X64" s="1392">
        <f t="shared" si="50"/>
        <v>69750</v>
      </c>
      <c r="Y64" s="1386">
        <v>2500</v>
      </c>
      <c r="Z64" s="1392">
        <f t="shared" si="51"/>
        <v>23</v>
      </c>
      <c r="AA64" s="1458">
        <f t="shared" si="52"/>
        <v>57500</v>
      </c>
      <c r="AB64" s="1386">
        <v>2500</v>
      </c>
      <c r="AC64" s="1386">
        <f>'MASA KERJA AB'!H46</f>
        <v>9</v>
      </c>
      <c r="AD64" s="1459">
        <f>'MASA KERJA AB'!I46</f>
        <v>24000</v>
      </c>
      <c r="AE64" s="1385">
        <f>'LEMBUR DAN PREMI UPKEEP'!AJ54</f>
        <v>1456525.96</v>
      </c>
      <c r="AF64" s="1459">
        <f>'PREMI ALAT'!AL129</f>
        <v>1727132.5</v>
      </c>
      <c r="AG64" s="1462">
        <f>'PREMI ALAT'!AL134</f>
        <v>309549.99999999994</v>
      </c>
      <c r="AH64" s="1387">
        <f>'PREMI ALAT'!AL138</f>
        <v>106536</v>
      </c>
      <c r="AI64" s="1386">
        <f>'PREMI ALAT'!AL139</f>
        <v>0</v>
      </c>
      <c r="AJ64" s="1457">
        <f>'PREMI ALAT'!AL141</f>
        <v>0</v>
      </c>
      <c r="AK64" s="1460"/>
      <c r="AL64" s="1386"/>
      <c r="AM64" s="1392"/>
      <c r="AN64" s="1386"/>
      <c r="AO64" s="1392">
        <f t="shared" si="53"/>
        <v>7756814.46</v>
      </c>
      <c r="AP64" s="1386">
        <f t="shared" si="54"/>
        <v>77532</v>
      </c>
      <c r="AQ64" s="1386">
        <f t="shared" si="55"/>
        <v>175997.64</v>
      </c>
      <c r="AR64" s="1386">
        <f t="shared" si="56"/>
        <v>253529.64</v>
      </c>
      <c r="AS64" s="1386">
        <f t="shared" si="57"/>
        <v>39006</v>
      </c>
      <c r="AT64" s="1386">
        <f t="shared" si="58"/>
        <v>156024</v>
      </c>
      <c r="AU64" s="1386">
        <f t="shared" si="59"/>
        <v>38766</v>
      </c>
      <c r="AV64" s="1386">
        <f t="shared" si="60"/>
        <v>77532</v>
      </c>
      <c r="AW64" s="1386">
        <f t="shared" si="61"/>
        <v>311328</v>
      </c>
      <c r="AX64" s="1458">
        <v>4000</v>
      </c>
      <c r="AY64" s="1391">
        <v>154795</v>
      </c>
      <c r="AZ64" s="1392">
        <f t="shared" si="62"/>
        <v>0</v>
      </c>
      <c r="BA64" s="1384"/>
      <c r="BB64" s="1384"/>
      <c r="BC64" s="1386">
        <f t="shared" si="63"/>
        <v>7442715.46</v>
      </c>
      <c r="BD64" s="1037">
        <f>'HK UP KEEP, OP '!AS66</f>
        <v>0</v>
      </c>
      <c r="BE64" s="1262">
        <f>'HK UP KEEP, OP '!AT66</f>
        <v>0</v>
      </c>
      <c r="BG64" s="765">
        <f t="shared" si="64"/>
        <v>4005820</v>
      </c>
      <c r="BH64" s="766">
        <f t="shared" si="65"/>
        <v>0</v>
      </c>
      <c r="BI64" s="766">
        <f t="shared" si="66"/>
        <v>0</v>
      </c>
      <c r="BJ64" s="765">
        <f t="shared" si="67"/>
        <v>0</v>
      </c>
      <c r="BK64" s="767">
        <f t="shared" si="68"/>
        <v>4005820</v>
      </c>
      <c r="BM64" s="767">
        <f t="shared" si="69"/>
        <v>3750994.46</v>
      </c>
      <c r="BN64" s="765">
        <v>30575.999999999996</v>
      </c>
      <c r="BO64" s="765">
        <f t="shared" si="70"/>
        <v>186600</v>
      </c>
    </row>
    <row r="65" spans="1:67" ht="59.25" customHeight="1">
      <c r="A65" s="811" t="s">
        <v>66</v>
      </c>
      <c r="B65" s="812" t="s">
        <v>36</v>
      </c>
      <c r="C65" s="813" t="s">
        <v>150</v>
      </c>
      <c r="D65" s="871" t="s">
        <v>143</v>
      </c>
      <c r="E65" s="1037">
        <f>'HK UP KEEP, OP '!AH67</f>
        <v>22</v>
      </c>
      <c r="F65" s="953">
        <v>129220</v>
      </c>
      <c r="G65" s="1457">
        <f t="shared" si="71"/>
        <v>2842840</v>
      </c>
      <c r="H65" s="1386">
        <f>'HK UP KEEP, OP '!AI67</f>
        <v>2</v>
      </c>
      <c r="I65" s="1392">
        <f t="shared" si="72"/>
        <v>258440</v>
      </c>
      <c r="J65" s="1386">
        <f>'HK UP KEEP, OP '!AJ67</f>
        <v>0</v>
      </c>
      <c r="K65" s="1392">
        <f t="shared" si="73"/>
        <v>0</v>
      </c>
      <c r="L65" s="1386"/>
      <c r="M65" s="1392">
        <f t="shared" si="74"/>
        <v>0</v>
      </c>
      <c r="N65" s="1386">
        <f>'HK UP KEEP, OP '!AL67</f>
        <v>4</v>
      </c>
      <c r="O65" s="1392">
        <f t="shared" si="75"/>
        <v>516880</v>
      </c>
      <c r="P65" s="1386">
        <f>'HK UP KEEP, OP '!AM67</f>
        <v>3</v>
      </c>
      <c r="Q65" s="1392">
        <f t="shared" si="76"/>
        <v>387660</v>
      </c>
      <c r="R65" s="1386"/>
      <c r="S65" s="1392">
        <f t="shared" si="77"/>
        <v>0</v>
      </c>
      <c r="T65" s="1386">
        <f>'HK UP KEEP, OP '!AO67+'HK UP KEEP, OP '!AP67+'HK UP KEEP, OP '!AQ67</f>
        <v>0</v>
      </c>
      <c r="U65" s="1392">
        <f t="shared" si="78"/>
        <v>0</v>
      </c>
      <c r="V65" s="1392">
        <f t="shared" si="49"/>
        <v>31</v>
      </c>
      <c r="W65" s="1384">
        <v>4650</v>
      </c>
      <c r="X65" s="1392">
        <f t="shared" si="50"/>
        <v>144150</v>
      </c>
      <c r="Y65" s="1392">
        <v>3500</v>
      </c>
      <c r="Z65" s="1392">
        <f t="shared" si="51"/>
        <v>22</v>
      </c>
      <c r="AA65" s="1458">
        <f t="shared" si="52"/>
        <v>77000</v>
      </c>
      <c r="AB65" s="1386">
        <v>2500</v>
      </c>
      <c r="AC65" s="1386">
        <f>'MASA KERJA AB'!H47</f>
        <v>9</v>
      </c>
      <c r="AD65" s="1459">
        <f>'MASA KERJA AB'!I47</f>
        <v>24000</v>
      </c>
      <c r="AE65" s="1385">
        <f>'LEMBUR DAN PREMI UPKEEP'!AJ57</f>
        <v>2005524.16</v>
      </c>
      <c r="AF65" s="1384">
        <f>'PREMI ALAT'!AL167</f>
        <v>0</v>
      </c>
      <c r="AG65" s="1384">
        <f>'PREMI ALAT'!AL171</f>
        <v>0</v>
      </c>
      <c r="AH65" s="1464">
        <f>'PREMI ALAT'!AL175</f>
        <v>341166</v>
      </c>
      <c r="AI65" s="1386">
        <f>'PREMI ALAT'!AL176</f>
        <v>0</v>
      </c>
      <c r="AJ65" s="1457">
        <f>'PREMI ALAT'!AL178</f>
        <v>0</v>
      </c>
      <c r="AK65" s="1460"/>
      <c r="AL65" s="1386"/>
      <c r="AM65" s="1384"/>
      <c r="AN65" s="1384"/>
      <c r="AO65" s="1392">
        <f t="shared" si="53"/>
        <v>6597660.1600000001</v>
      </c>
      <c r="AP65" s="1386">
        <f t="shared" si="54"/>
        <v>77532</v>
      </c>
      <c r="AQ65" s="1386">
        <f t="shared" si="55"/>
        <v>175997.64</v>
      </c>
      <c r="AR65" s="1386">
        <f t="shared" si="56"/>
        <v>253529.64</v>
      </c>
      <c r="AS65" s="1386">
        <f t="shared" si="57"/>
        <v>39006</v>
      </c>
      <c r="AT65" s="1386">
        <f t="shared" si="58"/>
        <v>156024</v>
      </c>
      <c r="AU65" s="1386">
        <f t="shared" si="59"/>
        <v>38766</v>
      </c>
      <c r="AV65" s="1386">
        <f t="shared" si="60"/>
        <v>77532</v>
      </c>
      <c r="AW65" s="1386">
        <f t="shared" si="61"/>
        <v>311328</v>
      </c>
      <c r="AX65" s="1458">
        <v>4000</v>
      </c>
      <c r="AY65" s="1391">
        <v>76862</v>
      </c>
      <c r="AZ65" s="1392">
        <f t="shared" si="62"/>
        <v>0</v>
      </c>
      <c r="BA65" s="1384"/>
      <c r="BB65" s="1384"/>
      <c r="BC65" s="1386">
        <f t="shared" si="63"/>
        <v>6361494.1600000001</v>
      </c>
      <c r="BD65" s="1037">
        <f>'HK UP KEEP, OP '!AS67</f>
        <v>0</v>
      </c>
      <c r="BE65" s="1262">
        <f>'HK UP KEEP, OP '!AT67</f>
        <v>0</v>
      </c>
      <c r="BG65" s="765">
        <f t="shared" si="64"/>
        <v>4005820</v>
      </c>
      <c r="BH65" s="766">
        <f t="shared" si="65"/>
        <v>0</v>
      </c>
      <c r="BI65" s="766">
        <f t="shared" si="66"/>
        <v>0</v>
      </c>
      <c r="BJ65" s="765">
        <f t="shared" si="67"/>
        <v>0</v>
      </c>
      <c r="BK65" s="767">
        <f t="shared" si="68"/>
        <v>4005820</v>
      </c>
      <c r="BM65" s="767">
        <f t="shared" si="69"/>
        <v>2591840.16</v>
      </c>
      <c r="BN65" s="765">
        <v>30575.999999999996</v>
      </c>
      <c r="BO65" s="765">
        <f t="shared" si="70"/>
        <v>186600</v>
      </c>
    </row>
    <row r="66" spans="1:67" ht="59.25" customHeight="1">
      <c r="A66" s="811" t="s">
        <v>67</v>
      </c>
      <c r="B66" s="812" t="s">
        <v>36</v>
      </c>
      <c r="C66" s="813" t="s">
        <v>223</v>
      </c>
      <c r="D66" s="816" t="s">
        <v>282</v>
      </c>
      <c r="E66" s="1037">
        <f>'HK UP KEEP, OP '!AH68</f>
        <v>24</v>
      </c>
      <c r="F66" s="953">
        <v>129220</v>
      </c>
      <c r="G66" s="1457">
        <f t="shared" si="71"/>
        <v>3101280</v>
      </c>
      <c r="H66" s="1386">
        <f>'HK UP KEEP, OP '!AI68</f>
        <v>0</v>
      </c>
      <c r="I66" s="1392">
        <f t="shared" si="72"/>
        <v>0</v>
      </c>
      <c r="J66" s="1386">
        <f>'HK UP KEEP, OP '!AJ68</f>
        <v>0</v>
      </c>
      <c r="K66" s="1392">
        <f t="shared" si="73"/>
        <v>0</v>
      </c>
      <c r="L66" s="1386"/>
      <c r="M66" s="1392">
        <f t="shared" si="74"/>
        <v>0</v>
      </c>
      <c r="N66" s="1386">
        <f>'HK UP KEEP, OP '!AL68</f>
        <v>4</v>
      </c>
      <c r="O66" s="1392">
        <f t="shared" si="75"/>
        <v>516880</v>
      </c>
      <c r="P66" s="1386">
        <f>'HK UP KEEP, OP '!AM68</f>
        <v>3</v>
      </c>
      <c r="Q66" s="1392">
        <f t="shared" si="76"/>
        <v>387660</v>
      </c>
      <c r="R66" s="1386"/>
      <c r="S66" s="1392">
        <f t="shared" si="77"/>
        <v>0</v>
      </c>
      <c r="T66" s="1386">
        <f>'HK UP KEEP, OP '!AO68+'HK UP KEEP, OP '!AP68+'HK UP KEEP, OP '!AQ68</f>
        <v>0</v>
      </c>
      <c r="U66" s="1392">
        <f t="shared" si="78"/>
        <v>0</v>
      </c>
      <c r="V66" s="1392">
        <f t="shared" si="49"/>
        <v>31</v>
      </c>
      <c r="W66" s="1384">
        <v>4650</v>
      </c>
      <c r="X66" s="1392">
        <f t="shared" si="50"/>
        <v>144150</v>
      </c>
      <c r="Y66" s="1386">
        <v>2500</v>
      </c>
      <c r="Z66" s="1392">
        <f t="shared" si="51"/>
        <v>24</v>
      </c>
      <c r="AA66" s="1458">
        <f t="shared" si="52"/>
        <v>60000</v>
      </c>
      <c r="AB66" s="1385">
        <v>2500</v>
      </c>
      <c r="AC66" s="1386">
        <f>'MASA KERJA AB'!H48</f>
        <v>3</v>
      </c>
      <c r="AD66" s="1459">
        <f>'MASA KERJA AB'!I48</f>
        <v>7500</v>
      </c>
      <c r="AE66" s="1385">
        <f>'LEMBUR DAN PREMI UPKEEP'!AJ61</f>
        <v>2296829.34</v>
      </c>
      <c r="AF66" s="1384">
        <f>'PREMI ALAT'!AL198</f>
        <v>0</v>
      </c>
      <c r="AG66" s="1384">
        <f>'PREMI ALAT'!AL202</f>
        <v>0</v>
      </c>
      <c r="AH66" s="1464">
        <f>'PREMI ALAT'!AL206</f>
        <v>391716</v>
      </c>
      <c r="AI66" s="1386">
        <f>'PREMI ALAT'!AL207</f>
        <v>0</v>
      </c>
      <c r="AJ66" s="1388">
        <f>'PREMI ALAT'!AL209</f>
        <v>0</v>
      </c>
      <c r="AK66" s="1460"/>
      <c r="AL66" s="1391">
        <v>250000</v>
      </c>
      <c r="AM66" s="1384"/>
      <c r="AN66" s="1384"/>
      <c r="AO66" s="1392">
        <f t="shared" si="53"/>
        <v>7156015.3399999999</v>
      </c>
      <c r="AP66" s="1386">
        <f t="shared" si="54"/>
        <v>77532</v>
      </c>
      <c r="AQ66" s="1386">
        <f t="shared" si="55"/>
        <v>175997.64</v>
      </c>
      <c r="AR66" s="1386">
        <f t="shared" si="56"/>
        <v>253529.64</v>
      </c>
      <c r="AS66" s="1386">
        <f t="shared" si="57"/>
        <v>38841</v>
      </c>
      <c r="AT66" s="1386">
        <f t="shared" si="58"/>
        <v>155364</v>
      </c>
      <c r="AU66" s="1386">
        <f t="shared" si="59"/>
        <v>38766</v>
      </c>
      <c r="AV66" s="1386">
        <f t="shared" si="60"/>
        <v>77532</v>
      </c>
      <c r="AW66" s="1386">
        <f t="shared" si="61"/>
        <v>310503</v>
      </c>
      <c r="AX66" s="1458">
        <v>4000</v>
      </c>
      <c r="AY66" s="1391">
        <v>79439</v>
      </c>
      <c r="AZ66" s="1392">
        <f t="shared" si="62"/>
        <v>0</v>
      </c>
      <c r="BA66" s="1384"/>
      <c r="BB66" s="1384"/>
      <c r="BC66" s="1386">
        <f t="shared" si="63"/>
        <v>6917437.3399999999</v>
      </c>
      <c r="BD66" s="1037">
        <f>'HK UP KEEP, OP '!AS68</f>
        <v>0</v>
      </c>
      <c r="BE66" s="1262">
        <f>'HK UP KEEP, OP '!AT68</f>
        <v>0</v>
      </c>
      <c r="BG66" s="765">
        <f t="shared" si="64"/>
        <v>4005820</v>
      </c>
      <c r="BH66" s="766">
        <f t="shared" si="65"/>
        <v>0</v>
      </c>
      <c r="BI66" s="766">
        <f t="shared" si="66"/>
        <v>0</v>
      </c>
      <c r="BJ66" s="765">
        <f t="shared" si="67"/>
        <v>0</v>
      </c>
      <c r="BK66" s="767">
        <f t="shared" si="68"/>
        <v>4005820</v>
      </c>
      <c r="BM66" s="767">
        <f t="shared" si="69"/>
        <v>3150195.34</v>
      </c>
      <c r="BN66" s="765">
        <v>30575.999999999996</v>
      </c>
      <c r="BO66" s="765">
        <f t="shared" si="70"/>
        <v>185940</v>
      </c>
    </row>
    <row r="67" spans="1:67" ht="59.25" customHeight="1">
      <c r="A67" s="811" t="s">
        <v>68</v>
      </c>
      <c r="B67" s="812" t="s">
        <v>36</v>
      </c>
      <c r="C67" s="870" t="s">
        <v>604</v>
      </c>
      <c r="D67" s="871" t="s">
        <v>560</v>
      </c>
      <c r="E67" s="1037">
        <f>'HK UP KEEP, OP '!AH69</f>
        <v>21</v>
      </c>
      <c r="F67" s="953">
        <v>129220</v>
      </c>
      <c r="G67" s="1457">
        <f t="shared" si="71"/>
        <v>2713620</v>
      </c>
      <c r="H67" s="1386">
        <f>'HK UP KEEP, OP '!AI69</f>
        <v>2</v>
      </c>
      <c r="I67" s="1392">
        <f t="shared" si="72"/>
        <v>258440</v>
      </c>
      <c r="J67" s="1386">
        <f>'HK UP KEEP, OP '!AJ69</f>
        <v>1</v>
      </c>
      <c r="K67" s="1392">
        <f t="shared" si="73"/>
        <v>129220</v>
      </c>
      <c r="L67" s="1386"/>
      <c r="M67" s="1392">
        <f t="shared" si="74"/>
        <v>0</v>
      </c>
      <c r="N67" s="1386">
        <f>'HK UP KEEP, OP '!AL69</f>
        <v>4</v>
      </c>
      <c r="O67" s="1392">
        <f t="shared" si="75"/>
        <v>516880</v>
      </c>
      <c r="P67" s="1386">
        <f>'HK UP KEEP, OP '!AM69</f>
        <v>3</v>
      </c>
      <c r="Q67" s="1392">
        <f t="shared" si="76"/>
        <v>387660</v>
      </c>
      <c r="R67" s="1386"/>
      <c r="S67" s="1392">
        <f t="shared" si="77"/>
        <v>0</v>
      </c>
      <c r="T67" s="1386">
        <f>'HK UP KEEP, OP '!AO69+'HK UP KEEP, OP '!AP69+'HK UP KEEP, OP '!AQ69</f>
        <v>0</v>
      </c>
      <c r="U67" s="1392">
        <f t="shared" si="78"/>
        <v>0</v>
      </c>
      <c r="V67" s="1392">
        <f t="shared" si="49"/>
        <v>31</v>
      </c>
      <c r="W67" s="1384">
        <v>4200</v>
      </c>
      <c r="X67" s="1392">
        <f t="shared" si="50"/>
        <v>130200</v>
      </c>
      <c r="Y67" s="1392">
        <v>3500</v>
      </c>
      <c r="Z67" s="1392">
        <f t="shared" si="51"/>
        <v>21</v>
      </c>
      <c r="AA67" s="1458">
        <f t="shared" si="52"/>
        <v>73500</v>
      </c>
      <c r="AB67" s="1461">
        <v>2500</v>
      </c>
      <c r="AC67" s="1386">
        <f>'MASA KERJA AB'!H49</f>
        <v>11</v>
      </c>
      <c r="AD67" s="1459">
        <f>'MASA KERJA AB'!I49</f>
        <v>30000</v>
      </c>
      <c r="AE67" s="1385">
        <f>'LEMBUR DAN PREMI UPKEEP'!AJ64</f>
        <v>1512546.18</v>
      </c>
      <c r="AF67" s="1459">
        <f>'PREMI ALAT'!AL235</f>
        <v>980405.00000000012</v>
      </c>
      <c r="AG67" s="1462">
        <f>'PREMI ALAT'!AL240</f>
        <v>338200</v>
      </c>
      <c r="AH67" s="1387">
        <f>'PREMI ALAT'!AL244</f>
        <v>25275</v>
      </c>
      <c r="AI67" s="1386">
        <f>'PREMI ALAT'!AL245</f>
        <v>0</v>
      </c>
      <c r="AJ67" s="1457">
        <f>'PREMI ALAT'!AL247</f>
        <v>0</v>
      </c>
      <c r="AK67" s="1460"/>
      <c r="AL67" s="1386"/>
      <c r="AM67" s="1392"/>
      <c r="AN67" s="1386"/>
      <c r="AO67" s="1392">
        <f t="shared" si="53"/>
        <v>7095946.1799999997</v>
      </c>
      <c r="AP67" s="1386">
        <f t="shared" si="54"/>
        <v>77532</v>
      </c>
      <c r="AQ67" s="1386">
        <f t="shared" si="55"/>
        <v>175997.64</v>
      </c>
      <c r="AR67" s="1386">
        <f t="shared" si="56"/>
        <v>253529.64</v>
      </c>
      <c r="AS67" s="1386">
        <f t="shared" si="57"/>
        <v>39066</v>
      </c>
      <c r="AT67" s="1386">
        <f t="shared" si="58"/>
        <v>156264</v>
      </c>
      <c r="AU67" s="1386">
        <f t="shared" si="59"/>
        <v>38766</v>
      </c>
      <c r="AV67" s="1386">
        <f t="shared" si="60"/>
        <v>77532</v>
      </c>
      <c r="AW67" s="1386">
        <f t="shared" si="61"/>
        <v>311628</v>
      </c>
      <c r="AX67" s="1458">
        <v>4000</v>
      </c>
      <c r="AY67" s="1391">
        <v>81848</v>
      </c>
      <c r="AZ67" s="1392">
        <f t="shared" si="62"/>
        <v>0</v>
      </c>
      <c r="BA67" s="1384"/>
      <c r="BB67" s="1384"/>
      <c r="BC67" s="1386">
        <f t="shared" si="63"/>
        <v>6854734.1799999997</v>
      </c>
      <c r="BD67" s="1037">
        <f>'HK UP KEEP, OP '!AS69</f>
        <v>0</v>
      </c>
      <c r="BE67" s="1262">
        <f>'HK UP KEEP, OP '!AT69</f>
        <v>0</v>
      </c>
      <c r="BG67" s="765">
        <f t="shared" si="64"/>
        <v>4005820</v>
      </c>
      <c r="BH67" s="766">
        <f t="shared" si="65"/>
        <v>0</v>
      </c>
      <c r="BI67" s="766">
        <f t="shared" si="66"/>
        <v>0</v>
      </c>
      <c r="BJ67" s="765">
        <f t="shared" si="67"/>
        <v>0</v>
      </c>
      <c r="BK67" s="767">
        <f t="shared" si="68"/>
        <v>4005820</v>
      </c>
      <c r="BM67" s="767">
        <f t="shared" si="69"/>
        <v>3090126.18</v>
      </c>
      <c r="BN67" s="765">
        <v>30575.999999999996</v>
      </c>
      <c r="BO67" s="765">
        <f t="shared" si="70"/>
        <v>186840</v>
      </c>
    </row>
    <row r="68" spans="1:67" ht="59.25" customHeight="1" thickBot="1">
      <c r="A68" s="811" t="s">
        <v>69</v>
      </c>
      <c r="B68" s="819" t="s">
        <v>36</v>
      </c>
      <c r="C68" s="872" t="s">
        <v>605</v>
      </c>
      <c r="D68" s="873" t="s">
        <v>561</v>
      </c>
      <c r="E68" s="1038">
        <f>'HK UP KEEP, OP '!AH70</f>
        <v>22</v>
      </c>
      <c r="F68" s="953">
        <v>129220</v>
      </c>
      <c r="G68" s="1457">
        <f t="shared" si="71"/>
        <v>2842840</v>
      </c>
      <c r="H68" s="1386">
        <f>'HK UP KEEP, OP '!AI70</f>
        <v>1</v>
      </c>
      <c r="I68" s="1392">
        <f t="shared" si="72"/>
        <v>129220</v>
      </c>
      <c r="J68" s="1393">
        <f>'HK UP KEEP, OP '!AJ70</f>
        <v>0</v>
      </c>
      <c r="K68" s="1392">
        <f t="shared" si="73"/>
        <v>0</v>
      </c>
      <c r="L68" s="1386"/>
      <c r="M68" s="1392">
        <f t="shared" si="74"/>
        <v>0</v>
      </c>
      <c r="N68" s="1386">
        <f>'HK UP KEEP, OP '!AL70</f>
        <v>4</v>
      </c>
      <c r="O68" s="1392">
        <f t="shared" si="75"/>
        <v>516880</v>
      </c>
      <c r="P68" s="1386">
        <f>'HK UP KEEP, OP '!AM70</f>
        <v>3</v>
      </c>
      <c r="Q68" s="1392">
        <f t="shared" si="76"/>
        <v>387660</v>
      </c>
      <c r="R68" s="1386"/>
      <c r="S68" s="1392">
        <f t="shared" si="77"/>
        <v>0</v>
      </c>
      <c r="T68" s="1393">
        <f>'HK UP KEEP, OP '!AO70+'HK UP KEEP, OP '!AP70+'HK UP KEEP, OP '!AQ70</f>
        <v>0</v>
      </c>
      <c r="U68" s="1392">
        <f t="shared" si="78"/>
        <v>0</v>
      </c>
      <c r="V68" s="1465">
        <f t="shared" si="49"/>
        <v>30</v>
      </c>
      <c r="W68" s="1466">
        <v>2250</v>
      </c>
      <c r="X68" s="1465">
        <f t="shared" si="50"/>
        <v>67500</v>
      </c>
      <c r="Y68" s="1386">
        <v>2500</v>
      </c>
      <c r="Z68" s="1465">
        <f t="shared" si="51"/>
        <v>22</v>
      </c>
      <c r="AA68" s="1467">
        <f t="shared" si="52"/>
        <v>55000</v>
      </c>
      <c r="AB68" s="1393">
        <v>2500</v>
      </c>
      <c r="AC68" s="1393">
        <f>'MASA KERJA AB'!H50</f>
        <v>10</v>
      </c>
      <c r="AD68" s="1468">
        <f>'MASA KERJA AB'!I50</f>
        <v>27000</v>
      </c>
      <c r="AE68" s="1469">
        <f>'LEMBUR DAN PREMI UPKEEP'!AJ67</f>
        <v>1590974.5</v>
      </c>
      <c r="AF68" s="1468">
        <f>'PREMI ALAT'!AL267</f>
        <v>1023990</v>
      </c>
      <c r="AG68" s="1470">
        <f>'PREMI ALAT'!AL272</f>
        <v>332210</v>
      </c>
      <c r="AH68" s="1471">
        <f>'PREMI ALAT'!AL276</f>
        <v>20760.5</v>
      </c>
      <c r="AI68" s="1393">
        <f>'PREMI ALAT'!AL277</f>
        <v>0</v>
      </c>
      <c r="AJ68" s="1472">
        <f>'PREMI ALAT'!AL279</f>
        <v>0</v>
      </c>
      <c r="AK68" s="1473"/>
      <c r="AL68" s="1393"/>
      <c r="AM68" s="1393"/>
      <c r="AN68" s="1393"/>
      <c r="AO68" s="1465">
        <f t="shared" si="53"/>
        <v>6994035</v>
      </c>
      <c r="AP68" s="1393">
        <f t="shared" si="54"/>
        <v>77532</v>
      </c>
      <c r="AQ68" s="1393">
        <f t="shared" si="55"/>
        <v>175997.64</v>
      </c>
      <c r="AR68" s="1393">
        <f t="shared" si="56"/>
        <v>253529.64</v>
      </c>
      <c r="AS68" s="1393">
        <f t="shared" si="57"/>
        <v>39036</v>
      </c>
      <c r="AT68" s="1393">
        <f t="shared" si="58"/>
        <v>156144</v>
      </c>
      <c r="AU68" s="1393">
        <f t="shared" si="59"/>
        <v>38766</v>
      </c>
      <c r="AV68" s="1393">
        <f t="shared" si="60"/>
        <v>77532</v>
      </c>
      <c r="AW68" s="1393">
        <f t="shared" si="61"/>
        <v>311478</v>
      </c>
      <c r="AX68" s="1467">
        <v>4000</v>
      </c>
      <c r="AY68" s="1474">
        <v>92284</v>
      </c>
      <c r="AZ68" s="1465">
        <f t="shared" si="62"/>
        <v>0</v>
      </c>
      <c r="BA68" s="1466"/>
      <c r="BB68" s="1466"/>
      <c r="BC68" s="1393">
        <f t="shared" si="63"/>
        <v>6742417</v>
      </c>
      <c r="BD68" s="1037">
        <f>'HK UP KEEP, OP '!AS70</f>
        <v>0</v>
      </c>
      <c r="BE68" s="1262">
        <f>'HK UP KEEP, OP '!AT70</f>
        <v>1</v>
      </c>
      <c r="BG68" s="765">
        <f t="shared" si="64"/>
        <v>3876600</v>
      </c>
      <c r="BH68" s="766">
        <f t="shared" si="65"/>
        <v>0</v>
      </c>
      <c r="BI68" s="766">
        <f t="shared" si="66"/>
        <v>129220</v>
      </c>
      <c r="BJ68" s="765">
        <f t="shared" si="67"/>
        <v>-129220</v>
      </c>
      <c r="BK68" s="767">
        <f t="shared" si="68"/>
        <v>4005820</v>
      </c>
      <c r="BM68" s="767">
        <f t="shared" si="69"/>
        <v>3117435</v>
      </c>
      <c r="BN68" s="765">
        <v>30575.999999999996</v>
      </c>
      <c r="BO68" s="765">
        <f t="shared" si="70"/>
        <v>186720</v>
      </c>
    </row>
    <row r="69" spans="1:67" s="768" customFormat="1" ht="74.25" customHeight="1" thickBot="1">
      <c r="A69" s="2165" t="s">
        <v>38</v>
      </c>
      <c r="B69" s="2166"/>
      <c r="C69" s="2166"/>
      <c r="D69" s="2167"/>
      <c r="E69" s="1110">
        <f>SUM(E61:E68)</f>
        <v>180</v>
      </c>
      <c r="F69" s="1110">
        <f t="shared" ref="F69:BE69" si="79">SUM(F61:F68)</f>
        <v>1033760</v>
      </c>
      <c r="G69" s="1435">
        <f t="shared" si="79"/>
        <v>23259600</v>
      </c>
      <c r="H69" s="1435">
        <f t="shared" si="79"/>
        <v>9</v>
      </c>
      <c r="I69" s="1435">
        <f t="shared" si="79"/>
        <v>1162980</v>
      </c>
      <c r="J69" s="1435">
        <f t="shared" si="79"/>
        <v>2</v>
      </c>
      <c r="K69" s="1435">
        <f t="shared" si="79"/>
        <v>258440</v>
      </c>
      <c r="L69" s="1435">
        <f t="shared" si="79"/>
        <v>0</v>
      </c>
      <c r="M69" s="1435">
        <f t="shared" si="79"/>
        <v>0</v>
      </c>
      <c r="N69" s="1435">
        <f t="shared" si="79"/>
        <v>32</v>
      </c>
      <c r="O69" s="1435">
        <f t="shared" si="79"/>
        <v>4135040</v>
      </c>
      <c r="P69" s="1435">
        <f t="shared" si="79"/>
        <v>24</v>
      </c>
      <c r="Q69" s="1435">
        <f t="shared" si="79"/>
        <v>3101280</v>
      </c>
      <c r="R69" s="1435">
        <f t="shared" si="79"/>
        <v>0</v>
      </c>
      <c r="S69" s="1435">
        <f t="shared" si="79"/>
        <v>0</v>
      </c>
      <c r="T69" s="1435">
        <f t="shared" si="79"/>
        <v>0</v>
      </c>
      <c r="U69" s="1435">
        <f t="shared" si="79"/>
        <v>0</v>
      </c>
      <c r="V69" s="1435">
        <f t="shared" si="79"/>
        <v>247</v>
      </c>
      <c r="W69" s="1435">
        <f t="shared" si="79"/>
        <v>31000</v>
      </c>
      <c r="X69" s="1435">
        <f t="shared" si="79"/>
        <v>958750</v>
      </c>
      <c r="Y69" s="1435">
        <f t="shared" si="79"/>
        <v>24000</v>
      </c>
      <c r="Z69" s="1435">
        <f t="shared" si="79"/>
        <v>180</v>
      </c>
      <c r="AA69" s="1435">
        <f t="shared" si="79"/>
        <v>538000</v>
      </c>
      <c r="AB69" s="1435">
        <f t="shared" si="79"/>
        <v>20000</v>
      </c>
      <c r="AC69" s="1435">
        <f t="shared" si="79"/>
        <v>74</v>
      </c>
      <c r="AD69" s="1435">
        <f t="shared" si="79"/>
        <v>200500</v>
      </c>
      <c r="AE69" s="1435">
        <f t="shared" si="79"/>
        <v>11977124.92</v>
      </c>
      <c r="AF69" s="1435">
        <f t="shared" si="79"/>
        <v>6707205</v>
      </c>
      <c r="AG69" s="1435">
        <f t="shared" si="79"/>
        <v>1491510</v>
      </c>
      <c r="AH69" s="1435">
        <f t="shared" si="79"/>
        <v>1037134.5</v>
      </c>
      <c r="AI69" s="1435">
        <f t="shared" si="79"/>
        <v>0</v>
      </c>
      <c r="AJ69" s="1435">
        <f t="shared" si="79"/>
        <v>0</v>
      </c>
      <c r="AK69" s="1435">
        <f t="shared" si="79"/>
        <v>0</v>
      </c>
      <c r="AL69" s="1435">
        <f t="shared" si="79"/>
        <v>250000</v>
      </c>
      <c r="AM69" s="1435">
        <f t="shared" si="79"/>
        <v>0</v>
      </c>
      <c r="AN69" s="1435">
        <f t="shared" si="79"/>
        <v>0</v>
      </c>
      <c r="AO69" s="1435">
        <f t="shared" si="79"/>
        <v>55077564.420000009</v>
      </c>
      <c r="AP69" s="1435">
        <f t="shared" si="79"/>
        <v>620256</v>
      </c>
      <c r="AQ69" s="1435">
        <f t="shared" si="79"/>
        <v>1407981.12</v>
      </c>
      <c r="AR69" s="1435">
        <f t="shared" si="79"/>
        <v>2028237.1200000006</v>
      </c>
      <c r="AS69" s="1435">
        <f t="shared" si="79"/>
        <v>312133</v>
      </c>
      <c r="AT69" s="1435">
        <f t="shared" si="79"/>
        <v>1248532</v>
      </c>
      <c r="AU69" s="1435">
        <f t="shared" si="79"/>
        <v>310128</v>
      </c>
      <c r="AV69" s="1435">
        <f t="shared" si="79"/>
        <v>620256</v>
      </c>
      <c r="AW69" s="1435">
        <f t="shared" si="79"/>
        <v>2491049</v>
      </c>
      <c r="AX69" s="1435">
        <f t="shared" si="79"/>
        <v>32000</v>
      </c>
      <c r="AY69" s="1435">
        <f t="shared" si="79"/>
        <v>711762</v>
      </c>
      <c r="AZ69" s="1435">
        <f t="shared" si="79"/>
        <v>0</v>
      </c>
      <c r="BA69" s="1435">
        <f t="shared" si="79"/>
        <v>0</v>
      </c>
      <c r="BB69" s="1435">
        <f t="shared" si="79"/>
        <v>0</v>
      </c>
      <c r="BC69" s="1435">
        <f t="shared" si="79"/>
        <v>53091285.420000002</v>
      </c>
      <c r="BD69" s="1110">
        <f t="shared" si="79"/>
        <v>0</v>
      </c>
      <c r="BE69" s="1110">
        <f t="shared" si="79"/>
        <v>1</v>
      </c>
      <c r="BF69" s="1111"/>
      <c r="BG69" s="829">
        <f t="shared" ref="BG69:BO69" si="80">SUM(BG61:BG68)</f>
        <v>31917340</v>
      </c>
      <c r="BH69" s="829">
        <f t="shared" si="80"/>
        <v>0</v>
      </c>
      <c r="BI69" s="829">
        <f t="shared" si="80"/>
        <v>129220</v>
      </c>
      <c r="BJ69" s="829">
        <f t="shared" si="80"/>
        <v>-129220</v>
      </c>
      <c r="BK69" s="829">
        <f t="shared" si="80"/>
        <v>32046560</v>
      </c>
      <c r="BL69" s="829">
        <f t="shared" si="80"/>
        <v>0</v>
      </c>
      <c r="BM69" s="829">
        <f t="shared" si="80"/>
        <v>23160224.420000002</v>
      </c>
      <c r="BN69" s="829">
        <f t="shared" si="80"/>
        <v>244607.99999999997</v>
      </c>
      <c r="BO69" s="829">
        <f t="shared" si="80"/>
        <v>1493140</v>
      </c>
    </row>
    <row r="70" spans="1:67" s="770" customFormat="1" ht="24.75" customHeight="1">
      <c r="A70" s="875"/>
      <c r="B70" s="875"/>
      <c r="C70" s="876"/>
      <c r="D70" s="875"/>
      <c r="E70" s="877"/>
      <c r="F70" s="878"/>
      <c r="G70" s="878"/>
      <c r="H70" s="877"/>
      <c r="I70" s="877"/>
      <c r="J70" s="877"/>
      <c r="K70" s="877"/>
      <c r="L70" s="877"/>
      <c r="M70" s="877"/>
      <c r="N70" s="877"/>
      <c r="O70" s="877"/>
      <c r="P70" s="877"/>
      <c r="Q70" s="877"/>
      <c r="R70" s="877"/>
      <c r="S70" s="877"/>
      <c r="T70" s="877"/>
      <c r="U70" s="877"/>
      <c r="V70" s="1039">
        <f>'HK UP KEEP, OP '!AR72</f>
        <v>247</v>
      </c>
      <c r="W70" s="1040" t="s">
        <v>272</v>
      </c>
      <c r="X70" s="1039"/>
      <c r="Y70" s="877"/>
      <c r="Z70" s="877"/>
      <c r="AA70" s="877"/>
      <c r="AB70" s="877"/>
      <c r="AC70" s="877"/>
      <c r="AD70" s="877"/>
      <c r="AE70" s="1039">
        <f>'LEMBUR DAN PREMI UPKEEP'!AJ69</f>
        <v>11977124.92</v>
      </c>
      <c r="AF70" s="1039"/>
      <c r="AG70" s="1043">
        <f>SUM(AF69:AH69)</f>
        <v>9235849.5</v>
      </c>
      <c r="AH70" s="877"/>
      <c r="AI70" s="877"/>
      <c r="AJ70" s="877"/>
      <c r="AK70" s="877"/>
      <c r="AL70" s="877"/>
      <c r="AM70" s="1039">
        <f>316230+262980+522720+519580+403500+454010</f>
        <v>2479020</v>
      </c>
      <c r="AN70" s="877"/>
      <c r="AO70" s="877"/>
      <c r="AP70" s="877"/>
      <c r="AQ70" s="877"/>
      <c r="AR70" s="877"/>
      <c r="AS70" s="877"/>
      <c r="AT70" s="877"/>
      <c r="AU70" s="877"/>
      <c r="AV70" s="877"/>
      <c r="AW70" s="877"/>
      <c r="AX70" s="877"/>
      <c r="AY70" s="877"/>
      <c r="AZ70" s="877"/>
      <c r="BA70" s="877"/>
      <c r="BB70" s="877"/>
      <c r="BC70" s="1436"/>
      <c r="BD70" s="879"/>
      <c r="BE70" s="879"/>
      <c r="BG70" s="827"/>
      <c r="BH70" s="826"/>
      <c r="BI70" s="826"/>
      <c r="BJ70" s="827"/>
      <c r="BK70" s="828"/>
      <c r="BL70" s="828"/>
      <c r="BM70" s="828">
        <f>BG69+BM69</f>
        <v>55077564.420000002</v>
      </c>
      <c r="BN70" s="827"/>
      <c r="BO70" s="827"/>
    </row>
    <row r="71" spans="1:67" s="768" customFormat="1" ht="21.75" customHeight="1">
      <c r="A71" s="768" t="s">
        <v>87</v>
      </c>
      <c r="B71" s="1139"/>
      <c r="C71" s="830"/>
      <c r="D71" s="831"/>
      <c r="E71" s="880"/>
      <c r="F71" s="957"/>
      <c r="G71" s="881"/>
      <c r="H71" s="880"/>
      <c r="I71" s="880"/>
      <c r="J71" s="880"/>
      <c r="K71" s="880"/>
      <c r="L71" s="880"/>
      <c r="M71" s="880"/>
      <c r="N71" s="880"/>
      <c r="O71" s="880"/>
      <c r="P71" s="880"/>
      <c r="Q71" s="880"/>
      <c r="R71" s="880"/>
      <c r="S71" s="880"/>
      <c r="T71" s="880"/>
      <c r="U71" s="880"/>
      <c r="V71" s="1041">
        <f>V69-V70</f>
        <v>0</v>
      </c>
      <c r="W71" s="1041"/>
      <c r="X71" s="1041"/>
      <c r="Y71" s="880"/>
      <c r="Z71" s="880"/>
      <c r="AA71" s="880"/>
      <c r="AB71" s="880"/>
      <c r="AC71" s="880"/>
      <c r="AD71" s="880"/>
      <c r="AE71" s="1044">
        <f>AE69-AE70</f>
        <v>0</v>
      </c>
      <c r="AF71" s="1041"/>
      <c r="AG71" s="1041"/>
      <c r="AH71" s="880"/>
      <c r="AI71" s="880"/>
      <c r="AJ71" s="880"/>
      <c r="AK71" s="882"/>
      <c r="AL71" s="880"/>
      <c r="AM71" s="1041">
        <f>AM69-AM70</f>
        <v>-2479020</v>
      </c>
      <c r="AN71" s="880"/>
      <c r="AO71" s="880"/>
      <c r="AP71" s="880"/>
      <c r="AQ71" s="880"/>
      <c r="AR71" s="880"/>
      <c r="AS71" s="880"/>
      <c r="AT71" s="880"/>
      <c r="AU71" s="880"/>
      <c r="AV71" s="880"/>
      <c r="AW71" s="880"/>
      <c r="AY71" s="880"/>
      <c r="AZ71" s="880"/>
      <c r="BA71" s="880"/>
      <c r="BB71" s="880"/>
      <c r="BC71" s="1437"/>
      <c r="BD71" s="880"/>
      <c r="BE71" s="880"/>
      <c r="BG71" s="772"/>
      <c r="BH71" s="776"/>
      <c r="BI71" s="776"/>
      <c r="BJ71" s="772"/>
      <c r="BK71" s="777"/>
      <c r="BL71" s="777"/>
      <c r="BM71" s="777">
        <f>AO69</f>
        <v>55077564.420000009</v>
      </c>
      <c r="BN71" s="772"/>
      <c r="BO71" s="772"/>
    </row>
    <row r="72" spans="1:67" ht="26.25" customHeight="1">
      <c r="A72" s="768" t="s">
        <v>88</v>
      </c>
      <c r="B72" s="964"/>
      <c r="C72" s="835"/>
      <c r="D72" s="770"/>
      <c r="E72" s="883"/>
      <c r="F72" s="958"/>
      <c r="G72" s="839"/>
      <c r="H72" s="840"/>
      <c r="I72" s="840"/>
      <c r="J72" s="840"/>
      <c r="K72" s="840"/>
      <c r="L72" s="840"/>
      <c r="M72" s="840"/>
      <c r="N72" s="840"/>
      <c r="O72" s="840"/>
      <c r="P72" s="840"/>
      <c r="Q72" s="840"/>
      <c r="R72" s="840"/>
      <c r="S72" s="840"/>
      <c r="T72" s="840"/>
      <c r="U72" s="840"/>
      <c r="V72" s="1040"/>
      <c r="W72" s="1040"/>
      <c r="X72" s="1042"/>
      <c r="Y72" s="840"/>
      <c r="Z72" s="883"/>
      <c r="AA72" s="840"/>
      <c r="AB72" s="840"/>
      <c r="AC72" s="840"/>
      <c r="AD72" s="840"/>
      <c r="AE72" s="841"/>
      <c r="AF72" s="1040">
        <f>AF69+AG69+AH69</f>
        <v>9235849.5</v>
      </c>
      <c r="AG72" s="840"/>
      <c r="AH72" s="840"/>
      <c r="AI72" s="840"/>
      <c r="AJ72" s="840"/>
      <c r="AK72" s="840"/>
      <c r="AL72" s="840"/>
      <c r="AM72" s="840"/>
      <c r="AN72" s="883"/>
      <c r="AO72" s="840"/>
      <c r="AP72" s="884"/>
      <c r="AQ72" s="884"/>
      <c r="AR72" s="883"/>
      <c r="AS72" s="884"/>
      <c r="AT72" s="883"/>
      <c r="AU72" s="884"/>
      <c r="AV72" s="883"/>
      <c r="AW72" s="883"/>
      <c r="AX72" s="883"/>
      <c r="AY72" s="883"/>
      <c r="AZ72" s="883"/>
      <c r="BA72" s="883"/>
      <c r="BB72" s="883"/>
      <c r="BC72" s="1438"/>
      <c r="BD72" s="883"/>
      <c r="BE72" s="883"/>
      <c r="BM72" s="767">
        <f>BM70-BM71</f>
        <v>0</v>
      </c>
    </row>
    <row r="73" spans="1:67" s="768" customFormat="1" ht="20.25" customHeight="1">
      <c r="A73" s="837" t="s">
        <v>672</v>
      </c>
      <c r="B73" s="838"/>
      <c r="C73" s="885"/>
      <c r="D73" s="838"/>
      <c r="E73" s="2136" t="s">
        <v>39</v>
      </c>
      <c r="F73" s="2136"/>
      <c r="G73" s="2136"/>
      <c r="H73" s="832"/>
      <c r="O73" s="2136" t="s">
        <v>100</v>
      </c>
      <c r="P73" s="2136"/>
      <c r="Q73" s="2136"/>
      <c r="Y73" s="2136" t="s">
        <v>40</v>
      </c>
      <c r="Z73" s="2136"/>
      <c r="AA73" s="2136"/>
      <c r="AB73" s="2136"/>
      <c r="AF73" s="964"/>
      <c r="AK73" s="774"/>
      <c r="AL73" s="886"/>
      <c r="AO73" s="2136" t="s">
        <v>554</v>
      </c>
      <c r="AP73" s="2136"/>
      <c r="AU73" s="2136" t="s">
        <v>61</v>
      </c>
      <c r="AV73" s="2136"/>
      <c r="AW73" s="773"/>
      <c r="BB73" s="964"/>
      <c r="BC73" s="1430"/>
      <c r="BD73" s="833"/>
      <c r="BE73" s="834"/>
      <c r="BG73" s="772"/>
      <c r="BH73" s="776"/>
      <c r="BI73" s="776"/>
      <c r="BJ73" s="772"/>
      <c r="BK73" s="777"/>
      <c r="BL73" s="777"/>
      <c r="BM73" s="777"/>
      <c r="BN73" s="772"/>
      <c r="BO73" s="772"/>
    </row>
    <row r="74" spans="1:67" s="768" customFormat="1" ht="22.5" customHeight="1">
      <c r="A74" s="837"/>
      <c r="B74" s="964"/>
      <c r="C74" s="835"/>
      <c r="D74" s="838"/>
      <c r="E74" s="964"/>
      <c r="F74" s="788"/>
      <c r="G74" s="836"/>
      <c r="H74" s="832"/>
      <c r="U74" s="964"/>
      <c r="AA74" s="964"/>
      <c r="AB74" s="964"/>
      <c r="AH74" s="964"/>
      <c r="AI74" s="964"/>
      <c r="AJ74" s="964"/>
      <c r="AK74" s="774"/>
      <c r="AL74" s="964"/>
      <c r="AM74" s="964"/>
      <c r="AP74" s="964"/>
      <c r="AQ74" s="964"/>
      <c r="AR74" s="964"/>
      <c r="AT74" s="964"/>
      <c r="AU74" s="964"/>
      <c r="AV74" s="964"/>
      <c r="AW74" s="773"/>
      <c r="AX74" s="964"/>
      <c r="AY74" s="964"/>
      <c r="AZ74" s="964"/>
      <c r="BA74" s="964"/>
      <c r="BB74" s="964"/>
      <c r="BC74" s="1430"/>
      <c r="BD74" s="833"/>
      <c r="BE74" s="834"/>
      <c r="BG74" s="772"/>
      <c r="BH74" s="776"/>
      <c r="BI74" s="776"/>
      <c r="BJ74" s="772"/>
      <c r="BK74" s="777"/>
      <c r="BL74" s="777"/>
      <c r="BM74" s="777"/>
      <c r="BN74" s="772"/>
      <c r="BO74" s="772"/>
    </row>
    <row r="75" spans="1:67" ht="22.5" customHeight="1">
      <c r="F75" s="954"/>
      <c r="G75" s="839"/>
      <c r="H75" s="840"/>
      <c r="P75" s="840"/>
      <c r="Q75" s="768"/>
      <c r="R75" s="768"/>
      <c r="S75" s="768"/>
      <c r="T75" s="768"/>
      <c r="AA75" s="840"/>
      <c r="AB75" s="840"/>
      <c r="AH75" s="1162"/>
      <c r="AI75" s="1162"/>
      <c r="AJ75" s="1162"/>
      <c r="BB75" s="840"/>
      <c r="BC75" s="1431"/>
      <c r="BD75" s="843"/>
      <c r="BE75" s="845"/>
    </row>
    <row r="76" spans="1:67" ht="22.5" customHeight="1">
      <c r="I76" s="847"/>
      <c r="Q76" s="768"/>
      <c r="R76" s="768"/>
      <c r="S76" s="768"/>
      <c r="T76" s="768"/>
      <c r="AF76" s="841"/>
      <c r="AG76" s="841"/>
      <c r="AH76" s="1162"/>
      <c r="AI76" s="1162"/>
      <c r="AJ76" s="1162"/>
      <c r="AL76" s="841"/>
      <c r="AO76" s="841"/>
      <c r="AU76" s="841"/>
      <c r="AX76" s="841"/>
      <c r="BC76" s="1431"/>
    </row>
    <row r="77" spans="1:67" ht="18.75" customHeight="1">
      <c r="D77" s="853"/>
      <c r="E77" s="2135" t="s">
        <v>193</v>
      </c>
      <c r="F77" s="2135"/>
      <c r="G77" s="2135"/>
      <c r="H77" s="832"/>
      <c r="I77" s="847"/>
      <c r="L77" s="850"/>
      <c r="M77" s="850"/>
      <c r="O77" s="2137" t="s">
        <v>274</v>
      </c>
      <c r="P77" s="2137"/>
      <c r="Q77" s="2137"/>
      <c r="R77" s="768"/>
      <c r="S77" s="768"/>
      <c r="T77" s="768"/>
      <c r="U77" s="849"/>
      <c r="Y77" s="2135" t="s">
        <v>203</v>
      </c>
      <c r="Z77" s="2135"/>
      <c r="AA77" s="2135"/>
      <c r="AB77" s="2135"/>
      <c r="AF77" s="1234"/>
      <c r="AG77" s="852"/>
      <c r="AH77" s="1229"/>
      <c r="AI77" s="1229"/>
      <c r="AJ77" s="1229"/>
      <c r="AK77" s="887"/>
      <c r="AL77" s="1234"/>
      <c r="AM77" s="1234"/>
      <c r="AO77" s="2138" t="s">
        <v>622</v>
      </c>
      <c r="AP77" s="2138"/>
      <c r="AQ77" s="852"/>
      <c r="AR77" s="852"/>
      <c r="AT77" s="851"/>
      <c r="AU77" s="2135" t="s">
        <v>586</v>
      </c>
      <c r="AV77" s="2135"/>
      <c r="AX77" s="852"/>
      <c r="AY77" s="852"/>
      <c r="AZ77" s="852"/>
      <c r="BA77" s="852"/>
      <c r="BB77" s="1139"/>
    </row>
    <row r="78" spans="1:67" ht="18.75" customHeight="1">
      <c r="E78" s="2133" t="s">
        <v>151</v>
      </c>
      <c r="F78" s="2133"/>
      <c r="G78" s="2133"/>
      <c r="I78" s="767"/>
      <c r="O78" s="2133" t="s">
        <v>134</v>
      </c>
      <c r="P78" s="2133"/>
      <c r="Q78" s="2133"/>
      <c r="Y78" s="2133" t="s">
        <v>135</v>
      </c>
      <c r="Z78" s="2133"/>
      <c r="AA78" s="2133"/>
      <c r="AB78" s="2133"/>
      <c r="AF78" s="1162"/>
      <c r="AH78" s="1162"/>
      <c r="AI78" s="1162"/>
      <c r="AJ78" s="1162"/>
      <c r="AL78" s="1162"/>
      <c r="AO78" s="2134" t="s">
        <v>623</v>
      </c>
      <c r="AP78" s="2134"/>
      <c r="AU78" s="2133" t="s">
        <v>585</v>
      </c>
      <c r="AV78" s="2133"/>
      <c r="BB78" s="1162"/>
    </row>
    <row r="79" spans="1:67" ht="26.25" customHeight="1">
      <c r="A79" s="2139" t="s">
        <v>0</v>
      </c>
      <c r="B79" s="2139"/>
      <c r="C79" s="2139"/>
      <c r="D79" s="2139"/>
      <c r="E79" s="2139"/>
      <c r="F79" s="2139"/>
      <c r="G79" s="2139"/>
      <c r="H79" s="2139"/>
      <c r="I79" s="2139"/>
      <c r="J79" s="2139"/>
      <c r="K79" s="2139"/>
      <c r="L79" s="2139"/>
      <c r="M79" s="2139"/>
      <c r="N79" s="2139"/>
      <c r="O79" s="2139"/>
      <c r="P79" s="2139"/>
      <c r="Q79" s="2139"/>
      <c r="R79" s="2139"/>
      <c r="S79" s="2139"/>
      <c r="T79" s="2139"/>
      <c r="U79" s="2139"/>
      <c r="V79" s="2139"/>
      <c r="W79" s="2139"/>
      <c r="X79" s="2139"/>
      <c r="Y79" s="2139"/>
      <c r="Z79" s="2139"/>
      <c r="AA79" s="2139"/>
      <c r="AB79" s="2139"/>
      <c r="AC79" s="2139"/>
      <c r="AD79" s="2139"/>
      <c r="AE79" s="2139"/>
      <c r="AF79" s="2139"/>
      <c r="AG79" s="2139"/>
      <c r="AH79" s="2139"/>
      <c r="AI79" s="2139"/>
      <c r="AJ79" s="2139"/>
      <c r="AK79" s="2139"/>
      <c r="AL79" s="2139"/>
      <c r="AM79" s="2139"/>
      <c r="AN79" s="2139"/>
      <c r="AO79" s="2139"/>
      <c r="AP79" s="2139"/>
      <c r="AQ79" s="2139"/>
      <c r="AR79" s="2139"/>
      <c r="AS79" s="2139"/>
      <c r="AT79" s="2139"/>
      <c r="AU79" s="2139"/>
      <c r="AV79" s="2139"/>
      <c r="AW79" s="2139"/>
      <c r="AX79" s="2139"/>
      <c r="AY79" s="2139"/>
      <c r="AZ79" s="2139"/>
      <c r="BA79" s="2139"/>
      <c r="BB79" s="2139"/>
      <c r="BC79" s="2139"/>
      <c r="BD79" s="2139"/>
      <c r="BE79" s="2139"/>
    </row>
    <row r="80" spans="1:67" ht="26.25" customHeight="1">
      <c r="A80" s="2136" t="s">
        <v>1</v>
      </c>
      <c r="B80" s="2136"/>
      <c r="C80" s="2136"/>
      <c r="D80" s="2136"/>
      <c r="E80" s="2136"/>
      <c r="F80" s="2136"/>
      <c r="G80" s="2136"/>
      <c r="H80" s="2136"/>
      <c r="I80" s="2136"/>
      <c r="J80" s="2136"/>
      <c r="K80" s="2136"/>
      <c r="L80" s="2136"/>
      <c r="M80" s="2136"/>
      <c r="N80" s="2136"/>
      <c r="O80" s="2136"/>
      <c r="P80" s="2136"/>
      <c r="Q80" s="2136"/>
      <c r="R80" s="2136"/>
      <c r="S80" s="2136"/>
      <c r="T80" s="2136"/>
      <c r="U80" s="2136"/>
      <c r="V80" s="2136"/>
      <c r="W80" s="2136"/>
      <c r="X80" s="2136"/>
      <c r="Y80" s="2136"/>
      <c r="Z80" s="2136"/>
      <c r="AA80" s="2136"/>
      <c r="AB80" s="2136"/>
      <c r="AC80" s="2136"/>
      <c r="AD80" s="2136"/>
      <c r="AE80" s="2136"/>
      <c r="AF80" s="2136"/>
      <c r="AG80" s="2136"/>
      <c r="AH80" s="2136"/>
      <c r="AI80" s="2136"/>
      <c r="AJ80" s="2136"/>
      <c r="AK80" s="2136"/>
      <c r="AL80" s="2136"/>
      <c r="AM80" s="2136"/>
      <c r="AN80" s="2136"/>
      <c r="AO80" s="2136"/>
      <c r="AP80" s="2136"/>
      <c r="AQ80" s="2136"/>
      <c r="AR80" s="2136"/>
      <c r="AS80" s="2136"/>
      <c r="AT80" s="2136"/>
      <c r="AU80" s="2136"/>
      <c r="AV80" s="2136"/>
      <c r="AW80" s="2136"/>
      <c r="AX80" s="2136"/>
      <c r="AY80" s="2136"/>
      <c r="AZ80" s="2136"/>
      <c r="BA80" s="2136"/>
      <c r="BB80" s="2136"/>
      <c r="BC80" s="2136"/>
      <c r="BD80" s="2136"/>
      <c r="BE80" s="2136"/>
    </row>
    <row r="81" spans="1:72" ht="26.25" customHeight="1">
      <c r="A81" s="964"/>
      <c r="B81" s="964"/>
      <c r="C81" s="835"/>
      <c r="D81" s="838"/>
      <c r="E81" s="964"/>
      <c r="F81" s="789"/>
      <c r="G81" s="776"/>
      <c r="H81" s="964"/>
      <c r="I81" s="964"/>
      <c r="J81" s="964"/>
      <c r="K81" s="964"/>
      <c r="L81" s="964"/>
      <c r="M81" s="964"/>
      <c r="N81" s="964"/>
      <c r="O81" s="964"/>
      <c r="P81" s="964"/>
      <c r="Q81" s="964"/>
      <c r="R81" s="964"/>
      <c r="S81" s="964"/>
      <c r="T81" s="964"/>
      <c r="U81" s="964"/>
      <c r="V81" s="964"/>
      <c r="W81" s="964"/>
      <c r="X81" s="964"/>
      <c r="Y81" s="964"/>
      <c r="Z81" s="964"/>
      <c r="AA81" s="964"/>
      <c r="AB81" s="964"/>
      <c r="AC81" s="964"/>
      <c r="AD81" s="964"/>
      <c r="AE81" s="964"/>
      <c r="AF81" s="964"/>
      <c r="AG81" s="964"/>
      <c r="AH81" s="964"/>
      <c r="AI81" s="964"/>
      <c r="AJ81" s="964"/>
      <c r="AK81" s="774"/>
      <c r="AL81" s="964"/>
      <c r="AM81" s="964"/>
      <c r="AN81" s="964"/>
      <c r="AO81" s="964"/>
      <c r="AP81" s="1034"/>
      <c r="AQ81" s="1024"/>
      <c r="AR81" s="1024"/>
      <c r="AS81" s="1025"/>
      <c r="AT81" s="1045"/>
      <c r="AU81" s="964"/>
      <c r="AV81" s="964"/>
      <c r="AW81" s="964"/>
      <c r="AX81" s="964"/>
      <c r="AY81" s="964"/>
      <c r="AZ81" s="964"/>
      <c r="BA81" s="964"/>
      <c r="BB81" s="964"/>
      <c r="BC81" s="1439"/>
      <c r="BD81" s="964"/>
      <c r="BE81" s="964"/>
    </row>
    <row r="82" spans="1:72" s="768" customFormat="1" ht="16.5" customHeight="1">
      <c r="D82" s="770" t="s">
        <v>964</v>
      </c>
      <c r="F82" s="772"/>
      <c r="G82" s="772"/>
      <c r="AE82" s="964"/>
      <c r="AF82" s="964"/>
      <c r="AG82" s="964"/>
      <c r="AH82" s="964"/>
      <c r="AI82" s="964"/>
      <c r="AJ82" s="964"/>
      <c r="AK82" s="774"/>
      <c r="AL82" s="964"/>
      <c r="AM82" s="964"/>
      <c r="AO82" s="777"/>
      <c r="AP82" s="1034">
        <v>3876600</v>
      </c>
      <c r="AQ82" s="1046">
        <f>AP82/30</f>
        <v>129220</v>
      </c>
      <c r="AR82" s="1047">
        <f>AP82/173*1.5</f>
        <v>33612.138728323698</v>
      </c>
      <c r="AS82" s="1035">
        <f>AP82/173*2</f>
        <v>44816.184971098264</v>
      </c>
      <c r="AT82" s="1048"/>
      <c r="AU82" s="964" t="s">
        <v>55</v>
      </c>
      <c r="AV82" s="768" t="s">
        <v>335</v>
      </c>
      <c r="BC82" s="1430"/>
      <c r="BE82" s="964"/>
      <c r="BG82" s="772"/>
      <c r="BH82" s="776"/>
      <c r="BI82" s="776"/>
      <c r="BJ82" s="772"/>
      <c r="BK82" s="777"/>
      <c r="BL82" s="777"/>
      <c r="BM82" s="777"/>
      <c r="BN82" s="772"/>
      <c r="BO82" s="772"/>
    </row>
    <row r="83" spans="1:72" ht="18.75" customHeight="1" thickBot="1">
      <c r="A83" s="1162"/>
      <c r="D83" s="838"/>
      <c r="E83" s="780"/>
      <c r="F83" s="959"/>
      <c r="G83" s="781"/>
      <c r="H83" s="780"/>
      <c r="I83" s="780"/>
      <c r="J83" s="780"/>
      <c r="K83" s="780"/>
      <c r="L83" s="780"/>
      <c r="M83" s="780"/>
      <c r="N83" s="780"/>
      <c r="O83" s="780"/>
      <c r="Q83" s="780"/>
      <c r="R83" s="780"/>
      <c r="S83" s="780"/>
      <c r="T83" s="780"/>
      <c r="U83" s="780"/>
      <c r="V83" s="780"/>
      <c r="W83" s="780"/>
      <c r="X83" s="780"/>
      <c r="Y83" s="780"/>
      <c r="Z83" s="780"/>
      <c r="AA83" s="780"/>
      <c r="AB83" s="780"/>
      <c r="AC83" s="780"/>
      <c r="AD83" s="780"/>
      <c r="AE83" s="780"/>
      <c r="AF83" s="780"/>
      <c r="AG83" s="780"/>
      <c r="AH83" s="780"/>
      <c r="AI83" s="780"/>
      <c r="AJ83" s="780"/>
      <c r="AK83" s="782"/>
      <c r="AL83" s="780"/>
      <c r="AM83" s="780"/>
      <c r="AO83" s="780"/>
      <c r="AP83" s="1034">
        <v>3876600</v>
      </c>
      <c r="AQ83" s="1035">
        <f>AP83/30</f>
        <v>129220</v>
      </c>
      <c r="AR83" s="1033"/>
      <c r="AS83" s="1033"/>
      <c r="AT83" s="1048"/>
    </row>
    <row r="84" spans="1:72" s="893" customFormat="1" ht="18.75" customHeight="1">
      <c r="A84" s="2292" t="s">
        <v>5</v>
      </c>
      <c r="B84" s="2140" t="s">
        <v>6</v>
      </c>
      <c r="C84" s="2140" t="s">
        <v>52</v>
      </c>
      <c r="D84" s="889"/>
      <c r="E84" s="890"/>
      <c r="F84" s="891"/>
      <c r="G84" s="891"/>
      <c r="H84" s="2195" t="s">
        <v>2</v>
      </c>
      <c r="I84" s="2195"/>
      <c r="J84" s="2195"/>
      <c r="K84" s="2195"/>
      <c r="L84" s="2195"/>
      <c r="M84" s="2195"/>
      <c r="N84" s="2195"/>
      <c r="O84" s="2195"/>
      <c r="P84" s="2195"/>
      <c r="Q84" s="2195"/>
      <c r="R84" s="2195"/>
      <c r="S84" s="2195"/>
      <c r="T84" s="2195"/>
      <c r="U84" s="2195"/>
      <c r="V84" s="2140" t="s">
        <v>286</v>
      </c>
      <c r="W84" s="2195" t="s">
        <v>3</v>
      </c>
      <c r="X84" s="2195"/>
      <c r="Y84" s="2195"/>
      <c r="Z84" s="2195"/>
      <c r="AA84" s="2195"/>
      <c r="AB84" s="2195"/>
      <c r="AC84" s="2195"/>
      <c r="AD84" s="2195"/>
      <c r="AE84" s="2187" t="s">
        <v>45</v>
      </c>
      <c r="AF84" s="2152" t="s">
        <v>46</v>
      </c>
      <c r="AG84" s="2175"/>
      <c r="AH84" s="2175"/>
      <c r="AI84" s="2175"/>
      <c r="AJ84" s="2175"/>
      <c r="AK84" s="2176"/>
      <c r="AL84" s="890"/>
      <c r="AM84" s="2149" t="s">
        <v>361</v>
      </c>
      <c r="AN84" s="2140" t="s">
        <v>44</v>
      </c>
      <c r="AO84" s="892" t="s">
        <v>4</v>
      </c>
      <c r="AP84" s="2180" t="s">
        <v>20</v>
      </c>
      <c r="AQ84" s="2181"/>
      <c r="AR84" s="2182"/>
      <c r="AS84" s="2180" t="s">
        <v>54</v>
      </c>
      <c r="AT84" s="2181"/>
      <c r="AU84" s="2181"/>
      <c r="AV84" s="2181"/>
      <c r="AW84" s="2182"/>
      <c r="AX84" s="890"/>
      <c r="AY84" s="2143" t="s">
        <v>90</v>
      </c>
      <c r="AZ84" s="2146" t="s">
        <v>97</v>
      </c>
      <c r="BA84" s="2146" t="s">
        <v>720</v>
      </c>
      <c r="BB84" s="2149" t="s">
        <v>362</v>
      </c>
      <c r="BC84" s="1440" t="s">
        <v>4</v>
      </c>
      <c r="BD84" s="2152" t="s">
        <v>41</v>
      </c>
      <c r="BE84" s="2153"/>
      <c r="BG84" s="894"/>
      <c r="BH84" s="895"/>
      <c r="BI84" s="895"/>
      <c r="BJ84" s="894"/>
      <c r="BK84" s="896"/>
      <c r="BL84" s="896"/>
      <c r="BM84" s="896"/>
      <c r="BN84" s="894"/>
      <c r="BO84" s="894"/>
    </row>
    <row r="85" spans="1:72" s="893" customFormat="1" ht="25.5" customHeight="1">
      <c r="A85" s="2293"/>
      <c r="B85" s="2141"/>
      <c r="C85" s="2141"/>
      <c r="D85" s="897" t="s">
        <v>7</v>
      </c>
      <c r="E85" s="1237" t="s">
        <v>8</v>
      </c>
      <c r="F85" s="898" t="s">
        <v>9</v>
      </c>
      <c r="G85" s="898" t="s">
        <v>9</v>
      </c>
      <c r="H85" s="2156" t="s">
        <v>10</v>
      </c>
      <c r="I85" s="2156"/>
      <c r="J85" s="2156" t="s">
        <v>11</v>
      </c>
      <c r="K85" s="2156"/>
      <c r="L85" s="2156" t="s">
        <v>12</v>
      </c>
      <c r="M85" s="2156"/>
      <c r="N85" s="2156" t="s">
        <v>13</v>
      </c>
      <c r="O85" s="2156"/>
      <c r="P85" s="2156" t="s">
        <v>14</v>
      </c>
      <c r="Q85" s="2156"/>
      <c r="R85" s="2196" t="s">
        <v>15</v>
      </c>
      <c r="S85" s="2196"/>
      <c r="T85" s="2156" t="s">
        <v>16</v>
      </c>
      <c r="U85" s="2156"/>
      <c r="V85" s="2141"/>
      <c r="W85" s="2156" t="s">
        <v>17</v>
      </c>
      <c r="X85" s="2156"/>
      <c r="Y85" s="2156" t="s">
        <v>18</v>
      </c>
      <c r="Z85" s="2156"/>
      <c r="AA85" s="2156"/>
      <c r="AB85" s="2190" t="s">
        <v>19</v>
      </c>
      <c r="AC85" s="2192"/>
      <c r="AD85" s="2191"/>
      <c r="AE85" s="2188"/>
      <c r="AF85" s="2154"/>
      <c r="AG85" s="2177"/>
      <c r="AH85" s="2177"/>
      <c r="AI85" s="2177"/>
      <c r="AJ85" s="2177"/>
      <c r="AK85" s="2178"/>
      <c r="AL85" s="899"/>
      <c r="AM85" s="2150"/>
      <c r="AN85" s="2141"/>
      <c r="AO85" s="1237" t="s">
        <v>9</v>
      </c>
      <c r="AP85" s="2183"/>
      <c r="AQ85" s="2184"/>
      <c r="AR85" s="2185"/>
      <c r="AS85" s="2183"/>
      <c r="AT85" s="2184"/>
      <c r="AU85" s="2184"/>
      <c r="AV85" s="2184"/>
      <c r="AW85" s="2185"/>
      <c r="AX85" s="1237" t="s">
        <v>21</v>
      </c>
      <c r="AY85" s="2144"/>
      <c r="AZ85" s="2147"/>
      <c r="BA85" s="2147"/>
      <c r="BB85" s="2150"/>
      <c r="BC85" s="1441" t="s">
        <v>9</v>
      </c>
      <c r="BD85" s="2154"/>
      <c r="BE85" s="2155"/>
      <c r="BG85" s="894"/>
      <c r="BH85" s="895"/>
      <c r="BI85" s="895"/>
      <c r="BJ85" s="894"/>
      <c r="BK85" s="896"/>
      <c r="BL85" s="896"/>
      <c r="BM85" s="896"/>
      <c r="BN85" s="894"/>
      <c r="BO85" s="894"/>
    </row>
    <row r="86" spans="1:72" s="893" customFormat="1" ht="36" customHeight="1">
      <c r="A86" s="2293"/>
      <c r="B86" s="2141"/>
      <c r="C86" s="2141"/>
      <c r="D86" s="897" t="s">
        <v>22</v>
      </c>
      <c r="E86" s="1237" t="s">
        <v>23</v>
      </c>
      <c r="F86" s="898" t="s">
        <v>24</v>
      </c>
      <c r="G86" s="898" t="s">
        <v>25</v>
      </c>
      <c r="H86" s="2160" t="s">
        <v>4</v>
      </c>
      <c r="I86" s="2160"/>
      <c r="J86" s="2160" t="s">
        <v>4</v>
      </c>
      <c r="K86" s="2160"/>
      <c r="L86" s="2160" t="s">
        <v>4</v>
      </c>
      <c r="M86" s="2160"/>
      <c r="N86" s="2160" t="s">
        <v>4</v>
      </c>
      <c r="O86" s="2160"/>
      <c r="P86" s="2160" t="s">
        <v>4</v>
      </c>
      <c r="Q86" s="2160"/>
      <c r="R86" s="2160" t="s">
        <v>4</v>
      </c>
      <c r="S86" s="2160"/>
      <c r="T86" s="2160" t="s">
        <v>4</v>
      </c>
      <c r="U86" s="2160"/>
      <c r="V86" s="2141"/>
      <c r="W86" s="1237" t="s">
        <v>27</v>
      </c>
      <c r="X86" s="1236" t="s">
        <v>28</v>
      </c>
      <c r="Y86" s="1237" t="s">
        <v>27</v>
      </c>
      <c r="Z86" s="2160" t="s">
        <v>4</v>
      </c>
      <c r="AA86" s="2160"/>
      <c r="AB86" s="1237" t="s">
        <v>27</v>
      </c>
      <c r="AC86" s="2190" t="s">
        <v>4</v>
      </c>
      <c r="AD86" s="2191"/>
      <c r="AE86" s="2189"/>
      <c r="AF86" s="798" t="s">
        <v>56</v>
      </c>
      <c r="AG86" s="798" t="s">
        <v>57</v>
      </c>
      <c r="AH86" s="798" t="s">
        <v>60</v>
      </c>
      <c r="AI86" s="798" t="s">
        <v>288</v>
      </c>
      <c r="AJ86" s="798" t="s">
        <v>97</v>
      </c>
      <c r="AK86" s="798" t="s">
        <v>711</v>
      </c>
      <c r="AL86" s="900"/>
      <c r="AM86" s="2179"/>
      <c r="AN86" s="2186"/>
      <c r="AO86" s="1237" t="s">
        <v>29</v>
      </c>
      <c r="AP86" s="1237" t="s">
        <v>30</v>
      </c>
      <c r="AQ86" s="1237" t="s">
        <v>31</v>
      </c>
      <c r="AR86" s="1237" t="s">
        <v>4</v>
      </c>
      <c r="AS86" s="1237" t="s">
        <v>30</v>
      </c>
      <c r="AT86" s="1237" t="s">
        <v>31</v>
      </c>
      <c r="AU86" s="1237" t="s">
        <v>30</v>
      </c>
      <c r="AV86" s="1237" t="s">
        <v>31</v>
      </c>
      <c r="AW86" s="1237" t="s">
        <v>4</v>
      </c>
      <c r="AX86" s="1237" t="s">
        <v>32</v>
      </c>
      <c r="AY86" s="2144"/>
      <c r="AZ86" s="2147"/>
      <c r="BA86" s="2147"/>
      <c r="BB86" s="2150"/>
      <c r="BC86" s="1441" t="s">
        <v>33</v>
      </c>
      <c r="BD86" s="2160" t="s">
        <v>42</v>
      </c>
      <c r="BE86" s="2171" t="s">
        <v>43</v>
      </c>
      <c r="BG86" s="796"/>
      <c r="BH86" s="895"/>
      <c r="BI86" s="895"/>
      <c r="BJ86" s="894"/>
      <c r="BK86" s="896"/>
      <c r="BL86" s="896"/>
      <c r="BM86" s="896"/>
      <c r="BN86" s="894"/>
      <c r="BO86" s="894"/>
    </row>
    <row r="87" spans="1:72" s="893" customFormat="1" ht="46.5" customHeight="1" thickBot="1">
      <c r="A87" s="2293"/>
      <c r="B87" s="2141"/>
      <c r="C87" s="2141"/>
      <c r="D87" s="897"/>
      <c r="E87" s="1237"/>
      <c r="F87" s="901" t="s">
        <v>34</v>
      </c>
      <c r="G87" s="901" t="s">
        <v>34</v>
      </c>
      <c r="H87" s="1236" t="s">
        <v>8</v>
      </c>
      <c r="I87" s="1236" t="s">
        <v>34</v>
      </c>
      <c r="J87" s="1236" t="s">
        <v>8</v>
      </c>
      <c r="K87" s="1236" t="s">
        <v>34</v>
      </c>
      <c r="L87" s="1236" t="s">
        <v>8</v>
      </c>
      <c r="M87" s="1236" t="s">
        <v>34</v>
      </c>
      <c r="N87" s="1236" t="s">
        <v>8</v>
      </c>
      <c r="O87" s="1236" t="s">
        <v>34</v>
      </c>
      <c r="P87" s="1236" t="s">
        <v>8</v>
      </c>
      <c r="Q87" s="1236" t="s">
        <v>34</v>
      </c>
      <c r="R87" s="1236" t="s">
        <v>8</v>
      </c>
      <c r="S87" s="1236" t="s">
        <v>34</v>
      </c>
      <c r="T87" s="1236" t="s">
        <v>8</v>
      </c>
      <c r="U87" s="1236" t="s">
        <v>34</v>
      </c>
      <c r="V87" s="2141"/>
      <c r="W87" s="1236" t="s">
        <v>26</v>
      </c>
      <c r="X87" s="1236" t="s">
        <v>34</v>
      </c>
      <c r="Y87" s="1236" t="s">
        <v>26</v>
      </c>
      <c r="Z87" s="1236" t="s">
        <v>26</v>
      </c>
      <c r="AA87" s="1236" t="s">
        <v>34</v>
      </c>
      <c r="AB87" s="1236" t="s">
        <v>26</v>
      </c>
      <c r="AC87" s="1236" t="s">
        <v>35</v>
      </c>
      <c r="AD87" s="1236" t="s">
        <v>34</v>
      </c>
      <c r="AE87" s="1236" t="s">
        <v>34</v>
      </c>
      <c r="AF87" s="1236" t="s">
        <v>34</v>
      </c>
      <c r="AG87" s="1236" t="s">
        <v>34</v>
      </c>
      <c r="AH87" s="1236" t="s">
        <v>34</v>
      </c>
      <c r="AI87" s="1236" t="s">
        <v>34</v>
      </c>
      <c r="AJ87" s="1236" t="s">
        <v>34</v>
      </c>
      <c r="AK87" s="902" t="s">
        <v>34</v>
      </c>
      <c r="AL87" s="1237" t="s">
        <v>34</v>
      </c>
      <c r="AM87" s="1236" t="s">
        <v>34</v>
      </c>
      <c r="AN87" s="1236" t="s">
        <v>34</v>
      </c>
      <c r="AO87" s="1236" t="s">
        <v>34</v>
      </c>
      <c r="AP87" s="1236" t="s">
        <v>34</v>
      </c>
      <c r="AQ87" s="1236" t="s">
        <v>34</v>
      </c>
      <c r="AR87" s="1236" t="s">
        <v>34</v>
      </c>
      <c r="AS87" s="1236" t="s">
        <v>58</v>
      </c>
      <c r="AT87" s="1236" t="s">
        <v>34</v>
      </c>
      <c r="AU87" s="1236" t="s">
        <v>59</v>
      </c>
      <c r="AV87" s="1236" t="s">
        <v>34</v>
      </c>
      <c r="AW87" s="1236" t="s">
        <v>34</v>
      </c>
      <c r="AX87" s="1237"/>
      <c r="AY87" s="2144"/>
      <c r="AZ87" s="2147"/>
      <c r="BA87" s="2148"/>
      <c r="BB87" s="2150"/>
      <c r="BC87" s="1441" t="s">
        <v>34</v>
      </c>
      <c r="BD87" s="2194"/>
      <c r="BE87" s="2193"/>
      <c r="BG87" s="788" t="s">
        <v>353</v>
      </c>
      <c r="BH87" s="799" t="s">
        <v>43</v>
      </c>
      <c r="BI87" s="799" t="s">
        <v>42</v>
      </c>
      <c r="BJ87" s="788" t="s">
        <v>354</v>
      </c>
      <c r="BK87" s="790" t="s">
        <v>358</v>
      </c>
      <c r="BL87" s="896"/>
      <c r="BM87" s="896"/>
      <c r="BN87" s="894"/>
      <c r="BO87" s="894"/>
    </row>
    <row r="88" spans="1:72" ht="39" customHeight="1">
      <c r="A88" s="903" t="s">
        <v>63</v>
      </c>
      <c r="B88" s="904" t="s">
        <v>36</v>
      </c>
      <c r="C88" s="808" t="s">
        <v>337</v>
      </c>
      <c r="D88" s="905" t="s">
        <v>250</v>
      </c>
      <c r="E88" s="1036">
        <f>'HK PANEN'!AH7</f>
        <v>17</v>
      </c>
      <c r="F88" s="952">
        <v>129220</v>
      </c>
      <c r="G88" s="1452">
        <f>E88*F88</f>
        <v>2196740</v>
      </c>
      <c r="H88" s="1475">
        <f>'HK PANEN'!AI7</f>
        <v>3</v>
      </c>
      <c r="I88" s="1427">
        <f t="shared" ref="I88" si="81">H88*F88</f>
        <v>387660</v>
      </c>
      <c r="J88" s="1427">
        <f>'HK PANEN'!AJ7</f>
        <v>4</v>
      </c>
      <c r="K88" s="1427">
        <f t="shared" ref="K88" si="82">J88*F88</f>
        <v>516880</v>
      </c>
      <c r="L88" s="1427">
        <f>'HK PANEN'!AK7</f>
        <v>0</v>
      </c>
      <c r="M88" s="1427">
        <f t="shared" ref="M88" si="83">L88*F88</f>
        <v>0</v>
      </c>
      <c r="N88" s="1427">
        <f>'HK PANEN'!AL7</f>
        <v>4</v>
      </c>
      <c r="O88" s="1427">
        <f t="shared" ref="O88" si="84">N88*F88</f>
        <v>516880</v>
      </c>
      <c r="P88" s="1427">
        <f>'HK PANEN'!AM7</f>
        <v>3</v>
      </c>
      <c r="Q88" s="1427">
        <f t="shared" ref="Q88" si="85">P88*F88</f>
        <v>387660</v>
      </c>
      <c r="R88" s="1427">
        <f>'HK PANEN'!AN7</f>
        <v>0</v>
      </c>
      <c r="S88" s="1427">
        <f>R88*F88</f>
        <v>0</v>
      </c>
      <c r="T88" s="1427">
        <f>'HK PANEN'!AO7</f>
        <v>0</v>
      </c>
      <c r="U88" s="1427">
        <f t="shared" ref="U88" si="86">T88*F88</f>
        <v>0</v>
      </c>
      <c r="V88" s="1377">
        <f t="shared" ref="V88:V104" si="87">+T88+R88+P88+N88+L88+J88+H88+E88</f>
        <v>31</v>
      </c>
      <c r="W88" s="1427">
        <v>3700</v>
      </c>
      <c r="X88" s="1427">
        <f t="shared" ref="X88:X109" si="88">W88*V88</f>
        <v>114700</v>
      </c>
      <c r="Y88" s="1427">
        <v>3500</v>
      </c>
      <c r="Z88" s="1377">
        <f>E88</f>
        <v>17</v>
      </c>
      <c r="AA88" s="1476">
        <f t="shared" ref="AA88:AA100" si="89">Z88*Y88</f>
        <v>59500</v>
      </c>
      <c r="AB88" s="1477">
        <v>2500</v>
      </c>
      <c r="AC88" s="1377">
        <f>'MASA KERJA AB'!H53</f>
        <v>3</v>
      </c>
      <c r="AD88" s="1476">
        <f>'MASA KERJA AB'!I53</f>
        <v>7500</v>
      </c>
      <c r="AE88" s="1377">
        <f>'LEMBUR DAN PREMI UPKEEP'!AJ77</f>
        <v>1041976.25</v>
      </c>
      <c r="AF88" s="1427"/>
      <c r="AG88" s="1427"/>
      <c r="AH88" s="1427"/>
      <c r="AI88" s="1427"/>
      <c r="AJ88" s="1427"/>
      <c r="AK88" s="1478"/>
      <c r="AL88" s="1427"/>
      <c r="AM88" s="1427"/>
      <c r="AN88" s="1427"/>
      <c r="AO88" s="1453">
        <f t="shared" ref="AO88:AO109" si="90">SUM(G88+I88+K88+M88+O88+Q88+S88+U88+X88+AA88+AD88+AE88+AF88+AG88+AH88+AI88+AJ88+AK88+AL88+AM88-AN88)</f>
        <v>5229496.25</v>
      </c>
      <c r="AP88" s="1427">
        <f>$AP$82*0.02</f>
        <v>77532</v>
      </c>
      <c r="AQ88" s="1427">
        <f>$AP$82*0.0454</f>
        <v>175997.64</v>
      </c>
      <c r="AR88" s="1427">
        <f t="shared" ref="AR88:AR89" si="91">SUM(AQ88+AP88)</f>
        <v>253529.64</v>
      </c>
      <c r="AS88" s="1427">
        <f>($AP$82+AD88)*1%</f>
        <v>38841</v>
      </c>
      <c r="AT88" s="1427">
        <f>($AP$82+AD88)*4%</f>
        <v>155364</v>
      </c>
      <c r="AU88" s="1427">
        <f>$AP$82*1%</f>
        <v>38766</v>
      </c>
      <c r="AV88" s="1427">
        <f>$AP$82*2%</f>
        <v>77532</v>
      </c>
      <c r="AW88" s="1427">
        <f t="shared" ref="AW88:AW89" si="92">SUM(AS88:AV88)</f>
        <v>310503</v>
      </c>
      <c r="AX88" s="1455">
        <v>4000</v>
      </c>
      <c r="AY88" s="1476">
        <v>63174</v>
      </c>
      <c r="AZ88" s="1377">
        <f t="shared" ref="AZ88:AZ106" si="93">AJ88</f>
        <v>0</v>
      </c>
      <c r="BA88" s="1427"/>
      <c r="BB88" s="1427"/>
      <c r="BC88" s="1427">
        <f t="shared" ref="BC88:BC109" si="94">SUM(AO88-AP88-AS88-AU88-AX88-AY88-AZ88-BB88-BA88)</f>
        <v>5007183.25</v>
      </c>
      <c r="BD88" s="1153">
        <f>'HK PANEN'!AQ7</f>
        <v>0</v>
      </c>
      <c r="BE88" s="1366">
        <f>'HK PANEN'!AR7</f>
        <v>0</v>
      </c>
      <c r="BG88" s="765">
        <f t="shared" ref="BG88:BG109" si="95">V88*F88</f>
        <v>4005820</v>
      </c>
      <c r="BH88" s="766">
        <f t="shared" ref="BH88:BH109" si="96">BD88*F88</f>
        <v>0</v>
      </c>
      <c r="BI88" s="766">
        <f t="shared" ref="BI88:BI109" si="97">BE88*F88</f>
        <v>0</v>
      </c>
      <c r="BJ88" s="765">
        <f t="shared" ref="BJ88:BJ104" si="98">-(BH88+BI88)</f>
        <v>0</v>
      </c>
      <c r="BK88" s="767">
        <f t="shared" ref="BK88:BK104" si="99">SUM(BG88:BI88)</f>
        <v>4005820</v>
      </c>
      <c r="BM88" s="767">
        <f>(X88+AA88+AD88+AE88+AF88+AG88+AH88+AI88+AJ88+AK88+AL88+AM88)-AN88</f>
        <v>1223676.25</v>
      </c>
      <c r="BN88" s="765">
        <v>31205.999999999996</v>
      </c>
      <c r="BO88" s="765">
        <f t="shared" ref="BO88:BO103" si="100">BN88+AT88</f>
        <v>186570</v>
      </c>
      <c r="BQ88" s="841">
        <f t="shared" ref="BQ88:BQ109" si="101">AF88+AJ88</f>
        <v>0</v>
      </c>
    </row>
    <row r="89" spans="1:72" ht="38.25" customHeight="1">
      <c r="A89" s="906">
        <v>2</v>
      </c>
      <c r="B89" s="812" t="s">
        <v>36</v>
      </c>
      <c r="C89" s="813" t="s">
        <v>144</v>
      </c>
      <c r="D89" s="816" t="s">
        <v>136</v>
      </c>
      <c r="E89" s="1037">
        <f>'HK PANEN'!AH8</f>
        <v>21</v>
      </c>
      <c r="F89" s="953">
        <v>129220</v>
      </c>
      <c r="G89" s="1457">
        <f t="shared" ref="G89" si="102">E89*F89</f>
        <v>2713620</v>
      </c>
      <c r="H89" s="1383">
        <f>'HK PANEN'!AI8</f>
        <v>1</v>
      </c>
      <c r="I89" s="1386">
        <f t="shared" ref="I89" si="103">H89*F89</f>
        <v>129220</v>
      </c>
      <c r="J89" s="1386">
        <f>'HK PANEN'!AJ8</f>
        <v>2</v>
      </c>
      <c r="K89" s="1386">
        <f t="shared" ref="K89" si="104">J89*F89</f>
        <v>258440</v>
      </c>
      <c r="L89" s="1386">
        <f>'HK PANEN'!AK8</f>
        <v>0</v>
      </c>
      <c r="M89" s="1386">
        <f t="shared" ref="M89" si="105">L89*F89</f>
        <v>0</v>
      </c>
      <c r="N89" s="1386">
        <f>'HK PANEN'!AL8</f>
        <v>4</v>
      </c>
      <c r="O89" s="1386">
        <f t="shared" ref="O89" si="106">N89*F89</f>
        <v>516880</v>
      </c>
      <c r="P89" s="1386">
        <f>'HK PANEN'!AM8</f>
        <v>3</v>
      </c>
      <c r="Q89" s="1386">
        <f t="shared" ref="Q89" si="107">P89*F89</f>
        <v>387660</v>
      </c>
      <c r="R89" s="1386">
        <f>'HK PANEN'!AN8</f>
        <v>0</v>
      </c>
      <c r="S89" s="1386">
        <f t="shared" ref="S89" si="108">R89*F89</f>
        <v>0</v>
      </c>
      <c r="T89" s="1386">
        <f>'HK PANEN'!AO8</f>
        <v>0</v>
      </c>
      <c r="U89" s="1386">
        <f t="shared" ref="U89" si="109">T89*F89</f>
        <v>0</v>
      </c>
      <c r="V89" s="1384">
        <f t="shared" si="87"/>
        <v>31</v>
      </c>
      <c r="W89" s="1384">
        <v>5550</v>
      </c>
      <c r="X89" s="1384">
        <f t="shared" si="88"/>
        <v>172050</v>
      </c>
      <c r="Y89" s="1384">
        <v>2500</v>
      </c>
      <c r="Z89" s="1384">
        <f>E89</f>
        <v>21</v>
      </c>
      <c r="AA89" s="1391">
        <f t="shared" si="89"/>
        <v>52500</v>
      </c>
      <c r="AB89" s="1384">
        <v>2500</v>
      </c>
      <c r="AC89" s="1384">
        <f>'MASA KERJA AB'!H54</f>
        <v>9</v>
      </c>
      <c r="AD89" s="1391">
        <f>'MASA KERJA AB'!I54</f>
        <v>24000</v>
      </c>
      <c r="AE89" s="1385">
        <f>'LEMBUR DAN PREMI UPKEEP'!AJ80</f>
        <v>1602178.53</v>
      </c>
      <c r="AF89" s="1479"/>
      <c r="AG89" s="1479"/>
      <c r="AH89" s="1479"/>
      <c r="AI89" s="1479"/>
      <c r="AJ89" s="1479"/>
      <c r="AK89" s="1480"/>
      <c r="AL89" s="1385"/>
      <c r="AM89" s="1385"/>
      <c r="AN89" s="1384"/>
      <c r="AO89" s="1392">
        <f t="shared" si="90"/>
        <v>5856548.5300000003</v>
      </c>
      <c r="AP89" s="1384">
        <f t="shared" ref="AP89:AP104" si="110">$AP$83*0.02</f>
        <v>77532</v>
      </c>
      <c r="AQ89" s="1384">
        <f t="shared" ref="AQ89:AQ104" si="111">$AP$83*0.0454</f>
        <v>175997.64</v>
      </c>
      <c r="AR89" s="1384">
        <f t="shared" si="91"/>
        <v>253529.64</v>
      </c>
      <c r="AS89" s="1386">
        <f t="shared" ref="AS89:AS109" si="112">($AP$4+AD89)*1%</f>
        <v>39006</v>
      </c>
      <c r="AT89" s="1386">
        <f t="shared" ref="AT89:AT109" si="113">($AP$4+AD89)*4%</f>
        <v>156024</v>
      </c>
      <c r="AU89" s="1384">
        <f t="shared" ref="AU89:AU104" si="114">$AP$83*1%</f>
        <v>38766</v>
      </c>
      <c r="AV89" s="1384">
        <f t="shared" ref="AV89:AV104" si="115">$AP$83*2%</f>
        <v>77532</v>
      </c>
      <c r="AW89" s="1384">
        <f t="shared" si="92"/>
        <v>311328</v>
      </c>
      <c r="AX89" s="1391">
        <v>4000</v>
      </c>
      <c r="AY89" s="1391">
        <v>33226</v>
      </c>
      <c r="AZ89" s="1384">
        <f t="shared" si="93"/>
        <v>0</v>
      </c>
      <c r="BA89" s="1384"/>
      <c r="BB89" s="1386"/>
      <c r="BC89" s="1386">
        <f t="shared" si="94"/>
        <v>5664018.5300000003</v>
      </c>
      <c r="BD89" s="1154">
        <f>'HK PANEN'!AQ8</f>
        <v>0</v>
      </c>
      <c r="BE89" s="1367">
        <f>'HK PANEN'!AR8</f>
        <v>0</v>
      </c>
      <c r="BG89" s="765">
        <f t="shared" si="95"/>
        <v>4005820</v>
      </c>
      <c r="BH89" s="766">
        <f t="shared" si="96"/>
        <v>0</v>
      </c>
      <c r="BI89" s="766">
        <f t="shared" si="97"/>
        <v>0</v>
      </c>
      <c r="BJ89" s="765">
        <f t="shared" si="98"/>
        <v>0</v>
      </c>
      <c r="BK89" s="767">
        <f t="shared" si="99"/>
        <v>4005820</v>
      </c>
      <c r="BM89" s="767">
        <f>(X89+AA89+AD89+AE89+AF89+AG89+AH89+AI89+AJ89+AK89+AL89+AM89)-AN89</f>
        <v>1850728.53</v>
      </c>
      <c r="BN89" s="765">
        <v>30575.999999999996</v>
      </c>
      <c r="BO89" s="765">
        <f t="shared" si="100"/>
        <v>186600</v>
      </c>
      <c r="BQ89" s="841">
        <f t="shared" si="101"/>
        <v>0</v>
      </c>
    </row>
    <row r="90" spans="1:72" ht="36.75" customHeight="1">
      <c r="A90" s="906">
        <v>3</v>
      </c>
      <c r="B90" s="812" t="s">
        <v>37</v>
      </c>
      <c r="C90" s="817" t="s">
        <v>129</v>
      </c>
      <c r="D90" s="814" t="s">
        <v>111</v>
      </c>
      <c r="E90" s="1037">
        <f>'HK PANEN'!AH9</f>
        <v>20</v>
      </c>
      <c r="F90" s="953">
        <v>129220</v>
      </c>
      <c r="G90" s="1457">
        <f t="shared" ref="G90:G104" si="116">E90*F90</f>
        <v>2584400</v>
      </c>
      <c r="H90" s="1383">
        <f>'HK PANEN'!AI9</f>
        <v>0</v>
      </c>
      <c r="I90" s="1386">
        <f t="shared" ref="I90:I104" si="117">H90*F90</f>
        <v>0</v>
      </c>
      <c r="J90" s="1386">
        <f>'HK PANEN'!AJ9</f>
        <v>2</v>
      </c>
      <c r="K90" s="1386">
        <f t="shared" ref="K90:K104" si="118">J90*F90</f>
        <v>258440</v>
      </c>
      <c r="L90" s="1386">
        <f>'HK PANEN'!AK9</f>
        <v>2</v>
      </c>
      <c r="M90" s="1386">
        <f t="shared" ref="M90:M104" si="119">L90*F90</f>
        <v>258440</v>
      </c>
      <c r="N90" s="1386">
        <f>'HK PANEN'!AL9</f>
        <v>4</v>
      </c>
      <c r="O90" s="1386">
        <f t="shared" ref="O90:O104" si="120">N90*F90</f>
        <v>516880</v>
      </c>
      <c r="P90" s="1386">
        <f>'HK PANEN'!AM9</f>
        <v>3</v>
      </c>
      <c r="Q90" s="1386">
        <f t="shared" ref="Q90:Q104" si="121">P90*F90</f>
        <v>387660</v>
      </c>
      <c r="R90" s="1386">
        <f>'HK PANEN'!AN9</f>
        <v>0</v>
      </c>
      <c r="S90" s="1386">
        <f t="shared" ref="S90:S109" si="122">R90*F90</f>
        <v>0</v>
      </c>
      <c r="T90" s="1386">
        <f>'HK PANEN'!AO9</f>
        <v>0</v>
      </c>
      <c r="U90" s="1386">
        <f t="shared" ref="U90:U109" si="123">T90*F90</f>
        <v>0</v>
      </c>
      <c r="V90" s="1386">
        <f>SUM(E90+H90+J90+L90+N90+P90+R90+T90)</f>
        <v>31</v>
      </c>
      <c r="W90" s="1384">
        <v>2250</v>
      </c>
      <c r="X90" s="1386">
        <f t="shared" si="88"/>
        <v>69750</v>
      </c>
      <c r="Y90" s="1384">
        <v>2500</v>
      </c>
      <c r="Z90" s="1384">
        <f>E90</f>
        <v>20</v>
      </c>
      <c r="AA90" s="1459">
        <f>Z90*Y90</f>
        <v>50000</v>
      </c>
      <c r="AB90" s="1386">
        <v>2500</v>
      </c>
      <c r="AC90" s="1384">
        <f>'MASA KERJA AB'!H55</f>
        <v>17</v>
      </c>
      <c r="AD90" s="1391">
        <f>'MASA KERJA AB'!I55</f>
        <v>50500</v>
      </c>
      <c r="AE90" s="1385">
        <f>'LEMBUR DAN PREMI UPKEEP'!AJ83</f>
        <v>1714218.98</v>
      </c>
      <c r="AF90" s="1386"/>
      <c r="AG90" s="1386"/>
      <c r="AH90" s="1457"/>
      <c r="AI90" s="1386"/>
      <c r="AJ90" s="1457"/>
      <c r="AK90" s="1481"/>
      <c r="AL90" s="1386"/>
      <c r="AM90" s="1386"/>
      <c r="AN90" s="1386"/>
      <c r="AO90" s="1392">
        <f t="shared" si="90"/>
        <v>5890288.9800000004</v>
      </c>
      <c r="AP90" s="1384">
        <f t="shared" si="110"/>
        <v>77532</v>
      </c>
      <c r="AQ90" s="1384">
        <f t="shared" si="111"/>
        <v>175997.64</v>
      </c>
      <c r="AR90" s="1384">
        <f t="shared" ref="AR90:AR104" si="124">SUM(AQ90+AP90)</f>
        <v>253529.64</v>
      </c>
      <c r="AS90" s="1386">
        <f t="shared" si="112"/>
        <v>39271</v>
      </c>
      <c r="AT90" s="1386">
        <f t="shared" si="113"/>
        <v>157084</v>
      </c>
      <c r="AU90" s="1384">
        <f t="shared" si="114"/>
        <v>38766</v>
      </c>
      <c r="AV90" s="1384">
        <f t="shared" si="115"/>
        <v>77532</v>
      </c>
      <c r="AW90" s="1384">
        <f t="shared" ref="AW90:AW104" si="125">SUM(AS90:AV90)</f>
        <v>312653</v>
      </c>
      <c r="AX90" s="1391">
        <v>4000</v>
      </c>
      <c r="AY90" s="1391">
        <v>66799</v>
      </c>
      <c r="AZ90" s="1384">
        <f t="shared" si="93"/>
        <v>0</v>
      </c>
      <c r="BA90" s="1386"/>
      <c r="BB90" s="1386"/>
      <c r="BC90" s="1386">
        <f t="shared" si="94"/>
        <v>5663920.9800000004</v>
      </c>
      <c r="BD90" s="1154">
        <f>'HK PANEN'!AQ9</f>
        <v>0</v>
      </c>
      <c r="BE90" s="1367">
        <f>'HK PANEN'!AR9</f>
        <v>0</v>
      </c>
      <c r="BG90" s="765">
        <f t="shared" si="95"/>
        <v>4005820</v>
      </c>
      <c r="BH90" s="766">
        <f t="shared" si="96"/>
        <v>0</v>
      </c>
      <c r="BI90" s="766">
        <f t="shared" si="97"/>
        <v>0</v>
      </c>
      <c r="BJ90" s="765">
        <f>-(BH90+BI90)</f>
        <v>0</v>
      </c>
      <c r="BK90" s="767">
        <f t="shared" si="99"/>
        <v>4005820</v>
      </c>
      <c r="BM90" s="767">
        <f>X90+AA90+AD90+AE90+AF90+AG90+AH90+AI90+AJ90+AK90+AL90+AM90</f>
        <v>1884468.98</v>
      </c>
      <c r="BN90" s="765">
        <v>30575.999999999996</v>
      </c>
      <c r="BO90" s="765">
        <f t="shared" si="100"/>
        <v>187660</v>
      </c>
      <c r="BQ90" s="841">
        <f t="shared" si="101"/>
        <v>0</v>
      </c>
      <c r="BT90" s="768" t="s">
        <v>718</v>
      </c>
    </row>
    <row r="91" spans="1:72" ht="38.25" customHeight="1">
      <c r="A91" s="906">
        <v>4</v>
      </c>
      <c r="B91" s="812" t="s">
        <v>36</v>
      </c>
      <c r="C91" s="813" t="s">
        <v>146</v>
      </c>
      <c r="D91" s="816" t="s">
        <v>138</v>
      </c>
      <c r="E91" s="1037">
        <f>'HK PANEN'!AH10</f>
        <v>23</v>
      </c>
      <c r="F91" s="953">
        <v>129220</v>
      </c>
      <c r="G91" s="1457">
        <f t="shared" si="116"/>
        <v>2972060</v>
      </c>
      <c r="H91" s="1383">
        <f>'HK PANEN'!AI10</f>
        <v>1</v>
      </c>
      <c r="I91" s="1386">
        <f t="shared" si="117"/>
        <v>129220</v>
      </c>
      <c r="J91" s="1386">
        <f>'HK PANEN'!AJ10</f>
        <v>0</v>
      </c>
      <c r="K91" s="1386">
        <f t="shared" si="118"/>
        <v>0</v>
      </c>
      <c r="L91" s="1386">
        <f>'HK PANEN'!AK10</f>
        <v>0</v>
      </c>
      <c r="M91" s="1386">
        <f t="shared" si="119"/>
        <v>0</v>
      </c>
      <c r="N91" s="1386">
        <f>'HK PANEN'!AL10</f>
        <v>4</v>
      </c>
      <c r="O91" s="1386">
        <f t="shared" si="120"/>
        <v>516880</v>
      </c>
      <c r="P91" s="1386">
        <f>'HK PANEN'!AM10</f>
        <v>3</v>
      </c>
      <c r="Q91" s="1386">
        <f t="shared" si="121"/>
        <v>387660</v>
      </c>
      <c r="R91" s="1386">
        <f>'HK PANEN'!AN10</f>
        <v>0</v>
      </c>
      <c r="S91" s="1386">
        <f t="shared" si="122"/>
        <v>0</v>
      </c>
      <c r="T91" s="1386">
        <f>'HK PANEN'!AO10</f>
        <v>0</v>
      </c>
      <c r="U91" s="1386">
        <f t="shared" si="123"/>
        <v>0</v>
      </c>
      <c r="V91" s="1384">
        <f t="shared" si="87"/>
        <v>31</v>
      </c>
      <c r="W91" s="1384">
        <v>4650</v>
      </c>
      <c r="X91" s="1384">
        <f t="shared" si="88"/>
        <v>144150</v>
      </c>
      <c r="Y91" s="1384"/>
      <c r="Z91" s="1384"/>
      <c r="AA91" s="1384">
        <f t="shared" si="89"/>
        <v>0</v>
      </c>
      <c r="AB91" s="1385">
        <v>2500</v>
      </c>
      <c r="AC91" s="1384">
        <f>'MASA KERJA AB'!H56</f>
        <v>10</v>
      </c>
      <c r="AD91" s="1391">
        <f>'MASA KERJA AB'!I56</f>
        <v>27000</v>
      </c>
      <c r="AE91" s="1385"/>
      <c r="AF91" s="1387">
        <f>'MONITORING '!AK17</f>
        <v>569028</v>
      </c>
      <c r="AG91" s="1388">
        <f>'MONITORING '!AK18</f>
        <v>477750</v>
      </c>
      <c r="AH91" s="1389">
        <v>583150</v>
      </c>
      <c r="AI91" s="1389">
        <f>'INSETIF MEI''25'!L8</f>
        <v>300000</v>
      </c>
      <c r="AJ91" s="1388"/>
      <c r="AK91" s="1390"/>
      <c r="AL91" s="1384"/>
      <c r="AM91" s="1384"/>
      <c r="AN91" s="1384">
        <f>'MONITORING '!AK19</f>
        <v>0</v>
      </c>
      <c r="AO91" s="1392">
        <f t="shared" si="90"/>
        <v>6106898</v>
      </c>
      <c r="AP91" s="1384">
        <f t="shared" si="110"/>
        <v>77532</v>
      </c>
      <c r="AQ91" s="1384">
        <f t="shared" si="111"/>
        <v>175997.64</v>
      </c>
      <c r="AR91" s="1384">
        <f t="shared" si="124"/>
        <v>253529.64</v>
      </c>
      <c r="AS91" s="1386">
        <f t="shared" si="112"/>
        <v>39036</v>
      </c>
      <c r="AT91" s="1386">
        <f t="shared" si="113"/>
        <v>156144</v>
      </c>
      <c r="AU91" s="1384">
        <f t="shared" si="114"/>
        <v>38766</v>
      </c>
      <c r="AV91" s="1384">
        <f t="shared" si="115"/>
        <v>77532</v>
      </c>
      <c r="AW91" s="1384">
        <f t="shared" si="125"/>
        <v>311478</v>
      </c>
      <c r="AX91" s="1391">
        <v>4000</v>
      </c>
      <c r="AY91" s="1391">
        <v>51717</v>
      </c>
      <c r="AZ91" s="1384">
        <f t="shared" si="93"/>
        <v>0</v>
      </c>
      <c r="BA91" s="1384"/>
      <c r="BB91" s="1386"/>
      <c r="BC91" s="1386">
        <f t="shared" si="94"/>
        <v>5895847</v>
      </c>
      <c r="BD91" s="1154">
        <f>'HK PANEN'!AQ10</f>
        <v>0</v>
      </c>
      <c r="BE91" s="1367">
        <f>'HK PANEN'!AR10</f>
        <v>0</v>
      </c>
      <c r="BG91" s="765">
        <f t="shared" si="95"/>
        <v>4005820</v>
      </c>
      <c r="BH91" s="766">
        <f t="shared" si="96"/>
        <v>0</v>
      </c>
      <c r="BI91" s="766">
        <f t="shared" si="97"/>
        <v>0</v>
      </c>
      <c r="BJ91" s="765">
        <f t="shared" si="98"/>
        <v>0</v>
      </c>
      <c r="BK91" s="767">
        <f t="shared" si="99"/>
        <v>4005820</v>
      </c>
      <c r="BM91" s="767">
        <f t="shared" ref="BM91:BM109" si="126">(X91+AA91+AD91+AE91+AF91+AG91+AH91+AI91+AJ91+AK91+AL91+AM91)-AN91</f>
        <v>2101078</v>
      </c>
      <c r="BN91" s="765">
        <v>30575.999999999996</v>
      </c>
      <c r="BO91" s="765">
        <f t="shared" si="100"/>
        <v>186720</v>
      </c>
      <c r="BQ91" s="841">
        <f t="shared" si="101"/>
        <v>569028</v>
      </c>
      <c r="BS91" s="768" t="s">
        <v>138</v>
      </c>
      <c r="BT91" s="773">
        <f t="shared" ref="BT91:BT109" si="127">AF91+AJ91</f>
        <v>569028</v>
      </c>
    </row>
    <row r="92" spans="1:72" ht="38.25" customHeight="1">
      <c r="A92" s="906">
        <v>5</v>
      </c>
      <c r="B92" s="812" t="s">
        <v>36</v>
      </c>
      <c r="C92" s="813" t="s">
        <v>148</v>
      </c>
      <c r="D92" s="816" t="s">
        <v>141</v>
      </c>
      <c r="E92" s="1037">
        <f>'HK PANEN'!AH11</f>
        <v>24</v>
      </c>
      <c r="F92" s="953">
        <v>129220</v>
      </c>
      <c r="G92" s="1457">
        <f t="shared" si="116"/>
        <v>3101280</v>
      </c>
      <c r="H92" s="1383">
        <f>'HK PANEN'!AI11</f>
        <v>0</v>
      </c>
      <c r="I92" s="1386">
        <f t="shared" si="117"/>
        <v>0</v>
      </c>
      <c r="J92" s="1386">
        <f>'HK PANEN'!AJ11</f>
        <v>0</v>
      </c>
      <c r="K92" s="1386">
        <f t="shared" si="118"/>
        <v>0</v>
      </c>
      <c r="L92" s="1386">
        <f>'HK PANEN'!AK11</f>
        <v>0</v>
      </c>
      <c r="M92" s="1386">
        <f t="shared" si="119"/>
        <v>0</v>
      </c>
      <c r="N92" s="1386">
        <f>'HK PANEN'!AL11</f>
        <v>4</v>
      </c>
      <c r="O92" s="1386">
        <f t="shared" si="120"/>
        <v>516880</v>
      </c>
      <c r="P92" s="1386">
        <f>'HK PANEN'!AM11</f>
        <v>3</v>
      </c>
      <c r="Q92" s="1386">
        <f t="shared" si="121"/>
        <v>387660</v>
      </c>
      <c r="R92" s="1386">
        <f>'HK PANEN'!AN11</f>
        <v>0</v>
      </c>
      <c r="S92" s="1386">
        <f t="shared" si="122"/>
        <v>0</v>
      </c>
      <c r="T92" s="1386">
        <f>'HK PANEN'!AO11</f>
        <v>0</v>
      </c>
      <c r="U92" s="1386">
        <f t="shared" si="123"/>
        <v>0</v>
      </c>
      <c r="V92" s="1384">
        <f t="shared" si="87"/>
        <v>31</v>
      </c>
      <c r="W92" s="1384">
        <v>2250</v>
      </c>
      <c r="X92" s="1384">
        <f t="shared" si="88"/>
        <v>69750</v>
      </c>
      <c r="Y92" s="1384"/>
      <c r="Z92" s="1384"/>
      <c r="AA92" s="1384">
        <f t="shared" si="89"/>
        <v>0</v>
      </c>
      <c r="AB92" s="1385">
        <v>2500</v>
      </c>
      <c r="AC92" s="1384">
        <f>'MASA KERJA AB'!H57</f>
        <v>5</v>
      </c>
      <c r="AD92" s="1391">
        <f>'MASA KERJA AB'!I57</f>
        <v>12500</v>
      </c>
      <c r="AE92" s="1385"/>
      <c r="AF92" s="1387">
        <f>'MONITORING '!AK30</f>
        <v>274184</v>
      </c>
      <c r="AG92" s="1388">
        <f>'MONITORING '!AK31</f>
        <v>185500</v>
      </c>
      <c r="AH92" s="1389">
        <v>420900</v>
      </c>
      <c r="AI92" s="1389">
        <f>'INSETIF MEI''25'!L9</f>
        <v>150000</v>
      </c>
      <c r="AJ92" s="1388"/>
      <c r="AK92" s="1390"/>
      <c r="AL92" s="1384"/>
      <c r="AM92" s="1384"/>
      <c r="AN92" s="1384">
        <f>'MONITORING '!AK32</f>
        <v>0</v>
      </c>
      <c r="AO92" s="1392">
        <f t="shared" si="90"/>
        <v>5118654</v>
      </c>
      <c r="AP92" s="1384">
        <f t="shared" si="110"/>
        <v>77532</v>
      </c>
      <c r="AQ92" s="1384">
        <f t="shared" si="111"/>
        <v>175997.64</v>
      </c>
      <c r="AR92" s="1384">
        <f t="shared" si="124"/>
        <v>253529.64</v>
      </c>
      <c r="AS92" s="1386">
        <f t="shared" si="112"/>
        <v>38891</v>
      </c>
      <c r="AT92" s="1386">
        <f t="shared" si="113"/>
        <v>155564</v>
      </c>
      <c r="AU92" s="1384">
        <f t="shared" si="114"/>
        <v>38766</v>
      </c>
      <c r="AV92" s="1384">
        <f t="shared" si="115"/>
        <v>77532</v>
      </c>
      <c r="AW92" s="1384">
        <f t="shared" si="125"/>
        <v>310753</v>
      </c>
      <c r="AX92" s="1391">
        <v>4000</v>
      </c>
      <c r="AY92" s="1391">
        <v>29534</v>
      </c>
      <c r="AZ92" s="1384">
        <f t="shared" si="93"/>
        <v>0</v>
      </c>
      <c r="BA92" s="1384"/>
      <c r="BB92" s="1386"/>
      <c r="BC92" s="1386">
        <f t="shared" si="94"/>
        <v>4929931</v>
      </c>
      <c r="BD92" s="1154">
        <f>'HK PANEN'!AQ11</f>
        <v>0</v>
      </c>
      <c r="BE92" s="1367">
        <f>'HK PANEN'!AR11</f>
        <v>0</v>
      </c>
      <c r="BG92" s="765">
        <f t="shared" si="95"/>
        <v>4005820</v>
      </c>
      <c r="BH92" s="766">
        <f t="shared" si="96"/>
        <v>0</v>
      </c>
      <c r="BI92" s="766">
        <f t="shared" si="97"/>
        <v>0</v>
      </c>
      <c r="BJ92" s="765">
        <f t="shared" si="98"/>
        <v>0</v>
      </c>
      <c r="BK92" s="767">
        <f t="shared" si="99"/>
        <v>4005820</v>
      </c>
      <c r="BM92" s="907">
        <f t="shared" si="126"/>
        <v>1112834</v>
      </c>
      <c r="BN92" s="765">
        <v>30575.999999999996</v>
      </c>
      <c r="BO92" s="765">
        <f t="shared" si="100"/>
        <v>186140</v>
      </c>
      <c r="BP92" s="820"/>
      <c r="BQ92" s="841">
        <f t="shared" si="101"/>
        <v>274184</v>
      </c>
      <c r="BR92" s="820"/>
      <c r="BS92" s="773" t="s">
        <v>141</v>
      </c>
      <c r="BT92" s="773">
        <f t="shared" si="127"/>
        <v>274184</v>
      </c>
    </row>
    <row r="93" spans="1:72" ht="38.25" customHeight="1">
      <c r="A93" s="906">
        <v>6</v>
      </c>
      <c r="B93" s="812" t="s">
        <v>36</v>
      </c>
      <c r="C93" s="868" t="s">
        <v>149</v>
      </c>
      <c r="D93" s="816" t="s">
        <v>347</v>
      </c>
      <c r="E93" s="1037">
        <f>'HK PANEN'!AH12</f>
        <v>24</v>
      </c>
      <c r="F93" s="953">
        <v>129220</v>
      </c>
      <c r="G93" s="1457">
        <f t="shared" si="116"/>
        <v>3101280</v>
      </c>
      <c r="H93" s="1383">
        <f>'HK PANEN'!AI12</f>
        <v>0</v>
      </c>
      <c r="I93" s="1386">
        <f t="shared" si="117"/>
        <v>0</v>
      </c>
      <c r="J93" s="1386">
        <f>'HK PANEN'!AJ12</f>
        <v>0</v>
      </c>
      <c r="K93" s="1386">
        <f t="shared" si="118"/>
        <v>0</v>
      </c>
      <c r="L93" s="1386">
        <f>'HK PANEN'!AK12</f>
        <v>0</v>
      </c>
      <c r="M93" s="1386">
        <f t="shared" si="119"/>
        <v>0</v>
      </c>
      <c r="N93" s="1386">
        <f>'HK PANEN'!AL12</f>
        <v>4</v>
      </c>
      <c r="O93" s="1386">
        <f t="shared" si="120"/>
        <v>516880</v>
      </c>
      <c r="P93" s="1386">
        <f>'HK PANEN'!AM12</f>
        <v>3</v>
      </c>
      <c r="Q93" s="1386">
        <f t="shared" si="121"/>
        <v>387660</v>
      </c>
      <c r="R93" s="1386">
        <f>'HK PANEN'!AN12</f>
        <v>0</v>
      </c>
      <c r="S93" s="1386">
        <f t="shared" si="122"/>
        <v>0</v>
      </c>
      <c r="T93" s="1386">
        <f>'HK PANEN'!AO12</f>
        <v>0</v>
      </c>
      <c r="U93" s="1386">
        <f t="shared" si="123"/>
        <v>0</v>
      </c>
      <c r="V93" s="1384">
        <f t="shared" si="87"/>
        <v>31</v>
      </c>
      <c r="W93" s="1384">
        <v>5550</v>
      </c>
      <c r="X93" s="1384">
        <f t="shared" si="88"/>
        <v>172050</v>
      </c>
      <c r="Y93" s="1384"/>
      <c r="Z93" s="1384"/>
      <c r="AA93" s="1384">
        <f t="shared" si="89"/>
        <v>0</v>
      </c>
      <c r="AB93" s="1384">
        <v>2500</v>
      </c>
      <c r="AC93" s="1384">
        <f>'MASA KERJA AB'!H58</f>
        <v>5</v>
      </c>
      <c r="AD93" s="1391">
        <f>'MASA KERJA AB'!I58</f>
        <v>12500</v>
      </c>
      <c r="AE93" s="1385"/>
      <c r="AF93" s="1387">
        <f>'MONITORING '!AK43</f>
        <v>540479</v>
      </c>
      <c r="AG93" s="1388">
        <f>'MONITORING '!AK44</f>
        <v>330750</v>
      </c>
      <c r="AH93" s="1389">
        <v>472350</v>
      </c>
      <c r="AI93" s="1389">
        <f>'INSETIF MEI''25'!L10</f>
        <v>300000</v>
      </c>
      <c r="AJ93" s="1388"/>
      <c r="AK93" s="1390"/>
      <c r="AL93" s="1384"/>
      <c r="AM93" s="1384"/>
      <c r="AN93" s="1384">
        <f>'MONITORING '!AK45</f>
        <v>0</v>
      </c>
      <c r="AO93" s="1392">
        <f t="shared" si="90"/>
        <v>5833949</v>
      </c>
      <c r="AP93" s="1384">
        <f t="shared" si="110"/>
        <v>77532</v>
      </c>
      <c r="AQ93" s="1384">
        <f t="shared" si="111"/>
        <v>175997.64</v>
      </c>
      <c r="AR93" s="1384">
        <f t="shared" si="124"/>
        <v>253529.64</v>
      </c>
      <c r="AS93" s="1386">
        <f t="shared" si="112"/>
        <v>38891</v>
      </c>
      <c r="AT93" s="1386">
        <f t="shared" si="113"/>
        <v>155564</v>
      </c>
      <c r="AU93" s="1384">
        <f t="shared" si="114"/>
        <v>38766</v>
      </c>
      <c r="AV93" s="1384">
        <f t="shared" si="115"/>
        <v>77532</v>
      </c>
      <c r="AW93" s="1384">
        <f t="shared" si="125"/>
        <v>310753</v>
      </c>
      <c r="AX93" s="1391">
        <v>4000</v>
      </c>
      <c r="AY93" s="1391">
        <v>51916</v>
      </c>
      <c r="AZ93" s="1384">
        <f t="shared" si="93"/>
        <v>0</v>
      </c>
      <c r="BA93" s="1384"/>
      <c r="BB93" s="1386"/>
      <c r="BC93" s="1386">
        <f t="shared" si="94"/>
        <v>5622844</v>
      </c>
      <c r="BD93" s="1154">
        <f>'HK PANEN'!AQ12</f>
        <v>0</v>
      </c>
      <c r="BE93" s="1367">
        <f>'HK PANEN'!AR12</f>
        <v>0</v>
      </c>
      <c r="BG93" s="765">
        <f t="shared" si="95"/>
        <v>4005820</v>
      </c>
      <c r="BH93" s="766">
        <f t="shared" si="96"/>
        <v>0</v>
      </c>
      <c r="BI93" s="766">
        <f t="shared" si="97"/>
        <v>0</v>
      </c>
      <c r="BJ93" s="765">
        <f t="shared" si="98"/>
        <v>0</v>
      </c>
      <c r="BK93" s="767">
        <f t="shared" si="99"/>
        <v>4005820</v>
      </c>
      <c r="BM93" s="907">
        <f t="shared" si="126"/>
        <v>1828129</v>
      </c>
      <c r="BN93" s="765">
        <v>30575.999999999996</v>
      </c>
      <c r="BO93" s="765">
        <f t="shared" si="100"/>
        <v>186140</v>
      </c>
      <c r="BP93" s="820"/>
      <c r="BQ93" s="841">
        <f t="shared" si="101"/>
        <v>540479</v>
      </c>
      <c r="BR93" s="820"/>
      <c r="BS93" s="773" t="s">
        <v>347</v>
      </c>
      <c r="BT93" s="773">
        <f t="shared" si="127"/>
        <v>540479</v>
      </c>
    </row>
    <row r="94" spans="1:72" ht="38.25" customHeight="1">
      <c r="A94" s="906">
        <v>7</v>
      </c>
      <c r="B94" s="812" t="s">
        <v>36</v>
      </c>
      <c r="C94" s="813" t="s">
        <v>277</v>
      </c>
      <c r="D94" s="816" t="s">
        <v>276</v>
      </c>
      <c r="E94" s="1037">
        <f>'HK PANEN'!AH13</f>
        <v>24</v>
      </c>
      <c r="F94" s="953">
        <v>129220</v>
      </c>
      <c r="G94" s="1457">
        <f t="shared" si="116"/>
        <v>3101280</v>
      </c>
      <c r="H94" s="1383">
        <f>'HK PANEN'!AI13</f>
        <v>0</v>
      </c>
      <c r="I94" s="1386">
        <f t="shared" si="117"/>
        <v>0</v>
      </c>
      <c r="J94" s="1386">
        <f>'HK PANEN'!AJ13</f>
        <v>0</v>
      </c>
      <c r="K94" s="1386">
        <f t="shared" si="118"/>
        <v>0</v>
      </c>
      <c r="L94" s="1386">
        <f>'HK PANEN'!AK13</f>
        <v>0</v>
      </c>
      <c r="M94" s="1386">
        <f t="shared" si="119"/>
        <v>0</v>
      </c>
      <c r="N94" s="1386">
        <f>'HK PANEN'!AL13</f>
        <v>4</v>
      </c>
      <c r="O94" s="1386">
        <f t="shared" si="120"/>
        <v>516880</v>
      </c>
      <c r="P94" s="1386">
        <f>'HK PANEN'!AM13</f>
        <v>3</v>
      </c>
      <c r="Q94" s="1386">
        <f t="shared" si="121"/>
        <v>387660</v>
      </c>
      <c r="R94" s="1386">
        <f>'HK PANEN'!AN13</f>
        <v>0</v>
      </c>
      <c r="S94" s="1386">
        <f t="shared" si="122"/>
        <v>0</v>
      </c>
      <c r="T94" s="1386">
        <f>'HK PANEN'!AO13</f>
        <v>0</v>
      </c>
      <c r="U94" s="1386">
        <f t="shared" si="123"/>
        <v>0</v>
      </c>
      <c r="V94" s="1384">
        <f t="shared" si="87"/>
        <v>31</v>
      </c>
      <c r="W94" s="1384">
        <v>5550</v>
      </c>
      <c r="X94" s="1384">
        <f t="shared" si="88"/>
        <v>172050</v>
      </c>
      <c r="Y94" s="1384"/>
      <c r="Z94" s="1384"/>
      <c r="AA94" s="1384">
        <f t="shared" si="89"/>
        <v>0</v>
      </c>
      <c r="AB94" s="1385">
        <v>2500</v>
      </c>
      <c r="AC94" s="1384">
        <f>'MASA KERJA AB'!H59</f>
        <v>2</v>
      </c>
      <c r="AD94" s="1391">
        <f>'MASA KERJA AB'!I59</f>
        <v>5000</v>
      </c>
      <c r="AE94" s="1385"/>
      <c r="AF94" s="1387">
        <f>'MONITORING '!AK56</f>
        <v>74375</v>
      </c>
      <c r="AG94" s="1388">
        <f>'MONITORING '!AK57</f>
        <v>308000</v>
      </c>
      <c r="AH94" s="1389">
        <v>395550</v>
      </c>
      <c r="AI94" s="1390"/>
      <c r="AJ94" s="1388"/>
      <c r="AK94" s="1390"/>
      <c r="AL94" s="1384"/>
      <c r="AM94" s="1384"/>
      <c r="AN94" s="1391">
        <f>'MONITORING '!AK58</f>
        <v>89547</v>
      </c>
      <c r="AO94" s="1392">
        <f t="shared" si="90"/>
        <v>4871248</v>
      </c>
      <c r="AP94" s="1384">
        <f t="shared" si="110"/>
        <v>77532</v>
      </c>
      <c r="AQ94" s="1384">
        <f t="shared" si="111"/>
        <v>175997.64</v>
      </c>
      <c r="AR94" s="1384">
        <f t="shared" si="124"/>
        <v>253529.64</v>
      </c>
      <c r="AS94" s="1386">
        <f t="shared" si="112"/>
        <v>38816</v>
      </c>
      <c r="AT94" s="1386">
        <f t="shared" si="113"/>
        <v>155264</v>
      </c>
      <c r="AU94" s="1384">
        <f t="shared" si="114"/>
        <v>38766</v>
      </c>
      <c r="AV94" s="1384">
        <f t="shared" si="115"/>
        <v>77532</v>
      </c>
      <c r="AW94" s="1384">
        <f t="shared" si="125"/>
        <v>310378</v>
      </c>
      <c r="AX94" s="1391">
        <v>4000</v>
      </c>
      <c r="AY94" s="1384">
        <v>0</v>
      </c>
      <c r="AZ94" s="1384">
        <f t="shared" si="93"/>
        <v>0</v>
      </c>
      <c r="BA94" s="1384"/>
      <c r="BB94" s="1384"/>
      <c r="BC94" s="1386">
        <f t="shared" si="94"/>
        <v>4712134</v>
      </c>
      <c r="BD94" s="1154">
        <f>'HK PANEN'!AQ13</f>
        <v>0</v>
      </c>
      <c r="BE94" s="1367">
        <f>'HK PANEN'!AR13</f>
        <v>0</v>
      </c>
      <c r="BG94" s="765">
        <f t="shared" si="95"/>
        <v>4005820</v>
      </c>
      <c r="BH94" s="766">
        <f t="shared" si="96"/>
        <v>0</v>
      </c>
      <c r="BI94" s="766">
        <f t="shared" si="97"/>
        <v>0</v>
      </c>
      <c r="BJ94" s="765">
        <f t="shared" si="98"/>
        <v>0</v>
      </c>
      <c r="BK94" s="767">
        <f t="shared" si="99"/>
        <v>4005820</v>
      </c>
      <c r="BM94" s="767">
        <f t="shared" si="126"/>
        <v>865428</v>
      </c>
      <c r="BN94" s="765">
        <v>30575.999999999996</v>
      </c>
      <c r="BO94" s="765">
        <f t="shared" si="100"/>
        <v>185840</v>
      </c>
      <c r="BQ94" s="841">
        <f t="shared" si="101"/>
        <v>74375</v>
      </c>
      <c r="BS94" s="768" t="s">
        <v>276</v>
      </c>
      <c r="BT94" s="773">
        <f t="shared" si="127"/>
        <v>74375</v>
      </c>
    </row>
    <row r="95" spans="1:72" ht="38.25" customHeight="1">
      <c r="A95" s="906">
        <v>8</v>
      </c>
      <c r="B95" s="812" t="s">
        <v>36</v>
      </c>
      <c r="C95" s="813" t="s">
        <v>283</v>
      </c>
      <c r="D95" s="816" t="s">
        <v>340</v>
      </c>
      <c r="E95" s="1037">
        <f>'HK PANEN'!AH14</f>
        <v>24</v>
      </c>
      <c r="F95" s="953">
        <v>129220</v>
      </c>
      <c r="G95" s="1457">
        <f t="shared" si="116"/>
        <v>3101280</v>
      </c>
      <c r="H95" s="1383">
        <f>'HK PANEN'!AI14</f>
        <v>0</v>
      </c>
      <c r="I95" s="1386">
        <f t="shared" si="117"/>
        <v>0</v>
      </c>
      <c r="J95" s="1386">
        <f>'HK PANEN'!AJ14</f>
        <v>0</v>
      </c>
      <c r="K95" s="1386">
        <f t="shared" si="118"/>
        <v>0</v>
      </c>
      <c r="L95" s="1386">
        <f>'HK PANEN'!AK14</f>
        <v>0</v>
      </c>
      <c r="M95" s="1386">
        <f t="shared" si="119"/>
        <v>0</v>
      </c>
      <c r="N95" s="1386">
        <f>'HK PANEN'!AL14</f>
        <v>4</v>
      </c>
      <c r="O95" s="1386">
        <f t="shared" si="120"/>
        <v>516880</v>
      </c>
      <c r="P95" s="1386">
        <f>'HK PANEN'!AM14</f>
        <v>3</v>
      </c>
      <c r="Q95" s="1386">
        <f t="shared" si="121"/>
        <v>387660</v>
      </c>
      <c r="R95" s="1386">
        <f>'HK PANEN'!AN14</f>
        <v>0</v>
      </c>
      <c r="S95" s="1386">
        <f t="shared" si="122"/>
        <v>0</v>
      </c>
      <c r="T95" s="1386">
        <f>'HK PANEN'!AO14</f>
        <v>0</v>
      </c>
      <c r="U95" s="1386">
        <f t="shared" si="123"/>
        <v>0</v>
      </c>
      <c r="V95" s="1384">
        <f t="shared" si="87"/>
        <v>31</v>
      </c>
      <c r="W95" s="1384">
        <v>3700</v>
      </c>
      <c r="X95" s="1384">
        <f t="shared" si="88"/>
        <v>114700</v>
      </c>
      <c r="Y95" s="1384"/>
      <c r="Z95" s="1384"/>
      <c r="AA95" s="1384">
        <f t="shared" si="89"/>
        <v>0</v>
      </c>
      <c r="AB95" s="1385">
        <v>2500</v>
      </c>
      <c r="AC95" s="1384">
        <f>'MASA KERJA AB'!H60</f>
        <v>1</v>
      </c>
      <c r="AD95" s="1391">
        <f>'MASA KERJA AB'!I60</f>
        <v>2500</v>
      </c>
      <c r="AE95" s="1385"/>
      <c r="AF95" s="1387">
        <f>'MONITORING '!AK69</f>
        <v>125282</v>
      </c>
      <c r="AG95" s="1388">
        <f>'MONITORING '!AK70</f>
        <v>290500</v>
      </c>
      <c r="AH95" s="1389">
        <v>354350</v>
      </c>
      <c r="AI95" s="1390"/>
      <c r="AJ95" s="1388"/>
      <c r="AK95" s="1390"/>
      <c r="AL95" s="1384"/>
      <c r="AM95" s="1384"/>
      <c r="AN95" s="1384">
        <f>'MONITORING '!AK71</f>
        <v>0</v>
      </c>
      <c r="AO95" s="1392">
        <f t="shared" si="90"/>
        <v>4893152</v>
      </c>
      <c r="AP95" s="1384">
        <f t="shared" si="110"/>
        <v>77532</v>
      </c>
      <c r="AQ95" s="1384">
        <f t="shared" si="111"/>
        <v>175997.64</v>
      </c>
      <c r="AR95" s="1384">
        <f t="shared" si="124"/>
        <v>253529.64</v>
      </c>
      <c r="AS95" s="1386">
        <f t="shared" si="112"/>
        <v>38791</v>
      </c>
      <c r="AT95" s="1386">
        <f t="shared" si="113"/>
        <v>155164</v>
      </c>
      <c r="AU95" s="1384">
        <f t="shared" si="114"/>
        <v>38766</v>
      </c>
      <c r="AV95" s="1384">
        <f t="shared" si="115"/>
        <v>77532</v>
      </c>
      <c r="AW95" s="1384">
        <f t="shared" si="125"/>
        <v>310253</v>
      </c>
      <c r="AX95" s="1391">
        <v>4000</v>
      </c>
      <c r="AY95" s="1391">
        <v>28404</v>
      </c>
      <c r="AZ95" s="1384">
        <f t="shared" si="93"/>
        <v>0</v>
      </c>
      <c r="BA95" s="1384"/>
      <c r="BB95" s="1384"/>
      <c r="BC95" s="1386">
        <f t="shared" si="94"/>
        <v>4705659</v>
      </c>
      <c r="BD95" s="1154">
        <f>'HK PANEN'!AQ14</f>
        <v>0</v>
      </c>
      <c r="BE95" s="1367">
        <f>'HK PANEN'!AR14</f>
        <v>0</v>
      </c>
      <c r="BG95" s="765">
        <f t="shared" si="95"/>
        <v>4005820</v>
      </c>
      <c r="BH95" s="766">
        <f t="shared" si="96"/>
        <v>0</v>
      </c>
      <c r="BI95" s="766">
        <f t="shared" si="97"/>
        <v>0</v>
      </c>
      <c r="BJ95" s="765">
        <f t="shared" si="98"/>
        <v>0</v>
      </c>
      <c r="BK95" s="767">
        <f t="shared" si="99"/>
        <v>4005820</v>
      </c>
      <c r="BM95" s="767">
        <f t="shared" si="126"/>
        <v>887332</v>
      </c>
      <c r="BN95" s="765">
        <v>30575.999999999996</v>
      </c>
      <c r="BO95" s="765">
        <f t="shared" si="100"/>
        <v>185740</v>
      </c>
      <c r="BQ95" s="841">
        <f t="shared" si="101"/>
        <v>125282</v>
      </c>
      <c r="BS95" s="768" t="s">
        <v>340</v>
      </c>
      <c r="BT95" s="773">
        <f t="shared" si="127"/>
        <v>125282</v>
      </c>
    </row>
    <row r="96" spans="1:72" ht="38.25" customHeight="1">
      <c r="A96" s="906">
        <v>9</v>
      </c>
      <c r="B96" s="812" t="s">
        <v>36</v>
      </c>
      <c r="C96" s="813" t="s">
        <v>283</v>
      </c>
      <c r="D96" s="816" t="s">
        <v>339</v>
      </c>
      <c r="E96" s="1037">
        <f>'HK PANEN'!AH15</f>
        <v>24</v>
      </c>
      <c r="F96" s="953">
        <v>129220</v>
      </c>
      <c r="G96" s="1457">
        <f t="shared" si="116"/>
        <v>3101280</v>
      </c>
      <c r="H96" s="1383">
        <f>'HK PANEN'!AI15</f>
        <v>0</v>
      </c>
      <c r="I96" s="1386">
        <f t="shared" si="117"/>
        <v>0</v>
      </c>
      <c r="J96" s="1386">
        <f>'HK PANEN'!AJ15</f>
        <v>0</v>
      </c>
      <c r="K96" s="1386">
        <f t="shared" si="118"/>
        <v>0</v>
      </c>
      <c r="L96" s="1386">
        <f>'HK PANEN'!AK15</f>
        <v>0</v>
      </c>
      <c r="M96" s="1386">
        <f t="shared" si="119"/>
        <v>0</v>
      </c>
      <c r="N96" s="1386">
        <f>'HK PANEN'!AL15</f>
        <v>4</v>
      </c>
      <c r="O96" s="1386">
        <f t="shared" si="120"/>
        <v>516880</v>
      </c>
      <c r="P96" s="1386">
        <f>'HK PANEN'!AM15</f>
        <v>3</v>
      </c>
      <c r="Q96" s="1386">
        <f t="shared" si="121"/>
        <v>387660</v>
      </c>
      <c r="R96" s="1386">
        <f>'HK PANEN'!AN15</f>
        <v>0</v>
      </c>
      <c r="S96" s="1386">
        <f t="shared" si="122"/>
        <v>0</v>
      </c>
      <c r="T96" s="1386">
        <f>'HK PANEN'!AO15</f>
        <v>0</v>
      </c>
      <c r="U96" s="1386">
        <f t="shared" si="123"/>
        <v>0</v>
      </c>
      <c r="V96" s="1384">
        <f t="shared" si="87"/>
        <v>31</v>
      </c>
      <c r="W96" s="1384">
        <v>2250</v>
      </c>
      <c r="X96" s="1384">
        <f t="shared" si="88"/>
        <v>69750</v>
      </c>
      <c r="Y96" s="1384"/>
      <c r="Z96" s="1384"/>
      <c r="AA96" s="1384">
        <f t="shared" si="89"/>
        <v>0</v>
      </c>
      <c r="AB96" s="1385">
        <v>2500</v>
      </c>
      <c r="AC96" s="1384">
        <f>'MASA KERJA AB'!H61</f>
        <v>1</v>
      </c>
      <c r="AD96" s="1391">
        <f>'MASA KERJA AB'!I61</f>
        <v>2500</v>
      </c>
      <c r="AE96" s="1385">
        <f>'LEMBUR DAN PREMI UPKEEP'!AJ95</f>
        <v>0</v>
      </c>
      <c r="AF96" s="1387">
        <f>'MONITORING '!AK82</f>
        <v>531258</v>
      </c>
      <c r="AG96" s="1388">
        <f>'MONITORING '!AK83</f>
        <v>253750</v>
      </c>
      <c r="AH96" s="1389">
        <v>371500</v>
      </c>
      <c r="AI96" s="1390"/>
      <c r="AJ96" s="1388"/>
      <c r="AK96" s="1390"/>
      <c r="AL96" s="1384"/>
      <c r="AM96" s="1384"/>
      <c r="AN96" s="1384">
        <f>'MONITORING '!AK84</f>
        <v>0</v>
      </c>
      <c r="AO96" s="1392">
        <f t="shared" si="90"/>
        <v>5234578</v>
      </c>
      <c r="AP96" s="1384">
        <f t="shared" si="110"/>
        <v>77532</v>
      </c>
      <c r="AQ96" s="1384">
        <f t="shared" si="111"/>
        <v>175997.64</v>
      </c>
      <c r="AR96" s="1384">
        <f t="shared" si="124"/>
        <v>253529.64</v>
      </c>
      <c r="AS96" s="1386">
        <f t="shared" si="112"/>
        <v>38791</v>
      </c>
      <c r="AT96" s="1386">
        <f t="shared" si="113"/>
        <v>155164</v>
      </c>
      <c r="AU96" s="1384">
        <f t="shared" si="114"/>
        <v>38766</v>
      </c>
      <c r="AV96" s="1384">
        <f t="shared" si="115"/>
        <v>77532</v>
      </c>
      <c r="AW96" s="1384">
        <f t="shared" si="125"/>
        <v>310253</v>
      </c>
      <c r="AX96" s="1391">
        <v>4000</v>
      </c>
      <c r="AY96" s="1391">
        <v>45167</v>
      </c>
      <c r="AZ96" s="1384">
        <f t="shared" si="93"/>
        <v>0</v>
      </c>
      <c r="BA96" s="1384"/>
      <c r="BB96" s="1384"/>
      <c r="BC96" s="1386">
        <f t="shared" si="94"/>
        <v>5030322</v>
      </c>
      <c r="BD96" s="1154">
        <f>'HK PANEN'!AQ15</f>
        <v>0</v>
      </c>
      <c r="BE96" s="1367">
        <f>'HK PANEN'!AR15</f>
        <v>0</v>
      </c>
      <c r="BG96" s="765">
        <f t="shared" si="95"/>
        <v>4005820</v>
      </c>
      <c r="BH96" s="766">
        <f t="shared" si="96"/>
        <v>0</v>
      </c>
      <c r="BI96" s="766">
        <f t="shared" si="97"/>
        <v>0</v>
      </c>
      <c r="BJ96" s="765">
        <f t="shared" si="98"/>
        <v>0</v>
      </c>
      <c r="BK96" s="767">
        <f t="shared" si="99"/>
        <v>4005820</v>
      </c>
      <c r="BM96" s="767">
        <f t="shared" si="126"/>
        <v>1228758</v>
      </c>
      <c r="BN96" s="765">
        <v>30575.999999999996</v>
      </c>
      <c r="BO96" s="765">
        <f t="shared" si="100"/>
        <v>185740</v>
      </c>
      <c r="BQ96" s="841">
        <f t="shared" si="101"/>
        <v>531258</v>
      </c>
      <c r="BS96" s="768" t="s">
        <v>339</v>
      </c>
      <c r="BT96" s="773">
        <f t="shared" si="127"/>
        <v>531258</v>
      </c>
    </row>
    <row r="97" spans="1:75" ht="39" customHeight="1">
      <c r="A97" s="906">
        <v>10</v>
      </c>
      <c r="B97" s="812" t="s">
        <v>36</v>
      </c>
      <c r="C97" s="813" t="s">
        <v>351</v>
      </c>
      <c r="D97" s="816" t="s">
        <v>346</v>
      </c>
      <c r="E97" s="1037">
        <f>'HK PANEN'!AH16</f>
        <v>24</v>
      </c>
      <c r="F97" s="953">
        <v>129220</v>
      </c>
      <c r="G97" s="1457">
        <f t="shared" si="116"/>
        <v>3101280</v>
      </c>
      <c r="H97" s="1383">
        <f>'HK PANEN'!AI16</f>
        <v>0</v>
      </c>
      <c r="I97" s="1386">
        <f t="shared" si="117"/>
        <v>0</v>
      </c>
      <c r="J97" s="1386">
        <f>'HK PANEN'!AJ16</f>
        <v>0</v>
      </c>
      <c r="K97" s="1386">
        <f t="shared" si="118"/>
        <v>0</v>
      </c>
      <c r="L97" s="1386">
        <f>'HK PANEN'!AK16</f>
        <v>0</v>
      </c>
      <c r="M97" s="1386">
        <f t="shared" si="119"/>
        <v>0</v>
      </c>
      <c r="N97" s="1386">
        <f>'HK PANEN'!AL16</f>
        <v>4</v>
      </c>
      <c r="O97" s="1386">
        <f t="shared" si="120"/>
        <v>516880</v>
      </c>
      <c r="P97" s="1386">
        <f>'HK PANEN'!AM16</f>
        <v>3</v>
      </c>
      <c r="Q97" s="1386">
        <f t="shared" si="121"/>
        <v>387660</v>
      </c>
      <c r="R97" s="1386">
        <f>'HK PANEN'!AN16</f>
        <v>0</v>
      </c>
      <c r="S97" s="1386">
        <f t="shared" si="122"/>
        <v>0</v>
      </c>
      <c r="T97" s="1386">
        <f>'HK PANEN'!AO16</f>
        <v>0</v>
      </c>
      <c r="U97" s="1386">
        <f t="shared" si="123"/>
        <v>0</v>
      </c>
      <c r="V97" s="1384">
        <f t="shared" si="87"/>
        <v>31</v>
      </c>
      <c r="W97" s="1384">
        <v>5550</v>
      </c>
      <c r="X97" s="1384">
        <f t="shared" si="88"/>
        <v>172050</v>
      </c>
      <c r="Y97" s="1384"/>
      <c r="Z97" s="1384"/>
      <c r="AA97" s="1384">
        <f t="shared" si="89"/>
        <v>0</v>
      </c>
      <c r="AB97" s="1385">
        <v>2500</v>
      </c>
      <c r="AC97" s="1384">
        <f>'MASA KERJA AB'!H62</f>
        <v>1</v>
      </c>
      <c r="AD97" s="1391">
        <f>'MASA KERJA AB'!I62</f>
        <v>2500</v>
      </c>
      <c r="AE97" s="1385"/>
      <c r="AF97" s="1387">
        <f>'MONITORING '!AK95</f>
        <v>542284</v>
      </c>
      <c r="AG97" s="1388">
        <f>'MONITORING '!AK96</f>
        <v>463750</v>
      </c>
      <c r="AH97" s="1389">
        <v>492500</v>
      </c>
      <c r="AI97" s="1389">
        <f>'INSETIF MEI''25'!L14</f>
        <v>300000</v>
      </c>
      <c r="AJ97" s="1388"/>
      <c r="AK97" s="1390"/>
      <c r="AL97" s="1384"/>
      <c r="AM97" s="1384"/>
      <c r="AN97" s="1391">
        <f>'MONITORING '!AK97</f>
        <v>9068</v>
      </c>
      <c r="AO97" s="1392">
        <f t="shared" si="90"/>
        <v>5969836</v>
      </c>
      <c r="AP97" s="1384">
        <f t="shared" si="110"/>
        <v>77532</v>
      </c>
      <c r="AQ97" s="1384">
        <f t="shared" si="111"/>
        <v>175997.64</v>
      </c>
      <c r="AR97" s="1384">
        <f t="shared" si="124"/>
        <v>253529.64</v>
      </c>
      <c r="AS97" s="1386">
        <f t="shared" si="112"/>
        <v>38791</v>
      </c>
      <c r="AT97" s="1386">
        <f t="shared" si="113"/>
        <v>155164</v>
      </c>
      <c r="AU97" s="1384">
        <f t="shared" si="114"/>
        <v>38766</v>
      </c>
      <c r="AV97" s="1384">
        <f t="shared" si="115"/>
        <v>77532</v>
      </c>
      <c r="AW97" s="1384">
        <f t="shared" si="125"/>
        <v>310253</v>
      </c>
      <c r="AX97" s="1391">
        <v>4000</v>
      </c>
      <c r="AY97" s="1391">
        <v>33788</v>
      </c>
      <c r="AZ97" s="1384">
        <f t="shared" si="93"/>
        <v>0</v>
      </c>
      <c r="BA97" s="1384"/>
      <c r="BB97" s="1384"/>
      <c r="BC97" s="1386">
        <f t="shared" si="94"/>
        <v>5776959</v>
      </c>
      <c r="BD97" s="1154">
        <f>'HK PANEN'!AQ16</f>
        <v>0</v>
      </c>
      <c r="BE97" s="1367">
        <f>'HK PANEN'!AR16</f>
        <v>0</v>
      </c>
      <c r="BG97" s="765">
        <f t="shared" si="95"/>
        <v>4005820</v>
      </c>
      <c r="BH97" s="766">
        <f t="shared" si="96"/>
        <v>0</v>
      </c>
      <c r="BI97" s="766">
        <f t="shared" si="97"/>
        <v>0</v>
      </c>
      <c r="BJ97" s="765">
        <f t="shared" si="98"/>
        <v>0</v>
      </c>
      <c r="BK97" s="767">
        <f t="shared" si="99"/>
        <v>4005820</v>
      </c>
      <c r="BM97" s="767">
        <f t="shared" si="126"/>
        <v>1964016</v>
      </c>
      <c r="BN97" s="765">
        <v>30575.999999999996</v>
      </c>
      <c r="BO97" s="765">
        <f t="shared" si="100"/>
        <v>185740</v>
      </c>
      <c r="BQ97" s="841">
        <f t="shared" si="101"/>
        <v>542284</v>
      </c>
      <c r="BS97" s="768" t="s">
        <v>346</v>
      </c>
      <c r="BT97" s="773">
        <f t="shared" si="127"/>
        <v>542284</v>
      </c>
    </row>
    <row r="98" spans="1:75" ht="39" customHeight="1">
      <c r="A98" s="906">
        <v>11</v>
      </c>
      <c r="B98" s="812" t="s">
        <v>36</v>
      </c>
      <c r="C98" s="813" t="s">
        <v>395</v>
      </c>
      <c r="D98" s="816" t="s">
        <v>370</v>
      </c>
      <c r="E98" s="1037">
        <f>'HK PANEN'!AH17</f>
        <v>24</v>
      </c>
      <c r="F98" s="953">
        <v>129220</v>
      </c>
      <c r="G98" s="1457">
        <f t="shared" si="116"/>
        <v>3101280</v>
      </c>
      <c r="H98" s="1383">
        <f>'HK PANEN'!AI17</f>
        <v>0</v>
      </c>
      <c r="I98" s="1386">
        <f t="shared" si="117"/>
        <v>0</v>
      </c>
      <c r="J98" s="1386">
        <f>'HK PANEN'!AJ17</f>
        <v>0</v>
      </c>
      <c r="K98" s="1386">
        <f t="shared" si="118"/>
        <v>0</v>
      </c>
      <c r="L98" s="1386">
        <f>'HK PANEN'!AK17</f>
        <v>0</v>
      </c>
      <c r="M98" s="1386">
        <f t="shared" si="119"/>
        <v>0</v>
      </c>
      <c r="N98" s="1386">
        <f>'HK PANEN'!AL17</f>
        <v>4</v>
      </c>
      <c r="O98" s="1386">
        <f t="shared" si="120"/>
        <v>516880</v>
      </c>
      <c r="P98" s="1386">
        <f>'HK PANEN'!AM17</f>
        <v>3</v>
      </c>
      <c r="Q98" s="1386">
        <f t="shared" si="121"/>
        <v>387660</v>
      </c>
      <c r="R98" s="1386">
        <f>'HK PANEN'!AN17</f>
        <v>0</v>
      </c>
      <c r="S98" s="1386">
        <f t="shared" si="122"/>
        <v>0</v>
      </c>
      <c r="T98" s="1386">
        <f>'HK PANEN'!AO17</f>
        <v>0</v>
      </c>
      <c r="U98" s="1386">
        <f t="shared" si="123"/>
        <v>0</v>
      </c>
      <c r="V98" s="1384">
        <f t="shared" si="87"/>
        <v>31</v>
      </c>
      <c r="W98" s="1384">
        <v>4650</v>
      </c>
      <c r="X98" s="1384">
        <f t="shared" si="88"/>
        <v>144150</v>
      </c>
      <c r="Y98" s="1384"/>
      <c r="Z98" s="1384"/>
      <c r="AA98" s="1384">
        <f t="shared" si="89"/>
        <v>0</v>
      </c>
      <c r="AB98" s="1385">
        <v>2500</v>
      </c>
      <c r="AC98" s="1384">
        <f>'MASA KERJA AB'!H63</f>
        <v>1</v>
      </c>
      <c r="AD98" s="1391">
        <f>'MASA KERJA AB'!I63</f>
        <v>2500</v>
      </c>
      <c r="AE98" s="1385"/>
      <c r="AF98" s="1387">
        <f>'MONITORING '!AK108</f>
        <v>891466</v>
      </c>
      <c r="AG98" s="1388">
        <f>'MONITORING '!AK109</f>
        <v>460250</v>
      </c>
      <c r="AH98" s="1389">
        <v>742000</v>
      </c>
      <c r="AI98" s="1389">
        <f>'INSETIF MEI''25'!L15</f>
        <v>300000</v>
      </c>
      <c r="AJ98" s="1388"/>
      <c r="AK98" s="1390"/>
      <c r="AL98" s="1384"/>
      <c r="AM98" s="1384"/>
      <c r="AN98" s="1391">
        <f>'MONITORING '!AK110</f>
        <v>28338</v>
      </c>
      <c r="AO98" s="1392">
        <f t="shared" si="90"/>
        <v>6517848</v>
      </c>
      <c r="AP98" s="1384">
        <f t="shared" si="110"/>
        <v>77532</v>
      </c>
      <c r="AQ98" s="1384">
        <f t="shared" si="111"/>
        <v>175997.64</v>
      </c>
      <c r="AR98" s="1384">
        <f t="shared" si="124"/>
        <v>253529.64</v>
      </c>
      <c r="AS98" s="1386">
        <f t="shared" si="112"/>
        <v>38791</v>
      </c>
      <c r="AT98" s="1386">
        <f t="shared" si="113"/>
        <v>155164</v>
      </c>
      <c r="AU98" s="1384">
        <f t="shared" si="114"/>
        <v>38766</v>
      </c>
      <c r="AV98" s="1384">
        <f t="shared" si="115"/>
        <v>77532</v>
      </c>
      <c r="AW98" s="1384">
        <f t="shared" si="125"/>
        <v>310253</v>
      </c>
      <c r="AX98" s="1391">
        <v>4000</v>
      </c>
      <c r="AY98" s="1391">
        <v>73806</v>
      </c>
      <c r="AZ98" s="1384">
        <f t="shared" si="93"/>
        <v>0</v>
      </c>
      <c r="BA98" s="1384"/>
      <c r="BB98" s="1384"/>
      <c r="BC98" s="1386">
        <f t="shared" si="94"/>
        <v>6284953</v>
      </c>
      <c r="BD98" s="1154">
        <f>'HK PANEN'!AQ17</f>
        <v>0</v>
      </c>
      <c r="BE98" s="1367">
        <f>'HK PANEN'!AR17</f>
        <v>0</v>
      </c>
      <c r="BG98" s="765">
        <f t="shared" si="95"/>
        <v>4005820</v>
      </c>
      <c r="BH98" s="766">
        <f t="shared" si="96"/>
        <v>0</v>
      </c>
      <c r="BI98" s="766">
        <f t="shared" si="97"/>
        <v>0</v>
      </c>
      <c r="BJ98" s="765">
        <f t="shared" si="98"/>
        <v>0</v>
      </c>
      <c r="BK98" s="767">
        <f t="shared" si="99"/>
        <v>4005820</v>
      </c>
      <c r="BM98" s="767">
        <f t="shared" si="126"/>
        <v>2512028</v>
      </c>
      <c r="BN98" s="765">
        <v>30575.999999999996</v>
      </c>
      <c r="BO98" s="765">
        <f t="shared" si="100"/>
        <v>185740</v>
      </c>
      <c r="BQ98" s="841">
        <f t="shared" si="101"/>
        <v>891466</v>
      </c>
      <c r="BS98" s="768" t="s">
        <v>370</v>
      </c>
      <c r="BT98" s="773">
        <f t="shared" si="127"/>
        <v>891466</v>
      </c>
    </row>
    <row r="99" spans="1:75" ht="39" customHeight="1">
      <c r="A99" s="906">
        <v>12</v>
      </c>
      <c r="B99" s="812" t="s">
        <v>36</v>
      </c>
      <c r="C99" s="813" t="s">
        <v>396</v>
      </c>
      <c r="D99" s="908" t="s">
        <v>405</v>
      </c>
      <c r="E99" s="1037">
        <f>'HK PANEN'!AH18</f>
        <v>24</v>
      </c>
      <c r="F99" s="953">
        <v>129220</v>
      </c>
      <c r="G99" s="1457">
        <f t="shared" si="116"/>
        <v>3101280</v>
      </c>
      <c r="H99" s="1383">
        <f>'HK PANEN'!AI18</f>
        <v>0</v>
      </c>
      <c r="I99" s="1386">
        <f t="shared" si="117"/>
        <v>0</v>
      </c>
      <c r="J99" s="1386">
        <f>'HK PANEN'!AJ18</f>
        <v>0</v>
      </c>
      <c r="K99" s="1386">
        <f t="shared" si="118"/>
        <v>0</v>
      </c>
      <c r="L99" s="1386">
        <f>'HK PANEN'!AK18</f>
        <v>0</v>
      </c>
      <c r="M99" s="1386">
        <f t="shared" si="119"/>
        <v>0</v>
      </c>
      <c r="N99" s="1386">
        <f>'HK PANEN'!AL18</f>
        <v>4</v>
      </c>
      <c r="O99" s="1386">
        <f t="shared" si="120"/>
        <v>516880</v>
      </c>
      <c r="P99" s="1386">
        <f>'HK PANEN'!AM18</f>
        <v>3</v>
      </c>
      <c r="Q99" s="1386">
        <f t="shared" si="121"/>
        <v>387660</v>
      </c>
      <c r="R99" s="1386">
        <f>'HK PANEN'!AN18</f>
        <v>0</v>
      </c>
      <c r="S99" s="1386">
        <f t="shared" si="122"/>
        <v>0</v>
      </c>
      <c r="T99" s="1386">
        <f>'HK PANEN'!AO18</f>
        <v>0</v>
      </c>
      <c r="U99" s="1386">
        <f t="shared" si="123"/>
        <v>0</v>
      </c>
      <c r="V99" s="1384">
        <f t="shared" si="87"/>
        <v>31</v>
      </c>
      <c r="W99" s="1384">
        <v>4650</v>
      </c>
      <c r="X99" s="1384">
        <f t="shared" si="88"/>
        <v>144150</v>
      </c>
      <c r="Y99" s="1384"/>
      <c r="Z99" s="1384"/>
      <c r="AA99" s="1384">
        <f t="shared" si="89"/>
        <v>0</v>
      </c>
      <c r="AB99" s="1385">
        <v>2500</v>
      </c>
      <c r="AC99" s="1384">
        <f>'MASA KERJA AB'!H64</f>
        <v>1</v>
      </c>
      <c r="AD99" s="1391">
        <f>'MASA KERJA AB'!I64</f>
        <v>2500</v>
      </c>
      <c r="AE99" s="1385"/>
      <c r="AF99" s="1387">
        <f>'MONITORING '!AK121</f>
        <v>186465</v>
      </c>
      <c r="AG99" s="1388">
        <f>'MONITORING '!AK122</f>
        <v>224000</v>
      </c>
      <c r="AH99" s="1389">
        <v>357000</v>
      </c>
      <c r="AI99" s="1389">
        <f>'INSETIF MEI''25'!L16</f>
        <v>150000</v>
      </c>
      <c r="AJ99" s="1388"/>
      <c r="AK99" s="1390"/>
      <c r="AL99" s="1384"/>
      <c r="AM99" s="1384"/>
      <c r="AN99" s="1384">
        <f>'MONITORING '!AK123</f>
        <v>0</v>
      </c>
      <c r="AO99" s="1392">
        <f t="shared" si="90"/>
        <v>5069935</v>
      </c>
      <c r="AP99" s="1384">
        <f t="shared" si="110"/>
        <v>77532</v>
      </c>
      <c r="AQ99" s="1384">
        <f t="shared" si="111"/>
        <v>175997.64</v>
      </c>
      <c r="AR99" s="1384">
        <f t="shared" si="124"/>
        <v>253529.64</v>
      </c>
      <c r="AS99" s="1386">
        <f t="shared" si="112"/>
        <v>38791</v>
      </c>
      <c r="AT99" s="1386">
        <f t="shared" si="113"/>
        <v>155164</v>
      </c>
      <c r="AU99" s="1384">
        <f t="shared" si="114"/>
        <v>38766</v>
      </c>
      <c r="AV99" s="1384">
        <f t="shared" si="115"/>
        <v>77532</v>
      </c>
      <c r="AW99" s="1384">
        <f t="shared" si="125"/>
        <v>310253</v>
      </c>
      <c r="AX99" s="1391">
        <v>4000</v>
      </c>
      <c r="AY99" s="1384">
        <v>0</v>
      </c>
      <c r="AZ99" s="1384">
        <f t="shared" si="93"/>
        <v>0</v>
      </c>
      <c r="BA99" s="1384"/>
      <c r="BB99" s="1384"/>
      <c r="BC99" s="1386">
        <f t="shared" si="94"/>
        <v>4910846</v>
      </c>
      <c r="BD99" s="1154">
        <f>'HK PANEN'!AQ18</f>
        <v>0</v>
      </c>
      <c r="BE99" s="1367">
        <f>'HK PANEN'!AR18</f>
        <v>0</v>
      </c>
      <c r="BG99" s="765">
        <f t="shared" si="95"/>
        <v>4005820</v>
      </c>
      <c r="BH99" s="766">
        <f t="shared" si="96"/>
        <v>0</v>
      </c>
      <c r="BI99" s="766">
        <f t="shared" si="97"/>
        <v>0</v>
      </c>
      <c r="BJ99" s="765">
        <f t="shared" si="98"/>
        <v>0</v>
      </c>
      <c r="BK99" s="767">
        <f t="shared" si="99"/>
        <v>4005820</v>
      </c>
      <c r="BM99" s="767">
        <f t="shared" si="126"/>
        <v>1064115</v>
      </c>
      <c r="BN99" s="765">
        <v>30575.999999999996</v>
      </c>
      <c r="BO99" s="765">
        <f t="shared" si="100"/>
        <v>185740</v>
      </c>
      <c r="BQ99" s="841">
        <f t="shared" si="101"/>
        <v>186465</v>
      </c>
      <c r="BS99" s="768" t="s">
        <v>405</v>
      </c>
      <c r="BT99" s="773">
        <f t="shared" si="127"/>
        <v>186465</v>
      </c>
    </row>
    <row r="100" spans="1:75" ht="39" customHeight="1">
      <c r="A100" s="906">
        <v>13</v>
      </c>
      <c r="B100" s="812" t="s">
        <v>36</v>
      </c>
      <c r="C100" s="813" t="s">
        <v>423</v>
      </c>
      <c r="D100" s="816" t="s">
        <v>409</v>
      </c>
      <c r="E100" s="1037">
        <f>'HK PANEN'!AH19</f>
        <v>24</v>
      </c>
      <c r="F100" s="953">
        <v>129220</v>
      </c>
      <c r="G100" s="1457">
        <f t="shared" si="116"/>
        <v>3101280</v>
      </c>
      <c r="H100" s="1383">
        <f>'HK PANEN'!AI19</f>
        <v>0</v>
      </c>
      <c r="I100" s="1386">
        <f t="shared" si="117"/>
        <v>0</v>
      </c>
      <c r="J100" s="1386">
        <f>'HK PANEN'!AJ19</f>
        <v>0</v>
      </c>
      <c r="K100" s="1386">
        <f t="shared" si="118"/>
        <v>0</v>
      </c>
      <c r="L100" s="1386">
        <f>'HK PANEN'!AK19</f>
        <v>0</v>
      </c>
      <c r="M100" s="1386">
        <f t="shared" si="119"/>
        <v>0</v>
      </c>
      <c r="N100" s="1386">
        <f>'HK PANEN'!AL19</f>
        <v>4</v>
      </c>
      <c r="O100" s="1386">
        <f t="shared" si="120"/>
        <v>516880</v>
      </c>
      <c r="P100" s="1386">
        <f>'HK PANEN'!AM19</f>
        <v>3</v>
      </c>
      <c r="Q100" s="1386">
        <f t="shared" si="121"/>
        <v>387660</v>
      </c>
      <c r="R100" s="1386">
        <f>'HK PANEN'!AN19</f>
        <v>0</v>
      </c>
      <c r="S100" s="1386">
        <f t="shared" si="122"/>
        <v>0</v>
      </c>
      <c r="T100" s="1386">
        <f>'HK PANEN'!AO19</f>
        <v>0</v>
      </c>
      <c r="U100" s="1386">
        <f t="shared" si="123"/>
        <v>0</v>
      </c>
      <c r="V100" s="1384">
        <f t="shared" si="87"/>
        <v>31</v>
      </c>
      <c r="W100" s="1384">
        <v>5550</v>
      </c>
      <c r="X100" s="1384">
        <f t="shared" si="88"/>
        <v>172050</v>
      </c>
      <c r="Y100" s="1384"/>
      <c r="Z100" s="1384"/>
      <c r="AA100" s="1384">
        <f t="shared" si="89"/>
        <v>0</v>
      </c>
      <c r="AB100" s="1385"/>
      <c r="AC100" s="1384">
        <f>'MASA KERJA AB'!H65</f>
        <v>1</v>
      </c>
      <c r="AD100" s="1391">
        <f>'MASA KERJA AB'!I65</f>
        <v>2500</v>
      </c>
      <c r="AE100" s="1385">
        <f>'LEMBUR DAN PREMI UPKEEP'!AJ92</f>
        <v>0</v>
      </c>
      <c r="AF100" s="1387">
        <f>'MONITORING '!AK134</f>
        <v>334646</v>
      </c>
      <c r="AG100" s="1388">
        <f>'MONITORING '!AK135</f>
        <v>245000</v>
      </c>
      <c r="AH100" s="1389">
        <v>524850</v>
      </c>
      <c r="AI100" s="1390"/>
      <c r="AJ100" s="1388"/>
      <c r="AK100" s="1390"/>
      <c r="AL100" s="1384"/>
      <c r="AM100" s="1384"/>
      <c r="AN100" s="1384">
        <f>'MONITORING '!AK136</f>
        <v>0</v>
      </c>
      <c r="AO100" s="1392">
        <f t="shared" si="90"/>
        <v>5284866</v>
      </c>
      <c r="AP100" s="1384">
        <f t="shared" si="110"/>
        <v>77532</v>
      </c>
      <c r="AQ100" s="1384">
        <f t="shared" si="111"/>
        <v>175997.64</v>
      </c>
      <c r="AR100" s="1384">
        <f t="shared" si="124"/>
        <v>253529.64</v>
      </c>
      <c r="AS100" s="1386">
        <f t="shared" si="112"/>
        <v>38791</v>
      </c>
      <c r="AT100" s="1386">
        <f t="shared" si="113"/>
        <v>155164</v>
      </c>
      <c r="AU100" s="1384">
        <f t="shared" si="114"/>
        <v>38766</v>
      </c>
      <c r="AV100" s="1384">
        <f t="shared" si="115"/>
        <v>77532</v>
      </c>
      <c r="AW100" s="1384">
        <f t="shared" si="125"/>
        <v>310253</v>
      </c>
      <c r="AX100" s="1391">
        <v>4000</v>
      </c>
      <c r="AY100" s="1384">
        <v>0</v>
      </c>
      <c r="AZ100" s="1384">
        <f t="shared" si="93"/>
        <v>0</v>
      </c>
      <c r="BA100" s="1384"/>
      <c r="BB100" s="1384"/>
      <c r="BC100" s="1386">
        <f t="shared" si="94"/>
        <v>5125777</v>
      </c>
      <c r="BD100" s="1154">
        <f>'HK PANEN'!AQ19</f>
        <v>0</v>
      </c>
      <c r="BE100" s="1367">
        <f>'HK PANEN'!AR19</f>
        <v>0</v>
      </c>
      <c r="BG100" s="765">
        <f t="shared" si="95"/>
        <v>4005820</v>
      </c>
      <c r="BH100" s="766">
        <f t="shared" si="96"/>
        <v>0</v>
      </c>
      <c r="BI100" s="766">
        <f t="shared" si="97"/>
        <v>0</v>
      </c>
      <c r="BJ100" s="765">
        <f t="shared" si="98"/>
        <v>0</v>
      </c>
      <c r="BK100" s="767">
        <f t="shared" si="99"/>
        <v>4005820</v>
      </c>
      <c r="BM100" s="767">
        <f t="shared" si="126"/>
        <v>1279046</v>
      </c>
      <c r="BN100" s="765">
        <v>30575.999999999996</v>
      </c>
      <c r="BO100" s="765">
        <f t="shared" si="100"/>
        <v>185740</v>
      </c>
      <c r="BQ100" s="841">
        <f t="shared" si="101"/>
        <v>334646</v>
      </c>
      <c r="BS100" s="768" t="s">
        <v>409</v>
      </c>
      <c r="BT100" s="773">
        <f t="shared" si="127"/>
        <v>334646</v>
      </c>
    </row>
    <row r="101" spans="1:75" ht="39" customHeight="1">
      <c r="A101" s="906">
        <v>14</v>
      </c>
      <c r="B101" s="812" t="s">
        <v>36</v>
      </c>
      <c r="C101" s="813" t="s">
        <v>467</v>
      </c>
      <c r="D101" s="816" t="s">
        <v>464</v>
      </c>
      <c r="E101" s="1037">
        <f>'HK PANEN'!AH20</f>
        <v>19</v>
      </c>
      <c r="F101" s="953">
        <v>129220</v>
      </c>
      <c r="G101" s="1457">
        <f t="shared" si="116"/>
        <v>2455180</v>
      </c>
      <c r="H101" s="1383">
        <f>'HK PANEN'!AI20</f>
        <v>2</v>
      </c>
      <c r="I101" s="1386">
        <f t="shared" si="117"/>
        <v>258440</v>
      </c>
      <c r="J101" s="1386">
        <f>'HK PANEN'!AJ20</f>
        <v>3</v>
      </c>
      <c r="K101" s="1386">
        <f t="shared" si="118"/>
        <v>387660</v>
      </c>
      <c r="L101" s="1386">
        <f>'HK PANEN'!AK20</f>
        <v>0</v>
      </c>
      <c r="M101" s="1386">
        <f t="shared" si="119"/>
        <v>0</v>
      </c>
      <c r="N101" s="1386">
        <f>'HK PANEN'!AL20</f>
        <v>4</v>
      </c>
      <c r="O101" s="1386">
        <f t="shared" si="120"/>
        <v>516880</v>
      </c>
      <c r="P101" s="1386">
        <f>'HK PANEN'!AM20</f>
        <v>3</v>
      </c>
      <c r="Q101" s="1386">
        <f t="shared" si="121"/>
        <v>387660</v>
      </c>
      <c r="R101" s="1386">
        <f>'HK PANEN'!AN20</f>
        <v>0</v>
      </c>
      <c r="S101" s="1386">
        <f t="shared" si="122"/>
        <v>0</v>
      </c>
      <c r="T101" s="1386">
        <f>'HK PANEN'!AO20</f>
        <v>0</v>
      </c>
      <c r="U101" s="1386">
        <f t="shared" si="123"/>
        <v>0</v>
      </c>
      <c r="V101" s="1384">
        <f t="shared" si="87"/>
        <v>31</v>
      </c>
      <c r="W101" s="1384">
        <v>5550</v>
      </c>
      <c r="X101" s="1384">
        <f t="shared" si="88"/>
        <v>172050</v>
      </c>
      <c r="Y101" s="1384"/>
      <c r="Z101" s="1384"/>
      <c r="AA101" s="1384">
        <f t="shared" ref="AA101:AA104" si="128">Z101*Y101</f>
        <v>0</v>
      </c>
      <c r="AB101" s="1385"/>
      <c r="AC101" s="1384">
        <f>'MASA KERJA AB'!H66</f>
        <v>0</v>
      </c>
      <c r="AD101" s="1384">
        <f>'MASA KERJA AB'!I66</f>
        <v>0</v>
      </c>
      <c r="AE101" s="1385"/>
      <c r="AF101" s="1387">
        <f>'MONITORING '!AK147</f>
        <v>367554</v>
      </c>
      <c r="AG101" s="1388">
        <f>'MONITORING '!AK148</f>
        <v>262500</v>
      </c>
      <c r="AH101" s="1389">
        <v>399750</v>
      </c>
      <c r="AI101" s="1389">
        <f>'INSETIF MEI''25'!L18</f>
        <v>150000</v>
      </c>
      <c r="AJ101" s="1388"/>
      <c r="AK101" s="1390"/>
      <c r="AL101" s="1384"/>
      <c r="AM101" s="1384"/>
      <c r="AN101" s="1384">
        <f>'MONITORING '!AK149</f>
        <v>0</v>
      </c>
      <c r="AO101" s="1392">
        <f t="shared" si="90"/>
        <v>5357674</v>
      </c>
      <c r="AP101" s="1384">
        <f t="shared" si="110"/>
        <v>77532</v>
      </c>
      <c r="AQ101" s="1384">
        <f t="shared" si="111"/>
        <v>175997.64</v>
      </c>
      <c r="AR101" s="1384">
        <f t="shared" si="124"/>
        <v>253529.64</v>
      </c>
      <c r="AS101" s="1386">
        <f t="shared" si="112"/>
        <v>38766</v>
      </c>
      <c r="AT101" s="1386">
        <f t="shared" si="113"/>
        <v>155064</v>
      </c>
      <c r="AU101" s="1384">
        <f t="shared" si="114"/>
        <v>38766</v>
      </c>
      <c r="AV101" s="1384">
        <f t="shared" si="115"/>
        <v>77532</v>
      </c>
      <c r="AW101" s="1384">
        <f t="shared" si="125"/>
        <v>310128</v>
      </c>
      <c r="AX101" s="1391">
        <v>4000</v>
      </c>
      <c r="AY101" s="1384">
        <v>0</v>
      </c>
      <c r="AZ101" s="1384">
        <f t="shared" si="93"/>
        <v>0</v>
      </c>
      <c r="BA101" s="1384"/>
      <c r="BB101" s="1384"/>
      <c r="BC101" s="1386">
        <f t="shared" si="94"/>
        <v>5198610</v>
      </c>
      <c r="BD101" s="1154">
        <f>'HK PANEN'!AQ20</f>
        <v>0</v>
      </c>
      <c r="BE101" s="1367">
        <f>'HK PANEN'!AR20</f>
        <v>0</v>
      </c>
      <c r="BG101" s="765">
        <f t="shared" si="95"/>
        <v>4005820</v>
      </c>
      <c r="BH101" s="766">
        <f t="shared" si="96"/>
        <v>0</v>
      </c>
      <c r="BI101" s="766">
        <f t="shared" si="97"/>
        <v>0</v>
      </c>
      <c r="BJ101" s="765">
        <f t="shared" si="98"/>
        <v>0</v>
      </c>
      <c r="BK101" s="767">
        <f t="shared" si="99"/>
        <v>4005820</v>
      </c>
      <c r="BM101" s="767">
        <f t="shared" si="126"/>
        <v>1351854</v>
      </c>
      <c r="BN101" s="765">
        <v>30575.999999999996</v>
      </c>
      <c r="BO101" s="765">
        <f t="shared" si="100"/>
        <v>185640</v>
      </c>
      <c r="BQ101" s="841">
        <f t="shared" si="101"/>
        <v>367554</v>
      </c>
      <c r="BS101" s="768" t="s">
        <v>464</v>
      </c>
      <c r="BT101" s="773">
        <f t="shared" si="127"/>
        <v>367554</v>
      </c>
    </row>
    <row r="102" spans="1:75" ht="39" customHeight="1">
      <c r="A102" s="906">
        <v>15</v>
      </c>
      <c r="B102" s="812" t="s">
        <v>36</v>
      </c>
      <c r="C102" s="813" t="s">
        <v>470</v>
      </c>
      <c r="D102" s="816" t="s">
        <v>469</v>
      </c>
      <c r="E102" s="1037">
        <f>'HK PANEN'!AH21</f>
        <v>23</v>
      </c>
      <c r="F102" s="953">
        <v>129220</v>
      </c>
      <c r="G102" s="1457">
        <f t="shared" si="116"/>
        <v>2972060</v>
      </c>
      <c r="H102" s="1383">
        <f>'HK PANEN'!AI21</f>
        <v>0</v>
      </c>
      <c r="I102" s="1386">
        <f t="shared" si="117"/>
        <v>0</v>
      </c>
      <c r="J102" s="1386">
        <f>'HK PANEN'!AJ21</f>
        <v>0</v>
      </c>
      <c r="K102" s="1386">
        <f t="shared" si="118"/>
        <v>0</v>
      </c>
      <c r="L102" s="1386">
        <f>'HK PANEN'!AK21</f>
        <v>0</v>
      </c>
      <c r="M102" s="1386">
        <f t="shared" si="119"/>
        <v>0</v>
      </c>
      <c r="N102" s="1386">
        <f>'HK PANEN'!AL21</f>
        <v>4</v>
      </c>
      <c r="O102" s="1386">
        <f t="shared" si="120"/>
        <v>516880</v>
      </c>
      <c r="P102" s="1386">
        <f>'HK PANEN'!AM21</f>
        <v>3</v>
      </c>
      <c r="Q102" s="1386">
        <f t="shared" si="121"/>
        <v>387660</v>
      </c>
      <c r="R102" s="1386">
        <f>'HK PANEN'!AN21</f>
        <v>0</v>
      </c>
      <c r="S102" s="1386">
        <f t="shared" si="122"/>
        <v>0</v>
      </c>
      <c r="T102" s="1386">
        <f>'HK PANEN'!AO21</f>
        <v>0</v>
      </c>
      <c r="U102" s="1386">
        <f t="shared" si="123"/>
        <v>0</v>
      </c>
      <c r="V102" s="1384">
        <f t="shared" si="87"/>
        <v>30</v>
      </c>
      <c r="W102" s="1384">
        <v>5550</v>
      </c>
      <c r="X102" s="1384">
        <f t="shared" si="88"/>
        <v>166500</v>
      </c>
      <c r="Y102" s="1384"/>
      <c r="Z102" s="1384"/>
      <c r="AA102" s="1384">
        <f t="shared" si="128"/>
        <v>0</v>
      </c>
      <c r="AB102" s="1385"/>
      <c r="AC102" s="1384">
        <f>'MASA KERJA AB'!H67</f>
        <v>0</v>
      </c>
      <c r="AD102" s="1384">
        <f>'MASA KERJA AB'!I67</f>
        <v>0</v>
      </c>
      <c r="AE102" s="1385"/>
      <c r="AF102" s="1387">
        <f>'MONITORING '!AK160</f>
        <v>969578</v>
      </c>
      <c r="AG102" s="1388">
        <f>'MONITORING '!AK161</f>
        <v>343000</v>
      </c>
      <c r="AH102" s="1389">
        <v>651800</v>
      </c>
      <c r="AI102" s="1390"/>
      <c r="AJ102" s="1388"/>
      <c r="AK102" s="1390"/>
      <c r="AL102" s="1384"/>
      <c r="AM102" s="1384"/>
      <c r="AN102" s="1384">
        <f>'MONITORING '!AK162</f>
        <v>0</v>
      </c>
      <c r="AO102" s="1392">
        <f t="shared" si="90"/>
        <v>6007478</v>
      </c>
      <c r="AP102" s="1384">
        <f t="shared" si="110"/>
        <v>77532</v>
      </c>
      <c r="AQ102" s="1384">
        <f t="shared" si="111"/>
        <v>175997.64</v>
      </c>
      <c r="AR102" s="1384">
        <f t="shared" si="124"/>
        <v>253529.64</v>
      </c>
      <c r="AS102" s="1386">
        <f t="shared" si="112"/>
        <v>38766</v>
      </c>
      <c r="AT102" s="1386">
        <f t="shared" si="113"/>
        <v>155064</v>
      </c>
      <c r="AU102" s="1384">
        <f t="shared" si="114"/>
        <v>38766</v>
      </c>
      <c r="AV102" s="1384">
        <f t="shared" si="115"/>
        <v>77532</v>
      </c>
      <c r="AW102" s="1384">
        <f t="shared" si="125"/>
        <v>310128</v>
      </c>
      <c r="AX102" s="1391">
        <v>4000</v>
      </c>
      <c r="AY102" s="1391">
        <v>32851</v>
      </c>
      <c r="AZ102" s="1384">
        <f t="shared" si="93"/>
        <v>0</v>
      </c>
      <c r="BA102" s="1384"/>
      <c r="BB102" s="1384"/>
      <c r="BC102" s="1386">
        <f t="shared" si="94"/>
        <v>5815563</v>
      </c>
      <c r="BD102" s="1154">
        <f>'HK PANEN'!AQ21</f>
        <v>0</v>
      </c>
      <c r="BE102" s="1367">
        <f>'HK PANEN'!AR21</f>
        <v>1</v>
      </c>
      <c r="BG102" s="765">
        <f t="shared" si="95"/>
        <v>3876600</v>
      </c>
      <c r="BH102" s="766">
        <f t="shared" si="96"/>
        <v>0</v>
      </c>
      <c r="BI102" s="766">
        <f t="shared" si="97"/>
        <v>129220</v>
      </c>
      <c r="BJ102" s="765">
        <f t="shared" si="98"/>
        <v>-129220</v>
      </c>
      <c r="BK102" s="767">
        <f t="shared" si="99"/>
        <v>4005820</v>
      </c>
      <c r="BM102" s="767">
        <f t="shared" si="126"/>
        <v>2130878</v>
      </c>
      <c r="BN102" s="765">
        <v>30575.999999999996</v>
      </c>
      <c r="BO102" s="765">
        <f t="shared" si="100"/>
        <v>185640</v>
      </c>
      <c r="BQ102" s="841">
        <f t="shared" si="101"/>
        <v>969578</v>
      </c>
      <c r="BS102" s="768" t="s">
        <v>469</v>
      </c>
      <c r="BT102" s="773">
        <f t="shared" si="127"/>
        <v>969578</v>
      </c>
    </row>
    <row r="103" spans="1:75" ht="39" customHeight="1">
      <c r="A103" s="906">
        <v>16</v>
      </c>
      <c r="B103" s="812" t="s">
        <v>36</v>
      </c>
      <c r="C103" s="813" t="s">
        <v>475</v>
      </c>
      <c r="D103" s="816" t="s">
        <v>474</v>
      </c>
      <c r="E103" s="1037">
        <f>'HK PANEN'!AH22</f>
        <v>24</v>
      </c>
      <c r="F103" s="953">
        <v>129220</v>
      </c>
      <c r="G103" s="1457">
        <f t="shared" si="116"/>
        <v>3101280</v>
      </c>
      <c r="H103" s="1383">
        <f>'HK PANEN'!AI22</f>
        <v>0</v>
      </c>
      <c r="I103" s="1386">
        <f t="shared" si="117"/>
        <v>0</v>
      </c>
      <c r="J103" s="1386">
        <f>'HK PANEN'!AJ22</f>
        <v>0</v>
      </c>
      <c r="K103" s="1386">
        <f t="shared" si="118"/>
        <v>0</v>
      </c>
      <c r="L103" s="1386">
        <f>'HK PANEN'!AK22</f>
        <v>0</v>
      </c>
      <c r="M103" s="1386">
        <f t="shared" si="119"/>
        <v>0</v>
      </c>
      <c r="N103" s="1386">
        <f>'HK PANEN'!AL22</f>
        <v>4</v>
      </c>
      <c r="O103" s="1386">
        <f t="shared" si="120"/>
        <v>516880</v>
      </c>
      <c r="P103" s="1386">
        <f>'HK PANEN'!AM22</f>
        <v>3</v>
      </c>
      <c r="Q103" s="1386">
        <f t="shared" si="121"/>
        <v>387660</v>
      </c>
      <c r="R103" s="1386">
        <f>'HK PANEN'!AN22</f>
        <v>0</v>
      </c>
      <c r="S103" s="1386">
        <f t="shared" si="122"/>
        <v>0</v>
      </c>
      <c r="T103" s="1386">
        <f>'HK PANEN'!AO22</f>
        <v>0</v>
      </c>
      <c r="U103" s="1386">
        <f t="shared" si="123"/>
        <v>0</v>
      </c>
      <c r="V103" s="1384">
        <f t="shared" si="87"/>
        <v>31</v>
      </c>
      <c r="W103" s="1384">
        <v>4650</v>
      </c>
      <c r="X103" s="1384">
        <f t="shared" si="88"/>
        <v>144150</v>
      </c>
      <c r="Y103" s="1384"/>
      <c r="Z103" s="1384"/>
      <c r="AA103" s="1384">
        <f t="shared" si="128"/>
        <v>0</v>
      </c>
      <c r="AB103" s="1385"/>
      <c r="AC103" s="1384">
        <f>'MASA KERJA AB'!H68</f>
        <v>0</v>
      </c>
      <c r="AD103" s="1384">
        <f>'MASA KERJA AB'!I68</f>
        <v>0</v>
      </c>
      <c r="AE103" s="1385"/>
      <c r="AF103" s="1387">
        <f>'MONITORING '!AK173</f>
        <v>103166</v>
      </c>
      <c r="AG103" s="1388">
        <f>'MONITORING '!AK174</f>
        <v>231000</v>
      </c>
      <c r="AH103" s="1389">
        <v>416500</v>
      </c>
      <c r="AI103" s="1389">
        <f>'INSETIF MEI''25'!L20</f>
        <v>150000</v>
      </c>
      <c r="AJ103" s="1388"/>
      <c r="AK103" s="1390"/>
      <c r="AL103" s="1384"/>
      <c r="AM103" s="1384"/>
      <c r="AN103" s="1384">
        <f>'MONITORING '!AK175</f>
        <v>0</v>
      </c>
      <c r="AO103" s="1392">
        <f t="shared" si="90"/>
        <v>5050636</v>
      </c>
      <c r="AP103" s="1384">
        <f t="shared" si="110"/>
        <v>77532</v>
      </c>
      <c r="AQ103" s="1384">
        <f t="shared" si="111"/>
        <v>175997.64</v>
      </c>
      <c r="AR103" s="1384">
        <f t="shared" si="124"/>
        <v>253529.64</v>
      </c>
      <c r="AS103" s="1386">
        <f t="shared" si="112"/>
        <v>38766</v>
      </c>
      <c r="AT103" s="1386">
        <f t="shared" si="113"/>
        <v>155064</v>
      </c>
      <c r="AU103" s="1384">
        <f t="shared" si="114"/>
        <v>38766</v>
      </c>
      <c r="AV103" s="1384">
        <f t="shared" si="115"/>
        <v>77532</v>
      </c>
      <c r="AW103" s="1384">
        <f t="shared" si="125"/>
        <v>310128</v>
      </c>
      <c r="AX103" s="1391">
        <v>4000</v>
      </c>
      <c r="AY103" s="1384">
        <v>0</v>
      </c>
      <c r="AZ103" s="1384">
        <f t="shared" si="93"/>
        <v>0</v>
      </c>
      <c r="BA103" s="1384"/>
      <c r="BB103" s="1384"/>
      <c r="BC103" s="1386">
        <f t="shared" si="94"/>
        <v>4891572</v>
      </c>
      <c r="BD103" s="1154">
        <f>'HK PANEN'!AQ22</f>
        <v>0</v>
      </c>
      <c r="BE103" s="1367">
        <f>'HK PANEN'!AR22</f>
        <v>0</v>
      </c>
      <c r="BG103" s="765">
        <f t="shared" si="95"/>
        <v>4005820</v>
      </c>
      <c r="BH103" s="766">
        <f t="shared" si="96"/>
        <v>0</v>
      </c>
      <c r="BI103" s="766">
        <f t="shared" si="97"/>
        <v>0</v>
      </c>
      <c r="BJ103" s="765">
        <f t="shared" si="98"/>
        <v>0</v>
      </c>
      <c r="BK103" s="767">
        <f t="shared" si="99"/>
        <v>4005820</v>
      </c>
      <c r="BM103" s="767">
        <f t="shared" si="126"/>
        <v>1044816</v>
      </c>
      <c r="BN103" s="765">
        <v>30575.999999999996</v>
      </c>
      <c r="BO103" s="765">
        <f t="shared" si="100"/>
        <v>185640</v>
      </c>
      <c r="BQ103" s="841">
        <f t="shared" si="101"/>
        <v>103166</v>
      </c>
      <c r="BS103" s="768" t="s">
        <v>474</v>
      </c>
      <c r="BT103" s="773">
        <f t="shared" si="127"/>
        <v>103166</v>
      </c>
    </row>
    <row r="104" spans="1:75" ht="39" customHeight="1">
      <c r="A104" s="906">
        <v>17</v>
      </c>
      <c r="B104" s="909" t="s">
        <v>36</v>
      </c>
      <c r="C104" s="910" t="s">
        <v>584</v>
      </c>
      <c r="D104" s="911" t="s">
        <v>555</v>
      </c>
      <c r="E104" s="1037">
        <f>'HK PANEN'!AH23</f>
        <v>24</v>
      </c>
      <c r="F104" s="960">
        <v>129220</v>
      </c>
      <c r="G104" s="1482">
        <f t="shared" si="116"/>
        <v>3101280</v>
      </c>
      <c r="H104" s="1383">
        <f>'HK PANEN'!AI23</f>
        <v>0</v>
      </c>
      <c r="I104" s="1400">
        <f t="shared" si="117"/>
        <v>0</v>
      </c>
      <c r="J104" s="1386">
        <f>'HK PANEN'!AJ23</f>
        <v>0</v>
      </c>
      <c r="K104" s="1400">
        <f t="shared" si="118"/>
        <v>0</v>
      </c>
      <c r="L104" s="1386">
        <f>'HK PANEN'!AK23</f>
        <v>0</v>
      </c>
      <c r="M104" s="1400">
        <f t="shared" si="119"/>
        <v>0</v>
      </c>
      <c r="N104" s="1386">
        <f>'HK PANEN'!AL23</f>
        <v>4</v>
      </c>
      <c r="O104" s="1400">
        <f t="shared" si="120"/>
        <v>516880</v>
      </c>
      <c r="P104" s="1386">
        <f>'HK PANEN'!AM23</f>
        <v>3</v>
      </c>
      <c r="Q104" s="1400">
        <f t="shared" si="121"/>
        <v>387660</v>
      </c>
      <c r="R104" s="1386">
        <f>'HK PANEN'!AN23</f>
        <v>0</v>
      </c>
      <c r="S104" s="1386">
        <f t="shared" si="122"/>
        <v>0</v>
      </c>
      <c r="T104" s="1386">
        <f>'HK PANEN'!AO23</f>
        <v>0</v>
      </c>
      <c r="U104" s="1386">
        <f t="shared" si="123"/>
        <v>0</v>
      </c>
      <c r="V104" s="1398">
        <f t="shared" si="87"/>
        <v>31</v>
      </c>
      <c r="W104" s="1398">
        <v>3700</v>
      </c>
      <c r="X104" s="1398">
        <f t="shared" si="88"/>
        <v>114700</v>
      </c>
      <c r="Y104" s="1398"/>
      <c r="Z104" s="1398"/>
      <c r="AA104" s="1398">
        <f t="shared" si="128"/>
        <v>0</v>
      </c>
      <c r="AB104" s="1399"/>
      <c r="AC104" s="1384">
        <f>'MASA KERJA AB'!H69</f>
        <v>0</v>
      </c>
      <c r="AD104" s="1384">
        <f>'MASA KERJA AB'!I69</f>
        <v>0</v>
      </c>
      <c r="AE104" s="1399">
        <f>'LEMBUR DAN PREMI UPKEEP'!AJ68</f>
        <v>0</v>
      </c>
      <c r="AF104" s="1483">
        <f>'MONITORING '!AK186</f>
        <v>412523</v>
      </c>
      <c r="AG104" s="1401">
        <f>'MONITORING '!AK187</f>
        <v>325500</v>
      </c>
      <c r="AH104" s="1402">
        <v>775150</v>
      </c>
      <c r="AI104" s="1389">
        <f>'INSETIF MEI''25'!L21</f>
        <v>300000</v>
      </c>
      <c r="AJ104" s="1388"/>
      <c r="AK104" s="1390"/>
      <c r="AL104" s="1398"/>
      <c r="AM104" s="1398"/>
      <c r="AN104" s="1398">
        <f>'MONITORING '!AK188</f>
        <v>0</v>
      </c>
      <c r="AO104" s="1406">
        <f t="shared" si="90"/>
        <v>5933693</v>
      </c>
      <c r="AP104" s="1398">
        <f t="shared" si="110"/>
        <v>77532</v>
      </c>
      <c r="AQ104" s="1398">
        <f t="shared" si="111"/>
        <v>175997.64</v>
      </c>
      <c r="AR104" s="1398">
        <f t="shared" si="124"/>
        <v>253529.64</v>
      </c>
      <c r="AS104" s="1400">
        <f t="shared" si="112"/>
        <v>38766</v>
      </c>
      <c r="AT104" s="1400">
        <f t="shared" si="113"/>
        <v>155064</v>
      </c>
      <c r="AU104" s="1398">
        <f t="shared" si="114"/>
        <v>38766</v>
      </c>
      <c r="AV104" s="1398">
        <f t="shared" si="115"/>
        <v>77532</v>
      </c>
      <c r="AW104" s="1398">
        <f t="shared" si="125"/>
        <v>310128</v>
      </c>
      <c r="AX104" s="1484">
        <v>4000</v>
      </c>
      <c r="AY104" s="1484">
        <v>64213</v>
      </c>
      <c r="AZ104" s="1384">
        <f t="shared" si="93"/>
        <v>0</v>
      </c>
      <c r="BA104" s="1398"/>
      <c r="BB104" s="1384"/>
      <c r="BC104" s="1386">
        <f t="shared" si="94"/>
        <v>5710416</v>
      </c>
      <c r="BD104" s="1154">
        <f>'HK PANEN'!AQ23</f>
        <v>0</v>
      </c>
      <c r="BE104" s="1367">
        <f>'HK PANEN'!AR23</f>
        <v>0</v>
      </c>
      <c r="BG104" s="765">
        <f t="shared" si="95"/>
        <v>4005820</v>
      </c>
      <c r="BH104" s="766">
        <f t="shared" si="96"/>
        <v>0</v>
      </c>
      <c r="BI104" s="766">
        <f t="shared" si="97"/>
        <v>0</v>
      </c>
      <c r="BJ104" s="765">
        <f t="shared" si="98"/>
        <v>0</v>
      </c>
      <c r="BK104" s="767">
        <f t="shared" si="99"/>
        <v>4005820</v>
      </c>
      <c r="BM104" s="767">
        <f t="shared" si="126"/>
        <v>1927873</v>
      </c>
      <c r="BN104" s="765">
        <v>30577</v>
      </c>
      <c r="BO104" s="765">
        <f t="shared" ref="BO104:BO109" si="129">BN104+AT104</f>
        <v>185641</v>
      </c>
      <c r="BQ104" s="841">
        <f t="shared" si="101"/>
        <v>412523</v>
      </c>
      <c r="BS104" s="768" t="s">
        <v>555</v>
      </c>
      <c r="BT104" s="773">
        <f t="shared" si="127"/>
        <v>412523</v>
      </c>
    </row>
    <row r="105" spans="1:75" ht="39" customHeight="1">
      <c r="A105" s="906">
        <v>18</v>
      </c>
      <c r="B105" s="812" t="s">
        <v>36</v>
      </c>
      <c r="C105" s="813" t="s">
        <v>701</v>
      </c>
      <c r="D105" s="816" t="s">
        <v>647</v>
      </c>
      <c r="E105" s="1037">
        <f>'HK PANEN'!AH24</f>
        <v>20</v>
      </c>
      <c r="F105" s="953">
        <v>129220</v>
      </c>
      <c r="G105" s="1382">
        <f>F105*E105</f>
        <v>2584400</v>
      </c>
      <c r="H105" s="1383">
        <f>'HK PANEN'!AI24</f>
        <v>1</v>
      </c>
      <c r="I105" s="1384">
        <f>H105*F105</f>
        <v>129220</v>
      </c>
      <c r="J105" s="1386">
        <f>'HK PANEN'!AJ24</f>
        <v>1</v>
      </c>
      <c r="K105" s="1384">
        <f>J105*F105</f>
        <v>129220</v>
      </c>
      <c r="L105" s="1386">
        <f>'HK PANEN'!AK24</f>
        <v>0</v>
      </c>
      <c r="M105" s="1384">
        <f>L105*F105</f>
        <v>0</v>
      </c>
      <c r="N105" s="1386">
        <f>'HK PANEN'!AL24</f>
        <v>4</v>
      </c>
      <c r="O105" s="1385">
        <f>N105*F105</f>
        <v>516880</v>
      </c>
      <c r="P105" s="1386">
        <f>'HK PANEN'!AM24</f>
        <v>3</v>
      </c>
      <c r="Q105" s="1385">
        <f>P105*F105</f>
        <v>387660</v>
      </c>
      <c r="R105" s="1386">
        <f>'HK PANEN'!AN24</f>
        <v>0</v>
      </c>
      <c r="S105" s="1386">
        <f t="shared" si="122"/>
        <v>0</v>
      </c>
      <c r="T105" s="1386">
        <f>'HK PANEN'!AO24</f>
        <v>0</v>
      </c>
      <c r="U105" s="1386">
        <f t="shared" si="123"/>
        <v>0</v>
      </c>
      <c r="V105" s="1384">
        <f>+T105+R105+P105+N105+L105+J105+H105+E105</f>
        <v>29</v>
      </c>
      <c r="W105" s="1384">
        <v>2250</v>
      </c>
      <c r="X105" s="1384">
        <f t="shared" si="88"/>
        <v>65250</v>
      </c>
      <c r="Y105" s="1384"/>
      <c r="Z105" s="1384"/>
      <c r="AA105" s="1384">
        <f>Z105*Y105</f>
        <v>0</v>
      </c>
      <c r="AB105" s="1385"/>
      <c r="AC105" s="1384">
        <f>'MASA KERJA AB'!H70</f>
        <v>0</v>
      </c>
      <c r="AD105" s="1384">
        <f>'MASA KERJA AB'!I70</f>
        <v>0</v>
      </c>
      <c r="AE105" s="1385"/>
      <c r="AF105" s="1387">
        <f>'MONITORING '!AK199</f>
        <v>259306</v>
      </c>
      <c r="AG105" s="1388">
        <f>'MONITORING '!AK200</f>
        <v>250250</v>
      </c>
      <c r="AH105" s="1389">
        <v>608150</v>
      </c>
      <c r="AI105" s="1389">
        <f>'INSETIF MEI''25'!L22</f>
        <v>150000</v>
      </c>
      <c r="AJ105" s="1388"/>
      <c r="AK105" s="1390"/>
      <c r="AL105" s="1384"/>
      <c r="AM105" s="1384"/>
      <c r="AN105" s="1391">
        <f>'MONITORING '!AK201</f>
        <v>53946</v>
      </c>
      <c r="AO105" s="1392">
        <f t="shared" si="90"/>
        <v>5026390</v>
      </c>
      <c r="AP105" s="1384">
        <f t="shared" ref="AP105:AP137" si="130">$AP$83*0.02</f>
        <v>77532</v>
      </c>
      <c r="AQ105" s="1384">
        <f t="shared" ref="AQ105:AQ137" si="131">$AP$83*0.0454</f>
        <v>175997.64</v>
      </c>
      <c r="AR105" s="1384">
        <f>SUM(AQ105+AP105)</f>
        <v>253529.64</v>
      </c>
      <c r="AS105" s="1386">
        <f t="shared" si="112"/>
        <v>38766</v>
      </c>
      <c r="AT105" s="1386">
        <f t="shared" si="113"/>
        <v>155064</v>
      </c>
      <c r="AU105" s="1384">
        <f t="shared" ref="AU105:AU137" si="132">$AP$83*1%</f>
        <v>38766</v>
      </c>
      <c r="AV105" s="1384">
        <f t="shared" ref="AV105:AV137" si="133">$AP$83*2%</f>
        <v>77532</v>
      </c>
      <c r="AW105" s="1384">
        <f>SUM(AS105:AV105)</f>
        <v>310128</v>
      </c>
      <c r="AX105" s="1484">
        <v>4000</v>
      </c>
      <c r="AY105" s="1384">
        <v>0</v>
      </c>
      <c r="AZ105" s="1384">
        <f t="shared" si="93"/>
        <v>0</v>
      </c>
      <c r="BA105" s="1384"/>
      <c r="BB105" s="1384"/>
      <c r="BC105" s="1386">
        <f t="shared" si="94"/>
        <v>4867326</v>
      </c>
      <c r="BD105" s="1154">
        <f>'HK PANEN'!AQ24</f>
        <v>0</v>
      </c>
      <c r="BE105" s="1367">
        <f>'HK PANEN'!AR24</f>
        <v>2</v>
      </c>
      <c r="BG105" s="765">
        <f t="shared" si="95"/>
        <v>3747380</v>
      </c>
      <c r="BH105" s="766">
        <f t="shared" si="96"/>
        <v>0</v>
      </c>
      <c r="BI105" s="766">
        <f t="shared" si="97"/>
        <v>258440</v>
      </c>
      <c r="BJ105" s="765">
        <f>-(BH105+BI105)</f>
        <v>-258440</v>
      </c>
      <c r="BK105" s="767">
        <f>SUM(BG105:BI105)</f>
        <v>4005820</v>
      </c>
      <c r="BM105" s="767">
        <f t="shared" si="126"/>
        <v>1279010</v>
      </c>
      <c r="BN105" s="765">
        <v>30578</v>
      </c>
      <c r="BO105" s="765">
        <f t="shared" si="129"/>
        <v>185642</v>
      </c>
      <c r="BQ105" s="841">
        <f t="shared" si="101"/>
        <v>259306</v>
      </c>
      <c r="BS105" s="816" t="s">
        <v>647</v>
      </c>
      <c r="BT105" s="773">
        <f t="shared" si="127"/>
        <v>259306</v>
      </c>
    </row>
    <row r="106" spans="1:75" ht="39" customHeight="1">
      <c r="A106" s="906">
        <v>19</v>
      </c>
      <c r="B106" s="909" t="s">
        <v>36</v>
      </c>
      <c r="C106" s="910" t="s">
        <v>702</v>
      </c>
      <c r="D106" s="911" t="s">
        <v>646</v>
      </c>
      <c r="E106" s="1037">
        <f>'HK PANEN'!AH25</f>
        <v>13</v>
      </c>
      <c r="F106" s="960">
        <v>129220</v>
      </c>
      <c r="G106" s="1396">
        <f>F106*E106</f>
        <v>1679860</v>
      </c>
      <c r="H106" s="1383">
        <f>'HK PANEN'!AI25</f>
        <v>0</v>
      </c>
      <c r="I106" s="1398">
        <f>H106*F106</f>
        <v>0</v>
      </c>
      <c r="J106" s="1386">
        <f>'HK PANEN'!AJ25</f>
        <v>0</v>
      </c>
      <c r="K106" s="1398">
        <f>J106*F106</f>
        <v>0</v>
      </c>
      <c r="L106" s="1386">
        <f>'HK PANEN'!AK25</f>
        <v>0</v>
      </c>
      <c r="M106" s="1398">
        <f>L106*F106</f>
        <v>0</v>
      </c>
      <c r="N106" s="1386">
        <f>'HK PANEN'!AL25</f>
        <v>3</v>
      </c>
      <c r="O106" s="1399">
        <f>N106*F106</f>
        <v>387660</v>
      </c>
      <c r="P106" s="1386">
        <f>'HK PANEN'!AM25</f>
        <v>2</v>
      </c>
      <c r="Q106" s="1399">
        <f>P106*F106</f>
        <v>258440</v>
      </c>
      <c r="R106" s="1386">
        <f>'HK PANEN'!AN25</f>
        <v>0</v>
      </c>
      <c r="S106" s="1386">
        <f t="shared" si="122"/>
        <v>0</v>
      </c>
      <c r="T106" s="1386">
        <f>'HK PANEN'!AO25</f>
        <v>0</v>
      </c>
      <c r="U106" s="1386">
        <f t="shared" si="123"/>
        <v>0</v>
      </c>
      <c r="V106" s="1398">
        <f>+T106+R106+P106+N106+L106+J106+H106+E106</f>
        <v>18</v>
      </c>
      <c r="W106" s="1398">
        <v>4650</v>
      </c>
      <c r="X106" s="1398">
        <f t="shared" si="88"/>
        <v>83700</v>
      </c>
      <c r="Y106" s="1398"/>
      <c r="Z106" s="1398"/>
      <c r="AA106" s="1398">
        <f>Z106*Y106</f>
        <v>0</v>
      </c>
      <c r="AB106" s="1399"/>
      <c r="AC106" s="1384">
        <f>'MASA KERJA AB'!H71</f>
        <v>0</v>
      </c>
      <c r="AD106" s="1384">
        <f>'MASA KERJA AB'!I71</f>
        <v>0</v>
      </c>
      <c r="AE106" s="1399"/>
      <c r="AF106" s="1483">
        <f>'MONITORING '!AK212</f>
        <v>538917</v>
      </c>
      <c r="AG106" s="1401">
        <f>'MONITORING '!AK213</f>
        <v>225750</v>
      </c>
      <c r="AH106" s="1402"/>
      <c r="AI106" s="1390">
        <f>'INSETIF MEI''25'!L23</f>
        <v>0</v>
      </c>
      <c r="AJ106" s="1388"/>
      <c r="AK106" s="1405"/>
      <c r="AL106" s="1398"/>
      <c r="AM106" s="1398"/>
      <c r="AN106" s="1398">
        <f>'MONITORING '!AK214</f>
        <v>0</v>
      </c>
      <c r="AO106" s="1406">
        <f t="shared" si="90"/>
        <v>3174327</v>
      </c>
      <c r="AP106" s="1398">
        <f t="shared" si="130"/>
        <v>77532</v>
      </c>
      <c r="AQ106" s="1398">
        <f t="shared" si="131"/>
        <v>175997.64</v>
      </c>
      <c r="AR106" s="1398">
        <f>SUM(AQ106+AP106)</f>
        <v>253529.64</v>
      </c>
      <c r="AS106" s="1400">
        <f t="shared" si="112"/>
        <v>38766</v>
      </c>
      <c r="AT106" s="1400">
        <f t="shared" si="113"/>
        <v>155064</v>
      </c>
      <c r="AU106" s="1398">
        <f t="shared" si="132"/>
        <v>38766</v>
      </c>
      <c r="AV106" s="1398">
        <f t="shared" si="133"/>
        <v>77532</v>
      </c>
      <c r="AW106" s="1398">
        <f>SUM(AS106:AV106)</f>
        <v>310128</v>
      </c>
      <c r="AX106" s="1484">
        <v>4000</v>
      </c>
      <c r="AY106" s="1398">
        <v>0</v>
      </c>
      <c r="AZ106" s="1398">
        <f t="shared" si="93"/>
        <v>0</v>
      </c>
      <c r="BA106" s="1398"/>
      <c r="BB106" s="1398"/>
      <c r="BC106" s="1400">
        <f t="shared" si="94"/>
        <v>3015263</v>
      </c>
      <c r="BD106" s="1154">
        <f>'HK PANEN'!AQ25</f>
        <v>0</v>
      </c>
      <c r="BE106" s="1367">
        <f>'HK PANEN'!AR25</f>
        <v>4</v>
      </c>
      <c r="BG106" s="765">
        <f t="shared" si="95"/>
        <v>2325960</v>
      </c>
      <c r="BH106" s="766">
        <f t="shared" si="96"/>
        <v>0</v>
      </c>
      <c r="BI106" s="766">
        <f t="shared" si="97"/>
        <v>516880</v>
      </c>
      <c r="BJ106" s="765">
        <f>-(BH106+BI106)</f>
        <v>-516880</v>
      </c>
      <c r="BK106" s="767">
        <f>SUM(BG106:BI106)</f>
        <v>2842840</v>
      </c>
      <c r="BM106" s="767">
        <f t="shared" si="126"/>
        <v>848367</v>
      </c>
      <c r="BN106" s="765">
        <v>30579</v>
      </c>
      <c r="BO106" s="765">
        <f t="shared" si="129"/>
        <v>185643</v>
      </c>
      <c r="BQ106" s="841">
        <f t="shared" si="101"/>
        <v>538917</v>
      </c>
      <c r="BS106" s="816" t="s">
        <v>646</v>
      </c>
      <c r="BT106" s="773">
        <f t="shared" si="127"/>
        <v>538917</v>
      </c>
    </row>
    <row r="107" spans="1:75" ht="39" customHeight="1">
      <c r="A107" s="906">
        <v>20</v>
      </c>
      <c r="B107" s="812" t="s">
        <v>36</v>
      </c>
      <c r="C107" s="813" t="s">
        <v>1016</v>
      </c>
      <c r="D107" s="816" t="s">
        <v>688</v>
      </c>
      <c r="E107" s="1037">
        <f>'HK PANEN'!AH26</f>
        <v>24</v>
      </c>
      <c r="F107" s="953">
        <v>129220</v>
      </c>
      <c r="G107" s="1382">
        <f t="shared" ref="G107:G109" si="134">F107*E107</f>
        <v>3101280</v>
      </c>
      <c r="H107" s="1383">
        <f>'HK PANEN'!AI26</f>
        <v>0</v>
      </c>
      <c r="I107" s="1384">
        <f t="shared" ref="I107:I109" si="135">H107*F107</f>
        <v>0</v>
      </c>
      <c r="J107" s="1386">
        <f>'HK PANEN'!AJ26</f>
        <v>0</v>
      </c>
      <c r="K107" s="1384">
        <f t="shared" ref="K107:K109" si="136">J107*F107</f>
        <v>0</v>
      </c>
      <c r="L107" s="1386">
        <f>'HK PANEN'!AK26</f>
        <v>0</v>
      </c>
      <c r="M107" s="1384">
        <f t="shared" ref="M107:M109" si="137">L107*F107</f>
        <v>0</v>
      </c>
      <c r="N107" s="1386">
        <f>'HK PANEN'!AL26</f>
        <v>4</v>
      </c>
      <c r="O107" s="1385">
        <f t="shared" ref="O107:O109" si="138">N107*F107</f>
        <v>516880</v>
      </c>
      <c r="P107" s="1386">
        <f>'HK PANEN'!AM26</f>
        <v>3</v>
      </c>
      <c r="Q107" s="1385">
        <f t="shared" ref="Q107:Q109" si="139">P107*F107</f>
        <v>387660</v>
      </c>
      <c r="R107" s="1386">
        <f>'HK PANEN'!AN26</f>
        <v>0</v>
      </c>
      <c r="S107" s="1386">
        <f t="shared" si="122"/>
        <v>0</v>
      </c>
      <c r="T107" s="1386">
        <f>'HK PANEN'!AO26</f>
        <v>0</v>
      </c>
      <c r="U107" s="1386">
        <f t="shared" si="123"/>
        <v>0</v>
      </c>
      <c r="V107" s="1384">
        <f t="shared" ref="V107:V109" si="140">+T107+R107+P107+N107+L107+J107+H107+E107</f>
        <v>31</v>
      </c>
      <c r="W107" s="1391">
        <v>4650</v>
      </c>
      <c r="X107" s="1384">
        <f t="shared" si="88"/>
        <v>144150</v>
      </c>
      <c r="Y107" s="1384"/>
      <c r="Z107" s="1384"/>
      <c r="AA107" s="1384">
        <f t="shared" ref="AA107:AA109" si="141">Z107*Y107</f>
        <v>0</v>
      </c>
      <c r="AB107" s="1385"/>
      <c r="AC107" s="1384">
        <f>'MASA KERJA AB'!H72</f>
        <v>0</v>
      </c>
      <c r="AD107" s="1384">
        <f>'MASA KERJA AB'!I72</f>
        <v>0</v>
      </c>
      <c r="AE107" s="1385"/>
      <c r="AF107" s="1387">
        <f>'MONITORING '!AK225</f>
        <v>2466</v>
      </c>
      <c r="AG107" s="1388">
        <f>'MONITORING '!AK226</f>
        <v>302750</v>
      </c>
      <c r="AH107" s="1389">
        <v>414200</v>
      </c>
      <c r="AI107" s="1390">
        <f>'INSETIF MEI''25'!L24</f>
        <v>0</v>
      </c>
      <c r="AJ107" s="1388"/>
      <c r="AK107" s="1390"/>
      <c r="AL107" s="1384"/>
      <c r="AM107" s="1384"/>
      <c r="AN107" s="1391">
        <f>'MONITORING '!AK227</f>
        <v>121286</v>
      </c>
      <c r="AO107" s="1392">
        <f t="shared" si="90"/>
        <v>4748100</v>
      </c>
      <c r="AP107" s="1384">
        <f t="shared" si="130"/>
        <v>77532</v>
      </c>
      <c r="AQ107" s="1384">
        <f t="shared" si="131"/>
        <v>175997.64</v>
      </c>
      <c r="AR107" s="1384">
        <f t="shared" ref="AR107:AR109" si="142">SUM(AQ107+AP107)</f>
        <v>253529.64</v>
      </c>
      <c r="AS107" s="1386">
        <f t="shared" si="112"/>
        <v>38766</v>
      </c>
      <c r="AT107" s="1386">
        <f t="shared" si="113"/>
        <v>155064</v>
      </c>
      <c r="AU107" s="1384">
        <f t="shared" si="132"/>
        <v>38766</v>
      </c>
      <c r="AV107" s="1384">
        <f t="shared" si="133"/>
        <v>77532</v>
      </c>
      <c r="AW107" s="1384">
        <f t="shared" ref="AW107:AW109" si="143">SUM(AS107:AV107)</f>
        <v>310128</v>
      </c>
      <c r="AX107" s="1391">
        <v>4000</v>
      </c>
      <c r="AY107" s="1384">
        <v>0</v>
      </c>
      <c r="AZ107" s="1384">
        <f>AJ107</f>
        <v>0</v>
      </c>
      <c r="BA107" s="1384"/>
      <c r="BB107" s="1384"/>
      <c r="BC107" s="1386">
        <f t="shared" si="94"/>
        <v>4589036</v>
      </c>
      <c r="BD107" s="1154">
        <f>'HK PANEN'!AQ26</f>
        <v>0</v>
      </c>
      <c r="BE107" s="1367">
        <f>'HK PANEN'!AR26</f>
        <v>0</v>
      </c>
      <c r="BG107" s="765">
        <f t="shared" si="95"/>
        <v>4005820</v>
      </c>
      <c r="BH107" s="766">
        <f t="shared" si="96"/>
        <v>0</v>
      </c>
      <c r="BI107" s="766">
        <f t="shared" si="97"/>
        <v>0</v>
      </c>
      <c r="BJ107" s="765">
        <f t="shared" ref="BJ107:BJ109" si="144">-(BH107+BI107)</f>
        <v>0</v>
      </c>
      <c r="BK107" s="767">
        <f t="shared" ref="BK107:BK109" si="145">SUM(BG107:BI107)</f>
        <v>4005820</v>
      </c>
      <c r="BM107" s="767">
        <f t="shared" si="126"/>
        <v>742280</v>
      </c>
      <c r="BN107" s="765">
        <v>30580</v>
      </c>
      <c r="BO107" s="765">
        <f t="shared" si="129"/>
        <v>185644</v>
      </c>
      <c r="BQ107" s="841">
        <f t="shared" si="101"/>
        <v>2466</v>
      </c>
      <c r="BS107" s="816" t="s">
        <v>688</v>
      </c>
      <c r="BT107" s="773">
        <f t="shared" si="127"/>
        <v>2466</v>
      </c>
    </row>
    <row r="108" spans="1:75" ht="39" customHeight="1">
      <c r="A108" s="906">
        <v>21</v>
      </c>
      <c r="B108" s="812" t="s">
        <v>36</v>
      </c>
      <c r="C108" s="813" t="s">
        <v>698</v>
      </c>
      <c r="D108" s="816" t="s">
        <v>691</v>
      </c>
      <c r="E108" s="1037">
        <f>'HK PANEN'!AH27</f>
        <v>24</v>
      </c>
      <c r="F108" s="953">
        <v>129220</v>
      </c>
      <c r="G108" s="1382">
        <f t="shared" si="134"/>
        <v>3101280</v>
      </c>
      <c r="H108" s="1383">
        <f>'HK PANEN'!AI27</f>
        <v>0</v>
      </c>
      <c r="I108" s="1384">
        <f t="shared" si="135"/>
        <v>0</v>
      </c>
      <c r="J108" s="1386">
        <f>'HK PANEN'!AJ27</f>
        <v>0</v>
      </c>
      <c r="K108" s="1384">
        <f t="shared" si="136"/>
        <v>0</v>
      </c>
      <c r="L108" s="1386">
        <f>'HK PANEN'!AK27</f>
        <v>0</v>
      </c>
      <c r="M108" s="1384">
        <f t="shared" si="137"/>
        <v>0</v>
      </c>
      <c r="N108" s="1386">
        <f>'HK PANEN'!AL27</f>
        <v>4</v>
      </c>
      <c r="O108" s="1385">
        <f t="shared" si="138"/>
        <v>516880</v>
      </c>
      <c r="P108" s="1386">
        <f>'HK PANEN'!AM27</f>
        <v>3</v>
      </c>
      <c r="Q108" s="1385">
        <f t="shared" si="139"/>
        <v>387660</v>
      </c>
      <c r="R108" s="1386">
        <f>'HK PANEN'!AN27</f>
        <v>0</v>
      </c>
      <c r="S108" s="1386">
        <f t="shared" si="122"/>
        <v>0</v>
      </c>
      <c r="T108" s="1386">
        <f>'HK PANEN'!AO27</f>
        <v>0</v>
      </c>
      <c r="U108" s="1386">
        <f t="shared" si="123"/>
        <v>0</v>
      </c>
      <c r="V108" s="1384">
        <f t="shared" si="140"/>
        <v>31</v>
      </c>
      <c r="W108" s="1384">
        <v>3700</v>
      </c>
      <c r="X108" s="1384">
        <f t="shared" si="88"/>
        <v>114700</v>
      </c>
      <c r="Y108" s="1384"/>
      <c r="Z108" s="1384"/>
      <c r="AA108" s="1384">
        <f t="shared" si="141"/>
        <v>0</v>
      </c>
      <c r="AB108" s="1385"/>
      <c r="AC108" s="1384">
        <f>'MASA KERJA AB'!H73</f>
        <v>0</v>
      </c>
      <c r="AD108" s="1384">
        <f>'MASA KERJA AB'!I73</f>
        <v>0</v>
      </c>
      <c r="AE108" s="1385"/>
      <c r="AF108" s="1387">
        <f>'MONITORING '!AK238</f>
        <v>520710</v>
      </c>
      <c r="AG108" s="1388">
        <f>'MONITORING '!AK239</f>
        <v>225750</v>
      </c>
      <c r="AH108" s="1389">
        <v>315550</v>
      </c>
      <c r="AI108" s="1390"/>
      <c r="AJ108" s="1388"/>
      <c r="AK108" s="1390"/>
      <c r="AL108" s="1384"/>
      <c r="AM108" s="1384"/>
      <c r="AN108" s="1384">
        <f>'MONITORING '!AK240</f>
        <v>0</v>
      </c>
      <c r="AO108" s="1392">
        <f t="shared" si="90"/>
        <v>5182530</v>
      </c>
      <c r="AP108" s="1384">
        <f t="shared" si="130"/>
        <v>77532</v>
      </c>
      <c r="AQ108" s="1384">
        <f t="shared" si="131"/>
        <v>175997.64</v>
      </c>
      <c r="AR108" s="1384">
        <f t="shared" si="142"/>
        <v>253529.64</v>
      </c>
      <c r="AS108" s="1386">
        <f t="shared" si="112"/>
        <v>38766</v>
      </c>
      <c r="AT108" s="1386">
        <f t="shared" si="113"/>
        <v>155064</v>
      </c>
      <c r="AU108" s="1384">
        <f t="shared" si="132"/>
        <v>38766</v>
      </c>
      <c r="AV108" s="1384">
        <f t="shared" si="133"/>
        <v>77532</v>
      </c>
      <c r="AW108" s="1384">
        <f t="shared" si="143"/>
        <v>310128</v>
      </c>
      <c r="AX108" s="1391">
        <v>4000</v>
      </c>
      <c r="AY108" s="1384">
        <v>0</v>
      </c>
      <c r="AZ108" s="1384">
        <f>AJ108</f>
        <v>0</v>
      </c>
      <c r="BA108" s="1384"/>
      <c r="BB108" s="1384"/>
      <c r="BC108" s="1386">
        <f t="shared" si="94"/>
        <v>5023466</v>
      </c>
      <c r="BD108" s="1154">
        <f>'HK PANEN'!AQ27</f>
        <v>0</v>
      </c>
      <c r="BE108" s="1367">
        <f>'HK PANEN'!AR27</f>
        <v>0</v>
      </c>
      <c r="BG108" s="765">
        <f t="shared" si="95"/>
        <v>4005820</v>
      </c>
      <c r="BH108" s="766">
        <f t="shared" si="96"/>
        <v>0</v>
      </c>
      <c r="BI108" s="766">
        <f t="shared" si="97"/>
        <v>0</v>
      </c>
      <c r="BJ108" s="765">
        <f t="shared" si="144"/>
        <v>0</v>
      </c>
      <c r="BK108" s="767">
        <f t="shared" si="145"/>
        <v>4005820</v>
      </c>
      <c r="BM108" s="767">
        <f t="shared" si="126"/>
        <v>1176710</v>
      </c>
      <c r="BN108" s="765">
        <v>30581</v>
      </c>
      <c r="BO108" s="765">
        <f t="shared" si="129"/>
        <v>185645</v>
      </c>
      <c r="BQ108" s="841">
        <f t="shared" si="101"/>
        <v>520710</v>
      </c>
      <c r="BS108" s="816" t="s">
        <v>691</v>
      </c>
      <c r="BT108" s="773">
        <f t="shared" si="127"/>
        <v>520710</v>
      </c>
    </row>
    <row r="109" spans="1:75" ht="39" customHeight="1" thickBot="1">
      <c r="A109" s="906">
        <v>22</v>
      </c>
      <c r="B109" s="812" t="s">
        <v>36</v>
      </c>
      <c r="C109" s="813" t="s">
        <v>699</v>
      </c>
      <c r="D109" s="816" t="s">
        <v>692</v>
      </c>
      <c r="E109" s="1037">
        <f>'HK PANEN'!AH28</f>
        <v>24</v>
      </c>
      <c r="F109" s="953">
        <v>129220</v>
      </c>
      <c r="G109" s="1382">
        <f t="shared" si="134"/>
        <v>3101280</v>
      </c>
      <c r="H109" s="1383">
        <f>'HK PANEN'!AI28</f>
        <v>0</v>
      </c>
      <c r="I109" s="1384">
        <f t="shared" si="135"/>
        <v>0</v>
      </c>
      <c r="J109" s="1386">
        <f>'HK PANEN'!AJ28</f>
        <v>0</v>
      </c>
      <c r="K109" s="1384">
        <f t="shared" si="136"/>
        <v>0</v>
      </c>
      <c r="L109" s="1386">
        <f>'HK PANEN'!AK28</f>
        <v>0</v>
      </c>
      <c r="M109" s="1384">
        <f t="shared" si="137"/>
        <v>0</v>
      </c>
      <c r="N109" s="1386">
        <f>'HK PANEN'!AL28</f>
        <v>4</v>
      </c>
      <c r="O109" s="1385">
        <f t="shared" si="138"/>
        <v>516880</v>
      </c>
      <c r="P109" s="1386">
        <f>'HK PANEN'!AM28</f>
        <v>3</v>
      </c>
      <c r="Q109" s="1385">
        <f t="shared" si="139"/>
        <v>387660</v>
      </c>
      <c r="R109" s="1386">
        <f>'HK PANEN'!AN28</f>
        <v>0</v>
      </c>
      <c r="S109" s="1386">
        <f t="shared" si="122"/>
        <v>0</v>
      </c>
      <c r="T109" s="1386">
        <f>'HK PANEN'!AO28</f>
        <v>0</v>
      </c>
      <c r="U109" s="1386">
        <f t="shared" si="123"/>
        <v>0</v>
      </c>
      <c r="V109" s="1384">
        <f t="shared" si="140"/>
        <v>31</v>
      </c>
      <c r="W109" s="1384">
        <v>2250</v>
      </c>
      <c r="X109" s="1384">
        <f t="shared" si="88"/>
        <v>69750</v>
      </c>
      <c r="Y109" s="1384"/>
      <c r="Z109" s="1384"/>
      <c r="AA109" s="1384">
        <f t="shared" si="141"/>
        <v>0</v>
      </c>
      <c r="AB109" s="1385"/>
      <c r="AC109" s="1384">
        <f>'MASA KERJA AB'!H74</f>
        <v>0</v>
      </c>
      <c r="AD109" s="1384">
        <f>'MASA KERJA AB'!I74</f>
        <v>0</v>
      </c>
      <c r="AE109" s="1385"/>
      <c r="AF109" s="1387">
        <f>'MONITORING '!AK251</f>
        <v>410886</v>
      </c>
      <c r="AG109" s="1388">
        <f>'MONITORING '!AK252</f>
        <v>229250</v>
      </c>
      <c r="AH109" s="1389">
        <v>317650</v>
      </c>
      <c r="AI109" s="1390"/>
      <c r="AJ109" s="1388"/>
      <c r="AK109" s="1390"/>
      <c r="AL109" s="1384"/>
      <c r="AM109" s="1384"/>
      <c r="AN109" s="1391">
        <f>'MONITORING '!AK253</f>
        <v>52141</v>
      </c>
      <c r="AO109" s="1392">
        <f t="shared" si="90"/>
        <v>4981215</v>
      </c>
      <c r="AP109" s="1384">
        <f t="shared" si="130"/>
        <v>77532</v>
      </c>
      <c r="AQ109" s="1384">
        <f t="shared" si="131"/>
        <v>175997.64</v>
      </c>
      <c r="AR109" s="1384">
        <f t="shared" si="142"/>
        <v>253529.64</v>
      </c>
      <c r="AS109" s="1386">
        <f t="shared" si="112"/>
        <v>38766</v>
      </c>
      <c r="AT109" s="1386">
        <f t="shared" si="113"/>
        <v>155064</v>
      </c>
      <c r="AU109" s="1384">
        <f t="shared" si="132"/>
        <v>38766</v>
      </c>
      <c r="AV109" s="1384">
        <f t="shared" si="133"/>
        <v>77532</v>
      </c>
      <c r="AW109" s="1384">
        <f t="shared" si="143"/>
        <v>310128</v>
      </c>
      <c r="AX109" s="1391">
        <v>4000</v>
      </c>
      <c r="AY109" s="1384">
        <v>0</v>
      </c>
      <c r="AZ109" s="1384">
        <f>AJ109</f>
        <v>0</v>
      </c>
      <c r="BA109" s="1384"/>
      <c r="BB109" s="1384"/>
      <c r="BC109" s="1386">
        <f t="shared" si="94"/>
        <v>4822151</v>
      </c>
      <c r="BD109" s="1362">
        <f>'HK PANEN'!AQ28</f>
        <v>0</v>
      </c>
      <c r="BE109" s="1368">
        <f>'HK PANEN'!AR28</f>
        <v>0</v>
      </c>
      <c r="BG109" s="765">
        <f t="shared" si="95"/>
        <v>4005820</v>
      </c>
      <c r="BH109" s="766">
        <f t="shared" si="96"/>
        <v>0</v>
      </c>
      <c r="BI109" s="766">
        <f t="shared" si="97"/>
        <v>0</v>
      </c>
      <c r="BJ109" s="765">
        <f t="shared" si="144"/>
        <v>0</v>
      </c>
      <c r="BK109" s="767">
        <f t="shared" si="145"/>
        <v>4005820</v>
      </c>
      <c r="BM109" s="767">
        <f t="shared" si="126"/>
        <v>975395</v>
      </c>
      <c r="BN109" s="765">
        <v>30582</v>
      </c>
      <c r="BO109" s="765">
        <f t="shared" si="129"/>
        <v>185646</v>
      </c>
      <c r="BQ109" s="841">
        <f t="shared" si="101"/>
        <v>410886</v>
      </c>
      <c r="BS109" s="961" t="s">
        <v>692</v>
      </c>
      <c r="BT109" s="773">
        <f t="shared" si="127"/>
        <v>410886</v>
      </c>
    </row>
    <row r="110" spans="1:75" s="768" customFormat="1" ht="64.5" customHeight="1" thickBot="1">
      <c r="A110" s="1112"/>
      <c r="B110" s="1113"/>
      <c r="C110" s="1114"/>
      <c r="D110" s="1113" t="s">
        <v>38</v>
      </c>
      <c r="E110" s="1115">
        <f>SUM(E88:E109)</f>
        <v>492</v>
      </c>
      <c r="F110" s="1364">
        <f t="shared" ref="F110:BC110" si="146">SUM(F88:F109)</f>
        <v>2842840</v>
      </c>
      <c r="G110" s="1363">
        <f t="shared" si="146"/>
        <v>63576240</v>
      </c>
      <c r="H110" s="1363">
        <f t="shared" si="146"/>
        <v>8</v>
      </c>
      <c r="I110" s="1363">
        <f t="shared" si="146"/>
        <v>1033760</v>
      </c>
      <c r="J110" s="1363">
        <f t="shared" si="146"/>
        <v>12</v>
      </c>
      <c r="K110" s="1363">
        <f t="shared" si="146"/>
        <v>1550640</v>
      </c>
      <c r="L110" s="1363">
        <f t="shared" si="146"/>
        <v>2</v>
      </c>
      <c r="M110" s="1363">
        <f t="shared" si="146"/>
        <v>258440</v>
      </c>
      <c r="N110" s="1363">
        <f t="shared" si="146"/>
        <v>87</v>
      </c>
      <c r="O110" s="1363">
        <f t="shared" si="146"/>
        <v>11242140</v>
      </c>
      <c r="P110" s="1363">
        <f t="shared" si="146"/>
        <v>65</v>
      </c>
      <c r="Q110" s="1363">
        <f t="shared" si="146"/>
        <v>8399300</v>
      </c>
      <c r="R110" s="1363">
        <f t="shared" si="146"/>
        <v>0</v>
      </c>
      <c r="S110" s="1363">
        <f t="shared" si="146"/>
        <v>0</v>
      </c>
      <c r="T110" s="1363">
        <f t="shared" si="146"/>
        <v>0</v>
      </c>
      <c r="U110" s="1363">
        <f t="shared" si="146"/>
        <v>0</v>
      </c>
      <c r="V110" s="1363">
        <f t="shared" si="146"/>
        <v>666</v>
      </c>
      <c r="W110" s="1363">
        <f t="shared" si="146"/>
        <v>92800</v>
      </c>
      <c r="X110" s="1363">
        <f t="shared" si="146"/>
        <v>2806300</v>
      </c>
      <c r="Y110" s="1363">
        <f t="shared" si="146"/>
        <v>8500</v>
      </c>
      <c r="Z110" s="1363">
        <f t="shared" si="146"/>
        <v>58</v>
      </c>
      <c r="AA110" s="1363">
        <f t="shared" si="146"/>
        <v>162000</v>
      </c>
      <c r="AB110" s="1363">
        <f t="shared" si="146"/>
        <v>30000</v>
      </c>
      <c r="AC110" s="1363">
        <f t="shared" si="146"/>
        <v>57</v>
      </c>
      <c r="AD110" s="1363">
        <f t="shared" si="146"/>
        <v>154000</v>
      </c>
      <c r="AE110" s="1363">
        <f t="shared" si="146"/>
        <v>4358373.76</v>
      </c>
      <c r="AF110" s="1363">
        <f t="shared" si="146"/>
        <v>7654573</v>
      </c>
      <c r="AG110" s="1363">
        <f t="shared" si="146"/>
        <v>5635000</v>
      </c>
      <c r="AH110" s="1363">
        <f t="shared" si="146"/>
        <v>8612900</v>
      </c>
      <c r="AI110" s="1363">
        <f t="shared" si="146"/>
        <v>2250000</v>
      </c>
      <c r="AJ110" s="1363">
        <f t="shared" si="146"/>
        <v>0</v>
      </c>
      <c r="AK110" s="1363">
        <f t="shared" si="146"/>
        <v>0</v>
      </c>
      <c r="AL110" s="1363">
        <f t="shared" si="146"/>
        <v>0</v>
      </c>
      <c r="AM110" s="1363">
        <f t="shared" si="146"/>
        <v>0</v>
      </c>
      <c r="AN110" s="1363">
        <f t="shared" si="146"/>
        <v>354326</v>
      </c>
      <c r="AO110" s="1363">
        <f t="shared" si="146"/>
        <v>117339340.76000001</v>
      </c>
      <c r="AP110" s="1363">
        <f t="shared" si="146"/>
        <v>1705704</v>
      </c>
      <c r="AQ110" s="1363">
        <f t="shared" si="146"/>
        <v>3871948.0800000019</v>
      </c>
      <c r="AR110" s="1363">
        <f t="shared" si="146"/>
        <v>5577652.0800000001</v>
      </c>
      <c r="AS110" s="1363">
        <f t="shared" si="146"/>
        <v>854392</v>
      </c>
      <c r="AT110" s="1363">
        <f t="shared" si="146"/>
        <v>3417568</v>
      </c>
      <c r="AU110" s="1363">
        <f t="shared" si="146"/>
        <v>852852</v>
      </c>
      <c r="AV110" s="1363">
        <f t="shared" si="146"/>
        <v>1705704</v>
      </c>
      <c r="AW110" s="1363">
        <f t="shared" si="146"/>
        <v>6830516</v>
      </c>
      <c r="AX110" s="1363">
        <f t="shared" si="146"/>
        <v>88000</v>
      </c>
      <c r="AY110" s="1363">
        <f t="shared" si="146"/>
        <v>574595</v>
      </c>
      <c r="AZ110" s="1363">
        <f t="shared" si="146"/>
        <v>0</v>
      </c>
      <c r="BA110" s="1363">
        <f t="shared" si="146"/>
        <v>0</v>
      </c>
      <c r="BB110" s="1363">
        <f t="shared" si="146"/>
        <v>0</v>
      </c>
      <c r="BC110" s="1363">
        <f t="shared" si="146"/>
        <v>113263797.76000001</v>
      </c>
      <c r="BD110" s="1115">
        <f>SUM(BD88:BD109)</f>
        <v>0</v>
      </c>
      <c r="BE110" s="1365">
        <f>SUM(BE88:BE109)</f>
        <v>7</v>
      </c>
      <c r="BF110" s="922"/>
      <c r="BG110" s="922">
        <f>SUM(BG88:BG109)</f>
        <v>86060520</v>
      </c>
      <c r="BH110" s="922">
        <f t="shared" ref="BH110:BK110" si="147">SUM(BH88:BH109)</f>
        <v>0</v>
      </c>
      <c r="BI110" s="922">
        <f t="shared" si="147"/>
        <v>904540</v>
      </c>
      <c r="BJ110" s="922">
        <f t="shared" si="147"/>
        <v>-904540</v>
      </c>
      <c r="BK110" s="922">
        <f t="shared" si="147"/>
        <v>86965060</v>
      </c>
      <c r="BL110" s="922">
        <f t="shared" ref="BL110:BT110" si="148">SUM(BL88:BL109)</f>
        <v>0</v>
      </c>
      <c r="BM110" s="922">
        <f t="shared" si="148"/>
        <v>31278820.759999998</v>
      </c>
      <c r="BN110" s="922">
        <f t="shared" si="148"/>
        <v>673323</v>
      </c>
      <c r="BO110" s="922">
        <f t="shared" si="148"/>
        <v>4090891</v>
      </c>
      <c r="BP110" s="922">
        <f t="shared" si="148"/>
        <v>0</v>
      </c>
      <c r="BQ110" s="922">
        <f t="shared" si="148"/>
        <v>7654573</v>
      </c>
      <c r="BR110" s="922">
        <f t="shared" si="148"/>
        <v>0</v>
      </c>
      <c r="BS110" s="922">
        <f t="shared" si="148"/>
        <v>0</v>
      </c>
      <c r="BT110" s="922">
        <f t="shared" si="148"/>
        <v>7654573</v>
      </c>
      <c r="BU110" s="922">
        <f t="shared" ref="BU110:BW110" si="149">SUM(BU88:BU106)</f>
        <v>0</v>
      </c>
      <c r="BV110" s="922">
        <f t="shared" si="149"/>
        <v>0</v>
      </c>
      <c r="BW110" s="922">
        <f t="shared" si="149"/>
        <v>0</v>
      </c>
    </row>
    <row r="111" spans="1:75" ht="27.75" customHeight="1">
      <c r="D111" s="831"/>
      <c r="E111" s="1029">
        <f>'HK PANEN'!AH29</f>
        <v>492</v>
      </c>
      <c r="F111" s="1049"/>
      <c r="G111" s="1032"/>
      <c r="H111" s="1033">
        <f>'HK PANEN'!AI29</f>
        <v>8</v>
      </c>
      <c r="I111" s="1029"/>
      <c r="J111" s="1029">
        <f>'HK PANEN'!AJ29</f>
        <v>12</v>
      </c>
      <c r="K111" s="1029"/>
      <c r="L111" s="1029"/>
      <c r="M111" s="1029"/>
      <c r="N111" s="1029">
        <f>'HK PANEN'!AL29</f>
        <v>87</v>
      </c>
      <c r="O111" s="1029"/>
      <c r="P111" s="1029">
        <f>'HK PANEN'!AM29</f>
        <v>65</v>
      </c>
      <c r="Q111" s="1029"/>
      <c r="R111" s="1029"/>
      <c r="S111" s="1029"/>
      <c r="T111" s="1029"/>
      <c r="U111" s="1029"/>
      <c r="V111" s="1029">
        <f>'HK PANEN'!AP29</f>
        <v>666</v>
      </c>
      <c r="W111" s="1029"/>
      <c r="X111" s="1029"/>
      <c r="Y111" s="1029"/>
      <c r="Z111" s="1029"/>
      <c r="AA111" s="1029"/>
      <c r="AB111" s="1029"/>
      <c r="AC111" s="1029"/>
      <c r="AD111" s="1029"/>
      <c r="AE111" s="1029">
        <f>'LEMBUR DAN PREMI UPKEEP'!AJ97</f>
        <v>4358373.76</v>
      </c>
      <c r="AF111" s="1029"/>
      <c r="AG111" s="1050"/>
      <c r="AH111" s="1050"/>
      <c r="AI111" s="1051"/>
      <c r="AJ111" s="1029"/>
      <c r="AK111" s="1043"/>
      <c r="AL111" s="1029"/>
      <c r="AM111" s="1029"/>
      <c r="AN111" s="1029"/>
      <c r="AO111" s="1052">
        <f>G110+I110+K110+O110+Q110+X110+AA110+AD110+AE110+AF110+AG110+AH110+AI110+AJ110-AN110</f>
        <v>117080900.76000001</v>
      </c>
      <c r="AP111" s="1029"/>
      <c r="AQ111" s="1029"/>
      <c r="AR111" s="1029"/>
      <c r="AS111" s="1029"/>
      <c r="AT111" s="1029"/>
      <c r="AU111" s="1029"/>
      <c r="AV111" s="1029"/>
      <c r="AW111" s="1029"/>
      <c r="AX111" s="1029"/>
      <c r="AY111" s="1029"/>
      <c r="AZ111" s="1029"/>
      <c r="BA111" s="1029"/>
      <c r="BB111" s="1029"/>
      <c r="BC111" s="1429"/>
      <c r="BD111" s="829"/>
      <c r="BE111" s="829"/>
      <c r="BF111" s="829"/>
      <c r="BT111" s="773"/>
    </row>
    <row r="112" spans="1:75" ht="26.25" customHeight="1">
      <c r="A112" s="2136" t="s">
        <v>88</v>
      </c>
      <c r="B112" s="2136"/>
      <c r="C112" s="2136"/>
      <c r="D112" s="2136"/>
      <c r="E112" s="2136"/>
      <c r="F112" s="958"/>
      <c r="G112" s="839"/>
      <c r="I112" s="840"/>
      <c r="J112" s="840"/>
      <c r="K112" s="840"/>
      <c r="L112" s="840"/>
      <c r="M112" s="840"/>
      <c r="N112" s="840"/>
      <c r="O112" s="840"/>
      <c r="P112" s="840"/>
      <c r="Q112" s="840"/>
      <c r="R112" s="840"/>
      <c r="S112" s="840"/>
      <c r="T112" s="840"/>
      <c r="U112" s="840"/>
      <c r="V112" s="840"/>
      <c r="W112" s="840"/>
      <c r="X112" s="840"/>
      <c r="Y112" s="883"/>
      <c r="Z112" s="840"/>
      <c r="AA112" s="883"/>
      <c r="AB112" s="840"/>
      <c r="AC112" s="840"/>
      <c r="AD112" s="840"/>
      <c r="AE112" s="1040">
        <f>AE110-AE111</f>
        <v>0</v>
      </c>
      <c r="AF112" s="841"/>
      <c r="AG112" s="841"/>
      <c r="AH112" s="841"/>
      <c r="AI112" s="841"/>
      <c r="AJ112" s="841"/>
      <c r="AK112" s="923">
        <f>AK110-AK111</f>
        <v>0</v>
      </c>
      <c r="AL112" s="841"/>
      <c r="AM112" s="841"/>
      <c r="AN112" s="841"/>
      <c r="AO112" s="1053">
        <f>AO111-AP110-AS110-AU110-AX110-AY110-AZ110</f>
        <v>113005357.76000001</v>
      </c>
      <c r="AP112" s="841"/>
      <c r="AQ112" s="841"/>
      <c r="AR112" s="841"/>
      <c r="AS112" s="841"/>
      <c r="AT112" s="841"/>
      <c r="AU112" s="841"/>
      <c r="AV112" s="841"/>
      <c r="AW112" s="841"/>
      <c r="AX112" s="841"/>
      <c r="AY112" s="841"/>
      <c r="AZ112" s="841"/>
      <c r="BA112" s="841"/>
      <c r="BB112" s="841"/>
      <c r="BC112" s="1438"/>
      <c r="BD112" s="841"/>
      <c r="BE112" s="841"/>
      <c r="BF112" s="841"/>
      <c r="BT112" s="773"/>
    </row>
    <row r="113" spans="1:72" ht="26.25" customHeight="1">
      <c r="A113" s="837" t="s">
        <v>672</v>
      </c>
      <c r="B113" s="838"/>
      <c r="C113" s="885"/>
      <c r="D113" s="838"/>
      <c r="E113" s="883"/>
      <c r="F113" s="958"/>
      <c r="G113" s="839"/>
      <c r="I113" s="840"/>
      <c r="J113" s="840"/>
      <c r="K113" s="840"/>
      <c r="L113" s="840"/>
      <c r="M113" s="840"/>
      <c r="N113" s="840"/>
      <c r="O113" s="840"/>
      <c r="P113" s="840"/>
      <c r="Q113" s="840"/>
      <c r="R113" s="840"/>
      <c r="S113" s="840"/>
      <c r="T113" s="840"/>
      <c r="U113" s="840"/>
      <c r="V113" s="840"/>
      <c r="W113" s="840"/>
      <c r="X113" s="840"/>
      <c r="Y113" s="883"/>
      <c r="Z113" s="840"/>
      <c r="AA113" s="883"/>
      <c r="AB113" s="840"/>
      <c r="AC113" s="840"/>
      <c r="AD113" s="840"/>
      <c r="AE113" s="1040"/>
      <c r="AF113" s="841"/>
      <c r="AG113" s="912"/>
      <c r="AH113" s="912"/>
      <c r="AI113" s="840"/>
      <c r="AJ113" s="840"/>
      <c r="AK113" s="840"/>
      <c r="AL113" s="913"/>
      <c r="AM113" s="912"/>
      <c r="AN113" s="840"/>
      <c r="AO113" s="914"/>
      <c r="AP113" s="840"/>
      <c r="AQ113" s="884"/>
      <c r="AR113" s="884"/>
      <c r="AS113" s="883"/>
      <c r="AT113" s="884"/>
      <c r="AU113" s="883"/>
      <c r="AV113" s="884"/>
      <c r="AW113" s="883"/>
      <c r="AX113" s="883"/>
      <c r="AY113" s="883"/>
      <c r="AZ113" s="883"/>
      <c r="BA113" s="883"/>
      <c r="BB113" s="883"/>
      <c r="BC113" s="1442"/>
      <c r="BE113" s="883"/>
      <c r="BF113" s="883"/>
      <c r="BT113" s="773"/>
    </row>
    <row r="114" spans="1:72" ht="26.25" customHeight="1">
      <c r="A114" s="764" t="s">
        <v>62</v>
      </c>
      <c r="B114" s="964"/>
      <c r="C114" s="835"/>
      <c r="D114" s="770"/>
      <c r="E114" s="883"/>
      <c r="F114" s="958"/>
      <c r="G114" s="839"/>
      <c r="H114" s="840"/>
      <c r="I114" s="840"/>
      <c r="J114" s="840"/>
      <c r="K114" s="840"/>
      <c r="L114" s="840"/>
      <c r="M114" s="840"/>
      <c r="N114" s="840"/>
      <c r="O114" s="840"/>
      <c r="P114" s="840"/>
      <c r="Q114" s="840"/>
      <c r="R114" s="840"/>
      <c r="S114" s="840"/>
      <c r="T114" s="840"/>
      <c r="U114" s="840"/>
      <c r="V114" s="840"/>
      <c r="W114" s="840"/>
      <c r="X114" s="883"/>
      <c r="Y114" s="840"/>
      <c r="Z114" s="883"/>
      <c r="AA114" s="840"/>
      <c r="AB114" s="840"/>
      <c r="AC114" s="840"/>
      <c r="AD114" s="840"/>
      <c r="AE114" s="841"/>
      <c r="AF114" s="840"/>
      <c r="AG114" s="913"/>
      <c r="AH114" s="912"/>
      <c r="AI114" s="840"/>
      <c r="AJ114" s="914"/>
      <c r="AK114" s="840"/>
      <c r="AL114" s="777"/>
      <c r="AP114" s="884"/>
      <c r="AQ114" s="884"/>
      <c r="AR114" s="883"/>
      <c r="AS114" s="884"/>
      <c r="AT114" s="883"/>
      <c r="AU114" s="884"/>
      <c r="AV114" s="883"/>
      <c r="AW114" s="883"/>
      <c r="AX114" s="883"/>
      <c r="AY114" s="883"/>
      <c r="AZ114" s="883"/>
      <c r="BA114" s="883"/>
      <c r="BB114" s="883"/>
      <c r="BD114" s="883"/>
      <c r="BE114" s="883"/>
      <c r="BT114" s="773"/>
    </row>
    <row r="115" spans="1:72" s="768" customFormat="1" ht="20.25" customHeight="1">
      <c r="A115" s="774"/>
      <c r="B115" s="964"/>
      <c r="C115" s="915"/>
      <c r="D115" s="770"/>
      <c r="F115" s="789" t="s">
        <v>39</v>
      </c>
      <c r="G115" s="776"/>
      <c r="H115" s="964"/>
      <c r="I115" s="964"/>
      <c r="J115" s="964"/>
      <c r="W115" s="2136" t="s">
        <v>100</v>
      </c>
      <c r="X115" s="2136"/>
      <c r="Y115" s="2136"/>
      <c r="AF115" s="964" t="s">
        <v>40</v>
      </c>
      <c r="AG115" s="964"/>
      <c r="AH115" s="964"/>
      <c r="AI115" s="964"/>
      <c r="AJ115" s="964"/>
      <c r="AK115" s="774"/>
      <c r="AL115" s="773"/>
      <c r="AO115" s="2136" t="s">
        <v>554</v>
      </c>
      <c r="AP115" s="2136"/>
      <c r="AU115" s="2136" t="s">
        <v>61</v>
      </c>
      <c r="AV115" s="2136"/>
      <c r="AW115" s="2136"/>
      <c r="BB115" s="964"/>
      <c r="BC115" s="1430"/>
      <c r="BD115" s="833"/>
      <c r="BE115" s="834"/>
      <c r="BG115" s="772"/>
      <c r="BH115" s="776"/>
      <c r="BI115" s="776"/>
      <c r="BJ115" s="772"/>
      <c r="BK115" s="777"/>
      <c r="BL115" s="777"/>
      <c r="BM115" s="777"/>
      <c r="BN115" s="772"/>
      <c r="BO115" s="772"/>
      <c r="BT115" s="773"/>
    </row>
    <row r="116" spans="1:72" s="768" customFormat="1" ht="22.5" customHeight="1">
      <c r="B116" s="964"/>
      <c r="C116" s="915"/>
      <c r="D116" s="770"/>
      <c r="F116" s="789"/>
      <c r="G116" s="836"/>
      <c r="AF116" s="964"/>
      <c r="AG116" s="964"/>
      <c r="AH116" s="964"/>
      <c r="AJ116" s="964"/>
      <c r="AK116" s="774"/>
      <c r="AL116" s="777"/>
      <c r="AM116" s="773"/>
      <c r="AP116" s="964"/>
      <c r="AQ116" s="964"/>
      <c r="AR116" s="964"/>
      <c r="AU116" s="964"/>
      <c r="AX116" s="964"/>
      <c r="AY116" s="964"/>
      <c r="AZ116" s="964"/>
      <c r="BA116" s="964"/>
      <c r="BB116" s="964"/>
      <c r="BC116" s="1430"/>
      <c r="BD116" s="833"/>
      <c r="BE116" s="834"/>
      <c r="BG116" s="772"/>
      <c r="BH116" s="776"/>
      <c r="BI116" s="776"/>
      <c r="BJ116" s="772"/>
      <c r="BK116" s="777"/>
      <c r="BL116" s="777"/>
      <c r="BM116" s="777"/>
      <c r="BN116" s="772"/>
      <c r="BO116" s="772"/>
      <c r="BT116" s="773"/>
    </row>
    <row r="117" spans="1:72" ht="22.5" customHeight="1">
      <c r="C117" s="916"/>
      <c r="G117" s="839"/>
      <c r="K117" s="768"/>
      <c r="L117" s="768"/>
      <c r="M117" s="768"/>
      <c r="N117" s="768"/>
      <c r="R117" s="768"/>
      <c r="S117" s="768"/>
      <c r="T117" s="964"/>
      <c r="U117" s="964"/>
      <c r="V117" s="832"/>
      <c r="W117" s="768"/>
      <c r="X117" s="832"/>
      <c r="Y117" s="768"/>
      <c r="AE117" s="768"/>
      <c r="AF117" s="832"/>
      <c r="AG117" s="832"/>
      <c r="AH117" s="832"/>
      <c r="AI117" s="768"/>
      <c r="AJ117" s="768"/>
      <c r="AK117" s="774"/>
      <c r="AL117" s="773"/>
      <c r="AM117" s="768"/>
      <c r="AN117" s="768"/>
      <c r="AQ117" s="768"/>
      <c r="AR117" s="768"/>
      <c r="AS117" s="768"/>
      <c r="BB117" s="840"/>
      <c r="BC117" s="1431"/>
      <c r="BD117" s="843"/>
      <c r="BE117" s="845"/>
      <c r="BT117" s="773"/>
    </row>
    <row r="118" spans="1:72" ht="22.5" customHeight="1">
      <c r="C118" s="916"/>
      <c r="K118" s="768"/>
      <c r="L118" s="768"/>
      <c r="M118" s="768"/>
      <c r="N118" s="768"/>
      <c r="R118" s="768"/>
      <c r="S118" s="768"/>
      <c r="T118" s="768"/>
      <c r="U118" s="768"/>
      <c r="V118" s="768"/>
      <c r="W118" s="768"/>
      <c r="X118" s="768"/>
      <c r="Y118" s="768"/>
      <c r="AE118" s="768"/>
      <c r="AF118" s="768"/>
      <c r="AG118" s="768"/>
      <c r="AH118" s="768"/>
      <c r="AI118" s="775"/>
      <c r="AJ118" s="768"/>
      <c r="AK118" s="917"/>
      <c r="AL118" s="773"/>
      <c r="AM118" s="768"/>
      <c r="AN118" s="768"/>
      <c r="AO118" s="841"/>
      <c r="AQ118" s="768"/>
      <c r="AR118" s="768"/>
      <c r="AS118" s="768"/>
      <c r="AU118" s="841"/>
      <c r="BC118" s="1431"/>
      <c r="BT118" s="773"/>
    </row>
    <row r="119" spans="1:72" ht="18.75" customHeight="1">
      <c r="C119" s="848"/>
      <c r="D119" s="849"/>
      <c r="F119" s="918" t="s">
        <v>193</v>
      </c>
      <c r="G119" s="918"/>
      <c r="H119" s="1234"/>
      <c r="I119" s="1234"/>
      <c r="J119" s="1234"/>
      <c r="K119" s="768"/>
      <c r="L119" s="768"/>
      <c r="M119" s="768"/>
      <c r="N119" s="768"/>
      <c r="R119" s="850"/>
      <c r="S119" s="850"/>
      <c r="T119" s="850"/>
      <c r="U119" s="850"/>
      <c r="V119" s="850"/>
      <c r="W119" s="2137" t="s">
        <v>274</v>
      </c>
      <c r="X119" s="2137"/>
      <c r="Y119" s="2137"/>
      <c r="AE119" s="768"/>
      <c r="AF119" s="1234" t="s">
        <v>203</v>
      </c>
      <c r="AG119" s="1234"/>
      <c r="AH119" s="1234"/>
      <c r="AI119" s="1234"/>
      <c r="AJ119" s="1234"/>
      <c r="AK119" s="887"/>
      <c r="AL119" s="768"/>
      <c r="AM119" s="768"/>
      <c r="AN119" s="851"/>
      <c r="AO119" s="2138" t="s">
        <v>622</v>
      </c>
      <c r="AP119" s="2138"/>
      <c r="AQ119" s="852"/>
      <c r="AR119" s="852"/>
      <c r="AS119" s="768"/>
      <c r="AU119" s="2135" t="s">
        <v>586</v>
      </c>
      <c r="AV119" s="2135"/>
      <c r="AW119" s="2135"/>
      <c r="AX119" s="851"/>
      <c r="AY119" s="851"/>
      <c r="AZ119" s="851"/>
      <c r="BA119" s="852"/>
      <c r="BB119" s="1139"/>
      <c r="BT119" s="773"/>
    </row>
    <row r="120" spans="1:72" ht="18.75" customHeight="1">
      <c r="F120" s="945" t="s">
        <v>151</v>
      </c>
      <c r="G120" s="766"/>
      <c r="H120" s="1162"/>
      <c r="I120" s="1162"/>
      <c r="J120" s="1162"/>
      <c r="K120" s="768"/>
      <c r="L120" s="768"/>
      <c r="M120" s="768"/>
      <c r="N120" s="768"/>
      <c r="W120" s="2133" t="s">
        <v>134</v>
      </c>
      <c r="X120" s="2133"/>
      <c r="Y120" s="2133"/>
      <c r="AF120" s="1162" t="s">
        <v>135</v>
      </c>
      <c r="AG120" s="1162"/>
      <c r="AH120" s="1162"/>
      <c r="AI120" s="1162"/>
      <c r="AJ120" s="1162"/>
      <c r="AO120" s="2134" t="s">
        <v>623</v>
      </c>
      <c r="AP120" s="2134"/>
      <c r="AU120" s="2133" t="s">
        <v>585</v>
      </c>
      <c r="AV120" s="2133"/>
      <c r="AW120" s="2133"/>
      <c r="BB120" s="1162"/>
      <c r="BT120" s="773"/>
    </row>
    <row r="121" spans="1:72" ht="26.25" customHeight="1">
      <c r="A121" s="2139" t="s">
        <v>0</v>
      </c>
      <c r="B121" s="2139"/>
      <c r="C121" s="2139"/>
      <c r="D121" s="2139"/>
      <c r="E121" s="2139"/>
      <c r="F121" s="2139"/>
      <c r="G121" s="2139"/>
      <c r="H121" s="2139"/>
      <c r="I121" s="2139"/>
      <c r="J121" s="2139"/>
      <c r="K121" s="2139"/>
      <c r="L121" s="2139"/>
      <c r="M121" s="2139"/>
      <c r="N121" s="2139"/>
      <c r="O121" s="2139"/>
      <c r="P121" s="2139"/>
      <c r="Q121" s="2139"/>
      <c r="R121" s="2139"/>
      <c r="S121" s="2139"/>
      <c r="T121" s="2139"/>
      <c r="U121" s="2139"/>
      <c r="V121" s="2139"/>
      <c r="W121" s="2139"/>
      <c r="X121" s="2139"/>
      <c r="Y121" s="2139"/>
      <c r="Z121" s="2139"/>
      <c r="AA121" s="2139"/>
      <c r="AB121" s="2139"/>
      <c r="AC121" s="2139"/>
      <c r="AD121" s="2139"/>
      <c r="AE121" s="2139"/>
      <c r="AF121" s="2139"/>
      <c r="AG121" s="2139"/>
      <c r="AH121" s="2139"/>
      <c r="AI121" s="2139"/>
      <c r="AJ121" s="2139"/>
      <c r="AK121" s="2139"/>
      <c r="AL121" s="2139"/>
      <c r="AM121" s="2139"/>
      <c r="AN121" s="2139"/>
      <c r="AO121" s="2139"/>
      <c r="AP121" s="2139"/>
      <c r="AQ121" s="2139"/>
      <c r="AR121" s="2139"/>
      <c r="AS121" s="2139"/>
      <c r="AT121" s="2139"/>
      <c r="AU121" s="2139"/>
      <c r="AV121" s="2139"/>
      <c r="AW121" s="2139"/>
      <c r="AX121" s="2139"/>
      <c r="AY121" s="2139"/>
      <c r="AZ121" s="2139"/>
      <c r="BA121" s="2139"/>
      <c r="BB121" s="2139"/>
      <c r="BC121" s="2139"/>
      <c r="BD121" s="2139"/>
      <c r="BE121" s="2139"/>
      <c r="BT121" s="773"/>
    </row>
    <row r="122" spans="1:72" ht="26.25" customHeight="1">
      <c r="A122" s="2136" t="s">
        <v>1</v>
      </c>
      <c r="B122" s="2136"/>
      <c r="C122" s="2136"/>
      <c r="D122" s="2136"/>
      <c r="E122" s="2136"/>
      <c r="F122" s="2136"/>
      <c r="G122" s="2136"/>
      <c r="H122" s="2136"/>
      <c r="I122" s="2136"/>
      <c r="J122" s="2136"/>
      <c r="K122" s="2136"/>
      <c r="L122" s="2136"/>
      <c r="M122" s="2136"/>
      <c r="N122" s="2136"/>
      <c r="O122" s="2136"/>
      <c r="P122" s="2136"/>
      <c r="Q122" s="2136"/>
      <c r="R122" s="2136"/>
      <c r="S122" s="2136"/>
      <c r="T122" s="2136"/>
      <c r="U122" s="2136"/>
      <c r="V122" s="2136"/>
      <c r="W122" s="2136"/>
      <c r="X122" s="2136"/>
      <c r="Y122" s="2136"/>
      <c r="Z122" s="2136"/>
      <c r="AA122" s="2136"/>
      <c r="AB122" s="2136"/>
      <c r="AC122" s="2136"/>
      <c r="AD122" s="2136"/>
      <c r="AE122" s="2136"/>
      <c r="AF122" s="2136"/>
      <c r="AG122" s="2136"/>
      <c r="AH122" s="2136"/>
      <c r="AI122" s="2136"/>
      <c r="AJ122" s="2136"/>
      <c r="AK122" s="2136"/>
      <c r="AL122" s="2136"/>
      <c r="AM122" s="2136"/>
      <c r="AN122" s="2136"/>
      <c r="AO122" s="2136"/>
      <c r="AP122" s="2136"/>
      <c r="AQ122" s="2136"/>
      <c r="AR122" s="2136"/>
      <c r="AS122" s="2136"/>
      <c r="AT122" s="2136"/>
      <c r="AU122" s="2136"/>
      <c r="AV122" s="2136"/>
      <c r="AW122" s="2136"/>
      <c r="AX122" s="2136"/>
      <c r="AY122" s="2136"/>
      <c r="AZ122" s="2136"/>
      <c r="BA122" s="2136"/>
      <c r="BB122" s="2136"/>
      <c r="BC122" s="2136"/>
      <c r="BD122" s="2136"/>
      <c r="BE122" s="2136"/>
      <c r="BT122" s="773"/>
    </row>
    <row r="123" spans="1:72" ht="26.25" customHeight="1">
      <c r="A123" s="964"/>
      <c r="B123" s="964"/>
      <c r="C123" s="835"/>
      <c r="D123" s="838"/>
      <c r="E123" s="964"/>
      <c r="F123" s="789"/>
      <c r="G123" s="776"/>
      <c r="H123" s="964"/>
      <c r="I123" s="964"/>
      <c r="J123" s="964"/>
      <c r="K123" s="964"/>
      <c r="L123" s="964"/>
      <c r="M123" s="964"/>
      <c r="N123" s="964"/>
      <c r="O123" s="964"/>
      <c r="P123" s="964"/>
      <c r="Q123" s="964"/>
      <c r="R123" s="964"/>
      <c r="S123" s="964"/>
      <c r="T123" s="964"/>
      <c r="U123" s="964"/>
      <c r="V123" s="964"/>
      <c r="W123" s="964"/>
      <c r="X123" s="964"/>
      <c r="Y123" s="964"/>
      <c r="Z123" s="964"/>
      <c r="AA123" s="964"/>
      <c r="AB123" s="964"/>
      <c r="AC123" s="964"/>
      <c r="AD123" s="964"/>
      <c r="AE123" s="964"/>
      <c r="AF123" s="964"/>
      <c r="AG123" s="964"/>
      <c r="AH123" s="964"/>
      <c r="AI123" s="964"/>
      <c r="AJ123" s="964"/>
      <c r="AK123" s="774"/>
      <c r="AL123" s="964"/>
      <c r="AM123" s="964"/>
      <c r="AN123" s="964"/>
      <c r="AO123" s="964"/>
      <c r="AP123" s="1045"/>
      <c r="AQ123" s="1045"/>
      <c r="AR123" s="1045"/>
      <c r="AS123" s="1045"/>
      <c r="AT123" s="964"/>
      <c r="AU123" s="964"/>
      <c r="AV123" s="964"/>
      <c r="AW123" s="964"/>
      <c r="AX123" s="964"/>
      <c r="AY123" s="964"/>
      <c r="AZ123" s="964"/>
      <c r="BA123" s="964"/>
      <c r="BB123" s="964"/>
      <c r="BC123" s="1439"/>
      <c r="BD123" s="964"/>
      <c r="BE123" s="964"/>
      <c r="BT123" s="773"/>
    </row>
    <row r="124" spans="1:72" s="768" customFormat="1" ht="16.5" customHeight="1">
      <c r="D124" s="770" t="s">
        <v>964</v>
      </c>
      <c r="F124" s="772"/>
      <c r="G124" s="772"/>
      <c r="AE124" s="964"/>
      <c r="AF124" s="964"/>
      <c r="AG124" s="964"/>
      <c r="AH124" s="964"/>
      <c r="AI124" s="964"/>
      <c r="AJ124" s="964"/>
      <c r="AK124" s="774"/>
      <c r="AL124" s="964"/>
      <c r="AM124" s="964"/>
      <c r="AO124" s="777"/>
      <c r="AP124" s="1034">
        <v>3876600</v>
      </c>
      <c r="AQ124" s="1046">
        <f>AP124/30</f>
        <v>129220</v>
      </c>
      <c r="AR124" s="1054">
        <f>AP124/173*1.5</f>
        <v>33612.138728323698</v>
      </c>
      <c r="AS124" s="1055">
        <f>AP124/173*2</f>
        <v>44816.184971098264</v>
      </c>
      <c r="AT124" s="964" t="s">
        <v>55</v>
      </c>
      <c r="AU124" s="768" t="s">
        <v>329</v>
      </c>
      <c r="BC124" s="1430"/>
      <c r="BE124" s="964"/>
      <c r="BG124" s="772"/>
      <c r="BH124" s="776"/>
      <c r="BI124" s="776"/>
      <c r="BJ124" s="772"/>
      <c r="BK124" s="777"/>
      <c r="BL124" s="777"/>
      <c r="BM124" s="777"/>
      <c r="BN124" s="772"/>
      <c r="BO124" s="772"/>
      <c r="BT124" s="773"/>
    </row>
    <row r="125" spans="1:72" ht="18.75" customHeight="1" thickBot="1">
      <c r="A125" s="1162"/>
      <c r="D125" s="838"/>
      <c r="E125" s="780"/>
      <c r="F125" s="959"/>
      <c r="G125" s="781"/>
      <c r="H125" s="780"/>
      <c r="I125" s="780"/>
      <c r="J125" s="780"/>
      <c r="K125" s="780"/>
      <c r="L125" s="780"/>
      <c r="M125" s="780"/>
      <c r="N125" s="780"/>
      <c r="O125" s="780"/>
      <c r="Q125" s="780"/>
      <c r="R125" s="780"/>
      <c r="S125" s="780"/>
      <c r="T125" s="780"/>
      <c r="U125" s="780"/>
      <c r="V125" s="780"/>
      <c r="W125" s="780"/>
      <c r="X125" s="780"/>
      <c r="Y125" s="780"/>
      <c r="Z125" s="780"/>
      <c r="AA125" s="780"/>
      <c r="AB125" s="780"/>
      <c r="AC125" s="780"/>
      <c r="AD125" s="780"/>
      <c r="AE125" s="780"/>
      <c r="AF125" s="780"/>
      <c r="AG125" s="780"/>
      <c r="AH125" s="780"/>
      <c r="AI125" s="780"/>
      <c r="AJ125" s="780"/>
      <c r="AK125" s="782"/>
      <c r="AL125" s="780"/>
      <c r="AM125" s="780"/>
      <c r="AO125" s="780"/>
      <c r="AP125" s="1034">
        <v>3876600</v>
      </c>
      <c r="AQ125" s="1035">
        <f>AP125/30</f>
        <v>129220</v>
      </c>
      <c r="AR125" s="1033"/>
      <c r="AS125" s="1033"/>
      <c r="AT125" s="773"/>
      <c r="BT125" s="773"/>
    </row>
    <row r="126" spans="1:72" s="893" customFormat="1" ht="18.75" customHeight="1">
      <c r="A126" s="2292" t="s">
        <v>5</v>
      </c>
      <c r="B126" s="2140" t="s">
        <v>6</v>
      </c>
      <c r="C126" s="2140" t="s">
        <v>52</v>
      </c>
      <c r="D126" s="889"/>
      <c r="E126" s="890"/>
      <c r="F126" s="891"/>
      <c r="G126" s="891"/>
      <c r="H126" s="2195" t="s">
        <v>2</v>
      </c>
      <c r="I126" s="2195"/>
      <c r="J126" s="2195"/>
      <c r="K126" s="2195"/>
      <c r="L126" s="2195"/>
      <c r="M126" s="2195"/>
      <c r="N126" s="2195"/>
      <c r="O126" s="2195"/>
      <c r="P126" s="2195"/>
      <c r="Q126" s="2195"/>
      <c r="R126" s="2195"/>
      <c r="S126" s="2195"/>
      <c r="T126" s="2195"/>
      <c r="U126" s="2195"/>
      <c r="V126" s="2140" t="s">
        <v>286</v>
      </c>
      <c r="W126" s="2195" t="s">
        <v>3</v>
      </c>
      <c r="X126" s="2195"/>
      <c r="Y126" s="2195"/>
      <c r="Z126" s="2195"/>
      <c r="AA126" s="2195"/>
      <c r="AB126" s="2195"/>
      <c r="AC126" s="2195"/>
      <c r="AD126" s="2195"/>
      <c r="AE126" s="2143" t="s">
        <v>45</v>
      </c>
      <c r="AF126" s="2152" t="s">
        <v>46</v>
      </c>
      <c r="AG126" s="2175"/>
      <c r="AH126" s="2175"/>
      <c r="AI126" s="2175"/>
      <c r="AJ126" s="2175"/>
      <c r="AK126" s="2176"/>
      <c r="AL126" s="2149"/>
      <c r="AM126" s="2149" t="s">
        <v>98</v>
      </c>
      <c r="AN126" s="2140" t="s">
        <v>44</v>
      </c>
      <c r="AO126" s="892" t="s">
        <v>4</v>
      </c>
      <c r="AP126" s="2180" t="s">
        <v>20</v>
      </c>
      <c r="AQ126" s="2181"/>
      <c r="AR126" s="2182"/>
      <c r="AS126" s="2180" t="s">
        <v>54</v>
      </c>
      <c r="AT126" s="2181"/>
      <c r="AU126" s="2181"/>
      <c r="AV126" s="2181"/>
      <c r="AW126" s="2182"/>
      <c r="AX126" s="890"/>
      <c r="AY126" s="2143" t="s">
        <v>90</v>
      </c>
      <c r="AZ126" s="2146" t="s">
        <v>97</v>
      </c>
      <c r="BA126" s="2146" t="s">
        <v>720</v>
      </c>
      <c r="BB126" s="2149"/>
      <c r="BC126" s="1440" t="s">
        <v>4</v>
      </c>
      <c r="BD126" s="2152" t="s">
        <v>41</v>
      </c>
      <c r="BE126" s="2153"/>
      <c r="BG126" s="894"/>
      <c r="BH126" s="895"/>
      <c r="BI126" s="895"/>
      <c r="BJ126" s="894"/>
      <c r="BK126" s="896"/>
      <c r="BL126" s="896"/>
      <c r="BM126" s="896"/>
      <c r="BN126" s="894"/>
      <c r="BO126" s="894"/>
      <c r="BT126" s="773"/>
    </row>
    <row r="127" spans="1:72" s="893" customFormat="1" ht="25.5" customHeight="1">
      <c r="A127" s="2293"/>
      <c r="B127" s="2141"/>
      <c r="C127" s="2141"/>
      <c r="D127" s="897" t="s">
        <v>7</v>
      </c>
      <c r="E127" s="1237" t="s">
        <v>8</v>
      </c>
      <c r="F127" s="898" t="s">
        <v>9</v>
      </c>
      <c r="G127" s="898" t="s">
        <v>9</v>
      </c>
      <c r="H127" s="2156" t="s">
        <v>10</v>
      </c>
      <c r="I127" s="2156"/>
      <c r="J127" s="2156" t="s">
        <v>11</v>
      </c>
      <c r="K127" s="2156"/>
      <c r="L127" s="2156" t="s">
        <v>12</v>
      </c>
      <c r="M127" s="2156"/>
      <c r="N127" s="2156" t="s">
        <v>13</v>
      </c>
      <c r="O127" s="2156"/>
      <c r="P127" s="2156" t="s">
        <v>14</v>
      </c>
      <c r="Q127" s="2156"/>
      <c r="R127" s="2196" t="s">
        <v>15</v>
      </c>
      <c r="S127" s="2196"/>
      <c r="T127" s="2156" t="s">
        <v>16</v>
      </c>
      <c r="U127" s="2156"/>
      <c r="V127" s="2141"/>
      <c r="W127" s="2156" t="s">
        <v>17</v>
      </c>
      <c r="X127" s="2156"/>
      <c r="Y127" s="2156" t="s">
        <v>18</v>
      </c>
      <c r="Z127" s="2156"/>
      <c r="AA127" s="2156"/>
      <c r="AB127" s="2190" t="s">
        <v>19</v>
      </c>
      <c r="AC127" s="2192"/>
      <c r="AD127" s="2191"/>
      <c r="AE127" s="2144"/>
      <c r="AF127" s="2154"/>
      <c r="AG127" s="2177"/>
      <c r="AH127" s="2177"/>
      <c r="AI127" s="2177"/>
      <c r="AJ127" s="2177"/>
      <c r="AK127" s="2178"/>
      <c r="AL127" s="2150"/>
      <c r="AM127" s="2150"/>
      <c r="AN127" s="2141"/>
      <c r="AO127" s="1237" t="s">
        <v>9</v>
      </c>
      <c r="AP127" s="2183"/>
      <c r="AQ127" s="2184"/>
      <c r="AR127" s="2185"/>
      <c r="AS127" s="2183"/>
      <c r="AT127" s="2184"/>
      <c r="AU127" s="2184"/>
      <c r="AV127" s="2184"/>
      <c r="AW127" s="2185"/>
      <c r="AX127" s="1237" t="s">
        <v>21</v>
      </c>
      <c r="AY127" s="2144"/>
      <c r="AZ127" s="2147"/>
      <c r="BA127" s="2147"/>
      <c r="BB127" s="2150"/>
      <c r="BC127" s="1441" t="s">
        <v>9</v>
      </c>
      <c r="BD127" s="2154"/>
      <c r="BE127" s="2155"/>
      <c r="BG127" s="894"/>
      <c r="BH127" s="895"/>
      <c r="BI127" s="895"/>
      <c r="BJ127" s="894"/>
      <c r="BK127" s="896"/>
      <c r="BL127" s="896"/>
      <c r="BM127" s="896"/>
      <c r="BN127" s="894"/>
      <c r="BO127" s="894"/>
      <c r="BT127" s="773"/>
    </row>
    <row r="128" spans="1:72" s="920" customFormat="1" ht="36" customHeight="1">
      <c r="A128" s="2293"/>
      <c r="B128" s="2141"/>
      <c r="C128" s="2141"/>
      <c r="D128" s="897" t="s">
        <v>22</v>
      </c>
      <c r="E128" s="1237" t="s">
        <v>23</v>
      </c>
      <c r="F128" s="898" t="s">
        <v>24</v>
      </c>
      <c r="G128" s="898" t="s">
        <v>25</v>
      </c>
      <c r="H128" s="2160" t="s">
        <v>4</v>
      </c>
      <c r="I128" s="2160"/>
      <c r="J128" s="2160" t="s">
        <v>4</v>
      </c>
      <c r="K128" s="2160"/>
      <c r="L128" s="2160" t="s">
        <v>4</v>
      </c>
      <c r="M128" s="2160"/>
      <c r="N128" s="2160" t="s">
        <v>4</v>
      </c>
      <c r="O128" s="2160"/>
      <c r="P128" s="2160" t="s">
        <v>4</v>
      </c>
      <c r="Q128" s="2160"/>
      <c r="R128" s="2160" t="s">
        <v>4</v>
      </c>
      <c r="S128" s="2160"/>
      <c r="T128" s="2160" t="s">
        <v>4</v>
      </c>
      <c r="U128" s="2160"/>
      <c r="V128" s="2141"/>
      <c r="W128" s="1237" t="s">
        <v>27</v>
      </c>
      <c r="X128" s="1236" t="s">
        <v>28</v>
      </c>
      <c r="Y128" s="1237" t="s">
        <v>27</v>
      </c>
      <c r="Z128" s="2160" t="s">
        <v>4</v>
      </c>
      <c r="AA128" s="2160"/>
      <c r="AB128" s="1237" t="s">
        <v>27</v>
      </c>
      <c r="AC128" s="2190" t="s">
        <v>4</v>
      </c>
      <c r="AD128" s="2191"/>
      <c r="AE128" s="2174"/>
      <c r="AF128" s="798" t="s">
        <v>56</v>
      </c>
      <c r="AG128" s="798" t="s">
        <v>57</v>
      </c>
      <c r="AH128" s="798" t="s">
        <v>60</v>
      </c>
      <c r="AI128" s="798" t="s">
        <v>288</v>
      </c>
      <c r="AJ128" s="798" t="s">
        <v>97</v>
      </c>
      <c r="AK128" s="798" t="s">
        <v>355</v>
      </c>
      <c r="AL128" s="2179"/>
      <c r="AM128" s="2179"/>
      <c r="AN128" s="2186"/>
      <c r="AO128" s="1237" t="s">
        <v>29</v>
      </c>
      <c r="AP128" s="1237" t="s">
        <v>30</v>
      </c>
      <c r="AQ128" s="1237" t="s">
        <v>31</v>
      </c>
      <c r="AR128" s="1237" t="s">
        <v>4</v>
      </c>
      <c r="AS128" s="1237" t="s">
        <v>30</v>
      </c>
      <c r="AT128" s="1237" t="s">
        <v>31</v>
      </c>
      <c r="AU128" s="1237" t="s">
        <v>30</v>
      </c>
      <c r="AV128" s="1237" t="s">
        <v>31</v>
      </c>
      <c r="AW128" s="1237" t="s">
        <v>4</v>
      </c>
      <c r="AX128" s="1237" t="s">
        <v>32</v>
      </c>
      <c r="AY128" s="2144"/>
      <c r="AZ128" s="2147"/>
      <c r="BA128" s="2147"/>
      <c r="BB128" s="2150"/>
      <c r="BC128" s="1441" t="s">
        <v>33</v>
      </c>
      <c r="BD128" s="2160" t="s">
        <v>42</v>
      </c>
      <c r="BE128" s="2171" t="s">
        <v>43</v>
      </c>
      <c r="BG128" s="895"/>
      <c r="BH128" s="895"/>
      <c r="BI128" s="895"/>
      <c r="BJ128" s="895"/>
      <c r="BK128" s="921"/>
      <c r="BL128" s="896"/>
      <c r="BM128" s="896"/>
      <c r="BN128" s="894"/>
      <c r="BO128" s="894"/>
      <c r="BT128" s="773"/>
    </row>
    <row r="129" spans="1:72" s="893" customFormat="1" ht="24" customHeight="1" thickBot="1">
      <c r="A129" s="2294"/>
      <c r="B129" s="2142"/>
      <c r="C129" s="2142"/>
      <c r="D129" s="1321"/>
      <c r="E129" s="1334"/>
      <c r="F129" s="1322" t="s">
        <v>34</v>
      </c>
      <c r="G129" s="1322" t="s">
        <v>34</v>
      </c>
      <c r="H129" s="1323" t="s">
        <v>8</v>
      </c>
      <c r="I129" s="1323" t="s">
        <v>34</v>
      </c>
      <c r="J129" s="1323" t="s">
        <v>8</v>
      </c>
      <c r="K129" s="1323" t="s">
        <v>34</v>
      </c>
      <c r="L129" s="1323" t="s">
        <v>8</v>
      </c>
      <c r="M129" s="1323" t="s">
        <v>34</v>
      </c>
      <c r="N129" s="1323" t="s">
        <v>8</v>
      </c>
      <c r="O129" s="1323" t="s">
        <v>34</v>
      </c>
      <c r="P129" s="1323" t="s">
        <v>8</v>
      </c>
      <c r="Q129" s="1323" t="s">
        <v>34</v>
      </c>
      <c r="R129" s="1323" t="s">
        <v>8</v>
      </c>
      <c r="S129" s="1323" t="s">
        <v>34</v>
      </c>
      <c r="T129" s="1323" t="s">
        <v>8</v>
      </c>
      <c r="U129" s="1323" t="s">
        <v>34</v>
      </c>
      <c r="V129" s="2142"/>
      <c r="W129" s="1323" t="s">
        <v>26</v>
      </c>
      <c r="X129" s="1323" t="s">
        <v>34</v>
      </c>
      <c r="Y129" s="1323" t="s">
        <v>26</v>
      </c>
      <c r="Z129" s="1323" t="s">
        <v>26</v>
      </c>
      <c r="AA129" s="1323" t="s">
        <v>34</v>
      </c>
      <c r="AB129" s="1323" t="s">
        <v>26</v>
      </c>
      <c r="AC129" s="1323" t="s">
        <v>35</v>
      </c>
      <c r="AD129" s="1323" t="s">
        <v>34</v>
      </c>
      <c r="AE129" s="1323" t="s">
        <v>34</v>
      </c>
      <c r="AF129" s="1323" t="s">
        <v>34</v>
      </c>
      <c r="AG129" s="1323" t="s">
        <v>34</v>
      </c>
      <c r="AH129" s="1323" t="s">
        <v>34</v>
      </c>
      <c r="AI129" s="1323" t="s">
        <v>34</v>
      </c>
      <c r="AJ129" s="1323" t="s">
        <v>34</v>
      </c>
      <c r="AK129" s="1324" t="s">
        <v>34</v>
      </c>
      <c r="AL129" s="1323" t="s">
        <v>34</v>
      </c>
      <c r="AM129" s="1323" t="s">
        <v>34</v>
      </c>
      <c r="AN129" s="1323" t="s">
        <v>34</v>
      </c>
      <c r="AO129" s="1323" t="s">
        <v>34</v>
      </c>
      <c r="AP129" s="1323" t="s">
        <v>34</v>
      </c>
      <c r="AQ129" s="1323" t="s">
        <v>34</v>
      </c>
      <c r="AR129" s="1323" t="s">
        <v>34</v>
      </c>
      <c r="AS129" s="1323" t="s">
        <v>58</v>
      </c>
      <c r="AT129" s="1323" t="s">
        <v>34</v>
      </c>
      <c r="AU129" s="1323" t="s">
        <v>59</v>
      </c>
      <c r="AV129" s="1323" t="s">
        <v>34</v>
      </c>
      <c r="AW129" s="1323" t="s">
        <v>34</v>
      </c>
      <c r="AX129" s="1334"/>
      <c r="AY129" s="2145"/>
      <c r="AZ129" s="2148"/>
      <c r="BA129" s="2148"/>
      <c r="BB129" s="2151"/>
      <c r="BC129" s="1443" t="s">
        <v>34</v>
      </c>
      <c r="BD129" s="2173"/>
      <c r="BE129" s="2172"/>
      <c r="BG129" s="788" t="s">
        <v>353</v>
      </c>
      <c r="BH129" s="799" t="s">
        <v>43</v>
      </c>
      <c r="BI129" s="799" t="s">
        <v>42</v>
      </c>
      <c r="BJ129" s="788" t="s">
        <v>354</v>
      </c>
      <c r="BK129" s="790" t="s">
        <v>358</v>
      </c>
      <c r="BL129" s="896"/>
      <c r="BM129" s="896"/>
      <c r="BN129" s="894"/>
      <c r="BO129" s="894"/>
      <c r="BT129" s="768" t="s">
        <v>718</v>
      </c>
    </row>
    <row r="130" spans="1:72" ht="39" customHeight="1">
      <c r="A130" s="1313">
        <v>1</v>
      </c>
      <c r="B130" s="1314" t="s">
        <v>36</v>
      </c>
      <c r="C130" s="1315" t="s">
        <v>767</v>
      </c>
      <c r="D130" s="961" t="s">
        <v>748</v>
      </c>
      <c r="E130" s="1316">
        <f>'HK PANEN'!AH48</f>
        <v>24</v>
      </c>
      <c r="F130" s="1317">
        <v>129220</v>
      </c>
      <c r="G130" s="1369">
        <f t="shared" ref="G130:G133" si="150">F130*E130</f>
        <v>3101280</v>
      </c>
      <c r="H130" s="1370">
        <f>'HK PANEN'!AI48</f>
        <v>0</v>
      </c>
      <c r="I130" s="1371">
        <f t="shared" ref="I130:I133" si="151">H130*F130</f>
        <v>0</v>
      </c>
      <c r="J130" s="1370">
        <f>'HK PANEN'!AJ48</f>
        <v>0</v>
      </c>
      <c r="K130" s="1371">
        <f t="shared" ref="K130:K133" si="152">J130*F130</f>
        <v>0</v>
      </c>
      <c r="L130" s="1370"/>
      <c r="M130" s="1371">
        <f t="shared" ref="M130:M133" si="153">L130*F130</f>
        <v>0</v>
      </c>
      <c r="N130" s="1370">
        <f>'HK PANEN'!AL48</f>
        <v>4</v>
      </c>
      <c r="O130" s="1372">
        <f t="shared" ref="O130:O133" si="154">N130*F130</f>
        <v>516880</v>
      </c>
      <c r="P130" s="1370">
        <f>'HK PANEN'!AM48</f>
        <v>3</v>
      </c>
      <c r="Q130" s="1372">
        <f t="shared" ref="Q130:Q133" si="155">P130*F130</f>
        <v>387660</v>
      </c>
      <c r="R130" s="1373"/>
      <c r="S130" s="1372">
        <f t="shared" ref="S130:S133" si="156">R130*H130</f>
        <v>0</v>
      </c>
      <c r="T130" s="1370">
        <f>'HK PANEN'!AO62</f>
        <v>0</v>
      </c>
      <c r="U130" s="1371">
        <f t="shared" ref="U130:U133" si="157">T130*F130</f>
        <v>0</v>
      </c>
      <c r="V130" s="1371">
        <f t="shared" ref="V130:V133" si="158">+T130+R130+P130+N130+L130+J130+H130+E130</f>
        <v>31</v>
      </c>
      <c r="W130" s="1371"/>
      <c r="X130" s="1371"/>
      <c r="Y130" s="1371"/>
      <c r="Z130" s="1371"/>
      <c r="AA130" s="1371">
        <f t="shared" ref="AA130:AA133" si="159">Z130*Y130</f>
        <v>0</v>
      </c>
      <c r="AB130" s="1372"/>
      <c r="AC130" s="1371"/>
      <c r="AD130" s="1372">
        <f t="shared" ref="AD130:AD133" si="160">AB130*AC130</f>
        <v>0</v>
      </c>
      <c r="AE130" s="1372"/>
      <c r="AF130" s="1374">
        <f>'MONITORING '!AK264</f>
        <v>63176</v>
      </c>
      <c r="AG130" s="1375">
        <f>'MONITORING '!AK265</f>
        <v>243250</v>
      </c>
      <c r="AH130" s="1376">
        <v>380150</v>
      </c>
      <c r="AI130" s="1377">
        <f>'INSETIF MEI''25'!L27</f>
        <v>0</v>
      </c>
      <c r="AJ130" s="1378"/>
      <c r="AK130" s="1379"/>
      <c r="AL130" s="1371"/>
      <c r="AM130" s="1371"/>
      <c r="AN130" s="1380">
        <f>'MONITORING '!AK266</f>
        <v>78212</v>
      </c>
      <c r="AO130" s="1381">
        <f t="shared" ref="AO130:AO137" si="161">SUM(G130+I130+K130+M130+O130+Q130+S130+U130+X130+AA130+AD130+AE130+AF130+AG130+AH130+AI130+AJ130+AK130+AL130+AM130-AN130)</f>
        <v>4614184</v>
      </c>
      <c r="AP130" s="1371">
        <f t="shared" si="130"/>
        <v>77532</v>
      </c>
      <c r="AQ130" s="1371">
        <f t="shared" si="131"/>
        <v>175997.64</v>
      </c>
      <c r="AR130" s="1371">
        <f t="shared" ref="AR130:AR133" si="162">SUM(AQ130+AP130)</f>
        <v>253529.64</v>
      </c>
      <c r="AS130" s="1373">
        <f t="shared" ref="AS130:AS136" si="163">($AP$4+AD130)*1%</f>
        <v>38766</v>
      </c>
      <c r="AT130" s="1373">
        <f t="shared" ref="AT130:AT136" si="164">($AP$4+AD130)*4%</f>
        <v>155064</v>
      </c>
      <c r="AU130" s="1371">
        <f t="shared" si="132"/>
        <v>38766</v>
      </c>
      <c r="AV130" s="1371">
        <f t="shared" si="133"/>
        <v>77532</v>
      </c>
      <c r="AW130" s="1371">
        <f t="shared" ref="AW130:AW133" si="165">SUM(AS130:AV130)</f>
        <v>310128</v>
      </c>
      <c r="AX130" s="1371"/>
      <c r="AY130" s="1371"/>
      <c r="AZ130" s="1318">
        <f t="shared" ref="AZ130:AZ137" si="166">AJ130</f>
        <v>0</v>
      </c>
      <c r="BA130" s="1318"/>
      <c r="BB130" s="1318"/>
      <c r="BC130" s="1373">
        <f t="shared" ref="BC130:BC133" si="167">SUM(AO130-AP130-AS130-AU130-AX130-AY130-AZ130-BB130)-BA130</f>
        <v>4459120</v>
      </c>
      <c r="BD130" s="1319">
        <f>'HK PANEN'!AQ48</f>
        <v>0</v>
      </c>
      <c r="BE130" s="1320">
        <f>'HK PANEN'!AR48</f>
        <v>0</v>
      </c>
      <c r="BG130" s="765">
        <f t="shared" ref="BG130:BG137" si="168">V130*F130</f>
        <v>4005820</v>
      </c>
      <c r="BH130" s="766">
        <f t="shared" ref="BH130:BH137" si="169">BD130*F130</f>
        <v>0</v>
      </c>
      <c r="BI130" s="766">
        <f t="shared" ref="BI130:BI137" si="170">BE130*F130</f>
        <v>0</v>
      </c>
      <c r="BJ130" s="765">
        <f t="shared" ref="BJ130:BJ133" si="171">-(BH130+BI130)</f>
        <v>0</v>
      </c>
      <c r="BK130" s="767">
        <f t="shared" ref="BK130:BK133" si="172">SUM(BG130:BI130)</f>
        <v>4005820</v>
      </c>
      <c r="BS130" s="961" t="s">
        <v>692</v>
      </c>
      <c r="BT130" s="773">
        <f t="shared" ref="BT130:BT137" si="173">AF130+AJ130</f>
        <v>63176</v>
      </c>
    </row>
    <row r="131" spans="1:72" ht="39" customHeight="1">
      <c r="A131" s="906">
        <v>2</v>
      </c>
      <c r="B131" s="812" t="s">
        <v>36</v>
      </c>
      <c r="C131" s="813" t="s">
        <v>765</v>
      </c>
      <c r="D131" s="816" t="s">
        <v>749</v>
      </c>
      <c r="E131" s="1316">
        <f>'HK PANEN'!AH49</f>
        <v>24</v>
      </c>
      <c r="F131" s="953">
        <v>129220</v>
      </c>
      <c r="G131" s="1382">
        <f t="shared" si="150"/>
        <v>3101280</v>
      </c>
      <c r="H131" s="1383">
        <f>'HK PANEN'!AI49</f>
        <v>0</v>
      </c>
      <c r="I131" s="1384">
        <f t="shared" si="151"/>
        <v>0</v>
      </c>
      <c r="J131" s="1383">
        <f>'HK PANEN'!AJ49</f>
        <v>0</v>
      </c>
      <c r="K131" s="1384">
        <f t="shared" si="152"/>
        <v>0</v>
      </c>
      <c r="L131" s="1383"/>
      <c r="M131" s="1384">
        <f t="shared" si="153"/>
        <v>0</v>
      </c>
      <c r="N131" s="1383">
        <f>'HK PANEN'!AL49</f>
        <v>4</v>
      </c>
      <c r="O131" s="1385">
        <f t="shared" si="154"/>
        <v>516880</v>
      </c>
      <c r="P131" s="1383">
        <f>'HK PANEN'!AM49</f>
        <v>3</v>
      </c>
      <c r="Q131" s="1385">
        <f t="shared" si="155"/>
        <v>387660</v>
      </c>
      <c r="R131" s="1386"/>
      <c r="S131" s="1385">
        <f t="shared" si="156"/>
        <v>0</v>
      </c>
      <c r="T131" s="1383">
        <f>'HK PANEN'!AO63</f>
        <v>0</v>
      </c>
      <c r="U131" s="1384">
        <f t="shared" si="157"/>
        <v>0</v>
      </c>
      <c r="V131" s="1384">
        <f t="shared" si="158"/>
        <v>31</v>
      </c>
      <c r="W131" s="1384"/>
      <c r="X131" s="1384"/>
      <c r="Y131" s="1384"/>
      <c r="Z131" s="1384"/>
      <c r="AA131" s="1384">
        <f t="shared" si="159"/>
        <v>0</v>
      </c>
      <c r="AB131" s="1385"/>
      <c r="AC131" s="1384"/>
      <c r="AD131" s="1385">
        <f t="shared" si="160"/>
        <v>0</v>
      </c>
      <c r="AE131" s="1385"/>
      <c r="AF131" s="1387">
        <f>'MONITORING '!AK277</f>
        <v>71388</v>
      </c>
      <c r="AG131" s="1388">
        <f>'MONITORING '!AK278</f>
        <v>255500</v>
      </c>
      <c r="AH131" s="1389">
        <v>384000</v>
      </c>
      <c r="AI131" s="1371">
        <f>'INSETIF MEI''25'!L28</f>
        <v>0</v>
      </c>
      <c r="AJ131" s="1378"/>
      <c r="AK131" s="1390"/>
      <c r="AL131" s="1384"/>
      <c r="AM131" s="1384"/>
      <c r="AN131" s="1391">
        <f>'MONITORING '!AK279</f>
        <v>72545</v>
      </c>
      <c r="AO131" s="1392">
        <f t="shared" si="161"/>
        <v>4644163</v>
      </c>
      <c r="AP131" s="1384">
        <f t="shared" si="130"/>
        <v>77532</v>
      </c>
      <c r="AQ131" s="1384">
        <f t="shared" si="131"/>
        <v>175997.64</v>
      </c>
      <c r="AR131" s="1384">
        <f t="shared" si="162"/>
        <v>253529.64</v>
      </c>
      <c r="AS131" s="1386">
        <f t="shared" si="163"/>
        <v>38766</v>
      </c>
      <c r="AT131" s="1386">
        <f t="shared" si="164"/>
        <v>155064</v>
      </c>
      <c r="AU131" s="1384">
        <f t="shared" si="132"/>
        <v>38766</v>
      </c>
      <c r="AV131" s="1384">
        <f t="shared" si="133"/>
        <v>77532</v>
      </c>
      <c r="AW131" s="1384">
        <f t="shared" si="165"/>
        <v>310128</v>
      </c>
      <c r="AX131" s="1384"/>
      <c r="AY131" s="1384"/>
      <c r="AZ131" s="1145">
        <f t="shared" si="166"/>
        <v>0</v>
      </c>
      <c r="BA131" s="1145"/>
      <c r="BB131" s="1145"/>
      <c r="BC131" s="1386">
        <f t="shared" si="167"/>
        <v>4489099</v>
      </c>
      <c r="BD131" s="1037">
        <f>'HK PANEN'!AQ49</f>
        <v>0</v>
      </c>
      <c r="BE131" s="1262">
        <f>'HK PANEN'!AR49</f>
        <v>0</v>
      </c>
      <c r="BG131" s="765">
        <f t="shared" si="168"/>
        <v>4005820</v>
      </c>
      <c r="BH131" s="766">
        <f t="shared" si="169"/>
        <v>0</v>
      </c>
      <c r="BI131" s="766">
        <f t="shared" si="170"/>
        <v>0</v>
      </c>
      <c r="BJ131" s="765">
        <f t="shared" si="171"/>
        <v>0</v>
      </c>
      <c r="BK131" s="767">
        <f t="shared" si="172"/>
        <v>4005820</v>
      </c>
      <c r="BS131" s="961" t="s">
        <v>692</v>
      </c>
      <c r="BT131" s="773">
        <f t="shared" si="173"/>
        <v>71388</v>
      </c>
    </row>
    <row r="132" spans="1:72" ht="39" customHeight="1">
      <c r="A132" s="906">
        <v>3</v>
      </c>
      <c r="B132" s="812" t="s">
        <v>36</v>
      </c>
      <c r="C132" s="813" t="s">
        <v>766</v>
      </c>
      <c r="D132" s="816" t="s">
        <v>750</v>
      </c>
      <c r="E132" s="1316">
        <f>'HK PANEN'!AH50</f>
        <v>21</v>
      </c>
      <c r="F132" s="953">
        <v>129220</v>
      </c>
      <c r="G132" s="1382">
        <f t="shared" si="150"/>
        <v>2713620</v>
      </c>
      <c r="H132" s="1383">
        <f>'HK PANEN'!AI50</f>
        <v>0</v>
      </c>
      <c r="I132" s="1384">
        <f t="shared" si="151"/>
        <v>0</v>
      </c>
      <c r="J132" s="1383">
        <f>'HK PANEN'!AJ50</f>
        <v>1</v>
      </c>
      <c r="K132" s="1384">
        <f t="shared" si="152"/>
        <v>129220</v>
      </c>
      <c r="L132" s="1383"/>
      <c r="M132" s="1384">
        <f t="shared" si="153"/>
        <v>0</v>
      </c>
      <c r="N132" s="1383">
        <f>'HK PANEN'!AL50</f>
        <v>4</v>
      </c>
      <c r="O132" s="1385">
        <f t="shared" si="154"/>
        <v>516880</v>
      </c>
      <c r="P132" s="1383">
        <f>'HK PANEN'!AM50</f>
        <v>3</v>
      </c>
      <c r="Q132" s="1385">
        <f t="shared" si="155"/>
        <v>387660</v>
      </c>
      <c r="R132" s="1386"/>
      <c r="S132" s="1385">
        <f t="shared" si="156"/>
        <v>0</v>
      </c>
      <c r="T132" s="1383">
        <f>'HK PANEN'!AO64</f>
        <v>0</v>
      </c>
      <c r="U132" s="1384">
        <f t="shared" si="157"/>
        <v>0</v>
      </c>
      <c r="V132" s="1384">
        <f t="shared" si="158"/>
        <v>29</v>
      </c>
      <c r="W132" s="1384"/>
      <c r="X132" s="1384"/>
      <c r="Y132" s="1384"/>
      <c r="Z132" s="1384"/>
      <c r="AA132" s="1384">
        <f t="shared" si="159"/>
        <v>0</v>
      </c>
      <c r="AB132" s="1385"/>
      <c r="AC132" s="1384"/>
      <c r="AD132" s="1385">
        <f t="shared" si="160"/>
        <v>0</v>
      </c>
      <c r="AE132" s="1385"/>
      <c r="AF132" s="1387">
        <f>'MONITORING '!AK290</f>
        <v>455403</v>
      </c>
      <c r="AG132" s="1388">
        <f>'MONITORING '!AK291</f>
        <v>180250</v>
      </c>
      <c r="AH132" s="1389">
        <v>410800</v>
      </c>
      <c r="AI132" s="1371">
        <f>'INSETIF MEI''25'!L29</f>
        <v>0</v>
      </c>
      <c r="AJ132" s="1378"/>
      <c r="AK132" s="1390"/>
      <c r="AL132" s="1384"/>
      <c r="AM132" s="1384"/>
      <c r="AN132" s="1384">
        <f>'MONITORING '!AK292</f>
        <v>0</v>
      </c>
      <c r="AO132" s="1392">
        <f t="shared" si="161"/>
        <v>4793833</v>
      </c>
      <c r="AP132" s="1384">
        <f t="shared" si="130"/>
        <v>77532</v>
      </c>
      <c r="AQ132" s="1384">
        <f t="shared" si="131"/>
        <v>175997.64</v>
      </c>
      <c r="AR132" s="1384">
        <f t="shared" si="162"/>
        <v>253529.64</v>
      </c>
      <c r="AS132" s="1386">
        <f t="shared" si="163"/>
        <v>38766</v>
      </c>
      <c r="AT132" s="1386">
        <f t="shared" si="164"/>
        <v>155064</v>
      </c>
      <c r="AU132" s="1384">
        <f t="shared" si="132"/>
        <v>38766</v>
      </c>
      <c r="AV132" s="1384">
        <f t="shared" si="133"/>
        <v>77532</v>
      </c>
      <c r="AW132" s="1384">
        <f t="shared" si="165"/>
        <v>310128</v>
      </c>
      <c r="AX132" s="1384"/>
      <c r="AY132" s="1384"/>
      <c r="AZ132" s="1145">
        <f t="shared" si="166"/>
        <v>0</v>
      </c>
      <c r="BA132" s="1145"/>
      <c r="BB132" s="1145"/>
      <c r="BC132" s="1386">
        <f t="shared" si="167"/>
        <v>4638769</v>
      </c>
      <c r="BD132" s="1037">
        <f>'HK PANEN'!AQ50</f>
        <v>2</v>
      </c>
      <c r="BE132" s="1262">
        <f>'HK PANEN'!AR50</f>
        <v>0</v>
      </c>
      <c r="BG132" s="765">
        <f t="shared" si="168"/>
        <v>3747380</v>
      </c>
      <c r="BH132" s="766">
        <f t="shared" si="169"/>
        <v>258440</v>
      </c>
      <c r="BI132" s="766">
        <f t="shared" si="170"/>
        <v>0</v>
      </c>
      <c r="BJ132" s="765">
        <f t="shared" si="171"/>
        <v>-258440</v>
      </c>
      <c r="BK132" s="767">
        <f t="shared" si="172"/>
        <v>4005820</v>
      </c>
      <c r="BS132" s="961" t="s">
        <v>692</v>
      </c>
      <c r="BT132" s="773">
        <f t="shared" si="173"/>
        <v>455403</v>
      </c>
    </row>
    <row r="133" spans="1:72" ht="39" customHeight="1">
      <c r="A133" s="906">
        <v>4</v>
      </c>
      <c r="B133" s="812" t="s">
        <v>36</v>
      </c>
      <c r="C133" s="813" t="s">
        <v>764</v>
      </c>
      <c r="D133" s="816" t="s">
        <v>751</v>
      </c>
      <c r="E133" s="1316">
        <f>'HK PANEN'!AH51</f>
        <v>24</v>
      </c>
      <c r="F133" s="953">
        <v>129220</v>
      </c>
      <c r="G133" s="1382">
        <f t="shared" si="150"/>
        <v>3101280</v>
      </c>
      <c r="H133" s="1383">
        <f>'HK PANEN'!AI51</f>
        <v>0</v>
      </c>
      <c r="I133" s="1384">
        <f t="shared" si="151"/>
        <v>0</v>
      </c>
      <c r="J133" s="1383">
        <f>'HK PANEN'!AJ51</f>
        <v>0</v>
      </c>
      <c r="K133" s="1384">
        <f t="shared" si="152"/>
        <v>0</v>
      </c>
      <c r="L133" s="1383"/>
      <c r="M133" s="1384">
        <f t="shared" si="153"/>
        <v>0</v>
      </c>
      <c r="N133" s="1383">
        <f>'HK PANEN'!AL51</f>
        <v>4</v>
      </c>
      <c r="O133" s="1385">
        <f t="shared" si="154"/>
        <v>516880</v>
      </c>
      <c r="P133" s="1383">
        <f>'HK PANEN'!AM51</f>
        <v>3</v>
      </c>
      <c r="Q133" s="1385">
        <f t="shared" si="155"/>
        <v>387660</v>
      </c>
      <c r="R133" s="1386"/>
      <c r="S133" s="1385">
        <f t="shared" si="156"/>
        <v>0</v>
      </c>
      <c r="T133" s="1383">
        <f>'HK PANEN'!AO65</f>
        <v>0</v>
      </c>
      <c r="U133" s="1384">
        <f t="shared" si="157"/>
        <v>0</v>
      </c>
      <c r="V133" s="1384">
        <f t="shared" si="158"/>
        <v>31</v>
      </c>
      <c r="W133" s="1384"/>
      <c r="X133" s="1384"/>
      <c r="Y133" s="1384"/>
      <c r="Z133" s="1384"/>
      <c r="AA133" s="1384">
        <f t="shared" si="159"/>
        <v>0</v>
      </c>
      <c r="AB133" s="1385"/>
      <c r="AC133" s="1384"/>
      <c r="AD133" s="1385">
        <f t="shared" si="160"/>
        <v>0</v>
      </c>
      <c r="AE133" s="1385"/>
      <c r="AF133" s="1387">
        <f>'MONITORING '!AK303</f>
        <v>103968</v>
      </c>
      <c r="AG133" s="1388">
        <f>'MONITORING '!AK304</f>
        <v>239750</v>
      </c>
      <c r="AH133" s="1389">
        <v>430400</v>
      </c>
      <c r="AI133" s="1371"/>
      <c r="AJ133" s="1378"/>
      <c r="AK133" s="1390"/>
      <c r="AL133" s="1384"/>
      <c r="AM133" s="1384"/>
      <c r="AN133" s="1384">
        <f>'MONITORING '!AK305</f>
        <v>0</v>
      </c>
      <c r="AO133" s="1392">
        <f t="shared" si="161"/>
        <v>4779938</v>
      </c>
      <c r="AP133" s="1384">
        <f t="shared" si="130"/>
        <v>77532</v>
      </c>
      <c r="AQ133" s="1384">
        <f t="shared" si="131"/>
        <v>175997.64</v>
      </c>
      <c r="AR133" s="1384">
        <f t="shared" si="162"/>
        <v>253529.64</v>
      </c>
      <c r="AS133" s="1386">
        <f t="shared" si="163"/>
        <v>38766</v>
      </c>
      <c r="AT133" s="1386">
        <f t="shared" si="164"/>
        <v>155064</v>
      </c>
      <c r="AU133" s="1384">
        <f t="shared" si="132"/>
        <v>38766</v>
      </c>
      <c r="AV133" s="1384">
        <f t="shared" si="133"/>
        <v>77532</v>
      </c>
      <c r="AW133" s="1384">
        <f t="shared" si="165"/>
        <v>310128</v>
      </c>
      <c r="AX133" s="1384"/>
      <c r="AY133" s="1384"/>
      <c r="AZ133" s="1145">
        <f t="shared" si="166"/>
        <v>0</v>
      </c>
      <c r="BA133" s="1145"/>
      <c r="BB133" s="1145"/>
      <c r="BC133" s="1386">
        <f t="shared" si="167"/>
        <v>4624874</v>
      </c>
      <c r="BD133" s="1037">
        <f>'HK PANEN'!AQ51</f>
        <v>0</v>
      </c>
      <c r="BE133" s="1262">
        <f>'HK PANEN'!AR51</f>
        <v>0</v>
      </c>
      <c r="BG133" s="765">
        <f t="shared" si="168"/>
        <v>4005820</v>
      </c>
      <c r="BH133" s="766">
        <f t="shared" si="169"/>
        <v>0</v>
      </c>
      <c r="BI133" s="766">
        <f t="shared" si="170"/>
        <v>0</v>
      </c>
      <c r="BJ133" s="765">
        <f t="shared" si="171"/>
        <v>0</v>
      </c>
      <c r="BK133" s="767">
        <f t="shared" si="172"/>
        <v>4005820</v>
      </c>
      <c r="BS133" s="961" t="s">
        <v>692</v>
      </c>
      <c r="BT133" s="773">
        <f t="shared" si="173"/>
        <v>103968</v>
      </c>
    </row>
    <row r="134" spans="1:72" ht="39" customHeight="1">
      <c r="A134" s="906">
        <v>5</v>
      </c>
      <c r="B134" s="812" t="s">
        <v>36</v>
      </c>
      <c r="C134" s="813" t="s">
        <v>1028</v>
      </c>
      <c r="D134" s="816" t="s">
        <v>775</v>
      </c>
      <c r="E134" s="1316">
        <f>'HK PANEN'!AH52</f>
        <v>24</v>
      </c>
      <c r="F134" s="953">
        <v>129220</v>
      </c>
      <c r="G134" s="1382">
        <f t="shared" ref="G134:G137" si="174">F134*E134</f>
        <v>3101280</v>
      </c>
      <c r="H134" s="1383">
        <f>'HK PANEN'!AI52</f>
        <v>0</v>
      </c>
      <c r="I134" s="1384">
        <f t="shared" ref="I134:I137" si="175">H134*F134</f>
        <v>0</v>
      </c>
      <c r="J134" s="1383">
        <f>'HK PANEN'!AJ52</f>
        <v>0</v>
      </c>
      <c r="K134" s="1384">
        <f t="shared" ref="K134:K137" si="176">J134*F134</f>
        <v>0</v>
      </c>
      <c r="L134" s="1383"/>
      <c r="M134" s="1384">
        <f t="shared" ref="M134:M137" si="177">L134*F134</f>
        <v>0</v>
      </c>
      <c r="N134" s="1383">
        <f>'HK PANEN'!AL52</f>
        <v>4</v>
      </c>
      <c r="O134" s="1385">
        <f t="shared" ref="O134:O137" si="178">N134*F134</f>
        <v>516880</v>
      </c>
      <c r="P134" s="1383">
        <f>'HK PANEN'!AM52</f>
        <v>2</v>
      </c>
      <c r="Q134" s="1385">
        <f t="shared" ref="Q134:Q137" si="179">P134*F134</f>
        <v>258440</v>
      </c>
      <c r="R134" s="1386"/>
      <c r="S134" s="1385">
        <f t="shared" ref="S134:S137" si="180">R134*H134</f>
        <v>0</v>
      </c>
      <c r="T134" s="1383">
        <f>'HK PANEN'!AO66</f>
        <v>0</v>
      </c>
      <c r="U134" s="1384">
        <f t="shared" ref="U134:U137" si="181">T134*F134</f>
        <v>0</v>
      </c>
      <c r="V134" s="1384">
        <f t="shared" ref="V134:V137" si="182">+T134+R134+P134+N134+L134+J134+H134+E134</f>
        <v>30</v>
      </c>
      <c r="W134" s="1384"/>
      <c r="X134" s="1384"/>
      <c r="Y134" s="1384"/>
      <c r="Z134" s="1384"/>
      <c r="AA134" s="1384">
        <f t="shared" ref="AA134:AA137" si="183">Z134*Y134</f>
        <v>0</v>
      </c>
      <c r="AB134" s="1385"/>
      <c r="AC134" s="1384"/>
      <c r="AD134" s="1385">
        <f t="shared" ref="AD134:AD137" si="184">AB134*AC134</f>
        <v>0</v>
      </c>
      <c r="AE134" s="1385"/>
      <c r="AF134" s="1387">
        <f>'MONITORING '!AK316</f>
        <v>133645</v>
      </c>
      <c r="AG134" s="1388">
        <f>'MONITORING '!AK317</f>
        <v>290500</v>
      </c>
      <c r="AH134" s="1389">
        <v>381000</v>
      </c>
      <c r="AI134" s="1371">
        <f>'INSETIF MEI''25'!L31</f>
        <v>0</v>
      </c>
      <c r="AJ134" s="1378"/>
      <c r="AK134" s="1390"/>
      <c r="AL134" s="1384"/>
      <c r="AM134" s="1384"/>
      <c r="AN134" s="1391">
        <f>'MONITORING '!AK318</f>
        <v>110555</v>
      </c>
      <c r="AO134" s="1392">
        <f t="shared" si="161"/>
        <v>4571190</v>
      </c>
      <c r="AP134" s="1384">
        <f t="shared" si="130"/>
        <v>77532</v>
      </c>
      <c r="AQ134" s="1384">
        <f t="shared" si="131"/>
        <v>175997.64</v>
      </c>
      <c r="AR134" s="1384">
        <f t="shared" ref="AR134:AR137" si="185">SUM(AQ134+AP134)</f>
        <v>253529.64</v>
      </c>
      <c r="AS134" s="1386">
        <f t="shared" si="163"/>
        <v>38766</v>
      </c>
      <c r="AT134" s="1386">
        <f t="shared" si="164"/>
        <v>155064</v>
      </c>
      <c r="AU134" s="1384">
        <f t="shared" si="132"/>
        <v>38766</v>
      </c>
      <c r="AV134" s="1384">
        <f t="shared" si="133"/>
        <v>77532</v>
      </c>
      <c r="AW134" s="1384">
        <f t="shared" ref="AW134:AW137" si="186">SUM(AS134:AV134)</f>
        <v>310128</v>
      </c>
      <c r="AX134" s="1384"/>
      <c r="AY134" s="1384"/>
      <c r="AZ134" s="1145">
        <f t="shared" si="166"/>
        <v>0</v>
      </c>
      <c r="BA134" s="1145"/>
      <c r="BB134" s="1145"/>
      <c r="BC134" s="1386">
        <f t="shared" ref="BC134:BC137" si="187">SUM(AO134-AP134-AS134-AU134-AX134-AY134-AZ134-BB134)-BA134</f>
        <v>4416126</v>
      </c>
      <c r="BD134" s="1037">
        <f>'HK PANEN'!AQ52</f>
        <v>0</v>
      </c>
      <c r="BE134" s="1262">
        <f>'HK PANEN'!AR52</f>
        <v>0</v>
      </c>
      <c r="BG134" s="765">
        <f t="shared" si="168"/>
        <v>3876600</v>
      </c>
      <c r="BH134" s="766">
        <f t="shared" si="169"/>
        <v>0</v>
      </c>
      <c r="BI134" s="766">
        <f t="shared" si="170"/>
        <v>0</v>
      </c>
      <c r="BJ134" s="765">
        <f t="shared" ref="BJ134:BJ137" si="188">-(BH134+BI134)</f>
        <v>0</v>
      </c>
      <c r="BK134" s="767">
        <f t="shared" ref="BK134:BK137" si="189">SUM(BG134:BI134)</f>
        <v>3876600</v>
      </c>
      <c r="BS134" s="961" t="s">
        <v>692</v>
      </c>
      <c r="BT134" s="773">
        <f t="shared" si="173"/>
        <v>133645</v>
      </c>
    </row>
    <row r="135" spans="1:72" ht="39" customHeight="1">
      <c r="A135" s="906">
        <v>6</v>
      </c>
      <c r="B135" s="812" t="s">
        <v>36</v>
      </c>
      <c r="C135" s="813" t="s">
        <v>1029</v>
      </c>
      <c r="D135" s="816" t="s">
        <v>774</v>
      </c>
      <c r="E135" s="1316">
        <f>'HK PANEN'!AH53</f>
        <v>24</v>
      </c>
      <c r="F135" s="953">
        <v>129220</v>
      </c>
      <c r="G135" s="1382">
        <f t="shared" si="174"/>
        <v>3101280</v>
      </c>
      <c r="H135" s="1383">
        <f>'HK PANEN'!AI53</f>
        <v>0</v>
      </c>
      <c r="I135" s="1384">
        <f t="shared" si="175"/>
        <v>0</v>
      </c>
      <c r="J135" s="1383">
        <f>'HK PANEN'!AJ53</f>
        <v>0</v>
      </c>
      <c r="K135" s="1384">
        <f t="shared" si="176"/>
        <v>0</v>
      </c>
      <c r="L135" s="1383"/>
      <c r="M135" s="1384">
        <f t="shared" si="177"/>
        <v>0</v>
      </c>
      <c r="N135" s="1383">
        <f>'HK PANEN'!AL53</f>
        <v>4</v>
      </c>
      <c r="O135" s="1385">
        <f t="shared" si="178"/>
        <v>516880</v>
      </c>
      <c r="P135" s="1383">
        <f>'HK PANEN'!AM53</f>
        <v>2</v>
      </c>
      <c r="Q135" s="1385">
        <f t="shared" si="179"/>
        <v>258440</v>
      </c>
      <c r="R135" s="1386"/>
      <c r="S135" s="1385">
        <f t="shared" si="180"/>
        <v>0</v>
      </c>
      <c r="T135" s="1383">
        <f>'HK PANEN'!AO67</f>
        <v>0</v>
      </c>
      <c r="U135" s="1384">
        <f t="shared" si="181"/>
        <v>0</v>
      </c>
      <c r="V135" s="1384">
        <f t="shared" si="182"/>
        <v>30</v>
      </c>
      <c r="W135" s="1384"/>
      <c r="X135" s="1384"/>
      <c r="Y135" s="1384"/>
      <c r="Z135" s="1384"/>
      <c r="AA135" s="1384">
        <f t="shared" si="183"/>
        <v>0</v>
      </c>
      <c r="AB135" s="1385"/>
      <c r="AC135" s="1384"/>
      <c r="AD135" s="1385">
        <f t="shared" si="184"/>
        <v>0</v>
      </c>
      <c r="AE135" s="1385"/>
      <c r="AF135" s="1387">
        <f>'MONITORING '!AK329</f>
        <v>71362</v>
      </c>
      <c r="AG135" s="1388">
        <f>'MONITORING '!AK330</f>
        <v>329000</v>
      </c>
      <c r="AH135" s="1389">
        <v>382650</v>
      </c>
      <c r="AI135" s="1371">
        <f>'INSETIF MEI''25'!L32</f>
        <v>0</v>
      </c>
      <c r="AJ135" s="1378"/>
      <c r="AK135" s="1390"/>
      <c r="AL135" s="1384"/>
      <c r="AM135" s="1384"/>
      <c r="AN135" s="1391">
        <f>'MONITORING '!AK331</f>
        <v>109119</v>
      </c>
      <c r="AO135" s="1392">
        <f t="shared" si="161"/>
        <v>4550493</v>
      </c>
      <c r="AP135" s="1384">
        <f t="shared" si="130"/>
        <v>77532</v>
      </c>
      <c r="AQ135" s="1384">
        <f t="shared" si="131"/>
        <v>175997.64</v>
      </c>
      <c r="AR135" s="1384">
        <f t="shared" si="185"/>
        <v>253529.64</v>
      </c>
      <c r="AS135" s="1386">
        <f t="shared" si="163"/>
        <v>38766</v>
      </c>
      <c r="AT135" s="1386">
        <f t="shared" si="164"/>
        <v>155064</v>
      </c>
      <c r="AU135" s="1384">
        <f t="shared" si="132"/>
        <v>38766</v>
      </c>
      <c r="AV135" s="1384">
        <f t="shared" si="133"/>
        <v>77532</v>
      </c>
      <c r="AW135" s="1384">
        <f t="shared" si="186"/>
        <v>310128</v>
      </c>
      <c r="AX135" s="1384"/>
      <c r="AY135" s="1384"/>
      <c r="AZ135" s="1145">
        <f t="shared" si="166"/>
        <v>0</v>
      </c>
      <c r="BA135" s="1145"/>
      <c r="BB135" s="1145"/>
      <c r="BC135" s="1386">
        <f t="shared" si="187"/>
        <v>4395429</v>
      </c>
      <c r="BD135" s="1037">
        <f>'HK PANEN'!AQ53</f>
        <v>0</v>
      </c>
      <c r="BE135" s="1262">
        <f>'HK PANEN'!AR53</f>
        <v>0</v>
      </c>
      <c r="BG135" s="765">
        <f t="shared" si="168"/>
        <v>3876600</v>
      </c>
      <c r="BH135" s="766">
        <f t="shared" si="169"/>
        <v>0</v>
      </c>
      <c r="BI135" s="766">
        <f t="shared" si="170"/>
        <v>0</v>
      </c>
      <c r="BJ135" s="765">
        <f t="shared" si="188"/>
        <v>0</v>
      </c>
      <c r="BK135" s="767">
        <f t="shared" si="189"/>
        <v>3876600</v>
      </c>
      <c r="BS135" s="961" t="s">
        <v>692</v>
      </c>
      <c r="BT135" s="773">
        <f t="shared" si="173"/>
        <v>71362</v>
      </c>
    </row>
    <row r="136" spans="1:72" ht="39" customHeight="1">
      <c r="A136" s="906">
        <v>7</v>
      </c>
      <c r="B136" s="812" t="s">
        <v>36</v>
      </c>
      <c r="C136" s="813" t="s">
        <v>1030</v>
      </c>
      <c r="D136" s="816" t="s">
        <v>776</v>
      </c>
      <c r="E136" s="1316">
        <f>'HK PANEN'!AH54</f>
        <v>14</v>
      </c>
      <c r="F136" s="953">
        <v>129220</v>
      </c>
      <c r="G136" s="1382">
        <f t="shared" si="174"/>
        <v>1809080</v>
      </c>
      <c r="H136" s="1383">
        <f>'HK PANEN'!AI54</f>
        <v>0</v>
      </c>
      <c r="I136" s="1384">
        <f t="shared" si="175"/>
        <v>0</v>
      </c>
      <c r="J136" s="1383">
        <f>'HK PANEN'!AJ54</f>
        <v>0</v>
      </c>
      <c r="K136" s="1384">
        <f t="shared" si="176"/>
        <v>0</v>
      </c>
      <c r="L136" s="1383"/>
      <c r="M136" s="1384">
        <f t="shared" si="177"/>
        <v>0</v>
      </c>
      <c r="N136" s="1383">
        <f>'HK PANEN'!AL54</f>
        <v>2</v>
      </c>
      <c r="O136" s="1385">
        <f t="shared" si="178"/>
        <v>258440</v>
      </c>
      <c r="P136" s="1383">
        <f>'HK PANEN'!AM54</f>
        <v>1</v>
      </c>
      <c r="Q136" s="1385">
        <f t="shared" si="179"/>
        <v>129220</v>
      </c>
      <c r="R136" s="1386"/>
      <c r="S136" s="1385">
        <f t="shared" si="180"/>
        <v>0</v>
      </c>
      <c r="T136" s="1383">
        <f>'HK PANEN'!AO68</f>
        <v>0</v>
      </c>
      <c r="U136" s="1384">
        <f t="shared" si="181"/>
        <v>0</v>
      </c>
      <c r="V136" s="1384">
        <f t="shared" si="182"/>
        <v>17</v>
      </c>
      <c r="W136" s="1384"/>
      <c r="X136" s="1384"/>
      <c r="Y136" s="1384"/>
      <c r="Z136" s="1384"/>
      <c r="AA136" s="1384">
        <f t="shared" si="183"/>
        <v>0</v>
      </c>
      <c r="AB136" s="1385"/>
      <c r="AC136" s="1384"/>
      <c r="AD136" s="1385">
        <f t="shared" si="184"/>
        <v>0</v>
      </c>
      <c r="AE136" s="1385"/>
      <c r="AF136" s="1388">
        <f>'MONITORING '!AK342</f>
        <v>0</v>
      </c>
      <c r="AG136" s="1388">
        <f>'MONITORING '!AK343</f>
        <v>54250</v>
      </c>
      <c r="AH136" s="1389">
        <v>0</v>
      </c>
      <c r="AI136" s="1371">
        <f>'INSETIF MEI''25'!L33</f>
        <v>0</v>
      </c>
      <c r="AJ136" s="1378"/>
      <c r="AK136" s="1390"/>
      <c r="AL136" s="1384"/>
      <c r="AM136" s="1384"/>
      <c r="AN136" s="1391">
        <f>'MONITORING '!AK344</f>
        <v>196701</v>
      </c>
      <c r="AO136" s="1392">
        <f t="shared" si="161"/>
        <v>2054289</v>
      </c>
      <c r="AP136" s="1384">
        <f t="shared" si="130"/>
        <v>77532</v>
      </c>
      <c r="AQ136" s="1384">
        <f t="shared" si="131"/>
        <v>175997.64</v>
      </c>
      <c r="AR136" s="1384">
        <f t="shared" si="185"/>
        <v>253529.64</v>
      </c>
      <c r="AS136" s="1386">
        <f t="shared" si="163"/>
        <v>38766</v>
      </c>
      <c r="AT136" s="1386">
        <f t="shared" si="164"/>
        <v>155064</v>
      </c>
      <c r="AU136" s="1384">
        <f t="shared" si="132"/>
        <v>38766</v>
      </c>
      <c r="AV136" s="1384">
        <f t="shared" si="133"/>
        <v>77532</v>
      </c>
      <c r="AW136" s="1384">
        <f t="shared" si="186"/>
        <v>310128</v>
      </c>
      <c r="AX136" s="1384"/>
      <c r="AY136" s="1384"/>
      <c r="AZ136" s="1145">
        <f t="shared" si="166"/>
        <v>0</v>
      </c>
      <c r="BA136" s="1145"/>
      <c r="BB136" s="1145"/>
      <c r="BC136" s="1386">
        <f t="shared" si="187"/>
        <v>1899225</v>
      </c>
      <c r="BD136" s="1037">
        <f>'HK PANEN'!AQ54</f>
        <v>0</v>
      </c>
      <c r="BE136" s="1262">
        <f>'HK PANEN'!AR54</f>
        <v>2</v>
      </c>
      <c r="BG136" s="765">
        <f t="shared" si="168"/>
        <v>2196740</v>
      </c>
      <c r="BH136" s="766">
        <f t="shared" si="169"/>
        <v>0</v>
      </c>
      <c r="BI136" s="766">
        <f t="shared" si="170"/>
        <v>258440</v>
      </c>
      <c r="BJ136" s="765">
        <f t="shared" si="188"/>
        <v>-258440</v>
      </c>
      <c r="BK136" s="767">
        <f t="shared" si="189"/>
        <v>2455180</v>
      </c>
      <c r="BS136" s="961" t="s">
        <v>692</v>
      </c>
      <c r="BT136" s="773">
        <f t="shared" si="173"/>
        <v>0</v>
      </c>
    </row>
    <row r="137" spans="1:72" ht="39" customHeight="1" thickBot="1">
      <c r="A137" s="906">
        <v>8</v>
      </c>
      <c r="B137" s="909" t="s">
        <v>36</v>
      </c>
      <c r="C137" s="910" t="s">
        <v>1031</v>
      </c>
      <c r="D137" s="911" t="s">
        <v>963</v>
      </c>
      <c r="E137" s="1395">
        <f>'HK PANEN'!AH55</f>
        <v>8</v>
      </c>
      <c r="F137" s="960">
        <v>129220</v>
      </c>
      <c r="G137" s="1396">
        <f t="shared" si="174"/>
        <v>1033760</v>
      </c>
      <c r="H137" s="1397">
        <f>'HK PANEN'!AI55</f>
        <v>0</v>
      </c>
      <c r="I137" s="1398">
        <f t="shared" si="175"/>
        <v>0</v>
      </c>
      <c r="J137" s="1397">
        <f>'HK PANEN'!AJ55</f>
        <v>0</v>
      </c>
      <c r="K137" s="1398">
        <f t="shared" si="176"/>
        <v>0</v>
      </c>
      <c r="L137" s="1397"/>
      <c r="M137" s="1398">
        <f t="shared" si="177"/>
        <v>0</v>
      </c>
      <c r="N137" s="1397">
        <f>'HK PANEN'!AL55</f>
        <v>1</v>
      </c>
      <c r="O137" s="1399">
        <f t="shared" si="178"/>
        <v>129220</v>
      </c>
      <c r="P137" s="1397">
        <f>'HK PANEN'!AM55</f>
        <v>1</v>
      </c>
      <c r="Q137" s="1399">
        <f t="shared" si="179"/>
        <v>129220</v>
      </c>
      <c r="R137" s="1400"/>
      <c r="S137" s="1399">
        <f t="shared" si="180"/>
        <v>0</v>
      </c>
      <c r="T137" s="1397">
        <f>'HK PANEN'!AO69</f>
        <v>0</v>
      </c>
      <c r="U137" s="1398">
        <f t="shared" si="181"/>
        <v>0</v>
      </c>
      <c r="V137" s="1398">
        <f t="shared" si="182"/>
        <v>10</v>
      </c>
      <c r="W137" s="1398"/>
      <c r="X137" s="1398"/>
      <c r="Y137" s="1398"/>
      <c r="Z137" s="1398"/>
      <c r="AA137" s="1398">
        <f t="shared" si="183"/>
        <v>0</v>
      </c>
      <c r="AB137" s="1399"/>
      <c r="AC137" s="1398"/>
      <c r="AD137" s="1399">
        <f t="shared" si="184"/>
        <v>0</v>
      </c>
      <c r="AE137" s="1399"/>
      <c r="AF137" s="1401">
        <f>'MONITORING '!AK355</f>
        <v>0</v>
      </c>
      <c r="AG137" s="1401">
        <f>'MONITORING '!AK356</f>
        <v>119000</v>
      </c>
      <c r="AH137" s="1402">
        <v>0</v>
      </c>
      <c r="AI137" s="1403">
        <f>'INSETIF MEI''25'!L34</f>
        <v>0</v>
      </c>
      <c r="AJ137" s="1404"/>
      <c r="AK137" s="1405"/>
      <c r="AL137" s="1398"/>
      <c r="AM137" s="1398"/>
      <c r="AN137" s="1398">
        <f>'MONITORING '!AK357</f>
        <v>0</v>
      </c>
      <c r="AO137" s="1406">
        <f t="shared" si="161"/>
        <v>1411200</v>
      </c>
      <c r="AP137" s="1398">
        <f t="shared" si="130"/>
        <v>77532</v>
      </c>
      <c r="AQ137" s="1398">
        <f t="shared" si="131"/>
        <v>175997.64</v>
      </c>
      <c r="AR137" s="1398">
        <f t="shared" si="185"/>
        <v>253529.64</v>
      </c>
      <c r="AS137" s="1400"/>
      <c r="AT137" s="1400"/>
      <c r="AU137" s="1398">
        <f t="shared" si="132"/>
        <v>38766</v>
      </c>
      <c r="AV137" s="1398">
        <f t="shared" si="133"/>
        <v>77532</v>
      </c>
      <c r="AW137" s="1398">
        <f t="shared" si="186"/>
        <v>116298</v>
      </c>
      <c r="AX137" s="1398"/>
      <c r="AY137" s="1398"/>
      <c r="AZ137" s="1151">
        <f t="shared" si="166"/>
        <v>0</v>
      </c>
      <c r="BA137" s="1151"/>
      <c r="BB137" s="1151"/>
      <c r="BC137" s="1400">
        <f t="shared" si="187"/>
        <v>1294902</v>
      </c>
      <c r="BD137" s="1109">
        <f>'HK PANEN'!AQ55</f>
        <v>0</v>
      </c>
      <c r="BE137" s="1337">
        <f>'HK PANEN'!AR55</f>
        <v>0</v>
      </c>
      <c r="BG137" s="765">
        <f t="shared" si="168"/>
        <v>1292200</v>
      </c>
      <c r="BH137" s="766">
        <f t="shared" si="169"/>
        <v>0</v>
      </c>
      <c r="BI137" s="766">
        <f t="shared" si="170"/>
        <v>0</v>
      </c>
      <c r="BJ137" s="765">
        <f t="shared" si="188"/>
        <v>0</v>
      </c>
      <c r="BK137" s="767">
        <f t="shared" si="189"/>
        <v>1292200</v>
      </c>
      <c r="BS137" s="961" t="s">
        <v>692</v>
      </c>
      <c r="BT137" s="773">
        <f t="shared" si="173"/>
        <v>0</v>
      </c>
    </row>
    <row r="138" spans="1:72" s="1276" customFormat="1" ht="49.5" customHeight="1" thickBot="1">
      <c r="A138" s="1407"/>
      <c r="B138" s="1408"/>
      <c r="C138" s="1409"/>
      <c r="D138" s="1410" t="s">
        <v>38</v>
      </c>
      <c r="E138" s="1338">
        <f>SUM(E130:E137)</f>
        <v>163</v>
      </c>
      <c r="F138" s="1338">
        <f t="shared" ref="F138:BE138" si="190">SUM(F130:F137)</f>
        <v>1033760</v>
      </c>
      <c r="G138" s="1338">
        <f t="shared" si="190"/>
        <v>21062860</v>
      </c>
      <c r="H138" s="1338">
        <f t="shared" si="190"/>
        <v>0</v>
      </c>
      <c r="I138" s="1338">
        <f t="shared" si="190"/>
        <v>0</v>
      </c>
      <c r="J138" s="1338">
        <f t="shared" si="190"/>
        <v>1</v>
      </c>
      <c r="K138" s="1338">
        <f t="shared" si="190"/>
        <v>129220</v>
      </c>
      <c r="L138" s="1338">
        <f t="shared" si="190"/>
        <v>0</v>
      </c>
      <c r="M138" s="1338">
        <f t="shared" si="190"/>
        <v>0</v>
      </c>
      <c r="N138" s="1338">
        <f t="shared" si="190"/>
        <v>27</v>
      </c>
      <c r="O138" s="1338">
        <f t="shared" si="190"/>
        <v>3488940</v>
      </c>
      <c r="P138" s="1338">
        <f t="shared" si="190"/>
        <v>18</v>
      </c>
      <c r="Q138" s="1338">
        <f t="shared" si="190"/>
        <v>2325960</v>
      </c>
      <c r="R138" s="1338">
        <f t="shared" si="190"/>
        <v>0</v>
      </c>
      <c r="S138" s="1338">
        <f t="shared" si="190"/>
        <v>0</v>
      </c>
      <c r="T138" s="1338">
        <f t="shared" si="190"/>
        <v>0</v>
      </c>
      <c r="U138" s="1338">
        <f t="shared" si="190"/>
        <v>0</v>
      </c>
      <c r="V138" s="1338">
        <f t="shared" si="190"/>
        <v>209</v>
      </c>
      <c r="W138" s="1338">
        <f t="shared" si="190"/>
        <v>0</v>
      </c>
      <c r="X138" s="1338">
        <f t="shared" si="190"/>
        <v>0</v>
      </c>
      <c r="Y138" s="1338">
        <f t="shared" si="190"/>
        <v>0</v>
      </c>
      <c r="Z138" s="1338">
        <f t="shared" si="190"/>
        <v>0</v>
      </c>
      <c r="AA138" s="1338">
        <f t="shared" si="190"/>
        <v>0</v>
      </c>
      <c r="AB138" s="1338">
        <f t="shared" si="190"/>
        <v>0</v>
      </c>
      <c r="AC138" s="1338">
        <f t="shared" si="190"/>
        <v>0</v>
      </c>
      <c r="AD138" s="1338">
        <f t="shared" si="190"/>
        <v>0</v>
      </c>
      <c r="AE138" s="1338">
        <f t="shared" si="190"/>
        <v>0</v>
      </c>
      <c r="AF138" s="1338">
        <f t="shared" si="190"/>
        <v>898942</v>
      </c>
      <c r="AG138" s="1338">
        <f t="shared" si="190"/>
        <v>1711500</v>
      </c>
      <c r="AH138" s="1338">
        <f t="shared" si="190"/>
        <v>2369000</v>
      </c>
      <c r="AI138" s="1338">
        <f t="shared" si="190"/>
        <v>0</v>
      </c>
      <c r="AJ138" s="1338">
        <f t="shared" si="190"/>
        <v>0</v>
      </c>
      <c r="AK138" s="1338">
        <f t="shared" si="190"/>
        <v>0</v>
      </c>
      <c r="AL138" s="1338">
        <f t="shared" si="190"/>
        <v>0</v>
      </c>
      <c r="AM138" s="1338">
        <f t="shared" si="190"/>
        <v>0</v>
      </c>
      <c r="AN138" s="1338">
        <f t="shared" si="190"/>
        <v>567132</v>
      </c>
      <c r="AO138" s="1338">
        <f t="shared" si="190"/>
        <v>31419290</v>
      </c>
      <c r="AP138" s="1338">
        <f t="shared" si="190"/>
        <v>620256</v>
      </c>
      <c r="AQ138" s="1338">
        <f t="shared" si="190"/>
        <v>1407981.12</v>
      </c>
      <c r="AR138" s="1338">
        <f t="shared" si="190"/>
        <v>2028237.1200000006</v>
      </c>
      <c r="AS138" s="1338">
        <f t="shared" si="190"/>
        <v>271362</v>
      </c>
      <c r="AT138" s="1338">
        <f t="shared" si="190"/>
        <v>1085448</v>
      </c>
      <c r="AU138" s="1338">
        <f t="shared" si="190"/>
        <v>310128</v>
      </c>
      <c r="AV138" s="1338">
        <f t="shared" si="190"/>
        <v>620256</v>
      </c>
      <c r="AW138" s="1338">
        <f t="shared" si="190"/>
        <v>2287194</v>
      </c>
      <c r="AX138" s="1338">
        <f t="shared" si="190"/>
        <v>0</v>
      </c>
      <c r="AY138" s="1338">
        <f t="shared" si="190"/>
        <v>0</v>
      </c>
      <c r="AZ138" s="1338">
        <f t="shared" si="190"/>
        <v>0</v>
      </c>
      <c r="BA138" s="1338">
        <f t="shared" si="190"/>
        <v>0</v>
      </c>
      <c r="BB138" s="1338">
        <f t="shared" si="190"/>
        <v>0</v>
      </c>
      <c r="BC138" s="1363">
        <f t="shared" si="190"/>
        <v>30217544</v>
      </c>
      <c r="BD138" s="1338">
        <f t="shared" si="190"/>
        <v>2</v>
      </c>
      <c r="BE138" s="1394">
        <f t="shared" si="190"/>
        <v>2</v>
      </c>
      <c r="BF138" s="1275"/>
      <c r="BG138" s="1275">
        <f>SUM(BG130:BG137)</f>
        <v>27006980</v>
      </c>
      <c r="BH138" s="1275">
        <f t="shared" ref="BH138:BK138" si="191">SUM(BH130:BH137)</f>
        <v>258440</v>
      </c>
      <c r="BI138" s="1275">
        <f t="shared" si="191"/>
        <v>258440</v>
      </c>
      <c r="BJ138" s="1275">
        <f t="shared" si="191"/>
        <v>-516880</v>
      </c>
      <c r="BK138" s="1275">
        <f t="shared" si="191"/>
        <v>27523860</v>
      </c>
      <c r="BL138" s="1275">
        <f t="shared" ref="BL138:BO138" si="192">SUM(BL107:BL137)</f>
        <v>0</v>
      </c>
      <c r="BM138" s="1275">
        <f t="shared" si="192"/>
        <v>34173205.759999998</v>
      </c>
      <c r="BN138" s="1275">
        <f t="shared" si="192"/>
        <v>765066</v>
      </c>
      <c r="BO138" s="1275">
        <f t="shared" si="192"/>
        <v>4647826</v>
      </c>
      <c r="BS138" s="1274"/>
      <c r="BT138" s="1277">
        <f>SUM(BT107:BT109)</f>
        <v>934062</v>
      </c>
    </row>
    <row r="139" spans="1:72" ht="27.75" customHeight="1">
      <c r="D139" s="831"/>
      <c r="E139" s="1029">
        <f>'HK PANEN'!AH44</f>
        <v>0</v>
      </c>
      <c r="F139" s="1049"/>
      <c r="G139" s="1032"/>
      <c r="H139" s="1029">
        <f>'HK PANEN'!AI44</f>
        <v>0</v>
      </c>
      <c r="I139" s="1029"/>
      <c r="J139" s="1029">
        <f>'HK PANEN'!AJ44</f>
        <v>0</v>
      </c>
      <c r="K139" s="1029"/>
      <c r="L139" s="1029"/>
      <c r="M139" s="1029"/>
      <c r="N139" s="1029">
        <f>'HK PANEN'!AL44</f>
        <v>0</v>
      </c>
      <c r="O139" s="1029"/>
      <c r="P139" s="1029">
        <f>'HK PANEN'!AM44</f>
        <v>0</v>
      </c>
      <c r="Q139" s="1029"/>
      <c r="R139" s="1029"/>
      <c r="S139" s="1029"/>
      <c r="T139" s="1029"/>
      <c r="U139" s="1029"/>
      <c r="V139" s="1029">
        <f>'HK PANEN'!AP56</f>
        <v>209</v>
      </c>
      <c r="W139" s="1029"/>
      <c r="X139" s="1029"/>
      <c r="Y139" s="1029"/>
      <c r="Z139" s="829"/>
      <c r="AA139" s="829"/>
      <c r="AB139" s="829"/>
      <c r="AC139" s="829"/>
      <c r="AD139" s="829"/>
      <c r="AE139" s="829"/>
      <c r="AF139" s="912"/>
      <c r="AG139" s="912"/>
      <c r="AH139" s="874"/>
      <c r="AI139" s="829"/>
      <c r="AJ139" s="829"/>
      <c r="AK139" s="829"/>
      <c r="AL139" s="829"/>
      <c r="AM139" s="829"/>
      <c r="AN139" s="922"/>
      <c r="AO139" s="829"/>
      <c r="AP139" s="829"/>
      <c r="AQ139" s="829"/>
      <c r="AR139" s="829"/>
      <c r="AS139" s="829"/>
      <c r="AT139" s="829"/>
      <c r="AU139" s="829"/>
      <c r="AV139" s="829"/>
      <c r="AW139" s="829"/>
      <c r="AX139" s="829"/>
      <c r="AY139" s="1043">
        <f>AY138+AY110+AY69+AY42</f>
        <v>1748017</v>
      </c>
      <c r="AZ139" s="829"/>
      <c r="BA139" s="829"/>
      <c r="BB139" s="829"/>
      <c r="BC139" s="1436"/>
      <c r="BD139" s="829"/>
      <c r="BE139" s="829"/>
      <c r="BF139" s="820"/>
      <c r="BT139" s="773"/>
    </row>
    <row r="140" spans="1:72" ht="26.25" customHeight="1">
      <c r="A140" s="771" t="s">
        <v>88</v>
      </c>
      <c r="B140" s="888"/>
      <c r="C140" s="835"/>
      <c r="D140" s="771"/>
      <c r="E140" s="1042">
        <f>E138-E139</f>
        <v>163</v>
      </c>
      <c r="F140" s="1056"/>
      <c r="G140" s="1057"/>
      <c r="H140" s="1040">
        <f>H138-H139</f>
        <v>0</v>
      </c>
      <c r="I140" s="1040"/>
      <c r="J140" s="1040">
        <f>J138-J139</f>
        <v>1</v>
      </c>
      <c r="K140" s="1040"/>
      <c r="L140" s="1040"/>
      <c r="M140" s="1040"/>
      <c r="N140" s="1040">
        <f>N138-N139</f>
        <v>27</v>
      </c>
      <c r="O140" s="1040"/>
      <c r="P140" s="1040">
        <f>P138-P139</f>
        <v>18</v>
      </c>
      <c r="Q140" s="1040"/>
      <c r="R140" s="1040"/>
      <c r="S140" s="1040"/>
      <c r="T140" s="1040"/>
      <c r="U140" s="1040"/>
      <c r="V140" s="1040">
        <f>V110+V138</f>
        <v>875</v>
      </c>
      <c r="W140" s="1040"/>
      <c r="X140" s="1042"/>
      <c r="Y140" s="1040"/>
      <c r="Z140" s="883"/>
      <c r="AA140" s="840"/>
      <c r="AB140" s="840"/>
      <c r="AC140" s="840"/>
      <c r="AD140" s="840"/>
      <c r="AE140" s="841"/>
      <c r="AF140" s="841"/>
      <c r="AG140" s="841"/>
      <c r="AH140" s="841"/>
      <c r="AI140" s="841"/>
      <c r="AJ140" s="841"/>
      <c r="AK140" s="923"/>
      <c r="AL140" s="841"/>
      <c r="AM140" s="841"/>
      <c r="AN140" s="841"/>
      <c r="AO140" s="841"/>
      <c r="AP140" s="841"/>
      <c r="AQ140" s="841"/>
      <c r="AR140" s="841"/>
      <c r="AS140" s="841"/>
      <c r="AT140" s="841"/>
      <c r="AU140" s="841"/>
      <c r="AV140" s="841"/>
      <c r="AW140" s="841"/>
      <c r="AX140" s="841"/>
      <c r="AY140" s="1026">
        <f>AY138+AY110</f>
        <v>574595</v>
      </c>
      <c r="AZ140" s="841"/>
      <c r="BA140" s="841"/>
      <c r="BB140" s="841"/>
      <c r="BC140" s="1438"/>
      <c r="BD140" s="841"/>
      <c r="BE140" s="841"/>
      <c r="BT140" s="773"/>
    </row>
    <row r="141" spans="1:72" ht="26.25" customHeight="1">
      <c r="A141" s="924" t="s">
        <v>344</v>
      </c>
      <c r="B141" s="837" t="s">
        <v>672</v>
      </c>
      <c r="C141" s="885"/>
      <c r="D141" s="838"/>
      <c r="E141" s="1042"/>
      <c r="F141" s="1056"/>
      <c r="G141" s="1057"/>
      <c r="H141" s="1040"/>
      <c r="I141" s="1040"/>
      <c r="J141" s="1040"/>
      <c r="K141" s="1040"/>
      <c r="L141" s="1040"/>
      <c r="M141" s="1040"/>
      <c r="N141" s="1040"/>
      <c r="O141" s="1040"/>
      <c r="P141" s="1040"/>
      <c r="Q141" s="1040"/>
      <c r="R141" s="1040"/>
      <c r="S141" s="1040"/>
      <c r="T141" s="1040"/>
      <c r="U141" s="1040"/>
      <c r="V141" s="1040">
        <f>'HK PANEN'!AP60</f>
        <v>875</v>
      </c>
      <c r="W141" s="1040" t="s">
        <v>272</v>
      </c>
      <c r="X141" s="1042"/>
      <c r="Y141" s="1040"/>
      <c r="Z141" s="883"/>
      <c r="AA141" s="840"/>
      <c r="AB141" s="840"/>
      <c r="AC141" s="840"/>
      <c r="AD141" s="840"/>
      <c r="AE141" s="841">
        <f>AE139-AE140</f>
        <v>0</v>
      </c>
      <c r="AF141" s="912"/>
      <c r="AG141" s="912"/>
      <c r="AH141" s="840"/>
      <c r="AI141" s="840"/>
      <c r="AJ141" s="840"/>
      <c r="AK141" s="925"/>
      <c r="AL141" s="912"/>
      <c r="AM141" s="840"/>
      <c r="AN141" s="914"/>
      <c r="AO141" s="840"/>
      <c r="AP141" s="884"/>
      <c r="AQ141" s="884"/>
      <c r="AR141" s="883"/>
      <c r="AS141" s="884"/>
      <c r="AT141" s="883"/>
      <c r="AU141" s="884"/>
      <c r="AV141" s="883"/>
      <c r="AW141" s="883"/>
      <c r="AX141" s="883"/>
      <c r="AY141" s="1042"/>
      <c r="AZ141" s="883"/>
      <c r="BA141" s="883"/>
      <c r="BB141" s="883"/>
      <c r="BD141" s="883"/>
      <c r="BE141" s="883"/>
      <c r="BT141" s="773"/>
    </row>
    <row r="142" spans="1:72" ht="26.25" customHeight="1">
      <c r="A142" s="764" t="s">
        <v>62</v>
      </c>
      <c r="B142" s="964"/>
      <c r="C142" s="835"/>
      <c r="D142" s="770"/>
      <c r="E142" s="883"/>
      <c r="F142" s="958"/>
      <c r="G142" s="839"/>
      <c r="H142" s="840"/>
      <c r="I142" s="840"/>
      <c r="J142" s="840"/>
      <c r="K142" s="840"/>
      <c r="L142" s="840"/>
      <c r="M142" s="840"/>
      <c r="N142" s="840"/>
      <c r="O142" s="840"/>
      <c r="P142" s="840"/>
      <c r="Q142" s="840"/>
      <c r="R142" s="840"/>
      <c r="S142" s="840"/>
      <c r="T142" s="840"/>
      <c r="U142" s="840"/>
      <c r="V142" s="840">
        <f>V140-V141</f>
        <v>0</v>
      </c>
      <c r="W142" s="840"/>
      <c r="X142" s="883"/>
      <c r="Y142" s="840"/>
      <c r="Z142" s="883"/>
      <c r="AA142" s="840"/>
      <c r="AB142" s="840"/>
      <c r="AC142" s="840"/>
      <c r="AD142" s="840"/>
      <c r="AE142" s="841"/>
      <c r="AF142" s="840"/>
      <c r="AG142" s="913"/>
      <c r="AH142" s="912"/>
      <c r="AI142" s="840"/>
      <c r="AJ142" s="914"/>
      <c r="AK142" s="840"/>
      <c r="AL142" s="777"/>
      <c r="AP142" s="884"/>
      <c r="AQ142" s="884"/>
      <c r="AR142" s="883"/>
      <c r="AS142" s="884"/>
      <c r="AT142" s="883"/>
      <c r="AU142" s="884"/>
      <c r="AV142" s="883"/>
      <c r="AW142" s="883"/>
      <c r="AX142" s="883"/>
      <c r="AY142" s="1042"/>
      <c r="AZ142" s="883"/>
      <c r="BA142" s="883"/>
      <c r="BB142" s="883"/>
      <c r="BD142" s="883"/>
      <c r="BE142" s="883"/>
      <c r="BT142" s="773"/>
    </row>
    <row r="143" spans="1:72" s="768" customFormat="1" ht="20.25" customHeight="1">
      <c r="A143" s="774"/>
      <c r="B143" s="964"/>
      <c r="C143" s="915"/>
      <c r="D143" s="770"/>
      <c r="F143" s="789" t="s">
        <v>39</v>
      </c>
      <c r="G143" s="776"/>
      <c r="H143" s="964"/>
      <c r="I143" s="964"/>
      <c r="J143" s="964"/>
      <c r="W143" s="2136" t="s">
        <v>100</v>
      </c>
      <c r="X143" s="2136"/>
      <c r="Y143" s="2136"/>
      <c r="AF143" s="964" t="s">
        <v>40</v>
      </c>
      <c r="AG143" s="964"/>
      <c r="AH143" s="964"/>
      <c r="AI143" s="964"/>
      <c r="AJ143" s="964"/>
      <c r="AK143" s="774"/>
      <c r="AL143" s="773"/>
      <c r="AO143" s="2136" t="s">
        <v>554</v>
      </c>
      <c r="AP143" s="2136"/>
      <c r="AU143" s="2136" t="s">
        <v>61</v>
      </c>
      <c r="AV143" s="2136"/>
      <c r="AW143" s="2136"/>
      <c r="BB143" s="964"/>
      <c r="BC143" s="1430"/>
      <c r="BD143" s="833"/>
      <c r="BE143" s="834"/>
      <c r="BG143" s="772"/>
      <c r="BH143" s="776"/>
      <c r="BI143" s="776"/>
      <c r="BJ143" s="772"/>
      <c r="BK143" s="777"/>
      <c r="BL143" s="777"/>
      <c r="BM143" s="777"/>
      <c r="BN143" s="772"/>
      <c r="BO143" s="772"/>
      <c r="BT143" s="773"/>
    </row>
    <row r="144" spans="1:72" s="768" customFormat="1" ht="22.5" customHeight="1">
      <c r="B144" s="964"/>
      <c r="C144" s="915"/>
      <c r="D144" s="770"/>
      <c r="F144" s="789"/>
      <c r="G144" s="836"/>
      <c r="AF144" s="964"/>
      <c r="AG144" s="964"/>
      <c r="AH144" s="964"/>
      <c r="AJ144" s="964"/>
      <c r="AK144" s="774"/>
      <c r="AL144" s="777"/>
      <c r="AM144" s="773"/>
      <c r="AP144" s="964"/>
      <c r="AQ144" s="964"/>
      <c r="AR144" s="964"/>
      <c r="AU144" s="964"/>
      <c r="AX144" s="964"/>
      <c r="AY144" s="964"/>
      <c r="AZ144" s="964"/>
      <c r="BA144" s="964"/>
      <c r="BB144" s="964"/>
      <c r="BC144" s="1430"/>
      <c r="BD144" s="833"/>
      <c r="BE144" s="834"/>
      <c r="BG144" s="772"/>
      <c r="BH144" s="776"/>
      <c r="BI144" s="776"/>
      <c r="BJ144" s="772"/>
      <c r="BK144" s="777"/>
      <c r="BL144" s="777"/>
      <c r="BM144" s="777"/>
      <c r="BN144" s="772"/>
      <c r="BO144" s="772"/>
      <c r="BT144" s="773"/>
    </row>
    <row r="145" spans="1:76" ht="22.5" customHeight="1">
      <c r="C145" s="916"/>
      <c r="G145" s="839"/>
      <c r="K145" s="768"/>
      <c r="L145" s="768"/>
      <c r="M145" s="768"/>
      <c r="N145" s="768"/>
      <c r="R145" s="768"/>
      <c r="S145" s="768"/>
      <c r="T145" s="964"/>
      <c r="U145" s="964"/>
      <c r="V145" s="832"/>
      <c r="W145" s="768"/>
      <c r="X145" s="832"/>
      <c r="Y145" s="768"/>
      <c r="AE145" s="768"/>
      <c r="AF145" s="832"/>
      <c r="AG145" s="832"/>
      <c r="AH145" s="832"/>
      <c r="AI145" s="768"/>
      <c r="AJ145" s="768"/>
      <c r="AK145" s="774"/>
      <c r="AL145" s="773"/>
      <c r="AM145" s="768"/>
      <c r="AN145" s="768"/>
      <c r="AQ145" s="768"/>
      <c r="AR145" s="768"/>
      <c r="AS145" s="768"/>
      <c r="BB145" s="840"/>
      <c r="BC145" s="1431"/>
      <c r="BD145" s="843"/>
      <c r="BE145" s="845"/>
      <c r="BT145" s="773"/>
    </row>
    <row r="146" spans="1:76" ht="22.5" customHeight="1">
      <c r="C146" s="916"/>
      <c r="K146" s="768"/>
      <c r="L146" s="768"/>
      <c r="M146" s="768"/>
      <c r="N146" s="768"/>
      <c r="R146" s="768"/>
      <c r="S146" s="768"/>
      <c r="T146" s="768"/>
      <c r="U146" s="768"/>
      <c r="V146" s="768"/>
      <c r="W146" s="768"/>
      <c r="X146" s="768"/>
      <c r="Y146" s="768"/>
      <c r="AE146" s="768"/>
      <c r="AF146" s="768"/>
      <c r="AG146" s="768"/>
      <c r="AH146" s="768"/>
      <c r="AI146" s="775"/>
      <c r="AJ146" s="768"/>
      <c r="AK146" s="917"/>
      <c r="AL146" s="773"/>
      <c r="AM146" s="768"/>
      <c r="AN146" s="768"/>
      <c r="AO146" s="841"/>
      <c r="AQ146" s="768"/>
      <c r="AR146" s="768"/>
      <c r="AS146" s="768"/>
      <c r="AU146" s="841"/>
      <c r="BC146" s="1431"/>
      <c r="BT146" s="773"/>
    </row>
    <row r="147" spans="1:76" ht="18.75" customHeight="1">
      <c r="C147" s="848"/>
      <c r="D147" s="849"/>
      <c r="F147" s="918" t="s">
        <v>193</v>
      </c>
      <c r="G147" s="918"/>
      <c r="H147" s="1234"/>
      <c r="I147" s="1234"/>
      <c r="J147" s="1234"/>
      <c r="K147" s="768"/>
      <c r="L147" s="768"/>
      <c r="M147" s="768"/>
      <c r="N147" s="768"/>
      <c r="R147" s="850"/>
      <c r="S147" s="850"/>
      <c r="T147" s="850"/>
      <c r="U147" s="850"/>
      <c r="V147" s="850"/>
      <c r="W147" s="2137" t="s">
        <v>274</v>
      </c>
      <c r="X147" s="2137"/>
      <c r="Y147" s="2137"/>
      <c r="AE147" s="768"/>
      <c r="AF147" s="1234" t="s">
        <v>203</v>
      </c>
      <c r="AG147" s="1234"/>
      <c r="AH147" s="1234"/>
      <c r="AI147" s="1234"/>
      <c r="AJ147" s="1234"/>
      <c r="AK147" s="887"/>
      <c r="AL147" s="768"/>
      <c r="AM147" s="768"/>
      <c r="AN147" s="851"/>
      <c r="AO147" s="2138" t="s">
        <v>622</v>
      </c>
      <c r="AP147" s="2138"/>
      <c r="AQ147" s="852"/>
      <c r="AR147" s="852"/>
      <c r="AS147" s="768"/>
      <c r="AU147" s="2135" t="s">
        <v>586</v>
      </c>
      <c r="AV147" s="2135"/>
      <c r="AW147" s="2135"/>
      <c r="AX147" s="851"/>
      <c r="AY147" s="851"/>
      <c r="AZ147" s="851"/>
      <c r="BA147" s="852"/>
      <c r="BB147" s="1139"/>
      <c r="BT147" s="773"/>
    </row>
    <row r="148" spans="1:76" ht="18.75" customHeight="1">
      <c r="F148" s="945" t="s">
        <v>151</v>
      </c>
      <c r="G148" s="766"/>
      <c r="H148" s="1162"/>
      <c r="I148" s="1162"/>
      <c r="J148" s="1162"/>
      <c r="K148" s="768"/>
      <c r="L148" s="768"/>
      <c r="M148" s="768"/>
      <c r="N148" s="768"/>
      <c r="W148" s="2133" t="s">
        <v>134</v>
      </c>
      <c r="X148" s="2133"/>
      <c r="Y148" s="2133"/>
      <c r="AF148" s="1162" t="s">
        <v>135</v>
      </c>
      <c r="AG148" s="1162"/>
      <c r="AH148" s="1162"/>
      <c r="AI148" s="1162"/>
      <c r="AJ148" s="1162"/>
      <c r="AO148" s="2134" t="s">
        <v>623</v>
      </c>
      <c r="AP148" s="2134"/>
      <c r="AU148" s="2133" t="s">
        <v>585</v>
      </c>
      <c r="AV148" s="2133"/>
      <c r="AW148" s="2133"/>
      <c r="BB148" s="1162"/>
      <c r="BT148" s="773"/>
    </row>
    <row r="149" spans="1:76">
      <c r="A149" s="930"/>
      <c r="C149" s="835"/>
      <c r="D149" s="931"/>
      <c r="K149" s="768"/>
      <c r="L149" s="768"/>
      <c r="M149" s="768"/>
      <c r="N149" s="768"/>
      <c r="O149" s="768"/>
      <c r="P149" s="768"/>
      <c r="Q149" s="768"/>
      <c r="R149" s="768"/>
      <c r="S149" s="768"/>
      <c r="T149" s="768"/>
      <c r="U149" s="768"/>
      <c r="V149" s="768"/>
      <c r="W149" s="768"/>
      <c r="X149" s="768"/>
      <c r="Y149" s="768"/>
      <c r="Z149" s="768"/>
      <c r="AA149" s="768"/>
      <c r="AB149" s="768"/>
      <c r="AC149" s="768"/>
      <c r="AD149" s="768"/>
      <c r="AE149" s="768"/>
      <c r="AF149" s="768"/>
      <c r="AG149" s="768"/>
      <c r="AH149" s="768"/>
      <c r="AI149" s="768"/>
      <c r="AJ149" s="768"/>
      <c r="AK149" s="774"/>
      <c r="AL149" s="768"/>
      <c r="AM149" s="768"/>
      <c r="AN149" s="768"/>
      <c r="AO149" s="768"/>
      <c r="AP149" s="768"/>
      <c r="AQ149" s="768"/>
      <c r="AR149" s="768"/>
      <c r="AS149" s="768"/>
      <c r="AT149" s="768"/>
    </row>
    <row r="150" spans="1:76">
      <c r="A150" s="932"/>
      <c r="B150" s="964"/>
      <c r="D150" s="931"/>
    </row>
    <row r="151" spans="1:76">
      <c r="A151" s="933"/>
      <c r="B151" s="964"/>
      <c r="D151" s="931"/>
    </row>
    <row r="152" spans="1:76">
      <c r="A152" s="932"/>
      <c r="B152" s="964"/>
      <c r="D152" s="770"/>
    </row>
    <row r="153" spans="1:76" s="940" customFormat="1">
      <c r="A153" s="934" t="e">
        <f>#REF!+A68+#REF!</f>
        <v>#REF!</v>
      </c>
      <c r="B153" s="935"/>
      <c r="C153" s="936"/>
      <c r="D153" s="937"/>
      <c r="E153" s="934">
        <f t="shared" ref="E153:AE153" si="193">E42+E69+E110+E138</f>
        <v>1495</v>
      </c>
      <c r="F153" s="938">
        <f t="shared" si="193"/>
        <v>9174620</v>
      </c>
      <c r="G153" s="938">
        <f t="shared" si="193"/>
        <v>193183900</v>
      </c>
      <c r="H153" s="934">
        <f t="shared" si="193"/>
        <v>40</v>
      </c>
      <c r="I153" s="934">
        <f t="shared" si="193"/>
        <v>5168800</v>
      </c>
      <c r="J153" s="934">
        <f t="shared" si="193"/>
        <v>64</v>
      </c>
      <c r="K153" s="934">
        <f t="shared" si="193"/>
        <v>8270080</v>
      </c>
      <c r="L153" s="934">
        <f t="shared" si="193"/>
        <v>24</v>
      </c>
      <c r="M153" s="934">
        <f t="shared" si="193"/>
        <v>3101280</v>
      </c>
      <c r="N153" s="934">
        <f t="shared" si="193"/>
        <v>275</v>
      </c>
      <c r="O153" s="934">
        <f t="shared" si="193"/>
        <v>35535500</v>
      </c>
      <c r="P153" s="934">
        <f t="shared" si="193"/>
        <v>204</v>
      </c>
      <c r="Q153" s="934">
        <f t="shared" si="193"/>
        <v>26360880</v>
      </c>
      <c r="R153" s="934">
        <f t="shared" si="193"/>
        <v>0</v>
      </c>
      <c r="S153" s="934">
        <f t="shared" si="193"/>
        <v>0</v>
      </c>
      <c r="T153" s="934">
        <f t="shared" si="193"/>
        <v>0</v>
      </c>
      <c r="U153" s="934">
        <f t="shared" si="193"/>
        <v>0</v>
      </c>
      <c r="V153" s="934">
        <f t="shared" si="193"/>
        <v>2102</v>
      </c>
      <c r="W153" s="934">
        <f t="shared" si="193"/>
        <v>235750</v>
      </c>
      <c r="X153" s="934">
        <f t="shared" si="193"/>
        <v>7070050</v>
      </c>
      <c r="Y153" s="934">
        <f t="shared" si="193"/>
        <v>43500</v>
      </c>
      <c r="Z153" s="934">
        <f t="shared" si="193"/>
        <v>315</v>
      </c>
      <c r="AA153" s="934">
        <f>AA42+AA69+AA110+AA138</f>
        <v>908500</v>
      </c>
      <c r="AB153" s="934">
        <f t="shared" si="193"/>
        <v>132500</v>
      </c>
      <c r="AC153" s="934">
        <f t="shared" si="193"/>
        <v>570</v>
      </c>
      <c r="AD153" s="934">
        <f t="shared" si="193"/>
        <v>1585500</v>
      </c>
      <c r="AE153" s="934">
        <f t="shared" si="193"/>
        <v>30934369.789999999</v>
      </c>
      <c r="AF153" s="934">
        <f>AF42+AF110+AF138</f>
        <v>8631712</v>
      </c>
      <c r="AG153" s="934">
        <f>AG42+AG110+AG138</f>
        <v>7453250</v>
      </c>
      <c r="AH153" s="934">
        <f>AH42+AH110+AH138</f>
        <v>10981900</v>
      </c>
      <c r="AI153" s="934">
        <f>AI110+AI138</f>
        <v>2250000</v>
      </c>
      <c r="AJ153" s="934">
        <f>AJ110+AJ138+AL42</f>
        <v>0</v>
      </c>
      <c r="AK153" s="939">
        <f>AK42</f>
        <v>909000</v>
      </c>
      <c r="AL153" s="934">
        <f>AL69+AL110+AL138</f>
        <v>250000</v>
      </c>
      <c r="AM153" s="934">
        <f>AM42+AM69+AM110+AM138</f>
        <v>0</v>
      </c>
      <c r="AN153" s="934">
        <f>AN42+AN110+AN138</f>
        <v>921458</v>
      </c>
      <c r="AO153" s="934">
        <f t="shared" ref="AO153:BS153" si="194">AO42+AO69+AO110+AO138</f>
        <v>351149113.29000002</v>
      </c>
      <c r="AP153" s="934">
        <f t="shared" si="194"/>
        <v>5504772</v>
      </c>
      <c r="AQ153" s="934">
        <f t="shared" si="194"/>
        <v>12495832.440000001</v>
      </c>
      <c r="AR153" s="934">
        <f t="shared" si="194"/>
        <v>18000604.439999998</v>
      </c>
      <c r="AS153" s="934">
        <f t="shared" si="194"/>
        <v>2729475</v>
      </c>
      <c r="AT153" s="934">
        <f t="shared" si="194"/>
        <v>10917900</v>
      </c>
      <c r="AU153" s="934">
        <f t="shared" si="194"/>
        <v>2752386</v>
      </c>
      <c r="AV153" s="934">
        <f t="shared" si="194"/>
        <v>5504772</v>
      </c>
      <c r="AW153" s="934">
        <f t="shared" si="194"/>
        <v>21904533</v>
      </c>
      <c r="AX153" s="934">
        <f t="shared" si="194"/>
        <v>252000</v>
      </c>
      <c r="AY153" s="934">
        <f t="shared" si="194"/>
        <v>1748017</v>
      </c>
      <c r="AZ153" s="934">
        <f t="shared" si="194"/>
        <v>0</v>
      </c>
      <c r="BA153" s="934">
        <f t="shared" si="194"/>
        <v>0</v>
      </c>
      <c r="BB153" s="934">
        <f t="shared" si="194"/>
        <v>0</v>
      </c>
      <c r="BC153" s="1422">
        <f t="shared" si="194"/>
        <v>338162463.29000002</v>
      </c>
      <c r="BD153" s="934">
        <f t="shared" si="194"/>
        <v>9</v>
      </c>
      <c r="BE153" s="934">
        <f t="shared" si="194"/>
        <v>20</v>
      </c>
      <c r="BF153" s="934"/>
      <c r="BG153" s="934">
        <f t="shared" si="194"/>
        <v>271620440</v>
      </c>
      <c r="BH153" s="934">
        <f t="shared" si="194"/>
        <v>1162980</v>
      </c>
      <c r="BI153" s="934">
        <f t="shared" si="194"/>
        <v>2584400</v>
      </c>
      <c r="BJ153" s="934">
        <f t="shared" si="194"/>
        <v>-3747380</v>
      </c>
      <c r="BK153" s="934">
        <f>BK42+BK69+BK110+BK138</f>
        <v>275367820</v>
      </c>
      <c r="BL153" s="934">
        <f t="shared" si="194"/>
        <v>9045400</v>
      </c>
      <c r="BM153" s="934">
        <f t="shared" si="194"/>
        <v>108516392.50999999</v>
      </c>
      <c r="BN153" s="934">
        <f t="shared" si="194"/>
        <v>2661680.9991600001</v>
      </c>
      <c r="BO153" s="934">
        <f t="shared" si="194"/>
        <v>28894109.120000008</v>
      </c>
      <c r="BP153" s="934">
        <f t="shared" si="194"/>
        <v>0</v>
      </c>
      <c r="BQ153" s="934">
        <f t="shared" si="194"/>
        <v>7654573</v>
      </c>
      <c r="BR153" s="934">
        <f t="shared" si="194"/>
        <v>0</v>
      </c>
      <c r="BS153" s="934">
        <f t="shared" si="194"/>
        <v>0</v>
      </c>
      <c r="BT153" s="934">
        <f>BT42+BT69+BT110+BT138+AF40</f>
        <v>8666832</v>
      </c>
      <c r="BU153" s="934">
        <f>BU42+BU69+BU110+BU138</f>
        <v>0</v>
      </c>
      <c r="BV153" s="934">
        <f>BV42+BV69+BV110+BV138</f>
        <v>0</v>
      </c>
      <c r="BW153" s="934">
        <f>BW42+BW69+BW110+BW138</f>
        <v>0</v>
      </c>
      <c r="BX153" s="934">
        <f>BX42+BX69+BX110+BX138</f>
        <v>0</v>
      </c>
    </row>
    <row r="154" spans="1:76" s="846" customFormat="1">
      <c r="A154" s="771"/>
      <c r="B154" s="888"/>
      <c r="C154" s="778"/>
      <c r="D154" s="770"/>
      <c r="F154" s="941"/>
      <c r="G154" s="941"/>
      <c r="V154" s="846">
        <f>'HK UP KEEP, OP '!AR43</f>
        <v>0</v>
      </c>
      <c r="W154" s="846" t="s">
        <v>696</v>
      </c>
      <c r="AA154" s="846">
        <v>853500</v>
      </c>
      <c r="AE154" s="941">
        <f>'LEMBUR DAN PREMI UPKEEP'!AJ35+'LEMBUR DAN PREMI UPKEEP'!AJ69+'LEMBUR DAN PREMI UPKEEP'!AJ97</f>
        <v>30934369.789999999</v>
      </c>
      <c r="AF154" s="942">
        <f>'MONITORING '!AK521</f>
        <v>8631712</v>
      </c>
      <c r="AG154" s="942">
        <f>'MONITORING '!AK522</f>
        <v>7453250</v>
      </c>
      <c r="AH154" s="943">
        <f>'[2]PENGAJUAN PRUNING MEI 2025'!$P$36</f>
        <v>10981900</v>
      </c>
      <c r="AI154" s="943">
        <f>'INSETIF MEI''25'!L43</f>
        <v>3600000</v>
      </c>
      <c r="AJ154" s="944"/>
      <c r="AK154" s="944">
        <f>'LEMBUR DAN PREMI UPKEEP'!AK125</f>
        <v>0</v>
      </c>
      <c r="AL154" s="944"/>
      <c r="AM154" s="944"/>
      <c r="AN154" s="942">
        <f>'MONITORING '!AK523</f>
        <v>921458</v>
      </c>
      <c r="AO154" s="942"/>
      <c r="AX154" s="846">
        <v>264000</v>
      </c>
      <c r="AY154" s="942">
        <f>'[3]PPH 21 MEI 2025+EXGRATIA 2024'!$AO$88</f>
        <v>1748017</v>
      </c>
      <c r="BA154" s="941">
        <f>'[3]PPH 21 THR + GAJI MARET'!$AR$80</f>
        <v>-346672</v>
      </c>
      <c r="BC154" s="1444">
        <f>'BRI MEI 2025'!C81</f>
        <v>338162463.29000002</v>
      </c>
      <c r="BE154" s="919"/>
      <c r="BG154" s="941"/>
      <c r="BH154" s="945"/>
      <c r="BI154" s="945"/>
      <c r="BJ154" s="941"/>
      <c r="BK154" s="943"/>
      <c r="BL154" s="943"/>
      <c r="BM154" s="943"/>
      <c r="BN154" s="941"/>
      <c r="BO154" s="941"/>
      <c r="BS154" s="771"/>
      <c r="BT154" s="771"/>
    </row>
    <row r="155" spans="1:76" s="821" customFormat="1">
      <c r="A155" s="770"/>
      <c r="B155" s="946"/>
      <c r="C155" s="927"/>
      <c r="D155" s="947"/>
      <c r="F155" s="825"/>
      <c r="G155" s="825"/>
      <c r="V155" s="948">
        <f>'HK PANEN'!AP60+'HK UP KEEP, OP '!AR72+'HK UP KEEP, OP '!AR41</f>
        <v>2102</v>
      </c>
      <c r="W155" s="821" t="s">
        <v>272</v>
      </c>
      <c r="AA155" s="949">
        <f>AA153-AA154</f>
        <v>55000</v>
      </c>
      <c r="AD155" s="949">
        <f>AD153-AD154</f>
        <v>1585500</v>
      </c>
      <c r="AE155" s="949">
        <f t="shared" ref="AE155:AK155" si="195">AE153-AE154</f>
        <v>0</v>
      </c>
      <c r="AF155" s="949">
        <f>AF153-AF154</f>
        <v>0</v>
      </c>
      <c r="AG155" s="949">
        <f t="shared" si="195"/>
        <v>0</v>
      </c>
      <c r="AH155" s="949">
        <f t="shared" si="195"/>
        <v>0</v>
      </c>
      <c r="AI155" s="949">
        <f t="shared" si="195"/>
        <v>-1350000</v>
      </c>
      <c r="AJ155" s="949">
        <f t="shared" si="195"/>
        <v>0</v>
      </c>
      <c r="AK155" s="949">
        <f t="shared" si="195"/>
        <v>909000</v>
      </c>
      <c r="AL155" s="949"/>
      <c r="AM155" s="949"/>
      <c r="AN155" s="949">
        <f>AN153-AN154</f>
        <v>0</v>
      </c>
      <c r="AO155" s="949"/>
      <c r="AX155" s="949">
        <f>AX153-AX154</f>
        <v>-12000</v>
      </c>
      <c r="AY155" s="949">
        <f>AY153-AY154</f>
        <v>0</v>
      </c>
      <c r="BA155" s="949">
        <f>BA153-BA154</f>
        <v>346672</v>
      </c>
      <c r="BC155" s="1444">
        <f>BC153-BC154</f>
        <v>0</v>
      </c>
      <c r="BE155" s="926"/>
      <c r="BG155" s="825"/>
      <c r="BH155" s="928"/>
      <c r="BI155" s="928"/>
      <c r="BJ155" s="825"/>
      <c r="BK155" s="929"/>
      <c r="BL155" s="929"/>
      <c r="BM155" s="929"/>
      <c r="BN155" s="825"/>
      <c r="BO155" s="825"/>
      <c r="BS155" s="770"/>
      <c r="BT155" s="770"/>
    </row>
    <row r="156" spans="1:76">
      <c r="A156" s="768"/>
      <c r="B156" s="964"/>
      <c r="D156" s="770"/>
      <c r="G156" s="941">
        <f>G153+I153+K153+M153+O153+Q153+S153+U153</f>
        <v>271620440</v>
      </c>
      <c r="V156" s="948">
        <f>V153-V154-V155</f>
        <v>0</v>
      </c>
      <c r="W156" s="846" t="s">
        <v>275</v>
      </c>
      <c r="AF156" s="841"/>
      <c r="AY156" s="841"/>
    </row>
    <row r="157" spans="1:76">
      <c r="A157" s="768"/>
      <c r="B157" s="964"/>
      <c r="D157" s="770"/>
      <c r="AF157" s="841">
        <f>AF153+AI154</f>
        <v>12231712</v>
      </c>
      <c r="AH157" s="820">
        <f>AH154-AH156</f>
        <v>10981900</v>
      </c>
    </row>
    <row r="158" spans="1:76">
      <c r="A158" s="768"/>
      <c r="B158" s="964"/>
      <c r="D158" s="770"/>
    </row>
    <row r="159" spans="1:76">
      <c r="A159" s="764" t="s">
        <v>214</v>
      </c>
      <c r="D159" s="770"/>
      <c r="F159" s="765"/>
      <c r="G159" s="764"/>
      <c r="AF159" s="841">
        <f>AF153+AI153</f>
        <v>10881712</v>
      </c>
      <c r="BE159" s="764"/>
    </row>
    <row r="161" spans="32:32">
      <c r="AF161" s="820">
        <f>AF138+AI138+AF110+AI110</f>
        <v>10803515</v>
      </c>
    </row>
  </sheetData>
  <autoFilter ref="AC1:AC159" xr:uid="{00000000-0009-0000-0000-00000A000000}"/>
  <mergeCells count="212">
    <mergeCell ref="Z128:AA128"/>
    <mergeCell ref="AC128:AD128"/>
    <mergeCell ref="AB85:AD85"/>
    <mergeCell ref="T128:U128"/>
    <mergeCell ref="A126:A129"/>
    <mergeCell ref="B126:B129"/>
    <mergeCell ref="A112:E112"/>
    <mergeCell ref="L127:M127"/>
    <mergeCell ref="H128:I128"/>
    <mergeCell ref="V126:V129"/>
    <mergeCell ref="W126:AD126"/>
    <mergeCell ref="Y127:AA127"/>
    <mergeCell ref="L128:M128"/>
    <mergeCell ref="N128:O128"/>
    <mergeCell ref="R128:S128"/>
    <mergeCell ref="J85:K85"/>
    <mergeCell ref="B84:B87"/>
    <mergeCell ref="J128:K128"/>
    <mergeCell ref="A84:A87"/>
    <mergeCell ref="C84:C87"/>
    <mergeCell ref="H84:U84"/>
    <mergeCell ref="R85:S85"/>
    <mergeCell ref="T85:U85"/>
    <mergeCell ref="H86:I86"/>
    <mergeCell ref="AY5:AY8"/>
    <mergeCell ref="Y6:AA6"/>
    <mergeCell ref="AB6:AD6"/>
    <mergeCell ref="H7:I7"/>
    <mergeCell ref="J7:K7"/>
    <mergeCell ref="AM5:AM7"/>
    <mergeCell ref="AN5:AN7"/>
    <mergeCell ref="A1:BE1"/>
    <mergeCell ref="A2:BE2"/>
    <mergeCell ref="A5:A8"/>
    <mergeCell ref="B5:B8"/>
    <mergeCell ref="C5:C8"/>
    <mergeCell ref="H5:U5"/>
    <mergeCell ref="W5:AD5"/>
    <mergeCell ref="AE5:AE7"/>
    <mergeCell ref="T7:U7"/>
    <mergeCell ref="Z7:AA7"/>
    <mergeCell ref="AC7:AD7"/>
    <mergeCell ref="BD7:BD8"/>
    <mergeCell ref="BE7:BE8"/>
    <mergeCell ref="AZ5:AZ8"/>
    <mergeCell ref="BA5:BA8"/>
    <mergeCell ref="BB5:BB8"/>
    <mergeCell ref="BD5:BE6"/>
    <mergeCell ref="E50:G50"/>
    <mergeCell ref="AV50:AX50"/>
    <mergeCell ref="AO45:AP45"/>
    <mergeCell ref="AO49:AP49"/>
    <mergeCell ref="AO50:AP50"/>
    <mergeCell ref="AS5:AW6"/>
    <mergeCell ref="AF5:AL6"/>
    <mergeCell ref="M50:O50"/>
    <mergeCell ref="AP5:AR6"/>
    <mergeCell ref="Z49:AB49"/>
    <mergeCell ref="AV45:AX45"/>
    <mergeCell ref="AV49:AX49"/>
    <mergeCell ref="Z45:AB45"/>
    <mergeCell ref="Z50:AB50"/>
    <mergeCell ref="A42:D42"/>
    <mergeCell ref="T6:U6"/>
    <mergeCell ref="W6:X6"/>
    <mergeCell ref="M49:O49"/>
    <mergeCell ref="L7:M7"/>
    <mergeCell ref="N7:O7"/>
    <mergeCell ref="P7:Q7"/>
    <mergeCell ref="R7:S7"/>
    <mergeCell ref="P6:Q6"/>
    <mergeCell ref="R6:S6"/>
    <mergeCell ref="H6:I6"/>
    <mergeCell ref="J6:K6"/>
    <mergeCell ref="L6:M6"/>
    <mergeCell ref="N6:O6"/>
    <mergeCell ref="M45:O45"/>
    <mergeCell ref="V5:V8"/>
    <mergeCell ref="E45:G45"/>
    <mergeCell ref="E49:G49"/>
    <mergeCell ref="A44:D44"/>
    <mergeCell ref="W57:AD57"/>
    <mergeCell ref="AF57:AM58"/>
    <mergeCell ref="R58:S58"/>
    <mergeCell ref="T58:U58"/>
    <mergeCell ref="A79:BE79"/>
    <mergeCell ref="A80:BE80"/>
    <mergeCell ref="AY84:AY87"/>
    <mergeCell ref="AS84:AW85"/>
    <mergeCell ref="W84:AD84"/>
    <mergeCell ref="W85:X85"/>
    <mergeCell ref="Y85:AA85"/>
    <mergeCell ref="L85:M85"/>
    <mergeCell ref="N85:O85"/>
    <mergeCell ref="P85:Q85"/>
    <mergeCell ref="Y78:AB78"/>
    <mergeCell ref="Y77:AB77"/>
    <mergeCell ref="Y73:AB73"/>
    <mergeCell ref="A57:A60"/>
    <mergeCell ref="B57:B60"/>
    <mergeCell ref="E78:G78"/>
    <mergeCell ref="J58:K58"/>
    <mergeCell ref="L58:M58"/>
    <mergeCell ref="V57:V60"/>
    <mergeCell ref="E77:G77"/>
    <mergeCell ref="A53:BE53"/>
    <mergeCell ref="A54:BE54"/>
    <mergeCell ref="BD59:BD60"/>
    <mergeCell ref="BE59:BE60"/>
    <mergeCell ref="J59:K59"/>
    <mergeCell ref="L59:M59"/>
    <mergeCell ref="N59:O59"/>
    <mergeCell ref="P59:Q59"/>
    <mergeCell ref="R59:S59"/>
    <mergeCell ref="BA57:BA60"/>
    <mergeCell ref="BB57:BB60"/>
    <mergeCell ref="BD57:BE58"/>
    <mergeCell ref="AS57:AW58"/>
    <mergeCell ref="AY57:AY60"/>
    <mergeCell ref="AZ57:AZ60"/>
    <mergeCell ref="AE57:AE59"/>
    <mergeCell ref="Z59:AA59"/>
    <mergeCell ref="AC59:AD59"/>
    <mergeCell ref="P58:Q58"/>
    <mergeCell ref="AN57:AN59"/>
    <mergeCell ref="AP57:AR58"/>
    <mergeCell ref="W58:X58"/>
    <mergeCell ref="Y58:AA58"/>
    <mergeCell ref="AB58:AD58"/>
    <mergeCell ref="AU120:AW120"/>
    <mergeCell ref="AB127:AD127"/>
    <mergeCell ref="AP126:AR127"/>
    <mergeCell ref="AS126:AW127"/>
    <mergeCell ref="AO73:AP73"/>
    <mergeCell ref="AO77:AP77"/>
    <mergeCell ref="BE86:BE87"/>
    <mergeCell ref="E73:G73"/>
    <mergeCell ref="BD86:BD87"/>
    <mergeCell ref="BD84:BE85"/>
    <mergeCell ref="BB84:BB87"/>
    <mergeCell ref="BA84:BA87"/>
    <mergeCell ref="H126:U126"/>
    <mergeCell ref="N127:O127"/>
    <mergeCell ref="P127:Q127"/>
    <mergeCell ref="R127:S127"/>
    <mergeCell ref="T127:U127"/>
    <mergeCell ref="W127:X127"/>
    <mergeCell ref="BE128:BE129"/>
    <mergeCell ref="P128:Q128"/>
    <mergeCell ref="BD128:BD129"/>
    <mergeCell ref="AE126:AE128"/>
    <mergeCell ref="AF126:AK127"/>
    <mergeCell ref="AL126:AL128"/>
    <mergeCell ref="AM126:AM128"/>
    <mergeCell ref="AZ84:AZ87"/>
    <mergeCell ref="W120:Y120"/>
    <mergeCell ref="W119:Y119"/>
    <mergeCell ref="W115:Y115"/>
    <mergeCell ref="AP84:AR85"/>
    <mergeCell ref="AN84:AN86"/>
    <mergeCell ref="AO115:AP115"/>
    <mergeCell ref="AO119:AP119"/>
    <mergeCell ref="AO120:AP120"/>
    <mergeCell ref="AM84:AM86"/>
    <mergeCell ref="AF84:AK85"/>
    <mergeCell ref="AE84:AE86"/>
    <mergeCell ref="Z86:AA86"/>
    <mergeCell ref="AC86:AD86"/>
    <mergeCell ref="AN126:AN128"/>
    <mergeCell ref="AU119:AW119"/>
    <mergeCell ref="AU115:AW115"/>
    <mergeCell ref="C57:C60"/>
    <mergeCell ref="J86:K86"/>
    <mergeCell ref="L86:M86"/>
    <mergeCell ref="N86:O86"/>
    <mergeCell ref="P86:Q86"/>
    <mergeCell ref="R86:S86"/>
    <mergeCell ref="T86:U86"/>
    <mergeCell ref="H85:I85"/>
    <mergeCell ref="H58:I58"/>
    <mergeCell ref="O77:Q77"/>
    <mergeCell ref="O73:Q73"/>
    <mergeCell ref="O78:Q78"/>
    <mergeCell ref="T59:U59"/>
    <mergeCell ref="N58:O58"/>
    <mergeCell ref="A69:D69"/>
    <mergeCell ref="H59:I59"/>
    <mergeCell ref="H57:U57"/>
    <mergeCell ref="W148:Y148"/>
    <mergeCell ref="AO148:AP148"/>
    <mergeCell ref="AU148:AW148"/>
    <mergeCell ref="AU78:AV78"/>
    <mergeCell ref="AU77:AV77"/>
    <mergeCell ref="AU73:AV73"/>
    <mergeCell ref="W143:Y143"/>
    <mergeCell ref="AO143:AP143"/>
    <mergeCell ref="AU143:AW143"/>
    <mergeCell ref="W147:Y147"/>
    <mergeCell ref="AO147:AP147"/>
    <mergeCell ref="AU147:AW147"/>
    <mergeCell ref="A122:BE122"/>
    <mergeCell ref="A121:BE121"/>
    <mergeCell ref="C126:C129"/>
    <mergeCell ref="AY126:AY129"/>
    <mergeCell ref="AZ126:AZ129"/>
    <mergeCell ref="BA126:BA129"/>
    <mergeCell ref="BB126:BB129"/>
    <mergeCell ref="BD126:BE127"/>
    <mergeCell ref="H127:I127"/>
    <mergeCell ref="J127:K127"/>
    <mergeCell ref="AO78:AP78"/>
    <mergeCell ref="V84:V87"/>
  </mergeCells>
  <printOptions horizontalCentered="1"/>
  <pageMargins left="0.23622047244094491" right="0.23622047244094491" top="0.27" bottom="0.74803149606299213" header="0.31496062992125984" footer="0.31496062992125984"/>
  <pageSetup paperSize="9" orientation="landscape" horizontalDpi="300" verticalDpi="300" r:id="rId1"/>
  <headerFooter alignWithMargins="0"/>
  <rowBreaks count="3" manualBreakCount="3">
    <brk id="50" max="16383" man="1"/>
    <brk id="78" max="16383" man="1"/>
    <brk id="120" max="56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93"/>
  <sheetViews>
    <sheetView zoomScale="80" zoomScaleNormal="80" zoomScaleSheetLayoutView="87" workbookViewId="0">
      <pane xSplit="4" ySplit="5" topLeftCell="E73" activePane="bottomRight" state="frozen"/>
      <selection pane="topRight" activeCell="E1" sqref="E1"/>
      <selection pane="bottomLeft" activeCell="A6" sqref="A6"/>
      <selection pane="bottomRight" activeCell="K90" sqref="K90"/>
    </sheetView>
  </sheetViews>
  <sheetFormatPr defaultColWidth="9.140625" defaultRowHeight="15"/>
  <cols>
    <col min="1" max="1" width="6.42578125" style="966" customWidth="1"/>
    <col min="2" max="2" width="23" style="967" customWidth="1"/>
    <col min="3" max="3" width="18.7109375" style="767" customWidth="1"/>
    <col min="4" max="4" width="8.5703125" style="767" customWidth="1"/>
    <col min="5" max="5" width="28.5703125" style="966" customWidth="1"/>
    <col min="6" max="6" width="32.42578125" style="966" customWidth="1"/>
    <col min="7" max="7" width="21.28515625" style="765" customWidth="1"/>
    <col min="8" max="8" width="16.42578125" style="966" customWidth="1"/>
    <col min="9" max="9" width="32.42578125" style="966" customWidth="1"/>
    <col min="10" max="10" width="21.28515625" style="966" customWidth="1"/>
    <col min="11" max="19" width="13.5703125" style="966" customWidth="1"/>
    <col min="20" max="20" width="20.42578125" style="966" customWidth="1"/>
    <col min="21" max="21" width="23.140625" style="966" customWidth="1"/>
    <col min="22" max="22" width="18.140625" style="966" customWidth="1"/>
    <col min="23" max="23" width="9.140625" style="966"/>
    <col min="24" max="24" width="17" style="765" customWidth="1"/>
    <col min="25" max="25" width="17.85546875" style="966" customWidth="1"/>
    <col min="26" max="26" width="13.5703125" style="966" bestFit="1" customWidth="1"/>
    <col min="27" max="16384" width="9.140625" style="966"/>
  </cols>
  <sheetData>
    <row r="1" spans="1:26" ht="15.75" customHeight="1">
      <c r="A1" s="2302" t="s">
        <v>156</v>
      </c>
      <c r="B1" s="2302"/>
      <c r="C1" s="2302"/>
      <c r="D1" s="2302"/>
      <c r="E1" s="2302"/>
      <c r="F1" s="2302"/>
      <c r="G1" s="965"/>
      <c r="H1" s="965"/>
      <c r="I1" s="1013"/>
    </row>
    <row r="2" spans="1:26" ht="15.75" customHeight="1">
      <c r="A2" s="2302" t="s">
        <v>157</v>
      </c>
      <c r="B2" s="2302"/>
      <c r="C2" s="2302"/>
      <c r="D2" s="2302"/>
      <c r="E2" s="2302"/>
      <c r="F2" s="2302"/>
      <c r="G2" s="965"/>
      <c r="H2" s="965"/>
      <c r="I2" s="1013"/>
    </row>
    <row r="3" spans="1:26" ht="15.75" customHeight="1">
      <c r="A3" s="2303" t="s">
        <v>966</v>
      </c>
      <c r="B3" s="2303"/>
      <c r="C3" s="2303"/>
      <c r="D3" s="2303"/>
      <c r="E3" s="2303"/>
      <c r="F3" s="2303"/>
      <c r="G3" s="1411"/>
      <c r="H3" s="1411"/>
      <c r="I3" s="1163"/>
    </row>
    <row r="4" spans="1:26" ht="5.25" customHeight="1" thickBot="1"/>
    <row r="5" spans="1:26" s="965" customFormat="1" ht="33.75" customHeight="1" thickBot="1">
      <c r="A5" s="1335" t="s">
        <v>158</v>
      </c>
      <c r="B5" s="968" t="s">
        <v>48</v>
      </c>
      <c r="C5" s="969" t="s">
        <v>228</v>
      </c>
      <c r="D5" s="969" t="s">
        <v>52</v>
      </c>
      <c r="E5" s="968" t="s">
        <v>49</v>
      </c>
      <c r="F5" s="970" t="s">
        <v>51</v>
      </c>
      <c r="G5" s="1174" t="s">
        <v>772</v>
      </c>
      <c r="H5" s="970" t="s">
        <v>231</v>
      </c>
      <c r="I5" s="1013"/>
      <c r="T5" s="1013" t="s">
        <v>588</v>
      </c>
      <c r="U5" s="1013" t="s">
        <v>769</v>
      </c>
      <c r="V5" s="1013" t="s">
        <v>231</v>
      </c>
      <c r="X5" s="772" t="s">
        <v>771</v>
      </c>
    </row>
    <row r="6" spans="1:26" ht="29.25" customHeight="1">
      <c r="A6" s="971" t="s">
        <v>63</v>
      </c>
      <c r="B6" s="972" t="s">
        <v>454</v>
      </c>
      <c r="C6" s="1008">
        <f>'DAFTAR UPAH MEI 2025'!BC9</f>
        <v>3595033.14</v>
      </c>
      <c r="D6" s="973" t="s">
        <v>451</v>
      </c>
      <c r="E6" s="974" t="s">
        <v>455</v>
      </c>
      <c r="F6" s="1412" t="s">
        <v>159</v>
      </c>
      <c r="G6" s="1175">
        <v>3595033</v>
      </c>
      <c r="H6" s="1172">
        <f t="shared" ref="H6:H47" si="0">C6-G6</f>
        <v>0.14000000013038516</v>
      </c>
      <c r="I6" s="967"/>
      <c r="J6" s="966">
        <v>13101021118508</v>
      </c>
      <c r="K6" s="1158">
        <f t="shared" ref="K6:K37" si="1">B6-J6</f>
        <v>0</v>
      </c>
      <c r="L6" s="1158"/>
      <c r="M6" s="1158"/>
      <c r="N6" s="1158"/>
      <c r="O6" s="1158"/>
      <c r="P6" s="1158"/>
      <c r="Q6" s="1158"/>
      <c r="R6" s="1158"/>
      <c r="T6" s="1157">
        <f>C81</f>
        <v>338162463.29000002</v>
      </c>
      <c r="U6" s="1157">
        <v>347549027</v>
      </c>
      <c r="V6" s="1157">
        <f>T6-U6</f>
        <v>-9386563.7099999785</v>
      </c>
      <c r="X6" s="765">
        <v>347764781.3499999</v>
      </c>
    </row>
    <row r="7" spans="1:26" ht="29.25" customHeight="1">
      <c r="A7" s="975" t="s">
        <v>53</v>
      </c>
      <c r="B7" s="976" t="s">
        <v>160</v>
      </c>
      <c r="C7" s="977">
        <f>'DAFTAR UPAH MEI 2025'!BC10</f>
        <v>3437156</v>
      </c>
      <c r="D7" s="977" t="s">
        <v>186</v>
      </c>
      <c r="E7" s="978" t="s">
        <v>101</v>
      </c>
      <c r="F7" s="1413" t="s">
        <v>159</v>
      </c>
      <c r="G7" s="818">
        <v>3437156</v>
      </c>
      <c r="H7" s="1168">
        <f t="shared" si="0"/>
        <v>0</v>
      </c>
      <c r="I7" s="967"/>
      <c r="J7" s="966">
        <v>13101020973507</v>
      </c>
      <c r="K7" s="1158">
        <f t="shared" si="1"/>
        <v>0</v>
      </c>
      <c r="L7" s="1158"/>
      <c r="M7" s="1158"/>
      <c r="N7" s="1158"/>
      <c r="O7" s="1158"/>
      <c r="P7" s="1158"/>
      <c r="Q7" s="1158"/>
      <c r="R7" s="1158"/>
      <c r="T7" s="966">
        <v>27503790.600000001</v>
      </c>
      <c r="U7" s="1156">
        <v>27290895</v>
      </c>
      <c r="X7" s="765">
        <v>27503790.600000001</v>
      </c>
    </row>
    <row r="8" spans="1:26" ht="29.25" customHeight="1">
      <c r="A8" s="975" t="s">
        <v>64</v>
      </c>
      <c r="B8" s="976" t="s">
        <v>200</v>
      </c>
      <c r="C8" s="977">
        <f>'DAFTAR UPAH MEI 2025'!BC11</f>
        <v>8050337.04</v>
      </c>
      <c r="D8" s="977" t="s">
        <v>196</v>
      </c>
      <c r="E8" s="978" t="s">
        <v>187</v>
      </c>
      <c r="F8" s="1413" t="s">
        <v>159</v>
      </c>
      <c r="G8" s="818">
        <v>8050336.04</v>
      </c>
      <c r="H8" s="1168">
        <f t="shared" si="0"/>
        <v>1</v>
      </c>
      <c r="I8" s="967"/>
      <c r="J8" s="1019">
        <v>13101025475504</v>
      </c>
      <c r="K8" s="1158">
        <f t="shared" si="1"/>
        <v>0</v>
      </c>
      <c r="L8" s="1158"/>
      <c r="M8" s="1158"/>
      <c r="N8" s="1158"/>
      <c r="O8" s="1158"/>
      <c r="P8" s="1158"/>
      <c r="Q8" s="1158"/>
      <c r="R8" s="1158"/>
      <c r="S8" s="1019"/>
      <c r="T8" s="1019">
        <f>T6+T7</f>
        <v>365666253.89000005</v>
      </c>
      <c r="U8" s="1159">
        <v>374839922</v>
      </c>
      <c r="V8" s="1159">
        <f>U8-T8</f>
        <v>9173668.1099999547</v>
      </c>
      <c r="X8" s="765">
        <v>289887907.67000002</v>
      </c>
    </row>
    <row r="9" spans="1:26" ht="29.25" customHeight="1">
      <c r="A9" s="975" t="s">
        <v>65</v>
      </c>
      <c r="B9" s="976" t="s">
        <v>770</v>
      </c>
      <c r="C9" s="977">
        <f>'DAFTAR UPAH MEI 2025'!BC12</f>
        <v>8257640.4900000002</v>
      </c>
      <c r="D9" s="977" t="s">
        <v>481</v>
      </c>
      <c r="E9" s="978" t="s">
        <v>479</v>
      </c>
      <c r="F9" s="1413" t="s">
        <v>159</v>
      </c>
      <c r="G9" s="818">
        <v>8257639</v>
      </c>
      <c r="H9" s="1168">
        <f t="shared" si="0"/>
        <v>1.4900000002235174</v>
      </c>
      <c r="I9" s="967"/>
      <c r="J9" s="966">
        <v>13101011983531</v>
      </c>
      <c r="K9" s="1158">
        <f t="shared" si="1"/>
        <v>0</v>
      </c>
      <c r="L9" s="1158"/>
      <c r="M9" s="1158"/>
      <c r="N9" s="1158"/>
      <c r="O9" s="1158"/>
      <c r="P9" s="1158"/>
      <c r="Q9" s="1158"/>
      <c r="R9" s="1158"/>
      <c r="X9" s="765">
        <f>SUM(X6:X8)</f>
        <v>665156479.61999989</v>
      </c>
      <c r="Y9" s="1156">
        <v>665060023</v>
      </c>
      <c r="Z9" s="1159">
        <f>Y9-X9</f>
        <v>-96456.619999885559</v>
      </c>
    </row>
    <row r="10" spans="1:26" s="981" customFormat="1" ht="29.25" customHeight="1">
      <c r="A10" s="975" t="s">
        <v>66</v>
      </c>
      <c r="B10" s="979" t="s">
        <v>640</v>
      </c>
      <c r="C10" s="977">
        <f>'DAFTAR UPAH MEI 2025'!BC13</f>
        <v>4605576.54</v>
      </c>
      <c r="D10" s="977" t="s">
        <v>639</v>
      </c>
      <c r="E10" s="980" t="s">
        <v>628</v>
      </c>
      <c r="F10" s="1414" t="s">
        <v>159</v>
      </c>
      <c r="G10" s="1176">
        <v>4605577</v>
      </c>
      <c r="H10" s="1168">
        <f t="shared" si="0"/>
        <v>-0.4599999999627471</v>
      </c>
      <c r="I10" s="1164"/>
      <c r="J10" s="982" t="s">
        <v>640</v>
      </c>
      <c r="K10" s="1158">
        <f t="shared" si="1"/>
        <v>0</v>
      </c>
      <c r="L10" s="1158"/>
      <c r="M10" s="1158"/>
      <c r="N10" s="1158"/>
      <c r="O10" s="1158"/>
      <c r="P10" s="1158"/>
      <c r="Q10" s="1158"/>
      <c r="R10" s="1158"/>
      <c r="S10" s="982"/>
      <c r="X10" s="765">
        <v>665060023</v>
      </c>
    </row>
    <row r="11" spans="1:26" ht="29.25" customHeight="1">
      <c r="A11" s="975" t="s">
        <v>67</v>
      </c>
      <c r="B11" s="983" t="s">
        <v>201</v>
      </c>
      <c r="C11" s="977">
        <f>'DAFTAR UPAH MEI 2025'!BC14</f>
        <v>7250275.9800000004</v>
      </c>
      <c r="D11" s="977" t="s">
        <v>199</v>
      </c>
      <c r="E11" s="978" t="s">
        <v>198</v>
      </c>
      <c r="F11" s="1413" t="s">
        <v>159</v>
      </c>
      <c r="G11" s="818">
        <v>7250275</v>
      </c>
      <c r="H11" s="1168">
        <f t="shared" si="0"/>
        <v>0.98000000044703484</v>
      </c>
      <c r="I11" s="967"/>
      <c r="J11" s="966">
        <v>13101029720503</v>
      </c>
      <c r="K11" s="1158">
        <f t="shared" si="1"/>
        <v>0</v>
      </c>
      <c r="L11" s="1158"/>
      <c r="M11" s="1158"/>
      <c r="N11" s="1158"/>
      <c r="O11" s="1158"/>
      <c r="P11" s="1158"/>
      <c r="Q11" s="1158"/>
      <c r="R11" s="1158"/>
      <c r="X11" s="765">
        <f>X10-X9</f>
        <v>-96456.619999885559</v>
      </c>
    </row>
    <row r="12" spans="1:26" ht="29.25" customHeight="1">
      <c r="A12" s="975" t="s">
        <v>68</v>
      </c>
      <c r="B12" s="984" t="s">
        <v>456</v>
      </c>
      <c r="C12" s="977">
        <f>'DAFTAR UPAH MEI 2025'!BC15</f>
        <v>6271063.9199999999</v>
      </c>
      <c r="D12" s="977" t="s">
        <v>452</v>
      </c>
      <c r="E12" s="978" t="s">
        <v>439</v>
      </c>
      <c r="F12" s="1413" t="s">
        <v>159</v>
      </c>
      <c r="G12" s="818">
        <v>6271057</v>
      </c>
      <c r="H12" s="1168">
        <f t="shared" si="0"/>
        <v>6.9199999999254942</v>
      </c>
      <c r="I12" s="967"/>
      <c r="J12" s="966">
        <v>13101023601507</v>
      </c>
      <c r="K12" s="1158">
        <f t="shared" si="1"/>
        <v>0</v>
      </c>
      <c r="L12" s="1158"/>
      <c r="M12" s="1158"/>
      <c r="N12" s="1158"/>
      <c r="O12" s="1158"/>
      <c r="P12" s="1158"/>
      <c r="Q12" s="1158"/>
      <c r="R12" s="1158"/>
    </row>
    <row r="13" spans="1:26" ht="29.25" customHeight="1">
      <c r="A13" s="975" t="s">
        <v>69</v>
      </c>
      <c r="B13" s="985" t="s">
        <v>227</v>
      </c>
      <c r="C13" s="977">
        <f>'DAFTAR UPAH MEI 2025'!BC16</f>
        <v>4017636</v>
      </c>
      <c r="D13" s="977" t="s">
        <v>338</v>
      </c>
      <c r="E13" s="978" t="s">
        <v>185</v>
      </c>
      <c r="F13" s="1413" t="s">
        <v>159</v>
      </c>
      <c r="G13" s="818">
        <v>4017636</v>
      </c>
      <c r="H13" s="1168">
        <f t="shared" si="0"/>
        <v>0</v>
      </c>
      <c r="I13" s="967"/>
      <c r="J13" s="966">
        <v>13101042097507</v>
      </c>
      <c r="K13" s="1158">
        <f t="shared" si="1"/>
        <v>0</v>
      </c>
      <c r="L13" s="1158"/>
      <c r="M13" s="1158"/>
      <c r="N13" s="1158"/>
      <c r="O13" s="1158"/>
      <c r="P13" s="1158"/>
      <c r="Q13" s="1158"/>
      <c r="R13" s="1158"/>
    </row>
    <row r="14" spans="1:26" ht="29.25" customHeight="1">
      <c r="A14" s="975" t="s">
        <v>70</v>
      </c>
      <c r="B14" s="976" t="s">
        <v>161</v>
      </c>
      <c r="C14" s="977">
        <f>'DAFTAR UPAH MEI 2025'!BC17</f>
        <v>3949176</v>
      </c>
      <c r="D14" s="977" t="s">
        <v>117</v>
      </c>
      <c r="E14" s="978" t="s">
        <v>222</v>
      </c>
      <c r="F14" s="1413" t="s">
        <v>159</v>
      </c>
      <c r="G14" s="818">
        <v>3949176</v>
      </c>
      <c r="H14" s="1168">
        <f t="shared" si="0"/>
        <v>0</v>
      </c>
      <c r="I14" s="967"/>
      <c r="J14" s="966">
        <v>13101021143503</v>
      </c>
      <c r="K14" s="1158">
        <f t="shared" si="1"/>
        <v>0</v>
      </c>
      <c r="L14" s="1158"/>
      <c r="M14" s="1158"/>
      <c r="N14" s="1158"/>
      <c r="O14" s="1158"/>
      <c r="P14" s="1158"/>
      <c r="Q14" s="1158"/>
      <c r="R14" s="1158"/>
    </row>
    <row r="15" spans="1:26" ht="29.25" customHeight="1">
      <c r="A15" s="975" t="s">
        <v>71</v>
      </c>
      <c r="B15" s="983" t="s">
        <v>162</v>
      </c>
      <c r="C15" s="977">
        <f>'DAFTAR UPAH MEI 2025'!BC18</f>
        <v>3959571</v>
      </c>
      <c r="D15" s="977" t="s">
        <v>118</v>
      </c>
      <c r="E15" s="978" t="s">
        <v>102</v>
      </c>
      <c r="F15" s="1413" t="s">
        <v>159</v>
      </c>
      <c r="G15" s="818">
        <v>3959571</v>
      </c>
      <c r="H15" s="1168">
        <f t="shared" si="0"/>
        <v>0</v>
      </c>
      <c r="J15" s="966">
        <v>13101020943502</v>
      </c>
      <c r="K15" s="1158">
        <f t="shared" si="1"/>
        <v>0</v>
      </c>
      <c r="L15" s="1158"/>
      <c r="M15" s="1158"/>
      <c r="N15" s="1158"/>
      <c r="O15" s="1158"/>
      <c r="P15" s="1158"/>
      <c r="Q15" s="1158"/>
      <c r="R15" s="1158"/>
    </row>
    <row r="16" spans="1:26" ht="29.25" customHeight="1">
      <c r="A16" s="975" t="s">
        <v>72</v>
      </c>
      <c r="B16" s="985" t="s">
        <v>163</v>
      </c>
      <c r="C16" s="977">
        <f>'DAFTAR UPAH MEI 2025'!BC19</f>
        <v>3940266</v>
      </c>
      <c r="D16" s="977" t="s">
        <v>119</v>
      </c>
      <c r="E16" s="978" t="s">
        <v>103</v>
      </c>
      <c r="F16" s="1413" t="s">
        <v>159</v>
      </c>
      <c r="G16" s="818">
        <v>3940266</v>
      </c>
      <c r="H16" s="1168">
        <f t="shared" si="0"/>
        <v>0</v>
      </c>
      <c r="I16" s="967"/>
      <c r="J16" s="966">
        <v>13101023595502</v>
      </c>
      <c r="K16" s="1158">
        <f t="shared" si="1"/>
        <v>0</v>
      </c>
      <c r="L16" s="1158"/>
      <c r="M16" s="1158"/>
      <c r="N16" s="1158"/>
      <c r="O16" s="1158"/>
      <c r="P16" s="1158"/>
      <c r="Q16" s="1158"/>
      <c r="R16" s="1158"/>
    </row>
    <row r="17" spans="1:18" ht="29.25" customHeight="1">
      <c r="A17" s="975" t="s">
        <v>73</v>
      </c>
      <c r="B17" s="985" t="s">
        <v>164</v>
      </c>
      <c r="C17" s="977">
        <f>'DAFTAR UPAH MEI 2025'!BC20</f>
        <v>3963036</v>
      </c>
      <c r="D17" s="977" t="s">
        <v>116</v>
      </c>
      <c r="E17" s="978" t="s">
        <v>104</v>
      </c>
      <c r="F17" s="1413" t="s">
        <v>159</v>
      </c>
      <c r="G17" s="818">
        <v>3963036</v>
      </c>
      <c r="H17" s="1168">
        <f t="shared" si="0"/>
        <v>0</v>
      </c>
      <c r="I17" s="967"/>
      <c r="J17" s="966">
        <v>13101020687504</v>
      </c>
      <c r="K17" s="1158">
        <f t="shared" si="1"/>
        <v>0</v>
      </c>
      <c r="L17" s="1158"/>
      <c r="M17" s="1158"/>
      <c r="N17" s="1158"/>
      <c r="O17" s="1158"/>
      <c r="P17" s="1158"/>
      <c r="Q17" s="1158"/>
      <c r="R17" s="1158"/>
    </row>
    <row r="18" spans="1:18" ht="29.25" customHeight="1">
      <c r="A18" s="975" t="s">
        <v>74</v>
      </c>
      <c r="B18" s="986" t="s">
        <v>165</v>
      </c>
      <c r="C18" s="977">
        <f>'DAFTAR UPAH MEI 2025'!BC21</f>
        <v>4107501</v>
      </c>
      <c r="D18" s="977" t="s">
        <v>120</v>
      </c>
      <c r="E18" s="978" t="s">
        <v>105</v>
      </c>
      <c r="F18" s="1413" t="s">
        <v>159</v>
      </c>
      <c r="G18" s="818">
        <v>4107501</v>
      </c>
      <c r="H18" s="1168">
        <f t="shared" si="0"/>
        <v>0</v>
      </c>
      <c r="I18" s="967"/>
      <c r="J18" s="966">
        <v>13101021053504</v>
      </c>
      <c r="K18" s="1158">
        <f t="shared" si="1"/>
        <v>0</v>
      </c>
      <c r="L18" s="1158"/>
      <c r="M18" s="1158"/>
      <c r="N18" s="1158"/>
      <c r="O18" s="1158"/>
      <c r="P18" s="1158"/>
      <c r="Q18" s="1158"/>
      <c r="R18" s="1158"/>
    </row>
    <row r="19" spans="1:18" ht="29.25" customHeight="1">
      <c r="A19" s="975" t="s">
        <v>75</v>
      </c>
      <c r="B19" s="985" t="s">
        <v>166</v>
      </c>
      <c r="C19" s="977">
        <f>'DAFTAR UPAH MEI 2025'!BC22</f>
        <v>4242801</v>
      </c>
      <c r="D19" s="977" t="s">
        <v>121</v>
      </c>
      <c r="E19" s="978" t="s">
        <v>209</v>
      </c>
      <c r="F19" s="1413" t="s">
        <v>159</v>
      </c>
      <c r="G19" s="818">
        <v>4242801</v>
      </c>
      <c r="H19" s="1168">
        <f t="shared" si="0"/>
        <v>0</v>
      </c>
      <c r="I19" s="967"/>
      <c r="J19" s="966">
        <v>13101020968502</v>
      </c>
      <c r="K19" s="1158">
        <f t="shared" si="1"/>
        <v>0</v>
      </c>
      <c r="L19" s="1158"/>
      <c r="M19" s="1158"/>
      <c r="N19" s="1158"/>
      <c r="O19" s="1158"/>
      <c r="P19" s="1158"/>
      <c r="Q19" s="1158"/>
      <c r="R19" s="1158"/>
    </row>
    <row r="20" spans="1:18" ht="29.25" customHeight="1">
      <c r="A20" s="975" t="s">
        <v>76</v>
      </c>
      <c r="B20" s="985" t="s">
        <v>167</v>
      </c>
      <c r="C20" s="977">
        <f>'DAFTAR UPAH MEI 2025'!BC23</f>
        <v>3963036</v>
      </c>
      <c r="D20" s="977" t="s">
        <v>122</v>
      </c>
      <c r="E20" s="978" t="s">
        <v>106</v>
      </c>
      <c r="F20" s="1413" t="s">
        <v>159</v>
      </c>
      <c r="G20" s="818">
        <v>3963036</v>
      </c>
      <c r="H20" s="1168">
        <f t="shared" si="0"/>
        <v>0</v>
      </c>
      <c r="I20" s="967"/>
      <c r="J20" s="966">
        <v>13101011803537</v>
      </c>
      <c r="K20" s="1158">
        <f t="shared" si="1"/>
        <v>0</v>
      </c>
      <c r="L20" s="1158"/>
      <c r="M20" s="1158"/>
      <c r="N20" s="1158"/>
      <c r="O20" s="1158"/>
      <c r="P20" s="1158"/>
      <c r="Q20" s="1158"/>
      <c r="R20" s="1158"/>
    </row>
    <row r="21" spans="1:18" ht="29.25" customHeight="1">
      <c r="A21" s="975" t="s">
        <v>77</v>
      </c>
      <c r="B21" s="987" t="s">
        <v>168</v>
      </c>
      <c r="C21" s="977">
        <f>'DAFTAR UPAH MEI 2025'!BC24</f>
        <v>3966501</v>
      </c>
      <c r="D21" s="977" t="s">
        <v>123</v>
      </c>
      <c r="E21" s="978" t="s">
        <v>107</v>
      </c>
      <c r="F21" s="1413" t="s">
        <v>159</v>
      </c>
      <c r="G21" s="818">
        <v>3966501</v>
      </c>
      <c r="H21" s="1168">
        <f t="shared" si="0"/>
        <v>0</v>
      </c>
      <c r="I21" s="967"/>
      <c r="J21" s="966">
        <v>13101021131506</v>
      </c>
      <c r="K21" s="1158">
        <f t="shared" si="1"/>
        <v>0</v>
      </c>
      <c r="L21" s="1158"/>
      <c r="M21" s="1158"/>
      <c r="N21" s="1158"/>
      <c r="O21" s="1158"/>
      <c r="P21" s="1158"/>
      <c r="Q21" s="1158"/>
      <c r="R21" s="1158"/>
    </row>
    <row r="22" spans="1:18" ht="29.25" customHeight="1">
      <c r="A22" s="975" t="s">
        <v>78</v>
      </c>
      <c r="B22" s="976" t="s">
        <v>169</v>
      </c>
      <c r="C22" s="977">
        <f>'DAFTAR UPAH MEI 2025'!BC25</f>
        <v>3811766</v>
      </c>
      <c r="D22" s="977" t="s">
        <v>124</v>
      </c>
      <c r="E22" s="978" t="s">
        <v>108</v>
      </c>
      <c r="F22" s="1413" t="s">
        <v>159</v>
      </c>
      <c r="G22" s="818">
        <v>3811766</v>
      </c>
      <c r="H22" s="1168">
        <f t="shared" si="0"/>
        <v>0</v>
      </c>
      <c r="I22" s="967"/>
      <c r="J22" s="966">
        <v>13101024443504</v>
      </c>
      <c r="K22" s="1158">
        <f t="shared" si="1"/>
        <v>0</v>
      </c>
      <c r="L22" s="1158"/>
      <c r="M22" s="1158"/>
      <c r="N22" s="1158"/>
      <c r="O22" s="1158"/>
      <c r="P22" s="1158"/>
      <c r="Q22" s="1158"/>
      <c r="R22" s="1158"/>
    </row>
    <row r="23" spans="1:18" ht="29.25" customHeight="1">
      <c r="A23" s="975" t="s">
        <v>79</v>
      </c>
      <c r="B23" s="976" t="s">
        <v>170</v>
      </c>
      <c r="C23" s="977">
        <f>'DAFTAR UPAH MEI 2025'!BC26</f>
        <v>4061871</v>
      </c>
      <c r="D23" s="977" t="s">
        <v>125</v>
      </c>
      <c r="E23" s="988" t="s">
        <v>194</v>
      </c>
      <c r="F23" s="1413" t="s">
        <v>159</v>
      </c>
      <c r="G23" s="818">
        <v>4061871</v>
      </c>
      <c r="H23" s="1168">
        <f t="shared" si="0"/>
        <v>0</v>
      </c>
      <c r="I23" s="967"/>
      <c r="J23" s="966">
        <v>13101021063509</v>
      </c>
      <c r="K23" s="1158">
        <f t="shared" si="1"/>
        <v>0</v>
      </c>
      <c r="L23" s="1158"/>
      <c r="M23" s="1158"/>
      <c r="N23" s="1158"/>
      <c r="O23" s="1158"/>
      <c r="P23" s="1158"/>
      <c r="Q23" s="1158"/>
      <c r="R23" s="1158"/>
    </row>
    <row r="24" spans="1:18" ht="29.25" customHeight="1">
      <c r="A24" s="975" t="s">
        <v>80</v>
      </c>
      <c r="B24" s="989" t="s">
        <v>171</v>
      </c>
      <c r="C24" s="977">
        <f>'DAFTAR UPAH MEI 2025'!BC27</f>
        <v>3963036</v>
      </c>
      <c r="D24" s="977" t="s">
        <v>126</v>
      </c>
      <c r="E24" s="978" t="s">
        <v>109</v>
      </c>
      <c r="F24" s="1413" t="s">
        <v>159</v>
      </c>
      <c r="G24" s="818">
        <v>3963036</v>
      </c>
      <c r="H24" s="1168">
        <f t="shared" si="0"/>
        <v>0</v>
      </c>
      <c r="I24" s="967"/>
      <c r="J24" s="966">
        <v>13101020641508</v>
      </c>
      <c r="K24" s="1158">
        <f t="shared" si="1"/>
        <v>0</v>
      </c>
      <c r="L24" s="1158"/>
      <c r="M24" s="1158"/>
      <c r="N24" s="1158"/>
      <c r="O24" s="1158"/>
      <c r="P24" s="1158"/>
      <c r="Q24" s="1158"/>
      <c r="R24" s="1158"/>
    </row>
    <row r="25" spans="1:18" ht="29.25" customHeight="1">
      <c r="A25" s="975" t="s">
        <v>81</v>
      </c>
      <c r="B25" s="989" t="s">
        <v>172</v>
      </c>
      <c r="C25" s="977">
        <f>'DAFTAR UPAH MEI 2025'!BC28</f>
        <v>4074566</v>
      </c>
      <c r="D25" s="977" t="s">
        <v>127</v>
      </c>
      <c r="E25" s="978" t="s">
        <v>110</v>
      </c>
      <c r="F25" s="1413" t="s">
        <v>159</v>
      </c>
      <c r="G25" s="818">
        <v>4074566</v>
      </c>
      <c r="H25" s="1168">
        <f t="shared" si="0"/>
        <v>0</v>
      </c>
      <c r="I25" s="967"/>
      <c r="J25" s="966">
        <v>13101020644506</v>
      </c>
      <c r="K25" s="1158">
        <f t="shared" si="1"/>
        <v>0</v>
      </c>
      <c r="L25" s="1158"/>
      <c r="M25" s="1158"/>
      <c r="N25" s="1158"/>
      <c r="O25" s="1158"/>
      <c r="P25" s="1158"/>
      <c r="Q25" s="1158"/>
      <c r="R25" s="1158"/>
    </row>
    <row r="26" spans="1:18" ht="29.25" customHeight="1">
      <c r="A26" s="975" t="s">
        <v>82</v>
      </c>
      <c r="B26" s="983" t="s">
        <v>173</v>
      </c>
      <c r="C26" s="977">
        <f>'DAFTAR UPAH MEI 2025'!BC29</f>
        <v>3657561</v>
      </c>
      <c r="D26" s="977" t="s">
        <v>128</v>
      </c>
      <c r="E26" s="978" t="s">
        <v>197</v>
      </c>
      <c r="F26" s="1413" t="s">
        <v>159</v>
      </c>
      <c r="G26" s="818">
        <v>3657561</v>
      </c>
      <c r="H26" s="1168">
        <f t="shared" si="0"/>
        <v>0</v>
      </c>
      <c r="I26" s="967"/>
      <c r="J26" s="966">
        <v>13101030794503</v>
      </c>
      <c r="K26" s="1158">
        <f t="shared" si="1"/>
        <v>0</v>
      </c>
      <c r="L26" s="1158"/>
      <c r="M26" s="1158"/>
      <c r="N26" s="1158"/>
      <c r="O26" s="1158"/>
      <c r="P26" s="1158"/>
      <c r="Q26" s="1158"/>
      <c r="R26" s="1158"/>
    </row>
    <row r="27" spans="1:18" ht="29.25" customHeight="1">
      <c r="A27" s="975" t="s">
        <v>83</v>
      </c>
      <c r="B27" s="983" t="s">
        <v>175</v>
      </c>
      <c r="C27" s="977">
        <f>'DAFTAR UPAH MEI 2025'!BC30</f>
        <v>3959571</v>
      </c>
      <c r="D27" s="977" t="s">
        <v>130</v>
      </c>
      <c r="E27" s="978" t="s">
        <v>112</v>
      </c>
      <c r="F27" s="1413" t="s">
        <v>159</v>
      </c>
      <c r="G27" s="818">
        <v>3959571</v>
      </c>
      <c r="H27" s="1168">
        <f t="shared" si="0"/>
        <v>0</v>
      </c>
      <c r="I27" s="967"/>
      <c r="J27" s="966">
        <v>13101020609506</v>
      </c>
      <c r="K27" s="1158">
        <f t="shared" si="1"/>
        <v>0</v>
      </c>
      <c r="L27" s="1158"/>
      <c r="M27" s="1158"/>
      <c r="N27" s="1158"/>
      <c r="O27" s="1158"/>
      <c r="P27" s="1158"/>
      <c r="Q27" s="1158"/>
      <c r="R27" s="1158"/>
    </row>
    <row r="28" spans="1:18" ht="29.25" customHeight="1">
      <c r="A28" s="975" t="s">
        <v>84</v>
      </c>
      <c r="B28" s="983" t="s">
        <v>176</v>
      </c>
      <c r="C28" s="977">
        <f>'DAFTAR UPAH MEI 2025'!BC31</f>
        <v>3963036</v>
      </c>
      <c r="D28" s="977" t="s">
        <v>131</v>
      </c>
      <c r="E28" s="978" t="s">
        <v>113</v>
      </c>
      <c r="F28" s="1413" t="s">
        <v>159</v>
      </c>
      <c r="G28" s="818">
        <v>3963036</v>
      </c>
      <c r="H28" s="1168">
        <f t="shared" si="0"/>
        <v>0</v>
      </c>
      <c r="I28" s="967"/>
      <c r="J28" s="966">
        <v>13101020607504</v>
      </c>
      <c r="K28" s="1158">
        <f t="shared" si="1"/>
        <v>0</v>
      </c>
      <c r="L28" s="1158"/>
      <c r="M28" s="1158"/>
      <c r="N28" s="1158"/>
      <c r="O28" s="1158"/>
      <c r="P28" s="1158"/>
      <c r="Q28" s="1158"/>
      <c r="R28" s="1158"/>
    </row>
    <row r="29" spans="1:18" ht="29.25" customHeight="1">
      <c r="A29" s="975" t="s">
        <v>85</v>
      </c>
      <c r="B29" s="985" t="s">
        <v>177</v>
      </c>
      <c r="C29" s="977">
        <f>'DAFTAR UPAH MEI 2025'!BC32</f>
        <v>3959571</v>
      </c>
      <c r="D29" s="977" t="s">
        <v>132</v>
      </c>
      <c r="E29" s="978" t="s">
        <v>114</v>
      </c>
      <c r="F29" s="1413" t="s">
        <v>159</v>
      </c>
      <c r="G29" s="818">
        <v>3959571</v>
      </c>
      <c r="H29" s="1168">
        <f t="shared" si="0"/>
        <v>0</v>
      </c>
      <c r="I29" s="967"/>
      <c r="J29" s="966">
        <v>13101020688500</v>
      </c>
      <c r="K29" s="1158">
        <f t="shared" si="1"/>
        <v>0</v>
      </c>
      <c r="L29" s="1158"/>
      <c r="M29" s="1158"/>
      <c r="N29" s="1158"/>
      <c r="O29" s="1158"/>
      <c r="P29" s="1158"/>
      <c r="Q29" s="1158"/>
      <c r="R29" s="1158"/>
    </row>
    <row r="30" spans="1:18" ht="29.25" customHeight="1">
      <c r="A30" s="975" t="s">
        <v>86</v>
      </c>
      <c r="B30" s="985" t="s">
        <v>178</v>
      </c>
      <c r="C30" s="977">
        <f>'DAFTAR UPAH MEI 2025'!BC33</f>
        <v>4222971</v>
      </c>
      <c r="D30" s="977" t="s">
        <v>133</v>
      </c>
      <c r="E30" s="978" t="s">
        <v>115</v>
      </c>
      <c r="F30" s="1413" t="s">
        <v>159</v>
      </c>
      <c r="G30" s="818">
        <v>4222971</v>
      </c>
      <c r="H30" s="1168">
        <f t="shared" si="0"/>
        <v>0</v>
      </c>
      <c r="I30" s="967"/>
      <c r="J30" s="966">
        <v>13101020724500</v>
      </c>
      <c r="K30" s="1158">
        <f t="shared" si="1"/>
        <v>0</v>
      </c>
      <c r="L30" s="1158"/>
      <c r="M30" s="1158"/>
      <c r="N30" s="1158"/>
      <c r="O30" s="1158"/>
      <c r="P30" s="1158"/>
      <c r="Q30" s="1158"/>
      <c r="R30" s="1158"/>
    </row>
    <row r="31" spans="1:18" ht="29.25" customHeight="1">
      <c r="A31" s="975" t="s">
        <v>91</v>
      </c>
      <c r="B31" s="983" t="s">
        <v>179</v>
      </c>
      <c r="C31" s="977">
        <f>'DAFTAR UPAH MEI 2025'!BC34</f>
        <v>4070476</v>
      </c>
      <c r="D31" s="977" t="s">
        <v>145</v>
      </c>
      <c r="E31" s="978" t="s">
        <v>137</v>
      </c>
      <c r="F31" s="1413" t="s">
        <v>159</v>
      </c>
      <c r="G31" s="818">
        <v>4070476</v>
      </c>
      <c r="H31" s="1168">
        <f t="shared" si="0"/>
        <v>0</v>
      </c>
      <c r="I31" s="967"/>
      <c r="J31" s="966">
        <v>13101028453501</v>
      </c>
      <c r="K31" s="1158">
        <f t="shared" si="1"/>
        <v>0</v>
      </c>
      <c r="L31" s="1158"/>
      <c r="M31" s="1158"/>
      <c r="N31" s="1158"/>
      <c r="O31" s="1158"/>
      <c r="P31" s="1158"/>
      <c r="Q31" s="1158"/>
      <c r="R31" s="1158"/>
    </row>
    <row r="32" spans="1:18" ht="29.25" customHeight="1">
      <c r="A32" s="975" t="s">
        <v>92</v>
      </c>
      <c r="B32" s="984" t="s">
        <v>213</v>
      </c>
      <c r="C32" s="977">
        <f>'DAFTAR UPAH MEI 2025'!BC35</f>
        <v>3963036</v>
      </c>
      <c r="D32" s="977" t="s">
        <v>211</v>
      </c>
      <c r="E32" s="978" t="s">
        <v>212</v>
      </c>
      <c r="F32" s="1413" t="s">
        <v>159</v>
      </c>
      <c r="G32" s="818">
        <v>3963036</v>
      </c>
      <c r="H32" s="1168">
        <f t="shared" si="0"/>
        <v>0</v>
      </c>
      <c r="I32" s="967"/>
      <c r="J32" s="966">
        <v>13101021050506</v>
      </c>
      <c r="K32" s="1158">
        <f t="shared" si="1"/>
        <v>0</v>
      </c>
      <c r="L32" s="1158"/>
      <c r="M32" s="1158"/>
      <c r="N32" s="1158"/>
      <c r="O32" s="1158"/>
      <c r="P32" s="1158"/>
      <c r="Q32" s="1158"/>
      <c r="R32" s="1158"/>
    </row>
    <row r="33" spans="1:20" ht="29.25" customHeight="1">
      <c r="A33" s="975" t="s">
        <v>93</v>
      </c>
      <c r="B33" s="984" t="s">
        <v>392</v>
      </c>
      <c r="C33" s="977">
        <f>'DAFTAR UPAH MEI 2025'!BC36</f>
        <v>3956106</v>
      </c>
      <c r="D33" s="977" t="s">
        <v>419</v>
      </c>
      <c r="E33" s="978" t="s">
        <v>375</v>
      </c>
      <c r="F33" s="1413" t="s">
        <v>159</v>
      </c>
      <c r="G33" s="818">
        <v>3956106</v>
      </c>
      <c r="H33" s="1168">
        <f t="shared" si="0"/>
        <v>0</v>
      </c>
      <c r="I33" s="967"/>
      <c r="J33" s="966">
        <v>13101021035506</v>
      </c>
      <c r="K33" s="1158">
        <f t="shared" si="1"/>
        <v>0</v>
      </c>
      <c r="L33" s="1158"/>
      <c r="M33" s="1158"/>
      <c r="N33" s="1158"/>
      <c r="O33" s="1158"/>
      <c r="P33" s="1158"/>
      <c r="Q33" s="1158"/>
      <c r="R33" s="1158"/>
    </row>
    <row r="34" spans="1:20" ht="29.25" customHeight="1">
      <c r="A34" s="975" t="s">
        <v>94</v>
      </c>
      <c r="B34" s="984" t="s">
        <v>393</v>
      </c>
      <c r="C34" s="977">
        <f>'DAFTAR UPAH MEI 2025'!BC37</f>
        <v>3940266</v>
      </c>
      <c r="D34" s="977" t="s">
        <v>420</v>
      </c>
      <c r="E34" s="978" t="s">
        <v>376</v>
      </c>
      <c r="F34" s="1413" t="s">
        <v>159</v>
      </c>
      <c r="G34" s="818">
        <v>3940266</v>
      </c>
      <c r="H34" s="1168">
        <f t="shared" si="0"/>
        <v>0</v>
      </c>
      <c r="I34" s="967"/>
      <c r="J34" s="966">
        <v>13101023611502</v>
      </c>
      <c r="K34" s="1158">
        <f t="shared" si="1"/>
        <v>0</v>
      </c>
      <c r="L34" s="1158"/>
      <c r="M34" s="1158"/>
      <c r="N34" s="1158"/>
      <c r="O34" s="1158"/>
      <c r="P34" s="1158"/>
      <c r="Q34" s="1158"/>
      <c r="R34" s="1158"/>
    </row>
    <row r="35" spans="1:20" ht="29.25" customHeight="1">
      <c r="A35" s="975" t="s">
        <v>95</v>
      </c>
      <c r="B35" s="984" t="s">
        <v>394</v>
      </c>
      <c r="C35" s="977">
        <f>'DAFTAR UPAH MEI 2025'!BC38</f>
        <v>3747966</v>
      </c>
      <c r="D35" s="977" t="s">
        <v>421</v>
      </c>
      <c r="E35" s="978" t="s">
        <v>377</v>
      </c>
      <c r="F35" s="1413" t="s">
        <v>159</v>
      </c>
      <c r="G35" s="818">
        <v>3747966</v>
      </c>
      <c r="H35" s="1168">
        <f t="shared" si="0"/>
        <v>0</v>
      </c>
      <c r="I35" s="967"/>
      <c r="J35" s="966">
        <v>13101020976505</v>
      </c>
      <c r="K35" s="1158">
        <f t="shared" si="1"/>
        <v>0</v>
      </c>
      <c r="L35" s="1158"/>
      <c r="M35" s="1158"/>
      <c r="N35" s="1158"/>
      <c r="O35" s="1158"/>
      <c r="P35" s="1158"/>
      <c r="Q35" s="1158"/>
      <c r="R35" s="1158"/>
    </row>
    <row r="36" spans="1:20" ht="29.25" customHeight="1">
      <c r="A36" s="975" t="s">
        <v>96</v>
      </c>
      <c r="B36" s="984" t="s">
        <v>391</v>
      </c>
      <c r="C36" s="977">
        <f>'DAFTAR UPAH MEI 2025'!BC39</f>
        <v>512961</v>
      </c>
      <c r="D36" s="977" t="s">
        <v>422</v>
      </c>
      <c r="E36" s="978" t="s">
        <v>378</v>
      </c>
      <c r="F36" s="1413" t="s">
        <v>159</v>
      </c>
      <c r="G36" s="818">
        <v>512961</v>
      </c>
      <c r="H36" s="1168">
        <f t="shared" si="0"/>
        <v>0</v>
      </c>
      <c r="I36" s="967"/>
      <c r="J36" s="966">
        <v>13101038467508</v>
      </c>
      <c r="K36" s="1158">
        <f t="shared" si="1"/>
        <v>0</v>
      </c>
      <c r="L36" s="1158"/>
      <c r="M36" s="1158"/>
      <c r="N36" s="1158"/>
      <c r="O36" s="1158"/>
      <c r="P36" s="1158"/>
      <c r="Q36" s="1158"/>
      <c r="R36" s="1158"/>
    </row>
    <row r="37" spans="1:20" ht="29.25" customHeight="1">
      <c r="A37" s="975" t="s">
        <v>364</v>
      </c>
      <c r="B37" s="983" t="s">
        <v>457</v>
      </c>
      <c r="C37" s="977">
        <f>'DAFTAR UPAH MEI 2025'!BC40</f>
        <v>4300763</v>
      </c>
      <c r="D37" s="977" t="s">
        <v>446</v>
      </c>
      <c r="E37" s="978" t="s">
        <v>444</v>
      </c>
      <c r="F37" s="1413" t="s">
        <v>159</v>
      </c>
      <c r="G37" s="818">
        <v>4300763</v>
      </c>
      <c r="H37" s="1168">
        <f t="shared" si="0"/>
        <v>0</v>
      </c>
      <c r="I37" s="967"/>
      <c r="J37" s="966">
        <v>13101025762503</v>
      </c>
      <c r="K37" s="1158">
        <f t="shared" si="1"/>
        <v>0</v>
      </c>
      <c r="L37" s="1158"/>
      <c r="M37" s="1158"/>
      <c r="N37" s="1158"/>
      <c r="O37" s="1158"/>
      <c r="P37" s="1158"/>
      <c r="Q37" s="1158"/>
      <c r="R37" s="1158"/>
    </row>
    <row r="38" spans="1:20" ht="29.25" customHeight="1" thickBot="1">
      <c r="A38" s="975" t="s">
        <v>365</v>
      </c>
      <c r="B38" s="983" t="s">
        <v>205</v>
      </c>
      <c r="C38" s="977">
        <f>'DAFTAR UPAH MEI 2025'!BC41</f>
        <v>3847706</v>
      </c>
      <c r="D38" s="977" t="s">
        <v>147</v>
      </c>
      <c r="E38" s="978" t="s">
        <v>140</v>
      </c>
      <c r="F38" s="1413" t="s">
        <v>159</v>
      </c>
      <c r="G38" s="1177">
        <v>3847706</v>
      </c>
      <c r="H38" s="1169">
        <f t="shared" si="0"/>
        <v>0</v>
      </c>
      <c r="I38" s="967"/>
      <c r="J38" s="966">
        <v>13101020747508</v>
      </c>
      <c r="K38" s="1158">
        <f t="shared" ref="K38:K69" si="2">B38-J38</f>
        <v>0</v>
      </c>
      <c r="L38" s="1158"/>
      <c r="M38" s="1158"/>
      <c r="N38" s="1158"/>
      <c r="O38" s="1158"/>
      <c r="P38" s="1158"/>
      <c r="Q38" s="1158"/>
      <c r="R38" s="1158"/>
    </row>
    <row r="39" spans="1:20" ht="29.25" customHeight="1" thickBot="1">
      <c r="A39" s="2300" t="s">
        <v>38</v>
      </c>
      <c r="B39" s="2301"/>
      <c r="C39" s="990">
        <f>SUM(C6:C38)</f>
        <v>141589836.11000001</v>
      </c>
      <c r="D39" s="991"/>
      <c r="E39" s="991"/>
      <c r="F39" s="1415" t="e">
        <f>C39-#REF!</f>
        <v>#REF!</v>
      </c>
      <c r="G39" s="1171">
        <f>SUM(G6:G38)-1</f>
        <v>141589825.03999999</v>
      </c>
      <c r="H39" s="1173">
        <f t="shared" si="0"/>
        <v>11.070000022649765</v>
      </c>
      <c r="I39" s="1165"/>
      <c r="K39" s="1158">
        <f t="shared" si="2"/>
        <v>0</v>
      </c>
      <c r="L39" s="1158"/>
      <c r="M39" s="1158"/>
      <c r="N39" s="1158"/>
      <c r="O39" s="1158"/>
      <c r="P39" s="1158"/>
      <c r="Q39" s="1158"/>
      <c r="R39" s="1158"/>
    </row>
    <row r="40" spans="1:20" ht="29.25" customHeight="1">
      <c r="A40" s="992">
        <v>34</v>
      </c>
      <c r="B40" s="1058" t="s">
        <v>182</v>
      </c>
      <c r="C40" s="993">
        <f>'DAFTAR UPAH MEI 2025'!BC61</f>
        <v>5979214.46</v>
      </c>
      <c r="D40" s="993" t="s">
        <v>216</v>
      </c>
      <c r="E40" s="994" t="s">
        <v>153</v>
      </c>
      <c r="F40" s="1416" t="s">
        <v>159</v>
      </c>
      <c r="G40" s="1178">
        <v>5979210.5</v>
      </c>
      <c r="H40" s="1170">
        <f t="shared" si="0"/>
        <v>3.9599999999627471</v>
      </c>
      <c r="I40" s="967"/>
      <c r="J40" s="966">
        <v>13101021147507</v>
      </c>
      <c r="K40" s="1158">
        <f t="shared" si="2"/>
        <v>0</v>
      </c>
      <c r="L40" s="1158"/>
      <c r="M40" s="1158"/>
      <c r="N40" s="1158"/>
      <c r="O40" s="1158"/>
      <c r="P40" s="1158"/>
      <c r="Q40" s="1158"/>
      <c r="R40" s="1158"/>
    </row>
    <row r="41" spans="1:20" ht="29.25" customHeight="1">
      <c r="A41" s="992">
        <v>35</v>
      </c>
      <c r="B41" s="995" t="s">
        <v>183</v>
      </c>
      <c r="C41" s="993">
        <f>'DAFTAR UPAH MEI 2025'!BC62</f>
        <v>5587749</v>
      </c>
      <c r="D41" s="993" t="s">
        <v>217</v>
      </c>
      <c r="E41" s="996" t="s">
        <v>154</v>
      </c>
      <c r="F41" s="1413" t="s">
        <v>159</v>
      </c>
      <c r="G41" s="818">
        <v>5587745.5</v>
      </c>
      <c r="H41" s="1168">
        <f t="shared" si="0"/>
        <v>3.5</v>
      </c>
      <c r="I41" s="967"/>
      <c r="J41" s="966">
        <v>13101026824502</v>
      </c>
      <c r="K41" s="1158">
        <f t="shared" si="2"/>
        <v>0</v>
      </c>
      <c r="L41" s="1158"/>
      <c r="M41" s="1158"/>
      <c r="N41" s="1158"/>
      <c r="O41" s="1158"/>
      <c r="P41" s="1158"/>
      <c r="Q41" s="1158"/>
      <c r="R41" s="1158"/>
    </row>
    <row r="42" spans="1:20" ht="29.25" customHeight="1">
      <c r="A42" s="992">
        <v>36</v>
      </c>
      <c r="B42" s="983" t="s">
        <v>363</v>
      </c>
      <c r="C42" s="993">
        <f>'DAFTAR UPAH MEI 2025'!BC63</f>
        <v>7205523.8200000003</v>
      </c>
      <c r="D42" s="993" t="s">
        <v>219</v>
      </c>
      <c r="E42" s="978" t="s">
        <v>220</v>
      </c>
      <c r="F42" s="1413" t="s">
        <v>159</v>
      </c>
      <c r="G42" s="818">
        <v>7205519.5</v>
      </c>
      <c r="H42" s="1168">
        <f t="shared" si="0"/>
        <v>4.3200000002980232</v>
      </c>
      <c r="I42" s="967"/>
      <c r="J42" s="966">
        <v>13101028450503</v>
      </c>
      <c r="K42" s="1158">
        <f t="shared" si="2"/>
        <v>0</v>
      </c>
      <c r="L42" s="1158"/>
      <c r="M42" s="1158"/>
      <c r="N42" s="1158"/>
      <c r="O42" s="1158"/>
      <c r="P42" s="1158"/>
      <c r="Q42" s="1158"/>
      <c r="R42" s="1158"/>
    </row>
    <row r="43" spans="1:20" ht="29.25" customHeight="1">
      <c r="A43" s="992">
        <v>37</v>
      </c>
      <c r="B43" s="997" t="s">
        <v>181</v>
      </c>
      <c r="C43" s="993">
        <f>'DAFTAR UPAH MEI 2025'!BC64</f>
        <v>7442715.46</v>
      </c>
      <c r="D43" s="993" t="s">
        <v>155</v>
      </c>
      <c r="E43" s="996" t="s">
        <v>99</v>
      </c>
      <c r="F43" s="1413" t="s">
        <v>159</v>
      </c>
      <c r="G43" s="818">
        <v>7442714.5</v>
      </c>
      <c r="H43" s="1168">
        <f t="shared" si="0"/>
        <v>0.9599999999627471</v>
      </c>
      <c r="I43" s="967"/>
      <c r="J43" s="966">
        <v>13101023076508</v>
      </c>
      <c r="K43" s="1158">
        <f t="shared" si="2"/>
        <v>0</v>
      </c>
      <c r="L43" s="1158"/>
      <c r="M43" s="1158"/>
      <c r="N43" s="1158"/>
      <c r="O43" s="1158"/>
      <c r="P43" s="1158"/>
      <c r="Q43" s="1158"/>
      <c r="R43" s="1158"/>
    </row>
    <row r="44" spans="1:20" ht="29.25" customHeight="1">
      <c r="A44" s="992">
        <v>38</v>
      </c>
      <c r="B44" s="985" t="s">
        <v>180</v>
      </c>
      <c r="C44" s="993">
        <f>'DAFTAR UPAH MEI 2025'!BC65</f>
        <v>6361494.1600000001</v>
      </c>
      <c r="D44" s="993" t="s">
        <v>150</v>
      </c>
      <c r="E44" s="978" t="s">
        <v>143</v>
      </c>
      <c r="F44" s="1413" t="s">
        <v>159</v>
      </c>
      <c r="G44" s="818">
        <v>6361489</v>
      </c>
      <c r="H44" s="1168">
        <f t="shared" si="0"/>
        <v>5.1600000001490116</v>
      </c>
      <c r="I44" s="967"/>
      <c r="J44" s="966">
        <v>13101026839507</v>
      </c>
      <c r="K44" s="1158">
        <f t="shared" si="2"/>
        <v>0</v>
      </c>
      <c r="L44" s="1158"/>
      <c r="M44" s="1158"/>
      <c r="N44" s="1158"/>
      <c r="O44" s="1158"/>
      <c r="P44" s="1158"/>
      <c r="Q44" s="1158"/>
      <c r="R44" s="1158"/>
    </row>
    <row r="45" spans="1:20" ht="29.25" customHeight="1">
      <c r="A45" s="992">
        <v>39</v>
      </c>
      <c r="B45" s="985" t="s">
        <v>225</v>
      </c>
      <c r="C45" s="993">
        <f>'DAFTAR UPAH MEI 2025'!BC66</f>
        <v>6917437.3399999999</v>
      </c>
      <c r="D45" s="993" t="s">
        <v>223</v>
      </c>
      <c r="E45" s="978" t="s">
        <v>224</v>
      </c>
      <c r="F45" s="1413" t="s">
        <v>159</v>
      </c>
      <c r="G45" s="818">
        <v>6917431</v>
      </c>
      <c r="H45" s="1168">
        <f t="shared" si="0"/>
        <v>6.3399999998509884</v>
      </c>
      <c r="I45" s="967"/>
      <c r="J45" s="966">
        <v>13101041337506</v>
      </c>
      <c r="K45" s="1158">
        <f t="shared" si="2"/>
        <v>0</v>
      </c>
      <c r="L45" s="1158"/>
      <c r="M45" s="1158"/>
      <c r="N45" s="1158"/>
      <c r="O45" s="1158"/>
      <c r="P45" s="1158"/>
      <c r="Q45" s="1158"/>
      <c r="R45" s="1158"/>
    </row>
    <row r="46" spans="1:20" ht="29.25" customHeight="1">
      <c r="A46" s="992">
        <v>40</v>
      </c>
      <c r="B46" s="997" t="s">
        <v>566</v>
      </c>
      <c r="C46" s="993">
        <f>'DAFTAR UPAH MEI 2025'!BC67</f>
        <v>6854734.1799999997</v>
      </c>
      <c r="D46" s="993" t="s">
        <v>604</v>
      </c>
      <c r="E46" s="996" t="s">
        <v>560</v>
      </c>
      <c r="F46" s="1413" t="s">
        <v>159</v>
      </c>
      <c r="G46" s="818">
        <v>6854729</v>
      </c>
      <c r="H46" s="1168">
        <f t="shared" si="0"/>
        <v>5.1799999997019768</v>
      </c>
      <c r="I46" s="967"/>
      <c r="J46" s="966">
        <v>13101020720506</v>
      </c>
      <c r="K46" s="1158">
        <f t="shared" si="2"/>
        <v>0</v>
      </c>
      <c r="L46" s="1158"/>
      <c r="M46" s="1158"/>
      <c r="N46" s="1158"/>
      <c r="O46" s="1158"/>
      <c r="P46" s="1158"/>
      <c r="Q46" s="1158"/>
      <c r="R46" s="1158"/>
      <c r="T46" s="1019"/>
    </row>
    <row r="47" spans="1:20" ht="29.25" customHeight="1" thickBot="1">
      <c r="A47" s="992">
        <v>41</v>
      </c>
      <c r="B47" s="998" t="s">
        <v>567</v>
      </c>
      <c r="C47" s="993">
        <f>'DAFTAR UPAH MEI 2025'!BC68</f>
        <v>6742417</v>
      </c>
      <c r="D47" s="999" t="s">
        <v>605</v>
      </c>
      <c r="E47" s="1000" t="s">
        <v>561</v>
      </c>
      <c r="F47" s="1417" t="s">
        <v>159</v>
      </c>
      <c r="G47" s="1177">
        <v>6742411.5</v>
      </c>
      <c r="H47" s="1169">
        <f t="shared" si="0"/>
        <v>5.5</v>
      </c>
      <c r="I47" s="967"/>
      <c r="J47" s="966">
        <v>13101023073500</v>
      </c>
      <c r="K47" s="1158">
        <f t="shared" si="2"/>
        <v>0</v>
      </c>
      <c r="L47" s="1158"/>
      <c r="M47" s="1158"/>
      <c r="N47" s="1158"/>
      <c r="O47" s="1158"/>
      <c r="P47" s="1158"/>
      <c r="Q47" s="1158"/>
      <c r="R47" s="1158"/>
    </row>
    <row r="48" spans="1:20" ht="29.25" customHeight="1" thickBot="1">
      <c r="A48" s="2300" t="s">
        <v>38</v>
      </c>
      <c r="B48" s="2301"/>
      <c r="C48" s="990">
        <f>SUM(C40:C47)</f>
        <v>53091285.420000002</v>
      </c>
      <c r="D48" s="991"/>
      <c r="E48" s="991"/>
      <c r="F48" s="1418" t="e">
        <f>C48-#REF!</f>
        <v>#REF!</v>
      </c>
      <c r="G48" s="990">
        <f t="shared" ref="G48:H48" si="3">SUM(G40:G47)</f>
        <v>53091250.5</v>
      </c>
      <c r="H48" s="990">
        <f t="shared" si="3"/>
        <v>34.919999999925494</v>
      </c>
      <c r="I48" s="1166"/>
      <c r="K48" s="1158">
        <f t="shared" si="2"/>
        <v>0</v>
      </c>
      <c r="L48" s="1158"/>
      <c r="M48" s="1158"/>
      <c r="N48" s="1158"/>
      <c r="O48" s="1158"/>
      <c r="P48" s="1158"/>
      <c r="Q48" s="1158"/>
      <c r="R48" s="1158"/>
    </row>
    <row r="49" spans="1:18" ht="29.25" customHeight="1">
      <c r="A49" s="1001" t="s">
        <v>697</v>
      </c>
      <c r="B49" s="1002" t="s">
        <v>229</v>
      </c>
      <c r="C49" s="1008">
        <f>'DAFTAR UPAH MEI 2025'!BC88</f>
        <v>5007183.25</v>
      </c>
      <c r="D49" s="999" t="s">
        <v>337</v>
      </c>
      <c r="E49" s="1003" t="s">
        <v>250</v>
      </c>
      <c r="F49" s="1416" t="s">
        <v>159</v>
      </c>
      <c r="G49" s="1175">
        <v>5007181</v>
      </c>
      <c r="H49" s="1172">
        <f t="shared" ref="H49:H70" si="4">C49-G49</f>
        <v>2.25</v>
      </c>
      <c r="I49" s="967"/>
      <c r="J49" s="966">
        <v>13101042423504</v>
      </c>
      <c r="K49" s="1158">
        <f t="shared" si="2"/>
        <v>0</v>
      </c>
      <c r="L49" s="1158"/>
      <c r="M49" s="1158"/>
      <c r="N49" s="1158"/>
      <c r="O49" s="1158"/>
      <c r="P49" s="1158"/>
      <c r="Q49" s="1158"/>
      <c r="R49" s="1158"/>
    </row>
    <row r="50" spans="1:18" ht="29.25" customHeight="1">
      <c r="A50" s="1001" t="s">
        <v>620</v>
      </c>
      <c r="B50" s="983" t="s">
        <v>221</v>
      </c>
      <c r="C50" s="977">
        <f>'DAFTAR UPAH MEI 2025'!BC89</f>
        <v>5664018.5300000003</v>
      </c>
      <c r="D50" s="977" t="s">
        <v>144</v>
      </c>
      <c r="E50" s="978" t="s">
        <v>136</v>
      </c>
      <c r="F50" s="1413" t="s">
        <v>159</v>
      </c>
      <c r="G50" s="818">
        <v>5664015</v>
      </c>
      <c r="H50" s="1168">
        <f t="shared" si="4"/>
        <v>3.5300000002607703</v>
      </c>
      <c r="I50" s="967"/>
      <c r="J50" s="966">
        <v>13101040574503</v>
      </c>
      <c r="K50" s="1158">
        <f t="shared" si="2"/>
        <v>0</v>
      </c>
      <c r="L50" s="1158"/>
      <c r="M50" s="1158"/>
      <c r="N50" s="1158"/>
      <c r="O50" s="1158"/>
      <c r="P50" s="1158"/>
      <c r="Q50" s="1158"/>
      <c r="R50" s="1158"/>
    </row>
    <row r="51" spans="1:18" ht="29.25" customHeight="1">
      <c r="A51" s="1001" t="s">
        <v>654</v>
      </c>
      <c r="B51" s="983" t="s">
        <v>174</v>
      </c>
      <c r="C51" s="977">
        <f>'DAFTAR UPAH MEI 2025'!BC90</f>
        <v>5663920.9800000004</v>
      </c>
      <c r="D51" s="977" t="s">
        <v>129</v>
      </c>
      <c r="E51" s="978" t="s">
        <v>111</v>
      </c>
      <c r="F51" s="1413" t="s">
        <v>159</v>
      </c>
      <c r="G51" s="818">
        <v>5663917</v>
      </c>
      <c r="H51" s="1168">
        <f t="shared" si="4"/>
        <v>3.9800000004470348</v>
      </c>
      <c r="I51" s="967">
        <v>17925</v>
      </c>
      <c r="J51" s="966">
        <v>13101021137502</v>
      </c>
      <c r="K51" s="1158">
        <f t="shared" si="2"/>
        <v>0</v>
      </c>
      <c r="L51" s="1158"/>
      <c r="M51" s="1158"/>
      <c r="N51" s="1158"/>
      <c r="O51" s="1158"/>
      <c r="P51" s="1158"/>
      <c r="Q51" s="1158"/>
      <c r="R51" s="1158"/>
    </row>
    <row r="52" spans="1:18" ht="29.25" customHeight="1">
      <c r="A52" s="1001" t="s">
        <v>655</v>
      </c>
      <c r="B52" s="983" t="s">
        <v>204</v>
      </c>
      <c r="C52" s="977">
        <f>'DAFTAR UPAH MEI 2025'!BC91</f>
        <v>5895847</v>
      </c>
      <c r="D52" s="977" t="s">
        <v>146</v>
      </c>
      <c r="E52" s="978" t="s">
        <v>138</v>
      </c>
      <c r="F52" s="1413" t="s">
        <v>159</v>
      </c>
      <c r="G52" s="818">
        <f>5894097+1750</f>
        <v>5895847</v>
      </c>
      <c r="H52" s="1485">
        <f t="shared" si="4"/>
        <v>0</v>
      </c>
      <c r="I52" s="967"/>
      <c r="J52" s="966">
        <v>13101023605501</v>
      </c>
      <c r="K52" s="1158">
        <f t="shared" si="2"/>
        <v>0</v>
      </c>
      <c r="L52" s="1158"/>
      <c r="M52" s="1158"/>
      <c r="N52" s="1158"/>
      <c r="O52" s="1158"/>
      <c r="P52" s="1158"/>
      <c r="Q52" s="1158"/>
      <c r="R52" s="1158"/>
    </row>
    <row r="53" spans="1:18" ht="29.25" customHeight="1">
      <c r="A53" s="1001" t="s">
        <v>656</v>
      </c>
      <c r="B53" s="983" t="s">
        <v>206</v>
      </c>
      <c r="C53" s="977">
        <f>'DAFTAR UPAH MEI 2025'!BC92</f>
        <v>4929931</v>
      </c>
      <c r="D53" s="977" t="s">
        <v>148</v>
      </c>
      <c r="E53" s="978" t="s">
        <v>141</v>
      </c>
      <c r="F53" s="1413" t="s">
        <v>159</v>
      </c>
      <c r="G53" s="818">
        <v>4929931</v>
      </c>
      <c r="H53" s="1168">
        <f t="shared" si="4"/>
        <v>0</v>
      </c>
      <c r="I53" s="967"/>
      <c r="J53" s="966">
        <v>13101035282501</v>
      </c>
      <c r="K53" s="1158">
        <f t="shared" si="2"/>
        <v>0</v>
      </c>
      <c r="L53" s="1158"/>
      <c r="M53" s="1158"/>
      <c r="N53" s="1158"/>
      <c r="O53" s="1158"/>
      <c r="P53" s="1158"/>
      <c r="Q53" s="1158"/>
      <c r="R53" s="1158"/>
    </row>
    <row r="54" spans="1:18" ht="29.25" customHeight="1">
      <c r="A54" s="1001" t="s">
        <v>657</v>
      </c>
      <c r="B54" s="983" t="s">
        <v>207</v>
      </c>
      <c r="C54" s="977">
        <f>'DAFTAR UPAH MEI 2025'!BC93</f>
        <v>5622844</v>
      </c>
      <c r="D54" s="977" t="s">
        <v>149</v>
      </c>
      <c r="E54" s="978" t="s">
        <v>347</v>
      </c>
      <c r="F54" s="1413" t="s">
        <v>159</v>
      </c>
      <c r="G54" s="818">
        <v>5622844</v>
      </c>
      <c r="H54" s="1168">
        <f t="shared" si="4"/>
        <v>0</v>
      </c>
      <c r="I54" s="967"/>
      <c r="J54" s="966">
        <v>13101035281505</v>
      </c>
      <c r="K54" s="1158">
        <f t="shared" si="2"/>
        <v>0</v>
      </c>
      <c r="L54" s="1158"/>
      <c r="M54" s="1158"/>
      <c r="N54" s="1158"/>
      <c r="O54" s="1158"/>
      <c r="P54" s="1158"/>
      <c r="Q54" s="1158"/>
      <c r="R54" s="1158"/>
    </row>
    <row r="55" spans="1:18" ht="29.25" customHeight="1">
      <c r="A55" s="1001" t="s">
        <v>658</v>
      </c>
      <c r="B55" s="983" t="s">
        <v>279</v>
      </c>
      <c r="C55" s="977">
        <f>'DAFTAR UPAH MEI 2025'!BC94</f>
        <v>4712134</v>
      </c>
      <c r="D55" s="977" t="s">
        <v>277</v>
      </c>
      <c r="E55" s="978" t="s">
        <v>276</v>
      </c>
      <c r="F55" s="1413" t="s">
        <v>159</v>
      </c>
      <c r="G55" s="818">
        <v>4712134</v>
      </c>
      <c r="H55" s="1168">
        <f t="shared" si="4"/>
        <v>0</v>
      </c>
      <c r="I55" s="967"/>
      <c r="J55" s="966">
        <v>13101046760500</v>
      </c>
      <c r="K55" s="1158">
        <f t="shared" si="2"/>
        <v>0</v>
      </c>
      <c r="L55" s="1158"/>
      <c r="M55" s="1158"/>
      <c r="N55" s="1158"/>
      <c r="O55" s="1158"/>
      <c r="P55" s="1158"/>
      <c r="Q55" s="1158"/>
      <c r="R55" s="1158"/>
    </row>
    <row r="56" spans="1:18" ht="29.25" customHeight="1">
      <c r="A56" s="1001" t="s">
        <v>659</v>
      </c>
      <c r="B56" s="983" t="s">
        <v>291</v>
      </c>
      <c r="C56" s="977">
        <f>'DAFTAR UPAH MEI 2025'!BC95</f>
        <v>4705659</v>
      </c>
      <c r="D56" s="977" t="s">
        <v>283</v>
      </c>
      <c r="E56" s="978" t="s">
        <v>340</v>
      </c>
      <c r="F56" s="1413" t="s">
        <v>159</v>
      </c>
      <c r="G56" s="818">
        <v>4705659</v>
      </c>
      <c r="H56" s="1168">
        <f t="shared" si="4"/>
        <v>0</v>
      </c>
      <c r="I56" s="967"/>
      <c r="J56" s="966">
        <v>13101047801503</v>
      </c>
      <c r="K56" s="1158">
        <f t="shared" si="2"/>
        <v>0</v>
      </c>
      <c r="L56" s="1158"/>
      <c r="M56" s="1158"/>
      <c r="N56" s="1158"/>
      <c r="O56" s="1158"/>
      <c r="P56" s="1158"/>
      <c r="Q56" s="1158"/>
      <c r="R56" s="1158"/>
    </row>
    <row r="57" spans="1:18" ht="29.25" customHeight="1">
      <c r="A57" s="1001" t="s">
        <v>660</v>
      </c>
      <c r="B57" s="983" t="s">
        <v>345</v>
      </c>
      <c r="C57" s="977">
        <f>'DAFTAR UPAH MEI 2025'!BC96</f>
        <v>5030322</v>
      </c>
      <c r="D57" s="977" t="s">
        <v>283</v>
      </c>
      <c r="E57" s="1004" t="s">
        <v>339</v>
      </c>
      <c r="F57" s="1413" t="s">
        <v>159</v>
      </c>
      <c r="G57" s="818">
        <v>5030322</v>
      </c>
      <c r="H57" s="1168">
        <f t="shared" si="4"/>
        <v>0</v>
      </c>
      <c r="I57" s="967"/>
      <c r="J57" s="966">
        <v>13101049569505</v>
      </c>
      <c r="K57" s="1158">
        <f t="shared" si="2"/>
        <v>0</v>
      </c>
      <c r="L57" s="1158"/>
      <c r="M57" s="1158"/>
      <c r="N57" s="1158"/>
      <c r="O57" s="1158"/>
      <c r="P57" s="1158"/>
      <c r="Q57" s="1158"/>
      <c r="R57" s="1158"/>
    </row>
    <row r="58" spans="1:18" ht="29.25" customHeight="1">
      <c r="A58" s="1001" t="s">
        <v>661</v>
      </c>
      <c r="B58" s="983" t="s">
        <v>404</v>
      </c>
      <c r="C58" s="977">
        <f>'DAFTAR UPAH MEI 2025'!BC97</f>
        <v>5776959</v>
      </c>
      <c r="D58" s="977" t="s">
        <v>351</v>
      </c>
      <c r="E58" s="978" t="s">
        <v>346</v>
      </c>
      <c r="F58" s="1413" t="s">
        <v>159</v>
      </c>
      <c r="G58" s="818">
        <v>5776959</v>
      </c>
      <c r="H58" s="1168">
        <f t="shared" si="4"/>
        <v>0</v>
      </c>
      <c r="I58" s="967"/>
      <c r="J58" s="966">
        <v>13101050510507</v>
      </c>
      <c r="K58" s="1158">
        <f t="shared" si="2"/>
        <v>0</v>
      </c>
      <c r="L58" s="1158"/>
      <c r="M58" s="1158"/>
      <c r="N58" s="1158"/>
      <c r="O58" s="1158"/>
      <c r="P58" s="1158"/>
      <c r="Q58" s="1158"/>
      <c r="R58" s="1158"/>
    </row>
    <row r="59" spans="1:18" ht="29.25" customHeight="1">
      <c r="A59" s="1001" t="s">
        <v>662</v>
      </c>
      <c r="B59" s="983" t="s">
        <v>406</v>
      </c>
      <c r="C59" s="977">
        <f>'DAFTAR UPAH MEI 2025'!BC98</f>
        <v>6284953</v>
      </c>
      <c r="D59" s="977" t="s">
        <v>395</v>
      </c>
      <c r="E59" s="978" t="s">
        <v>370</v>
      </c>
      <c r="F59" s="1413" t="s">
        <v>159</v>
      </c>
      <c r="G59" s="818">
        <v>6284953</v>
      </c>
      <c r="H59" s="1168">
        <f t="shared" si="4"/>
        <v>0</v>
      </c>
      <c r="I59" s="967"/>
      <c r="J59" s="966">
        <v>13101050914507</v>
      </c>
      <c r="K59" s="1158">
        <f t="shared" si="2"/>
        <v>0</v>
      </c>
      <c r="L59" s="1158"/>
      <c r="M59" s="1158"/>
      <c r="N59" s="1158"/>
      <c r="O59" s="1158"/>
      <c r="P59" s="1158"/>
      <c r="Q59" s="1158"/>
      <c r="R59" s="1158"/>
    </row>
    <row r="60" spans="1:18" ht="29.25" customHeight="1">
      <c r="A60" s="1001" t="s">
        <v>663</v>
      </c>
      <c r="B60" s="983" t="s">
        <v>407</v>
      </c>
      <c r="C60" s="977">
        <f>'DAFTAR UPAH MEI 2025'!BC99</f>
        <v>4910846</v>
      </c>
      <c r="D60" s="977" t="s">
        <v>396</v>
      </c>
      <c r="E60" s="1181" t="s">
        <v>577</v>
      </c>
      <c r="F60" s="1413" t="s">
        <v>159</v>
      </c>
      <c r="G60" s="818">
        <v>4910846</v>
      </c>
      <c r="H60" s="1168">
        <f t="shared" si="4"/>
        <v>0</v>
      </c>
      <c r="I60" s="967"/>
      <c r="J60" s="966">
        <v>13101050910503</v>
      </c>
      <c r="K60" s="1158">
        <f t="shared" si="2"/>
        <v>0</v>
      </c>
      <c r="L60" s="1158"/>
      <c r="M60" s="1158"/>
      <c r="N60" s="1158"/>
      <c r="O60" s="1158"/>
      <c r="P60" s="1158"/>
      <c r="Q60" s="1158"/>
      <c r="R60" s="1158"/>
    </row>
    <row r="61" spans="1:18" ht="29.25" customHeight="1">
      <c r="A61" s="1001" t="s">
        <v>664</v>
      </c>
      <c r="B61" s="1005" t="s">
        <v>425</v>
      </c>
      <c r="C61" s="977">
        <f>'DAFTAR UPAH MEI 2025'!BC100</f>
        <v>5125777</v>
      </c>
      <c r="D61" s="1006" t="s">
        <v>423</v>
      </c>
      <c r="E61" s="1007" t="s">
        <v>409</v>
      </c>
      <c r="F61" s="1413" t="s">
        <v>159</v>
      </c>
      <c r="G61" s="818">
        <v>5125777</v>
      </c>
      <c r="H61" s="1168">
        <f t="shared" si="4"/>
        <v>0</v>
      </c>
      <c r="I61" s="967"/>
      <c r="J61" s="966">
        <v>13101050992505</v>
      </c>
      <c r="K61" s="1158">
        <f t="shared" si="2"/>
        <v>0</v>
      </c>
      <c r="L61" s="1158"/>
      <c r="M61" s="1158"/>
      <c r="N61" s="1158"/>
      <c r="O61" s="1158"/>
      <c r="P61" s="1158"/>
      <c r="Q61" s="1158"/>
      <c r="R61" s="1158"/>
    </row>
    <row r="62" spans="1:18" ht="29.25" customHeight="1">
      <c r="A62" s="1001" t="s">
        <v>665</v>
      </c>
      <c r="B62" s="983" t="s">
        <v>477</v>
      </c>
      <c r="C62" s="977">
        <f>'DAFTAR UPAH MEI 2025'!BC101</f>
        <v>5198610</v>
      </c>
      <c r="D62" s="977" t="s">
        <v>467</v>
      </c>
      <c r="E62" s="978" t="s">
        <v>464</v>
      </c>
      <c r="F62" s="1413" t="s">
        <v>159</v>
      </c>
      <c r="G62" s="818">
        <v>5198610</v>
      </c>
      <c r="H62" s="1168">
        <f t="shared" si="4"/>
        <v>0</v>
      </c>
      <c r="I62" s="967"/>
      <c r="J62" s="966">
        <v>13101051246509</v>
      </c>
      <c r="K62" s="1158">
        <f t="shared" si="2"/>
        <v>0</v>
      </c>
      <c r="L62" s="1158"/>
      <c r="M62" s="1158"/>
      <c r="N62" s="1158"/>
      <c r="O62" s="1158"/>
      <c r="P62" s="1158"/>
      <c r="Q62" s="1158"/>
      <c r="R62" s="1158"/>
    </row>
    <row r="63" spans="1:18" ht="29.25" customHeight="1">
      <c r="A63" s="1001" t="s">
        <v>666</v>
      </c>
      <c r="B63" s="983" t="s">
        <v>478</v>
      </c>
      <c r="C63" s="977">
        <f>'DAFTAR UPAH MEI 2025'!BC102</f>
        <v>5815563</v>
      </c>
      <c r="D63" s="977" t="s">
        <v>470</v>
      </c>
      <c r="E63" s="978" t="s">
        <v>469</v>
      </c>
      <c r="F63" s="1413" t="s">
        <v>159</v>
      </c>
      <c r="G63" s="818">
        <v>5815563</v>
      </c>
      <c r="H63" s="1168">
        <f t="shared" si="4"/>
        <v>0</v>
      </c>
      <c r="I63" s="967"/>
      <c r="J63" s="966">
        <v>13101051364501</v>
      </c>
      <c r="K63" s="1158">
        <f t="shared" si="2"/>
        <v>0</v>
      </c>
      <c r="L63" s="1158"/>
      <c r="M63" s="1158"/>
      <c r="N63" s="1158"/>
      <c r="O63" s="1158"/>
      <c r="P63" s="1158"/>
      <c r="Q63" s="1158"/>
      <c r="R63" s="1158"/>
    </row>
    <row r="64" spans="1:18" ht="29.25" customHeight="1">
      <c r="A64" s="1001" t="s">
        <v>667</v>
      </c>
      <c r="B64" s="983" t="s">
        <v>558</v>
      </c>
      <c r="C64" s="977">
        <f>'DAFTAR UPAH MEI 2025'!BC103</f>
        <v>4891572</v>
      </c>
      <c r="D64" s="977" t="s">
        <v>475</v>
      </c>
      <c r="E64" s="978" t="s">
        <v>474</v>
      </c>
      <c r="F64" s="1413" t="s">
        <v>159</v>
      </c>
      <c r="G64" s="818">
        <v>4891572</v>
      </c>
      <c r="H64" s="1168">
        <f t="shared" si="4"/>
        <v>0</v>
      </c>
      <c r="I64" s="967"/>
      <c r="J64" s="966">
        <v>13101051428509</v>
      </c>
      <c r="K64" s="1158">
        <f t="shared" si="2"/>
        <v>0</v>
      </c>
      <c r="L64" s="1158"/>
      <c r="M64" s="1158"/>
      <c r="N64" s="1158"/>
      <c r="O64" s="1158"/>
      <c r="P64" s="1158"/>
      <c r="Q64" s="1158"/>
      <c r="R64" s="1158"/>
    </row>
    <row r="65" spans="1:20" ht="29.25" customHeight="1">
      <c r="A65" s="1001" t="s">
        <v>668</v>
      </c>
      <c r="B65" s="983" t="s">
        <v>573</v>
      </c>
      <c r="C65" s="977">
        <f>'DAFTAR UPAH MEI 2025'!BC104</f>
        <v>5710416</v>
      </c>
      <c r="D65" s="977" t="s">
        <v>584</v>
      </c>
      <c r="E65" s="978" t="s">
        <v>555</v>
      </c>
      <c r="F65" s="1413" t="s">
        <v>159</v>
      </c>
      <c r="G65" s="1177">
        <v>5710416</v>
      </c>
      <c r="H65" s="1169">
        <f t="shared" si="4"/>
        <v>0</v>
      </c>
      <c r="I65" s="967"/>
      <c r="J65" s="966">
        <v>13101051582507</v>
      </c>
      <c r="K65" s="1158">
        <f t="shared" si="2"/>
        <v>0</v>
      </c>
      <c r="L65" s="1158"/>
      <c r="M65" s="1158"/>
      <c r="N65" s="1158"/>
      <c r="O65" s="1158"/>
      <c r="P65" s="1158"/>
      <c r="Q65" s="1158"/>
      <c r="R65" s="1158"/>
    </row>
    <row r="66" spans="1:20" ht="29.25" customHeight="1">
      <c r="A66" s="1001" t="s">
        <v>669</v>
      </c>
      <c r="B66" s="983" t="s">
        <v>704</v>
      </c>
      <c r="C66" s="977">
        <f>'DAFTAR UPAH MEI 2025'!BC105</f>
        <v>4867326</v>
      </c>
      <c r="D66" s="977" t="s">
        <v>700</v>
      </c>
      <c r="E66" s="978" t="s">
        <v>647</v>
      </c>
      <c r="F66" s="1413" t="s">
        <v>159</v>
      </c>
      <c r="G66" s="818">
        <v>4867326</v>
      </c>
      <c r="H66" s="1168">
        <f t="shared" si="4"/>
        <v>0</v>
      </c>
      <c r="I66" s="967"/>
      <c r="J66" s="966">
        <v>13101052329504</v>
      </c>
      <c r="K66" s="1158">
        <f t="shared" si="2"/>
        <v>0</v>
      </c>
      <c r="L66" s="1158"/>
      <c r="M66" s="1158"/>
      <c r="N66" s="1158"/>
      <c r="O66" s="1158"/>
      <c r="P66" s="1158"/>
      <c r="Q66" s="1158"/>
      <c r="R66" s="1158"/>
    </row>
    <row r="67" spans="1:20" ht="29.25" customHeight="1">
      <c r="A67" s="1001" t="s">
        <v>670</v>
      </c>
      <c r="B67" s="983" t="s">
        <v>705</v>
      </c>
      <c r="C67" s="977">
        <f>'DAFTAR UPAH MEI 2025'!BC106</f>
        <v>3015263</v>
      </c>
      <c r="D67" s="977" t="s">
        <v>701</v>
      </c>
      <c r="E67" s="978" t="s">
        <v>646</v>
      </c>
      <c r="F67" s="1413" t="s">
        <v>159</v>
      </c>
      <c r="G67" s="818">
        <v>3015263</v>
      </c>
      <c r="H67" s="1168">
        <f t="shared" si="4"/>
        <v>0</v>
      </c>
      <c r="I67" s="967"/>
      <c r="J67" s="966">
        <v>13101052343508</v>
      </c>
      <c r="K67" s="1158">
        <f t="shared" si="2"/>
        <v>0</v>
      </c>
      <c r="L67" s="1158"/>
      <c r="M67" s="1158"/>
      <c r="N67" s="1158"/>
      <c r="O67" s="1158"/>
      <c r="P67" s="1158"/>
      <c r="Q67" s="1158"/>
      <c r="R67" s="1158"/>
    </row>
    <row r="68" spans="1:20" ht="29.25" customHeight="1">
      <c r="A68" s="1001" t="s">
        <v>1017</v>
      </c>
      <c r="B68" s="983" t="s">
        <v>715</v>
      </c>
      <c r="C68" s="977">
        <f>'DAFTAR UPAH MEI 2025'!BC107</f>
        <v>4589036</v>
      </c>
      <c r="D68" s="977" t="s">
        <v>1016</v>
      </c>
      <c r="E68" s="978" t="s">
        <v>688</v>
      </c>
      <c r="F68" s="1413" t="s">
        <v>159</v>
      </c>
      <c r="G68" s="818">
        <f>4584386+4650</f>
        <v>4589036</v>
      </c>
      <c r="H68" s="1485">
        <f t="shared" si="4"/>
        <v>0</v>
      </c>
      <c r="I68" s="967">
        <v>4589036</v>
      </c>
      <c r="J68" s="966">
        <v>13101052419503</v>
      </c>
      <c r="K68" s="1158">
        <f t="shared" si="2"/>
        <v>0</v>
      </c>
      <c r="L68" s="1158"/>
      <c r="M68" s="1158"/>
      <c r="N68" s="1158"/>
      <c r="O68" s="1158"/>
      <c r="P68" s="1158"/>
      <c r="Q68" s="1158"/>
      <c r="R68" s="1158"/>
    </row>
    <row r="69" spans="1:20" ht="29.25" customHeight="1">
      <c r="A69" s="1001" t="s">
        <v>1018</v>
      </c>
      <c r="B69" s="1005" t="s">
        <v>716</v>
      </c>
      <c r="C69" s="977">
        <f>'DAFTAR UPAH MEI 2025'!BC108</f>
        <v>5023466</v>
      </c>
      <c r="D69" s="1006" t="s">
        <v>698</v>
      </c>
      <c r="E69" s="978" t="s">
        <v>691</v>
      </c>
      <c r="F69" s="1413" t="s">
        <v>159</v>
      </c>
      <c r="G69" s="818">
        <v>5023466</v>
      </c>
      <c r="H69" s="1168">
        <f t="shared" si="4"/>
        <v>0</v>
      </c>
      <c r="I69" s="967"/>
      <c r="J69" s="966">
        <v>13101052421500</v>
      </c>
      <c r="K69" s="1158">
        <f t="shared" si="2"/>
        <v>0</v>
      </c>
      <c r="L69" s="1158"/>
      <c r="M69" s="1158"/>
      <c r="N69" s="1158"/>
      <c r="O69" s="1158"/>
      <c r="P69" s="1158"/>
      <c r="Q69" s="1158"/>
      <c r="R69" s="1158"/>
    </row>
    <row r="70" spans="1:20" ht="29.25" customHeight="1" thickBot="1">
      <c r="A70" s="1001" t="s">
        <v>1019</v>
      </c>
      <c r="B70" s="1005" t="s">
        <v>717</v>
      </c>
      <c r="C70" s="977">
        <f>'DAFTAR UPAH MEI 2025'!BC109</f>
        <v>4822151</v>
      </c>
      <c r="D70" s="1006" t="s">
        <v>699</v>
      </c>
      <c r="E70" s="1007" t="s">
        <v>692</v>
      </c>
      <c r="F70" s="1413" t="s">
        <v>159</v>
      </c>
      <c r="G70" s="818">
        <v>4822151</v>
      </c>
      <c r="H70" s="1168">
        <f t="shared" si="4"/>
        <v>0</v>
      </c>
      <c r="I70" s="967"/>
      <c r="J70" s="966">
        <v>13101052420504</v>
      </c>
      <c r="K70" s="1158">
        <f t="shared" ref="K70:K75" si="5">B70-J70</f>
        <v>0</v>
      </c>
      <c r="L70" s="1158"/>
      <c r="M70" s="1158"/>
      <c r="N70" s="1158"/>
      <c r="O70" s="1158"/>
      <c r="P70" s="1158"/>
      <c r="Q70" s="1158"/>
      <c r="R70" s="1158"/>
    </row>
    <row r="71" spans="1:20" ht="29.25" customHeight="1" thickBot="1">
      <c r="A71" s="2300" t="s">
        <v>38</v>
      </c>
      <c r="B71" s="2301"/>
      <c r="C71" s="990">
        <f>SUM(C49:C70)</f>
        <v>113263797.76000001</v>
      </c>
      <c r="D71" s="991"/>
      <c r="E71" s="991"/>
      <c r="F71" s="1418" t="e">
        <f>C71-#REF!</f>
        <v>#REF!</v>
      </c>
      <c r="G71" s="990">
        <f t="shared" ref="G71:H71" si="6">SUM(G49:G70)</f>
        <v>113263788</v>
      </c>
      <c r="H71" s="990">
        <f t="shared" si="6"/>
        <v>9.7600000007078052</v>
      </c>
      <c r="I71" s="1166"/>
      <c r="K71" s="1158">
        <f t="shared" si="5"/>
        <v>0</v>
      </c>
      <c r="L71" s="1158"/>
      <c r="M71" s="1158"/>
      <c r="N71" s="1158"/>
      <c r="O71" s="1158"/>
      <c r="P71" s="1158"/>
      <c r="Q71" s="1158"/>
      <c r="R71" s="1158"/>
    </row>
    <row r="72" spans="1:20" ht="29.25" customHeight="1">
      <c r="A72" s="1009">
        <v>64</v>
      </c>
      <c r="B72" s="983" t="s">
        <v>760</v>
      </c>
      <c r="C72" s="977">
        <f>'DAFTAR UPAH MEI 2025'!BC130</f>
        <v>4459120</v>
      </c>
      <c r="D72" s="977" t="s">
        <v>767</v>
      </c>
      <c r="E72" s="978" t="s">
        <v>748</v>
      </c>
      <c r="F72" s="1413" t="s">
        <v>159</v>
      </c>
      <c r="G72" s="818">
        <v>4459120</v>
      </c>
      <c r="H72" s="1168">
        <f t="shared" ref="H72:H79" si="7">C72-G72</f>
        <v>0</v>
      </c>
      <c r="I72" s="967"/>
      <c r="J72" s="966">
        <v>13101052733509</v>
      </c>
      <c r="K72" s="1158">
        <f t="shared" si="5"/>
        <v>0</v>
      </c>
      <c r="L72" s="1158"/>
      <c r="M72" s="1158"/>
      <c r="N72" s="1158"/>
      <c r="O72" s="1158"/>
      <c r="P72" s="1158"/>
      <c r="Q72" s="1158"/>
      <c r="R72" s="1158"/>
    </row>
    <row r="73" spans="1:20" ht="29.25" customHeight="1">
      <c r="A73" s="1009">
        <v>65</v>
      </c>
      <c r="B73" s="983" t="s">
        <v>761</v>
      </c>
      <c r="C73" s="977">
        <f>'DAFTAR UPAH MEI 2025'!BC131</f>
        <v>4489099</v>
      </c>
      <c r="D73" s="977" t="s">
        <v>765</v>
      </c>
      <c r="E73" s="978" t="s">
        <v>749</v>
      </c>
      <c r="F73" s="1413" t="s">
        <v>159</v>
      </c>
      <c r="G73" s="818">
        <v>4489099</v>
      </c>
      <c r="H73" s="1168">
        <f t="shared" si="7"/>
        <v>0</v>
      </c>
      <c r="I73" s="967"/>
      <c r="J73" s="966">
        <v>13101052735501</v>
      </c>
      <c r="K73" s="1158">
        <f t="shared" si="5"/>
        <v>0</v>
      </c>
      <c r="L73" s="1158"/>
      <c r="M73" s="1158"/>
      <c r="N73" s="1158"/>
      <c r="O73" s="1158"/>
      <c r="P73" s="1158"/>
      <c r="Q73" s="1158"/>
      <c r="R73" s="1158"/>
    </row>
    <row r="74" spans="1:20" ht="29.25" customHeight="1">
      <c r="A74" s="1009">
        <v>66</v>
      </c>
      <c r="B74" s="983" t="s">
        <v>762</v>
      </c>
      <c r="C74" s="977">
        <f>'DAFTAR UPAH MEI 2025'!BC132</f>
        <v>4638769</v>
      </c>
      <c r="D74" s="977" t="s">
        <v>766</v>
      </c>
      <c r="E74" s="978" t="s">
        <v>750</v>
      </c>
      <c r="F74" s="1413" t="s">
        <v>159</v>
      </c>
      <c r="G74" s="818">
        <v>4638769</v>
      </c>
      <c r="H74" s="1168">
        <f t="shared" si="7"/>
        <v>0</v>
      </c>
      <c r="I74" s="967"/>
      <c r="J74" s="966">
        <v>13101052736507</v>
      </c>
      <c r="K74" s="1158">
        <f t="shared" si="5"/>
        <v>0</v>
      </c>
      <c r="L74" s="1158"/>
      <c r="M74" s="1158"/>
      <c r="N74" s="1158"/>
      <c r="O74" s="1158"/>
      <c r="P74" s="1158"/>
      <c r="Q74" s="1158"/>
      <c r="R74" s="1158"/>
    </row>
    <row r="75" spans="1:20" ht="29.25" customHeight="1">
      <c r="A75" s="1009">
        <v>67</v>
      </c>
      <c r="B75" s="1005" t="s">
        <v>763</v>
      </c>
      <c r="C75" s="977">
        <f>'DAFTAR UPAH MEI 2025'!BC133</f>
        <v>4624874</v>
      </c>
      <c r="D75" s="1006" t="s">
        <v>764</v>
      </c>
      <c r="E75" s="1007" t="s">
        <v>751</v>
      </c>
      <c r="F75" s="1417" t="s">
        <v>159</v>
      </c>
      <c r="G75" s="818">
        <v>4624874</v>
      </c>
      <c r="H75" s="1168">
        <f t="shared" si="7"/>
        <v>0</v>
      </c>
      <c r="I75" s="967"/>
      <c r="J75" s="966">
        <v>13101052734505</v>
      </c>
      <c r="K75" s="1158">
        <f t="shared" si="5"/>
        <v>0</v>
      </c>
      <c r="L75" s="1158"/>
      <c r="M75" s="1158"/>
      <c r="N75" s="1158"/>
      <c r="O75" s="1158"/>
      <c r="P75" s="1158"/>
      <c r="Q75" s="1158"/>
      <c r="R75" s="1158"/>
    </row>
    <row r="76" spans="1:20" ht="29.25" customHeight="1">
      <c r="A76" s="1009">
        <v>68</v>
      </c>
      <c r="B76" s="983" t="s">
        <v>1024</v>
      </c>
      <c r="C76" s="977">
        <f>'DAFTAR UPAH MEI 2025'!BC134</f>
        <v>4416126</v>
      </c>
      <c r="D76" s="1279" t="s">
        <v>1028</v>
      </c>
      <c r="E76" s="1278" t="s">
        <v>781</v>
      </c>
      <c r="F76" s="1413" t="s">
        <v>159</v>
      </c>
      <c r="G76" s="818">
        <v>4416126</v>
      </c>
      <c r="H76" s="1168">
        <f t="shared" si="7"/>
        <v>0</v>
      </c>
      <c r="I76" s="1336" t="s">
        <v>1024</v>
      </c>
      <c r="J76" s="966">
        <f>B76-I76</f>
        <v>0</v>
      </c>
      <c r="K76" s="1158"/>
      <c r="L76" s="1158"/>
      <c r="M76" s="1158"/>
      <c r="N76" s="1158"/>
      <c r="O76" s="1158"/>
      <c r="P76" s="1158"/>
      <c r="Q76" s="1158"/>
      <c r="R76" s="1158"/>
    </row>
    <row r="77" spans="1:20" ht="29.25" customHeight="1">
      <c r="A77" s="1009">
        <v>69</v>
      </c>
      <c r="B77" s="983" t="s">
        <v>1025</v>
      </c>
      <c r="C77" s="977">
        <f>'DAFTAR UPAH MEI 2025'!BC135</f>
        <v>4395429</v>
      </c>
      <c r="D77" s="1279" t="s">
        <v>1029</v>
      </c>
      <c r="E77" s="1278" t="s">
        <v>774</v>
      </c>
      <c r="F77" s="1413" t="s">
        <v>159</v>
      </c>
      <c r="G77" s="818">
        <v>4395429</v>
      </c>
      <c r="H77" s="1168">
        <f t="shared" si="7"/>
        <v>0</v>
      </c>
      <c r="I77" s="967">
        <v>13101052823508</v>
      </c>
      <c r="J77" s="966">
        <f>B77-I77</f>
        <v>0</v>
      </c>
      <c r="K77" s="1158"/>
      <c r="L77" s="1158"/>
      <c r="M77" s="1158"/>
      <c r="N77" s="1158"/>
      <c r="O77" s="1158"/>
      <c r="P77" s="1158"/>
      <c r="Q77" s="1158"/>
      <c r="R77" s="1158"/>
    </row>
    <row r="78" spans="1:20" ht="29.25" customHeight="1">
      <c r="A78" s="1009">
        <v>70</v>
      </c>
      <c r="B78" s="983" t="s">
        <v>1026</v>
      </c>
      <c r="C78" s="977">
        <f>'DAFTAR UPAH MEI 2025'!BC136</f>
        <v>1899225</v>
      </c>
      <c r="D78" s="1279" t="s">
        <v>1030</v>
      </c>
      <c r="E78" s="1278" t="s">
        <v>776</v>
      </c>
      <c r="F78" s="1413" t="s">
        <v>159</v>
      </c>
      <c r="G78" s="818">
        <v>1899225</v>
      </c>
      <c r="H78" s="1168">
        <f t="shared" si="7"/>
        <v>0</v>
      </c>
      <c r="I78" s="1336" t="s">
        <v>1026</v>
      </c>
      <c r="J78" s="966">
        <f>B78-I78</f>
        <v>0</v>
      </c>
      <c r="K78" s="1158"/>
      <c r="L78" s="1158"/>
      <c r="M78" s="1158"/>
      <c r="N78" s="1158"/>
      <c r="O78" s="1158"/>
      <c r="P78" s="1158"/>
      <c r="Q78" s="1158"/>
      <c r="R78" s="1158"/>
    </row>
    <row r="79" spans="1:20" ht="29.25" customHeight="1" thickBot="1">
      <c r="A79" s="1009">
        <v>71</v>
      </c>
      <c r="B79" s="1010" t="s">
        <v>1027</v>
      </c>
      <c r="C79" s="977">
        <f>'DAFTAR UPAH MEI 2025'!BC137</f>
        <v>1294902</v>
      </c>
      <c r="D79" s="1280" t="s">
        <v>1031</v>
      </c>
      <c r="E79" s="1281" t="s">
        <v>963</v>
      </c>
      <c r="F79" s="1419" t="s">
        <v>159</v>
      </c>
      <c r="G79" s="818">
        <v>1294902</v>
      </c>
      <c r="H79" s="1168">
        <f t="shared" si="7"/>
        <v>0</v>
      </c>
      <c r="I79" s="1336" t="s">
        <v>1027</v>
      </c>
      <c r="J79" s="966">
        <f>B79-I79</f>
        <v>0</v>
      </c>
      <c r="K79" s="1158"/>
      <c r="L79" s="1158"/>
      <c r="M79" s="1158"/>
      <c r="N79" s="1158"/>
      <c r="O79" s="1158"/>
      <c r="P79" s="1158"/>
      <c r="Q79" s="1158"/>
      <c r="R79" s="1158"/>
    </row>
    <row r="80" spans="1:20" ht="29.25" customHeight="1" thickBot="1">
      <c r="A80" s="2298" t="s">
        <v>38</v>
      </c>
      <c r="B80" s="2299"/>
      <c r="C80" s="1011">
        <f>SUM(C72:C79)</f>
        <v>30217544</v>
      </c>
      <c r="D80" s="1012"/>
      <c r="E80" s="1012"/>
      <c r="F80" s="1420"/>
      <c r="G80" s="1011">
        <f>SUM(G72:G79)</f>
        <v>30217544</v>
      </c>
      <c r="H80" s="1011">
        <f t="shared" ref="H80" si="8">SUM(H72:H79)</f>
        <v>0</v>
      </c>
      <c r="I80" s="1167"/>
      <c r="J80" s="966">
        <f>B80-I80</f>
        <v>0</v>
      </c>
      <c r="T80" s="765"/>
    </row>
    <row r="81" spans="1:24" ht="29.25" customHeight="1" thickBot="1">
      <c r="A81" s="2300" t="s">
        <v>50</v>
      </c>
      <c r="B81" s="2301"/>
      <c r="C81" s="990">
        <f>C39+C48+C71+C80</f>
        <v>338162463.29000002</v>
      </c>
      <c r="D81" s="991"/>
      <c r="E81" s="991"/>
      <c r="F81" s="1421"/>
      <c r="G81" s="990">
        <f t="shared" ref="G81:H81" si="9">G39+G48+G71+G80</f>
        <v>338162407.53999996</v>
      </c>
      <c r="H81" s="990">
        <f t="shared" si="9"/>
        <v>55.750000023283064</v>
      </c>
      <c r="I81" s="1167"/>
      <c r="T81" s="765"/>
      <c r="U81" s="1019"/>
    </row>
    <row r="82" spans="1:24" ht="18" customHeight="1">
      <c r="A82" s="1013"/>
      <c r="B82" s="1013"/>
      <c r="C82" s="1014">
        <f>'DAFTAR UPAH MEI 2025'!BC153</f>
        <v>338162463.29000002</v>
      </c>
      <c r="D82" s="1014"/>
      <c r="E82" s="1015">
        <f>C81-C82</f>
        <v>0</v>
      </c>
      <c r="F82" s="967"/>
      <c r="G82" s="1179"/>
      <c r="H82" s="967"/>
      <c r="I82" s="967"/>
    </row>
    <row r="83" spans="1:24" ht="20.25" customHeight="1">
      <c r="B83" s="967" t="s">
        <v>184</v>
      </c>
      <c r="C83" s="2297" t="s">
        <v>576</v>
      </c>
      <c r="D83" s="2297"/>
      <c r="E83" s="2297"/>
      <c r="F83" s="1162" t="s">
        <v>61</v>
      </c>
      <c r="G83" s="766"/>
      <c r="H83" s="1162"/>
      <c r="I83" s="1162"/>
    </row>
    <row r="84" spans="1:24" ht="20.25" customHeight="1">
      <c r="C84" s="1016"/>
      <c r="D84" s="967"/>
      <c r="F84" s="964"/>
      <c r="G84" s="776"/>
      <c r="H84" s="964"/>
      <c r="I84" s="964"/>
    </row>
    <row r="85" spans="1:24" ht="20.25" customHeight="1">
      <c r="C85" s="1017"/>
      <c r="D85" s="967"/>
      <c r="F85" s="764"/>
      <c r="H85" s="764"/>
      <c r="I85" s="764"/>
    </row>
    <row r="86" spans="1:24" ht="20.25" customHeight="1">
      <c r="C86" s="1017"/>
      <c r="D86" s="967"/>
      <c r="F86" s="841"/>
      <c r="G86" s="765">
        <f>C81+'[4]BRI ''APRIL 25 PAYROOL'!$C$72</f>
        <v>628050370.96000004</v>
      </c>
      <c r="H86" s="841"/>
      <c r="I86" s="841"/>
    </row>
    <row r="87" spans="1:24" s="1023" customFormat="1" ht="20.25" customHeight="1">
      <c r="B87" s="1059" t="s">
        <v>193</v>
      </c>
      <c r="C87" s="2296" t="s">
        <v>652</v>
      </c>
      <c r="D87" s="2296"/>
      <c r="E87" s="2296"/>
      <c r="F87" s="1022" t="s">
        <v>586</v>
      </c>
      <c r="G87" s="1180">
        <f>'[5]BRI APRIL 2025'!$C$11</f>
        <v>27503790.600000001</v>
      </c>
      <c r="H87" s="1022"/>
      <c r="I87" s="1022"/>
      <c r="X87" s="1160"/>
    </row>
    <row r="88" spans="1:24" s="1020" customFormat="1" ht="20.25" customHeight="1">
      <c r="B88" s="967" t="s">
        <v>208</v>
      </c>
      <c r="C88" s="2295" t="s">
        <v>653</v>
      </c>
      <c r="D88" s="2295"/>
      <c r="E88" s="2295"/>
      <c r="F88" s="1021" t="s">
        <v>585</v>
      </c>
      <c r="G88" s="1161">
        <f>G86+G87</f>
        <v>655554161.56000006</v>
      </c>
      <c r="H88" s="1021"/>
      <c r="I88" s="1021"/>
      <c r="J88" s="1486">
        <f>C81+'[6]BRI ''MEI 25 PAYROOL'!$C$70+'[7]BRI MEI 2025'!$C$11</f>
        <v>648613665.58000004</v>
      </c>
      <c r="X88" s="1161"/>
    </row>
    <row r="89" spans="1:24">
      <c r="J89" s="1019">
        <f>C81+'[6]BRI ''MEI 25 PAYROOL'!$C$70+'[7]BRI MEI 2025'!$C$11</f>
        <v>648613665.58000004</v>
      </c>
    </row>
    <row r="93" spans="1:24" ht="15.75" customHeight="1">
      <c r="B93" s="1018"/>
    </row>
  </sheetData>
  <mergeCells count="11">
    <mergeCell ref="A1:F1"/>
    <mergeCell ref="A39:B39"/>
    <mergeCell ref="A48:B48"/>
    <mergeCell ref="A71:B71"/>
    <mergeCell ref="A3:F3"/>
    <mergeCell ref="A2:F2"/>
    <mergeCell ref="C88:E88"/>
    <mergeCell ref="C87:E87"/>
    <mergeCell ref="C83:E83"/>
    <mergeCell ref="A80:B80"/>
    <mergeCell ref="A81:B81"/>
  </mergeCells>
  <printOptions horizontalCentered="1"/>
  <pageMargins left="0" right="0" top="0.27559055118110237" bottom="0" header="0" footer="0"/>
  <pageSetup paperSize="10000" scale="70" fitToHeight="0" orientation="portrait" horizontalDpi="4294967294" verticalDpi="300" r:id="rId1"/>
  <rowBreaks count="1" manualBreakCount="1">
    <brk id="48" max="5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U99"/>
  <sheetViews>
    <sheetView zoomScale="90" zoomScaleNormal="90" workbookViewId="0">
      <pane xSplit="6" ySplit="9" topLeftCell="G43" activePane="bottomRight" state="frozen"/>
      <selection pane="topRight" activeCell="G1" sqref="G1"/>
      <selection pane="bottomLeft" activeCell="A10" sqref="A10"/>
      <selection pane="bottomRight" activeCell="H55" sqref="H55"/>
    </sheetView>
  </sheetViews>
  <sheetFormatPr defaultRowHeight="15"/>
  <cols>
    <col min="1" max="1" width="4.5703125" customWidth="1"/>
    <col min="2" max="2" width="8" customWidth="1"/>
    <col min="3" max="3" width="22.5703125" style="571" customWidth="1"/>
    <col min="4" max="4" width="12.7109375" customWidth="1"/>
    <col min="5" max="5" width="12.28515625" customWidth="1"/>
    <col min="6" max="6" width="12.28515625" style="532" customWidth="1"/>
    <col min="7" max="8" width="12.140625" customWidth="1"/>
    <col min="9" max="9" width="11.42578125" customWidth="1"/>
    <col min="10" max="10" width="10.5703125" customWidth="1"/>
    <col min="11" max="11" width="10.85546875" customWidth="1"/>
    <col min="12" max="12" width="11.7109375" customWidth="1"/>
    <col min="13" max="30" width="9.85546875" customWidth="1"/>
    <col min="31" max="31" width="11.42578125" customWidth="1"/>
    <col min="32" max="32" width="12.85546875" customWidth="1"/>
    <col min="33" max="33" width="13.85546875" customWidth="1"/>
    <col min="72" max="73" width="10.85546875" bestFit="1" customWidth="1"/>
  </cols>
  <sheetData>
    <row r="1" spans="1:33">
      <c r="A1" t="s">
        <v>156</v>
      </c>
    </row>
    <row r="2" spans="1:33">
      <c r="A2" t="s">
        <v>686</v>
      </c>
    </row>
    <row r="4" spans="1:33" ht="21">
      <c r="A4" s="2330" t="s">
        <v>589</v>
      </c>
      <c r="B4" s="2330"/>
      <c r="C4" s="2330"/>
      <c r="D4" s="2330"/>
      <c r="E4" s="2330"/>
      <c r="F4" s="2330"/>
      <c r="G4" s="2330"/>
      <c r="H4" s="2330"/>
      <c r="I4" s="2330"/>
      <c r="J4" s="2330"/>
      <c r="K4" s="2330"/>
      <c r="L4" s="2330"/>
      <c r="M4" s="2330"/>
      <c r="N4" s="2330"/>
      <c r="O4" s="2330"/>
      <c r="P4" s="2330"/>
      <c r="Q4" s="2330"/>
      <c r="R4" s="2330"/>
      <c r="S4" s="2330"/>
      <c r="T4" s="2330"/>
      <c r="U4" s="2330"/>
      <c r="V4" s="2330"/>
      <c r="W4" s="2330"/>
      <c r="X4" s="2330"/>
      <c r="Y4" s="2330"/>
      <c r="Z4" s="2330"/>
      <c r="AA4" s="2330"/>
      <c r="AB4" s="2330"/>
      <c r="AC4" s="2330"/>
      <c r="AD4" s="2330"/>
      <c r="AE4" s="2330"/>
    </row>
    <row r="5" spans="1:33" ht="21.75" thickBot="1">
      <c r="A5" s="2330" t="s">
        <v>603</v>
      </c>
      <c r="B5" s="2330"/>
      <c r="C5" s="2330"/>
      <c r="D5" s="2330"/>
      <c r="E5" s="2330"/>
      <c r="F5" s="2330"/>
      <c r="G5" s="2330"/>
      <c r="H5" s="2330"/>
      <c r="I5" s="2330"/>
      <c r="J5" s="2330"/>
      <c r="K5" s="2330"/>
      <c r="L5" s="2330"/>
      <c r="M5" s="2330"/>
      <c r="N5" s="2330"/>
      <c r="O5" s="2330"/>
      <c r="P5" s="2330"/>
      <c r="Q5" s="2330"/>
      <c r="R5" s="2330"/>
      <c r="S5" s="2330"/>
      <c r="T5" s="2330"/>
      <c r="U5" s="2330"/>
      <c r="V5" s="2330"/>
      <c r="W5" s="2330"/>
      <c r="X5" s="2330"/>
      <c r="Y5" s="2330"/>
      <c r="Z5" s="2330"/>
      <c r="AA5" s="2330"/>
      <c r="AB5" s="2330"/>
      <c r="AC5" s="2330"/>
      <c r="AD5" s="2330"/>
      <c r="AE5" s="2330"/>
    </row>
    <row r="6" spans="1:33">
      <c r="A6" s="2331" t="s">
        <v>158</v>
      </c>
      <c r="B6" s="2333" t="s">
        <v>590</v>
      </c>
      <c r="C6" s="2335" t="s">
        <v>7</v>
      </c>
      <c r="D6" s="2337" t="s">
        <v>588</v>
      </c>
      <c r="E6" s="2337" t="s">
        <v>591</v>
      </c>
      <c r="F6" s="2339" t="s">
        <v>231</v>
      </c>
      <c r="G6" s="2341" t="s">
        <v>592</v>
      </c>
      <c r="H6" s="2342"/>
      <c r="I6" s="2342"/>
      <c r="J6" s="2342"/>
      <c r="K6" s="2342"/>
      <c r="L6" s="2342"/>
      <c r="M6" s="2342"/>
      <c r="N6" s="2342"/>
      <c r="O6" s="2342"/>
      <c r="P6" s="2342"/>
      <c r="Q6" s="2342"/>
      <c r="R6" s="2342"/>
      <c r="S6" s="2342"/>
      <c r="T6" s="2342"/>
      <c r="U6" s="2342"/>
      <c r="V6" s="2342"/>
      <c r="W6" s="2342"/>
      <c r="X6" s="2342"/>
      <c r="Y6" s="2342"/>
      <c r="Z6" s="2342"/>
      <c r="AA6" s="2342"/>
      <c r="AB6" s="2342"/>
      <c r="AC6" s="2342"/>
      <c r="AD6" s="2343"/>
      <c r="AE6" s="2344" t="s">
        <v>593</v>
      </c>
    </row>
    <row r="7" spans="1:33">
      <c r="A7" s="2332"/>
      <c r="B7" s="2334"/>
      <c r="C7" s="2336"/>
      <c r="D7" s="2338"/>
      <c r="E7" s="2338"/>
      <c r="F7" s="2340"/>
      <c r="G7" s="2319" t="s">
        <v>26</v>
      </c>
      <c r="H7" s="2320"/>
      <c r="I7" s="2321"/>
      <c r="J7" s="2319" t="s">
        <v>594</v>
      </c>
      <c r="K7" s="2320"/>
      <c r="L7" s="2321"/>
      <c r="M7" s="2319" t="s">
        <v>17</v>
      </c>
      <c r="N7" s="2320"/>
      <c r="O7" s="2321"/>
      <c r="P7" s="2319" t="s">
        <v>19</v>
      </c>
      <c r="Q7" s="2320"/>
      <c r="R7" s="2321"/>
      <c r="S7" s="2319" t="s">
        <v>579</v>
      </c>
      <c r="T7" s="2320"/>
      <c r="U7" s="2321"/>
      <c r="V7" s="2319" t="s">
        <v>768</v>
      </c>
      <c r="W7" s="2320"/>
      <c r="X7" s="2321"/>
      <c r="Y7" s="2319" t="s">
        <v>578</v>
      </c>
      <c r="Z7" s="2320"/>
      <c r="AA7" s="2321"/>
      <c r="AB7" s="2327" t="s">
        <v>595</v>
      </c>
      <c r="AC7" s="2328"/>
      <c r="AD7" s="2329"/>
      <c r="AE7" s="2345"/>
    </row>
    <row r="8" spans="1:33" ht="15.75" thickBot="1">
      <c r="A8" s="2332"/>
      <c r="B8" s="2334"/>
      <c r="C8" s="2336"/>
      <c r="D8" s="2338"/>
      <c r="E8" s="2338"/>
      <c r="F8" s="2340"/>
      <c r="G8" s="534" t="s">
        <v>596</v>
      </c>
      <c r="H8" s="534" t="s">
        <v>597</v>
      </c>
      <c r="I8" s="535" t="s">
        <v>598</v>
      </c>
      <c r="J8" s="534" t="s">
        <v>596</v>
      </c>
      <c r="K8" s="534" t="s">
        <v>597</v>
      </c>
      <c r="L8" s="535" t="s">
        <v>598</v>
      </c>
      <c r="M8" s="534" t="s">
        <v>596</v>
      </c>
      <c r="N8" s="534" t="s">
        <v>597</v>
      </c>
      <c r="O8" s="535" t="s">
        <v>598</v>
      </c>
      <c r="P8" s="534" t="s">
        <v>596</v>
      </c>
      <c r="Q8" s="534" t="s">
        <v>597</v>
      </c>
      <c r="R8" s="535" t="s">
        <v>598</v>
      </c>
      <c r="S8" s="534" t="s">
        <v>596</v>
      </c>
      <c r="T8" s="534" t="s">
        <v>597</v>
      </c>
      <c r="U8" s="535" t="s">
        <v>598</v>
      </c>
      <c r="V8" s="534" t="s">
        <v>596</v>
      </c>
      <c r="W8" s="534" t="s">
        <v>597</v>
      </c>
      <c r="X8" s="535" t="s">
        <v>598</v>
      </c>
      <c r="Y8" s="534" t="s">
        <v>596</v>
      </c>
      <c r="Z8" s="534" t="s">
        <v>597</v>
      </c>
      <c r="AA8" s="535" t="s">
        <v>598</v>
      </c>
      <c r="AB8" s="534" t="s">
        <v>596</v>
      </c>
      <c r="AC8" s="534" t="s">
        <v>597</v>
      </c>
      <c r="AD8" s="535" t="s">
        <v>598</v>
      </c>
      <c r="AE8" s="2345"/>
    </row>
    <row r="9" spans="1:33" ht="15.75" thickBot="1">
      <c r="A9" s="2306" t="s">
        <v>600</v>
      </c>
      <c r="B9" s="2307"/>
      <c r="C9" s="2307"/>
      <c r="D9" s="2307"/>
      <c r="E9" s="2307"/>
      <c r="F9" s="551"/>
      <c r="G9" s="552"/>
      <c r="H9" s="552"/>
      <c r="I9" s="553"/>
      <c r="J9" s="552"/>
      <c r="K9" s="552"/>
      <c r="L9" s="553"/>
      <c r="M9" s="552"/>
      <c r="N9" s="552"/>
      <c r="O9" s="553"/>
      <c r="P9" s="552"/>
      <c r="Q9" s="552"/>
      <c r="R9" s="553"/>
      <c r="S9" s="552"/>
      <c r="T9" s="552"/>
      <c r="U9" s="553"/>
      <c r="V9" s="552"/>
      <c r="W9" s="552"/>
      <c r="X9" s="553"/>
      <c r="Y9" s="552"/>
      <c r="Z9" s="552"/>
      <c r="AA9" s="552"/>
      <c r="AB9" s="552"/>
      <c r="AC9" s="552"/>
      <c r="AD9" s="553"/>
      <c r="AE9" s="554"/>
      <c r="AF9" s="529">
        <f t="shared" ref="AF9:AF21" si="0">F9-AE9</f>
        <v>0</v>
      </c>
      <c r="AG9" s="529">
        <f t="shared" ref="AG9:AG21" si="1">F9-AE9</f>
        <v>0</v>
      </c>
    </row>
    <row r="10" spans="1:33">
      <c r="A10" s="542">
        <v>1</v>
      </c>
      <c r="B10" s="543" t="str">
        <f>'DAFTAR UPAH MEI 2025'!C9</f>
        <v>H0033</v>
      </c>
      <c r="C10" s="544" t="str">
        <f>'DAFTAR UPAH MEI 2025'!D9</f>
        <v>KARYADI</v>
      </c>
      <c r="D10" s="545">
        <f>'DAFTAR UPAH MEI 2025'!BC9</f>
        <v>3595033.14</v>
      </c>
      <c r="E10" s="546">
        <v>3595033</v>
      </c>
      <c r="F10" s="671">
        <f>E10-D10</f>
        <v>-0.14000000013038516</v>
      </c>
      <c r="G10" s="669"/>
      <c r="H10" s="524"/>
      <c r="I10" s="548">
        <f t="shared" ref="I10:I68" si="2">G10-H10</f>
        <v>0</v>
      </c>
      <c r="J10" s="545"/>
      <c r="K10" s="545"/>
      <c r="L10" s="548">
        <f t="shared" ref="L10:L68" si="3">J10-K10</f>
        <v>0</v>
      </c>
      <c r="M10" s="545"/>
      <c r="N10" s="545"/>
      <c r="O10" s="548">
        <f>M10-N10</f>
        <v>0</v>
      </c>
      <c r="P10" s="545"/>
      <c r="Q10" s="545"/>
      <c r="R10" s="548">
        <f>P10-Q10</f>
        <v>0</v>
      </c>
      <c r="S10" s="545"/>
      <c r="T10" s="545"/>
      <c r="U10" s="548">
        <f t="shared" ref="U10:U68" si="4">S10-T10</f>
        <v>0</v>
      </c>
      <c r="V10" s="545"/>
      <c r="W10" s="545"/>
      <c r="X10" s="548">
        <f t="shared" ref="X10:X42" si="5">V10-W10</f>
        <v>0</v>
      </c>
      <c r="Y10" s="545"/>
      <c r="Z10" s="545"/>
      <c r="AA10" s="548">
        <f t="shared" ref="AA10:AA68" si="6">Y10-Z10</f>
        <v>0</v>
      </c>
      <c r="AB10" s="545"/>
      <c r="AC10" s="545"/>
      <c r="AD10" s="549">
        <f t="shared" ref="AD10:AD68" si="7">-(AB10-AC10)</f>
        <v>0</v>
      </c>
      <c r="AE10" s="550">
        <f>I10+L10+O10+U10+AA10+AD10</f>
        <v>0</v>
      </c>
      <c r="AF10" s="529">
        <f t="shared" si="0"/>
        <v>-0.14000000013038516</v>
      </c>
      <c r="AG10" s="529">
        <f t="shared" si="1"/>
        <v>-0.14000000013038516</v>
      </c>
    </row>
    <row r="11" spans="1:33">
      <c r="A11" s="523">
        <v>2</v>
      </c>
      <c r="B11" s="543" t="str">
        <f>'DAFTAR UPAH MEI 2025'!C10</f>
        <v>H0093</v>
      </c>
      <c r="C11" s="544" t="str">
        <f>'DAFTAR UPAH MEI 2025'!D10</f>
        <v xml:space="preserve">SARINA </v>
      </c>
      <c r="D11" s="545">
        <f>'DAFTAR UPAH MEI 2025'!BC10</f>
        <v>3437156</v>
      </c>
      <c r="E11" s="525">
        <v>3437156</v>
      </c>
      <c r="F11" s="672">
        <f t="shared" ref="F11:F31" si="8">E11-D11</f>
        <v>0</v>
      </c>
      <c r="G11" s="669"/>
      <c r="H11" s="524"/>
      <c r="I11" s="526">
        <f t="shared" si="2"/>
        <v>0</v>
      </c>
      <c r="J11" s="545">
        <f>'DAFTAR UPAH MEI 2025'!AE10</f>
        <v>0</v>
      </c>
      <c r="K11" s="524"/>
      <c r="L11" s="526">
        <f t="shared" si="3"/>
        <v>0</v>
      </c>
      <c r="M11" s="545"/>
      <c r="N11" s="524"/>
      <c r="O11" s="526">
        <f t="shared" ref="O11:O68" si="9">M11-N11</f>
        <v>0</v>
      </c>
      <c r="P11" s="545"/>
      <c r="Q11" s="524"/>
      <c r="R11" s="526">
        <f t="shared" ref="R11:R42" si="10">P11-Q11</f>
        <v>0</v>
      </c>
      <c r="S11" s="524"/>
      <c r="T11" s="524"/>
      <c r="U11" s="526">
        <f t="shared" si="4"/>
        <v>0</v>
      </c>
      <c r="V11" s="524"/>
      <c r="W11" s="524"/>
      <c r="X11" s="526">
        <f t="shared" si="5"/>
        <v>0</v>
      </c>
      <c r="Y11" s="524"/>
      <c r="Z11" s="524"/>
      <c r="AA11" s="526">
        <f t="shared" si="6"/>
        <v>0</v>
      </c>
      <c r="AB11" s="524"/>
      <c r="AC11" s="524"/>
      <c r="AD11" s="527">
        <f t="shared" si="7"/>
        <v>0</v>
      </c>
      <c r="AE11" s="528">
        <f t="shared" ref="AE11:AE42" si="11">I11+L11+O11+U11+AA11+AD11</f>
        <v>0</v>
      </c>
      <c r="AF11" s="529">
        <f t="shared" si="0"/>
        <v>0</v>
      </c>
      <c r="AG11" s="529">
        <f t="shared" si="1"/>
        <v>0</v>
      </c>
    </row>
    <row r="12" spans="1:33">
      <c r="A12" s="523">
        <v>3</v>
      </c>
      <c r="B12" s="543" t="str">
        <f>'DAFTAR UPAH MEI 2025'!C11</f>
        <v>H0025</v>
      </c>
      <c r="C12" s="544" t="str">
        <f>'DAFTAR UPAH MEI 2025'!D11</f>
        <v>SUPRIYANI</v>
      </c>
      <c r="D12" s="545">
        <f>'DAFTAR UPAH MEI 2025'!BC11</f>
        <v>8050337.04</v>
      </c>
      <c r="E12" s="525">
        <v>8039140</v>
      </c>
      <c r="F12" s="672">
        <f t="shared" si="8"/>
        <v>-11197.040000000037</v>
      </c>
      <c r="G12" s="669"/>
      <c r="H12" s="524"/>
      <c r="I12" s="526">
        <f t="shared" si="2"/>
        <v>0</v>
      </c>
      <c r="J12" s="545">
        <f>'DAFTAR UPAH MEI 2025'!AE11</f>
        <v>4212721.04</v>
      </c>
      <c r="K12" s="524">
        <v>4201523</v>
      </c>
      <c r="L12" s="526">
        <f t="shared" si="3"/>
        <v>11198.040000000037</v>
      </c>
      <c r="M12" s="545"/>
      <c r="N12" s="524"/>
      <c r="O12" s="526">
        <f t="shared" si="9"/>
        <v>0</v>
      </c>
      <c r="P12" s="545"/>
      <c r="Q12" s="524"/>
      <c r="R12" s="526">
        <f t="shared" si="10"/>
        <v>0</v>
      </c>
      <c r="S12" s="524"/>
      <c r="T12" s="524"/>
      <c r="U12" s="526">
        <f t="shared" si="4"/>
        <v>0</v>
      </c>
      <c r="V12" s="524"/>
      <c r="W12" s="524"/>
      <c r="X12" s="526">
        <f t="shared" si="5"/>
        <v>0</v>
      </c>
      <c r="Y12" s="524"/>
      <c r="Z12" s="524"/>
      <c r="AA12" s="526">
        <f t="shared" si="6"/>
        <v>0</v>
      </c>
      <c r="AB12" s="524"/>
      <c r="AC12" s="524"/>
      <c r="AD12" s="527">
        <f t="shared" si="7"/>
        <v>0</v>
      </c>
      <c r="AE12" s="528">
        <f t="shared" si="11"/>
        <v>11198.040000000037</v>
      </c>
      <c r="AF12" s="529">
        <f t="shared" si="0"/>
        <v>-22395.080000000075</v>
      </c>
      <c r="AG12" s="529">
        <f t="shared" si="1"/>
        <v>-22395.080000000075</v>
      </c>
    </row>
    <row r="13" spans="1:33">
      <c r="A13" s="523">
        <v>4</v>
      </c>
      <c r="B13" s="543" t="str">
        <f>'DAFTAR UPAH MEI 2025'!C12</f>
        <v>H0484</v>
      </c>
      <c r="C13" s="544" t="str">
        <f>'DAFTAR UPAH MEI 2025'!D12</f>
        <v>HELMIADI</v>
      </c>
      <c r="D13" s="545">
        <f>'DAFTAR UPAH MEI 2025'!BC12</f>
        <v>8257640.4900000002</v>
      </c>
      <c r="E13" s="525">
        <v>8246443</v>
      </c>
      <c r="F13" s="672">
        <f t="shared" si="8"/>
        <v>-11197.490000000224</v>
      </c>
      <c r="G13" s="669"/>
      <c r="H13" s="524"/>
      <c r="I13" s="526">
        <f t="shared" si="2"/>
        <v>0</v>
      </c>
      <c r="J13" s="545">
        <f>'DAFTAR UPAH MEI 2025'!AE12</f>
        <v>4324761.49</v>
      </c>
      <c r="K13" s="524">
        <v>4313563</v>
      </c>
      <c r="L13" s="526">
        <f t="shared" si="3"/>
        <v>11198.490000000224</v>
      </c>
      <c r="M13" s="545"/>
      <c r="N13" s="524"/>
      <c r="O13" s="526">
        <f t="shared" si="9"/>
        <v>0</v>
      </c>
      <c r="P13" s="545"/>
      <c r="Q13" s="524"/>
      <c r="R13" s="526">
        <f t="shared" si="10"/>
        <v>0</v>
      </c>
      <c r="S13" s="524"/>
      <c r="T13" s="524"/>
      <c r="U13" s="526">
        <f t="shared" si="4"/>
        <v>0</v>
      </c>
      <c r="V13" s="524"/>
      <c r="W13" s="524"/>
      <c r="X13" s="526">
        <f t="shared" si="5"/>
        <v>0</v>
      </c>
      <c r="Y13" s="524"/>
      <c r="Z13" s="524"/>
      <c r="AA13" s="526">
        <f t="shared" si="6"/>
        <v>0</v>
      </c>
      <c r="AB13" s="524"/>
      <c r="AC13" s="524"/>
      <c r="AD13" s="527">
        <f t="shared" si="7"/>
        <v>0</v>
      </c>
      <c r="AE13" s="528">
        <f t="shared" si="11"/>
        <v>11198.490000000224</v>
      </c>
      <c r="AF13" s="529">
        <f t="shared" si="0"/>
        <v>-22395.980000000447</v>
      </c>
      <c r="AG13" s="529">
        <f t="shared" si="1"/>
        <v>-22395.980000000447</v>
      </c>
    </row>
    <row r="14" spans="1:33">
      <c r="A14" s="523">
        <v>5</v>
      </c>
      <c r="B14" s="543" t="str">
        <f>'DAFTAR UPAH MEI 2025'!C13</f>
        <v>H0272</v>
      </c>
      <c r="C14" s="544" t="str">
        <f>'DAFTAR UPAH MEI 2025'!D13</f>
        <v>RHIZA KURNIA</v>
      </c>
      <c r="D14" s="545">
        <f>'DAFTAR UPAH MEI 2025'!BC13</f>
        <v>4605576.54</v>
      </c>
      <c r="E14" s="525">
        <v>4605578</v>
      </c>
      <c r="F14" s="672">
        <f t="shared" si="8"/>
        <v>1.4599999999627471</v>
      </c>
      <c r="G14" s="669"/>
      <c r="H14" s="524"/>
      <c r="I14" s="526">
        <f t="shared" si="2"/>
        <v>0</v>
      </c>
      <c r="J14" s="545"/>
      <c r="K14" s="524"/>
      <c r="L14" s="526">
        <f t="shared" si="3"/>
        <v>0</v>
      </c>
      <c r="M14" s="545"/>
      <c r="N14" s="524"/>
      <c r="O14" s="526">
        <f t="shared" si="9"/>
        <v>0</v>
      </c>
      <c r="P14" s="545"/>
      <c r="Q14" s="524"/>
      <c r="R14" s="526">
        <f t="shared" si="10"/>
        <v>0</v>
      </c>
      <c r="S14" s="524"/>
      <c r="T14" s="524"/>
      <c r="U14" s="526">
        <f t="shared" si="4"/>
        <v>0</v>
      </c>
      <c r="V14" s="524"/>
      <c r="W14" s="524"/>
      <c r="X14" s="526">
        <f t="shared" si="5"/>
        <v>0</v>
      </c>
      <c r="Y14" s="524"/>
      <c r="Z14" s="524"/>
      <c r="AA14" s="526">
        <f t="shared" si="6"/>
        <v>0</v>
      </c>
      <c r="AB14" s="524"/>
      <c r="AC14" s="524"/>
      <c r="AD14" s="527">
        <f t="shared" si="7"/>
        <v>0</v>
      </c>
      <c r="AE14" s="528">
        <f t="shared" si="11"/>
        <v>0</v>
      </c>
      <c r="AF14" s="529">
        <f t="shared" si="0"/>
        <v>1.4599999999627471</v>
      </c>
      <c r="AG14" s="529">
        <f t="shared" si="1"/>
        <v>1.4599999999627471</v>
      </c>
    </row>
    <row r="15" spans="1:33">
      <c r="A15" s="523">
        <v>6</v>
      </c>
      <c r="B15" s="543" t="str">
        <f>'DAFTAR UPAH MEI 2025'!C14</f>
        <v>H0277</v>
      </c>
      <c r="C15" s="544" t="str">
        <f>'DAFTAR UPAH MEI 2025'!D14</f>
        <v>HENDRI</v>
      </c>
      <c r="D15" s="545">
        <f>'DAFTAR UPAH MEI 2025'!BC14</f>
        <v>7250275.9800000004</v>
      </c>
      <c r="E15" s="525">
        <v>7239070</v>
      </c>
      <c r="F15" s="672">
        <f t="shared" si="8"/>
        <v>-11205.980000000447</v>
      </c>
      <c r="G15" s="669"/>
      <c r="H15" s="524"/>
      <c r="I15" s="526">
        <f t="shared" si="2"/>
        <v>0</v>
      </c>
      <c r="J15" s="545">
        <f>'DAFTAR UPAH MEI 2025'!AE14</f>
        <v>3204356.98</v>
      </c>
      <c r="K15" s="524">
        <v>3193150</v>
      </c>
      <c r="L15" s="526">
        <f t="shared" si="3"/>
        <v>11206.979999999981</v>
      </c>
      <c r="M15" s="545"/>
      <c r="N15" s="524"/>
      <c r="O15" s="526">
        <f t="shared" si="9"/>
        <v>0</v>
      </c>
      <c r="P15" s="545"/>
      <c r="Q15" s="524"/>
      <c r="R15" s="526">
        <f t="shared" si="10"/>
        <v>0</v>
      </c>
      <c r="S15" s="524"/>
      <c r="T15" s="524"/>
      <c r="U15" s="526">
        <f t="shared" si="4"/>
        <v>0</v>
      </c>
      <c r="V15" s="524"/>
      <c r="W15" s="524"/>
      <c r="X15" s="526">
        <f t="shared" si="5"/>
        <v>0</v>
      </c>
      <c r="Y15" s="524"/>
      <c r="Z15" s="524"/>
      <c r="AA15" s="526">
        <f t="shared" si="6"/>
        <v>0</v>
      </c>
      <c r="AB15" s="524"/>
      <c r="AC15" s="524"/>
      <c r="AD15" s="527">
        <f t="shared" si="7"/>
        <v>0</v>
      </c>
      <c r="AE15" s="528">
        <f t="shared" si="11"/>
        <v>11206.979999999981</v>
      </c>
      <c r="AF15" s="529">
        <f t="shared" si="0"/>
        <v>-22412.960000000428</v>
      </c>
      <c r="AG15" s="529">
        <f t="shared" si="1"/>
        <v>-22412.960000000428</v>
      </c>
    </row>
    <row r="16" spans="1:33">
      <c r="A16" s="523">
        <v>7</v>
      </c>
      <c r="B16" s="543" t="str">
        <f>'DAFTAR UPAH MEI 2025'!C15</f>
        <v>H0183</v>
      </c>
      <c r="C16" s="544" t="str">
        <f>'DAFTAR UPAH MEI 2025'!D15</f>
        <v xml:space="preserve">SOLIKAN </v>
      </c>
      <c r="D16" s="545">
        <f>'DAFTAR UPAH MEI 2025'!BC15</f>
        <v>6271063.9199999999</v>
      </c>
      <c r="E16" s="525">
        <v>6271058</v>
      </c>
      <c r="F16" s="672">
        <f t="shared" si="8"/>
        <v>-5.9199999999254942</v>
      </c>
      <c r="G16" s="669"/>
      <c r="H16" s="524"/>
      <c r="I16" s="526">
        <f t="shared" si="2"/>
        <v>0</v>
      </c>
      <c r="J16" s="545"/>
      <c r="K16" s="524"/>
      <c r="L16" s="526">
        <f t="shared" si="3"/>
        <v>0</v>
      </c>
      <c r="M16" s="545"/>
      <c r="N16" s="524"/>
      <c r="O16" s="526">
        <f t="shared" si="9"/>
        <v>0</v>
      </c>
      <c r="P16" s="545"/>
      <c r="Q16" s="524"/>
      <c r="R16" s="526">
        <f t="shared" si="10"/>
        <v>0</v>
      </c>
      <c r="S16" s="524"/>
      <c r="T16" s="524"/>
      <c r="U16" s="526">
        <f t="shared" si="4"/>
        <v>0</v>
      </c>
      <c r="V16" s="524"/>
      <c r="W16" s="524"/>
      <c r="X16" s="526">
        <f t="shared" si="5"/>
        <v>0</v>
      </c>
      <c r="Y16" s="524"/>
      <c r="Z16" s="524"/>
      <c r="AA16" s="526">
        <f t="shared" si="6"/>
        <v>0</v>
      </c>
      <c r="AB16" s="524"/>
      <c r="AC16" s="524"/>
      <c r="AD16" s="527">
        <f t="shared" si="7"/>
        <v>0</v>
      </c>
      <c r="AE16" s="528">
        <f t="shared" si="11"/>
        <v>0</v>
      </c>
      <c r="AF16" s="529">
        <f t="shared" si="0"/>
        <v>-5.9199999999254942</v>
      </c>
      <c r="AG16" s="529">
        <f t="shared" si="1"/>
        <v>-5.9199999999254942</v>
      </c>
    </row>
    <row r="17" spans="1:33">
      <c r="A17" s="523">
        <v>8</v>
      </c>
      <c r="B17" s="543" t="str">
        <f>'DAFTAR UPAH MEI 2025'!C16</f>
        <v>H0126</v>
      </c>
      <c r="C17" s="544" t="str">
        <f>'DAFTAR UPAH MEI 2025'!D16</f>
        <v>ERLANDI EDI 
SUYANTO</v>
      </c>
      <c r="D17" s="545">
        <f>'DAFTAR UPAH MEI 2025'!BC16</f>
        <v>4017636</v>
      </c>
      <c r="E17" s="525">
        <v>4017636</v>
      </c>
      <c r="F17" s="672">
        <f t="shared" si="8"/>
        <v>0</v>
      </c>
      <c r="G17" s="669"/>
      <c r="H17" s="524"/>
      <c r="I17" s="526">
        <f t="shared" si="2"/>
        <v>0</v>
      </c>
      <c r="J17" s="545"/>
      <c r="K17" s="524"/>
      <c r="L17" s="526">
        <f t="shared" si="3"/>
        <v>0</v>
      </c>
      <c r="M17" s="545"/>
      <c r="N17" s="524"/>
      <c r="O17" s="526">
        <f t="shared" si="9"/>
        <v>0</v>
      </c>
      <c r="P17" s="545"/>
      <c r="Q17" s="524"/>
      <c r="R17" s="526">
        <f t="shared" si="10"/>
        <v>0</v>
      </c>
      <c r="S17" s="524"/>
      <c r="T17" s="524"/>
      <c r="U17" s="526">
        <f t="shared" si="4"/>
        <v>0</v>
      </c>
      <c r="V17" s="524"/>
      <c r="W17" s="524"/>
      <c r="X17" s="526">
        <f t="shared" si="5"/>
        <v>0</v>
      </c>
      <c r="Y17" s="524"/>
      <c r="Z17" s="524"/>
      <c r="AA17" s="526">
        <f t="shared" si="6"/>
        <v>0</v>
      </c>
      <c r="AB17" s="524"/>
      <c r="AC17" s="524"/>
      <c r="AD17" s="527">
        <f t="shared" si="7"/>
        <v>0</v>
      </c>
      <c r="AE17" s="528">
        <f t="shared" si="11"/>
        <v>0</v>
      </c>
      <c r="AF17" s="529">
        <f t="shared" si="0"/>
        <v>0</v>
      </c>
      <c r="AG17" s="529">
        <f t="shared" si="1"/>
        <v>0</v>
      </c>
    </row>
    <row r="18" spans="1:33">
      <c r="A18" s="523">
        <v>9</v>
      </c>
      <c r="B18" s="543" t="str">
        <f>'DAFTAR UPAH MEI 2025'!C17</f>
        <v>H0080</v>
      </c>
      <c r="C18" s="544" t="str">
        <f>'DAFTAR UPAH MEI 2025'!D17</f>
        <v>HENNI FRIANTI</v>
      </c>
      <c r="D18" s="545">
        <f>'DAFTAR UPAH MEI 2025'!BC17</f>
        <v>3949176</v>
      </c>
      <c r="E18" s="525">
        <v>3949176</v>
      </c>
      <c r="F18" s="672">
        <f t="shared" si="8"/>
        <v>0</v>
      </c>
      <c r="G18" s="669"/>
      <c r="H18" s="524"/>
      <c r="I18" s="526">
        <f t="shared" si="2"/>
        <v>0</v>
      </c>
      <c r="J18" s="545"/>
      <c r="K18" s="524"/>
      <c r="L18" s="526">
        <f t="shared" si="3"/>
        <v>0</v>
      </c>
      <c r="M18" s="545"/>
      <c r="N18" s="524"/>
      <c r="O18" s="526">
        <f t="shared" si="9"/>
        <v>0</v>
      </c>
      <c r="P18" s="545"/>
      <c r="Q18" s="524"/>
      <c r="R18" s="526">
        <f t="shared" si="10"/>
        <v>0</v>
      </c>
      <c r="S18" s="524"/>
      <c r="T18" s="524"/>
      <c r="U18" s="526">
        <f t="shared" si="4"/>
        <v>0</v>
      </c>
      <c r="V18" s="524"/>
      <c r="W18" s="524"/>
      <c r="X18" s="526">
        <f t="shared" si="5"/>
        <v>0</v>
      </c>
      <c r="Y18" s="524"/>
      <c r="Z18" s="524"/>
      <c r="AA18" s="526">
        <f t="shared" si="6"/>
        <v>0</v>
      </c>
      <c r="AB18" s="524"/>
      <c r="AC18" s="524"/>
      <c r="AD18" s="527">
        <f t="shared" si="7"/>
        <v>0</v>
      </c>
      <c r="AE18" s="528">
        <f t="shared" si="11"/>
        <v>0</v>
      </c>
      <c r="AF18" s="529">
        <f t="shared" si="0"/>
        <v>0</v>
      </c>
      <c r="AG18" s="529">
        <f t="shared" si="1"/>
        <v>0</v>
      </c>
    </row>
    <row r="19" spans="1:33">
      <c r="A19" s="523">
        <v>10</v>
      </c>
      <c r="B19" s="543" t="str">
        <f>'DAFTAR UPAH MEI 2025'!C18</f>
        <v>H0088</v>
      </c>
      <c r="C19" s="544" t="str">
        <f>'DAFTAR UPAH MEI 2025'!D18</f>
        <v>NELLY MARLINA</v>
      </c>
      <c r="D19" s="545">
        <f>'DAFTAR UPAH MEI 2025'!BC18</f>
        <v>3959571</v>
      </c>
      <c r="E19" s="525">
        <v>3959571</v>
      </c>
      <c r="F19" s="672">
        <f t="shared" si="8"/>
        <v>0</v>
      </c>
      <c r="G19" s="669"/>
      <c r="H19" s="524"/>
      <c r="I19" s="526">
        <f t="shared" si="2"/>
        <v>0</v>
      </c>
      <c r="J19" s="545"/>
      <c r="K19" s="524"/>
      <c r="L19" s="526">
        <f t="shared" si="3"/>
        <v>0</v>
      </c>
      <c r="M19" s="545"/>
      <c r="N19" s="524"/>
      <c r="O19" s="526">
        <f t="shared" si="9"/>
        <v>0</v>
      </c>
      <c r="P19" s="545"/>
      <c r="Q19" s="524"/>
      <c r="R19" s="526">
        <f t="shared" si="10"/>
        <v>0</v>
      </c>
      <c r="S19" s="524"/>
      <c r="T19" s="524"/>
      <c r="U19" s="526">
        <f t="shared" si="4"/>
        <v>0</v>
      </c>
      <c r="V19" s="524"/>
      <c r="W19" s="524"/>
      <c r="X19" s="526">
        <f t="shared" si="5"/>
        <v>0</v>
      </c>
      <c r="Y19" s="524"/>
      <c r="Z19" s="524"/>
      <c r="AA19" s="526">
        <f t="shared" si="6"/>
        <v>0</v>
      </c>
      <c r="AB19" s="524"/>
      <c r="AC19" s="524"/>
      <c r="AD19" s="527">
        <f t="shared" si="7"/>
        <v>0</v>
      </c>
      <c r="AE19" s="528">
        <f t="shared" si="11"/>
        <v>0</v>
      </c>
      <c r="AF19" s="529">
        <f t="shared" si="0"/>
        <v>0</v>
      </c>
      <c r="AG19" s="529">
        <f t="shared" si="1"/>
        <v>0</v>
      </c>
    </row>
    <row r="20" spans="1:33">
      <c r="A20" s="523">
        <v>11</v>
      </c>
      <c r="B20" s="543" t="str">
        <f>'DAFTAR UPAH MEI 2025'!C19</f>
        <v>H0091</v>
      </c>
      <c r="C20" s="544" t="str">
        <f>'DAFTAR UPAH MEI 2025'!D19</f>
        <v>IISNAWATI</v>
      </c>
      <c r="D20" s="545">
        <f>'DAFTAR UPAH MEI 2025'!BC19</f>
        <v>3940266</v>
      </c>
      <c r="E20" s="525">
        <v>3940266</v>
      </c>
      <c r="F20" s="672">
        <f t="shared" si="8"/>
        <v>0</v>
      </c>
      <c r="G20" s="669"/>
      <c r="H20" s="524"/>
      <c r="I20" s="526">
        <f t="shared" si="2"/>
        <v>0</v>
      </c>
      <c r="J20" s="545"/>
      <c r="K20" s="524"/>
      <c r="L20" s="526">
        <f t="shared" si="3"/>
        <v>0</v>
      </c>
      <c r="M20" s="545"/>
      <c r="N20" s="524"/>
      <c r="O20" s="526">
        <f t="shared" si="9"/>
        <v>0</v>
      </c>
      <c r="P20" s="545"/>
      <c r="Q20" s="524"/>
      <c r="R20" s="526">
        <f t="shared" si="10"/>
        <v>0</v>
      </c>
      <c r="S20" s="524"/>
      <c r="T20" s="524"/>
      <c r="U20" s="526">
        <f t="shared" si="4"/>
        <v>0</v>
      </c>
      <c r="V20" s="524"/>
      <c r="W20" s="524"/>
      <c r="X20" s="526">
        <f t="shared" si="5"/>
        <v>0</v>
      </c>
      <c r="Y20" s="524"/>
      <c r="Z20" s="524"/>
      <c r="AA20" s="526">
        <f t="shared" si="6"/>
        <v>0</v>
      </c>
      <c r="AB20" s="524"/>
      <c r="AC20" s="524"/>
      <c r="AD20" s="527">
        <f t="shared" si="7"/>
        <v>0</v>
      </c>
      <c r="AE20" s="528">
        <f t="shared" si="11"/>
        <v>0</v>
      </c>
      <c r="AF20" s="529">
        <f t="shared" si="0"/>
        <v>0</v>
      </c>
      <c r="AG20" s="529">
        <f t="shared" si="1"/>
        <v>0</v>
      </c>
    </row>
    <row r="21" spans="1:33">
      <c r="A21" s="523">
        <v>12</v>
      </c>
      <c r="B21" s="543" t="str">
        <f>'DAFTAR UPAH MEI 2025'!C20</f>
        <v>H0092</v>
      </c>
      <c r="C21" s="544" t="str">
        <f>'DAFTAR UPAH MEI 2025'!D20</f>
        <v>DEWI 
KOMALASARI</v>
      </c>
      <c r="D21" s="545">
        <f>'DAFTAR UPAH MEI 2025'!BC20</f>
        <v>3963036</v>
      </c>
      <c r="E21" s="525">
        <v>3963036</v>
      </c>
      <c r="F21" s="672">
        <f t="shared" si="8"/>
        <v>0</v>
      </c>
      <c r="G21" s="669"/>
      <c r="H21" s="524"/>
      <c r="I21" s="526">
        <f t="shared" si="2"/>
        <v>0</v>
      </c>
      <c r="J21" s="545"/>
      <c r="K21" s="524"/>
      <c r="L21" s="526">
        <f t="shared" si="3"/>
        <v>0</v>
      </c>
      <c r="M21" s="545"/>
      <c r="N21" s="524"/>
      <c r="O21" s="526">
        <f t="shared" si="9"/>
        <v>0</v>
      </c>
      <c r="P21" s="545"/>
      <c r="Q21" s="524"/>
      <c r="R21" s="526">
        <f t="shared" si="10"/>
        <v>0</v>
      </c>
      <c r="S21" s="524"/>
      <c r="T21" s="524"/>
      <c r="U21" s="526">
        <f t="shared" si="4"/>
        <v>0</v>
      </c>
      <c r="V21" s="524"/>
      <c r="W21" s="524"/>
      <c r="X21" s="526">
        <f t="shared" si="5"/>
        <v>0</v>
      </c>
      <c r="Y21" s="524"/>
      <c r="Z21" s="524"/>
      <c r="AA21" s="526">
        <f t="shared" si="6"/>
        <v>0</v>
      </c>
      <c r="AB21" s="524"/>
      <c r="AC21" s="524"/>
      <c r="AD21" s="527">
        <f t="shared" si="7"/>
        <v>0</v>
      </c>
      <c r="AE21" s="528">
        <f t="shared" si="11"/>
        <v>0</v>
      </c>
      <c r="AF21" s="529">
        <f t="shared" si="0"/>
        <v>0</v>
      </c>
      <c r="AG21" s="529">
        <f t="shared" si="1"/>
        <v>0</v>
      </c>
    </row>
    <row r="22" spans="1:33">
      <c r="A22" s="523">
        <v>13</v>
      </c>
      <c r="B22" s="543" t="str">
        <f>'DAFTAR UPAH MEI 2025'!C21</f>
        <v>H0095</v>
      </c>
      <c r="C22" s="544" t="str">
        <f>'DAFTAR UPAH MEI 2025'!D21</f>
        <v>KUSMIATI</v>
      </c>
      <c r="D22" s="545">
        <f>'DAFTAR UPAH MEI 2025'!BC21</f>
        <v>4107501</v>
      </c>
      <c r="E22" s="525">
        <v>4107501</v>
      </c>
      <c r="F22" s="672">
        <f t="shared" si="8"/>
        <v>0</v>
      </c>
      <c r="G22" s="669"/>
      <c r="H22" s="524"/>
      <c r="I22" s="526">
        <f t="shared" si="2"/>
        <v>0</v>
      </c>
      <c r="J22" s="545"/>
      <c r="K22" s="524"/>
      <c r="L22" s="526">
        <f t="shared" si="3"/>
        <v>0</v>
      </c>
      <c r="M22" s="545"/>
      <c r="N22" s="524"/>
      <c r="O22" s="526">
        <f t="shared" si="9"/>
        <v>0</v>
      </c>
      <c r="P22" s="545"/>
      <c r="Q22" s="524"/>
      <c r="R22" s="526">
        <f t="shared" si="10"/>
        <v>0</v>
      </c>
      <c r="S22" s="524"/>
      <c r="T22" s="524"/>
      <c r="U22" s="526">
        <f t="shared" si="4"/>
        <v>0</v>
      </c>
      <c r="V22" s="524"/>
      <c r="W22" s="524"/>
      <c r="X22" s="526">
        <f t="shared" si="5"/>
        <v>0</v>
      </c>
      <c r="Y22" s="524"/>
      <c r="Z22" s="524"/>
      <c r="AA22" s="526">
        <f t="shared" si="6"/>
        <v>0</v>
      </c>
      <c r="AB22" s="524"/>
      <c r="AC22" s="524"/>
      <c r="AD22" s="527">
        <f t="shared" si="7"/>
        <v>0</v>
      </c>
      <c r="AE22" s="528">
        <f t="shared" si="11"/>
        <v>0</v>
      </c>
      <c r="AF22" s="529">
        <f t="shared" ref="AF22:AF40" si="12">F22-AE22</f>
        <v>0</v>
      </c>
      <c r="AG22" s="529">
        <f t="shared" ref="AG22:AG43" si="13">F22-AE22</f>
        <v>0</v>
      </c>
    </row>
    <row r="23" spans="1:33">
      <c r="A23" s="523">
        <v>14</v>
      </c>
      <c r="B23" s="543" t="str">
        <f>'DAFTAR UPAH MEI 2025'!C22</f>
        <v>H0096</v>
      </c>
      <c r="C23" s="544" t="str">
        <f>'DAFTAR UPAH MEI 2025'!D22</f>
        <v>SANUSI ( ROYANI )</v>
      </c>
      <c r="D23" s="545">
        <f>'DAFTAR UPAH MEI 2025'!BC22</f>
        <v>4242801</v>
      </c>
      <c r="E23" s="525">
        <v>4242801</v>
      </c>
      <c r="F23" s="533">
        <f t="shared" si="8"/>
        <v>0</v>
      </c>
      <c r="G23" s="669"/>
      <c r="H23" s="524"/>
      <c r="I23" s="526">
        <f t="shared" si="2"/>
        <v>0</v>
      </c>
      <c r="J23" s="545"/>
      <c r="K23" s="524"/>
      <c r="L23" s="526">
        <f t="shared" si="3"/>
        <v>0</v>
      </c>
      <c r="M23" s="545"/>
      <c r="N23" s="524"/>
      <c r="O23" s="526">
        <f t="shared" si="9"/>
        <v>0</v>
      </c>
      <c r="P23" s="545"/>
      <c r="Q23" s="524"/>
      <c r="R23" s="526">
        <f t="shared" si="10"/>
        <v>0</v>
      </c>
      <c r="S23" s="524"/>
      <c r="T23" s="524"/>
      <c r="U23" s="526">
        <f t="shared" si="4"/>
        <v>0</v>
      </c>
      <c r="V23" s="524"/>
      <c r="W23" s="524"/>
      <c r="X23" s="526">
        <f t="shared" si="5"/>
        <v>0</v>
      </c>
      <c r="Y23" s="524"/>
      <c r="Z23" s="524"/>
      <c r="AA23" s="526">
        <f t="shared" si="6"/>
        <v>0</v>
      </c>
      <c r="AB23" s="524"/>
      <c r="AC23" s="524"/>
      <c r="AD23" s="527">
        <f t="shared" si="7"/>
        <v>0</v>
      </c>
      <c r="AE23" s="528">
        <f t="shared" si="11"/>
        <v>0</v>
      </c>
      <c r="AF23" s="529">
        <f t="shared" si="12"/>
        <v>0</v>
      </c>
      <c r="AG23" s="529">
        <f t="shared" si="13"/>
        <v>0</v>
      </c>
    </row>
    <row r="24" spans="1:33">
      <c r="A24" s="523">
        <v>15</v>
      </c>
      <c r="B24" s="543" t="str">
        <f>'DAFTAR UPAH MEI 2025'!C23</f>
        <v>H0099</v>
      </c>
      <c r="C24" s="544" t="str">
        <f>'DAFTAR UPAH MEI 2025'!D23</f>
        <v>YUSNI</v>
      </c>
      <c r="D24" s="545">
        <f>'DAFTAR UPAH MEI 2025'!BC23</f>
        <v>3963036</v>
      </c>
      <c r="E24" s="525">
        <v>3963036</v>
      </c>
      <c r="F24" s="533">
        <f t="shared" si="8"/>
        <v>0</v>
      </c>
      <c r="G24" s="669"/>
      <c r="H24" s="524"/>
      <c r="I24" s="526">
        <f t="shared" si="2"/>
        <v>0</v>
      </c>
      <c r="J24" s="545"/>
      <c r="K24" s="524"/>
      <c r="L24" s="526">
        <f t="shared" si="3"/>
        <v>0</v>
      </c>
      <c r="M24" s="545"/>
      <c r="N24" s="524"/>
      <c r="O24" s="526">
        <f t="shared" si="9"/>
        <v>0</v>
      </c>
      <c r="P24" s="545"/>
      <c r="Q24" s="524"/>
      <c r="R24" s="526">
        <f t="shared" si="10"/>
        <v>0</v>
      </c>
      <c r="S24" s="524"/>
      <c r="T24" s="524"/>
      <c r="U24" s="526">
        <f t="shared" si="4"/>
        <v>0</v>
      </c>
      <c r="V24" s="524"/>
      <c r="W24" s="524"/>
      <c r="X24" s="526">
        <f t="shared" si="5"/>
        <v>0</v>
      </c>
      <c r="Y24" s="524"/>
      <c r="Z24" s="524"/>
      <c r="AA24" s="526">
        <f t="shared" si="6"/>
        <v>0</v>
      </c>
      <c r="AB24" s="524"/>
      <c r="AC24" s="524"/>
      <c r="AD24" s="527">
        <f t="shared" si="7"/>
        <v>0</v>
      </c>
      <c r="AE24" s="528">
        <f t="shared" si="11"/>
        <v>0</v>
      </c>
      <c r="AF24" s="529">
        <f t="shared" si="12"/>
        <v>0</v>
      </c>
      <c r="AG24" s="529">
        <f t="shared" si="13"/>
        <v>0</v>
      </c>
    </row>
    <row r="25" spans="1:33">
      <c r="A25" s="523">
        <v>16</v>
      </c>
      <c r="B25" s="543" t="str">
        <f>'DAFTAR UPAH MEI 2025'!C24</f>
        <v>H0100</v>
      </c>
      <c r="C25" s="544" t="str">
        <f>'DAFTAR UPAH MEI 2025'!D24</f>
        <v>RODIATI</v>
      </c>
      <c r="D25" s="545">
        <f>'DAFTAR UPAH MEI 2025'!BC24</f>
        <v>3966501</v>
      </c>
      <c r="E25" s="525">
        <v>3966501</v>
      </c>
      <c r="F25" s="533">
        <f t="shared" si="8"/>
        <v>0</v>
      </c>
      <c r="G25" s="669"/>
      <c r="H25" s="524"/>
      <c r="I25" s="526">
        <f t="shared" si="2"/>
        <v>0</v>
      </c>
      <c r="J25" s="545"/>
      <c r="K25" s="524"/>
      <c r="L25" s="526">
        <f t="shared" si="3"/>
        <v>0</v>
      </c>
      <c r="M25" s="545"/>
      <c r="N25" s="524"/>
      <c r="O25" s="526">
        <f t="shared" si="9"/>
        <v>0</v>
      </c>
      <c r="P25" s="545"/>
      <c r="Q25" s="524"/>
      <c r="R25" s="526">
        <f t="shared" si="10"/>
        <v>0</v>
      </c>
      <c r="S25" s="524"/>
      <c r="T25" s="524"/>
      <c r="U25" s="526">
        <f t="shared" si="4"/>
        <v>0</v>
      </c>
      <c r="V25" s="524"/>
      <c r="W25" s="524"/>
      <c r="X25" s="526">
        <f t="shared" si="5"/>
        <v>0</v>
      </c>
      <c r="Y25" s="524"/>
      <c r="Z25" s="524"/>
      <c r="AA25" s="526">
        <f t="shared" si="6"/>
        <v>0</v>
      </c>
      <c r="AB25" s="524"/>
      <c r="AC25" s="524"/>
      <c r="AD25" s="527">
        <f t="shared" si="7"/>
        <v>0</v>
      </c>
      <c r="AE25" s="528">
        <f t="shared" si="11"/>
        <v>0</v>
      </c>
      <c r="AF25" s="529">
        <f t="shared" si="12"/>
        <v>0</v>
      </c>
      <c r="AG25" s="529">
        <f t="shared" si="13"/>
        <v>0</v>
      </c>
    </row>
    <row r="26" spans="1:33">
      <c r="A26" s="523">
        <v>17</v>
      </c>
      <c r="B26" s="543" t="str">
        <f>'DAFTAR UPAH MEI 2025'!C25</f>
        <v>H0101</v>
      </c>
      <c r="C26" s="544" t="str">
        <f>'DAFTAR UPAH MEI 2025'!D25</f>
        <v>ERNAWATI</v>
      </c>
      <c r="D26" s="545">
        <f>'DAFTAR UPAH MEI 2025'!BC25</f>
        <v>3811766</v>
      </c>
      <c r="E26" s="525">
        <v>3811766</v>
      </c>
      <c r="F26" s="533">
        <f t="shared" si="8"/>
        <v>0</v>
      </c>
      <c r="G26" s="669"/>
      <c r="H26" s="524"/>
      <c r="I26" s="526">
        <f t="shared" si="2"/>
        <v>0</v>
      </c>
      <c r="J26" s="545"/>
      <c r="K26" s="524"/>
      <c r="L26" s="526">
        <f t="shared" si="3"/>
        <v>0</v>
      </c>
      <c r="M26" s="545"/>
      <c r="N26" s="524"/>
      <c r="O26" s="526">
        <f t="shared" si="9"/>
        <v>0</v>
      </c>
      <c r="P26" s="545"/>
      <c r="Q26" s="524"/>
      <c r="R26" s="526">
        <f t="shared" si="10"/>
        <v>0</v>
      </c>
      <c r="S26" s="524"/>
      <c r="T26" s="524"/>
      <c r="U26" s="526">
        <f t="shared" si="4"/>
        <v>0</v>
      </c>
      <c r="V26" s="524"/>
      <c r="W26" s="524"/>
      <c r="X26" s="526">
        <f t="shared" si="5"/>
        <v>0</v>
      </c>
      <c r="Y26" s="524"/>
      <c r="Z26" s="524"/>
      <c r="AA26" s="526">
        <f t="shared" si="6"/>
        <v>0</v>
      </c>
      <c r="AB26" s="524"/>
      <c r="AC26" s="524"/>
      <c r="AD26" s="527">
        <f t="shared" si="7"/>
        <v>0</v>
      </c>
      <c r="AE26" s="528">
        <f t="shared" si="11"/>
        <v>0</v>
      </c>
      <c r="AF26" s="529">
        <f t="shared" si="12"/>
        <v>0</v>
      </c>
      <c r="AG26" s="529">
        <f t="shared" si="13"/>
        <v>0</v>
      </c>
    </row>
    <row r="27" spans="1:33">
      <c r="A27" s="523">
        <v>18</v>
      </c>
      <c r="B27" s="543" t="str">
        <f>'DAFTAR UPAH MEI 2025'!C26</f>
        <v>H0103</v>
      </c>
      <c r="C27" s="544" t="str">
        <f>'DAFTAR UPAH MEI 2025'!D26</f>
        <v>ANDRISTIO 
BUDIMAN</v>
      </c>
      <c r="D27" s="545">
        <f>'DAFTAR UPAH MEI 2025'!BC26</f>
        <v>4061871</v>
      </c>
      <c r="E27" s="525">
        <v>4061871</v>
      </c>
      <c r="F27" s="533">
        <f t="shared" si="8"/>
        <v>0</v>
      </c>
      <c r="G27" s="669"/>
      <c r="H27" s="524"/>
      <c r="I27" s="526">
        <f t="shared" si="2"/>
        <v>0</v>
      </c>
      <c r="J27" s="545"/>
      <c r="K27" s="524"/>
      <c r="L27" s="526">
        <f t="shared" si="3"/>
        <v>0</v>
      </c>
      <c r="M27" s="545"/>
      <c r="N27" s="524"/>
      <c r="O27" s="526">
        <f t="shared" si="9"/>
        <v>0</v>
      </c>
      <c r="P27" s="545"/>
      <c r="Q27" s="524"/>
      <c r="R27" s="526">
        <f t="shared" si="10"/>
        <v>0</v>
      </c>
      <c r="S27" s="524"/>
      <c r="T27" s="524"/>
      <c r="U27" s="526">
        <f t="shared" si="4"/>
        <v>0</v>
      </c>
      <c r="V27" s="524"/>
      <c r="W27" s="524"/>
      <c r="X27" s="526">
        <f t="shared" si="5"/>
        <v>0</v>
      </c>
      <c r="Y27" s="524"/>
      <c r="Z27" s="524"/>
      <c r="AA27" s="526">
        <f t="shared" si="6"/>
        <v>0</v>
      </c>
      <c r="AB27" s="524"/>
      <c r="AC27" s="524"/>
      <c r="AD27" s="527">
        <f>-(AB27-AC27)</f>
        <v>0</v>
      </c>
      <c r="AE27" s="528">
        <f t="shared" si="11"/>
        <v>0</v>
      </c>
      <c r="AF27" s="529">
        <f t="shared" si="12"/>
        <v>0</v>
      </c>
      <c r="AG27" s="529">
        <f t="shared" si="13"/>
        <v>0</v>
      </c>
    </row>
    <row r="28" spans="1:33">
      <c r="A28" s="523">
        <v>19</v>
      </c>
      <c r="B28" s="543" t="str">
        <f>'DAFTAR UPAH MEI 2025'!C27</f>
        <v>H0105</v>
      </c>
      <c r="C28" s="544" t="str">
        <f>'DAFTAR UPAH MEI 2025'!D27</f>
        <v>SUNITA</v>
      </c>
      <c r="D28" s="545">
        <f>'DAFTAR UPAH MEI 2025'!BC27</f>
        <v>3963036</v>
      </c>
      <c r="E28" s="525">
        <v>3963036</v>
      </c>
      <c r="F28" s="533">
        <f t="shared" si="8"/>
        <v>0</v>
      </c>
      <c r="G28" s="669"/>
      <c r="H28" s="524"/>
      <c r="I28" s="526">
        <f t="shared" si="2"/>
        <v>0</v>
      </c>
      <c r="J28" s="545"/>
      <c r="K28" s="524"/>
      <c r="L28" s="526">
        <f t="shared" si="3"/>
        <v>0</v>
      </c>
      <c r="M28" s="545"/>
      <c r="N28" s="524"/>
      <c r="O28" s="526">
        <f t="shared" si="9"/>
        <v>0</v>
      </c>
      <c r="P28" s="545"/>
      <c r="Q28" s="524"/>
      <c r="R28" s="526">
        <f t="shared" si="10"/>
        <v>0</v>
      </c>
      <c r="S28" s="524"/>
      <c r="T28" s="524"/>
      <c r="U28" s="526">
        <f t="shared" si="4"/>
        <v>0</v>
      </c>
      <c r="V28" s="524"/>
      <c r="W28" s="524"/>
      <c r="X28" s="526">
        <f t="shared" si="5"/>
        <v>0</v>
      </c>
      <c r="Y28" s="524"/>
      <c r="Z28" s="524"/>
      <c r="AA28" s="526">
        <f t="shared" si="6"/>
        <v>0</v>
      </c>
      <c r="AB28" s="524"/>
      <c r="AC28" s="524"/>
      <c r="AD28" s="527">
        <f t="shared" si="7"/>
        <v>0</v>
      </c>
      <c r="AE28" s="528">
        <f t="shared" si="11"/>
        <v>0</v>
      </c>
      <c r="AF28" s="529">
        <f t="shared" si="12"/>
        <v>0</v>
      </c>
      <c r="AG28" s="529">
        <f t="shared" si="13"/>
        <v>0</v>
      </c>
    </row>
    <row r="29" spans="1:33">
      <c r="A29" s="523">
        <v>20</v>
      </c>
      <c r="B29" s="543" t="str">
        <f>'DAFTAR UPAH MEI 2025'!C28</f>
        <v>H0108</v>
      </c>
      <c r="C29" s="544" t="str">
        <f>'DAFTAR UPAH MEI 2025'!D28</f>
        <v>MAMAN</v>
      </c>
      <c r="D29" s="545">
        <f>'DAFTAR UPAH MEI 2025'!BC28</f>
        <v>4074566</v>
      </c>
      <c r="E29" s="525">
        <v>4074566</v>
      </c>
      <c r="F29" s="672">
        <f t="shared" si="8"/>
        <v>0</v>
      </c>
      <c r="G29" s="669"/>
      <c r="H29" s="524"/>
      <c r="I29" s="526">
        <f t="shared" ref="I29:I42" si="14">G29-H29</f>
        <v>0</v>
      </c>
      <c r="J29" s="545"/>
      <c r="K29" s="524"/>
      <c r="L29" s="526">
        <f t="shared" ref="L29:L42" si="15">J29-K29</f>
        <v>0</v>
      </c>
      <c r="M29" s="545"/>
      <c r="N29" s="524"/>
      <c r="O29" s="526">
        <f t="shared" ref="O29:O42" si="16">M29-N29</f>
        <v>0</v>
      </c>
      <c r="P29" s="545"/>
      <c r="Q29" s="524"/>
      <c r="R29" s="526">
        <f t="shared" si="10"/>
        <v>0</v>
      </c>
      <c r="S29" s="524"/>
      <c r="T29" s="524"/>
      <c r="U29" s="526">
        <f t="shared" ref="U29:U42" si="17">S29-T29</f>
        <v>0</v>
      </c>
      <c r="V29" s="524"/>
      <c r="W29" s="524"/>
      <c r="X29" s="526">
        <f t="shared" si="5"/>
        <v>0</v>
      </c>
      <c r="Y29" s="524"/>
      <c r="Z29" s="524"/>
      <c r="AA29" s="526">
        <f t="shared" ref="AA29:AA42" si="18">Y29-Z29</f>
        <v>0</v>
      </c>
      <c r="AB29" s="524"/>
      <c r="AC29" s="524"/>
      <c r="AD29" s="527">
        <f t="shared" ref="AD29:AD42" si="19">-(AB29-AC29)</f>
        <v>0</v>
      </c>
      <c r="AE29" s="528">
        <f t="shared" si="11"/>
        <v>0</v>
      </c>
      <c r="AF29" s="529">
        <f t="shared" si="12"/>
        <v>0</v>
      </c>
      <c r="AG29" s="529">
        <f t="shared" si="13"/>
        <v>0</v>
      </c>
    </row>
    <row r="30" spans="1:33">
      <c r="A30" s="523">
        <v>21</v>
      </c>
      <c r="B30" s="543" t="str">
        <f>'DAFTAR UPAH MEI 2025'!C29</f>
        <v>H0109</v>
      </c>
      <c r="C30" s="544" t="str">
        <f>'DAFTAR UPAH MEI 2025'!D29</f>
        <v>BADIK BAGUS 
PRIBADI</v>
      </c>
      <c r="D30" s="545">
        <f>'DAFTAR UPAH MEI 2025'!BC29</f>
        <v>3657561</v>
      </c>
      <c r="E30" s="525">
        <v>3657561</v>
      </c>
      <c r="F30" s="672">
        <f t="shared" si="8"/>
        <v>0</v>
      </c>
      <c r="G30" s="669"/>
      <c r="H30" s="524"/>
      <c r="I30" s="526">
        <f t="shared" si="14"/>
        <v>0</v>
      </c>
      <c r="J30" s="545"/>
      <c r="K30" s="524"/>
      <c r="L30" s="526">
        <f t="shared" si="15"/>
        <v>0</v>
      </c>
      <c r="M30" s="545"/>
      <c r="N30" s="524"/>
      <c r="O30" s="526">
        <f t="shared" si="16"/>
        <v>0</v>
      </c>
      <c r="P30" s="545"/>
      <c r="Q30" s="524"/>
      <c r="R30" s="526">
        <f t="shared" si="10"/>
        <v>0</v>
      </c>
      <c r="S30" s="524"/>
      <c r="T30" s="524"/>
      <c r="U30" s="526">
        <f t="shared" si="17"/>
        <v>0</v>
      </c>
      <c r="V30" s="524"/>
      <c r="W30" s="524"/>
      <c r="X30" s="526">
        <f t="shared" si="5"/>
        <v>0</v>
      </c>
      <c r="Y30" s="524"/>
      <c r="Z30" s="524"/>
      <c r="AA30" s="526">
        <f t="shared" si="18"/>
        <v>0</v>
      </c>
      <c r="AB30" s="524"/>
      <c r="AC30" s="524"/>
      <c r="AD30" s="527">
        <f t="shared" si="19"/>
        <v>0</v>
      </c>
      <c r="AE30" s="528">
        <f t="shared" si="11"/>
        <v>0</v>
      </c>
      <c r="AF30" s="529">
        <f t="shared" si="12"/>
        <v>0</v>
      </c>
      <c r="AG30" s="529">
        <f t="shared" si="13"/>
        <v>0</v>
      </c>
    </row>
    <row r="31" spans="1:33">
      <c r="A31" s="523">
        <v>22</v>
      </c>
      <c r="B31" s="543" t="str">
        <f>'DAFTAR UPAH MEI 2025'!C30</f>
        <v>H0019</v>
      </c>
      <c r="C31" s="544" t="str">
        <f>'DAFTAR UPAH MEI 2025'!D30</f>
        <v>AGUSTINI</v>
      </c>
      <c r="D31" s="545">
        <f>'DAFTAR UPAH MEI 2025'!BC30</f>
        <v>3959571</v>
      </c>
      <c r="E31" s="525">
        <v>3959571</v>
      </c>
      <c r="F31" s="672">
        <f t="shared" si="8"/>
        <v>0</v>
      </c>
      <c r="G31" s="669"/>
      <c r="H31" s="524"/>
      <c r="I31" s="526">
        <f t="shared" si="14"/>
        <v>0</v>
      </c>
      <c r="J31" s="545"/>
      <c r="K31" s="524"/>
      <c r="L31" s="526">
        <f t="shared" si="15"/>
        <v>0</v>
      </c>
      <c r="M31" s="545"/>
      <c r="N31" s="524"/>
      <c r="O31" s="526">
        <f t="shared" si="16"/>
        <v>0</v>
      </c>
      <c r="P31" s="545"/>
      <c r="Q31" s="524"/>
      <c r="R31" s="526">
        <f t="shared" si="10"/>
        <v>0</v>
      </c>
      <c r="S31" s="524"/>
      <c r="T31" s="524"/>
      <c r="U31" s="526">
        <f t="shared" si="17"/>
        <v>0</v>
      </c>
      <c r="V31" s="524"/>
      <c r="W31" s="524"/>
      <c r="X31" s="526">
        <f t="shared" si="5"/>
        <v>0</v>
      </c>
      <c r="Y31" s="524"/>
      <c r="Z31" s="524"/>
      <c r="AA31" s="526">
        <f t="shared" si="18"/>
        <v>0</v>
      </c>
      <c r="AB31" s="524"/>
      <c r="AC31" s="524"/>
      <c r="AD31" s="527">
        <f t="shared" si="19"/>
        <v>0</v>
      </c>
      <c r="AE31" s="528">
        <f t="shared" si="11"/>
        <v>0</v>
      </c>
      <c r="AF31" s="529">
        <f t="shared" si="12"/>
        <v>0</v>
      </c>
      <c r="AG31" s="529">
        <f t="shared" si="13"/>
        <v>0</v>
      </c>
    </row>
    <row r="32" spans="1:33">
      <c r="A32" s="523">
        <v>23</v>
      </c>
      <c r="B32" s="543" t="str">
        <f>'DAFTAR UPAH MEI 2025'!C31</f>
        <v>H0018</v>
      </c>
      <c r="C32" s="544" t="str">
        <f>'DAFTAR UPAH MEI 2025'!D31</f>
        <v>DEVI NATALIA</v>
      </c>
      <c r="D32" s="545">
        <f>'DAFTAR UPAH MEI 2025'!BC31</f>
        <v>3963036</v>
      </c>
      <c r="E32" s="525">
        <v>3963036</v>
      </c>
      <c r="F32" s="672">
        <f>D32-E32</f>
        <v>0</v>
      </c>
      <c r="G32" s="669"/>
      <c r="H32" s="524"/>
      <c r="I32" s="526">
        <f t="shared" si="14"/>
        <v>0</v>
      </c>
      <c r="J32" s="545"/>
      <c r="K32" s="524"/>
      <c r="L32" s="526">
        <f t="shared" si="15"/>
        <v>0</v>
      </c>
      <c r="M32" s="545"/>
      <c r="N32" s="524"/>
      <c r="O32" s="526">
        <f t="shared" si="16"/>
        <v>0</v>
      </c>
      <c r="P32" s="545"/>
      <c r="Q32" s="524"/>
      <c r="R32" s="526">
        <f t="shared" si="10"/>
        <v>0</v>
      </c>
      <c r="S32" s="524"/>
      <c r="T32" s="524"/>
      <c r="U32" s="526">
        <f t="shared" si="17"/>
        <v>0</v>
      </c>
      <c r="V32" s="524"/>
      <c r="W32" s="524"/>
      <c r="X32" s="526">
        <f t="shared" si="5"/>
        <v>0</v>
      </c>
      <c r="Y32" s="524"/>
      <c r="Z32" s="524"/>
      <c r="AA32" s="526">
        <f t="shared" si="18"/>
        <v>0</v>
      </c>
      <c r="AB32" s="524"/>
      <c r="AC32" s="524"/>
      <c r="AD32" s="527">
        <f t="shared" si="19"/>
        <v>0</v>
      </c>
      <c r="AE32" s="528">
        <f t="shared" si="11"/>
        <v>0</v>
      </c>
      <c r="AF32" s="529">
        <f t="shared" si="12"/>
        <v>0</v>
      </c>
      <c r="AG32" s="529">
        <f t="shared" si="13"/>
        <v>0</v>
      </c>
    </row>
    <row r="33" spans="1:33">
      <c r="A33" s="523">
        <v>24</v>
      </c>
      <c r="B33" s="543" t="str">
        <f>'DAFTAR UPAH MEI 2025'!C32</f>
        <v>H0017</v>
      </c>
      <c r="C33" s="544" t="str">
        <f>'DAFTAR UPAH MEI 2025'!D32</f>
        <v>HERLINDA</v>
      </c>
      <c r="D33" s="545">
        <f>'DAFTAR UPAH MEI 2025'!BC32</f>
        <v>3959571</v>
      </c>
      <c r="E33" s="525">
        <v>3959571</v>
      </c>
      <c r="F33" s="672">
        <f t="shared" ref="F33:F41" si="20">D33-E33</f>
        <v>0</v>
      </c>
      <c r="G33" s="669"/>
      <c r="H33" s="524"/>
      <c r="I33" s="526">
        <f t="shared" si="14"/>
        <v>0</v>
      </c>
      <c r="J33" s="545"/>
      <c r="K33" s="524"/>
      <c r="L33" s="526">
        <f t="shared" si="15"/>
        <v>0</v>
      </c>
      <c r="M33" s="545"/>
      <c r="N33" s="524"/>
      <c r="O33" s="526">
        <f t="shared" si="16"/>
        <v>0</v>
      </c>
      <c r="P33" s="545"/>
      <c r="Q33" s="524"/>
      <c r="R33" s="526">
        <f t="shared" si="10"/>
        <v>0</v>
      </c>
      <c r="S33" s="524"/>
      <c r="T33" s="524"/>
      <c r="U33" s="526">
        <f t="shared" si="17"/>
        <v>0</v>
      </c>
      <c r="V33" s="524"/>
      <c r="W33" s="524"/>
      <c r="X33" s="526">
        <f t="shared" si="5"/>
        <v>0</v>
      </c>
      <c r="Y33" s="524"/>
      <c r="Z33" s="524"/>
      <c r="AA33" s="526">
        <f t="shared" si="18"/>
        <v>0</v>
      </c>
      <c r="AB33" s="524"/>
      <c r="AC33" s="524"/>
      <c r="AD33" s="527">
        <f t="shared" si="19"/>
        <v>0</v>
      </c>
      <c r="AE33" s="528">
        <f t="shared" si="11"/>
        <v>0</v>
      </c>
      <c r="AF33" s="529">
        <f t="shared" si="12"/>
        <v>0</v>
      </c>
      <c r="AG33" s="529">
        <f t="shared" si="13"/>
        <v>0</v>
      </c>
    </row>
    <row r="34" spans="1:33">
      <c r="A34" s="523">
        <v>25</v>
      </c>
      <c r="B34" s="543" t="str">
        <f>'DAFTAR UPAH MEI 2025'!C33</f>
        <v>H0042</v>
      </c>
      <c r="C34" s="544" t="str">
        <f>'DAFTAR UPAH MEI 2025'!D33</f>
        <v>ASERI</v>
      </c>
      <c r="D34" s="545">
        <f>'DAFTAR UPAH MEI 2025'!BC33</f>
        <v>4222971</v>
      </c>
      <c r="E34" s="525">
        <v>4222971</v>
      </c>
      <c r="F34" s="672">
        <f t="shared" si="20"/>
        <v>0</v>
      </c>
      <c r="G34" s="669"/>
      <c r="H34" s="524"/>
      <c r="I34" s="526">
        <f t="shared" si="14"/>
        <v>0</v>
      </c>
      <c r="J34" s="545"/>
      <c r="K34" s="524"/>
      <c r="L34" s="526">
        <f t="shared" si="15"/>
        <v>0</v>
      </c>
      <c r="M34" s="545"/>
      <c r="N34" s="524"/>
      <c r="O34" s="526">
        <f t="shared" si="16"/>
        <v>0</v>
      </c>
      <c r="P34" s="545"/>
      <c r="Q34" s="524"/>
      <c r="R34" s="526">
        <f t="shared" si="10"/>
        <v>0</v>
      </c>
      <c r="S34" s="524"/>
      <c r="T34" s="524"/>
      <c r="U34" s="526">
        <f t="shared" si="17"/>
        <v>0</v>
      </c>
      <c r="V34" s="524"/>
      <c r="W34" s="524"/>
      <c r="X34" s="526">
        <f t="shared" si="5"/>
        <v>0</v>
      </c>
      <c r="Y34" s="524"/>
      <c r="Z34" s="524"/>
      <c r="AA34" s="526">
        <f t="shared" si="18"/>
        <v>0</v>
      </c>
      <c r="AB34" s="524"/>
      <c r="AC34" s="524"/>
      <c r="AD34" s="527">
        <f t="shared" si="19"/>
        <v>0</v>
      </c>
      <c r="AE34" s="528">
        <f t="shared" si="11"/>
        <v>0</v>
      </c>
      <c r="AF34" s="529">
        <f t="shared" si="12"/>
        <v>0</v>
      </c>
      <c r="AG34" s="529">
        <f t="shared" si="13"/>
        <v>0</v>
      </c>
    </row>
    <row r="35" spans="1:33">
      <c r="A35" s="523">
        <v>26</v>
      </c>
      <c r="B35" s="543" t="str">
        <f>'DAFTAR UPAH MEI 2025'!C34</f>
        <v>H0130</v>
      </c>
      <c r="C35" s="544" t="str">
        <f>'DAFTAR UPAH MEI 2025'!D34</f>
        <v xml:space="preserve">ADI SUSANTO </v>
      </c>
      <c r="D35" s="545">
        <f>'DAFTAR UPAH MEI 2025'!BC34</f>
        <v>4070476</v>
      </c>
      <c r="E35" s="525">
        <v>4070476</v>
      </c>
      <c r="F35" s="672">
        <f t="shared" si="20"/>
        <v>0</v>
      </c>
      <c r="G35" s="669"/>
      <c r="H35" s="524"/>
      <c r="I35" s="526">
        <f t="shared" si="14"/>
        <v>0</v>
      </c>
      <c r="J35" s="545"/>
      <c r="K35" s="524"/>
      <c r="L35" s="526">
        <f t="shared" si="15"/>
        <v>0</v>
      </c>
      <c r="M35" s="545"/>
      <c r="N35" s="524"/>
      <c r="O35" s="526">
        <f t="shared" si="16"/>
        <v>0</v>
      </c>
      <c r="P35" s="545"/>
      <c r="Q35" s="524"/>
      <c r="R35" s="526">
        <f t="shared" si="10"/>
        <v>0</v>
      </c>
      <c r="S35" s="524"/>
      <c r="T35" s="524"/>
      <c r="U35" s="526">
        <f t="shared" si="17"/>
        <v>0</v>
      </c>
      <c r="V35" s="524"/>
      <c r="W35" s="524"/>
      <c r="X35" s="526">
        <f t="shared" si="5"/>
        <v>0</v>
      </c>
      <c r="Y35" s="524"/>
      <c r="Z35" s="524"/>
      <c r="AA35" s="526">
        <f t="shared" si="18"/>
        <v>0</v>
      </c>
      <c r="AB35" s="524"/>
      <c r="AC35" s="524"/>
      <c r="AD35" s="527">
        <f t="shared" si="19"/>
        <v>0</v>
      </c>
      <c r="AE35" s="528">
        <f t="shared" si="11"/>
        <v>0</v>
      </c>
      <c r="AF35" s="529">
        <f t="shared" si="12"/>
        <v>0</v>
      </c>
      <c r="AG35" s="529">
        <f t="shared" si="13"/>
        <v>0</v>
      </c>
    </row>
    <row r="36" spans="1:33">
      <c r="A36" s="523">
        <v>27</v>
      </c>
      <c r="B36" s="543" t="str">
        <f>'DAFTAR UPAH MEI 2025'!C35</f>
        <v>H0020</v>
      </c>
      <c r="C36" s="544" t="str">
        <f>'DAFTAR UPAH MEI 2025'!D35</f>
        <v>ANSITA</v>
      </c>
      <c r="D36" s="545">
        <f>'DAFTAR UPAH MEI 2025'!BC35</f>
        <v>3963036</v>
      </c>
      <c r="E36" s="525">
        <v>3963036</v>
      </c>
      <c r="F36" s="672">
        <f t="shared" si="20"/>
        <v>0</v>
      </c>
      <c r="G36" s="669"/>
      <c r="H36" s="524"/>
      <c r="I36" s="526">
        <f t="shared" si="14"/>
        <v>0</v>
      </c>
      <c r="J36" s="545"/>
      <c r="K36" s="524"/>
      <c r="L36" s="526">
        <f t="shared" si="15"/>
        <v>0</v>
      </c>
      <c r="M36" s="545"/>
      <c r="N36" s="524"/>
      <c r="O36" s="526">
        <f t="shared" si="16"/>
        <v>0</v>
      </c>
      <c r="P36" s="545"/>
      <c r="Q36" s="524"/>
      <c r="R36" s="526">
        <f t="shared" si="10"/>
        <v>0</v>
      </c>
      <c r="S36" s="524"/>
      <c r="T36" s="524"/>
      <c r="U36" s="526">
        <f t="shared" si="17"/>
        <v>0</v>
      </c>
      <c r="V36" s="524"/>
      <c r="W36" s="524"/>
      <c r="X36" s="526">
        <f t="shared" si="5"/>
        <v>0</v>
      </c>
      <c r="Y36" s="524"/>
      <c r="Z36" s="524"/>
      <c r="AA36" s="526">
        <f t="shared" si="18"/>
        <v>0</v>
      </c>
      <c r="AB36" s="524"/>
      <c r="AC36" s="524"/>
      <c r="AD36" s="527">
        <f t="shared" si="19"/>
        <v>0</v>
      </c>
      <c r="AE36" s="528">
        <f t="shared" si="11"/>
        <v>0</v>
      </c>
      <c r="AF36" s="529">
        <f t="shared" si="12"/>
        <v>0</v>
      </c>
      <c r="AG36" s="529">
        <f t="shared" si="13"/>
        <v>0</v>
      </c>
    </row>
    <row r="37" spans="1:33">
      <c r="A37" s="523">
        <v>28</v>
      </c>
      <c r="B37" s="543" t="str">
        <f>'DAFTAR UPAH MEI 2025'!C36</f>
        <v>H0459</v>
      </c>
      <c r="C37" s="544" t="str">
        <f>'DAFTAR UPAH MEI 2025'!D36</f>
        <v>ASNAWATI</v>
      </c>
      <c r="D37" s="545">
        <f>'DAFTAR UPAH MEI 2025'!BC36</f>
        <v>3956106</v>
      </c>
      <c r="E37" s="525">
        <v>3956106</v>
      </c>
      <c r="F37" s="672">
        <f t="shared" si="20"/>
        <v>0</v>
      </c>
      <c r="G37" s="669"/>
      <c r="H37" s="524"/>
      <c r="I37" s="526">
        <f t="shared" si="14"/>
        <v>0</v>
      </c>
      <c r="J37" s="545"/>
      <c r="L37" s="526">
        <f t="shared" si="15"/>
        <v>0</v>
      </c>
      <c r="M37" s="545"/>
      <c r="N37" s="524"/>
      <c r="O37" s="526">
        <f t="shared" si="16"/>
        <v>0</v>
      </c>
      <c r="P37" s="545"/>
      <c r="Q37" s="524"/>
      <c r="R37" s="526">
        <f t="shared" si="10"/>
        <v>0</v>
      </c>
      <c r="S37" s="524"/>
      <c r="T37" s="524"/>
      <c r="U37" s="526">
        <f t="shared" si="17"/>
        <v>0</v>
      </c>
      <c r="V37" s="524"/>
      <c r="W37" s="524"/>
      <c r="X37" s="526">
        <f t="shared" si="5"/>
        <v>0</v>
      </c>
      <c r="Y37" s="524"/>
      <c r="Z37" s="524"/>
      <c r="AA37" s="526">
        <f t="shared" si="18"/>
        <v>0</v>
      </c>
      <c r="AB37" s="524"/>
      <c r="AC37" s="524"/>
      <c r="AD37" s="527">
        <f t="shared" si="19"/>
        <v>0</v>
      </c>
      <c r="AE37" s="528">
        <f t="shared" si="11"/>
        <v>0</v>
      </c>
      <c r="AF37" s="529">
        <f t="shared" si="12"/>
        <v>0</v>
      </c>
      <c r="AG37" s="529">
        <f t="shared" si="13"/>
        <v>0</v>
      </c>
    </row>
    <row r="38" spans="1:33">
      <c r="A38" s="523">
        <v>29</v>
      </c>
      <c r="B38" s="543" t="str">
        <f>'DAFTAR UPAH MEI 2025'!C37</f>
        <v>H0461</v>
      </c>
      <c r="C38" s="544" t="str">
        <f>'DAFTAR UPAH MEI 2025'!D37</f>
        <v>HATINAH</v>
      </c>
      <c r="D38" s="545">
        <f>'DAFTAR UPAH MEI 2025'!BC37</f>
        <v>3940266</v>
      </c>
      <c r="E38" s="525">
        <v>3940266</v>
      </c>
      <c r="F38" s="672">
        <f t="shared" si="20"/>
        <v>0</v>
      </c>
      <c r="G38" s="669"/>
      <c r="H38" s="524"/>
      <c r="I38" s="526">
        <f t="shared" si="14"/>
        <v>0</v>
      </c>
      <c r="J38" s="545"/>
      <c r="K38" s="524"/>
      <c r="L38" s="526">
        <f t="shared" si="15"/>
        <v>0</v>
      </c>
      <c r="M38" s="545"/>
      <c r="N38" s="524"/>
      <c r="O38" s="526">
        <f t="shared" si="16"/>
        <v>0</v>
      </c>
      <c r="P38" s="545"/>
      <c r="Q38" s="524"/>
      <c r="R38" s="526">
        <f t="shared" si="10"/>
        <v>0</v>
      </c>
      <c r="S38" s="524"/>
      <c r="T38" s="524"/>
      <c r="U38" s="526">
        <f t="shared" si="17"/>
        <v>0</v>
      </c>
      <c r="V38" s="524"/>
      <c r="W38" s="524"/>
      <c r="X38" s="526">
        <f t="shared" si="5"/>
        <v>0</v>
      </c>
      <c r="Y38" s="524"/>
      <c r="Z38" s="524"/>
      <c r="AA38" s="526">
        <f t="shared" si="18"/>
        <v>0</v>
      </c>
      <c r="AB38" s="524"/>
      <c r="AC38" s="524"/>
      <c r="AD38" s="527">
        <f t="shared" si="19"/>
        <v>0</v>
      </c>
      <c r="AE38" s="528">
        <f t="shared" si="11"/>
        <v>0</v>
      </c>
      <c r="AF38" s="529">
        <f t="shared" si="12"/>
        <v>0</v>
      </c>
      <c r="AG38" s="529">
        <f t="shared" si="13"/>
        <v>0</v>
      </c>
    </row>
    <row r="39" spans="1:33" ht="15.75" customHeight="1">
      <c r="A39" s="523">
        <v>30</v>
      </c>
      <c r="B39" s="543" t="str">
        <f>'DAFTAR UPAH MEI 2025'!C38</f>
        <v>H0643</v>
      </c>
      <c r="C39" s="544" t="str">
        <f>'DAFTAR UPAH MEI 2025'!D38</f>
        <v>JUANDI</v>
      </c>
      <c r="D39" s="545">
        <f>'DAFTAR UPAH MEI 2025'!BC38</f>
        <v>3747966</v>
      </c>
      <c r="E39" s="525">
        <v>3747966</v>
      </c>
      <c r="F39" s="672">
        <f t="shared" si="20"/>
        <v>0</v>
      </c>
      <c r="G39" s="669"/>
      <c r="H39" s="524"/>
      <c r="I39" s="526">
        <f t="shared" si="14"/>
        <v>0</v>
      </c>
      <c r="J39" s="545"/>
      <c r="K39" s="524"/>
      <c r="L39" s="526">
        <f t="shared" si="15"/>
        <v>0</v>
      </c>
      <c r="M39" s="545"/>
      <c r="N39" s="524"/>
      <c r="O39" s="526">
        <f t="shared" si="16"/>
        <v>0</v>
      </c>
      <c r="P39" s="545"/>
      <c r="Q39" s="524"/>
      <c r="R39" s="526">
        <f t="shared" si="10"/>
        <v>0</v>
      </c>
      <c r="S39" s="524"/>
      <c r="T39" s="524"/>
      <c r="U39" s="526">
        <f t="shared" si="17"/>
        <v>0</v>
      </c>
      <c r="V39" s="524"/>
      <c r="W39" s="524"/>
      <c r="X39" s="526">
        <f t="shared" si="5"/>
        <v>0</v>
      </c>
      <c r="Y39" s="524"/>
      <c r="Z39" s="524"/>
      <c r="AA39" s="526">
        <f t="shared" si="18"/>
        <v>0</v>
      </c>
      <c r="AB39" s="524"/>
      <c r="AC39" s="524"/>
      <c r="AD39" s="527">
        <f t="shared" si="19"/>
        <v>0</v>
      </c>
      <c r="AE39" s="528">
        <f t="shared" si="11"/>
        <v>0</v>
      </c>
      <c r="AF39" s="529">
        <f t="shared" si="12"/>
        <v>0</v>
      </c>
      <c r="AG39" s="529">
        <f t="shared" si="13"/>
        <v>0</v>
      </c>
    </row>
    <row r="40" spans="1:33" ht="15.75" customHeight="1">
      <c r="A40" s="523">
        <v>31</v>
      </c>
      <c r="B40" s="543" t="str">
        <f>'DAFTAR UPAH MEI 2025'!C39</f>
        <v>H0644</v>
      </c>
      <c r="C40" s="544" t="str">
        <f>'DAFTAR UPAH MEI 2025'!D39</f>
        <v>ALI SADIKIN</v>
      </c>
      <c r="D40" s="545">
        <f>'DAFTAR UPAH MEI 2025'!BC39</f>
        <v>512961</v>
      </c>
      <c r="E40" s="525">
        <v>512961</v>
      </c>
      <c r="F40" s="672">
        <f t="shared" si="20"/>
        <v>0</v>
      </c>
      <c r="G40" s="669"/>
      <c r="H40" s="524"/>
      <c r="I40" s="526">
        <f t="shared" si="14"/>
        <v>0</v>
      </c>
      <c r="J40" s="545"/>
      <c r="K40" s="524"/>
      <c r="L40" s="526">
        <f t="shared" si="15"/>
        <v>0</v>
      </c>
      <c r="M40" s="545"/>
      <c r="N40" s="524"/>
      <c r="O40" s="526">
        <f t="shared" si="16"/>
        <v>0</v>
      </c>
      <c r="P40" s="545"/>
      <c r="Q40" s="524"/>
      <c r="R40" s="526">
        <f t="shared" si="10"/>
        <v>0</v>
      </c>
      <c r="S40" s="524"/>
      <c r="T40" s="524"/>
      <c r="U40" s="526">
        <f t="shared" si="17"/>
        <v>0</v>
      </c>
      <c r="V40" s="524"/>
      <c r="W40" s="524"/>
      <c r="X40" s="526">
        <f t="shared" si="5"/>
        <v>0</v>
      </c>
      <c r="Y40" s="524"/>
      <c r="Z40" s="524"/>
      <c r="AA40" s="526">
        <f t="shared" si="18"/>
        <v>0</v>
      </c>
      <c r="AB40" s="524"/>
      <c r="AC40" s="524"/>
      <c r="AD40" s="527">
        <f t="shared" si="19"/>
        <v>0</v>
      </c>
      <c r="AE40" s="528">
        <f t="shared" si="11"/>
        <v>0</v>
      </c>
      <c r="AF40" s="529">
        <f t="shared" si="12"/>
        <v>0</v>
      </c>
      <c r="AG40" s="529">
        <f t="shared" si="13"/>
        <v>0</v>
      </c>
    </row>
    <row r="41" spans="1:33" ht="15.75" customHeight="1">
      <c r="A41" s="523">
        <v>32</v>
      </c>
      <c r="B41" s="543" t="str">
        <f>'DAFTAR UPAH MEI 2025'!C40</f>
        <v>H0128</v>
      </c>
      <c r="C41" s="544" t="str">
        <f>'DAFTAR UPAH MEI 2025'!D40</f>
        <v>HERIYANTO</v>
      </c>
      <c r="D41" s="545">
        <f>'DAFTAR UPAH MEI 2025'!BC40</f>
        <v>4300763</v>
      </c>
      <c r="E41" s="525">
        <v>4300763</v>
      </c>
      <c r="F41" s="672">
        <f t="shared" si="20"/>
        <v>0</v>
      </c>
      <c r="G41" s="669"/>
      <c r="H41" s="524"/>
      <c r="I41" s="526">
        <f t="shared" si="14"/>
        <v>0</v>
      </c>
      <c r="J41" s="545"/>
      <c r="K41" s="524"/>
      <c r="L41" s="526">
        <f t="shared" si="15"/>
        <v>0</v>
      </c>
      <c r="M41" s="545"/>
      <c r="N41" s="524"/>
      <c r="O41" s="526">
        <f t="shared" si="16"/>
        <v>0</v>
      </c>
      <c r="P41" s="545"/>
      <c r="Q41" s="524"/>
      <c r="R41" s="526">
        <f t="shared" si="10"/>
        <v>0</v>
      </c>
      <c r="S41" s="524"/>
      <c r="T41" s="524"/>
      <c r="U41" s="526">
        <f t="shared" si="17"/>
        <v>0</v>
      </c>
      <c r="V41" s="524"/>
      <c r="W41" s="524"/>
      <c r="X41" s="526">
        <f t="shared" si="5"/>
        <v>0</v>
      </c>
      <c r="Y41" s="524">
        <f>'DAFTAR UPAH MEI 2025'!AF40</f>
        <v>78197</v>
      </c>
      <c r="Z41" s="524"/>
      <c r="AA41" s="526">
        <f t="shared" si="18"/>
        <v>78197</v>
      </c>
      <c r="AB41" s="524"/>
      <c r="AC41" s="524"/>
      <c r="AD41" s="527">
        <f t="shared" si="19"/>
        <v>0</v>
      </c>
      <c r="AE41" s="528">
        <f t="shared" si="11"/>
        <v>78197</v>
      </c>
      <c r="AF41" s="529">
        <f>F41-AE41</f>
        <v>-78197</v>
      </c>
      <c r="AG41" s="529">
        <f t="shared" si="13"/>
        <v>-78197</v>
      </c>
    </row>
    <row r="42" spans="1:33" ht="15.75" customHeight="1" thickBot="1">
      <c r="A42" s="523">
        <v>33</v>
      </c>
      <c r="B42" s="543" t="str">
        <f>'DAFTAR UPAH MEI 2025'!C41</f>
        <v>H0121</v>
      </c>
      <c r="C42" s="544" t="str">
        <f>'DAFTAR UPAH MEI 2025'!D41</f>
        <v>SAHRUL</v>
      </c>
      <c r="D42" s="545">
        <f>'DAFTAR UPAH MEI 2025'!BC41</f>
        <v>3847706</v>
      </c>
      <c r="E42" s="525">
        <v>3847706</v>
      </c>
      <c r="F42" s="533">
        <f>E42-D42</f>
        <v>0</v>
      </c>
      <c r="G42" s="669"/>
      <c r="H42" s="524"/>
      <c r="I42" s="526">
        <f t="shared" si="14"/>
        <v>0</v>
      </c>
      <c r="J42" s="545"/>
      <c r="K42" s="524"/>
      <c r="L42" s="526">
        <f t="shared" si="15"/>
        <v>0</v>
      </c>
      <c r="M42" s="545"/>
      <c r="N42" s="524"/>
      <c r="O42" s="526">
        <f t="shared" si="16"/>
        <v>0</v>
      </c>
      <c r="P42" s="545"/>
      <c r="Q42" s="524"/>
      <c r="R42" s="526">
        <f t="shared" si="10"/>
        <v>0</v>
      </c>
      <c r="S42" s="524"/>
      <c r="T42" s="524"/>
      <c r="U42" s="526">
        <f t="shared" si="17"/>
        <v>0</v>
      </c>
      <c r="V42" s="524"/>
      <c r="W42" s="524"/>
      <c r="X42" s="526">
        <f t="shared" si="5"/>
        <v>0</v>
      </c>
      <c r="Y42" s="524"/>
      <c r="Z42" s="524"/>
      <c r="AA42" s="526">
        <f t="shared" si="18"/>
        <v>0</v>
      </c>
      <c r="AB42" s="524"/>
      <c r="AC42" s="524"/>
      <c r="AD42" s="527">
        <f t="shared" si="19"/>
        <v>0</v>
      </c>
      <c r="AE42" s="528">
        <f t="shared" si="11"/>
        <v>0</v>
      </c>
      <c r="AF42" s="529">
        <f>F42-AE42</f>
        <v>0</v>
      </c>
      <c r="AG42" s="529">
        <f t="shared" si="13"/>
        <v>0</v>
      </c>
    </row>
    <row r="43" spans="1:33" ht="15.75" thickBot="1">
      <c r="A43" s="2316" t="s">
        <v>38</v>
      </c>
      <c r="B43" s="2317"/>
      <c r="C43" s="2318"/>
      <c r="D43" s="531">
        <f t="shared" ref="D43:AE43" si="21">SUM(D10:D42)</f>
        <v>141589836.11000001</v>
      </c>
      <c r="E43" s="531">
        <f t="shared" si="21"/>
        <v>141556231</v>
      </c>
      <c r="F43" s="531">
        <f t="shared" si="21"/>
        <v>-33605.110000000801</v>
      </c>
      <c r="G43" s="531">
        <f t="shared" si="21"/>
        <v>0</v>
      </c>
      <c r="H43" s="531">
        <f t="shared" si="21"/>
        <v>0</v>
      </c>
      <c r="I43" s="531">
        <f t="shared" si="21"/>
        <v>0</v>
      </c>
      <c r="J43" s="531">
        <f t="shared" si="21"/>
        <v>11741839.510000002</v>
      </c>
      <c r="K43" s="531">
        <f t="shared" si="21"/>
        <v>11708236</v>
      </c>
      <c r="L43" s="531">
        <f t="shared" si="21"/>
        <v>33603.510000000242</v>
      </c>
      <c r="M43" s="531">
        <f t="shared" si="21"/>
        <v>0</v>
      </c>
      <c r="N43" s="531">
        <f t="shared" si="21"/>
        <v>0</v>
      </c>
      <c r="O43" s="531">
        <f t="shared" si="21"/>
        <v>0</v>
      </c>
      <c r="P43" s="531">
        <f t="shared" ref="P43:R43" si="22">SUM(P10:P42)</f>
        <v>0</v>
      </c>
      <c r="Q43" s="531">
        <f t="shared" si="22"/>
        <v>0</v>
      </c>
      <c r="R43" s="531">
        <f t="shared" si="22"/>
        <v>0</v>
      </c>
      <c r="S43" s="531">
        <f t="shared" si="21"/>
        <v>0</v>
      </c>
      <c r="T43" s="531">
        <f t="shared" si="21"/>
        <v>0</v>
      </c>
      <c r="U43" s="531">
        <f t="shared" si="21"/>
        <v>0</v>
      </c>
      <c r="V43" s="531">
        <f t="shared" ref="V43:X43" si="23">SUM(V10:V42)</f>
        <v>0</v>
      </c>
      <c r="W43" s="531">
        <f t="shared" si="23"/>
        <v>0</v>
      </c>
      <c r="X43" s="531">
        <f t="shared" si="23"/>
        <v>0</v>
      </c>
      <c r="Y43" s="531">
        <f t="shared" si="21"/>
        <v>78197</v>
      </c>
      <c r="Z43" s="531">
        <f t="shared" si="21"/>
        <v>0</v>
      </c>
      <c r="AA43" s="531">
        <f t="shared" si="21"/>
        <v>78197</v>
      </c>
      <c r="AB43" s="531">
        <f t="shared" si="21"/>
        <v>0</v>
      </c>
      <c r="AC43" s="531">
        <f t="shared" si="21"/>
        <v>0</v>
      </c>
      <c r="AD43" s="531">
        <f t="shared" si="21"/>
        <v>0</v>
      </c>
      <c r="AE43" s="531">
        <f t="shared" si="21"/>
        <v>111800.51000000024</v>
      </c>
      <c r="AF43" s="529">
        <f>F43-AE43</f>
        <v>-145405.62000000104</v>
      </c>
      <c r="AG43" s="529">
        <f t="shared" si="13"/>
        <v>-145405.62000000104</v>
      </c>
    </row>
    <row r="44" spans="1:33" ht="15.75" thickBot="1">
      <c r="A44" s="2322" t="s">
        <v>599</v>
      </c>
      <c r="B44" s="2323"/>
      <c r="C44" s="2323"/>
      <c r="D44" s="2323"/>
      <c r="E44" s="2307"/>
      <c r="F44" s="564"/>
      <c r="G44" s="565"/>
      <c r="H44" s="565"/>
      <c r="I44" s="566"/>
      <c r="J44" s="565"/>
      <c r="K44" s="565"/>
      <c r="L44" s="566"/>
      <c r="M44" s="565"/>
      <c r="N44" s="565"/>
      <c r="O44" s="566"/>
      <c r="P44" s="565"/>
      <c r="Q44" s="565"/>
      <c r="R44" s="566"/>
      <c r="S44" s="565"/>
      <c r="T44" s="565"/>
      <c r="U44" s="566"/>
      <c r="V44" s="565"/>
      <c r="W44" s="565"/>
      <c r="X44" s="566"/>
      <c r="Y44" s="565"/>
      <c r="Z44" s="565"/>
      <c r="AA44" s="566"/>
      <c r="AB44" s="565"/>
      <c r="AC44" s="565"/>
      <c r="AD44" s="566"/>
      <c r="AE44" s="567"/>
    </row>
    <row r="45" spans="1:33">
      <c r="A45" s="555">
        <v>34</v>
      </c>
      <c r="B45" s="557" t="str">
        <f>'DAFTAR UPAH MEI 2025'!C61</f>
        <v>H0219</v>
      </c>
      <c r="C45" s="556" t="str">
        <f>'DAFTAR UPAH MEI 2025'!D61</f>
        <v>JUNAIDI</v>
      </c>
      <c r="D45" s="557">
        <f>'DAFTAR UPAH MEI 2025'!BC61</f>
        <v>5979214.46</v>
      </c>
      <c r="E45" s="558">
        <v>5979211.5</v>
      </c>
      <c r="F45" s="559">
        <f>E45-D45</f>
        <v>-2.9599999999627471</v>
      </c>
      <c r="G45" s="557"/>
      <c r="H45" s="557"/>
      <c r="I45" s="560"/>
      <c r="J45" s="557"/>
      <c r="K45" s="557"/>
      <c r="L45" s="560">
        <f>J45-K45</f>
        <v>0</v>
      </c>
      <c r="M45" s="524"/>
      <c r="N45" s="557"/>
      <c r="O45" s="560">
        <f>M45-N45</f>
        <v>0</v>
      </c>
      <c r="P45" s="524"/>
      <c r="Q45" s="557"/>
      <c r="R45" s="526">
        <f>P45-Q45</f>
        <v>0</v>
      </c>
      <c r="S45" s="557"/>
      <c r="T45" s="557"/>
      <c r="U45" s="560">
        <f>S45-T45</f>
        <v>0</v>
      </c>
      <c r="V45" s="557"/>
      <c r="W45" s="557"/>
      <c r="X45" s="560">
        <f>V45-W45</f>
        <v>0</v>
      </c>
      <c r="Y45" s="557"/>
      <c r="Z45" s="557"/>
      <c r="AA45" s="560">
        <f>Y45-Z45</f>
        <v>0</v>
      </c>
      <c r="AB45" s="524"/>
      <c r="AC45" s="524"/>
      <c r="AD45" s="561">
        <f>-(AB45-AC45)</f>
        <v>0</v>
      </c>
      <c r="AE45" s="562">
        <f t="shared" ref="AE45:AE52" si="24">I45+L45+O45+U45+AA45+AD45</f>
        <v>0</v>
      </c>
      <c r="AF45" s="529">
        <f t="shared" ref="AF45:AF88" si="25">F45-AE45</f>
        <v>-2.9599999999627471</v>
      </c>
      <c r="AG45" s="529">
        <f t="shared" ref="AG45:AG88" si="26">F45-AE45</f>
        <v>-2.9599999999627471</v>
      </c>
    </row>
    <row r="46" spans="1:33">
      <c r="A46" s="523">
        <v>35</v>
      </c>
      <c r="B46" s="524" t="str">
        <f>'DAFTAR UPAH MEI 2025'!C62</f>
        <v>H0220</v>
      </c>
      <c r="C46" s="530" t="str">
        <f>'DAFTAR UPAH MEI 2025'!D62</f>
        <v>DARWIN</v>
      </c>
      <c r="D46" s="524">
        <f>'DAFTAR UPAH MEI 2025'!BC62</f>
        <v>5587749</v>
      </c>
      <c r="E46" s="525">
        <v>5587745.5</v>
      </c>
      <c r="F46" s="672">
        <f t="shared" ref="F46:F52" si="27">E46-D46</f>
        <v>-3.5</v>
      </c>
      <c r="G46" s="524"/>
      <c r="H46" s="524"/>
      <c r="I46" s="526"/>
      <c r="J46" s="524"/>
      <c r="K46" s="524"/>
      <c r="L46" s="526">
        <f>J46-K46</f>
        <v>0</v>
      </c>
      <c r="M46" s="524"/>
      <c r="N46" s="524"/>
      <c r="O46" s="526">
        <f>M46-N46</f>
        <v>0</v>
      </c>
      <c r="P46" s="524"/>
      <c r="Q46" s="524"/>
      <c r="R46" s="526">
        <f>P46-Q46</f>
        <v>0</v>
      </c>
      <c r="S46" s="524"/>
      <c r="T46" s="524"/>
      <c r="U46" s="526">
        <f>S46-T46</f>
        <v>0</v>
      </c>
      <c r="V46" s="524"/>
      <c r="W46" s="524"/>
      <c r="X46" s="526">
        <f>V46-W46</f>
        <v>0</v>
      </c>
      <c r="Y46" s="524"/>
      <c r="Z46" s="524"/>
      <c r="AA46" s="526">
        <f>Y46-Z46</f>
        <v>0</v>
      </c>
      <c r="AB46" s="524"/>
      <c r="AC46" s="524"/>
      <c r="AD46" s="527">
        <f>-(AB46-AC46)</f>
        <v>0</v>
      </c>
      <c r="AE46" s="528">
        <f t="shared" si="24"/>
        <v>0</v>
      </c>
      <c r="AF46" s="529">
        <f t="shared" si="25"/>
        <v>-3.5</v>
      </c>
      <c r="AG46" s="529">
        <f t="shared" si="26"/>
        <v>-3.5</v>
      </c>
    </row>
    <row r="47" spans="1:33">
      <c r="A47" s="523">
        <v>36</v>
      </c>
      <c r="B47" s="524" t="str">
        <f>'DAFTAR UPAH MEI 2025'!C63</f>
        <v>H0064</v>
      </c>
      <c r="C47" s="530" t="str">
        <f>'DAFTAR UPAH MEI 2025'!D63</f>
        <v xml:space="preserve">CANDRA 
WIJAYA </v>
      </c>
      <c r="D47" s="524">
        <f>'DAFTAR UPAH MEI 2025'!BC63</f>
        <v>7205523.8200000003</v>
      </c>
      <c r="E47" s="1155">
        <v>7205519.5</v>
      </c>
      <c r="F47" s="533">
        <f t="shared" si="27"/>
        <v>-4.3200000002980232</v>
      </c>
      <c r="G47" s="524"/>
      <c r="H47" s="524"/>
      <c r="I47" s="526"/>
      <c r="J47" s="524"/>
      <c r="K47" s="524"/>
      <c r="L47" s="526">
        <f>J47-K47</f>
        <v>0</v>
      </c>
      <c r="M47" s="524"/>
      <c r="N47" s="524"/>
      <c r="O47" s="526">
        <f>M47-N47</f>
        <v>0</v>
      </c>
      <c r="P47" s="524"/>
      <c r="Q47" s="524"/>
      <c r="R47" s="526">
        <f>P47-Q47</f>
        <v>0</v>
      </c>
      <c r="S47" s="524"/>
      <c r="T47" s="524"/>
      <c r="U47" s="526">
        <f>S47-T47</f>
        <v>0</v>
      </c>
      <c r="V47" s="524"/>
      <c r="W47" s="524"/>
      <c r="X47" s="526">
        <f>V47-W47</f>
        <v>0</v>
      </c>
      <c r="Y47" s="524"/>
      <c r="Z47" s="524"/>
      <c r="AA47" s="526">
        <f>Y47-Z47</f>
        <v>0</v>
      </c>
      <c r="AB47" s="524"/>
      <c r="AC47" s="524"/>
      <c r="AD47" s="527">
        <f>-(AB47-AC47)</f>
        <v>0</v>
      </c>
      <c r="AE47" s="528">
        <f t="shared" si="24"/>
        <v>0</v>
      </c>
      <c r="AF47" s="529">
        <f t="shared" si="25"/>
        <v>-4.3200000002980232</v>
      </c>
      <c r="AG47" s="529">
        <f t="shared" si="26"/>
        <v>-4.3200000002980232</v>
      </c>
    </row>
    <row r="48" spans="1:33">
      <c r="A48" s="523">
        <v>37</v>
      </c>
      <c r="B48" s="524" t="str">
        <f>'DAFTAR UPAH MEI 2025'!C64</f>
        <v>H0252</v>
      </c>
      <c r="C48" s="530" t="str">
        <f>'DAFTAR UPAH MEI 2025'!D64</f>
        <v>ELDI</v>
      </c>
      <c r="D48" s="524">
        <f>'DAFTAR UPAH MEI 2025'!BC64</f>
        <v>7442715.46</v>
      </c>
      <c r="E48" s="525">
        <v>7431507.5</v>
      </c>
      <c r="F48" s="533">
        <f>E48-D48</f>
        <v>-11207.959999999963</v>
      </c>
      <c r="G48" s="524"/>
      <c r="H48" s="524"/>
      <c r="I48" s="526"/>
      <c r="J48" s="524">
        <f>'DAFTAR UPAH MEI 2025'!AE64</f>
        <v>1456525.96</v>
      </c>
      <c r="K48" s="524">
        <v>1445317</v>
      </c>
      <c r="L48" s="526">
        <f>J48-K48</f>
        <v>11208.959999999963</v>
      </c>
      <c r="M48" s="524"/>
      <c r="N48" s="524"/>
      <c r="O48" s="526">
        <f>M48-N48</f>
        <v>0</v>
      </c>
      <c r="P48" s="524"/>
      <c r="Q48" s="524"/>
      <c r="R48" s="526">
        <f>P48-Q48</f>
        <v>0</v>
      </c>
      <c r="S48" s="524"/>
      <c r="T48" s="524"/>
      <c r="U48" s="526">
        <f>S48-T48</f>
        <v>0</v>
      </c>
      <c r="V48" s="524"/>
      <c r="W48" s="524"/>
      <c r="X48" s="526">
        <f>V48-W48</f>
        <v>0</v>
      </c>
      <c r="Y48" s="524"/>
      <c r="Z48" s="524"/>
      <c r="AA48" s="526">
        <f>Y48-Z48</f>
        <v>0</v>
      </c>
      <c r="AB48" s="524"/>
      <c r="AC48" s="524"/>
      <c r="AD48" s="527">
        <f>-(AB48-AC48)</f>
        <v>0</v>
      </c>
      <c r="AE48" s="528">
        <f t="shared" si="24"/>
        <v>11208.959999999963</v>
      </c>
      <c r="AF48" s="529">
        <f t="shared" si="25"/>
        <v>-22416.919999999925</v>
      </c>
      <c r="AG48" s="529">
        <f t="shared" si="26"/>
        <v>-22416.919999999925</v>
      </c>
    </row>
    <row r="49" spans="1:34">
      <c r="A49" s="523">
        <v>38</v>
      </c>
      <c r="B49" s="524" t="str">
        <f>'DAFTAR UPAH MEI 2025'!C65</f>
        <v>H0117</v>
      </c>
      <c r="C49" s="530" t="str">
        <f>'DAFTAR UPAH MEI 2025'!D65</f>
        <v>ARDIANSYAH PUTERA</v>
      </c>
      <c r="D49" s="524">
        <f>'DAFTAR UPAH MEI 2025'!BC65</f>
        <v>6361494.1600000001</v>
      </c>
      <c r="E49" s="525">
        <v>6361489</v>
      </c>
      <c r="F49" s="533">
        <f t="shared" si="27"/>
        <v>-5.1600000001490116</v>
      </c>
      <c r="G49" s="524"/>
      <c r="H49" s="524"/>
      <c r="I49" s="526"/>
      <c r="J49" s="524"/>
      <c r="K49" s="524"/>
      <c r="L49" s="526">
        <f t="shared" ref="L49:L52" si="28">J49-K49</f>
        <v>0</v>
      </c>
      <c r="M49" s="524"/>
      <c r="N49" s="524"/>
      <c r="O49" s="526">
        <f t="shared" ref="O49:O52" si="29">M49-N49</f>
        <v>0</v>
      </c>
      <c r="P49" s="524"/>
      <c r="Q49" s="524"/>
      <c r="R49" s="526">
        <f t="shared" ref="R49:R52" si="30">P49-Q49</f>
        <v>0</v>
      </c>
      <c r="S49" s="524"/>
      <c r="T49" s="524"/>
      <c r="U49" s="526">
        <f t="shared" ref="U49:U52" si="31">S49-T49</f>
        <v>0</v>
      </c>
      <c r="V49" s="524"/>
      <c r="W49" s="524"/>
      <c r="X49" s="526">
        <f t="shared" ref="X49:X52" si="32">V49-W49</f>
        <v>0</v>
      </c>
      <c r="Y49" s="524"/>
      <c r="Z49" s="524"/>
      <c r="AA49" s="526">
        <f t="shared" ref="AA49:AA52" si="33">Y49-Z49</f>
        <v>0</v>
      </c>
      <c r="AB49" s="524"/>
      <c r="AC49" s="524"/>
      <c r="AD49" s="527">
        <f t="shared" ref="AD49:AD52" si="34">-(AB49-AC49)</f>
        <v>0</v>
      </c>
      <c r="AE49" s="528">
        <f t="shared" si="24"/>
        <v>0</v>
      </c>
      <c r="AF49" s="529">
        <f t="shared" si="25"/>
        <v>-5.1600000001490116</v>
      </c>
      <c r="AG49" s="529">
        <f t="shared" si="26"/>
        <v>-5.1600000001490116</v>
      </c>
    </row>
    <row r="50" spans="1:34">
      <c r="A50" s="523">
        <v>39</v>
      </c>
      <c r="B50" s="524" t="str">
        <f>'DAFTAR UPAH MEI 2025'!C66</f>
        <v>H0317</v>
      </c>
      <c r="C50" s="530" t="str">
        <f>'DAFTAR UPAH MEI 2025'!D66</f>
        <v>SURANTO</v>
      </c>
      <c r="D50" s="524">
        <f>'DAFTAR UPAH MEI 2025'!BC66</f>
        <v>6917437.3399999999</v>
      </c>
      <c r="E50" s="525">
        <v>6917431</v>
      </c>
      <c r="F50" s="533">
        <f t="shared" si="27"/>
        <v>-6.3399999998509884</v>
      </c>
      <c r="G50" s="524"/>
      <c r="H50" s="524"/>
      <c r="I50" s="526"/>
      <c r="J50" s="524"/>
      <c r="K50" s="524"/>
      <c r="L50" s="526">
        <f t="shared" si="28"/>
        <v>0</v>
      </c>
      <c r="M50" s="524"/>
      <c r="N50" s="524"/>
      <c r="O50" s="526">
        <f t="shared" si="29"/>
        <v>0</v>
      </c>
      <c r="P50" s="524"/>
      <c r="Q50" s="524"/>
      <c r="R50" s="526">
        <f t="shared" si="30"/>
        <v>0</v>
      </c>
      <c r="S50" s="524"/>
      <c r="T50" s="524"/>
      <c r="U50" s="526">
        <f t="shared" si="31"/>
        <v>0</v>
      </c>
      <c r="V50" s="524"/>
      <c r="W50" s="524"/>
      <c r="X50" s="526">
        <f t="shared" si="32"/>
        <v>0</v>
      </c>
      <c r="Y50" s="524"/>
      <c r="Z50" s="524"/>
      <c r="AA50" s="526">
        <f t="shared" si="33"/>
        <v>0</v>
      </c>
      <c r="AB50" s="524"/>
      <c r="AC50" s="524"/>
      <c r="AD50" s="527">
        <f t="shared" si="34"/>
        <v>0</v>
      </c>
      <c r="AE50" s="528">
        <f t="shared" si="24"/>
        <v>0</v>
      </c>
      <c r="AF50" s="529">
        <f t="shared" si="25"/>
        <v>-6.3399999998509884</v>
      </c>
      <c r="AG50" s="529">
        <f t="shared" si="26"/>
        <v>-6.3399999998509884</v>
      </c>
    </row>
    <row r="51" spans="1:34">
      <c r="A51" s="523">
        <v>40</v>
      </c>
      <c r="B51" s="524" t="str">
        <f>'DAFTAR UPAH MEI 2025'!C67</f>
        <v>H0489</v>
      </c>
      <c r="C51" s="530" t="str">
        <f>'DAFTAR UPAH MEI 2025'!D67</f>
        <v xml:space="preserve">RIO </v>
      </c>
      <c r="D51" s="524">
        <f>'DAFTAR UPAH MEI 2025'!BC67</f>
        <v>6854734.1799999997</v>
      </c>
      <c r="E51" s="525">
        <v>6854730</v>
      </c>
      <c r="F51" s="533">
        <f t="shared" si="27"/>
        <v>-4.1799999997019768</v>
      </c>
      <c r="G51" s="524"/>
      <c r="H51" s="524"/>
      <c r="I51" s="526"/>
      <c r="J51" s="524"/>
      <c r="K51" s="524"/>
      <c r="L51" s="526">
        <f t="shared" si="28"/>
        <v>0</v>
      </c>
      <c r="M51" s="524"/>
      <c r="N51" s="524"/>
      <c r="O51" s="526">
        <f t="shared" si="29"/>
        <v>0</v>
      </c>
      <c r="P51" s="524"/>
      <c r="Q51" s="524"/>
      <c r="R51" s="526">
        <f t="shared" si="30"/>
        <v>0</v>
      </c>
      <c r="S51" s="524"/>
      <c r="T51" s="524"/>
      <c r="U51" s="526">
        <f t="shared" si="31"/>
        <v>0</v>
      </c>
      <c r="V51" s="524"/>
      <c r="W51" s="524"/>
      <c r="X51" s="526">
        <f t="shared" si="32"/>
        <v>0</v>
      </c>
      <c r="Y51" s="524"/>
      <c r="Z51" s="524"/>
      <c r="AA51" s="526">
        <f t="shared" si="33"/>
        <v>0</v>
      </c>
      <c r="AB51" s="524"/>
      <c r="AC51" s="524"/>
      <c r="AD51" s="527">
        <f t="shared" si="34"/>
        <v>0</v>
      </c>
      <c r="AE51" s="528">
        <f t="shared" si="24"/>
        <v>0</v>
      </c>
      <c r="AF51" s="529">
        <f t="shared" si="25"/>
        <v>-4.1799999997019768</v>
      </c>
      <c r="AG51" s="529">
        <f t="shared" si="26"/>
        <v>-4.1799999997019768</v>
      </c>
    </row>
    <row r="52" spans="1:34" ht="15.75" thickBot="1">
      <c r="A52" s="523">
        <v>41</v>
      </c>
      <c r="B52" s="536" t="str">
        <f>'DAFTAR UPAH MEI 2025'!C68</f>
        <v>H0490</v>
      </c>
      <c r="C52" s="563" t="str">
        <f>'DAFTAR UPAH MEI 2025'!D68</f>
        <v>DASRI</v>
      </c>
      <c r="D52" s="524">
        <f>'DAFTAR UPAH MEI 2025'!BC68</f>
        <v>6742417</v>
      </c>
      <c r="E52" s="537">
        <v>6742411.5</v>
      </c>
      <c r="F52" s="538">
        <f t="shared" si="27"/>
        <v>-5.5</v>
      </c>
      <c r="G52" s="536"/>
      <c r="H52" s="536"/>
      <c r="I52" s="539"/>
      <c r="J52" s="536"/>
      <c r="K52" s="536"/>
      <c r="L52" s="539">
        <f t="shared" si="28"/>
        <v>0</v>
      </c>
      <c r="M52" s="524"/>
      <c r="N52" s="536"/>
      <c r="O52" s="539">
        <f t="shared" si="29"/>
        <v>0</v>
      </c>
      <c r="P52" s="524"/>
      <c r="Q52" s="536"/>
      <c r="R52" s="539">
        <f t="shared" si="30"/>
        <v>0</v>
      </c>
      <c r="S52" s="536"/>
      <c r="T52" s="536"/>
      <c r="U52" s="539">
        <f t="shared" si="31"/>
        <v>0</v>
      </c>
      <c r="V52" s="536"/>
      <c r="W52" s="536"/>
      <c r="X52" s="539">
        <f t="shared" si="32"/>
        <v>0</v>
      </c>
      <c r="Y52" s="536"/>
      <c r="Z52" s="536"/>
      <c r="AA52" s="539">
        <f t="shared" si="33"/>
        <v>0</v>
      </c>
      <c r="AB52" s="536"/>
      <c r="AC52" s="536"/>
      <c r="AD52" s="540">
        <f t="shared" si="34"/>
        <v>0</v>
      </c>
      <c r="AE52" s="541">
        <f t="shared" si="24"/>
        <v>0</v>
      </c>
      <c r="AF52" s="529">
        <f t="shared" si="25"/>
        <v>-5.5</v>
      </c>
      <c r="AG52" s="529">
        <f t="shared" si="26"/>
        <v>-5.5</v>
      </c>
    </row>
    <row r="53" spans="1:34" ht="15.75" thickBot="1">
      <c r="A53" s="2324" t="s">
        <v>38</v>
      </c>
      <c r="B53" s="2325"/>
      <c r="C53" s="2326"/>
      <c r="D53" s="668">
        <f>SUM(D45:D52)</f>
        <v>53091285.420000002</v>
      </c>
      <c r="E53" s="568">
        <f t="shared" ref="E53:AE53" si="35">SUM(E45:E52)</f>
        <v>53080045.5</v>
      </c>
      <c r="F53" s="568">
        <f t="shared" si="35"/>
        <v>-11239.919999999925</v>
      </c>
      <c r="G53" s="568">
        <f t="shared" si="35"/>
        <v>0</v>
      </c>
      <c r="H53" s="568">
        <f t="shared" si="35"/>
        <v>0</v>
      </c>
      <c r="I53" s="568">
        <f t="shared" si="35"/>
        <v>0</v>
      </c>
      <c r="J53" s="568">
        <f t="shared" si="35"/>
        <v>1456525.96</v>
      </c>
      <c r="K53" s="568">
        <f t="shared" si="35"/>
        <v>1445317</v>
      </c>
      <c r="L53" s="568">
        <f t="shared" si="35"/>
        <v>11208.959999999963</v>
      </c>
      <c r="M53" s="568">
        <f t="shared" si="35"/>
        <v>0</v>
      </c>
      <c r="N53" s="568">
        <f t="shared" si="35"/>
        <v>0</v>
      </c>
      <c r="O53" s="568">
        <f t="shared" si="35"/>
        <v>0</v>
      </c>
      <c r="P53" s="568">
        <f t="shared" ref="P53:R53" si="36">SUM(P45:P52)</f>
        <v>0</v>
      </c>
      <c r="Q53" s="568">
        <f t="shared" si="36"/>
        <v>0</v>
      </c>
      <c r="R53" s="568">
        <f t="shared" si="36"/>
        <v>0</v>
      </c>
      <c r="S53" s="568">
        <f t="shared" si="35"/>
        <v>0</v>
      </c>
      <c r="T53" s="568">
        <f t="shared" si="35"/>
        <v>0</v>
      </c>
      <c r="U53" s="568">
        <f t="shared" si="35"/>
        <v>0</v>
      </c>
      <c r="V53" s="568">
        <f t="shared" ref="V53:X53" si="37">SUM(V45:V52)</f>
        <v>0</v>
      </c>
      <c r="W53" s="568">
        <f t="shared" si="37"/>
        <v>0</v>
      </c>
      <c r="X53" s="568">
        <f t="shared" si="37"/>
        <v>0</v>
      </c>
      <c r="Y53" s="568">
        <f t="shared" si="35"/>
        <v>0</v>
      </c>
      <c r="Z53" s="568">
        <f t="shared" si="35"/>
        <v>0</v>
      </c>
      <c r="AA53" s="568">
        <f t="shared" si="35"/>
        <v>0</v>
      </c>
      <c r="AB53" s="568">
        <f t="shared" si="35"/>
        <v>0</v>
      </c>
      <c r="AC53" s="568">
        <f t="shared" si="35"/>
        <v>0</v>
      </c>
      <c r="AD53" s="568">
        <f t="shared" si="35"/>
        <v>0</v>
      </c>
      <c r="AE53" s="568">
        <f t="shared" si="35"/>
        <v>11208.959999999963</v>
      </c>
      <c r="AF53" s="529">
        <f t="shared" si="25"/>
        <v>-22448.879999999888</v>
      </c>
      <c r="AG53" s="529">
        <f t="shared" si="26"/>
        <v>-22448.879999999888</v>
      </c>
    </row>
    <row r="54" spans="1:34" ht="15.75" thickBot="1">
      <c r="A54" s="2306" t="s">
        <v>601</v>
      </c>
      <c r="B54" s="2307"/>
      <c r="C54" s="2307"/>
      <c r="D54" s="2307"/>
      <c r="E54" s="2307"/>
      <c r="F54" s="551"/>
      <c r="G54" s="552"/>
      <c r="H54" s="552"/>
      <c r="I54" s="553"/>
      <c r="J54" s="552"/>
      <c r="K54" s="552"/>
      <c r="L54" s="553"/>
      <c r="M54" s="552"/>
      <c r="N54" s="552"/>
      <c r="O54" s="553"/>
      <c r="P54" s="552"/>
      <c r="Q54" s="552"/>
      <c r="R54" s="553"/>
      <c r="S54" s="552"/>
      <c r="T54" s="552"/>
      <c r="U54" s="553"/>
      <c r="V54" s="552"/>
      <c r="W54" s="552"/>
      <c r="X54" s="553"/>
      <c r="Y54" s="552"/>
      <c r="Z54" s="552"/>
      <c r="AA54" s="552"/>
      <c r="AB54" s="552"/>
      <c r="AC54" s="552"/>
      <c r="AD54" s="553"/>
      <c r="AE54" s="554"/>
      <c r="AF54" s="529">
        <f t="shared" si="25"/>
        <v>0</v>
      </c>
      <c r="AG54" s="529">
        <f t="shared" si="26"/>
        <v>0</v>
      </c>
    </row>
    <row r="55" spans="1:34">
      <c r="A55" s="542">
        <v>42</v>
      </c>
      <c r="B55" s="543" t="str">
        <f>'DAFTAR UPAH MEI 2025'!C88</f>
        <v>H0330</v>
      </c>
      <c r="C55" s="572" t="str">
        <f>'DAFTAR UPAH MEI 2025'!D88</f>
        <v>AFRIWANTONI</v>
      </c>
      <c r="D55" s="546">
        <f>'DAFTAR UPAH MEI 2025'!BC88</f>
        <v>5007183.25</v>
      </c>
      <c r="E55" s="546">
        <v>5007181</v>
      </c>
      <c r="F55" s="547">
        <f>D55-E55</f>
        <v>2.25</v>
      </c>
      <c r="G55" s="545"/>
      <c r="H55" s="524"/>
      <c r="I55" s="548">
        <f t="shared" si="2"/>
        <v>0</v>
      </c>
      <c r="J55" s="545"/>
      <c r="K55" s="545"/>
      <c r="L55" s="548">
        <f t="shared" si="3"/>
        <v>0</v>
      </c>
      <c r="M55" s="545"/>
      <c r="N55" s="670"/>
      <c r="O55" s="548">
        <f t="shared" si="9"/>
        <v>0</v>
      </c>
      <c r="P55" s="545"/>
      <c r="Q55" s="670"/>
      <c r="R55" s="548">
        <f t="shared" ref="R55:R71" si="38">P55-Q55</f>
        <v>0</v>
      </c>
      <c r="S55" s="545">
        <f>'DAFTAR UPAH MEI 2025'!AG88</f>
        <v>0</v>
      </c>
      <c r="T55" s="545"/>
      <c r="U55" s="548">
        <f t="shared" si="4"/>
        <v>0</v>
      </c>
      <c r="V55" s="545"/>
      <c r="W55" s="545"/>
      <c r="X55" s="548">
        <f t="shared" ref="X55:X71" si="39">V55-W55</f>
        <v>0</v>
      </c>
      <c r="Y55" s="545"/>
      <c r="Z55" s="545"/>
      <c r="AA55" s="548">
        <f t="shared" si="6"/>
        <v>0</v>
      </c>
      <c r="AB55" s="545"/>
      <c r="AC55" s="545"/>
      <c r="AD55" s="549">
        <f t="shared" si="7"/>
        <v>0</v>
      </c>
      <c r="AE55" s="550">
        <f t="shared" ref="AE55:AE60" si="40">I55+L55+O55+U55+AA55+AD55</f>
        <v>0</v>
      </c>
      <c r="AF55" s="529">
        <f t="shared" si="25"/>
        <v>2.25</v>
      </c>
      <c r="AG55" s="529">
        <f t="shared" si="26"/>
        <v>2.25</v>
      </c>
    </row>
    <row r="56" spans="1:34">
      <c r="A56" s="523">
        <v>43</v>
      </c>
      <c r="B56" s="543" t="str">
        <f>'DAFTAR UPAH MEI 2025'!C89</f>
        <v>H0110</v>
      </c>
      <c r="C56" s="572" t="str">
        <f>'DAFTAR UPAH MEI 2025'!D89</f>
        <v>ROZI SUSANTO</v>
      </c>
      <c r="D56" s="546">
        <f>'DAFTAR UPAH MEI 2025'!BC89</f>
        <v>5664018.5300000003</v>
      </c>
      <c r="E56" s="546">
        <v>5664016</v>
      </c>
      <c r="F56" s="533">
        <f>D56-E56</f>
        <v>2.5300000002607703</v>
      </c>
      <c r="G56" s="545"/>
      <c r="H56" s="524"/>
      <c r="I56" s="526">
        <f t="shared" si="2"/>
        <v>0</v>
      </c>
      <c r="J56" s="545"/>
      <c r="K56" s="524"/>
      <c r="L56" s="526">
        <f t="shared" si="3"/>
        <v>0</v>
      </c>
      <c r="M56" s="545"/>
      <c r="N56" s="524"/>
      <c r="O56" s="526">
        <f t="shared" si="9"/>
        <v>0</v>
      </c>
      <c r="P56" s="545"/>
      <c r="Q56" s="524"/>
      <c r="R56" s="526">
        <f t="shared" si="38"/>
        <v>0</v>
      </c>
      <c r="S56" s="545">
        <f>'DAFTAR UPAH MEI 2025'!AG89</f>
        <v>0</v>
      </c>
      <c r="T56" s="524"/>
      <c r="U56" s="526">
        <f t="shared" si="4"/>
        <v>0</v>
      </c>
      <c r="V56" s="545"/>
      <c r="W56" s="524"/>
      <c r="X56" s="526">
        <f t="shared" si="39"/>
        <v>0</v>
      </c>
      <c r="Y56" s="524"/>
      <c r="Z56" s="524"/>
      <c r="AA56" s="526">
        <f t="shared" si="6"/>
        <v>0</v>
      </c>
      <c r="AB56" s="524"/>
      <c r="AC56" s="524"/>
      <c r="AD56" s="527">
        <f t="shared" si="7"/>
        <v>0</v>
      </c>
      <c r="AE56" s="528">
        <f t="shared" si="40"/>
        <v>0</v>
      </c>
      <c r="AF56" s="529">
        <f t="shared" si="25"/>
        <v>2.5300000002607703</v>
      </c>
      <c r="AG56" s="529">
        <f t="shared" si="26"/>
        <v>2.5300000002607703</v>
      </c>
    </row>
    <row r="57" spans="1:34">
      <c r="A57" s="523">
        <v>44</v>
      </c>
      <c r="B57" s="543" t="str">
        <f>'DAFTAR UPAH MEI 2025'!C90</f>
        <v>H0159</v>
      </c>
      <c r="C57" s="572" t="str">
        <f>'DAFTAR UPAH MEI 2025'!D90</f>
        <v>SAZELA</v>
      </c>
      <c r="D57" s="546">
        <f>'DAFTAR UPAH MEI 2025'!BC90</f>
        <v>5663920.9800000004</v>
      </c>
      <c r="E57" s="546">
        <v>5663917</v>
      </c>
      <c r="F57" s="533">
        <f t="shared" ref="F57:F71" si="41">D57-E57</f>
        <v>3.9800000004470348</v>
      </c>
      <c r="G57" s="545"/>
      <c r="H57" s="524"/>
      <c r="I57" s="526">
        <f>G57-H57</f>
        <v>0</v>
      </c>
      <c r="J57" s="545"/>
      <c r="K57" s="524"/>
      <c r="L57" s="526">
        <f t="shared" si="3"/>
        <v>0</v>
      </c>
      <c r="M57" s="545"/>
      <c r="N57" s="524"/>
      <c r="O57" s="526">
        <f t="shared" si="9"/>
        <v>0</v>
      </c>
      <c r="P57" s="545"/>
      <c r="Q57" s="524"/>
      <c r="R57" s="526">
        <f t="shared" si="38"/>
        <v>0</v>
      </c>
      <c r="S57" s="545">
        <f>'DAFTAR UPAH MEI 2025'!AG90</f>
        <v>0</v>
      </c>
      <c r="T57" s="524"/>
      <c r="U57" s="526">
        <f t="shared" si="4"/>
        <v>0</v>
      </c>
      <c r="V57" s="545"/>
      <c r="W57" s="524"/>
      <c r="X57" s="526">
        <f t="shared" si="39"/>
        <v>0</v>
      </c>
      <c r="Y57" s="524"/>
      <c r="Z57" s="524"/>
      <c r="AA57" s="526">
        <f t="shared" si="6"/>
        <v>0</v>
      </c>
      <c r="AB57" s="524"/>
      <c r="AC57" s="524"/>
      <c r="AD57" s="527">
        <f t="shared" si="7"/>
        <v>0</v>
      </c>
      <c r="AE57" s="528">
        <f t="shared" si="40"/>
        <v>0</v>
      </c>
      <c r="AF57" s="529">
        <f t="shared" si="25"/>
        <v>3.9800000004470348</v>
      </c>
      <c r="AG57" s="529">
        <f t="shared" si="26"/>
        <v>3.9800000004470348</v>
      </c>
      <c r="AH57" s="529">
        <f>AE57+AG57</f>
        <v>3.9800000004470348</v>
      </c>
    </row>
    <row r="58" spans="1:34">
      <c r="A58" s="523">
        <v>45</v>
      </c>
      <c r="B58" s="543" t="str">
        <f>'DAFTAR UPAH MEI 2025'!C91</f>
        <v>H0123</v>
      </c>
      <c r="C58" s="572" t="str">
        <f>'DAFTAR UPAH MEI 2025'!D91</f>
        <v xml:space="preserve">JUMIN </v>
      </c>
      <c r="D58" s="546">
        <f>'DAFTAR UPAH MEI 2025'!BC91</f>
        <v>5895847</v>
      </c>
      <c r="E58" s="546">
        <v>5864647</v>
      </c>
      <c r="F58" s="533">
        <f t="shared" si="41"/>
        <v>31200</v>
      </c>
      <c r="G58" s="545"/>
      <c r="H58" s="524"/>
      <c r="I58" s="526">
        <f t="shared" si="2"/>
        <v>0</v>
      </c>
      <c r="J58" s="524"/>
      <c r="K58" s="524"/>
      <c r="L58" s="526">
        <f t="shared" si="3"/>
        <v>0</v>
      </c>
      <c r="M58" s="545">
        <f>'DAFTAR UPAH MEI 2025'!X91</f>
        <v>144150</v>
      </c>
      <c r="N58" s="524">
        <v>114700</v>
      </c>
      <c r="O58" s="526">
        <f t="shared" si="9"/>
        <v>29450</v>
      </c>
      <c r="P58" s="545"/>
      <c r="Q58" s="524"/>
      <c r="R58" s="526">
        <f t="shared" si="38"/>
        <v>0</v>
      </c>
      <c r="S58" s="545">
        <f>'DAFTAR UPAH MEI 2025'!AG91</f>
        <v>477750</v>
      </c>
      <c r="T58" s="524">
        <v>476000</v>
      </c>
      <c r="U58" s="526">
        <f t="shared" si="4"/>
        <v>1750</v>
      </c>
      <c r="V58" s="545"/>
      <c r="W58" s="524"/>
      <c r="X58" s="526">
        <f t="shared" si="39"/>
        <v>0</v>
      </c>
      <c r="Y58" s="524"/>
      <c r="Z58" s="524"/>
      <c r="AA58" s="526">
        <f t="shared" si="6"/>
        <v>0</v>
      </c>
      <c r="AB58" s="524"/>
      <c r="AC58" s="524"/>
      <c r="AD58" s="527">
        <f t="shared" si="7"/>
        <v>0</v>
      </c>
      <c r="AE58" s="528">
        <f t="shared" si="40"/>
        <v>31200</v>
      </c>
      <c r="AF58" s="529">
        <f t="shared" si="25"/>
        <v>0</v>
      </c>
      <c r="AG58" s="529">
        <f t="shared" si="26"/>
        <v>0</v>
      </c>
    </row>
    <row r="59" spans="1:34">
      <c r="A59" s="523">
        <v>46</v>
      </c>
      <c r="B59" s="543" t="str">
        <f>'DAFTAR UPAH MEI 2025'!C92</f>
        <v>H0202</v>
      </c>
      <c r="C59" s="572" t="str">
        <f>'DAFTAR UPAH MEI 2025'!D92</f>
        <v>HENDRI SUSILO</v>
      </c>
      <c r="D59" s="546">
        <f>'DAFTAR UPAH MEI 2025'!BC92</f>
        <v>4929931</v>
      </c>
      <c r="E59" s="546">
        <v>4927682</v>
      </c>
      <c r="F59" s="672">
        <f t="shared" si="41"/>
        <v>2249</v>
      </c>
      <c r="G59" s="545"/>
      <c r="H59" s="524"/>
      <c r="I59" s="526">
        <f t="shared" si="2"/>
        <v>0</v>
      </c>
      <c r="J59" s="524"/>
      <c r="K59" s="524"/>
      <c r="L59" s="526">
        <f t="shared" si="3"/>
        <v>0</v>
      </c>
      <c r="M59" s="545">
        <f>'DAFTAR UPAH MEI 2025'!X92</f>
        <v>69750</v>
      </c>
      <c r="N59" s="524">
        <v>67500</v>
      </c>
      <c r="O59" s="526">
        <f t="shared" si="9"/>
        <v>2250</v>
      </c>
      <c r="P59" s="545"/>
      <c r="Q59" s="524"/>
      <c r="R59" s="526">
        <f t="shared" si="38"/>
        <v>0</v>
      </c>
      <c r="S59" s="545"/>
      <c r="T59" s="524"/>
      <c r="U59" s="526">
        <f t="shared" si="4"/>
        <v>0</v>
      </c>
      <c r="V59" s="545"/>
      <c r="W59" s="524"/>
      <c r="X59" s="526">
        <f t="shared" si="39"/>
        <v>0</v>
      </c>
      <c r="Y59" s="524"/>
      <c r="Z59" s="524"/>
      <c r="AA59" s="526">
        <f t="shared" si="6"/>
        <v>0</v>
      </c>
      <c r="AB59" s="524"/>
      <c r="AC59" s="524"/>
      <c r="AD59" s="527">
        <f t="shared" si="7"/>
        <v>0</v>
      </c>
      <c r="AE59" s="528">
        <f t="shared" si="40"/>
        <v>2250</v>
      </c>
      <c r="AF59" s="529">
        <f t="shared" si="25"/>
        <v>-1</v>
      </c>
      <c r="AG59" s="529">
        <f t="shared" si="26"/>
        <v>-1</v>
      </c>
    </row>
    <row r="60" spans="1:34">
      <c r="A60" s="523">
        <v>47</v>
      </c>
      <c r="B60" s="543" t="str">
        <f>'DAFTAR UPAH MEI 2025'!C93</f>
        <v>H0200</v>
      </c>
      <c r="C60" s="572" t="str">
        <f>'DAFTAR UPAH MEI 2025'!D93</f>
        <v>HERMANSAH</v>
      </c>
      <c r="D60" s="546">
        <f>'DAFTAR UPAH MEI 2025'!BC93</f>
        <v>5622844</v>
      </c>
      <c r="E60" s="546">
        <v>5622845</v>
      </c>
      <c r="F60" s="672">
        <f t="shared" si="41"/>
        <v>-1</v>
      </c>
      <c r="G60" s="545"/>
      <c r="H60" s="524"/>
      <c r="I60" s="526">
        <f t="shared" si="2"/>
        <v>0</v>
      </c>
      <c r="J60" s="524"/>
      <c r="K60" s="524"/>
      <c r="L60" s="526">
        <f t="shared" si="3"/>
        <v>0</v>
      </c>
      <c r="M60" s="545"/>
      <c r="N60" s="524"/>
      <c r="O60" s="526">
        <f t="shared" si="9"/>
        <v>0</v>
      </c>
      <c r="P60" s="545"/>
      <c r="Q60" s="524"/>
      <c r="R60" s="526">
        <f t="shared" si="38"/>
        <v>0</v>
      </c>
      <c r="S60" s="545"/>
      <c r="T60" s="524"/>
      <c r="U60" s="526">
        <f t="shared" si="4"/>
        <v>0</v>
      </c>
      <c r="V60" s="545"/>
      <c r="W60" s="524"/>
      <c r="X60" s="526">
        <f t="shared" si="39"/>
        <v>0</v>
      </c>
      <c r="Y60" s="524"/>
      <c r="Z60" s="524"/>
      <c r="AA60" s="526">
        <f t="shared" si="6"/>
        <v>0</v>
      </c>
      <c r="AB60" s="524"/>
      <c r="AC60" s="524"/>
      <c r="AD60" s="527">
        <f t="shared" si="7"/>
        <v>0</v>
      </c>
      <c r="AE60" s="528">
        <f t="shared" si="40"/>
        <v>0</v>
      </c>
      <c r="AF60" s="529">
        <f t="shared" si="25"/>
        <v>-1</v>
      </c>
      <c r="AG60" s="529">
        <f t="shared" si="26"/>
        <v>-1</v>
      </c>
    </row>
    <row r="61" spans="1:34">
      <c r="A61" s="523">
        <v>48</v>
      </c>
      <c r="B61" s="543" t="str">
        <f>'DAFTAR UPAH MEI 2025'!C94</f>
        <v>H0402</v>
      </c>
      <c r="C61" s="572" t="str">
        <f>'DAFTAR UPAH MEI 2025'!D94</f>
        <v>JUMADIL AWAL</v>
      </c>
      <c r="D61" s="546">
        <f>'DAFTAR UPAH MEI 2025'!BC94</f>
        <v>4712134</v>
      </c>
      <c r="E61" s="546">
        <v>4712134</v>
      </c>
      <c r="F61" s="533">
        <f t="shared" si="41"/>
        <v>0</v>
      </c>
      <c r="G61" s="545"/>
      <c r="H61" s="524"/>
      <c r="I61" s="526">
        <f t="shared" si="2"/>
        <v>0</v>
      </c>
      <c r="J61" s="524"/>
      <c r="K61" s="524"/>
      <c r="L61" s="526">
        <f t="shared" si="3"/>
        <v>0</v>
      </c>
      <c r="M61" s="545"/>
      <c r="N61" s="524"/>
      <c r="O61" s="526">
        <f t="shared" si="9"/>
        <v>0</v>
      </c>
      <c r="P61" s="545"/>
      <c r="Q61" s="524"/>
      <c r="R61" s="526">
        <f t="shared" si="38"/>
        <v>0</v>
      </c>
      <c r="S61" s="545"/>
      <c r="T61" s="524"/>
      <c r="U61" s="526">
        <f t="shared" si="4"/>
        <v>0</v>
      </c>
      <c r="V61" s="545"/>
      <c r="W61" s="524"/>
      <c r="X61" s="526">
        <f t="shared" si="39"/>
        <v>0</v>
      </c>
      <c r="Y61" s="524"/>
      <c r="Z61" s="524"/>
      <c r="AA61" s="526">
        <f t="shared" si="6"/>
        <v>0</v>
      </c>
      <c r="AB61" s="524"/>
      <c r="AC61" s="524"/>
      <c r="AD61" s="527">
        <f t="shared" si="7"/>
        <v>0</v>
      </c>
      <c r="AE61" s="528">
        <f t="shared" ref="AE61:AE68" si="42">I61+L61+O61+U61+AA61+AD61</f>
        <v>0</v>
      </c>
      <c r="AF61" s="529">
        <f t="shared" si="25"/>
        <v>0</v>
      </c>
      <c r="AG61" s="529">
        <f t="shared" si="26"/>
        <v>0</v>
      </c>
    </row>
    <row r="62" spans="1:34">
      <c r="A62" s="523">
        <v>49</v>
      </c>
      <c r="B62" s="543" t="str">
        <f>'DAFTAR UPAH MEI 2025'!C95</f>
        <v>H0408</v>
      </c>
      <c r="C62" s="572" t="str">
        <f>'DAFTAR UPAH MEI 2025'!D95</f>
        <v>NASRUDIN (SAHNUN)</v>
      </c>
      <c r="D62" s="546">
        <f>'DAFTAR UPAH MEI 2025'!BC95</f>
        <v>4705659</v>
      </c>
      <c r="E62" s="546">
        <v>4705659</v>
      </c>
      <c r="F62" s="533">
        <f t="shared" si="41"/>
        <v>0</v>
      </c>
      <c r="G62" s="545"/>
      <c r="H62" s="524"/>
      <c r="I62" s="526">
        <f t="shared" si="2"/>
        <v>0</v>
      </c>
      <c r="J62" s="524"/>
      <c r="K62" s="524"/>
      <c r="L62" s="526">
        <f t="shared" si="3"/>
        <v>0</v>
      </c>
      <c r="M62" s="545"/>
      <c r="N62" s="524"/>
      <c r="O62" s="526">
        <f t="shared" si="9"/>
        <v>0</v>
      </c>
      <c r="P62" s="545"/>
      <c r="Q62" s="524"/>
      <c r="R62" s="526">
        <f t="shared" si="38"/>
        <v>0</v>
      </c>
      <c r="S62" s="545"/>
      <c r="T62" s="524"/>
      <c r="U62" s="526">
        <f t="shared" si="4"/>
        <v>0</v>
      </c>
      <c r="V62" s="545"/>
      <c r="W62" s="524"/>
      <c r="X62" s="526">
        <f t="shared" si="39"/>
        <v>0</v>
      </c>
      <c r="Y62" s="524"/>
      <c r="Z62" s="524"/>
      <c r="AA62" s="526">
        <f t="shared" si="6"/>
        <v>0</v>
      </c>
      <c r="AB62" s="524"/>
      <c r="AC62" s="524"/>
      <c r="AD62" s="527">
        <f t="shared" si="7"/>
        <v>0</v>
      </c>
      <c r="AE62" s="528">
        <f t="shared" si="42"/>
        <v>0</v>
      </c>
      <c r="AF62" s="529">
        <f t="shared" si="25"/>
        <v>0</v>
      </c>
      <c r="AG62" s="529">
        <f t="shared" si="26"/>
        <v>0</v>
      </c>
    </row>
    <row r="63" spans="1:34" ht="13.5" customHeight="1">
      <c r="A63" s="523">
        <v>50</v>
      </c>
      <c r="B63" s="543" t="str">
        <f>'DAFTAR UPAH MEI 2025'!C96</f>
        <v>H0408</v>
      </c>
      <c r="C63" s="572" t="str">
        <f>'DAFTAR UPAH MEI 2025'!D96</f>
        <v>NASRUDIN (INAK DENI)</v>
      </c>
      <c r="D63" s="546">
        <f>'DAFTAR UPAH MEI 2025'!BC96</f>
        <v>5030322</v>
      </c>
      <c r="E63" s="546">
        <v>5030322</v>
      </c>
      <c r="F63" s="533">
        <f t="shared" si="41"/>
        <v>0</v>
      </c>
      <c r="G63" s="545"/>
      <c r="H63" s="524"/>
      <c r="I63" s="526">
        <f t="shared" si="2"/>
        <v>0</v>
      </c>
      <c r="J63" s="524"/>
      <c r="K63" s="524"/>
      <c r="L63" s="526">
        <f t="shared" si="3"/>
        <v>0</v>
      </c>
      <c r="M63" s="545"/>
      <c r="N63" s="524"/>
      <c r="O63" s="526">
        <f t="shared" si="9"/>
        <v>0</v>
      </c>
      <c r="P63" s="545"/>
      <c r="Q63" s="524"/>
      <c r="R63" s="526">
        <f t="shared" si="38"/>
        <v>0</v>
      </c>
      <c r="S63" s="545"/>
      <c r="T63" s="524"/>
      <c r="U63" s="526">
        <f t="shared" si="4"/>
        <v>0</v>
      </c>
      <c r="V63" s="545"/>
      <c r="W63" s="524"/>
      <c r="X63" s="526">
        <f t="shared" si="39"/>
        <v>0</v>
      </c>
      <c r="Y63" s="524"/>
      <c r="Z63" s="524"/>
      <c r="AA63" s="526">
        <f t="shared" si="6"/>
        <v>0</v>
      </c>
      <c r="AB63" s="524"/>
      <c r="AC63" s="524"/>
      <c r="AD63" s="527">
        <f t="shared" si="7"/>
        <v>0</v>
      </c>
      <c r="AE63" s="528">
        <f t="shared" si="42"/>
        <v>0</v>
      </c>
      <c r="AF63" s="529">
        <f t="shared" si="25"/>
        <v>0</v>
      </c>
      <c r="AG63" s="529">
        <f t="shared" si="26"/>
        <v>0</v>
      </c>
    </row>
    <row r="64" spans="1:34">
      <c r="A64" s="523">
        <v>51</v>
      </c>
      <c r="B64" s="543" t="str">
        <f>'DAFTAR UPAH MEI 2025'!C97</f>
        <v>H0446</v>
      </c>
      <c r="C64" s="572" t="str">
        <f>'DAFTAR UPAH MEI 2025'!D97</f>
        <v>SUDIRMAN</v>
      </c>
      <c r="D64" s="546">
        <f>'DAFTAR UPAH MEI 2025'!BC97</f>
        <v>5776959</v>
      </c>
      <c r="E64" s="546">
        <v>5776960</v>
      </c>
      <c r="F64" s="533">
        <f t="shared" si="41"/>
        <v>-1</v>
      </c>
      <c r="G64" s="545"/>
      <c r="H64" s="524"/>
      <c r="I64" s="526">
        <f t="shared" si="2"/>
        <v>0</v>
      </c>
      <c r="J64" s="524"/>
      <c r="K64" s="524"/>
      <c r="L64" s="526">
        <f t="shared" si="3"/>
        <v>0</v>
      </c>
      <c r="M64" s="545"/>
      <c r="N64" s="524"/>
      <c r="O64" s="526">
        <f t="shared" si="9"/>
        <v>0</v>
      </c>
      <c r="P64" s="545"/>
      <c r="Q64" s="524"/>
      <c r="R64" s="526">
        <f t="shared" si="38"/>
        <v>0</v>
      </c>
      <c r="S64" s="545"/>
      <c r="T64" s="524"/>
      <c r="U64" s="526">
        <f t="shared" si="4"/>
        <v>0</v>
      </c>
      <c r="V64" s="545"/>
      <c r="W64" s="524"/>
      <c r="X64" s="526">
        <f t="shared" si="39"/>
        <v>0</v>
      </c>
      <c r="Y64" s="524"/>
      <c r="Z64" s="524"/>
      <c r="AA64" s="526">
        <f t="shared" si="6"/>
        <v>0</v>
      </c>
      <c r="AB64" s="524"/>
      <c r="AC64" s="524"/>
      <c r="AD64" s="527">
        <f t="shared" si="7"/>
        <v>0</v>
      </c>
      <c r="AE64" s="528">
        <f t="shared" si="42"/>
        <v>0</v>
      </c>
      <c r="AF64" s="529">
        <f t="shared" si="25"/>
        <v>-1</v>
      </c>
      <c r="AG64" s="529">
        <f t="shared" si="26"/>
        <v>-1</v>
      </c>
    </row>
    <row r="65" spans="1:33">
      <c r="A65" s="523">
        <v>52</v>
      </c>
      <c r="B65" s="543" t="str">
        <f>'DAFTAR UPAH MEI 2025'!C98</f>
        <v>H0453</v>
      </c>
      <c r="C65" s="572" t="str">
        <f>'DAFTAR UPAH MEI 2025'!D98</f>
        <v>JAYA KUSUMA</v>
      </c>
      <c r="D65" s="546">
        <f>'DAFTAR UPAH MEI 2025'!BC98</f>
        <v>6284953</v>
      </c>
      <c r="E65" s="546">
        <v>6284954</v>
      </c>
      <c r="F65" s="533">
        <f t="shared" si="41"/>
        <v>-1</v>
      </c>
      <c r="G65" s="545"/>
      <c r="H65" s="524"/>
      <c r="I65" s="526">
        <f t="shared" si="2"/>
        <v>0</v>
      </c>
      <c r="J65" s="524"/>
      <c r="K65" s="524"/>
      <c r="L65" s="526">
        <f t="shared" si="3"/>
        <v>0</v>
      </c>
      <c r="M65" s="545"/>
      <c r="N65" s="524"/>
      <c r="O65" s="526">
        <f t="shared" si="9"/>
        <v>0</v>
      </c>
      <c r="P65" s="545"/>
      <c r="Q65" s="524"/>
      <c r="R65" s="526">
        <f t="shared" si="38"/>
        <v>0</v>
      </c>
      <c r="S65" s="545"/>
      <c r="T65" s="524"/>
      <c r="U65" s="526">
        <f t="shared" si="4"/>
        <v>0</v>
      </c>
      <c r="V65" s="545"/>
      <c r="W65" s="524"/>
      <c r="X65" s="526">
        <f t="shared" si="39"/>
        <v>0</v>
      </c>
      <c r="Y65" s="524"/>
      <c r="Z65" s="524"/>
      <c r="AA65" s="526">
        <f t="shared" si="6"/>
        <v>0</v>
      </c>
      <c r="AB65" s="524"/>
      <c r="AC65" s="524"/>
      <c r="AD65" s="527">
        <f t="shared" si="7"/>
        <v>0</v>
      </c>
      <c r="AE65" s="528">
        <f t="shared" si="42"/>
        <v>0</v>
      </c>
      <c r="AF65" s="529">
        <f t="shared" si="25"/>
        <v>-1</v>
      </c>
      <c r="AG65" s="529">
        <f t="shared" si="26"/>
        <v>-1</v>
      </c>
    </row>
    <row r="66" spans="1:33">
      <c r="A66" s="523">
        <v>53</v>
      </c>
      <c r="B66" s="543" t="str">
        <f>'DAFTAR UPAH MEI 2025'!C99</f>
        <v>H0455</v>
      </c>
      <c r="C66" s="572" t="str">
        <f>'DAFTAR UPAH MEI 2025'!D99</f>
        <v>LALU HERI 
ISKANDAR</v>
      </c>
      <c r="D66" s="546">
        <f>'DAFTAR UPAH MEI 2025'!BC99</f>
        <v>4910846</v>
      </c>
      <c r="E66" s="546">
        <v>4910846</v>
      </c>
      <c r="F66" s="533">
        <f t="shared" si="41"/>
        <v>0</v>
      </c>
      <c r="G66" s="545"/>
      <c r="H66" s="524"/>
      <c r="I66" s="526">
        <f t="shared" si="2"/>
        <v>0</v>
      </c>
      <c r="J66" s="524"/>
      <c r="L66" s="526">
        <f t="shared" si="3"/>
        <v>0</v>
      </c>
      <c r="M66" s="545"/>
      <c r="N66" s="524"/>
      <c r="O66" s="526">
        <f t="shared" si="9"/>
        <v>0</v>
      </c>
      <c r="P66" s="545"/>
      <c r="Q66" s="524"/>
      <c r="R66" s="526">
        <f t="shared" si="38"/>
        <v>0</v>
      </c>
      <c r="S66" s="545"/>
      <c r="T66" s="524"/>
      <c r="U66" s="526">
        <f t="shared" si="4"/>
        <v>0</v>
      </c>
      <c r="V66" s="545"/>
      <c r="W66" s="524"/>
      <c r="X66" s="526">
        <f t="shared" si="39"/>
        <v>0</v>
      </c>
      <c r="Y66" s="524"/>
      <c r="Z66" s="673"/>
      <c r="AA66" s="526">
        <f t="shared" si="6"/>
        <v>0</v>
      </c>
      <c r="AB66" s="524"/>
      <c r="AC66" s="524"/>
      <c r="AD66" s="527">
        <f t="shared" si="7"/>
        <v>0</v>
      </c>
      <c r="AE66" s="528">
        <f t="shared" si="42"/>
        <v>0</v>
      </c>
      <c r="AF66" s="529">
        <f t="shared" si="25"/>
        <v>0</v>
      </c>
      <c r="AG66" s="529">
        <f t="shared" si="26"/>
        <v>0</v>
      </c>
    </row>
    <row r="67" spans="1:33">
      <c r="A67" s="523">
        <v>54</v>
      </c>
      <c r="B67" s="543" t="str">
        <f>'DAFTAR UPAH MEI 2025'!C100</f>
        <v>H0468</v>
      </c>
      <c r="C67" s="572" t="str">
        <f>'DAFTAR UPAH MEI 2025'!D100</f>
        <v>ZAINAL</v>
      </c>
      <c r="D67" s="546">
        <f>'DAFTAR UPAH MEI 2025'!BC100</f>
        <v>5125777</v>
      </c>
      <c r="E67" s="546">
        <v>5125777</v>
      </c>
      <c r="F67" s="672">
        <f t="shared" si="41"/>
        <v>0</v>
      </c>
      <c r="G67" s="545"/>
      <c r="H67" s="524"/>
      <c r="I67" s="526">
        <f t="shared" si="2"/>
        <v>0</v>
      </c>
      <c r="J67" s="524"/>
      <c r="K67" s="524"/>
      <c r="L67" s="526">
        <f t="shared" si="3"/>
        <v>0</v>
      </c>
      <c r="M67" s="545"/>
      <c r="N67" s="524"/>
      <c r="O67" s="526">
        <f t="shared" si="9"/>
        <v>0</v>
      </c>
      <c r="P67" s="545"/>
      <c r="Q67" s="524"/>
      <c r="R67" s="526">
        <f t="shared" si="38"/>
        <v>0</v>
      </c>
      <c r="S67" s="545"/>
      <c r="T67" s="524"/>
      <c r="U67" s="526">
        <f t="shared" si="4"/>
        <v>0</v>
      </c>
      <c r="V67" s="545"/>
      <c r="W67" s="524"/>
      <c r="X67" s="526">
        <f t="shared" si="39"/>
        <v>0</v>
      </c>
      <c r="Y67" s="524"/>
      <c r="Z67" s="524"/>
      <c r="AA67" s="526">
        <f t="shared" si="6"/>
        <v>0</v>
      </c>
      <c r="AB67" s="524"/>
      <c r="AC67" s="524"/>
      <c r="AD67" s="527">
        <f t="shared" si="7"/>
        <v>0</v>
      </c>
      <c r="AE67" s="528">
        <f t="shared" si="42"/>
        <v>0</v>
      </c>
      <c r="AF67" s="529">
        <f t="shared" si="25"/>
        <v>0</v>
      </c>
      <c r="AG67" s="529">
        <f t="shared" si="26"/>
        <v>0</v>
      </c>
    </row>
    <row r="68" spans="1:33">
      <c r="A68" s="523">
        <v>55</v>
      </c>
      <c r="B68" s="543" t="str">
        <f>'DAFTAR UPAH MEI 2025'!C101</f>
        <v>H0472</v>
      </c>
      <c r="C68" s="572" t="str">
        <f>'DAFTAR UPAH MEI 2025'!D101</f>
        <v>MUHAMMAD TAHIR</v>
      </c>
      <c r="D68" s="546">
        <f>'DAFTAR UPAH MEI 2025'!BC101</f>
        <v>5198610</v>
      </c>
      <c r="E68" s="546">
        <v>5198610</v>
      </c>
      <c r="F68" s="722">
        <f t="shared" si="41"/>
        <v>0</v>
      </c>
      <c r="G68" s="545"/>
      <c r="H68" s="524"/>
      <c r="I68" s="526">
        <f t="shared" si="2"/>
        <v>0</v>
      </c>
      <c r="J68" s="524"/>
      <c r="K68" s="524"/>
      <c r="L68" s="526">
        <f t="shared" si="3"/>
        <v>0</v>
      </c>
      <c r="M68" s="545"/>
      <c r="N68" s="524"/>
      <c r="O68" s="526">
        <f t="shared" si="9"/>
        <v>0</v>
      </c>
      <c r="P68" s="545"/>
      <c r="Q68" s="524"/>
      <c r="R68" s="526">
        <f t="shared" si="38"/>
        <v>0</v>
      </c>
      <c r="S68" s="545"/>
      <c r="T68" s="524"/>
      <c r="U68" s="526">
        <f t="shared" si="4"/>
        <v>0</v>
      </c>
      <c r="V68" s="545"/>
      <c r="W68" s="524"/>
      <c r="X68" s="526">
        <f t="shared" si="39"/>
        <v>0</v>
      </c>
      <c r="Y68" s="524"/>
      <c r="Z68" s="524"/>
      <c r="AA68" s="526">
        <f t="shared" si="6"/>
        <v>0</v>
      </c>
      <c r="AB68" s="524"/>
      <c r="AC68" s="524"/>
      <c r="AD68" s="527">
        <f t="shared" si="7"/>
        <v>0</v>
      </c>
      <c r="AE68" s="528">
        <f t="shared" si="42"/>
        <v>0</v>
      </c>
      <c r="AF68" s="529">
        <f t="shared" si="25"/>
        <v>0</v>
      </c>
      <c r="AG68" s="529">
        <f t="shared" si="26"/>
        <v>0</v>
      </c>
    </row>
    <row r="69" spans="1:33">
      <c r="A69" s="523">
        <v>56</v>
      </c>
      <c r="B69" s="543" t="str">
        <f>'DAFTAR UPAH MEI 2025'!C102</f>
        <v>H0474</v>
      </c>
      <c r="C69" s="572" t="str">
        <f>'DAFTAR UPAH MEI 2025'!D102</f>
        <v>TATO</v>
      </c>
      <c r="D69" s="546">
        <f>'DAFTAR UPAH MEI 2025'!BC102</f>
        <v>5815563</v>
      </c>
      <c r="E69" s="546">
        <v>5815564</v>
      </c>
      <c r="F69" s="533">
        <f t="shared" si="41"/>
        <v>-1</v>
      </c>
      <c r="G69" s="545"/>
      <c r="H69" s="524"/>
      <c r="I69" s="526">
        <f t="shared" ref="I69:I71" si="43">G69-H69</f>
        <v>0</v>
      </c>
      <c r="J69" s="524"/>
      <c r="K69" s="524"/>
      <c r="L69" s="526">
        <f t="shared" ref="L69:L71" si="44">J69-K69</f>
        <v>0</v>
      </c>
      <c r="M69" s="545"/>
      <c r="N69" s="524"/>
      <c r="O69" s="526">
        <f t="shared" ref="O69:O71" si="45">M69-N69</f>
        <v>0</v>
      </c>
      <c r="P69" s="545"/>
      <c r="Q69" s="524"/>
      <c r="R69" s="526">
        <f t="shared" si="38"/>
        <v>0</v>
      </c>
      <c r="S69" s="545"/>
      <c r="T69" s="524"/>
      <c r="U69" s="526">
        <f t="shared" ref="U69:U71" si="46">S69-T69</f>
        <v>0</v>
      </c>
      <c r="V69" s="545"/>
      <c r="W69" s="524"/>
      <c r="X69" s="526">
        <f t="shared" si="39"/>
        <v>0</v>
      </c>
      <c r="Y69" s="524"/>
      <c r="Z69" s="524"/>
      <c r="AA69" s="526">
        <f t="shared" ref="AA69:AA71" si="47">Y69-Z69</f>
        <v>0</v>
      </c>
      <c r="AB69" s="524"/>
      <c r="AC69" s="524"/>
      <c r="AD69" s="527">
        <f t="shared" ref="AD69:AD71" si="48">-(AB69-AC69)</f>
        <v>0</v>
      </c>
      <c r="AE69" s="528">
        <f t="shared" ref="AE69:AE71" si="49">I69+L69+O69+U69+AA69+AD69</f>
        <v>0</v>
      </c>
      <c r="AF69" s="529">
        <f t="shared" ref="AF69:AF71" si="50">F69-AE69</f>
        <v>-1</v>
      </c>
      <c r="AG69" s="529">
        <f t="shared" ref="AG69:AG71" si="51">F69-AE69</f>
        <v>-1</v>
      </c>
    </row>
    <row r="70" spans="1:33">
      <c r="A70" s="523">
        <v>57</v>
      </c>
      <c r="B70" s="543" t="str">
        <f>'DAFTAR UPAH MEI 2025'!C103</f>
        <v>H0476</v>
      </c>
      <c r="C70" s="572" t="str">
        <f>'DAFTAR UPAH MEI 2025'!D103</f>
        <v>AGUS SURYADI</v>
      </c>
      <c r="D70" s="546">
        <f>'DAFTAR UPAH MEI 2025'!BC103</f>
        <v>4891572</v>
      </c>
      <c r="E70" s="546">
        <v>4891572</v>
      </c>
      <c r="F70" s="533">
        <f t="shared" si="41"/>
        <v>0</v>
      </c>
      <c r="G70" s="545"/>
      <c r="H70" s="524"/>
      <c r="I70" s="526">
        <f t="shared" si="43"/>
        <v>0</v>
      </c>
      <c r="J70" s="524"/>
      <c r="K70" s="524"/>
      <c r="L70" s="526">
        <f t="shared" si="44"/>
        <v>0</v>
      </c>
      <c r="M70" s="545"/>
      <c r="N70" s="524"/>
      <c r="O70" s="526">
        <f t="shared" si="45"/>
        <v>0</v>
      </c>
      <c r="P70" s="545"/>
      <c r="Q70" s="524"/>
      <c r="R70" s="526">
        <f t="shared" si="38"/>
        <v>0</v>
      </c>
      <c r="S70" s="545"/>
      <c r="T70" s="524"/>
      <c r="U70" s="526">
        <f t="shared" si="46"/>
        <v>0</v>
      </c>
      <c r="V70" s="545"/>
      <c r="W70" s="524"/>
      <c r="X70" s="526">
        <f t="shared" si="39"/>
        <v>0</v>
      </c>
      <c r="Y70" s="524"/>
      <c r="Z70" s="524"/>
      <c r="AA70" s="526">
        <f t="shared" si="47"/>
        <v>0</v>
      </c>
      <c r="AB70" s="524"/>
      <c r="AC70" s="524"/>
      <c r="AD70" s="527">
        <f t="shared" si="48"/>
        <v>0</v>
      </c>
      <c r="AE70" s="528">
        <f t="shared" si="49"/>
        <v>0</v>
      </c>
      <c r="AF70" s="529">
        <f t="shared" si="50"/>
        <v>0</v>
      </c>
      <c r="AG70" s="529">
        <f t="shared" si="51"/>
        <v>0</v>
      </c>
    </row>
    <row r="71" spans="1:33">
      <c r="A71" s="523">
        <v>58</v>
      </c>
      <c r="B71" s="543" t="str">
        <f>'DAFTAR UPAH MEI 2025'!C104</f>
        <v>H0488</v>
      </c>
      <c r="C71" s="572" t="str">
        <f>'DAFTAR UPAH MEI 2025'!D104</f>
        <v>ALMAN</v>
      </c>
      <c r="D71" s="546">
        <f>'DAFTAR UPAH MEI 2025'!BC104</f>
        <v>5710416</v>
      </c>
      <c r="E71" s="546">
        <v>5710416</v>
      </c>
      <c r="F71" s="533">
        <f t="shared" si="41"/>
        <v>0</v>
      </c>
      <c r="G71" s="545"/>
      <c r="H71" s="524"/>
      <c r="I71" s="526">
        <f t="shared" si="43"/>
        <v>0</v>
      </c>
      <c r="J71" s="524"/>
      <c r="K71" s="524"/>
      <c r="L71" s="526">
        <f t="shared" si="44"/>
        <v>0</v>
      </c>
      <c r="M71" s="545"/>
      <c r="N71" s="524"/>
      <c r="O71" s="526">
        <f t="shared" si="45"/>
        <v>0</v>
      </c>
      <c r="P71" s="545"/>
      <c r="Q71" s="524"/>
      <c r="R71" s="526">
        <f t="shared" si="38"/>
        <v>0</v>
      </c>
      <c r="S71" s="545"/>
      <c r="T71" s="524"/>
      <c r="U71" s="526">
        <f t="shared" si="46"/>
        <v>0</v>
      </c>
      <c r="V71" s="545"/>
      <c r="W71" s="524"/>
      <c r="X71" s="526">
        <f t="shared" si="39"/>
        <v>0</v>
      </c>
      <c r="Y71" s="524"/>
      <c r="Z71" s="524"/>
      <c r="AA71" s="526">
        <f t="shared" si="47"/>
        <v>0</v>
      </c>
      <c r="AB71" s="524"/>
      <c r="AC71" s="524"/>
      <c r="AD71" s="527">
        <f t="shared" si="48"/>
        <v>0</v>
      </c>
      <c r="AE71" s="528">
        <f t="shared" si="49"/>
        <v>0</v>
      </c>
      <c r="AF71" s="529">
        <f t="shared" si="50"/>
        <v>0</v>
      </c>
      <c r="AG71" s="529">
        <f t="shared" si="51"/>
        <v>0</v>
      </c>
    </row>
    <row r="72" spans="1:33">
      <c r="A72" s="523">
        <v>59</v>
      </c>
      <c r="B72" s="543" t="str">
        <f>'DAFTAR UPAH MEI 2025'!C105</f>
        <v>H0498</v>
      </c>
      <c r="C72" s="572" t="str">
        <f>'DAFTAR UPAH MEI 2025'!D105</f>
        <v>HERI SUTANTO</v>
      </c>
      <c r="D72" s="546">
        <f>'DAFTAR UPAH MEI 2025'!BC105</f>
        <v>4867326</v>
      </c>
      <c r="E72" s="546">
        <v>4867326</v>
      </c>
      <c r="F72" s="533">
        <f t="shared" ref="F72:F74" si="52">D72-E72</f>
        <v>0</v>
      </c>
      <c r="G72" s="545"/>
      <c r="H72" s="524"/>
      <c r="I72" s="526">
        <f t="shared" ref="I72:I74" si="53">G72-H72</f>
        <v>0</v>
      </c>
      <c r="J72" s="524"/>
      <c r="K72" s="524"/>
      <c r="L72" s="526">
        <f t="shared" ref="L72:L74" si="54">J72-K72</f>
        <v>0</v>
      </c>
      <c r="M72" s="545"/>
      <c r="N72" s="524"/>
      <c r="O72" s="526">
        <f t="shared" ref="O72:O74" si="55">M72-N72</f>
        <v>0</v>
      </c>
      <c r="P72" s="545"/>
      <c r="Q72" s="524"/>
      <c r="R72" s="526">
        <f t="shared" ref="R72:R74" si="56">P72-Q72</f>
        <v>0</v>
      </c>
      <c r="S72" s="545"/>
      <c r="T72" s="524"/>
      <c r="U72" s="526">
        <f t="shared" ref="U72:U74" si="57">S72-T72</f>
        <v>0</v>
      </c>
      <c r="V72" s="545"/>
      <c r="W72" s="524"/>
      <c r="X72" s="526">
        <f t="shared" ref="X72:X74" si="58">V72-W72</f>
        <v>0</v>
      </c>
      <c r="Y72" s="524"/>
      <c r="Z72" s="524"/>
      <c r="AA72" s="526">
        <f t="shared" ref="AA72:AA74" si="59">Y72-Z72</f>
        <v>0</v>
      </c>
      <c r="AB72" s="524"/>
      <c r="AC72" s="524"/>
      <c r="AD72" s="527">
        <f t="shared" ref="AD72:AD74" si="60">-(AB72-AC72)</f>
        <v>0</v>
      </c>
      <c r="AE72" s="528">
        <f t="shared" ref="AE72:AE74" si="61">I72+L72+O72+U72+AA72+AD72</f>
        <v>0</v>
      </c>
      <c r="AF72" s="529">
        <f t="shared" ref="AF72:AF74" si="62">F72-AE72</f>
        <v>0</v>
      </c>
      <c r="AG72" s="529">
        <f t="shared" ref="AG72:AG74" si="63">F72-AE72</f>
        <v>0</v>
      </c>
    </row>
    <row r="73" spans="1:33">
      <c r="A73" s="523">
        <v>60</v>
      </c>
      <c r="B73" s="543" t="str">
        <f>'DAFTAR UPAH MEI 2025'!C106</f>
        <v>H0499</v>
      </c>
      <c r="C73" s="572" t="str">
        <f>'DAFTAR UPAH MEI 2025'!D106</f>
        <v>SUPRIYONO</v>
      </c>
      <c r="D73" s="546">
        <f>'DAFTAR UPAH MEI 2025'!BC106</f>
        <v>3015263</v>
      </c>
      <c r="E73" s="546">
        <v>3015263</v>
      </c>
      <c r="F73" s="533">
        <f t="shared" si="52"/>
        <v>0</v>
      </c>
      <c r="G73" s="545"/>
      <c r="H73" s="524"/>
      <c r="I73" s="526">
        <f t="shared" si="53"/>
        <v>0</v>
      </c>
      <c r="J73" s="524"/>
      <c r="K73" s="524"/>
      <c r="L73" s="526">
        <f t="shared" si="54"/>
        <v>0</v>
      </c>
      <c r="M73" s="545"/>
      <c r="N73" s="524"/>
      <c r="O73" s="526">
        <f t="shared" si="55"/>
        <v>0</v>
      </c>
      <c r="P73" s="545"/>
      <c r="Q73" s="524"/>
      <c r="R73" s="526">
        <f t="shared" si="56"/>
        <v>0</v>
      </c>
      <c r="S73" s="545"/>
      <c r="T73" s="524"/>
      <c r="U73" s="526">
        <f t="shared" si="57"/>
        <v>0</v>
      </c>
      <c r="V73" s="545"/>
      <c r="W73" s="524"/>
      <c r="X73" s="526">
        <f t="shared" si="58"/>
        <v>0</v>
      </c>
      <c r="Y73" s="524"/>
      <c r="Z73" s="524"/>
      <c r="AA73" s="526">
        <f t="shared" si="59"/>
        <v>0</v>
      </c>
      <c r="AB73" s="524"/>
      <c r="AC73" s="524"/>
      <c r="AD73" s="527">
        <f t="shared" si="60"/>
        <v>0</v>
      </c>
      <c r="AE73" s="528">
        <f t="shared" si="61"/>
        <v>0</v>
      </c>
      <c r="AF73" s="529">
        <f t="shared" si="62"/>
        <v>0</v>
      </c>
      <c r="AG73" s="529">
        <f t="shared" si="63"/>
        <v>0</v>
      </c>
    </row>
    <row r="74" spans="1:33">
      <c r="A74" s="523">
        <v>61</v>
      </c>
      <c r="B74" s="543" t="str">
        <f>'DAFTAR UPAH MEI 2025'!C107</f>
        <v>H0500</v>
      </c>
      <c r="C74" s="572" t="str">
        <f>'DAFTAR UPAH MEI 2025'!D107</f>
        <v>AWALUDIN</v>
      </c>
      <c r="D74" s="546">
        <f>'DAFTAR UPAH MEI 2025'!BC107</f>
        <v>4589036</v>
      </c>
      <c r="E74" s="546">
        <v>4584386</v>
      </c>
      <c r="F74" s="533">
        <f t="shared" si="52"/>
        <v>4650</v>
      </c>
      <c r="G74" s="545"/>
      <c r="H74" s="524"/>
      <c r="I74" s="526">
        <f t="shared" si="53"/>
        <v>0</v>
      </c>
      <c r="J74" s="524"/>
      <c r="K74" s="524"/>
      <c r="L74" s="526">
        <f t="shared" si="54"/>
        <v>0</v>
      </c>
      <c r="M74" s="545">
        <f>'DAFTAR UPAH MEI 2025'!X107</f>
        <v>144150</v>
      </c>
      <c r="N74" s="524">
        <v>139500</v>
      </c>
      <c r="O74" s="526">
        <f t="shared" si="55"/>
        <v>4650</v>
      </c>
      <c r="P74" s="545"/>
      <c r="Q74" s="524"/>
      <c r="R74" s="526">
        <f t="shared" si="56"/>
        <v>0</v>
      </c>
      <c r="S74" s="545"/>
      <c r="T74" s="524"/>
      <c r="U74" s="526">
        <f t="shared" si="57"/>
        <v>0</v>
      </c>
      <c r="V74" s="545"/>
      <c r="W74" s="524"/>
      <c r="X74" s="526">
        <f t="shared" si="58"/>
        <v>0</v>
      </c>
      <c r="Y74" s="524"/>
      <c r="Z74" s="524"/>
      <c r="AA74" s="526">
        <f t="shared" si="59"/>
        <v>0</v>
      </c>
      <c r="AB74" s="524"/>
      <c r="AC74" s="524"/>
      <c r="AD74" s="527">
        <f t="shared" si="60"/>
        <v>0</v>
      </c>
      <c r="AE74" s="528">
        <f t="shared" si="61"/>
        <v>4650</v>
      </c>
      <c r="AF74" s="529">
        <f t="shared" si="62"/>
        <v>0</v>
      </c>
      <c r="AG74" s="529">
        <f t="shared" si="63"/>
        <v>0</v>
      </c>
    </row>
    <row r="75" spans="1:33">
      <c r="A75" s="523">
        <v>62</v>
      </c>
      <c r="B75" s="543" t="str">
        <f>'DAFTAR UPAH MEI 2025'!C108</f>
        <v>H0502</v>
      </c>
      <c r="C75" s="572" t="str">
        <f>'DAFTAR UPAH MEI 2025'!D108</f>
        <v>AHYAR RASIDI</v>
      </c>
      <c r="D75" s="546">
        <f>'DAFTAR UPAH MEI 2025'!BC108</f>
        <v>5023466</v>
      </c>
      <c r="E75" s="546">
        <v>5023466</v>
      </c>
      <c r="F75" s="533">
        <f t="shared" ref="F75" si="64">D75-E75</f>
        <v>0</v>
      </c>
      <c r="G75" s="545"/>
      <c r="H75" s="524"/>
      <c r="I75" s="526">
        <f t="shared" ref="I75" si="65">G75-H75</f>
        <v>0</v>
      </c>
      <c r="J75" s="524"/>
      <c r="K75" s="524"/>
      <c r="L75" s="526">
        <f t="shared" ref="L75" si="66">J75-K75</f>
        <v>0</v>
      </c>
      <c r="M75" s="545"/>
      <c r="N75" s="524"/>
      <c r="O75" s="526">
        <f t="shared" ref="O75" si="67">M75-N75</f>
        <v>0</v>
      </c>
      <c r="P75" s="545"/>
      <c r="Q75" s="524"/>
      <c r="R75" s="526">
        <f t="shared" ref="R75" si="68">P75-Q75</f>
        <v>0</v>
      </c>
      <c r="S75" s="545"/>
      <c r="T75" s="524"/>
      <c r="U75" s="526">
        <f t="shared" ref="U75" si="69">S75-T75</f>
        <v>0</v>
      </c>
      <c r="V75" s="545"/>
      <c r="W75" s="524"/>
      <c r="X75" s="526">
        <f t="shared" ref="X75" si="70">V75-W75</f>
        <v>0</v>
      </c>
      <c r="Y75" s="524"/>
      <c r="Z75" s="524"/>
      <c r="AA75" s="526">
        <f t="shared" ref="AA75" si="71">Y75-Z75</f>
        <v>0</v>
      </c>
      <c r="AB75" s="524"/>
      <c r="AC75" s="524"/>
      <c r="AD75" s="527">
        <f t="shared" ref="AD75" si="72">-(AB75-AC75)</f>
        <v>0</v>
      </c>
      <c r="AE75" s="528">
        <f t="shared" ref="AE75" si="73">I75+L75+O75+U75+AA75+AD75</f>
        <v>0</v>
      </c>
      <c r="AF75" s="529">
        <f t="shared" ref="AF75" si="74">F75-AE75</f>
        <v>0</v>
      </c>
      <c r="AG75" s="529">
        <f t="shared" ref="AG75" si="75">F75-AE75</f>
        <v>0</v>
      </c>
    </row>
    <row r="76" spans="1:33" ht="15.75" thickBot="1">
      <c r="A76" s="523">
        <v>63</v>
      </c>
      <c r="B76" s="543" t="str">
        <f>'DAFTAR UPAH MEI 2025'!C109</f>
        <v>H0501</v>
      </c>
      <c r="C76" s="572" t="str">
        <f>'DAFTAR UPAH MEI 2025'!D109</f>
        <v>PAUZIWADI</v>
      </c>
      <c r="D76" s="546">
        <f>'DAFTAR UPAH MEI 2025'!BC109</f>
        <v>4822151</v>
      </c>
      <c r="E76" s="546">
        <v>4822151</v>
      </c>
      <c r="F76" s="533">
        <f t="shared" ref="F76" si="76">D76-E76</f>
        <v>0</v>
      </c>
      <c r="G76" s="545"/>
      <c r="H76" s="524"/>
      <c r="I76" s="526">
        <f t="shared" ref="I76" si="77">G76-H76</f>
        <v>0</v>
      </c>
      <c r="J76" s="524"/>
      <c r="K76" s="524"/>
      <c r="L76" s="526">
        <f t="shared" ref="L76" si="78">J76-K76</f>
        <v>0</v>
      </c>
      <c r="M76" s="545"/>
      <c r="N76" s="524"/>
      <c r="O76" s="526">
        <f t="shared" ref="O76" si="79">M76-N76</f>
        <v>0</v>
      </c>
      <c r="P76" s="545"/>
      <c r="Q76" s="524"/>
      <c r="R76" s="526">
        <f t="shared" ref="R76" si="80">P76-Q76</f>
        <v>0</v>
      </c>
      <c r="S76" s="545"/>
      <c r="T76" s="524"/>
      <c r="U76" s="526">
        <f t="shared" ref="U76" si="81">S76-T76</f>
        <v>0</v>
      </c>
      <c r="V76" s="545"/>
      <c r="W76" s="524"/>
      <c r="X76" s="526">
        <f t="shared" ref="X76" si="82">V76-W76</f>
        <v>0</v>
      </c>
      <c r="Y76" s="524"/>
      <c r="Z76" s="524"/>
      <c r="AA76" s="526">
        <f t="shared" ref="AA76" si="83">Y76-Z76</f>
        <v>0</v>
      </c>
      <c r="AB76" s="524"/>
      <c r="AC76" s="524"/>
      <c r="AD76" s="527">
        <f t="shared" ref="AD76" si="84">-(AB76-AC76)</f>
        <v>0</v>
      </c>
      <c r="AE76" s="528">
        <f t="shared" ref="AE76" si="85">I76+L76+O76+U76+AA76+AD76</f>
        <v>0</v>
      </c>
      <c r="AF76" s="529">
        <f t="shared" ref="AF76" si="86">F76-AE76</f>
        <v>0</v>
      </c>
      <c r="AG76" s="529">
        <f t="shared" ref="AG76" si="87">F76-AE76</f>
        <v>0</v>
      </c>
    </row>
    <row r="77" spans="1:33" ht="15.75" thickBot="1">
      <c r="A77" s="2316" t="s">
        <v>38</v>
      </c>
      <c r="B77" s="2317"/>
      <c r="C77" s="2318"/>
      <c r="D77" s="531">
        <f t="shared" ref="D77:AE77" si="88">SUM(D55:D71)</f>
        <v>90946555.760000005</v>
      </c>
      <c r="E77" s="531">
        <f t="shared" si="88"/>
        <v>90913102</v>
      </c>
      <c r="F77" s="531">
        <f t="shared" si="88"/>
        <v>33453.760000000708</v>
      </c>
      <c r="G77" s="531">
        <f t="shared" si="88"/>
        <v>0</v>
      </c>
      <c r="H77" s="531">
        <f t="shared" si="88"/>
        <v>0</v>
      </c>
      <c r="I77" s="531">
        <f t="shared" si="88"/>
        <v>0</v>
      </c>
      <c r="J77" s="531">
        <f t="shared" si="88"/>
        <v>0</v>
      </c>
      <c r="K77" s="531">
        <f t="shared" si="88"/>
        <v>0</v>
      </c>
      <c r="L77" s="531">
        <f t="shared" si="88"/>
        <v>0</v>
      </c>
      <c r="M77" s="531">
        <f t="shared" si="88"/>
        <v>213900</v>
      </c>
      <c r="N77" s="531">
        <f t="shared" si="88"/>
        <v>182200</v>
      </c>
      <c r="O77" s="531">
        <f t="shared" si="88"/>
        <v>31700</v>
      </c>
      <c r="P77" s="531">
        <f t="shared" si="88"/>
        <v>0</v>
      </c>
      <c r="Q77" s="531">
        <f t="shared" si="88"/>
        <v>0</v>
      </c>
      <c r="R77" s="531">
        <f t="shared" si="88"/>
        <v>0</v>
      </c>
      <c r="S77" s="531">
        <f t="shared" si="88"/>
        <v>477750</v>
      </c>
      <c r="T77" s="531">
        <f t="shared" si="88"/>
        <v>476000</v>
      </c>
      <c r="U77" s="531">
        <f t="shared" si="88"/>
        <v>1750</v>
      </c>
      <c r="V77" s="531">
        <f t="shared" si="88"/>
        <v>0</v>
      </c>
      <c r="W77" s="531">
        <f t="shared" si="88"/>
        <v>0</v>
      </c>
      <c r="X77" s="531">
        <f t="shared" si="88"/>
        <v>0</v>
      </c>
      <c r="Y77" s="531">
        <f t="shared" si="88"/>
        <v>0</v>
      </c>
      <c r="Z77" s="531">
        <f t="shared" si="88"/>
        <v>0</v>
      </c>
      <c r="AA77" s="531">
        <f t="shared" si="88"/>
        <v>0</v>
      </c>
      <c r="AB77" s="531">
        <f t="shared" si="88"/>
        <v>0</v>
      </c>
      <c r="AC77" s="531">
        <f t="shared" si="88"/>
        <v>0</v>
      </c>
      <c r="AD77" s="531">
        <f t="shared" si="88"/>
        <v>0</v>
      </c>
      <c r="AE77" s="531">
        <f t="shared" si="88"/>
        <v>33450</v>
      </c>
      <c r="AF77" s="529">
        <f t="shared" si="25"/>
        <v>3.7600000007078052</v>
      </c>
      <c r="AG77" s="529">
        <f t="shared" si="26"/>
        <v>3.7600000007078052</v>
      </c>
    </row>
    <row r="78" spans="1:33" ht="15.75" thickBot="1">
      <c r="A78" s="2306" t="s">
        <v>602</v>
      </c>
      <c r="B78" s="2307"/>
      <c r="C78" s="2307"/>
      <c r="D78" s="2307"/>
      <c r="E78" s="2307"/>
      <c r="F78" s="551"/>
      <c r="G78" s="552"/>
      <c r="H78" s="552"/>
      <c r="I78" s="553"/>
      <c r="J78" s="552"/>
      <c r="K78" s="552"/>
      <c r="L78" s="553"/>
      <c r="M78" s="552"/>
      <c r="N78" s="552"/>
      <c r="O78" s="553"/>
      <c r="P78" s="552"/>
      <c r="Q78" s="552"/>
      <c r="R78" s="553"/>
      <c r="S78" s="552"/>
      <c r="T78" s="552"/>
      <c r="U78" s="553"/>
      <c r="V78" s="552"/>
      <c r="W78" s="552"/>
      <c r="X78" s="553"/>
      <c r="Y78" s="552"/>
      <c r="Z78" s="552"/>
      <c r="AA78" s="552"/>
      <c r="AB78" s="552"/>
      <c r="AC78" s="552"/>
      <c r="AD78" s="553"/>
      <c r="AE78" s="554"/>
      <c r="AF78" s="529">
        <f t="shared" si="25"/>
        <v>0</v>
      </c>
      <c r="AG78" s="529">
        <f t="shared" si="26"/>
        <v>0</v>
      </c>
    </row>
    <row r="79" spans="1:33">
      <c r="A79" s="523">
        <v>64</v>
      </c>
      <c r="B79" s="524" t="str">
        <f>'DAFTAR UPAH MEI 2025'!C130</f>
        <v>H0510</v>
      </c>
      <c r="C79" s="755" t="str">
        <f>'DAFTAR UPAH MEI 2025'!D130</f>
        <v>AGUS SATRIAWAN</v>
      </c>
      <c r="D79" s="524">
        <f>'DAFTAR UPAH MEI 2025'!BC130</f>
        <v>4459120</v>
      </c>
      <c r="E79" s="525">
        <v>4459120</v>
      </c>
      <c r="F79" s="533">
        <f t="shared" ref="F79:F80" si="89">D79-E79</f>
        <v>0</v>
      </c>
      <c r="G79" s="524"/>
      <c r="H79" s="524"/>
      <c r="I79" s="526">
        <f t="shared" ref="I79:I80" si="90">G79-H79</f>
        <v>0</v>
      </c>
      <c r="J79" s="524"/>
      <c r="K79" s="524"/>
      <c r="L79" s="526">
        <f t="shared" ref="L79:L80" si="91">J79-K79</f>
        <v>0</v>
      </c>
      <c r="M79" s="524"/>
      <c r="N79" s="524"/>
      <c r="O79" s="526">
        <f t="shared" ref="O79:O80" si="92">M79-N79</f>
        <v>0</v>
      </c>
      <c r="P79" s="524"/>
      <c r="Q79" s="524"/>
      <c r="R79" s="526">
        <f t="shared" ref="R79:R83" si="93">P79-Q79</f>
        <v>0</v>
      </c>
      <c r="S79" s="524"/>
      <c r="T79" s="524"/>
      <c r="U79" s="526">
        <f t="shared" ref="U79:U80" si="94">S79-T79</f>
        <v>0</v>
      </c>
      <c r="V79" s="524"/>
      <c r="W79" s="524"/>
      <c r="X79" s="526">
        <f t="shared" ref="X79:X83" si="95">V79-W79</f>
        <v>0</v>
      </c>
      <c r="Y79" s="524"/>
      <c r="Z79" s="524"/>
      <c r="AA79" s="526">
        <f t="shared" ref="AA79:AA80" si="96">Y79-Z79</f>
        <v>0</v>
      </c>
      <c r="AB79" s="524"/>
      <c r="AC79" s="524"/>
      <c r="AD79" s="527">
        <f t="shared" ref="AD79:AD80" si="97">-(AB79-AC79)</f>
        <v>0</v>
      </c>
      <c r="AE79" s="528">
        <f t="shared" ref="AE79:AE80" si="98">I79+L79+O79+U79+AA79+AD79</f>
        <v>0</v>
      </c>
      <c r="AF79" s="529">
        <f t="shared" ref="AF79:AF80" si="99">F79-AE79</f>
        <v>0</v>
      </c>
      <c r="AG79" s="529">
        <f t="shared" ref="AG79:AG80" si="100">F79-AE79</f>
        <v>0</v>
      </c>
    </row>
    <row r="80" spans="1:33">
      <c r="A80" s="523">
        <v>65</v>
      </c>
      <c r="B80" s="524" t="str">
        <f>'DAFTAR UPAH MEI 2025'!C131</f>
        <v>H0512</v>
      </c>
      <c r="C80" s="755" t="str">
        <f>'DAFTAR UPAH MEI 2025'!D131</f>
        <v>ZAINUL</v>
      </c>
      <c r="D80" s="524">
        <f>'DAFTAR UPAH MEI 2025'!BC131</f>
        <v>4489099</v>
      </c>
      <c r="E80" s="525">
        <v>4489099</v>
      </c>
      <c r="F80" s="547">
        <f t="shared" si="89"/>
        <v>0</v>
      </c>
      <c r="G80" s="524"/>
      <c r="H80" s="524"/>
      <c r="I80" s="526">
        <f t="shared" si="90"/>
        <v>0</v>
      </c>
      <c r="J80" s="524"/>
      <c r="K80" s="524"/>
      <c r="L80" s="526">
        <f t="shared" si="91"/>
        <v>0</v>
      </c>
      <c r="M80" s="524"/>
      <c r="N80" s="524"/>
      <c r="O80" s="526">
        <f t="shared" si="92"/>
        <v>0</v>
      </c>
      <c r="P80" s="524"/>
      <c r="Q80" s="524"/>
      <c r="R80" s="526">
        <f t="shared" si="93"/>
        <v>0</v>
      </c>
      <c r="S80" s="524"/>
      <c r="T80" s="524"/>
      <c r="U80" s="526">
        <f t="shared" si="94"/>
        <v>0</v>
      </c>
      <c r="V80" s="524"/>
      <c r="W80" s="524"/>
      <c r="X80" s="526">
        <f t="shared" si="95"/>
        <v>0</v>
      </c>
      <c r="Y80" s="524"/>
      <c r="Z80" s="524"/>
      <c r="AA80" s="526">
        <f t="shared" si="96"/>
        <v>0</v>
      </c>
      <c r="AB80" s="524"/>
      <c r="AC80" s="524"/>
      <c r="AD80" s="527">
        <f t="shared" si="97"/>
        <v>0</v>
      </c>
      <c r="AE80" s="528">
        <f t="shared" si="98"/>
        <v>0</v>
      </c>
      <c r="AF80" s="529">
        <f t="shared" si="99"/>
        <v>0</v>
      </c>
      <c r="AG80" s="529">
        <f t="shared" si="100"/>
        <v>0</v>
      </c>
    </row>
    <row r="81" spans="1:73">
      <c r="A81" s="523">
        <v>66</v>
      </c>
      <c r="B81" s="524" t="str">
        <f>'DAFTAR UPAH MEI 2025'!C132</f>
        <v>H0511</v>
      </c>
      <c r="C81" s="755" t="str">
        <f>'DAFTAR UPAH MEI 2025'!D132</f>
        <v>M. EZAN FAHRI</v>
      </c>
      <c r="D81" s="524">
        <f>'DAFTAR UPAH MEI 2025'!BC132</f>
        <v>4638769</v>
      </c>
      <c r="E81" s="525">
        <v>4638769</v>
      </c>
      <c r="F81" s="547">
        <f t="shared" ref="F81:F83" si="101">D81-E81</f>
        <v>0</v>
      </c>
      <c r="G81" s="524"/>
      <c r="H81" s="524"/>
      <c r="I81" s="526">
        <f t="shared" ref="I81:I83" si="102">G81-H81</f>
        <v>0</v>
      </c>
      <c r="J81" s="524"/>
      <c r="K81" s="524"/>
      <c r="L81" s="526">
        <f t="shared" ref="L81:L83" si="103">J81-K81</f>
        <v>0</v>
      </c>
      <c r="M81" s="524"/>
      <c r="N81" s="524"/>
      <c r="O81" s="526">
        <f t="shared" ref="O81:O83" si="104">M81-N81</f>
        <v>0</v>
      </c>
      <c r="P81" s="524"/>
      <c r="Q81" s="524"/>
      <c r="R81" s="526">
        <f t="shared" si="93"/>
        <v>0</v>
      </c>
      <c r="S81" s="524"/>
      <c r="T81" s="524"/>
      <c r="U81" s="526">
        <f t="shared" ref="U81:U83" si="105">S81-T81</f>
        <v>0</v>
      </c>
      <c r="V81" s="524"/>
      <c r="W81" s="524"/>
      <c r="X81" s="526">
        <f t="shared" si="95"/>
        <v>0</v>
      </c>
      <c r="Y81" s="524"/>
      <c r="Z81" s="524"/>
      <c r="AA81" s="526">
        <f t="shared" ref="AA81:AA83" si="106">Y81-Z81</f>
        <v>0</v>
      </c>
      <c r="AB81" s="524"/>
      <c r="AC81" s="524"/>
      <c r="AD81" s="527">
        <f t="shared" ref="AD81:AD83" si="107">-(AB81-AC81)</f>
        <v>0</v>
      </c>
      <c r="AE81" s="528">
        <f t="shared" ref="AE81:AE83" si="108">I81+L81+O81+U81+AA81+AD81</f>
        <v>0</v>
      </c>
      <c r="AF81" s="529">
        <f t="shared" ref="AF81:AF83" si="109">F81-AE81</f>
        <v>0</v>
      </c>
      <c r="AG81" s="529">
        <f t="shared" ref="AG81:AG83" si="110">F81-AE81</f>
        <v>0</v>
      </c>
    </row>
    <row r="82" spans="1:73">
      <c r="A82" s="523">
        <v>67</v>
      </c>
      <c r="B82" s="524" t="str">
        <f>'DAFTAR UPAH MEI 2025'!C133</f>
        <v>H0513</v>
      </c>
      <c r="C82" s="755" t="str">
        <f>'DAFTAR UPAH MEI 2025'!D133</f>
        <v>TAHARUDIN</v>
      </c>
      <c r="D82" s="524">
        <f>'DAFTAR UPAH MEI 2025'!BC133</f>
        <v>4624874</v>
      </c>
      <c r="E82" s="525">
        <v>4624874</v>
      </c>
      <c r="F82" s="547">
        <f t="shared" si="101"/>
        <v>0</v>
      </c>
      <c r="G82" s="524"/>
      <c r="H82" s="524"/>
      <c r="I82" s="526">
        <f t="shared" si="102"/>
        <v>0</v>
      </c>
      <c r="J82" s="524"/>
      <c r="K82" s="524"/>
      <c r="L82" s="526">
        <f t="shared" si="103"/>
        <v>0</v>
      </c>
      <c r="M82" s="524"/>
      <c r="N82" s="524"/>
      <c r="O82" s="526">
        <f t="shared" si="104"/>
        <v>0</v>
      </c>
      <c r="P82" s="524"/>
      <c r="Q82" s="524"/>
      <c r="R82" s="526">
        <f t="shared" si="93"/>
        <v>0</v>
      </c>
      <c r="S82" s="524"/>
      <c r="T82" s="524"/>
      <c r="U82" s="526">
        <f t="shared" si="105"/>
        <v>0</v>
      </c>
      <c r="V82" s="524"/>
      <c r="W82" s="524"/>
      <c r="X82" s="526">
        <f t="shared" si="95"/>
        <v>0</v>
      </c>
      <c r="Y82" s="524"/>
      <c r="Z82" s="524"/>
      <c r="AA82" s="526">
        <f t="shared" si="106"/>
        <v>0</v>
      </c>
      <c r="AB82" s="524"/>
      <c r="AC82" s="524"/>
      <c r="AD82" s="527">
        <f t="shared" si="107"/>
        <v>0</v>
      </c>
      <c r="AE82" s="528">
        <f t="shared" si="108"/>
        <v>0</v>
      </c>
      <c r="AF82" s="529">
        <f t="shared" si="109"/>
        <v>0</v>
      </c>
      <c r="AG82" s="529">
        <f t="shared" si="110"/>
        <v>0</v>
      </c>
    </row>
    <row r="83" spans="1:73">
      <c r="A83" s="523">
        <v>68</v>
      </c>
      <c r="B83" s="524" t="str">
        <f>'DAFTAR UPAH MEI 2025'!C134</f>
        <v>H0514</v>
      </c>
      <c r="C83" s="755" t="str">
        <f>'DAFTAR UPAH MEI 2025'!D134</f>
        <v>ANDREAN AGUSTIN HADI</v>
      </c>
      <c r="D83" s="524">
        <f>'DAFTAR UPAH MEI 2025'!BC134</f>
        <v>4416126</v>
      </c>
      <c r="E83" s="1152">
        <v>4416126</v>
      </c>
      <c r="F83" s="547">
        <f t="shared" si="101"/>
        <v>0</v>
      </c>
      <c r="G83" s="524"/>
      <c r="H83" s="524"/>
      <c r="I83" s="526">
        <f t="shared" si="102"/>
        <v>0</v>
      </c>
      <c r="J83" s="524"/>
      <c r="K83" s="524"/>
      <c r="L83" s="526">
        <f t="shared" si="103"/>
        <v>0</v>
      </c>
      <c r="M83" s="524"/>
      <c r="N83" s="524"/>
      <c r="O83" s="526">
        <f t="shared" si="104"/>
        <v>0</v>
      </c>
      <c r="P83" s="524"/>
      <c r="Q83" s="524"/>
      <c r="R83" s="526">
        <f t="shared" si="93"/>
        <v>0</v>
      </c>
      <c r="S83" s="524"/>
      <c r="T83" s="524"/>
      <c r="U83" s="526">
        <f t="shared" si="105"/>
        <v>0</v>
      </c>
      <c r="V83" s="524"/>
      <c r="W83" s="524"/>
      <c r="X83" s="526">
        <f t="shared" si="95"/>
        <v>0</v>
      </c>
      <c r="Y83" s="545"/>
      <c r="Z83" s="524"/>
      <c r="AA83" s="526">
        <f t="shared" si="106"/>
        <v>0</v>
      </c>
      <c r="AB83" s="524"/>
      <c r="AC83" s="524"/>
      <c r="AD83" s="527">
        <f t="shared" si="107"/>
        <v>0</v>
      </c>
      <c r="AE83" s="528">
        <f t="shared" si="108"/>
        <v>0</v>
      </c>
      <c r="AF83" s="529">
        <f t="shared" si="109"/>
        <v>0</v>
      </c>
      <c r="AG83" s="529">
        <f t="shared" si="110"/>
        <v>0</v>
      </c>
    </row>
    <row r="84" spans="1:73">
      <c r="A84" s="523">
        <v>69</v>
      </c>
      <c r="B84" s="524" t="str">
        <f>'DAFTAR UPAH MEI 2025'!C135</f>
        <v>H0515</v>
      </c>
      <c r="C84" s="755" t="str">
        <f>'DAFTAR UPAH MEI 2025'!D135</f>
        <v>HAMDI</v>
      </c>
      <c r="D84" s="524">
        <f>'DAFTAR UPAH MEI 2025'!BC135</f>
        <v>4395429</v>
      </c>
      <c r="E84" s="1152">
        <v>4395429</v>
      </c>
      <c r="F84" s="547">
        <f t="shared" ref="F84:F86" si="111">D84-E84</f>
        <v>0</v>
      </c>
      <c r="G84" s="524"/>
      <c r="H84" s="524"/>
      <c r="I84" s="526">
        <f t="shared" ref="I84:I86" si="112">G84-H84</f>
        <v>0</v>
      </c>
      <c r="J84" s="524"/>
      <c r="K84" s="524"/>
      <c r="L84" s="526">
        <f t="shared" ref="L84:L86" si="113">J84-K84</f>
        <v>0</v>
      </c>
      <c r="M84" s="524"/>
      <c r="N84" s="524"/>
      <c r="O84" s="526">
        <f t="shared" ref="O84:O86" si="114">M84-N84</f>
        <v>0</v>
      </c>
      <c r="P84" s="524"/>
      <c r="Q84" s="524"/>
      <c r="R84" s="526">
        <f t="shared" ref="R84:R86" si="115">P84-Q84</f>
        <v>0</v>
      </c>
      <c r="S84" s="524"/>
      <c r="T84" s="524"/>
      <c r="U84" s="526">
        <f t="shared" ref="U84:U86" si="116">S84-T84</f>
        <v>0</v>
      </c>
      <c r="V84" s="524"/>
      <c r="W84" s="524"/>
      <c r="X84" s="526">
        <f t="shared" ref="X84:X86" si="117">V84-W84</f>
        <v>0</v>
      </c>
      <c r="Y84" s="545"/>
      <c r="Z84" s="524"/>
      <c r="AA84" s="526">
        <f t="shared" ref="AA84:AA86" si="118">Y84-Z84</f>
        <v>0</v>
      </c>
      <c r="AB84" s="524"/>
      <c r="AC84" s="524"/>
      <c r="AD84" s="527">
        <f t="shared" ref="AD84:AD86" si="119">-(AB84-AC84)</f>
        <v>0</v>
      </c>
      <c r="AE84" s="528">
        <f t="shared" ref="AE84:AE86" si="120">I84+L84+O84+U84+AA84+AD84</f>
        <v>0</v>
      </c>
      <c r="AF84" s="529">
        <f t="shared" ref="AF84:AF86" si="121">F84-AE84</f>
        <v>0</v>
      </c>
      <c r="AG84" s="529">
        <f t="shared" ref="AG84:AG86" si="122">F84-AE84</f>
        <v>0</v>
      </c>
    </row>
    <row r="85" spans="1:73">
      <c r="A85" s="523">
        <v>70</v>
      </c>
      <c r="B85" s="524" t="str">
        <f>'DAFTAR UPAH MEI 2025'!C136</f>
        <v>H0516</v>
      </c>
      <c r="C85" s="755" t="str">
        <f>'DAFTAR UPAH MEI 2025'!D136</f>
        <v>SOPIAN HADI</v>
      </c>
      <c r="D85" s="524">
        <f>'DAFTAR UPAH MEI 2025'!BC136</f>
        <v>1899225</v>
      </c>
      <c r="E85" s="1152">
        <v>2028445</v>
      </c>
      <c r="F85" s="547">
        <f t="shared" si="111"/>
        <v>-129220</v>
      </c>
      <c r="G85" s="524">
        <f>'DAFTAR UPAH MEI 2025'!BK136</f>
        <v>2455180</v>
      </c>
      <c r="H85" s="524">
        <v>2325960</v>
      </c>
      <c r="I85" s="526">
        <f t="shared" si="112"/>
        <v>129220</v>
      </c>
      <c r="J85" s="524"/>
      <c r="K85" s="524"/>
      <c r="L85" s="526">
        <f t="shared" si="113"/>
        <v>0</v>
      </c>
      <c r="M85" s="524"/>
      <c r="N85" s="524"/>
      <c r="O85" s="526">
        <f t="shared" si="114"/>
        <v>0</v>
      </c>
      <c r="P85" s="524"/>
      <c r="Q85" s="524"/>
      <c r="R85" s="526">
        <f t="shared" si="115"/>
        <v>0</v>
      </c>
      <c r="S85" s="524"/>
      <c r="T85" s="524"/>
      <c r="U85" s="526">
        <f t="shared" si="116"/>
        <v>0</v>
      </c>
      <c r="V85" s="524"/>
      <c r="W85" s="524"/>
      <c r="X85" s="526">
        <f t="shared" si="117"/>
        <v>0</v>
      </c>
      <c r="Y85" s="545"/>
      <c r="Z85" s="524"/>
      <c r="AA85" s="526">
        <f t="shared" si="118"/>
        <v>0</v>
      </c>
      <c r="AB85" s="524"/>
      <c r="AC85" s="524"/>
      <c r="AD85" s="527">
        <f t="shared" si="119"/>
        <v>0</v>
      </c>
      <c r="AE85" s="528">
        <f t="shared" si="120"/>
        <v>129220</v>
      </c>
      <c r="AF85" s="529">
        <f t="shared" si="121"/>
        <v>-258440</v>
      </c>
      <c r="AG85" s="529">
        <f t="shared" si="122"/>
        <v>-258440</v>
      </c>
    </row>
    <row r="86" spans="1:73" ht="15.75" thickBot="1">
      <c r="A86" s="523">
        <v>71</v>
      </c>
      <c r="B86" s="524" t="str">
        <f>'DAFTAR UPAH MEI 2025'!C137</f>
        <v>H0517</v>
      </c>
      <c r="C86" s="755" t="str">
        <f>'DAFTAR UPAH MEI 2025'!D137</f>
        <v>MASRON</v>
      </c>
      <c r="D86" s="524">
        <f>'DAFTAR UPAH MEI 2025'!BC137</f>
        <v>1294902</v>
      </c>
      <c r="E86" s="1152">
        <v>1256136</v>
      </c>
      <c r="F86" s="547">
        <f t="shared" si="111"/>
        <v>38766</v>
      </c>
      <c r="G86" s="524"/>
      <c r="H86" s="524"/>
      <c r="I86" s="526">
        <f t="shared" si="112"/>
        <v>0</v>
      </c>
      <c r="J86" s="524"/>
      <c r="K86" s="524"/>
      <c r="L86" s="526">
        <f t="shared" si="113"/>
        <v>0</v>
      </c>
      <c r="M86" s="524"/>
      <c r="N86" s="524"/>
      <c r="O86" s="526">
        <f t="shared" si="114"/>
        <v>0</v>
      </c>
      <c r="P86" s="524"/>
      <c r="Q86" s="524"/>
      <c r="R86" s="526">
        <f t="shared" si="115"/>
        <v>0</v>
      </c>
      <c r="S86" s="524"/>
      <c r="T86" s="524"/>
      <c r="U86" s="526">
        <f t="shared" si="116"/>
        <v>0</v>
      </c>
      <c r="V86" s="524"/>
      <c r="W86" s="524"/>
      <c r="X86" s="526">
        <f t="shared" si="117"/>
        <v>0</v>
      </c>
      <c r="Y86" s="545">
        <f>'DAFTAR UPAH MEI 2025'!AF137</f>
        <v>0</v>
      </c>
      <c r="Z86" s="524"/>
      <c r="AA86" s="526">
        <f t="shared" si="118"/>
        <v>0</v>
      </c>
      <c r="AB86" s="524"/>
      <c r="AC86" s="524"/>
      <c r="AD86" s="527">
        <f t="shared" si="119"/>
        <v>0</v>
      </c>
      <c r="AE86" s="528">
        <f t="shared" si="120"/>
        <v>0</v>
      </c>
      <c r="AF86" s="529">
        <f t="shared" si="121"/>
        <v>38766</v>
      </c>
      <c r="AG86" s="529">
        <f t="shared" si="122"/>
        <v>38766</v>
      </c>
    </row>
    <row r="87" spans="1:73" ht="15.75" thickBot="1">
      <c r="A87" s="2308" t="s">
        <v>38</v>
      </c>
      <c r="B87" s="2309"/>
      <c r="C87" s="2310"/>
      <c r="D87" s="570">
        <f>SUM(D79:D83)</f>
        <v>22627988</v>
      </c>
      <c r="E87" s="570">
        <f t="shared" ref="E87:AE87" si="123">SUM(E79:E80)</f>
        <v>8948219</v>
      </c>
      <c r="F87" s="570">
        <f t="shared" si="123"/>
        <v>0</v>
      </c>
      <c r="G87" s="570">
        <f t="shared" si="123"/>
        <v>0</v>
      </c>
      <c r="H87" s="570">
        <f t="shared" si="123"/>
        <v>0</v>
      </c>
      <c r="I87" s="570">
        <f t="shared" si="123"/>
        <v>0</v>
      </c>
      <c r="J87" s="570">
        <f t="shared" si="123"/>
        <v>0</v>
      </c>
      <c r="K87" s="570">
        <f t="shared" si="123"/>
        <v>0</v>
      </c>
      <c r="L87" s="570">
        <f t="shared" si="123"/>
        <v>0</v>
      </c>
      <c r="M87" s="570">
        <f t="shared" si="123"/>
        <v>0</v>
      </c>
      <c r="N87" s="570">
        <f t="shared" si="123"/>
        <v>0</v>
      </c>
      <c r="O87" s="570">
        <f t="shared" si="123"/>
        <v>0</v>
      </c>
      <c r="P87" s="570">
        <f t="shared" si="123"/>
        <v>0</v>
      </c>
      <c r="Q87" s="570">
        <f t="shared" si="123"/>
        <v>0</v>
      </c>
      <c r="R87" s="570">
        <f t="shared" si="123"/>
        <v>0</v>
      </c>
      <c r="S87" s="570">
        <f t="shared" si="123"/>
        <v>0</v>
      </c>
      <c r="T87" s="570">
        <f t="shared" si="123"/>
        <v>0</v>
      </c>
      <c r="U87" s="570">
        <f t="shared" si="123"/>
        <v>0</v>
      </c>
      <c r="V87" s="570">
        <f t="shared" si="123"/>
        <v>0</v>
      </c>
      <c r="W87" s="570">
        <f t="shared" si="123"/>
        <v>0</v>
      </c>
      <c r="X87" s="570">
        <f t="shared" si="123"/>
        <v>0</v>
      </c>
      <c r="Y87" s="569">
        <f t="shared" si="123"/>
        <v>0</v>
      </c>
      <c r="Z87" s="570">
        <f t="shared" si="123"/>
        <v>0</v>
      </c>
      <c r="AA87" s="570">
        <f t="shared" si="123"/>
        <v>0</v>
      </c>
      <c r="AB87" s="570">
        <f t="shared" si="123"/>
        <v>0</v>
      </c>
      <c r="AC87" s="570">
        <f t="shared" si="123"/>
        <v>0</v>
      </c>
      <c r="AD87" s="570">
        <f t="shared" si="123"/>
        <v>0</v>
      </c>
      <c r="AE87" s="570">
        <f t="shared" si="123"/>
        <v>0</v>
      </c>
      <c r="AF87" s="529">
        <f t="shared" si="25"/>
        <v>0</v>
      </c>
      <c r="AG87" s="529">
        <f t="shared" si="26"/>
        <v>0</v>
      </c>
    </row>
    <row r="88" spans="1:73" ht="15.75" thickBot="1">
      <c r="A88" s="2311" t="s">
        <v>50</v>
      </c>
      <c r="B88" s="2312"/>
      <c r="C88" s="2313"/>
      <c r="D88" s="569">
        <f t="shared" ref="D88:AE88" si="124">D43+D53+D77+D87</f>
        <v>308255665.29000002</v>
      </c>
      <c r="E88" s="569">
        <f t="shared" si="124"/>
        <v>294497597.5</v>
      </c>
      <c r="F88" s="569">
        <f t="shared" si="124"/>
        <v>-11391.270000000019</v>
      </c>
      <c r="G88" s="569">
        <f t="shared" si="124"/>
        <v>0</v>
      </c>
      <c r="H88" s="569">
        <f t="shared" si="124"/>
        <v>0</v>
      </c>
      <c r="I88" s="569">
        <f t="shared" si="124"/>
        <v>0</v>
      </c>
      <c r="J88" s="569">
        <f t="shared" si="124"/>
        <v>13198365.470000003</v>
      </c>
      <c r="K88" s="569">
        <f t="shared" si="124"/>
        <v>13153553</v>
      </c>
      <c r="L88" s="569">
        <f t="shared" si="124"/>
        <v>44812.470000000205</v>
      </c>
      <c r="M88" s="569">
        <f t="shared" si="124"/>
        <v>213900</v>
      </c>
      <c r="N88" s="569">
        <f t="shared" si="124"/>
        <v>182200</v>
      </c>
      <c r="O88" s="569">
        <f t="shared" si="124"/>
        <v>31700</v>
      </c>
      <c r="P88" s="569">
        <f t="shared" si="124"/>
        <v>0</v>
      </c>
      <c r="Q88" s="569">
        <f t="shared" si="124"/>
        <v>0</v>
      </c>
      <c r="R88" s="569">
        <f t="shared" si="124"/>
        <v>0</v>
      </c>
      <c r="S88" s="569">
        <f t="shared" si="124"/>
        <v>477750</v>
      </c>
      <c r="T88" s="569">
        <f t="shared" si="124"/>
        <v>476000</v>
      </c>
      <c r="U88" s="569">
        <f t="shared" si="124"/>
        <v>1750</v>
      </c>
      <c r="V88" s="569">
        <f t="shared" si="124"/>
        <v>0</v>
      </c>
      <c r="W88" s="569">
        <f t="shared" si="124"/>
        <v>0</v>
      </c>
      <c r="X88" s="569">
        <f t="shared" si="124"/>
        <v>0</v>
      </c>
      <c r="Y88" s="569">
        <f t="shared" si="124"/>
        <v>78197</v>
      </c>
      <c r="Z88" s="569">
        <f t="shared" si="124"/>
        <v>0</v>
      </c>
      <c r="AA88" s="569">
        <f t="shared" si="124"/>
        <v>78197</v>
      </c>
      <c r="AB88" s="569">
        <f t="shared" si="124"/>
        <v>0</v>
      </c>
      <c r="AC88" s="569">
        <f t="shared" si="124"/>
        <v>0</v>
      </c>
      <c r="AD88" s="569">
        <f t="shared" si="124"/>
        <v>0</v>
      </c>
      <c r="AE88" s="569">
        <f t="shared" si="124"/>
        <v>156459.4700000002</v>
      </c>
      <c r="AF88" s="529">
        <f t="shared" si="25"/>
        <v>-167850.74000000022</v>
      </c>
      <c r="AG88" s="529">
        <f t="shared" si="26"/>
        <v>-167850.74000000022</v>
      </c>
    </row>
    <row r="89" spans="1:73" s="680" customFormat="1" ht="12.75">
      <c r="C89" s="681"/>
      <c r="D89" s="680">
        <f>'DAFTAR UPAH MEI 2025'!BC153</f>
        <v>338162463.29000002</v>
      </c>
    </row>
    <row r="90" spans="1:73" s="680" customFormat="1" ht="12.75">
      <c r="C90" s="681"/>
      <c r="D90" s="680">
        <f>D88-D89</f>
        <v>-29906798</v>
      </c>
    </row>
    <row r="91" spans="1:73" s="674" customFormat="1" ht="20.25" customHeight="1">
      <c r="A91" s="682"/>
      <c r="B91" s="675"/>
      <c r="C91" s="683"/>
      <c r="D91" s="684"/>
      <c r="F91" s="685" t="s">
        <v>39</v>
      </c>
      <c r="G91" s="686"/>
      <c r="H91" s="675"/>
      <c r="I91" s="2305" t="s">
        <v>100</v>
      </c>
      <c r="J91" s="2305"/>
      <c r="K91" s="2305"/>
      <c r="S91" s="2305" t="s">
        <v>554</v>
      </c>
      <c r="T91" s="2305"/>
      <c r="V91" s="2305" t="s">
        <v>554</v>
      </c>
      <c r="W91" s="2305"/>
      <c r="AB91" s="2305" t="s">
        <v>61</v>
      </c>
      <c r="AC91" s="2305"/>
      <c r="AD91" s="2305"/>
      <c r="AL91" s="675" t="s">
        <v>40</v>
      </c>
      <c r="AM91" s="675"/>
      <c r="AN91" s="675"/>
      <c r="AO91" s="675"/>
      <c r="AP91" s="675"/>
      <c r="AQ91" s="682"/>
      <c r="AR91" s="687"/>
      <c r="BH91" s="675"/>
      <c r="BJ91" s="688"/>
      <c r="BK91" s="689"/>
      <c r="BM91" s="690"/>
      <c r="BN91" s="686"/>
      <c r="BO91" s="686"/>
      <c r="BP91" s="690"/>
      <c r="BQ91" s="691"/>
      <c r="BR91" s="691"/>
      <c r="BS91" s="692"/>
      <c r="BT91" s="693" t="e">
        <f t="shared" ref="BT91:BT96" si="125">T91+Z91+AB91</f>
        <v>#VALUE!</v>
      </c>
      <c r="BU91" s="694" t="e">
        <f t="shared" ref="BU91:BU96" si="126">AL91+AP91</f>
        <v>#VALUE!</v>
      </c>
    </row>
    <row r="92" spans="1:73" s="674" customFormat="1" ht="22.5" customHeight="1">
      <c r="B92" s="675"/>
      <c r="C92" s="683"/>
      <c r="D92" s="684"/>
      <c r="F92" s="685"/>
      <c r="G92" s="695"/>
      <c r="T92" s="675"/>
      <c r="U92" s="675"/>
      <c r="W92" s="675"/>
      <c r="X92" s="675"/>
      <c r="Y92" s="675"/>
      <c r="AB92" s="675"/>
      <c r="AL92" s="675"/>
      <c r="AM92" s="675"/>
      <c r="AN92" s="675"/>
      <c r="AP92" s="675"/>
      <c r="AQ92" s="682"/>
      <c r="AR92" s="691"/>
      <c r="AS92" s="687"/>
      <c r="BD92" s="675"/>
      <c r="BE92" s="675"/>
      <c r="BF92" s="675"/>
      <c r="BG92" s="675"/>
      <c r="BH92" s="675"/>
      <c r="BJ92" s="688"/>
      <c r="BK92" s="689"/>
      <c r="BM92" s="690"/>
      <c r="BN92" s="686"/>
      <c r="BO92" s="686"/>
      <c r="BP92" s="690"/>
      <c r="BQ92" s="691"/>
      <c r="BR92" s="691"/>
      <c r="BS92" s="692"/>
      <c r="BT92" s="693">
        <f t="shared" si="125"/>
        <v>0</v>
      </c>
      <c r="BU92" s="694">
        <f t="shared" si="126"/>
        <v>0</v>
      </c>
    </row>
    <row r="93" spans="1:73" s="678" customFormat="1" ht="22.5" customHeight="1">
      <c r="B93" s="679"/>
      <c r="C93" s="696"/>
      <c r="D93" s="697"/>
      <c r="F93" s="698"/>
      <c r="G93" s="699"/>
      <c r="I93" s="674"/>
      <c r="J93" s="676"/>
      <c r="K93" s="674"/>
      <c r="L93" s="674"/>
      <c r="M93" s="674"/>
      <c r="N93" s="674"/>
      <c r="P93" s="674"/>
      <c r="Q93" s="674"/>
      <c r="U93" s="674"/>
      <c r="X93" s="674"/>
      <c r="Y93" s="674"/>
      <c r="Z93" s="674"/>
      <c r="AK93" s="674"/>
      <c r="AL93" s="676"/>
      <c r="AM93" s="676"/>
      <c r="AN93" s="676"/>
      <c r="AO93" s="674"/>
      <c r="AP93" s="674"/>
      <c r="AQ93" s="682"/>
      <c r="AR93" s="687"/>
      <c r="AS93" s="674"/>
      <c r="AT93" s="674"/>
      <c r="BH93" s="700"/>
      <c r="BI93" s="701"/>
      <c r="BJ93" s="701"/>
      <c r="BK93" s="702"/>
      <c r="BM93" s="703"/>
      <c r="BN93" s="704"/>
      <c r="BO93" s="704"/>
      <c r="BP93" s="703"/>
      <c r="BQ93" s="705"/>
      <c r="BR93" s="705"/>
      <c r="BS93" s="706"/>
      <c r="BT93" s="693">
        <f t="shared" si="125"/>
        <v>0</v>
      </c>
      <c r="BU93" s="694">
        <f t="shared" si="126"/>
        <v>0</v>
      </c>
    </row>
    <row r="94" spans="1:73" s="678" customFormat="1" ht="22.5" customHeight="1">
      <c r="B94" s="679"/>
      <c r="C94" s="696"/>
      <c r="D94" s="697"/>
      <c r="F94" s="698"/>
      <c r="G94" s="703"/>
      <c r="I94" s="674"/>
      <c r="J94" s="674"/>
      <c r="K94" s="674"/>
      <c r="L94" s="674"/>
      <c r="M94" s="674"/>
      <c r="N94" s="674"/>
      <c r="P94" s="674"/>
      <c r="Q94" s="674"/>
      <c r="S94" s="694"/>
      <c r="U94" s="674"/>
      <c r="V94" s="694"/>
      <c r="X94" s="674"/>
      <c r="Y94" s="674"/>
      <c r="Z94" s="674"/>
      <c r="AB94" s="694"/>
      <c r="AK94" s="674"/>
      <c r="AL94" s="674"/>
      <c r="AM94" s="674"/>
      <c r="AN94" s="674"/>
      <c r="AO94" s="707"/>
      <c r="AP94" s="674"/>
      <c r="AQ94" s="708"/>
      <c r="AR94" s="687"/>
      <c r="AS94" s="674"/>
      <c r="AT94" s="674"/>
      <c r="BI94" s="701"/>
      <c r="BK94" s="679"/>
      <c r="BM94" s="703"/>
      <c r="BN94" s="704"/>
      <c r="BO94" s="704"/>
      <c r="BP94" s="703"/>
      <c r="BQ94" s="705"/>
      <c r="BR94" s="705"/>
      <c r="BS94" s="706"/>
      <c r="BT94" s="693">
        <f t="shared" si="125"/>
        <v>0</v>
      </c>
      <c r="BU94" s="694">
        <f t="shared" si="126"/>
        <v>0</v>
      </c>
    </row>
    <row r="95" spans="1:73" s="678" customFormat="1" ht="18.75" customHeight="1">
      <c r="B95" s="679"/>
      <c r="C95" s="709"/>
      <c r="D95" s="710"/>
      <c r="F95" s="677" t="s">
        <v>193</v>
      </c>
      <c r="G95" s="711"/>
      <c r="H95" s="677"/>
      <c r="I95" s="2314" t="s">
        <v>274</v>
      </c>
      <c r="J95" s="2314"/>
      <c r="K95" s="2314"/>
      <c r="L95" s="674"/>
      <c r="M95" s="674"/>
      <c r="N95" s="674"/>
      <c r="P95" s="674"/>
      <c r="Q95" s="674"/>
      <c r="S95" s="2315" t="s">
        <v>203</v>
      </c>
      <c r="T95" s="2315"/>
      <c r="U95" s="712"/>
      <c r="V95" s="2315" t="s">
        <v>203</v>
      </c>
      <c r="W95" s="2315"/>
      <c r="X95" s="712"/>
      <c r="Y95" s="712"/>
      <c r="Z95" s="674"/>
      <c r="AB95" s="2315" t="s">
        <v>586</v>
      </c>
      <c r="AC95" s="2315"/>
      <c r="AD95" s="2315"/>
      <c r="AK95" s="674"/>
      <c r="AL95" s="677" t="s">
        <v>203</v>
      </c>
      <c r="AM95" s="677"/>
      <c r="AN95" s="677"/>
      <c r="AO95" s="677"/>
      <c r="AP95" s="677"/>
      <c r="AQ95" s="713"/>
      <c r="AR95" s="674"/>
      <c r="AS95" s="674"/>
      <c r="AT95" s="714"/>
      <c r="BD95" s="714"/>
      <c r="BE95" s="714"/>
      <c r="BF95" s="714"/>
      <c r="BG95" s="712"/>
      <c r="BH95" s="715"/>
      <c r="BK95" s="679"/>
      <c r="BM95" s="703"/>
      <c r="BN95" s="704"/>
      <c r="BO95" s="704"/>
      <c r="BP95" s="703"/>
      <c r="BQ95" s="705"/>
      <c r="BR95" s="705"/>
      <c r="BS95" s="706"/>
      <c r="BT95" s="693" t="e">
        <f t="shared" si="125"/>
        <v>#VALUE!</v>
      </c>
      <c r="BU95" s="694" t="e">
        <f t="shared" si="126"/>
        <v>#VALUE!</v>
      </c>
    </row>
    <row r="96" spans="1:73" s="678" customFormat="1" ht="18.75" customHeight="1">
      <c r="B96" s="679"/>
      <c r="C96" s="716"/>
      <c r="D96" s="697"/>
      <c r="F96" s="717" t="s">
        <v>151</v>
      </c>
      <c r="G96" s="704"/>
      <c r="H96" s="679"/>
      <c r="I96" s="2304" t="s">
        <v>134</v>
      </c>
      <c r="J96" s="2304"/>
      <c r="K96" s="2304"/>
      <c r="L96" s="674"/>
      <c r="M96" s="674"/>
      <c r="N96" s="674"/>
      <c r="P96" s="674"/>
      <c r="Q96" s="674"/>
      <c r="S96" s="2304" t="s">
        <v>553</v>
      </c>
      <c r="T96" s="2304"/>
      <c r="V96" s="2304" t="s">
        <v>553</v>
      </c>
      <c r="W96" s="2304"/>
      <c r="AB96" s="2304" t="s">
        <v>585</v>
      </c>
      <c r="AC96" s="2304"/>
      <c r="AD96" s="2304"/>
      <c r="AL96" s="679" t="s">
        <v>135</v>
      </c>
      <c r="AM96" s="679"/>
      <c r="AN96" s="679"/>
      <c r="AO96" s="679"/>
      <c r="AP96" s="679"/>
      <c r="AQ96" s="718"/>
      <c r="BH96" s="679"/>
      <c r="BK96" s="679"/>
      <c r="BM96" s="703"/>
      <c r="BN96" s="704"/>
      <c r="BO96" s="704"/>
      <c r="BP96" s="703"/>
      <c r="BQ96" s="705"/>
      <c r="BR96" s="705"/>
      <c r="BS96" s="706"/>
      <c r="BT96" s="693" t="e">
        <f t="shared" si="125"/>
        <v>#VALUE!</v>
      </c>
      <c r="BU96" s="694" t="e">
        <f t="shared" si="126"/>
        <v>#VALUE!</v>
      </c>
    </row>
    <row r="97" spans="3:6" s="720" customFormat="1">
      <c r="C97" s="719"/>
      <c r="F97" s="721"/>
    </row>
    <row r="98" spans="3:6" s="720" customFormat="1">
      <c r="C98" s="719"/>
      <c r="F98" s="721"/>
    </row>
    <row r="99" spans="3:6" s="720" customFormat="1">
      <c r="C99" s="719"/>
      <c r="F99" s="721"/>
    </row>
  </sheetData>
  <mergeCells count="39">
    <mergeCell ref="Y7:AA7"/>
    <mergeCell ref="AB7:AD7"/>
    <mergeCell ref="A4:AE4"/>
    <mergeCell ref="A5:AE5"/>
    <mergeCell ref="A6:A8"/>
    <mergeCell ref="B6:B8"/>
    <mergeCell ref="C6:C8"/>
    <mergeCell ref="D6:D8"/>
    <mergeCell ref="E6:E8"/>
    <mergeCell ref="F6:F8"/>
    <mergeCell ref="G6:AD6"/>
    <mergeCell ref="AE6:AE8"/>
    <mergeCell ref="V7:X7"/>
    <mergeCell ref="A77:C77"/>
    <mergeCell ref="G7:I7"/>
    <mergeCell ref="J7:L7"/>
    <mergeCell ref="M7:O7"/>
    <mergeCell ref="S7:U7"/>
    <mergeCell ref="A44:E44"/>
    <mergeCell ref="A53:C53"/>
    <mergeCell ref="A9:E9"/>
    <mergeCell ref="A43:C43"/>
    <mergeCell ref="A54:E54"/>
    <mergeCell ref="P7:R7"/>
    <mergeCell ref="I96:K96"/>
    <mergeCell ref="S96:T96"/>
    <mergeCell ref="AB96:AD96"/>
    <mergeCell ref="I91:K91"/>
    <mergeCell ref="A78:E78"/>
    <mergeCell ref="A87:C87"/>
    <mergeCell ref="A88:C88"/>
    <mergeCell ref="S91:T91"/>
    <mergeCell ref="AB91:AD91"/>
    <mergeCell ref="I95:K95"/>
    <mergeCell ref="S95:T95"/>
    <mergeCell ref="AB95:AD95"/>
    <mergeCell ref="V91:W91"/>
    <mergeCell ref="V95:W95"/>
    <mergeCell ref="V96:W96"/>
  </mergeCells>
  <printOptions horizontalCentered="1"/>
  <pageMargins left="0" right="0" top="0.25" bottom="0" header="0.3" footer="0.3"/>
  <pageSetup paperSize="9" scale="57" orientation="landscape" horizontalDpi="0" verticalDpi="0" r:id="rId1"/>
  <colBreaks count="2" manualBreakCount="2">
    <brk id="31" max="1048575" man="1"/>
    <brk id="3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14</vt:i4>
      </vt:variant>
    </vt:vector>
  </HeadingPairs>
  <TitlesOfParts>
    <vt:vector size="27" baseType="lpstr">
      <vt:lpstr>MASA KERJA AB</vt:lpstr>
      <vt:lpstr>PENGAJUAN PRUNING MEI 2025</vt:lpstr>
      <vt:lpstr>INSETIF MEI'25</vt:lpstr>
      <vt:lpstr>MONITORING </vt:lpstr>
      <vt:lpstr>HK PANEN</vt:lpstr>
      <vt:lpstr>HK UP KEEP, OP </vt:lpstr>
      <vt:lpstr>ABSEN</vt:lpstr>
      <vt:lpstr>LEMBUR DAN PREMI UPKEEP</vt:lpstr>
      <vt:lpstr>PREMI ALAT</vt:lpstr>
      <vt:lpstr>SLIP GAJI</vt:lpstr>
      <vt:lpstr>DAFTAR UPAH MEI 2025</vt:lpstr>
      <vt:lpstr>BRI MEI 2025</vt:lpstr>
      <vt:lpstr>REKON GAJI MANUAL VS PLANTW  AB</vt:lpstr>
      <vt:lpstr>'BRI MEI 2025'!Print_Area</vt:lpstr>
      <vt:lpstr>'DAFTAR UPAH MEI 2025'!Print_Area</vt:lpstr>
      <vt:lpstr>'HK PANEN'!Print_Area</vt:lpstr>
      <vt:lpstr>'HK UP KEEP, OP '!Print_Area</vt:lpstr>
      <vt:lpstr>'INSETIF MEI''25'!Print_Area</vt:lpstr>
      <vt:lpstr>'LEMBUR DAN PREMI UPKEEP'!Print_Area</vt:lpstr>
      <vt:lpstr>'MONITORING '!Print_Area</vt:lpstr>
      <vt:lpstr>'PENGAJUAN PRUNING MEI 2025'!Print_Area</vt:lpstr>
      <vt:lpstr>'PREMI ALAT'!Print_Area</vt:lpstr>
      <vt:lpstr>'REKON GAJI MANUAL VS PLANTW  AB'!Print_Area</vt:lpstr>
      <vt:lpstr>'SLIP GAJI'!Print_Area</vt:lpstr>
      <vt:lpstr>'BRI MEI 2025'!Print_Titles</vt:lpstr>
      <vt:lpstr>'MONITORING '!Print_Titles</vt:lpstr>
      <vt:lpstr>'REKON GAJI MANUAL VS PLANTW  AB'!Print_Titles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2025-11-06T09:16:15Z</dcterms:modified>
</cp:coreProperties>
</file>