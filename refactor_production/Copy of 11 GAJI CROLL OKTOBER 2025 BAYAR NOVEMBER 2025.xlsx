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635" firstSheet="1" activeTab="4"/>
  </bookViews>
  <sheets>
    <sheet name="Sheet3" sheetId="3" state="hidden" r:id="rId1"/>
    <sheet name="SEPTEMBER DIBAYAR OKT 2025 " sheetId="19" r:id="rId2"/>
    <sheet name="Sheet8" sheetId="40" state="hidden" r:id="rId3"/>
    <sheet name="SUMMARY - WAGES IJL" sheetId="12" r:id="rId4"/>
    <sheet name="SUMMARY - WAGES PT.RJ" sheetId="4" r:id="rId5"/>
    <sheet name="IMPACT RMJ" sheetId="18" r:id="rId6"/>
    <sheet name="SUMMARY - CASH PG &amp; ARE" sheetId="7" state="hidden" r:id="rId7"/>
    <sheet name="JUNI 2018 DIBAYAR JULI 2018 (2)" sheetId="17" state="hidden" r:id="rId8"/>
    <sheet name="Sheet5" sheetId="13" state="hidden" r:id="rId9"/>
    <sheet name="Sheet6" sheetId="16" state="hidden" r:id="rId10"/>
    <sheet name="Sheet2" sheetId="10" state="hidden" r:id="rId11"/>
    <sheet name="HUTANG" sheetId="14" state="hidden" r:id="rId12"/>
    <sheet name="NOV 2017 DIBAYAR DEC 2 (2)" sheetId="15" state="hidden" r:id="rId13"/>
    <sheet name="Sheet4" sheetId="11" state="hidden" r:id="rId14"/>
    <sheet name="DENO TO BANK" sheetId="2" state="hidden" r:id="rId15"/>
    <sheet name="DENO TO BANK ATM" sheetId="5" state="hidden" r:id="rId16"/>
    <sheet name="DENO CASH TO BANK PGE" sheetId="8" state="hidden" r:id="rId17"/>
    <sheet name="SUMMARY GABUNGAN" sheetId="6" state="hidden" r:id="rId18"/>
    <sheet name="IMPACT IJL" sheetId="23" r:id="rId19"/>
    <sheet name="Prunning" sheetId="9" r:id="rId20"/>
    <sheet name="Rekapitulasi" sheetId="22" r:id="rId21"/>
    <sheet name="Ifest" sheetId="27" state="hidden" r:id="rId22"/>
  </sheets>
  <definedNames>
    <definedName name="_xlnm.Print_Area" localSheetId="16">'DENO CASH TO BANK PGE'!$A$1:$I$29</definedName>
    <definedName name="_xlnm.Print_Area" localSheetId="14">'DENO TO BANK'!$A$1:$I$27</definedName>
    <definedName name="_xlnm.Print_Area" localSheetId="18">'IMPACT IJL'!$A$1:$M$39</definedName>
    <definedName name="_xlnm.Print_Area" localSheetId="5">'IMPACT RMJ'!$A$1:$N$41</definedName>
    <definedName name="_xlnm.Print_Area" localSheetId="7">'JUNI 2018 DIBAYAR JULI 2018 (2)'!$A$1:$W$826</definedName>
    <definedName name="_xlnm.Print_Area" localSheetId="12">'NOV 2017 DIBAYAR DEC 2 (2)'!$A$1:$W$774</definedName>
    <definedName name="_xlnm.Print_Area" localSheetId="19">Prunning!$A$19:$G$27</definedName>
    <definedName name="_xlnm.Print_Area" localSheetId="20">Rekapitulasi!$A$337:$G$349</definedName>
    <definedName name="_xlnm.Print_Area" localSheetId="1">'SEPTEMBER DIBAYAR OKT 2025 '!$A$2:$AO$943</definedName>
    <definedName name="_xlnm.Print_Area" localSheetId="0">Sheet3!$A$1:$S$85</definedName>
    <definedName name="_xlnm.Print_Area" localSheetId="6">'SUMMARY - CASH PG &amp; ARE'!$A$1:$J$61</definedName>
    <definedName name="_xlnm.Print_Area" localSheetId="4">'SUMMARY - WAGES PT.RJ'!$A$1:$AR$55</definedName>
    <definedName name="_xlnm.Print_Area" localSheetId="17">'SUMMARY GABUNGAN'!$A$1:$M$84</definedName>
    <definedName name="_xlnm.Print_Titles" localSheetId="13">Sheet4!$3:$3</definedName>
  </definedNames>
  <calcPr calcId="144525"/>
  <fileRecoveryPr autoRecover="0"/>
</workbook>
</file>

<file path=xl/calcChain.xml><?xml version="1.0" encoding="utf-8"?>
<calcChain xmlns="http://schemas.openxmlformats.org/spreadsheetml/2006/main">
  <c r="AJ43" i="4" l="1"/>
  <c r="I8" i="23" l="1"/>
  <c r="F8" i="23"/>
  <c r="AE10" i="12"/>
  <c r="G258" i="22" l="1"/>
  <c r="K39" i="18"/>
  <c r="AF554" i="19"/>
  <c r="AL9" i="4"/>
  <c r="AL7" i="4"/>
  <c r="AK7" i="4"/>
  <c r="AI41" i="4"/>
  <c r="AG13" i="19" l="1"/>
  <c r="T17" i="19" l="1"/>
  <c r="T13" i="19" l="1"/>
  <c r="T15" i="19" l="1"/>
  <c r="T133" i="19" l="1"/>
  <c r="T64" i="19" l="1"/>
  <c r="T173" i="19" l="1"/>
  <c r="T169" i="19" l="1"/>
  <c r="T155" i="19" l="1"/>
  <c r="T119" i="19" l="1"/>
  <c r="T131" i="19"/>
  <c r="T113" i="19" l="1"/>
  <c r="T257" i="19" l="1"/>
  <c r="T253" i="19"/>
  <c r="T251" i="19" l="1"/>
  <c r="T247" i="19"/>
  <c r="T326" i="19" l="1"/>
  <c r="T320" i="19" l="1"/>
  <c r="T318" i="19"/>
  <c r="T316" i="19"/>
  <c r="T214" i="19" l="1"/>
  <c r="T222" i="19"/>
  <c r="T212" i="19"/>
  <c r="T216" i="19" l="1"/>
  <c r="T198" i="19"/>
  <c r="T196" i="19"/>
  <c r="T290" i="19"/>
  <c r="T280" i="19" l="1"/>
  <c r="T372" i="19" l="1"/>
  <c r="T366" i="19" l="1"/>
  <c r="T364" i="19"/>
  <c r="T360" i="19" l="1"/>
  <c r="T354" i="19"/>
  <c r="AK448" i="19" l="1"/>
  <c r="T448" i="19"/>
  <c r="AB496" i="19" l="1"/>
  <c r="AF43" i="4" l="1"/>
  <c r="AF45" i="4"/>
  <c r="C385" i="19" l="1"/>
  <c r="AM360" i="19" l="1"/>
  <c r="AL360" i="19"/>
  <c r="AM280" i="19" l="1"/>
  <c r="AM131" i="19" l="1"/>
  <c r="AM113" i="19" l="1"/>
  <c r="AM68" i="19" l="1"/>
  <c r="AM64" i="19" l="1"/>
  <c r="V35" i="19" l="1"/>
  <c r="U35" i="19"/>
  <c r="S35" i="19"/>
  <c r="Q35" i="19"/>
  <c r="E35" i="19"/>
  <c r="C35" i="19"/>
  <c r="AM15" i="19" l="1"/>
  <c r="AM133" i="19" l="1"/>
  <c r="I5" i="18" l="1"/>
  <c r="I6" i="18"/>
  <c r="I7" i="18"/>
  <c r="I8" i="18"/>
  <c r="I9" i="18"/>
  <c r="I10" i="18"/>
  <c r="I11" i="18"/>
  <c r="I12" i="18"/>
  <c r="I13" i="18"/>
  <c r="I19" i="18" l="1"/>
  <c r="B341" i="22" l="1"/>
  <c r="AI14" i="12" l="1"/>
  <c r="AM253" i="19" l="1"/>
  <c r="AM17" i="19" l="1"/>
  <c r="AM247" i="19" l="1"/>
  <c r="V332" i="19" l="1"/>
  <c r="AM173" i="19" l="1"/>
  <c r="AM216" i="19" l="1"/>
  <c r="AM13" i="19" l="1"/>
  <c r="T35" i="19" s="1"/>
  <c r="D12" i="23" l="1"/>
  <c r="Y23" i="4" l="1"/>
  <c r="AM155" i="19" l="1"/>
  <c r="AM198" i="19" l="1"/>
  <c r="AM316" i="19" l="1"/>
  <c r="AM378" i="19" l="1"/>
  <c r="AM366" i="19" l="1"/>
  <c r="AM292" i="19" l="1"/>
  <c r="AM169" i="19" l="1"/>
  <c r="V175" i="19" l="1"/>
  <c r="C23" i="9" l="1"/>
  <c r="AI27" i="4" l="1"/>
  <c r="AQ25" i="4" l="1"/>
  <c r="AM364" i="19" l="1"/>
  <c r="AM318" i="19" l="1"/>
  <c r="AM372" i="19" l="1"/>
  <c r="AC362" i="19" l="1"/>
  <c r="AC352" i="19"/>
  <c r="AM356" i="19" l="1"/>
  <c r="AM354" i="19" l="1"/>
  <c r="AM290" i="19" l="1"/>
  <c r="AM286" i="19" l="1"/>
  <c r="AM257" i="19" l="1"/>
  <c r="AM251" i="19" l="1"/>
  <c r="AM117" i="19" l="1"/>
  <c r="AM214" i="19" l="1"/>
  <c r="AM212" i="19"/>
  <c r="AM222" i="19"/>
  <c r="AM196" i="19"/>
  <c r="AM125" i="19" l="1"/>
  <c r="AM119" i="19"/>
  <c r="AM330" i="19" l="1"/>
  <c r="AM326" i="19"/>
  <c r="AM320" i="19" l="1"/>
  <c r="V456" i="19" l="1"/>
  <c r="AB447" i="19" s="1"/>
  <c r="AL30" i="4" l="1"/>
  <c r="AL32" i="4"/>
  <c r="AL34" i="4"/>
  <c r="AL36" i="4"/>
  <c r="AK30" i="4" l="1"/>
  <c r="AK32" i="4"/>
  <c r="AK34" i="4"/>
  <c r="AK36" i="4"/>
  <c r="AK8" i="4"/>
  <c r="AK10" i="4"/>
  <c r="AK12" i="4"/>
  <c r="AK14" i="4"/>
  <c r="AK16" i="4"/>
  <c r="AK18" i="4"/>
  <c r="AK20" i="4"/>
  <c r="AK22" i="4"/>
  <c r="AJ30" i="4"/>
  <c r="AJ32" i="4"/>
  <c r="AJ34" i="4"/>
  <c r="AJ36" i="4"/>
  <c r="AJ8" i="4"/>
  <c r="AJ10" i="4"/>
  <c r="AJ12" i="4"/>
  <c r="AJ14" i="4"/>
  <c r="AJ16" i="4"/>
  <c r="AJ18" i="4"/>
  <c r="AJ20" i="4"/>
  <c r="AJ22" i="4"/>
  <c r="AJ23" i="4"/>
  <c r="AJ24" i="4"/>
  <c r="AJ25" i="4"/>
  <c r="AB538" i="19" l="1"/>
  <c r="AK23" i="4" s="1"/>
  <c r="W556" i="19"/>
  <c r="X556" i="19"/>
  <c r="Y556" i="19"/>
  <c r="Z556" i="19"/>
  <c r="W552" i="19"/>
  <c r="X552" i="19"/>
  <c r="Y552" i="19"/>
  <c r="Z552" i="19"/>
  <c r="W548" i="19"/>
  <c r="X548" i="19"/>
  <c r="Y548" i="19"/>
  <c r="Z548" i="19"/>
  <c r="W544" i="19"/>
  <c r="Y544" i="19"/>
  <c r="Z544" i="19"/>
  <c r="W536" i="19"/>
  <c r="X536" i="19"/>
  <c r="Y536" i="19"/>
  <c r="Z536" i="19"/>
  <c r="W534" i="19"/>
  <c r="X534" i="19"/>
  <c r="Y534" i="19"/>
  <c r="Z534" i="19"/>
  <c r="W532" i="19"/>
  <c r="X532" i="19"/>
  <c r="Y532" i="19"/>
  <c r="Z532" i="19"/>
  <c r="W530" i="19"/>
  <c r="Y530" i="19"/>
  <c r="Z530" i="19"/>
  <c r="W528" i="19"/>
  <c r="Y528" i="19"/>
  <c r="Z528" i="19"/>
  <c r="W526" i="19"/>
  <c r="X526" i="19"/>
  <c r="Y526" i="19"/>
  <c r="Z526" i="19"/>
  <c r="W524" i="19"/>
  <c r="X524" i="19"/>
  <c r="Y524" i="19"/>
  <c r="Z524" i="19"/>
  <c r="W522" i="19"/>
  <c r="Y522" i="19"/>
  <c r="Z522" i="19"/>
  <c r="V90" i="19"/>
  <c r="AA503" i="19"/>
  <c r="AA536" i="19" s="1"/>
  <c r="AJ21" i="4" s="1"/>
  <c r="AA478" i="19"/>
  <c r="AA534" i="19" s="1"/>
  <c r="AJ19" i="4" s="1"/>
  <c r="AA456" i="19"/>
  <c r="AA556" i="19" s="1"/>
  <c r="AG8" i="12" s="1"/>
  <c r="AG10" i="12" s="1"/>
  <c r="AA429" i="19"/>
  <c r="AB426" i="19"/>
  <c r="AB429" i="19" s="1"/>
  <c r="AB403" i="19"/>
  <c r="AB406" i="19" s="1"/>
  <c r="AB532" i="19" s="1"/>
  <c r="AK17" i="4" s="1"/>
  <c r="AA406" i="19"/>
  <c r="AA532" i="19" s="1"/>
  <c r="AJ17" i="4" s="1"/>
  <c r="AA385" i="19"/>
  <c r="AA550" i="19" s="1"/>
  <c r="AJ35" i="4" s="1"/>
  <c r="AA332" i="19"/>
  <c r="AA296" i="19"/>
  <c r="AA546" i="19" s="1"/>
  <c r="AJ31" i="4" s="1"/>
  <c r="AA261" i="19"/>
  <c r="AA544" i="19" s="1"/>
  <c r="AJ29" i="4" s="1"/>
  <c r="AA226" i="19"/>
  <c r="AA530" i="19" s="1"/>
  <c r="AJ15" i="4" s="1"/>
  <c r="AA175" i="19"/>
  <c r="AA528" i="19" s="1"/>
  <c r="AJ13" i="4" s="1"/>
  <c r="AA135" i="19"/>
  <c r="AA526" i="19" s="1"/>
  <c r="AJ11" i="4" s="1"/>
  <c r="AA35" i="19"/>
  <c r="AA90" i="19"/>
  <c r="AA524" i="19" s="1"/>
  <c r="AJ9" i="4" s="1"/>
  <c r="AF47" i="4"/>
  <c r="AA548" i="19" l="1"/>
  <c r="AJ33" i="4" s="1"/>
  <c r="AB55" i="19"/>
  <c r="AB90" i="19" s="1"/>
  <c r="AB524" i="19" s="1"/>
  <c r="AK9" i="4" s="1"/>
  <c r="Y542" i="19"/>
  <c r="Z542" i="19"/>
  <c r="W542" i="19"/>
  <c r="AA522" i="19"/>
  <c r="AJ7" i="4" s="1"/>
  <c r="AH456" i="19"/>
  <c r="AI456" i="19"/>
  <c r="AJ456" i="19"/>
  <c r="AB456" i="19"/>
  <c r="AB556" i="19" s="1"/>
  <c r="AH8" i="12" l="1"/>
  <c r="AH10" i="12" s="1"/>
  <c r="AA542" i="19"/>
  <c r="AA554" i="19" s="1"/>
  <c r="AA589" i="19" s="1"/>
  <c r="V135" i="19"/>
  <c r="C135" i="19"/>
  <c r="E226" i="19"/>
  <c r="C226" i="19"/>
  <c r="AB110" i="19" l="1"/>
  <c r="AB135" i="19" s="1"/>
  <c r="AB526" i="19" s="1"/>
  <c r="AK11" i="4" s="1"/>
  <c r="AJ27" i="4"/>
  <c r="AB8" i="19"/>
  <c r="AB35" i="19" s="1"/>
  <c r="AB522" i="19" l="1"/>
  <c r="V296" i="19" l="1"/>
  <c r="AB279" i="19" s="1"/>
  <c r="AB296" i="19" s="1"/>
  <c r="AB546" i="19" s="1"/>
  <c r="AK31" i="4" s="1"/>
  <c r="V385" i="19" l="1"/>
  <c r="AB351" i="19" l="1"/>
  <c r="AB385" i="19" s="1"/>
  <c r="AB550" i="19" s="1"/>
  <c r="AK35" i="4" s="1"/>
  <c r="AB315" i="19"/>
  <c r="AB332" i="19" s="1"/>
  <c r="AB548" i="19" s="1"/>
  <c r="AK33" i="4" s="1"/>
  <c r="V226" i="19"/>
  <c r="AB195" i="19" s="1"/>
  <c r="AB226" i="19" s="1"/>
  <c r="AB530" i="19" s="1"/>
  <c r="AK15" i="4" s="1"/>
  <c r="E385" i="19"/>
  <c r="AD385" i="19"/>
  <c r="AG385" i="19"/>
  <c r="AH385" i="19"/>
  <c r="AI385" i="19"/>
  <c r="AJ385" i="19"/>
  <c r="AK385" i="19"/>
  <c r="AL385" i="19" s="1"/>
  <c r="AF385" i="19"/>
  <c r="D385" i="19"/>
  <c r="F385" i="19"/>
  <c r="G385" i="19"/>
  <c r="H385" i="19"/>
  <c r="I385" i="19"/>
  <c r="J385" i="19"/>
  <c r="K385" i="19"/>
  <c r="L385" i="19"/>
  <c r="M385" i="19"/>
  <c r="N385" i="19"/>
  <c r="O385" i="19"/>
  <c r="P385" i="19"/>
  <c r="Q385" i="19"/>
  <c r="R385" i="19"/>
  <c r="S385" i="19"/>
  <c r="T385" i="19"/>
  <c r="U385" i="19"/>
  <c r="AL381" i="19" l="1"/>
  <c r="AL380" i="19"/>
  <c r="V478" i="19"/>
  <c r="AB471" i="19" s="1"/>
  <c r="AB478" i="19" s="1"/>
  <c r="AB534" i="19" s="1"/>
  <c r="AK19" i="4" s="1"/>
  <c r="K24" i="23" l="1"/>
  <c r="K35" i="18"/>
  <c r="C261" i="19" l="1"/>
  <c r="AI39" i="4"/>
  <c r="AH47" i="4" s="1"/>
  <c r="AG48" i="4" s="1"/>
  <c r="AH23" i="4"/>
  <c r="AP23" i="4" l="1"/>
  <c r="AH45" i="4"/>
  <c r="AL45" i="4"/>
  <c r="AQ23" i="4"/>
  <c r="AL47" i="4"/>
  <c r="C332" i="19"/>
  <c r="AK296" i="19" l="1"/>
  <c r="AJ296" i="19"/>
  <c r="AH296" i="19"/>
  <c r="AG296" i="19"/>
  <c r="AD296" i="19"/>
  <c r="S296" i="19"/>
  <c r="U296" i="19"/>
  <c r="C296" i="19"/>
  <c r="V261" i="19"/>
  <c r="AB244" i="19" l="1"/>
  <c r="AB261" i="19" s="1"/>
  <c r="AB544" i="19" s="1"/>
  <c r="AK29" i="4" s="1"/>
  <c r="T296" i="19"/>
  <c r="AF296" i="19"/>
  <c r="C456" i="19" l="1"/>
  <c r="U175" i="19" l="1"/>
  <c r="AB154" i="19"/>
  <c r="AB175" i="19" s="1"/>
  <c r="AB528" i="19" s="1"/>
  <c r="C175" i="19"/>
  <c r="AK13" i="4" l="1"/>
  <c r="D35" i="19"/>
  <c r="G35" i="19"/>
  <c r="H35" i="19"/>
  <c r="I35" i="19"/>
  <c r="J35" i="19"/>
  <c r="K35" i="19"/>
  <c r="L35" i="19"/>
  <c r="M35" i="19"/>
  <c r="N35" i="19"/>
  <c r="O35" i="19"/>
  <c r="P35" i="19"/>
  <c r="R35" i="19"/>
  <c r="AL62" i="19" l="1"/>
  <c r="AL63" i="19"/>
  <c r="AL64" i="19"/>
  <c r="AL66" i="19"/>
  <c r="AL113" i="19" l="1"/>
  <c r="AL115" i="19"/>
  <c r="AL117" i="19"/>
  <c r="AL119" i="19"/>
  <c r="AL121" i="19"/>
  <c r="AL123" i="19"/>
  <c r="AL125" i="19"/>
  <c r="AL127" i="19"/>
  <c r="AL129" i="19"/>
  <c r="AL131" i="19"/>
  <c r="AL133" i="19"/>
  <c r="E271" i="22"/>
  <c r="E259" i="22"/>
  <c r="E261" i="22"/>
  <c r="E263" i="22"/>
  <c r="E265" i="22"/>
  <c r="E267" i="22"/>
  <c r="E269" i="22"/>
  <c r="D271" i="22"/>
  <c r="K5" i="18" l="1"/>
  <c r="L5" i="18" s="1"/>
  <c r="J6" i="23"/>
  <c r="K6" i="23" s="1"/>
  <c r="L6" i="23" s="1"/>
  <c r="G271" i="22"/>
  <c r="F271" i="22"/>
  <c r="G279" i="22"/>
  <c r="F279" i="22"/>
  <c r="G259" i="22"/>
  <c r="G261" i="22"/>
  <c r="G263" i="22"/>
  <c r="G265" i="22"/>
  <c r="G267" i="22"/>
  <c r="G269" i="22"/>
  <c r="G275" i="22"/>
  <c r="G277" i="22"/>
  <c r="F259" i="22"/>
  <c r="F261" i="22"/>
  <c r="F263" i="22"/>
  <c r="F265" i="22"/>
  <c r="F267" i="22"/>
  <c r="F269" i="22"/>
  <c r="F275" i="22"/>
  <c r="F277" i="22"/>
  <c r="K18" i="18"/>
  <c r="K14" i="18"/>
  <c r="K15" i="18"/>
  <c r="K16" i="18"/>
  <c r="K17" i="18"/>
  <c r="K13" i="18"/>
  <c r="L13" i="18" s="1"/>
  <c r="K12" i="18"/>
  <c r="L12" i="18" s="1"/>
  <c r="K11" i="18"/>
  <c r="L11" i="18" s="1"/>
  <c r="K10" i="18"/>
  <c r="L10" i="18" s="1"/>
  <c r="K9" i="18"/>
  <c r="L9" i="18" s="1"/>
  <c r="K8" i="18"/>
  <c r="L8" i="18" s="1"/>
  <c r="K7" i="18"/>
  <c r="L7" i="18" s="1"/>
  <c r="K6" i="18"/>
  <c r="L6" i="18" s="1"/>
  <c r="F14" i="18"/>
  <c r="AL38" i="4"/>
  <c r="AL8" i="4"/>
  <c r="AL10" i="4"/>
  <c r="AL12" i="4"/>
  <c r="AL14" i="4"/>
  <c r="AL16" i="4"/>
  <c r="AL18" i="4"/>
  <c r="AL20" i="4"/>
  <c r="AL22" i="4"/>
  <c r="AL23" i="4"/>
  <c r="AL24" i="4"/>
  <c r="AL25" i="4"/>
  <c r="K19" i="18" l="1"/>
  <c r="M32" i="18" s="1"/>
  <c r="D90" i="19" l="1"/>
  <c r="E90" i="19"/>
  <c r="G90" i="19"/>
  <c r="H90" i="19"/>
  <c r="I90" i="19"/>
  <c r="J90" i="19"/>
  <c r="Q90" i="19"/>
  <c r="R90" i="19"/>
  <c r="S90" i="19"/>
  <c r="U90" i="19"/>
  <c r="C90" i="19"/>
  <c r="AD90" i="19"/>
  <c r="F8" i="9" s="1"/>
  <c r="G8" i="9" s="1"/>
  <c r="AL76" i="19"/>
  <c r="AL68" i="19"/>
  <c r="AL74" i="19"/>
  <c r="T90" i="19"/>
  <c r="AJ135" i="19"/>
  <c r="AK135" i="19"/>
  <c r="AL135" i="19" s="1"/>
  <c r="AF135" i="19"/>
  <c r="AD135" i="19"/>
  <c r="F9" i="9" s="1"/>
  <c r="G9" i="9" s="1"/>
  <c r="U135" i="19"/>
  <c r="T135" i="19"/>
  <c r="S135" i="19"/>
  <c r="Q135" i="19"/>
  <c r="F90" i="19" l="1"/>
  <c r="Q332" i="19"/>
  <c r="V548" i="19"/>
  <c r="AH33" i="4" s="1"/>
  <c r="AP33" i="4" l="1"/>
  <c r="AQ33" i="4"/>
  <c r="AL33" i="4"/>
  <c r="F12" i="18"/>
  <c r="V544" i="19"/>
  <c r="AH29" i="4" s="1"/>
  <c r="AP29" i="4" s="1"/>
  <c r="U261" i="19"/>
  <c r="T261" i="19"/>
  <c r="S261" i="19"/>
  <c r="Q261" i="19"/>
  <c r="E261" i="19"/>
  <c r="AD261" i="19"/>
  <c r="F12" i="9" s="1"/>
  <c r="G12" i="9" s="1"/>
  <c r="AG261" i="19"/>
  <c r="AL29" i="4" l="1"/>
  <c r="AQ29" i="4"/>
  <c r="F10" i="18"/>
  <c r="V546" i="19"/>
  <c r="AH31" i="4" s="1"/>
  <c r="AP31" i="4" s="1"/>
  <c r="F13" i="9"/>
  <c r="G13" i="9" s="1"/>
  <c r="AL31" i="4" l="1"/>
  <c r="AQ31" i="4"/>
  <c r="F11" i="18"/>
  <c r="V550" i="19"/>
  <c r="AH35" i="4" l="1"/>
  <c r="AQ35" i="4" l="1"/>
  <c r="AP35" i="4"/>
  <c r="F13" i="18"/>
  <c r="AL35" i="4"/>
  <c r="AL356" i="19"/>
  <c r="AC378" i="19"/>
  <c r="T478" i="19" l="1"/>
  <c r="U478" i="19"/>
  <c r="AC374" i="19" l="1"/>
  <c r="AC372" i="19"/>
  <c r="AC370" i="19"/>
  <c r="AC368" i="19"/>
  <c r="AC364" i="19"/>
  <c r="AC358" i="19"/>
  <c r="AC354" i="19"/>
  <c r="S478" i="19" l="1"/>
  <c r="O542" i="19" l="1"/>
  <c r="AD503" i="19" l="1"/>
  <c r="V503" i="19"/>
  <c r="U503" i="19"/>
  <c r="U536" i="19" s="1"/>
  <c r="E273" i="22" s="1"/>
  <c r="G273" i="22" s="1"/>
  <c r="T503" i="19"/>
  <c r="T536" i="19" s="1"/>
  <c r="S503" i="19"/>
  <c r="S536" i="19" s="1"/>
  <c r="AA21" i="4" s="1"/>
  <c r="R503" i="19"/>
  <c r="Q503" i="19"/>
  <c r="Q536" i="19" s="1"/>
  <c r="Z21" i="4" s="1"/>
  <c r="P503" i="19"/>
  <c r="O503" i="19"/>
  <c r="N503" i="19"/>
  <c r="M503" i="19"/>
  <c r="L503" i="19"/>
  <c r="K503" i="19"/>
  <c r="J503" i="19"/>
  <c r="I503" i="19"/>
  <c r="H503" i="19"/>
  <c r="G503" i="19"/>
  <c r="F503" i="19"/>
  <c r="E503" i="19"/>
  <c r="E536" i="19" s="1"/>
  <c r="D503" i="19"/>
  <c r="C503" i="19"/>
  <c r="C536" i="19" s="1"/>
  <c r="V536" i="19" l="1"/>
  <c r="AH21" i="4" s="1"/>
  <c r="AP21" i="4" s="1"/>
  <c r="AB503" i="19"/>
  <c r="AB536" i="19" s="1"/>
  <c r="AC21" i="4"/>
  <c r="D273" i="22"/>
  <c r="F273" i="22" s="1"/>
  <c r="Y21" i="4"/>
  <c r="C15" i="18" s="1"/>
  <c r="AE21" i="4"/>
  <c r="D478" i="19"/>
  <c r="E478" i="19"/>
  <c r="F478" i="19"/>
  <c r="G478" i="19"/>
  <c r="H478" i="19"/>
  <c r="I478" i="19"/>
  <c r="J478" i="19"/>
  <c r="K478" i="19"/>
  <c r="L478" i="19"/>
  <c r="M478" i="19"/>
  <c r="N478" i="19"/>
  <c r="O478" i="19"/>
  <c r="P478" i="19"/>
  <c r="Q478" i="19"/>
  <c r="R478" i="19"/>
  <c r="C478" i="19"/>
  <c r="AL21" i="4" l="1"/>
  <c r="AQ21" i="4"/>
  <c r="F15" i="18"/>
  <c r="AK21" i="4"/>
  <c r="AK27" i="4" s="1"/>
  <c r="AB542" i="19"/>
  <c r="E456" i="19"/>
  <c r="E135" i="19" l="1"/>
  <c r="O589" i="19" l="1"/>
  <c r="AL17" i="19" l="1"/>
  <c r="J8" i="23" l="1"/>
  <c r="AO46" i="4" l="1"/>
  <c r="AO44" i="4"/>
  <c r="B19" i="18" l="1"/>
  <c r="AO30" i="4" l="1"/>
  <c r="AO32" i="4"/>
  <c r="AO34" i="4"/>
  <c r="AO36" i="4"/>
  <c r="AJ39" i="4" l="1"/>
  <c r="AJ41" i="4" l="1"/>
  <c r="AI42" i="4" l="1"/>
  <c r="AL42" i="4"/>
  <c r="AH556" i="19"/>
  <c r="AL165" i="19" l="1"/>
  <c r="AL161" i="19" l="1"/>
  <c r="B517" i="19" l="1"/>
  <c r="AL376" i="19" l="1"/>
  <c r="AL366" i="19" l="1"/>
  <c r="AL326" i="19" l="1"/>
  <c r="AL257" i="19" l="1"/>
  <c r="AL251" i="19" l="1"/>
  <c r="AL320" i="19" l="1"/>
  <c r="AL171" i="19" l="1"/>
  <c r="AL208" i="19" l="1"/>
  <c r="AL210" i="19"/>
  <c r="AL60" i="19" l="1"/>
  <c r="AG456" i="19" l="1"/>
  <c r="AG556" i="19" s="1"/>
  <c r="M25" i="23" s="1"/>
  <c r="M26" i="23" l="1"/>
  <c r="M17" i="23" s="1"/>
  <c r="AO47" i="4"/>
  <c r="AG135" i="19" l="1"/>
  <c r="AG175" i="19" l="1"/>
  <c r="AG528" i="19" s="1"/>
  <c r="AG226" i="19"/>
  <c r="AG530" i="19" s="1"/>
  <c r="AG544" i="19"/>
  <c r="AG546" i="19"/>
  <c r="AG332" i="19"/>
  <c r="AG548" i="19" s="1"/>
  <c r="AH332" i="19"/>
  <c r="AG550" i="19"/>
  <c r="AG526" i="19"/>
  <c r="A2" i="4" l="1"/>
  <c r="AL11" i="19" l="1"/>
  <c r="AL13" i="19"/>
  <c r="AL15" i="19"/>
  <c r="AL19" i="19"/>
  <c r="AL21" i="19"/>
  <c r="AL23" i="19"/>
  <c r="AL25" i="19"/>
  <c r="AL27" i="19"/>
  <c r="AL29" i="19"/>
  <c r="AL31" i="19"/>
  <c r="AL58" i="19"/>
  <c r="AL72" i="19"/>
  <c r="AL78" i="19"/>
  <c r="AL80" i="19"/>
  <c r="AL82" i="19"/>
  <c r="AL84" i="19"/>
  <c r="AL86" i="19"/>
  <c r="AL88" i="19"/>
  <c r="AL157" i="19"/>
  <c r="AL159" i="19"/>
  <c r="AL163" i="19"/>
  <c r="AL167" i="19"/>
  <c r="AL169" i="19"/>
  <c r="AL173" i="19"/>
  <c r="AL354" i="19"/>
  <c r="AL358" i="19"/>
  <c r="AL362" i="19"/>
  <c r="AL364" i="19"/>
  <c r="AL368" i="19"/>
  <c r="AL370" i="19"/>
  <c r="AL372" i="19"/>
  <c r="AL374" i="19"/>
  <c r="AL378" i="19"/>
  <c r="AL318" i="19"/>
  <c r="AL322" i="19"/>
  <c r="AL324" i="19"/>
  <c r="AL328" i="19"/>
  <c r="AL330" i="19"/>
  <c r="AL282" i="19"/>
  <c r="AL284" i="19"/>
  <c r="AL286" i="19"/>
  <c r="AL288" i="19"/>
  <c r="AL290" i="19"/>
  <c r="AL292" i="19"/>
  <c r="AL294" i="19"/>
  <c r="AL245" i="19"/>
  <c r="AL249" i="19"/>
  <c r="AL253" i="19"/>
  <c r="AL255" i="19"/>
  <c r="AL259" i="19"/>
  <c r="AL198" i="19" l="1"/>
  <c r="AL200" i="19"/>
  <c r="AL202" i="19"/>
  <c r="AL204" i="19"/>
  <c r="AL206" i="19"/>
  <c r="AL212" i="19"/>
  <c r="AL214" i="19"/>
  <c r="AL216" i="19"/>
  <c r="AL218" i="19"/>
  <c r="AL220" i="19"/>
  <c r="AL222" i="19"/>
  <c r="AL224" i="19"/>
  <c r="AL196" i="19"/>
  <c r="AL316" i="19" l="1"/>
  <c r="D313" i="19"/>
  <c r="AL111" i="19" l="1"/>
  <c r="AL247" i="19" l="1"/>
  <c r="AL155" i="19" l="1"/>
  <c r="AL280" i="19" l="1"/>
  <c r="AJ35" i="19" l="1"/>
  <c r="AK35" i="19"/>
  <c r="AL9" i="19"/>
  <c r="AN59" i="19" l="1"/>
  <c r="AN60" i="19"/>
  <c r="AN61" i="19"/>
  <c r="AN62" i="19"/>
  <c r="AN58" i="19"/>
  <c r="AL56" i="19"/>
  <c r="AN90" i="19" l="1"/>
  <c r="AL352" i="19" l="1"/>
  <c r="AH261" i="19" l="1"/>
  <c r="AL523" i="19" l="1"/>
  <c r="AL525" i="19"/>
  <c r="AL527" i="19"/>
  <c r="AL529" i="19"/>
  <c r="AL531" i="19"/>
  <c r="AL532" i="19"/>
  <c r="AL533" i="19"/>
  <c r="AL534" i="19"/>
  <c r="AL535" i="19"/>
  <c r="AL538" i="19"/>
  <c r="AL539" i="19"/>
  <c r="AL540" i="19"/>
  <c r="AL541" i="19"/>
  <c r="AL542" i="19"/>
  <c r="AL543" i="19"/>
  <c r="AL545" i="19"/>
  <c r="AL547" i="19"/>
  <c r="AL549" i="19"/>
  <c r="AL551" i="19"/>
  <c r="AL552" i="19"/>
  <c r="AL553" i="19"/>
  <c r="AL35" i="19" l="1"/>
  <c r="AH544" i="19" l="1"/>
  <c r="AJ522" i="19" l="1"/>
  <c r="AK522" i="19" l="1"/>
  <c r="AL522" i="19" s="1"/>
  <c r="AJ226" i="19" l="1"/>
  <c r="AK226" i="19"/>
  <c r="AK530" i="19" l="1"/>
  <c r="AL530" i="19" s="1"/>
  <c r="AJ530" i="19"/>
  <c r="AJ550" i="19" l="1"/>
  <c r="AK550" i="19"/>
  <c r="AL550" i="19" s="1"/>
  <c r="AJ332" i="19" l="1"/>
  <c r="AJ548" i="19" s="1"/>
  <c r="AK332" i="19"/>
  <c r="AJ546" i="19"/>
  <c r="AK546" i="19"/>
  <c r="AL546" i="19" s="1"/>
  <c r="AL226" i="19"/>
  <c r="AJ261" i="19"/>
  <c r="AJ544" i="19" s="1"/>
  <c r="AK261" i="19"/>
  <c r="AK544" i="19" s="1"/>
  <c r="AL544" i="19" s="1"/>
  <c r="AJ90" i="19"/>
  <c r="AJ524" i="19" s="1"/>
  <c r="AK90" i="19"/>
  <c r="AJ526" i="19"/>
  <c r="AK526" i="19"/>
  <c r="AL526" i="19" s="1"/>
  <c r="AJ175" i="19"/>
  <c r="AJ528" i="19" s="1"/>
  <c r="AK175" i="19"/>
  <c r="AK528" i="19" s="1"/>
  <c r="AL528" i="19" s="1"/>
  <c r="AK524" i="19" l="1"/>
  <c r="AL524" i="19" s="1"/>
  <c r="AL90" i="19"/>
  <c r="AL175" i="19"/>
  <c r="AL296" i="19"/>
  <c r="AL261" i="19"/>
  <c r="AL332" i="19"/>
  <c r="AK548" i="19"/>
  <c r="AJ554" i="19"/>
  <c r="AK554" i="19" l="1"/>
  <c r="AL554" i="19" s="1"/>
  <c r="AL548" i="19"/>
  <c r="AH550" i="19" l="1"/>
  <c r="AH546" i="19" l="1"/>
  <c r="AH548" i="19"/>
  <c r="AH226" i="19" l="1"/>
  <c r="AH530" i="19" s="1"/>
  <c r="AH175" i="19"/>
  <c r="AH528" i="19" l="1"/>
  <c r="AH179" i="19"/>
  <c r="AG35" i="19"/>
  <c r="AG522" i="19" s="1"/>
  <c r="AH35" i="19"/>
  <c r="AH522" i="19" s="1"/>
  <c r="AG90" i="19"/>
  <c r="AG524" i="19" s="1"/>
  <c r="AH90" i="19"/>
  <c r="AH524" i="19" s="1"/>
  <c r="AG554" i="19" l="1"/>
  <c r="M36" i="18" s="1"/>
  <c r="AH135" i="19"/>
  <c r="AH526" i="19" s="1"/>
  <c r="AH554" i="19" s="1"/>
  <c r="M37" i="18" l="1"/>
  <c r="M28" i="18" s="1"/>
  <c r="AF90" i="19"/>
  <c r="F15" i="9" l="1"/>
  <c r="G15" i="9" s="1"/>
  <c r="W385" i="19"/>
  <c r="W550" i="19" s="1"/>
  <c r="X385" i="19"/>
  <c r="X550" i="19" s="1"/>
  <c r="Y385" i="19"/>
  <c r="Y550" i="19" s="1"/>
  <c r="Z385" i="19"/>
  <c r="Z550" i="19" s="1"/>
  <c r="U108" i="19" l="1"/>
  <c r="T108" i="19"/>
  <c r="O10" i="12"/>
  <c r="P10" i="12"/>
  <c r="Q10" i="12"/>
  <c r="R10" i="12"/>
  <c r="S10" i="12"/>
  <c r="T10" i="12"/>
  <c r="U10" i="12"/>
  <c r="V10" i="12"/>
  <c r="W10" i="12"/>
  <c r="X10" i="12"/>
  <c r="J81" i="18" l="1"/>
  <c r="K81" i="18" s="1"/>
  <c r="K82" i="18" l="1"/>
  <c r="K84" i="18" s="1"/>
  <c r="M69" i="18" s="1"/>
  <c r="J82" i="18"/>
  <c r="J64" i="18"/>
  <c r="I64" i="18"/>
  <c r="B64" i="18"/>
  <c r="K63" i="18"/>
  <c r="K62" i="18"/>
  <c r="K61" i="18"/>
  <c r="K60" i="18"/>
  <c r="K59" i="18"/>
  <c r="K58" i="18"/>
  <c r="L58" i="18" s="1"/>
  <c r="K57" i="18"/>
  <c r="L57" i="18" s="1"/>
  <c r="K56" i="18"/>
  <c r="L56" i="18" s="1"/>
  <c r="K55" i="18"/>
  <c r="L55" i="18" s="1"/>
  <c r="K54" i="18"/>
  <c r="L54" i="18" s="1"/>
  <c r="K53" i="18"/>
  <c r="L53" i="18" s="1"/>
  <c r="K52" i="18"/>
  <c r="L52" i="18" s="1"/>
  <c r="K51" i="18"/>
  <c r="L51" i="18" s="1"/>
  <c r="K50" i="18"/>
  <c r="L50" i="18" s="1"/>
  <c r="K64" i="18" l="1"/>
  <c r="L64" i="18" l="1"/>
  <c r="M77" i="18"/>
  <c r="AE69" i="12" l="1"/>
  <c r="A49" i="23" l="1"/>
  <c r="K71" i="23"/>
  <c r="M63" i="23"/>
  <c r="D60" i="23"/>
  <c r="J55" i="23"/>
  <c r="I55" i="23"/>
  <c r="G55" i="23"/>
  <c r="D55" i="23"/>
  <c r="B55" i="23"/>
  <c r="K53" i="23"/>
  <c r="K55" i="23" s="1"/>
  <c r="L52" i="23"/>
  <c r="AI75" i="12"/>
  <c r="AE71" i="12"/>
  <c r="L53" i="23" l="1"/>
  <c r="M67" i="23"/>
  <c r="L55" i="23"/>
  <c r="B38" i="40" l="1"/>
  <c r="C24" i="40"/>
  <c r="D24" i="40" s="1"/>
  <c r="C22" i="40"/>
  <c r="D22" i="40" s="1"/>
  <c r="AF261" i="19" l="1"/>
  <c r="Y25" i="4" l="1"/>
  <c r="Z25" i="4"/>
  <c r="AE25" i="4"/>
  <c r="AB27" i="4"/>
  <c r="F60" i="18" l="1"/>
  <c r="H60" i="18" s="1"/>
  <c r="M60" i="18" s="1"/>
  <c r="E15" i="18"/>
  <c r="H15" i="18"/>
  <c r="M15" i="18" s="1"/>
  <c r="O39" i="4" l="1"/>
  <c r="P39" i="4"/>
  <c r="Q39" i="4"/>
  <c r="R39" i="4"/>
  <c r="S39" i="4"/>
  <c r="T39" i="4"/>
  <c r="U39" i="4"/>
  <c r="V39" i="4"/>
  <c r="W39" i="4"/>
  <c r="X39" i="4"/>
  <c r="O27" i="4"/>
  <c r="P27" i="4"/>
  <c r="Q27" i="4"/>
  <c r="R27" i="4"/>
  <c r="S27" i="4"/>
  <c r="S41" i="4" s="1"/>
  <c r="T27" i="4"/>
  <c r="U27" i="4"/>
  <c r="V27" i="4"/>
  <c r="W27" i="4"/>
  <c r="X27" i="4"/>
  <c r="W41" i="4" l="1"/>
  <c r="O41" i="4"/>
  <c r="R41" i="4"/>
  <c r="V41" i="4"/>
  <c r="X41" i="4"/>
  <c r="T41" i="4"/>
  <c r="P41" i="4"/>
  <c r="U41" i="4"/>
  <c r="Q41" i="4"/>
  <c r="L5" i="23" l="1"/>
  <c r="F35" i="19" l="1"/>
  <c r="D135" i="19" l="1"/>
  <c r="D526" i="19" s="1"/>
  <c r="F135" i="19" l="1"/>
  <c r="AF526" i="19" l="1"/>
  <c r="D456" i="19" l="1"/>
  <c r="D556" i="19" s="1"/>
  <c r="AF456" i="19" l="1"/>
  <c r="AF556" i="19" s="1"/>
  <c r="AF332" i="19" l="1"/>
  <c r="AF548" i="19" s="1"/>
  <c r="AF226" i="19" l="1"/>
  <c r="AF530" i="19" s="1"/>
  <c r="AF546" i="19" l="1"/>
  <c r="AF175" i="19"/>
  <c r="AF528" i="19" s="1"/>
  <c r="AF550" i="19"/>
  <c r="AF544" i="19" l="1"/>
  <c r="AF35" i="19" l="1"/>
  <c r="AF522" i="19" l="1"/>
  <c r="AF390" i="19"/>
  <c r="AF524" i="19"/>
  <c r="D332" i="19" l="1"/>
  <c r="D548" i="19" s="1"/>
  <c r="E332" i="19" l="1"/>
  <c r="G24" i="9" l="1"/>
  <c r="D261" i="19" l="1"/>
  <c r="D544" i="19" s="1"/>
  <c r="D175" i="19" l="1"/>
  <c r="D528" i="19" s="1"/>
  <c r="B51" i="19" l="1"/>
  <c r="D226" i="19" l="1"/>
  <c r="D530" i="19" s="1"/>
  <c r="D296" i="19" l="1"/>
  <c r="D546" i="19" s="1"/>
  <c r="D522" i="19" l="1"/>
  <c r="G11" i="27" l="1"/>
  <c r="F332" i="19" l="1"/>
  <c r="E296" i="19"/>
  <c r="F296" i="19" s="1"/>
  <c r="B7" i="27"/>
  <c r="C26" i="27" l="1"/>
  <c r="D37" i="18" l="1"/>
  <c r="D38" i="18"/>
  <c r="D40" i="18"/>
  <c r="D39" i="18"/>
  <c r="D524" i="19" l="1"/>
  <c r="D550" i="19"/>
  <c r="D406" i="19"/>
  <c r="D532" i="19" s="1"/>
  <c r="D429" i="19"/>
  <c r="D552" i="19" s="1"/>
  <c r="J25" i="23"/>
  <c r="F456" i="19"/>
  <c r="G456" i="19"/>
  <c r="H456" i="19"/>
  <c r="I456" i="19"/>
  <c r="J456" i="19"/>
  <c r="K456" i="19"/>
  <c r="L456" i="19"/>
  <c r="M456" i="19"/>
  <c r="N456" i="19"/>
  <c r="O456" i="19"/>
  <c r="P456" i="19"/>
  <c r="D534" i="19"/>
  <c r="K25" i="23" l="1"/>
  <c r="K26" i="23" s="1"/>
  <c r="M13" i="23" s="1"/>
  <c r="J26" i="23"/>
  <c r="D542" i="19"/>
  <c r="D554" i="19" s="1"/>
  <c r="D589" i="19" s="1"/>
  <c r="J72" i="23"/>
  <c r="K72" i="23" s="1"/>
  <c r="K73" i="23" s="1"/>
  <c r="M60" i="23" s="1"/>
  <c r="AD429" i="19" l="1"/>
  <c r="A63" i="12" l="1"/>
  <c r="D6" i="23" l="1"/>
  <c r="E6" i="23" s="1"/>
  <c r="AD549" i="19"/>
  <c r="E23" i="9" l="1"/>
  <c r="G342" i="22" l="1"/>
  <c r="F342" i="22"/>
  <c r="D341" i="22"/>
  <c r="A339" i="22" l="1"/>
  <c r="C14" i="18" l="1"/>
  <c r="A1" i="23" l="1"/>
  <c r="A48" i="23" s="1"/>
  <c r="AD37" i="4" l="1"/>
  <c r="AD17" i="4"/>
  <c r="AD23" i="4"/>
  <c r="AA23" i="4" l="1"/>
  <c r="AC23" i="4"/>
  <c r="AE23" i="4"/>
  <c r="Z23" i="4"/>
  <c r="R8" i="23"/>
  <c r="B8" i="23"/>
  <c r="R7" i="23"/>
  <c r="R9" i="23" s="1"/>
  <c r="R10" i="23" s="1"/>
  <c r="D8" i="23"/>
  <c r="AO45" i="4" l="1"/>
  <c r="AN23" i="4"/>
  <c r="AO23" i="4"/>
  <c r="AO27" i="4" s="1"/>
  <c r="F59" i="18"/>
  <c r="K8" i="23"/>
  <c r="M20" i="23" l="1"/>
  <c r="L8" i="23"/>
  <c r="H59" i="18"/>
  <c r="E319" i="22"/>
  <c r="G319" i="22" s="1"/>
  <c r="D319" i="22"/>
  <c r="F319" i="22" s="1"/>
  <c r="C331" i="22"/>
  <c r="B331" i="22"/>
  <c r="M59" i="18" l="1"/>
  <c r="C41" i="18"/>
  <c r="E16" i="9"/>
  <c r="C16" i="9"/>
  <c r="E239" i="22"/>
  <c r="D239" i="22"/>
  <c r="E237" i="22"/>
  <c r="D237" i="22"/>
  <c r="E233" i="22"/>
  <c r="D233" i="22"/>
  <c r="E231" i="22"/>
  <c r="D231" i="22"/>
  <c r="E229" i="22"/>
  <c r="D229" i="22"/>
  <c r="E227" i="22"/>
  <c r="D227" i="22"/>
  <c r="E225" i="22"/>
  <c r="D225" i="22"/>
  <c r="E223" i="22"/>
  <c r="E219" i="22"/>
  <c r="E221" i="22" s="1"/>
  <c r="D219" i="22"/>
  <c r="D221" i="22" s="1"/>
  <c r="E215" i="22"/>
  <c r="D215" i="22"/>
  <c r="E213" i="22"/>
  <c r="D213" i="22"/>
  <c r="E209" i="22"/>
  <c r="D209" i="22"/>
  <c r="E207" i="22"/>
  <c r="D207" i="22"/>
  <c r="E205" i="22"/>
  <c r="D205" i="22"/>
  <c r="E201" i="22"/>
  <c r="D201" i="22"/>
  <c r="E199" i="22"/>
  <c r="D199" i="22"/>
  <c r="E197" i="22"/>
  <c r="D197" i="22"/>
  <c r="E195" i="22"/>
  <c r="D195" i="22"/>
  <c r="E193" i="22"/>
  <c r="D193" i="22"/>
  <c r="E191" i="22"/>
  <c r="D191" i="22"/>
  <c r="E189" i="22"/>
  <c r="D189" i="22"/>
  <c r="E187" i="22"/>
  <c r="D187" i="22"/>
  <c r="E185" i="22"/>
  <c r="D185" i="22"/>
  <c r="E183" i="22"/>
  <c r="D183" i="22"/>
  <c r="E181" i="22"/>
  <c r="D181" i="22"/>
  <c r="E179" i="22"/>
  <c r="D179" i="22"/>
  <c r="E177" i="22"/>
  <c r="D177" i="22"/>
  <c r="E175" i="22"/>
  <c r="D175" i="22"/>
  <c r="E173" i="22"/>
  <c r="D173" i="22"/>
  <c r="E171" i="22"/>
  <c r="D171" i="22"/>
  <c r="E167" i="22"/>
  <c r="D167" i="22"/>
  <c r="E165" i="22"/>
  <c r="D165" i="22"/>
  <c r="E163" i="22"/>
  <c r="D163" i="22"/>
  <c r="E161" i="22"/>
  <c r="D161" i="22"/>
  <c r="E159" i="22"/>
  <c r="E157" i="22"/>
  <c r="E155" i="22"/>
  <c r="E151" i="22"/>
  <c r="D151" i="22"/>
  <c r="E149" i="22"/>
  <c r="E147" i="22"/>
  <c r="E145" i="22"/>
  <c r="E143" i="22"/>
  <c r="D143" i="22"/>
  <c r="E141" i="22"/>
  <c r="E139" i="22"/>
  <c r="E137" i="22"/>
  <c r="E133" i="22"/>
  <c r="E131" i="22"/>
  <c r="E129" i="22"/>
  <c r="E127" i="22"/>
  <c r="D127" i="22"/>
  <c r="E125" i="22"/>
  <c r="D125" i="22"/>
  <c r="E123" i="22"/>
  <c r="D123" i="22"/>
  <c r="E119" i="22"/>
  <c r="D119" i="22"/>
  <c r="E117" i="22"/>
  <c r="E115" i="22"/>
  <c r="E113" i="22"/>
  <c r="E111" i="22"/>
  <c r="E109" i="22"/>
  <c r="D109" i="22"/>
  <c r="E107" i="22"/>
  <c r="D107" i="22"/>
  <c r="E105" i="22"/>
  <c r="E103" i="22"/>
  <c r="E101" i="22"/>
  <c r="E99" i="22"/>
  <c r="E95" i="22"/>
  <c r="E93" i="22"/>
  <c r="D93" i="22"/>
  <c r="E91" i="22"/>
  <c r="D91" i="22"/>
  <c r="E89" i="22"/>
  <c r="E87" i="22"/>
  <c r="D87" i="22"/>
  <c r="E85" i="22"/>
  <c r="D85" i="22"/>
  <c r="E83" i="22"/>
  <c r="E79" i="22"/>
  <c r="E77" i="22"/>
  <c r="D77" i="22"/>
  <c r="E75" i="22"/>
  <c r="D75" i="22"/>
  <c r="E73" i="22"/>
  <c r="E71" i="22"/>
  <c r="D71" i="22"/>
  <c r="E69" i="22"/>
  <c r="D69" i="22"/>
  <c r="E67" i="22"/>
  <c r="E65" i="22"/>
  <c r="D65" i="22"/>
  <c r="E63" i="22"/>
  <c r="E61" i="22"/>
  <c r="D61" i="22"/>
  <c r="E57" i="22"/>
  <c r="D57" i="22"/>
  <c r="E55" i="22"/>
  <c r="E54" i="22"/>
  <c r="D54" i="22"/>
  <c r="E53" i="22"/>
  <c r="D53" i="22"/>
  <c r="E52" i="22"/>
  <c r="D52" i="22"/>
  <c r="E51" i="22"/>
  <c r="E50" i="22"/>
  <c r="D50" i="22"/>
  <c r="F49" i="22"/>
  <c r="E49" i="22"/>
  <c r="E47" i="22"/>
  <c r="D47" i="22"/>
  <c r="E45" i="22"/>
  <c r="D45" i="22"/>
  <c r="E43" i="22"/>
  <c r="E41" i="22"/>
  <c r="D41" i="22"/>
  <c r="E39" i="22"/>
  <c r="E37" i="22"/>
  <c r="E35" i="22"/>
  <c r="D35" i="22"/>
  <c r="E31" i="22"/>
  <c r="D31" i="22"/>
  <c r="E29" i="22"/>
  <c r="E27" i="22"/>
  <c r="D27" i="22"/>
  <c r="E25" i="22"/>
  <c r="E23" i="22"/>
  <c r="D23" i="22"/>
  <c r="E21" i="22"/>
  <c r="D21" i="22"/>
  <c r="E19" i="22"/>
  <c r="D19" i="22"/>
  <c r="E17" i="22"/>
  <c r="E15" i="22"/>
  <c r="E13" i="22"/>
  <c r="D13" i="22"/>
  <c r="E11" i="22"/>
  <c r="D11" i="22"/>
  <c r="E9" i="22"/>
  <c r="D41" i="18" l="1"/>
  <c r="E59" i="22"/>
  <c r="E203" i="22"/>
  <c r="E211" i="22" s="1"/>
  <c r="E217" i="22"/>
  <c r="D242" i="22"/>
  <c r="E97" i="22"/>
  <c r="E121" i="22"/>
  <c r="E135" i="22"/>
  <c r="E153" i="22"/>
  <c r="E169" i="22"/>
  <c r="E81" i="22"/>
  <c r="E235" i="22"/>
  <c r="E242" i="22"/>
  <c r="D203" i="22"/>
  <c r="D211" i="22" s="1"/>
  <c r="D217" i="22"/>
  <c r="E33" i="22"/>
  <c r="D89" i="22" l="1"/>
  <c r="D83" i="22"/>
  <c r="D95" i="22"/>
  <c r="D25" i="22"/>
  <c r="D15" i="22"/>
  <c r="D79" i="22"/>
  <c r="D63" i="22"/>
  <c r="D55" i="22"/>
  <c r="D51" i="22"/>
  <c r="D49" i="22"/>
  <c r="D43" i="22"/>
  <c r="D37" i="22"/>
  <c r="D155" i="22"/>
  <c r="D147" i="22"/>
  <c r="D141" i="22"/>
  <c r="D137" i="22"/>
  <c r="D131" i="22"/>
  <c r="D129" i="22"/>
  <c r="D133" i="22" l="1"/>
  <c r="D135" i="22" s="1"/>
  <c r="D159" i="22"/>
  <c r="D223" i="22"/>
  <c r="D235" i="22" s="1"/>
  <c r="D39" i="22"/>
  <c r="D59" i="22" s="1"/>
  <c r="D67" i="22"/>
  <c r="D73" i="22"/>
  <c r="D17" i="22"/>
  <c r="D97" i="22"/>
  <c r="D139" i="22"/>
  <c r="D145" i="22"/>
  <c r="D149" i="22"/>
  <c r="D157" i="22"/>
  <c r="D169" i="22" s="1"/>
  <c r="D9" i="22"/>
  <c r="D29" i="22"/>
  <c r="D81" i="22" l="1"/>
  <c r="D153" i="22"/>
  <c r="D33" i="22"/>
  <c r="D113" i="22" l="1"/>
  <c r="D99" i="22"/>
  <c r="D103" i="22" l="1"/>
  <c r="D101" i="22"/>
  <c r="D115" i="22"/>
  <c r="D111" i="22"/>
  <c r="D117" i="22"/>
  <c r="D105" i="22"/>
  <c r="R522" i="19"/>
  <c r="S522" i="19"/>
  <c r="R524" i="19"/>
  <c r="R526" i="19"/>
  <c r="S526" i="19"/>
  <c r="R175" i="19"/>
  <c r="R528" i="19" s="1"/>
  <c r="S175" i="19"/>
  <c r="R226" i="19"/>
  <c r="R530" i="19" s="1"/>
  <c r="S226" i="19"/>
  <c r="R261" i="19"/>
  <c r="R544" i="19" s="1"/>
  <c r="S544" i="19"/>
  <c r="R296" i="19"/>
  <c r="R546" i="19" s="1"/>
  <c r="R332" i="19"/>
  <c r="R548" i="19" s="1"/>
  <c r="S332" i="19"/>
  <c r="R550" i="19"/>
  <c r="R406" i="19"/>
  <c r="R532" i="19" s="1"/>
  <c r="S406" i="19"/>
  <c r="S532" i="19" s="1"/>
  <c r="R429" i="19"/>
  <c r="R552" i="19" s="1"/>
  <c r="S429" i="19"/>
  <c r="S552" i="19" s="1"/>
  <c r="R456" i="19"/>
  <c r="R556" i="19" s="1"/>
  <c r="S456" i="19"/>
  <c r="R534" i="19"/>
  <c r="S534" i="19"/>
  <c r="R542" i="19" l="1"/>
  <c r="AA19" i="4"/>
  <c r="AA17" i="4"/>
  <c r="AA11" i="4"/>
  <c r="AA7" i="4"/>
  <c r="S556" i="19"/>
  <c r="AA8" i="12"/>
  <c r="AA69" i="12" s="1"/>
  <c r="AA71" i="12" s="1"/>
  <c r="S530" i="19"/>
  <c r="S528" i="19"/>
  <c r="S548" i="19"/>
  <c r="S546" i="19"/>
  <c r="S524" i="19"/>
  <c r="S550" i="19"/>
  <c r="AA37" i="4"/>
  <c r="AA29" i="4"/>
  <c r="D121" i="22"/>
  <c r="S542" i="19" l="1"/>
  <c r="S554" i="19" s="1"/>
  <c r="S589" i="19" s="1"/>
  <c r="AA31" i="4"/>
  <c r="AA15" i="4"/>
  <c r="AA13" i="4"/>
  <c r="AA9" i="4"/>
  <c r="AA33" i="4"/>
  <c r="AA35" i="4"/>
  <c r="R554" i="19"/>
  <c r="R589" i="19" s="1"/>
  <c r="D245" i="22"/>
  <c r="AA27" i="4" l="1"/>
  <c r="AA39" i="4"/>
  <c r="V938" i="19"/>
  <c r="U938" i="19"/>
  <c r="R938" i="19"/>
  <c r="Q938" i="19"/>
  <c r="P938" i="19"/>
  <c r="N938" i="19"/>
  <c r="M938" i="19"/>
  <c r="L938" i="19"/>
  <c r="K938" i="19"/>
  <c r="J938" i="19"/>
  <c r="I938" i="19"/>
  <c r="H938" i="19"/>
  <c r="G938" i="19"/>
  <c r="F938" i="19"/>
  <c r="E938" i="19"/>
  <c r="C938" i="19"/>
  <c r="T936" i="19"/>
  <c r="T938" i="19" s="1"/>
  <c r="P934" i="19"/>
  <c r="P933" i="19"/>
  <c r="P919" i="19"/>
  <c r="N919" i="19"/>
  <c r="M919" i="19"/>
  <c r="L919" i="19"/>
  <c r="K919" i="19"/>
  <c r="J919" i="19"/>
  <c r="I919" i="19"/>
  <c r="H919" i="19"/>
  <c r="G919" i="19"/>
  <c r="F919" i="19"/>
  <c r="E919" i="19"/>
  <c r="C919" i="19"/>
  <c r="V916" i="19"/>
  <c r="V919" i="19" s="1"/>
  <c r="B910" i="19"/>
  <c r="P896" i="19"/>
  <c r="N896" i="19"/>
  <c r="M896" i="19"/>
  <c r="L896" i="19"/>
  <c r="K896" i="19"/>
  <c r="J896" i="19"/>
  <c r="I896" i="19"/>
  <c r="H896" i="19"/>
  <c r="G896" i="19"/>
  <c r="F896" i="19"/>
  <c r="E896" i="19"/>
  <c r="C896" i="19"/>
  <c r="V893" i="19"/>
  <c r="V896" i="19" s="1"/>
  <c r="V873" i="19"/>
  <c r="P873" i="19"/>
  <c r="N873" i="19"/>
  <c r="N584" i="19" s="1"/>
  <c r="M873" i="19"/>
  <c r="M584" i="19" s="1"/>
  <c r="L873" i="19"/>
  <c r="L584" i="19" s="1"/>
  <c r="K873" i="19"/>
  <c r="K584" i="19" s="1"/>
  <c r="J873" i="19"/>
  <c r="J584" i="19" s="1"/>
  <c r="I873" i="19"/>
  <c r="I584" i="19" s="1"/>
  <c r="H873" i="19"/>
  <c r="H584" i="19" s="1"/>
  <c r="G873" i="19"/>
  <c r="G584" i="19" s="1"/>
  <c r="F873" i="19"/>
  <c r="F584" i="19" s="1"/>
  <c r="E873" i="19"/>
  <c r="E584" i="19" s="1"/>
  <c r="C873" i="19"/>
  <c r="B855" i="19"/>
  <c r="B886" i="19" s="1"/>
  <c r="V843" i="19"/>
  <c r="P843" i="19"/>
  <c r="N843" i="19"/>
  <c r="N582" i="19" s="1"/>
  <c r="M843" i="19"/>
  <c r="M582" i="19" s="1"/>
  <c r="L843" i="19"/>
  <c r="L582" i="19" s="1"/>
  <c r="K843" i="19"/>
  <c r="K582" i="19" s="1"/>
  <c r="J843" i="19"/>
  <c r="J582" i="19" s="1"/>
  <c r="I843" i="19"/>
  <c r="I582" i="19" s="1"/>
  <c r="H843" i="19"/>
  <c r="H582" i="19" s="1"/>
  <c r="G843" i="19"/>
  <c r="G582" i="19" s="1"/>
  <c r="F843" i="19"/>
  <c r="F582" i="19" s="1"/>
  <c r="E843" i="19"/>
  <c r="E582" i="19" s="1"/>
  <c r="C843" i="19"/>
  <c r="C582" i="19" s="1"/>
  <c r="V821" i="19"/>
  <c r="P821" i="19"/>
  <c r="N821" i="19"/>
  <c r="N580" i="19" s="1"/>
  <c r="M821" i="19"/>
  <c r="M580" i="19" s="1"/>
  <c r="L821" i="19"/>
  <c r="L580" i="19" s="1"/>
  <c r="K821" i="19"/>
  <c r="K580" i="19" s="1"/>
  <c r="J821" i="19"/>
  <c r="J580" i="19" s="1"/>
  <c r="I821" i="19"/>
  <c r="I580" i="19" s="1"/>
  <c r="H821" i="19"/>
  <c r="H580" i="19" s="1"/>
  <c r="G821" i="19"/>
  <c r="G580" i="19" s="1"/>
  <c r="F821" i="19"/>
  <c r="F580" i="19" s="1"/>
  <c r="E821" i="19"/>
  <c r="E580" i="19" s="1"/>
  <c r="C821" i="19"/>
  <c r="C580" i="19" s="1"/>
  <c r="B809" i="19"/>
  <c r="B832" i="19" s="1"/>
  <c r="V798" i="19"/>
  <c r="P798" i="19"/>
  <c r="N798" i="19"/>
  <c r="N576" i="19" s="1"/>
  <c r="M798" i="19"/>
  <c r="M576" i="19" s="1"/>
  <c r="L798" i="19"/>
  <c r="L576" i="19" s="1"/>
  <c r="K798" i="19"/>
  <c r="K576" i="19" s="1"/>
  <c r="J798" i="19"/>
  <c r="J576" i="19" s="1"/>
  <c r="I798" i="19"/>
  <c r="I576" i="19" s="1"/>
  <c r="H798" i="19"/>
  <c r="H576" i="19" s="1"/>
  <c r="G798" i="19"/>
  <c r="G576" i="19" s="1"/>
  <c r="F798" i="19"/>
  <c r="F576" i="19" s="1"/>
  <c r="E798" i="19"/>
  <c r="E576" i="19" s="1"/>
  <c r="C798" i="19"/>
  <c r="B788" i="19"/>
  <c r="V779" i="19"/>
  <c r="P779" i="19"/>
  <c r="N779" i="19"/>
  <c r="N574" i="19" s="1"/>
  <c r="M779" i="19"/>
  <c r="M574" i="19" s="1"/>
  <c r="L779" i="19"/>
  <c r="L574" i="19" s="1"/>
  <c r="K779" i="19"/>
  <c r="K574" i="19" s="1"/>
  <c r="J779" i="19"/>
  <c r="J574" i="19" s="1"/>
  <c r="I779" i="19"/>
  <c r="I574" i="19" s="1"/>
  <c r="H779" i="19"/>
  <c r="H574" i="19" s="1"/>
  <c r="G779" i="19"/>
  <c r="G574" i="19" s="1"/>
  <c r="F779" i="19"/>
  <c r="F574" i="19" s="1"/>
  <c r="E779" i="19"/>
  <c r="E574" i="19" s="1"/>
  <c r="C779" i="19"/>
  <c r="C574" i="19" s="1"/>
  <c r="B766" i="19"/>
  <c r="V755" i="19"/>
  <c r="P755" i="19"/>
  <c r="N755" i="19"/>
  <c r="N572" i="19" s="1"/>
  <c r="M755" i="19"/>
  <c r="M572" i="19" s="1"/>
  <c r="L755" i="19"/>
  <c r="L572" i="19" s="1"/>
  <c r="K755" i="19"/>
  <c r="K572" i="19" s="1"/>
  <c r="J755" i="19"/>
  <c r="J572" i="19" s="1"/>
  <c r="I755" i="19"/>
  <c r="I572" i="19" s="1"/>
  <c r="H755" i="19"/>
  <c r="H572" i="19" s="1"/>
  <c r="G755" i="19"/>
  <c r="G572" i="19" s="1"/>
  <c r="F755" i="19"/>
  <c r="F572" i="19" s="1"/>
  <c r="E755" i="19"/>
  <c r="E572" i="19" s="1"/>
  <c r="C755" i="19"/>
  <c r="C572" i="19" s="1"/>
  <c r="B741" i="19"/>
  <c r="V729" i="19"/>
  <c r="P729" i="19"/>
  <c r="N729" i="19"/>
  <c r="N570" i="19" s="1"/>
  <c r="M729" i="19"/>
  <c r="M570" i="19" s="1"/>
  <c r="L729" i="19"/>
  <c r="L570" i="19" s="1"/>
  <c r="K729" i="19"/>
  <c r="K570" i="19" s="1"/>
  <c r="J729" i="19"/>
  <c r="J570" i="19" s="1"/>
  <c r="I729" i="19"/>
  <c r="I570" i="19" s="1"/>
  <c r="H729" i="19"/>
  <c r="H570" i="19" s="1"/>
  <c r="G729" i="19"/>
  <c r="G570" i="19" s="1"/>
  <c r="F729" i="19"/>
  <c r="F570" i="19" s="1"/>
  <c r="E729" i="19"/>
  <c r="E570" i="19" s="1"/>
  <c r="C729" i="19"/>
  <c r="B716" i="19"/>
  <c r="P703" i="19"/>
  <c r="N703" i="19"/>
  <c r="N568" i="19" s="1"/>
  <c r="M703" i="19"/>
  <c r="M568" i="19" s="1"/>
  <c r="L703" i="19"/>
  <c r="L568" i="19" s="1"/>
  <c r="K703" i="19"/>
  <c r="K568" i="19" s="1"/>
  <c r="J703" i="19"/>
  <c r="J568" i="19" s="1"/>
  <c r="I703" i="19"/>
  <c r="I568" i="19" s="1"/>
  <c r="H703" i="19"/>
  <c r="H568" i="19" s="1"/>
  <c r="G703" i="19"/>
  <c r="G568" i="19" s="1"/>
  <c r="F703" i="19"/>
  <c r="F568" i="19" s="1"/>
  <c r="E703" i="19"/>
  <c r="E568" i="19" s="1"/>
  <c r="C703" i="19"/>
  <c r="C568" i="19" s="1"/>
  <c r="V698" i="19"/>
  <c r="V696" i="19"/>
  <c r="B690" i="19"/>
  <c r="P680" i="19"/>
  <c r="N680" i="19"/>
  <c r="N566" i="19" s="1"/>
  <c r="M680" i="19"/>
  <c r="M566" i="19" s="1"/>
  <c r="L680" i="19"/>
  <c r="L566" i="19" s="1"/>
  <c r="K680" i="19"/>
  <c r="K566" i="19" s="1"/>
  <c r="J680" i="19"/>
  <c r="J566" i="19" s="1"/>
  <c r="I680" i="19"/>
  <c r="I566" i="19" s="1"/>
  <c r="H680" i="19"/>
  <c r="H566" i="19" s="1"/>
  <c r="G680" i="19"/>
  <c r="G566" i="19" s="1"/>
  <c r="F680" i="19"/>
  <c r="F566" i="19" s="1"/>
  <c r="E680" i="19"/>
  <c r="E566" i="19" s="1"/>
  <c r="C680" i="19"/>
  <c r="C566" i="19" s="1"/>
  <c r="V674" i="19"/>
  <c r="V680" i="19" s="1"/>
  <c r="B668" i="19"/>
  <c r="P657" i="19"/>
  <c r="N657" i="19"/>
  <c r="N564" i="19" s="1"/>
  <c r="M657" i="19"/>
  <c r="M564" i="19" s="1"/>
  <c r="L657" i="19"/>
  <c r="L564" i="19" s="1"/>
  <c r="K657" i="19"/>
  <c r="K564" i="19" s="1"/>
  <c r="J657" i="19"/>
  <c r="J564" i="19" s="1"/>
  <c r="I657" i="19"/>
  <c r="I564" i="19" s="1"/>
  <c r="H657" i="19"/>
  <c r="H564" i="19" s="1"/>
  <c r="G657" i="19"/>
  <c r="G564" i="19" s="1"/>
  <c r="F657" i="19"/>
  <c r="F564" i="19" s="1"/>
  <c r="E657" i="19"/>
  <c r="E564" i="19" s="1"/>
  <c r="C657" i="19"/>
  <c r="C564" i="19" s="1"/>
  <c r="V653" i="19"/>
  <c r="V651" i="19"/>
  <c r="Q649" i="19"/>
  <c r="Q648" i="19"/>
  <c r="B645" i="19"/>
  <c r="P636" i="19"/>
  <c r="N636" i="19"/>
  <c r="N562" i="19" s="1"/>
  <c r="M636" i="19"/>
  <c r="M562" i="19" s="1"/>
  <c r="L636" i="19"/>
  <c r="L562" i="19" s="1"/>
  <c r="K636" i="19"/>
  <c r="K562" i="19" s="1"/>
  <c r="J636" i="19"/>
  <c r="J562" i="19" s="1"/>
  <c r="I636" i="19"/>
  <c r="I562" i="19" s="1"/>
  <c r="H636" i="19"/>
  <c r="H562" i="19" s="1"/>
  <c r="G636" i="19"/>
  <c r="G562" i="19" s="1"/>
  <c r="F636" i="19"/>
  <c r="F562" i="19" s="1"/>
  <c r="E636" i="19"/>
  <c r="E562" i="19" s="1"/>
  <c r="C636" i="19"/>
  <c r="C562" i="19" s="1"/>
  <c r="V630" i="19"/>
  <c r="V636" i="19" s="1"/>
  <c r="B624" i="19"/>
  <c r="V611" i="19"/>
  <c r="P611" i="19"/>
  <c r="N611" i="19"/>
  <c r="N560" i="19" s="1"/>
  <c r="M611" i="19"/>
  <c r="M560" i="19" s="1"/>
  <c r="L611" i="19"/>
  <c r="L560" i="19" s="1"/>
  <c r="K611" i="19"/>
  <c r="K560" i="19" s="1"/>
  <c r="J611" i="19"/>
  <c r="J560" i="19" s="1"/>
  <c r="I611" i="19"/>
  <c r="I560" i="19" s="1"/>
  <c r="H611" i="19"/>
  <c r="H560" i="19" s="1"/>
  <c r="G611" i="19"/>
  <c r="G560" i="19" s="1"/>
  <c r="F611" i="19"/>
  <c r="F560" i="19" s="1"/>
  <c r="E611" i="19"/>
  <c r="E560" i="19" s="1"/>
  <c r="C611" i="19"/>
  <c r="C560" i="19" s="1"/>
  <c r="B599" i="19"/>
  <c r="V586" i="19"/>
  <c r="V570" i="19"/>
  <c r="C570" i="19"/>
  <c r="AD560" i="19"/>
  <c r="V558" i="19"/>
  <c r="P556" i="19"/>
  <c r="P589" i="19" s="1"/>
  <c r="N556" i="19"/>
  <c r="M556" i="19"/>
  <c r="L556" i="19"/>
  <c r="K556" i="19"/>
  <c r="J556" i="19"/>
  <c r="I556" i="19"/>
  <c r="H556" i="19"/>
  <c r="G556" i="19"/>
  <c r="F556" i="19"/>
  <c r="E556" i="19"/>
  <c r="AD478" i="19"/>
  <c r="AD19" i="4" s="1"/>
  <c r="U534" i="19"/>
  <c r="E270" i="22" s="1"/>
  <c r="G270" i="22" s="1"/>
  <c r="T534" i="19"/>
  <c r="D270" i="22" s="1"/>
  <c r="F270" i="22" s="1"/>
  <c r="Q534" i="19"/>
  <c r="P534" i="19"/>
  <c r="N534" i="19"/>
  <c r="M534" i="19"/>
  <c r="L534" i="19"/>
  <c r="K534" i="19"/>
  <c r="J534" i="19"/>
  <c r="I534" i="19"/>
  <c r="H534" i="19"/>
  <c r="G534" i="19"/>
  <c r="F534" i="19"/>
  <c r="E534" i="19"/>
  <c r="C534" i="19"/>
  <c r="Q469" i="19"/>
  <c r="B467" i="19"/>
  <c r="B492" i="19" s="1"/>
  <c r="AD456" i="19"/>
  <c r="U456" i="19"/>
  <c r="U556" i="19" s="1"/>
  <c r="E344" i="22" s="1"/>
  <c r="G344" i="22" s="1"/>
  <c r="T456" i="19"/>
  <c r="T556" i="19" s="1"/>
  <c r="Q456" i="19"/>
  <c r="Q556" i="19" s="1"/>
  <c r="B443" i="19"/>
  <c r="B931" i="19" s="1"/>
  <c r="V429" i="19"/>
  <c r="U429" i="19"/>
  <c r="U552" i="19" s="1"/>
  <c r="E280" i="22" s="1"/>
  <c r="G280" i="22" s="1"/>
  <c r="T429" i="19"/>
  <c r="T552" i="19" s="1"/>
  <c r="D280" i="22" s="1"/>
  <c r="F280" i="22" s="1"/>
  <c r="Q429" i="19"/>
  <c r="Q552" i="19" s="1"/>
  <c r="P429" i="19"/>
  <c r="P552" i="19" s="1"/>
  <c r="N429" i="19"/>
  <c r="N552" i="19" s="1"/>
  <c r="M429" i="19"/>
  <c r="M552" i="19" s="1"/>
  <c r="L429" i="19"/>
  <c r="L552" i="19" s="1"/>
  <c r="K429" i="19"/>
  <c r="K552" i="19" s="1"/>
  <c r="J429" i="19"/>
  <c r="J552" i="19" s="1"/>
  <c r="I429" i="19"/>
  <c r="I552" i="19" s="1"/>
  <c r="H429" i="19"/>
  <c r="H552" i="19" s="1"/>
  <c r="G429" i="19"/>
  <c r="G552" i="19" s="1"/>
  <c r="F429" i="19"/>
  <c r="F552" i="19" s="1"/>
  <c r="E429" i="19"/>
  <c r="E552" i="19" s="1"/>
  <c r="C429" i="19"/>
  <c r="C552" i="19" s="1"/>
  <c r="B422" i="19"/>
  <c r="B421" i="19"/>
  <c r="V406" i="19"/>
  <c r="V532" i="19" s="1"/>
  <c r="U406" i="19"/>
  <c r="U532" i="19" s="1"/>
  <c r="E268" i="22" s="1"/>
  <c r="G268" i="22" s="1"/>
  <c r="T406" i="19"/>
  <c r="T532" i="19" s="1"/>
  <c r="D268" i="22" s="1"/>
  <c r="F268" i="22" s="1"/>
  <c r="Q406" i="19"/>
  <c r="Q532" i="19" s="1"/>
  <c r="P406" i="19"/>
  <c r="P532" i="19" s="1"/>
  <c r="N406" i="19"/>
  <c r="N532" i="19" s="1"/>
  <c r="M406" i="19"/>
  <c r="M532" i="19" s="1"/>
  <c r="L406" i="19"/>
  <c r="L532" i="19" s="1"/>
  <c r="K406" i="19"/>
  <c r="K532" i="19" s="1"/>
  <c r="J406" i="19"/>
  <c r="J532" i="19" s="1"/>
  <c r="I406" i="19"/>
  <c r="I532" i="19" s="1"/>
  <c r="H406" i="19"/>
  <c r="H532" i="19" s="1"/>
  <c r="G406" i="19"/>
  <c r="G532" i="19" s="1"/>
  <c r="F406" i="19"/>
  <c r="F532" i="19" s="1"/>
  <c r="E406" i="19"/>
  <c r="E532" i="19" s="1"/>
  <c r="C406" i="19"/>
  <c r="C532" i="19" s="1"/>
  <c r="C53" i="23" s="1"/>
  <c r="B398" i="19"/>
  <c r="AD550" i="19"/>
  <c r="B347" i="19"/>
  <c r="AD332" i="19"/>
  <c r="C32" i="40"/>
  <c r="D32" i="40" s="1"/>
  <c r="U332" i="19"/>
  <c r="U548" i="19" s="1"/>
  <c r="E276" i="22" s="1"/>
  <c r="G276" i="22" s="1"/>
  <c r="T332" i="19"/>
  <c r="T548" i="19" s="1"/>
  <c r="D276" i="22" s="1"/>
  <c r="F276" i="22" s="1"/>
  <c r="Q548" i="19"/>
  <c r="P332" i="19"/>
  <c r="P548" i="19" s="1"/>
  <c r="N332" i="19"/>
  <c r="N548" i="19" s="1"/>
  <c r="M332" i="19"/>
  <c r="M548" i="19" s="1"/>
  <c r="L332" i="19"/>
  <c r="L548" i="19" s="1"/>
  <c r="K332" i="19"/>
  <c r="K548" i="19" s="1"/>
  <c r="J332" i="19"/>
  <c r="J548" i="19" s="1"/>
  <c r="I332" i="19"/>
  <c r="I548" i="19" s="1"/>
  <c r="H332" i="19"/>
  <c r="H548" i="19" s="1"/>
  <c r="G332" i="19"/>
  <c r="G548" i="19" s="1"/>
  <c r="F548" i="19"/>
  <c r="E548" i="19"/>
  <c r="C548" i="19"/>
  <c r="Z296" i="19"/>
  <c r="Z546" i="19" s="1"/>
  <c r="Z554" i="19" s="1"/>
  <c r="Z589" i="19" s="1"/>
  <c r="Y296" i="19"/>
  <c r="Y546" i="19" s="1"/>
  <c r="Y554" i="19" s="1"/>
  <c r="Y589" i="19" s="1"/>
  <c r="X296" i="19"/>
  <c r="X546" i="19" s="1"/>
  <c r="W296" i="19"/>
  <c r="C30" i="40"/>
  <c r="D30" i="40" s="1"/>
  <c r="U546" i="19"/>
  <c r="Q296" i="19"/>
  <c r="Q546" i="19" s="1"/>
  <c r="P296" i="19"/>
  <c r="P546" i="19" s="1"/>
  <c r="N296" i="19"/>
  <c r="N546" i="19" s="1"/>
  <c r="M296" i="19"/>
  <c r="M546" i="19" s="1"/>
  <c r="L296" i="19"/>
  <c r="L546" i="19" s="1"/>
  <c r="K296" i="19"/>
  <c r="K546" i="19" s="1"/>
  <c r="J296" i="19"/>
  <c r="J546" i="19" s="1"/>
  <c r="I296" i="19"/>
  <c r="I546" i="19" s="1"/>
  <c r="H296" i="19"/>
  <c r="H546" i="19" s="1"/>
  <c r="G296" i="19"/>
  <c r="G546" i="19" s="1"/>
  <c r="F546" i="19"/>
  <c r="E546" i="19"/>
  <c r="C546" i="19"/>
  <c r="B275" i="19"/>
  <c r="B311" i="19" s="1"/>
  <c r="AD544" i="19"/>
  <c r="X261" i="19"/>
  <c r="X544" i="19" s="1"/>
  <c r="C28" i="40"/>
  <c r="U544" i="19"/>
  <c r="T544" i="19"/>
  <c r="Q544" i="19"/>
  <c r="P261" i="19"/>
  <c r="P544" i="19" s="1"/>
  <c r="N261" i="19"/>
  <c r="N544" i="19" s="1"/>
  <c r="M261" i="19"/>
  <c r="M544" i="19" s="1"/>
  <c r="L261" i="19"/>
  <c r="L544" i="19" s="1"/>
  <c r="K261" i="19"/>
  <c r="K544" i="19" s="1"/>
  <c r="J261" i="19"/>
  <c r="J544" i="19" s="1"/>
  <c r="I261" i="19"/>
  <c r="I544" i="19" s="1"/>
  <c r="H261" i="19"/>
  <c r="H544" i="19" s="1"/>
  <c r="G261" i="19"/>
  <c r="G544" i="19" s="1"/>
  <c r="F261" i="19"/>
  <c r="C544" i="19"/>
  <c r="B240" i="19"/>
  <c r="AD226" i="19"/>
  <c r="F11" i="9" s="1"/>
  <c r="G11" i="9" s="1"/>
  <c r="X226" i="19"/>
  <c r="X530" i="19" s="1"/>
  <c r="U226" i="19"/>
  <c r="U530" i="19" s="1"/>
  <c r="T226" i="19"/>
  <c r="T530" i="19" s="1"/>
  <c r="Q226" i="19"/>
  <c r="Q530" i="19" s="1"/>
  <c r="P226" i="19"/>
  <c r="P530" i="19" s="1"/>
  <c r="N226" i="19"/>
  <c r="N530" i="19" s="1"/>
  <c r="M226" i="19"/>
  <c r="M530" i="19" s="1"/>
  <c r="L226" i="19"/>
  <c r="L530" i="19" s="1"/>
  <c r="K226" i="19"/>
  <c r="K530" i="19" s="1"/>
  <c r="J226" i="19"/>
  <c r="J530" i="19" s="1"/>
  <c r="I226" i="19"/>
  <c r="I530" i="19" s="1"/>
  <c r="H226" i="19"/>
  <c r="H530" i="19" s="1"/>
  <c r="G226" i="19"/>
  <c r="G530" i="19" s="1"/>
  <c r="F226" i="19"/>
  <c r="C530" i="19"/>
  <c r="B191" i="19"/>
  <c r="AD175" i="19"/>
  <c r="X175" i="19"/>
  <c r="X528" i="19" s="1"/>
  <c r="U528" i="19"/>
  <c r="T175" i="19"/>
  <c r="Q175" i="19"/>
  <c r="Q528" i="19" s="1"/>
  <c r="P175" i="19"/>
  <c r="P528" i="19" s="1"/>
  <c r="N175" i="19"/>
  <c r="N528" i="19" s="1"/>
  <c r="M175" i="19"/>
  <c r="M528" i="19" s="1"/>
  <c r="L175" i="19"/>
  <c r="L528" i="19" s="1"/>
  <c r="K175" i="19"/>
  <c r="K528" i="19" s="1"/>
  <c r="J175" i="19"/>
  <c r="J528" i="19" s="1"/>
  <c r="I175" i="19"/>
  <c r="I528" i="19" s="1"/>
  <c r="H175" i="19"/>
  <c r="H528" i="19" s="1"/>
  <c r="G175" i="19"/>
  <c r="G528" i="19" s="1"/>
  <c r="E175" i="19"/>
  <c r="C528" i="19"/>
  <c r="B150" i="19"/>
  <c r="AD526" i="19"/>
  <c r="V526" i="19"/>
  <c r="AH11" i="4" s="1"/>
  <c r="U526" i="19"/>
  <c r="T526" i="19"/>
  <c r="Q526" i="19"/>
  <c r="P526" i="19"/>
  <c r="N526" i="19"/>
  <c r="M526" i="19"/>
  <c r="L526" i="19"/>
  <c r="K526" i="19"/>
  <c r="J526" i="19"/>
  <c r="I526" i="19"/>
  <c r="H526" i="19"/>
  <c r="G526" i="19"/>
  <c r="C526" i="19"/>
  <c r="U152" i="19"/>
  <c r="B106" i="19"/>
  <c r="U524" i="19"/>
  <c r="T524" i="19"/>
  <c r="Q524" i="19"/>
  <c r="P524" i="19"/>
  <c r="N524" i="19"/>
  <c r="M524" i="19"/>
  <c r="L524" i="19"/>
  <c r="K524" i="19"/>
  <c r="J524" i="19"/>
  <c r="I524" i="19"/>
  <c r="H524" i="19"/>
  <c r="G524" i="19"/>
  <c r="C524" i="19"/>
  <c r="Q54" i="19"/>
  <c r="Q109" i="19" s="1"/>
  <c r="Q153" i="19" s="1"/>
  <c r="U53" i="19"/>
  <c r="T53" i="19"/>
  <c r="B399" i="19"/>
  <c r="AD35" i="19"/>
  <c r="AD522" i="19" s="1"/>
  <c r="X35" i="19"/>
  <c r="X522" i="19" s="1"/>
  <c r="X542" i="19" s="1"/>
  <c r="X554" i="19" s="1"/>
  <c r="X589" i="19" s="1"/>
  <c r="U522" i="19"/>
  <c r="E258" i="22" s="1"/>
  <c r="T522" i="19"/>
  <c r="D258" i="22" s="1"/>
  <c r="F258" i="22" s="1"/>
  <c r="Q522" i="19"/>
  <c r="P522" i="19"/>
  <c r="N522" i="19"/>
  <c r="M522" i="19"/>
  <c r="L522" i="19"/>
  <c r="K522" i="19"/>
  <c r="J522" i="19"/>
  <c r="I522" i="19"/>
  <c r="H522" i="19"/>
  <c r="G522" i="19"/>
  <c r="C522" i="19"/>
  <c r="AQ11" i="4" l="1"/>
  <c r="AP11" i="4"/>
  <c r="W590" i="19"/>
  <c r="W546" i="19"/>
  <c r="W554" i="19" s="1"/>
  <c r="W589" i="19" s="1"/>
  <c r="D344" i="22"/>
  <c r="F344" i="22" s="1"/>
  <c r="AB8" i="12"/>
  <c r="AB69" i="12" s="1"/>
  <c r="AB71" i="12" s="1"/>
  <c r="C18" i="40"/>
  <c r="D18" i="40" s="1"/>
  <c r="AH17" i="4"/>
  <c r="C542" i="19"/>
  <c r="Z8" i="12"/>
  <c r="Z69" i="12" s="1"/>
  <c r="Z71" i="12" s="1"/>
  <c r="V552" i="19"/>
  <c r="AB552" i="19" s="1"/>
  <c r="AD548" i="19"/>
  <c r="AD33" i="4" s="1"/>
  <c r="F14" i="9"/>
  <c r="G14" i="9" s="1"/>
  <c r="E274" i="22"/>
  <c r="G274" i="22" s="1"/>
  <c r="E272" i="22"/>
  <c r="G272" i="22" s="1"/>
  <c r="D272" i="22"/>
  <c r="D266" i="22"/>
  <c r="F266" i="22" s="1"/>
  <c r="E266" i="22"/>
  <c r="G266" i="22" s="1"/>
  <c r="E264" i="22"/>
  <c r="G264" i="22" s="1"/>
  <c r="D262" i="22"/>
  <c r="F262" i="22" s="1"/>
  <c r="E262" i="22"/>
  <c r="G262" i="22" s="1"/>
  <c r="D260" i="22"/>
  <c r="F260" i="22" s="1"/>
  <c r="E260" i="22"/>
  <c r="G260" i="22" s="1"/>
  <c r="AD528" i="19"/>
  <c r="AD13" i="4" s="1"/>
  <c r="F10" i="9"/>
  <c r="G10" i="9" s="1"/>
  <c r="C12" i="40"/>
  <c r="D12" i="40" s="1"/>
  <c r="AD7" i="4"/>
  <c r="F7" i="9"/>
  <c r="I542" i="19"/>
  <c r="M542" i="19"/>
  <c r="G542" i="19"/>
  <c r="K542" i="19"/>
  <c r="P542" i="19"/>
  <c r="Q519" i="19"/>
  <c r="Q494" i="19"/>
  <c r="H542" i="19"/>
  <c r="L542" i="19"/>
  <c r="Q542" i="19"/>
  <c r="J542" i="19"/>
  <c r="N542" i="19"/>
  <c r="U542" i="19"/>
  <c r="V522" i="19"/>
  <c r="AH7" i="4" s="1"/>
  <c r="V524" i="19"/>
  <c r="AH9" i="4" s="1"/>
  <c r="F544" i="19"/>
  <c r="C55" i="23"/>
  <c r="E53" i="23"/>
  <c r="E55" i="23" s="1"/>
  <c r="D28" i="40"/>
  <c r="AA41" i="4"/>
  <c r="Z19" i="4"/>
  <c r="Y19" i="4"/>
  <c r="C18" i="18" s="1"/>
  <c r="Y37" i="4"/>
  <c r="C16" i="18" s="1"/>
  <c r="Z37" i="4"/>
  <c r="Y17" i="4"/>
  <c r="C17" i="18" s="1"/>
  <c r="Z17" i="4"/>
  <c r="Z33" i="4"/>
  <c r="Y33" i="4"/>
  <c r="C12" i="18" s="1"/>
  <c r="Z31" i="4"/>
  <c r="Y31" i="4"/>
  <c r="C11" i="18" s="1"/>
  <c r="Z29" i="4"/>
  <c r="Y29" i="4"/>
  <c r="C10" i="18" s="1"/>
  <c r="Z15" i="4"/>
  <c r="Y15" i="4"/>
  <c r="C9" i="18" s="1"/>
  <c r="Z13" i="4"/>
  <c r="Y13" i="4"/>
  <c r="C8" i="18" s="1"/>
  <c r="Z11" i="4"/>
  <c r="Y11" i="4"/>
  <c r="C7" i="18" s="1"/>
  <c r="Z9" i="4"/>
  <c r="Y9" i="4"/>
  <c r="C6" i="18" s="1"/>
  <c r="Z7" i="4"/>
  <c r="Y7" i="4"/>
  <c r="C5" i="18" s="1"/>
  <c r="V556" i="19"/>
  <c r="G6" i="23" s="1"/>
  <c r="G8" i="23" s="1"/>
  <c r="T152" i="19"/>
  <c r="T193" i="19" s="1"/>
  <c r="T242" i="19" s="1"/>
  <c r="T277" i="19" s="1"/>
  <c r="T313" i="19" s="1"/>
  <c r="T349" i="19" s="1"/>
  <c r="T401" i="19" s="1"/>
  <c r="AD530" i="19"/>
  <c r="Q194" i="19"/>
  <c r="Q243" i="19" s="1"/>
  <c r="AD524" i="19"/>
  <c r="E526" i="19"/>
  <c r="F526" i="19"/>
  <c r="E530" i="19"/>
  <c r="F530" i="19"/>
  <c r="AD546" i="19"/>
  <c r="E524" i="19"/>
  <c r="F524" i="19"/>
  <c r="E528" i="19"/>
  <c r="F175" i="19"/>
  <c r="F528" i="19" s="1"/>
  <c r="E544" i="19"/>
  <c r="E522" i="19"/>
  <c r="F522" i="19"/>
  <c r="AD556" i="19"/>
  <c r="AC8" i="12" s="1"/>
  <c r="F25" i="9" s="1"/>
  <c r="G25" i="9" s="1"/>
  <c r="V528" i="19"/>
  <c r="AH13" i="4" s="1"/>
  <c r="AD11" i="4"/>
  <c r="AD35" i="4"/>
  <c r="AD29" i="4"/>
  <c r="C556" i="19"/>
  <c r="T546" i="19"/>
  <c r="I550" i="19"/>
  <c r="M550" i="19"/>
  <c r="H550" i="19"/>
  <c r="L550" i="19"/>
  <c r="G550" i="19"/>
  <c r="K550" i="19"/>
  <c r="P550" i="19"/>
  <c r="J550" i="19"/>
  <c r="N550" i="19"/>
  <c r="V530" i="19"/>
  <c r="C550" i="19"/>
  <c r="Q550" i="19"/>
  <c r="U550" i="19"/>
  <c r="E278" i="22" s="1"/>
  <c r="G278" i="22" s="1"/>
  <c r="AE37" i="4"/>
  <c r="AE33" i="4"/>
  <c r="AE31" i="4"/>
  <c r="AE29" i="4"/>
  <c r="AD8" i="12"/>
  <c r="AD69" i="12" s="1"/>
  <c r="AD71" i="12" s="1"/>
  <c r="D317" i="22"/>
  <c r="F317" i="22" s="1"/>
  <c r="AC19" i="4"/>
  <c r="E317" i="22"/>
  <c r="G317" i="22" s="1"/>
  <c r="AE19" i="4"/>
  <c r="D329" i="22"/>
  <c r="F329" i="22" s="1"/>
  <c r="AC37" i="4"/>
  <c r="E329" i="22"/>
  <c r="G329" i="22" s="1"/>
  <c r="E315" i="22"/>
  <c r="G315" i="22" s="1"/>
  <c r="AE17" i="4"/>
  <c r="D315" i="22"/>
  <c r="F315" i="22" s="1"/>
  <c r="AC17" i="4"/>
  <c r="E325" i="22"/>
  <c r="G325" i="22" s="1"/>
  <c r="D325" i="22"/>
  <c r="F325" i="22" s="1"/>
  <c r="AC33" i="4"/>
  <c r="E323" i="22"/>
  <c r="G323" i="22" s="1"/>
  <c r="D321" i="22"/>
  <c r="F321" i="22" s="1"/>
  <c r="AC29" i="4"/>
  <c r="E321" i="22"/>
  <c r="G321" i="22" s="1"/>
  <c r="E313" i="22"/>
  <c r="G313" i="22" s="1"/>
  <c r="AE15" i="4"/>
  <c r="D313" i="22"/>
  <c r="F313" i="22" s="1"/>
  <c r="AC15" i="4"/>
  <c r="E311" i="22"/>
  <c r="G311" i="22" s="1"/>
  <c r="AE13" i="4"/>
  <c r="E309" i="22"/>
  <c r="G309" i="22" s="1"/>
  <c r="AE11" i="4"/>
  <c r="D309" i="22"/>
  <c r="F309" i="22" s="1"/>
  <c r="AC11" i="4"/>
  <c r="E307" i="22"/>
  <c r="G307" i="22" s="1"/>
  <c r="AE9" i="4"/>
  <c r="D307" i="22"/>
  <c r="F307" i="22" s="1"/>
  <c r="AC9" i="4"/>
  <c r="E305" i="22"/>
  <c r="AE7" i="4"/>
  <c r="D305" i="22"/>
  <c r="F305" i="22" s="1"/>
  <c r="AC7" i="4"/>
  <c r="V657" i="19"/>
  <c r="V703" i="19"/>
  <c r="C34" i="40"/>
  <c r="D34" i="40" s="1"/>
  <c r="V584" i="19"/>
  <c r="V534" i="19"/>
  <c r="V560" i="19"/>
  <c r="V574" i="19"/>
  <c r="V582" i="19"/>
  <c r="V580" i="19"/>
  <c r="V564" i="19"/>
  <c r="U193" i="19"/>
  <c r="U242" i="19" s="1"/>
  <c r="U277" i="19" s="1"/>
  <c r="U313" i="19" s="1"/>
  <c r="U349" i="19" s="1"/>
  <c r="U401" i="19" s="1"/>
  <c r="U933" i="19"/>
  <c r="V562" i="19"/>
  <c r="V566" i="19"/>
  <c r="V568" i="19"/>
  <c r="V572" i="19"/>
  <c r="T550" i="19"/>
  <c r="D278" i="22" s="1"/>
  <c r="F278" i="22" s="1"/>
  <c r="T528" i="19"/>
  <c r="D264" i="22" s="1"/>
  <c r="AP7" i="4" l="1"/>
  <c r="AK37" i="4"/>
  <c r="AK39" i="4" s="1"/>
  <c r="AK41" i="4" s="1"/>
  <c r="AB554" i="19"/>
  <c r="AB589" i="19" s="1"/>
  <c r="AQ17" i="4"/>
  <c r="AP17" i="4"/>
  <c r="AQ13" i="4"/>
  <c r="AP13" i="4"/>
  <c r="AQ9" i="4"/>
  <c r="AP9" i="4"/>
  <c r="AQ7" i="4"/>
  <c r="V542" i="19"/>
  <c r="V554" i="19" s="1"/>
  <c r="V589" i="19" s="1"/>
  <c r="C554" i="19"/>
  <c r="C589" i="19" s="1"/>
  <c r="G7" i="9"/>
  <c r="G16" i="9" s="1"/>
  <c r="F16" i="9"/>
  <c r="F17" i="18"/>
  <c r="AL17" i="4"/>
  <c r="C36" i="40"/>
  <c r="D36" i="40" s="1"/>
  <c r="AH37" i="4"/>
  <c r="AP37" i="4" s="1"/>
  <c r="AP39" i="4" s="1"/>
  <c r="C20" i="40"/>
  <c r="D20" i="40" s="1"/>
  <c r="AH19" i="4"/>
  <c r="G282" i="22"/>
  <c r="AH15" i="4"/>
  <c r="AH43" i="4" s="1"/>
  <c r="F272" i="22"/>
  <c r="D13" i="23"/>
  <c r="D14" i="23" s="1"/>
  <c r="H6" i="23"/>
  <c r="M6" i="23" s="1"/>
  <c r="D274" i="22"/>
  <c r="F274" i="22" s="1"/>
  <c r="E282" i="22"/>
  <c r="C16" i="40"/>
  <c r="D16" i="40" s="1"/>
  <c r="C14" i="40"/>
  <c r="D14" i="40" s="1"/>
  <c r="T542" i="19"/>
  <c r="F7" i="18"/>
  <c r="AL11" i="4"/>
  <c r="F6" i="18"/>
  <c r="AE27" i="4"/>
  <c r="F542" i="19"/>
  <c r="E542" i="19"/>
  <c r="C10" i="40"/>
  <c r="D10" i="40" s="1"/>
  <c r="AD554" i="19"/>
  <c r="C8" i="40"/>
  <c r="D8" i="40" s="1"/>
  <c r="AO37" i="4"/>
  <c r="AN37" i="4"/>
  <c r="AO31" i="4"/>
  <c r="AN31" i="4"/>
  <c r="AO29" i="4"/>
  <c r="AN29" i="4"/>
  <c r="AO33" i="4"/>
  <c r="AN33" i="4"/>
  <c r="C28" i="18"/>
  <c r="F50" i="18"/>
  <c r="AF8" i="12"/>
  <c r="AI8" i="12" s="1"/>
  <c r="C40" i="40"/>
  <c r="D40" i="40" s="1"/>
  <c r="AF69" i="12" s="1"/>
  <c r="AC69" i="12"/>
  <c r="AC71" i="12" s="1"/>
  <c r="Y27" i="4"/>
  <c r="Z27" i="4"/>
  <c r="C33" i="18"/>
  <c r="Z35" i="4"/>
  <c r="Y35" i="4"/>
  <c r="C13" i="18" s="1"/>
  <c r="C19" i="18" s="1"/>
  <c r="AC31" i="4"/>
  <c r="AD31" i="4"/>
  <c r="AD15" i="4"/>
  <c r="AD9" i="4"/>
  <c r="C26" i="18" s="1"/>
  <c r="T424" i="19"/>
  <c r="T933" i="19"/>
  <c r="T445" i="19"/>
  <c r="T469" i="19" s="1"/>
  <c r="Q278" i="19"/>
  <c r="Q934" i="19" s="1"/>
  <c r="Q314" i="19"/>
  <c r="Q350" i="19" s="1"/>
  <c r="Q402" i="19" s="1"/>
  <c r="Q425" i="19" s="1"/>
  <c r="Q446" i="19" s="1"/>
  <c r="Q470" i="19" s="1"/>
  <c r="Y8" i="12"/>
  <c r="Y69" i="12" s="1"/>
  <c r="Y71" i="12" s="1"/>
  <c r="D323" i="22"/>
  <c r="F323" i="22" s="1"/>
  <c r="E550" i="19"/>
  <c r="F550" i="19"/>
  <c r="M554" i="19"/>
  <c r="M589" i="19" s="1"/>
  <c r="K554" i="19"/>
  <c r="K589" i="19" s="1"/>
  <c r="G554" i="19"/>
  <c r="G589" i="19" s="1"/>
  <c r="N554" i="19"/>
  <c r="N589" i="19" s="1"/>
  <c r="I554" i="19"/>
  <c r="I589" i="19" s="1"/>
  <c r="H554" i="19"/>
  <c r="H589" i="19" s="1"/>
  <c r="L554" i="19"/>
  <c r="L589" i="19" s="1"/>
  <c r="J554" i="19"/>
  <c r="J589" i="19" s="1"/>
  <c r="AE35" i="4"/>
  <c r="E327" i="22"/>
  <c r="G327" i="22" s="1"/>
  <c r="U554" i="19"/>
  <c r="U589" i="19" s="1"/>
  <c r="Q554" i="19"/>
  <c r="Q589" i="19" s="1"/>
  <c r="AC13" i="4"/>
  <c r="AC27" i="4" s="1"/>
  <c r="E8" i="23"/>
  <c r="D327" i="22"/>
  <c r="F327" i="22" s="1"/>
  <c r="AC35" i="4"/>
  <c r="G305" i="22"/>
  <c r="D311" i="22"/>
  <c r="U445" i="19"/>
  <c r="U469" i="19" s="1"/>
  <c r="U424" i="19"/>
  <c r="E554" i="19" l="1"/>
  <c r="AQ19" i="4"/>
  <c r="AP19" i="4"/>
  <c r="AQ15" i="4"/>
  <c r="AP15" i="4"/>
  <c r="AL37" i="4"/>
  <c r="AL39" i="4" s="1"/>
  <c r="AQ37" i="4"/>
  <c r="AQ39" i="4" s="1"/>
  <c r="F16" i="18"/>
  <c r="AH39" i="4"/>
  <c r="F18" i="18"/>
  <c r="AL19" i="4"/>
  <c r="T554" i="19"/>
  <c r="T589" i="19" s="1"/>
  <c r="D282" i="22"/>
  <c r="AH27" i="4"/>
  <c r="AL43" i="4"/>
  <c r="F9" i="18"/>
  <c r="AL15" i="4"/>
  <c r="F8" i="18"/>
  <c r="AL13" i="4"/>
  <c r="F264" i="22"/>
  <c r="F5" i="18"/>
  <c r="AD27" i="4"/>
  <c r="T519" i="19"/>
  <c r="T494" i="19"/>
  <c r="Q520" i="19"/>
  <c r="Q495" i="19"/>
  <c r="U519" i="19"/>
  <c r="U494" i="19"/>
  <c r="N6" i="23"/>
  <c r="E347" i="22"/>
  <c r="D347" i="22"/>
  <c r="C26" i="40"/>
  <c r="D26" i="40" s="1"/>
  <c r="D38" i="40" s="1"/>
  <c r="AO35" i="4"/>
  <c r="AO39" i="4" s="1"/>
  <c r="AO41" i="4" s="1"/>
  <c r="AN35" i="4"/>
  <c r="AN39" i="4" s="1"/>
  <c r="AN19" i="4"/>
  <c r="AN27" i="4" s="1"/>
  <c r="C29" i="18"/>
  <c r="F51" i="18"/>
  <c r="H51" i="18" s="1"/>
  <c r="M51" i="18" s="1"/>
  <c r="F52" i="18"/>
  <c r="H52" i="18" s="1"/>
  <c r="M52" i="18" s="1"/>
  <c r="H50" i="18"/>
  <c r="F57" i="18"/>
  <c r="H57" i="18" s="1"/>
  <c r="M57" i="18" s="1"/>
  <c r="F56" i="18"/>
  <c r="H56" i="18" s="1"/>
  <c r="M56" i="18" s="1"/>
  <c r="F61" i="18"/>
  <c r="H61" i="18" s="1"/>
  <c r="M61" i="18" s="1"/>
  <c r="F62" i="18"/>
  <c r="H62" i="18" s="1"/>
  <c r="M62" i="18" s="1"/>
  <c r="F55" i="18"/>
  <c r="H55" i="18" s="1"/>
  <c r="M55" i="18" s="1"/>
  <c r="AI69" i="12"/>
  <c r="AI71" i="12" s="1"/>
  <c r="AF71" i="12"/>
  <c r="F53" i="23" s="1"/>
  <c r="F554" i="19"/>
  <c r="F589" i="19" s="1"/>
  <c r="G331" i="22"/>
  <c r="E331" i="22"/>
  <c r="F311" i="22"/>
  <c r="F331" i="22" s="1"/>
  <c r="D331" i="22"/>
  <c r="AQ27" i="4" l="1"/>
  <c r="AQ41" i="4" s="1"/>
  <c r="AP27" i="4"/>
  <c r="AP41" i="4" s="1"/>
  <c r="AL27" i="4"/>
  <c r="AL41" i="4" s="1"/>
  <c r="AN41" i="4"/>
  <c r="E589" i="19"/>
  <c r="J36" i="18"/>
  <c r="AH41" i="4"/>
  <c r="F19" i="18"/>
  <c r="F282" i="22"/>
  <c r="M25" i="18" s="1"/>
  <c r="H5" i="18"/>
  <c r="M5" i="18" s="1"/>
  <c r="F347" i="22"/>
  <c r="M14" i="23"/>
  <c r="M61" i="23" s="1"/>
  <c r="G347" i="22"/>
  <c r="M15" i="23"/>
  <c r="M62" i="23" s="1"/>
  <c r="M26" i="18"/>
  <c r="M71" i="18" s="1"/>
  <c r="C38" i="40"/>
  <c r="F54" i="18"/>
  <c r="H54" i="18" s="1"/>
  <c r="M54" i="18" s="1"/>
  <c r="F63" i="18"/>
  <c r="H63" i="18" s="1"/>
  <c r="M63" i="18" s="1"/>
  <c r="F53" i="18"/>
  <c r="H53" i="18" s="1"/>
  <c r="M53" i="18" s="1"/>
  <c r="F58" i="18"/>
  <c r="H58" i="18" s="1"/>
  <c r="M58" i="18" s="1"/>
  <c r="M50" i="18"/>
  <c r="D59" i="23"/>
  <c r="D61" i="23" s="1"/>
  <c r="F55" i="23"/>
  <c r="H53" i="23"/>
  <c r="L19" i="18"/>
  <c r="J37" i="18" l="1"/>
  <c r="K36" i="18"/>
  <c r="K37" i="18" s="1"/>
  <c r="H8" i="23"/>
  <c r="M8" i="23" s="1"/>
  <c r="M65" i="23"/>
  <c r="H64" i="18"/>
  <c r="M64" i="18" s="1"/>
  <c r="F64" i="18"/>
  <c r="M53" i="23"/>
  <c r="H55" i="23"/>
  <c r="M55" i="23" s="1"/>
  <c r="M27" i="18"/>
  <c r="M72" i="18" s="1"/>
  <c r="M70" i="18"/>
  <c r="H14" i="18"/>
  <c r="M14" i="18" s="1"/>
  <c r="M24" i="18" l="1"/>
  <c r="M30" i="18" s="1"/>
  <c r="M75" i="18"/>
  <c r="P75" i="18" s="1"/>
  <c r="AX5" i="4"/>
  <c r="AX6" i="4"/>
  <c r="AX7" i="4"/>
  <c r="AX8" i="4"/>
  <c r="AX4" i="4"/>
  <c r="AU10" i="4"/>
  <c r="AA210" i="17" l="1"/>
  <c r="C287" i="17"/>
  <c r="D287" i="17"/>
  <c r="D431" i="17" s="1"/>
  <c r="E287" i="17"/>
  <c r="E431" i="17" s="1"/>
  <c r="F287" i="17"/>
  <c r="F431" i="17" s="1"/>
  <c r="G287" i="17"/>
  <c r="H287" i="17"/>
  <c r="H431" i="17" s="1"/>
  <c r="I287" i="17"/>
  <c r="I431" i="17" s="1"/>
  <c r="J287" i="17"/>
  <c r="J431" i="17" s="1"/>
  <c r="K287" i="17"/>
  <c r="L287" i="17"/>
  <c r="L431" i="17" s="1"/>
  <c r="M287" i="17"/>
  <c r="M431" i="17" s="1"/>
  <c r="N287" i="17"/>
  <c r="N431" i="17" s="1"/>
  <c r="O287" i="17"/>
  <c r="Q287" i="17"/>
  <c r="Q431" i="17" s="1"/>
  <c r="R287" i="17"/>
  <c r="R431" i="17" s="1"/>
  <c r="B287" i="17"/>
  <c r="B431" i="17" s="1"/>
  <c r="AA269" i="17"/>
  <c r="AA270" i="17"/>
  <c r="AA274" i="17"/>
  <c r="AA276" i="17"/>
  <c r="AA279" i="17"/>
  <c r="AA283" i="17"/>
  <c r="AA284" i="17"/>
  <c r="AA285" i="17"/>
  <c r="AA286" i="17"/>
  <c r="AA50" i="17"/>
  <c r="AA83" i="17"/>
  <c r="AA84" i="17"/>
  <c r="AA85" i="17"/>
  <c r="AA86" i="17"/>
  <c r="AA112" i="17"/>
  <c r="AA113" i="17"/>
  <c r="AA115" i="17"/>
  <c r="AA118" i="17"/>
  <c r="AA119" i="17"/>
  <c r="AA120" i="17"/>
  <c r="AA149" i="17"/>
  <c r="AA150" i="17"/>
  <c r="AA182" i="17"/>
  <c r="R819" i="17"/>
  <c r="Q819" i="17"/>
  <c r="O819" i="17"/>
  <c r="N819" i="17"/>
  <c r="M819" i="17"/>
  <c r="L819" i="17"/>
  <c r="K819" i="17"/>
  <c r="J819" i="17"/>
  <c r="I819" i="17"/>
  <c r="H819" i="17"/>
  <c r="G819" i="17"/>
  <c r="F819" i="17"/>
  <c r="E819" i="17"/>
  <c r="D819" i="17"/>
  <c r="C819" i="17"/>
  <c r="B819" i="17"/>
  <c r="P817" i="17"/>
  <c r="P819" i="17" s="1"/>
  <c r="M815" i="17"/>
  <c r="M814" i="17"/>
  <c r="M800" i="17"/>
  <c r="L800" i="17"/>
  <c r="K800" i="17"/>
  <c r="J800" i="17"/>
  <c r="I800" i="17"/>
  <c r="H800" i="17"/>
  <c r="G800" i="17"/>
  <c r="F800" i="17"/>
  <c r="E800" i="17"/>
  <c r="D800" i="17"/>
  <c r="C800" i="17"/>
  <c r="B800" i="17"/>
  <c r="R797" i="17"/>
  <c r="R800" i="17" s="1"/>
  <c r="A791" i="17"/>
  <c r="M777" i="17"/>
  <c r="L777" i="17"/>
  <c r="K777" i="17"/>
  <c r="J777" i="17"/>
  <c r="I777" i="17"/>
  <c r="H777" i="17"/>
  <c r="G777" i="17"/>
  <c r="F777" i="17"/>
  <c r="E777" i="17"/>
  <c r="D777" i="17"/>
  <c r="C777" i="17"/>
  <c r="B777" i="17"/>
  <c r="R774" i="17"/>
  <c r="R777" i="17" s="1"/>
  <c r="R754" i="17"/>
  <c r="M754" i="17"/>
  <c r="L754" i="17"/>
  <c r="L465" i="17" s="1"/>
  <c r="K754" i="17"/>
  <c r="J754" i="17"/>
  <c r="J465" i="17" s="1"/>
  <c r="I754" i="17"/>
  <c r="I465" i="17" s="1"/>
  <c r="H754" i="17"/>
  <c r="G754" i="17"/>
  <c r="F754" i="17"/>
  <c r="E754" i="17"/>
  <c r="E465" i="17" s="1"/>
  <c r="D754" i="17"/>
  <c r="D465" i="17" s="1"/>
  <c r="C754" i="17"/>
  <c r="B754" i="17"/>
  <c r="A736" i="17"/>
  <c r="A767" i="17" s="1"/>
  <c r="R724" i="17"/>
  <c r="M724" i="17"/>
  <c r="L724" i="17"/>
  <c r="L463" i="17" s="1"/>
  <c r="K724" i="17"/>
  <c r="K463" i="17" s="1"/>
  <c r="J724" i="17"/>
  <c r="I724" i="17"/>
  <c r="I463" i="17" s="1"/>
  <c r="H724" i="17"/>
  <c r="H463" i="17" s="1"/>
  <c r="G724" i="17"/>
  <c r="G463" i="17" s="1"/>
  <c r="F724" i="17"/>
  <c r="E724" i="17"/>
  <c r="D724" i="17"/>
  <c r="D463" i="17" s="1"/>
  <c r="C724" i="17"/>
  <c r="C463" i="17" s="1"/>
  <c r="B724" i="17"/>
  <c r="R702" i="17"/>
  <c r="M702" i="17"/>
  <c r="L702" i="17"/>
  <c r="L461" i="17" s="1"/>
  <c r="K702" i="17"/>
  <c r="K461" i="17" s="1"/>
  <c r="J702" i="17"/>
  <c r="I702" i="17"/>
  <c r="I461" i="17" s="1"/>
  <c r="H702" i="17"/>
  <c r="H461" i="17" s="1"/>
  <c r="G702" i="17"/>
  <c r="F702" i="17"/>
  <c r="E702" i="17"/>
  <c r="E461" i="17" s="1"/>
  <c r="D702" i="17"/>
  <c r="D461" i="17" s="1"/>
  <c r="C702" i="17"/>
  <c r="C461" i="17" s="1"/>
  <c r="B702" i="17"/>
  <c r="A690" i="17"/>
  <c r="A713" i="17" s="1"/>
  <c r="R679" i="17"/>
  <c r="M679" i="17"/>
  <c r="L679" i="17"/>
  <c r="L457" i="17" s="1"/>
  <c r="K679" i="17"/>
  <c r="K457" i="17" s="1"/>
  <c r="J679" i="17"/>
  <c r="J457" i="17" s="1"/>
  <c r="I679" i="17"/>
  <c r="H679" i="17"/>
  <c r="H457" i="17" s="1"/>
  <c r="G679" i="17"/>
  <c r="G457" i="17" s="1"/>
  <c r="F679" i="17"/>
  <c r="F457" i="17" s="1"/>
  <c r="E679" i="17"/>
  <c r="D679" i="17"/>
  <c r="D457" i="17" s="1"/>
  <c r="C679" i="17"/>
  <c r="C457" i="17" s="1"/>
  <c r="B679" i="17"/>
  <c r="A669" i="17"/>
  <c r="R660" i="17"/>
  <c r="M660" i="17"/>
  <c r="L660" i="17"/>
  <c r="L455" i="17" s="1"/>
  <c r="K660" i="17"/>
  <c r="J660" i="17"/>
  <c r="J455" i="17" s="1"/>
  <c r="I660" i="17"/>
  <c r="I455" i="17" s="1"/>
  <c r="H660" i="17"/>
  <c r="H455" i="17" s="1"/>
  <c r="G660" i="17"/>
  <c r="F660" i="17"/>
  <c r="F455" i="17" s="1"/>
  <c r="E660" i="17"/>
  <c r="E455" i="17" s="1"/>
  <c r="D660" i="17"/>
  <c r="D455" i="17" s="1"/>
  <c r="C660" i="17"/>
  <c r="B660" i="17"/>
  <c r="B455" i="17" s="1"/>
  <c r="A647" i="17"/>
  <c r="R636" i="17"/>
  <c r="M636" i="17"/>
  <c r="L636" i="17"/>
  <c r="L453" i="17" s="1"/>
  <c r="K636" i="17"/>
  <c r="K453" i="17" s="1"/>
  <c r="J636" i="17"/>
  <c r="J453" i="17" s="1"/>
  <c r="I636" i="17"/>
  <c r="H636" i="17"/>
  <c r="H453" i="17" s="1"/>
  <c r="G636" i="17"/>
  <c r="G453" i="17" s="1"/>
  <c r="F636" i="17"/>
  <c r="F453" i="17" s="1"/>
  <c r="E636" i="17"/>
  <c r="E453" i="17" s="1"/>
  <c r="D636" i="17"/>
  <c r="D453" i="17" s="1"/>
  <c r="C636" i="17"/>
  <c r="C453" i="17" s="1"/>
  <c r="B636" i="17"/>
  <c r="B453" i="17" s="1"/>
  <c r="A622" i="17"/>
  <c r="R610" i="17"/>
  <c r="M610" i="17"/>
  <c r="L610" i="17"/>
  <c r="L451" i="17" s="1"/>
  <c r="K610" i="17"/>
  <c r="J610" i="17"/>
  <c r="J451" i="17" s="1"/>
  <c r="I610" i="17"/>
  <c r="I451" i="17" s="1"/>
  <c r="H610" i="17"/>
  <c r="H451" i="17" s="1"/>
  <c r="G610" i="17"/>
  <c r="G451" i="17" s="1"/>
  <c r="F610" i="17"/>
  <c r="F451" i="17" s="1"/>
  <c r="E610" i="17"/>
  <c r="E451" i="17" s="1"/>
  <c r="D610" i="17"/>
  <c r="D451" i="17" s="1"/>
  <c r="C610" i="17"/>
  <c r="B610" i="17"/>
  <c r="A597" i="17"/>
  <c r="M584" i="17"/>
  <c r="L584" i="17"/>
  <c r="K584" i="17"/>
  <c r="K449" i="17" s="1"/>
  <c r="J584" i="17"/>
  <c r="J449" i="17" s="1"/>
  <c r="I584" i="17"/>
  <c r="I449" i="17" s="1"/>
  <c r="H584" i="17"/>
  <c r="H449" i="17" s="1"/>
  <c r="G584" i="17"/>
  <c r="G449" i="17" s="1"/>
  <c r="F584" i="17"/>
  <c r="F449" i="17" s="1"/>
  <c r="E584" i="17"/>
  <c r="E449" i="17" s="1"/>
  <c r="D584" i="17"/>
  <c r="C584" i="17"/>
  <c r="C449" i="17" s="1"/>
  <c r="B584" i="17"/>
  <c r="B449" i="17" s="1"/>
  <c r="R579" i="17"/>
  <c r="R577" i="17"/>
  <c r="A571" i="17"/>
  <c r="M561" i="17"/>
  <c r="L561" i="17"/>
  <c r="L447" i="17" s="1"/>
  <c r="K561" i="17"/>
  <c r="K447" i="17" s="1"/>
  <c r="J561" i="17"/>
  <c r="J447" i="17" s="1"/>
  <c r="I561" i="17"/>
  <c r="I447" i="17" s="1"/>
  <c r="H561" i="17"/>
  <c r="H447" i="17" s="1"/>
  <c r="G561" i="17"/>
  <c r="F561" i="17"/>
  <c r="F447" i="17" s="1"/>
  <c r="E561" i="17"/>
  <c r="E447" i="17" s="1"/>
  <c r="D561" i="17"/>
  <c r="D447" i="17" s="1"/>
  <c r="C561" i="17"/>
  <c r="C447" i="17" s="1"/>
  <c r="B561" i="17"/>
  <c r="B447" i="17" s="1"/>
  <c r="R555" i="17"/>
  <c r="R561" i="17" s="1"/>
  <c r="A549" i="17"/>
  <c r="M538" i="17"/>
  <c r="L538" i="17"/>
  <c r="L445" i="17" s="1"/>
  <c r="K538" i="17"/>
  <c r="K445" i="17" s="1"/>
  <c r="J538" i="17"/>
  <c r="J445" i="17" s="1"/>
  <c r="I538" i="17"/>
  <c r="H538" i="17"/>
  <c r="H445" i="17" s="1"/>
  <c r="G538" i="17"/>
  <c r="G445" i="17" s="1"/>
  <c r="F538" i="17"/>
  <c r="F445" i="17" s="1"/>
  <c r="E538" i="17"/>
  <c r="E445" i="17" s="1"/>
  <c r="D538" i="17"/>
  <c r="D445" i="17" s="1"/>
  <c r="C538" i="17"/>
  <c r="C445" i="17" s="1"/>
  <c r="B538" i="17"/>
  <c r="B445" i="17" s="1"/>
  <c r="R534" i="17"/>
  <c r="R532" i="17"/>
  <c r="N530" i="17"/>
  <c r="N529" i="17"/>
  <c r="A526" i="17"/>
  <c r="M517" i="17"/>
  <c r="L517" i="17"/>
  <c r="L443" i="17" s="1"/>
  <c r="K517" i="17"/>
  <c r="K443" i="17" s="1"/>
  <c r="J517" i="17"/>
  <c r="J443" i="17" s="1"/>
  <c r="I517" i="17"/>
  <c r="I443" i="17" s="1"/>
  <c r="H517" i="17"/>
  <c r="H443" i="17" s="1"/>
  <c r="G517" i="17"/>
  <c r="G443" i="17" s="1"/>
  <c r="F517" i="17"/>
  <c r="F443" i="17" s="1"/>
  <c r="E517" i="17"/>
  <c r="E443" i="17" s="1"/>
  <c r="D517" i="17"/>
  <c r="C517" i="17"/>
  <c r="C443" i="17" s="1"/>
  <c r="B517" i="17"/>
  <c r="B443" i="17" s="1"/>
  <c r="R511" i="17"/>
  <c r="R517" i="17" s="1"/>
  <c r="A505" i="17"/>
  <c r="R492" i="17"/>
  <c r="M492" i="17"/>
  <c r="L492" i="17"/>
  <c r="L441" i="17" s="1"/>
  <c r="K492" i="17"/>
  <c r="K441" i="17" s="1"/>
  <c r="J492" i="17"/>
  <c r="J441" i="17" s="1"/>
  <c r="I492" i="17"/>
  <c r="H492" i="17"/>
  <c r="H441" i="17" s="1"/>
  <c r="G492" i="17"/>
  <c r="G441" i="17" s="1"/>
  <c r="F492" i="17"/>
  <c r="F441" i="17" s="1"/>
  <c r="E492" i="17"/>
  <c r="E441" i="17" s="1"/>
  <c r="D492" i="17"/>
  <c r="D441" i="17" s="1"/>
  <c r="C492" i="17"/>
  <c r="C441" i="17" s="1"/>
  <c r="B492" i="17"/>
  <c r="B441" i="17" s="1"/>
  <c r="A480" i="17"/>
  <c r="T470" i="17"/>
  <c r="R467" i="17"/>
  <c r="K465" i="17"/>
  <c r="H465" i="17"/>
  <c r="G465" i="17"/>
  <c r="F465" i="17"/>
  <c r="C465" i="17"/>
  <c r="J463" i="17"/>
  <c r="F463" i="17"/>
  <c r="E463" i="17"/>
  <c r="B463" i="17"/>
  <c r="J461" i="17"/>
  <c r="G461" i="17"/>
  <c r="F461" i="17"/>
  <c r="B461" i="17"/>
  <c r="I457" i="17"/>
  <c r="E457" i="17"/>
  <c r="K455" i="17"/>
  <c r="G455" i="17"/>
  <c r="C455" i="17"/>
  <c r="I453" i="17"/>
  <c r="R451" i="17"/>
  <c r="K451" i="17"/>
  <c r="C451" i="17"/>
  <c r="B451" i="17"/>
  <c r="L449" i="17"/>
  <c r="D449" i="17"/>
  <c r="G447" i="17"/>
  <c r="I445" i="17"/>
  <c r="D443" i="17"/>
  <c r="X441" i="17"/>
  <c r="I441" i="17"/>
  <c r="R439" i="17"/>
  <c r="M437" i="17"/>
  <c r="L437" i="17"/>
  <c r="K437" i="17"/>
  <c r="J437" i="17"/>
  <c r="I437" i="17"/>
  <c r="H437" i="17"/>
  <c r="G437" i="17"/>
  <c r="F437" i="17"/>
  <c r="E437" i="17"/>
  <c r="D437" i="17"/>
  <c r="C437" i="17"/>
  <c r="AA420" i="17"/>
  <c r="V414" i="17"/>
  <c r="U414" i="17"/>
  <c r="S414" i="17"/>
  <c r="M404" i="17"/>
  <c r="M403" i="17"/>
  <c r="X390" i="17"/>
  <c r="R390" i="17"/>
  <c r="R418" i="17" s="1"/>
  <c r="Q390" i="17"/>
  <c r="Q418" i="17" s="1"/>
  <c r="P390" i="17"/>
  <c r="P418" i="17" s="1"/>
  <c r="O390" i="17"/>
  <c r="O418" i="17" s="1"/>
  <c r="N390" i="17"/>
  <c r="N418" i="17" s="1"/>
  <c r="M390" i="17"/>
  <c r="M418" i="17" s="1"/>
  <c r="L390" i="17"/>
  <c r="L418" i="17" s="1"/>
  <c r="K390" i="17"/>
  <c r="K418" i="17" s="1"/>
  <c r="J390" i="17"/>
  <c r="J418" i="17" s="1"/>
  <c r="I390" i="17"/>
  <c r="I418" i="17" s="1"/>
  <c r="H390" i="17"/>
  <c r="H418" i="17" s="1"/>
  <c r="G390" i="17"/>
  <c r="G418" i="17" s="1"/>
  <c r="F390" i="17"/>
  <c r="F418" i="17" s="1"/>
  <c r="E390" i="17"/>
  <c r="E418" i="17" s="1"/>
  <c r="D390" i="17"/>
  <c r="D418" i="17" s="1"/>
  <c r="C390" i="17"/>
  <c r="C418" i="17" s="1"/>
  <c r="B390" i="17"/>
  <c r="B418" i="17" s="1"/>
  <c r="M384" i="17"/>
  <c r="N383" i="17"/>
  <c r="N403" i="17" s="1"/>
  <c r="M383" i="17"/>
  <c r="A381" i="17"/>
  <c r="X370" i="17"/>
  <c r="R370" i="17"/>
  <c r="R437" i="17" s="1"/>
  <c r="Q370" i="17"/>
  <c r="Q437" i="17" s="1"/>
  <c r="O370" i="17"/>
  <c r="O437" i="17" s="1"/>
  <c r="N370" i="17"/>
  <c r="N437" i="17" s="1"/>
  <c r="B370" i="17"/>
  <c r="B437" i="17" s="1"/>
  <c r="P362" i="17"/>
  <c r="P352" i="17"/>
  <c r="M350" i="17"/>
  <c r="M349" i="17"/>
  <c r="A347" i="17"/>
  <c r="A812" i="17" s="1"/>
  <c r="R333" i="17"/>
  <c r="R433" i="17" s="1"/>
  <c r="Q333" i="17"/>
  <c r="Q433" i="17" s="1"/>
  <c r="P333" i="17"/>
  <c r="P433" i="17" s="1"/>
  <c r="O333" i="17"/>
  <c r="O433" i="17" s="1"/>
  <c r="N333" i="17"/>
  <c r="N433" i="17" s="1"/>
  <c r="M333" i="17"/>
  <c r="M433" i="17" s="1"/>
  <c r="L333" i="17"/>
  <c r="L433" i="17" s="1"/>
  <c r="K333" i="17"/>
  <c r="K433" i="17" s="1"/>
  <c r="J333" i="17"/>
  <c r="J433" i="17" s="1"/>
  <c r="I333" i="17"/>
  <c r="I433" i="17" s="1"/>
  <c r="H333" i="17"/>
  <c r="H433" i="17" s="1"/>
  <c r="G333" i="17"/>
  <c r="G433" i="17" s="1"/>
  <c r="F333" i="17"/>
  <c r="F433" i="17" s="1"/>
  <c r="E333" i="17"/>
  <c r="E433" i="17" s="1"/>
  <c r="D333" i="17"/>
  <c r="D433" i="17" s="1"/>
  <c r="C333" i="17"/>
  <c r="C433" i="17" s="1"/>
  <c r="B333" i="17"/>
  <c r="B433" i="17" s="1"/>
  <c r="M329" i="17"/>
  <c r="M328" i="17"/>
  <c r="A326" i="17"/>
  <c r="A325" i="17"/>
  <c r="R310" i="17"/>
  <c r="R416" i="17" s="1"/>
  <c r="Q310" i="17"/>
  <c r="Q416" i="17" s="1"/>
  <c r="P310" i="17"/>
  <c r="P416" i="17" s="1"/>
  <c r="O310" i="17"/>
  <c r="O416" i="17" s="1"/>
  <c r="N310" i="17"/>
  <c r="N416" i="17" s="1"/>
  <c r="M310" i="17"/>
  <c r="M416" i="17" s="1"/>
  <c r="L310" i="17"/>
  <c r="L416" i="17" s="1"/>
  <c r="K310" i="17"/>
  <c r="K416" i="17" s="1"/>
  <c r="J310" i="17"/>
  <c r="J416" i="17" s="1"/>
  <c r="I310" i="17"/>
  <c r="I416" i="17" s="1"/>
  <c r="H310" i="17"/>
  <c r="H416" i="17" s="1"/>
  <c r="G310" i="17"/>
  <c r="G416" i="17" s="1"/>
  <c r="F310" i="17"/>
  <c r="F416" i="17" s="1"/>
  <c r="E310" i="17"/>
  <c r="E416" i="17" s="1"/>
  <c r="D310" i="17"/>
  <c r="D416" i="17" s="1"/>
  <c r="C310" i="17"/>
  <c r="C416" i="17" s="1"/>
  <c r="B310" i="17"/>
  <c r="B416" i="17" s="1"/>
  <c r="M304" i="17"/>
  <c r="M303" i="17"/>
  <c r="A300" i="17"/>
  <c r="X295" i="17"/>
  <c r="X287" i="17"/>
  <c r="O431" i="17"/>
  <c r="K431" i="17"/>
  <c r="G431" i="17"/>
  <c r="C431" i="17"/>
  <c r="P282" i="17"/>
  <c r="AA282" i="17" s="1"/>
  <c r="P281" i="17"/>
  <c r="AA281" i="17" s="1"/>
  <c r="P280" i="17"/>
  <c r="AA280" i="17" s="1"/>
  <c r="P278" i="17"/>
  <c r="AA278" i="17" s="1"/>
  <c r="P277" i="17"/>
  <c r="AA277" i="17" s="1"/>
  <c r="P275" i="17"/>
  <c r="AA275" i="17" s="1"/>
  <c r="P273" i="17"/>
  <c r="AA273" i="17" s="1"/>
  <c r="P272" i="17"/>
  <c r="AA272" i="17" s="1"/>
  <c r="P271" i="17"/>
  <c r="AA271" i="17" s="1"/>
  <c r="P268" i="17"/>
  <c r="AA268" i="17" s="1"/>
  <c r="P267" i="17"/>
  <c r="AA267" i="17" s="1"/>
  <c r="P266" i="17"/>
  <c r="AA266" i="17" s="1"/>
  <c r="AA265" i="17"/>
  <c r="M263" i="17"/>
  <c r="M262" i="17"/>
  <c r="A260" i="17"/>
  <c r="X245" i="17"/>
  <c r="R245" i="17"/>
  <c r="R429" i="17" s="1"/>
  <c r="Q245" i="17"/>
  <c r="Q429" i="17" s="1"/>
  <c r="O245" i="17"/>
  <c r="O429" i="17" s="1"/>
  <c r="N245" i="17"/>
  <c r="N429" i="17" s="1"/>
  <c r="M245" i="17"/>
  <c r="M429" i="17" s="1"/>
  <c r="L245" i="17"/>
  <c r="L429" i="17" s="1"/>
  <c r="K245" i="17"/>
  <c r="K429" i="17" s="1"/>
  <c r="J245" i="17"/>
  <c r="J429" i="17" s="1"/>
  <c r="I245" i="17"/>
  <c r="I429" i="17" s="1"/>
  <c r="H245" i="17"/>
  <c r="H429" i="17" s="1"/>
  <c r="G245" i="17"/>
  <c r="G429" i="17" s="1"/>
  <c r="F245" i="17"/>
  <c r="F429" i="17" s="1"/>
  <c r="E245" i="17"/>
  <c r="E429" i="17" s="1"/>
  <c r="D245" i="17"/>
  <c r="D429" i="17" s="1"/>
  <c r="C245" i="17"/>
  <c r="C429" i="17" s="1"/>
  <c r="B245" i="17"/>
  <c r="B429" i="17" s="1"/>
  <c r="AA244" i="17"/>
  <c r="P243" i="17"/>
  <c r="AA243" i="17" s="1"/>
  <c r="AA242" i="17"/>
  <c r="P241" i="17"/>
  <c r="AA241" i="17" s="1"/>
  <c r="P240" i="17"/>
  <c r="AA240" i="17" s="1"/>
  <c r="AA239" i="17"/>
  <c r="AA238" i="17"/>
  <c r="P237" i="17"/>
  <c r="AA237" i="17" s="1"/>
  <c r="AA236" i="17"/>
  <c r="P235" i="17"/>
  <c r="AA235" i="17" s="1"/>
  <c r="P234" i="17"/>
  <c r="AA234" i="17" s="1"/>
  <c r="P233" i="17"/>
  <c r="M231" i="17"/>
  <c r="M230" i="17"/>
  <c r="X213" i="17"/>
  <c r="V213" i="17"/>
  <c r="U213" i="17"/>
  <c r="T213" i="17"/>
  <c r="S213" i="17"/>
  <c r="S471" i="17" s="1"/>
  <c r="R213" i="17"/>
  <c r="R427" i="17" s="1"/>
  <c r="Q213" i="17"/>
  <c r="Q427" i="17" s="1"/>
  <c r="O213" i="17"/>
  <c r="O427" i="17" s="1"/>
  <c r="N213" i="17"/>
  <c r="N427" i="17" s="1"/>
  <c r="M213" i="17"/>
  <c r="M427" i="17" s="1"/>
  <c r="L213" i="17"/>
  <c r="L427" i="17" s="1"/>
  <c r="K213" i="17"/>
  <c r="K427" i="17" s="1"/>
  <c r="J213" i="17"/>
  <c r="J427" i="17" s="1"/>
  <c r="I213" i="17"/>
  <c r="I427" i="17" s="1"/>
  <c r="H213" i="17"/>
  <c r="H427" i="17" s="1"/>
  <c r="G213" i="17"/>
  <c r="G427" i="17" s="1"/>
  <c r="F213" i="17"/>
  <c r="F427" i="17" s="1"/>
  <c r="E213" i="17"/>
  <c r="E427" i="17" s="1"/>
  <c r="D213" i="17"/>
  <c r="D427" i="17" s="1"/>
  <c r="C213" i="17"/>
  <c r="C427" i="17" s="1"/>
  <c r="B213" i="17"/>
  <c r="B427" i="17" s="1"/>
  <c r="P211" i="17"/>
  <c r="AA211" i="17" s="1"/>
  <c r="P209" i="17"/>
  <c r="AA209" i="17" s="1"/>
  <c r="P208" i="17"/>
  <c r="AA208" i="17" s="1"/>
  <c r="AA207" i="17"/>
  <c r="P206" i="17"/>
  <c r="AA206" i="17" s="1"/>
  <c r="P205" i="17"/>
  <c r="AA205" i="17" s="1"/>
  <c r="P204" i="17"/>
  <c r="AA204" i="17" s="1"/>
  <c r="P203" i="17"/>
  <c r="M201" i="17"/>
  <c r="M200" i="17"/>
  <c r="A198" i="17"/>
  <c r="A228" i="17" s="1"/>
  <c r="X184" i="17"/>
  <c r="T184" i="17"/>
  <c r="R184" i="17"/>
  <c r="R425" i="17" s="1"/>
  <c r="Q184" i="17"/>
  <c r="Q425" i="17" s="1"/>
  <c r="O184" i="17"/>
  <c r="O425" i="17" s="1"/>
  <c r="N184" i="17"/>
  <c r="N425" i="17" s="1"/>
  <c r="M184" i="17"/>
  <c r="M425" i="17" s="1"/>
  <c r="L184" i="17"/>
  <c r="L425" i="17" s="1"/>
  <c r="K184" i="17"/>
  <c r="K425" i="17" s="1"/>
  <c r="J184" i="17"/>
  <c r="J425" i="17" s="1"/>
  <c r="I184" i="17"/>
  <c r="I425" i="17" s="1"/>
  <c r="H184" i="17"/>
  <c r="H425" i="17" s="1"/>
  <c r="G184" i="17"/>
  <c r="G425" i="17" s="1"/>
  <c r="F184" i="17"/>
  <c r="F425" i="17" s="1"/>
  <c r="E184" i="17"/>
  <c r="E425" i="17" s="1"/>
  <c r="D184" i="17"/>
  <c r="D425" i="17" s="1"/>
  <c r="C184" i="17"/>
  <c r="C425" i="17" s="1"/>
  <c r="B184" i="17"/>
  <c r="B425" i="17" s="1"/>
  <c r="P181" i="17"/>
  <c r="AA181" i="17" s="1"/>
  <c r="P180" i="17"/>
  <c r="AA180" i="17" s="1"/>
  <c r="P179" i="17"/>
  <c r="AA179" i="17" s="1"/>
  <c r="AA178" i="17"/>
  <c r="P177" i="17"/>
  <c r="AA177" i="17" s="1"/>
  <c r="P176" i="17"/>
  <c r="AA176" i="17" s="1"/>
  <c r="P175" i="17"/>
  <c r="AA175" i="17" s="1"/>
  <c r="M173" i="17"/>
  <c r="M172" i="17"/>
  <c r="A170" i="17"/>
  <c r="X156" i="17"/>
  <c r="T156" i="17"/>
  <c r="T414" i="17" s="1"/>
  <c r="R156" i="17"/>
  <c r="R414" i="17" s="1"/>
  <c r="Q156" i="17"/>
  <c r="Q414" i="17" s="1"/>
  <c r="O156" i="17"/>
  <c r="O414" i="17" s="1"/>
  <c r="N156" i="17"/>
  <c r="N414" i="17" s="1"/>
  <c r="M156" i="17"/>
  <c r="M414" i="17" s="1"/>
  <c r="L156" i="17"/>
  <c r="L414" i="17" s="1"/>
  <c r="K156" i="17"/>
  <c r="K414" i="17" s="1"/>
  <c r="J156" i="17"/>
  <c r="J414" i="17" s="1"/>
  <c r="I156" i="17"/>
  <c r="I414" i="17" s="1"/>
  <c r="H156" i="17"/>
  <c r="H414" i="17" s="1"/>
  <c r="G156" i="17"/>
  <c r="G414" i="17" s="1"/>
  <c r="F156" i="17"/>
  <c r="F414" i="17" s="1"/>
  <c r="E156" i="17"/>
  <c r="E414" i="17" s="1"/>
  <c r="D156" i="17"/>
  <c r="D414" i="17" s="1"/>
  <c r="C156" i="17"/>
  <c r="C414" i="17" s="1"/>
  <c r="B156" i="17"/>
  <c r="B414" i="17" s="1"/>
  <c r="AA155" i="17"/>
  <c r="AA154" i="17"/>
  <c r="AA153" i="17"/>
  <c r="P152" i="17"/>
  <c r="AA152" i="17" s="1"/>
  <c r="P151" i="17"/>
  <c r="AA151" i="17" s="1"/>
  <c r="AA148" i="17"/>
  <c r="AA147" i="17"/>
  <c r="AA146" i="17"/>
  <c r="AA145" i="17"/>
  <c r="AA144" i="17"/>
  <c r="AA143" i="17"/>
  <c r="P142" i="17"/>
  <c r="M140" i="17"/>
  <c r="M139" i="17"/>
  <c r="A137" i="17"/>
  <c r="X121" i="17"/>
  <c r="T121" i="17"/>
  <c r="R121" i="17"/>
  <c r="R412" i="17" s="1"/>
  <c r="Q121" i="17"/>
  <c r="Q412" i="17" s="1"/>
  <c r="O121" i="17"/>
  <c r="O412" i="17" s="1"/>
  <c r="N121" i="17"/>
  <c r="N412" i="17" s="1"/>
  <c r="M121" i="17"/>
  <c r="M412" i="17" s="1"/>
  <c r="L121" i="17"/>
  <c r="L412" i="17" s="1"/>
  <c r="K121" i="17"/>
  <c r="K412" i="17" s="1"/>
  <c r="J121" i="17"/>
  <c r="J412" i="17" s="1"/>
  <c r="I121" i="17"/>
  <c r="I412" i="17" s="1"/>
  <c r="H121" i="17"/>
  <c r="H412" i="17" s="1"/>
  <c r="G121" i="17"/>
  <c r="G412" i="17" s="1"/>
  <c r="F121" i="17"/>
  <c r="F412" i="17" s="1"/>
  <c r="E121" i="17"/>
  <c r="E412" i="17" s="1"/>
  <c r="D121" i="17"/>
  <c r="D412" i="17" s="1"/>
  <c r="C121" i="17"/>
  <c r="C412" i="17" s="1"/>
  <c r="B121" i="17"/>
  <c r="B412" i="17" s="1"/>
  <c r="P117" i="17"/>
  <c r="AA117" i="17" s="1"/>
  <c r="P116" i="17"/>
  <c r="AA116" i="17" s="1"/>
  <c r="P114" i="17"/>
  <c r="AA114" i="17" s="1"/>
  <c r="P111" i="17"/>
  <c r="AA111" i="17" s="1"/>
  <c r="P110" i="17"/>
  <c r="M108" i="17"/>
  <c r="M107" i="17"/>
  <c r="A105" i="17"/>
  <c r="X90" i="17"/>
  <c r="T90" i="17"/>
  <c r="R90" i="17"/>
  <c r="R410" i="17" s="1"/>
  <c r="Q90" i="17"/>
  <c r="Q410" i="17" s="1"/>
  <c r="O90" i="17"/>
  <c r="O410" i="17" s="1"/>
  <c r="N90" i="17"/>
  <c r="N410" i="17" s="1"/>
  <c r="M90" i="17"/>
  <c r="M410" i="17" s="1"/>
  <c r="L90" i="17"/>
  <c r="L410" i="17" s="1"/>
  <c r="K90" i="17"/>
  <c r="K410" i="17" s="1"/>
  <c r="J90" i="17"/>
  <c r="J410" i="17" s="1"/>
  <c r="I90" i="17"/>
  <c r="I410" i="17" s="1"/>
  <c r="H90" i="17"/>
  <c r="H410" i="17" s="1"/>
  <c r="G90" i="17"/>
  <c r="G410" i="17" s="1"/>
  <c r="F90" i="17"/>
  <c r="F410" i="17" s="1"/>
  <c r="E90" i="17"/>
  <c r="E410" i="17" s="1"/>
  <c r="D90" i="17"/>
  <c r="D410" i="17" s="1"/>
  <c r="C90" i="17"/>
  <c r="C410" i="17" s="1"/>
  <c r="B90" i="17"/>
  <c r="B410" i="17" s="1"/>
  <c r="AA89" i="17"/>
  <c r="P88" i="17"/>
  <c r="AA88" i="17" s="1"/>
  <c r="P87" i="17"/>
  <c r="AA87" i="17" s="1"/>
  <c r="AA82" i="17"/>
  <c r="P81" i="17"/>
  <c r="AA81" i="17" s="1"/>
  <c r="P80" i="17"/>
  <c r="AA80" i="17" s="1"/>
  <c r="P79" i="17"/>
  <c r="AA78" i="17"/>
  <c r="N76" i="17"/>
  <c r="N108" i="17" s="1"/>
  <c r="N140" i="17" s="1"/>
  <c r="N173" i="17" s="1"/>
  <c r="M76" i="17"/>
  <c r="Q75" i="17"/>
  <c r="Q107" i="17" s="1"/>
  <c r="P75" i="17"/>
  <c r="P107" i="17" s="1"/>
  <c r="P139" i="17" s="1"/>
  <c r="P172" i="17" s="1"/>
  <c r="P200" i="17" s="1"/>
  <c r="P230" i="17" s="1"/>
  <c r="P262" i="17" s="1"/>
  <c r="P303" i="17" s="1"/>
  <c r="M75" i="17"/>
  <c r="AB74" i="17"/>
  <c r="A73" i="17"/>
  <c r="X57" i="17"/>
  <c r="T57" i="17"/>
  <c r="R57" i="17"/>
  <c r="R408" i="17" s="1"/>
  <c r="Q57" i="17"/>
  <c r="Q408" i="17" s="1"/>
  <c r="O57" i="17"/>
  <c r="O408" i="17" s="1"/>
  <c r="N57" i="17"/>
  <c r="N408" i="17" s="1"/>
  <c r="M57" i="17"/>
  <c r="M408" i="17" s="1"/>
  <c r="L57" i="17"/>
  <c r="L408" i="17" s="1"/>
  <c r="K57" i="17"/>
  <c r="K408" i="17" s="1"/>
  <c r="J57" i="17"/>
  <c r="J408" i="17" s="1"/>
  <c r="I57" i="17"/>
  <c r="I408" i="17" s="1"/>
  <c r="H57" i="17"/>
  <c r="H408" i="17" s="1"/>
  <c r="G57" i="17"/>
  <c r="G408" i="17" s="1"/>
  <c r="F57" i="17"/>
  <c r="F408" i="17" s="1"/>
  <c r="E57" i="17"/>
  <c r="E408" i="17" s="1"/>
  <c r="D57" i="17"/>
  <c r="D408" i="17" s="1"/>
  <c r="C57" i="17"/>
  <c r="C408" i="17" s="1"/>
  <c r="B57" i="17"/>
  <c r="B408" i="17" s="1"/>
  <c r="AA56" i="17"/>
  <c r="AA55" i="17"/>
  <c r="P54" i="17"/>
  <c r="AA54" i="17" s="1"/>
  <c r="P53" i="17"/>
  <c r="AA53" i="17" s="1"/>
  <c r="AA52" i="17"/>
  <c r="P51" i="17"/>
  <c r="AA51" i="17" s="1"/>
  <c r="AC49" i="17"/>
  <c r="P49" i="17"/>
  <c r="AA49" i="17" s="1"/>
  <c r="AA48" i="17"/>
  <c r="AA47" i="17"/>
  <c r="P46" i="17"/>
  <c r="AA46" i="17" s="1"/>
  <c r="P45" i="17"/>
  <c r="AA45" i="17" s="1"/>
  <c r="P44" i="17"/>
  <c r="AA44" i="17" s="1"/>
  <c r="AA43" i="17"/>
  <c r="N41" i="17"/>
  <c r="M41" i="17"/>
  <c r="Q40" i="17"/>
  <c r="P40" i="17"/>
  <c r="M40" i="17"/>
  <c r="A38" i="17"/>
  <c r="A301" i="17" s="1"/>
  <c r="X22" i="17"/>
  <c r="T22" i="17"/>
  <c r="R22" i="17"/>
  <c r="R406" i="17" s="1"/>
  <c r="Q22" i="17"/>
  <c r="Q406" i="17" s="1"/>
  <c r="O22" i="17"/>
  <c r="O406" i="17" s="1"/>
  <c r="N22" i="17"/>
  <c r="N406" i="17" s="1"/>
  <c r="M22" i="17"/>
  <c r="M406" i="17" s="1"/>
  <c r="L22" i="17"/>
  <c r="L406" i="17" s="1"/>
  <c r="K22" i="17"/>
  <c r="K406" i="17" s="1"/>
  <c r="J22" i="17"/>
  <c r="J406" i="17" s="1"/>
  <c r="I22" i="17"/>
  <c r="I406" i="17" s="1"/>
  <c r="H22" i="17"/>
  <c r="H406" i="17" s="1"/>
  <c r="G22" i="17"/>
  <c r="G406" i="17" s="1"/>
  <c r="F22" i="17"/>
  <c r="F406" i="17" s="1"/>
  <c r="E22" i="17"/>
  <c r="E406" i="17" s="1"/>
  <c r="D22" i="17"/>
  <c r="D406" i="17" s="1"/>
  <c r="C22" i="17"/>
  <c r="C406" i="17" s="1"/>
  <c r="B22" i="17"/>
  <c r="B406" i="17" s="1"/>
  <c r="AA20" i="17"/>
  <c r="P19" i="17"/>
  <c r="AA19" i="17" s="1"/>
  <c r="AA18" i="17"/>
  <c r="P17" i="17"/>
  <c r="AA17" i="17" s="1"/>
  <c r="P16" i="17"/>
  <c r="AA16" i="17" s="1"/>
  <c r="AA15" i="17"/>
  <c r="AA14" i="17"/>
  <c r="P13" i="17"/>
  <c r="AA13" i="17" s="1"/>
  <c r="P12" i="17"/>
  <c r="AA12" i="17" s="1"/>
  <c r="AA11" i="17"/>
  <c r="AA10" i="17"/>
  <c r="P9" i="17"/>
  <c r="C78" i="13"/>
  <c r="E62" i="13"/>
  <c r="F62" i="13" s="1"/>
  <c r="G62" i="13" s="1"/>
  <c r="E63" i="13"/>
  <c r="F63" i="13" s="1"/>
  <c r="G63" i="13" s="1"/>
  <c r="E64" i="13"/>
  <c r="F64" i="13" s="1"/>
  <c r="G64" i="13" s="1"/>
  <c r="E65" i="13"/>
  <c r="F65" i="13" s="1"/>
  <c r="G65" i="13" s="1"/>
  <c r="E66" i="13"/>
  <c r="F66" i="13" s="1"/>
  <c r="G66" i="13" s="1"/>
  <c r="E67" i="13"/>
  <c r="F67" i="13" s="1"/>
  <c r="G67" i="13" s="1"/>
  <c r="E68" i="13"/>
  <c r="F68" i="13" s="1"/>
  <c r="G68" i="13" s="1"/>
  <c r="E69" i="13"/>
  <c r="F69" i="13" s="1"/>
  <c r="G69" i="13" s="1"/>
  <c r="E70" i="13"/>
  <c r="F70" i="13" s="1"/>
  <c r="G70" i="13" s="1"/>
  <c r="E71" i="13"/>
  <c r="F71" i="13" s="1"/>
  <c r="G71" i="13" s="1"/>
  <c r="E72" i="13"/>
  <c r="F72" i="13" s="1"/>
  <c r="G72" i="13" s="1"/>
  <c r="E73" i="13"/>
  <c r="F73" i="13" s="1"/>
  <c r="G73" i="13" s="1"/>
  <c r="E74" i="13"/>
  <c r="F74" i="13" s="1"/>
  <c r="G74" i="13" s="1"/>
  <c r="E75" i="13"/>
  <c r="F75" i="13" s="1"/>
  <c r="G75" i="13" s="1"/>
  <c r="E76" i="13"/>
  <c r="F76" i="13" s="1"/>
  <c r="G76" i="13" s="1"/>
  <c r="E77" i="13"/>
  <c r="F77" i="13" s="1"/>
  <c r="G77" i="13" s="1"/>
  <c r="E41" i="13"/>
  <c r="E42" i="13"/>
  <c r="F42" i="13" s="1"/>
  <c r="E43" i="13"/>
  <c r="F43" i="13" s="1"/>
  <c r="G43" i="13" s="1"/>
  <c r="E44" i="13"/>
  <c r="F44" i="13" s="1"/>
  <c r="E45" i="13"/>
  <c r="F45" i="13" s="1"/>
  <c r="G45" i="13" s="1"/>
  <c r="E46" i="13"/>
  <c r="F46" i="13" s="1"/>
  <c r="E47" i="13"/>
  <c r="E48" i="13"/>
  <c r="F48" i="13" s="1"/>
  <c r="E49" i="13"/>
  <c r="E50" i="13"/>
  <c r="F50" i="13" s="1"/>
  <c r="E51" i="13"/>
  <c r="F51" i="13" s="1"/>
  <c r="G51" i="13" s="1"/>
  <c r="E52" i="13"/>
  <c r="F52" i="13" s="1"/>
  <c r="E53" i="13"/>
  <c r="F53" i="13" s="1"/>
  <c r="G53" i="13" s="1"/>
  <c r="E54" i="13"/>
  <c r="F54" i="13" s="1"/>
  <c r="E55" i="13"/>
  <c r="E56" i="13"/>
  <c r="F56" i="13" s="1"/>
  <c r="E57" i="13"/>
  <c r="E58" i="13"/>
  <c r="F58" i="13" s="1"/>
  <c r="E59" i="13"/>
  <c r="F59" i="13" s="1"/>
  <c r="G59" i="13" s="1"/>
  <c r="E60" i="13"/>
  <c r="F60" i="13" s="1"/>
  <c r="E61" i="13"/>
  <c r="F61" i="13" s="1"/>
  <c r="G61" i="13" s="1"/>
  <c r="E64" i="7"/>
  <c r="E63" i="7"/>
  <c r="E62" i="7"/>
  <c r="E61" i="7"/>
  <c r="E60" i="7"/>
  <c r="E59" i="7"/>
  <c r="E58" i="7"/>
  <c r="E57" i="7"/>
  <c r="E29" i="13"/>
  <c r="F29" i="13" s="1"/>
  <c r="G29" i="13" s="1"/>
  <c r="E30" i="13"/>
  <c r="F30" i="13" s="1"/>
  <c r="E31" i="13"/>
  <c r="F31" i="13" s="1"/>
  <c r="G31" i="13" s="1"/>
  <c r="E32" i="13"/>
  <c r="E33" i="13"/>
  <c r="F33" i="13" s="1"/>
  <c r="G33" i="13" s="1"/>
  <c r="E34" i="13"/>
  <c r="F34" i="13" s="1"/>
  <c r="E35" i="13"/>
  <c r="F35" i="13" s="1"/>
  <c r="G35" i="13" s="1"/>
  <c r="E36" i="13"/>
  <c r="E37" i="13"/>
  <c r="E38" i="13"/>
  <c r="F38" i="13" s="1"/>
  <c r="E39" i="13"/>
  <c r="F39" i="13" s="1"/>
  <c r="G39" i="13" s="1"/>
  <c r="E40" i="13"/>
  <c r="F40" i="13" s="1"/>
  <c r="E28" i="13"/>
  <c r="E66" i="7" l="1"/>
  <c r="P245" i="17"/>
  <c r="C423" i="17"/>
  <c r="E423" i="17"/>
  <c r="E435" i="17" s="1"/>
  <c r="E470" i="17" s="1"/>
  <c r="G423" i="17"/>
  <c r="I423" i="17"/>
  <c r="I435" i="17" s="1"/>
  <c r="I470" i="17" s="1"/>
  <c r="K423" i="17"/>
  <c r="K435" i="17" s="1"/>
  <c r="K470" i="17" s="1"/>
  <c r="O423" i="17"/>
  <c r="AA287" i="17"/>
  <c r="P287" i="17"/>
  <c r="C435" i="17"/>
  <c r="C470" i="17" s="1"/>
  <c r="G435" i="17"/>
  <c r="P213" i="17"/>
  <c r="P427" i="17" s="1"/>
  <c r="P156" i="17"/>
  <c r="P414" i="17" s="1"/>
  <c r="R538" i="17"/>
  <c r="P90" i="17"/>
  <c r="P410" i="17" s="1"/>
  <c r="R443" i="17"/>
  <c r="R447" i="17"/>
  <c r="R453" i="17"/>
  <c r="R461" i="17"/>
  <c r="G470" i="17"/>
  <c r="P22" i="17"/>
  <c r="P406" i="17" s="1"/>
  <c r="AA79" i="17"/>
  <c r="P121" i="17"/>
  <c r="P412" i="17" s="1"/>
  <c r="R441" i="17"/>
  <c r="AA9" i="17"/>
  <c r="AA22" i="17" s="1"/>
  <c r="P370" i="17"/>
  <c r="P437" i="17" s="1"/>
  <c r="R445" i="17"/>
  <c r="R449" i="17"/>
  <c r="R455" i="17"/>
  <c r="R463" i="17"/>
  <c r="R465" i="17"/>
  <c r="R584" i="17"/>
  <c r="AA110" i="17"/>
  <c r="AA142" i="17"/>
  <c r="AA414" i="17"/>
  <c r="P184" i="17"/>
  <c r="P425" i="17" s="1"/>
  <c r="N435" i="17"/>
  <c r="AA203" i="17"/>
  <c r="AA213" i="17" s="1"/>
  <c r="AA427" i="17"/>
  <c r="AA429" i="17"/>
  <c r="R423" i="17"/>
  <c r="AA406" i="17"/>
  <c r="Q814" i="17"/>
  <c r="Q139" i="17"/>
  <c r="Q172" i="17" s="1"/>
  <c r="Q200" i="17" s="1"/>
  <c r="Q230" i="17" s="1"/>
  <c r="Q262" i="17" s="1"/>
  <c r="Q303" i="17" s="1"/>
  <c r="P814" i="17"/>
  <c r="P328" i="17"/>
  <c r="P349" i="17"/>
  <c r="P383" i="17" s="1"/>
  <c r="P403" i="17" s="1"/>
  <c r="AA156" i="17"/>
  <c r="B423" i="17"/>
  <c r="B435" i="17" s="1"/>
  <c r="B470" i="17" s="1"/>
  <c r="D423" i="17"/>
  <c r="D435" i="17" s="1"/>
  <c r="D470" i="17" s="1"/>
  <c r="F423" i="17"/>
  <c r="F435" i="17" s="1"/>
  <c r="F470" i="17" s="1"/>
  <c r="H423" i="17"/>
  <c r="H435" i="17" s="1"/>
  <c r="H470" i="17" s="1"/>
  <c r="J423" i="17"/>
  <c r="J435" i="17" s="1"/>
  <c r="J470" i="17" s="1"/>
  <c r="L423" i="17"/>
  <c r="L435" i="17" s="1"/>
  <c r="L470" i="17" s="1"/>
  <c r="N423" i="17"/>
  <c r="Q423" i="17"/>
  <c r="Q435" i="17" s="1"/>
  <c r="Q470" i="17" s="1"/>
  <c r="AA57" i="17"/>
  <c r="AA408" i="17"/>
  <c r="AA410" i="17"/>
  <c r="AA412" i="17"/>
  <c r="AA184" i="17"/>
  <c r="O435" i="17"/>
  <c r="AA425" i="17"/>
  <c r="AA431" i="17"/>
  <c r="AA433" i="17"/>
  <c r="AA437" i="17"/>
  <c r="AA418" i="17"/>
  <c r="N231" i="17"/>
  <c r="N263" i="17" s="1"/>
  <c r="N304" i="17" s="1"/>
  <c r="N329" i="17" s="1"/>
  <c r="N350" i="17" s="1"/>
  <c r="N384" i="17" s="1"/>
  <c r="N404" i="17" s="1"/>
  <c r="N201" i="17"/>
  <c r="N815" i="17" s="1"/>
  <c r="P429" i="17"/>
  <c r="AA245" i="17"/>
  <c r="AA416" i="17"/>
  <c r="P57" i="17"/>
  <c r="P408" i="17" s="1"/>
  <c r="AA392" i="17"/>
  <c r="AA233" i="17"/>
  <c r="F28" i="13"/>
  <c r="F36" i="13"/>
  <c r="G36" i="13" s="1"/>
  <c r="H36" i="13" s="1"/>
  <c r="I36" i="13" s="1"/>
  <c r="J36" i="13" s="1"/>
  <c r="F41" i="13"/>
  <c r="G41" i="13" s="1"/>
  <c r="F32" i="13"/>
  <c r="F57" i="13"/>
  <c r="G57" i="13" s="1"/>
  <c r="F55" i="13"/>
  <c r="G55" i="13" s="1"/>
  <c r="F49" i="13"/>
  <c r="G49" i="13" s="1"/>
  <c r="F47" i="13"/>
  <c r="G47" i="13" s="1"/>
  <c r="E78" i="13"/>
  <c r="E82" i="13" s="1"/>
  <c r="G82" i="13" s="1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G60" i="13"/>
  <c r="H60" i="13" s="1"/>
  <c r="I60" i="13" s="1"/>
  <c r="H59" i="13"/>
  <c r="G56" i="13"/>
  <c r="G52" i="13"/>
  <c r="H51" i="13"/>
  <c r="I51" i="13" s="1"/>
  <c r="G48" i="13"/>
  <c r="H48" i="13" s="1"/>
  <c r="I48" i="13" s="1"/>
  <c r="H47" i="13"/>
  <c r="I47" i="13" s="1"/>
  <c r="G44" i="13"/>
  <c r="H44" i="13" s="1"/>
  <c r="I44" i="13" s="1"/>
  <c r="H43" i="13"/>
  <c r="I43" i="13" s="1"/>
  <c r="H61" i="13"/>
  <c r="I61" i="13" s="1"/>
  <c r="J61" i="13" s="1"/>
  <c r="K61" i="13" s="1"/>
  <c r="G58" i="13"/>
  <c r="H58" i="13" s="1"/>
  <c r="G54" i="13"/>
  <c r="H54" i="13" s="1"/>
  <c r="H53" i="13"/>
  <c r="I53" i="13" s="1"/>
  <c r="J53" i="13" s="1"/>
  <c r="K53" i="13" s="1"/>
  <c r="G50" i="13"/>
  <c r="H50" i="13" s="1"/>
  <c r="G46" i="13"/>
  <c r="H46" i="13" s="1"/>
  <c r="H45" i="13"/>
  <c r="G42" i="13"/>
  <c r="I59" i="13"/>
  <c r="H56" i="13"/>
  <c r="I56" i="13" s="1"/>
  <c r="H52" i="13"/>
  <c r="I52" i="13" s="1"/>
  <c r="I45" i="13"/>
  <c r="J45" i="13" s="1"/>
  <c r="K45" i="13" s="1"/>
  <c r="F37" i="13"/>
  <c r="G40" i="13"/>
  <c r="H40" i="13" s="1"/>
  <c r="H39" i="13"/>
  <c r="I39" i="13" s="1"/>
  <c r="H35" i="13"/>
  <c r="I35" i="13" s="1"/>
  <c r="G32" i="13"/>
  <c r="H32" i="13" s="1"/>
  <c r="I32" i="13" s="1"/>
  <c r="J32" i="13" s="1"/>
  <c r="H31" i="13"/>
  <c r="I31" i="13" s="1"/>
  <c r="G38" i="13"/>
  <c r="G34" i="13"/>
  <c r="H34" i="13" s="1"/>
  <c r="I34" i="13" s="1"/>
  <c r="H33" i="13"/>
  <c r="I33" i="13" s="1"/>
  <c r="G30" i="13"/>
  <c r="H30" i="13" s="1"/>
  <c r="I30" i="13" s="1"/>
  <c r="H29" i="13"/>
  <c r="I29" i="13" s="1"/>
  <c r="H38" i="13"/>
  <c r="I38" i="13" s="1"/>
  <c r="AA90" i="17" l="1"/>
  <c r="O470" i="17"/>
  <c r="H55" i="13"/>
  <c r="I55" i="13" s="1"/>
  <c r="J55" i="13" s="1"/>
  <c r="K55" i="13" s="1"/>
  <c r="L55" i="13" s="1"/>
  <c r="F78" i="13"/>
  <c r="E83" i="13" s="1"/>
  <c r="G83" i="13" s="1"/>
  <c r="H41" i="13"/>
  <c r="I41" i="13" s="1"/>
  <c r="J41" i="13" s="1"/>
  <c r="K41" i="13" s="1"/>
  <c r="H49" i="13"/>
  <c r="H57" i="13"/>
  <c r="I57" i="13" s="1"/>
  <c r="J57" i="13" s="1"/>
  <c r="K57" i="13" s="1"/>
  <c r="AA121" i="17"/>
  <c r="N470" i="17"/>
  <c r="P423" i="17"/>
  <c r="Q349" i="17"/>
  <c r="Q383" i="17" s="1"/>
  <c r="Q403" i="17" s="1"/>
  <c r="Q328" i="17"/>
  <c r="P431" i="17"/>
  <c r="R435" i="17"/>
  <c r="AA423" i="17"/>
  <c r="J31" i="13"/>
  <c r="K31" i="13" s="1"/>
  <c r="J35" i="13"/>
  <c r="K35" i="13" s="1"/>
  <c r="G28" i="13"/>
  <c r="J29" i="13"/>
  <c r="J33" i="13"/>
  <c r="H28" i="13"/>
  <c r="J64" i="13"/>
  <c r="K64" i="13" s="1"/>
  <c r="J66" i="13"/>
  <c r="K66" i="13" s="1"/>
  <c r="J68" i="13"/>
  <c r="K68" i="13" s="1"/>
  <c r="J70" i="13"/>
  <c r="K70" i="13" s="1"/>
  <c r="J72" i="13"/>
  <c r="K72" i="13" s="1"/>
  <c r="L72" i="13" s="1"/>
  <c r="N72" i="13" s="1"/>
  <c r="J74" i="13"/>
  <c r="K74" i="13" s="1"/>
  <c r="J76" i="13"/>
  <c r="K76" i="13" s="1"/>
  <c r="J65" i="13"/>
  <c r="K65" i="13" s="1"/>
  <c r="J67" i="13"/>
  <c r="K67" i="13" s="1"/>
  <c r="J69" i="13"/>
  <c r="K69" i="13" s="1"/>
  <c r="J71" i="13"/>
  <c r="K71" i="13" s="1"/>
  <c r="J73" i="13"/>
  <c r="K73" i="13" s="1"/>
  <c r="J75" i="13"/>
  <c r="K75" i="13" s="1"/>
  <c r="J77" i="13"/>
  <c r="K77" i="13" s="1"/>
  <c r="I54" i="13"/>
  <c r="J54" i="13" s="1"/>
  <c r="I58" i="13"/>
  <c r="J58" i="13" s="1"/>
  <c r="J51" i="13"/>
  <c r="K51" i="13" s="1"/>
  <c r="J59" i="13"/>
  <c r="J63" i="13"/>
  <c r="K63" i="13" s="1"/>
  <c r="I50" i="13"/>
  <c r="J50" i="13" s="1"/>
  <c r="I46" i="13"/>
  <c r="J46" i="13" s="1"/>
  <c r="J43" i="13"/>
  <c r="K43" i="13" s="1"/>
  <c r="L43" i="13" s="1"/>
  <c r="J47" i="13"/>
  <c r="H42" i="13"/>
  <c r="I42" i="13" s="1"/>
  <c r="J62" i="13"/>
  <c r="K58" i="13"/>
  <c r="L58" i="13" s="1"/>
  <c r="J44" i="13"/>
  <c r="K44" i="13" s="1"/>
  <c r="L44" i="13" s="1"/>
  <c r="J48" i="13"/>
  <c r="K48" i="13" s="1"/>
  <c r="L48" i="13" s="1"/>
  <c r="J52" i="13"/>
  <c r="K52" i="13" s="1"/>
  <c r="L52" i="13" s="1"/>
  <c r="J56" i="13"/>
  <c r="K56" i="13" s="1"/>
  <c r="L56" i="13" s="1"/>
  <c r="J60" i="13"/>
  <c r="L45" i="13"/>
  <c r="N45" i="13" s="1"/>
  <c r="L53" i="13"/>
  <c r="N53" i="13" s="1"/>
  <c r="L61" i="13"/>
  <c r="N61" i="13" s="1"/>
  <c r="G37" i="13"/>
  <c r="J39" i="13"/>
  <c r="K39" i="13" s="1"/>
  <c r="I40" i="13"/>
  <c r="J40" i="13" s="1"/>
  <c r="K29" i="13"/>
  <c r="L29" i="13" s="1"/>
  <c r="J30" i="13"/>
  <c r="K30" i="13" s="1"/>
  <c r="K33" i="13"/>
  <c r="L33" i="13" s="1"/>
  <c r="J34" i="13"/>
  <c r="K34" i="13" s="1"/>
  <c r="L34" i="13" s="1"/>
  <c r="J38" i="13"/>
  <c r="K32" i="13"/>
  <c r="L32" i="13" s="1"/>
  <c r="K36" i="13"/>
  <c r="L36" i="13" s="1"/>
  <c r="L35" i="13" l="1"/>
  <c r="N35" i="13" s="1"/>
  <c r="L41" i="13"/>
  <c r="N41" i="13" s="1"/>
  <c r="M41" i="13" s="1"/>
  <c r="O41" i="13" s="1"/>
  <c r="L30" i="13"/>
  <c r="L57" i="13"/>
  <c r="N57" i="13" s="1"/>
  <c r="M57" i="13" s="1"/>
  <c r="O57" i="13" s="1"/>
  <c r="L74" i="13"/>
  <c r="N74" i="13" s="1"/>
  <c r="M74" i="13" s="1"/>
  <c r="O74" i="13" s="1"/>
  <c r="L68" i="13"/>
  <c r="N68" i="13" s="1"/>
  <c r="K50" i="13"/>
  <c r="L63" i="13"/>
  <c r="N63" i="13" s="1"/>
  <c r="M63" i="13" s="1"/>
  <c r="O63" i="13" s="1"/>
  <c r="L64" i="13"/>
  <c r="N64" i="13" s="1"/>
  <c r="M64" i="13" s="1"/>
  <c r="O64" i="13" s="1"/>
  <c r="N33" i="13"/>
  <c r="M33" i="13" s="1"/>
  <c r="O33" i="13" s="1"/>
  <c r="I49" i="13"/>
  <c r="J49" i="13" s="1"/>
  <c r="K49" i="13" s="1"/>
  <c r="N30" i="13"/>
  <c r="M30" i="13" s="1"/>
  <c r="O30" i="13" s="1"/>
  <c r="G78" i="13"/>
  <c r="E84" i="13" s="1"/>
  <c r="G84" i="13" s="1"/>
  <c r="L50" i="13"/>
  <c r="N50" i="13" s="1"/>
  <c r="M50" i="13" s="1"/>
  <c r="O50" i="13" s="1"/>
  <c r="K54" i="13"/>
  <c r="K46" i="13"/>
  <c r="L70" i="13"/>
  <c r="N70" i="13" s="1"/>
  <c r="L66" i="13"/>
  <c r="N66" i="13" s="1"/>
  <c r="L31" i="13"/>
  <c r="N31" i="13" s="1"/>
  <c r="M31" i="13" s="1"/>
  <c r="O31" i="13" s="1"/>
  <c r="P435" i="17"/>
  <c r="P470" i="17" s="1"/>
  <c r="AA435" i="17"/>
  <c r="R470" i="17"/>
  <c r="Z445" i="17"/>
  <c r="N34" i="13"/>
  <c r="M35" i="13"/>
  <c r="O35" i="13" s="1"/>
  <c r="M61" i="13"/>
  <c r="O61" i="13" s="1"/>
  <c r="M53" i="13"/>
  <c r="O53" i="13" s="1"/>
  <c r="M45" i="13"/>
  <c r="O45" i="13" s="1"/>
  <c r="N52" i="13"/>
  <c r="N58" i="13"/>
  <c r="M68" i="13"/>
  <c r="O68" i="13" s="1"/>
  <c r="M72" i="13"/>
  <c r="O72" i="13" s="1"/>
  <c r="I28" i="13"/>
  <c r="J28" i="13" s="1"/>
  <c r="N36" i="13"/>
  <c r="K38" i="13"/>
  <c r="L38" i="13" s="1"/>
  <c r="N38" i="13" s="1"/>
  <c r="N29" i="13"/>
  <c r="N32" i="13"/>
  <c r="L76" i="13"/>
  <c r="N76" i="13" s="1"/>
  <c r="L77" i="13"/>
  <c r="N77" i="13" s="1"/>
  <c r="L73" i="13"/>
  <c r="N73" i="13" s="1"/>
  <c r="L69" i="13"/>
  <c r="N69" i="13" s="1"/>
  <c r="L65" i="13"/>
  <c r="N65" i="13" s="1"/>
  <c r="L75" i="13"/>
  <c r="N75" i="13" s="1"/>
  <c r="L71" i="13"/>
  <c r="N71" i="13" s="1"/>
  <c r="L67" i="13"/>
  <c r="N67" i="13" s="1"/>
  <c r="L51" i="13"/>
  <c r="N51" i="13" s="1"/>
  <c r="N55" i="13"/>
  <c r="K60" i="13"/>
  <c r="L60" i="13" s="1"/>
  <c r="K59" i="13"/>
  <c r="L59" i="13" s="1"/>
  <c r="L54" i="13"/>
  <c r="N54" i="13" s="1"/>
  <c r="N56" i="13"/>
  <c r="N44" i="13"/>
  <c r="K47" i="13"/>
  <c r="N43" i="13"/>
  <c r="N48" i="13"/>
  <c r="J42" i="13"/>
  <c r="K42" i="13" s="1"/>
  <c r="K62" i="13"/>
  <c r="H37" i="13"/>
  <c r="H78" i="13" s="1"/>
  <c r="E85" i="13" s="1"/>
  <c r="G85" i="13" s="1"/>
  <c r="K40" i="13"/>
  <c r="L40" i="13" s="1"/>
  <c r="N40" i="13" s="1"/>
  <c r="L39" i="13"/>
  <c r="N39" i="13" s="1"/>
  <c r="I37" i="13" l="1"/>
  <c r="I78" i="13" s="1"/>
  <c r="E86" i="13" s="1"/>
  <c r="G86" i="13" s="1"/>
  <c r="M66" i="13"/>
  <c r="O66" i="13" s="1"/>
  <c r="M70" i="13"/>
  <c r="O70" i="13" s="1"/>
  <c r="L46" i="13"/>
  <c r="N46" i="13" s="1"/>
  <c r="L49" i="13"/>
  <c r="N49" i="13" s="1"/>
  <c r="M40" i="13"/>
  <c r="O40" i="13" s="1"/>
  <c r="M51" i="13"/>
  <c r="O51" i="13" s="1"/>
  <c r="M38" i="13"/>
  <c r="O38" i="13" s="1"/>
  <c r="M43" i="13"/>
  <c r="O43" i="13" s="1"/>
  <c r="M56" i="13"/>
  <c r="O56" i="13" s="1"/>
  <c r="M55" i="13"/>
  <c r="O55" i="13" s="1"/>
  <c r="M67" i="13"/>
  <c r="O67" i="13" s="1"/>
  <c r="M75" i="13"/>
  <c r="O75" i="13" s="1"/>
  <c r="M69" i="13"/>
  <c r="O69" i="13" s="1"/>
  <c r="M77" i="13"/>
  <c r="O77" i="13" s="1"/>
  <c r="M32" i="13"/>
  <c r="O32" i="13" s="1"/>
  <c r="M36" i="13"/>
  <c r="O36" i="13" s="1"/>
  <c r="M58" i="13"/>
  <c r="O58" i="13" s="1"/>
  <c r="K28" i="13"/>
  <c r="L28" i="13" s="1"/>
  <c r="M39" i="13"/>
  <c r="O39" i="13" s="1"/>
  <c r="M48" i="13"/>
  <c r="O48" i="13" s="1"/>
  <c r="M44" i="13"/>
  <c r="O44" i="13" s="1"/>
  <c r="M54" i="13"/>
  <c r="O54" i="13" s="1"/>
  <c r="N60" i="13"/>
  <c r="M71" i="13"/>
  <c r="O71" i="13" s="1"/>
  <c r="M65" i="13"/>
  <c r="O65" i="13" s="1"/>
  <c r="M73" i="13"/>
  <c r="O73" i="13" s="1"/>
  <c r="M76" i="13"/>
  <c r="O76" i="13" s="1"/>
  <c r="M29" i="13"/>
  <c r="O29" i="13" s="1"/>
  <c r="M52" i="13"/>
  <c r="O52" i="13" s="1"/>
  <c r="M34" i="13"/>
  <c r="O34" i="13" s="1"/>
  <c r="N59" i="13"/>
  <c r="L47" i="13"/>
  <c r="N47" i="13" s="1"/>
  <c r="L42" i="13"/>
  <c r="N42" i="13" s="1"/>
  <c r="L62" i="13"/>
  <c r="N62" i="13" s="1"/>
  <c r="J37" i="13" l="1"/>
  <c r="J78" i="13" s="1"/>
  <c r="E87" i="13" s="1"/>
  <c r="G87" i="13" s="1"/>
  <c r="M46" i="13"/>
  <c r="O46" i="13" s="1"/>
  <c r="M49" i="13"/>
  <c r="O49" i="13" s="1"/>
  <c r="M62" i="13"/>
  <c r="O62" i="13" s="1"/>
  <c r="M42" i="13"/>
  <c r="O42" i="13" s="1"/>
  <c r="M59" i="13"/>
  <c r="O59" i="13" s="1"/>
  <c r="N28" i="13"/>
  <c r="M47" i="13"/>
  <c r="O47" i="13" s="1"/>
  <c r="M60" i="13"/>
  <c r="O60" i="13" s="1"/>
  <c r="K37" i="13" l="1"/>
  <c r="K78" i="13" s="1"/>
  <c r="E88" i="13" s="1"/>
  <c r="G88" i="13" s="1"/>
  <c r="L37" i="13" l="1"/>
  <c r="L78" i="13" s="1"/>
  <c r="E89" i="13" s="1"/>
  <c r="G89" i="13" s="1"/>
  <c r="G91" i="13" s="1"/>
  <c r="N37" i="13" l="1"/>
  <c r="M37" i="13" s="1"/>
  <c r="O37" i="13" s="1"/>
  <c r="AU16" i="4"/>
  <c r="N78" i="13" l="1"/>
  <c r="D26" i="18"/>
  <c r="E14" i="18" l="1"/>
  <c r="AA258" i="15" l="1"/>
  <c r="AA260" i="15"/>
  <c r="AA261" i="15"/>
  <c r="X269" i="15"/>
  <c r="C269" i="15"/>
  <c r="D269" i="15"/>
  <c r="E269" i="15"/>
  <c r="F269" i="15"/>
  <c r="G269" i="15"/>
  <c r="H269" i="15"/>
  <c r="I269" i="15"/>
  <c r="J269" i="15"/>
  <c r="K269" i="15"/>
  <c r="L269" i="15"/>
  <c r="M269" i="15"/>
  <c r="N269" i="15"/>
  <c r="O269" i="15"/>
  <c r="Q269" i="15"/>
  <c r="B269" i="15"/>
  <c r="R269" i="15"/>
  <c r="M786" i="15" l="1"/>
  <c r="L786" i="15"/>
  <c r="K786" i="15"/>
  <c r="J786" i="15"/>
  <c r="I786" i="15"/>
  <c r="H786" i="15"/>
  <c r="G786" i="15"/>
  <c r="F786" i="15"/>
  <c r="E786" i="15"/>
  <c r="D786" i="15"/>
  <c r="C786" i="15"/>
  <c r="B786" i="15"/>
  <c r="R783" i="15"/>
  <c r="R786" i="15" s="1"/>
  <c r="A777" i="15"/>
  <c r="M763" i="15"/>
  <c r="L763" i="15"/>
  <c r="K763" i="15"/>
  <c r="J763" i="15"/>
  <c r="I763" i="15"/>
  <c r="H763" i="15"/>
  <c r="G763" i="15"/>
  <c r="F763" i="15"/>
  <c r="E763" i="15"/>
  <c r="D763" i="15"/>
  <c r="C763" i="15"/>
  <c r="B763" i="15"/>
  <c r="R760" i="15"/>
  <c r="R763" i="15" s="1"/>
  <c r="R740" i="15"/>
  <c r="M740" i="15"/>
  <c r="L740" i="15"/>
  <c r="K740" i="15"/>
  <c r="K449" i="15" s="1"/>
  <c r="J740" i="15"/>
  <c r="I740" i="15"/>
  <c r="I449" i="15" s="1"/>
  <c r="H740" i="15"/>
  <c r="G740" i="15"/>
  <c r="G449" i="15" s="1"/>
  <c r="F740" i="15"/>
  <c r="E740" i="15"/>
  <c r="E449" i="15" s="1"/>
  <c r="D740" i="15"/>
  <c r="C740" i="15"/>
  <c r="C449" i="15" s="1"/>
  <c r="B740" i="15"/>
  <c r="A722" i="15"/>
  <c r="A753" i="15" s="1"/>
  <c r="R710" i="15"/>
  <c r="M710" i="15"/>
  <c r="L710" i="15"/>
  <c r="L447" i="15" s="1"/>
  <c r="K710" i="15"/>
  <c r="J710" i="15"/>
  <c r="I710" i="15"/>
  <c r="H710" i="15"/>
  <c r="G710" i="15"/>
  <c r="F710" i="15"/>
  <c r="E710" i="15"/>
  <c r="D710" i="15"/>
  <c r="C710" i="15"/>
  <c r="B710" i="15"/>
  <c r="R688" i="15"/>
  <c r="M688" i="15"/>
  <c r="L688" i="15"/>
  <c r="K688" i="15"/>
  <c r="K445" i="15" s="1"/>
  <c r="J688" i="15"/>
  <c r="J445" i="15" s="1"/>
  <c r="I688" i="15"/>
  <c r="I445" i="15" s="1"/>
  <c r="H688" i="15"/>
  <c r="G688" i="15"/>
  <c r="G445" i="15" s="1"/>
  <c r="F688" i="15"/>
  <c r="F445" i="15" s="1"/>
  <c r="E688" i="15"/>
  <c r="E445" i="15" s="1"/>
  <c r="D688" i="15"/>
  <c r="C688" i="15"/>
  <c r="C445" i="15" s="1"/>
  <c r="B688" i="15"/>
  <c r="B445" i="15" s="1"/>
  <c r="A676" i="15"/>
  <c r="A699" i="15" s="1"/>
  <c r="R665" i="15"/>
  <c r="M665" i="15"/>
  <c r="L665" i="15"/>
  <c r="K665" i="15"/>
  <c r="J665" i="15"/>
  <c r="I665" i="15"/>
  <c r="H665" i="15"/>
  <c r="G665" i="15"/>
  <c r="F665" i="15"/>
  <c r="E665" i="15"/>
  <c r="D665" i="15"/>
  <c r="C665" i="15"/>
  <c r="B665" i="15"/>
  <c r="A655" i="15"/>
  <c r="R646" i="15"/>
  <c r="M646" i="15"/>
  <c r="L646" i="15"/>
  <c r="K646" i="15"/>
  <c r="J646" i="15"/>
  <c r="I646" i="15"/>
  <c r="H646" i="15"/>
  <c r="G646" i="15"/>
  <c r="F646" i="15"/>
  <c r="E646" i="15"/>
  <c r="D646" i="15"/>
  <c r="C646" i="15"/>
  <c r="B646" i="15"/>
  <c r="A633" i="15"/>
  <c r="R622" i="15"/>
  <c r="M622" i="15"/>
  <c r="L622" i="15"/>
  <c r="L437" i="15" s="1"/>
  <c r="K622" i="15"/>
  <c r="K437" i="15" s="1"/>
  <c r="J622" i="15"/>
  <c r="I622" i="15"/>
  <c r="H622" i="15"/>
  <c r="G622" i="15"/>
  <c r="F622" i="15"/>
  <c r="E622" i="15"/>
  <c r="E437" i="15" s="1"/>
  <c r="D622" i="15"/>
  <c r="D437" i="15" s="1"/>
  <c r="C622" i="15"/>
  <c r="C437" i="15" s="1"/>
  <c r="B622" i="15"/>
  <c r="B437" i="15" s="1"/>
  <c r="A608" i="15"/>
  <c r="M598" i="15"/>
  <c r="L598" i="15"/>
  <c r="L435" i="15" s="1"/>
  <c r="K598" i="15"/>
  <c r="K435" i="15" s="1"/>
  <c r="J598" i="15"/>
  <c r="J435" i="15" s="1"/>
  <c r="I598" i="15"/>
  <c r="I435" i="15" s="1"/>
  <c r="H598" i="15"/>
  <c r="H435" i="15" s="1"/>
  <c r="G598" i="15"/>
  <c r="G435" i="15" s="1"/>
  <c r="F598" i="15"/>
  <c r="F435" i="15" s="1"/>
  <c r="E598" i="15"/>
  <c r="E435" i="15" s="1"/>
  <c r="D598" i="15"/>
  <c r="D435" i="15" s="1"/>
  <c r="C598" i="15"/>
  <c r="B598" i="15"/>
  <c r="R596" i="15"/>
  <c r="R594" i="15"/>
  <c r="R592" i="15"/>
  <c r="A581" i="15"/>
  <c r="M568" i="15"/>
  <c r="L568" i="15"/>
  <c r="L433" i="15" s="1"/>
  <c r="K568" i="15"/>
  <c r="J568" i="15"/>
  <c r="J433" i="15" s="1"/>
  <c r="I568" i="15"/>
  <c r="I433" i="15" s="1"/>
  <c r="H568" i="15"/>
  <c r="H433" i="15" s="1"/>
  <c r="G568" i="15"/>
  <c r="G433" i="15" s="1"/>
  <c r="F568" i="15"/>
  <c r="F433" i="15" s="1"/>
  <c r="E568" i="15"/>
  <c r="E433" i="15" s="1"/>
  <c r="D568" i="15"/>
  <c r="D433" i="15" s="1"/>
  <c r="C568" i="15"/>
  <c r="C433" i="15" s="1"/>
  <c r="B568" i="15"/>
  <c r="B433" i="15" s="1"/>
  <c r="R563" i="15"/>
  <c r="R561" i="15"/>
  <c r="A555" i="15"/>
  <c r="M545" i="15"/>
  <c r="L545" i="15"/>
  <c r="L431" i="15" s="1"/>
  <c r="K545" i="15"/>
  <c r="K431" i="15" s="1"/>
  <c r="J545" i="15"/>
  <c r="J431" i="15" s="1"/>
  <c r="I545" i="15"/>
  <c r="I431" i="15" s="1"/>
  <c r="H545" i="15"/>
  <c r="H431" i="15" s="1"/>
  <c r="G545" i="15"/>
  <c r="G431" i="15" s="1"/>
  <c r="F545" i="15"/>
  <c r="F431" i="15" s="1"/>
  <c r="E545" i="15"/>
  <c r="E431" i="15" s="1"/>
  <c r="D545" i="15"/>
  <c r="D431" i="15" s="1"/>
  <c r="C545" i="15"/>
  <c r="C431" i="15" s="1"/>
  <c r="B545" i="15"/>
  <c r="B431" i="15" s="1"/>
  <c r="R539" i="15"/>
  <c r="R545" i="15" s="1"/>
  <c r="A533" i="15"/>
  <c r="M522" i="15"/>
  <c r="L522" i="15"/>
  <c r="L429" i="15" s="1"/>
  <c r="K522" i="15"/>
  <c r="K429" i="15" s="1"/>
  <c r="J522" i="15"/>
  <c r="J429" i="15" s="1"/>
  <c r="I522" i="15"/>
  <c r="I429" i="15" s="1"/>
  <c r="H522" i="15"/>
  <c r="H429" i="15" s="1"/>
  <c r="G522" i="15"/>
  <c r="G429" i="15" s="1"/>
  <c r="F522" i="15"/>
  <c r="F429" i="15" s="1"/>
  <c r="E522" i="15"/>
  <c r="E429" i="15" s="1"/>
  <c r="D522" i="15"/>
  <c r="D429" i="15" s="1"/>
  <c r="C522" i="15"/>
  <c r="C429" i="15" s="1"/>
  <c r="B522" i="15"/>
  <c r="B429" i="15" s="1"/>
  <c r="R518" i="15"/>
  <c r="R516" i="15"/>
  <c r="N514" i="15"/>
  <c r="N513" i="15"/>
  <c r="A510" i="15"/>
  <c r="M501" i="15"/>
  <c r="L501" i="15"/>
  <c r="K501" i="15"/>
  <c r="K427" i="15" s="1"/>
  <c r="J501" i="15"/>
  <c r="J427" i="15" s="1"/>
  <c r="I501" i="15"/>
  <c r="I427" i="15" s="1"/>
  <c r="H501" i="15"/>
  <c r="H427" i="15" s="1"/>
  <c r="G501" i="15"/>
  <c r="G427" i="15" s="1"/>
  <c r="F501" i="15"/>
  <c r="F427" i="15" s="1"/>
  <c r="E501" i="15"/>
  <c r="E427" i="15" s="1"/>
  <c r="D501" i="15"/>
  <c r="D427" i="15" s="1"/>
  <c r="C501" i="15"/>
  <c r="C427" i="15" s="1"/>
  <c r="B501" i="15"/>
  <c r="B427" i="15" s="1"/>
  <c r="R495" i="15"/>
  <c r="R501" i="15" s="1"/>
  <c r="A489" i="15"/>
  <c r="M476" i="15"/>
  <c r="L476" i="15"/>
  <c r="L425" i="15" s="1"/>
  <c r="K476" i="15"/>
  <c r="K425" i="15" s="1"/>
  <c r="J476" i="15"/>
  <c r="J425" i="15" s="1"/>
  <c r="I476" i="15"/>
  <c r="I425" i="15" s="1"/>
  <c r="H476" i="15"/>
  <c r="H425" i="15" s="1"/>
  <c r="G476" i="15"/>
  <c r="G425" i="15" s="1"/>
  <c r="F476" i="15"/>
  <c r="F425" i="15" s="1"/>
  <c r="E476" i="15"/>
  <c r="E425" i="15" s="1"/>
  <c r="D476" i="15"/>
  <c r="D425" i="15" s="1"/>
  <c r="C476" i="15"/>
  <c r="C425" i="15" s="1"/>
  <c r="B476" i="15"/>
  <c r="B425" i="15" s="1"/>
  <c r="R470" i="15"/>
  <c r="R476" i="15" s="1"/>
  <c r="A464" i="15"/>
  <c r="T454" i="15"/>
  <c r="R451" i="15"/>
  <c r="L449" i="15"/>
  <c r="J449" i="15"/>
  <c r="H449" i="15"/>
  <c r="F449" i="15"/>
  <c r="D449" i="15"/>
  <c r="K447" i="15"/>
  <c r="J447" i="15"/>
  <c r="I447" i="15"/>
  <c r="H447" i="15"/>
  <c r="G447" i="15"/>
  <c r="F447" i="15"/>
  <c r="E447" i="15"/>
  <c r="D447" i="15"/>
  <c r="C447" i="15"/>
  <c r="B447" i="15"/>
  <c r="L445" i="15"/>
  <c r="H445" i="15"/>
  <c r="D445" i="15"/>
  <c r="L441" i="15"/>
  <c r="K441" i="15"/>
  <c r="J441" i="15"/>
  <c r="I441" i="15"/>
  <c r="H441" i="15"/>
  <c r="G441" i="15"/>
  <c r="F441" i="15"/>
  <c r="E441" i="15"/>
  <c r="D441" i="15"/>
  <c r="C441" i="15"/>
  <c r="L439" i="15"/>
  <c r="K439" i="15"/>
  <c r="J439" i="15"/>
  <c r="I439" i="15"/>
  <c r="H439" i="15"/>
  <c r="G439" i="15"/>
  <c r="F439" i="15"/>
  <c r="E439" i="15"/>
  <c r="D439" i="15"/>
  <c r="C439" i="15"/>
  <c r="B439" i="15"/>
  <c r="J437" i="15"/>
  <c r="I437" i="15"/>
  <c r="H437" i="15"/>
  <c r="G437" i="15"/>
  <c r="F437" i="15"/>
  <c r="R435" i="15"/>
  <c r="C435" i="15"/>
  <c r="B435" i="15"/>
  <c r="K433" i="15"/>
  <c r="L427" i="15"/>
  <c r="R423" i="15"/>
  <c r="M421" i="15"/>
  <c r="L421" i="15"/>
  <c r="K421" i="15"/>
  <c r="J421" i="15"/>
  <c r="I421" i="15"/>
  <c r="H421" i="15"/>
  <c r="G421" i="15"/>
  <c r="F421" i="15"/>
  <c r="E421" i="15"/>
  <c r="D421" i="15"/>
  <c r="C421" i="15"/>
  <c r="AA404" i="15"/>
  <c r="V398" i="15"/>
  <c r="U398" i="15"/>
  <c r="S398" i="15"/>
  <c r="M388" i="15"/>
  <c r="M387" i="15"/>
  <c r="X374" i="15"/>
  <c r="R374" i="15"/>
  <c r="R402" i="15" s="1"/>
  <c r="Q374" i="15"/>
  <c r="Q402" i="15" s="1"/>
  <c r="P374" i="15"/>
  <c r="P402" i="15" s="1"/>
  <c r="O374" i="15"/>
  <c r="O402" i="15" s="1"/>
  <c r="N374" i="15"/>
  <c r="N402" i="15" s="1"/>
  <c r="M374" i="15"/>
  <c r="M402" i="15" s="1"/>
  <c r="L374" i="15"/>
  <c r="L402" i="15" s="1"/>
  <c r="K374" i="15"/>
  <c r="K402" i="15" s="1"/>
  <c r="J374" i="15"/>
  <c r="J402" i="15" s="1"/>
  <c r="I374" i="15"/>
  <c r="I402" i="15" s="1"/>
  <c r="H374" i="15"/>
  <c r="H402" i="15" s="1"/>
  <c r="G374" i="15"/>
  <c r="G402" i="15" s="1"/>
  <c r="F374" i="15"/>
  <c r="F402" i="15" s="1"/>
  <c r="E374" i="15"/>
  <c r="E402" i="15" s="1"/>
  <c r="D374" i="15"/>
  <c r="D402" i="15" s="1"/>
  <c r="C374" i="15"/>
  <c r="C402" i="15" s="1"/>
  <c r="B374" i="15"/>
  <c r="B402" i="15" s="1"/>
  <c r="M367" i="15"/>
  <c r="N366" i="15"/>
  <c r="N387" i="15" s="1"/>
  <c r="M366" i="15"/>
  <c r="A364" i="15"/>
  <c r="X352" i="15"/>
  <c r="R352" i="15"/>
  <c r="R421" i="15" s="1"/>
  <c r="Q352" i="15"/>
  <c r="Q421" i="15" s="1"/>
  <c r="O352" i="15"/>
  <c r="O421" i="15" s="1"/>
  <c r="N352" i="15"/>
  <c r="N421" i="15" s="1"/>
  <c r="B352" i="15"/>
  <c r="B421" i="15" s="1"/>
  <c r="P336" i="15"/>
  <c r="P352" i="15" s="1"/>
  <c r="P421" i="15" s="1"/>
  <c r="M334" i="15"/>
  <c r="M333" i="15"/>
  <c r="A331" i="15"/>
  <c r="R317" i="15"/>
  <c r="R417" i="15" s="1"/>
  <c r="Q317" i="15"/>
  <c r="Q417" i="15" s="1"/>
  <c r="P317" i="15"/>
  <c r="P417" i="15" s="1"/>
  <c r="O317" i="15"/>
  <c r="O417" i="15" s="1"/>
  <c r="N317" i="15"/>
  <c r="N417" i="15" s="1"/>
  <c r="M317" i="15"/>
  <c r="M417" i="15" s="1"/>
  <c r="L317" i="15"/>
  <c r="L417" i="15" s="1"/>
  <c r="K317" i="15"/>
  <c r="K417" i="15" s="1"/>
  <c r="J317" i="15"/>
  <c r="J417" i="15" s="1"/>
  <c r="I317" i="15"/>
  <c r="I417" i="15" s="1"/>
  <c r="H317" i="15"/>
  <c r="H417" i="15" s="1"/>
  <c r="G317" i="15"/>
  <c r="G417" i="15" s="1"/>
  <c r="F317" i="15"/>
  <c r="F417" i="15" s="1"/>
  <c r="E317" i="15"/>
  <c r="E417" i="15" s="1"/>
  <c r="D317" i="15"/>
  <c r="D417" i="15" s="1"/>
  <c r="C317" i="15"/>
  <c r="C417" i="15" s="1"/>
  <c r="B317" i="15"/>
  <c r="B417" i="15" s="1"/>
  <c r="M313" i="15"/>
  <c r="M312" i="15"/>
  <c r="A310" i="15"/>
  <c r="A309" i="15"/>
  <c r="R294" i="15"/>
  <c r="R400" i="15" s="1"/>
  <c r="Q294" i="15"/>
  <c r="Q400" i="15" s="1"/>
  <c r="P294" i="15"/>
  <c r="P400" i="15" s="1"/>
  <c r="O294" i="15"/>
  <c r="O400" i="15" s="1"/>
  <c r="N294" i="15"/>
  <c r="N400" i="15" s="1"/>
  <c r="M294" i="15"/>
  <c r="M400" i="15" s="1"/>
  <c r="L294" i="15"/>
  <c r="L400" i="15" s="1"/>
  <c r="K294" i="15"/>
  <c r="K400" i="15" s="1"/>
  <c r="J294" i="15"/>
  <c r="J400" i="15" s="1"/>
  <c r="I294" i="15"/>
  <c r="I400" i="15" s="1"/>
  <c r="H294" i="15"/>
  <c r="H400" i="15" s="1"/>
  <c r="G294" i="15"/>
  <c r="G400" i="15" s="1"/>
  <c r="F294" i="15"/>
  <c r="F400" i="15" s="1"/>
  <c r="E294" i="15"/>
  <c r="E400" i="15" s="1"/>
  <c r="D294" i="15"/>
  <c r="D400" i="15" s="1"/>
  <c r="C294" i="15"/>
  <c r="C400" i="15" s="1"/>
  <c r="B294" i="15"/>
  <c r="B400" i="15" s="1"/>
  <c r="M286" i="15"/>
  <c r="M285" i="15"/>
  <c r="AA268" i="15"/>
  <c r="AA267" i="15"/>
  <c r="AA266" i="15"/>
  <c r="R415" i="15"/>
  <c r="Q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P265" i="15"/>
  <c r="AA265" i="15" s="1"/>
  <c r="P264" i="15"/>
  <c r="AA264" i="15" s="1"/>
  <c r="AA263" i="15"/>
  <c r="P262" i="15"/>
  <c r="AA262" i="15" s="1"/>
  <c r="P259" i="15"/>
  <c r="AA259" i="15" s="1"/>
  <c r="AA257" i="15"/>
  <c r="P256" i="15"/>
  <c r="AA256" i="15" s="1"/>
  <c r="P255" i="15"/>
  <c r="AA255" i="15" s="1"/>
  <c r="AA254" i="15"/>
  <c r="AA252" i="15"/>
  <c r="AA251" i="15"/>
  <c r="P250" i="15"/>
  <c r="AA250" i="15" s="1"/>
  <c r="P249" i="15"/>
  <c r="AA248" i="15"/>
  <c r="M246" i="15"/>
  <c r="M245" i="15"/>
  <c r="A243" i="15"/>
  <c r="X228" i="15"/>
  <c r="R228" i="15"/>
  <c r="R413" i="15" s="1"/>
  <c r="Q228" i="15"/>
  <c r="Q413" i="15" s="1"/>
  <c r="O228" i="15"/>
  <c r="O413" i="15" s="1"/>
  <c r="N228" i="15"/>
  <c r="N413" i="15" s="1"/>
  <c r="M228" i="15"/>
  <c r="M413" i="15" s="1"/>
  <c r="L228" i="15"/>
  <c r="L413" i="15" s="1"/>
  <c r="K228" i="15"/>
  <c r="K413" i="15" s="1"/>
  <c r="J228" i="15"/>
  <c r="J413" i="15" s="1"/>
  <c r="I228" i="15"/>
  <c r="I413" i="15" s="1"/>
  <c r="H228" i="15"/>
  <c r="H413" i="15" s="1"/>
  <c r="G228" i="15"/>
  <c r="G413" i="15" s="1"/>
  <c r="F228" i="15"/>
  <c r="F413" i="15" s="1"/>
  <c r="E228" i="15"/>
  <c r="E413" i="15" s="1"/>
  <c r="D228" i="15"/>
  <c r="D413" i="15" s="1"/>
  <c r="C228" i="15"/>
  <c r="C413" i="15" s="1"/>
  <c r="B228" i="15"/>
  <c r="B413" i="15" s="1"/>
  <c r="AA227" i="15"/>
  <c r="AA226" i="15"/>
  <c r="P225" i="15"/>
  <c r="AA225" i="15" s="1"/>
  <c r="P224" i="15"/>
  <c r="AA224" i="15" s="1"/>
  <c r="AA223" i="15"/>
  <c r="AA222" i="15"/>
  <c r="AA221" i="15"/>
  <c r="P220" i="15"/>
  <c r="AA219" i="15"/>
  <c r="M217" i="15"/>
  <c r="M216" i="15"/>
  <c r="X199" i="15"/>
  <c r="V199" i="15"/>
  <c r="U199" i="15"/>
  <c r="T199" i="15"/>
  <c r="S199" i="15"/>
  <c r="R199" i="15"/>
  <c r="R411" i="15" s="1"/>
  <c r="Q199" i="15"/>
  <c r="Q411" i="15" s="1"/>
  <c r="O199" i="15"/>
  <c r="O411" i="15" s="1"/>
  <c r="N199" i="15"/>
  <c r="N411" i="15" s="1"/>
  <c r="M199" i="15"/>
  <c r="M411" i="15" s="1"/>
  <c r="L199" i="15"/>
  <c r="L411" i="15" s="1"/>
  <c r="K199" i="15"/>
  <c r="K411" i="15" s="1"/>
  <c r="J199" i="15"/>
  <c r="J411" i="15" s="1"/>
  <c r="I199" i="15"/>
  <c r="I411" i="15" s="1"/>
  <c r="H199" i="15"/>
  <c r="H411" i="15" s="1"/>
  <c r="G199" i="15"/>
  <c r="G411" i="15" s="1"/>
  <c r="F199" i="15"/>
  <c r="F411" i="15" s="1"/>
  <c r="E199" i="15"/>
  <c r="E411" i="15" s="1"/>
  <c r="D199" i="15"/>
  <c r="D411" i="15" s="1"/>
  <c r="C199" i="15"/>
  <c r="C411" i="15" s="1"/>
  <c r="B199" i="15"/>
  <c r="B411" i="15" s="1"/>
  <c r="P197" i="15"/>
  <c r="AA197" i="15" s="1"/>
  <c r="P196" i="15"/>
  <c r="AA196" i="15" s="1"/>
  <c r="P195" i="15"/>
  <c r="AA195" i="15" s="1"/>
  <c r="P194" i="15"/>
  <c r="AA194" i="15" s="1"/>
  <c r="P193" i="15"/>
  <c r="AA193" i="15" s="1"/>
  <c r="P192" i="15"/>
  <c r="M190" i="15"/>
  <c r="M189" i="15"/>
  <c r="A187" i="15"/>
  <c r="A214" i="15" s="1"/>
  <c r="X173" i="15"/>
  <c r="T173" i="15"/>
  <c r="R173" i="15"/>
  <c r="R409" i="15" s="1"/>
  <c r="Q173" i="15"/>
  <c r="Q409" i="15" s="1"/>
  <c r="O173" i="15"/>
  <c r="O409" i="15" s="1"/>
  <c r="N173" i="15"/>
  <c r="N409" i="15" s="1"/>
  <c r="M173" i="15"/>
  <c r="M409" i="15" s="1"/>
  <c r="L173" i="15"/>
  <c r="L409" i="15" s="1"/>
  <c r="K173" i="15"/>
  <c r="K409" i="15" s="1"/>
  <c r="J173" i="15"/>
  <c r="J409" i="15" s="1"/>
  <c r="I173" i="15"/>
  <c r="I409" i="15" s="1"/>
  <c r="H173" i="15"/>
  <c r="H409" i="15" s="1"/>
  <c r="G173" i="15"/>
  <c r="G409" i="15" s="1"/>
  <c r="F173" i="15"/>
  <c r="F409" i="15" s="1"/>
  <c r="E173" i="15"/>
  <c r="E409" i="15" s="1"/>
  <c r="D173" i="15"/>
  <c r="D409" i="15" s="1"/>
  <c r="C173" i="15"/>
  <c r="C409" i="15" s="1"/>
  <c r="B173" i="15"/>
  <c r="B409" i="15" s="1"/>
  <c r="AA171" i="15"/>
  <c r="P170" i="15"/>
  <c r="AA170" i="15" s="1"/>
  <c r="P169" i="15"/>
  <c r="AA169" i="15" s="1"/>
  <c r="P168" i="15"/>
  <c r="AA168" i="15" s="1"/>
  <c r="AA167" i="15"/>
  <c r="AA166" i="15"/>
  <c r="P165" i="15"/>
  <c r="AA165" i="15" s="1"/>
  <c r="P164" i="15"/>
  <c r="AA164" i="15" s="1"/>
  <c r="P163" i="15"/>
  <c r="AA163" i="15" s="1"/>
  <c r="M161" i="15"/>
  <c r="M160" i="15"/>
  <c r="A158" i="15"/>
  <c r="X144" i="15"/>
  <c r="T144" i="15"/>
  <c r="T398" i="15" s="1"/>
  <c r="R144" i="15"/>
  <c r="R398" i="15" s="1"/>
  <c r="Q144" i="15"/>
  <c r="Q398" i="15" s="1"/>
  <c r="O144" i="15"/>
  <c r="O398" i="15" s="1"/>
  <c r="N144" i="15"/>
  <c r="N398" i="15" s="1"/>
  <c r="M144" i="15"/>
  <c r="M398" i="15" s="1"/>
  <c r="L144" i="15"/>
  <c r="L398" i="15" s="1"/>
  <c r="K144" i="15"/>
  <c r="K398" i="15" s="1"/>
  <c r="J144" i="15"/>
  <c r="J398" i="15" s="1"/>
  <c r="I144" i="15"/>
  <c r="I398" i="15" s="1"/>
  <c r="H144" i="15"/>
  <c r="H398" i="15" s="1"/>
  <c r="G144" i="15"/>
  <c r="G398" i="15" s="1"/>
  <c r="F144" i="15"/>
  <c r="F398" i="15" s="1"/>
  <c r="E144" i="15"/>
  <c r="E398" i="15" s="1"/>
  <c r="D144" i="15"/>
  <c r="D398" i="15" s="1"/>
  <c r="C144" i="15"/>
  <c r="C398" i="15" s="1"/>
  <c r="B144" i="15"/>
  <c r="B398" i="15" s="1"/>
  <c r="AA143" i="15"/>
  <c r="AA142" i="15"/>
  <c r="AA141" i="15"/>
  <c r="P140" i="15"/>
  <c r="AA140" i="15" s="1"/>
  <c r="P138" i="15"/>
  <c r="AA138" i="15" s="1"/>
  <c r="AA137" i="15"/>
  <c r="AA136" i="15"/>
  <c r="AA135" i="15"/>
  <c r="AA134" i="15"/>
  <c r="P133" i="15"/>
  <c r="M131" i="15"/>
  <c r="M130" i="15"/>
  <c r="A128" i="15"/>
  <c r="X112" i="15"/>
  <c r="T112" i="15"/>
  <c r="R112" i="15"/>
  <c r="R396" i="15" s="1"/>
  <c r="Q112" i="15"/>
  <c r="Q396" i="15" s="1"/>
  <c r="O112" i="15"/>
  <c r="O396" i="15" s="1"/>
  <c r="N112" i="15"/>
  <c r="N396" i="15" s="1"/>
  <c r="M112" i="15"/>
  <c r="M396" i="15" s="1"/>
  <c r="L112" i="15"/>
  <c r="L396" i="15" s="1"/>
  <c r="K112" i="15"/>
  <c r="K396" i="15" s="1"/>
  <c r="J112" i="15"/>
  <c r="J396" i="15" s="1"/>
  <c r="I112" i="15"/>
  <c r="I396" i="15" s="1"/>
  <c r="H112" i="15"/>
  <c r="H396" i="15" s="1"/>
  <c r="G112" i="15"/>
  <c r="G396" i="15" s="1"/>
  <c r="F112" i="15"/>
  <c r="F396" i="15" s="1"/>
  <c r="E112" i="15"/>
  <c r="E396" i="15" s="1"/>
  <c r="D112" i="15"/>
  <c r="D396" i="15" s="1"/>
  <c r="C112" i="15"/>
  <c r="C396" i="15" s="1"/>
  <c r="B112" i="15"/>
  <c r="B396" i="15" s="1"/>
  <c r="AA111" i="15"/>
  <c r="AA110" i="15"/>
  <c r="P109" i="15"/>
  <c r="AA109" i="15" s="1"/>
  <c r="AA108" i="15"/>
  <c r="AA107" i="15"/>
  <c r="S106" i="15"/>
  <c r="P106" i="15"/>
  <c r="AA106" i="15" s="1"/>
  <c r="M104" i="15"/>
  <c r="M103" i="15"/>
  <c r="A101" i="15"/>
  <c r="X86" i="15"/>
  <c r="T86" i="15"/>
  <c r="R86" i="15"/>
  <c r="R394" i="15" s="1"/>
  <c r="Q86" i="15"/>
  <c r="Q394" i="15" s="1"/>
  <c r="O86" i="15"/>
  <c r="O394" i="15" s="1"/>
  <c r="N86" i="15"/>
  <c r="N394" i="15" s="1"/>
  <c r="M86" i="15"/>
  <c r="M394" i="15" s="1"/>
  <c r="L86" i="15"/>
  <c r="L394" i="15" s="1"/>
  <c r="K86" i="15"/>
  <c r="K394" i="15" s="1"/>
  <c r="J86" i="15"/>
  <c r="J394" i="15" s="1"/>
  <c r="I86" i="15"/>
  <c r="I394" i="15" s="1"/>
  <c r="H86" i="15"/>
  <c r="H394" i="15" s="1"/>
  <c r="G86" i="15"/>
  <c r="G394" i="15" s="1"/>
  <c r="F86" i="15"/>
  <c r="F394" i="15" s="1"/>
  <c r="E86" i="15"/>
  <c r="E394" i="15" s="1"/>
  <c r="D86" i="15"/>
  <c r="D394" i="15" s="1"/>
  <c r="C86" i="15"/>
  <c r="C394" i="15" s="1"/>
  <c r="B86" i="15"/>
  <c r="B394" i="15" s="1"/>
  <c r="AA85" i="15"/>
  <c r="P84" i="15"/>
  <c r="AA84" i="15" s="1"/>
  <c r="P83" i="15"/>
  <c r="AA83" i="15" s="1"/>
  <c r="AA82" i="15"/>
  <c r="AA81" i="15"/>
  <c r="AA80" i="15"/>
  <c r="P79" i="15"/>
  <c r="AA79" i="15" s="1"/>
  <c r="AA78" i="15"/>
  <c r="AA77" i="15"/>
  <c r="AA76" i="15"/>
  <c r="N74" i="15"/>
  <c r="N104" i="15" s="1"/>
  <c r="N131" i="15" s="1"/>
  <c r="N161" i="15" s="1"/>
  <c r="M74" i="15"/>
  <c r="Q73" i="15"/>
  <c r="Q103" i="15" s="1"/>
  <c r="Q130" i="15" s="1"/>
  <c r="Q160" i="15" s="1"/>
  <c r="Q189" i="15" s="1"/>
  <c r="Q216" i="15" s="1"/>
  <c r="Q245" i="15" s="1"/>
  <c r="Q285" i="15" s="1"/>
  <c r="P73" i="15"/>
  <c r="P103" i="15" s="1"/>
  <c r="P130" i="15" s="1"/>
  <c r="P160" i="15" s="1"/>
  <c r="P189" i="15" s="1"/>
  <c r="P216" i="15" s="1"/>
  <c r="P245" i="15" s="1"/>
  <c r="P285" i="15" s="1"/>
  <c r="M73" i="15"/>
  <c r="A71" i="15"/>
  <c r="X55" i="15"/>
  <c r="T55" i="15"/>
  <c r="R55" i="15"/>
  <c r="R392" i="15" s="1"/>
  <c r="Q55" i="15"/>
  <c r="Q392" i="15" s="1"/>
  <c r="O55" i="15"/>
  <c r="O392" i="15" s="1"/>
  <c r="N55" i="15"/>
  <c r="N392" i="15" s="1"/>
  <c r="M55" i="15"/>
  <c r="M392" i="15" s="1"/>
  <c r="L55" i="15"/>
  <c r="L392" i="15" s="1"/>
  <c r="K55" i="15"/>
  <c r="K392" i="15" s="1"/>
  <c r="J55" i="15"/>
  <c r="J392" i="15" s="1"/>
  <c r="I55" i="15"/>
  <c r="I392" i="15" s="1"/>
  <c r="H55" i="15"/>
  <c r="H392" i="15" s="1"/>
  <c r="G55" i="15"/>
  <c r="G392" i="15" s="1"/>
  <c r="F55" i="15"/>
  <c r="F392" i="15" s="1"/>
  <c r="E55" i="15"/>
  <c r="E392" i="15" s="1"/>
  <c r="D55" i="15"/>
  <c r="D392" i="15" s="1"/>
  <c r="C55" i="15"/>
  <c r="C392" i="15" s="1"/>
  <c r="B55" i="15"/>
  <c r="B392" i="15" s="1"/>
  <c r="AA53" i="15"/>
  <c r="P52" i="15"/>
  <c r="AA52" i="15" s="1"/>
  <c r="AA51" i="15"/>
  <c r="P50" i="15"/>
  <c r="AA50" i="15" s="1"/>
  <c r="AA49" i="15"/>
  <c r="P48" i="15"/>
  <c r="AA48" i="15" s="1"/>
  <c r="P47" i="15"/>
  <c r="AA47" i="15" s="1"/>
  <c r="P46" i="15"/>
  <c r="AA46" i="15" s="1"/>
  <c r="S45" i="15"/>
  <c r="P45" i="15"/>
  <c r="AA44" i="15"/>
  <c r="N42" i="15"/>
  <c r="M42" i="15"/>
  <c r="Q41" i="15"/>
  <c r="P41" i="15"/>
  <c r="M41" i="15"/>
  <c r="A39" i="15"/>
  <c r="A283" i="15" s="1"/>
  <c r="X23" i="15"/>
  <c r="T23" i="15"/>
  <c r="R23" i="15"/>
  <c r="R390" i="15" s="1"/>
  <c r="Q23" i="15"/>
  <c r="Q390" i="15" s="1"/>
  <c r="O23" i="15"/>
  <c r="O390" i="15" s="1"/>
  <c r="N23" i="15"/>
  <c r="N390" i="15" s="1"/>
  <c r="M23" i="15"/>
  <c r="M390" i="15" s="1"/>
  <c r="L23" i="15"/>
  <c r="L390" i="15" s="1"/>
  <c r="K23" i="15"/>
  <c r="K390" i="15" s="1"/>
  <c r="J23" i="15"/>
  <c r="J390" i="15" s="1"/>
  <c r="I23" i="15"/>
  <c r="I390" i="15" s="1"/>
  <c r="H23" i="15"/>
  <c r="H390" i="15" s="1"/>
  <c r="G23" i="15"/>
  <c r="G390" i="15" s="1"/>
  <c r="F23" i="15"/>
  <c r="F390" i="15" s="1"/>
  <c r="E23" i="15"/>
  <c r="E390" i="15" s="1"/>
  <c r="D23" i="15"/>
  <c r="D390" i="15" s="1"/>
  <c r="C23" i="15"/>
  <c r="C390" i="15" s="1"/>
  <c r="B23" i="15"/>
  <c r="B390" i="15" s="1"/>
  <c r="AA22" i="15"/>
  <c r="P21" i="15"/>
  <c r="AA21" i="15" s="1"/>
  <c r="AA20" i="15"/>
  <c r="P19" i="15"/>
  <c r="AA19" i="15" s="1"/>
  <c r="P18" i="15"/>
  <c r="AA18" i="15" s="1"/>
  <c r="AA17" i="15"/>
  <c r="AA16" i="15"/>
  <c r="P15" i="15"/>
  <c r="AA15" i="15" s="1"/>
  <c r="P14" i="15"/>
  <c r="AA14" i="15" s="1"/>
  <c r="AA13" i="15"/>
  <c r="P12" i="15"/>
  <c r="AA12" i="15" s="1"/>
  <c r="AA11" i="15"/>
  <c r="AA10" i="15"/>
  <c r="P9" i="15"/>
  <c r="AA9" i="15" s="1"/>
  <c r="S455" i="15" l="1"/>
  <c r="P199" i="15"/>
  <c r="P411" i="15" s="1"/>
  <c r="AA249" i="15"/>
  <c r="AA269" i="15" s="1"/>
  <c r="P269" i="15"/>
  <c r="B407" i="15"/>
  <c r="B419" i="15" s="1"/>
  <c r="B454" i="15" s="1"/>
  <c r="D407" i="15"/>
  <c r="D419" i="15" s="1"/>
  <c r="F407" i="15"/>
  <c r="F419" i="15" s="1"/>
  <c r="F454" i="15" s="1"/>
  <c r="H407" i="15"/>
  <c r="H419" i="15" s="1"/>
  <c r="H454" i="15" s="1"/>
  <c r="J407" i="15"/>
  <c r="J419" i="15" s="1"/>
  <c r="J454" i="15" s="1"/>
  <c r="L407" i="15"/>
  <c r="L419" i="15" s="1"/>
  <c r="L454" i="15" s="1"/>
  <c r="N407" i="15"/>
  <c r="Q407" i="15"/>
  <c r="Q419" i="15" s="1"/>
  <c r="Q454" i="15" s="1"/>
  <c r="P144" i="15"/>
  <c r="P398" i="15" s="1"/>
  <c r="O419" i="15"/>
  <c r="P55" i="15"/>
  <c r="P392" i="15" s="1"/>
  <c r="AA415" i="15"/>
  <c r="R433" i="15"/>
  <c r="R439" i="15"/>
  <c r="R447" i="15"/>
  <c r="R449" i="15"/>
  <c r="R522" i="15"/>
  <c r="D454" i="15"/>
  <c r="AA23" i="15"/>
  <c r="P86" i="15"/>
  <c r="P394" i="15" s="1"/>
  <c r="AA133" i="15"/>
  <c r="P173" i="15"/>
  <c r="P409" i="15" s="1"/>
  <c r="AA192" i="15"/>
  <c r="AA199" i="15" s="1"/>
  <c r="P228" i="15"/>
  <c r="P413" i="15" s="1"/>
  <c r="R427" i="15"/>
  <c r="R431" i="15"/>
  <c r="R437" i="15"/>
  <c r="R445" i="15"/>
  <c r="R568" i="15"/>
  <c r="R598" i="15"/>
  <c r="AA392" i="15"/>
  <c r="AA394" i="15"/>
  <c r="AA396" i="15"/>
  <c r="AA173" i="15"/>
  <c r="AA409" i="15"/>
  <c r="R425" i="15"/>
  <c r="R429" i="15"/>
  <c r="N217" i="15"/>
  <c r="N246" i="15" s="1"/>
  <c r="N286" i="15" s="1"/>
  <c r="N313" i="15" s="1"/>
  <c r="N334" i="15" s="1"/>
  <c r="N367" i="15" s="1"/>
  <c r="N388" i="15" s="1"/>
  <c r="N190" i="15"/>
  <c r="R407" i="15"/>
  <c r="AA390" i="15"/>
  <c r="P312" i="15"/>
  <c r="P333" i="15"/>
  <c r="P366" i="15" s="1"/>
  <c r="P387" i="15" s="1"/>
  <c r="C407" i="15"/>
  <c r="C419" i="15" s="1"/>
  <c r="C454" i="15" s="1"/>
  <c r="E407" i="15"/>
  <c r="E419" i="15" s="1"/>
  <c r="E454" i="15" s="1"/>
  <c r="G407" i="15"/>
  <c r="G419" i="15" s="1"/>
  <c r="G454" i="15" s="1"/>
  <c r="I407" i="15"/>
  <c r="I419" i="15" s="1"/>
  <c r="I454" i="15" s="1"/>
  <c r="K407" i="15"/>
  <c r="K419" i="15" s="1"/>
  <c r="K454" i="15" s="1"/>
  <c r="O407" i="15"/>
  <c r="AA398" i="15"/>
  <c r="N419" i="15"/>
  <c r="AA411" i="15"/>
  <c r="AA413" i="15"/>
  <c r="AA400" i="15"/>
  <c r="AA421" i="15"/>
  <c r="AA402" i="15"/>
  <c r="Q333" i="15"/>
  <c r="Q366" i="15" s="1"/>
  <c r="Q387" i="15" s="1"/>
  <c r="Q312" i="15"/>
  <c r="AA417" i="15"/>
  <c r="P23" i="15"/>
  <c r="P390" i="15" s="1"/>
  <c r="AA45" i="15"/>
  <c r="AA55" i="15" s="1"/>
  <c r="P112" i="15"/>
  <c r="AA220" i="15"/>
  <c r="AU19" i="4"/>
  <c r="AA144" i="15" l="1"/>
  <c r="O454" i="15"/>
  <c r="N454" i="15"/>
  <c r="AA228" i="15"/>
  <c r="AA86" i="15"/>
  <c r="P415" i="15"/>
  <c r="P396" i="15"/>
  <c r="AA112" i="15"/>
  <c r="R419" i="15"/>
  <c r="AA407" i="15"/>
  <c r="P407" i="15"/>
  <c r="P419" i="15" l="1"/>
  <c r="P454" i="15" s="1"/>
  <c r="AA419" i="15"/>
  <c r="R454" i="15"/>
  <c r="D28" i="18" l="1"/>
  <c r="C25" i="18" l="1"/>
  <c r="D25" i="18" l="1"/>
  <c r="C31" i="18"/>
  <c r="C30" i="18"/>
  <c r="D30" i="18" s="1"/>
  <c r="C32" i="18"/>
  <c r="D33" i="18" l="1"/>
  <c r="C27" i="18"/>
  <c r="C34" i="18" s="1"/>
  <c r="D29" i="18"/>
  <c r="D27" i="18" l="1"/>
  <c r="AC10" i="12" l="1"/>
  <c r="M16" i="23" l="1"/>
  <c r="AA10" i="12"/>
  <c r="M18" i="23" l="1"/>
  <c r="P19" i="23" s="1"/>
  <c r="P21" i="23" s="1"/>
  <c r="AB39" i="4"/>
  <c r="AB41" i="4" s="1"/>
  <c r="G107" i="11" l="1"/>
  <c r="H110" i="11"/>
  <c r="C123" i="11"/>
  <c r="C116" i="11"/>
  <c r="C108" i="11"/>
  <c r="C111" i="11" s="1"/>
  <c r="C107" i="11"/>
  <c r="C92" i="11"/>
  <c r="C82" i="11"/>
  <c r="C73" i="11" l="1"/>
  <c r="C64" i="11"/>
  <c r="C54" i="11"/>
  <c r="C47" i="11"/>
  <c r="C30" i="11"/>
  <c r="C17" i="11"/>
  <c r="C125" i="11" l="1"/>
  <c r="D7" i="10" l="1"/>
  <c r="C18" i="10"/>
  <c r="C23" i="10" s="1"/>
  <c r="B18" i="10"/>
  <c r="B23" i="10" s="1"/>
  <c r="D13" i="10"/>
  <c r="D14" i="10"/>
  <c r="D16" i="10"/>
  <c r="D17" i="10"/>
  <c r="D5" i="10"/>
  <c r="D6" i="10"/>
  <c r="D8" i="10"/>
  <c r="D9" i="10"/>
  <c r="D10" i="10"/>
  <c r="D11" i="10"/>
  <c r="D12" i="10"/>
  <c r="D23" i="10" l="1"/>
  <c r="D18" i="10"/>
  <c r="D15" i="10"/>
  <c r="AS47" i="4" l="1"/>
  <c r="AD39" i="4" l="1"/>
  <c r="AD41" i="4" l="1"/>
  <c r="D31" i="18" l="1"/>
  <c r="Y10" i="12" l="1"/>
  <c r="D32" i="18" l="1"/>
  <c r="D34" i="18" s="1"/>
  <c r="E12" i="18" l="1"/>
  <c r="H11" i="18"/>
  <c r="M11" i="18" s="1"/>
  <c r="H12" i="18" l="1"/>
  <c r="M12" i="18" s="1"/>
  <c r="AE39" i="4" l="1"/>
  <c r="AC39" i="4"/>
  <c r="H7" i="18" l="1"/>
  <c r="M7" i="18" s="1"/>
  <c r="AB10" i="12" l="1"/>
  <c r="AD10" i="12"/>
  <c r="Z10" i="12"/>
  <c r="AI10" i="12"/>
  <c r="AE41" i="4" l="1"/>
  <c r="AC41" i="4"/>
  <c r="AF10" i="12"/>
  <c r="J22" i="7"/>
  <c r="E10" i="18" l="1"/>
  <c r="H10" i="18"/>
  <c r="M10" i="18" s="1"/>
  <c r="D6" i="7"/>
  <c r="A4" i="5"/>
  <c r="J38" i="7" l="1"/>
  <c r="I22" i="7"/>
  <c r="C22" i="7"/>
  <c r="A29" i="8"/>
  <c r="F29" i="8" s="1"/>
  <c r="L79" i="6"/>
  <c r="A14" i="6"/>
  <c r="A24" i="6"/>
  <c r="A26" i="6"/>
  <c r="A28" i="6"/>
  <c r="A30" i="6"/>
  <c r="A32" i="6"/>
  <c r="A41" i="6"/>
  <c r="D43" i="6"/>
  <c r="I43" i="6"/>
  <c r="J43" i="6"/>
  <c r="K43" i="6"/>
  <c r="I45" i="6"/>
  <c r="J45" i="6"/>
  <c r="K45" i="6"/>
  <c r="I47" i="6"/>
  <c r="J47" i="6"/>
  <c r="K47" i="6"/>
  <c r="I49" i="6"/>
  <c r="J49" i="6"/>
  <c r="K49" i="6"/>
  <c r="I53" i="6"/>
  <c r="J53" i="6"/>
  <c r="K53" i="6"/>
  <c r="I55" i="6"/>
  <c r="J55" i="6"/>
  <c r="K55" i="6"/>
  <c r="I57" i="6"/>
  <c r="J57" i="6"/>
  <c r="K57" i="6"/>
  <c r="I61" i="6"/>
  <c r="J61" i="6"/>
  <c r="K61" i="6"/>
  <c r="I65" i="6"/>
  <c r="J65" i="6"/>
  <c r="K65" i="6"/>
  <c r="N69" i="6"/>
  <c r="O69" i="6"/>
  <c r="P69" i="6"/>
  <c r="Q69" i="6"/>
  <c r="R69" i="6"/>
  <c r="S69" i="6"/>
  <c r="T69" i="6"/>
  <c r="U69" i="6"/>
  <c r="V69" i="6"/>
  <c r="W69" i="6"/>
  <c r="I73" i="6"/>
  <c r="J73" i="6"/>
  <c r="K73" i="6"/>
  <c r="I75" i="6"/>
  <c r="J75" i="6"/>
  <c r="K75" i="6"/>
  <c r="I77" i="6"/>
  <c r="J77" i="6"/>
  <c r="K77" i="6"/>
  <c r="I79" i="6"/>
  <c r="J79" i="6"/>
  <c r="K79" i="6"/>
  <c r="I81" i="6"/>
  <c r="J81" i="6"/>
  <c r="K81" i="6"/>
  <c r="F4" i="8"/>
  <c r="B6" i="7"/>
  <c r="B43" i="6" s="1"/>
  <c r="C6" i="7"/>
  <c r="C43" i="6" s="1"/>
  <c r="E6" i="7"/>
  <c r="E43" i="6" s="1"/>
  <c r="F6" i="7"/>
  <c r="F43" i="6" s="1"/>
  <c r="G6" i="7"/>
  <c r="G43" i="6" s="1"/>
  <c r="H6" i="7"/>
  <c r="H43" i="6" s="1"/>
  <c r="I6" i="7"/>
  <c r="L43" i="6" s="1"/>
  <c r="B16" i="7"/>
  <c r="B55" i="6" s="1"/>
  <c r="C16" i="7"/>
  <c r="D16" i="7"/>
  <c r="E16" i="7"/>
  <c r="E55" i="6" s="1"/>
  <c r="F16" i="7"/>
  <c r="F55" i="6" s="1"/>
  <c r="G16" i="7"/>
  <c r="H16" i="7"/>
  <c r="I16" i="7"/>
  <c r="B18" i="7"/>
  <c r="B57" i="6" s="1"/>
  <c r="C18" i="7"/>
  <c r="C57" i="6" s="1"/>
  <c r="D18" i="7"/>
  <c r="D57" i="6" s="1"/>
  <c r="E18" i="7"/>
  <c r="E57" i="6" s="1"/>
  <c r="F18" i="7"/>
  <c r="F57" i="6" s="1"/>
  <c r="G18" i="7"/>
  <c r="G55" i="6" s="1"/>
  <c r="H18" i="7"/>
  <c r="H55" i="6" s="1"/>
  <c r="I18" i="7"/>
  <c r="L55" i="6" s="1"/>
  <c r="B24" i="7"/>
  <c r="B65" i="6" s="1"/>
  <c r="C24" i="7"/>
  <c r="C65" i="6" s="1"/>
  <c r="D24" i="7"/>
  <c r="D65" i="6" s="1"/>
  <c r="E24" i="7"/>
  <c r="E65" i="6" s="1"/>
  <c r="F24" i="7"/>
  <c r="F65" i="6" s="1"/>
  <c r="G24" i="7"/>
  <c r="G65" i="6" s="1"/>
  <c r="H24" i="7"/>
  <c r="H65" i="6" s="1"/>
  <c r="I24" i="7"/>
  <c r="L65" i="6" s="1"/>
  <c r="A29" i="7"/>
  <c r="A71" i="6" s="1"/>
  <c r="G4" i="5"/>
  <c r="A29" i="5"/>
  <c r="G29" i="5" s="1"/>
  <c r="M6" i="3"/>
  <c r="M7" i="3"/>
  <c r="O7" i="3"/>
  <c r="B8" i="3"/>
  <c r="C8" i="3"/>
  <c r="D8" i="3"/>
  <c r="E8" i="3"/>
  <c r="F8" i="3"/>
  <c r="G8" i="3"/>
  <c r="H8" i="3"/>
  <c r="I8" i="3"/>
  <c r="J8" i="3"/>
  <c r="K8" i="3"/>
  <c r="L8" i="3"/>
  <c r="M11" i="3"/>
  <c r="M12" i="3"/>
  <c r="B13" i="3"/>
  <c r="C13" i="3"/>
  <c r="D13" i="3"/>
  <c r="E13" i="3"/>
  <c r="F13" i="3"/>
  <c r="G13" i="3"/>
  <c r="H13" i="3"/>
  <c r="I13" i="3"/>
  <c r="J13" i="3"/>
  <c r="K13" i="3"/>
  <c r="L13" i="3"/>
  <c r="B18" i="3"/>
  <c r="C18" i="3"/>
  <c r="D18" i="3"/>
  <c r="E18" i="3"/>
  <c r="F18" i="3"/>
  <c r="G18" i="3"/>
  <c r="H18" i="3"/>
  <c r="I18" i="3"/>
  <c r="J18" i="3"/>
  <c r="K18" i="3"/>
  <c r="L18" i="3"/>
  <c r="M18" i="3"/>
  <c r="M22" i="3"/>
  <c r="M23" i="3" s="1"/>
  <c r="O22" i="3"/>
  <c r="B23" i="3"/>
  <c r="C23" i="3"/>
  <c r="D23" i="3"/>
  <c r="E23" i="3"/>
  <c r="F23" i="3"/>
  <c r="G23" i="3"/>
  <c r="H23" i="3"/>
  <c r="I23" i="3"/>
  <c r="J23" i="3"/>
  <c r="K23" i="3"/>
  <c r="L23" i="3"/>
  <c r="B28" i="3"/>
  <c r="C28" i="3"/>
  <c r="D28" i="3"/>
  <c r="E28" i="3"/>
  <c r="F28" i="3"/>
  <c r="G28" i="3"/>
  <c r="H28" i="3"/>
  <c r="I28" i="3"/>
  <c r="J28" i="3"/>
  <c r="K28" i="3"/>
  <c r="L28" i="3"/>
  <c r="M28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P39" i="3"/>
  <c r="M49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6" i="3"/>
  <c r="C66" i="3"/>
  <c r="D66" i="3"/>
  <c r="E66" i="3"/>
  <c r="F66" i="3"/>
  <c r="G66" i="3"/>
  <c r="H66" i="3"/>
  <c r="I66" i="3"/>
  <c r="J66" i="3"/>
  <c r="K66" i="3"/>
  <c r="L66" i="3"/>
  <c r="M66" i="3"/>
  <c r="M70" i="3"/>
  <c r="M71" i="3" s="1"/>
  <c r="B71" i="3"/>
  <c r="C71" i="3"/>
  <c r="D71" i="3"/>
  <c r="E71" i="3"/>
  <c r="F71" i="3"/>
  <c r="G71" i="3"/>
  <c r="H71" i="3"/>
  <c r="I71" i="3"/>
  <c r="J71" i="3"/>
  <c r="K71" i="3"/>
  <c r="L71" i="3"/>
  <c r="B80" i="3"/>
  <c r="C80" i="3"/>
  <c r="D80" i="3"/>
  <c r="E80" i="3"/>
  <c r="F80" i="3"/>
  <c r="G80" i="3"/>
  <c r="H80" i="3"/>
  <c r="I80" i="3"/>
  <c r="J80" i="3"/>
  <c r="K80" i="3"/>
  <c r="L80" i="3"/>
  <c r="M80" i="3"/>
  <c r="F4" i="2"/>
  <c r="H14" i="2"/>
  <c r="F22" i="2"/>
  <c r="L57" i="2"/>
  <c r="F6" i="6"/>
  <c r="G6" i="6"/>
  <c r="H6" i="6"/>
  <c r="I6" i="6"/>
  <c r="J6" i="6"/>
  <c r="K6" i="6"/>
  <c r="L6" i="6"/>
  <c r="C8" i="6"/>
  <c r="D8" i="6"/>
  <c r="E8" i="6"/>
  <c r="F8" i="6"/>
  <c r="G8" i="6"/>
  <c r="H8" i="6"/>
  <c r="I8" i="6"/>
  <c r="J8" i="6"/>
  <c r="K8" i="6"/>
  <c r="L8" i="6"/>
  <c r="C10" i="6"/>
  <c r="E10" i="6"/>
  <c r="G10" i="6"/>
  <c r="I10" i="6"/>
  <c r="K10" i="6"/>
  <c r="D12" i="6"/>
  <c r="F12" i="6"/>
  <c r="H12" i="6"/>
  <c r="J12" i="6"/>
  <c r="L12" i="6"/>
  <c r="C18" i="6"/>
  <c r="E18" i="6"/>
  <c r="G18" i="6"/>
  <c r="I18" i="6"/>
  <c r="K18" i="6"/>
  <c r="J8" i="7"/>
  <c r="B8" i="7"/>
  <c r="D8" i="7"/>
  <c r="D45" i="6" s="1"/>
  <c r="E45" i="6"/>
  <c r="F45" i="6"/>
  <c r="G8" i="7"/>
  <c r="G45" i="6" s="1"/>
  <c r="H8" i="7"/>
  <c r="H45" i="6" s="1"/>
  <c r="L45" i="6"/>
  <c r="B10" i="7"/>
  <c r="B47" i="6" s="1"/>
  <c r="C10" i="7"/>
  <c r="C47" i="6" s="1"/>
  <c r="D10" i="7"/>
  <c r="D47" i="6" s="1"/>
  <c r="E10" i="7"/>
  <c r="F10" i="7"/>
  <c r="G10" i="7"/>
  <c r="H10" i="7"/>
  <c r="B12" i="7"/>
  <c r="B49" i="6" s="1"/>
  <c r="C12" i="7"/>
  <c r="D12" i="7"/>
  <c r="D49" i="6" s="1"/>
  <c r="E12" i="7"/>
  <c r="E49" i="6" s="1"/>
  <c r="F12" i="7"/>
  <c r="F49" i="6" s="1"/>
  <c r="G12" i="7"/>
  <c r="G49" i="6" s="1"/>
  <c r="H12" i="7"/>
  <c r="H49" i="6" s="1"/>
  <c r="B14" i="7"/>
  <c r="B53" i="6" s="1"/>
  <c r="D14" i="7"/>
  <c r="F14" i="7"/>
  <c r="F53" i="6" s="1"/>
  <c r="H14" i="7"/>
  <c r="H53" i="6" s="1"/>
  <c r="I14" i="7"/>
  <c r="D32" i="7"/>
  <c r="D73" i="6" s="1"/>
  <c r="F73" i="6"/>
  <c r="G32" i="7"/>
  <c r="H32" i="7"/>
  <c r="B34" i="7"/>
  <c r="B75" i="6" s="1"/>
  <c r="C34" i="7"/>
  <c r="D34" i="7"/>
  <c r="D75" i="6" s="1"/>
  <c r="E34" i="7"/>
  <c r="E75" i="6" s="1"/>
  <c r="F34" i="7"/>
  <c r="F75" i="6" s="1"/>
  <c r="G34" i="7"/>
  <c r="G75" i="6" s="1"/>
  <c r="H34" i="7"/>
  <c r="H75" i="6" s="1"/>
  <c r="B36" i="7"/>
  <c r="B77" i="6" s="1"/>
  <c r="E36" i="7"/>
  <c r="F36" i="7"/>
  <c r="F77" i="6" s="1"/>
  <c r="I36" i="7"/>
  <c r="L77" i="6" s="1"/>
  <c r="B79" i="6"/>
  <c r="D79" i="6"/>
  <c r="E79" i="6"/>
  <c r="F79" i="6"/>
  <c r="G79" i="6"/>
  <c r="H79" i="6"/>
  <c r="C20" i="7"/>
  <c r="C61" i="6" s="1"/>
  <c r="E20" i="7"/>
  <c r="E61" i="6" s="1"/>
  <c r="G20" i="7"/>
  <c r="I20" i="7"/>
  <c r="L61" i="6" s="1"/>
  <c r="C40" i="7"/>
  <c r="C81" i="6" s="1"/>
  <c r="D40" i="7"/>
  <c r="D81" i="6" s="1"/>
  <c r="F40" i="7"/>
  <c r="H40" i="7"/>
  <c r="H81" i="6" s="1"/>
  <c r="I40" i="7"/>
  <c r="L81" i="6" s="1"/>
  <c r="B22" i="7"/>
  <c r="E22" i="7"/>
  <c r="F22" i="7"/>
  <c r="G22" i="7"/>
  <c r="H22" i="7"/>
  <c r="I63" i="6"/>
  <c r="J63" i="6"/>
  <c r="K63" i="6"/>
  <c r="B51" i="6"/>
  <c r="C51" i="6"/>
  <c r="D51" i="6"/>
  <c r="E51" i="6"/>
  <c r="F51" i="6"/>
  <c r="G51" i="6"/>
  <c r="H51" i="6"/>
  <c r="I51" i="6"/>
  <c r="J51" i="6"/>
  <c r="K51" i="6"/>
  <c r="L51" i="6"/>
  <c r="C37" i="6"/>
  <c r="J83" i="6"/>
  <c r="D22" i="7"/>
  <c r="E6" i="6"/>
  <c r="J10" i="6"/>
  <c r="L40" i="3" l="1"/>
  <c r="J40" i="3"/>
  <c r="F40" i="3"/>
  <c r="B40" i="3"/>
  <c r="M13" i="3"/>
  <c r="D83" i="3"/>
  <c r="B83" i="3"/>
  <c r="I40" i="3"/>
  <c r="L83" i="3"/>
  <c r="D40" i="3"/>
  <c r="E40" i="3"/>
  <c r="J83" i="3"/>
  <c r="F83" i="3"/>
  <c r="H40" i="3"/>
  <c r="H83" i="3"/>
  <c r="M8" i="3"/>
  <c r="K40" i="3"/>
  <c r="G40" i="3"/>
  <c r="C40" i="3"/>
  <c r="P40" i="3" s="1"/>
  <c r="M83" i="3"/>
  <c r="K83" i="3"/>
  <c r="I83" i="3"/>
  <c r="G83" i="3"/>
  <c r="E83" i="3"/>
  <c r="C83" i="3"/>
  <c r="H18" i="18"/>
  <c r="M18" i="18" s="1"/>
  <c r="B40" i="7"/>
  <c r="B81" i="6" s="1"/>
  <c r="B20" i="7"/>
  <c r="B61" i="6" s="1"/>
  <c r="E5" i="18"/>
  <c r="B12" i="6"/>
  <c r="E8" i="18"/>
  <c r="B32" i="7"/>
  <c r="B73" i="6" s="1"/>
  <c r="L63" i="6"/>
  <c r="I34" i="7"/>
  <c r="L75" i="6" s="1"/>
  <c r="E40" i="7"/>
  <c r="E81" i="6" s="1"/>
  <c r="G63" i="6"/>
  <c r="I12" i="7"/>
  <c r="L49" i="6" s="1"/>
  <c r="F20" i="7"/>
  <c r="F61" i="6" s="1"/>
  <c r="D20" i="7"/>
  <c r="D61" i="6" s="1"/>
  <c r="C14" i="7"/>
  <c r="C53" i="6" s="1"/>
  <c r="H20" i="7"/>
  <c r="H61" i="6" s="1"/>
  <c r="H36" i="7"/>
  <c r="H77" i="6" s="1"/>
  <c r="D36" i="7"/>
  <c r="D77" i="6" s="1"/>
  <c r="D83" i="6" s="1"/>
  <c r="G40" i="7"/>
  <c r="G81" i="6" s="1"/>
  <c r="C36" i="7"/>
  <c r="C77" i="6" s="1"/>
  <c r="G36" i="7"/>
  <c r="G77" i="6" s="1"/>
  <c r="C55" i="6"/>
  <c r="L57" i="6"/>
  <c r="L32" i="6"/>
  <c r="J32" i="6"/>
  <c r="H32" i="6"/>
  <c r="F32" i="6"/>
  <c r="D32" i="6"/>
  <c r="L16" i="6"/>
  <c r="J16" i="6"/>
  <c r="H16" i="6"/>
  <c r="F16" i="6"/>
  <c r="D16" i="6"/>
  <c r="L30" i="6"/>
  <c r="J30" i="6"/>
  <c r="H30" i="6"/>
  <c r="F30" i="6"/>
  <c r="D30" i="6"/>
  <c r="L28" i="6"/>
  <c r="J28" i="6"/>
  <c r="H28" i="6"/>
  <c r="F28" i="6"/>
  <c r="D28" i="6"/>
  <c r="L26" i="6"/>
  <c r="J26" i="6"/>
  <c r="H26" i="6"/>
  <c r="F26" i="6"/>
  <c r="D26" i="6"/>
  <c r="L14" i="6"/>
  <c r="H14" i="6"/>
  <c r="F14" i="6"/>
  <c r="D14" i="6"/>
  <c r="D10" i="6"/>
  <c r="C6" i="6"/>
  <c r="L18" i="6"/>
  <c r="J18" i="6"/>
  <c r="H18" i="6"/>
  <c r="F18" i="6"/>
  <c r="K32" i="6"/>
  <c r="I32" i="6"/>
  <c r="G32" i="6"/>
  <c r="E32" i="6"/>
  <c r="C32" i="6"/>
  <c r="K16" i="6"/>
  <c r="I16" i="6"/>
  <c r="G16" i="6"/>
  <c r="E16" i="6"/>
  <c r="C16" i="6"/>
  <c r="K30" i="6"/>
  <c r="I30" i="6"/>
  <c r="G30" i="6"/>
  <c r="E30" i="6"/>
  <c r="C30" i="6"/>
  <c r="I28" i="6"/>
  <c r="G28" i="6"/>
  <c r="E28" i="6"/>
  <c r="C28" i="6"/>
  <c r="K26" i="6"/>
  <c r="G26" i="6"/>
  <c r="E26" i="6"/>
  <c r="C26" i="6"/>
  <c r="K24" i="6"/>
  <c r="I24" i="6"/>
  <c r="G24" i="6"/>
  <c r="E24" i="6"/>
  <c r="C24" i="6"/>
  <c r="K14" i="6"/>
  <c r="I14" i="6"/>
  <c r="G14" i="6"/>
  <c r="E14" i="6"/>
  <c r="C14" i="6"/>
  <c r="D6" i="6"/>
  <c r="H63" i="6"/>
  <c r="F63" i="6"/>
  <c r="J32" i="7"/>
  <c r="G14" i="7"/>
  <c r="G53" i="6" s="1"/>
  <c r="B6" i="6"/>
  <c r="M24" i="6"/>
  <c r="M10" i="6"/>
  <c r="M26" i="6"/>
  <c r="B24" i="6"/>
  <c r="M20" i="6"/>
  <c r="AS45" i="4"/>
  <c r="B20" i="6"/>
  <c r="E14" i="7"/>
  <c r="E53" i="6" s="1"/>
  <c r="G57" i="6"/>
  <c r="I10" i="7"/>
  <c r="L47" i="6" s="1"/>
  <c r="J6" i="7"/>
  <c r="J18" i="7"/>
  <c r="D55" i="6"/>
  <c r="M65" i="6"/>
  <c r="K83" i="6"/>
  <c r="I83" i="6"/>
  <c r="J16" i="7"/>
  <c r="C63" i="6"/>
  <c r="H57" i="6"/>
  <c r="J24" i="7"/>
  <c r="E63" i="6"/>
  <c r="M51" i="6"/>
  <c r="H47" i="6"/>
  <c r="J69" i="6"/>
  <c r="L53" i="6"/>
  <c r="B45" i="6"/>
  <c r="I26" i="6"/>
  <c r="J14" i="6"/>
  <c r="D53" i="6"/>
  <c r="F47" i="6"/>
  <c r="I69" i="6"/>
  <c r="K69" i="6"/>
  <c r="K28" i="6"/>
  <c r="I12" i="6"/>
  <c r="G61" i="6"/>
  <c r="C79" i="6"/>
  <c r="M79" i="6" s="1"/>
  <c r="L73" i="6"/>
  <c r="H73" i="6"/>
  <c r="E47" i="6"/>
  <c r="K37" i="6"/>
  <c r="I37" i="6"/>
  <c r="G37" i="6"/>
  <c r="E37" i="6"/>
  <c r="L24" i="6"/>
  <c r="J24" i="6"/>
  <c r="H24" i="6"/>
  <c r="F24" i="6"/>
  <c r="D24" i="6"/>
  <c r="F42" i="7"/>
  <c r="D63" i="6"/>
  <c r="F81" i="6"/>
  <c r="F83" i="6" s="1"/>
  <c r="E77" i="6"/>
  <c r="C75" i="6"/>
  <c r="G73" i="6"/>
  <c r="E73" i="6"/>
  <c r="C73" i="6"/>
  <c r="C49" i="6"/>
  <c r="G47" i="6"/>
  <c r="C45" i="6"/>
  <c r="L37" i="6"/>
  <c r="J37" i="6"/>
  <c r="H37" i="6"/>
  <c r="F37" i="6"/>
  <c r="D18" i="6"/>
  <c r="D37" i="6"/>
  <c r="B37" i="6"/>
  <c r="M37" i="6"/>
  <c r="M43" i="6"/>
  <c r="B28" i="6"/>
  <c r="M28" i="6"/>
  <c r="M40" i="3" l="1"/>
  <c r="S40" i="3"/>
  <c r="J22" i="6"/>
  <c r="J35" i="6" s="1"/>
  <c r="J39" i="6" s="1"/>
  <c r="J84" i="6" s="1"/>
  <c r="B28" i="7"/>
  <c r="H8" i="18"/>
  <c r="M8" i="18" s="1"/>
  <c r="B69" i="6"/>
  <c r="B83" i="6"/>
  <c r="B16" i="6"/>
  <c r="E17" i="18"/>
  <c r="B18" i="6"/>
  <c r="E18" i="18"/>
  <c r="B30" i="6"/>
  <c r="E13" i="18"/>
  <c r="B8" i="6"/>
  <c r="B26" i="6"/>
  <c r="E11" i="18"/>
  <c r="M16" i="6"/>
  <c r="H17" i="18"/>
  <c r="M17" i="18" s="1"/>
  <c r="B10" i="6"/>
  <c r="E7" i="18"/>
  <c r="H9" i="18"/>
  <c r="M9" i="18" s="1"/>
  <c r="D22" i="6"/>
  <c r="D35" i="6" s="1"/>
  <c r="D39" i="6" s="1"/>
  <c r="H83" i="6"/>
  <c r="B42" i="7"/>
  <c r="B10" i="2"/>
  <c r="H10" i="2" s="1"/>
  <c r="G10" i="2" s="1"/>
  <c r="B8" i="2"/>
  <c r="H8" i="2" s="1"/>
  <c r="B12" i="2"/>
  <c r="H12" i="2" s="1"/>
  <c r="G12" i="2" s="1"/>
  <c r="I42" i="7"/>
  <c r="J34" i="7"/>
  <c r="M75" i="6"/>
  <c r="L83" i="6"/>
  <c r="M49" i="6"/>
  <c r="J12" i="7"/>
  <c r="E42" i="7"/>
  <c r="F28" i="7"/>
  <c r="F44" i="7" s="1"/>
  <c r="C15" i="8" s="1"/>
  <c r="B15" i="8" s="1"/>
  <c r="D28" i="7"/>
  <c r="M14" i="6"/>
  <c r="I22" i="6"/>
  <c r="I35" i="6" s="1"/>
  <c r="I39" i="6" s="1"/>
  <c r="I84" i="6" s="1"/>
  <c r="M61" i="6"/>
  <c r="B11" i="2"/>
  <c r="H11" i="2" s="1"/>
  <c r="G11" i="2" s="1"/>
  <c r="C42" i="7"/>
  <c r="G42" i="7"/>
  <c r="D42" i="7"/>
  <c r="J20" i="7"/>
  <c r="H28" i="7"/>
  <c r="B13" i="2"/>
  <c r="H13" i="2" s="1"/>
  <c r="G13" i="2" s="1"/>
  <c r="C28" i="7"/>
  <c r="H42" i="7"/>
  <c r="B9" i="2"/>
  <c r="H9" i="2" s="1"/>
  <c r="G9" i="2" s="1"/>
  <c r="M77" i="6"/>
  <c r="J40" i="7"/>
  <c r="E28" i="7"/>
  <c r="G28" i="7"/>
  <c r="G83" i="6"/>
  <c r="J36" i="7"/>
  <c r="Z39" i="4"/>
  <c r="F69" i="6"/>
  <c r="H6" i="18"/>
  <c r="M6" i="18" s="1"/>
  <c r="M55" i="6"/>
  <c r="M57" i="6"/>
  <c r="M18" i="6"/>
  <c r="J10" i="7"/>
  <c r="I28" i="7"/>
  <c r="H69" i="6"/>
  <c r="J14" i="7"/>
  <c r="L69" i="6"/>
  <c r="E69" i="6"/>
  <c r="G69" i="6"/>
  <c r="C12" i="6"/>
  <c r="C22" i="6" s="1"/>
  <c r="C35" i="6" s="1"/>
  <c r="C39" i="6" s="1"/>
  <c r="M53" i="6"/>
  <c r="H10" i="6"/>
  <c r="H22" i="6" s="1"/>
  <c r="H35" i="6" s="1"/>
  <c r="H39" i="6" s="1"/>
  <c r="L10" i="6"/>
  <c r="L22" i="6" s="1"/>
  <c r="L35" i="6" s="1"/>
  <c r="L39" i="6" s="1"/>
  <c r="E83" i="6"/>
  <c r="M81" i="6"/>
  <c r="G12" i="6"/>
  <c r="G22" i="6" s="1"/>
  <c r="G35" i="6" s="1"/>
  <c r="G39" i="6" s="1"/>
  <c r="K12" i="6"/>
  <c r="K22" i="6" s="1"/>
  <c r="K35" i="6" s="1"/>
  <c r="K39" i="6" s="1"/>
  <c r="K84" i="6" s="1"/>
  <c r="E12" i="6"/>
  <c r="E22" i="6" s="1"/>
  <c r="E35" i="6" s="1"/>
  <c r="E39" i="6" s="1"/>
  <c r="F10" i="6"/>
  <c r="F22" i="6" s="1"/>
  <c r="F35" i="6" s="1"/>
  <c r="F39" i="6" s="1"/>
  <c r="M47" i="6"/>
  <c r="M45" i="6"/>
  <c r="C69" i="6"/>
  <c r="C83" i="6"/>
  <c r="M73" i="6"/>
  <c r="M63" i="6"/>
  <c r="D69" i="6"/>
  <c r="B44" i="7" l="1"/>
  <c r="M6" i="6"/>
  <c r="E44" i="7"/>
  <c r="C13" i="8" s="1"/>
  <c r="H13" i="8" s="1"/>
  <c r="G13" i="8" s="1"/>
  <c r="B32" i="6"/>
  <c r="E16" i="18"/>
  <c r="B14" i="6"/>
  <c r="B22" i="6" s="1"/>
  <c r="E9" i="18"/>
  <c r="H13" i="18"/>
  <c r="M13" i="18" s="1"/>
  <c r="M32" i="6"/>
  <c r="H16" i="18"/>
  <c r="M16" i="18" s="1"/>
  <c r="E6" i="18"/>
  <c r="I44" i="7"/>
  <c r="C21" i="8" s="1"/>
  <c r="H21" i="8" s="1"/>
  <c r="J42" i="7"/>
  <c r="C44" i="7"/>
  <c r="C9" i="8" s="1"/>
  <c r="H9" i="8" s="1"/>
  <c r="M30" i="6"/>
  <c r="G44" i="7"/>
  <c r="C17" i="8" s="1"/>
  <c r="H17" i="8" s="1"/>
  <c r="G17" i="8" s="1"/>
  <c r="D44" i="7"/>
  <c r="C11" i="8" s="1"/>
  <c r="B11" i="8" s="1"/>
  <c r="H44" i="7"/>
  <c r="C19" i="8" s="1"/>
  <c r="H19" i="8" s="1"/>
  <c r="G19" i="8" s="1"/>
  <c r="Z41" i="4"/>
  <c r="AS35" i="4"/>
  <c r="AS37" i="4" s="1"/>
  <c r="F84" i="6"/>
  <c r="Y39" i="4"/>
  <c r="Y41" i="4" s="1"/>
  <c r="M8" i="6"/>
  <c r="L84" i="6"/>
  <c r="M12" i="6"/>
  <c r="J28" i="7"/>
  <c r="H15" i="8"/>
  <c r="G15" i="8" s="1"/>
  <c r="H84" i="6"/>
  <c r="C21" i="5"/>
  <c r="C17" i="5"/>
  <c r="C11" i="5"/>
  <c r="C19" i="5"/>
  <c r="C15" i="5"/>
  <c r="C13" i="5"/>
  <c r="C9" i="5"/>
  <c r="B18" i="2"/>
  <c r="E84" i="6"/>
  <c r="G84" i="6"/>
  <c r="M83" i="6"/>
  <c r="C84" i="6"/>
  <c r="M69" i="6"/>
  <c r="G8" i="2"/>
  <c r="H18" i="2"/>
  <c r="D84" i="6"/>
  <c r="H19" i="18" l="1"/>
  <c r="E19" i="18"/>
  <c r="AO43" i="4"/>
  <c r="AS43" i="4" s="1"/>
  <c r="B13" i="8"/>
  <c r="B35" i="6"/>
  <c r="B39" i="6" s="1"/>
  <c r="B84" i="6" s="1"/>
  <c r="B21" i="8"/>
  <c r="G21" i="8" s="1"/>
  <c r="B17" i="8"/>
  <c r="J44" i="7"/>
  <c r="B9" i="8"/>
  <c r="H11" i="8"/>
  <c r="G11" i="8" s="1"/>
  <c r="C25" i="8"/>
  <c r="B19" i="8"/>
  <c r="M22" i="6"/>
  <c r="M35" i="6" s="1"/>
  <c r="M39" i="6" s="1"/>
  <c r="B13" i="5"/>
  <c r="I13" i="5"/>
  <c r="H13" i="5" s="1"/>
  <c r="I19" i="5"/>
  <c r="H19" i="5" s="1"/>
  <c r="B19" i="5"/>
  <c r="B17" i="5"/>
  <c r="I17" i="5"/>
  <c r="H17" i="5" s="1"/>
  <c r="I9" i="5"/>
  <c r="H9" i="5" s="1"/>
  <c r="B9" i="5"/>
  <c r="C25" i="5"/>
  <c r="I15" i="5"/>
  <c r="H15" i="5" s="1"/>
  <c r="B15" i="5"/>
  <c r="B11" i="5"/>
  <c r="I11" i="5"/>
  <c r="H11" i="5" s="1"/>
  <c r="I21" i="5"/>
  <c r="B21" i="5"/>
  <c r="H21" i="5" s="1"/>
  <c r="M84" i="6"/>
  <c r="G9" i="8"/>
  <c r="H25" i="8"/>
  <c r="P30" i="18" l="1"/>
  <c r="M19" i="18"/>
  <c r="O84" i="6"/>
  <c r="I25" i="5"/>
  <c r="M28" i="13"/>
  <c r="M78" i="13" l="1"/>
  <c r="O78" i="13" s="1"/>
  <c r="O28" i="13"/>
</calcChain>
</file>

<file path=xl/comments1.xml><?xml version="1.0" encoding="utf-8"?>
<comments xmlns="http://schemas.openxmlformats.org/spreadsheetml/2006/main">
  <authors>
    <author>Guest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Biaya Berobat Ke Nias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Biaya Berobat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Tunggakan BPJS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Tunggakan BPJS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Tunggakan BPJS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Guest:</t>
        </r>
        <r>
          <rPr>
            <sz val="9"/>
            <color indexed="81"/>
            <rFont val="Tahoma"/>
            <family val="2"/>
          </rPr>
          <t xml:space="preserve">
Biaya Berobat</t>
        </r>
      </text>
    </comment>
  </commentList>
</comments>
</file>

<file path=xl/sharedStrings.xml><?xml version="1.0" encoding="utf-8"?>
<sst xmlns="http://schemas.openxmlformats.org/spreadsheetml/2006/main" count="2997" uniqueCount="714">
  <si>
    <t>PT. REBINMAS JAYA</t>
  </si>
  <si>
    <t>ESTATE/DIVISION</t>
  </si>
  <si>
    <t>OTHERS</t>
  </si>
  <si>
    <t>TOTAL</t>
  </si>
  <si>
    <t>Sub Total</t>
  </si>
  <si>
    <t>PHASE IIB</t>
  </si>
  <si>
    <t>PHASE IIA</t>
  </si>
  <si>
    <t>PHASE IA</t>
  </si>
  <si>
    <t>PHASE IB</t>
  </si>
  <si>
    <t>DARUL MAKMUR</t>
  </si>
  <si>
    <t>TOTAL C/ROLL</t>
  </si>
  <si>
    <t>DENO</t>
  </si>
  <si>
    <t>PCS.</t>
  </si>
  <si>
    <t>AMOUNT</t>
  </si>
  <si>
    <t xml:space="preserve">                    PT. REBINMAS JAYA</t>
  </si>
  <si>
    <t>WORKERS</t>
  </si>
  <si>
    <t>Upah &amp; Astek</t>
  </si>
  <si>
    <t>Upah rata-rata/ hk</t>
  </si>
  <si>
    <t>Total &amp;</t>
  </si>
  <si>
    <t>Rata-rata</t>
  </si>
  <si>
    <t>Upah rata-rata/HK</t>
  </si>
  <si>
    <t>Upah rata-rata / HK</t>
  </si>
  <si>
    <t>AR. TRANSPORT 1</t>
  </si>
  <si>
    <t>AR. Maintenance AB</t>
  </si>
  <si>
    <t xml:space="preserve"> BIBITAN</t>
  </si>
  <si>
    <t>AR. LC PHT</t>
  </si>
  <si>
    <t>AR. HARVESTING 2</t>
  </si>
  <si>
    <t>AR. TRANSPORT A</t>
  </si>
  <si>
    <t>AR. MAINTENANCE</t>
  </si>
  <si>
    <t>INFRASTRUKTUR - TRANSPORT</t>
  </si>
  <si>
    <t>INFRASTRUKTUR</t>
  </si>
  <si>
    <t>WORKSHOP ARE</t>
  </si>
  <si>
    <t>PETTY CASH MILL</t>
  </si>
  <si>
    <t>BULU TUMBANG - PREMI</t>
  </si>
  <si>
    <t>MC ALLOWANCE</t>
  </si>
  <si>
    <t>PHASE 1A - PREMI</t>
  </si>
  <si>
    <t>PHASE 1B - PREMI</t>
  </si>
  <si>
    <t>PHASE 2B - PREMI</t>
  </si>
  <si>
    <t>TUNJANGAN PULSA</t>
  </si>
  <si>
    <t>ARE - C PREMI</t>
  </si>
  <si>
    <t>DME - PREMI</t>
  </si>
  <si>
    <t>PHASE 2A - PREMI</t>
  </si>
  <si>
    <t>ARE - A PREMI</t>
  </si>
  <si>
    <t>PT. IMPIAN JAYA LESTARI</t>
  </si>
  <si>
    <t>WORKSHOP PG</t>
  </si>
  <si>
    <t>PREMI PG IA</t>
  </si>
  <si>
    <t>PREMI PG IB</t>
  </si>
  <si>
    <t>PREMI PG IIB</t>
  </si>
  <si>
    <t>PREMI PG IIA</t>
  </si>
  <si>
    <t>PREMI DME</t>
  </si>
  <si>
    <t>PREMI ARE B2</t>
  </si>
  <si>
    <t>PREMI ARE B1</t>
  </si>
  <si>
    <t>ARE - B1 PREMI</t>
  </si>
  <si>
    <t>ARE - B2 PREMI</t>
  </si>
  <si>
    <t>INFRASTUKTUR</t>
  </si>
  <si>
    <t>MILL</t>
  </si>
  <si>
    <t>BLT+AM</t>
  </si>
  <si>
    <t>ARE - A</t>
  </si>
  <si>
    <t>ARE - B1</t>
  </si>
  <si>
    <t>ARE - B2</t>
  </si>
  <si>
    <t>ARE - C</t>
  </si>
  <si>
    <t>BLT + AM</t>
  </si>
  <si>
    <t>GRAND TOTAL</t>
  </si>
  <si>
    <t>DAFTAR LEMBUR DRIVER</t>
  </si>
  <si>
    <t>SUMMARY GABUNGAN</t>
  </si>
  <si>
    <t>Pot.</t>
  </si>
  <si>
    <t>Pinjaman</t>
  </si>
  <si>
    <t>SUB TOTAL</t>
  </si>
  <si>
    <t>PETTY CASH ESTATE</t>
  </si>
  <si>
    <t>PREMI WORKSHOP</t>
  </si>
  <si>
    <t>WORKSHOP ARE - PREMI</t>
  </si>
  <si>
    <t>Grand Total</t>
  </si>
  <si>
    <t>BLT+AM KONTRAK</t>
  </si>
  <si>
    <t>DME 2 - PREMI</t>
  </si>
  <si>
    <t>DME 1 - PREMI</t>
  </si>
  <si>
    <t>BLT+AM TRANSPORT V.41</t>
  </si>
  <si>
    <t>WORKSHOP PGE</t>
  </si>
  <si>
    <t>BULUH TUMBANG - PREMI</t>
  </si>
  <si>
    <t>PHASE 2A  KONTRAK (PENGGANTI SURHADI)</t>
  </si>
  <si>
    <t>BULU TUMBANG - KONTRAK</t>
  </si>
  <si>
    <t>DIBUAT OLEH :</t>
  </si>
  <si>
    <t>DIPERIKSA OLEH :</t>
  </si>
  <si>
    <t>DISETUJUI OLEH :</t>
  </si>
  <si>
    <t>INFRASTRUKTUR - INFRASTRUKTUR</t>
  </si>
  <si>
    <t>BLT+AM TRANSPORT V.94</t>
  </si>
  <si>
    <t>ARE A PREMI ANGKUT PUPUK DARI PARIT GUNUNG (V.81)</t>
  </si>
  <si>
    <t>ARE A BORONGAN BACK BUCKET (V.55)</t>
  </si>
  <si>
    <t>ARE-TRANSPORT  BECHOLOADER (V36)</t>
  </si>
  <si>
    <t>ARE A BORONGAN BACK BUCKET (V.76 )</t>
  </si>
  <si>
    <t xml:space="preserve">MILL </t>
  </si>
  <si>
    <t>PHASE IIA HARVESTING AIR PAPAN 3</t>
  </si>
  <si>
    <t>PHASE IIB MAINTENANCE (AIR KUNYAL)</t>
  </si>
  <si>
    <t>PHASE IIB MAINTENANCE (AIR LIMPAS)</t>
  </si>
  <si>
    <t>PHASE IB OPERATOR (PADANG TEMBALUN)</t>
  </si>
  <si>
    <t>PHASE IB  OPERATOR (GUNUNG PANJANG)</t>
  </si>
  <si>
    <t>PHASE IB  OPERATOR (GUNUNG RUM)</t>
  </si>
  <si>
    <t>OTH</t>
  </si>
  <si>
    <t>DAFTAR LEMBUR SECURITY</t>
  </si>
  <si>
    <t>ESTATE</t>
  </si>
  <si>
    <t>PHASE IA OPERATOR (AIR KUNDO)</t>
  </si>
  <si>
    <t>PHASE IA MAINTENANCE KHT (AIR KUNDO)</t>
  </si>
  <si>
    <t>PHASE IA OPERATOR (AIR HIJAU)</t>
  </si>
  <si>
    <t>PHASE IB HARVESTING KHT (GUNUNG RUM)</t>
  </si>
  <si>
    <t>ELECTRIC PGE</t>
  </si>
  <si>
    <t>DME OPERATOR AIK CENDONG</t>
  </si>
  <si>
    <t>DME OPERATOR AIK KANDIS</t>
  </si>
  <si>
    <t>ARE-B1 HARVESTING PHT (BARAT)</t>
  </si>
  <si>
    <t>ARE-B1 MAINTENANCE PHT (BARAT)</t>
  </si>
  <si>
    <t>ARE-B1 HARVESTING PHT (TIMUR)</t>
  </si>
  <si>
    <t>DME OPERATOR AIK RAYA</t>
  </si>
  <si>
    <t>PHASE IA HARVESTING KHT (AIR KUNDO)</t>
  </si>
  <si>
    <t>PHASE IA MAINTENANCE KHT (AIR HIJAU)</t>
  </si>
  <si>
    <t>ARE-A HARVESTING KHT (PADANG PANJANG)</t>
  </si>
  <si>
    <t>ARE-A HARVESTING KHT (BUKIT PANJANG)</t>
  </si>
  <si>
    <t>ARE-B1 MAINTENANCE PHT (TIMUR)</t>
  </si>
  <si>
    <t>PHASE IA OPERATOR (AIR BATU)</t>
  </si>
  <si>
    <t>PHASE IA HARVESTING KHL (AIR HIJAU)</t>
  </si>
  <si>
    <t>PHASE IIA OPERATOR AIR BETANGAN</t>
  </si>
  <si>
    <t>PHASE IIA OPERATOR AIR JANGKAT</t>
  </si>
  <si>
    <t>PHASE IIA OPERATOR AIR PAPAN</t>
  </si>
  <si>
    <t>ARE-C.1 HARVESTING AIR PENYENGAT</t>
  </si>
  <si>
    <t>ARE-C.1 TRANSPORT AIR PENYENGAT</t>
  </si>
  <si>
    <t xml:space="preserve">ARE C.1 UPKEEP AIR PENYENGAT </t>
  </si>
  <si>
    <t>ARE-C.2 UPKEEP AIR LENGGANG</t>
  </si>
  <si>
    <t>ARE-C.2 TRANSPORT AIR LENGGANG</t>
  </si>
  <si>
    <t>ARE-C.2 HARVESTING AIR LENGGANG</t>
  </si>
  <si>
    <t>ARE-C.3 UPKEEP BUKIT PASAK</t>
  </si>
  <si>
    <t xml:space="preserve">ARE-C.3 TRANSPORT BUKIT PASAK </t>
  </si>
  <si>
    <t xml:space="preserve">ARE-C.3 KASTRASI BUKIT PASAK </t>
  </si>
  <si>
    <t>ARE-B2 KHT HARVESTING AIK KEMINTING</t>
  </si>
  <si>
    <t>ARE-B2 KHT UPKEEP AIK KEMINTING</t>
  </si>
  <si>
    <t>ARE-B2 KHT TRANSPORT AIK KEMINTING</t>
  </si>
  <si>
    <t>ARE-B2 KHT TRANSPORT AIK BANGEK</t>
  </si>
  <si>
    <t>ARE-B2 KHT UPKEEP AIK BANGEK</t>
  </si>
  <si>
    <t>ARE-B2 KHT HARVESTING AIK BANGEK</t>
  </si>
  <si>
    <t>DIBUAT OLEH :                               DIPERIKSA OLEH :</t>
  </si>
  <si>
    <t>PHASE IIA KERANI AIR BETANGAN</t>
  </si>
  <si>
    <t>PHASE IIA KERANI AIR JANGKAT</t>
  </si>
  <si>
    <t>PHASE IIA KERANI AIR PAPAN</t>
  </si>
  <si>
    <t>PHASE IA HARVESTING KHL (AIR KUNDO)</t>
  </si>
  <si>
    <t>PHASE IA HARVESTING MANDOR &amp; KERANI (AIR HIJAU)</t>
  </si>
  <si>
    <t>DIPERIKSA OLEH:</t>
  </si>
  <si>
    <t xml:space="preserve">BLT+AM  HARVESTING PHT </t>
  </si>
  <si>
    <t>BLT+AM MAINTENANCE PHT</t>
  </si>
  <si>
    <t xml:space="preserve"> </t>
  </si>
  <si>
    <t>TOTAL PPH 21</t>
  </si>
  <si>
    <t>PHASE IA MAINTENANCE KHT (AIR BATU)</t>
  </si>
  <si>
    <t>PHASE IIA HARVESTING KHL AIR BETANGAN 2</t>
  </si>
  <si>
    <t>TOTAL PPH PASAL 21</t>
  </si>
  <si>
    <t>PHASE IIB OPERATOR (AIR LIMPAS)</t>
  </si>
  <si>
    <t>PHASE IIB HARVESTING (AIR KUNYAL)</t>
  </si>
  <si>
    <t>PHASE IB HARVESTING KHT (GUNUNG PANJANG)</t>
  </si>
  <si>
    <t>PHASE IB HARVESTING KHL (GUNUNG PANJANG)</t>
  </si>
  <si>
    <t>PHASE IA HARVESTING KHL (AIR BATU)</t>
  </si>
  <si>
    <t>PREMI DAN GAJI CASH ARE C</t>
  </si>
  <si>
    <t>PHASE IIB OPERATOR (AIR KUNYAL)</t>
  </si>
  <si>
    <t>PHASE IIB HARVESTING (AIR LIMPAS)</t>
  </si>
  <si>
    <t>PHASE IA HARVESTING KHT (AIR BATU)</t>
  </si>
  <si>
    <t xml:space="preserve">DIUANGKAN HARI : </t>
  </si>
  <si>
    <t>PHASE IIA HARVESTING KHT AIR JANGKAT 1</t>
  </si>
  <si>
    <t>PHASE IIA HARVESTING KHL AIR PAPAN 3</t>
  </si>
  <si>
    <t>PHASE IB  PLASMA (PADANG TEMBALUN)</t>
  </si>
  <si>
    <t>ARE-A MAINTENANCE KHT (BUKIT PANJANG)</t>
  </si>
  <si>
    <t>ARE-B1 HARVESTING BHL (TIMUR)</t>
  </si>
  <si>
    <t>BLT+AM KONTRAK (SUHADI)</t>
  </si>
  <si>
    <t>BLT+AM RUBBER KHL</t>
  </si>
  <si>
    <t>Note : Jaga Genset dimasukkan ke c/roll</t>
  </si>
  <si>
    <t>ARE-A MAINTENANTE (PADANG PANJANG)</t>
  </si>
  <si>
    <t>ARE-C.1 HARVESTING KHL AIR PENYENGAT</t>
  </si>
  <si>
    <t>PHASE IIA MAINTENANCE KHT AIR JANGKAT 1</t>
  </si>
  <si>
    <t>PHASE IIA MAINTENANCE KHT AIR BETANGAN 2</t>
  </si>
  <si>
    <t>PHASE IIA HARVESTING KHL AIR JANGKAT 1</t>
  </si>
  <si>
    <t>PHASE IIA MAINTENANCE KHT AIR PAPAN 3</t>
  </si>
  <si>
    <t>PHASE IB  MAINTENANCE KHT (GUNUNG PANJANG)</t>
  </si>
  <si>
    <t>PHASE IB MAINTENANCE KHT (GUNUNG RUM)</t>
  </si>
  <si>
    <t>PHASE IB  MAINTENANCE KHT  (PADANG TEMBALUN)</t>
  </si>
  <si>
    <t>PHASE IB  HARVESTING &amp; MANDOR &amp; KERANI  (PADANG TEMBALUN)</t>
  </si>
  <si>
    <t>DENOMINATION TO BANK - SEPTEMBER 2016</t>
  </si>
  <si>
    <t>DME HARVESTING KHT AIK CENDONG</t>
  </si>
  <si>
    <t>DME MAINTENANCE KHT AIK CENDONG</t>
  </si>
  <si>
    <t>DME MAINTENANCE KHT AIK RAYA</t>
  </si>
  <si>
    <t>DME HARVESTING KHT AIK RAYA</t>
  </si>
  <si>
    <t>DME HARVESTING KHT AIK KANDIS</t>
  </si>
  <si>
    <t>DME MAINTENANCE KHT AIK KANDIS</t>
  </si>
  <si>
    <t>NAIK/TURUN</t>
  </si>
  <si>
    <t xml:space="preserve">WORKERS </t>
  </si>
  <si>
    <t>TUNJANGAN STANDBY</t>
  </si>
  <si>
    <t xml:space="preserve">     DENOMINATION TO BANK - OKTOBER 2016</t>
  </si>
  <si>
    <t>SUMMARY WAGES OKTOBER 2016</t>
  </si>
  <si>
    <t>TOTAL PREMI</t>
  </si>
  <si>
    <t>TOTAL LEMBUR</t>
  </si>
  <si>
    <t>MC ALLOWANCE - PT. REBINMAS JAYA</t>
  </si>
  <si>
    <t>ARE-B2 KHL HARVESTING AIK KEMINTING</t>
  </si>
  <si>
    <t>ARE-C.3 BHL BUKIT PASAK</t>
  </si>
  <si>
    <t>TONASE</t>
  </si>
  <si>
    <t>PHASE IIA MAINTENANTE KHL AIR JANGKAT 1</t>
  </si>
  <si>
    <t>DAFTAR MOTORCYCLE ALLOWANCE ( STAFF )</t>
  </si>
  <si>
    <t>DAFTAR MOTORCYCLE ALLOWANCE 2 (ASSISTANT)</t>
  </si>
  <si>
    <t>DIBUAT OLEH :                                    DIPERIKSA OLEH :</t>
  </si>
  <si>
    <t>DIBUAT OLEH :                                      DIPERIKSA OLEH :</t>
  </si>
  <si>
    <t>DIBUAT OLEH :                                                  DIPERIKSA OLEH :</t>
  </si>
  <si>
    <t>DIBUAT OLEH :                                          DIPERIKSA OLEH :</t>
  </si>
  <si>
    <t>DIBUAT OLEH :                                               DIPERIKSA OLEH :</t>
  </si>
  <si>
    <t>DIBUAT OLEH :                                                     DIPERIKSA OLEH :</t>
  </si>
  <si>
    <t>DIBUAT OLEH :                                                            DIPERIKSA OLEH :</t>
  </si>
  <si>
    <t>DIBUAT OLEH :                                                             DIPERIKSA OLEH :</t>
  </si>
  <si>
    <t>DIBUAT OLEH :                                                                         DIPERIKSA OLEH :</t>
  </si>
  <si>
    <t>DIBUAT OLEH :                                                           DIPERIKSA OLEH :</t>
  </si>
  <si>
    <t xml:space="preserve">DIBUAT OLEH :                                                     DIPERIKSA OLEH : </t>
  </si>
  <si>
    <t>DIBUAT OLEH :                                                          DIPERIKSA OLEH :</t>
  </si>
  <si>
    <t>DIBUAT OLEH :                                                                   DIPERIKSA OLEH :</t>
  </si>
  <si>
    <t>ARE-B2 KHL AIK BANGEK</t>
  </si>
  <si>
    <t xml:space="preserve">PHASE IIA HARVESTING KHT AIR BETANGAN </t>
  </si>
  <si>
    <t>PHASE IB HARVESTING KHL (GUNUNG RUM)</t>
  </si>
  <si>
    <t>ARE-A KONTRAK (PADANG PANJANG)</t>
  </si>
  <si>
    <t xml:space="preserve"> GAJI CASH ARE A</t>
  </si>
  <si>
    <t>ARE - A (CASH PAYMENT )</t>
  </si>
  <si>
    <t>ARE - C  ( CASH PAYMENT )</t>
  </si>
  <si>
    <t>DISETUJUI OLEH:</t>
  </si>
  <si>
    <t>PHASE IA MAINTENANTE KONTRAK (AIR BATU)</t>
  </si>
  <si>
    <t>ARE-B2 KONTRAK  AIK KEMINTING</t>
  </si>
  <si>
    <t>ARE-B1 OPERATOR (BARAT)</t>
  </si>
  <si>
    <t>ARE-B1 OPERATOR (TIMUR)</t>
  </si>
  <si>
    <t>ARE-B1 KONTRAK (TIMUR)</t>
  </si>
  <si>
    <t>ARE-A TRANSPORT (BUKIT PANJANG)</t>
  </si>
  <si>
    <t>ARE-A TRANSPORT (PADANG PANJANG)</t>
  </si>
  <si>
    <t>SELISIH</t>
  </si>
  <si>
    <t>DENOMINATION</t>
  </si>
  <si>
    <t>REKENING</t>
  </si>
  <si>
    <t>PG IA</t>
  </si>
  <si>
    <t>PG IB</t>
  </si>
  <si>
    <t>PG IIA</t>
  </si>
  <si>
    <t>PG IIB</t>
  </si>
  <si>
    <t>DME</t>
  </si>
  <si>
    <t>INFRA</t>
  </si>
  <si>
    <t>ARE A</t>
  </si>
  <si>
    <t>ARE B1</t>
  </si>
  <si>
    <t>ARE B2</t>
  </si>
  <si>
    <t>IJL</t>
  </si>
  <si>
    <t>ARE C + V 36</t>
  </si>
  <si>
    <t>WORKSHOP ( KHL )</t>
  </si>
  <si>
    <t>ARE-A KONTRAK (BUKIT PANJANG)</t>
  </si>
  <si>
    <t>ARE-TRANSPORT  EXAVATOR (V80)</t>
  </si>
  <si>
    <t>ARE-TRANSPORT  EXAVATOR (V35)</t>
  </si>
  <si>
    <t>JUMLAH</t>
  </si>
  <si>
    <t>DAFTAR LEBIH PAJAK 2016</t>
  </si>
  <si>
    <t>DIVISI</t>
  </si>
  <si>
    <t>ARE-C.2 HARVESTING KHL AIR LENGGANG</t>
  </si>
  <si>
    <t xml:space="preserve">PHASE IIA OPERATOR </t>
  </si>
  <si>
    <t>BLT+AM  KHT</t>
  </si>
  <si>
    <t>WRKSP PGE</t>
  </si>
  <si>
    <t>AREC</t>
  </si>
  <si>
    <t>ARE-B2 KHL HARVESTING AIK BANGEK</t>
  </si>
  <si>
    <t xml:space="preserve">TOTAL PPH </t>
  </si>
  <si>
    <t>EX-GRATIA</t>
  </si>
  <si>
    <t>BLT+AM TRANSPORT V.67</t>
  </si>
  <si>
    <t>ARE-A UPKEEP BHL(PADANG PANJANG)</t>
  </si>
  <si>
    <t>PAJAK EX-GRATIA</t>
  </si>
  <si>
    <t>BLT+AM KHL</t>
  </si>
  <si>
    <t>PRUNNING</t>
  </si>
  <si>
    <t xml:space="preserve">PHASE IIB OPERATOR </t>
  </si>
  <si>
    <t>PREMI KERJA LIBUR LEBARAN</t>
  </si>
  <si>
    <t>PT.IMPIAN JAYA LESTARI</t>
  </si>
  <si>
    <t>GAJI PT RJ</t>
  </si>
  <si>
    <t>GAJI PT RJ + MILL</t>
  </si>
  <si>
    <t>,</t>
  </si>
  <si>
    <t>ARE-A HARVESTING BHL (BUKIT PANJANG)</t>
  </si>
  <si>
    <t>ARE-A HARVESTING BHL(PADANG PANJANG)</t>
  </si>
  <si>
    <t xml:space="preserve">ARE C.1 UPKEEP KHL  AIR PENYENGAT </t>
  </si>
  <si>
    <t>ARE-C TRANSPORT  BECHO LOADER (V36)</t>
  </si>
  <si>
    <t>PHASE IA MAINTENANCE KHL (AIR KUNDO)</t>
  </si>
  <si>
    <t>BLT+AM KHT</t>
  </si>
  <si>
    <t>Mudaham,Rudi,Ma`at,Hairudin</t>
  </si>
  <si>
    <t>Baetul.,M.Nasir,Hardi,Mikraj,Amsiah</t>
  </si>
  <si>
    <t>DENOMINATION FOR NOVEMBER 2017</t>
  </si>
  <si>
    <t>SUMMARY - WAGES NOVEMBER 2017</t>
  </si>
  <si>
    <t>(MASA NOV - 2017)</t>
  </si>
  <si>
    <t>DAFTAR PINJAMAN KARYAWAN</t>
  </si>
  <si>
    <t>No</t>
  </si>
  <si>
    <t>Nama</t>
  </si>
  <si>
    <t>Divisi</t>
  </si>
  <si>
    <t>ARE C</t>
  </si>
  <si>
    <t>Baetul Mukaram</t>
  </si>
  <si>
    <t>M.Nasir</t>
  </si>
  <si>
    <t>Hardi Afip</t>
  </si>
  <si>
    <t>Mikraj</t>
  </si>
  <si>
    <t>Amsiah</t>
  </si>
  <si>
    <t>PG 1A</t>
  </si>
  <si>
    <t>Sept `17</t>
  </si>
  <si>
    <t>Okt `17</t>
  </si>
  <si>
    <t>Dec `17</t>
  </si>
  <si>
    <t>Mudaham</t>
  </si>
  <si>
    <t>Rudi Hartono</t>
  </si>
  <si>
    <t>Ma`at</t>
  </si>
  <si>
    <t>Hairudin</t>
  </si>
  <si>
    <t>Abdurahman</t>
  </si>
  <si>
    <t>Ispandi</t>
  </si>
  <si>
    <t>Mastur</t>
  </si>
  <si>
    <t>Andi</t>
  </si>
  <si>
    <t>Awaludin</t>
  </si>
  <si>
    <t>PG 1B</t>
  </si>
  <si>
    <t>Maharun</t>
  </si>
  <si>
    <t>Markus Maskur Laia</t>
  </si>
  <si>
    <t>Nop `17</t>
  </si>
  <si>
    <t>WORKSHOP PGE - KHL</t>
  </si>
  <si>
    <t>ARE-C.1 ABLASI AIR PENYENGAT</t>
  </si>
  <si>
    <t xml:space="preserve">ARE C.1 HARVESTING KHL  AIR PENYENGAT </t>
  </si>
  <si>
    <t>ARE-C.2 UPKEEP KHL AIR LENGGANG</t>
  </si>
  <si>
    <t>ARE-C.2 AIR LENGGANG PLASMA TUNGKUP</t>
  </si>
  <si>
    <t>ARE-C.2 AIR LENGGANG PLASMA SIMPANG TIGA</t>
  </si>
  <si>
    <t>DME MAINTENANCE KHL AIK KANDIS</t>
  </si>
  <si>
    <t>Tohrudi</t>
  </si>
  <si>
    <t>Badri</t>
  </si>
  <si>
    <t>Yudi Kurniawan</t>
  </si>
  <si>
    <t>Irsan Effendi</t>
  </si>
  <si>
    <t>PG 2B</t>
  </si>
  <si>
    <t>Aug`17</t>
  </si>
  <si>
    <t>Penggantian</t>
  </si>
  <si>
    <t xml:space="preserve">TOTAL </t>
  </si>
  <si>
    <t>TBS ( Ton )</t>
  </si>
  <si>
    <t>Ton</t>
  </si>
  <si>
    <t>DME  A</t>
  </si>
  <si>
    <t>DME B</t>
  </si>
  <si>
    <t>G.TOTAL RMJ</t>
  </si>
  <si>
    <t>PT.IJL</t>
  </si>
  <si>
    <t xml:space="preserve">BLT+AM RUBBER </t>
  </si>
  <si>
    <t>BELUM ADA LIST REKENING</t>
  </si>
  <si>
    <t>BLT+AM  HARVESTING KHT</t>
  </si>
  <si>
    <t>PHASE IIB HARVESTING (AIK KUNYAL)</t>
  </si>
  <si>
    <t>PHASE IIB OPERATOR ( AIK KUNYAL )</t>
  </si>
  <si>
    <t>PHASE IIB OPERATOR ( AIK LIMPAS)</t>
  </si>
  <si>
    <t>ARE-B1 HARVESTING KHL (BARAT)</t>
  </si>
  <si>
    <t>PHASE IIB HARVESTING KHL (AIK KUNYAL)</t>
  </si>
  <si>
    <t>ARE-B1 HARVESTING KHL (TIMUR)</t>
  </si>
  <si>
    <t>ARE-C.1 KHL AIR PENYENGAT</t>
  </si>
  <si>
    <t>ARE-C.3 HARVESTING BUKIT PASAK</t>
  </si>
  <si>
    <t>PHASE IIB HARVESTING KHL (AIR LIMPAS)</t>
  </si>
  <si>
    <t>DME HARVESTING KHL AIK CENDONG</t>
  </si>
  <si>
    <t>PHASE IA PANEN KHL (AIR KUNDO)</t>
  </si>
  <si>
    <t>PHASE IB  HARVESTING KHL (PADANG TEMBALUN)</t>
  </si>
  <si>
    <t>PGE 1A</t>
  </si>
  <si>
    <t>PGE 1B</t>
  </si>
  <si>
    <t>PGE 2A</t>
  </si>
  <si>
    <t>PGE 2B</t>
  </si>
  <si>
    <t>STATUS</t>
  </si>
  <si>
    <t>NO</t>
  </si>
  <si>
    <t>UNKNOWN</t>
  </si>
  <si>
    <t>ROBY</t>
  </si>
  <si>
    <t>REVISI</t>
  </si>
  <si>
    <t xml:space="preserve">ARE-C.2 AIR LENGGANG UPKEEP PLASMA </t>
  </si>
  <si>
    <t xml:space="preserve">ARE-C.2 AIR LENGGANG HARVESTING PLASMA </t>
  </si>
  <si>
    <t>Aik Hijau</t>
  </si>
  <si>
    <t>Aik Batu</t>
  </si>
  <si>
    <t>Aik Kundo</t>
  </si>
  <si>
    <t>Gunung Rum</t>
  </si>
  <si>
    <t>Gunung Panjang</t>
  </si>
  <si>
    <t>Padang Tembalun</t>
  </si>
  <si>
    <t>Aik Jangkat</t>
  </si>
  <si>
    <t xml:space="preserve">Aik Betangan </t>
  </si>
  <si>
    <t>Aik Papan</t>
  </si>
  <si>
    <t>Aik Limpas</t>
  </si>
  <si>
    <t>Aik Kunyal</t>
  </si>
  <si>
    <t>Aik Raya</t>
  </si>
  <si>
    <t>Aik Cendong</t>
  </si>
  <si>
    <t>Aik Kandis</t>
  </si>
  <si>
    <t>Padang Panjang</t>
  </si>
  <si>
    <t>Bukit Panjang</t>
  </si>
  <si>
    <t>Timur</t>
  </si>
  <si>
    <t>Barat</t>
  </si>
  <si>
    <t>Aik Keminting</t>
  </si>
  <si>
    <t>Aik Bangek</t>
  </si>
  <si>
    <t>Aik Penyengat</t>
  </si>
  <si>
    <t>Aik Lenggang</t>
  </si>
  <si>
    <t>Bukit Pasak</t>
  </si>
  <si>
    <t xml:space="preserve">PHASE IIA HARVESTING KHL AIR BETANGAN </t>
  </si>
  <si>
    <t>DME HARVESTING KHL AIK KANDIS</t>
  </si>
  <si>
    <t>DME HARVESTING KHL AIK RAYA</t>
  </si>
  <si>
    <t>Wiwis</t>
  </si>
  <si>
    <t>Devi</t>
  </si>
  <si>
    <t>Martini</t>
  </si>
  <si>
    <t>Honsa</t>
  </si>
  <si>
    <t>Wirda</t>
  </si>
  <si>
    <t>Ari</t>
  </si>
  <si>
    <t>Gunawan</t>
  </si>
  <si>
    <t>Rati</t>
  </si>
  <si>
    <t>Liny</t>
  </si>
  <si>
    <t>Amril</t>
  </si>
  <si>
    <t>Tari</t>
  </si>
  <si>
    <t>Panji</t>
  </si>
  <si>
    <t>Sumiati</t>
  </si>
  <si>
    <t>Doni</t>
  </si>
  <si>
    <t>Helmiadi</t>
  </si>
  <si>
    <t>Roy Cantona</t>
  </si>
  <si>
    <t xml:space="preserve">Nia </t>
  </si>
  <si>
    <t>Fitria</t>
  </si>
  <si>
    <t>Supriyani</t>
  </si>
  <si>
    <t>Bian</t>
  </si>
  <si>
    <t>Rhiza</t>
  </si>
  <si>
    <t>Rossy</t>
  </si>
  <si>
    <t>Frans</t>
  </si>
  <si>
    <t>SUMMARY - WAGES JUNI 2018</t>
  </si>
  <si>
    <t>(MASA JUNI  - 2018)</t>
  </si>
  <si>
    <t>ARE-B2  BANTU HARVESTING AIK KEMINTING</t>
  </si>
  <si>
    <t>ARE-B2 KHL UPKEEP PC AIK BANGEK</t>
  </si>
  <si>
    <t>ARE-B1 MAINTENANCE KHL (BARAT)</t>
  </si>
  <si>
    <t>PHASE IB  MAINTENANCE KHL (GUNUNG PANJANG)</t>
  </si>
  <si>
    <t>ARE-A HARVESTING KHL (PADANG PANJANG)</t>
  </si>
  <si>
    <t>PHASE IIB MAINT TRAINNING (AIK KUNYAL)</t>
  </si>
  <si>
    <t xml:space="preserve">PHASE IIA MAINT KHL AIR BETANGAN </t>
  </si>
  <si>
    <t>ARE A - PEMBAYARAN GAJI CASH KARYAWAN</t>
  </si>
  <si>
    <t xml:space="preserve"> GAJI CASH PGE 1A</t>
  </si>
  <si>
    <t>PGE 1A - PEMBAYARAN GAJI CASH KARYAWAN Divisi Air Kundo</t>
  </si>
  <si>
    <t>PGE 1A - PEMBAYARAN GAJI CASH KARYAWAN Divisi Air Hijau</t>
  </si>
  <si>
    <t>PGE 1A - PEMBAYARAN GAJI CASH KARYAWAN Divisi Air Batu</t>
  </si>
  <si>
    <t>Balance</t>
  </si>
  <si>
    <t>NILAI</t>
  </si>
  <si>
    <t>TOTAL ( RP )</t>
  </si>
  <si>
    <t>PT. REBINMAS JAYA CASH DENOMINATION JUNI 2018</t>
  </si>
  <si>
    <t>DENOMINATION FOR JULI 2018</t>
  </si>
  <si>
    <t>PHASE IIB MAINT (AIK KUNYAL)</t>
  </si>
  <si>
    <t>ARE-C.1 UPKEEP AIR PENYENGAT</t>
  </si>
  <si>
    <t>ARE-C.1 AIR PENYENGAT( MASA PERCOBAAN )</t>
  </si>
  <si>
    <t>Estate</t>
  </si>
  <si>
    <t>Jumlah Karyawan</t>
  </si>
  <si>
    <t>Diff</t>
  </si>
  <si>
    <t>Nilai Gaji ( All)</t>
  </si>
  <si>
    <t>Tonase TBS</t>
  </si>
  <si>
    <t>% TBS Naik / Turun</t>
  </si>
  <si>
    <t>% Gaji Naik/Turun</t>
  </si>
  <si>
    <t>Workshop ARE</t>
  </si>
  <si>
    <t>Workshop PGE</t>
  </si>
  <si>
    <t>Infrastruktur</t>
  </si>
  <si>
    <t>This Month</t>
  </si>
  <si>
    <t xml:space="preserve">Prunning </t>
  </si>
  <si>
    <t>Labour</t>
  </si>
  <si>
    <t>Premi</t>
  </si>
  <si>
    <t>Total</t>
  </si>
  <si>
    <t>SUMMARY - WAGES JUNI 2019</t>
  </si>
  <si>
    <t>Luas Ha Productive</t>
  </si>
  <si>
    <t>SPSI</t>
  </si>
  <si>
    <t>POT</t>
  </si>
  <si>
    <t>DME MASA PERCOBAAN HARVESTING  AIK CENDONG</t>
  </si>
  <si>
    <t>DME MASA PERCOBAAN HARVESTING  AIK KANDIS</t>
  </si>
  <si>
    <t>ARE-C.4 UPKEEP</t>
  </si>
  <si>
    <t xml:space="preserve">ARE-C.4 HARVESTING </t>
  </si>
  <si>
    <t>INTI</t>
  </si>
  <si>
    <t>DENOMINATION FOR JUNI 2019 ( 24-31 MEI 2019 s/d 01-30 JUNI 2019)</t>
  </si>
  <si>
    <t>ELECTRIC</t>
  </si>
  <si>
    <t>BLT+AM TRANSPORT IJLDT 01</t>
  </si>
  <si>
    <t>PHASE IIB MAINTENANTE ( Plasma )</t>
  </si>
  <si>
    <t>PHASE IIB HARVESTING ( Plasma )</t>
  </si>
  <si>
    <t>rae</t>
  </si>
  <si>
    <t>PREMI</t>
  </si>
  <si>
    <t>OT</t>
  </si>
  <si>
    <t>Premi Jun-Mei</t>
  </si>
  <si>
    <t>OT Juni-Mei</t>
  </si>
  <si>
    <t xml:space="preserve">PRUNNING </t>
  </si>
  <si>
    <t>PLASMA</t>
  </si>
  <si>
    <t>AIR BATU</t>
  </si>
  <si>
    <t>TUNGKUP</t>
  </si>
  <si>
    <t>SIMPANG TIGE</t>
  </si>
  <si>
    <t>JUNI ( 01-30 Juni)</t>
  </si>
  <si>
    <t>MEI ( 01-23  )</t>
  </si>
  <si>
    <t>01-23 MEI 2019 VS 01 - 30 JUNI 2019</t>
  </si>
  <si>
    <t>Different</t>
  </si>
  <si>
    <t>ARE-C.1 TRANSPORT AIK PENYENGAT</t>
  </si>
  <si>
    <t>ARE-C2.TRANSPORT AIK LENGGANG</t>
  </si>
  <si>
    <t>LAMPIRAN I</t>
  </si>
  <si>
    <t>LAMPIRAN II</t>
  </si>
  <si>
    <t>CENDIL</t>
  </si>
  <si>
    <t>HK</t>
  </si>
  <si>
    <t>BERAS</t>
  </si>
  <si>
    <t>JABATAN</t>
  </si>
  <si>
    <t>MASA KERJA</t>
  </si>
  <si>
    <t>TUNJ.    LAIN</t>
  </si>
  <si>
    <t>JKK</t>
  </si>
  <si>
    <t>JKM</t>
  </si>
  <si>
    <t>KOREKSI</t>
  </si>
  <si>
    <t>BPJS</t>
  </si>
  <si>
    <t>Kes &amp; Pen</t>
  </si>
  <si>
    <t>( Lampiran I)</t>
  </si>
  <si>
    <t>( Lampiran II )</t>
  </si>
  <si>
    <t>PHASE IIA OPERATOR AIK JANGKAT</t>
  </si>
  <si>
    <t>PHASE IIA OPERATOR AIK BETANGAN</t>
  </si>
  <si>
    <t>PHASE IIA OPERATOR AIK PAPAN</t>
  </si>
  <si>
    <t>Ifest</t>
  </si>
  <si>
    <t>Cekroll</t>
  </si>
  <si>
    <t>Selisih</t>
  </si>
  <si>
    <t>Selisih Ifest</t>
  </si>
  <si>
    <t>E0233</t>
  </si>
  <si>
    <t>Muji Widodo</t>
  </si>
  <si>
    <t>E0014</t>
  </si>
  <si>
    <t>Irwan</t>
  </si>
  <si>
    <t>Sumardi</t>
  </si>
  <si>
    <t>M.Satriadi</t>
  </si>
  <si>
    <t>Jamiludin</t>
  </si>
  <si>
    <t>E0015</t>
  </si>
  <si>
    <t>E0029</t>
  </si>
  <si>
    <t>E0257</t>
  </si>
  <si>
    <t>Ket</t>
  </si>
  <si>
    <t>Keluar</t>
  </si>
  <si>
    <t>E0256</t>
  </si>
  <si>
    <t>Maryandi</t>
  </si>
  <si>
    <t>E0179</t>
  </si>
  <si>
    <t>Sahdan</t>
  </si>
  <si>
    <t>E0189</t>
  </si>
  <si>
    <t>Mursidin</t>
  </si>
  <si>
    <t>Lalu Wire Bakti</t>
  </si>
  <si>
    <t>E0190</t>
  </si>
  <si>
    <t>E0202</t>
  </si>
  <si>
    <t>Ari Trisna W</t>
  </si>
  <si>
    <t>E0219</t>
  </si>
  <si>
    <t>Remina</t>
  </si>
  <si>
    <t>E0234</t>
  </si>
  <si>
    <t>Sopian</t>
  </si>
  <si>
    <t>E0258</t>
  </si>
  <si>
    <t>Samsul Islam</t>
  </si>
  <si>
    <t>E0259</t>
  </si>
  <si>
    <t>M.Fauzan</t>
  </si>
  <si>
    <t>E0092</t>
  </si>
  <si>
    <t>Rahmat</t>
  </si>
  <si>
    <t>E0191</t>
  </si>
  <si>
    <t>Mahmudi</t>
  </si>
  <si>
    <t>Assisten</t>
  </si>
  <si>
    <t xml:space="preserve">DIBUAT OLEH :                                                                       </t>
  </si>
  <si>
    <t xml:space="preserve">DIBUAT OLEH :                                                            </t>
  </si>
  <si>
    <t xml:space="preserve">DIBUAT OLEH :                                                         </t>
  </si>
  <si>
    <t xml:space="preserve">DIBUAT OLEH :                                           </t>
  </si>
  <si>
    <t xml:space="preserve">DIBUAT OLEH :                                                </t>
  </si>
  <si>
    <t xml:space="preserve">DIBUAT OLEH :                                         </t>
  </si>
  <si>
    <t xml:space="preserve">DIBUAT OLEH :                                             </t>
  </si>
  <si>
    <t xml:space="preserve">DIBUAT OLEH :                                   </t>
  </si>
  <si>
    <t xml:space="preserve">DIBUAT OLEH :                                </t>
  </si>
  <si>
    <t xml:space="preserve">DIBUAT OLEH :                                                      </t>
  </si>
  <si>
    <t xml:space="preserve">DIBUAT OLEH :                                                  </t>
  </si>
  <si>
    <t xml:space="preserve">DIBUAT OLEH :                                                        </t>
  </si>
  <si>
    <t>HK Ifest</t>
  </si>
  <si>
    <t>HK Payroll</t>
  </si>
  <si>
    <t>1B</t>
  </si>
  <si>
    <t>PHASE IIB MAINTENANCE AIR LIMPAS</t>
  </si>
  <si>
    <t>PHASE IIB HARVESTING AIR LIMPAS</t>
  </si>
  <si>
    <t xml:space="preserve">Pengurangan Koreksi </t>
  </si>
  <si>
    <t>Koreksi</t>
  </si>
  <si>
    <t xml:space="preserve">LEMBUR </t>
  </si>
  <si>
    <t>ARE-C.3 TRANSPORT BUKIT PASAK</t>
  </si>
  <si>
    <t>DME HARVESTING  masa percobaan AIK CENDONG</t>
  </si>
  <si>
    <t>PHASE IIA HARVESTING KHT AIK JANGKAT 1</t>
  </si>
  <si>
    <t>PHASE IIA MAINTENANCE KHT AIK JANGKAT 1</t>
  </si>
  <si>
    <t>PHASE IIA HARVESTING AIK PAPAN 3</t>
  </si>
  <si>
    <t>PHASE IIA MAINTENANCE KHT AIK PAPAN 3</t>
  </si>
  <si>
    <t xml:space="preserve">PHASE IIA HARVESTING Masa Percobaan AIK BETANGAN </t>
  </si>
  <si>
    <t>PHASE IIA MAINTENANCE KHT AIK BETANGAN 2</t>
  </si>
  <si>
    <t xml:space="preserve">PHASE IIA HARVESTING KHT AIK BETANGAN </t>
  </si>
  <si>
    <t>PHASE IA OPERATOR AIK KUNDO</t>
  </si>
  <si>
    <t>PHASE IA MAINTENANCE KHT AIK KUNDO</t>
  </si>
  <si>
    <t>PHASE IA HARVESTING KHT AIK KUNDO</t>
  </si>
  <si>
    <t>PHASE IA OPERATOR AIK BATU</t>
  </si>
  <si>
    <t>PHASE IA MAINTENANCE KHT AIK BATU</t>
  </si>
  <si>
    <t>PHASE IA HARVESTING KHT AIK BATU</t>
  </si>
  <si>
    <t>PHASE IA OPERATOR AIK HIJAU</t>
  </si>
  <si>
    <t>PHASE IA MAINTENANCE KHT AIK HIJAU</t>
  </si>
  <si>
    <t>PHASE IIB HARVESTING AIR KUNYAL</t>
  </si>
  <si>
    <t>ARE-A MAINTENANCE KHT BUKIT PANJANG</t>
  </si>
  <si>
    <t>ARE-A HARVESTING KHT BUKIT PANJANG</t>
  </si>
  <si>
    <t>ARE-A TRANSPORT BUKIT PANJANG</t>
  </si>
  <si>
    <t>ARE-A HARVESTING KHT PADANG PANJANG</t>
  </si>
  <si>
    <t>ARE-A MAINTENANTE PADANG PANJANG</t>
  </si>
  <si>
    <t>ARE-A TRANSPORT PADANG PANJANG</t>
  </si>
  <si>
    <t>ARE-B1 HARVESTING PHT TIMUR</t>
  </si>
  <si>
    <t>ARE-B1 MAINTENANCE PHT TIMUR</t>
  </si>
  <si>
    <t>ARE-B1 OPERATOR TIMUR</t>
  </si>
  <si>
    <t>ARE-B1 MAINTENANCE PHT BARAT</t>
  </si>
  <si>
    <t>ARE-B1 HARVESTING PHT BARAT</t>
  </si>
  <si>
    <t>ARE-B1 OPERATOR BARAT</t>
  </si>
  <si>
    <t>PHASE IA HARVESTING AIK KUNDO masa percobaan</t>
  </si>
  <si>
    <t>PHASE IA HARVESTING AIK HIJAU masa percobaan</t>
  </si>
  <si>
    <t>MILL PKS</t>
  </si>
  <si>
    <t>Mill Bioplant</t>
  </si>
  <si>
    <t>Mill Bio Plant</t>
  </si>
  <si>
    <t>ARE-B1 HARVESTING masa percobaan BARAT</t>
  </si>
  <si>
    <t>MILL Bioplant</t>
  </si>
  <si>
    <t>PREMI  2022</t>
  </si>
  <si>
    <t>Periode 01-25 April 2022</t>
  </si>
  <si>
    <t>Apr -22 ( 01 s/d 25 )</t>
  </si>
  <si>
    <t>Hk April</t>
  </si>
  <si>
    <t>APR 2022</t>
  </si>
  <si>
    <t>PHASE IB  OPERATOR GUNUNG RUM</t>
  </si>
  <si>
    <t>PHASE IB HARVESTING KHT GUNUNG RUM</t>
  </si>
  <si>
    <t>PHASE IB MAINTENANCE KHT GUNUNG RUM</t>
  </si>
  <si>
    <t>PHASE IB  HARVESTING   PADANG TEMBALUN</t>
  </si>
  <si>
    <t>PHASE IB  MAINTENANCE KHT  PADANG TEMBALUN</t>
  </si>
  <si>
    <t>PHASE IB  PLASMA PADANG TEMBALUN</t>
  </si>
  <si>
    <t>PHASE IB OPERATOR PADANG TEMBALUN</t>
  </si>
  <si>
    <t>MEI 2022</t>
  </si>
  <si>
    <t>Month of MEI  2022</t>
  </si>
  <si>
    <t>(Mei `22 - Apr`22 )</t>
  </si>
  <si>
    <t>Hk Mei</t>
  </si>
  <si>
    <t>(MASA MEI 2022)</t>
  </si>
  <si>
    <t xml:space="preserve">SUMMARY - WAGES MEI 2022 </t>
  </si>
  <si>
    <t>01-31 MEI 2022 &amp; 26-30 APRIL 2022</t>
  </si>
  <si>
    <t>Penambahan HK (Mei - Apr  )</t>
  </si>
  <si>
    <t>ARE-B1 HARVESTING TIMUR masa percobaan</t>
  </si>
  <si>
    <t>26-30 April 2022</t>
  </si>
  <si>
    <t>01-31 Mei 2022</t>
  </si>
  <si>
    <t>Penambahan HK ( Mei - Apr )</t>
  </si>
  <si>
    <t>DME HARVESTING KHT AIK RAYA masa percobaan</t>
  </si>
  <si>
    <t>PHASE IA HARVESTING  AIK BATU masa percobaan</t>
  </si>
  <si>
    <t>BLT+AM TRANSPORT IJLDT 02</t>
  </si>
  <si>
    <t>Kontanan</t>
  </si>
  <si>
    <t>ARE-C  TRANSPORT V120 ( BECHO LOADER )</t>
  </si>
  <si>
    <t>ARE-C  TRANSPORT V35 ( EXAVATOR )</t>
  </si>
  <si>
    <t>TBS</t>
  </si>
  <si>
    <t>BRDL</t>
  </si>
  <si>
    <t>DME HARVESTING AIK KANDIS masa percobaan</t>
  </si>
  <si>
    <t>PHASE IIA HARVESTING AIK PAPAN masa percobaan</t>
  </si>
  <si>
    <t>Pokok Prunning</t>
  </si>
  <si>
    <t>DME HARVESTING  AIK RAYA masa percobaan</t>
  </si>
  <si>
    <t>Insentif</t>
  </si>
  <si>
    <t>PHASE IIB HARVESTING AIR KUNYAL ( masa percobaan )</t>
  </si>
  <si>
    <t>ARE-B2  HARVESTING AIK BANGEK ( masa percobaan )</t>
  </si>
  <si>
    <t>PHASE IIA HARVESTING  AIK JANGKAT ( masa percobaan )</t>
  </si>
  <si>
    <t>ARE-A HARVESTING  BUKIT PANJANG  ( masa percobaan )</t>
  </si>
  <si>
    <t>ARE-A HARVESTING  PADANG PANJANG ( masa percobaan )</t>
  </si>
  <si>
    <t>ARE-B2  HARVESTING AIK KEMINTING ( masa percobaan )</t>
  </si>
  <si>
    <t>ARE-C.2 HARVESTING AIR LENGGANG ( masa percobaan )</t>
  </si>
  <si>
    <t>ARE-C.2 HARVESTING KHT AIR LENGGANG</t>
  </si>
  <si>
    <t>ARE-C.3 HARVESTING BUKIT PASAK ( masa percobaan )</t>
  </si>
  <si>
    <t>ARE-C.1 HARVESTING AIR PENYENGAT masa percobaan</t>
  </si>
  <si>
    <t>PHASE IIB HARVESTING AIR LIMPAS masa percobaan</t>
  </si>
  <si>
    <t>PHASE IIB MAINT AIK KUNYAL masa percobaan</t>
  </si>
  <si>
    <t xml:space="preserve">Penggantian Tiket </t>
  </si>
  <si>
    <t>PHASE IB MAINTENANCE  GUNUNG RUM masa percobaan</t>
  </si>
  <si>
    <t>PREMI ( Rp )</t>
  </si>
  <si>
    <t>Ember</t>
  </si>
  <si>
    <t>GAJI</t>
  </si>
  <si>
    <t>INFRASTRUKTUR - PERCOBAAN</t>
  </si>
  <si>
    <t>BIBITAN</t>
  </si>
  <si>
    <r>
      <t>Tonase TBS</t>
    </r>
    <r>
      <rPr>
        <b/>
        <sz val="11"/>
        <rFont val="Arial"/>
        <family val="2"/>
      </rPr>
      <t xml:space="preserve"> TURUN </t>
    </r>
    <r>
      <rPr>
        <sz val="11"/>
        <rFont val="Arial"/>
        <family val="2"/>
      </rPr>
      <t>dari bulan lalu</t>
    </r>
  </si>
  <si>
    <r>
      <t xml:space="preserve">Premi Estate </t>
    </r>
    <r>
      <rPr>
        <b/>
        <sz val="11"/>
        <rFont val="Arial"/>
        <family val="2"/>
      </rPr>
      <t>NAIK</t>
    </r>
    <r>
      <rPr>
        <sz val="11"/>
        <rFont val="Arial"/>
        <family val="2"/>
      </rPr>
      <t xml:space="preserve"> dari bulan lalu</t>
    </r>
  </si>
  <si>
    <r>
      <t>OT Estate + Mll</t>
    </r>
    <r>
      <rPr>
        <b/>
        <sz val="11"/>
        <rFont val="Arial"/>
        <family val="2"/>
      </rPr>
      <t xml:space="preserve"> NAIK </t>
    </r>
    <r>
      <rPr>
        <sz val="11"/>
        <rFont val="Arial"/>
        <family val="2"/>
      </rPr>
      <t>dari bulan lalu</t>
    </r>
  </si>
  <si>
    <r>
      <t xml:space="preserve">Progressive Pruning </t>
    </r>
    <r>
      <rPr>
        <b/>
        <sz val="11"/>
        <rFont val="Arial"/>
        <family val="2"/>
      </rPr>
      <t xml:space="preserve">TURUN </t>
    </r>
    <r>
      <rPr>
        <sz val="11"/>
        <rFont val="Arial"/>
        <family val="2"/>
      </rPr>
      <t>dari bulan lalu</t>
    </r>
  </si>
  <si>
    <r>
      <t xml:space="preserve">OT </t>
    </r>
    <r>
      <rPr>
        <b/>
        <sz val="11"/>
        <rFont val="Arial"/>
        <family val="2"/>
      </rPr>
      <t>TURUN</t>
    </r>
    <r>
      <rPr>
        <sz val="11"/>
        <rFont val="Arial"/>
        <family val="2"/>
      </rPr>
      <t xml:space="preserve"> dari bulan lalu</t>
    </r>
  </si>
  <si>
    <r>
      <t xml:space="preserve">Tonase TBS </t>
    </r>
    <r>
      <rPr>
        <b/>
        <sz val="11"/>
        <rFont val="Arial"/>
        <family val="2"/>
      </rPr>
      <t>TURUN</t>
    </r>
    <r>
      <rPr>
        <sz val="11"/>
        <rFont val="Arial"/>
        <family val="2"/>
      </rPr>
      <t xml:space="preserve"> dari bulan lalu</t>
    </r>
  </si>
  <si>
    <r>
      <t xml:space="preserve">Premi </t>
    </r>
    <r>
      <rPr>
        <b/>
        <sz val="11"/>
        <rFont val="Arial"/>
        <family val="2"/>
      </rPr>
      <t xml:space="preserve">NAIK </t>
    </r>
    <r>
      <rPr>
        <sz val="11"/>
        <rFont val="Arial"/>
        <family val="2"/>
      </rPr>
      <t>dari bulan lalu</t>
    </r>
  </si>
  <si>
    <r>
      <t xml:space="preserve">Prunning </t>
    </r>
    <r>
      <rPr>
        <b/>
        <sz val="11"/>
        <rFont val="Arial"/>
        <family val="2"/>
      </rPr>
      <t xml:space="preserve">TURUN </t>
    </r>
    <r>
      <rPr>
        <sz val="11"/>
        <rFont val="Arial"/>
        <family val="2"/>
      </rPr>
      <t>dari bulan lalu</t>
    </r>
  </si>
  <si>
    <t>PHASE IB HARVESTING GUNUNG RUM ( masa percobaan )</t>
  </si>
  <si>
    <t>Kontanan+Piket lebaran</t>
  </si>
  <si>
    <t>Kontanan+piket lebaran</t>
  </si>
  <si>
    <t>premi pupuk</t>
  </si>
  <si>
    <t>cuci unit</t>
  </si>
  <si>
    <t>premi tabur pupuk</t>
  </si>
  <si>
    <t>ARE-B2  HARVESTING AIK KEMINTING</t>
  </si>
  <si>
    <t>PHASE IIB OPERATOR AIK LIMPAS</t>
  </si>
  <si>
    <t>BLT+AM  MAINTENANCE KHT</t>
  </si>
  <si>
    <t>KLAIM TIKET</t>
  </si>
  <si>
    <t>pot.alat panen</t>
  </si>
  <si>
    <t>NURSERY</t>
  </si>
  <si>
    <t>NURSERY ( BIBITAN )</t>
  </si>
  <si>
    <t>ARE-C.3 UPKEEP BUKIT PASAK ( masa percobaan )</t>
  </si>
  <si>
    <t>ARE-C  TRANSPORT V35 ( BECHO LOADER )</t>
  </si>
  <si>
    <t>PHASE IIB OPERATOR AIK KUNYAL</t>
  </si>
  <si>
    <t>PHASE IA HARVESTING AIK HIJAU</t>
  </si>
  <si>
    <t>Penghasilan lain2</t>
  </si>
  <si>
    <t>POT.ALAT PANEN</t>
  </si>
  <si>
    <t>THUMB PRINT</t>
  </si>
  <si>
    <t>TOTAL MANUAL</t>
  </si>
  <si>
    <t>TOTAL MAUNAL</t>
  </si>
  <si>
    <t>Pengembalian Tiket</t>
  </si>
  <si>
    <r>
      <t>Insentif Panen</t>
    </r>
    <r>
      <rPr>
        <b/>
        <sz val="11"/>
        <rFont val="Arial"/>
        <family val="2"/>
      </rPr>
      <t xml:space="preserve"> NAIK</t>
    </r>
    <r>
      <rPr>
        <sz val="11"/>
        <rFont val="Arial"/>
        <family val="2"/>
      </rPr>
      <t xml:space="preserve"> dari bulan lalu</t>
    </r>
  </si>
  <si>
    <t>JULI 2025</t>
  </si>
  <si>
    <t>pot. Tiket</t>
  </si>
  <si>
    <t>Pot. Pembuatan SIM</t>
  </si>
  <si>
    <t>POT.PEMBUATAN SIM</t>
  </si>
  <si>
    <t>Pot. Alat Panen</t>
  </si>
  <si>
    <t>POT. UANG TIKET</t>
  </si>
  <si>
    <r>
      <t xml:space="preserve">Insentif Panen </t>
    </r>
    <r>
      <rPr>
        <b/>
        <sz val="11"/>
        <rFont val="Arial"/>
        <family val="2"/>
      </rPr>
      <t>NAIK</t>
    </r>
    <r>
      <rPr>
        <sz val="11"/>
        <rFont val="Arial"/>
        <family val="2"/>
      </rPr>
      <t xml:space="preserve"> dari bulan lalu</t>
    </r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</si>
  <si>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</si>
  <si>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Hk Sept</t>
  </si>
  <si>
    <t>Insentif Sept 2025</t>
  </si>
  <si>
    <t>September'25</t>
  </si>
  <si>
    <t>Hk September</t>
  </si>
  <si>
    <t>SEPT 2025</t>
  </si>
  <si>
    <t>(MASA SEPT 2025)</t>
  </si>
  <si>
    <t>SEPTEMBER 2025</t>
  </si>
  <si>
    <t>PHASE 1A MAINTENANCE AIR KUNDO masa percobaan</t>
  </si>
  <si>
    <t>PHASE IB MAINTENANCE PADANG TEMBALUN masa percobaan</t>
  </si>
  <si>
    <t>PHASE IIB MAINTENANCE AIK KUNYAL</t>
  </si>
  <si>
    <t>ARE-C.1 MAINTENANCE AIR PENYENGAT masa percobaan</t>
  </si>
  <si>
    <r>
      <t xml:space="preserve">Tonase TBS </t>
    </r>
    <r>
      <rPr>
        <b/>
        <sz val="11"/>
        <rFont val="Arial"/>
        <family val="2"/>
      </rPr>
      <t>NAIK</t>
    </r>
    <r>
      <rPr>
        <sz val="11"/>
        <rFont val="Arial"/>
        <family val="2"/>
      </rPr>
      <t xml:space="preserve"> dari bulan lalu</t>
    </r>
  </si>
  <si>
    <t>Insentif September 2025</t>
  </si>
  <si>
    <t>Premi Okt 25 - Sept 25</t>
  </si>
  <si>
    <t>OT Okt 25 - Sept 25</t>
  </si>
  <si>
    <t xml:space="preserve"> Sept - Oct</t>
  </si>
  <si>
    <t>Oktober'25</t>
  </si>
  <si>
    <t>Hk Okt</t>
  </si>
  <si>
    <t>Insentif Okt 2025</t>
  </si>
  <si>
    <t>MONTH OF OKTOBER 2025</t>
  </si>
  <si>
    <t>(Okt`25 - Sept`25 )</t>
  </si>
  <si>
    <t>Hk Oktober</t>
  </si>
  <si>
    <t>Insentif Oktober 2025</t>
  </si>
  <si>
    <t>TURUN HK (Okt'25 - Sept'25 )</t>
  </si>
  <si>
    <t>OKT 2025</t>
  </si>
  <si>
    <t>(MASA OKT 2025)</t>
  </si>
  <si>
    <t>PREMI OKT 2025</t>
  </si>
  <si>
    <t>OKTOBER 2025</t>
  </si>
  <si>
    <t>SUMMARY - WAGES OKTOBER 2025</t>
  </si>
  <si>
    <t xml:space="preserve"> - OKTOBER 2025</t>
  </si>
  <si>
    <t>DENOMINATION FOR OKTOBER 2025</t>
  </si>
  <si>
    <t>(MASA OKTOBER 2025)</t>
  </si>
  <si>
    <r>
      <t xml:space="preserve">Premi Estate </t>
    </r>
    <r>
      <rPr>
        <b/>
        <sz val="11"/>
        <rFont val="Arial"/>
        <family val="2"/>
      </rPr>
      <t>TURUN</t>
    </r>
    <r>
      <rPr>
        <sz val="11"/>
        <rFont val="Arial"/>
        <family val="2"/>
      </rPr>
      <t xml:space="preserve">  dari bulan lalu</t>
    </r>
  </si>
  <si>
    <r>
      <t>OT Estate + Mill</t>
    </r>
    <r>
      <rPr>
        <b/>
        <sz val="11"/>
        <rFont val="Arial"/>
        <family val="2"/>
      </rPr>
      <t xml:space="preserve"> TURUN </t>
    </r>
    <r>
      <rPr>
        <sz val="11"/>
        <rFont val="Arial"/>
        <family val="2"/>
      </rPr>
      <t>dari bulan lalu</t>
    </r>
  </si>
  <si>
    <r>
      <t>Tonase TBS</t>
    </r>
    <r>
      <rPr>
        <b/>
        <sz val="11"/>
        <rFont val="Arial"/>
        <family val="2"/>
      </rPr>
      <t xml:space="preserve"> NAIK </t>
    </r>
    <r>
      <rPr>
        <sz val="11"/>
        <rFont val="Arial"/>
        <family val="2"/>
      </rPr>
      <t>dari bulan lalu</t>
    </r>
  </si>
  <si>
    <r>
      <t xml:space="preserve">Prunning </t>
    </r>
    <r>
      <rPr>
        <b/>
        <sz val="11"/>
        <rFont val="Arial"/>
        <family val="2"/>
      </rPr>
      <t>TURUN</t>
    </r>
    <r>
      <rPr>
        <sz val="11"/>
        <rFont val="Arial"/>
        <family val="2"/>
      </rPr>
      <t xml:space="preserve"> dari bulan lalu</t>
    </r>
  </si>
  <si>
    <r>
      <rPr>
        <b/>
        <sz val="11"/>
        <rFont val="Arial"/>
        <family val="2"/>
      </rPr>
      <t>NAIK</t>
    </r>
    <r>
      <rPr>
        <sz val="11"/>
        <rFont val="Arial"/>
        <family val="2"/>
      </rPr>
      <t xml:space="preserve"> HK OKt`25 - Sept`25 )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</si>
</sst>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_(&quot;Rp&quot;* #,##0.00_);_(&quot;Rp&quot;* \(#,##0.00\);_(&quot;Rp&quot;* &quot;-&quot;??_);_(@_)"/>
    <numFmt numFmtId="168" formatCode="_(* #,##0_);_(* \(#,##0\);_(* &quot;-&quot;??_);_(@_)"/>
    <numFmt numFmtId="169" formatCode="#,##0;[Red]#,##0"/>
    <numFmt numFmtId="170" formatCode="0_);\(0\)"/>
    <numFmt numFmtId="171" formatCode="0.00000000E+00"/>
    <numFmt numFmtId="172" formatCode="_(* #.##0.00_);_(* \(#.##0.00\);_(* &quot;-&quot;??_);_(@_)"/>
    <numFmt numFmtId="173" formatCode="_(* #,##0.00_);_(* \(#,##0.00\);_(* &quot;-&quot;_);_(@_)"/>
    <numFmt numFmtId="174" formatCode="&quot;£&quot;#,##0;[Red]\-&quot;£&quot;#,##0"/>
    <numFmt numFmtId="175" formatCode="_(* #,##0.0_);_(* \(#,##0.0\);_(* &quot;-&quot;??_);_(@_)"/>
    <numFmt numFmtId="176" formatCode="_(* #,##0.0_);_(* \(#,##0.0\);_(* &quot;-&quot;_);_(@_)"/>
    <numFmt numFmtId="177" formatCode="0%\ "/>
    <numFmt numFmtId="178" formatCode="0;[Red]0"/>
    <numFmt numFmtId="179" formatCode="0.00_);[Red]\(0.00\)"/>
    <numFmt numFmtId="180" formatCode="0.00_);\(0.00\)"/>
    <numFmt numFmtId="181" formatCode="0.00;[Red]0.00"/>
    <numFmt numFmtId="182" formatCode="0.0_);\(0.0\)"/>
    <numFmt numFmtId="183" formatCode="_(* #,##0_);_(* \(#,##0\);_(* &quot;-&quot;???_);_(@_)"/>
    <numFmt numFmtId="184" formatCode="0.0"/>
    <numFmt numFmtId="185" formatCode="0.000"/>
    <numFmt numFmtId="186" formatCode="_(* #,##0.00_);_(* \(#,##0.00\);_(* \-??_);_(@_)"/>
    <numFmt numFmtId="187" formatCode="#,##0.00\ ;&quot; (&quot;#,##0.00\);&quot; -&quot;#\ ;@\ "/>
    <numFmt numFmtId="188" formatCode="_(&quot;Rp&quot;* #,##0_);_(&quot;Rp&quot;* \(#,##0\);_(&quot;Rp&quot;* \-_);_(@_)"/>
    <numFmt numFmtId="189" formatCode="_(* #,##0,_);[Red]_(* \(#,##0,\);_(* &quot;&quot;&quot;&quot;&quot;&quot;&quot;&quot;\ \-\ &quot;&quot;&quot;&quot;&quot;&quot;&quot;&quot;_);_(@_)"/>
    <numFmt numFmtId="190" formatCode="0%\ ;\(0%\)"/>
    <numFmt numFmtId="191" formatCode="#,##0.00&quot; &quot;;&quot; (&quot;#,##0.00&quot;)&quot;;&quot; -&quot;#&quot; &quot;;@&quot; &quot;"/>
    <numFmt numFmtId="192" formatCode="#,##0\ ;&quot; (&quot;#,##0\);&quot; - &quot;;@\ "/>
    <numFmt numFmtId="193" formatCode="[$-421]General"/>
    <numFmt numFmtId="194" formatCode="&quot;  &quot;@"/>
    <numFmt numFmtId="195" formatCode="_(&quot;$&quot;* #,##0_);_(&quot;$&quot;* \(#,##0\);_(&quot;$&quot;* &quot;-&quot;??_);_(@_)"/>
    <numFmt numFmtId="196" formatCode="0%\ ;[Red]\(0%\)"/>
    <numFmt numFmtId="197" formatCode="0%;\(0%\)"/>
    <numFmt numFmtId="198" formatCode="#,##0.000_);[Red]\(#,##0.000\)"/>
    <numFmt numFmtId="199" formatCode="[Red]&quot;$&quot;#,##0_);[Red]&quot;$&quot;\(#,##0\)"/>
    <numFmt numFmtId="200" formatCode="&quot;          &quot;@"/>
    <numFmt numFmtId="201" formatCode="[Red]#,##0_);[Red]\(#,##0\)"/>
    <numFmt numFmtId="202" formatCode="0.0000000000"/>
    <numFmt numFmtId="203" formatCode="0.0_);[Red]\(0.0\)"/>
    <numFmt numFmtId="204" formatCode="m\-yy"/>
    <numFmt numFmtId="205" formatCode="_(* #,##0_);_(* \(#,##0\);_(* &quot;-&quot;?_);_(@_)"/>
    <numFmt numFmtId="206" formatCode="_ * #,##0_ ;_ * \-#,##0_ ;_ * &quot;-&quot;_ ;_ @_ "/>
    <numFmt numFmtId="207" formatCode="_-&quot;IR£&quot;* #,##0.00_-;\-&quot;IR£&quot;* #,##0.00_-;_-&quot;IR£&quot;* &quot;-&quot;??_-;_-@_-"/>
    <numFmt numFmtId="208" formatCode="_(* #,##0.000000_);_(* \(#,##0.000000\);_(* &quot;-&quot;??_);_(@_)"/>
    <numFmt numFmtId="209" formatCode="0.00_)"/>
    <numFmt numFmtId="210" formatCode="&quot;£&quot;#,##0.00;[Red]\-&quot;£&quot;#,##0.00"/>
    <numFmt numFmtId="211" formatCode="_-&quot;£&quot;* #,##0.00_-;\-&quot;£&quot;* #,##0.00_-;_-&quot;£&quot;* &quot;-&quot;??_-;_-@_-"/>
    <numFmt numFmtId="212" formatCode="_-&quot;£&quot;* #,##0_-;\-&quot;£&quot;* #,##0_-;_-&quot;£&quot;* &quot;-&quot;_-;_-@_-"/>
    <numFmt numFmtId="213" formatCode="###0.0_);[Red]\(###0.0\)"/>
    <numFmt numFmtId="214" formatCode="&quot;IR£&quot;#,##0;[Red]\-&quot;IR£&quot;#,##0"/>
    <numFmt numFmtId="215" formatCode="&quot;IR£&quot;#,##0.00;\-&quot;IR£&quot;#,##0.00"/>
    <numFmt numFmtId="216" formatCode="&quot;IR£&quot;#,##0.00;[Red]\-&quot;IR£&quot;#,##0.00"/>
    <numFmt numFmtId="217" formatCode="_-&quot;IR£&quot;* #,##0_-;\-&quot;IR£&quot;* #,##0_-;_-&quot;IR£&quot;* &quot;-&quot;_-;_-@_-"/>
    <numFmt numFmtId="218" formatCode="&quot;IR£&quot;#,##0;\-&quot;IR£&quot;#,##0"/>
    <numFmt numFmtId="219" formatCode="_(* #,##0_);_(* \(#,##0\);_(* \-_);_(@_)"/>
    <numFmt numFmtId="220" formatCode="&quot;Rp&quot;#,##0_);[Red]\(&quot;Rp&quot;#,##0\)"/>
    <numFmt numFmtId="221" formatCode="_-[$Rp-421]* #,##0_ ;_-[$Rp-421]* \-#,##0\ ;_-[$Rp-421]* &quot;-&quot;??_ ;_-@_ "/>
    <numFmt numFmtId="222" formatCode="_-* #,##0\ _D_M_-;\-* #,##0\ _D_M_-;_-* &quot;- &quot;_D_M_-;_-@_-"/>
    <numFmt numFmtId="223" formatCode="_([$Rp-421]* #,##0_);_([$Rp-421]* \(#,##0\);_([$Rp-421]* &quot;-&quot;_);_(@_)"/>
    <numFmt numFmtId="224" formatCode="_([$Rp-421]* #,##0_);_([$Rp-421]* \(#,##0\);_([$Rp-421]* &quot;-&quot;??_);_(@_)"/>
    <numFmt numFmtId="225" formatCode="&quot;$&quot;#,##0;\(&quot;$&quot;#,##0\)"/>
    <numFmt numFmtId="226" formatCode="_(&quot;$&quot;* #,##0.0000_);_(&quot;$&quot;* \(#,##0.0000\);_(&quot;$&quot;* &quot;-&quot;??_);_(@_)"/>
    <numFmt numFmtId="227" formatCode="_(&quot;$&quot;* #,##0.00000_);_(&quot;$&quot;* \(#,##0.00000\);_(&quot;$&quot;* &quot;-&quot;??_);_(@_)"/>
  </numFmts>
  <fonts count="1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Calibri"/>
      <family val="2"/>
      <scheme val="minor"/>
    </font>
    <font>
      <sz val="16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charset val="1"/>
      <scheme val="minor"/>
    </font>
    <font>
      <b/>
      <sz val="11"/>
      <color theme="5" tint="-0.249977111117893"/>
      <name val="Calibri"/>
      <family val="2"/>
      <charset val="1"/>
      <scheme val="minor"/>
    </font>
    <font>
      <i/>
      <sz val="10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sz val="6"/>
      <color rgb="FF000000"/>
      <name val="Arial Narrow"/>
      <family val="2"/>
    </font>
    <font>
      <sz val="6"/>
      <color rgb="FFFF0000"/>
      <name val="Arial Narrow"/>
      <family val="2"/>
    </font>
    <font>
      <sz val="1"/>
      <color rgb="FF000000"/>
      <name val="Arial"/>
      <family val="2"/>
    </font>
    <font>
      <sz val="8"/>
      <color rgb="FF000000"/>
      <name val="Arial Narrow"/>
      <family val="2"/>
    </font>
    <font>
      <sz val="7"/>
      <color rgb="FF000000"/>
      <name val="Arial Narrow"/>
      <family val="2"/>
    </font>
    <font>
      <sz val="8"/>
      <color rgb="FF0000FF"/>
      <name val="Arial Narrow"/>
      <family val="2"/>
    </font>
    <font>
      <sz val="7"/>
      <color rgb="FF0000FF"/>
      <name val="Arial Narrow"/>
      <family val="2"/>
    </font>
    <font>
      <sz val="8"/>
      <color rgb="FF008000"/>
      <name val="Arial Narrow"/>
      <family val="2"/>
    </font>
    <font>
      <sz val="7"/>
      <color rgb="FF008000"/>
      <name val="Arial Narrow"/>
      <family val="2"/>
    </font>
    <font>
      <sz val="8"/>
      <color rgb="FF800080"/>
      <name val="Arial Narrow"/>
      <family val="2"/>
    </font>
    <font>
      <sz val="7"/>
      <color rgb="FF800080"/>
      <name val="Arial Narrow"/>
      <family val="2"/>
    </font>
    <font>
      <sz val="8"/>
      <color rgb="FFFF00FF"/>
      <name val="Arial Narrow"/>
      <family val="2"/>
    </font>
    <font>
      <sz val="7"/>
      <color rgb="FFFF00FF"/>
      <name val="Arial Narrow"/>
      <family val="2"/>
    </font>
    <font>
      <sz val="8"/>
      <color rgb="FF00FFFF"/>
      <name val="Arial Narrow"/>
      <family val="2"/>
    </font>
    <font>
      <sz val="7"/>
      <color rgb="FF00FFFF"/>
      <name val="Arial Narrow"/>
      <family val="2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6"/>
      <color rgb="FF0000FF"/>
      <name val="Arial Narrow"/>
      <family val="2"/>
    </font>
    <font>
      <sz val="6"/>
      <color rgb="FF008080"/>
      <name val="Arial Narrow"/>
      <family val="2"/>
    </font>
    <font>
      <sz val="8"/>
      <color rgb="FF008080"/>
      <name val="Arial Narrow"/>
      <family val="2"/>
    </font>
    <font>
      <sz val="7"/>
      <color rgb="FF008080"/>
      <name val="Arial Narrow"/>
      <family val="2"/>
    </font>
    <font>
      <sz val="6"/>
      <color rgb="FF800080"/>
      <name val="Arial Narrow"/>
      <family val="2"/>
    </font>
    <font>
      <sz val="6"/>
      <color rgb="FF00FFFF"/>
      <name val="Arial Narrow"/>
      <family val="2"/>
    </font>
    <font>
      <sz val="11"/>
      <color rgb="FF000000"/>
      <name val="Arial Narrow"/>
      <family val="2"/>
    </font>
    <font>
      <sz val="16"/>
      <color rgb="FFFF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002060"/>
      <name val="Arial"/>
      <family val="2"/>
    </font>
    <font>
      <b/>
      <sz val="9"/>
      <color rgb="FFFF0000"/>
      <name val="Arial"/>
      <family val="2"/>
    </font>
    <font>
      <b/>
      <sz val="16"/>
      <color rgb="FF00B0F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rgb="FF00B050"/>
      <name val="Arial"/>
      <family val="2"/>
    </font>
    <font>
      <sz val="16"/>
      <color rgb="FF00B050"/>
      <name val="Arial"/>
      <family val="2"/>
    </font>
    <font>
      <sz val="16"/>
      <color rgb="FF00B0F0"/>
      <name val="Arial"/>
      <family val="2"/>
    </font>
    <font>
      <b/>
      <sz val="16"/>
      <color rgb="FFC00000"/>
      <name val="Arial"/>
      <family val="2"/>
    </font>
    <font>
      <sz val="8"/>
      <name val="Times New Roman"/>
      <family val="1"/>
    </font>
    <font>
      <sz val="10"/>
      <name val="Arial"/>
      <family val="2"/>
      <charset val="1"/>
    </font>
    <font>
      <sz val="10"/>
      <color indexed="8"/>
      <name val="Calibri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1"/>
      <color rgb="FF000000"/>
      <name val="Calibri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u/>
      <sz val="11"/>
      <color theme="10"/>
      <name val="Calibri"/>
      <family val="2"/>
      <charset val="1"/>
    </font>
    <font>
      <sz val="16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 tint="-4.9989318521683403E-2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Cambria"/>
      <family val="1"/>
      <scheme val="major"/>
    </font>
    <font>
      <sz val="11"/>
      <color rgb="FFFF0000"/>
      <name val="Arial"/>
      <family val="2"/>
    </font>
    <font>
      <b/>
      <sz val="16"/>
      <color rgb="FF00B050"/>
      <name val="Arial Narrow"/>
      <family val="2"/>
    </font>
    <font>
      <sz val="11"/>
      <color indexed="8"/>
      <name val="Calibri"/>
      <family val="2"/>
      <charset val="1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b/>
      <i/>
      <sz val="16"/>
      <name val="Helv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b/>
      <sz val="8"/>
      <color rgb="FF000000"/>
      <name val="Arial Narrow"/>
      <family val="2"/>
    </font>
    <font>
      <b/>
      <i/>
      <sz val="8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sz val="12"/>
      <name val="Tahoma"/>
      <family val="2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rgb="FFFFFFFF"/>
        <bgColor indexed="64"/>
      </patternFill>
    </fill>
  </fills>
  <borders count="1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854">
    <xf numFmtId="0" fontId="0" fillId="0" borderId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8" fillId="0" borderId="0"/>
    <xf numFmtId="172" fontId="43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6" fillId="0" borderId="0"/>
    <xf numFmtId="0" fontId="43" fillId="0" borderId="0"/>
    <xf numFmtId="41" fontId="18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8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49" fillId="0" borderId="0">
      <alignment horizontal="left" vertical="center"/>
    </xf>
    <xf numFmtId="0" fontId="50" fillId="0" borderId="0">
      <alignment horizontal="left" vertical="center"/>
    </xf>
    <xf numFmtId="0" fontId="51" fillId="0" borderId="0">
      <alignment horizontal="right" vertical="center"/>
    </xf>
    <xf numFmtId="0" fontId="52" fillId="0" borderId="0">
      <alignment horizontal="right" vertical="center"/>
    </xf>
    <xf numFmtId="0" fontId="51" fillId="0" borderId="0">
      <alignment horizontal="right" vertical="center"/>
    </xf>
    <xf numFmtId="0" fontId="51" fillId="0" borderId="0">
      <alignment horizontal="right" vertical="center"/>
    </xf>
    <xf numFmtId="0" fontId="52" fillId="0" borderId="0">
      <alignment horizontal="right" vertical="center"/>
    </xf>
    <xf numFmtId="0" fontId="53" fillId="0" borderId="0">
      <alignment horizontal="left" vertical="top"/>
    </xf>
    <xf numFmtId="0" fontId="54" fillId="0" borderId="0">
      <alignment horizontal="left" vertical="center"/>
    </xf>
    <xf numFmtId="0" fontId="54" fillId="0" borderId="0">
      <alignment horizontal="left" vertical="center"/>
    </xf>
    <xf numFmtId="0" fontId="55" fillId="0" borderId="0">
      <alignment horizontal="right" vertical="center"/>
    </xf>
    <xf numFmtId="0" fontId="53" fillId="0" borderId="0">
      <alignment horizontal="left" vertical="top"/>
    </xf>
    <xf numFmtId="0" fontId="50" fillId="0" borderId="0">
      <alignment horizontal="left" vertical="center"/>
    </xf>
    <xf numFmtId="0" fontId="54" fillId="0" borderId="0">
      <alignment horizontal="center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0" fontId="56" fillId="0" borderId="0">
      <alignment horizontal="center" vertical="center"/>
    </xf>
    <xf numFmtId="0" fontId="57" fillId="0" borderId="0">
      <alignment horizontal="right" vertical="center"/>
    </xf>
    <xf numFmtId="0" fontId="57" fillId="0" borderId="0">
      <alignment horizontal="right" vertical="center"/>
    </xf>
    <xf numFmtId="0" fontId="58" fillId="0" borderId="0">
      <alignment horizontal="center" vertical="center"/>
    </xf>
    <xf numFmtId="0" fontId="59" fillId="0" borderId="0">
      <alignment horizontal="right" vertical="center"/>
    </xf>
    <xf numFmtId="0" fontId="59" fillId="0" borderId="0">
      <alignment horizontal="right" vertical="center"/>
    </xf>
    <xf numFmtId="0" fontId="60" fillId="0" borderId="0">
      <alignment horizontal="center" vertical="center"/>
    </xf>
    <xf numFmtId="0" fontId="50" fillId="0" borderId="0">
      <alignment horizontal="right" vertical="center"/>
    </xf>
    <xf numFmtId="0" fontId="61" fillId="0" borderId="0">
      <alignment horizontal="right" vertical="center"/>
    </xf>
    <xf numFmtId="0" fontId="61" fillId="0" borderId="0">
      <alignment horizontal="right" vertical="center"/>
    </xf>
    <xf numFmtId="0" fontId="62" fillId="0" borderId="0">
      <alignment horizontal="center" vertical="center"/>
    </xf>
    <xf numFmtId="0" fontId="63" fillId="0" borderId="0">
      <alignment horizontal="right" vertical="center"/>
    </xf>
    <xf numFmtId="0" fontId="63" fillId="0" borderId="0">
      <alignment horizontal="right" vertical="center"/>
    </xf>
    <xf numFmtId="0" fontId="64" fillId="0" borderId="0">
      <alignment horizontal="center" vertical="center"/>
    </xf>
    <xf numFmtId="0" fontId="65" fillId="0" borderId="0">
      <alignment horizontal="right" vertical="center"/>
    </xf>
    <xf numFmtId="0" fontId="65" fillId="0" borderId="0">
      <alignment horizontal="right" vertical="center"/>
    </xf>
    <xf numFmtId="0" fontId="66" fillId="0" borderId="0">
      <alignment horizontal="right" vertical="center"/>
    </xf>
    <xf numFmtId="0" fontId="66" fillId="0" borderId="0">
      <alignment horizontal="left" vertical="center"/>
    </xf>
    <xf numFmtId="0" fontId="67" fillId="0" borderId="0">
      <alignment horizontal="right" vertical="center"/>
    </xf>
    <xf numFmtId="0" fontId="66" fillId="0" borderId="0">
      <alignment horizontal="left" vertical="top"/>
    </xf>
    <xf numFmtId="0" fontId="66" fillId="0" borderId="0">
      <alignment horizontal="left" vertical="top"/>
    </xf>
    <xf numFmtId="0" fontId="68" fillId="0" borderId="0">
      <alignment horizontal="right" vertical="center"/>
    </xf>
    <xf numFmtId="0" fontId="68" fillId="0" borderId="0">
      <alignment horizontal="right" vertical="center"/>
    </xf>
    <xf numFmtId="0" fontId="68" fillId="0" borderId="0">
      <alignment horizontal="right" vertical="center"/>
    </xf>
    <xf numFmtId="0" fontId="57" fillId="0" borderId="0">
      <alignment horizontal="right" vertical="center"/>
    </xf>
    <xf numFmtId="0" fontId="69" fillId="0" borderId="0">
      <alignment horizontal="right" vertical="center"/>
    </xf>
    <xf numFmtId="0" fontId="69" fillId="0" borderId="0">
      <alignment horizontal="right" vertical="center"/>
    </xf>
    <xf numFmtId="0" fontId="69" fillId="0" borderId="0">
      <alignment horizontal="right" vertical="center"/>
    </xf>
    <xf numFmtId="0" fontId="70" fillId="0" borderId="0">
      <alignment horizontal="left" vertical="center"/>
    </xf>
    <xf numFmtId="0" fontId="50" fillId="0" borderId="0">
      <alignment horizontal="right" vertical="center"/>
    </xf>
    <xf numFmtId="0" fontId="71" fillId="0" borderId="0">
      <alignment horizontal="right" vertical="center"/>
    </xf>
    <xf numFmtId="0" fontId="63" fillId="0" borderId="0">
      <alignment horizontal="right" vertical="center"/>
    </xf>
    <xf numFmtId="0" fontId="72" fillId="0" borderId="0">
      <alignment horizontal="right" vertical="center"/>
    </xf>
    <xf numFmtId="0" fontId="72" fillId="0" borderId="0">
      <alignment horizontal="right" vertical="center"/>
    </xf>
    <xf numFmtId="0" fontId="72" fillId="0" borderId="0">
      <alignment horizontal="right" vertical="center"/>
    </xf>
    <xf numFmtId="0" fontId="61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65" fillId="0" borderId="0">
      <alignment horizontal="right" vertical="center"/>
    </xf>
    <xf numFmtId="0" fontId="50" fillId="0" borderId="0">
      <alignment horizontal="center" vertical="center"/>
    </xf>
    <xf numFmtId="0" fontId="52" fillId="0" borderId="0">
      <alignment horizontal="right" vertical="center"/>
    </xf>
    <xf numFmtId="0" fontId="51" fillId="0" borderId="0">
      <alignment horizontal="right" vertical="center"/>
    </xf>
    <xf numFmtId="0" fontId="52" fillId="0" borderId="0">
      <alignment horizontal="right" vertical="center"/>
    </xf>
    <xf numFmtId="0" fontId="55" fillId="0" borderId="0">
      <alignment horizontal="right" vertical="center"/>
    </xf>
    <xf numFmtId="0" fontId="68" fillId="0" borderId="0">
      <alignment horizontal="right" vertical="center"/>
    </xf>
    <xf numFmtId="0" fontId="69" fillId="0" borderId="0">
      <alignment horizontal="right" vertical="center"/>
    </xf>
    <xf numFmtId="0" fontId="53" fillId="0" borderId="0">
      <alignment horizontal="left" vertical="top"/>
    </xf>
    <xf numFmtId="0" fontId="72" fillId="0" borderId="0">
      <alignment horizontal="right" vertical="center"/>
    </xf>
    <xf numFmtId="0" fontId="73" fillId="0" borderId="0">
      <alignment horizontal="right" vertical="center"/>
    </xf>
    <xf numFmtId="0" fontId="74" fillId="0" borderId="0">
      <alignment horizontal="left" vertical="center"/>
    </xf>
    <xf numFmtId="0" fontId="50" fillId="0" borderId="0">
      <alignment horizontal="center" vertical="center"/>
    </xf>
    <xf numFmtId="0" fontId="54" fillId="0" borderId="0">
      <alignment horizontal="center" vertical="center"/>
    </xf>
    <xf numFmtId="0" fontId="14" fillId="0" borderId="0"/>
    <xf numFmtId="165" fontId="14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0" fontId="82" fillId="0" borderId="0">
      <alignment vertical="center"/>
    </xf>
    <xf numFmtId="43" fontId="8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167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2" fillId="0" borderId="0"/>
    <xf numFmtId="41" fontId="12" fillId="0" borderId="0" applyFont="0" applyFill="0" applyBorder="0" applyAlignment="0" applyProtection="0"/>
    <xf numFmtId="0" fontId="12" fillId="0" borderId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0" fontId="10" fillId="0" borderId="0"/>
    <xf numFmtId="43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8" fillId="0" borderId="0">
      <alignment horizontal="center" wrapText="1"/>
      <protection locked="0"/>
    </xf>
    <xf numFmtId="177" fontId="42" fillId="0" borderId="0" applyFill="0" applyBorder="0" applyAlignment="0"/>
    <xf numFmtId="175" fontId="18" fillId="0" borderId="0" applyFill="0" applyBorder="0" applyAlignment="0"/>
    <xf numFmtId="178" fontId="18" fillId="0" borderId="0" applyFill="0" applyBorder="0" applyAlignment="0"/>
    <xf numFmtId="179" fontId="18" fillId="0" borderId="0" applyFill="0" applyBorder="0" applyAlignment="0"/>
    <xf numFmtId="180" fontId="18" fillId="0" borderId="0" applyFill="0" applyBorder="0" applyAlignment="0"/>
    <xf numFmtId="181" fontId="18" fillId="0" borderId="0" applyFill="0" applyBorder="0" applyAlignment="0"/>
    <xf numFmtId="182" fontId="18" fillId="0" borderId="0" applyFill="0" applyBorder="0" applyAlignment="0"/>
    <xf numFmtId="175" fontId="18" fillId="0" borderId="0" applyFill="0" applyBorder="0" applyAlignment="0"/>
    <xf numFmtId="41" fontId="18" fillId="0" borderId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3" fontId="89" fillId="0" borderId="0" applyFill="0" applyBorder="0" applyAlignment="0" applyProtection="0"/>
    <xf numFmtId="173" fontId="89" fillId="0" borderId="0" applyFill="0" applyBorder="0" applyAlignment="0" applyProtection="0"/>
    <xf numFmtId="173" fontId="89" fillId="0" borderId="0" applyFill="0" applyBorder="0" applyAlignment="0" applyProtection="0"/>
    <xf numFmtId="173" fontId="89" fillId="0" borderId="0" applyFill="0" applyBorder="0" applyAlignment="0" applyProtection="0"/>
    <xf numFmtId="173" fontId="89" fillId="0" borderId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8" fillId="0" borderId="0" applyFont="0" applyFill="0" applyBorder="0" applyAlignment="0" applyProtection="0"/>
    <xf numFmtId="174" fontId="89" fillId="0" borderId="0" applyFill="0" applyBorder="0" applyAlignment="0" applyProtection="0"/>
    <xf numFmtId="174" fontId="89" fillId="0" borderId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89" fillId="0" borderId="0" applyFill="0" applyBorder="0" applyAlignment="0" applyProtection="0"/>
    <xf numFmtId="183" fontId="89" fillId="0" borderId="0" applyFill="0" applyBorder="0" applyAlignment="0" applyProtection="0"/>
    <xf numFmtId="184" fontId="89" fillId="0" borderId="0" applyFill="0" applyBorder="0" applyAlignment="0" applyProtection="0"/>
    <xf numFmtId="176" fontId="89" fillId="0" borderId="0" applyFill="0" applyBorder="0" applyAlignment="0" applyProtection="0"/>
    <xf numFmtId="185" fontId="89" fillId="0" borderId="0" applyFill="0" applyBorder="0" applyAlignment="0" applyProtection="0"/>
    <xf numFmtId="185" fontId="89" fillId="0" borderId="0" applyFill="0" applyBorder="0" applyAlignment="0" applyProtection="0"/>
    <xf numFmtId="186" fontId="89" fillId="0" borderId="0" applyFill="0" applyBorder="0" applyAlignment="0" applyProtection="0"/>
    <xf numFmtId="176" fontId="89" fillId="0" borderId="0" applyFill="0" applyBorder="0" applyAlignment="0" applyProtection="0"/>
    <xf numFmtId="185" fontId="89" fillId="0" borderId="0" applyFill="0" applyBorder="0" applyAlignment="0" applyProtection="0"/>
    <xf numFmtId="185" fontId="89" fillId="0" borderId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5" fillId="0" borderId="0" applyFont="0" applyFill="0" applyBorder="0" applyAlignment="0" applyProtection="0"/>
    <xf numFmtId="18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6" fontId="89" fillId="0" borderId="0" applyFill="0" applyBorder="0" applyAlignment="0" applyProtection="0"/>
    <xf numFmtId="186" fontId="89" fillId="0" borderId="0" applyFill="0" applyBorder="0" applyAlignment="0" applyProtection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7" fontId="90" fillId="0" borderId="0"/>
    <xf numFmtId="165" fontId="10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18" fillId="0" borderId="0" applyFont="0" applyFill="0" applyBorder="0" applyAlignment="0" applyProtection="0"/>
    <xf numFmtId="186" fontId="89" fillId="0" borderId="0" applyFill="0" applyBorder="0" applyAlignment="0" applyProtection="0"/>
    <xf numFmtId="43" fontId="18" fillId="0" borderId="0" applyFont="0" applyFill="0" applyBorder="0" applyAlignment="0" applyProtection="0"/>
    <xf numFmtId="186" fontId="89" fillId="0" borderId="0" applyFill="0" applyBorder="0" applyAlignment="0" applyProtection="0"/>
    <xf numFmtId="186" fontId="89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8" fillId="0" borderId="0" applyFont="0" applyFill="0" applyBorder="0" applyAlignment="0" applyProtection="0"/>
    <xf numFmtId="187" fontId="82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1" fillId="0" borderId="0" applyNumberFormat="0" applyAlignment="0">
      <alignment horizontal="left"/>
    </xf>
    <xf numFmtId="166" fontId="18" fillId="0" borderId="0" applyFont="0" applyFill="0" applyBorder="0" applyAlignment="0" applyProtection="0"/>
    <xf numFmtId="188" fontId="89" fillId="0" borderId="0" applyFill="0" applyBorder="0" applyAlignment="0" applyProtection="0"/>
    <xf numFmtId="175" fontId="18" fillId="0" borderId="0" applyFont="0" applyFill="0" applyBorder="0" applyAlignment="0" applyProtection="0"/>
    <xf numFmtId="189" fontId="18" fillId="0" borderId="0" applyFont="0" applyFill="0" applyBorder="0" applyAlignment="0"/>
    <xf numFmtId="8" fontId="18" fillId="0" borderId="0" applyFont="0" applyFill="0" applyBorder="0" applyAlignment="0"/>
    <xf numFmtId="168" fontId="10" fillId="0" borderId="0" applyFont="0" applyFill="0" applyBorder="0" applyAlignment="0" applyProtection="0"/>
    <xf numFmtId="15" fontId="44" fillId="0" borderId="0" applyFill="0" applyBorder="0" applyAlignment="0"/>
    <xf numFmtId="190" fontId="18" fillId="9" borderId="0" applyFont="0" applyFill="0" applyBorder="0" applyAlignment="0" applyProtection="0"/>
    <xf numFmtId="190" fontId="18" fillId="9" borderId="122" applyFont="0" applyFill="0" applyBorder="0" applyAlignment="0" applyProtection="0"/>
    <xf numFmtId="17" fontId="44" fillId="0" borderId="0" applyFill="0" applyBorder="0">
      <alignment horizontal="right"/>
    </xf>
    <xf numFmtId="14" fontId="92" fillId="0" borderId="0" applyFill="0" applyBorder="0" applyAlignment="0"/>
    <xf numFmtId="181" fontId="18" fillId="0" borderId="0" applyFill="0" applyBorder="0" applyAlignment="0"/>
    <xf numFmtId="175" fontId="18" fillId="0" borderId="0" applyFill="0" applyBorder="0" applyAlignment="0"/>
    <xf numFmtId="181" fontId="18" fillId="0" borderId="0" applyFill="0" applyBorder="0" applyAlignment="0"/>
    <xf numFmtId="182" fontId="18" fillId="0" borderId="0" applyFill="0" applyBorder="0" applyAlignment="0"/>
    <xf numFmtId="175" fontId="18" fillId="0" borderId="0" applyFill="0" applyBorder="0" applyAlignment="0"/>
    <xf numFmtId="0" fontId="93" fillId="0" borderId="0" applyNumberFormat="0" applyAlignment="0">
      <alignment horizontal="left"/>
    </xf>
    <xf numFmtId="191" fontId="94" fillId="0" borderId="0" applyBorder="0" applyProtection="0"/>
    <xf numFmtId="192" fontId="90" fillId="0" borderId="0"/>
    <xf numFmtId="193" fontId="94" fillId="0" borderId="0" applyBorder="0" applyProtection="0"/>
    <xf numFmtId="0" fontId="82" fillId="0" borderId="0"/>
    <xf numFmtId="0" fontId="90" fillId="0" borderId="0"/>
    <xf numFmtId="194" fontId="18" fillId="9" borderId="0" applyFont="0" applyFill="0" applyBorder="0" applyAlignment="0"/>
    <xf numFmtId="38" fontId="22" fillId="10" borderId="0" applyNumberFormat="0" applyBorder="0" applyAlignment="0" applyProtection="0"/>
    <xf numFmtId="0" fontId="32" fillId="0" borderId="84" applyNumberFormat="0" applyAlignment="0" applyProtection="0">
      <alignment horizontal="left" vertical="center"/>
    </xf>
    <xf numFmtId="0" fontId="32" fillId="0" borderId="76">
      <alignment horizontal="left" vertical="center"/>
    </xf>
    <xf numFmtId="0" fontId="95" fillId="0" borderId="32">
      <alignment horizontal="center"/>
    </xf>
    <xf numFmtId="0" fontId="95" fillId="0" borderId="0">
      <alignment horizontal="center"/>
    </xf>
    <xf numFmtId="10" fontId="22" fillId="9" borderId="10" applyNumberFormat="0" applyBorder="0" applyAlignment="0" applyProtection="0"/>
    <xf numFmtId="8" fontId="22" fillId="9" borderId="0" applyFont="0" applyBorder="0" applyAlignment="0" applyProtection="0">
      <protection locked="0"/>
    </xf>
    <xf numFmtId="15" fontId="22" fillId="9" borderId="0" applyFont="0" applyBorder="0" applyAlignment="0" applyProtection="0">
      <protection locked="0"/>
    </xf>
    <xf numFmtId="194" fontId="18" fillId="9" borderId="0" applyFont="0" applyBorder="0" applyAlignment="0">
      <protection locked="0"/>
    </xf>
    <xf numFmtId="38" fontId="22" fillId="9" borderId="0">
      <protection locked="0"/>
    </xf>
    <xf numFmtId="164" fontId="18" fillId="9" borderId="0" applyFont="0" applyBorder="0" applyAlignment="0">
      <protection locked="0"/>
    </xf>
    <xf numFmtId="10" fontId="22" fillId="9" borderId="0">
      <protection locked="0"/>
    </xf>
    <xf numFmtId="195" fontId="18" fillId="9" borderId="0" applyNumberFormat="0" applyBorder="0" applyAlignment="0">
      <protection locked="0"/>
    </xf>
    <xf numFmtId="181" fontId="18" fillId="0" borderId="0" applyFill="0" applyBorder="0" applyAlignment="0"/>
    <xf numFmtId="175" fontId="18" fillId="0" borderId="0" applyFill="0" applyBorder="0" applyAlignment="0"/>
    <xf numFmtId="181" fontId="18" fillId="0" borderId="0" applyFill="0" applyBorder="0" applyAlignment="0"/>
    <xf numFmtId="182" fontId="18" fillId="0" borderId="0" applyFill="0" applyBorder="0" applyAlignment="0"/>
    <xf numFmtId="175" fontId="18" fillId="0" borderId="0" applyFill="0" applyBorder="0" applyAlignment="0"/>
    <xf numFmtId="196" fontId="18" fillId="10" borderId="0" applyFont="0" applyBorder="0" applyAlignment="0" applyProtection="0">
      <alignment horizontal="right"/>
      <protection hidden="1"/>
    </xf>
    <xf numFmtId="197" fontId="18" fillId="0" borderId="0"/>
    <xf numFmtId="38" fontId="22" fillId="0" borderId="0" applyFont="0" applyFill="0" applyBorder="0" applyAlignment="0"/>
    <xf numFmtId="195" fontId="18" fillId="0" borderId="0" applyFont="0" applyFill="0" applyBorder="0" applyAlignment="0"/>
    <xf numFmtId="40" fontId="22" fillId="0" borderId="0" applyFont="0" applyFill="0" applyBorder="0" applyAlignment="0"/>
    <xf numFmtId="198" fontId="22" fillId="0" borderId="0" applyFont="0" applyFill="0" applyBorder="0" applyAlignment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9" fillId="0" borderId="0"/>
    <xf numFmtId="0" fontId="18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9" fillId="0" borderId="0"/>
    <xf numFmtId="0" fontId="89" fillId="0" borderId="0"/>
    <xf numFmtId="0" fontId="18" fillId="0" borderId="0"/>
    <xf numFmtId="195" fontId="18" fillId="0" borderId="0" applyNumberFormat="0" applyFill="0" applyBorder="0" applyAlignment="0" applyProtection="0"/>
    <xf numFmtId="199" fontId="18" fillId="0" borderId="0" applyFont="0" applyFill="0" applyBorder="0" applyAlignment="0" applyProtection="0"/>
    <xf numFmtId="200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201" fontId="18" fillId="0" borderId="0"/>
    <xf numFmtId="14" fontId="88" fillId="0" borderId="0">
      <alignment horizontal="center" wrapText="1"/>
      <protection locked="0"/>
    </xf>
    <xf numFmtId="180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64" fontId="18" fillId="0" borderId="0" applyFont="0" applyFill="0" applyBorder="0" applyAlignment="0"/>
    <xf numFmtId="10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5" fillId="0" borderId="0" applyFont="0" applyFill="0" applyBorder="0" applyAlignment="0" applyProtection="0"/>
    <xf numFmtId="202" fontId="18" fillId="0" borderId="0" applyFont="0" applyFill="0" applyBorder="0" applyAlignment="0" applyProtection="0"/>
    <xf numFmtId="181" fontId="18" fillId="0" borderId="0" applyFill="0" applyBorder="0" applyAlignment="0"/>
    <xf numFmtId="175" fontId="18" fillId="0" borderId="0" applyFill="0" applyBorder="0" applyAlignment="0"/>
    <xf numFmtId="181" fontId="18" fillId="0" borderId="0" applyFill="0" applyBorder="0" applyAlignment="0"/>
    <xf numFmtId="182" fontId="18" fillId="0" borderId="0" applyFill="0" applyBorder="0" applyAlignment="0"/>
    <xf numFmtId="175" fontId="18" fillId="0" borderId="0" applyFill="0" applyBorder="0" applyAlignment="0"/>
    <xf numFmtId="195" fontId="18" fillId="0" borderId="0" applyNumberFormat="0" applyFill="0" applyBorder="0" applyAlignment="0" applyProtection="0">
      <alignment horizontal="left"/>
    </xf>
    <xf numFmtId="0" fontId="96" fillId="11" borderId="0" applyNumberFormat="0" applyFont="0" applyBorder="0" applyAlignment="0">
      <alignment horizontal="center"/>
    </xf>
    <xf numFmtId="14" fontId="97" fillId="0" borderId="0" applyNumberFormat="0" applyFill="0" applyBorder="0" applyAlignment="0" applyProtection="0">
      <alignment horizontal="left"/>
    </xf>
    <xf numFmtId="0" fontId="98" fillId="0" borderId="0">
      <alignment horizontal="left" vertical="center"/>
    </xf>
    <xf numFmtId="0" fontId="98" fillId="0" borderId="0">
      <alignment horizontal="center" vertical="center"/>
    </xf>
    <xf numFmtId="0" fontId="98" fillId="0" borderId="0">
      <alignment horizontal="center" vertical="center"/>
    </xf>
    <xf numFmtId="0" fontId="98" fillId="0" borderId="0">
      <alignment horizontal="right" vertical="center"/>
    </xf>
    <xf numFmtId="0" fontId="98" fillId="0" borderId="0">
      <alignment horizontal="left" vertical="center"/>
    </xf>
    <xf numFmtId="0" fontId="98" fillId="0" borderId="0">
      <alignment horizontal="right" vertical="center"/>
    </xf>
    <xf numFmtId="0" fontId="99" fillId="0" borderId="0">
      <alignment horizontal="right" vertical="center"/>
    </xf>
    <xf numFmtId="0" fontId="99" fillId="0" borderId="0">
      <alignment horizontal="right" vertical="center"/>
    </xf>
    <xf numFmtId="0" fontId="100" fillId="0" borderId="0">
      <alignment horizontal="right" vertical="center"/>
    </xf>
    <xf numFmtId="0" fontId="100" fillId="0" borderId="0">
      <alignment horizontal="left" vertical="center"/>
    </xf>
    <xf numFmtId="0" fontId="100" fillId="0" borderId="0">
      <alignment horizontal="left" vertical="center"/>
    </xf>
    <xf numFmtId="0" fontId="101" fillId="0" borderId="0">
      <alignment horizontal="right" vertical="center"/>
    </xf>
    <xf numFmtId="0" fontId="98" fillId="0" borderId="0">
      <alignment horizontal="center" vertical="top"/>
    </xf>
    <xf numFmtId="0" fontId="101" fillId="0" borderId="0">
      <alignment horizontal="right" vertical="center"/>
    </xf>
    <xf numFmtId="0" fontId="53" fillId="0" borderId="0">
      <alignment horizontal="left" vertical="top"/>
    </xf>
    <xf numFmtId="0" fontId="98" fillId="0" borderId="0">
      <alignment horizontal="right" vertical="top"/>
    </xf>
    <xf numFmtId="0" fontId="102" fillId="0" borderId="0">
      <alignment horizontal="left" vertical="center"/>
    </xf>
    <xf numFmtId="0" fontId="101" fillId="0" borderId="0">
      <alignment horizontal="left" vertical="center"/>
    </xf>
    <xf numFmtId="0" fontId="103" fillId="0" borderId="0">
      <alignment horizontal="left" vertical="center"/>
    </xf>
    <xf numFmtId="0" fontId="53" fillId="0" borderId="0">
      <alignment horizontal="left" vertical="top"/>
    </xf>
    <xf numFmtId="0" fontId="101" fillId="0" borderId="0">
      <alignment horizontal="left" vertical="center"/>
    </xf>
    <xf numFmtId="0" fontId="98" fillId="0" borderId="0">
      <alignment horizontal="left" vertical="center"/>
    </xf>
    <xf numFmtId="0" fontId="96" fillId="1" borderId="76" applyNumberFormat="0" applyFont="0" applyAlignment="0">
      <alignment horizontal="center"/>
    </xf>
    <xf numFmtId="0" fontId="104" fillId="0" borderId="0" applyNumberFormat="0" applyFill="0" applyBorder="0" applyAlignment="0">
      <alignment horizontal="center"/>
    </xf>
    <xf numFmtId="195" fontId="18" fillId="12" borderId="0" applyNumberFormat="0" applyFont="0" applyBorder="0" applyAlignment="0">
      <protection hidden="1"/>
    </xf>
    <xf numFmtId="40" fontId="105" fillId="0" borderId="0" applyBorder="0">
      <alignment horizontal="right"/>
    </xf>
    <xf numFmtId="195" fontId="18" fillId="13" borderId="0" applyNumberFormat="0" applyFont="0" applyBorder="0" applyAlignment="0" applyProtection="0"/>
    <xf numFmtId="49" fontId="92" fillId="0" borderId="0" applyFill="0" applyBorder="0" applyAlignment="0"/>
    <xf numFmtId="170" fontId="18" fillId="0" borderId="0" applyFill="0" applyBorder="0" applyAlignment="0"/>
    <xf numFmtId="203" fontId="18" fillId="0" borderId="0" applyFill="0" applyBorder="0" applyAlignment="0"/>
    <xf numFmtId="204" fontId="18" fillId="0" borderId="0" applyFill="0" applyBorder="0" applyAlignment="0" applyProtection="0">
      <alignment horizontal="right"/>
    </xf>
    <xf numFmtId="195" fontId="18" fillId="0" borderId="0" applyNumberFormat="0" applyFill="0" applyBorder="0" applyAlignment="0" applyProtection="0"/>
    <xf numFmtId="0" fontId="15" fillId="0" borderId="0"/>
    <xf numFmtId="0" fontId="15" fillId="0" borderId="0"/>
    <xf numFmtId="41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9" fillId="0" borderId="0"/>
    <xf numFmtId="41" fontId="9" fillId="0" borderId="0" applyFont="0" applyFill="0" applyBorder="0" applyAlignment="0" applyProtection="0"/>
    <xf numFmtId="0" fontId="9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15" fillId="0" borderId="0"/>
    <xf numFmtId="43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41" fontId="108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>
      <alignment vertical="top"/>
    </xf>
    <xf numFmtId="43" fontId="108" fillId="0" borderId="0" applyFont="0" applyFill="0" applyBorder="0" applyAlignment="0" applyProtection="0"/>
    <xf numFmtId="0" fontId="108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43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4" fontId="82" fillId="0" borderId="0" applyFont="0" applyFill="0" applyBorder="0" applyAlignment="0" applyProtection="0"/>
    <xf numFmtId="0" fontId="6" fillId="0" borderId="0"/>
    <xf numFmtId="43" fontId="82" fillId="0" borderId="0" applyFont="0" applyFill="0" applyBorder="0" applyAlignment="0" applyProtection="0"/>
    <xf numFmtId="44" fontId="82" fillId="0" borderId="0" applyFont="0" applyFill="0" applyBorder="0" applyAlignment="0" applyProtection="0"/>
    <xf numFmtId="0" fontId="6" fillId="0" borderId="0"/>
    <xf numFmtId="44" fontId="8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8" fillId="0" borderId="0"/>
    <xf numFmtId="206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8" fontId="119" fillId="0" borderId="0">
      <protection locked="0"/>
    </xf>
    <xf numFmtId="207" fontId="18" fillId="0" borderId="0">
      <protection locked="0"/>
    </xf>
    <xf numFmtId="209" fontId="120" fillId="0" borderId="0">
      <protection locked="0"/>
    </xf>
    <xf numFmtId="207" fontId="18" fillId="0" borderId="0">
      <protection locked="0"/>
    </xf>
    <xf numFmtId="206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7" fontId="18" fillId="0" borderId="0">
      <protection locked="0"/>
    </xf>
    <xf numFmtId="208" fontId="119" fillId="0" borderId="0">
      <protection locked="0"/>
    </xf>
    <xf numFmtId="207" fontId="18" fillId="0" borderId="0">
      <protection locked="0"/>
    </xf>
    <xf numFmtId="209" fontId="120" fillId="0" borderId="0">
      <protection locked="0"/>
    </xf>
    <xf numFmtId="207" fontId="18" fillId="0" borderId="0">
      <protection locked="0"/>
    </xf>
    <xf numFmtId="9" fontId="121" fillId="0" borderId="0" applyFont="0" applyFill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6" borderId="0" applyNumberFormat="0" applyBorder="0" applyAlignment="0" applyProtection="0"/>
    <xf numFmtId="0" fontId="122" fillId="14" borderId="0" applyNumberFormat="0" applyBorder="0" applyAlignment="0" applyProtection="0"/>
    <xf numFmtId="0" fontId="12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4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8" borderId="0" applyNumberFormat="0" applyBorder="0" applyAlignment="0" applyProtection="0"/>
    <xf numFmtId="0" fontId="12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20" borderId="0" applyNumberFormat="0" applyBorder="0" applyAlignment="0" applyProtection="0"/>
    <xf numFmtId="0" fontId="12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19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16" borderId="0" applyNumberFormat="0" applyBorder="0" applyAlignment="0" applyProtection="0"/>
    <xf numFmtId="0" fontId="12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122" fillId="22" borderId="0" applyNumberFormat="0" applyBorder="0" applyAlignment="0" applyProtection="0"/>
    <xf numFmtId="0" fontId="12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2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122" fillId="25" borderId="0" applyNumberFormat="0" applyBorder="0" applyAlignment="0" applyProtection="0"/>
    <xf numFmtId="0" fontId="12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5" borderId="0" applyNumberFormat="0" applyBorder="0" applyAlignment="0" applyProtection="0"/>
    <xf numFmtId="0" fontId="82" fillId="25" borderId="0" applyNumberFormat="0" applyBorder="0" applyAlignment="0" applyProtection="0"/>
    <xf numFmtId="0" fontId="82" fillId="18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7" borderId="0" applyNumberFormat="0" applyBorder="0" applyAlignment="0" applyProtection="0"/>
    <xf numFmtId="0" fontId="12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9" borderId="0" applyNumberFormat="0" applyBorder="0" applyAlignment="0" applyProtection="0"/>
    <xf numFmtId="0" fontId="12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122" fillId="30" borderId="0" applyNumberFormat="0" applyBorder="0" applyAlignment="0" applyProtection="0"/>
    <xf numFmtId="0" fontId="12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0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7" borderId="0" applyNumberFormat="0" applyBorder="0" applyAlignment="0" applyProtection="0"/>
    <xf numFmtId="0" fontId="12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1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12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18" borderId="0" applyNumberFormat="0" applyBorder="0" applyAlignment="0" applyProtection="0"/>
    <xf numFmtId="0" fontId="12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4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36" borderId="0" applyNumberFormat="0" applyBorder="0" applyAlignment="0" applyProtection="0"/>
    <xf numFmtId="0" fontId="124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28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7" borderId="0" applyNumberFormat="0" applyBorder="0" applyAlignment="0" applyProtection="0"/>
    <xf numFmtId="0" fontId="124" fillId="30" borderId="0" applyNumberFormat="0" applyBorder="0" applyAlignment="0" applyProtection="0"/>
    <xf numFmtId="0" fontId="124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0" borderId="0" applyNumberFormat="0" applyBorder="0" applyAlignment="0" applyProtection="0"/>
    <xf numFmtId="0" fontId="123" fillId="31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27" borderId="0" applyNumberFormat="0" applyBorder="0" applyAlignment="0" applyProtection="0"/>
    <xf numFmtId="0" fontId="124" fillId="38" borderId="0" applyNumberFormat="0" applyBorder="0" applyAlignment="0" applyProtection="0"/>
    <xf numFmtId="0" fontId="124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35" borderId="0" applyNumberFormat="0" applyBorder="0" applyAlignment="0" applyProtection="0"/>
    <xf numFmtId="0" fontId="124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18" borderId="0" applyNumberFormat="0" applyBorder="0" applyAlignment="0" applyProtection="0"/>
    <xf numFmtId="0" fontId="124" fillId="41" borderId="0" applyNumberFormat="0" applyBorder="0" applyAlignment="0" applyProtection="0"/>
    <xf numFmtId="0" fontId="124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35" borderId="0" applyNumberFormat="0" applyBorder="0" applyAlignment="0" applyProtection="0"/>
    <xf numFmtId="0" fontId="124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36" borderId="0" applyNumberFormat="0" applyBorder="0" applyAlignment="0" applyProtection="0"/>
    <xf numFmtId="0" fontId="124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4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6" borderId="0" applyNumberFormat="0" applyBorder="0" applyAlignment="0" applyProtection="0"/>
    <xf numFmtId="0" fontId="124" fillId="45" borderId="0" applyNumberFormat="0" applyBorder="0" applyAlignment="0" applyProtection="0"/>
    <xf numFmtId="0" fontId="124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47" borderId="0" applyNumberFormat="0" applyBorder="0" applyAlignment="0" applyProtection="0"/>
    <xf numFmtId="0" fontId="124" fillId="38" borderId="0" applyNumberFormat="0" applyBorder="0" applyAlignment="0" applyProtection="0"/>
    <xf numFmtId="0" fontId="124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38" borderId="0" applyNumberFormat="0" applyBorder="0" applyAlignment="0" applyProtection="0"/>
    <xf numFmtId="0" fontId="123" fillId="39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35" borderId="0" applyNumberFormat="0" applyBorder="0" applyAlignment="0" applyProtection="0"/>
    <xf numFmtId="0" fontId="124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0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29" borderId="0" applyNumberFormat="0" applyBorder="0" applyAlignment="0" applyProtection="0"/>
    <xf numFmtId="0" fontId="124" fillId="48" borderId="0" applyNumberFormat="0" applyBorder="0" applyAlignment="0" applyProtection="0"/>
    <xf numFmtId="0" fontId="124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0" fontId="123" fillId="48" borderId="0" applyNumberFormat="0" applyBorder="0" applyAlignment="0" applyProtection="0"/>
    <xf numFmtId="0" fontId="123" fillId="29" borderId="0" applyNumberFormat="0" applyBorder="0" applyAlignment="0" applyProtection="0"/>
    <xf numFmtId="210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3" fontId="120" fillId="0" borderId="0" applyFont="0" applyFill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6" fillId="21" borderId="0" applyNumberFormat="0" applyBorder="0" applyAlignment="0" applyProtection="0"/>
    <xf numFmtId="0" fontId="127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5" fillId="17" borderId="0" applyNumberFormat="0" applyBorder="0" applyAlignment="0" applyProtection="0"/>
    <xf numFmtId="0" fontId="121" fillId="0" borderId="0"/>
    <xf numFmtId="0" fontId="92" fillId="0" borderId="0" applyFill="0" applyBorder="0" applyAlignment="0"/>
    <xf numFmtId="214" fontId="120" fillId="0" borderId="0" applyFill="0" applyBorder="0" applyAlignment="0"/>
    <xf numFmtId="215" fontId="120" fillId="0" borderId="0" applyFill="0" applyBorder="0" applyAlignment="0"/>
    <xf numFmtId="216" fontId="120" fillId="0" borderId="0" applyFill="0" applyBorder="0" applyAlignment="0"/>
    <xf numFmtId="217" fontId="120" fillId="0" borderId="0" applyFill="0" applyBorder="0" applyAlignment="0"/>
    <xf numFmtId="218" fontId="120" fillId="0" borderId="0" applyFill="0" applyBorder="0" applyAlignment="0"/>
    <xf numFmtId="207" fontId="120" fillId="0" borderId="0" applyFill="0" applyBorder="0" applyAlignment="0"/>
    <xf numFmtId="214" fontId="120" fillId="0" borderId="0" applyFill="0" applyBorder="0" applyAlignment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16" borderId="127" applyNumberFormat="0" applyAlignment="0" applyProtection="0"/>
    <xf numFmtId="0" fontId="129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28" fillId="27" borderId="127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27" borderId="128" applyNumberFormat="0" applyAlignment="0" applyProtection="0"/>
    <xf numFmtId="0" fontId="131" fillId="49" borderId="128" applyNumberFormat="0" applyAlignment="0" applyProtection="0"/>
    <xf numFmtId="0" fontId="131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0" fontId="130" fillId="49" borderId="128" applyNumberFormat="0" applyAlignment="0" applyProtection="0"/>
    <xf numFmtId="0" fontId="130" fillId="35" borderId="128" applyNumberFormat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5" fillId="0" borderId="0" applyFont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41" fontId="18" fillId="0" borderId="0" applyFill="0" applyBorder="0" applyAlignment="0" applyProtection="0"/>
    <xf numFmtId="219" fontId="18" fillId="0" borderId="0" applyFill="0" applyBorder="0" applyAlignment="0" applyProtection="0"/>
    <xf numFmtId="41" fontId="18" fillId="0" borderId="0" applyFill="0" applyBorder="0" applyAlignment="0" applyProtection="0"/>
    <xf numFmtId="219" fontId="18" fillId="0" borderId="0" applyFill="0" applyBorder="0" applyAlignment="0" applyProtection="0"/>
    <xf numFmtId="41" fontId="18" fillId="0" borderId="0" applyFill="0" applyBorder="0" applyAlignment="0" applyProtection="0"/>
    <xf numFmtId="219" fontId="18" fillId="0" borderId="0" applyFill="0" applyBorder="0" applyAlignment="0" applyProtection="0"/>
    <xf numFmtId="41" fontId="18" fillId="0" borderId="0" applyFont="0" applyFill="0" applyBorder="0" applyAlignment="0" applyProtection="0"/>
    <xf numFmtId="220" fontId="82" fillId="0" borderId="0" applyFont="0" applyFill="0" applyBorder="0" applyAlignment="0" applyProtection="0"/>
    <xf numFmtId="220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221" fontId="82" fillId="0" borderId="0" applyFont="0" applyFill="0" applyBorder="0" applyAlignment="0" applyProtection="0"/>
    <xf numFmtId="221" fontId="82" fillId="0" borderId="0" applyFont="0" applyFill="0" applyBorder="0" applyAlignment="0" applyProtection="0"/>
    <xf numFmtId="221" fontId="82" fillId="0" borderId="0" applyFont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219" fontId="18" fillId="0" borderId="0" applyFill="0" applyBorder="0" applyAlignment="0" applyProtection="0"/>
    <xf numFmtId="41" fontId="18" fillId="0" borderId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219" fontId="18" fillId="0" borderId="0" applyFill="0" applyBorder="0" applyAlignment="0" applyProtection="0"/>
    <xf numFmtId="41" fontId="18" fillId="0" borderId="0" applyFont="0" applyFill="0" applyBorder="0" applyAlignment="0" applyProtection="0"/>
    <xf numFmtId="174" fontId="89" fillId="0" borderId="0" applyFill="0" applyBorder="0" applyAlignment="0" applyProtection="0"/>
    <xf numFmtId="175" fontId="89" fillId="0" borderId="0" applyFill="0" applyBorder="0" applyAlignment="0" applyProtection="0"/>
    <xf numFmtId="222" fontId="18" fillId="0" borderId="0" applyFill="0" applyBorder="0" applyAlignment="0" applyProtection="0"/>
    <xf numFmtId="219" fontId="18" fillId="0" borderId="0" applyFill="0" applyBorder="0" applyAlignment="0" applyProtection="0"/>
    <xf numFmtId="175" fontId="89" fillId="0" borderId="0" applyFill="0" applyBorder="0" applyAlignment="0" applyProtection="0"/>
    <xf numFmtId="219" fontId="89" fillId="0" borderId="0" applyFill="0" applyBorder="0" applyAlignment="0" applyProtection="0"/>
    <xf numFmtId="0" fontId="89" fillId="0" borderId="0" applyFill="0" applyBorder="0" applyAlignment="0" applyProtection="0"/>
    <xf numFmtId="175" fontId="89" fillId="0" borderId="0" applyFill="0" applyBorder="0" applyAlignment="0" applyProtection="0"/>
    <xf numFmtId="41" fontId="82" fillId="0" borderId="0" applyFont="0" applyFill="0" applyBorder="0" applyAlignment="0" applyProtection="0"/>
    <xf numFmtId="218" fontId="120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23" fontId="82" fillId="0" borderId="0" applyFont="0" applyFill="0" applyBorder="0" applyAlignment="0" applyProtection="0"/>
    <xf numFmtId="223" fontId="82" fillId="0" borderId="0" applyFont="0" applyFill="0" applyBorder="0" applyAlignment="0" applyProtection="0"/>
    <xf numFmtId="22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6" fontId="18" fillId="0" borderId="0" applyFill="0" applyBorder="0" applyAlignment="0" applyProtection="0"/>
    <xf numFmtId="186" fontId="89" fillId="0" borderId="0" applyFill="0" applyBorder="0" applyAlignment="0" applyProtection="0"/>
    <xf numFmtId="43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87" fontId="18" fillId="0" borderId="0" applyFill="0" applyBorder="0" applyAlignment="0" applyProtection="0"/>
    <xf numFmtId="186" fontId="89" fillId="0" borderId="0" applyFill="0" applyBorder="0" applyAlignment="0" applyProtection="0"/>
    <xf numFmtId="22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86" fontId="18" fillId="0" borderId="0" applyFill="0" applyBorder="0" applyAlignment="0" applyProtection="0"/>
    <xf numFmtId="224" fontId="82" fillId="0" borderId="0" applyFont="0" applyFill="0" applyBorder="0" applyAlignment="0" applyProtection="0"/>
    <xf numFmtId="22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18" fillId="0" borderId="0" applyFont="0" applyFill="0" applyBorder="0" applyAlignment="0" applyProtection="0"/>
    <xf numFmtId="43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186" fontId="18" fillId="0" borderId="0" applyFill="0" applyBorder="0" applyAlignment="0" applyProtection="0"/>
    <xf numFmtId="186" fontId="89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186" fontId="89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186" fontId="89" fillId="0" borderId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6" fontId="18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ill="0" applyBorder="0" applyAlignment="0" applyProtection="0"/>
    <xf numFmtId="43" fontId="18" fillId="0" borderId="0" applyFont="0" applyFill="0" applyBorder="0" applyAlignment="0" applyProtection="0"/>
    <xf numFmtId="216" fontId="18" fillId="0" borderId="10"/>
    <xf numFmtId="214" fontId="120" fillId="0" borderId="0" applyFont="0" applyFill="0" applyBorder="0" applyAlignment="0" applyProtection="0"/>
    <xf numFmtId="168" fontId="5" fillId="0" borderId="0" applyFont="0" applyFill="0" applyBorder="0" applyAlignment="0" applyProtection="0"/>
    <xf numFmtId="218" fontId="120" fillId="0" borderId="0" applyFill="0" applyBorder="0" applyAlignment="0"/>
    <xf numFmtId="214" fontId="120" fillId="0" borderId="0" applyFill="0" applyBorder="0" applyAlignment="0"/>
    <xf numFmtId="218" fontId="120" fillId="0" borderId="0" applyFill="0" applyBorder="0" applyAlignment="0"/>
    <xf numFmtId="207" fontId="120" fillId="0" borderId="0" applyFill="0" applyBorder="0" applyAlignment="0"/>
    <xf numFmtId="214" fontId="120" fillId="0" borderId="0" applyFill="0" applyBorder="0" applyAlignment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5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4" fillId="19" borderId="0" applyNumberFormat="0" applyBorder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7" fillId="0" borderId="130" applyNumberFormat="0" applyFill="0" applyAlignment="0" applyProtection="0"/>
    <xf numFmtId="0" fontId="138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6" fillId="0" borderId="129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40" fillId="0" borderId="131" applyNumberFormat="0" applyFill="0" applyAlignment="0" applyProtection="0"/>
    <xf numFmtId="0" fontId="141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39" fillId="0" borderId="131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3" fillId="0" borderId="133" applyNumberFormat="0" applyFill="0" applyAlignment="0" applyProtection="0"/>
    <xf numFmtId="0" fontId="144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132" applyNumberFormat="0" applyFill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18" borderId="127" applyNumberFormat="0" applyAlignment="0" applyProtection="0"/>
    <xf numFmtId="0" fontId="146" fillId="25" borderId="127" applyNumberFormat="0" applyAlignment="0" applyProtection="0"/>
    <xf numFmtId="0" fontId="146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0" fontId="145" fillId="25" borderId="127" applyNumberFormat="0" applyAlignment="0" applyProtection="0"/>
    <xf numFmtId="0" fontId="145" fillId="18" borderId="127" applyNumberFormat="0" applyAlignment="0" applyProtection="0"/>
    <xf numFmtId="218" fontId="120" fillId="0" borderId="0" applyFill="0" applyBorder="0" applyAlignment="0"/>
    <xf numFmtId="214" fontId="120" fillId="0" borderId="0" applyFill="0" applyBorder="0" applyAlignment="0"/>
    <xf numFmtId="218" fontId="120" fillId="0" borderId="0" applyFill="0" applyBorder="0" applyAlignment="0"/>
    <xf numFmtId="207" fontId="120" fillId="0" borderId="0" applyFill="0" applyBorder="0" applyAlignment="0"/>
    <xf numFmtId="214" fontId="120" fillId="0" borderId="0" applyFill="0" applyBorder="0" applyAlignment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8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7" fillId="0" borderId="134" applyNumberFormat="0" applyFill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50" fillId="32" borderId="0" applyNumberFormat="0" applyBorder="0" applyAlignment="0" applyProtection="0"/>
    <xf numFmtId="0" fontId="151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0" fontId="149" fillId="32" borderId="0" applyNumberFormat="0" applyBorder="0" applyAlignment="0" applyProtection="0"/>
    <xf numFmtId="209" fontId="152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82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82" fillId="0" borderId="0"/>
    <xf numFmtId="0" fontId="18" fillId="0" borderId="0"/>
    <xf numFmtId="0" fontId="153" fillId="0" borderId="0"/>
    <xf numFmtId="0" fontId="5" fillId="0" borderId="0"/>
    <xf numFmtId="0" fontId="5" fillId="0" borderId="0"/>
    <xf numFmtId="0" fontId="15" fillId="0" borderId="0"/>
    <xf numFmtId="0" fontId="18" fillId="0" borderId="0">
      <alignment vertical="top"/>
    </xf>
    <xf numFmtId="0" fontId="5" fillId="0" borderId="0"/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82" fillId="0" borderId="0"/>
    <xf numFmtId="0" fontId="82" fillId="0" borderId="0"/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8" fillId="20" borderId="135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16" borderId="136" applyNumberFormat="0" applyAlignment="0" applyProtection="0"/>
    <xf numFmtId="0" fontId="156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0" fontId="155" fillId="27" borderId="136" applyNumberFormat="0" applyAlignment="0" applyProtection="0"/>
    <xf numFmtId="217" fontId="120" fillId="0" borderId="0" applyFont="0" applyFill="0" applyBorder="0" applyAlignment="0" applyProtection="0"/>
    <xf numFmtId="225" fontId="120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218" fontId="120" fillId="0" borderId="0" applyFill="0" applyBorder="0" applyAlignment="0"/>
    <xf numFmtId="214" fontId="120" fillId="0" borderId="0" applyFill="0" applyBorder="0" applyAlignment="0"/>
    <xf numFmtId="218" fontId="120" fillId="0" borderId="0" applyFill="0" applyBorder="0" applyAlignment="0"/>
    <xf numFmtId="207" fontId="120" fillId="0" borderId="0" applyFill="0" applyBorder="0" applyAlignment="0"/>
    <xf numFmtId="214" fontId="120" fillId="0" borderId="0" applyFill="0" applyBorder="0" applyAlignment="0"/>
    <xf numFmtId="0" fontId="102" fillId="0" borderId="0">
      <alignment horizontal="center" vertical="center"/>
    </xf>
    <xf numFmtId="0" fontId="102" fillId="50" borderId="0">
      <alignment horizontal="center" vertical="center"/>
    </xf>
    <xf numFmtId="0" fontId="49" fillId="50" borderId="0">
      <alignment horizontal="left" vertical="center"/>
    </xf>
    <xf numFmtId="0" fontId="101" fillId="0" borderId="0">
      <alignment horizontal="left" vertical="top"/>
    </xf>
    <xf numFmtId="0" fontId="101" fillId="50" borderId="0">
      <alignment horizontal="left" vertical="top"/>
    </xf>
    <xf numFmtId="0" fontId="50" fillId="50" borderId="0">
      <alignment horizontal="left" vertical="center"/>
    </xf>
    <xf numFmtId="0" fontId="100" fillId="0" borderId="0">
      <alignment horizontal="right" vertical="center"/>
    </xf>
    <xf numFmtId="0" fontId="100" fillId="50" borderId="0">
      <alignment horizontal="right" vertical="center"/>
    </xf>
    <xf numFmtId="0" fontId="51" fillId="50" borderId="0">
      <alignment horizontal="right" vertical="center"/>
    </xf>
    <xf numFmtId="0" fontId="100" fillId="0" borderId="0">
      <alignment horizontal="left" vertical="center"/>
    </xf>
    <xf numFmtId="0" fontId="100" fillId="50" borderId="0">
      <alignment horizontal="left" vertical="center"/>
    </xf>
    <xf numFmtId="0" fontId="52" fillId="50" borderId="0">
      <alignment horizontal="right" vertical="center"/>
    </xf>
    <xf numFmtId="0" fontId="100" fillId="0" borderId="0">
      <alignment horizontal="left" vertical="center"/>
    </xf>
    <xf numFmtId="0" fontId="100" fillId="50" borderId="0">
      <alignment horizontal="left" vertical="center"/>
    </xf>
    <xf numFmtId="0" fontId="51" fillId="50" borderId="0">
      <alignment horizontal="right" vertical="center"/>
    </xf>
    <xf numFmtId="0" fontId="157" fillId="50" borderId="0">
      <alignment horizontal="left" vertical="center"/>
    </xf>
    <xf numFmtId="0" fontId="63" fillId="50" borderId="0">
      <alignment horizontal="right" vertical="center"/>
    </xf>
    <xf numFmtId="0" fontId="60" fillId="50" borderId="0">
      <alignment horizontal="center" vertical="center"/>
    </xf>
    <xf numFmtId="0" fontId="72" fillId="50" borderId="0">
      <alignment horizontal="right" vertical="center"/>
    </xf>
    <xf numFmtId="0" fontId="72" fillId="50" borderId="0">
      <alignment horizontal="right" vertical="center"/>
    </xf>
    <xf numFmtId="0" fontId="72" fillId="50" borderId="0">
      <alignment horizontal="right" vertical="center"/>
    </xf>
    <xf numFmtId="0" fontId="54" fillId="50" borderId="0">
      <alignment horizontal="left" vertical="center"/>
    </xf>
    <xf numFmtId="0" fontId="101" fillId="0" borderId="0">
      <alignment horizontal="center" vertical="center"/>
    </xf>
    <xf numFmtId="0" fontId="101" fillId="50" borderId="0">
      <alignment horizontal="center" vertical="center"/>
    </xf>
    <xf numFmtId="0" fontId="50" fillId="50" borderId="0">
      <alignment horizontal="left" vertical="center"/>
    </xf>
    <xf numFmtId="0" fontId="61" fillId="50" borderId="0">
      <alignment horizontal="right" vertical="center"/>
    </xf>
    <xf numFmtId="0" fontId="64" fillId="50" borderId="0">
      <alignment horizontal="center" vertical="center"/>
    </xf>
    <xf numFmtId="0" fontId="73" fillId="50" borderId="0">
      <alignment horizontal="right" vertical="center"/>
    </xf>
    <xf numFmtId="0" fontId="73" fillId="50" borderId="0">
      <alignment horizontal="right" vertical="center"/>
    </xf>
    <xf numFmtId="0" fontId="73" fillId="50" borderId="0">
      <alignment horizontal="right" vertical="center"/>
    </xf>
    <xf numFmtId="0" fontId="65" fillId="50" borderId="0">
      <alignment horizontal="right" vertical="center"/>
    </xf>
    <xf numFmtId="0" fontId="69" fillId="50" borderId="0">
      <alignment horizontal="right" vertical="center"/>
    </xf>
    <xf numFmtId="0" fontId="69" fillId="50" borderId="0">
      <alignment horizontal="right" vertical="center"/>
    </xf>
    <xf numFmtId="0" fontId="69" fillId="50" borderId="0">
      <alignment horizontal="right" vertical="center"/>
    </xf>
    <xf numFmtId="0" fontId="70" fillId="50" borderId="0">
      <alignment horizontal="left" vertical="center"/>
    </xf>
    <xf numFmtId="0" fontId="101" fillId="0" borderId="0">
      <alignment horizontal="left" vertical="center"/>
    </xf>
    <xf numFmtId="0" fontId="101" fillId="50" borderId="0">
      <alignment horizontal="left" vertical="center"/>
    </xf>
    <xf numFmtId="0" fontId="50" fillId="50" borderId="0">
      <alignment horizontal="right" vertical="center"/>
    </xf>
    <xf numFmtId="0" fontId="71" fillId="50" borderId="0">
      <alignment horizontal="right" vertical="center"/>
    </xf>
    <xf numFmtId="0" fontId="52" fillId="50" borderId="0">
      <alignment horizontal="right" vertical="center"/>
    </xf>
    <xf numFmtId="0" fontId="55" fillId="50" borderId="0">
      <alignment horizontal="right" vertical="center"/>
    </xf>
    <xf numFmtId="0" fontId="56" fillId="50" borderId="0">
      <alignment horizontal="center" vertical="center"/>
    </xf>
    <xf numFmtId="0" fontId="68" fillId="50" borderId="0">
      <alignment horizontal="right" vertical="center"/>
    </xf>
    <xf numFmtId="0" fontId="68" fillId="50" borderId="0">
      <alignment horizontal="right" vertical="center"/>
    </xf>
    <xf numFmtId="0" fontId="68" fillId="50" borderId="0">
      <alignment horizontal="right" vertical="center"/>
    </xf>
    <xf numFmtId="0" fontId="56" fillId="50" borderId="0">
      <alignment horizontal="left" vertical="center"/>
    </xf>
    <xf numFmtId="0" fontId="57" fillId="50" borderId="0">
      <alignment horizontal="right" vertical="center"/>
    </xf>
    <xf numFmtId="0" fontId="66" fillId="50" borderId="0">
      <alignment horizontal="right" vertical="center"/>
    </xf>
    <xf numFmtId="0" fontId="98" fillId="0" borderId="0">
      <alignment horizontal="center" vertical="center"/>
    </xf>
    <xf numFmtId="0" fontId="98" fillId="50" borderId="0">
      <alignment horizontal="center" vertical="center"/>
    </xf>
    <xf numFmtId="0" fontId="50" fillId="50" borderId="0">
      <alignment horizontal="right" vertical="center"/>
    </xf>
    <xf numFmtId="0" fontId="66" fillId="50" borderId="0">
      <alignment horizontal="left" vertical="center"/>
    </xf>
    <xf numFmtId="0" fontId="66" fillId="50" borderId="0">
      <alignment horizontal="left" vertical="top"/>
    </xf>
    <xf numFmtId="0" fontId="66" fillId="50" borderId="0">
      <alignment horizontal="left" vertical="top"/>
    </xf>
    <xf numFmtId="0" fontId="52" fillId="50" borderId="0">
      <alignment horizontal="right" vertical="center"/>
    </xf>
    <xf numFmtId="0" fontId="98" fillId="0" borderId="0">
      <alignment horizontal="left" vertical="center"/>
    </xf>
    <xf numFmtId="0" fontId="98" fillId="50" borderId="0">
      <alignment horizontal="left" vertical="center"/>
    </xf>
    <xf numFmtId="0" fontId="67" fillId="50" borderId="0">
      <alignment horizontal="right" vertical="center"/>
    </xf>
    <xf numFmtId="0" fontId="98" fillId="0" borderId="0">
      <alignment horizontal="center" vertical="center"/>
    </xf>
    <xf numFmtId="0" fontId="98" fillId="50" borderId="0">
      <alignment horizontal="center" vertical="center"/>
    </xf>
    <xf numFmtId="0" fontId="74" fillId="50" borderId="0">
      <alignment horizontal="left" vertical="center"/>
    </xf>
    <xf numFmtId="0" fontId="98" fillId="0" borderId="0">
      <alignment horizontal="left" vertical="center"/>
    </xf>
    <xf numFmtId="0" fontId="98" fillId="50" borderId="0">
      <alignment horizontal="left" vertical="center"/>
    </xf>
    <xf numFmtId="0" fontId="50" fillId="50" borderId="0">
      <alignment horizontal="center" vertical="center"/>
    </xf>
    <xf numFmtId="0" fontId="25" fillId="0" borderId="0">
      <alignment horizontal="center" vertical="top"/>
    </xf>
    <xf numFmtId="0" fontId="25" fillId="50" borderId="0">
      <alignment horizontal="center" vertical="top"/>
    </xf>
    <xf numFmtId="0" fontId="54" fillId="50" borderId="0">
      <alignment horizontal="center" vertical="center"/>
    </xf>
    <xf numFmtId="0" fontId="101" fillId="0" borderId="0">
      <alignment horizontal="center" vertical="center"/>
    </xf>
    <xf numFmtId="0" fontId="101" fillId="50" borderId="0">
      <alignment horizontal="center" vertical="center"/>
    </xf>
    <xf numFmtId="0" fontId="51" fillId="50" borderId="0">
      <alignment horizontal="right" vertical="center"/>
    </xf>
    <xf numFmtId="0" fontId="158" fillId="0" borderId="137"/>
    <xf numFmtId="0" fontId="46" fillId="0" borderId="138"/>
    <xf numFmtId="0" fontId="5" fillId="0" borderId="0"/>
    <xf numFmtId="226" fontId="120" fillId="0" borderId="0" applyFill="0" applyBorder="0" applyAlignment="0"/>
    <xf numFmtId="227" fontId="120" fillId="0" borderId="0" applyFill="0" applyBorder="0" applyAlignment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40" applyNumberFormat="0" applyFill="0" applyAlignment="0" applyProtection="0"/>
    <xf numFmtId="0" fontId="162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1" fillId="0" borderId="139" applyNumberFormat="0" applyFill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16" borderId="143" applyNumberFormat="0" applyAlignment="0" applyProtection="0"/>
    <xf numFmtId="0" fontId="129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0" fontId="128" fillId="27" borderId="143" applyNumberFormat="0" applyAlignment="0" applyProtection="0"/>
    <xf numFmtId="216" fontId="18" fillId="0" borderId="141"/>
    <xf numFmtId="0" fontId="32" fillId="0" borderId="142">
      <alignment horizontal="left" vertical="center"/>
    </xf>
    <xf numFmtId="10" fontId="22" fillId="9" borderId="141" applyNumberFormat="0" applyBorder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18" borderId="143" applyNumberFormat="0" applyAlignment="0" applyProtection="0"/>
    <xf numFmtId="0" fontId="146" fillId="25" borderId="143" applyNumberFormat="0" applyAlignment="0" applyProtection="0"/>
    <xf numFmtId="0" fontId="146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45" fillId="25" borderId="143" applyNumberFormat="0" applyAlignment="0" applyProtection="0"/>
    <xf numFmtId="0" fontId="145" fillId="18" borderId="143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8" fillId="20" borderId="144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16" borderId="145" applyNumberFormat="0" applyAlignment="0" applyProtection="0"/>
    <xf numFmtId="0" fontId="156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5" fillId="27" borderId="145" applyNumberFormat="0" applyAlignment="0" applyProtection="0"/>
    <xf numFmtId="0" fontId="158" fillId="0" borderId="146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8" applyNumberFormat="0" applyFill="0" applyAlignment="0" applyProtection="0"/>
    <xf numFmtId="0" fontId="162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161" fillId="0" borderId="147" applyNumberFormat="0" applyFill="0" applyAlignment="0" applyProtection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6" fontId="18" fillId="0" borderId="149"/>
    <xf numFmtId="168" fontId="3" fillId="0" borderId="0" applyFont="0" applyFill="0" applyBorder="0" applyAlignment="0" applyProtection="0"/>
    <xf numFmtId="10" fontId="22" fillId="9" borderId="149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43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32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 applyAlignment="1">
      <alignment horizontal="center"/>
    </xf>
    <xf numFmtId="0" fontId="19" fillId="0" borderId="7" xfId="0" applyFont="1" applyBorder="1" applyAlignment="1">
      <alignment horizontal="left"/>
    </xf>
    <xf numFmtId="0" fontId="0" fillId="0" borderId="8" xfId="0" applyBorder="1"/>
    <xf numFmtId="0" fontId="19" fillId="0" borderId="9" xfId="0" applyFont="1" applyBorder="1" applyAlignment="1">
      <alignment horizontal="center"/>
    </xf>
    <xf numFmtId="3" fontId="19" fillId="0" borderId="6" xfId="0" applyNumberFormat="1" applyFont="1" applyBorder="1"/>
    <xf numFmtId="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14" xfId="0" applyNumberFormat="1" applyBorder="1"/>
    <xf numFmtId="3" fontId="0" fillId="0" borderId="7" xfId="0" applyNumberFormat="1" applyBorder="1" applyAlignment="1">
      <alignment horizontal="center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168" fontId="0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19" fillId="0" borderId="0" xfId="0" applyNumberFormat="1" applyFont="1"/>
    <xf numFmtId="3" fontId="0" fillId="0" borderId="15" xfId="0" applyNumberFormat="1" applyBorder="1"/>
    <xf numFmtId="0" fontId="19" fillId="0" borderId="0" xfId="0" applyFont="1" applyAlignment="1">
      <alignment horizontal="center"/>
    </xf>
    <xf numFmtId="3" fontId="0" fillId="0" borderId="16" xfId="0" applyNumberFormat="1" applyBorder="1"/>
    <xf numFmtId="0" fontId="0" fillId="0" borderId="14" xfId="0" applyBorder="1"/>
    <xf numFmtId="0" fontId="0" fillId="0" borderId="17" xfId="0" applyBorder="1"/>
    <xf numFmtId="0" fontId="19" fillId="0" borderId="15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5" xfId="0" applyBorder="1"/>
    <xf numFmtId="0" fontId="19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2" borderId="10" xfId="0" applyNumberFormat="1" applyFill="1" applyBorder="1"/>
    <xf numFmtId="3" fontId="0" fillId="2" borderId="3" xfId="0" applyNumberFormat="1" applyFill="1" applyBorder="1"/>
    <xf numFmtId="0" fontId="0" fillId="0" borderId="15" xfId="0" applyBorder="1" applyAlignment="1">
      <alignment horizontal="right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19" xfId="0" applyBorder="1"/>
    <xf numFmtId="0" fontId="0" fillId="0" borderId="20" xfId="0" applyBorder="1"/>
    <xf numFmtId="41" fontId="0" fillId="0" borderId="19" xfId="2" applyFont="1" applyBorder="1"/>
    <xf numFmtId="0" fontId="0" fillId="0" borderId="25" xfId="0" applyBorder="1"/>
    <xf numFmtId="41" fontId="0" fillId="0" borderId="24" xfId="2" applyFont="1" applyBorder="1"/>
    <xf numFmtId="3" fontId="0" fillId="0" borderId="15" xfId="0" applyNumberFormat="1" applyBorder="1" applyAlignment="1">
      <alignment horizontal="center"/>
    </xf>
    <xf numFmtId="3" fontId="0" fillId="0" borderId="26" xfId="0" applyNumberFormat="1" applyBorder="1"/>
    <xf numFmtId="0" fontId="18" fillId="0" borderId="15" xfId="3" applyFont="1" applyBorder="1" applyAlignment="1" applyProtection="1">
      <alignment horizontal="center"/>
    </xf>
    <xf numFmtId="168" fontId="0" fillId="0" borderId="19" xfId="1" applyNumberFormat="1" applyFont="1" applyBorder="1"/>
    <xf numFmtId="0" fontId="0" fillId="2" borderId="10" xfId="0" applyFill="1" applyBorder="1" applyAlignment="1">
      <alignment horizontal="center"/>
    </xf>
    <xf numFmtId="0" fontId="19" fillId="0" borderId="15" xfId="0" applyFont="1" applyBorder="1" applyAlignment="1">
      <alignment horizontal="right"/>
    </xf>
    <xf numFmtId="0" fontId="21" fillId="0" borderId="0" xfId="0" applyFont="1"/>
    <xf numFmtId="3" fontId="0" fillId="0" borderId="11" xfId="0" applyNumberFormat="1" applyBorder="1" applyAlignment="1">
      <alignment horizontal="center"/>
    </xf>
    <xf numFmtId="3" fontId="0" fillId="0" borderId="27" xfId="0" applyNumberFormat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right" vertical="center"/>
    </xf>
    <xf numFmtId="3" fontId="0" fillId="0" borderId="7" xfId="0" applyNumberFormat="1" applyBorder="1"/>
    <xf numFmtId="3" fontId="23" fillId="0" borderId="0" xfId="1" applyNumberFormat="1" applyFont="1" applyFill="1" applyBorder="1" applyAlignment="1">
      <alignment horizontal="right" vertical="center"/>
    </xf>
    <xf numFmtId="0" fontId="19" fillId="0" borderId="0" xfId="0" applyFont="1"/>
    <xf numFmtId="0" fontId="19" fillId="0" borderId="14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3" fontId="19" fillId="0" borderId="16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right" vertical="center"/>
    </xf>
    <xf numFmtId="0" fontId="19" fillId="0" borderId="2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3" fontId="19" fillId="0" borderId="39" xfId="0" applyNumberFormat="1" applyFont="1" applyBorder="1" applyAlignment="1">
      <alignment horizontal="right" vertical="center"/>
    </xf>
    <xf numFmtId="0" fontId="19" fillId="0" borderId="8" xfId="0" applyFont="1" applyBorder="1" applyAlignment="1">
      <alignment horizontal="left" vertical="center"/>
    </xf>
    <xf numFmtId="3" fontId="19" fillId="0" borderId="10" xfId="0" applyNumberFormat="1" applyFont="1" applyBorder="1" applyAlignment="1">
      <alignment horizontal="center" vertical="center"/>
    </xf>
    <xf numFmtId="3" fontId="19" fillId="0" borderId="38" xfId="0" applyNumberFormat="1" applyFont="1" applyBorder="1" applyAlignment="1">
      <alignment horizontal="right" vertical="center"/>
    </xf>
    <xf numFmtId="3" fontId="19" fillId="0" borderId="10" xfId="0" applyNumberFormat="1" applyFont="1" applyBorder="1" applyAlignment="1">
      <alignment horizontal="right" vertical="center"/>
    </xf>
    <xf numFmtId="0" fontId="19" fillId="0" borderId="9" xfId="0" applyFont="1" applyBorder="1" applyAlignment="1">
      <alignment horizontal="left" vertical="center"/>
    </xf>
    <xf numFmtId="3" fontId="19" fillId="0" borderId="35" xfId="0" applyNumberFormat="1" applyFont="1" applyBorder="1" applyAlignment="1">
      <alignment horizontal="center" vertical="center"/>
    </xf>
    <xf numFmtId="3" fontId="19" fillId="0" borderId="35" xfId="0" applyNumberFormat="1" applyFont="1" applyBorder="1" applyAlignment="1">
      <alignment horizontal="right" vertical="center"/>
    </xf>
    <xf numFmtId="3" fontId="19" fillId="0" borderId="43" xfId="0" applyNumberFormat="1" applyFont="1" applyBorder="1" applyAlignment="1">
      <alignment horizontal="right" vertical="center"/>
    </xf>
    <xf numFmtId="0" fontId="19" fillId="0" borderId="27" xfId="0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right" vertical="center"/>
    </xf>
    <xf numFmtId="3" fontId="19" fillId="0" borderId="6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3" fontId="19" fillId="0" borderId="2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41" xfId="0" applyNumberFormat="1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19" fillId="0" borderId="48" xfId="0" applyFont="1" applyBorder="1" applyAlignment="1">
      <alignment vertical="center"/>
    </xf>
    <xf numFmtId="0" fontId="19" fillId="0" borderId="49" xfId="0" applyFont="1" applyBorder="1" applyAlignment="1">
      <alignment horizontal="center" vertical="center"/>
    </xf>
    <xf numFmtId="3" fontId="19" fillId="0" borderId="49" xfId="0" applyNumberFormat="1" applyFont="1" applyBorder="1" applyAlignment="1">
      <alignment horizontal="right" vertical="center"/>
    </xf>
    <xf numFmtId="3" fontId="19" fillId="0" borderId="50" xfId="0" applyNumberFormat="1" applyFont="1" applyBorder="1" applyAlignment="1">
      <alignment horizontal="right" vertical="center"/>
    </xf>
    <xf numFmtId="3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33" xfId="0" applyFont="1" applyBorder="1" applyAlignment="1">
      <alignment horizontal="left" vertical="center"/>
    </xf>
    <xf numFmtId="3" fontId="19" fillId="0" borderId="34" xfId="0" applyNumberFormat="1" applyFont="1" applyBorder="1" applyAlignment="1">
      <alignment horizontal="right" vertical="center"/>
    </xf>
    <xf numFmtId="3" fontId="19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3" fontId="19" fillId="0" borderId="46" xfId="0" applyNumberFormat="1" applyFont="1" applyBorder="1" applyAlignment="1">
      <alignment horizontal="right" vertical="center"/>
    </xf>
    <xf numFmtId="0" fontId="19" fillId="0" borderId="29" xfId="0" applyFont="1" applyBorder="1" applyAlignment="1">
      <alignment horizontal="left" vertical="center"/>
    </xf>
    <xf numFmtId="0" fontId="19" fillId="0" borderId="42" xfId="0" applyFont="1" applyBorder="1" applyAlignment="1">
      <alignment horizontal="center" vertical="center"/>
    </xf>
    <xf numFmtId="3" fontId="19" fillId="0" borderId="42" xfId="0" applyNumberFormat="1" applyFont="1" applyBorder="1" applyAlignment="1">
      <alignment horizontal="right" vertical="center"/>
    </xf>
    <xf numFmtId="3" fontId="19" fillId="0" borderId="47" xfId="0" applyNumberFormat="1" applyFont="1" applyBorder="1" applyAlignment="1">
      <alignment horizontal="right" vertical="center"/>
    </xf>
    <xf numFmtId="0" fontId="19" fillId="0" borderId="42" xfId="0" applyFont="1" applyBorder="1" applyAlignment="1">
      <alignment horizontal="right" vertical="center"/>
    </xf>
    <xf numFmtId="168" fontId="19" fillId="0" borderId="0" xfId="1" applyNumberFormat="1" applyFont="1" applyFill="1" applyBorder="1" applyAlignment="1">
      <alignment vertical="center"/>
    </xf>
    <xf numFmtId="41" fontId="19" fillId="0" borderId="0" xfId="2" applyFont="1" applyFill="1" applyBorder="1" applyAlignment="1">
      <alignment vertical="center"/>
    </xf>
    <xf numFmtId="41" fontId="19" fillId="0" borderId="10" xfId="2" applyFont="1" applyFill="1" applyBorder="1" applyAlignment="1">
      <alignment horizontal="center" vertical="center"/>
    </xf>
    <xf numFmtId="3" fontId="19" fillId="0" borderId="10" xfId="2" applyNumberFormat="1" applyFont="1" applyFill="1" applyBorder="1" applyAlignment="1">
      <alignment horizontal="right" vertical="center"/>
    </xf>
    <xf numFmtId="41" fontId="19" fillId="0" borderId="34" xfId="2" applyFont="1" applyFill="1" applyBorder="1" applyAlignment="1">
      <alignment horizontal="center" vertical="center"/>
    </xf>
    <xf numFmtId="3" fontId="19" fillId="0" borderId="34" xfId="2" applyNumberFormat="1" applyFont="1" applyFill="1" applyBorder="1" applyAlignment="1">
      <alignment horizontal="right" vertical="center"/>
    </xf>
    <xf numFmtId="0" fontId="19" fillId="0" borderId="35" xfId="0" applyFont="1" applyBorder="1" applyAlignment="1">
      <alignment horizontal="center" vertical="center"/>
    </xf>
    <xf numFmtId="41" fontId="19" fillId="0" borderId="0" xfId="0" applyNumberFormat="1" applyFont="1" applyAlignment="1">
      <alignment vertical="center"/>
    </xf>
    <xf numFmtId="3" fontId="19" fillId="0" borderId="51" xfId="0" applyNumberFormat="1" applyFont="1" applyBorder="1" applyAlignment="1">
      <alignment horizontal="right" vertical="center"/>
    </xf>
    <xf numFmtId="3" fontId="19" fillId="0" borderId="34" xfId="0" applyNumberFormat="1" applyFont="1" applyBorder="1" applyAlignment="1">
      <alignment horizontal="center" vertical="center"/>
    </xf>
    <xf numFmtId="169" fontId="19" fillId="0" borderId="34" xfId="2" applyNumberFormat="1" applyFont="1" applyFill="1" applyBorder="1" applyAlignment="1">
      <alignment horizontal="center" vertical="center"/>
    </xf>
    <xf numFmtId="169" fontId="19" fillId="0" borderId="34" xfId="2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 vertical="center"/>
    </xf>
    <xf numFmtId="3" fontId="19" fillId="0" borderId="4" xfId="0" applyNumberFormat="1" applyFont="1" applyBorder="1" applyAlignment="1">
      <alignment horizontal="right" vertical="center"/>
    </xf>
    <xf numFmtId="3" fontId="19" fillId="0" borderId="42" xfId="0" applyNumberFormat="1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3" fontId="19" fillId="0" borderId="54" xfId="0" applyNumberFormat="1" applyFont="1" applyBorder="1" applyAlignment="1">
      <alignment horizontal="center" vertical="center"/>
    </xf>
    <xf numFmtId="3" fontId="19" fillId="0" borderId="55" xfId="0" applyNumberFormat="1" applyFont="1" applyBorder="1" applyAlignment="1">
      <alignment horizontal="right" vertical="center"/>
    </xf>
    <xf numFmtId="0" fontId="19" fillId="0" borderId="27" xfId="0" applyFont="1" applyBorder="1" applyAlignment="1">
      <alignment vertical="center"/>
    </xf>
    <xf numFmtId="0" fontId="19" fillId="0" borderId="49" xfId="0" applyFont="1" applyBorder="1"/>
    <xf numFmtId="0" fontId="19" fillId="0" borderId="48" xfId="0" applyFont="1" applyBorder="1"/>
    <xf numFmtId="0" fontId="19" fillId="0" borderId="49" xfId="0" applyFont="1" applyBorder="1" applyAlignment="1">
      <alignment horizontal="right"/>
    </xf>
    <xf numFmtId="0" fontId="19" fillId="0" borderId="50" xfId="0" applyFont="1" applyBorder="1" applyAlignment="1">
      <alignment horizontal="right"/>
    </xf>
    <xf numFmtId="0" fontId="19" fillId="0" borderId="7" xfId="0" applyFont="1" applyBorder="1" applyAlignment="1">
      <alignment horizontal="center" vertical="center"/>
    </xf>
    <xf numFmtId="3" fontId="21" fillId="0" borderId="0" xfId="0" applyNumberFormat="1" applyFont="1" applyAlignment="1">
      <alignment horizontal="right"/>
    </xf>
    <xf numFmtId="3" fontId="19" fillId="0" borderId="6" xfId="0" applyNumberFormat="1" applyFont="1" applyBorder="1" applyAlignment="1">
      <alignment vertical="center"/>
    </xf>
    <xf numFmtId="3" fontId="19" fillId="0" borderId="10" xfId="0" applyNumberFormat="1" applyFont="1" applyBorder="1" applyAlignment="1">
      <alignment vertical="center"/>
    </xf>
    <xf numFmtId="3" fontId="19" fillId="0" borderId="42" xfId="0" applyNumberFormat="1" applyFont="1" applyBorder="1" applyAlignment="1">
      <alignment vertical="center"/>
    </xf>
    <xf numFmtId="3" fontId="19" fillId="0" borderId="3" xfId="0" applyNumberFormat="1" applyFont="1" applyBorder="1" applyAlignment="1">
      <alignment vertical="center"/>
    </xf>
    <xf numFmtId="0" fontId="19" fillId="0" borderId="27" xfId="0" applyFont="1" applyBorder="1" applyAlignment="1">
      <alignment horizontal="left" vertical="center"/>
    </xf>
    <xf numFmtId="3" fontId="19" fillId="0" borderId="5" xfId="0" applyNumberFormat="1" applyFont="1" applyBorder="1" applyAlignment="1">
      <alignment vertical="center"/>
    </xf>
    <xf numFmtId="3" fontId="19" fillId="0" borderId="12" xfId="0" applyNumberFormat="1" applyFont="1" applyBorder="1" applyAlignment="1">
      <alignment vertical="center"/>
    </xf>
    <xf numFmtId="3" fontId="19" fillId="0" borderId="13" xfId="0" applyNumberFormat="1" applyFont="1" applyBorder="1" applyAlignment="1">
      <alignment vertical="center"/>
    </xf>
    <xf numFmtId="3" fontId="19" fillId="0" borderId="4" xfId="0" applyNumberFormat="1" applyFont="1" applyBorder="1" applyAlignment="1">
      <alignment vertical="center"/>
    </xf>
    <xf numFmtId="0" fontId="19" fillId="0" borderId="62" xfId="0" applyFont="1" applyBorder="1" applyAlignment="1">
      <alignment horizontal="left" vertical="center"/>
    </xf>
    <xf numFmtId="0" fontId="19" fillId="0" borderId="63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64" xfId="0" applyFont="1" applyBorder="1" applyAlignment="1">
      <alignment horizontal="left" vertical="center"/>
    </xf>
    <xf numFmtId="0" fontId="19" fillId="0" borderId="65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0" fontId="18" fillId="0" borderId="0" xfId="0" applyFont="1"/>
    <xf numFmtId="0" fontId="21" fillId="0" borderId="8" xfId="0" applyFont="1" applyBorder="1"/>
    <xf numFmtId="0" fontId="21" fillId="0" borderId="10" xfId="0" applyFont="1" applyBorder="1"/>
    <xf numFmtId="0" fontId="21" fillId="0" borderId="10" xfId="0" applyFont="1" applyBorder="1" applyAlignment="1">
      <alignment horizontal="right"/>
    </xf>
    <xf numFmtId="0" fontId="21" fillId="0" borderId="38" xfId="0" applyFont="1" applyBorder="1" applyAlignment="1">
      <alignment horizontal="right"/>
    </xf>
    <xf numFmtId="0" fontId="21" fillId="0" borderId="29" xfId="0" applyFont="1" applyBorder="1"/>
    <xf numFmtId="0" fontId="21" fillId="0" borderId="42" xfId="0" applyFont="1" applyBorder="1"/>
    <xf numFmtId="0" fontId="21" fillId="0" borderId="42" xfId="0" applyFont="1" applyBorder="1" applyAlignment="1">
      <alignment horizontal="right"/>
    </xf>
    <xf numFmtId="0" fontId="19" fillId="0" borderId="27" xfId="0" applyFont="1" applyBorder="1"/>
    <xf numFmtId="0" fontId="19" fillId="0" borderId="49" xfId="0" applyFont="1" applyBorder="1" applyAlignment="1">
      <alignment vertical="center"/>
    </xf>
    <xf numFmtId="0" fontId="19" fillId="0" borderId="50" xfId="0" applyFont="1" applyBorder="1" applyAlignment="1">
      <alignment vertical="center"/>
    </xf>
    <xf numFmtId="0" fontId="19" fillId="0" borderId="66" xfId="0" applyFont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19" fillId="0" borderId="67" xfId="0" applyFont="1" applyBorder="1" applyAlignment="1">
      <alignment vertical="center"/>
    </xf>
    <xf numFmtId="0" fontId="19" fillId="0" borderId="65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19" fillId="0" borderId="68" xfId="0" applyFont="1" applyBorder="1" applyAlignment="1">
      <alignment vertical="center"/>
    </xf>
    <xf numFmtId="3" fontId="19" fillId="0" borderId="0" xfId="0" applyNumberFormat="1" applyFont="1" applyAlignment="1">
      <alignment horizontal="right"/>
    </xf>
    <xf numFmtId="0" fontId="19" fillId="0" borderId="27" xfId="0" applyFont="1" applyBorder="1" applyAlignment="1">
      <alignment horizontal="center"/>
    </xf>
    <xf numFmtId="1" fontId="19" fillId="0" borderId="5" xfId="2" applyNumberFormat="1" applyFont="1" applyBorder="1" applyAlignment="1">
      <alignment horizontal="center" vertical="center"/>
    </xf>
    <xf numFmtId="41" fontId="19" fillId="0" borderId="5" xfId="2" applyFont="1" applyBorder="1" applyAlignment="1">
      <alignment horizontal="right" vertical="center"/>
    </xf>
    <xf numFmtId="41" fontId="19" fillId="0" borderId="6" xfId="2" applyFont="1" applyBorder="1" applyAlignment="1">
      <alignment horizontal="right"/>
    </xf>
    <xf numFmtId="1" fontId="19" fillId="0" borderId="5" xfId="0" applyNumberFormat="1" applyFont="1" applyBorder="1" applyAlignment="1">
      <alignment horizontal="center" vertical="center"/>
    </xf>
    <xf numFmtId="41" fontId="19" fillId="0" borderId="5" xfId="0" applyNumberFormat="1" applyFont="1" applyBorder="1"/>
    <xf numFmtId="41" fontId="19" fillId="0" borderId="6" xfId="0" applyNumberFormat="1" applyFont="1" applyBorder="1"/>
    <xf numFmtId="3" fontId="19" fillId="0" borderId="6" xfId="0" applyNumberFormat="1" applyFont="1" applyBorder="1" applyAlignment="1">
      <alignment horizontal="center" vertical="center"/>
    </xf>
    <xf numFmtId="170" fontId="19" fillId="0" borderId="34" xfId="2" applyNumberFormat="1" applyFont="1" applyFill="1" applyBorder="1" applyAlignment="1">
      <alignment horizontal="center" vertical="center"/>
    </xf>
    <xf numFmtId="170" fontId="19" fillId="0" borderId="34" xfId="2" applyNumberFormat="1" applyFont="1" applyFill="1" applyBorder="1" applyAlignment="1">
      <alignment horizontal="right" vertical="center"/>
    </xf>
    <xf numFmtId="0" fontId="19" fillId="0" borderId="48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/>
    </xf>
    <xf numFmtId="0" fontId="19" fillId="0" borderId="69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25" fillId="0" borderId="8" xfId="0" applyFont="1" applyBorder="1" applyAlignment="1">
      <alignment horizontal="left" vertical="center"/>
    </xf>
    <xf numFmtId="3" fontId="25" fillId="0" borderId="10" xfId="0" applyNumberFormat="1" applyFont="1" applyBorder="1" applyAlignment="1">
      <alignment horizontal="center" vertical="center"/>
    </xf>
    <xf numFmtId="3" fontId="25" fillId="0" borderId="10" xfId="0" applyNumberFormat="1" applyFont="1" applyBorder="1" applyAlignment="1">
      <alignment horizontal="right" vertical="center"/>
    </xf>
    <xf numFmtId="3" fontId="25" fillId="0" borderId="38" xfId="0" applyNumberFormat="1" applyFont="1" applyBorder="1" applyAlignment="1">
      <alignment horizontal="right" vertical="center"/>
    </xf>
    <xf numFmtId="0" fontId="21" fillId="0" borderId="47" xfId="0" applyFont="1" applyBorder="1" applyAlignment="1">
      <alignment horizontal="right"/>
    </xf>
    <xf numFmtId="37" fontId="19" fillId="0" borderId="34" xfId="2" applyNumberFormat="1" applyFont="1" applyFill="1" applyBorder="1" applyAlignment="1">
      <alignment horizontal="right" vertical="center"/>
    </xf>
    <xf numFmtId="41" fontId="21" fillId="0" borderId="0" xfId="0" applyNumberFormat="1" applyFont="1" applyAlignment="1">
      <alignment horizontal="right"/>
    </xf>
    <xf numFmtId="3" fontId="19" fillId="0" borderId="54" xfId="0" applyNumberFormat="1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71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9" fillId="0" borderId="70" xfId="0" applyFont="1" applyBorder="1" applyAlignment="1">
      <alignment horizontal="left" vertical="center"/>
    </xf>
    <xf numFmtId="0" fontId="19" fillId="0" borderId="73" xfId="0" applyFont="1" applyBorder="1" applyAlignment="1">
      <alignment horizontal="left" vertical="center"/>
    </xf>
    <xf numFmtId="0" fontId="19" fillId="0" borderId="72" xfId="0" applyFont="1" applyBorder="1" applyAlignment="1">
      <alignment horizontal="left" vertical="center"/>
    </xf>
    <xf numFmtId="3" fontId="19" fillId="0" borderId="61" xfId="0" applyNumberFormat="1" applyFont="1" applyBorder="1" applyAlignment="1">
      <alignment horizontal="right" vertical="center"/>
    </xf>
    <xf numFmtId="3" fontId="19" fillId="0" borderId="58" xfId="0" applyNumberFormat="1" applyFont="1" applyBorder="1" applyAlignment="1">
      <alignment horizontal="right" vertical="center"/>
    </xf>
    <xf numFmtId="3" fontId="19" fillId="0" borderId="59" xfId="0" applyNumberFormat="1" applyFont="1" applyBorder="1" applyAlignment="1">
      <alignment horizontal="right" vertical="center"/>
    </xf>
    <xf numFmtId="3" fontId="19" fillId="0" borderId="52" xfId="0" applyNumberFormat="1" applyFont="1" applyBorder="1" applyAlignment="1">
      <alignment horizontal="right" vertical="center"/>
    </xf>
    <xf numFmtId="3" fontId="19" fillId="0" borderId="60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right" vertical="center"/>
    </xf>
    <xf numFmtId="3" fontId="24" fillId="0" borderId="0" xfId="0" applyNumberFormat="1" applyFont="1" applyAlignment="1">
      <alignment vertical="center"/>
    </xf>
    <xf numFmtId="3" fontId="24" fillId="0" borderId="16" xfId="0" applyNumberFormat="1" applyFont="1" applyBorder="1" applyAlignment="1">
      <alignment horizontal="right" vertical="center"/>
    </xf>
    <xf numFmtId="3" fontId="24" fillId="0" borderId="1" xfId="0" applyNumberFormat="1" applyFont="1" applyBorder="1" applyAlignment="1">
      <alignment horizontal="right" vertical="center"/>
    </xf>
    <xf numFmtId="3" fontId="24" fillId="0" borderId="21" xfId="0" applyNumberFormat="1" applyFont="1" applyBorder="1" applyAlignment="1">
      <alignment vertical="center"/>
    </xf>
    <xf numFmtId="3" fontId="24" fillId="0" borderId="23" xfId="0" applyNumberFormat="1" applyFont="1" applyBorder="1" applyAlignment="1">
      <alignment horizontal="center" vertical="center"/>
    </xf>
    <xf numFmtId="3" fontId="24" fillId="0" borderId="12" xfId="0" applyNumberFormat="1" applyFont="1" applyBorder="1" applyAlignment="1">
      <alignment horizontal="right" vertical="center"/>
    </xf>
    <xf numFmtId="3" fontId="24" fillId="0" borderId="22" xfId="0" applyNumberFormat="1" applyFont="1" applyBorder="1" applyAlignment="1">
      <alignment vertical="center"/>
    </xf>
    <xf numFmtId="3" fontId="24" fillId="0" borderId="24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3" fontId="27" fillId="0" borderId="15" xfId="0" applyNumberFormat="1" applyFont="1" applyBorder="1" applyAlignment="1">
      <alignment horizontal="right" vertical="center"/>
    </xf>
    <xf numFmtId="3" fontId="27" fillId="0" borderId="3" xfId="0" applyNumberFormat="1" applyFont="1" applyBorder="1" applyAlignment="1">
      <alignment horizontal="right" vertical="center"/>
    </xf>
    <xf numFmtId="3" fontId="27" fillId="0" borderId="1" xfId="0" applyNumberFormat="1" applyFont="1" applyBorder="1" applyAlignment="1">
      <alignment horizontal="right" vertical="center"/>
    </xf>
    <xf numFmtId="3" fontId="27" fillId="0" borderId="16" xfId="0" applyNumberFormat="1" applyFont="1" applyBorder="1" applyAlignment="1">
      <alignment horizontal="right" vertical="center"/>
    </xf>
    <xf numFmtId="0" fontId="24" fillId="0" borderId="18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7" fillId="0" borderId="8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right" vertical="center"/>
    </xf>
    <xf numFmtId="3" fontId="27" fillId="0" borderId="71" xfId="0" applyNumberFormat="1" applyFont="1" applyBorder="1" applyAlignment="1">
      <alignment horizontal="right" vertical="center"/>
    </xf>
    <xf numFmtId="3" fontId="27" fillId="0" borderId="38" xfId="2" applyNumberFormat="1" applyFont="1" applyFill="1" applyBorder="1" applyAlignment="1">
      <alignment horizontal="right" vertical="center"/>
    </xf>
    <xf numFmtId="3" fontId="28" fillId="0" borderId="0" xfId="0" applyNumberFormat="1" applyFont="1" applyAlignment="1">
      <alignment vertical="center"/>
    </xf>
    <xf numFmtId="0" fontId="28" fillId="0" borderId="19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7" fillId="0" borderId="71" xfId="0" applyFont="1" applyBorder="1" applyAlignment="1">
      <alignment horizontal="center" vertical="center"/>
    </xf>
    <xf numFmtId="3" fontId="27" fillId="0" borderId="76" xfId="0" applyNumberFormat="1" applyFont="1" applyBorder="1" applyAlignment="1">
      <alignment horizontal="right" vertical="center"/>
    </xf>
    <xf numFmtId="0" fontId="28" fillId="0" borderId="15" xfId="0" applyFont="1" applyBorder="1" applyAlignment="1">
      <alignment vertical="center"/>
    </xf>
    <xf numFmtId="0" fontId="28" fillId="0" borderId="57" xfId="0" applyFont="1" applyBorder="1" applyAlignment="1">
      <alignment vertical="center"/>
    </xf>
    <xf numFmtId="3" fontId="27" fillId="0" borderId="38" xfId="0" applyNumberFormat="1" applyFont="1" applyBorder="1" applyAlignment="1">
      <alignment horizontal="right" vertical="center"/>
    </xf>
    <xf numFmtId="0" fontId="24" fillId="0" borderId="15" xfId="0" applyFont="1" applyBorder="1" applyAlignment="1">
      <alignment vertical="center"/>
    </xf>
    <xf numFmtId="0" fontId="24" fillId="0" borderId="57" xfId="0" applyFont="1" applyBorder="1" applyAlignment="1">
      <alignment vertical="center"/>
    </xf>
    <xf numFmtId="0" fontId="27" fillId="0" borderId="29" xfId="0" applyFont="1" applyBorder="1" applyAlignment="1">
      <alignment horizontal="left" vertical="center"/>
    </xf>
    <xf numFmtId="0" fontId="27" fillId="0" borderId="73" xfId="0" applyFont="1" applyBorder="1" applyAlignment="1">
      <alignment horizontal="center" vertical="center"/>
    </xf>
    <xf numFmtId="3" fontId="27" fillId="0" borderId="73" xfId="0" applyNumberFormat="1" applyFont="1" applyBorder="1" applyAlignment="1">
      <alignment horizontal="right" vertical="center"/>
    </xf>
    <xf numFmtId="3" fontId="27" fillId="0" borderId="77" xfId="0" applyNumberFormat="1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7" fillId="0" borderId="29" xfId="0" applyFont="1" applyBorder="1" applyAlignment="1">
      <alignment vertical="center"/>
    </xf>
    <xf numFmtId="3" fontId="27" fillId="0" borderId="52" xfId="0" applyNumberFormat="1" applyFont="1" applyBorder="1" applyAlignment="1">
      <alignment horizontal="right" vertical="center"/>
    </xf>
    <xf numFmtId="0" fontId="27" fillId="0" borderId="42" xfId="0" applyFont="1" applyBorder="1" applyAlignment="1">
      <alignment horizontal="center" vertical="center"/>
    </xf>
    <xf numFmtId="0" fontId="24" fillId="0" borderId="19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3" fontId="27" fillId="0" borderId="58" xfId="0" applyNumberFormat="1" applyFont="1" applyBorder="1" applyAlignment="1">
      <alignment horizontal="right" vertical="center"/>
    </xf>
    <xf numFmtId="0" fontId="27" fillId="0" borderId="27" xfId="0" applyFont="1" applyBorder="1" applyAlignment="1">
      <alignment horizontal="center" vertical="center"/>
    </xf>
    <xf numFmtId="3" fontId="27" fillId="0" borderId="5" xfId="0" applyNumberFormat="1" applyFont="1" applyBorder="1" applyAlignment="1">
      <alignment horizontal="center" vertical="center"/>
    </xf>
    <xf numFmtId="3" fontId="27" fillId="0" borderId="5" xfId="0" applyNumberFormat="1" applyFont="1" applyBorder="1" applyAlignment="1">
      <alignment horizontal="right" vertical="center"/>
    </xf>
    <xf numFmtId="3" fontId="27" fillId="0" borderId="74" xfId="0" applyNumberFormat="1" applyFont="1" applyBorder="1" applyAlignment="1">
      <alignment horizontal="right" vertical="center"/>
    </xf>
    <xf numFmtId="3" fontId="27" fillId="0" borderId="6" xfId="0" applyNumberFormat="1" applyFont="1" applyBorder="1" applyAlignment="1">
      <alignment horizontal="right" vertical="center"/>
    </xf>
    <xf numFmtId="0" fontId="24" fillId="0" borderId="25" xfId="0" applyFont="1" applyBorder="1" applyAlignment="1">
      <alignment vertical="center"/>
    </xf>
    <xf numFmtId="41" fontId="24" fillId="0" borderId="24" xfId="2" applyFont="1" applyFill="1" applyBorder="1" applyAlignment="1">
      <alignment vertical="center"/>
    </xf>
    <xf numFmtId="0" fontId="24" fillId="0" borderId="7" xfId="0" applyFont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center"/>
    </xf>
    <xf numFmtId="3" fontId="24" fillId="0" borderId="57" xfId="0" applyNumberFormat="1" applyFont="1" applyBorder="1" applyAlignment="1">
      <alignment horizontal="right" vertical="center"/>
    </xf>
    <xf numFmtId="3" fontId="24" fillId="0" borderId="4" xfId="0" applyNumberFormat="1" applyFont="1" applyBorder="1" applyAlignment="1">
      <alignment horizontal="right" vertical="center"/>
    </xf>
    <xf numFmtId="41" fontId="28" fillId="0" borderId="19" xfId="2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0" fontId="27" fillId="0" borderId="8" xfId="0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7" fillId="0" borderId="33" xfId="0" applyFont="1" applyBorder="1" applyAlignment="1">
      <alignment horizontal="left" vertical="center"/>
    </xf>
    <xf numFmtId="41" fontId="24" fillId="0" borderId="24" xfId="0" applyNumberFormat="1" applyFont="1" applyBorder="1" applyAlignment="1">
      <alignment vertical="center"/>
    </xf>
    <xf numFmtId="3" fontId="24" fillId="0" borderId="0" xfId="1" applyNumberFormat="1" applyFont="1" applyFill="1" applyBorder="1" applyAlignment="1">
      <alignment horizontal="right" vertical="center"/>
    </xf>
    <xf numFmtId="3" fontId="24" fillId="0" borderId="26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center" vertical="center"/>
    </xf>
    <xf numFmtId="3" fontId="24" fillId="0" borderId="56" xfId="0" applyNumberFormat="1" applyFont="1" applyBorder="1" applyAlignment="1">
      <alignment horizontal="right" vertical="center"/>
    </xf>
    <xf numFmtId="3" fontId="24" fillId="0" borderId="13" xfId="0" applyNumberFormat="1" applyFont="1" applyBorder="1" applyAlignment="1">
      <alignment horizontal="right" vertical="center"/>
    </xf>
    <xf numFmtId="0" fontId="24" fillId="0" borderId="29" xfId="0" applyFont="1" applyBorder="1" applyAlignment="1">
      <alignment horizontal="left" vertical="center"/>
    </xf>
    <xf numFmtId="3" fontId="24" fillId="0" borderId="42" xfId="0" applyNumberFormat="1" applyFont="1" applyBorder="1" applyAlignment="1">
      <alignment horizontal="right" vertical="center"/>
    </xf>
    <xf numFmtId="3" fontId="24" fillId="0" borderId="52" xfId="0" applyNumberFormat="1" applyFont="1" applyBorder="1" applyAlignment="1">
      <alignment horizontal="right" vertical="center"/>
    </xf>
    <xf numFmtId="3" fontId="24" fillId="0" borderId="47" xfId="0" applyNumberFormat="1" applyFont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3" fontId="24" fillId="0" borderId="10" xfId="0" applyNumberFormat="1" applyFont="1" applyBorder="1" applyAlignment="1">
      <alignment horizontal="right" vertical="center"/>
    </xf>
    <xf numFmtId="3" fontId="24" fillId="0" borderId="58" xfId="0" applyNumberFormat="1" applyFont="1" applyBorder="1" applyAlignment="1">
      <alignment horizontal="right" vertical="center"/>
    </xf>
    <xf numFmtId="3" fontId="24" fillId="0" borderId="38" xfId="0" applyNumberFormat="1" applyFont="1" applyBorder="1" applyAlignment="1">
      <alignment horizontal="right" vertical="center"/>
    </xf>
    <xf numFmtId="3" fontId="24" fillId="0" borderId="43" xfId="0" applyNumberFormat="1" applyFont="1" applyBorder="1" applyAlignment="1">
      <alignment horizontal="right" vertical="center"/>
    </xf>
    <xf numFmtId="0" fontId="24" fillId="0" borderId="36" xfId="0" applyFont="1" applyBorder="1" applyAlignment="1">
      <alignment vertical="center"/>
    </xf>
    <xf numFmtId="0" fontId="24" fillId="0" borderId="36" xfId="0" applyFont="1" applyBorder="1" applyAlignment="1">
      <alignment horizontal="center" vertical="center"/>
    </xf>
    <xf numFmtId="0" fontId="24" fillId="0" borderId="28" xfId="0" applyFont="1" applyBorder="1" applyAlignment="1">
      <alignment horizontal="left" vertical="center"/>
    </xf>
    <xf numFmtId="3" fontId="24" fillId="0" borderId="40" xfId="0" applyNumberFormat="1" applyFont="1" applyBorder="1" applyAlignment="1">
      <alignment vertical="center"/>
    </xf>
    <xf numFmtId="3" fontId="24" fillId="0" borderId="20" xfId="0" applyNumberFormat="1" applyFont="1" applyBorder="1" applyAlignment="1">
      <alignment horizontal="center" vertical="center"/>
    </xf>
    <xf numFmtId="3" fontId="27" fillId="0" borderId="59" xfId="0" applyNumberFormat="1" applyFont="1" applyBorder="1" applyAlignment="1">
      <alignment horizontal="right" vertical="center"/>
    </xf>
    <xf numFmtId="3" fontId="24" fillId="0" borderId="25" xfId="0" applyNumberFormat="1" applyFont="1" applyBorder="1" applyAlignment="1">
      <alignment vertical="center"/>
    </xf>
    <xf numFmtId="3" fontId="24" fillId="0" borderId="31" xfId="0" applyNumberFormat="1" applyFont="1" applyBorder="1" applyAlignment="1">
      <alignment vertical="center"/>
    </xf>
    <xf numFmtId="3" fontId="24" fillId="0" borderId="32" xfId="0" applyNumberFormat="1" applyFont="1" applyBorder="1" applyAlignment="1">
      <alignment vertical="center"/>
    </xf>
    <xf numFmtId="3" fontId="24" fillId="0" borderId="39" xfId="0" applyNumberFormat="1" applyFont="1" applyBorder="1" applyAlignment="1">
      <alignment horizontal="right" vertical="center"/>
    </xf>
    <xf numFmtId="3" fontId="24" fillId="0" borderId="61" xfId="0" applyNumberFormat="1" applyFont="1" applyBorder="1" applyAlignment="1">
      <alignment horizontal="right" vertical="center"/>
    </xf>
    <xf numFmtId="3" fontId="24" fillId="0" borderId="41" xfId="0" applyNumberFormat="1" applyFont="1" applyBorder="1" applyAlignment="1">
      <alignment horizontal="right" vertical="center"/>
    </xf>
    <xf numFmtId="0" fontId="24" fillId="0" borderId="33" xfId="0" applyFont="1" applyBorder="1" applyAlignment="1">
      <alignment horizontal="left" vertical="center"/>
    </xf>
    <xf numFmtId="3" fontId="24" fillId="0" borderId="10" xfId="0" applyNumberFormat="1" applyFont="1" applyBorder="1" applyAlignment="1">
      <alignment horizontal="center" vertical="center"/>
    </xf>
    <xf numFmtId="41" fontId="24" fillId="0" borderId="20" xfId="0" applyNumberFormat="1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right" vertical="center"/>
    </xf>
    <xf numFmtId="41" fontId="28" fillId="0" borderId="20" xfId="0" applyNumberFormat="1" applyFont="1" applyBorder="1" applyAlignment="1">
      <alignment vertical="center"/>
    </xf>
    <xf numFmtId="3" fontId="24" fillId="0" borderId="34" xfId="0" applyNumberFormat="1" applyFont="1" applyBorder="1" applyAlignment="1">
      <alignment horizontal="right" vertical="center"/>
    </xf>
    <xf numFmtId="3" fontId="24" fillId="0" borderId="34" xfId="0" applyNumberFormat="1" applyFont="1" applyBorder="1" applyAlignment="1">
      <alignment horizontal="center" vertical="center"/>
    </xf>
    <xf numFmtId="3" fontId="24" fillId="0" borderId="35" xfId="0" applyNumberFormat="1" applyFont="1" applyBorder="1" applyAlignment="1">
      <alignment horizontal="right" vertical="center"/>
    </xf>
    <xf numFmtId="3" fontId="24" fillId="0" borderId="46" xfId="0" applyNumberFormat="1" applyFont="1" applyBorder="1" applyAlignment="1">
      <alignment horizontal="right" vertical="center"/>
    </xf>
    <xf numFmtId="0" fontId="24" fillId="0" borderId="27" xfId="0" applyFont="1" applyBorder="1" applyAlignment="1">
      <alignment horizontal="center" vertical="center"/>
    </xf>
    <xf numFmtId="3" fontId="24" fillId="0" borderId="5" xfId="0" applyNumberFormat="1" applyFont="1" applyBorder="1" applyAlignment="1">
      <alignment horizontal="right" vertical="center"/>
    </xf>
    <xf numFmtId="41" fontId="24" fillId="0" borderId="0" xfId="2" applyFont="1" applyFill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3" fontId="27" fillId="0" borderId="45" xfId="0" applyNumberFormat="1" applyFont="1" applyBorder="1" applyAlignment="1">
      <alignment horizontal="right" vertical="center"/>
    </xf>
    <xf numFmtId="3" fontId="27" fillId="0" borderId="39" xfId="0" applyNumberFormat="1" applyFont="1" applyBorder="1" applyAlignment="1">
      <alignment horizontal="right" vertical="center"/>
    </xf>
    <xf numFmtId="3" fontId="27" fillId="0" borderId="61" xfId="0" applyNumberFormat="1" applyFont="1" applyBorder="1" applyAlignment="1">
      <alignment horizontal="right" vertical="center"/>
    </xf>
    <xf numFmtId="3" fontId="27" fillId="0" borderId="41" xfId="0" applyNumberFormat="1" applyFont="1" applyBorder="1" applyAlignment="1">
      <alignment horizontal="right" vertical="center"/>
    </xf>
    <xf numFmtId="3" fontId="24" fillId="0" borderId="58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3" fontId="27" fillId="0" borderId="72" xfId="0" applyNumberFormat="1" applyFont="1" applyBorder="1" applyAlignment="1">
      <alignment horizontal="right" vertical="center"/>
    </xf>
    <xf numFmtId="3" fontId="27" fillId="0" borderId="35" xfId="0" applyNumberFormat="1" applyFont="1" applyBorder="1" applyAlignment="1">
      <alignment horizontal="right" vertical="center"/>
    </xf>
    <xf numFmtId="3" fontId="27" fillId="0" borderId="60" xfId="0" applyNumberFormat="1" applyFont="1" applyBorder="1" applyAlignment="1">
      <alignment horizontal="right" vertical="center"/>
    </xf>
    <xf numFmtId="3" fontId="27" fillId="0" borderId="4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right" vertical="center"/>
    </xf>
    <xf numFmtId="0" fontId="24" fillId="0" borderId="73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3" fontId="24" fillId="0" borderId="44" xfId="0" applyNumberFormat="1" applyFont="1" applyBorder="1" applyAlignment="1">
      <alignment horizontal="center" vertical="center"/>
    </xf>
    <xf numFmtId="3" fontId="24" fillId="0" borderId="44" xfId="0" applyNumberFormat="1" applyFont="1" applyBorder="1" applyAlignment="1">
      <alignment horizontal="right" vertical="center"/>
    </xf>
    <xf numFmtId="3" fontId="24" fillId="0" borderId="59" xfId="0" applyNumberFormat="1" applyFont="1" applyBorder="1" applyAlignment="1">
      <alignment horizontal="right" vertical="center"/>
    </xf>
    <xf numFmtId="0" fontId="24" fillId="0" borderId="44" xfId="0" applyFont="1" applyBorder="1" applyAlignment="1">
      <alignment horizontal="center" vertical="center"/>
    </xf>
    <xf numFmtId="3" fontId="24" fillId="0" borderId="10" xfId="0" applyNumberFormat="1" applyFont="1" applyBorder="1" applyAlignment="1">
      <alignment vertical="center"/>
    </xf>
    <xf numFmtId="3" fontId="28" fillId="0" borderId="10" xfId="0" applyNumberFormat="1" applyFont="1" applyBorder="1" applyAlignment="1">
      <alignment vertical="center"/>
    </xf>
    <xf numFmtId="3" fontId="28" fillId="0" borderId="58" xfId="0" applyNumberFormat="1" applyFont="1" applyBorder="1" applyAlignment="1">
      <alignment vertical="center"/>
    </xf>
    <xf numFmtId="3" fontId="24" fillId="0" borderId="38" xfId="0" applyNumberFormat="1" applyFont="1" applyBorder="1" applyAlignment="1">
      <alignment vertical="center"/>
    </xf>
    <xf numFmtId="3" fontId="28" fillId="0" borderId="20" xfId="0" applyNumberFormat="1" applyFont="1" applyBorder="1" applyAlignment="1">
      <alignment vertical="center"/>
    </xf>
    <xf numFmtId="3" fontId="24" fillId="0" borderId="58" xfId="0" applyNumberFormat="1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3" fontId="24" fillId="0" borderId="19" xfId="0" applyNumberFormat="1" applyFont="1" applyBorder="1" applyAlignment="1">
      <alignment vertical="center"/>
    </xf>
    <xf numFmtId="3" fontId="24" fillId="0" borderId="20" xfId="0" applyNumberFormat="1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10" xfId="0" applyFont="1" applyBorder="1" applyAlignment="1">
      <alignment vertical="center"/>
    </xf>
    <xf numFmtId="3" fontId="24" fillId="0" borderId="24" xfId="0" applyNumberFormat="1" applyFont="1" applyBorder="1" applyAlignment="1">
      <alignment vertical="center"/>
    </xf>
    <xf numFmtId="0" fontId="28" fillId="0" borderId="28" xfId="0" applyFont="1" applyBorder="1" applyAlignment="1">
      <alignment horizontal="left" vertical="center"/>
    </xf>
    <xf numFmtId="0" fontId="28" fillId="0" borderId="42" xfId="0" applyFont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3" fontId="28" fillId="0" borderId="52" xfId="0" applyNumberFormat="1" applyFont="1" applyBorder="1" applyAlignment="1">
      <alignment horizontal="right" vertical="center"/>
    </xf>
    <xf numFmtId="3" fontId="28" fillId="0" borderId="41" xfId="0" applyNumberFormat="1" applyFont="1" applyBorder="1" applyAlignment="1">
      <alignment horizontal="right" vertical="center"/>
    </xf>
    <xf numFmtId="3" fontId="24" fillId="0" borderId="23" xfId="0" applyNumberFormat="1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28" fillId="0" borderId="29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3" fontId="27" fillId="0" borderId="10" xfId="0" applyNumberFormat="1" applyFont="1" applyBorder="1" applyAlignment="1">
      <alignment vertical="center"/>
    </xf>
    <xf numFmtId="3" fontId="27" fillId="0" borderId="58" xfId="0" applyNumberFormat="1" applyFont="1" applyBorder="1" applyAlignment="1">
      <alignment vertical="center"/>
    </xf>
    <xf numFmtId="3" fontId="27" fillId="0" borderId="38" xfId="0" applyNumberFormat="1" applyFont="1" applyBorder="1" applyAlignment="1">
      <alignment vertical="center"/>
    </xf>
    <xf numFmtId="0" fontId="27" fillId="0" borderId="58" xfId="0" applyFont="1" applyBorder="1" applyAlignment="1">
      <alignment horizontal="center" vertical="center"/>
    </xf>
    <xf numFmtId="3" fontId="27" fillId="0" borderId="42" xfId="0" applyNumberFormat="1" applyFont="1" applyBorder="1" applyAlignment="1">
      <alignment horizontal="center" vertical="center"/>
    </xf>
    <xf numFmtId="3" fontId="27" fillId="0" borderId="57" xfId="0" applyNumberFormat="1" applyFont="1" applyBorder="1" applyAlignment="1">
      <alignment horizontal="right" vertical="center"/>
    </xf>
    <xf numFmtId="0" fontId="24" fillId="0" borderId="7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3" fontId="27" fillId="0" borderId="12" xfId="0" applyNumberFormat="1" applyFont="1" applyBorder="1" applyAlignment="1">
      <alignment vertical="center"/>
    </xf>
    <xf numFmtId="0" fontId="28" fillId="0" borderId="8" xfId="0" applyFont="1" applyBorder="1" applyAlignment="1">
      <alignment horizontal="left" vertical="center"/>
    </xf>
    <xf numFmtId="3" fontId="28" fillId="0" borderId="10" xfId="0" applyNumberFormat="1" applyFont="1" applyBorder="1" applyAlignment="1">
      <alignment horizontal="right" vertical="center"/>
    </xf>
    <xf numFmtId="3" fontId="28" fillId="0" borderId="58" xfId="0" applyNumberFormat="1" applyFont="1" applyBorder="1" applyAlignment="1">
      <alignment horizontal="right" vertical="center"/>
    </xf>
    <xf numFmtId="3" fontId="28" fillId="0" borderId="38" xfId="0" applyNumberFormat="1" applyFont="1" applyBorder="1" applyAlignment="1">
      <alignment horizontal="right" vertical="center"/>
    </xf>
    <xf numFmtId="0" fontId="24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33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3" fontId="27" fillId="0" borderId="12" xfId="0" applyNumberFormat="1" applyFont="1" applyBorder="1" applyAlignment="1">
      <alignment horizontal="right" vertical="center"/>
    </xf>
    <xf numFmtId="3" fontId="27" fillId="0" borderId="34" xfId="0" applyNumberFormat="1" applyFont="1" applyBorder="1" applyAlignment="1">
      <alignment horizontal="center" vertical="center"/>
    </xf>
    <xf numFmtId="3" fontId="27" fillId="0" borderId="34" xfId="0" applyNumberFormat="1" applyFont="1" applyBorder="1" applyAlignment="1">
      <alignment horizontal="right" vertical="center"/>
    </xf>
    <xf numFmtId="3" fontId="27" fillId="0" borderId="46" xfId="0" applyNumberFormat="1" applyFont="1" applyBorder="1" applyAlignment="1">
      <alignment horizontal="right" vertical="center"/>
    </xf>
    <xf numFmtId="0" fontId="24" fillId="0" borderId="28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3" fontId="24" fillId="0" borderId="45" xfId="0" applyNumberFormat="1" applyFont="1" applyBorder="1" applyAlignment="1">
      <alignment horizontal="right" vertical="center"/>
    </xf>
    <xf numFmtId="3" fontId="27" fillId="0" borderId="44" xfId="0" applyNumberFormat="1" applyFont="1" applyBorder="1" applyAlignment="1">
      <alignment horizontal="right" vertical="center"/>
    </xf>
    <xf numFmtId="0" fontId="28" fillId="0" borderId="7" xfId="0" applyFont="1" applyBorder="1" applyAlignment="1">
      <alignment horizontal="left" vertical="center"/>
    </xf>
    <xf numFmtId="0" fontId="28" fillId="0" borderId="15" xfId="0" applyFont="1" applyBorder="1" applyAlignment="1">
      <alignment horizontal="center" vertical="center"/>
    </xf>
    <xf numFmtId="3" fontId="28" fillId="0" borderId="15" xfId="0" applyNumberFormat="1" applyFont="1" applyBorder="1" applyAlignment="1">
      <alignment horizontal="right" vertical="center"/>
    </xf>
    <xf numFmtId="3" fontId="28" fillId="0" borderId="3" xfId="0" applyNumberFormat="1" applyFont="1" applyBorder="1" applyAlignment="1">
      <alignment horizontal="right" vertical="center"/>
    </xf>
    <xf numFmtId="3" fontId="28" fillId="0" borderId="57" xfId="0" applyNumberFormat="1" applyFont="1" applyBorder="1" applyAlignment="1">
      <alignment horizontal="right" vertical="center"/>
    </xf>
    <xf numFmtId="3" fontId="28" fillId="0" borderId="4" xfId="0" applyNumberFormat="1" applyFont="1" applyBorder="1" applyAlignment="1">
      <alignment horizontal="right" vertical="center"/>
    </xf>
    <xf numFmtId="3" fontId="19" fillId="0" borderId="2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vertical="center"/>
    </xf>
    <xf numFmtId="3" fontId="24" fillId="0" borderId="3" xfId="0" applyNumberFormat="1" applyFont="1" applyBorder="1" applyAlignment="1">
      <alignment vertical="center"/>
    </xf>
    <xf numFmtId="3" fontId="19" fillId="0" borderId="74" xfId="0" applyNumberFormat="1" applyFont="1" applyBorder="1" applyAlignment="1">
      <alignment horizontal="center" vertical="center"/>
    </xf>
    <xf numFmtId="3" fontId="24" fillId="0" borderId="0" xfId="2" applyNumberFormat="1" applyFont="1" applyFill="1" applyBorder="1" applyAlignment="1">
      <alignment horizontal="right" vertical="center"/>
    </xf>
    <xf numFmtId="0" fontId="27" fillId="0" borderId="35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27" fillId="0" borderId="9" xfId="0" applyFont="1" applyBorder="1" applyAlignment="1">
      <alignment horizontal="left" vertical="center"/>
    </xf>
    <xf numFmtId="3" fontId="24" fillId="0" borderId="60" xfId="0" applyNumberFormat="1" applyFont="1" applyBorder="1" applyAlignment="1">
      <alignment horizontal="right" vertical="center"/>
    </xf>
    <xf numFmtId="3" fontId="19" fillId="0" borderId="60" xfId="0" applyNumberFormat="1" applyFont="1" applyBorder="1" applyAlignment="1">
      <alignment horizontal="center" vertical="center"/>
    </xf>
    <xf numFmtId="3" fontId="25" fillId="0" borderId="58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vertical="center"/>
    </xf>
    <xf numFmtId="0" fontId="24" fillId="0" borderId="70" xfId="0" applyFont="1" applyBorder="1" applyAlignment="1">
      <alignment horizontal="center" vertical="center"/>
    </xf>
    <xf numFmtId="3" fontId="24" fillId="0" borderId="70" xfId="0" applyNumberFormat="1" applyFont="1" applyBorder="1" applyAlignment="1">
      <alignment horizontal="right" vertical="center"/>
    </xf>
    <xf numFmtId="3" fontId="24" fillId="0" borderId="49" xfId="0" applyNumberFormat="1" applyFont="1" applyBorder="1" applyAlignment="1">
      <alignment horizontal="right" vertical="center"/>
    </xf>
    <xf numFmtId="3" fontId="24" fillId="0" borderId="6" xfId="0" applyNumberFormat="1" applyFont="1" applyBorder="1" applyAlignment="1">
      <alignment horizontal="right" vertical="center"/>
    </xf>
    <xf numFmtId="3" fontId="24" fillId="0" borderId="5" xfId="0" applyNumberFormat="1" applyFont="1" applyBorder="1" applyAlignment="1">
      <alignment horizontal="center" vertical="center"/>
    </xf>
    <xf numFmtId="3" fontId="24" fillId="0" borderId="74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9" fillId="0" borderId="80" xfId="0" applyFont="1" applyBorder="1" applyAlignment="1">
      <alignment horizontal="center" vertical="center"/>
    </xf>
    <xf numFmtId="3" fontId="0" fillId="0" borderId="81" xfId="0" applyNumberFormat="1" applyBorder="1" applyAlignment="1">
      <alignment vertical="center"/>
    </xf>
    <xf numFmtId="3" fontId="0" fillId="0" borderId="82" xfId="0" applyNumberFormat="1" applyBorder="1" applyAlignment="1">
      <alignment vertical="center"/>
    </xf>
    <xf numFmtId="3" fontId="0" fillId="0" borderId="83" xfId="0" applyNumberFormat="1" applyBorder="1" applyAlignment="1">
      <alignment vertical="center"/>
    </xf>
    <xf numFmtId="3" fontId="19" fillId="0" borderId="80" xfId="0" applyNumberFormat="1" applyFont="1" applyBorder="1" applyAlignment="1">
      <alignment vertical="center"/>
    </xf>
    <xf numFmtId="0" fontId="19" fillId="0" borderId="84" xfId="0" applyFont="1" applyBorder="1" applyAlignment="1">
      <alignment horizontal="center" vertical="center"/>
    </xf>
    <xf numFmtId="3" fontId="0" fillId="0" borderId="77" xfId="0" applyNumberFormat="1" applyBorder="1" applyAlignment="1">
      <alignment vertical="center"/>
    </xf>
    <xf numFmtId="3" fontId="0" fillId="0" borderId="76" xfId="0" applyNumberFormat="1" applyBorder="1" applyAlignment="1">
      <alignment vertical="center"/>
    </xf>
    <xf numFmtId="3" fontId="0" fillId="0" borderId="75" xfId="0" applyNumberFormat="1" applyBorder="1" applyAlignment="1">
      <alignment vertical="center"/>
    </xf>
    <xf numFmtId="3" fontId="19" fillId="0" borderId="84" xfId="0" applyNumberFormat="1" applyFont="1" applyBorder="1" applyAlignment="1">
      <alignment vertical="center"/>
    </xf>
    <xf numFmtId="0" fontId="0" fillId="0" borderId="81" xfId="0" applyBorder="1" applyAlignment="1">
      <alignment vertical="center"/>
    </xf>
    <xf numFmtId="0" fontId="0" fillId="0" borderId="82" xfId="0" applyBorder="1" applyAlignment="1">
      <alignment vertical="center"/>
    </xf>
    <xf numFmtId="0" fontId="18" fillId="0" borderId="82" xfId="0" applyFont="1" applyBorder="1" applyAlignment="1">
      <alignment vertical="center"/>
    </xf>
    <xf numFmtId="0" fontId="0" fillId="0" borderId="83" xfId="0" applyBorder="1" applyAlignment="1">
      <alignment vertical="center"/>
    </xf>
    <xf numFmtId="0" fontId="19" fillId="0" borderId="80" xfId="0" applyFont="1" applyBorder="1" applyAlignment="1">
      <alignment vertical="center"/>
    </xf>
    <xf numFmtId="3" fontId="25" fillId="0" borderId="0" xfId="0" applyNumberFormat="1" applyFont="1" applyAlignment="1">
      <alignment horizontal="right"/>
    </xf>
    <xf numFmtId="3" fontId="25" fillId="0" borderId="0" xfId="0" applyNumberFormat="1" applyFont="1"/>
    <xf numFmtId="0" fontId="29" fillId="0" borderId="0" xfId="0" applyFont="1"/>
    <xf numFmtId="4" fontId="30" fillId="0" borderId="0" xfId="0" applyNumberFormat="1" applyFont="1" applyAlignment="1">
      <alignment vertical="center"/>
    </xf>
    <xf numFmtId="41" fontId="31" fillId="0" borderId="57" xfId="2" applyFont="1" applyFill="1" applyBorder="1"/>
    <xf numFmtId="3" fontId="24" fillId="0" borderId="37" xfId="0" applyNumberFormat="1" applyFont="1" applyBorder="1" applyAlignment="1">
      <alignment horizontal="right" vertical="center"/>
    </xf>
    <xf numFmtId="0" fontId="27" fillId="0" borderId="37" xfId="0" applyFont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41" fontId="24" fillId="0" borderId="0" xfId="0" applyNumberFormat="1" applyFont="1" applyAlignment="1">
      <alignment vertical="center"/>
    </xf>
    <xf numFmtId="3" fontId="28" fillId="0" borderId="34" xfId="0" applyNumberFormat="1" applyFont="1" applyBorder="1" applyAlignment="1">
      <alignment horizontal="right" vertical="center"/>
    </xf>
    <xf numFmtId="3" fontId="28" fillId="0" borderId="59" xfId="0" applyNumberFormat="1" applyFont="1" applyBorder="1" applyAlignment="1">
      <alignment horizontal="right" vertical="center"/>
    </xf>
    <xf numFmtId="3" fontId="28" fillId="0" borderId="46" xfId="0" applyNumberFormat="1" applyFont="1" applyBorder="1" applyAlignment="1">
      <alignment horizontal="right" vertical="center"/>
    </xf>
    <xf numFmtId="3" fontId="27" fillId="0" borderId="75" xfId="0" applyNumberFormat="1" applyFont="1" applyBorder="1" applyAlignment="1">
      <alignment horizontal="right" vertical="center"/>
    </xf>
    <xf numFmtId="0" fontId="24" fillId="0" borderId="30" xfId="0" applyFont="1" applyBorder="1" applyAlignment="1">
      <alignment vertical="center"/>
    </xf>
    <xf numFmtId="3" fontId="28" fillId="0" borderId="34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3" fontId="28" fillId="0" borderId="59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vertical="center"/>
    </xf>
    <xf numFmtId="0" fontId="24" fillId="0" borderId="9" xfId="0" applyFont="1" applyBorder="1" applyAlignment="1">
      <alignment horizontal="left" vertical="center"/>
    </xf>
    <xf numFmtId="3" fontId="24" fillId="0" borderId="35" xfId="0" applyNumberFormat="1" applyFont="1" applyBorder="1" applyAlignment="1">
      <alignment horizontal="center" vertical="center"/>
    </xf>
    <xf numFmtId="3" fontId="24" fillId="0" borderId="74" xfId="0" applyNumberFormat="1" applyFont="1" applyBorder="1" applyAlignment="1">
      <alignment horizontal="center" vertical="center"/>
    </xf>
    <xf numFmtId="3" fontId="24" fillId="0" borderId="6" xfId="0" applyNumberFormat="1" applyFont="1" applyBorder="1" applyAlignment="1">
      <alignment horizontal="center" vertical="center"/>
    </xf>
    <xf numFmtId="3" fontId="24" fillId="0" borderId="30" xfId="0" applyNumberFormat="1" applyFont="1" applyBorder="1" applyAlignment="1">
      <alignment vertical="center"/>
    </xf>
    <xf numFmtId="168" fontId="28" fillId="0" borderId="19" xfId="1" applyNumberFormat="1" applyFont="1" applyFill="1" applyBorder="1" applyAlignment="1">
      <alignment vertical="center"/>
    </xf>
    <xf numFmtId="168" fontId="24" fillId="0" borderId="19" xfId="1" applyNumberFormat="1" applyFont="1" applyFill="1" applyBorder="1" applyAlignment="1">
      <alignment vertical="center"/>
    </xf>
    <xf numFmtId="0" fontId="28" fillId="0" borderId="33" xfId="0" applyFont="1" applyBorder="1" applyAlignment="1">
      <alignment horizontal="left" vertical="center"/>
    </xf>
    <xf numFmtId="41" fontId="24" fillId="0" borderId="0" xfId="2" applyFont="1" applyFill="1" applyAlignment="1">
      <alignment vertical="center"/>
    </xf>
    <xf numFmtId="170" fontId="24" fillId="0" borderId="34" xfId="2" applyNumberFormat="1" applyFont="1" applyFill="1" applyBorder="1" applyAlignment="1">
      <alignment horizontal="center" vertical="center"/>
    </xf>
    <xf numFmtId="3" fontId="24" fillId="0" borderId="34" xfId="2" applyNumberFormat="1" applyFont="1" applyFill="1" applyBorder="1" applyAlignment="1">
      <alignment horizontal="right" vertical="center"/>
    </xf>
    <xf numFmtId="41" fontId="24" fillId="0" borderId="34" xfId="2" applyFont="1" applyFill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41" fontId="24" fillId="0" borderId="20" xfId="2" applyFont="1" applyFill="1" applyBorder="1" applyAlignment="1">
      <alignment vertical="center"/>
    </xf>
    <xf numFmtId="0" fontId="24" fillId="0" borderId="24" xfId="0" applyFont="1" applyBorder="1" applyAlignment="1">
      <alignment vertical="center"/>
    </xf>
    <xf numFmtId="3" fontId="24" fillId="0" borderId="8" xfId="0" applyNumberFormat="1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3" fontId="31" fillId="0" borderId="10" xfId="0" applyNumberFormat="1" applyFont="1" applyBorder="1" applyAlignment="1">
      <alignment horizontal="right" vertical="center"/>
    </xf>
    <xf numFmtId="3" fontId="31" fillId="0" borderId="58" xfId="0" applyNumberFormat="1" applyFont="1" applyBorder="1" applyAlignment="1">
      <alignment horizontal="right" vertical="center"/>
    </xf>
    <xf numFmtId="3" fontId="31" fillId="0" borderId="38" xfId="0" applyNumberFormat="1" applyFont="1" applyBorder="1" applyAlignment="1">
      <alignment horizontal="right" vertical="center"/>
    </xf>
    <xf numFmtId="0" fontId="27" fillId="0" borderId="3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right"/>
    </xf>
    <xf numFmtId="3" fontId="24" fillId="0" borderId="26" xfId="0" applyNumberFormat="1" applyFont="1" applyBorder="1" applyAlignment="1">
      <alignment horizontal="right"/>
    </xf>
    <xf numFmtId="3" fontId="24" fillId="0" borderId="12" xfId="0" applyNumberFormat="1" applyFont="1" applyBorder="1" applyAlignment="1">
      <alignment horizontal="right"/>
    </xf>
    <xf numFmtId="3" fontId="24" fillId="0" borderId="56" xfId="0" applyNumberFormat="1" applyFont="1" applyBorder="1" applyAlignment="1">
      <alignment horizontal="right"/>
    </xf>
    <xf numFmtId="0" fontId="31" fillId="0" borderId="29" xfId="0" applyFont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3" fontId="31" fillId="0" borderId="42" xfId="0" applyNumberFormat="1" applyFont="1" applyBorder="1" applyAlignment="1">
      <alignment horizontal="right" vertical="center"/>
    </xf>
    <xf numFmtId="3" fontId="31" fillId="0" borderId="52" xfId="0" applyNumberFormat="1" applyFont="1" applyBorder="1" applyAlignment="1">
      <alignment horizontal="right" vertical="center"/>
    </xf>
    <xf numFmtId="3" fontId="31" fillId="0" borderId="47" xfId="0" applyNumberFormat="1" applyFont="1" applyBorder="1" applyAlignment="1">
      <alignment horizontal="right" vertical="center"/>
    </xf>
    <xf numFmtId="3" fontId="24" fillId="0" borderId="5" xfId="2" applyNumberFormat="1" applyFont="1" applyFill="1" applyBorder="1" applyAlignment="1">
      <alignment horizontal="right" vertical="center"/>
    </xf>
    <xf numFmtId="3" fontId="24" fillId="0" borderId="74" xfId="2" applyNumberFormat="1" applyFont="1" applyFill="1" applyBorder="1" applyAlignment="1">
      <alignment horizontal="right" vertical="center"/>
    </xf>
    <xf numFmtId="3" fontId="24" fillId="0" borderId="6" xfId="2" applyNumberFormat="1" applyFont="1" applyFill="1" applyBorder="1" applyAlignment="1">
      <alignment horizontal="right" vertical="center"/>
    </xf>
    <xf numFmtId="3" fontId="24" fillId="0" borderId="85" xfId="0" applyNumberFormat="1" applyFont="1" applyBorder="1" applyAlignment="1">
      <alignment vertical="center"/>
    </xf>
    <xf numFmtId="3" fontId="24" fillId="0" borderId="15" xfId="0" applyNumberFormat="1" applyFont="1" applyBorder="1" applyAlignment="1">
      <alignment vertical="center"/>
    </xf>
    <xf numFmtId="3" fontId="28" fillId="0" borderId="15" xfId="0" applyNumberFormat="1" applyFont="1" applyBorder="1" applyAlignment="1">
      <alignment vertical="center"/>
    </xf>
    <xf numFmtId="3" fontId="24" fillId="0" borderId="86" xfId="0" applyNumberFormat="1" applyFont="1" applyBorder="1" applyAlignment="1">
      <alignment vertical="center"/>
    </xf>
    <xf numFmtId="3" fontId="28" fillId="0" borderId="47" xfId="0" applyNumberFormat="1" applyFont="1" applyBorder="1" applyAlignment="1">
      <alignment horizontal="right" vertical="center"/>
    </xf>
    <xf numFmtId="3" fontId="24" fillId="0" borderId="0" xfId="0" applyNumberFormat="1" applyFont="1" applyAlignment="1">
      <alignment horizontal="left" vertical="center"/>
    </xf>
    <xf numFmtId="3" fontId="28" fillId="0" borderId="0" xfId="0" applyNumberFormat="1" applyFont="1" applyAlignment="1">
      <alignment horizontal="left" vertical="center"/>
    </xf>
    <xf numFmtId="3" fontId="19" fillId="0" borderId="12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left" vertical="center"/>
    </xf>
    <xf numFmtId="3" fontId="19" fillId="0" borderId="88" xfId="0" applyNumberFormat="1" applyFont="1" applyBorder="1" applyAlignment="1">
      <alignment vertical="center"/>
    </xf>
    <xf numFmtId="0" fontId="26" fillId="0" borderId="89" xfId="0" applyFont="1" applyBorder="1" applyAlignment="1">
      <alignment horizontal="left" vertical="center"/>
    </xf>
    <xf numFmtId="3" fontId="19" fillId="0" borderId="90" xfId="0" applyNumberFormat="1" applyFont="1" applyBorder="1" applyAlignment="1">
      <alignment vertical="center"/>
    </xf>
    <xf numFmtId="3" fontId="18" fillId="0" borderId="90" xfId="0" applyNumberFormat="1" applyFont="1" applyBorder="1" applyAlignment="1">
      <alignment vertical="center"/>
    </xf>
    <xf numFmtId="0" fontId="26" fillId="0" borderId="91" xfId="0" applyFont="1" applyBorder="1" applyAlignment="1">
      <alignment horizontal="left" vertical="center"/>
    </xf>
    <xf numFmtId="3" fontId="19" fillId="0" borderId="92" xfId="0" applyNumberFormat="1" applyFont="1" applyBorder="1" applyAlignment="1">
      <alignment vertical="center"/>
    </xf>
    <xf numFmtId="0" fontId="26" fillId="0" borderId="93" xfId="0" applyFont="1" applyBorder="1" applyAlignment="1">
      <alignment horizontal="left" vertical="center"/>
    </xf>
    <xf numFmtId="3" fontId="19" fillId="0" borderId="94" xfId="0" applyNumberFormat="1" applyFont="1" applyBorder="1" applyAlignment="1">
      <alignment vertical="center"/>
    </xf>
    <xf numFmtId="0" fontId="0" fillId="0" borderId="95" xfId="0" applyBorder="1"/>
    <xf numFmtId="3" fontId="19" fillId="0" borderId="96" xfId="0" applyNumberFormat="1" applyFont="1" applyBorder="1" applyAlignment="1">
      <alignment vertical="center"/>
    </xf>
    <xf numFmtId="0" fontId="26" fillId="0" borderId="97" xfId="0" applyFont="1" applyBorder="1" applyAlignment="1">
      <alignment horizontal="left" vertical="center"/>
    </xf>
    <xf numFmtId="0" fontId="26" fillId="0" borderId="98" xfId="0" applyFont="1" applyBorder="1" applyAlignment="1">
      <alignment horizontal="left" vertical="center"/>
    </xf>
    <xf numFmtId="3" fontId="19" fillId="0" borderId="99" xfId="0" applyNumberFormat="1" applyFont="1" applyBorder="1" applyAlignment="1">
      <alignment vertical="center"/>
    </xf>
    <xf numFmtId="0" fontId="18" fillId="0" borderId="100" xfId="0" applyFont="1" applyBorder="1"/>
    <xf numFmtId="0" fontId="26" fillId="0" borderId="18" xfId="0" applyFont="1" applyBorder="1" applyAlignment="1">
      <alignment horizontal="left" vertical="center"/>
    </xf>
    <xf numFmtId="0" fontId="18" fillId="0" borderId="102" xfId="0" applyFont="1" applyBorder="1"/>
    <xf numFmtId="3" fontId="19" fillId="0" borderId="101" xfId="0" applyNumberFormat="1" applyFont="1" applyBorder="1"/>
    <xf numFmtId="0" fontId="19" fillId="0" borderId="101" xfId="0" applyFont="1" applyBorder="1"/>
    <xf numFmtId="3" fontId="19" fillId="0" borderId="96" xfId="0" applyNumberFormat="1" applyFont="1" applyBorder="1" applyAlignment="1">
      <alignment horizontal="center" vertical="center"/>
    </xf>
    <xf numFmtId="0" fontId="19" fillId="0" borderId="97" xfId="0" applyFont="1" applyBorder="1" applyAlignment="1">
      <alignment horizontal="center" vertical="center"/>
    </xf>
    <xf numFmtId="0" fontId="19" fillId="0" borderId="96" xfId="0" applyFont="1" applyBorder="1" applyAlignment="1">
      <alignment horizontal="center" vertical="center"/>
    </xf>
    <xf numFmtId="0" fontId="19" fillId="3" borderId="0" xfId="0" applyFont="1" applyFill="1"/>
    <xf numFmtId="0" fontId="19" fillId="4" borderId="0" xfId="0" applyFont="1" applyFill="1"/>
    <xf numFmtId="4" fontId="26" fillId="0" borderId="0" xfId="0" applyNumberFormat="1" applyFont="1" applyAlignment="1">
      <alignment vertical="center"/>
    </xf>
    <xf numFmtId="3" fontId="19" fillId="0" borderId="26" xfId="0" applyNumberFormat="1" applyFont="1" applyBorder="1" applyAlignment="1">
      <alignment horizontal="center" vertical="center"/>
    </xf>
    <xf numFmtId="3" fontId="24" fillId="0" borderId="52" xfId="0" applyNumberFormat="1" applyFont="1" applyBorder="1" applyAlignment="1">
      <alignment horizontal="center" vertical="center"/>
    </xf>
    <xf numFmtId="3" fontId="28" fillId="0" borderId="52" xfId="0" applyNumberFormat="1" applyFont="1" applyBorder="1" applyAlignment="1">
      <alignment horizontal="center" vertical="center"/>
    </xf>
    <xf numFmtId="3" fontId="27" fillId="0" borderId="57" xfId="0" applyNumberFormat="1" applyFont="1" applyBorder="1" applyAlignment="1">
      <alignment horizontal="center" vertical="center"/>
    </xf>
    <xf numFmtId="3" fontId="27" fillId="0" borderId="59" xfId="0" applyNumberFormat="1" applyFont="1" applyBorder="1" applyAlignment="1">
      <alignment horizontal="center" vertical="center"/>
    </xf>
    <xf numFmtId="0" fontId="24" fillId="0" borderId="103" xfId="0" applyFont="1" applyBorder="1" applyAlignment="1">
      <alignment horizontal="left" vertical="center"/>
    </xf>
    <xf numFmtId="0" fontId="24" fillId="0" borderId="104" xfId="0" applyFont="1" applyBorder="1" applyAlignment="1">
      <alignment horizontal="center" vertical="center"/>
    </xf>
    <xf numFmtId="3" fontId="24" fillId="0" borderId="104" xfId="0" applyNumberFormat="1" applyFont="1" applyBorder="1" applyAlignment="1">
      <alignment horizontal="right" vertical="center"/>
    </xf>
    <xf numFmtId="3" fontId="24" fillId="0" borderId="105" xfId="0" applyNumberFormat="1" applyFont="1" applyBorder="1" applyAlignment="1">
      <alignment horizontal="right" vertical="center"/>
    </xf>
    <xf numFmtId="3" fontId="24" fillId="0" borderId="106" xfId="0" applyNumberFormat="1" applyFont="1" applyBorder="1" applyAlignment="1">
      <alignment horizontal="right" vertical="center"/>
    </xf>
    <xf numFmtId="3" fontId="24" fillId="0" borderId="59" xfId="0" applyNumberFormat="1" applyFont="1" applyBorder="1" applyAlignment="1">
      <alignment horizontal="center" vertical="center"/>
    </xf>
    <xf numFmtId="3" fontId="27" fillId="0" borderId="73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3" fontId="27" fillId="0" borderId="60" xfId="0" applyNumberFormat="1" applyFont="1" applyBorder="1" applyAlignment="1">
      <alignment horizontal="center" vertical="center"/>
    </xf>
    <xf numFmtId="0" fontId="32" fillId="0" borderId="0" xfId="0" applyFont="1"/>
    <xf numFmtId="0" fontId="19" fillId="0" borderId="39" xfId="0" applyFont="1" applyBorder="1" applyAlignment="1">
      <alignment horizontal="right"/>
    </xf>
    <xf numFmtId="3" fontId="24" fillId="0" borderId="57" xfId="0" applyNumberFormat="1" applyFont="1" applyBorder="1" applyAlignment="1">
      <alignment horizontal="center" vertical="center"/>
    </xf>
    <xf numFmtId="1" fontId="19" fillId="0" borderId="0" xfId="0" applyNumberFormat="1" applyFont="1"/>
    <xf numFmtId="41" fontId="31" fillId="0" borderId="0" xfId="2" applyFont="1" applyFill="1" applyBorder="1" applyAlignment="1">
      <alignment horizontal="left"/>
    </xf>
    <xf numFmtId="41" fontId="24" fillId="0" borderId="0" xfId="2" applyFont="1" applyFill="1" applyAlignment="1">
      <alignment horizontal="left" vertical="center"/>
    </xf>
    <xf numFmtId="41" fontId="24" fillId="0" borderId="0" xfId="0" applyNumberFormat="1" applyFont="1" applyAlignment="1">
      <alignment horizontal="left" vertical="center"/>
    </xf>
    <xf numFmtId="0" fontId="19" fillId="0" borderId="49" xfId="0" applyFont="1" applyBorder="1" applyAlignment="1">
      <alignment horizontal="left" vertical="center"/>
    </xf>
    <xf numFmtId="3" fontId="19" fillId="0" borderId="74" xfId="0" applyNumberFormat="1" applyFont="1" applyBorder="1" applyAlignment="1">
      <alignment horizontal="right" vertical="center"/>
    </xf>
    <xf numFmtId="0" fontId="24" fillId="0" borderId="71" xfId="0" applyFont="1" applyBorder="1" applyAlignment="1">
      <alignment horizontal="center" vertical="center"/>
    </xf>
    <xf numFmtId="3" fontId="24" fillId="0" borderId="71" xfId="0" applyNumberFormat="1" applyFont="1" applyBorder="1" applyAlignment="1">
      <alignment horizontal="right" vertical="center"/>
    </xf>
    <xf numFmtId="0" fontId="24" fillId="0" borderId="29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/>
    </xf>
    <xf numFmtId="3" fontId="28" fillId="0" borderId="10" xfId="0" applyNumberFormat="1" applyFont="1" applyBorder="1" applyAlignment="1">
      <alignment horizontal="center"/>
    </xf>
    <xf numFmtId="3" fontId="24" fillId="0" borderId="38" xfId="2" applyNumberFormat="1" applyFont="1" applyFill="1" applyBorder="1" applyAlignment="1">
      <alignment horizontal="right" vertical="center"/>
    </xf>
    <xf numFmtId="171" fontId="19" fillId="0" borderId="0" xfId="0" applyNumberFormat="1" applyFont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3" fontId="0" fillId="0" borderId="10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3" fontId="0" fillId="3" borderId="10" xfId="0" applyNumberForma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3" fontId="27" fillId="5" borderId="6" xfId="0" applyNumberFormat="1" applyFont="1" applyFill="1" applyBorder="1" applyAlignment="1">
      <alignment horizontal="right" vertical="center"/>
    </xf>
    <xf numFmtId="3" fontId="24" fillId="5" borderId="6" xfId="0" applyNumberFormat="1" applyFont="1" applyFill="1" applyBorder="1" applyAlignment="1">
      <alignment horizontal="right" vertical="center"/>
    </xf>
    <xf numFmtId="3" fontId="24" fillId="5" borderId="5" xfId="0" applyNumberFormat="1" applyFont="1" applyFill="1" applyBorder="1" applyAlignment="1">
      <alignment horizontal="right" vertical="center"/>
    </xf>
    <xf numFmtId="3" fontId="18" fillId="0" borderId="10" xfId="0" applyNumberFormat="1" applyFont="1" applyBorder="1" applyAlignment="1">
      <alignment vertical="center"/>
    </xf>
    <xf numFmtId="3" fontId="27" fillId="0" borderId="4" xfId="0" applyNumberFormat="1" applyFont="1" applyBorder="1" applyAlignment="1">
      <alignment horizontal="right" vertical="center"/>
    </xf>
    <xf numFmtId="0" fontId="24" fillId="0" borderId="11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12" xfId="0" applyNumberFormat="1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24" fillId="0" borderId="12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3" fontId="24" fillId="0" borderId="26" xfId="0" applyNumberFormat="1" applyFont="1" applyBorder="1" applyAlignment="1">
      <alignment horizontal="center" vertical="center"/>
    </xf>
    <xf numFmtId="3" fontId="24" fillId="0" borderId="56" xfId="0" applyNumberFormat="1" applyFont="1" applyBorder="1" applyAlignment="1">
      <alignment horizontal="center" vertical="center"/>
    </xf>
    <xf numFmtId="3" fontId="24" fillId="0" borderId="36" xfId="0" applyNumberFormat="1" applyFont="1" applyBorder="1" applyAlignment="1">
      <alignment horizontal="center" vertical="center"/>
    </xf>
    <xf numFmtId="3" fontId="27" fillId="0" borderId="58" xfId="0" applyNumberFormat="1" applyFont="1" applyBorder="1" applyAlignment="1">
      <alignment horizontal="center" vertical="center"/>
    </xf>
    <xf numFmtId="3" fontId="27" fillId="0" borderId="71" xfId="0" applyNumberFormat="1" applyFont="1" applyBorder="1" applyAlignment="1">
      <alignment horizontal="center" vertical="center"/>
    </xf>
    <xf numFmtId="3" fontId="27" fillId="0" borderId="74" xfId="0" applyNumberFormat="1" applyFont="1" applyBorder="1" applyAlignment="1">
      <alignment horizontal="center" vertical="center"/>
    </xf>
    <xf numFmtId="49" fontId="19" fillId="0" borderId="56" xfId="0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4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5" fillId="0" borderId="36" xfId="0" applyFont="1" applyBorder="1" applyAlignment="1">
      <alignment vertical="center"/>
    </xf>
    <xf numFmtId="4" fontId="35" fillId="0" borderId="0" xfId="0" applyNumberFormat="1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36" xfId="0" applyFont="1" applyBorder="1" applyAlignment="1">
      <alignment vertical="center"/>
    </xf>
    <xf numFmtId="0" fontId="38" fillId="0" borderId="36" xfId="0" applyFont="1" applyBorder="1" applyAlignment="1">
      <alignment vertical="center"/>
    </xf>
    <xf numFmtId="4" fontId="19" fillId="0" borderId="74" xfId="0" applyNumberFormat="1" applyFont="1" applyBorder="1" applyAlignment="1">
      <alignment horizontal="right" vertical="center"/>
    </xf>
    <xf numFmtId="3" fontId="0" fillId="5" borderId="10" xfId="0" applyNumberFormat="1" applyFill="1" applyBorder="1" applyAlignment="1">
      <alignment vertical="center"/>
    </xf>
    <xf numFmtId="3" fontId="0" fillId="3" borderId="10" xfId="0" applyNumberFormat="1" applyFill="1" applyBorder="1"/>
    <xf numFmtId="4" fontId="35" fillId="0" borderId="36" xfId="0" applyNumberFormat="1" applyFont="1" applyBorder="1" applyAlignment="1">
      <alignment vertical="center"/>
    </xf>
    <xf numFmtId="0" fontId="27" fillId="0" borderId="27" xfId="0" applyFont="1" applyBorder="1" applyAlignment="1">
      <alignment vertical="center"/>
    </xf>
    <xf numFmtId="3" fontId="27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center" vertical="center"/>
    </xf>
    <xf numFmtId="3" fontId="27" fillId="0" borderId="46" xfId="0" applyNumberFormat="1" applyFont="1" applyBorder="1" applyAlignment="1">
      <alignment horizontal="center" vertical="center"/>
    </xf>
    <xf numFmtId="3" fontId="28" fillId="0" borderId="58" xfId="0" applyNumberFormat="1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0" borderId="10" xfId="0" applyBorder="1"/>
    <xf numFmtId="3" fontId="27" fillId="0" borderId="108" xfId="0" applyNumberFormat="1" applyFont="1" applyBorder="1" applyAlignment="1">
      <alignment horizontal="right" vertical="center"/>
    </xf>
    <xf numFmtId="168" fontId="40" fillId="0" borderId="0" xfId="4" applyNumberFormat="1" applyFont="1" applyFill="1" applyAlignment="1">
      <alignment vertical="center"/>
    </xf>
    <xf numFmtId="0" fontId="40" fillId="0" borderId="0" xfId="5" applyFont="1" applyAlignment="1">
      <alignment vertical="center"/>
    </xf>
    <xf numFmtId="41" fontId="41" fillId="0" borderId="0" xfId="2" applyFont="1" applyFill="1" applyAlignment="1">
      <alignment vertical="center"/>
    </xf>
    <xf numFmtId="168" fontId="42" fillId="0" borderId="0" xfId="4" applyNumberFormat="1" applyFont="1" applyFill="1" applyAlignment="1">
      <alignment vertical="center"/>
    </xf>
    <xf numFmtId="41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0" fontId="19" fillId="0" borderId="10" xfId="0" applyFont="1" applyBorder="1"/>
    <xf numFmtId="3" fontId="19" fillId="0" borderId="10" xfId="0" applyNumberFormat="1" applyFont="1" applyBorder="1"/>
    <xf numFmtId="41" fontId="0" fillId="0" borderId="10" xfId="0" applyNumberFormat="1" applyBorder="1" applyAlignment="1">
      <alignment horizontal="center"/>
    </xf>
    <xf numFmtId="0" fontId="0" fillId="0" borderId="89" xfId="0" applyBorder="1" applyAlignment="1">
      <alignment horizontal="center"/>
    </xf>
    <xf numFmtId="3" fontId="0" fillId="0" borderId="90" xfId="0" applyNumberFormat="1" applyBorder="1"/>
    <xf numFmtId="0" fontId="0" fillId="0" borderId="98" xfId="0" applyBorder="1" applyAlignment="1">
      <alignment horizontal="center"/>
    </xf>
    <xf numFmtId="3" fontId="0" fillId="0" borderId="42" xfId="0" applyNumberFormat="1" applyBorder="1"/>
    <xf numFmtId="3" fontId="0" fillId="0" borderId="99" xfId="0" applyNumberFormat="1" applyBorder="1"/>
    <xf numFmtId="0" fontId="0" fillId="0" borderId="9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18" fillId="0" borderId="34" xfId="0" applyFont="1" applyBorder="1" applyAlignment="1">
      <alignment vertical="center"/>
    </xf>
    <xf numFmtId="0" fontId="21" fillId="0" borderId="97" xfId="0" applyFont="1" applyBorder="1" applyAlignment="1">
      <alignment vertical="center"/>
    </xf>
    <xf numFmtId="0" fontId="21" fillId="0" borderId="54" xfId="0" applyFont="1" applyBorder="1" applyAlignment="1">
      <alignment vertical="center"/>
    </xf>
    <xf numFmtId="0" fontId="19" fillId="0" borderId="54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3" fontId="18" fillId="0" borderId="99" xfId="0" applyNumberFormat="1" applyFont="1" applyBorder="1" applyAlignment="1">
      <alignment vertical="center"/>
    </xf>
    <xf numFmtId="0" fontId="18" fillId="0" borderId="89" xfId="0" applyFont="1" applyBorder="1" applyAlignment="1">
      <alignment horizontal="center" vertical="center"/>
    </xf>
    <xf numFmtId="3" fontId="18" fillId="0" borderId="89" xfId="0" applyNumberFormat="1" applyFont="1" applyBorder="1" applyAlignment="1">
      <alignment horizontal="center" vertical="center"/>
    </xf>
    <xf numFmtId="41" fontId="18" fillId="0" borderId="90" xfId="2" applyFont="1" applyFill="1" applyBorder="1" applyAlignment="1">
      <alignment vertical="center"/>
    </xf>
    <xf numFmtId="41" fontId="18" fillId="0" borderId="90" xfId="0" applyNumberFormat="1" applyFont="1" applyBorder="1" applyAlignment="1">
      <alignment vertical="center"/>
    </xf>
    <xf numFmtId="0" fontId="18" fillId="0" borderId="93" xfId="0" applyFont="1" applyBorder="1" applyAlignment="1">
      <alignment horizontal="center" vertical="center"/>
    </xf>
    <xf numFmtId="3" fontId="18" fillId="0" borderId="94" xfId="0" applyNumberFormat="1" applyFont="1" applyBorder="1" applyAlignment="1">
      <alignment vertical="center"/>
    </xf>
    <xf numFmtId="0" fontId="0" fillId="0" borderId="93" xfId="0" applyBorder="1" applyAlignment="1">
      <alignment horizontal="center"/>
    </xf>
    <xf numFmtId="0" fontId="0" fillId="0" borderId="34" xfId="0" applyBorder="1"/>
    <xf numFmtId="3" fontId="0" fillId="0" borderId="94" xfId="0" applyNumberFormat="1" applyBorder="1"/>
    <xf numFmtId="0" fontId="0" fillId="0" borderId="97" xfId="0" applyBorder="1" applyAlignment="1">
      <alignment vertical="center"/>
    </xf>
    <xf numFmtId="0" fontId="0" fillId="0" borderId="54" xfId="0" applyBorder="1" applyAlignment="1">
      <alignment vertical="center"/>
    </xf>
    <xf numFmtId="0" fontId="45" fillId="0" borderId="0" xfId="0" applyFont="1" applyAlignment="1">
      <alignment vertical="center"/>
    </xf>
    <xf numFmtId="0" fontId="24" fillId="0" borderId="62" xfId="0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/>
    </xf>
    <xf numFmtId="0" fontId="28" fillId="0" borderId="8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27" fillId="0" borderId="97" xfId="0" applyFont="1" applyBorder="1" applyAlignment="1">
      <alignment vertical="center"/>
    </xf>
    <xf numFmtId="3" fontId="27" fillId="0" borderId="113" xfId="0" applyNumberFormat="1" applyFont="1" applyBorder="1" applyAlignment="1">
      <alignment horizontal="right" vertical="center"/>
    </xf>
    <xf numFmtId="0" fontId="24" fillId="0" borderId="16" xfId="0" applyFont="1" applyBorder="1" applyAlignment="1">
      <alignment horizontal="center" vertical="center"/>
    </xf>
    <xf numFmtId="0" fontId="27" fillId="0" borderId="76" xfId="0" applyFont="1" applyBorder="1" applyAlignment="1">
      <alignment horizontal="left" vertical="center"/>
    </xf>
    <xf numFmtId="0" fontId="24" fillId="0" borderId="76" xfId="0" applyFont="1" applyBorder="1" applyAlignment="1">
      <alignment vertical="center"/>
    </xf>
    <xf numFmtId="0" fontId="27" fillId="0" borderId="76" xfId="0" applyFont="1" applyBorder="1" applyAlignment="1">
      <alignment horizontal="center" vertical="center"/>
    </xf>
    <xf numFmtId="0" fontId="27" fillId="0" borderId="75" xfId="0" applyFont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8" fillId="0" borderId="77" xfId="0" applyFont="1" applyBorder="1" applyAlignment="1">
      <alignment horizontal="left" vertical="center"/>
    </xf>
    <xf numFmtId="0" fontId="27" fillId="0" borderId="77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84" xfId="0" applyFont="1" applyBorder="1" applyAlignment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71" xfId="0" applyFont="1" applyBorder="1" applyAlignment="1">
      <alignment horizontal="left" vertical="center"/>
    </xf>
    <xf numFmtId="0" fontId="27" fillId="0" borderId="73" xfId="0" applyFont="1" applyBorder="1" applyAlignment="1">
      <alignment horizontal="left" vertical="center"/>
    </xf>
    <xf numFmtId="0" fontId="27" fillId="0" borderId="44" xfId="0" applyFont="1" applyBorder="1" applyAlignment="1">
      <alignment horizontal="left" vertical="center"/>
    </xf>
    <xf numFmtId="0" fontId="24" fillId="0" borderId="107" xfId="0" applyFont="1" applyBorder="1" applyAlignment="1">
      <alignment horizontal="left" vertical="center"/>
    </xf>
    <xf numFmtId="0" fontId="24" fillId="0" borderId="76" xfId="0" applyFont="1" applyBorder="1" applyAlignment="1">
      <alignment horizontal="left" vertical="center"/>
    </xf>
    <xf numFmtId="0" fontId="24" fillId="0" borderId="75" xfId="0" applyFont="1" applyBorder="1" applyAlignment="1">
      <alignment horizontal="center" vertical="center"/>
    </xf>
    <xf numFmtId="0" fontId="24" fillId="0" borderId="75" xfId="0" applyFont="1" applyBorder="1" applyAlignment="1">
      <alignment horizontal="left" vertical="center"/>
    </xf>
    <xf numFmtId="0" fontId="24" fillId="0" borderId="76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77" xfId="0" applyFont="1" applyBorder="1" applyAlignment="1">
      <alignment horizontal="left" vertical="center"/>
    </xf>
    <xf numFmtId="0" fontId="24" fillId="0" borderId="77" xfId="0" applyFont="1" applyBorder="1" applyAlignment="1">
      <alignment horizontal="center" vertical="center"/>
    </xf>
    <xf numFmtId="0" fontId="24" fillId="0" borderId="77" xfId="0" applyFont="1" applyBorder="1" applyAlignment="1">
      <alignment vertical="center"/>
    </xf>
    <xf numFmtId="0" fontId="24" fillId="0" borderId="44" xfId="0" applyFont="1" applyBorder="1" applyAlignment="1">
      <alignment horizontal="left" vertical="center"/>
    </xf>
    <xf numFmtId="0" fontId="24" fillId="0" borderId="71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0" borderId="107" xfId="0" applyFont="1" applyBorder="1" applyAlignment="1">
      <alignment horizontal="center" vertical="center"/>
    </xf>
    <xf numFmtId="0" fontId="27" fillId="0" borderId="1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07" xfId="0" applyFont="1" applyBorder="1" applyAlignment="1">
      <alignment horizontal="center" vertical="center"/>
    </xf>
    <xf numFmtId="0" fontId="28" fillId="0" borderId="76" xfId="0" applyFont="1" applyBorder="1" applyAlignment="1">
      <alignment vertical="center"/>
    </xf>
    <xf numFmtId="0" fontId="27" fillId="0" borderId="114" xfId="0" applyFont="1" applyBorder="1" applyAlignment="1">
      <alignment horizontal="left" vertical="center"/>
    </xf>
    <xf numFmtId="0" fontId="27" fillId="0" borderId="48" xfId="0" applyFont="1" applyBorder="1" applyAlignment="1">
      <alignment vertical="center"/>
    </xf>
    <xf numFmtId="0" fontId="27" fillId="0" borderId="76" xfId="0" applyFont="1" applyBorder="1" applyAlignment="1">
      <alignment vertical="center"/>
    </xf>
    <xf numFmtId="0" fontId="24" fillId="0" borderId="76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24" fillId="0" borderId="77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44" fillId="0" borderId="0" xfId="0" applyFont="1"/>
    <xf numFmtId="3" fontId="19" fillId="6" borderId="6" xfId="0" applyNumberFormat="1" applyFont="1" applyFill="1" applyBorder="1" applyAlignment="1">
      <alignment horizontal="center" vertical="center"/>
    </xf>
    <xf numFmtId="3" fontId="19" fillId="6" borderId="6" xfId="0" applyNumberFormat="1" applyFont="1" applyFill="1" applyBorder="1" applyAlignment="1">
      <alignment horizontal="right" vertical="center"/>
    </xf>
    <xf numFmtId="0" fontId="24" fillId="0" borderId="68" xfId="0" applyFont="1" applyBorder="1" applyAlignment="1">
      <alignment horizontal="center" vertical="center"/>
    </xf>
    <xf numFmtId="0" fontId="24" fillId="0" borderId="36" xfId="0" applyFont="1" applyBorder="1" applyAlignment="1">
      <alignment horizontal="right" vertical="center"/>
    </xf>
    <xf numFmtId="0" fontId="35" fillId="0" borderId="0" xfId="0" applyFont="1"/>
    <xf numFmtId="0" fontId="19" fillId="0" borderId="88" xfId="0" applyFont="1" applyBorder="1" applyAlignment="1">
      <alignment horizontal="center" vertical="center"/>
    </xf>
    <xf numFmtId="0" fontId="19" fillId="0" borderId="104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9" fillId="0" borderId="117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18" fillId="0" borderId="118" xfId="0" applyFont="1" applyBorder="1" applyAlignment="1">
      <alignment vertical="center"/>
    </xf>
    <xf numFmtId="3" fontId="18" fillId="0" borderId="98" xfId="0" applyNumberFormat="1" applyFont="1" applyBorder="1" applyAlignment="1">
      <alignment vertical="center"/>
    </xf>
    <xf numFmtId="3" fontId="18" fillId="0" borderId="42" xfId="0" applyNumberFormat="1" applyFont="1" applyBorder="1" applyAlignment="1">
      <alignment vertical="center"/>
    </xf>
    <xf numFmtId="0" fontId="18" fillId="0" borderId="119" xfId="0" applyFont="1" applyBorder="1" applyAlignment="1">
      <alignment vertical="center"/>
    </xf>
    <xf numFmtId="3" fontId="18" fillId="0" borderId="89" xfId="0" applyNumberFormat="1" applyFont="1" applyBorder="1" applyAlignment="1">
      <alignment vertical="center"/>
    </xf>
    <xf numFmtId="0" fontId="18" fillId="0" borderId="121" xfId="0" applyFont="1" applyBorder="1" applyAlignment="1">
      <alignment vertical="center"/>
    </xf>
    <xf numFmtId="3" fontId="18" fillId="0" borderId="93" xfId="0" applyNumberFormat="1" applyFont="1" applyBorder="1" applyAlignment="1">
      <alignment vertical="center"/>
    </xf>
    <xf numFmtId="0" fontId="19" fillId="0" borderId="95" xfId="0" applyFont="1" applyBorder="1" applyAlignment="1">
      <alignment vertical="center"/>
    </xf>
    <xf numFmtId="3" fontId="19" fillId="0" borderId="97" xfId="0" applyNumberFormat="1" applyFont="1" applyBorder="1" applyAlignment="1">
      <alignment vertical="center"/>
    </xf>
    <xf numFmtId="3" fontId="19" fillId="0" borderId="54" xfId="0" applyNumberFormat="1" applyFont="1" applyBorder="1" applyAlignment="1">
      <alignment vertical="center"/>
    </xf>
    <xf numFmtId="17" fontId="19" fillId="0" borderId="120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/>
    </xf>
    <xf numFmtId="3" fontId="24" fillId="0" borderId="39" xfId="0" applyNumberFormat="1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center" vertical="center"/>
    </xf>
    <xf numFmtId="3" fontId="24" fillId="0" borderId="70" xfId="0" applyNumberFormat="1" applyFont="1" applyBorder="1" applyAlignment="1">
      <alignment horizontal="center" vertical="center"/>
    </xf>
    <xf numFmtId="3" fontId="24" fillId="0" borderId="71" xfId="0" applyNumberFormat="1" applyFont="1" applyBorder="1" applyAlignment="1">
      <alignment horizontal="center" vertical="center"/>
    </xf>
    <xf numFmtId="3" fontId="27" fillId="0" borderId="72" xfId="0" applyNumberFormat="1" applyFont="1" applyBorder="1" applyAlignment="1">
      <alignment horizontal="center" vertical="center"/>
    </xf>
    <xf numFmtId="3" fontId="27" fillId="0" borderId="45" xfId="0" applyNumberFormat="1" applyFont="1" applyBorder="1" applyAlignment="1">
      <alignment horizontal="center" vertical="center"/>
    </xf>
    <xf numFmtId="3" fontId="27" fillId="0" borderId="35" xfId="0" applyNumberFormat="1" applyFont="1" applyBorder="1" applyAlignment="1">
      <alignment horizontal="center" vertical="center"/>
    </xf>
    <xf numFmtId="3" fontId="28" fillId="0" borderId="15" xfId="0" applyNumberFormat="1" applyFont="1" applyBorder="1" applyAlignment="1">
      <alignment horizontal="center" vertical="center"/>
    </xf>
    <xf numFmtId="3" fontId="24" fillId="0" borderId="34" xfId="2" applyNumberFormat="1" applyFont="1" applyFill="1" applyBorder="1" applyAlignment="1">
      <alignment horizontal="center" vertical="center"/>
    </xf>
    <xf numFmtId="3" fontId="31" fillId="0" borderId="10" xfId="0" applyNumberFormat="1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/>
    </xf>
    <xf numFmtId="3" fontId="24" fillId="0" borderId="12" xfId="0" applyNumberFormat="1" applyFont="1" applyBorder="1" applyAlignment="1">
      <alignment horizontal="center"/>
    </xf>
    <xf numFmtId="3" fontId="31" fillId="0" borderId="42" xfId="0" applyNumberFormat="1" applyFont="1" applyBorder="1" applyAlignment="1">
      <alignment horizontal="center" vertical="center"/>
    </xf>
    <xf numFmtId="3" fontId="24" fillId="0" borderId="104" xfId="0" applyNumberFormat="1" applyFont="1" applyBorder="1" applyAlignment="1">
      <alignment horizontal="center" vertical="center"/>
    </xf>
    <xf numFmtId="3" fontId="24" fillId="0" borderId="0" xfId="2" applyNumberFormat="1" applyFont="1" applyFill="1" applyBorder="1" applyAlignment="1">
      <alignment horizontal="center" vertical="center"/>
    </xf>
    <xf numFmtId="3" fontId="24" fillId="0" borderId="5" xfId="2" applyNumberFormat="1" applyFont="1" applyFill="1" applyBorder="1" applyAlignment="1">
      <alignment horizontal="center" vertical="center"/>
    </xf>
    <xf numFmtId="3" fontId="24" fillId="0" borderId="46" xfId="0" applyNumberFormat="1" applyFont="1" applyBorder="1" applyAlignment="1">
      <alignment vertical="center"/>
    </xf>
    <xf numFmtId="3" fontId="27" fillId="0" borderId="39" xfId="0" applyNumberFormat="1" applyFont="1" applyBorder="1" applyAlignment="1">
      <alignment horizontal="center" vertical="center"/>
    </xf>
    <xf numFmtId="3" fontId="24" fillId="0" borderId="0" xfId="1" applyNumberFormat="1" applyFont="1" applyFill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10" xfId="0" applyFont="1" applyBorder="1" applyAlignment="1">
      <alignment vertical="center"/>
    </xf>
    <xf numFmtId="0" fontId="45" fillId="0" borderId="10" xfId="0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3" fontId="48" fillId="0" borderId="10" xfId="0" applyNumberFormat="1" applyFont="1" applyBorder="1" applyAlignment="1">
      <alignment horizontal="center" vertical="center"/>
    </xf>
    <xf numFmtId="0" fontId="45" fillId="0" borderId="0" xfId="0" applyFont="1"/>
    <xf numFmtId="3" fontId="18" fillId="0" borderId="34" xfId="0" applyNumberFormat="1" applyFont="1" applyBorder="1" applyAlignment="1">
      <alignment vertical="center"/>
    </xf>
    <xf numFmtId="0" fontId="18" fillId="0" borderId="10" xfId="0" applyFont="1" applyBorder="1"/>
    <xf numFmtId="0" fontId="24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3" fontId="75" fillId="0" borderId="10" xfId="0" applyNumberFormat="1" applyFont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41" fontId="24" fillId="0" borderId="10" xfId="0" applyNumberFormat="1" applyFont="1" applyBorder="1" applyAlignment="1">
      <alignment horizontal="center" vertical="center"/>
    </xf>
    <xf numFmtId="41" fontId="24" fillId="0" borderId="0" xfId="0" applyNumberFormat="1" applyFont="1" applyAlignment="1">
      <alignment horizontal="center" vertical="center"/>
    </xf>
    <xf numFmtId="41" fontId="24" fillId="0" borderId="0" xfId="2" applyFont="1" applyFill="1" applyAlignment="1">
      <alignment horizontal="center" vertical="center"/>
    </xf>
    <xf numFmtId="41" fontId="75" fillId="0" borderId="10" xfId="2" applyFont="1" applyFill="1" applyBorder="1" applyAlignment="1">
      <alignment horizontal="center" vertical="center"/>
    </xf>
    <xf numFmtId="41" fontId="75" fillId="0" borderId="10" xfId="2" applyFont="1" applyFill="1" applyBorder="1" applyAlignment="1">
      <alignment horizontal="center"/>
    </xf>
    <xf numFmtId="0" fontId="18" fillId="0" borderId="8" xfId="0" applyFont="1" applyBorder="1" applyAlignment="1">
      <alignment horizontal="left" vertical="center"/>
    </xf>
    <xf numFmtId="0" fontId="18" fillId="0" borderId="71" xfId="0" applyFont="1" applyBorder="1" applyAlignment="1">
      <alignment horizontal="left" vertical="center"/>
    </xf>
    <xf numFmtId="0" fontId="18" fillId="0" borderId="10" xfId="0" applyFont="1" applyBorder="1" applyAlignment="1">
      <alignment horizontal="center"/>
    </xf>
    <xf numFmtId="3" fontId="18" fillId="0" borderId="10" xfId="0" applyNumberFormat="1" applyFont="1" applyBorder="1" applyAlignment="1">
      <alignment horizontal="right" vertical="center"/>
    </xf>
    <xf numFmtId="3" fontId="18" fillId="0" borderId="10" xfId="0" applyNumberFormat="1" applyFont="1" applyBorder="1" applyAlignment="1">
      <alignment horizontal="center" vertical="center"/>
    </xf>
    <xf numFmtId="3" fontId="18" fillId="0" borderId="58" xfId="0" applyNumberFormat="1" applyFont="1" applyBorder="1" applyAlignment="1">
      <alignment horizontal="right" vertical="center"/>
    </xf>
    <xf numFmtId="3" fontId="18" fillId="0" borderId="52" xfId="0" applyNumberFormat="1" applyFont="1" applyBorder="1" applyAlignment="1">
      <alignment horizontal="right" vertical="center"/>
    </xf>
    <xf numFmtId="3" fontId="77" fillId="0" borderId="10" xfId="0" applyNumberFormat="1" applyFont="1" applyBorder="1" applyAlignment="1">
      <alignment horizontal="right" vertical="center"/>
    </xf>
    <xf numFmtId="0" fontId="18" fillId="0" borderId="8" xfId="0" applyFont="1" applyBorder="1" applyAlignment="1">
      <alignment vertical="center"/>
    </xf>
    <xf numFmtId="0" fontId="18" fillId="0" borderId="73" xfId="0" applyFont="1" applyBorder="1" applyAlignment="1">
      <alignment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52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vertical="center"/>
    </xf>
    <xf numFmtId="0" fontId="18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3" fontId="18" fillId="0" borderId="3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vertical="center"/>
    </xf>
    <xf numFmtId="0" fontId="18" fillId="0" borderId="71" xfId="0" applyFont="1" applyBorder="1" applyAlignment="1">
      <alignment vertical="center"/>
    </xf>
    <xf numFmtId="3" fontId="78" fillId="0" borderId="0" xfId="0" applyNumberFormat="1" applyFont="1" applyAlignment="1">
      <alignment horizontal="right"/>
    </xf>
    <xf numFmtId="3" fontId="78" fillId="3" borderId="0" xfId="0" applyNumberFormat="1" applyFont="1" applyFill="1"/>
    <xf numFmtId="3" fontId="40" fillId="0" borderId="0" xfId="0" applyNumberFormat="1" applyFont="1"/>
    <xf numFmtId="0" fontId="40" fillId="0" borderId="0" xfId="0" applyFont="1"/>
    <xf numFmtId="0" fontId="78" fillId="0" borderId="0" xfId="0" applyFont="1"/>
    <xf numFmtId="0" fontId="79" fillId="0" borderId="0" xfId="0" applyFont="1"/>
    <xf numFmtId="4" fontId="27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2" fontId="24" fillId="0" borderId="0" xfId="0" applyNumberFormat="1" applyFont="1" applyAlignment="1">
      <alignment horizontal="left" vertical="center"/>
    </xf>
    <xf numFmtId="3" fontId="24" fillId="0" borderId="34" xfId="0" applyNumberFormat="1" applyFont="1" applyBorder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3" fontId="19" fillId="0" borderId="57" xfId="0" applyNumberFormat="1" applyFont="1" applyBorder="1" applyAlignment="1">
      <alignment horizontal="center" vertical="center"/>
    </xf>
    <xf numFmtId="3" fontId="19" fillId="0" borderId="57" xfId="0" applyNumberFormat="1" applyFont="1" applyBorder="1" applyAlignment="1">
      <alignment horizontal="right" vertical="center"/>
    </xf>
    <xf numFmtId="3" fontId="19" fillId="0" borderId="56" xfId="0" applyNumberFormat="1" applyFont="1" applyBorder="1" applyAlignment="1">
      <alignment horizontal="right" vertical="center"/>
    </xf>
    <xf numFmtId="3" fontId="19" fillId="0" borderId="58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/>
    </xf>
    <xf numFmtId="4" fontId="19" fillId="6" borderId="6" xfId="0" applyNumberFormat="1" applyFont="1" applyFill="1" applyBorder="1" applyAlignment="1">
      <alignment horizontal="right" vertical="center"/>
    </xf>
    <xf numFmtId="3" fontId="46" fillId="0" borderId="10" xfId="0" applyNumberFormat="1" applyFont="1" applyBorder="1" applyAlignment="1">
      <alignment horizontal="right" vertical="center"/>
    </xf>
    <xf numFmtId="3" fontId="80" fillId="3" borderId="10" xfId="0" applyNumberFormat="1" applyFont="1" applyFill="1" applyBorder="1" applyAlignment="1">
      <alignment horizontal="right" vertical="center"/>
    </xf>
    <xf numFmtId="3" fontId="45" fillId="0" borderId="10" xfId="0" applyNumberFormat="1" applyFont="1" applyBorder="1" applyAlignment="1">
      <alignment horizontal="right" vertical="center"/>
    </xf>
    <xf numFmtId="3" fontId="25" fillId="3" borderId="10" xfId="0" applyNumberFormat="1" applyFont="1" applyFill="1" applyBorder="1"/>
    <xf numFmtId="3" fontId="18" fillId="0" borderId="10" xfId="0" applyNumberFormat="1" applyFont="1" applyBorder="1"/>
    <xf numFmtId="0" fontId="25" fillId="8" borderId="10" xfId="0" applyFont="1" applyFill="1" applyBorder="1"/>
    <xf numFmtId="3" fontId="80" fillId="8" borderId="10" xfId="0" applyNumberFormat="1" applyFont="1" applyFill="1" applyBorder="1" applyAlignment="1">
      <alignment horizontal="right" vertical="center"/>
    </xf>
    <xf numFmtId="3" fontId="25" fillId="8" borderId="10" xfId="0" applyNumberFormat="1" applyFont="1" applyFill="1" applyBorder="1"/>
    <xf numFmtId="0" fontId="25" fillId="3" borderId="10" xfId="0" applyFont="1" applyFill="1" applyBorder="1"/>
    <xf numFmtId="0" fontId="28" fillId="0" borderId="0" xfId="0" applyFont="1" applyAlignment="1">
      <alignment horizontal="right" vertical="center"/>
    </xf>
    <xf numFmtId="3" fontId="24" fillId="0" borderId="73" xfId="0" applyNumberFormat="1" applyFont="1" applyBorder="1" applyAlignment="1">
      <alignment horizontal="center" vertical="center"/>
    </xf>
    <xf numFmtId="3" fontId="81" fillId="0" borderId="10" xfId="0" applyNumberFormat="1" applyFont="1" applyBorder="1" applyAlignment="1">
      <alignment horizontal="right" vertical="center"/>
    </xf>
    <xf numFmtId="0" fontId="81" fillId="0" borderId="10" xfId="0" applyFont="1" applyBorder="1" applyAlignment="1">
      <alignment vertical="center"/>
    </xf>
    <xf numFmtId="0" fontId="28" fillId="0" borderId="10" xfId="0" applyFont="1" applyBorder="1" applyAlignment="1">
      <alignment horizontal="right" vertical="center"/>
    </xf>
    <xf numFmtId="3" fontId="27" fillId="0" borderId="15" xfId="0" applyNumberFormat="1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4" fontId="27" fillId="0" borderId="10" xfId="0" applyNumberFormat="1" applyFont="1" applyBorder="1" applyAlignment="1">
      <alignment horizontal="right" vertical="center"/>
    </xf>
    <xf numFmtId="3" fontId="27" fillId="0" borderId="52" xfId="0" applyNumberFormat="1" applyFont="1" applyBorder="1" applyAlignment="1">
      <alignment vertical="center"/>
    </xf>
    <xf numFmtId="41" fontId="31" fillId="0" borderId="0" xfId="2" applyFont="1" applyFill="1" applyBorder="1"/>
    <xf numFmtId="2" fontId="24" fillId="0" borderId="0" xfId="0" applyNumberFormat="1" applyFont="1" applyAlignment="1">
      <alignment vertical="center"/>
    </xf>
    <xf numFmtId="2" fontId="27" fillId="0" borderId="10" xfId="0" applyNumberFormat="1" applyFont="1" applyBorder="1" applyAlignment="1">
      <alignment horizontal="right" vertical="center"/>
    </xf>
    <xf numFmtId="4" fontId="24" fillId="0" borderId="0" xfId="0" applyNumberFormat="1" applyFont="1" applyAlignment="1">
      <alignment vertical="center"/>
    </xf>
    <xf numFmtId="4" fontId="24" fillId="0" borderId="38" xfId="0" applyNumberFormat="1" applyFont="1" applyBorder="1" applyAlignment="1">
      <alignment vertical="center"/>
    </xf>
    <xf numFmtId="3" fontId="84" fillId="0" borderId="10" xfId="0" applyNumberFormat="1" applyFont="1" applyBorder="1" applyAlignment="1">
      <alignment horizontal="right" vertical="center"/>
    </xf>
    <xf numFmtId="3" fontId="84" fillId="0" borderId="10" xfId="0" applyNumberFormat="1" applyFont="1" applyBorder="1" applyAlignment="1">
      <alignment horizontal="center" vertical="center"/>
    </xf>
    <xf numFmtId="3" fontId="84" fillId="0" borderId="58" xfId="0" applyNumberFormat="1" applyFont="1" applyBorder="1" applyAlignment="1">
      <alignment horizontal="center" vertical="center"/>
    </xf>
    <xf numFmtId="0" fontId="84" fillId="0" borderId="10" xfId="0" applyFont="1" applyBorder="1" applyAlignment="1">
      <alignment horizontal="center" vertical="center"/>
    </xf>
    <xf numFmtId="0" fontId="81" fillId="0" borderId="10" xfId="0" applyFont="1" applyBorder="1" applyAlignment="1">
      <alignment horizontal="center" vertical="center"/>
    </xf>
    <xf numFmtId="3" fontId="85" fillId="0" borderId="10" xfId="0" applyNumberFormat="1" applyFont="1" applyBorder="1" applyAlignment="1">
      <alignment horizontal="right" vertical="center"/>
    </xf>
    <xf numFmtId="3" fontId="86" fillId="0" borderId="10" xfId="0" applyNumberFormat="1" applyFont="1" applyBorder="1" applyAlignment="1">
      <alignment horizontal="right" vertical="center"/>
    </xf>
    <xf numFmtId="0" fontId="75" fillId="0" borderId="10" xfId="0" applyFont="1" applyBorder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3" fontId="75" fillId="0" borderId="10" xfId="0" applyNumberFormat="1" applyFont="1" applyBorder="1" applyAlignment="1">
      <alignment horizontal="right" vertical="center"/>
    </xf>
    <xf numFmtId="0" fontId="31" fillId="0" borderId="10" xfId="0" applyFont="1" applyBorder="1" applyAlignment="1">
      <alignment horizontal="left" vertical="center"/>
    </xf>
    <xf numFmtId="0" fontId="85" fillId="0" borderId="0" xfId="0" applyFont="1" applyAlignment="1">
      <alignment horizontal="right" vertical="center"/>
    </xf>
    <xf numFmtId="0" fontId="86" fillId="0" borderId="0" xfId="0" applyFont="1" applyAlignment="1">
      <alignment vertical="center"/>
    </xf>
    <xf numFmtId="0" fontId="85" fillId="0" borderId="10" xfId="0" applyFont="1" applyBorder="1" applyAlignment="1">
      <alignment horizontal="center" vertical="center"/>
    </xf>
    <xf numFmtId="0" fontId="86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3" fontId="87" fillId="0" borderId="10" xfId="0" applyNumberFormat="1" applyFont="1" applyBorder="1" applyAlignment="1">
      <alignment vertical="center"/>
    </xf>
    <xf numFmtId="0" fontId="84" fillId="0" borderId="10" xfId="0" applyFont="1" applyBorder="1" applyAlignment="1">
      <alignment horizontal="right" vertical="center"/>
    </xf>
    <xf numFmtId="0" fontId="84" fillId="0" borderId="0" xfId="0" applyFont="1" applyAlignment="1">
      <alignment horizontal="right" vertical="center"/>
    </xf>
    <xf numFmtId="0" fontId="85" fillId="0" borderId="10" xfId="0" applyFont="1" applyBorder="1" applyAlignment="1">
      <alignment horizontal="right" vertical="center"/>
    </xf>
    <xf numFmtId="41" fontId="84" fillId="0" borderId="10" xfId="0" applyNumberFormat="1" applyFont="1" applyBorder="1" applyAlignment="1">
      <alignment horizontal="right" vertical="center"/>
    </xf>
    <xf numFmtId="3" fontId="84" fillId="0" borderId="10" xfId="0" applyNumberFormat="1" applyFont="1" applyBorder="1" applyAlignment="1">
      <alignment vertical="center"/>
    </xf>
    <xf numFmtId="3" fontId="85" fillId="0" borderId="42" xfId="0" applyNumberFormat="1" applyFont="1" applyBorder="1" applyAlignment="1">
      <alignment vertical="center"/>
    </xf>
    <xf numFmtId="3" fontId="27" fillId="0" borderId="122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3" fontId="31" fillId="0" borderId="0" xfId="0" applyNumberFormat="1" applyFont="1" applyAlignment="1">
      <alignment vertical="center"/>
    </xf>
    <xf numFmtId="3" fontId="75" fillId="0" borderId="0" xfId="0" applyNumberFormat="1" applyFont="1" applyAlignment="1">
      <alignment vertical="center"/>
    </xf>
    <xf numFmtId="0" fontId="75" fillId="0" borderId="0" xfId="0" applyFont="1" applyAlignment="1">
      <alignment horizontal="left" vertical="center"/>
    </xf>
    <xf numFmtId="3" fontId="24" fillId="0" borderId="42" xfId="0" applyNumberFormat="1" applyFont="1" applyBorder="1" applyAlignment="1">
      <alignment horizontal="center" vertical="center"/>
    </xf>
    <xf numFmtId="3" fontId="28" fillId="0" borderId="42" xfId="0" applyNumberFormat="1" applyFont="1" applyBorder="1" applyAlignment="1">
      <alignment horizontal="center" vertical="center"/>
    </xf>
    <xf numFmtId="3" fontId="24" fillId="0" borderId="45" xfId="0" applyNumberFormat="1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3" fontId="107" fillId="0" borderId="58" xfId="0" applyNumberFormat="1" applyFont="1" applyBorder="1" applyAlignment="1">
      <alignment horizontal="right" vertical="center"/>
    </xf>
    <xf numFmtId="3" fontId="107" fillId="0" borderId="10" xfId="0" applyNumberFormat="1" applyFont="1" applyBorder="1" applyAlignment="1">
      <alignment horizontal="right" vertical="center"/>
    </xf>
    <xf numFmtId="3" fontId="107" fillId="0" borderId="59" xfId="0" applyNumberFormat="1" applyFont="1" applyBorder="1" applyAlignment="1">
      <alignment horizontal="right" vertical="center"/>
    </xf>
    <xf numFmtId="3" fontId="107" fillId="0" borderId="34" xfId="0" applyNumberFormat="1" applyFont="1" applyBorder="1" applyAlignment="1">
      <alignment horizontal="right" vertical="center"/>
    </xf>
    <xf numFmtId="3" fontId="27" fillId="0" borderId="0" xfId="0" applyNumberFormat="1" applyFont="1" applyAlignment="1">
      <alignment vertical="center"/>
    </xf>
    <xf numFmtId="0" fontId="110" fillId="0" borderId="0" xfId="0" applyFont="1"/>
    <xf numFmtId="2" fontId="110" fillId="0" borderId="0" xfId="0" applyNumberFormat="1" applyFont="1"/>
    <xf numFmtId="41" fontId="110" fillId="0" borderId="0" xfId="2" applyFont="1"/>
    <xf numFmtId="2" fontId="111" fillId="0" borderId="0" xfId="0" applyNumberFormat="1" applyFont="1"/>
    <xf numFmtId="3" fontId="18" fillId="0" borderId="123" xfId="0" applyNumberFormat="1" applyFont="1" applyBorder="1" applyAlignment="1">
      <alignment horizontal="right" vertical="center"/>
    </xf>
    <xf numFmtId="3" fontId="19" fillId="0" borderId="124" xfId="0" applyNumberFormat="1" applyFont="1" applyBorder="1" applyAlignment="1">
      <alignment horizontal="right" vertical="center"/>
    </xf>
    <xf numFmtId="4" fontId="19" fillId="0" borderId="6" xfId="0" applyNumberFormat="1" applyFont="1" applyBorder="1" applyAlignment="1">
      <alignment horizontal="right" vertical="center"/>
    </xf>
    <xf numFmtId="4" fontId="76" fillId="0" borderId="34" xfId="0" applyNumberFormat="1" applyFont="1" applyBorder="1" applyAlignment="1">
      <alignment vertical="center"/>
    </xf>
    <xf numFmtId="4" fontId="76" fillId="0" borderId="3" xfId="0" applyNumberFormat="1" applyFont="1" applyBorder="1" applyAlignment="1">
      <alignment vertical="center"/>
    </xf>
    <xf numFmtId="4" fontId="76" fillId="0" borderId="10" xfId="0" applyNumberFormat="1" applyFont="1" applyBorder="1" applyAlignment="1">
      <alignment vertical="center"/>
    </xf>
    <xf numFmtId="3" fontId="18" fillId="0" borderId="122" xfId="0" applyNumberFormat="1" applyFont="1" applyBorder="1" applyAlignment="1">
      <alignment horizontal="right" vertical="center"/>
    </xf>
    <xf numFmtId="4" fontId="76" fillId="0" borderId="122" xfId="0" applyNumberFormat="1" applyFont="1" applyBorder="1" applyAlignment="1">
      <alignment vertical="center"/>
    </xf>
    <xf numFmtId="3" fontId="81" fillId="0" borderId="34" xfId="0" applyNumberFormat="1" applyFont="1" applyBorder="1" applyAlignment="1">
      <alignment horizontal="right" vertical="center"/>
    </xf>
    <xf numFmtId="3" fontId="28" fillId="0" borderId="122" xfId="0" applyNumberFormat="1" applyFont="1" applyBorder="1" applyAlignment="1">
      <alignment horizontal="center" vertical="center"/>
    </xf>
    <xf numFmtId="3" fontId="81" fillId="0" borderId="122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left" vertical="center"/>
    </xf>
    <xf numFmtId="3" fontId="78" fillId="0" borderId="0" xfId="0" applyNumberFormat="1" applyFont="1"/>
    <xf numFmtId="4" fontId="112" fillId="0" borderId="0" xfId="0" applyNumberFormat="1" applyFont="1"/>
    <xf numFmtId="0" fontId="75" fillId="0" borderId="34" xfId="0" applyFont="1" applyBorder="1" applyAlignment="1">
      <alignment horizontal="right" vertical="center"/>
    </xf>
    <xf numFmtId="0" fontId="75" fillId="0" borderId="122" xfId="0" applyFont="1" applyBorder="1" applyAlignment="1">
      <alignment horizontal="right" vertical="center"/>
    </xf>
    <xf numFmtId="41" fontId="31" fillId="0" borderId="0" xfId="2" applyFont="1" applyFill="1" applyAlignment="1">
      <alignment vertical="center"/>
    </xf>
    <xf numFmtId="4" fontId="40" fillId="0" borderId="0" xfId="0" applyNumberFormat="1" applyFont="1"/>
    <xf numFmtId="49" fontId="19" fillId="0" borderId="68" xfId="0" applyNumberFormat="1" applyFont="1" applyBorder="1" applyAlignment="1">
      <alignment horizontal="center" vertical="center"/>
    </xf>
    <xf numFmtId="3" fontId="27" fillId="0" borderId="7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3" fontId="19" fillId="0" borderId="115" xfId="0" applyNumberFormat="1" applyFont="1" applyBorder="1" applyAlignment="1">
      <alignment vertical="center"/>
    </xf>
    <xf numFmtId="0" fontId="113" fillId="0" borderId="0" xfId="0" applyFont="1"/>
    <xf numFmtId="0" fontId="113" fillId="0" borderId="32" xfId="0" applyFont="1" applyBorder="1"/>
    <xf numFmtId="0" fontId="113" fillId="0" borderId="110" xfId="0" applyFont="1" applyBorder="1" applyAlignment="1">
      <alignment horizontal="center" vertical="center"/>
    </xf>
    <xf numFmtId="0" fontId="113" fillId="0" borderId="0" xfId="0" applyFont="1" applyAlignment="1">
      <alignment vertical="center"/>
    </xf>
    <xf numFmtId="17" fontId="113" fillId="0" borderId="35" xfId="0" applyNumberFormat="1" applyFont="1" applyBorder="1" applyAlignment="1">
      <alignment horizontal="center" vertical="center"/>
    </xf>
    <xf numFmtId="0" fontId="113" fillId="0" borderId="35" xfId="0" applyFont="1" applyBorder="1" applyAlignment="1">
      <alignment horizontal="center" vertical="center"/>
    </xf>
    <xf numFmtId="0" fontId="113" fillId="0" borderId="12" xfId="0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0" borderId="98" xfId="0" applyFont="1" applyBorder="1" applyAlignment="1">
      <alignment vertical="center"/>
    </xf>
    <xf numFmtId="4" fontId="113" fillId="0" borderId="42" xfId="0" applyNumberFormat="1" applyFont="1" applyBorder="1" applyAlignment="1">
      <alignment horizontal="center" vertical="center"/>
    </xf>
    <xf numFmtId="3" fontId="113" fillId="0" borderId="42" xfId="0" applyNumberFormat="1" applyFont="1" applyBorder="1" applyAlignment="1">
      <alignment horizontal="center" vertical="center"/>
    </xf>
    <xf numFmtId="0" fontId="113" fillId="0" borderId="42" xfId="0" applyFont="1" applyBorder="1" applyAlignment="1">
      <alignment horizontal="center" vertical="center"/>
    </xf>
    <xf numFmtId="3" fontId="113" fillId="0" borderId="42" xfId="0" applyNumberFormat="1" applyFont="1" applyBorder="1" applyAlignment="1">
      <alignment vertical="center"/>
    </xf>
    <xf numFmtId="4" fontId="113" fillId="0" borderId="42" xfId="0" applyNumberFormat="1" applyFont="1" applyBorder="1" applyAlignment="1">
      <alignment vertical="center"/>
    </xf>
    <xf numFmtId="2" fontId="113" fillId="0" borderId="42" xfId="0" applyNumberFormat="1" applyFont="1" applyBorder="1" applyAlignment="1">
      <alignment horizontal="center" vertical="center"/>
    </xf>
    <xf numFmtId="2" fontId="113" fillId="0" borderId="99" xfId="0" applyNumberFormat="1" applyFont="1" applyBorder="1" applyAlignment="1">
      <alignment horizontal="center" vertical="center"/>
    </xf>
    <xf numFmtId="3" fontId="113" fillId="0" borderId="0" xfId="0" applyNumberFormat="1" applyFont="1" applyAlignment="1">
      <alignment vertical="center"/>
    </xf>
    <xf numFmtId="0" fontId="113" fillId="0" borderId="89" xfId="0" applyFont="1" applyBorder="1" applyAlignment="1">
      <alignment vertical="center"/>
    </xf>
    <xf numFmtId="4" fontId="113" fillId="0" borderId="10" xfId="0" applyNumberFormat="1" applyFont="1" applyBorder="1" applyAlignment="1">
      <alignment horizontal="center" vertical="center"/>
    </xf>
    <xf numFmtId="3" fontId="113" fillId="0" borderId="10" xfId="0" applyNumberFormat="1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center"/>
    </xf>
    <xf numFmtId="3" fontId="113" fillId="0" borderId="10" xfId="0" applyNumberFormat="1" applyFont="1" applyBorder="1" applyAlignment="1">
      <alignment vertical="center"/>
    </xf>
    <xf numFmtId="4" fontId="113" fillId="0" borderId="10" xfId="0" applyNumberFormat="1" applyFont="1" applyBorder="1" applyAlignment="1">
      <alignment vertical="center"/>
    </xf>
    <xf numFmtId="0" fontId="113" fillId="0" borderId="10" xfId="0" applyFont="1" applyBorder="1" applyAlignment="1">
      <alignment vertical="center"/>
    </xf>
    <xf numFmtId="0" fontId="113" fillId="0" borderId="93" xfId="0" applyFont="1" applyBorder="1" applyAlignment="1">
      <alignment vertical="center"/>
    </xf>
    <xf numFmtId="4" fontId="113" fillId="0" borderId="34" xfId="0" applyNumberFormat="1" applyFont="1" applyBorder="1" applyAlignment="1">
      <alignment horizontal="center" vertical="center"/>
    </xf>
    <xf numFmtId="3" fontId="113" fillId="0" borderId="34" xfId="0" applyNumberFormat="1" applyFont="1" applyBorder="1" applyAlignment="1">
      <alignment horizontal="center" vertical="center"/>
    </xf>
    <xf numFmtId="0" fontId="113" fillId="0" borderId="34" xfId="0" applyFont="1" applyBorder="1" applyAlignment="1">
      <alignment horizontal="center" vertical="center"/>
    </xf>
    <xf numFmtId="3" fontId="113" fillId="0" borderId="34" xfId="0" applyNumberFormat="1" applyFont="1" applyBorder="1" applyAlignment="1">
      <alignment vertical="center"/>
    </xf>
    <xf numFmtId="3" fontId="113" fillId="0" borderId="3" xfId="0" applyNumberFormat="1" applyFont="1" applyBorder="1" applyAlignment="1">
      <alignment vertical="center"/>
    </xf>
    <xf numFmtId="0" fontId="113" fillId="0" borderId="34" xfId="0" applyFont="1" applyBorder="1" applyAlignment="1">
      <alignment vertical="center"/>
    </xf>
    <xf numFmtId="2" fontId="113" fillId="0" borderId="20" xfId="0" applyNumberFormat="1" applyFont="1" applyBorder="1" applyAlignment="1">
      <alignment horizontal="center" vertical="center"/>
    </xf>
    <xf numFmtId="0" fontId="40" fillId="0" borderId="97" xfId="0" applyFont="1" applyBorder="1" applyAlignment="1">
      <alignment vertical="center"/>
    </xf>
    <xf numFmtId="4" fontId="40" fillId="0" borderId="54" xfId="0" applyNumberFormat="1" applyFont="1" applyBorder="1" applyAlignment="1">
      <alignment horizontal="center" vertical="center"/>
    </xf>
    <xf numFmtId="3" fontId="40" fillId="3" borderId="54" xfId="0" applyNumberFormat="1" applyFont="1" applyFill="1" applyBorder="1" applyAlignment="1">
      <alignment horizontal="center" vertical="center"/>
    </xf>
    <xf numFmtId="3" fontId="40" fillId="0" borderId="54" xfId="0" applyNumberFormat="1" applyFont="1" applyBorder="1" applyAlignment="1">
      <alignment horizontal="center" vertical="center"/>
    </xf>
    <xf numFmtId="3" fontId="40" fillId="3" borderId="54" xfId="0" applyNumberFormat="1" applyFont="1" applyFill="1" applyBorder="1" applyAlignment="1">
      <alignment vertical="center"/>
    </xf>
    <xf numFmtId="3" fontId="40" fillId="0" borderId="54" xfId="0" applyNumberFormat="1" applyFont="1" applyBorder="1" applyAlignment="1">
      <alignment vertical="center"/>
    </xf>
    <xf numFmtId="4" fontId="40" fillId="3" borderId="54" xfId="0" applyNumberFormat="1" applyFont="1" applyFill="1" applyBorder="1" applyAlignment="1">
      <alignment vertical="center"/>
    </xf>
    <xf numFmtId="4" fontId="40" fillId="0" borderId="54" xfId="0" applyNumberFormat="1" applyFont="1" applyBorder="1" applyAlignment="1">
      <alignment vertical="center"/>
    </xf>
    <xf numFmtId="2" fontId="40" fillId="0" borderId="54" xfId="0" applyNumberFormat="1" applyFont="1" applyBorder="1" applyAlignment="1">
      <alignment horizontal="center" vertical="center"/>
    </xf>
    <xf numFmtId="2" fontId="40" fillId="0" borderId="96" xfId="0" applyNumberFormat="1" applyFont="1" applyBorder="1" applyAlignment="1">
      <alignment horizontal="center" vertical="center"/>
    </xf>
    <xf numFmtId="0" fontId="113" fillId="0" borderId="0" xfId="0" applyFont="1" applyAlignment="1">
      <alignment horizontal="center"/>
    </xf>
    <xf numFmtId="0" fontId="40" fillId="0" borderId="0" xfId="0" applyFont="1" applyAlignment="1">
      <alignment vertical="center"/>
    </xf>
    <xf numFmtId="3" fontId="113" fillId="0" borderId="0" xfId="0" applyNumberFormat="1" applyFont="1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0" fillId="0" borderId="10" xfId="0" applyFont="1" applyBorder="1" applyAlignment="1">
      <alignment horizontal="center" vertical="center"/>
    </xf>
    <xf numFmtId="41" fontId="113" fillId="0" borderId="10" xfId="2" applyFont="1" applyBorder="1" applyAlignment="1">
      <alignment vertical="center"/>
    </xf>
    <xf numFmtId="3" fontId="40" fillId="0" borderId="0" xfId="0" applyNumberFormat="1" applyFont="1" applyAlignment="1">
      <alignment horizontal="center" vertical="center"/>
    </xf>
    <xf numFmtId="0" fontId="113" fillId="0" borderId="58" xfId="0" applyFont="1" applyBorder="1" applyAlignment="1">
      <alignment horizontal="left" vertical="center"/>
    </xf>
    <xf numFmtId="0" fontId="113" fillId="0" borderId="76" xfId="0" applyFont="1" applyBorder="1" applyAlignment="1">
      <alignment horizontal="left" vertical="center"/>
    </xf>
    <xf numFmtId="0" fontId="113" fillId="0" borderId="71" xfId="0" applyFont="1" applyBorder="1" applyAlignment="1">
      <alignment horizontal="left" vertical="center"/>
    </xf>
    <xf numFmtId="3" fontId="40" fillId="0" borderId="10" xfId="0" applyNumberFormat="1" applyFont="1" applyBorder="1" applyAlignment="1">
      <alignment horizontal="right" vertical="center"/>
    </xf>
    <xf numFmtId="3" fontId="114" fillId="0" borderId="0" xfId="0" applyNumberFormat="1" applyFont="1" applyAlignment="1">
      <alignment vertical="center"/>
    </xf>
    <xf numFmtId="0" fontId="40" fillId="0" borderId="10" xfId="0" applyFont="1" applyBorder="1" applyAlignment="1">
      <alignment vertical="center"/>
    </xf>
    <xf numFmtId="3" fontId="40" fillId="0" borderId="10" xfId="0" applyNumberFormat="1" applyFont="1" applyBorder="1" applyAlignment="1">
      <alignment vertical="center"/>
    </xf>
    <xf numFmtId="3" fontId="40" fillId="0" borderId="0" xfId="0" applyNumberFormat="1" applyFont="1" applyAlignment="1">
      <alignment vertical="center"/>
    </xf>
    <xf numFmtId="0" fontId="113" fillId="0" borderId="10" xfId="0" applyFont="1" applyBorder="1"/>
    <xf numFmtId="3" fontId="115" fillId="0" borderId="10" xfId="7" applyNumberFormat="1" applyFont="1" applyFill="1" applyBorder="1" applyAlignment="1">
      <alignment horizontal="center" vertical="center"/>
    </xf>
    <xf numFmtId="0" fontId="113" fillId="0" borderId="58" xfId="0" applyFont="1" applyBorder="1" applyAlignment="1">
      <alignment vertical="center"/>
    </xf>
    <xf numFmtId="0" fontId="113" fillId="0" borderId="76" xfId="0" applyFont="1" applyBorder="1" applyAlignment="1">
      <alignment vertical="center"/>
    </xf>
    <xf numFmtId="41" fontId="113" fillId="0" borderId="71" xfId="0" applyNumberFormat="1" applyFont="1" applyBorder="1" applyAlignment="1">
      <alignment vertical="center"/>
    </xf>
    <xf numFmtId="41" fontId="113" fillId="0" borderId="0" xfId="0" applyNumberFormat="1" applyFont="1"/>
    <xf numFmtId="0" fontId="113" fillId="0" borderId="88" xfId="0" applyFont="1" applyBorder="1" applyAlignment="1">
      <alignment horizontal="center" vertical="center"/>
    </xf>
    <xf numFmtId="0" fontId="113" fillId="0" borderId="112" xfId="0" applyFont="1" applyBorder="1" applyAlignment="1">
      <alignment horizontal="center" vertical="center"/>
    </xf>
    <xf numFmtId="17" fontId="113" fillId="0" borderId="12" xfId="0" applyNumberFormat="1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3" fontId="24" fillId="0" borderId="50" xfId="0" applyNumberFormat="1" applyFont="1" applyBorder="1" applyAlignment="1">
      <alignment horizontal="right" vertical="center"/>
    </xf>
    <xf numFmtId="0" fontId="113" fillId="0" borderId="98" xfId="0" applyFont="1" applyBorder="1" applyAlignment="1">
      <alignment horizontal="center" vertical="center"/>
    </xf>
    <xf numFmtId="2" fontId="113" fillId="0" borderId="3" xfId="0" applyNumberFormat="1" applyFont="1" applyBorder="1" applyAlignment="1">
      <alignment horizontal="center" vertical="center"/>
    </xf>
    <xf numFmtId="41" fontId="113" fillId="0" borderId="0" xfId="0" applyNumberFormat="1" applyFont="1" applyAlignment="1">
      <alignment vertical="center"/>
    </xf>
    <xf numFmtId="41" fontId="40" fillId="0" borderId="10" xfId="2" applyFont="1" applyBorder="1" applyAlignment="1">
      <alignment horizontal="right" vertical="center"/>
    </xf>
    <xf numFmtId="3" fontId="116" fillId="0" borderId="0" xfId="0" applyNumberFormat="1" applyFont="1" applyAlignment="1">
      <alignment vertical="center"/>
    </xf>
    <xf numFmtId="173" fontId="40" fillId="0" borderId="10" xfId="2" applyNumberFormat="1" applyFont="1" applyBorder="1" applyAlignment="1">
      <alignment vertical="center"/>
    </xf>
    <xf numFmtId="3" fontId="40" fillId="0" borderId="10" xfId="0" applyNumberFormat="1" applyFont="1" applyBorder="1" applyAlignment="1">
      <alignment horizontal="center" vertical="center"/>
    </xf>
    <xf numFmtId="173" fontId="113" fillId="0" borderId="10" xfId="2" applyNumberFormat="1" applyFont="1" applyBorder="1" applyAlignment="1">
      <alignment vertical="center"/>
    </xf>
    <xf numFmtId="0" fontId="113" fillId="0" borderId="0" xfId="0" applyFont="1" applyAlignment="1">
      <alignment horizontal="left" vertical="center"/>
    </xf>
    <xf numFmtId="3" fontId="40" fillId="0" borderId="0" xfId="0" applyNumberFormat="1" applyFont="1" applyAlignment="1">
      <alignment horizontal="right" vertical="center"/>
    </xf>
    <xf numFmtId="4" fontId="113" fillId="0" borderId="0" xfId="0" applyNumberFormat="1" applyFont="1" applyAlignment="1">
      <alignment vertical="center"/>
    </xf>
    <xf numFmtId="3" fontId="115" fillId="0" borderId="0" xfId="7" applyNumberFormat="1" applyFont="1" applyFill="1" applyBorder="1" applyAlignment="1">
      <alignment horizontal="center" vertical="center"/>
    </xf>
    <xf numFmtId="0" fontId="113" fillId="0" borderId="109" xfId="0" applyFont="1" applyBorder="1" applyAlignment="1">
      <alignment horizontal="center" vertical="center"/>
    </xf>
    <xf numFmtId="0" fontId="24" fillId="0" borderId="122" xfId="0" applyFont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/>
    </xf>
    <xf numFmtId="0" fontId="24" fillId="7" borderId="73" xfId="0" applyFont="1" applyFill="1" applyBorder="1" applyAlignment="1">
      <alignment horizontal="center" vertical="center"/>
    </xf>
    <xf numFmtId="3" fontId="24" fillId="7" borderId="42" xfId="0" applyNumberFormat="1" applyFont="1" applyFill="1" applyBorder="1" applyAlignment="1">
      <alignment horizontal="center" vertical="center"/>
    </xf>
    <xf numFmtId="3" fontId="24" fillId="7" borderId="10" xfId="0" applyNumberFormat="1" applyFont="1" applyFill="1" applyBorder="1" applyAlignment="1">
      <alignment horizontal="center" vertical="center"/>
    </xf>
    <xf numFmtId="3" fontId="24" fillId="7" borderId="42" xfId="0" applyNumberFormat="1" applyFont="1" applyFill="1" applyBorder="1" applyAlignment="1">
      <alignment horizontal="right" vertical="center"/>
    </xf>
    <xf numFmtId="3" fontId="24" fillId="7" borderId="52" xfId="0" applyNumberFormat="1" applyFont="1" applyFill="1" applyBorder="1" applyAlignment="1">
      <alignment horizontal="right" vertical="center"/>
    </xf>
    <xf numFmtId="3" fontId="24" fillId="7" borderId="52" xfId="0" applyNumberFormat="1" applyFont="1" applyFill="1" applyBorder="1" applyAlignment="1">
      <alignment horizontal="center" vertical="center"/>
    </xf>
    <xf numFmtId="3" fontId="24" fillId="7" borderId="38" xfId="0" applyNumberFormat="1" applyFont="1" applyFill="1" applyBorder="1" applyAlignment="1">
      <alignment horizontal="right" vertical="center"/>
    </xf>
    <xf numFmtId="0" fontId="24" fillId="7" borderId="10" xfId="0" applyFont="1" applyFill="1" applyBorder="1" applyAlignment="1">
      <alignment horizontal="center" vertical="center"/>
    </xf>
    <xf numFmtId="3" fontId="24" fillId="7" borderId="10" xfId="0" applyNumberFormat="1" applyFont="1" applyFill="1" applyBorder="1" applyAlignment="1">
      <alignment horizontal="right" vertical="center"/>
    </xf>
    <xf numFmtId="3" fontId="24" fillId="7" borderId="58" xfId="0" applyNumberFormat="1" applyFont="1" applyFill="1" applyBorder="1" applyAlignment="1">
      <alignment horizontal="right" vertical="center"/>
    </xf>
    <xf numFmtId="3" fontId="24" fillId="7" borderId="58" xfId="0" applyNumberFormat="1" applyFont="1" applyFill="1" applyBorder="1" applyAlignment="1">
      <alignment horizontal="center" vertical="center"/>
    </xf>
    <xf numFmtId="3" fontId="24" fillId="7" borderId="122" xfId="0" applyNumberFormat="1" applyFont="1" applyFill="1" applyBorder="1" applyAlignment="1">
      <alignment horizontal="center" vertical="center"/>
    </xf>
    <xf numFmtId="3" fontId="24" fillId="7" borderId="122" xfId="0" applyNumberFormat="1" applyFont="1" applyFill="1" applyBorder="1" applyAlignment="1">
      <alignment horizontal="right" vertical="center"/>
    </xf>
    <xf numFmtId="3" fontId="24" fillId="7" borderId="57" xfId="0" applyNumberFormat="1" applyFont="1" applyFill="1" applyBorder="1" applyAlignment="1">
      <alignment horizontal="right" vertical="center"/>
    </xf>
    <xf numFmtId="205" fontId="24" fillId="7" borderId="10" xfId="252" applyNumberFormat="1" applyFont="1" applyFill="1" applyBorder="1" applyAlignment="1">
      <alignment horizontal="right" vertical="center"/>
    </xf>
    <xf numFmtId="3" fontId="24" fillId="7" borderId="44" xfId="0" applyNumberFormat="1" applyFont="1" applyFill="1" applyBorder="1" applyAlignment="1">
      <alignment horizontal="center" vertical="center"/>
    </xf>
    <xf numFmtId="3" fontId="24" fillId="7" borderId="34" xfId="0" applyNumberFormat="1" applyFont="1" applyFill="1" applyBorder="1" applyAlignment="1">
      <alignment horizontal="right" vertical="center"/>
    </xf>
    <xf numFmtId="3" fontId="24" fillId="7" borderId="59" xfId="0" applyNumberFormat="1" applyFont="1" applyFill="1" applyBorder="1" applyAlignment="1">
      <alignment horizontal="right" vertical="center"/>
    </xf>
    <xf numFmtId="3" fontId="24" fillId="7" borderId="59" xfId="0" applyNumberFormat="1" applyFont="1" applyFill="1" applyBorder="1" applyAlignment="1">
      <alignment horizontal="center" vertical="center"/>
    </xf>
    <xf numFmtId="3" fontId="24" fillId="7" borderId="71" xfId="0" applyNumberFormat="1" applyFont="1" applyFill="1" applyBorder="1" applyAlignment="1">
      <alignment horizontal="center" vertical="center"/>
    </xf>
    <xf numFmtId="0" fontId="24" fillId="7" borderId="71" xfId="0" applyFont="1" applyFill="1" applyBorder="1" applyAlignment="1">
      <alignment horizontal="center" vertical="center"/>
    </xf>
    <xf numFmtId="3" fontId="24" fillId="7" borderId="73" xfId="0" applyNumberFormat="1" applyFont="1" applyFill="1" applyBorder="1" applyAlignment="1">
      <alignment horizontal="center" vertical="center"/>
    </xf>
    <xf numFmtId="3" fontId="24" fillId="7" borderId="47" xfId="0" applyNumberFormat="1" applyFont="1" applyFill="1" applyBorder="1" applyAlignment="1">
      <alignment horizontal="right" vertical="center"/>
    </xf>
    <xf numFmtId="41" fontId="117" fillId="7" borderId="10" xfId="471" applyFont="1" applyFill="1" applyBorder="1" applyAlignment="1">
      <alignment horizontal="center" vertical="center"/>
    </xf>
    <xf numFmtId="3" fontId="27" fillId="7" borderId="10" xfId="0" applyNumberFormat="1" applyFont="1" applyFill="1" applyBorder="1" applyAlignment="1">
      <alignment horizontal="center" vertical="center"/>
    </xf>
    <xf numFmtId="3" fontId="85" fillId="7" borderId="10" xfId="482" applyNumberFormat="1" applyFont="1" applyFill="1" applyBorder="1" applyAlignment="1">
      <alignment horizontal="center" vertical="center"/>
    </xf>
    <xf numFmtId="4" fontId="27" fillId="0" borderId="149" xfId="0" applyNumberFormat="1" applyFont="1" applyBorder="1" applyAlignment="1">
      <alignment horizontal="right" vertical="center"/>
    </xf>
    <xf numFmtId="3" fontId="27" fillId="0" borderId="149" xfId="0" applyNumberFormat="1" applyFont="1" applyBorder="1" applyAlignment="1">
      <alignment horizontal="right" vertical="center"/>
    </xf>
    <xf numFmtId="3" fontId="86" fillId="0" borderId="149" xfId="0" applyNumberFormat="1" applyFont="1" applyBorder="1" applyAlignment="1">
      <alignment horizontal="right" vertical="center"/>
    </xf>
    <xf numFmtId="3" fontId="85" fillId="0" borderId="149" xfId="0" applyNumberFormat="1" applyFont="1" applyBorder="1" applyAlignment="1">
      <alignment horizontal="right" vertical="center"/>
    </xf>
    <xf numFmtId="41" fontId="75" fillId="0" borderId="149" xfId="2" applyFont="1" applyFill="1" applyBorder="1" applyAlignment="1">
      <alignment horizontal="center" vertical="center"/>
    </xf>
    <xf numFmtId="3" fontId="27" fillId="0" borderId="151" xfId="0" applyNumberFormat="1" applyFont="1" applyBorder="1" applyAlignment="1">
      <alignment horizontal="right" vertical="center"/>
    </xf>
    <xf numFmtId="3" fontId="27" fillId="0" borderId="150" xfId="0" applyNumberFormat="1" applyFont="1" applyBorder="1" applyAlignment="1">
      <alignment horizontal="right" vertical="center"/>
    </xf>
    <xf numFmtId="3" fontId="24" fillId="0" borderId="122" xfId="0" applyNumberFormat="1" applyFont="1" applyBorder="1" applyAlignment="1">
      <alignment horizontal="right" vertical="center"/>
    </xf>
    <xf numFmtId="3" fontId="24" fillId="0" borderId="149" xfId="0" applyNumberFormat="1" applyFont="1" applyBorder="1" applyAlignment="1">
      <alignment horizontal="center" vertical="center"/>
    </xf>
    <xf numFmtId="3" fontId="24" fillId="0" borderId="122" xfId="0" applyNumberFormat="1" applyFont="1" applyBorder="1" applyAlignment="1">
      <alignment horizontal="center" vertical="center"/>
    </xf>
    <xf numFmtId="3" fontId="27" fillId="7" borderId="71" xfId="0" applyNumberFormat="1" applyFont="1" applyFill="1" applyBorder="1" applyAlignment="1">
      <alignment horizontal="center" vertical="center"/>
    </xf>
    <xf numFmtId="2" fontId="113" fillId="0" borderId="52" xfId="0" applyNumberFormat="1" applyFont="1" applyBorder="1" applyAlignment="1">
      <alignment horizontal="center" vertical="center"/>
    </xf>
    <xf numFmtId="2" fontId="40" fillId="0" borderId="113" xfId="0" applyNumberFormat="1" applyFont="1" applyBorder="1" applyAlignment="1">
      <alignment horizontal="center" vertical="center"/>
    </xf>
    <xf numFmtId="4" fontId="113" fillId="0" borderId="99" xfId="0" applyNumberFormat="1" applyFont="1" applyBorder="1" applyAlignment="1">
      <alignment horizontal="center" vertical="center"/>
    </xf>
    <xf numFmtId="4" fontId="113" fillId="0" borderId="96" xfId="0" applyNumberFormat="1" applyFont="1" applyBorder="1" applyAlignment="1">
      <alignment horizontal="center" vertical="center"/>
    </xf>
    <xf numFmtId="3" fontId="113" fillId="7" borderId="10" xfId="0" applyNumberFormat="1" applyFont="1" applyFill="1" applyBorder="1" applyAlignment="1">
      <alignment vertical="center"/>
    </xf>
    <xf numFmtId="0" fontId="27" fillId="0" borderId="149" xfId="0" applyFont="1" applyBorder="1" applyAlignment="1">
      <alignment horizontal="center" vertical="center"/>
    </xf>
    <xf numFmtId="3" fontId="27" fillId="0" borderId="149" xfId="0" applyNumberFormat="1" applyFont="1" applyBorder="1" applyAlignment="1">
      <alignment horizontal="center" vertical="center"/>
    </xf>
    <xf numFmtId="3" fontId="27" fillId="0" borderId="149" xfId="0" applyNumberFormat="1" applyFont="1" applyBorder="1" applyAlignment="1">
      <alignment vertical="center"/>
    </xf>
    <xf numFmtId="3" fontId="27" fillId="0" borderId="150" xfId="0" applyNumberFormat="1" applyFont="1" applyBorder="1" applyAlignment="1">
      <alignment vertical="center"/>
    </xf>
    <xf numFmtId="3" fontId="27" fillId="0" borderId="150" xfId="0" applyNumberFormat="1" applyFont="1" applyBorder="1" applyAlignment="1">
      <alignment horizontal="center" vertical="center"/>
    </xf>
    <xf numFmtId="3" fontId="27" fillId="0" borderId="151" xfId="0" applyNumberFormat="1" applyFont="1" applyBorder="1" applyAlignment="1">
      <alignment vertical="center"/>
    </xf>
    <xf numFmtId="0" fontId="75" fillId="0" borderId="149" xfId="0" applyFont="1" applyBorder="1" applyAlignment="1">
      <alignment horizontal="right" vertical="center"/>
    </xf>
    <xf numFmtId="41" fontId="28" fillId="0" borderId="0" xfId="2" applyFont="1" applyAlignment="1">
      <alignment horizontal="left" vertical="center"/>
    </xf>
    <xf numFmtId="41" fontId="28" fillId="0" borderId="0" xfId="2" applyFont="1" applyAlignment="1">
      <alignment vertical="center"/>
    </xf>
    <xf numFmtId="0" fontId="24" fillId="0" borderId="149" xfId="0" applyFont="1" applyBorder="1" applyAlignment="1">
      <alignment vertical="center"/>
    </xf>
    <xf numFmtId="41" fontId="24" fillId="0" borderId="0" xfId="2" applyFont="1" applyAlignment="1">
      <alignment vertical="center"/>
    </xf>
    <xf numFmtId="41" fontId="24" fillId="0" borderId="0" xfId="2" applyFont="1" applyAlignment="1">
      <alignment horizontal="left" vertical="center"/>
    </xf>
    <xf numFmtId="168" fontId="24" fillId="0" borderId="0" xfId="1" applyNumberFormat="1" applyFont="1" applyAlignment="1">
      <alignment vertical="center"/>
    </xf>
    <xf numFmtId="168" fontId="24" fillId="0" borderId="154" xfId="1" applyNumberFormat="1" applyFont="1" applyBorder="1" applyAlignment="1">
      <alignment vertical="center"/>
    </xf>
    <xf numFmtId="0" fontId="24" fillId="0" borderId="158" xfId="0" applyFont="1" applyBorder="1" applyAlignment="1">
      <alignment horizontal="center" vertical="center"/>
    </xf>
    <xf numFmtId="0" fontId="24" fillId="0" borderId="154" xfId="0" applyFont="1" applyBorder="1" applyAlignment="1">
      <alignment horizontal="center" vertical="center"/>
    </xf>
    <xf numFmtId="0" fontId="28" fillId="0" borderId="154" xfId="0" applyFont="1" applyBorder="1" applyAlignment="1">
      <alignment vertical="center"/>
    </xf>
    <xf numFmtId="0" fontId="24" fillId="0" borderId="154" xfId="0" applyFont="1" applyBorder="1" applyAlignment="1">
      <alignment vertical="center"/>
    </xf>
    <xf numFmtId="3" fontId="84" fillId="0" borderId="156" xfId="0" applyNumberFormat="1" applyFont="1" applyBorder="1" applyAlignment="1">
      <alignment horizontal="right" vertical="center"/>
    </xf>
    <xf numFmtId="3" fontId="85" fillId="0" borderId="156" xfId="0" applyNumberFormat="1" applyFont="1" applyBorder="1" applyAlignment="1">
      <alignment horizontal="right" vertical="center"/>
    </xf>
    <xf numFmtId="0" fontId="28" fillId="0" borderId="156" xfId="0" applyFont="1" applyBorder="1" applyAlignment="1">
      <alignment horizontal="right" vertical="center"/>
    </xf>
    <xf numFmtId="0" fontId="27" fillId="7" borderId="8" xfId="0" applyFont="1" applyFill="1" applyBorder="1" applyAlignment="1">
      <alignment horizontal="left" vertical="center"/>
    </xf>
    <xf numFmtId="0" fontId="27" fillId="7" borderId="8" xfId="0" applyFont="1" applyFill="1" applyBorder="1" applyAlignment="1">
      <alignment horizontal="center" vertical="center"/>
    </xf>
    <xf numFmtId="3" fontId="40" fillId="7" borderId="54" xfId="0" applyNumberFormat="1" applyFont="1" applyFill="1" applyBorder="1" applyAlignment="1">
      <alignment horizontal="center" vertical="center"/>
    </xf>
    <xf numFmtId="3" fontId="40" fillId="7" borderId="54" xfId="0" applyNumberFormat="1" applyFont="1" applyFill="1" applyBorder="1" applyAlignment="1">
      <alignment vertical="center"/>
    </xf>
    <xf numFmtId="4" fontId="40" fillId="7" borderId="54" xfId="0" applyNumberFormat="1" applyFont="1" applyFill="1" applyBorder="1" applyAlignment="1">
      <alignment vertical="center"/>
    </xf>
    <xf numFmtId="3" fontId="19" fillId="7" borderId="61" xfId="0" applyNumberFormat="1" applyFont="1" applyFill="1" applyBorder="1" applyAlignment="1">
      <alignment horizontal="right" vertical="center"/>
    </xf>
    <xf numFmtId="3" fontId="18" fillId="7" borderId="58" xfId="0" applyNumberFormat="1" applyFont="1" applyFill="1" applyBorder="1" applyAlignment="1">
      <alignment horizontal="right" vertical="center"/>
    </xf>
    <xf numFmtId="4" fontId="76" fillId="7" borderId="34" xfId="0" applyNumberFormat="1" applyFont="1" applyFill="1" applyBorder="1" applyAlignment="1">
      <alignment vertical="center"/>
    </xf>
    <xf numFmtId="3" fontId="18" fillId="7" borderId="10" xfId="0" applyNumberFormat="1" applyFont="1" applyFill="1" applyBorder="1" applyAlignment="1">
      <alignment horizontal="right" vertical="center"/>
    </xf>
    <xf numFmtId="4" fontId="76" fillId="7" borderId="3" xfId="0" applyNumberFormat="1" applyFont="1" applyFill="1" applyBorder="1" applyAlignment="1">
      <alignment vertical="center"/>
    </xf>
    <xf numFmtId="4" fontId="76" fillId="7" borderId="10" xfId="0" applyNumberFormat="1" applyFont="1" applyFill="1" applyBorder="1" applyAlignment="1">
      <alignment vertical="center"/>
    </xf>
    <xf numFmtId="3" fontId="18" fillId="7" borderId="122" xfId="0" applyNumberFormat="1" applyFont="1" applyFill="1" applyBorder="1" applyAlignment="1">
      <alignment horizontal="right" vertical="center"/>
    </xf>
    <xf numFmtId="3" fontId="19" fillId="7" borderId="58" xfId="0" applyNumberFormat="1" applyFont="1" applyFill="1" applyBorder="1" applyAlignment="1">
      <alignment horizontal="right" vertical="center"/>
    </xf>
    <xf numFmtId="3" fontId="19" fillId="7" borderId="10" xfId="0" applyNumberFormat="1" applyFont="1" applyFill="1" applyBorder="1" applyAlignment="1">
      <alignment horizontal="right" vertical="center"/>
    </xf>
    <xf numFmtId="3" fontId="18" fillId="7" borderId="52" xfId="0" applyNumberFormat="1" applyFont="1" applyFill="1" applyBorder="1" applyAlignment="1">
      <alignment horizontal="right" vertical="center"/>
    </xf>
    <xf numFmtId="3" fontId="19" fillId="7" borderId="56" xfId="0" applyNumberFormat="1" applyFont="1" applyFill="1" applyBorder="1" applyAlignment="1">
      <alignment horizontal="right" vertical="center"/>
    </xf>
    <xf numFmtId="3" fontId="19" fillId="7" borderId="12" xfId="0" applyNumberFormat="1" applyFont="1" applyFill="1" applyBorder="1" applyAlignment="1">
      <alignment horizontal="right" vertical="center"/>
    </xf>
    <xf numFmtId="3" fontId="19" fillId="7" borderId="74" xfId="0" applyNumberFormat="1" applyFont="1" applyFill="1" applyBorder="1" applyAlignment="1">
      <alignment horizontal="right" vertical="center"/>
    </xf>
    <xf numFmtId="4" fontId="19" fillId="7" borderId="74" xfId="0" applyNumberFormat="1" applyFont="1" applyFill="1" applyBorder="1" applyAlignment="1">
      <alignment horizontal="right" vertical="center"/>
    </xf>
    <xf numFmtId="3" fontId="19" fillId="7" borderId="52" xfId="0" applyNumberFormat="1" applyFont="1" applyFill="1" applyBorder="1" applyAlignment="1">
      <alignment horizontal="right" vertical="center"/>
    </xf>
    <xf numFmtId="4" fontId="76" fillId="7" borderId="122" xfId="0" applyNumberFormat="1" applyFont="1" applyFill="1" applyBorder="1" applyAlignment="1">
      <alignment vertical="center"/>
    </xf>
    <xf numFmtId="3" fontId="19" fillId="7" borderId="60" xfId="0" applyNumberFormat="1" applyFont="1" applyFill="1" applyBorder="1" applyAlignment="1">
      <alignment horizontal="right" vertical="center"/>
    </xf>
    <xf numFmtId="3" fontId="24" fillId="0" borderId="156" xfId="0" applyNumberFormat="1" applyFont="1" applyBorder="1" applyAlignment="1">
      <alignment horizontal="center" vertical="center"/>
    </xf>
    <xf numFmtId="3" fontId="24" fillId="0" borderId="156" xfId="0" applyNumberFormat="1" applyFont="1" applyBorder="1" applyAlignment="1">
      <alignment horizontal="right" vertical="center"/>
    </xf>
    <xf numFmtId="3" fontId="24" fillId="0" borderId="155" xfId="0" applyNumberFormat="1" applyFont="1" applyBorder="1" applyAlignment="1">
      <alignment horizontal="right" vertical="center"/>
    </xf>
    <xf numFmtId="3" fontId="24" fillId="0" borderId="155" xfId="0" applyNumberFormat="1" applyFont="1" applyBorder="1" applyAlignment="1">
      <alignment horizontal="center" vertical="center"/>
    </xf>
    <xf numFmtId="3" fontId="28" fillId="0" borderId="156" xfId="0" applyNumberFormat="1" applyFont="1" applyBorder="1" applyAlignment="1">
      <alignment horizontal="center" vertical="center"/>
    </xf>
    <xf numFmtId="3" fontId="28" fillId="0" borderId="155" xfId="0" applyNumberFormat="1" applyFont="1" applyBorder="1" applyAlignment="1">
      <alignment horizontal="right" vertical="center"/>
    </xf>
    <xf numFmtId="168" fontId="28" fillId="0" borderId="15" xfId="1" applyNumberFormat="1" applyFont="1" applyFill="1" applyBorder="1" applyAlignment="1">
      <alignment vertical="center"/>
    </xf>
    <xf numFmtId="168" fontId="24" fillId="0" borderId="15" xfId="1" applyNumberFormat="1" applyFont="1" applyFill="1" applyBorder="1" applyAlignment="1">
      <alignment vertical="center"/>
    </xf>
    <xf numFmtId="3" fontId="24" fillId="0" borderId="151" xfId="0" applyNumberFormat="1" applyFont="1" applyBorder="1" applyAlignment="1">
      <alignment horizontal="right" vertical="center"/>
    </xf>
    <xf numFmtId="3" fontId="28" fillId="0" borderId="151" xfId="0" applyNumberFormat="1" applyFont="1" applyBorder="1" applyAlignment="1">
      <alignment horizontal="right" vertical="center"/>
    </xf>
    <xf numFmtId="0" fontId="113" fillId="0" borderId="154" xfId="0" applyFont="1" applyBorder="1"/>
    <xf numFmtId="0" fontId="19" fillId="0" borderId="154" xfId="0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22" fillId="0" borderId="89" xfId="0" applyFont="1" applyBorder="1" applyAlignment="1">
      <alignment vertical="center"/>
    </xf>
    <xf numFmtId="3" fontId="47" fillId="0" borderId="154" xfId="0" applyNumberFormat="1" applyFont="1" applyBorder="1" applyAlignment="1">
      <alignment vertical="center"/>
    </xf>
    <xf numFmtId="3" fontId="18" fillId="0" borderId="154" xfId="0" applyNumberFormat="1" applyFont="1" applyBorder="1" applyAlignment="1">
      <alignment vertical="center"/>
    </xf>
    <xf numFmtId="0" fontId="22" fillId="0" borderId="91" xfId="0" applyFont="1" applyBorder="1" applyAlignment="1">
      <alignment vertical="center"/>
    </xf>
    <xf numFmtId="3" fontId="47" fillId="0" borderId="104" xfId="0" applyNumberFormat="1" applyFont="1" applyBorder="1" applyAlignment="1">
      <alignment vertical="center"/>
    </xf>
    <xf numFmtId="3" fontId="47" fillId="0" borderId="92" xfId="0" applyNumberFormat="1" applyFont="1" applyBorder="1" applyAlignment="1">
      <alignment vertical="center"/>
    </xf>
    <xf numFmtId="0" fontId="24" fillId="7" borderId="15" xfId="0" applyFont="1" applyFill="1" applyBorder="1" applyAlignment="1">
      <alignment horizontal="center" vertical="center"/>
    </xf>
    <xf numFmtId="3" fontId="24" fillId="7" borderId="15" xfId="0" applyNumberFormat="1" applyFont="1" applyFill="1" applyBorder="1" applyAlignment="1">
      <alignment horizontal="center" vertical="center"/>
    </xf>
    <xf numFmtId="3" fontId="24" fillId="7" borderId="3" xfId="0" applyNumberFormat="1" applyFont="1" applyFill="1" applyBorder="1" applyAlignment="1">
      <alignment horizontal="center" vertical="center"/>
    </xf>
    <xf numFmtId="3" fontId="24" fillId="7" borderId="3" xfId="0" applyNumberFormat="1" applyFont="1" applyFill="1" applyBorder="1" applyAlignment="1">
      <alignment horizontal="right" vertical="center"/>
    </xf>
    <xf numFmtId="3" fontId="24" fillId="7" borderId="57" xfId="0" applyNumberFormat="1" applyFont="1" applyFill="1" applyBorder="1" applyAlignment="1">
      <alignment horizontal="center" vertical="center"/>
    </xf>
    <xf numFmtId="3" fontId="24" fillId="7" borderId="4" xfId="0" applyNumberFormat="1" applyFont="1" applyFill="1" applyBorder="1" applyAlignment="1">
      <alignment horizontal="right" vertical="center"/>
    </xf>
    <xf numFmtId="41" fontId="28" fillId="0" borderId="57" xfId="0" applyNumberFormat="1" applyFont="1" applyBorder="1" applyAlignment="1">
      <alignment vertical="center"/>
    </xf>
    <xf numFmtId="3" fontId="28" fillId="0" borderId="154" xfId="0" applyNumberFormat="1" applyFont="1" applyBorder="1" applyAlignment="1">
      <alignment horizontal="center" vertical="center"/>
    </xf>
    <xf numFmtId="3" fontId="81" fillId="0" borderId="154" xfId="0" applyNumberFormat="1" applyFont="1" applyBorder="1" applyAlignment="1">
      <alignment horizontal="right" vertical="center"/>
    </xf>
    <xf numFmtId="3" fontId="27" fillId="0" borderId="156" xfId="0" applyNumberFormat="1" applyFont="1" applyBorder="1" applyAlignment="1">
      <alignment horizontal="right" vertical="center"/>
    </xf>
    <xf numFmtId="3" fontId="27" fillId="0" borderId="154" xfId="0" applyNumberFormat="1" applyFont="1" applyBorder="1" applyAlignment="1">
      <alignment horizontal="right" vertical="center"/>
    </xf>
    <xf numFmtId="4" fontId="27" fillId="0" borderId="154" xfId="0" applyNumberFormat="1" applyFont="1" applyBorder="1" applyAlignment="1">
      <alignment horizontal="right" vertical="center"/>
    </xf>
    <xf numFmtId="3" fontId="28" fillId="0" borderId="152" xfId="0" applyNumberFormat="1" applyFont="1" applyBorder="1" applyAlignment="1">
      <alignment horizontal="center" vertical="center"/>
    </xf>
    <xf numFmtId="0" fontId="28" fillId="0" borderId="73" xfId="0" applyFont="1" applyBorder="1" applyAlignment="1">
      <alignment horizontal="right" vertical="center"/>
    </xf>
    <xf numFmtId="3" fontId="24" fillId="7" borderId="154" xfId="0" applyNumberFormat="1" applyFont="1" applyFill="1" applyBorder="1" applyAlignment="1">
      <alignment horizontal="center" vertical="center"/>
    </xf>
    <xf numFmtId="0" fontId="24" fillId="7" borderId="154" xfId="0" applyFont="1" applyFill="1" applyBorder="1" applyAlignment="1">
      <alignment horizontal="center" vertical="center"/>
    </xf>
    <xf numFmtId="3" fontId="24" fillId="7" borderId="154" xfId="0" applyNumberFormat="1" applyFont="1" applyFill="1" applyBorder="1" applyAlignment="1">
      <alignment horizontal="right" vertical="center"/>
    </xf>
    <xf numFmtId="3" fontId="24" fillId="0" borderId="154" xfId="0" applyNumberFormat="1" applyFont="1" applyBorder="1" applyAlignment="1">
      <alignment horizontal="right" vertical="center"/>
    </xf>
    <xf numFmtId="0" fontId="28" fillId="0" borderId="154" xfId="0" applyFont="1" applyBorder="1" applyAlignment="1">
      <alignment horizontal="right" vertical="center"/>
    </xf>
    <xf numFmtId="168" fontId="28" fillId="0" borderId="57" xfId="1" applyNumberFormat="1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3" fontId="19" fillId="0" borderId="67" xfId="0" applyNumberFormat="1" applyFont="1" applyBorder="1" applyAlignment="1">
      <alignment horizontal="center" vertical="center"/>
    </xf>
    <xf numFmtId="3" fontId="28" fillId="0" borderId="57" xfId="0" applyNumberFormat="1" applyFont="1" applyBorder="1" applyAlignment="1">
      <alignment vertical="center"/>
    </xf>
    <xf numFmtId="3" fontId="24" fillId="0" borderId="57" xfId="0" applyNumberFormat="1" applyFont="1" applyBorder="1" applyAlignment="1">
      <alignment vertical="center"/>
    </xf>
    <xf numFmtId="3" fontId="24" fillId="0" borderId="151" xfId="0" applyNumberFormat="1" applyFont="1" applyBorder="1" applyAlignment="1">
      <alignment vertical="center"/>
    </xf>
    <xf numFmtId="0" fontId="24" fillId="0" borderId="151" xfId="0" applyFont="1" applyBorder="1" applyAlignment="1">
      <alignment vertical="center"/>
    </xf>
    <xf numFmtId="0" fontId="28" fillId="0" borderId="151" xfId="0" applyFont="1" applyBorder="1" applyAlignment="1">
      <alignment vertical="center"/>
    </xf>
    <xf numFmtId="0" fontId="24" fillId="0" borderId="47" xfId="0" applyFont="1" applyBorder="1" applyAlignment="1">
      <alignment vertical="center"/>
    </xf>
    <xf numFmtId="0" fontId="24" fillId="0" borderId="41" xfId="0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3" fontId="24" fillId="0" borderId="108" xfId="0" applyNumberFormat="1" applyFont="1" applyBorder="1" applyAlignment="1">
      <alignment vertical="center"/>
    </xf>
    <xf numFmtId="3" fontId="24" fillId="0" borderId="74" xfId="0" applyNumberFormat="1" applyFont="1" applyBorder="1" applyAlignment="1">
      <alignment vertical="center"/>
    </xf>
    <xf numFmtId="3" fontId="24" fillId="0" borderId="161" xfId="0" applyNumberFormat="1" applyFont="1" applyBorder="1" applyAlignment="1">
      <alignment vertical="center"/>
    </xf>
    <xf numFmtId="3" fontId="24" fillId="0" borderId="108" xfId="0" applyNumberFormat="1" applyFont="1" applyBorder="1" applyAlignment="1">
      <alignment horizontal="center" vertical="center"/>
    </xf>
    <xf numFmtId="0" fontId="24" fillId="0" borderId="161" xfId="0" applyFont="1" applyBorder="1" applyAlignment="1">
      <alignment vertical="center"/>
    </xf>
    <xf numFmtId="0" fontId="28" fillId="0" borderId="161" xfId="0" applyFont="1" applyBorder="1" applyAlignment="1">
      <alignment vertical="center"/>
    </xf>
    <xf numFmtId="0" fontId="24" fillId="0" borderId="160" xfId="0" applyFont="1" applyBorder="1" applyAlignment="1">
      <alignment vertical="center"/>
    </xf>
    <xf numFmtId="168" fontId="24" fillId="0" borderId="6" xfId="0" applyNumberFormat="1" applyFont="1" applyBorder="1" applyAlignment="1">
      <alignment vertical="center"/>
    </xf>
    <xf numFmtId="168" fontId="24" fillId="0" borderId="74" xfId="0" applyNumberFormat="1" applyFont="1" applyBorder="1" applyAlignment="1">
      <alignment vertical="center"/>
    </xf>
    <xf numFmtId="0" fontId="24" fillId="0" borderId="162" xfId="0" applyFont="1" applyBorder="1" applyAlignment="1">
      <alignment vertical="center"/>
    </xf>
    <xf numFmtId="3" fontId="31" fillId="0" borderId="15" xfId="0" applyNumberFormat="1" applyFont="1" applyBorder="1" applyAlignment="1">
      <alignment horizontal="right" vertical="center"/>
    </xf>
    <xf numFmtId="3" fontId="24" fillId="0" borderId="162" xfId="0" applyNumberFormat="1" applyFont="1" applyBorder="1" applyAlignment="1">
      <alignment vertical="center"/>
    </xf>
    <xf numFmtId="3" fontId="19" fillId="0" borderId="107" xfId="0" applyNumberFormat="1" applyFont="1" applyBorder="1" applyAlignment="1">
      <alignment horizontal="right" vertical="center"/>
    </xf>
    <xf numFmtId="3" fontId="19" fillId="0" borderId="163" xfId="0" applyNumberFormat="1" applyFont="1" applyBorder="1" applyAlignment="1">
      <alignment horizontal="right" vertical="center"/>
    </xf>
    <xf numFmtId="3" fontId="18" fillId="0" borderId="161" xfId="0" applyNumberFormat="1" applyFont="1" applyBorder="1" applyAlignment="1">
      <alignment horizontal="right" vertical="center"/>
    </xf>
    <xf numFmtId="3" fontId="19" fillId="0" borderId="161" xfId="0" applyNumberFormat="1" applyFont="1" applyBorder="1" applyAlignment="1">
      <alignment horizontal="right" vertical="center"/>
    </xf>
    <xf numFmtId="3" fontId="19" fillId="6" borderId="74" xfId="0" applyNumberFormat="1" applyFont="1" applyFill="1" applyBorder="1" applyAlignment="1">
      <alignment horizontal="right" vertical="center"/>
    </xf>
    <xf numFmtId="49" fontId="19" fillId="0" borderId="36" xfId="0" applyNumberFormat="1" applyFont="1" applyBorder="1" applyAlignment="1">
      <alignment horizontal="center" vertical="center"/>
    </xf>
    <xf numFmtId="3" fontId="19" fillId="0" borderId="151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4" fontId="19" fillId="0" borderId="0" xfId="0" applyNumberFormat="1" applyFont="1" applyAlignment="1">
      <alignment vertical="center"/>
    </xf>
    <xf numFmtId="0" fontId="113" fillId="0" borderId="58" xfId="0" applyFont="1" applyBorder="1" applyAlignment="1">
      <alignment horizontal="center" vertical="center"/>
    </xf>
    <xf numFmtId="3" fontId="27" fillId="7" borderId="151" xfId="0" applyNumberFormat="1" applyFont="1" applyFill="1" applyBorder="1" applyAlignment="1">
      <alignment horizontal="right" vertical="center"/>
    </xf>
    <xf numFmtId="3" fontId="81" fillId="0" borderId="153" xfId="0" applyNumberFormat="1" applyFont="1" applyBorder="1" applyAlignment="1">
      <alignment horizontal="right" vertical="center"/>
    </xf>
    <xf numFmtId="3" fontId="81" fillId="0" borderId="152" xfId="0" applyNumberFormat="1" applyFont="1" applyBorder="1" applyAlignment="1">
      <alignment horizontal="right" vertical="center"/>
    </xf>
    <xf numFmtId="41" fontId="165" fillId="7" borderId="154" xfId="2" applyFont="1" applyFill="1" applyBorder="1" applyAlignment="1">
      <alignment horizontal="center" vertical="center"/>
    </xf>
    <xf numFmtId="0" fontId="28" fillId="0" borderId="158" xfId="0" applyFont="1" applyBorder="1" applyAlignment="1">
      <alignment horizontal="left" vertical="center"/>
    </xf>
    <xf numFmtId="3" fontId="76" fillId="0" borderId="51" xfId="0" applyNumberFormat="1" applyFont="1" applyBorder="1" applyAlignment="1">
      <alignment vertical="center"/>
    </xf>
    <xf numFmtId="168" fontId="28" fillId="0" borderId="0" xfId="1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168" fontId="24" fillId="0" borderId="0" xfId="0" applyNumberFormat="1" applyFont="1" applyAlignment="1">
      <alignment vertical="center"/>
    </xf>
    <xf numFmtId="3" fontId="19" fillId="0" borderId="154" xfId="0" applyNumberFormat="1" applyFont="1" applyBorder="1"/>
    <xf numFmtId="0" fontId="19" fillId="0" borderId="152" xfId="0" applyFont="1" applyBorder="1"/>
    <xf numFmtId="0" fontId="19" fillId="0" borderId="47" xfId="0" applyFont="1" applyBorder="1"/>
    <xf numFmtId="3" fontId="19" fillId="0" borderId="151" xfId="0" applyNumberFormat="1" applyFont="1" applyBorder="1"/>
    <xf numFmtId="3" fontId="19" fillId="0" borderId="0" xfId="0" applyNumberFormat="1" applyFont="1" applyAlignment="1">
      <alignment horizontal="right" vertical="center"/>
    </xf>
    <xf numFmtId="3" fontId="19" fillId="7" borderId="0" xfId="0" applyNumberFormat="1" applyFont="1" applyFill="1" applyAlignment="1">
      <alignment horizontal="right" vertical="center"/>
    </xf>
    <xf numFmtId="3" fontId="110" fillId="7" borderId="0" xfId="0" applyNumberFormat="1" applyFont="1" applyFill="1" applyAlignment="1">
      <alignment horizontal="center"/>
    </xf>
    <xf numFmtId="0" fontId="110" fillId="7" borderId="0" xfId="0" applyFont="1" applyFill="1" applyAlignment="1">
      <alignment horizontal="center"/>
    </xf>
    <xf numFmtId="3" fontId="76" fillId="0" borderId="123" xfId="0" applyNumberFormat="1" applyFont="1" applyBorder="1" applyAlignment="1">
      <alignment vertical="center"/>
    </xf>
    <xf numFmtId="3" fontId="109" fillId="0" borderId="123" xfId="0" applyNumberFormat="1" applyFont="1" applyBorder="1" applyAlignment="1">
      <alignment vertical="center"/>
    </xf>
    <xf numFmtId="3" fontId="19" fillId="0" borderId="164" xfId="0" applyNumberFormat="1" applyFont="1" applyBorder="1" applyAlignment="1">
      <alignment horizontal="right" vertical="center"/>
    </xf>
    <xf numFmtId="3" fontId="19" fillId="6" borderId="49" xfId="0" applyNumberFormat="1" applyFont="1" applyFill="1" applyBorder="1" applyAlignment="1">
      <alignment horizontal="right" vertical="center"/>
    </xf>
    <xf numFmtId="3" fontId="76" fillId="0" borderId="151" xfId="0" applyNumberFormat="1" applyFont="1" applyBorder="1" applyAlignment="1">
      <alignment vertical="center"/>
    </xf>
    <xf numFmtId="3" fontId="76" fillId="0" borderId="4" xfId="0" applyNumberFormat="1" applyFont="1" applyBorder="1" applyAlignment="1">
      <alignment vertical="center"/>
    </xf>
    <xf numFmtId="3" fontId="109" fillId="0" borderId="151" xfId="0" applyNumberFormat="1" applyFont="1" applyBorder="1" applyAlignment="1">
      <alignment vertical="center"/>
    </xf>
    <xf numFmtId="168" fontId="24" fillId="0" borderId="0" xfId="1" applyNumberFormat="1" applyFont="1" applyBorder="1" applyAlignment="1">
      <alignment vertical="center"/>
    </xf>
    <xf numFmtId="0" fontId="24" fillId="0" borderId="0" xfId="0" applyFont="1" applyAlignment="1">
      <alignment horizontal="right" vertical="center" wrapText="1"/>
    </xf>
    <xf numFmtId="168" fontId="23" fillId="0" borderId="0" xfId="1" applyNumberFormat="1" applyFont="1" applyAlignment="1">
      <alignment vertical="center"/>
    </xf>
    <xf numFmtId="3" fontId="24" fillId="7" borderId="151" xfId="0" applyNumberFormat="1" applyFont="1" applyFill="1" applyBorder="1" applyAlignment="1">
      <alignment horizontal="right" vertical="center"/>
    </xf>
    <xf numFmtId="3" fontId="27" fillId="7" borderId="58" xfId="0" applyNumberFormat="1" applyFont="1" applyFill="1" applyBorder="1" applyAlignment="1">
      <alignment horizontal="right" vertical="center"/>
    </xf>
    <xf numFmtId="168" fontId="75" fillId="0" borderId="149" xfId="1" applyNumberFormat="1" applyFont="1" applyBorder="1" applyAlignment="1">
      <alignment horizontal="right" vertical="center"/>
    </xf>
    <xf numFmtId="3" fontId="27" fillId="7" borderId="0" xfId="0" applyNumberFormat="1" applyFont="1" applyFill="1" applyAlignment="1">
      <alignment horizontal="right" vertical="center"/>
    </xf>
    <xf numFmtId="0" fontId="24" fillId="0" borderId="107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159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3" fontId="27" fillId="0" borderId="153" xfId="0" applyNumberFormat="1" applyFont="1" applyBorder="1" applyAlignment="1">
      <alignment horizontal="center" vertical="center"/>
    </xf>
    <xf numFmtId="3" fontId="24" fillId="0" borderId="153" xfId="0" applyNumberFormat="1" applyFont="1" applyBorder="1" applyAlignment="1">
      <alignment horizontal="center" vertical="center"/>
    </xf>
    <xf numFmtId="3" fontId="24" fillId="0" borderId="153" xfId="0" applyNumberFormat="1" applyFont="1" applyBorder="1" applyAlignment="1">
      <alignment vertical="center"/>
    </xf>
    <xf numFmtId="3" fontId="27" fillId="0" borderId="153" xfId="0" applyNumberFormat="1" applyFont="1" applyBorder="1" applyAlignment="1">
      <alignment horizontal="right" vertical="center"/>
    </xf>
    <xf numFmtId="3" fontId="27" fillId="0" borderId="155" xfId="0" applyNumberFormat="1" applyFont="1" applyBorder="1" applyAlignment="1">
      <alignment horizontal="right" vertical="center"/>
    </xf>
    <xf numFmtId="3" fontId="75" fillId="0" borderId="154" xfId="0" applyNumberFormat="1" applyFont="1" applyBorder="1" applyAlignment="1">
      <alignment horizontal="center" vertical="center"/>
    </xf>
    <xf numFmtId="3" fontId="85" fillId="0" borderId="154" xfId="0" applyNumberFormat="1" applyFont="1" applyBorder="1" applyAlignment="1">
      <alignment horizontal="right" vertical="center"/>
    </xf>
    <xf numFmtId="3" fontId="86" fillId="0" borderId="154" xfId="0" applyNumberFormat="1" applyFont="1" applyBorder="1" applyAlignment="1">
      <alignment horizontal="right" vertical="center"/>
    </xf>
    <xf numFmtId="3" fontId="24" fillId="7" borderId="152" xfId="0" applyNumberFormat="1" applyFont="1" applyFill="1" applyBorder="1" applyAlignment="1">
      <alignment horizontal="center" vertical="center"/>
    </xf>
    <xf numFmtId="3" fontId="24" fillId="7" borderId="152" xfId="0" applyNumberFormat="1" applyFont="1" applyFill="1" applyBorder="1" applyAlignment="1">
      <alignment horizontal="right" vertical="center"/>
    </xf>
    <xf numFmtId="3" fontId="19" fillId="0" borderId="0" xfId="0" applyNumberFormat="1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right" vertical="center"/>
    </xf>
    <xf numFmtId="3" fontId="18" fillId="0" borderId="0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113" fillId="0" borderId="60" xfId="0" applyFont="1" applyBorder="1" applyAlignment="1">
      <alignment horizontal="center" vertical="center"/>
    </xf>
    <xf numFmtId="3" fontId="76" fillId="0" borderId="161" xfId="0" applyNumberFormat="1" applyFont="1" applyBorder="1" applyAlignment="1">
      <alignment vertical="center"/>
    </xf>
    <xf numFmtId="0" fontId="24" fillId="0" borderId="156" xfId="0" applyFont="1" applyBorder="1" applyAlignment="1">
      <alignment horizontal="center" vertical="center"/>
    </xf>
    <xf numFmtId="0" fontId="24" fillId="0" borderId="157" xfId="0" applyFont="1" applyBorder="1" applyAlignment="1">
      <alignment horizontal="center" vertical="center"/>
    </xf>
    <xf numFmtId="0" fontId="24" fillId="0" borderId="158" xfId="0" applyFont="1" applyBorder="1" applyAlignment="1">
      <alignment horizontal="center" vertical="center"/>
    </xf>
    <xf numFmtId="0" fontId="24" fillId="0" borderId="57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3" fontId="24" fillId="0" borderId="2" xfId="0" applyNumberFormat="1" applyFont="1" applyBorder="1" applyAlignment="1">
      <alignment horizontal="center" vertical="center"/>
    </xf>
    <xf numFmtId="3" fontId="24" fillId="0" borderId="13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24" fillId="0" borderId="12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107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3" fontId="84" fillId="0" borderId="34" xfId="0" applyNumberFormat="1" applyFont="1" applyBorder="1" applyAlignment="1">
      <alignment horizontal="center" vertical="center"/>
    </xf>
    <xf numFmtId="3" fontId="84" fillId="0" borderId="42" xfId="0" applyNumberFormat="1" applyFont="1" applyBorder="1" applyAlignment="1">
      <alignment horizontal="center" vertical="center"/>
    </xf>
    <xf numFmtId="3" fontId="24" fillId="0" borderId="34" xfId="0" applyNumberFormat="1" applyFont="1" applyBorder="1" applyAlignment="1">
      <alignment horizontal="center" vertical="center"/>
    </xf>
    <xf numFmtId="3" fontId="24" fillId="0" borderId="42" xfId="0" applyNumberFormat="1" applyFont="1" applyBorder="1" applyAlignment="1">
      <alignment horizontal="center" vertical="center"/>
    </xf>
    <xf numFmtId="3" fontId="84" fillId="0" borderId="155" xfId="0" applyNumberFormat="1" applyFont="1" applyBorder="1" applyAlignment="1">
      <alignment horizontal="center" vertical="center"/>
    </xf>
    <xf numFmtId="3" fontId="84" fillId="0" borderId="52" xfId="0" applyNumberFormat="1" applyFont="1" applyBorder="1" applyAlignment="1">
      <alignment horizontal="center" vertical="center"/>
    </xf>
    <xf numFmtId="3" fontId="28" fillId="0" borderId="34" xfId="0" applyNumberFormat="1" applyFont="1" applyBorder="1" applyAlignment="1">
      <alignment horizontal="center" vertical="center"/>
    </xf>
    <xf numFmtId="3" fontId="28" fillId="0" borderId="42" xfId="0" applyNumberFormat="1" applyFont="1" applyBorder="1" applyAlignment="1">
      <alignment horizontal="center" vertical="center"/>
    </xf>
    <xf numFmtId="0" fontId="81" fillId="0" borderId="34" xfId="0" applyFont="1" applyBorder="1" applyAlignment="1">
      <alignment horizontal="center" vertical="center"/>
    </xf>
    <xf numFmtId="0" fontId="81" fillId="0" borderId="4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81" fillId="0" borderId="153" xfId="0" applyFont="1" applyBorder="1" applyAlignment="1">
      <alignment horizontal="center" vertical="center" wrapText="1"/>
    </xf>
    <xf numFmtId="0" fontId="81" fillId="0" borderId="152" xfId="0" applyFont="1" applyBorder="1" applyAlignment="1">
      <alignment horizontal="center" vertical="center" wrapText="1"/>
    </xf>
    <xf numFmtId="0" fontId="81" fillId="0" borderId="34" xfId="0" applyFont="1" applyBorder="1" applyAlignment="1">
      <alignment horizontal="center" vertical="center" wrapText="1"/>
    </xf>
    <xf numFmtId="0" fontId="81" fillId="0" borderId="122" xfId="0" applyFont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3" fontId="27" fillId="0" borderId="58" xfId="0" applyNumberFormat="1" applyFont="1" applyBorder="1" applyAlignment="1">
      <alignment horizontal="center" vertical="center"/>
    </xf>
    <xf numFmtId="3" fontId="27" fillId="0" borderId="76" xfId="0" applyNumberFormat="1" applyFont="1" applyBorder="1" applyAlignment="1">
      <alignment horizontal="center" vertical="center"/>
    </xf>
    <xf numFmtId="3" fontId="27" fillId="0" borderId="71" xfId="0" applyNumberFormat="1" applyFont="1" applyBorder="1" applyAlignment="1">
      <alignment horizontal="center" vertical="center"/>
    </xf>
    <xf numFmtId="3" fontId="24" fillId="0" borderId="26" xfId="0" applyNumberFormat="1" applyFont="1" applyBorder="1" applyAlignment="1">
      <alignment horizontal="center" vertical="center"/>
    </xf>
    <xf numFmtId="3" fontId="24" fillId="0" borderId="37" xfId="0" applyNumberFormat="1" applyFont="1" applyBorder="1" applyAlignment="1">
      <alignment horizontal="center" vertical="center"/>
    </xf>
    <xf numFmtId="3" fontId="24" fillId="0" borderId="16" xfId="0" applyNumberFormat="1" applyFont="1" applyBorder="1" applyAlignment="1">
      <alignment horizontal="center" vertical="center"/>
    </xf>
    <xf numFmtId="3" fontId="24" fillId="0" borderId="56" xfId="0" applyNumberFormat="1" applyFont="1" applyBorder="1" applyAlignment="1">
      <alignment horizontal="center" vertical="center"/>
    </xf>
    <xf numFmtId="3" fontId="24" fillId="0" borderId="36" xfId="0" applyNumberFormat="1" applyFont="1" applyBorder="1" applyAlignment="1">
      <alignment horizontal="center" vertical="center"/>
    </xf>
    <xf numFmtId="3" fontId="24" fillId="0" borderId="17" xfId="0" applyNumberFormat="1" applyFont="1" applyBorder="1" applyAlignment="1">
      <alignment horizontal="center" vertical="center"/>
    </xf>
    <xf numFmtId="3" fontId="24" fillId="0" borderId="61" xfId="0" applyNumberFormat="1" applyFont="1" applyBorder="1" applyAlignment="1">
      <alignment horizontal="center" vertical="center"/>
    </xf>
    <xf numFmtId="3" fontId="24" fillId="0" borderId="107" xfId="0" applyNumberFormat="1" applyFont="1" applyBorder="1" applyAlignment="1">
      <alignment horizontal="center" vertical="center"/>
    </xf>
    <xf numFmtId="3" fontId="24" fillId="0" borderId="45" xfId="0" applyNumberFormat="1" applyFont="1" applyBorder="1" applyAlignment="1">
      <alignment horizontal="center" vertical="center"/>
    </xf>
    <xf numFmtId="3" fontId="27" fillId="0" borderId="74" xfId="0" applyNumberFormat="1" applyFont="1" applyBorder="1" applyAlignment="1">
      <alignment horizontal="center" vertical="center"/>
    </xf>
    <xf numFmtId="3" fontId="27" fillId="0" borderId="49" xfId="0" applyNumberFormat="1" applyFont="1" applyBorder="1" applyAlignment="1">
      <alignment horizontal="center" vertical="center"/>
    </xf>
    <xf numFmtId="3" fontId="27" fillId="0" borderId="70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/>
    </xf>
    <xf numFmtId="0" fontId="24" fillId="0" borderId="12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68" fontId="24" fillId="0" borderId="1" xfId="1" applyNumberFormat="1" applyFont="1" applyBorder="1" applyAlignment="1">
      <alignment horizontal="center" vertical="center"/>
    </xf>
    <xf numFmtId="168" fontId="24" fillId="0" borderId="3" xfId="1" applyNumberFormat="1" applyFont="1" applyBorder="1" applyAlignment="1">
      <alignment horizontal="center" vertical="center"/>
    </xf>
    <xf numFmtId="168" fontId="24" fillId="0" borderId="12" xfId="1" applyNumberFormat="1" applyFont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8" fontId="24" fillId="0" borderId="4" xfId="0" applyNumberFormat="1" applyFont="1" applyBorder="1" applyAlignment="1">
      <alignment horizontal="center" vertical="center"/>
    </xf>
    <xf numFmtId="168" fontId="24" fillId="0" borderId="13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168" fontId="24" fillId="0" borderId="2" xfId="1" applyNumberFormat="1" applyFont="1" applyBorder="1" applyAlignment="1">
      <alignment horizontal="center" vertical="center"/>
    </xf>
    <xf numFmtId="168" fontId="24" fillId="0" borderId="4" xfId="1" applyNumberFormat="1" applyFont="1" applyBorder="1" applyAlignment="1">
      <alignment horizontal="center" vertical="center"/>
    </xf>
    <xf numFmtId="168" fontId="24" fillId="0" borderId="13" xfId="1" applyNumberFormat="1" applyFont="1" applyBorder="1" applyAlignment="1">
      <alignment horizontal="center" vertical="center"/>
    </xf>
    <xf numFmtId="168" fontId="24" fillId="0" borderId="78" xfId="0" applyNumberFormat="1" applyFont="1" applyBorder="1" applyAlignment="1">
      <alignment horizontal="center" vertical="center"/>
    </xf>
    <xf numFmtId="168" fontId="24" fillId="0" borderId="159" xfId="0" applyNumberFormat="1" applyFont="1" applyBorder="1" applyAlignment="1">
      <alignment horizontal="center" vertical="center"/>
    </xf>
    <xf numFmtId="168" fontId="24" fillId="0" borderId="79" xfId="0" applyNumberFormat="1" applyFont="1" applyBorder="1" applyAlignment="1">
      <alignment horizontal="center" vertical="center"/>
    </xf>
    <xf numFmtId="3" fontId="24" fillId="0" borderId="78" xfId="0" applyNumberFormat="1" applyFont="1" applyBorder="1" applyAlignment="1">
      <alignment horizontal="center" vertical="center"/>
    </xf>
    <xf numFmtId="3" fontId="24" fillId="0" borderId="79" xfId="0" applyNumberFormat="1" applyFont="1" applyBorder="1" applyAlignment="1">
      <alignment horizontal="center" vertical="center"/>
    </xf>
    <xf numFmtId="3" fontId="24" fillId="0" borderId="4" xfId="0" applyNumberFormat="1" applyFont="1" applyBorder="1" applyAlignment="1">
      <alignment horizontal="center" vertical="center"/>
    </xf>
    <xf numFmtId="3" fontId="24" fillId="0" borderId="159" xfId="0" applyNumberFormat="1" applyFont="1" applyBorder="1" applyAlignment="1">
      <alignment horizontal="center" vertical="center"/>
    </xf>
    <xf numFmtId="0" fontId="24" fillId="0" borderId="159" xfId="0" applyFont="1" applyBorder="1" applyAlignment="1">
      <alignment horizontal="center" vertical="center"/>
    </xf>
    <xf numFmtId="3" fontId="24" fillId="0" borderId="57" xfId="0" applyNumberFormat="1" applyFont="1" applyBorder="1" applyAlignment="1">
      <alignment horizontal="center" vertical="center"/>
    </xf>
    <xf numFmtId="3" fontId="24" fillId="0" borderId="78" xfId="0" applyNumberFormat="1" applyFont="1" applyBorder="1" applyAlignment="1">
      <alignment horizontal="right" vertical="center"/>
    </xf>
    <xf numFmtId="3" fontId="24" fillId="0" borderId="159" xfId="0" applyNumberFormat="1" applyFont="1" applyBorder="1" applyAlignment="1">
      <alignment horizontal="right" vertical="center"/>
    </xf>
    <xf numFmtId="3" fontId="24" fillId="0" borderId="79" xfId="0" applyNumberFormat="1" applyFont="1" applyBorder="1" applyAlignment="1">
      <alignment horizontal="right" vertical="center"/>
    </xf>
    <xf numFmtId="0" fontId="24" fillId="0" borderId="160" xfId="0" applyFont="1" applyBorder="1" applyAlignment="1">
      <alignment horizontal="center" vertical="center"/>
    </xf>
    <xf numFmtId="168" fontId="24" fillId="0" borderId="162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3" fontId="26" fillId="0" borderId="0" xfId="0" applyNumberFormat="1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78" xfId="0" applyNumberFormat="1" applyFont="1" applyBorder="1" applyAlignment="1">
      <alignment horizontal="center" vertical="center"/>
    </xf>
    <xf numFmtId="3" fontId="19" fillId="0" borderId="79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3" fontId="19" fillId="0" borderId="67" xfId="0" applyNumberFormat="1" applyFont="1" applyBorder="1" applyAlignment="1">
      <alignment horizontal="center" vertical="center"/>
    </xf>
    <xf numFmtId="3" fontId="19" fillId="0" borderId="68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3" fontId="19" fillId="0" borderId="107" xfId="0" quotePrefix="1" applyNumberFormat="1" applyFont="1" applyBorder="1" applyAlignment="1">
      <alignment horizontal="center" vertical="center"/>
    </xf>
    <xf numFmtId="3" fontId="19" fillId="0" borderId="107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13" fillId="0" borderId="58" xfId="0" applyFont="1" applyBorder="1" applyAlignment="1">
      <alignment horizontal="left" vertical="center"/>
    </xf>
    <xf numFmtId="0" fontId="113" fillId="0" borderId="76" xfId="0" applyFont="1" applyBorder="1" applyAlignment="1">
      <alignment horizontal="left" vertical="center"/>
    </xf>
    <xf numFmtId="0" fontId="113" fillId="0" borderId="71" xfId="0" applyFont="1" applyBorder="1" applyAlignment="1">
      <alignment horizontal="left" vertical="center"/>
    </xf>
    <xf numFmtId="0" fontId="113" fillId="0" borderId="87" xfId="0" applyFont="1" applyBorder="1" applyAlignment="1">
      <alignment horizontal="center" vertical="center"/>
    </xf>
    <xf numFmtId="0" fontId="113" fillId="0" borderId="111" xfId="0" applyFont="1" applyBorder="1" applyAlignment="1">
      <alignment horizontal="center" vertical="center"/>
    </xf>
    <xf numFmtId="0" fontId="113" fillId="0" borderId="110" xfId="0" applyFont="1" applyBorder="1" applyAlignment="1">
      <alignment horizontal="center" vertical="center" wrapText="1"/>
    </xf>
    <xf numFmtId="0" fontId="113" fillId="0" borderId="12" xfId="0" applyFont="1" applyBorder="1" applyAlignment="1">
      <alignment horizontal="center" vertical="center" wrapText="1"/>
    </xf>
    <xf numFmtId="0" fontId="113" fillId="0" borderId="120" xfId="0" applyFont="1" applyBorder="1" applyAlignment="1">
      <alignment horizontal="center" vertical="center"/>
    </xf>
    <xf numFmtId="0" fontId="113" fillId="0" borderId="125" xfId="0" applyFont="1" applyBorder="1" applyAlignment="1">
      <alignment horizontal="center" vertical="center"/>
    </xf>
    <xf numFmtId="0" fontId="113" fillId="0" borderId="126" xfId="0" applyFont="1" applyBorder="1" applyAlignment="1">
      <alignment horizontal="center" vertical="center"/>
    </xf>
    <xf numFmtId="0" fontId="113" fillId="0" borderId="109" xfId="0" applyFont="1" applyBorder="1" applyAlignment="1">
      <alignment horizontal="center" vertical="center"/>
    </xf>
    <xf numFmtId="0" fontId="113" fillId="0" borderId="52" xfId="0" applyFont="1" applyBorder="1" applyAlignment="1">
      <alignment horizontal="center" vertical="center"/>
    </xf>
    <xf numFmtId="0" fontId="113" fillId="0" borderId="77" xfId="0" applyFont="1" applyBorder="1" applyAlignment="1">
      <alignment horizontal="center" vertical="center"/>
    </xf>
    <xf numFmtId="0" fontId="113" fillId="0" borderId="73" xfId="0" applyFont="1" applyBorder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0" fontId="113" fillId="0" borderId="10" xfId="0" applyFont="1" applyBorder="1" applyAlignment="1">
      <alignment horizontal="left" vertical="center"/>
    </xf>
    <xf numFmtId="0" fontId="113" fillId="0" borderId="58" xfId="0" applyFont="1" applyBorder="1" applyAlignment="1">
      <alignment horizontal="center" vertical="center"/>
    </xf>
    <xf numFmtId="0" fontId="113" fillId="0" borderId="76" xfId="0" applyFont="1" applyBorder="1" applyAlignment="1">
      <alignment horizontal="center" vertical="center"/>
    </xf>
    <xf numFmtId="0" fontId="113" fillId="0" borderId="71" xfId="0" applyFont="1" applyBorder="1" applyAlignment="1">
      <alignment horizontal="center" vertical="center"/>
    </xf>
    <xf numFmtId="0" fontId="113" fillId="0" borderId="88" xfId="0" applyFont="1" applyBorder="1" applyAlignment="1">
      <alignment horizontal="center" vertical="center"/>
    </xf>
    <xf numFmtId="0" fontId="113" fillId="0" borderId="112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3" fontId="27" fillId="5" borderId="4" xfId="0" applyNumberFormat="1" applyFont="1" applyFill="1" applyBorder="1" applyAlignment="1">
      <alignment horizontal="right" vertical="center"/>
    </xf>
    <xf numFmtId="3" fontId="27" fillId="5" borderId="13" xfId="0" applyNumberFormat="1" applyFont="1" applyFill="1" applyBorder="1" applyAlignment="1">
      <alignment horizontal="right" vertical="center"/>
    </xf>
    <xf numFmtId="3" fontId="27" fillId="0" borderId="4" xfId="0" applyNumberFormat="1" applyFont="1" applyBorder="1" applyAlignment="1">
      <alignment horizontal="right" vertical="center"/>
    </xf>
    <xf numFmtId="3" fontId="27" fillId="0" borderId="13" xfId="0" applyNumberFormat="1" applyFont="1" applyBorder="1" applyAlignment="1">
      <alignment horizontal="right" vertical="center"/>
    </xf>
    <xf numFmtId="0" fontId="27" fillId="0" borderId="7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3" fontId="27" fillId="0" borderId="1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3" fillId="0" borderId="36" xfId="0" applyFont="1" applyBorder="1" applyAlignment="1">
      <alignment horizontal="center" vertical="center"/>
    </xf>
    <xf numFmtId="17" fontId="113" fillId="0" borderId="58" xfId="0" quotePrefix="1" applyNumberFormat="1" applyFont="1" applyBorder="1" applyAlignment="1">
      <alignment horizontal="left" vertical="center"/>
    </xf>
    <xf numFmtId="17" fontId="113" fillId="0" borderId="76" xfId="0" applyNumberFormat="1" applyFont="1" applyBorder="1" applyAlignment="1">
      <alignment horizontal="left" vertical="center"/>
    </xf>
    <xf numFmtId="17" fontId="113" fillId="0" borderId="71" xfId="0" applyNumberFormat="1" applyFont="1" applyBorder="1" applyAlignment="1">
      <alignment horizontal="left" vertical="center"/>
    </xf>
    <xf numFmtId="17" fontId="113" fillId="0" borderId="58" xfId="0" applyNumberFormat="1" applyFont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46" fillId="0" borderId="116" xfId="0" applyFont="1" applyBorder="1" applyAlignment="1">
      <alignment horizontal="center" vertical="center"/>
    </xf>
    <xf numFmtId="0" fontId="46" fillId="0" borderId="117" xfId="0" applyFont="1" applyBorder="1" applyAlignment="1">
      <alignment horizontal="center" vertical="center"/>
    </xf>
    <xf numFmtId="0" fontId="46" fillId="0" borderId="87" xfId="0" applyFont="1" applyBorder="1" applyAlignment="1">
      <alignment horizontal="center" vertical="center"/>
    </xf>
    <xf numFmtId="0" fontId="46" fillId="0" borderId="89" xfId="0" applyFont="1" applyBorder="1" applyAlignment="1">
      <alignment horizontal="center" vertical="center"/>
    </xf>
    <xf numFmtId="17" fontId="19" fillId="0" borderId="120" xfId="0" applyNumberFormat="1" applyFont="1" applyBorder="1" applyAlignment="1">
      <alignment horizontal="center" vertical="center"/>
    </xf>
    <xf numFmtId="17" fontId="19" fillId="0" borderId="126" xfId="0" applyNumberFormat="1" applyFont="1" applyBorder="1" applyAlignment="1">
      <alignment horizontal="center" vertical="center"/>
    </xf>
    <xf numFmtId="17" fontId="19" fillId="0" borderId="109" xfId="0" applyNumberFormat="1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17" fontId="19" fillId="0" borderId="32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7" fontId="24" fillId="0" borderId="61" xfId="0" applyNumberFormat="1" applyFont="1" applyBorder="1" applyAlignment="1">
      <alignment horizontal="center" vertical="center"/>
    </xf>
    <xf numFmtId="17" fontId="24" fillId="0" borderId="45" xfId="0" applyNumberFormat="1" applyFont="1" applyBorder="1" applyAlignment="1">
      <alignment horizontal="center" vertical="center"/>
    </xf>
    <xf numFmtId="0" fontId="24" fillId="0" borderId="115" xfId="0" applyFont="1" applyBorder="1" applyAlignment="1">
      <alignment horizontal="center" vertical="center"/>
    </xf>
  </cellXfs>
  <cellStyles count="1854">
    <cellStyle name="‡" xfId="500"/>
    <cellStyle name="‡_515" xfId="501"/>
    <cellStyle name="‡_516" xfId="502"/>
    <cellStyle name="‡_529" xfId="503"/>
    <cellStyle name="‡_530" xfId="504"/>
    <cellStyle name="‡_581" xfId="505"/>
    <cellStyle name="‡_582" xfId="506"/>
    <cellStyle name="‡_BOOK1" xfId="507"/>
    <cellStyle name="‡_BOOK1_1" xfId="508"/>
    <cellStyle name="‡_STA-DRP" xfId="509"/>
    <cellStyle name="‡_STA-DRP_515" xfId="510"/>
    <cellStyle name="‡_STA-DRP_516" xfId="511"/>
    <cellStyle name="‡_STA-DRP_529" xfId="512"/>
    <cellStyle name="‡_STA-DRP_530" xfId="513"/>
    <cellStyle name="‡_STA-DRP_581" xfId="514"/>
    <cellStyle name="‡_STA-DRP_582" xfId="515"/>
    <cellStyle name="‡_STA-DRP_BOOK1" xfId="516"/>
    <cellStyle name="‡_STA-DRP_BOOK1_1" xfId="517"/>
    <cellStyle name="¹éºÐÀ²_±âÅ¸" xfId="518"/>
    <cellStyle name="20% - Accent1 10" xfId="519"/>
    <cellStyle name="20% - Accent1 10 2" xfId="520"/>
    <cellStyle name="20% - Accent1 10 3" xfId="521"/>
    <cellStyle name="20% - Accent1 11" xfId="522"/>
    <cellStyle name="20% - Accent1 11 2" xfId="523"/>
    <cellStyle name="20% - Accent1 11 3" xfId="524"/>
    <cellStyle name="20% - Accent1 12" xfId="525"/>
    <cellStyle name="20% - Accent1 2" xfId="526"/>
    <cellStyle name="20% - Accent1 2 2" xfId="527"/>
    <cellStyle name="20% - Accent1 3" xfId="528"/>
    <cellStyle name="20% - Accent1 3 2" xfId="529"/>
    <cellStyle name="20% - Accent1 3 3" xfId="530"/>
    <cellStyle name="20% - Accent1 4" xfId="531"/>
    <cellStyle name="20% - Accent1 4 2" xfId="532"/>
    <cellStyle name="20% - Accent1 4 3" xfId="533"/>
    <cellStyle name="20% - Accent1 5" xfId="534"/>
    <cellStyle name="20% - Accent1 5 2" xfId="535"/>
    <cellStyle name="20% - Accent1 5 3" xfId="536"/>
    <cellStyle name="20% - Accent1 6" xfId="537"/>
    <cellStyle name="20% - Accent1 6 2" xfId="538"/>
    <cellStyle name="20% - Accent1 6 3" xfId="539"/>
    <cellStyle name="20% - Accent1 7" xfId="540"/>
    <cellStyle name="20% - Accent1 7 2" xfId="541"/>
    <cellStyle name="20% - Accent1 7 3" xfId="542"/>
    <cellStyle name="20% - Accent1 8" xfId="543"/>
    <cellStyle name="20% - Accent1 8 2" xfId="544"/>
    <cellStyle name="20% - Accent1 8 3" xfId="545"/>
    <cellStyle name="20% - Accent1 9" xfId="546"/>
    <cellStyle name="20% - Accent1 9 2" xfId="547"/>
    <cellStyle name="20% - Accent1 9 3" xfId="548"/>
    <cellStyle name="20% - Accent2 10" xfId="549"/>
    <cellStyle name="20% - Accent2 10 2" xfId="550"/>
    <cellStyle name="20% - Accent2 11" xfId="551"/>
    <cellStyle name="20% - Accent2 11 2" xfId="552"/>
    <cellStyle name="20% - Accent2 12" xfId="553"/>
    <cellStyle name="20% - Accent2 2" xfId="554"/>
    <cellStyle name="20% - Accent2 3" xfId="555"/>
    <cellStyle name="20% - Accent2 3 2" xfId="556"/>
    <cellStyle name="20% - Accent2 4" xfId="557"/>
    <cellStyle name="20% - Accent2 4 2" xfId="558"/>
    <cellStyle name="20% - Accent2 5" xfId="559"/>
    <cellStyle name="20% - Accent2 5 2" xfId="560"/>
    <cellStyle name="20% - Accent2 6" xfId="561"/>
    <cellStyle name="20% - Accent2 6 2" xfId="562"/>
    <cellStyle name="20% - Accent2 7" xfId="563"/>
    <cellStyle name="20% - Accent2 7 2" xfId="564"/>
    <cellStyle name="20% - Accent2 8" xfId="565"/>
    <cellStyle name="20% - Accent2 8 2" xfId="566"/>
    <cellStyle name="20% - Accent2 9" xfId="567"/>
    <cellStyle name="20% - Accent2 9 2" xfId="568"/>
    <cellStyle name="20% - Accent3 10" xfId="569"/>
    <cellStyle name="20% - Accent3 10 2" xfId="570"/>
    <cellStyle name="20% - Accent3 11" xfId="571"/>
    <cellStyle name="20% - Accent3 11 2" xfId="572"/>
    <cellStyle name="20% - Accent3 12" xfId="573"/>
    <cellStyle name="20% - Accent3 2" xfId="574"/>
    <cellStyle name="20% - Accent3 3" xfId="575"/>
    <cellStyle name="20% - Accent3 3 2" xfId="576"/>
    <cellStyle name="20% - Accent3 4" xfId="577"/>
    <cellStyle name="20% - Accent3 4 2" xfId="578"/>
    <cellStyle name="20% - Accent3 5" xfId="579"/>
    <cellStyle name="20% - Accent3 5 2" xfId="580"/>
    <cellStyle name="20% - Accent3 6" xfId="581"/>
    <cellStyle name="20% - Accent3 6 2" xfId="582"/>
    <cellStyle name="20% - Accent3 7" xfId="583"/>
    <cellStyle name="20% - Accent3 7 2" xfId="584"/>
    <cellStyle name="20% - Accent3 8" xfId="585"/>
    <cellStyle name="20% - Accent3 8 2" xfId="586"/>
    <cellStyle name="20% - Accent3 9" xfId="587"/>
    <cellStyle name="20% - Accent3 9 2" xfId="588"/>
    <cellStyle name="20% - Accent4 10" xfId="589"/>
    <cellStyle name="20% - Accent4 10 2" xfId="590"/>
    <cellStyle name="20% - Accent4 11" xfId="591"/>
    <cellStyle name="20% - Accent4 11 2" xfId="592"/>
    <cellStyle name="20% - Accent4 12" xfId="593"/>
    <cellStyle name="20% - Accent4 2" xfId="594"/>
    <cellStyle name="20% - Accent4 3" xfId="595"/>
    <cellStyle name="20% - Accent4 3 2" xfId="596"/>
    <cellStyle name="20% - Accent4 4" xfId="597"/>
    <cellStyle name="20% - Accent4 4 2" xfId="598"/>
    <cellStyle name="20% - Accent4 5" xfId="599"/>
    <cellStyle name="20% - Accent4 5 2" xfId="600"/>
    <cellStyle name="20% - Accent4 6" xfId="601"/>
    <cellStyle name="20% - Accent4 6 2" xfId="602"/>
    <cellStyle name="20% - Accent4 7" xfId="603"/>
    <cellStyle name="20% - Accent4 7 2" xfId="604"/>
    <cellStyle name="20% - Accent4 8" xfId="605"/>
    <cellStyle name="20% - Accent4 8 2" xfId="606"/>
    <cellStyle name="20% - Accent4 9" xfId="607"/>
    <cellStyle name="20% - Accent4 9 2" xfId="608"/>
    <cellStyle name="20% - Accent5 10" xfId="609"/>
    <cellStyle name="20% - Accent5 10 2" xfId="610"/>
    <cellStyle name="20% - Accent5 10 3" xfId="611"/>
    <cellStyle name="20% - Accent5 11" xfId="612"/>
    <cellStyle name="20% - Accent5 11 2" xfId="613"/>
    <cellStyle name="20% - Accent5 11 3" xfId="614"/>
    <cellStyle name="20% - Accent5 12" xfId="615"/>
    <cellStyle name="20% - Accent5 2" xfId="616"/>
    <cellStyle name="20% - Accent5 2 2" xfId="617"/>
    <cellStyle name="20% - Accent5 3" xfId="618"/>
    <cellStyle name="20% - Accent5 3 2" xfId="619"/>
    <cellStyle name="20% - Accent5 3 3" xfId="620"/>
    <cellStyle name="20% - Accent5 4" xfId="621"/>
    <cellStyle name="20% - Accent5 4 2" xfId="622"/>
    <cellStyle name="20% - Accent5 4 3" xfId="623"/>
    <cellStyle name="20% - Accent5 5" xfId="624"/>
    <cellStyle name="20% - Accent5 5 2" xfId="625"/>
    <cellStyle name="20% - Accent5 5 3" xfId="626"/>
    <cellStyle name="20% - Accent5 6" xfId="627"/>
    <cellStyle name="20% - Accent5 6 2" xfId="628"/>
    <cellStyle name="20% - Accent5 6 3" xfId="629"/>
    <cellStyle name="20% - Accent5 7" xfId="630"/>
    <cellStyle name="20% - Accent5 7 2" xfId="631"/>
    <cellStyle name="20% - Accent5 7 3" xfId="632"/>
    <cellStyle name="20% - Accent5 8" xfId="633"/>
    <cellStyle name="20% - Accent5 8 2" xfId="634"/>
    <cellStyle name="20% - Accent5 8 3" xfId="635"/>
    <cellStyle name="20% - Accent5 9" xfId="636"/>
    <cellStyle name="20% - Accent5 9 2" xfId="637"/>
    <cellStyle name="20% - Accent5 9 3" xfId="638"/>
    <cellStyle name="20% - Accent6 10" xfId="639"/>
    <cellStyle name="20% - Accent6 10 2" xfId="640"/>
    <cellStyle name="20% - Accent6 10 3" xfId="641"/>
    <cellStyle name="20% - Accent6 11" xfId="642"/>
    <cellStyle name="20% - Accent6 11 2" xfId="643"/>
    <cellStyle name="20% - Accent6 11 3" xfId="644"/>
    <cellStyle name="20% - Accent6 12" xfId="645"/>
    <cellStyle name="20% - Accent6 2" xfId="646"/>
    <cellStyle name="20% - Accent6 2 2" xfId="647"/>
    <cellStyle name="20% - Accent6 3" xfId="648"/>
    <cellStyle name="20% - Accent6 3 2" xfId="649"/>
    <cellStyle name="20% - Accent6 3 3" xfId="650"/>
    <cellStyle name="20% - Accent6 4" xfId="651"/>
    <cellStyle name="20% - Accent6 4 2" xfId="652"/>
    <cellStyle name="20% - Accent6 4 3" xfId="653"/>
    <cellStyle name="20% - Accent6 5" xfId="654"/>
    <cellStyle name="20% - Accent6 5 2" xfId="655"/>
    <cellStyle name="20% - Accent6 5 3" xfId="656"/>
    <cellStyle name="20% - Accent6 6" xfId="657"/>
    <cellStyle name="20% - Accent6 6 2" xfId="658"/>
    <cellStyle name="20% - Accent6 6 3" xfId="659"/>
    <cellStyle name="20% - Accent6 7" xfId="660"/>
    <cellStyle name="20% - Accent6 7 2" xfId="661"/>
    <cellStyle name="20% - Accent6 7 3" xfId="662"/>
    <cellStyle name="20% - Accent6 8" xfId="663"/>
    <cellStyle name="20% - Accent6 8 2" xfId="664"/>
    <cellStyle name="20% - Accent6 8 3" xfId="665"/>
    <cellStyle name="20% - Accent6 9" xfId="666"/>
    <cellStyle name="20% - Accent6 9 2" xfId="667"/>
    <cellStyle name="20% - Accent6 9 3" xfId="668"/>
    <cellStyle name="40% - Accent1 10" xfId="669"/>
    <cellStyle name="40% - Accent1 10 2" xfId="670"/>
    <cellStyle name="40% - Accent1 11" xfId="671"/>
    <cellStyle name="40% - Accent1 11 2" xfId="672"/>
    <cellStyle name="40% - Accent1 12" xfId="673"/>
    <cellStyle name="40% - Accent1 2" xfId="674"/>
    <cellStyle name="40% - Accent1 3" xfId="675"/>
    <cellStyle name="40% - Accent1 3 2" xfId="676"/>
    <cellStyle name="40% - Accent1 4" xfId="677"/>
    <cellStyle name="40% - Accent1 4 2" xfId="678"/>
    <cellStyle name="40% - Accent1 5" xfId="679"/>
    <cellStyle name="40% - Accent1 5 2" xfId="680"/>
    <cellStyle name="40% - Accent1 6" xfId="681"/>
    <cellStyle name="40% - Accent1 6 2" xfId="682"/>
    <cellStyle name="40% - Accent1 7" xfId="683"/>
    <cellStyle name="40% - Accent1 7 2" xfId="684"/>
    <cellStyle name="40% - Accent1 8" xfId="685"/>
    <cellStyle name="40% - Accent1 8 2" xfId="686"/>
    <cellStyle name="40% - Accent1 9" xfId="687"/>
    <cellStyle name="40% - Accent1 9 2" xfId="688"/>
    <cellStyle name="40% - Accent2 10" xfId="689"/>
    <cellStyle name="40% - Accent2 10 2" xfId="690"/>
    <cellStyle name="40% - Accent2 11" xfId="691"/>
    <cellStyle name="40% - Accent2 11 2" xfId="692"/>
    <cellStyle name="40% - Accent2 12" xfId="693"/>
    <cellStyle name="40% - Accent2 2" xfId="694"/>
    <cellStyle name="40% - Accent2 3" xfId="695"/>
    <cellStyle name="40% - Accent2 3 2" xfId="696"/>
    <cellStyle name="40% - Accent2 4" xfId="697"/>
    <cellStyle name="40% - Accent2 4 2" xfId="698"/>
    <cellStyle name="40% - Accent2 5" xfId="699"/>
    <cellStyle name="40% - Accent2 5 2" xfId="700"/>
    <cellStyle name="40% - Accent2 6" xfId="701"/>
    <cellStyle name="40% - Accent2 6 2" xfId="702"/>
    <cellStyle name="40% - Accent2 7" xfId="703"/>
    <cellStyle name="40% - Accent2 7 2" xfId="704"/>
    <cellStyle name="40% - Accent2 8" xfId="705"/>
    <cellStyle name="40% - Accent2 8 2" xfId="706"/>
    <cellStyle name="40% - Accent2 9" xfId="707"/>
    <cellStyle name="40% - Accent2 9 2" xfId="708"/>
    <cellStyle name="40% - Accent3 10" xfId="709"/>
    <cellStyle name="40% - Accent3 10 2" xfId="710"/>
    <cellStyle name="40% - Accent3 10 3" xfId="711"/>
    <cellStyle name="40% - Accent3 11" xfId="712"/>
    <cellStyle name="40% - Accent3 11 2" xfId="713"/>
    <cellStyle name="40% - Accent3 11 3" xfId="714"/>
    <cellStyle name="40% - Accent3 12" xfId="715"/>
    <cellStyle name="40% - Accent3 2" xfId="716"/>
    <cellStyle name="40% - Accent3 2 2" xfId="717"/>
    <cellStyle name="40% - Accent3 3" xfId="718"/>
    <cellStyle name="40% - Accent3 3 2" xfId="719"/>
    <cellStyle name="40% - Accent3 3 3" xfId="720"/>
    <cellStyle name="40% - Accent3 4" xfId="721"/>
    <cellStyle name="40% - Accent3 4 2" xfId="722"/>
    <cellStyle name="40% - Accent3 4 3" xfId="723"/>
    <cellStyle name="40% - Accent3 5" xfId="724"/>
    <cellStyle name="40% - Accent3 5 2" xfId="725"/>
    <cellStyle name="40% - Accent3 5 3" xfId="726"/>
    <cellStyle name="40% - Accent3 6" xfId="727"/>
    <cellStyle name="40% - Accent3 6 2" xfId="728"/>
    <cellStyle name="40% - Accent3 6 3" xfId="729"/>
    <cellStyle name="40% - Accent3 7" xfId="730"/>
    <cellStyle name="40% - Accent3 7 2" xfId="731"/>
    <cellStyle name="40% - Accent3 7 3" xfId="732"/>
    <cellStyle name="40% - Accent3 8" xfId="733"/>
    <cellStyle name="40% - Accent3 8 2" xfId="734"/>
    <cellStyle name="40% - Accent3 8 3" xfId="735"/>
    <cellStyle name="40% - Accent3 9" xfId="736"/>
    <cellStyle name="40% - Accent3 9 2" xfId="737"/>
    <cellStyle name="40% - Accent3 9 3" xfId="738"/>
    <cellStyle name="40% - Accent4 10" xfId="739"/>
    <cellStyle name="40% - Accent4 10 2" xfId="740"/>
    <cellStyle name="40% - Accent4 11" xfId="741"/>
    <cellStyle name="40% - Accent4 11 2" xfId="742"/>
    <cellStyle name="40% - Accent4 12" xfId="743"/>
    <cellStyle name="40% - Accent4 2" xfId="744"/>
    <cellStyle name="40% - Accent4 3" xfId="745"/>
    <cellStyle name="40% - Accent4 3 2" xfId="746"/>
    <cellStyle name="40% - Accent4 4" xfId="747"/>
    <cellStyle name="40% - Accent4 4 2" xfId="748"/>
    <cellStyle name="40% - Accent4 5" xfId="749"/>
    <cellStyle name="40% - Accent4 5 2" xfId="750"/>
    <cellStyle name="40% - Accent4 6" xfId="751"/>
    <cellStyle name="40% - Accent4 6 2" xfId="752"/>
    <cellStyle name="40% - Accent4 7" xfId="753"/>
    <cellStyle name="40% - Accent4 7 2" xfId="754"/>
    <cellStyle name="40% - Accent4 8" xfId="755"/>
    <cellStyle name="40% - Accent4 8 2" xfId="756"/>
    <cellStyle name="40% - Accent4 9" xfId="757"/>
    <cellStyle name="40% - Accent4 9 2" xfId="758"/>
    <cellStyle name="40% - Accent5 10" xfId="759"/>
    <cellStyle name="40% - Accent5 10 2" xfId="760"/>
    <cellStyle name="40% - Accent5 11" xfId="761"/>
    <cellStyle name="40% - Accent5 11 2" xfId="762"/>
    <cellStyle name="40% - Accent5 2" xfId="763"/>
    <cellStyle name="40% - Accent5 3" xfId="764"/>
    <cellStyle name="40% - Accent5 3 2" xfId="765"/>
    <cellStyle name="40% - Accent5 4" xfId="766"/>
    <cellStyle name="40% - Accent5 4 2" xfId="767"/>
    <cellStyle name="40% - Accent5 5" xfId="768"/>
    <cellStyle name="40% - Accent5 5 2" xfId="769"/>
    <cellStyle name="40% - Accent5 6" xfId="770"/>
    <cellStyle name="40% - Accent5 6 2" xfId="771"/>
    <cellStyle name="40% - Accent5 7" xfId="772"/>
    <cellStyle name="40% - Accent5 7 2" xfId="773"/>
    <cellStyle name="40% - Accent5 8" xfId="774"/>
    <cellStyle name="40% - Accent5 8 2" xfId="775"/>
    <cellStyle name="40% - Accent5 9" xfId="776"/>
    <cellStyle name="40% - Accent5 9 2" xfId="777"/>
    <cellStyle name="40% - Accent6 10" xfId="778"/>
    <cellStyle name="40% - Accent6 10 2" xfId="779"/>
    <cellStyle name="40% - Accent6 11" xfId="780"/>
    <cellStyle name="40% - Accent6 11 2" xfId="781"/>
    <cellStyle name="40% - Accent6 12" xfId="782"/>
    <cellStyle name="40% - Accent6 2" xfId="783"/>
    <cellStyle name="40% - Accent6 3" xfId="784"/>
    <cellStyle name="40% - Accent6 3 2" xfId="785"/>
    <cellStyle name="40% - Accent6 4" xfId="786"/>
    <cellStyle name="40% - Accent6 4 2" xfId="787"/>
    <cellStyle name="40% - Accent6 5" xfId="788"/>
    <cellStyle name="40% - Accent6 5 2" xfId="789"/>
    <cellStyle name="40% - Accent6 6" xfId="790"/>
    <cellStyle name="40% - Accent6 6 2" xfId="791"/>
    <cellStyle name="40% - Accent6 7" xfId="792"/>
    <cellStyle name="40% - Accent6 7 2" xfId="793"/>
    <cellStyle name="40% - Accent6 8" xfId="794"/>
    <cellStyle name="40% - Accent6 8 2" xfId="795"/>
    <cellStyle name="40% - Accent6 9" xfId="796"/>
    <cellStyle name="40% - Accent6 9 2" xfId="797"/>
    <cellStyle name="60% - Accent1 10" xfId="798"/>
    <cellStyle name="60% - Accent1 11" xfId="799"/>
    <cellStyle name="60% - Accent1 12" xfId="800"/>
    <cellStyle name="60% - Accent1 2" xfId="801"/>
    <cellStyle name="60% - Accent1 3" xfId="802"/>
    <cellStyle name="60% - Accent1 4" xfId="803"/>
    <cellStyle name="60% - Accent1 5" xfId="804"/>
    <cellStyle name="60% - Accent1 6" xfId="805"/>
    <cellStyle name="60% - Accent1 7" xfId="806"/>
    <cellStyle name="60% - Accent1 8" xfId="807"/>
    <cellStyle name="60% - Accent1 9" xfId="808"/>
    <cellStyle name="60% - Accent2 10" xfId="809"/>
    <cellStyle name="60% - Accent2 11" xfId="810"/>
    <cellStyle name="60% - Accent2 12" xfId="811"/>
    <cellStyle name="60% - Accent2 2" xfId="812"/>
    <cellStyle name="60% - Accent2 3" xfId="813"/>
    <cellStyle name="60% - Accent2 4" xfId="814"/>
    <cellStyle name="60% - Accent2 5" xfId="815"/>
    <cellStyle name="60% - Accent2 6" xfId="816"/>
    <cellStyle name="60% - Accent2 7" xfId="817"/>
    <cellStyle name="60% - Accent2 8" xfId="818"/>
    <cellStyle name="60% - Accent2 9" xfId="819"/>
    <cellStyle name="60% - Accent3 10" xfId="820"/>
    <cellStyle name="60% - Accent3 10 2" xfId="821"/>
    <cellStyle name="60% - Accent3 11" xfId="822"/>
    <cellStyle name="60% - Accent3 11 2" xfId="823"/>
    <cellStyle name="60% - Accent3 12" xfId="824"/>
    <cellStyle name="60% - Accent3 2" xfId="825"/>
    <cellStyle name="60% - Accent3 2 2" xfId="826"/>
    <cellStyle name="60% - Accent3 3" xfId="827"/>
    <cellStyle name="60% - Accent3 3 2" xfId="828"/>
    <cellStyle name="60% - Accent3 4" xfId="829"/>
    <cellStyle name="60% - Accent3 4 2" xfId="830"/>
    <cellStyle name="60% - Accent3 5" xfId="831"/>
    <cellStyle name="60% - Accent3 5 2" xfId="832"/>
    <cellStyle name="60% - Accent3 6" xfId="833"/>
    <cellStyle name="60% - Accent3 6 2" xfId="834"/>
    <cellStyle name="60% - Accent3 7" xfId="835"/>
    <cellStyle name="60% - Accent3 7 2" xfId="836"/>
    <cellStyle name="60% - Accent3 8" xfId="837"/>
    <cellStyle name="60% - Accent3 8 2" xfId="838"/>
    <cellStyle name="60% - Accent3 9" xfId="839"/>
    <cellStyle name="60% - Accent3 9 2" xfId="840"/>
    <cellStyle name="60% - Accent4 10" xfId="841"/>
    <cellStyle name="60% - Accent4 10 2" xfId="842"/>
    <cellStyle name="60% - Accent4 11" xfId="843"/>
    <cellStyle name="60% - Accent4 11 2" xfId="844"/>
    <cellStyle name="60% - Accent4 12" xfId="845"/>
    <cellStyle name="60% - Accent4 2" xfId="846"/>
    <cellStyle name="60% - Accent4 2 2" xfId="847"/>
    <cellStyle name="60% - Accent4 3" xfId="848"/>
    <cellStyle name="60% - Accent4 3 2" xfId="849"/>
    <cellStyle name="60% - Accent4 4" xfId="850"/>
    <cellStyle name="60% - Accent4 4 2" xfId="851"/>
    <cellStyle name="60% - Accent4 5" xfId="852"/>
    <cellStyle name="60% - Accent4 5 2" xfId="853"/>
    <cellStyle name="60% - Accent4 6" xfId="854"/>
    <cellStyle name="60% - Accent4 6 2" xfId="855"/>
    <cellStyle name="60% - Accent4 7" xfId="856"/>
    <cellStyle name="60% - Accent4 7 2" xfId="857"/>
    <cellStyle name="60% - Accent4 8" xfId="858"/>
    <cellStyle name="60% - Accent4 8 2" xfId="859"/>
    <cellStyle name="60% - Accent4 9" xfId="860"/>
    <cellStyle name="60% - Accent4 9 2" xfId="861"/>
    <cellStyle name="60% - Accent5 10" xfId="862"/>
    <cellStyle name="60% - Accent5 11" xfId="863"/>
    <cellStyle name="60% - Accent5 12" xfId="864"/>
    <cellStyle name="60% - Accent5 2" xfId="865"/>
    <cellStyle name="60% - Accent5 3" xfId="866"/>
    <cellStyle name="60% - Accent5 4" xfId="867"/>
    <cellStyle name="60% - Accent5 5" xfId="868"/>
    <cellStyle name="60% - Accent5 6" xfId="869"/>
    <cellStyle name="60% - Accent5 7" xfId="870"/>
    <cellStyle name="60% - Accent5 8" xfId="871"/>
    <cellStyle name="60% - Accent5 9" xfId="872"/>
    <cellStyle name="60% - Accent6 10" xfId="873"/>
    <cellStyle name="60% - Accent6 10 2" xfId="874"/>
    <cellStyle name="60% - Accent6 11" xfId="875"/>
    <cellStyle name="60% - Accent6 11 2" xfId="876"/>
    <cellStyle name="60% - Accent6 12" xfId="877"/>
    <cellStyle name="60% - Accent6 2" xfId="878"/>
    <cellStyle name="60% - Accent6 2 2" xfId="879"/>
    <cellStyle name="60% - Accent6 3" xfId="880"/>
    <cellStyle name="60% - Accent6 3 2" xfId="881"/>
    <cellStyle name="60% - Accent6 4" xfId="882"/>
    <cellStyle name="60% - Accent6 4 2" xfId="883"/>
    <cellStyle name="60% - Accent6 5" xfId="884"/>
    <cellStyle name="60% - Accent6 5 2" xfId="885"/>
    <cellStyle name="60% - Accent6 6" xfId="886"/>
    <cellStyle name="60% - Accent6 6 2" xfId="887"/>
    <cellStyle name="60% - Accent6 7" xfId="888"/>
    <cellStyle name="60% - Accent6 7 2" xfId="889"/>
    <cellStyle name="60% - Accent6 8" xfId="890"/>
    <cellStyle name="60% - Accent6 8 2" xfId="891"/>
    <cellStyle name="60% - Accent6 9" xfId="892"/>
    <cellStyle name="60% - Accent6 9 2" xfId="893"/>
    <cellStyle name="Accent1 10" xfId="894"/>
    <cellStyle name="Accent1 11" xfId="895"/>
    <cellStyle name="Accent1 12" xfId="896"/>
    <cellStyle name="Accent1 2" xfId="897"/>
    <cellStyle name="Accent1 3" xfId="898"/>
    <cellStyle name="Accent1 4" xfId="899"/>
    <cellStyle name="Accent1 5" xfId="900"/>
    <cellStyle name="Accent1 6" xfId="901"/>
    <cellStyle name="Accent1 7" xfId="902"/>
    <cellStyle name="Accent1 8" xfId="903"/>
    <cellStyle name="Accent1 9" xfId="904"/>
    <cellStyle name="Accent2 10" xfId="905"/>
    <cellStyle name="Accent2 11" xfId="906"/>
    <cellStyle name="Accent2 12" xfId="907"/>
    <cellStyle name="Accent2 2" xfId="908"/>
    <cellStyle name="Accent2 3" xfId="909"/>
    <cellStyle name="Accent2 4" xfId="910"/>
    <cellStyle name="Accent2 5" xfId="911"/>
    <cellStyle name="Accent2 6" xfId="912"/>
    <cellStyle name="Accent2 7" xfId="913"/>
    <cellStyle name="Accent2 8" xfId="914"/>
    <cellStyle name="Accent2 9" xfId="915"/>
    <cellStyle name="Accent3 10" xfId="916"/>
    <cellStyle name="Accent3 10 2" xfId="917"/>
    <cellStyle name="Accent3 11" xfId="918"/>
    <cellStyle name="Accent3 11 2" xfId="919"/>
    <cellStyle name="Accent3 12" xfId="920"/>
    <cellStyle name="Accent3 2" xfId="921"/>
    <cellStyle name="Accent3 2 2" xfId="922"/>
    <cellStyle name="Accent3 3" xfId="923"/>
    <cellStyle name="Accent3 3 2" xfId="924"/>
    <cellStyle name="Accent3 4" xfId="925"/>
    <cellStyle name="Accent3 4 2" xfId="926"/>
    <cellStyle name="Accent3 5" xfId="927"/>
    <cellStyle name="Accent3 5 2" xfId="928"/>
    <cellStyle name="Accent3 6" xfId="929"/>
    <cellStyle name="Accent3 6 2" xfId="930"/>
    <cellStyle name="Accent3 7" xfId="931"/>
    <cellStyle name="Accent3 7 2" xfId="932"/>
    <cellStyle name="Accent3 8" xfId="933"/>
    <cellStyle name="Accent3 8 2" xfId="934"/>
    <cellStyle name="Accent3 9" xfId="935"/>
    <cellStyle name="Accent3 9 2" xfId="936"/>
    <cellStyle name="Accent4 10" xfId="937"/>
    <cellStyle name="Accent4 10 2" xfId="938"/>
    <cellStyle name="Accent4 11" xfId="939"/>
    <cellStyle name="Accent4 11 2" xfId="940"/>
    <cellStyle name="Accent4 12" xfId="941"/>
    <cellStyle name="Accent4 2" xfId="942"/>
    <cellStyle name="Accent4 2 2" xfId="943"/>
    <cellStyle name="Accent4 3" xfId="944"/>
    <cellStyle name="Accent4 3 2" xfId="945"/>
    <cellStyle name="Accent4 4" xfId="946"/>
    <cellStyle name="Accent4 4 2" xfId="947"/>
    <cellStyle name="Accent4 5" xfId="948"/>
    <cellStyle name="Accent4 5 2" xfId="949"/>
    <cellStyle name="Accent4 6" xfId="950"/>
    <cellStyle name="Accent4 6 2" xfId="951"/>
    <cellStyle name="Accent4 7" xfId="952"/>
    <cellStyle name="Accent4 7 2" xfId="953"/>
    <cellStyle name="Accent4 8" xfId="954"/>
    <cellStyle name="Accent4 8 2" xfId="955"/>
    <cellStyle name="Accent4 9" xfId="956"/>
    <cellStyle name="Accent4 9 2" xfId="957"/>
    <cellStyle name="Accent5 10" xfId="958"/>
    <cellStyle name="Accent5 11" xfId="959"/>
    <cellStyle name="Accent5 12" xfId="960"/>
    <cellStyle name="Accent5 2" xfId="961"/>
    <cellStyle name="Accent5 3" xfId="962"/>
    <cellStyle name="Accent5 4" xfId="963"/>
    <cellStyle name="Accent5 5" xfId="964"/>
    <cellStyle name="Accent5 6" xfId="965"/>
    <cellStyle name="Accent5 7" xfId="966"/>
    <cellStyle name="Accent5 8" xfId="967"/>
    <cellStyle name="Accent5 9" xfId="968"/>
    <cellStyle name="Accent6 10" xfId="969"/>
    <cellStyle name="Accent6 10 2" xfId="970"/>
    <cellStyle name="Accent6 11" xfId="971"/>
    <cellStyle name="Accent6 11 2" xfId="972"/>
    <cellStyle name="Accent6 12" xfId="973"/>
    <cellStyle name="Accent6 2" xfId="974"/>
    <cellStyle name="Accent6 2 2" xfId="975"/>
    <cellStyle name="Accent6 3" xfId="976"/>
    <cellStyle name="Accent6 3 2" xfId="977"/>
    <cellStyle name="Accent6 4" xfId="978"/>
    <cellStyle name="Accent6 4 2" xfId="979"/>
    <cellStyle name="Accent6 5" xfId="980"/>
    <cellStyle name="Accent6 5 2" xfId="981"/>
    <cellStyle name="Accent6 6" xfId="982"/>
    <cellStyle name="Accent6 6 2" xfId="983"/>
    <cellStyle name="Accent6 7" xfId="984"/>
    <cellStyle name="Accent6 7 2" xfId="985"/>
    <cellStyle name="Accent6 8" xfId="986"/>
    <cellStyle name="Accent6 8 2" xfId="987"/>
    <cellStyle name="Accent6 9" xfId="988"/>
    <cellStyle name="Accent6 9 2" xfId="989"/>
    <cellStyle name="ÅëÈ­ [0]_±âÅ¸" xfId="990"/>
    <cellStyle name="ÅëÈ­_±âÅ¸" xfId="991"/>
    <cellStyle name="args.style" xfId="176"/>
    <cellStyle name="ÄÞ¸¶ [0]_±âÅ¸" xfId="992"/>
    <cellStyle name="ÄÞ¸¶_±âÅ¸" xfId="993"/>
    <cellStyle name="Bad 10" xfId="994"/>
    <cellStyle name="Bad 11" xfId="995"/>
    <cellStyle name="Bad 12" xfId="996"/>
    <cellStyle name="Bad 2" xfId="997"/>
    <cellStyle name="Bad 3" xfId="998"/>
    <cellStyle name="Bad 4" xfId="999"/>
    <cellStyle name="Bad 5" xfId="1000"/>
    <cellStyle name="Bad 6" xfId="1001"/>
    <cellStyle name="Bad 7" xfId="1002"/>
    <cellStyle name="Bad 8" xfId="1003"/>
    <cellStyle name="Bad 9" xfId="1004"/>
    <cellStyle name="Ç¥ÁØ_¿¬°£´©°è¿¹»ó" xfId="1005"/>
    <cellStyle name="Calc Currency (0)" xfId="177"/>
    <cellStyle name="Calc Currency (0) 2" xfId="1006"/>
    <cellStyle name="Calc Currency (2)" xfId="178"/>
    <cellStyle name="Calc Currency (2) 2" xfId="1007"/>
    <cellStyle name="Calc Percent (0)" xfId="179"/>
    <cellStyle name="Calc Percent (0) 2" xfId="1008"/>
    <cellStyle name="Calc Percent (1)" xfId="180"/>
    <cellStyle name="Calc Percent (1) 2" xfId="1009"/>
    <cellStyle name="Calc Percent (2)" xfId="181"/>
    <cellStyle name="Calc Percent (2) 2" xfId="1010"/>
    <cellStyle name="Calc Units (0)" xfId="182"/>
    <cellStyle name="Calc Units (0) 2" xfId="1011"/>
    <cellStyle name="Calc Units (1)" xfId="183"/>
    <cellStyle name="Calc Units (1) 2" xfId="1012"/>
    <cellStyle name="Calc Units (2)" xfId="184"/>
    <cellStyle name="Calc Units (2) 2" xfId="1013"/>
    <cellStyle name="Calculation 10" xfId="1014"/>
    <cellStyle name="Calculation 10 2" xfId="1741"/>
    <cellStyle name="Calculation 11" xfId="1015"/>
    <cellStyle name="Calculation 11 2" xfId="1742"/>
    <cellStyle name="Calculation 12" xfId="1016"/>
    <cellStyle name="Calculation 12 2" xfId="1743"/>
    <cellStyle name="Calculation 2" xfId="1017"/>
    <cellStyle name="Calculation 2 2" xfId="1744"/>
    <cellStyle name="Calculation 3" xfId="1018"/>
    <cellStyle name="Calculation 3 2" xfId="1745"/>
    <cellStyle name="Calculation 4" xfId="1019"/>
    <cellStyle name="Calculation 4 2" xfId="1746"/>
    <cellStyle name="Calculation 5" xfId="1020"/>
    <cellStyle name="Calculation 5 2" xfId="1747"/>
    <cellStyle name="Calculation 6" xfId="1021"/>
    <cellStyle name="Calculation 6 2" xfId="1748"/>
    <cellStyle name="Calculation 7" xfId="1022"/>
    <cellStyle name="Calculation 7 2" xfId="1749"/>
    <cellStyle name="Calculation 8" xfId="1023"/>
    <cellStyle name="Calculation 8 2" xfId="1750"/>
    <cellStyle name="Calculation 9" xfId="1024"/>
    <cellStyle name="Calculation 9 2" xfId="1751"/>
    <cellStyle name="Check Cell 10" xfId="1025"/>
    <cellStyle name="Check Cell 10 2" xfId="1026"/>
    <cellStyle name="Check Cell 11" xfId="1027"/>
    <cellStyle name="Check Cell 11 2" xfId="1028"/>
    <cellStyle name="Check Cell 12" xfId="1029"/>
    <cellStyle name="Check Cell 2" xfId="1030"/>
    <cellStyle name="Check Cell 2 2" xfId="1031"/>
    <cellStyle name="Check Cell 3" xfId="1032"/>
    <cellStyle name="Check Cell 3 2" xfId="1033"/>
    <cellStyle name="Check Cell 4" xfId="1034"/>
    <cellStyle name="Check Cell 4 2" xfId="1035"/>
    <cellStyle name="Check Cell 5" xfId="1036"/>
    <cellStyle name="Check Cell 5 2" xfId="1037"/>
    <cellStyle name="Check Cell 6" xfId="1038"/>
    <cellStyle name="Check Cell 6 2" xfId="1039"/>
    <cellStyle name="Check Cell 7" xfId="1040"/>
    <cellStyle name="Check Cell 7 2" xfId="1041"/>
    <cellStyle name="Check Cell 8" xfId="1042"/>
    <cellStyle name="Check Cell 8 2" xfId="1043"/>
    <cellStyle name="Check Cell 9" xfId="1044"/>
    <cellStyle name="Check Cell 9 2" xfId="1045"/>
    <cellStyle name="Comma" xfId="1" builtinId="3"/>
    <cellStyle name="Comma [0]" xfId="2" builtinId="6"/>
    <cellStyle name="Comma [0] 10" xfId="185"/>
    <cellStyle name="Comma [0] 10 2" xfId="186"/>
    <cellStyle name="Comma [0] 10 2 2" xfId="187"/>
    <cellStyle name="Comma [0] 10 2 2 2" xfId="188"/>
    <cellStyle name="Comma [0] 10 2 3" xfId="189"/>
    <cellStyle name="Comma [0] 10 3" xfId="1046"/>
    <cellStyle name="Comma [0] 10 3 2" xfId="1047"/>
    <cellStyle name="Comma [0] 10 3 3" xfId="1048"/>
    <cellStyle name="Comma [0] 10 4" xfId="1049"/>
    <cellStyle name="Comma [0] 10 4 2" xfId="1050"/>
    <cellStyle name="Comma [0] 10 4 3" xfId="1051"/>
    <cellStyle name="Comma [0] 10 5" xfId="1052"/>
    <cellStyle name="Comma [0] 10 5 2" xfId="1053"/>
    <cellStyle name="Comma [0] 10 5 3" xfId="1054"/>
    <cellStyle name="Comma [0] 10 6" xfId="1055"/>
    <cellStyle name="Comma [0] 10 6 2" xfId="1056"/>
    <cellStyle name="Comma [0] 10 6 3" xfId="1057"/>
    <cellStyle name="Comma [0] 10 7" xfId="1058"/>
    <cellStyle name="Comma [0] 10 7 2" xfId="1059"/>
    <cellStyle name="Comma [0] 10 7 3" xfId="1060"/>
    <cellStyle name="Comma [0] 11" xfId="169"/>
    <cellStyle name="Comma [0] 11 2" xfId="1061"/>
    <cellStyle name="Comma [0] 11 3" xfId="1818"/>
    <cellStyle name="Comma [0] 12" xfId="190"/>
    <cellStyle name="Comma [0] 12 2" xfId="460"/>
    <cellStyle name="Comma [0] 12 2 2" xfId="1852"/>
    <cellStyle name="Comma [0] 12 3" xfId="1062"/>
    <cellStyle name="Comma [0] 13" xfId="124"/>
    <cellStyle name="Comma [0] 13 2" xfId="468"/>
    <cellStyle name="Comma [0] 13 3" xfId="1851"/>
    <cellStyle name="Comma [0] 14" xfId="420"/>
    <cellStyle name="Comma [0] 15" xfId="423"/>
    <cellStyle name="Comma [0] 16" xfId="459"/>
    <cellStyle name="Comma [0] 17" xfId="467"/>
    <cellStyle name="Comma [0] 18" xfId="483"/>
    <cellStyle name="Comma [0] 19" xfId="494"/>
    <cellStyle name="Comma [0] 2" xfId="10"/>
    <cellStyle name="Comma [0] 2 10" xfId="170"/>
    <cellStyle name="Comma [0] 2 10 2" xfId="1064"/>
    <cellStyle name="Comma [0] 2 10 3" xfId="1063"/>
    <cellStyle name="Comma [0] 2 11" xfId="191"/>
    <cellStyle name="Comma [0] 2 11 2" xfId="1066"/>
    <cellStyle name="Comma [0] 2 11 3" xfId="1065"/>
    <cellStyle name="Comma [0] 2 12" xfId="408"/>
    <cellStyle name="Comma [0] 2 12 2" xfId="1068"/>
    <cellStyle name="Comma [0] 2 12 3" xfId="1067"/>
    <cellStyle name="Comma [0] 2 13" xfId="1069"/>
    <cellStyle name="Comma [0] 2 13 2" xfId="1070"/>
    <cellStyle name="Comma [0] 2 14" xfId="1071"/>
    <cellStyle name="Comma [0] 2 15" xfId="1072"/>
    <cellStyle name="Comma [0] 2 15 2" xfId="1073"/>
    <cellStyle name="Comma [0] 2 16" xfId="1074"/>
    <cellStyle name="Comma [0] 2 17" xfId="1075"/>
    <cellStyle name="Comma [0] 2 18" xfId="1076"/>
    <cellStyle name="Comma [0] 2 19" xfId="1077"/>
    <cellStyle name="Comma [0] 2 2" xfId="192"/>
    <cellStyle name="Comma [0] 2 2 2" xfId="470"/>
    <cellStyle name="Comma [0] 2 2 2 2" xfId="1078"/>
    <cellStyle name="Comma [0] 2 2 3" xfId="469"/>
    <cellStyle name="Comma [0] 2 2 3 2" xfId="1079"/>
    <cellStyle name="Comma [0] 2 2 4" xfId="1080"/>
    <cellStyle name="Comma [0] 2 2 5" xfId="1081"/>
    <cellStyle name="Comma [0] 2 2 6" xfId="1082"/>
    <cellStyle name="Comma [0] 2 2 7" xfId="1083"/>
    <cellStyle name="Comma [0] 2 2 8" xfId="1084"/>
    <cellStyle name="Comma [0] 2 2 9" xfId="1085"/>
    <cellStyle name="Comma [0] 2 20" xfId="498"/>
    <cellStyle name="Comma [0] 2 21" xfId="495"/>
    <cellStyle name="Comma [0] 2 22" xfId="1844"/>
    <cellStyle name="Comma [0] 2 3" xfId="193"/>
    <cellStyle name="Comma [0] 2 3 2" xfId="1086"/>
    <cellStyle name="Comma [0] 2 4" xfId="7"/>
    <cellStyle name="Comma [0] 2 4 2" xfId="194"/>
    <cellStyle name="Comma [0] 2 4 2 2" xfId="1087"/>
    <cellStyle name="Comma [0] 2 5" xfId="195"/>
    <cellStyle name="Comma [0] 2 5 2" xfId="1088"/>
    <cellStyle name="Comma [0] 2 6" xfId="196"/>
    <cellStyle name="Comma [0] 2 6 2" xfId="1089"/>
    <cellStyle name="Comma [0] 2 7" xfId="197"/>
    <cellStyle name="Comma [0] 2 7 2" xfId="1090"/>
    <cellStyle name="Comma [0] 2 8" xfId="198"/>
    <cellStyle name="Comma [0] 2 8 2" xfId="1091"/>
    <cellStyle name="Comma [0] 2 9" xfId="199"/>
    <cellStyle name="Comma [0] 2 9 2" xfId="1092"/>
    <cellStyle name="Comma [0] 2_Trial Balance Apr11-Mar12 Oil MillA" xfId="1093"/>
    <cellStyle name="Comma [0] 20" xfId="1810"/>
    <cellStyle name="Comma [0] 21" xfId="1094"/>
    <cellStyle name="Comma [0] 21 2" xfId="1095"/>
    <cellStyle name="Comma [0] 21 3" xfId="1096"/>
    <cellStyle name="Comma [0] 22" xfId="1813"/>
    <cellStyle name="Comma [0] 23" xfId="1817"/>
    <cellStyle name="Comma [0] 24" xfId="1847"/>
    <cellStyle name="Comma [0] 25" xfId="1848"/>
    <cellStyle name="Comma [0] 3" xfId="11"/>
    <cellStyle name="Comma [0] 3 2" xfId="200"/>
    <cellStyle name="Comma [0] 3 2 2" xfId="1097"/>
    <cellStyle name="Comma [0] 3 3" xfId="201"/>
    <cellStyle name="Comma [0] 3 3 2" xfId="1098"/>
    <cellStyle name="Comma [0] 3 4" xfId="202"/>
    <cellStyle name="Comma [0] 3 5" xfId="203"/>
    <cellStyle name="Comma [0] 3 5 2" xfId="204"/>
    <cellStyle name="Comma [0] 3 6" xfId="205"/>
    <cellStyle name="Comma [0] 3 7" xfId="127"/>
    <cellStyle name="Comma [0] 4" xfId="12"/>
    <cellStyle name="Comma [0] 4 2" xfId="128"/>
    <cellStyle name="Comma [0] 4 2 2" xfId="1100"/>
    <cellStyle name="Comma [0] 4 3" xfId="166"/>
    <cellStyle name="Comma [0] 4 3 2" xfId="1101"/>
    <cellStyle name="Comma [0] 4 4" xfId="427"/>
    <cellStyle name="Comma [0] 4 4 2" xfId="1102"/>
    <cellStyle name="Comma [0] 4 5" xfId="461"/>
    <cellStyle name="Comma [0] 4 5 2" xfId="1099"/>
    <cellStyle name="Comma [0] 4 6" xfId="471"/>
    <cellStyle name="Comma [0] 4 7" xfId="1833"/>
    <cellStyle name="Comma [0] 5" xfId="106"/>
    <cellStyle name="Comma [0] 5 2" xfId="130"/>
    <cellStyle name="Comma [0] 5 2 2" xfId="206"/>
    <cellStyle name="Comma [0] 5 2 3" xfId="1104"/>
    <cellStyle name="Comma [0] 5 3" xfId="207"/>
    <cellStyle name="Comma [0] 5 4" xfId="208"/>
    <cellStyle name="Comma [0] 5 5" xfId="129"/>
    <cellStyle name="Comma [0] 5 6" xfId="1103"/>
    <cellStyle name="Comma [0] 6" xfId="113"/>
    <cellStyle name="Comma [0] 6 2" xfId="209"/>
    <cellStyle name="Comma [0] 6 2 2" xfId="210"/>
    <cellStyle name="Comma [0] 6 2 3" xfId="211"/>
    <cellStyle name="Comma [0] 6 2 4" xfId="212"/>
    <cellStyle name="Comma [0] 6 2 5" xfId="213"/>
    <cellStyle name="Comma [0] 6 3" xfId="214"/>
    <cellStyle name="Comma [0] 6 4" xfId="215"/>
    <cellStyle name="Comma [0] 6 5" xfId="131"/>
    <cellStyle name="Comma [0] 6 6" xfId="1105"/>
    <cellStyle name="Comma [0] 7" xfId="115"/>
    <cellStyle name="Comma [0] 7 2" xfId="216"/>
    <cellStyle name="Comma [0] 7 3" xfId="157"/>
    <cellStyle name="Comma [0] 7 4" xfId="1106"/>
    <cellStyle name="Comma [0] 8" xfId="118"/>
    <cellStyle name="Comma [0] 8 2" xfId="218"/>
    <cellStyle name="Comma [0] 8 3" xfId="217"/>
    <cellStyle name="Comma [0] 9" xfId="219"/>
    <cellStyle name="Comma [00]" xfId="220"/>
    <cellStyle name="Comma [00] 2" xfId="1107"/>
    <cellStyle name="Comma 10" xfId="154"/>
    <cellStyle name="Comma 10 10" xfId="1109"/>
    <cellStyle name="Comma 10 10 2" xfId="1110"/>
    <cellStyle name="Comma 10 10 3" xfId="1111"/>
    <cellStyle name="Comma 10 11" xfId="1112"/>
    <cellStyle name="Comma 10 11 2" xfId="1113"/>
    <cellStyle name="Comma 10 11 3" xfId="1114"/>
    <cellStyle name="Comma 10 12" xfId="1115"/>
    <cellStyle name="Comma 10 12 2" xfId="1116"/>
    <cellStyle name="Comma 10 12 3" xfId="1117"/>
    <cellStyle name="Comma 10 13" xfId="1118"/>
    <cellStyle name="Comma 10 13 2" xfId="1119"/>
    <cellStyle name="Comma 10 13 3" xfId="1120"/>
    <cellStyle name="Comma 10 14" xfId="1121"/>
    <cellStyle name="Comma 10 14 2" xfId="1122"/>
    <cellStyle name="Comma 10 14 3" xfId="1123"/>
    <cellStyle name="Comma 10 15" xfId="1124"/>
    <cellStyle name="Comma 10 15 2" xfId="1125"/>
    <cellStyle name="Comma 10 15 3" xfId="1126"/>
    <cellStyle name="Comma 10 16" xfId="1127"/>
    <cellStyle name="Comma 10 17" xfId="1128"/>
    <cellStyle name="Comma 10 18" xfId="1108"/>
    <cellStyle name="Comma 10 2" xfId="1129"/>
    <cellStyle name="Comma 10 2 2" xfId="1130"/>
    <cellStyle name="Comma 10 2 3" xfId="1131"/>
    <cellStyle name="Comma 10 3" xfId="1132"/>
    <cellStyle name="Comma 10 3 2" xfId="1133"/>
    <cellStyle name="Comma 10 3 3" xfId="1134"/>
    <cellStyle name="Comma 10 4" xfId="1135"/>
    <cellStyle name="Comma 10 4 2" xfId="1136"/>
    <cellStyle name="Comma 10 4 3" xfId="1137"/>
    <cellStyle name="Comma 10 5" xfId="1138"/>
    <cellStyle name="Comma 10 5 2" xfId="1139"/>
    <cellStyle name="Comma 10 5 3" xfId="1140"/>
    <cellStyle name="Comma 10 6" xfId="1141"/>
    <cellStyle name="Comma 10 6 2" xfId="1142"/>
    <cellStyle name="Comma 10 6 3" xfId="1143"/>
    <cellStyle name="Comma 10 7" xfId="1144"/>
    <cellStyle name="Comma 10 7 2" xfId="1145"/>
    <cellStyle name="Comma 10 7 3" xfId="1146"/>
    <cellStyle name="Comma 10 8" xfId="1147"/>
    <cellStyle name="Comma 10 8 2" xfId="1148"/>
    <cellStyle name="Comma 10 8 3" xfId="1149"/>
    <cellStyle name="Comma 10 9" xfId="1150"/>
    <cellStyle name="Comma 10 9 2" xfId="1151"/>
    <cellStyle name="Comma 10 9 3" xfId="1152"/>
    <cellStyle name="Comma 11" xfId="175"/>
    <cellStyle name="Comma 11 10" xfId="1153"/>
    <cellStyle name="Comma 11 10 2" xfId="1154"/>
    <cellStyle name="Comma 11 10 3" xfId="1155"/>
    <cellStyle name="Comma 11 11" xfId="1156"/>
    <cellStyle name="Comma 11 11 2" xfId="1157"/>
    <cellStyle name="Comma 11 11 3" xfId="1158"/>
    <cellStyle name="Comma 11 12" xfId="1159"/>
    <cellStyle name="Comma 11 12 2" xfId="1160"/>
    <cellStyle name="Comma 11 12 3" xfId="1161"/>
    <cellStyle name="Comma 11 13" xfId="1162"/>
    <cellStyle name="Comma 11 13 2" xfId="1163"/>
    <cellStyle name="Comma 11 13 3" xfId="1164"/>
    <cellStyle name="Comma 11 14" xfId="1165"/>
    <cellStyle name="Comma 11 14 2" xfId="1166"/>
    <cellStyle name="Comma 11 14 3" xfId="1167"/>
    <cellStyle name="Comma 11 15" xfId="1168"/>
    <cellStyle name="Comma 11 15 2" xfId="1169"/>
    <cellStyle name="Comma 11 15 3" xfId="1170"/>
    <cellStyle name="Comma 11 16" xfId="1171"/>
    <cellStyle name="Comma 11 17" xfId="1172"/>
    <cellStyle name="Comma 11 18" xfId="1173"/>
    <cellStyle name="Comma 11 2" xfId="221"/>
    <cellStyle name="Comma 11 2 2" xfId="1174"/>
    <cellStyle name="Comma 11 2 3" xfId="1175"/>
    <cellStyle name="Comma 11 2 4" xfId="1176"/>
    <cellStyle name="Comma 11 3" xfId="1177"/>
    <cellStyle name="Comma 11 3 2" xfId="1178"/>
    <cellStyle name="Comma 11 3 3" xfId="1179"/>
    <cellStyle name="Comma 11 4" xfId="1180"/>
    <cellStyle name="Comma 11 4 2" xfId="1181"/>
    <cellStyle name="Comma 11 4 3" xfId="1182"/>
    <cellStyle name="Comma 11 5" xfId="1183"/>
    <cellStyle name="Comma 11 5 2" xfId="1184"/>
    <cellStyle name="Comma 11 5 3" xfId="1185"/>
    <cellStyle name="Comma 11 6" xfId="1186"/>
    <cellStyle name="Comma 11 6 2" xfId="1187"/>
    <cellStyle name="Comma 11 6 3" xfId="1188"/>
    <cellStyle name="Comma 11 7" xfId="1189"/>
    <cellStyle name="Comma 11 7 2" xfId="1190"/>
    <cellStyle name="Comma 11 7 3" xfId="1191"/>
    <cellStyle name="Comma 11 8" xfId="1192"/>
    <cellStyle name="Comma 11 8 2" xfId="1193"/>
    <cellStyle name="Comma 11 8 3" xfId="1194"/>
    <cellStyle name="Comma 11 9" xfId="1195"/>
    <cellStyle name="Comma 11 9 2" xfId="1196"/>
    <cellStyle name="Comma 11 9 3" xfId="1197"/>
    <cellStyle name="Comma 12" xfId="222"/>
    <cellStyle name="Comma 12 10" xfId="1198"/>
    <cellStyle name="Comma 12 10 2" xfId="1199"/>
    <cellStyle name="Comma 12 10 3" xfId="1200"/>
    <cellStyle name="Comma 12 11" xfId="1201"/>
    <cellStyle name="Comma 12 11 2" xfId="1202"/>
    <cellStyle name="Comma 12 11 3" xfId="1203"/>
    <cellStyle name="Comma 12 12" xfId="1204"/>
    <cellStyle name="Comma 12 12 2" xfId="1205"/>
    <cellStyle name="Comma 12 12 3" xfId="1206"/>
    <cellStyle name="Comma 12 13" xfId="1207"/>
    <cellStyle name="Comma 12 13 2" xfId="1208"/>
    <cellStyle name="Comma 12 13 3" xfId="1209"/>
    <cellStyle name="Comma 12 14" xfId="1210"/>
    <cellStyle name="Comma 12 14 2" xfId="1211"/>
    <cellStyle name="Comma 12 14 3" xfId="1212"/>
    <cellStyle name="Comma 12 15" xfId="1213"/>
    <cellStyle name="Comma 12 15 2" xfId="1214"/>
    <cellStyle name="Comma 12 15 3" xfId="1215"/>
    <cellStyle name="Comma 12 16" xfId="1216"/>
    <cellStyle name="Comma 12 17" xfId="1217"/>
    <cellStyle name="Comma 12 18" xfId="1218"/>
    <cellStyle name="Comma 12 2" xfId="223"/>
    <cellStyle name="Comma 12 2 2" xfId="1219"/>
    <cellStyle name="Comma 12 2 3" xfId="1220"/>
    <cellStyle name="Comma 12 2 4" xfId="1221"/>
    <cellStyle name="Comma 12 3" xfId="1222"/>
    <cellStyle name="Comma 12 3 2" xfId="1223"/>
    <cellStyle name="Comma 12 3 3" xfId="1224"/>
    <cellStyle name="Comma 12 4" xfId="1225"/>
    <cellStyle name="Comma 12 4 2" xfId="1226"/>
    <cellStyle name="Comma 12 4 3" xfId="1227"/>
    <cellStyle name="Comma 12 5" xfId="1228"/>
    <cellStyle name="Comma 12 5 2" xfId="1229"/>
    <cellStyle name="Comma 12 5 3" xfId="1230"/>
    <cellStyle name="Comma 12 6" xfId="1231"/>
    <cellStyle name="Comma 12 6 2" xfId="1232"/>
    <cellStyle name="Comma 12 6 3" xfId="1233"/>
    <cellStyle name="Comma 12 7" xfId="1234"/>
    <cellStyle name="Comma 12 7 2" xfId="1235"/>
    <cellStyle name="Comma 12 7 3" xfId="1236"/>
    <cellStyle name="Comma 12 8" xfId="1237"/>
    <cellStyle name="Comma 12 8 2" xfId="1238"/>
    <cellStyle name="Comma 12 8 3" xfId="1239"/>
    <cellStyle name="Comma 12 9" xfId="1240"/>
    <cellStyle name="Comma 12 9 2" xfId="1241"/>
    <cellStyle name="Comma 12 9 3" xfId="1242"/>
    <cellStyle name="Comma 13" xfId="224"/>
    <cellStyle name="Comma 13 2" xfId="1243"/>
    <cellStyle name="Comma 14" xfId="225"/>
    <cellStyle name="Comma 14 2" xfId="226"/>
    <cellStyle name="Comma 14 3" xfId="1244"/>
    <cellStyle name="Comma 15" xfId="227"/>
    <cellStyle name="Comma 15 2" xfId="228"/>
    <cellStyle name="Comma 15 3" xfId="1245"/>
    <cellStyle name="Comma 16" xfId="229"/>
    <cellStyle name="Comma 16 2" xfId="230"/>
    <cellStyle name="Comma 16 3" xfId="1246"/>
    <cellStyle name="Comma 17" xfId="231"/>
    <cellStyle name="Comma 17 2" xfId="232"/>
    <cellStyle name="Comma 17 3" xfId="1247"/>
    <cellStyle name="Comma 17 4" xfId="1248"/>
    <cellStyle name="Comma 17 5" xfId="1249"/>
    <cellStyle name="Comma 17 6" xfId="1250"/>
    <cellStyle name="Comma 18" xfId="233"/>
    <cellStyle name="Comma 18 2" xfId="234"/>
    <cellStyle name="Comma 18 2 2" xfId="1251"/>
    <cellStyle name="Comma 18 2 3" xfId="1252"/>
    <cellStyle name="Comma 18 2 4" xfId="1253"/>
    <cellStyle name="Comma 18 3" xfId="1254"/>
    <cellStyle name="Comma 19" xfId="235"/>
    <cellStyle name="Comma 19 2" xfId="236"/>
    <cellStyle name="Comma 19 2 2" xfId="1255"/>
    <cellStyle name="Comma 19 2 3" xfId="1256"/>
    <cellStyle name="Comma 19 2 4" xfId="1257"/>
    <cellStyle name="Comma 19 3" xfId="1258"/>
    <cellStyle name="Comma 2" xfId="4"/>
    <cellStyle name="Comma 2 10" xfId="429"/>
    <cellStyle name="Comma 2 11" xfId="430"/>
    <cellStyle name="Comma 2 12" xfId="431"/>
    <cellStyle name="Comma 2 13" xfId="432"/>
    <cellStyle name="Comma 2 14" xfId="433"/>
    <cellStyle name="Comma 2 15" xfId="434"/>
    <cellStyle name="Comma 2 16" xfId="435"/>
    <cellStyle name="Comma 2 17" xfId="436"/>
    <cellStyle name="Comma 2 18" xfId="437"/>
    <cellStyle name="Comma 2 19" xfId="438"/>
    <cellStyle name="Comma 2 2" xfId="13"/>
    <cellStyle name="Comma 2 2 2" xfId="237"/>
    <cellStyle name="Comma 2 2 2 2" xfId="1259"/>
    <cellStyle name="Comma 2 2 3" xfId="1260"/>
    <cellStyle name="Comma 2 2 4" xfId="1261"/>
    <cellStyle name="Comma 2 2 4 2" xfId="1262"/>
    <cellStyle name="Comma 2 2 4 2 2" xfId="1820"/>
    <cellStyle name="Comma 2 2 4 3" xfId="1819"/>
    <cellStyle name="Comma 2 2 5" xfId="491"/>
    <cellStyle name="Comma 2 20" xfId="439"/>
    <cellStyle name="Comma 2 21" xfId="440"/>
    <cellStyle name="Comma 2 22" xfId="441"/>
    <cellStyle name="Comma 2 23" xfId="442"/>
    <cellStyle name="Comma 2 24" xfId="428"/>
    <cellStyle name="Comma 2 25" xfId="464"/>
    <cellStyle name="Comma 2 26" xfId="1834"/>
    <cellStyle name="Comma 2 3" xfId="14"/>
    <cellStyle name="Comma 2 3 2" xfId="238"/>
    <cellStyle name="Comma 2 3 2 2" xfId="1263"/>
    <cellStyle name="Comma 2 3 3" xfId="132"/>
    <cellStyle name="Comma 2 3 3 2" xfId="1264"/>
    <cellStyle name="Comma 2 3 4" xfId="443"/>
    <cellStyle name="Comma 2 3 5" xfId="472"/>
    <cellStyle name="Comma 2 4" xfId="111"/>
    <cellStyle name="Comma 2 4 2" xfId="239"/>
    <cellStyle name="Comma 2 4 2 2" xfId="1265"/>
    <cellStyle name="Comma 2 4 3" xfId="133"/>
    <cellStyle name="Comma 2 5" xfId="240"/>
    <cellStyle name="Comma 2 5 2" xfId="444"/>
    <cellStyle name="Comma 2 5 3" xfId="1266"/>
    <cellStyle name="Comma 2 6" xfId="241"/>
    <cellStyle name="Comma 2 6 2" xfId="445"/>
    <cellStyle name="Comma 2 6 2 2" xfId="242"/>
    <cellStyle name="Comma 2 6 2 2 2" xfId="243"/>
    <cellStyle name="Comma 2 6 2 2 4 3" xfId="244"/>
    <cellStyle name="Comma 2 6 2 2 4 3 2" xfId="245"/>
    <cellStyle name="Comma 2 7" xfId="246"/>
    <cellStyle name="Comma 2 7 2" xfId="446"/>
    <cellStyle name="Comma 2 7 3" xfId="1267"/>
    <cellStyle name="Comma 2 8" xfId="247"/>
    <cellStyle name="Comma 2 8 2" xfId="447"/>
    <cellStyle name="Comma 2 8 3" xfId="1268"/>
    <cellStyle name="Comma 2 9" xfId="448"/>
    <cellStyle name="Comma 2 9 2" xfId="1269"/>
    <cellStyle name="Comma 20" xfId="248"/>
    <cellStyle name="Comma 20 2" xfId="1270"/>
    <cellStyle name="Comma 20 2 2" xfId="1271"/>
    <cellStyle name="Comma 20 2 3" xfId="1272"/>
    <cellStyle name="Comma 21" xfId="249"/>
    <cellStyle name="Comma 21 2" xfId="1273"/>
    <cellStyle name="Comma 21 3" xfId="1274"/>
    <cellStyle name="Comma 22" xfId="250"/>
    <cellStyle name="Comma 22 2" xfId="1276"/>
    <cellStyle name="Comma 22 3" xfId="1277"/>
    <cellStyle name="Comma 22 4" xfId="1275"/>
    <cellStyle name="Comma 23" xfId="122"/>
    <cellStyle name="Comma 23 2" xfId="449"/>
    <cellStyle name="Comma 23 2 2" xfId="1279"/>
    <cellStyle name="Comma 23 3" xfId="1280"/>
    <cellStyle name="Comma 23 4" xfId="1278"/>
    <cellStyle name="Comma 23 5" xfId="1835"/>
    <cellStyle name="Comma 24" xfId="426"/>
    <cellStyle name="Comma 24 2" xfId="1282"/>
    <cellStyle name="Comma 24 3" xfId="1283"/>
    <cellStyle name="Comma 24 4" xfId="1281"/>
    <cellStyle name="Comma 25" xfId="458"/>
    <cellStyle name="Comma 25 2" xfId="1284"/>
    <cellStyle name="Comma 26" xfId="466"/>
    <cellStyle name="Comma 27" xfId="476"/>
    <cellStyle name="Comma 28" xfId="482"/>
    <cellStyle name="Comma 29" xfId="484"/>
    <cellStyle name="Comma 3" xfId="6"/>
    <cellStyle name="Comma 3 10" xfId="1285"/>
    <cellStyle name="Comma 3 10 2" xfId="1286"/>
    <cellStyle name="Comma 3 11" xfId="1287"/>
    <cellStyle name="Comma 3 12" xfId="1288"/>
    <cellStyle name="Comma 3 13" xfId="497"/>
    <cellStyle name="Comma 3 14" xfId="496"/>
    <cellStyle name="Comma 3 15" xfId="1836"/>
    <cellStyle name="Comma 3 2" xfId="251"/>
    <cellStyle name="Comma 3 2 10" xfId="1289"/>
    <cellStyle name="Comma 3 2 2" xfId="1290"/>
    <cellStyle name="Comma 3 2 3" xfId="1291"/>
    <cellStyle name="Comma 3 2 4" xfId="1292"/>
    <cellStyle name="Comma 3 2 5" xfId="1293"/>
    <cellStyle name="Comma 3 2 6" xfId="1294"/>
    <cellStyle name="Comma 3 2 7" xfId="1295"/>
    <cellStyle name="Comma 3 2 8" xfId="1296"/>
    <cellStyle name="Comma 3 2 9" xfId="1297"/>
    <cellStyle name="Comma 3 3" xfId="252"/>
    <cellStyle name="Comma 3 3 2" xfId="1298"/>
    <cellStyle name="Comma 3 3 3" xfId="1299"/>
    <cellStyle name="Comma 3 4" xfId="253"/>
    <cellStyle name="Comma 3 4 2" xfId="1300"/>
    <cellStyle name="Comma 3 4 3" xfId="1301"/>
    <cellStyle name="Comma 3 5" xfId="254"/>
    <cellStyle name="Comma 3 5 2" xfId="1302"/>
    <cellStyle name="Comma 3 5 3" xfId="1303"/>
    <cellStyle name="Comma 3 6" xfId="121"/>
    <cellStyle name="Comma 3 6 2" xfId="1305"/>
    <cellStyle name="Comma 3 6 3" xfId="1304"/>
    <cellStyle name="Comma 3 7" xfId="450"/>
    <cellStyle name="Comma 3 7 2" xfId="1307"/>
    <cellStyle name="Comma 3 7 3" xfId="1306"/>
    <cellStyle name="Comma 3 8" xfId="1308"/>
    <cellStyle name="Comma 3 8 2" xfId="1309"/>
    <cellStyle name="Comma 3 9" xfId="1310"/>
    <cellStyle name="Comma 3 9 2" xfId="1311"/>
    <cellStyle name="Comma 3_Trial Balance Apr11-Mar12 Oil MillA" xfId="1312"/>
    <cellStyle name="Comma 30" xfId="487"/>
    <cellStyle name="Comma 31" xfId="493"/>
    <cellStyle name="Comma 32" xfId="1626"/>
    <cellStyle name="Comma 33" xfId="1811"/>
    <cellStyle name="Comma 34" xfId="1812"/>
    <cellStyle name="Comma 35" xfId="1816"/>
    <cellStyle name="Comma 36" xfId="1832"/>
    <cellStyle name="Comma 37" xfId="1846"/>
    <cellStyle name="Comma 38" xfId="1850"/>
    <cellStyle name="Comma 4" xfId="15"/>
    <cellStyle name="Comma 4 10" xfId="1313"/>
    <cellStyle name="Comma 4 10 2" xfId="1314"/>
    <cellStyle name="Comma 4 10 3" xfId="1315"/>
    <cellStyle name="Comma 4 11" xfId="1316"/>
    <cellStyle name="Comma 4 12" xfId="1837"/>
    <cellStyle name="Comma 4 13" xfId="1853"/>
    <cellStyle name="Comma 4 2" xfId="16"/>
    <cellStyle name="Comma 4 2 2" xfId="255"/>
    <cellStyle name="Comma 4 2 2 2" xfId="1317"/>
    <cellStyle name="Comma 4 2 3" xfId="1318"/>
    <cellStyle name="Comma 4 2 4" xfId="1319"/>
    <cellStyle name="Comma 4 3" xfId="17"/>
    <cellStyle name="Comma 4 3 2" xfId="1320"/>
    <cellStyle name="Comma 4 4" xfId="256"/>
    <cellStyle name="Comma 4 4 2" xfId="1322"/>
    <cellStyle name="Comma 4 4 3" xfId="1323"/>
    <cellStyle name="Comma 4 4 4" xfId="1321"/>
    <cellStyle name="Comma 4 5" xfId="451"/>
    <cellStyle name="Comma 4 5 2" xfId="1325"/>
    <cellStyle name="Comma 4 5 3" xfId="1326"/>
    <cellStyle name="Comma 4 5 4" xfId="1324"/>
    <cellStyle name="Comma 4 6" xfId="462"/>
    <cellStyle name="Comma 4 6 2" xfId="1328"/>
    <cellStyle name="Comma 4 6 3" xfId="1329"/>
    <cellStyle name="Comma 4 6 4" xfId="1327"/>
    <cellStyle name="Comma 4 7" xfId="1330"/>
    <cellStyle name="Comma 4 7 2" xfId="1331"/>
    <cellStyle name="Comma 4 7 3" xfId="1332"/>
    <cellStyle name="Comma 4 8" xfId="1333"/>
    <cellStyle name="Comma 4 8 2" xfId="1334"/>
    <cellStyle name="Comma 4 8 3" xfId="1335"/>
    <cellStyle name="Comma 4 9" xfId="1336"/>
    <cellStyle name="Comma 4 9 2" xfId="1337"/>
    <cellStyle name="Comma 4 9 3" xfId="1338"/>
    <cellStyle name="Comma 5" xfId="18"/>
    <cellStyle name="Comma 5 2" xfId="257"/>
    <cellStyle name="Comma 5 2 2" xfId="258"/>
    <cellStyle name="Comma 5 2 3" xfId="1339"/>
    <cellStyle name="Comma 5 3" xfId="259"/>
    <cellStyle name="Comma 5 3 2" xfId="260"/>
    <cellStyle name="Comma 5 4" xfId="261"/>
    <cellStyle name="Comma 5 5" xfId="125"/>
    <cellStyle name="Comma 5 6" xfId="473"/>
    <cellStyle name="Comma 6" xfId="19"/>
    <cellStyle name="Comma 6 10" xfId="1340"/>
    <cellStyle name="Comma 6 10 2" xfId="1341"/>
    <cellStyle name="Comma 6 10 3" xfId="1342"/>
    <cellStyle name="Comma 6 11" xfId="1343"/>
    <cellStyle name="Comma 6 11 2" xfId="1344"/>
    <cellStyle name="Comma 6 11 3" xfId="1345"/>
    <cellStyle name="Comma 6 12" xfId="1346"/>
    <cellStyle name="Comma 6 12 2" xfId="1347"/>
    <cellStyle name="Comma 6 12 3" xfId="1348"/>
    <cellStyle name="Comma 6 13" xfId="1349"/>
    <cellStyle name="Comma 6 13 2" xfId="1350"/>
    <cellStyle name="Comma 6 13 3" xfId="1351"/>
    <cellStyle name="Comma 6 14" xfId="1352"/>
    <cellStyle name="Comma 6 14 2" xfId="1353"/>
    <cellStyle name="Comma 6 14 3" xfId="1354"/>
    <cellStyle name="Comma 6 15" xfId="1355"/>
    <cellStyle name="Comma 6 15 2" xfId="1356"/>
    <cellStyle name="Comma 6 15 3" xfId="1357"/>
    <cellStyle name="Comma 6 16" xfId="1358"/>
    <cellStyle name="Comma 6 17" xfId="1359"/>
    <cellStyle name="Comma 6 18" xfId="1360"/>
    <cellStyle name="Comma 6 2" xfId="134"/>
    <cellStyle name="Comma 6 2 2" xfId="167"/>
    <cellStyle name="Comma 6 2 2 2" xfId="1361"/>
    <cellStyle name="Comma 6 2 3" xfId="262"/>
    <cellStyle name="Comma 6 2 3 2" xfId="1362"/>
    <cellStyle name="Comma 6 2 4" xfId="263"/>
    <cellStyle name="Comma 6 2 4 2" xfId="1363"/>
    <cellStyle name="Comma 6 2 4 3" xfId="1821"/>
    <cellStyle name="Comma 6 3" xfId="163"/>
    <cellStyle name="Comma 6 3 2" xfId="1365"/>
    <cellStyle name="Comma 6 3 3" xfId="1366"/>
    <cellStyle name="Comma 6 3 4" xfId="1364"/>
    <cellStyle name="Comma 6 4" xfId="264"/>
    <cellStyle name="Comma 6 4 2" xfId="1368"/>
    <cellStyle name="Comma 6 4 3" xfId="1369"/>
    <cellStyle name="Comma 6 4 4" xfId="1367"/>
    <cellStyle name="Comma 6 5" xfId="1370"/>
    <cellStyle name="Comma 6 5 2" xfId="1371"/>
    <cellStyle name="Comma 6 5 3" xfId="1372"/>
    <cellStyle name="Comma 6 6" xfId="1373"/>
    <cellStyle name="Comma 6 6 2" xfId="1374"/>
    <cellStyle name="Comma 6 6 3" xfId="1375"/>
    <cellStyle name="Comma 6 7" xfId="1376"/>
    <cellStyle name="Comma 6 7 2" xfId="1377"/>
    <cellStyle name="Comma 6 7 3" xfId="1378"/>
    <cellStyle name="Comma 6 8" xfId="1379"/>
    <cellStyle name="Comma 6 8 2" xfId="1380"/>
    <cellStyle name="Comma 6 8 3" xfId="1381"/>
    <cellStyle name="Comma 6 9" xfId="1382"/>
    <cellStyle name="Comma 6 9 2" xfId="1383"/>
    <cellStyle name="Comma 6 9 3" xfId="1384"/>
    <cellStyle name="Comma 7" xfId="104"/>
    <cellStyle name="Comma 7 2" xfId="136"/>
    <cellStyle name="Comma 7 2 2" xfId="156"/>
    <cellStyle name="Comma 7 2 2 2" xfId="1387"/>
    <cellStyle name="Comma 7 2 3" xfId="137"/>
    <cellStyle name="Comma 7 2 3 2" xfId="1388"/>
    <cellStyle name="Comma 7 2 4" xfId="165"/>
    <cellStyle name="Comma 7 2 5" xfId="1386"/>
    <cellStyle name="Comma 7 3" xfId="135"/>
    <cellStyle name="Comma 7 4" xfId="474"/>
    <cellStyle name="Comma 7 5" xfId="1385"/>
    <cellStyle name="Comma 8" xfId="109"/>
    <cellStyle name="Comma 8 2" xfId="265"/>
    <cellStyle name="Comma 8 3" xfId="138"/>
    <cellStyle name="Comma 8 4" xfId="1389"/>
    <cellStyle name="Comma 9" xfId="139"/>
    <cellStyle name="Comma 9 2" xfId="266"/>
    <cellStyle name="Comma 9 3" xfId="267"/>
    <cellStyle name="Comma 9 3 2" xfId="268"/>
    <cellStyle name="Comma 9 4" xfId="1390"/>
    <cellStyle name="Copied" xfId="269"/>
    <cellStyle name="Currency (0.00)" xfId="1391"/>
    <cellStyle name="Currency (0.00) 2" xfId="1752"/>
    <cellStyle name="Currency (0.00) 3" xfId="1822"/>
    <cellStyle name="Currency [0] 2" xfId="20"/>
    <cellStyle name="Currency [0] 2 2" xfId="21"/>
    <cellStyle name="Currency [0] 3" xfId="270"/>
    <cellStyle name="Currency [0] 4" xfId="271"/>
    <cellStyle name="Currency [00]" xfId="272"/>
    <cellStyle name="Currency [00] 2" xfId="1392"/>
    <cellStyle name="Currency [1]" xfId="273"/>
    <cellStyle name="Currency [2]" xfId="274"/>
    <cellStyle name="Currency 2" xfId="112"/>
    <cellStyle name="Currency 2 2" xfId="275"/>
    <cellStyle name="Currency 2 3" xfId="1393"/>
    <cellStyle name="Currency 2 4" xfId="1823"/>
    <cellStyle name="Currency 3" xfId="485"/>
    <cellStyle name="Currency 4" xfId="488"/>
    <cellStyle name="Currency 5" xfId="490"/>
    <cellStyle name="Date [d-mmm-yy]" xfId="276"/>
    <cellStyle name="Date [mm-d-yy]" xfId="277"/>
    <cellStyle name="Date [mm-d-yyyy]" xfId="278"/>
    <cellStyle name="Date [mmm-yy]" xfId="279"/>
    <cellStyle name="Date Short" xfId="280"/>
    <cellStyle name="Enter Currency (0)" xfId="281"/>
    <cellStyle name="Enter Currency (0) 2" xfId="1394"/>
    <cellStyle name="Enter Currency (2)" xfId="282"/>
    <cellStyle name="Enter Currency (2) 2" xfId="1395"/>
    <cellStyle name="Enter Units (0)" xfId="283"/>
    <cellStyle name="Enter Units (0) 2" xfId="1396"/>
    <cellStyle name="Enter Units (1)" xfId="284"/>
    <cellStyle name="Enter Units (1) 2" xfId="1397"/>
    <cellStyle name="Enter Units (2)" xfId="285"/>
    <cellStyle name="Enter Units (2) 2" xfId="1398"/>
    <cellStyle name="Entered" xfId="286"/>
    <cellStyle name="Excel Built-in Comma" xfId="287"/>
    <cellStyle name="Excel Built-in Comma [0]" xfId="288"/>
    <cellStyle name="Excel Built-in Normal" xfId="289"/>
    <cellStyle name="Excel Built-in Normal 2" xfId="290"/>
    <cellStyle name="Excel Built-in Normal 3" xfId="291"/>
    <cellStyle name="Explanatory Text 10" xfId="1399"/>
    <cellStyle name="Explanatory Text 11" xfId="1400"/>
    <cellStyle name="Explanatory Text 2" xfId="1401"/>
    <cellStyle name="Explanatory Text 3" xfId="1402"/>
    <cellStyle name="Explanatory Text 4" xfId="1403"/>
    <cellStyle name="Explanatory Text 5" xfId="1404"/>
    <cellStyle name="Explanatory Text 6" xfId="1405"/>
    <cellStyle name="Explanatory Text 7" xfId="1406"/>
    <cellStyle name="Explanatory Text 8" xfId="1407"/>
    <cellStyle name="Explanatory Text 9" xfId="1408"/>
    <cellStyle name="Fixed [0]" xfId="292"/>
    <cellStyle name="Good 10" xfId="1409"/>
    <cellStyle name="Good 11" xfId="1410"/>
    <cellStyle name="Good 2" xfId="1411"/>
    <cellStyle name="Good 3" xfId="1412"/>
    <cellStyle name="Good 4" xfId="1413"/>
    <cellStyle name="Good 5" xfId="1414"/>
    <cellStyle name="Good 6" xfId="1415"/>
    <cellStyle name="Good 7" xfId="1416"/>
    <cellStyle name="Good 8" xfId="1417"/>
    <cellStyle name="Good 9" xfId="1418"/>
    <cellStyle name="Grey" xfId="293"/>
    <cellStyle name="Header1" xfId="294"/>
    <cellStyle name="Header2" xfId="295"/>
    <cellStyle name="Header2 2" xfId="1753"/>
    <cellStyle name="Heading 1 10" xfId="1419"/>
    <cellStyle name="Heading 1 11" xfId="1420"/>
    <cellStyle name="Heading 1 12" xfId="1421"/>
    <cellStyle name="Heading 1 2" xfId="1422"/>
    <cellStyle name="Heading 1 3" xfId="1423"/>
    <cellStyle name="Heading 1 4" xfId="1424"/>
    <cellStyle name="Heading 1 5" xfId="1425"/>
    <cellStyle name="Heading 1 6" xfId="1426"/>
    <cellStyle name="Heading 1 7" xfId="1427"/>
    <cellStyle name="Heading 1 8" xfId="1428"/>
    <cellStyle name="Heading 1 9" xfId="1429"/>
    <cellStyle name="Heading 2 10" xfId="1430"/>
    <cellStyle name="Heading 2 11" xfId="1431"/>
    <cellStyle name="Heading 2 12" xfId="1432"/>
    <cellStyle name="Heading 2 2" xfId="1433"/>
    <cellStyle name="Heading 2 3" xfId="1434"/>
    <cellStyle name="Heading 2 4" xfId="1435"/>
    <cellStyle name="Heading 2 5" xfId="1436"/>
    <cellStyle name="Heading 2 6" xfId="1437"/>
    <cellStyle name="Heading 2 7" xfId="1438"/>
    <cellStyle name="Heading 2 8" xfId="1439"/>
    <cellStyle name="Heading 2 9" xfId="1440"/>
    <cellStyle name="Heading 3 10" xfId="1441"/>
    <cellStyle name="Heading 3 11" xfId="1442"/>
    <cellStyle name="Heading 3 12" xfId="1443"/>
    <cellStyle name="Heading 3 2" xfId="1444"/>
    <cellStyle name="Heading 3 3" xfId="1445"/>
    <cellStyle name="Heading 3 4" xfId="1446"/>
    <cellStyle name="Heading 3 5" xfId="1447"/>
    <cellStyle name="Heading 3 6" xfId="1448"/>
    <cellStyle name="Heading 3 7" xfId="1449"/>
    <cellStyle name="Heading 3 8" xfId="1450"/>
    <cellStyle name="Heading 3 9" xfId="1451"/>
    <cellStyle name="Heading 4 10" xfId="1452"/>
    <cellStyle name="Heading 4 11" xfId="1453"/>
    <cellStyle name="Heading 4 12" xfId="1454"/>
    <cellStyle name="Heading 4 2" xfId="1455"/>
    <cellStyle name="Heading 4 3" xfId="1456"/>
    <cellStyle name="Heading 4 4" xfId="1457"/>
    <cellStyle name="Heading 4 5" xfId="1458"/>
    <cellStyle name="Heading 4 6" xfId="1459"/>
    <cellStyle name="Heading 4 7" xfId="1460"/>
    <cellStyle name="Heading 4 8" xfId="1461"/>
    <cellStyle name="Heading 4 9" xfId="1462"/>
    <cellStyle name="HEADINGS" xfId="296"/>
    <cellStyle name="HEADINGSTOP" xfId="297"/>
    <cellStyle name="Hyperlink" xfId="3" builtinId="8"/>
    <cellStyle name="Hyperlink 2" xfId="456"/>
    <cellStyle name="Input [yellow]" xfId="298"/>
    <cellStyle name="Input [yellow] 2" xfId="1754"/>
    <cellStyle name="Input [yellow] 3" xfId="1824"/>
    <cellStyle name="Input 10" xfId="1463"/>
    <cellStyle name="Input 10 2" xfId="1464"/>
    <cellStyle name="Input 10 2 2" xfId="1756"/>
    <cellStyle name="Input 10 3" xfId="1755"/>
    <cellStyle name="Input 11" xfId="1465"/>
    <cellStyle name="Input 11 2" xfId="1466"/>
    <cellStyle name="Input 11 2 2" xfId="1758"/>
    <cellStyle name="Input 11 3" xfId="1757"/>
    <cellStyle name="Input 12" xfId="1467"/>
    <cellStyle name="Input 12 2" xfId="1759"/>
    <cellStyle name="Input 2" xfId="1468"/>
    <cellStyle name="Input 2 2" xfId="1469"/>
    <cellStyle name="Input 2 2 2" xfId="1761"/>
    <cellStyle name="Input 2 3" xfId="1760"/>
    <cellStyle name="Input 3" xfId="1470"/>
    <cellStyle name="Input 3 2" xfId="1471"/>
    <cellStyle name="Input 3 2 2" xfId="1763"/>
    <cellStyle name="Input 3 3" xfId="1762"/>
    <cellStyle name="Input 4" xfId="1472"/>
    <cellStyle name="Input 4 2" xfId="1473"/>
    <cellStyle name="Input 4 2 2" xfId="1765"/>
    <cellStyle name="Input 4 3" xfId="1764"/>
    <cellStyle name="Input 5" xfId="1474"/>
    <cellStyle name="Input 5 2" xfId="1475"/>
    <cellStyle name="Input 5 2 2" xfId="1767"/>
    <cellStyle name="Input 5 3" xfId="1766"/>
    <cellStyle name="Input 6" xfId="1476"/>
    <cellStyle name="Input 6 2" xfId="1477"/>
    <cellStyle name="Input 6 2 2" xfId="1769"/>
    <cellStyle name="Input 6 3" xfId="1768"/>
    <cellStyle name="Input 7" xfId="1478"/>
    <cellStyle name="Input 7 2" xfId="1479"/>
    <cellStyle name="Input 7 2 2" xfId="1771"/>
    <cellStyle name="Input 7 3" xfId="1770"/>
    <cellStyle name="Input 8" xfId="1480"/>
    <cellStyle name="Input 8 2" xfId="1481"/>
    <cellStyle name="Input 8 2 2" xfId="1773"/>
    <cellStyle name="Input 8 3" xfId="1772"/>
    <cellStyle name="Input 9" xfId="1482"/>
    <cellStyle name="Input 9 2" xfId="1483"/>
    <cellStyle name="Input 9 2 2" xfId="1775"/>
    <cellStyle name="Input 9 3" xfId="1774"/>
    <cellStyle name="Input Currency" xfId="299"/>
    <cellStyle name="Input Date" xfId="300"/>
    <cellStyle name="Input Fixed [0]" xfId="301"/>
    <cellStyle name="Input Normal" xfId="302"/>
    <cellStyle name="Input Percent" xfId="303"/>
    <cellStyle name="Input Percent [2]" xfId="304"/>
    <cellStyle name="Input Titles" xfId="305"/>
    <cellStyle name="Link Currency (0)" xfId="306"/>
    <cellStyle name="Link Currency (0) 2" xfId="1484"/>
    <cellStyle name="Link Currency (2)" xfId="307"/>
    <cellStyle name="Link Currency (2) 2" xfId="1485"/>
    <cellStyle name="Link Units (0)" xfId="308"/>
    <cellStyle name="Link Units (0) 2" xfId="1486"/>
    <cellStyle name="Link Units (1)" xfId="309"/>
    <cellStyle name="Link Units (1) 2" xfId="1487"/>
    <cellStyle name="Link Units (2)" xfId="310"/>
    <cellStyle name="Link Units (2) 2" xfId="1488"/>
    <cellStyle name="Linked Cell 10" xfId="1489"/>
    <cellStyle name="Linked Cell 11" xfId="1490"/>
    <cellStyle name="Linked Cell 2" xfId="1491"/>
    <cellStyle name="Linked Cell 3" xfId="1492"/>
    <cellStyle name="Linked Cell 4" xfId="1493"/>
    <cellStyle name="Linked Cell 5" xfId="1494"/>
    <cellStyle name="Linked Cell 6" xfId="1495"/>
    <cellStyle name="Linked Cell 7" xfId="1496"/>
    <cellStyle name="Linked Cell 8" xfId="1497"/>
    <cellStyle name="Linked Cell 9" xfId="1498"/>
    <cellStyle name="NA is zero" xfId="311"/>
    <cellStyle name="Neutral 10" xfId="1499"/>
    <cellStyle name="Neutral 11" xfId="1500"/>
    <cellStyle name="Neutral 12" xfId="1501"/>
    <cellStyle name="Neutral 2" xfId="1502"/>
    <cellStyle name="Neutral 3" xfId="1503"/>
    <cellStyle name="Neutral 4" xfId="1504"/>
    <cellStyle name="Neutral 5" xfId="1505"/>
    <cellStyle name="Neutral 6" xfId="1506"/>
    <cellStyle name="Neutral 7" xfId="1507"/>
    <cellStyle name="Neutral 8" xfId="1508"/>
    <cellStyle name="Neutral 9" xfId="1509"/>
    <cellStyle name="Normal" xfId="0" builtinId="0"/>
    <cellStyle name="Normal - Style1" xfId="312"/>
    <cellStyle name="Normal - Style1 2" xfId="1510"/>
    <cellStyle name="Normal [0]" xfId="313"/>
    <cellStyle name="Normal [1]" xfId="314"/>
    <cellStyle name="Normal [2]" xfId="315"/>
    <cellStyle name="Normal [3]" xfId="316"/>
    <cellStyle name="Normal 10" xfId="103"/>
    <cellStyle name="Normal 10 2" xfId="141"/>
    <cellStyle name="Normal 10 2 2" xfId="155"/>
    <cellStyle name="Normal 10 2 2 2" xfId="1513"/>
    <cellStyle name="Normal 10 2 3" xfId="142"/>
    <cellStyle name="Normal 10 2 4" xfId="164"/>
    <cellStyle name="Normal 10 2 5" xfId="1512"/>
    <cellStyle name="Normal 10 3" xfId="143"/>
    <cellStyle name="Normal 10 4" xfId="140"/>
    <cellStyle name="Normal 10 5" xfId="1511"/>
    <cellStyle name="Normal 11" xfId="105"/>
    <cellStyle name="Normal 11 2" xfId="317"/>
    <cellStyle name="Normal 11 3" xfId="171"/>
    <cellStyle name="Normal 11 3 2" xfId="172"/>
    <cellStyle name="Normal 11 3 3" xfId="1514"/>
    <cellStyle name="Normal 11 3 4" xfId="1825"/>
    <cellStyle name="Normal 11 4" xfId="144"/>
    <cellStyle name="Normal 12" xfId="108"/>
    <cellStyle name="Normal 12 2" xfId="145"/>
    <cellStyle name="Normal 12 2 2" xfId="1516"/>
    <cellStyle name="Normal 12 3" xfId="1517"/>
    <cellStyle name="Normal 12 4" xfId="1515"/>
    <cellStyle name="Normal 13" xfId="114"/>
    <cellStyle name="Normal 13 2" xfId="318"/>
    <cellStyle name="Normal 13 2 2" xfId="319"/>
    <cellStyle name="Normal 13 2 2 2" xfId="320"/>
    <cellStyle name="Normal 13 2 2 2 2" xfId="321"/>
    <cellStyle name="Normal 13 3" xfId="322"/>
    <cellStyle name="Normal 13 4" xfId="153"/>
    <cellStyle name="Normal 14" xfId="117"/>
    <cellStyle name="Normal 14 2" xfId="324"/>
    <cellStyle name="Normal 14 3" xfId="325"/>
    <cellStyle name="Normal 14 4" xfId="323"/>
    <cellStyle name="Normal 15" xfId="326"/>
    <cellStyle name="Normal 16" xfId="327"/>
    <cellStyle name="Normal 16 2" xfId="1518"/>
    <cellStyle name="Normal 17" xfId="328"/>
    <cellStyle name="Normal 17 2" xfId="1519"/>
    <cellStyle name="Normal 17 3" xfId="1826"/>
    <cellStyle name="Normal 18" xfId="409"/>
    <cellStyle name="Normal 18 2" xfId="1520"/>
    <cellStyle name="Normal 19" xfId="410"/>
    <cellStyle name="Normal 2" xfId="5"/>
    <cellStyle name="Normal 2 10" xfId="173"/>
    <cellStyle name="Normal 2 10 2" xfId="1521"/>
    <cellStyle name="Normal 2 10 2 2" xfId="1522"/>
    <cellStyle name="Normal 2 11" xfId="329"/>
    <cellStyle name="Normal 2 11 2" xfId="330"/>
    <cellStyle name="Normal 2 11 2 2" xfId="1523"/>
    <cellStyle name="Normal 2 11 2 3" xfId="1827"/>
    <cellStyle name="Normal 2 11 3 2 3" xfId="1524"/>
    <cellStyle name="Normal 2 12" xfId="406"/>
    <cellStyle name="Normal 2 12 2" xfId="1525"/>
    <cellStyle name="Normal 2 13" xfId="452"/>
    <cellStyle name="Normal 2 13 2" xfId="1526"/>
    <cellStyle name="Normal 2 14" xfId="1527"/>
    <cellStyle name="Normal 2 15" xfId="1838"/>
    <cellStyle name="Normal 2 16" xfId="1528"/>
    <cellStyle name="Normal 2 16 2" xfId="1828"/>
    <cellStyle name="Normal 2 2" xfId="22"/>
    <cellStyle name="Normal 2 2 10" xfId="1529"/>
    <cellStyle name="Normal 2 2 10 2" xfId="1829"/>
    <cellStyle name="Normal 2 2 11" xfId="1530"/>
    <cellStyle name="Normal 2 2 12" xfId="499"/>
    <cellStyle name="Normal 2 2 2" xfId="23"/>
    <cellStyle name="Normal 2 2 2 2" xfId="1531"/>
    <cellStyle name="Normal 2 2 3" xfId="331"/>
    <cellStyle name="Normal 2 2 3 2" xfId="1532"/>
    <cellStyle name="Normal 2 2 3 3" xfId="1830"/>
    <cellStyle name="Normal 2 2 4" xfId="332"/>
    <cellStyle name="Normal 2 2 4 2" xfId="1533"/>
    <cellStyle name="Normal 2 2 5" xfId="1534"/>
    <cellStyle name="Normal 2 2 6" xfId="1535"/>
    <cellStyle name="Normal 2 2 7" xfId="1536"/>
    <cellStyle name="Normal 2 2 8" xfId="1537"/>
    <cellStyle name="Normal 2 2 9" xfId="1538"/>
    <cellStyle name="Normal 2 3" xfId="24"/>
    <cellStyle name="Normal 2 3 2" xfId="333"/>
    <cellStyle name="Normal 2 3 3" xfId="463"/>
    <cellStyle name="Normal 2 4" xfId="25"/>
    <cellStyle name="Normal 2 4 2" xfId="334"/>
    <cellStyle name="Normal 2 4 2 2" xfId="335"/>
    <cellStyle name="Normal 2 4 2 2 2" xfId="336"/>
    <cellStyle name="Normal 2 4 2 3" xfId="1539"/>
    <cellStyle name="Normal 2 4 3" xfId="337"/>
    <cellStyle name="Normal 2 5" xfId="110"/>
    <cellStyle name="Normal 2 5 2" xfId="338"/>
    <cellStyle name="Normal 2 5 3" xfId="146"/>
    <cellStyle name="Normal 2 5 4" xfId="475"/>
    <cellStyle name="Normal 2 5 5" xfId="1540"/>
    <cellStyle name="Normal 2 6" xfId="147"/>
    <cellStyle name="Normal 2 6 2" xfId="339"/>
    <cellStyle name="Normal 2 6 2 2" xfId="340"/>
    <cellStyle name="Normal 2 6 3" xfId="341"/>
    <cellStyle name="Normal 2 7" xfId="342"/>
    <cellStyle name="Normal 2 7 2" xfId="343"/>
    <cellStyle name="Normal 2 7 2 2" xfId="344"/>
    <cellStyle name="Normal 2 8" xfId="345"/>
    <cellStyle name="Normal 2 8 2" xfId="346"/>
    <cellStyle name="Normal 2 9" xfId="347"/>
    <cellStyle name="Normal 2_DISTRIBUSI C-R bulanan REZA " xfId="26"/>
    <cellStyle name="Normal 20" xfId="411"/>
    <cellStyle name="Normal 21" xfId="412"/>
    <cellStyle name="Normal 22" xfId="413"/>
    <cellStyle name="Normal 23" xfId="414"/>
    <cellStyle name="Normal 23 2" xfId="453"/>
    <cellStyle name="Normal 23 3" xfId="1839"/>
    <cellStyle name="Normal 24" xfId="415"/>
    <cellStyle name="Normal 25" xfId="416"/>
    <cellStyle name="Normal 26" xfId="417"/>
    <cellStyle name="Normal 27" xfId="418"/>
    <cellStyle name="Normal 28" xfId="120"/>
    <cellStyle name="Normal 29" xfId="419"/>
    <cellStyle name="Normal 29 2" xfId="1541"/>
    <cellStyle name="Normal 3" xfId="8"/>
    <cellStyle name="Normal 3 2" xfId="27"/>
    <cellStyle name="Normal 3 2 2" xfId="348"/>
    <cellStyle name="Normal 3 2 2 2" xfId="479"/>
    <cellStyle name="Normal 3 2 3" xfId="478"/>
    <cellStyle name="Normal 3 3" xfId="28"/>
    <cellStyle name="Normal 3 4" xfId="107"/>
    <cellStyle name="Normal 3 4 2" xfId="407"/>
    <cellStyle name="Normal 3 5" xfId="116"/>
    <cellStyle name="Normal 3 6" xfId="119"/>
    <cellStyle name="Normal 3 7" xfId="421"/>
    <cellStyle name="Normal 3 8" xfId="424"/>
    <cellStyle name="Normal 3 9" xfId="1840"/>
    <cellStyle name="Normal 30" xfId="422"/>
    <cellStyle name="Normal 31" xfId="425"/>
    <cellStyle name="Normal 32" xfId="457"/>
    <cellStyle name="Normal 33" xfId="465"/>
    <cellStyle name="Normal 34" xfId="477"/>
    <cellStyle name="Normal 35" xfId="481"/>
    <cellStyle name="Normal 36" xfId="486"/>
    <cellStyle name="Normal 37" xfId="489"/>
    <cellStyle name="Normal 38" xfId="492"/>
    <cellStyle name="Normal 39" xfId="1706"/>
    <cellStyle name="Normal 4" xfId="9"/>
    <cellStyle name="Normal 4 2" xfId="148"/>
    <cellStyle name="Normal 4 2 2" xfId="168"/>
    <cellStyle name="Normal 4 2 2 2" xfId="1543"/>
    <cellStyle name="Normal 4 2 3" xfId="1542"/>
    <cellStyle name="Normal 4 3" xfId="149"/>
    <cellStyle name="Normal 4 3 2" xfId="1544"/>
    <cellStyle name="Normal 4 4" xfId="158"/>
    <cellStyle name="Normal 4 5" xfId="349"/>
    <cellStyle name="Normal 4 6" xfId="123"/>
    <cellStyle name="Normal 4 7" xfId="454"/>
    <cellStyle name="Normal 4 8" xfId="480"/>
    <cellStyle name="Normal 4 9" xfId="1841"/>
    <cellStyle name="Normal 40" xfId="1809"/>
    <cellStyle name="Normal 41" xfId="1814"/>
    <cellStyle name="Normal 42" xfId="1815"/>
    <cellStyle name="Normal 43" xfId="1831"/>
    <cellStyle name="Normal 44" xfId="1845"/>
    <cellStyle name="Normal 45" xfId="1849"/>
    <cellStyle name="Normal 5" xfId="29"/>
    <cellStyle name="Normal 5 10" xfId="1545"/>
    <cellStyle name="Normal 5 11" xfId="1546"/>
    <cellStyle name="Normal 5 12" xfId="1842"/>
    <cellStyle name="Normal 5 2" xfId="159"/>
    <cellStyle name="Normal 5 3" xfId="455"/>
    <cellStyle name="Normal 5 3 2" xfId="1547"/>
    <cellStyle name="Normal 5 4" xfId="1548"/>
    <cellStyle name="Normal 5 5" xfId="1549"/>
    <cellStyle name="Normal 5 6" xfId="1550"/>
    <cellStyle name="Normal 5 7" xfId="1551"/>
    <cellStyle name="Normal 5 8" xfId="1552"/>
    <cellStyle name="Normal 5 9" xfId="1553"/>
    <cellStyle name="Normal 6" xfId="30"/>
    <cellStyle name="Normal 6 10" xfId="1554"/>
    <cellStyle name="Normal 6 11" xfId="1555"/>
    <cellStyle name="Normal 6 2" xfId="350"/>
    <cellStyle name="Normal 6 3" xfId="126"/>
    <cellStyle name="Normal 6 3 2" xfId="1556"/>
    <cellStyle name="Normal 6 4" xfId="1557"/>
    <cellStyle name="Normal 6 5" xfId="1558"/>
    <cellStyle name="Normal 6 6" xfId="1559"/>
    <cellStyle name="Normal 6 7" xfId="1560"/>
    <cellStyle name="Normal 6 8" xfId="1561"/>
    <cellStyle name="Normal 6 9" xfId="1562"/>
    <cellStyle name="Normal 7" xfId="31"/>
    <cellStyle name="Normal 7 10" xfId="1564"/>
    <cellStyle name="Normal 7 11" xfId="1565"/>
    <cellStyle name="Normal 7 12" xfId="1563"/>
    <cellStyle name="Normal 7 2" xfId="150"/>
    <cellStyle name="Normal 7 2 2" xfId="1566"/>
    <cellStyle name="Normal 7 3" xfId="160"/>
    <cellStyle name="Normal 7 3 2" xfId="1567"/>
    <cellStyle name="Normal 7 4" xfId="1568"/>
    <cellStyle name="Normal 7 5" xfId="1569"/>
    <cellStyle name="Normal 7 6" xfId="1570"/>
    <cellStyle name="Normal 7 7" xfId="1571"/>
    <cellStyle name="Normal 7 8" xfId="1572"/>
    <cellStyle name="Normal 7 9" xfId="1573"/>
    <cellStyle name="Normal 8" xfId="32"/>
    <cellStyle name="Normal 8 10" xfId="1575"/>
    <cellStyle name="Normal 8 11" xfId="1576"/>
    <cellStyle name="Normal 8 12" xfId="1577"/>
    <cellStyle name="Normal 8 13" xfId="1578"/>
    <cellStyle name="Normal 8 14" xfId="1579"/>
    <cellStyle name="Normal 8 15" xfId="1580"/>
    <cellStyle name="Normal 8 16" xfId="1581"/>
    <cellStyle name="Normal 8 17" xfId="1582"/>
    <cellStyle name="Normal 8 18" xfId="1583"/>
    <cellStyle name="Normal 8 19" xfId="1584"/>
    <cellStyle name="Normal 8 2" xfId="151"/>
    <cellStyle name="Normal 8 2 2" xfId="1585"/>
    <cellStyle name="Normal 8 20" xfId="1586"/>
    <cellStyle name="Normal 8 21" xfId="1587"/>
    <cellStyle name="Normal 8 22" xfId="1588"/>
    <cellStyle name="Normal 8 23" xfId="1589"/>
    <cellStyle name="Normal 8 24" xfId="1590"/>
    <cellStyle name="Normal 8 25" xfId="1591"/>
    <cellStyle name="Normal 8 26" xfId="1574"/>
    <cellStyle name="Normal 8 3" xfId="161"/>
    <cellStyle name="Normal 8 3 2" xfId="1592"/>
    <cellStyle name="Normal 8 4" xfId="1593"/>
    <cellStyle name="Normal 8 5" xfId="1594"/>
    <cellStyle name="Normal 8 6" xfId="1595"/>
    <cellStyle name="Normal 8 7" xfId="1596"/>
    <cellStyle name="Normal 8 8" xfId="1597"/>
    <cellStyle name="Normal 8 9" xfId="1598"/>
    <cellStyle name="Normal 9" xfId="33"/>
    <cellStyle name="Normal 9 2" xfId="152"/>
    <cellStyle name="Normal 9 2 2" xfId="1600"/>
    <cellStyle name="Normal 9 3" xfId="162"/>
    <cellStyle name="Normal 9 4" xfId="1599"/>
    <cellStyle name="Normal Bold" xfId="351"/>
    <cellStyle name="Normal Pct" xfId="352"/>
    <cellStyle name="Note 10" xfId="1601"/>
    <cellStyle name="Note 10 2" xfId="1776"/>
    <cellStyle name="Note 11" xfId="1602"/>
    <cellStyle name="Note 11 2" xfId="1777"/>
    <cellStyle name="Note 2" xfId="1603"/>
    <cellStyle name="Note 2 2" xfId="1778"/>
    <cellStyle name="Note 3" xfId="1604"/>
    <cellStyle name="Note 3 2" xfId="1779"/>
    <cellStyle name="Note 4" xfId="1605"/>
    <cellStyle name="Note 4 2" xfId="1780"/>
    <cellStyle name="Note 5" xfId="1606"/>
    <cellStyle name="Note 5 2" xfId="1781"/>
    <cellStyle name="Note 6" xfId="1607"/>
    <cellStyle name="Note 6 2" xfId="1782"/>
    <cellStyle name="Note 7" xfId="1608"/>
    <cellStyle name="Note 7 2" xfId="1783"/>
    <cellStyle name="Note 8" xfId="1609"/>
    <cellStyle name="Note 8 2" xfId="1784"/>
    <cellStyle name="Note 9" xfId="1610"/>
    <cellStyle name="Note 9 2" xfId="1785"/>
    <cellStyle name="NPPESalesPct" xfId="353"/>
    <cellStyle name="NWI%S" xfId="354"/>
    <cellStyle name="Output 10" xfId="1611"/>
    <cellStyle name="Output 10 2" xfId="1786"/>
    <cellStyle name="Output 11" xfId="1612"/>
    <cellStyle name="Output 11 2" xfId="1787"/>
    <cellStyle name="Output 12" xfId="1613"/>
    <cellStyle name="Output 12 2" xfId="1788"/>
    <cellStyle name="Output 2" xfId="1614"/>
    <cellStyle name="Output 2 2" xfId="1789"/>
    <cellStyle name="Output 3" xfId="1615"/>
    <cellStyle name="Output 3 2" xfId="1790"/>
    <cellStyle name="Output 4" xfId="1616"/>
    <cellStyle name="Output 4 2" xfId="1791"/>
    <cellStyle name="Output 5" xfId="1617"/>
    <cellStyle name="Output 5 2" xfId="1792"/>
    <cellStyle name="Output 6" xfId="1618"/>
    <cellStyle name="Output 6 2" xfId="1793"/>
    <cellStyle name="Output 7" xfId="1619"/>
    <cellStyle name="Output 7 2" xfId="1794"/>
    <cellStyle name="Output 8" xfId="1620"/>
    <cellStyle name="Output 8 2" xfId="1795"/>
    <cellStyle name="Output 9" xfId="1621"/>
    <cellStyle name="Output 9 2" xfId="1796"/>
    <cellStyle name="pc1" xfId="355"/>
    <cellStyle name="per.style" xfId="356"/>
    <cellStyle name="Percent [0]" xfId="357"/>
    <cellStyle name="Percent [0] 2" xfId="1622"/>
    <cellStyle name="Percent [00]" xfId="358"/>
    <cellStyle name="Percent [00] 2" xfId="1623"/>
    <cellStyle name="Percent [1]" xfId="359"/>
    <cellStyle name="Percent [2]" xfId="360"/>
    <cellStyle name="Percent 2" xfId="361"/>
    <cellStyle name="Percent 2 2" xfId="1624"/>
    <cellStyle name="Percent 3" xfId="362"/>
    <cellStyle name="Percent 3 2" xfId="363"/>
    <cellStyle name="Percent 3 3" xfId="1625"/>
    <cellStyle name="Percent 4" xfId="364"/>
    <cellStyle name="Percent 5" xfId="174"/>
    <cellStyle name="Percent 5 2" xfId="1628"/>
    <cellStyle name="Percent 5 3" xfId="1627"/>
    <cellStyle name="Percent 6" xfId="1843"/>
    <cellStyle name="PercentSales" xfId="365"/>
    <cellStyle name="PrePop Currency (0)" xfId="366"/>
    <cellStyle name="PrePop Currency (0) 2" xfId="1629"/>
    <cellStyle name="PrePop Currency (2)" xfId="367"/>
    <cellStyle name="PrePop Currency (2) 2" xfId="1630"/>
    <cellStyle name="PrePop Units (0)" xfId="368"/>
    <cellStyle name="PrePop Units (0) 2" xfId="1631"/>
    <cellStyle name="PrePop Units (1)" xfId="369"/>
    <cellStyle name="PrePop Units (1) 2" xfId="1632"/>
    <cellStyle name="PrePop Units (2)" xfId="370"/>
    <cellStyle name="PrePop Units (2) 2" xfId="1633"/>
    <cellStyle name="Red font" xfId="371"/>
    <cellStyle name="regstoresfromspecstores" xfId="372"/>
    <cellStyle name="RevList" xfId="373"/>
    <cellStyle name="S0" xfId="34"/>
    <cellStyle name="S0 2" xfId="374"/>
    <cellStyle name="S0 2 2" xfId="1635"/>
    <cellStyle name="S0 3" xfId="1636"/>
    <cellStyle name="S0 4" xfId="1634"/>
    <cellStyle name="S1" xfId="35"/>
    <cellStyle name="S1 2" xfId="375"/>
    <cellStyle name="S1 2 2" xfId="1638"/>
    <cellStyle name="S1 3" xfId="1639"/>
    <cellStyle name="S1 4" xfId="1637"/>
    <cellStyle name="S10" xfId="36"/>
    <cellStyle name="S10 2" xfId="376"/>
    <cellStyle name="S10 2 2" xfId="1641"/>
    <cellStyle name="S10 3" xfId="1642"/>
    <cellStyle name="S10 4" xfId="1640"/>
    <cellStyle name="S11" xfId="37"/>
    <cellStyle name="S11 2" xfId="377"/>
    <cellStyle name="S11 2 2" xfId="1644"/>
    <cellStyle name="S11 3" xfId="1645"/>
    <cellStyle name="S11 4" xfId="1643"/>
    <cellStyle name="S12" xfId="38"/>
    <cellStyle name="S12 2" xfId="378"/>
    <cellStyle name="S12 2 2" xfId="1647"/>
    <cellStyle name="S12 3" xfId="1648"/>
    <cellStyle name="S12 4" xfId="1646"/>
    <cellStyle name="S13" xfId="39"/>
    <cellStyle name="S13 2" xfId="379"/>
    <cellStyle name="S13 3" xfId="1649"/>
    <cellStyle name="S14" xfId="40"/>
    <cellStyle name="S14 2" xfId="380"/>
    <cellStyle name="S14 3" xfId="1650"/>
    <cellStyle name="S15" xfId="41"/>
    <cellStyle name="S15 2" xfId="381"/>
    <cellStyle name="S15 3" xfId="1651"/>
    <cellStyle name="S16" xfId="42"/>
    <cellStyle name="S16 2" xfId="382"/>
    <cellStyle name="S16 3" xfId="1652"/>
    <cellStyle name="S17" xfId="43"/>
    <cellStyle name="S17 2" xfId="383"/>
    <cellStyle name="S17 3" xfId="1653"/>
    <cellStyle name="S18" xfId="44"/>
    <cellStyle name="S18 2" xfId="384"/>
    <cellStyle name="S18 3" xfId="1654"/>
    <cellStyle name="S19" xfId="45"/>
    <cellStyle name="S19 2" xfId="385"/>
    <cellStyle name="S19 3" xfId="1655"/>
    <cellStyle name="S2" xfId="46"/>
    <cellStyle name="S2 2" xfId="386"/>
    <cellStyle name="S2 2 2" xfId="1657"/>
    <cellStyle name="S2 3" xfId="1658"/>
    <cellStyle name="S2 4" xfId="1656"/>
    <cellStyle name="S20" xfId="47"/>
    <cellStyle name="S20 2" xfId="387"/>
    <cellStyle name="S20 3" xfId="1659"/>
    <cellStyle name="S21" xfId="48"/>
    <cellStyle name="S21 2" xfId="388"/>
    <cellStyle name="S21 3" xfId="1660"/>
    <cellStyle name="S22" xfId="49"/>
    <cellStyle name="S22 2" xfId="1661"/>
    <cellStyle name="S23" xfId="50"/>
    <cellStyle name="S23 2" xfId="1662"/>
    <cellStyle name="S24" xfId="51"/>
    <cellStyle name="S24 2" xfId="1663"/>
    <cellStyle name="S25" xfId="52"/>
    <cellStyle name="S25 2" xfId="1664"/>
    <cellStyle name="S26" xfId="53"/>
    <cellStyle name="S26 2" xfId="1665"/>
    <cellStyle name="S27" xfId="54"/>
    <cellStyle name="S27 2" xfId="1666"/>
    <cellStyle name="S28" xfId="55"/>
    <cellStyle name="S28 2" xfId="1667"/>
    <cellStyle name="S29" xfId="56"/>
    <cellStyle name="S29 2" xfId="1668"/>
    <cellStyle name="S3" xfId="57"/>
    <cellStyle name="S3 2" xfId="389"/>
    <cellStyle name="S3 2 2" xfId="1670"/>
    <cellStyle name="S3 3" xfId="1671"/>
    <cellStyle name="S3 4" xfId="1669"/>
    <cellStyle name="S30" xfId="58"/>
    <cellStyle name="S30 2" xfId="1672"/>
    <cellStyle name="S31" xfId="59"/>
    <cellStyle name="S31 2" xfId="1673"/>
    <cellStyle name="S32" xfId="60"/>
    <cellStyle name="S32 2" xfId="1674"/>
    <cellStyle name="S33" xfId="61"/>
    <cellStyle name="S33 2" xfId="1675"/>
    <cellStyle name="S34" xfId="62"/>
    <cellStyle name="S34 2" xfId="1676"/>
    <cellStyle name="S35" xfId="63"/>
    <cellStyle name="S35 2" xfId="1677"/>
    <cellStyle name="S36" xfId="64"/>
    <cellStyle name="S36 2" xfId="1678"/>
    <cellStyle name="S37" xfId="65"/>
    <cellStyle name="S37 2" xfId="1679"/>
    <cellStyle name="S38" xfId="66"/>
    <cellStyle name="S38 2" xfId="1680"/>
    <cellStyle name="S39" xfId="67"/>
    <cellStyle name="S39 2" xfId="1681"/>
    <cellStyle name="S4" xfId="68"/>
    <cellStyle name="S4 2" xfId="390"/>
    <cellStyle name="S4 2 2" xfId="1683"/>
    <cellStyle name="S4 3" xfId="1684"/>
    <cellStyle name="S4 4" xfId="1682"/>
    <cellStyle name="S40" xfId="69"/>
    <cellStyle name="S40 2" xfId="1685"/>
    <cellStyle name="S41" xfId="70"/>
    <cellStyle name="S41 2" xfId="1686"/>
    <cellStyle name="S42" xfId="71"/>
    <cellStyle name="S42 2" xfId="1687"/>
    <cellStyle name="S43" xfId="72"/>
    <cellStyle name="S43 2" xfId="1688"/>
    <cellStyle name="S44" xfId="73"/>
    <cellStyle name="S45" xfId="74"/>
    <cellStyle name="S46" xfId="75"/>
    <cellStyle name="S47" xfId="76"/>
    <cellStyle name="S48" xfId="77"/>
    <cellStyle name="S49" xfId="78"/>
    <cellStyle name="S5" xfId="79"/>
    <cellStyle name="S5 2" xfId="391"/>
    <cellStyle name="S5 2 2" xfId="1690"/>
    <cellStyle name="S5 3" xfId="1691"/>
    <cellStyle name="S5 4" xfId="1689"/>
    <cellStyle name="S50" xfId="80"/>
    <cellStyle name="S51" xfId="81"/>
    <cellStyle name="S52" xfId="82"/>
    <cellStyle name="S53" xfId="83"/>
    <cellStyle name="S54" xfId="84"/>
    <cellStyle name="S55" xfId="85"/>
    <cellStyle name="S56" xfId="86"/>
    <cellStyle name="S57" xfId="87"/>
    <cellStyle name="S58" xfId="88"/>
    <cellStyle name="S59" xfId="89"/>
    <cellStyle name="S6" xfId="90"/>
    <cellStyle name="S6 2" xfId="392"/>
    <cellStyle name="S6 2 2" xfId="1693"/>
    <cellStyle name="S6 3" xfId="1694"/>
    <cellStyle name="S6 4" xfId="1692"/>
    <cellStyle name="S60" xfId="91"/>
    <cellStyle name="S61" xfId="92"/>
    <cellStyle name="S62" xfId="93"/>
    <cellStyle name="S63" xfId="94"/>
    <cellStyle name="S64" xfId="95"/>
    <cellStyle name="S65" xfId="96"/>
    <cellStyle name="S66" xfId="97"/>
    <cellStyle name="S67" xfId="98"/>
    <cellStyle name="S68" xfId="99"/>
    <cellStyle name="S7" xfId="100"/>
    <cellStyle name="S7 2" xfId="393"/>
    <cellStyle name="S7 2 2" xfId="1696"/>
    <cellStyle name="S7 3" xfId="1697"/>
    <cellStyle name="S7 4" xfId="1695"/>
    <cellStyle name="S8" xfId="101"/>
    <cellStyle name="S8 2" xfId="394"/>
    <cellStyle name="S8 2 2" xfId="1699"/>
    <cellStyle name="S8 3" xfId="1700"/>
    <cellStyle name="S8 4" xfId="1698"/>
    <cellStyle name="S9" xfId="102"/>
    <cellStyle name="S9 2" xfId="395"/>
    <cellStyle name="S9 2 2" xfId="1702"/>
    <cellStyle name="S9 3" xfId="1703"/>
    <cellStyle name="S9 4" xfId="1701"/>
    <cellStyle name="sbt2" xfId="1704"/>
    <cellStyle name="sbt2 2" xfId="1797"/>
    <cellStyle name="SHADEDSTORES" xfId="396"/>
    <cellStyle name="specstores" xfId="397"/>
    <cellStyle name="Strange" xfId="398"/>
    <cellStyle name="subt1" xfId="1705"/>
    <cellStyle name="Subtotal" xfId="399"/>
    <cellStyle name="Test [green]" xfId="400"/>
    <cellStyle name="Text Indent A" xfId="401"/>
    <cellStyle name="Text Indent B" xfId="402"/>
    <cellStyle name="Text Indent B 2" xfId="1707"/>
    <cellStyle name="Text Indent C" xfId="403"/>
    <cellStyle name="Text Indent C 2" xfId="1708"/>
    <cellStyle name="TFCF" xfId="404"/>
    <cellStyle name="Title 10" xfId="1709"/>
    <cellStyle name="Title 11" xfId="1710"/>
    <cellStyle name="Title 12" xfId="1711"/>
    <cellStyle name="Title 2" xfId="1712"/>
    <cellStyle name="Title 3" xfId="1713"/>
    <cellStyle name="Title 4" xfId="1714"/>
    <cellStyle name="Title 5" xfId="1715"/>
    <cellStyle name="Title 6" xfId="1716"/>
    <cellStyle name="Title 7" xfId="1717"/>
    <cellStyle name="Title 8" xfId="1718"/>
    <cellStyle name="Title 9" xfId="1719"/>
    <cellStyle name="Total 10" xfId="1720"/>
    <cellStyle name="Total 10 2" xfId="1798"/>
    <cellStyle name="Total 11" xfId="1721"/>
    <cellStyle name="Total 11 2" xfId="1799"/>
    <cellStyle name="Total 12" xfId="1722"/>
    <cellStyle name="Total 12 2" xfId="1800"/>
    <cellStyle name="Total 2" xfId="1723"/>
    <cellStyle name="Total 2 2" xfId="1801"/>
    <cellStyle name="Total 3" xfId="1724"/>
    <cellStyle name="Total 3 2" xfId="1802"/>
    <cellStyle name="Total 4" xfId="1725"/>
    <cellStyle name="Total 4 2" xfId="1803"/>
    <cellStyle name="Total 5" xfId="1726"/>
    <cellStyle name="Total 5 2" xfId="1804"/>
    <cellStyle name="Total 6" xfId="1727"/>
    <cellStyle name="Total 6 2" xfId="1805"/>
    <cellStyle name="Total 7" xfId="1728"/>
    <cellStyle name="Total 7 2" xfId="1806"/>
    <cellStyle name="Total 8" xfId="1729"/>
    <cellStyle name="Total 8 2" xfId="1807"/>
    <cellStyle name="Total 9" xfId="1730"/>
    <cellStyle name="Total 9 2" xfId="1808"/>
    <cellStyle name="Warning Text 10" xfId="1731"/>
    <cellStyle name="Warning Text 11" xfId="1732"/>
    <cellStyle name="Warning Text 2" xfId="1733"/>
    <cellStyle name="Warning Text 3" xfId="1734"/>
    <cellStyle name="Warning Text 4" xfId="1735"/>
    <cellStyle name="Warning Text 5" xfId="1736"/>
    <cellStyle name="Warning Text 6" xfId="1737"/>
    <cellStyle name="Warning Text 7" xfId="1738"/>
    <cellStyle name="Warning Text 8" xfId="1739"/>
    <cellStyle name="Warning Text 9" xfId="1740"/>
    <cellStyle name="White" xfId="4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4"/>
  <sheetViews>
    <sheetView topLeftCell="A70" zoomScale="84" zoomScaleNormal="84" workbookViewId="0">
      <selection activeCell="M4" sqref="M4"/>
    </sheetView>
  </sheetViews>
  <sheetFormatPr defaultRowHeight="12.75"/>
  <cols>
    <col min="1" max="1" width="27.5703125" customWidth="1"/>
    <col min="2" max="2" width="17.28515625" customWidth="1"/>
    <col min="3" max="3" width="12.140625" customWidth="1"/>
    <col min="4" max="4" width="17.28515625" customWidth="1"/>
    <col min="5" max="5" width="13" bestFit="1" customWidth="1"/>
    <col min="6" max="6" width="11.42578125" bestFit="1" customWidth="1"/>
    <col min="7" max="7" width="11.28515625" bestFit="1" customWidth="1"/>
    <col min="8" max="8" width="11.140625" bestFit="1" customWidth="1"/>
    <col min="9" max="9" width="9.42578125" bestFit="1" customWidth="1"/>
    <col min="10" max="11" width="9.28515625" bestFit="1" customWidth="1"/>
    <col min="12" max="12" width="12.5703125" customWidth="1"/>
    <col min="13" max="13" width="18.42578125" customWidth="1"/>
    <col min="15" max="15" width="10.5703125" customWidth="1"/>
  </cols>
  <sheetData>
    <row r="2" spans="1:16" ht="13.5" thickBot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13.5" thickTop="1">
      <c r="A3" s="32"/>
      <c r="B3" s="38" t="s">
        <v>15</v>
      </c>
      <c r="C3" s="38"/>
      <c r="D3" s="31"/>
      <c r="E3" s="2"/>
      <c r="F3" s="2"/>
      <c r="G3" s="2"/>
      <c r="H3" s="2"/>
      <c r="I3" s="2"/>
      <c r="J3" s="2"/>
      <c r="K3" s="2"/>
      <c r="L3" s="2"/>
      <c r="M3" s="3"/>
      <c r="N3" s="1"/>
      <c r="O3" s="48" t="s">
        <v>16</v>
      </c>
      <c r="P3" s="50" t="s">
        <v>18</v>
      </c>
    </row>
    <row r="4" spans="1:16" ht="13.5" thickBot="1">
      <c r="A4" s="14" t="s">
        <v>1</v>
      </c>
      <c r="B4" s="33"/>
      <c r="C4" s="33"/>
      <c r="D4" s="23">
        <v>50000</v>
      </c>
      <c r="E4" s="23">
        <v>20000</v>
      </c>
      <c r="F4" s="23">
        <v>10000</v>
      </c>
      <c r="G4" s="23">
        <v>5000</v>
      </c>
      <c r="H4" s="23">
        <v>1000</v>
      </c>
      <c r="I4" s="23">
        <v>500</v>
      </c>
      <c r="J4" s="23">
        <v>100</v>
      </c>
      <c r="K4" s="23">
        <v>50</v>
      </c>
      <c r="L4" s="23" t="s">
        <v>2</v>
      </c>
      <c r="M4" s="24" t="s">
        <v>3</v>
      </c>
      <c r="N4" s="1"/>
      <c r="O4" s="49"/>
      <c r="P4" s="51" t="s">
        <v>19</v>
      </c>
    </row>
    <row r="5" spans="1:16" ht="13.5" thickTop="1">
      <c r="A5" s="9" t="s">
        <v>28</v>
      </c>
      <c r="B5" s="34"/>
      <c r="C5" s="34"/>
      <c r="D5" s="4"/>
      <c r="E5" s="4"/>
      <c r="F5" s="4"/>
      <c r="G5" s="4"/>
      <c r="H5" s="4"/>
      <c r="I5" s="4"/>
      <c r="J5" s="4"/>
      <c r="K5" s="4"/>
      <c r="L5" s="4"/>
      <c r="M5" s="5"/>
      <c r="N5" s="1"/>
      <c r="O5" s="45"/>
      <c r="P5" s="52"/>
    </row>
    <row r="6" spans="1:16">
      <c r="A6" s="8"/>
      <c r="B6" s="35"/>
      <c r="C6" s="35"/>
      <c r="D6" s="4"/>
      <c r="E6" s="4"/>
      <c r="F6" s="4"/>
      <c r="G6" s="4"/>
      <c r="H6" s="4"/>
      <c r="I6" s="4"/>
      <c r="J6" s="4"/>
      <c r="K6" s="4"/>
      <c r="L6" s="4"/>
      <c r="M6" s="5">
        <f>SUM(D6:L6)</f>
        <v>0</v>
      </c>
      <c r="N6" s="1"/>
      <c r="O6" s="53"/>
      <c r="P6" s="54"/>
    </row>
    <row r="7" spans="1:16" ht="13.5" thickBot="1">
      <c r="A7" s="8">
        <v>1</v>
      </c>
      <c r="B7" s="35">
        <v>14</v>
      </c>
      <c r="C7" s="60">
        <v>280</v>
      </c>
      <c r="D7" s="43">
        <v>14650000</v>
      </c>
      <c r="E7" s="4">
        <v>100000</v>
      </c>
      <c r="F7" s="4">
        <v>40000</v>
      </c>
      <c r="G7" s="4">
        <v>15000</v>
      </c>
      <c r="H7" s="4">
        <v>42000</v>
      </c>
      <c r="I7" s="4"/>
      <c r="J7" s="4"/>
      <c r="K7" s="4"/>
      <c r="L7" s="4">
        <v>9549</v>
      </c>
      <c r="M7" s="5">
        <f>SUM(D7:L7)</f>
        <v>14856549</v>
      </c>
      <c r="N7" s="1"/>
      <c r="O7" s="55">
        <f>5769904+225865</f>
        <v>5995769</v>
      </c>
      <c r="P7" s="54"/>
    </row>
    <row r="8" spans="1:16" ht="14.25" thickTop="1" thickBot="1">
      <c r="A8" s="8" t="s">
        <v>4</v>
      </c>
      <c r="B8" s="39">
        <f>B6+B7</f>
        <v>14</v>
      </c>
      <c r="C8" s="6">
        <f>C6+C7</f>
        <v>280</v>
      </c>
      <c r="D8" s="6">
        <f>D6+D7</f>
        <v>14650000</v>
      </c>
      <c r="E8" s="6">
        <f t="shared" ref="E8:M8" si="0">E6+E7</f>
        <v>100000</v>
      </c>
      <c r="F8" s="6">
        <f t="shared" si="0"/>
        <v>40000</v>
      </c>
      <c r="G8" s="6">
        <f t="shared" si="0"/>
        <v>15000</v>
      </c>
      <c r="H8" s="6">
        <f t="shared" si="0"/>
        <v>42000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6">
        <f t="shared" si="0"/>
        <v>9549</v>
      </c>
      <c r="M8" s="7">
        <f t="shared" si="0"/>
        <v>14856549</v>
      </c>
      <c r="N8" s="1"/>
      <c r="O8" s="53"/>
      <c r="P8" s="54"/>
    </row>
    <row r="9" spans="1:16" ht="13.5" thickTop="1">
      <c r="A9" s="8"/>
      <c r="B9" s="35"/>
      <c r="C9" s="35"/>
      <c r="D9" s="4"/>
      <c r="E9" s="4"/>
      <c r="F9" s="4"/>
      <c r="G9" s="4"/>
      <c r="H9" s="4"/>
      <c r="I9" s="4"/>
      <c r="J9" s="4"/>
      <c r="K9" s="4"/>
      <c r="L9" s="4"/>
      <c r="M9" s="5"/>
      <c r="N9" s="1"/>
      <c r="O9" s="53"/>
      <c r="P9" s="54"/>
    </row>
    <row r="10" spans="1:16">
      <c r="A10" s="9" t="s">
        <v>26</v>
      </c>
      <c r="B10" s="34"/>
      <c r="C10" s="34"/>
      <c r="D10" s="4"/>
      <c r="E10" s="4"/>
      <c r="F10" s="4"/>
      <c r="G10" s="4"/>
      <c r="H10" s="4"/>
      <c r="I10" s="4"/>
      <c r="J10" s="4"/>
      <c r="K10" s="4"/>
      <c r="L10" s="4"/>
      <c r="M10" s="5"/>
      <c r="N10" s="1"/>
      <c r="O10" s="53"/>
      <c r="P10" s="54"/>
    </row>
    <row r="11" spans="1:16">
      <c r="A11" s="8"/>
      <c r="B11" s="35"/>
      <c r="C11" s="35"/>
      <c r="D11" s="4"/>
      <c r="E11" s="4"/>
      <c r="F11" s="4"/>
      <c r="G11" s="4"/>
      <c r="H11" s="4"/>
      <c r="I11" s="4"/>
      <c r="J11" s="4"/>
      <c r="K11" s="4"/>
      <c r="L11" s="4"/>
      <c r="M11" s="5">
        <f>SUM(D11:L11)</f>
        <v>0</v>
      </c>
      <c r="N11" s="1"/>
      <c r="O11" s="53"/>
      <c r="P11" s="54"/>
    </row>
    <row r="12" spans="1:16" ht="13.5" thickBot="1">
      <c r="A12" s="8">
        <v>1</v>
      </c>
      <c r="B12" s="35">
        <v>10</v>
      </c>
      <c r="C12" s="60">
        <v>215</v>
      </c>
      <c r="D12" s="43">
        <v>10800000</v>
      </c>
      <c r="E12" s="4">
        <v>160000</v>
      </c>
      <c r="F12" s="4">
        <v>30000</v>
      </c>
      <c r="G12" s="4">
        <v>30000</v>
      </c>
      <c r="H12" s="4">
        <v>20000</v>
      </c>
      <c r="I12" s="4"/>
      <c r="J12" s="4"/>
      <c r="K12" s="4"/>
      <c r="L12" s="4">
        <v>5612</v>
      </c>
      <c r="M12" s="5">
        <f>SUM(D12:L12)</f>
        <v>11045612</v>
      </c>
      <c r="N12" s="1"/>
      <c r="O12" s="53"/>
      <c r="P12" s="54"/>
    </row>
    <row r="13" spans="1:16" ht="14.25" thickTop="1" thickBot="1">
      <c r="A13" s="8" t="s">
        <v>4</v>
      </c>
      <c r="B13" s="39">
        <f t="shared" ref="B13:M13" si="1">B11+B12</f>
        <v>10</v>
      </c>
      <c r="C13" s="6">
        <f t="shared" si="1"/>
        <v>215</v>
      </c>
      <c r="D13" s="6">
        <f t="shared" si="1"/>
        <v>10800000</v>
      </c>
      <c r="E13" s="6">
        <f t="shared" si="1"/>
        <v>160000</v>
      </c>
      <c r="F13" s="6">
        <f t="shared" si="1"/>
        <v>30000</v>
      </c>
      <c r="G13" s="6">
        <f t="shared" si="1"/>
        <v>30000</v>
      </c>
      <c r="H13" s="6">
        <f t="shared" si="1"/>
        <v>20000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5612</v>
      </c>
      <c r="M13" s="7">
        <f t="shared" si="1"/>
        <v>11045612</v>
      </c>
      <c r="N13" s="1"/>
      <c r="O13" s="53"/>
      <c r="P13" s="54"/>
    </row>
    <row r="14" spans="1:16" ht="13.5" thickTop="1">
      <c r="A14" s="8"/>
      <c r="B14" s="35"/>
      <c r="C14" s="35"/>
      <c r="D14" s="4"/>
      <c r="E14" s="4"/>
      <c r="F14" s="4"/>
      <c r="G14" s="4"/>
      <c r="H14" s="4"/>
      <c r="I14" s="4"/>
      <c r="J14" s="4"/>
      <c r="K14" s="4"/>
      <c r="L14" s="4"/>
      <c r="M14" s="5"/>
      <c r="N14" s="1"/>
      <c r="O14" s="53"/>
      <c r="P14" s="54"/>
    </row>
    <row r="15" spans="1:16">
      <c r="A15" s="8"/>
      <c r="B15" s="35"/>
      <c r="C15" s="35"/>
      <c r="D15" s="4"/>
      <c r="E15" s="4"/>
      <c r="F15" s="4"/>
      <c r="G15" s="4"/>
      <c r="H15" s="4"/>
      <c r="I15" s="4"/>
      <c r="J15" s="4"/>
      <c r="K15" s="4"/>
      <c r="L15" s="4"/>
      <c r="M15" s="5"/>
      <c r="N15" s="1"/>
      <c r="O15" s="53"/>
      <c r="P15" s="54"/>
    </row>
    <row r="16" spans="1:16">
      <c r="A16" s="9"/>
      <c r="B16" s="37"/>
      <c r="C16" s="37"/>
      <c r="D16" s="4"/>
      <c r="E16" s="4"/>
      <c r="F16" s="4"/>
      <c r="G16" s="4"/>
      <c r="H16" s="4"/>
      <c r="I16" s="4"/>
      <c r="J16" s="4"/>
      <c r="K16" s="4"/>
      <c r="L16" s="4"/>
      <c r="M16" s="5"/>
      <c r="N16" s="1"/>
      <c r="O16" s="53"/>
      <c r="P16" s="54"/>
    </row>
    <row r="17" spans="1:16" ht="13.5" thickBot="1">
      <c r="A17" s="8"/>
      <c r="B17" s="35"/>
      <c r="C17" s="44"/>
      <c r="D17" s="43"/>
      <c r="E17" s="4"/>
      <c r="F17" s="4"/>
      <c r="G17" s="4"/>
      <c r="H17" s="4"/>
      <c r="I17" s="4"/>
      <c r="J17" s="4"/>
      <c r="K17" s="4"/>
      <c r="L17" s="4"/>
      <c r="M17" s="5"/>
      <c r="N17" s="1"/>
      <c r="O17" s="61"/>
      <c r="P17" s="54"/>
    </row>
    <row r="18" spans="1:16" ht="14.25" thickTop="1" thickBot="1">
      <c r="A18" s="8" t="s">
        <v>4</v>
      </c>
      <c r="B18" s="39">
        <f t="shared" ref="B18:M18" si="2">B17</f>
        <v>0</v>
      </c>
      <c r="C18" s="6">
        <f t="shared" si="2"/>
        <v>0</v>
      </c>
      <c r="D18" s="6">
        <f t="shared" si="2"/>
        <v>0</v>
      </c>
      <c r="E18" s="6">
        <f t="shared" si="2"/>
        <v>0</v>
      </c>
      <c r="F18" s="6">
        <f t="shared" si="2"/>
        <v>0</v>
      </c>
      <c r="G18" s="6">
        <f t="shared" si="2"/>
        <v>0</v>
      </c>
      <c r="H18" s="6">
        <f t="shared" si="2"/>
        <v>0</v>
      </c>
      <c r="I18" s="6">
        <f t="shared" si="2"/>
        <v>0</v>
      </c>
      <c r="J18" s="6">
        <f t="shared" si="2"/>
        <v>0</v>
      </c>
      <c r="K18" s="6">
        <f t="shared" si="2"/>
        <v>0</v>
      </c>
      <c r="L18" s="6">
        <f t="shared" si="2"/>
        <v>0</v>
      </c>
      <c r="M18" s="6">
        <f t="shared" si="2"/>
        <v>0</v>
      </c>
      <c r="N18" s="1"/>
      <c r="O18" s="53"/>
      <c r="P18" s="54"/>
    </row>
    <row r="19" spans="1:16" ht="13.5" thickTop="1">
      <c r="A19" s="8"/>
      <c r="B19" s="35"/>
      <c r="C19" s="35"/>
      <c r="D19" s="4"/>
      <c r="E19" s="4"/>
      <c r="F19" s="4"/>
      <c r="G19" s="4"/>
      <c r="H19" s="4"/>
      <c r="I19" s="4"/>
      <c r="J19" s="4"/>
      <c r="K19" s="4"/>
      <c r="L19" s="4"/>
      <c r="M19" s="5"/>
      <c r="N19" s="1"/>
      <c r="O19" s="53"/>
      <c r="P19" s="54"/>
    </row>
    <row r="20" spans="1:16">
      <c r="A20" s="8"/>
      <c r="B20" s="35"/>
      <c r="C20" s="35"/>
      <c r="D20" s="4"/>
      <c r="E20" s="4"/>
      <c r="F20" s="4"/>
      <c r="G20" s="4"/>
      <c r="H20" s="4"/>
      <c r="I20" s="4"/>
      <c r="J20" s="4"/>
      <c r="K20" s="4"/>
      <c r="L20" s="4"/>
      <c r="M20" s="5"/>
      <c r="N20" s="1"/>
      <c r="O20" s="53"/>
      <c r="P20" s="54"/>
    </row>
    <row r="21" spans="1:16">
      <c r="A21" s="9" t="s">
        <v>22</v>
      </c>
      <c r="B21" s="37"/>
      <c r="C21" s="37"/>
      <c r="D21" s="4"/>
      <c r="E21" s="4"/>
      <c r="F21" s="4"/>
      <c r="G21" s="4"/>
      <c r="H21" s="4"/>
      <c r="I21" s="4"/>
      <c r="J21" s="4"/>
      <c r="K21" s="4"/>
      <c r="L21" s="4"/>
      <c r="M21" s="5"/>
      <c r="N21" s="1"/>
      <c r="O21" s="53"/>
      <c r="P21" s="54"/>
    </row>
    <row r="22" spans="1:16" ht="13.5" thickBot="1">
      <c r="A22" s="8">
        <v>1</v>
      </c>
      <c r="B22" s="35">
        <v>7</v>
      </c>
      <c r="C22" s="44">
        <v>143</v>
      </c>
      <c r="D22" s="43">
        <v>14250000</v>
      </c>
      <c r="E22" s="4">
        <v>20000</v>
      </c>
      <c r="F22" s="4">
        <v>30000</v>
      </c>
      <c r="G22" s="4">
        <v>20000</v>
      </c>
      <c r="H22" s="4">
        <v>17000</v>
      </c>
      <c r="I22" s="4"/>
      <c r="J22" s="4"/>
      <c r="K22" s="4"/>
      <c r="L22" s="4">
        <v>4264</v>
      </c>
      <c r="M22" s="5">
        <f>SUM(D22:L22)</f>
        <v>14341264</v>
      </c>
      <c r="N22" s="1"/>
      <c r="O22" s="61">
        <f>5062955+180692</f>
        <v>5243647</v>
      </c>
      <c r="P22" s="54"/>
    </row>
    <row r="23" spans="1:16" ht="14.25" thickTop="1" thickBot="1">
      <c r="A23" s="8" t="s">
        <v>4</v>
      </c>
      <c r="B23" s="39">
        <f t="shared" ref="B23:M23" si="3">B22</f>
        <v>7</v>
      </c>
      <c r="C23" s="6">
        <f t="shared" si="3"/>
        <v>143</v>
      </c>
      <c r="D23" s="6">
        <f t="shared" si="3"/>
        <v>14250000</v>
      </c>
      <c r="E23" s="6">
        <f t="shared" si="3"/>
        <v>20000</v>
      </c>
      <c r="F23" s="6">
        <f t="shared" si="3"/>
        <v>30000</v>
      </c>
      <c r="G23" s="6">
        <f t="shared" si="3"/>
        <v>20000</v>
      </c>
      <c r="H23" s="6">
        <f t="shared" si="3"/>
        <v>17000</v>
      </c>
      <c r="I23" s="6">
        <f t="shared" si="3"/>
        <v>0</v>
      </c>
      <c r="J23" s="6">
        <f t="shared" si="3"/>
        <v>0</v>
      </c>
      <c r="K23" s="6">
        <f t="shared" si="3"/>
        <v>0</v>
      </c>
      <c r="L23" s="6">
        <f t="shared" si="3"/>
        <v>4264</v>
      </c>
      <c r="M23" s="6">
        <f t="shared" si="3"/>
        <v>14341264</v>
      </c>
      <c r="N23" s="1"/>
      <c r="O23" s="53"/>
      <c r="P23" s="54"/>
    </row>
    <row r="24" spans="1:16" ht="13.5" thickTop="1">
      <c r="A24" s="8"/>
      <c r="B24" s="35"/>
      <c r="C24" s="35"/>
      <c r="D24" s="4"/>
      <c r="E24" s="4"/>
      <c r="F24" s="4"/>
      <c r="G24" s="4"/>
      <c r="H24" s="4"/>
      <c r="I24" s="4"/>
      <c r="J24" s="4"/>
      <c r="K24" s="4"/>
      <c r="L24" s="4"/>
      <c r="M24" s="5"/>
      <c r="N24" s="1"/>
      <c r="O24" s="53"/>
      <c r="P24" s="54"/>
    </row>
    <row r="25" spans="1:16">
      <c r="A25" s="8"/>
      <c r="B25" s="35"/>
      <c r="C25" s="35"/>
      <c r="D25" s="4"/>
      <c r="E25" s="4"/>
      <c r="F25" s="4"/>
      <c r="G25" s="4"/>
      <c r="H25" s="4"/>
      <c r="I25" s="4"/>
      <c r="J25" s="4"/>
      <c r="K25" s="4"/>
      <c r="L25" s="4"/>
      <c r="M25" s="5"/>
      <c r="N25" s="1"/>
      <c r="O25" s="53"/>
      <c r="P25" s="54"/>
    </row>
    <row r="26" spans="1:16">
      <c r="A26" s="9"/>
      <c r="B26" s="37"/>
      <c r="C26" s="37"/>
      <c r="D26" s="4"/>
      <c r="E26" s="4"/>
      <c r="F26" s="4"/>
      <c r="G26" s="4"/>
      <c r="H26" s="4"/>
      <c r="I26" s="4"/>
      <c r="J26" s="4"/>
      <c r="K26" s="4"/>
      <c r="L26" s="4"/>
      <c r="M26" s="5"/>
      <c r="N26" s="1"/>
      <c r="O26" s="46"/>
      <c r="P26" s="54"/>
    </row>
    <row r="27" spans="1:16" ht="13.5" thickBot="1">
      <c r="A27" s="8"/>
      <c r="B27" s="37"/>
      <c r="C27" s="63"/>
      <c r="D27" s="4"/>
      <c r="E27" s="4"/>
      <c r="F27" s="4"/>
      <c r="G27" s="4"/>
      <c r="H27" s="4"/>
      <c r="I27" s="4"/>
      <c r="J27" s="4"/>
      <c r="K27" s="4"/>
      <c r="L27" s="4"/>
      <c r="M27" s="5"/>
      <c r="N27" s="1"/>
      <c r="O27" s="46"/>
      <c r="P27" s="54"/>
    </row>
    <row r="28" spans="1:16" ht="14.25" thickTop="1" thickBot="1">
      <c r="A28" s="8" t="s">
        <v>4</v>
      </c>
      <c r="B28" s="39">
        <f>B27</f>
        <v>0</v>
      </c>
      <c r="C28" s="6">
        <f>C27</f>
        <v>0</v>
      </c>
      <c r="D28" s="6">
        <f>D27</f>
        <v>0</v>
      </c>
      <c r="E28" s="6">
        <f t="shared" ref="E28:M28" si="4">E27</f>
        <v>0</v>
      </c>
      <c r="F28" s="6">
        <f t="shared" si="4"/>
        <v>0</v>
      </c>
      <c r="G28" s="6">
        <f t="shared" si="4"/>
        <v>0</v>
      </c>
      <c r="H28" s="6">
        <f t="shared" si="4"/>
        <v>0</v>
      </c>
      <c r="I28" s="6">
        <f t="shared" si="4"/>
        <v>0</v>
      </c>
      <c r="J28" s="6">
        <f t="shared" si="4"/>
        <v>0</v>
      </c>
      <c r="K28" s="6">
        <f t="shared" si="4"/>
        <v>0</v>
      </c>
      <c r="L28" s="6">
        <f t="shared" si="4"/>
        <v>0</v>
      </c>
      <c r="M28" s="6">
        <f t="shared" si="4"/>
        <v>0</v>
      </c>
      <c r="N28" s="1"/>
      <c r="O28" s="53"/>
      <c r="P28" s="54"/>
    </row>
    <row r="29" spans="1:16" ht="13.5" thickTop="1">
      <c r="A29" s="8"/>
      <c r="B29" s="58"/>
      <c r="C29" s="29"/>
      <c r="D29" s="2"/>
      <c r="E29" s="2"/>
      <c r="F29" s="2"/>
      <c r="G29" s="2"/>
      <c r="H29" s="2"/>
      <c r="I29" s="2"/>
      <c r="J29" s="2"/>
      <c r="K29" s="2"/>
      <c r="L29" s="2"/>
      <c r="M29" s="59"/>
      <c r="N29" s="1"/>
      <c r="O29" s="53"/>
      <c r="P29" s="54"/>
    </row>
    <row r="30" spans="1:16">
      <c r="A30" s="9" t="s">
        <v>25</v>
      </c>
      <c r="B30" s="37"/>
      <c r="C30" s="37"/>
      <c r="D30" s="4"/>
      <c r="E30" s="4"/>
      <c r="F30" s="4"/>
      <c r="G30" s="4"/>
      <c r="H30" s="4"/>
      <c r="I30" s="4"/>
      <c r="J30" s="4"/>
      <c r="K30" s="4"/>
      <c r="L30" s="4"/>
      <c r="M30" s="5"/>
      <c r="N30" s="1"/>
      <c r="O30" s="53"/>
      <c r="P30" s="54"/>
    </row>
    <row r="31" spans="1:16" ht="13.5" thickBot="1">
      <c r="A31" s="8">
        <v>1</v>
      </c>
      <c r="B31" s="62">
        <v>71</v>
      </c>
      <c r="C31" s="41">
        <v>1455</v>
      </c>
      <c r="D31" s="42">
        <v>75400000</v>
      </c>
      <c r="E31" s="23">
        <v>520000</v>
      </c>
      <c r="F31" s="23">
        <v>220000</v>
      </c>
      <c r="G31" s="13">
        <v>90000</v>
      </c>
      <c r="H31" s="13">
        <v>205000</v>
      </c>
      <c r="I31" s="4"/>
      <c r="J31" s="4"/>
      <c r="K31" s="4"/>
      <c r="L31" s="4">
        <v>42723</v>
      </c>
      <c r="M31" s="5">
        <f>SUM(D31:L31)</f>
        <v>76477723</v>
      </c>
      <c r="N31" s="1"/>
      <c r="O31" s="53"/>
      <c r="P31" s="54"/>
    </row>
    <row r="32" spans="1:16" ht="14.25" thickTop="1" thickBot="1">
      <c r="A32" s="8" t="s">
        <v>4</v>
      </c>
      <c r="B32" s="39">
        <f t="shared" ref="B32:M32" si="5">B31</f>
        <v>71</v>
      </c>
      <c r="C32" s="6">
        <f t="shared" si="5"/>
        <v>1455</v>
      </c>
      <c r="D32" s="6">
        <f t="shared" si="5"/>
        <v>75400000</v>
      </c>
      <c r="E32" s="6">
        <f t="shared" si="5"/>
        <v>520000</v>
      </c>
      <c r="F32" s="6">
        <f t="shared" si="5"/>
        <v>220000</v>
      </c>
      <c r="G32" s="6">
        <f t="shared" si="5"/>
        <v>90000</v>
      </c>
      <c r="H32" s="6">
        <f t="shared" si="5"/>
        <v>205000</v>
      </c>
      <c r="I32" s="6">
        <f t="shared" si="5"/>
        <v>0</v>
      </c>
      <c r="J32" s="6">
        <f t="shared" si="5"/>
        <v>0</v>
      </c>
      <c r="K32" s="6">
        <f t="shared" si="5"/>
        <v>0</v>
      </c>
      <c r="L32" s="6">
        <f t="shared" si="5"/>
        <v>42723</v>
      </c>
      <c r="M32" s="6">
        <f t="shared" si="5"/>
        <v>76477723</v>
      </c>
      <c r="N32" s="1"/>
      <c r="O32" s="53"/>
      <c r="P32" s="54"/>
    </row>
    <row r="33" spans="1:19" ht="14.25" thickTop="1" thickBot="1">
      <c r="A33" s="8"/>
      <c r="B33" s="58"/>
      <c r="C33" s="29"/>
      <c r="D33" s="2"/>
      <c r="E33" s="2"/>
      <c r="F33" s="2"/>
      <c r="G33" s="2"/>
      <c r="H33" s="2"/>
      <c r="I33" s="2"/>
      <c r="J33" s="2"/>
      <c r="K33" s="2"/>
      <c r="L33" s="2"/>
      <c r="M33" s="59"/>
      <c r="N33" s="1"/>
      <c r="O33" s="53"/>
      <c r="P33" s="54"/>
    </row>
    <row r="34" spans="1:19" ht="13.5" thickTop="1">
      <c r="A34" s="8"/>
      <c r="B34" s="58"/>
      <c r="C34" s="29"/>
      <c r="D34" s="2"/>
      <c r="E34" s="2"/>
      <c r="F34" s="2"/>
      <c r="G34" s="2"/>
      <c r="H34" s="2"/>
      <c r="I34" s="2"/>
      <c r="J34" s="2"/>
      <c r="K34" s="2"/>
      <c r="L34" s="2"/>
      <c r="M34" s="59"/>
      <c r="N34" s="1"/>
      <c r="O34" s="53"/>
      <c r="P34" s="54"/>
    </row>
    <row r="35" spans="1:19">
      <c r="A35" s="9" t="s">
        <v>24</v>
      </c>
      <c r="B35" s="37"/>
      <c r="C35" s="37"/>
      <c r="D35" s="4"/>
      <c r="E35" s="4"/>
      <c r="F35" s="4"/>
      <c r="G35" s="4"/>
      <c r="H35" s="4"/>
      <c r="I35" s="4"/>
      <c r="J35" s="4"/>
      <c r="K35" s="4"/>
      <c r="L35" s="4"/>
      <c r="M35" s="5"/>
      <c r="N35" s="1"/>
      <c r="O35" s="53"/>
      <c r="P35" s="54"/>
    </row>
    <row r="36" spans="1:19" ht="13.5" thickBot="1">
      <c r="A36" s="8">
        <v>1</v>
      </c>
      <c r="B36" s="35">
        <v>38</v>
      </c>
      <c r="C36" s="44">
        <v>755</v>
      </c>
      <c r="D36" s="43">
        <v>40100000</v>
      </c>
      <c r="E36" s="4">
        <v>260000</v>
      </c>
      <c r="F36" s="4">
        <v>210000</v>
      </c>
      <c r="G36" s="23">
        <v>65000</v>
      </c>
      <c r="H36" s="23">
        <v>93000</v>
      </c>
      <c r="I36" s="4"/>
      <c r="J36" s="4"/>
      <c r="K36" s="4"/>
      <c r="L36" s="4">
        <v>27608</v>
      </c>
      <c r="M36" s="5">
        <f>SUM(D36:L36)</f>
        <v>40755608</v>
      </c>
      <c r="N36" s="1"/>
      <c r="O36" s="53"/>
      <c r="P36" s="54"/>
    </row>
    <row r="37" spans="1:19" ht="14.25" thickTop="1" thickBot="1">
      <c r="A37" s="8" t="s">
        <v>4</v>
      </c>
      <c r="B37" s="39">
        <f t="shared" ref="B37:M37" si="6">B36</f>
        <v>38</v>
      </c>
      <c r="C37" s="6">
        <f t="shared" si="6"/>
        <v>755</v>
      </c>
      <c r="D37" s="6">
        <f t="shared" si="6"/>
        <v>40100000</v>
      </c>
      <c r="E37" s="6">
        <f t="shared" si="6"/>
        <v>260000</v>
      </c>
      <c r="F37" s="6">
        <f t="shared" si="6"/>
        <v>210000</v>
      </c>
      <c r="G37" s="6">
        <f t="shared" si="6"/>
        <v>65000</v>
      </c>
      <c r="H37" s="6">
        <f t="shared" si="6"/>
        <v>93000</v>
      </c>
      <c r="I37" s="6">
        <f t="shared" si="6"/>
        <v>0</v>
      </c>
      <c r="J37" s="6">
        <f t="shared" si="6"/>
        <v>0</v>
      </c>
      <c r="K37" s="6">
        <f t="shared" si="6"/>
        <v>0</v>
      </c>
      <c r="L37" s="6">
        <f t="shared" si="6"/>
        <v>27608</v>
      </c>
      <c r="M37" s="6">
        <f t="shared" si="6"/>
        <v>40755608</v>
      </c>
      <c r="N37" s="1"/>
      <c r="O37" s="53"/>
      <c r="P37" s="54"/>
    </row>
    <row r="38" spans="1:19" ht="14.25" thickTop="1" thickBot="1">
      <c r="A38" s="8"/>
      <c r="B38" s="58"/>
      <c r="C38" s="29"/>
      <c r="D38" s="2"/>
      <c r="E38" s="2"/>
      <c r="F38" s="2"/>
      <c r="G38" s="2"/>
      <c r="H38" s="2"/>
      <c r="I38" s="2"/>
      <c r="J38" s="2"/>
      <c r="K38" s="2"/>
      <c r="L38" s="2"/>
      <c r="M38" s="59"/>
      <c r="N38" s="1"/>
      <c r="O38" s="53"/>
      <c r="P38" s="54"/>
    </row>
    <row r="39" spans="1:19" ht="14.25" thickTop="1" thickBot="1">
      <c r="A39" s="10"/>
      <c r="B39" s="36"/>
      <c r="C39" s="36"/>
      <c r="D39" s="2"/>
      <c r="E39" s="2"/>
      <c r="F39" s="2"/>
      <c r="G39" s="2"/>
      <c r="H39" s="2"/>
      <c r="I39" s="2"/>
      <c r="J39" s="2"/>
      <c r="K39" s="2"/>
      <c r="L39" s="2"/>
      <c r="M39" s="3"/>
      <c r="N39" s="1"/>
      <c r="O39" s="53"/>
      <c r="P39" s="47">
        <f>SUM(O5:O39)</f>
        <v>11239416</v>
      </c>
    </row>
    <row r="40" spans="1:19" ht="14.25" thickTop="1" thickBot="1">
      <c r="A40" s="11" t="s">
        <v>3</v>
      </c>
      <c r="B40" s="40">
        <f>B37+B32+B28+B23+B18+B13+B8</f>
        <v>140</v>
      </c>
      <c r="C40" s="40">
        <f t="shared" ref="C40:M40" si="7">C37+C32+C28+C23+C18+C13+C8</f>
        <v>2848</v>
      </c>
      <c r="D40" s="40">
        <f t="shared" si="7"/>
        <v>155200000</v>
      </c>
      <c r="E40" s="40">
        <f t="shared" si="7"/>
        <v>1060000</v>
      </c>
      <c r="F40" s="40">
        <f t="shared" si="7"/>
        <v>530000</v>
      </c>
      <c r="G40" s="40">
        <f t="shared" si="7"/>
        <v>220000</v>
      </c>
      <c r="H40" s="40">
        <f t="shared" si="7"/>
        <v>377000</v>
      </c>
      <c r="I40" s="40">
        <f t="shared" si="7"/>
        <v>0</v>
      </c>
      <c r="J40" s="40">
        <f t="shared" si="7"/>
        <v>0</v>
      </c>
      <c r="K40" s="40">
        <f t="shared" si="7"/>
        <v>0</v>
      </c>
      <c r="L40" s="40">
        <f t="shared" si="7"/>
        <v>89756</v>
      </c>
      <c r="M40" s="40">
        <f t="shared" si="7"/>
        <v>157476756</v>
      </c>
      <c r="N40" s="1"/>
      <c r="O40" s="56"/>
      <c r="P40" s="57">
        <f>P39/C40</f>
        <v>3946.424157303371</v>
      </c>
      <c r="Q40" t="s">
        <v>21</v>
      </c>
      <c r="S40" s="1">
        <f>SUM(D40:L40)</f>
        <v>157476756</v>
      </c>
    </row>
    <row r="41" spans="1:19" ht="13.5" thickTop="1">
      <c r="A41" s="30"/>
      <c r="B41" s="30"/>
      <c r="C41" s="30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1"/>
    </row>
    <row r="42" spans="1:19">
      <c r="A42" s="30"/>
      <c r="B42" s="30"/>
      <c r="C42" s="30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1"/>
    </row>
    <row r="43" spans="1:19">
      <c r="C43" s="1"/>
      <c r="D43" s="1"/>
      <c r="E43" s="1"/>
    </row>
    <row r="45" spans="1:19" ht="13.5" thickBo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9" ht="13.5" thickTop="1">
      <c r="A46" s="32"/>
      <c r="B46" s="38" t="s">
        <v>15</v>
      </c>
      <c r="C46" s="38"/>
      <c r="D46" s="31"/>
      <c r="E46" s="2"/>
      <c r="F46" s="2"/>
      <c r="G46" s="2"/>
      <c r="H46" s="2"/>
      <c r="I46" s="2"/>
      <c r="J46" s="2"/>
      <c r="K46" s="2"/>
      <c r="L46" s="2"/>
      <c r="M46" s="3"/>
      <c r="N46" s="1"/>
    </row>
    <row r="47" spans="1:19" ht="13.5" thickBot="1">
      <c r="A47" s="14" t="s">
        <v>1</v>
      </c>
      <c r="B47" s="33"/>
      <c r="C47" s="33"/>
      <c r="D47" s="23">
        <v>50000</v>
      </c>
      <c r="E47" s="23">
        <v>20000</v>
      </c>
      <c r="F47" s="23">
        <v>10000</v>
      </c>
      <c r="G47" s="23">
        <v>5000</v>
      </c>
      <c r="H47" s="23">
        <v>1000</v>
      </c>
      <c r="I47" s="23">
        <v>500</v>
      </c>
      <c r="J47" s="23">
        <v>100</v>
      </c>
      <c r="K47" s="23">
        <v>50</v>
      </c>
      <c r="L47" s="23" t="s">
        <v>2</v>
      </c>
      <c r="M47" s="24" t="s">
        <v>3</v>
      </c>
      <c r="N47" s="1"/>
    </row>
    <row r="48" spans="1:19" ht="13.5" thickTop="1">
      <c r="A48" s="9" t="s">
        <v>28</v>
      </c>
      <c r="B48" s="34"/>
      <c r="C48" s="34"/>
      <c r="D48" s="4"/>
      <c r="E48" s="4"/>
      <c r="F48" s="4"/>
      <c r="G48" s="4"/>
      <c r="H48" s="4"/>
      <c r="I48" s="4"/>
      <c r="J48" s="4"/>
      <c r="K48" s="4"/>
      <c r="L48" s="4"/>
      <c r="M48" s="5"/>
      <c r="N48" s="1"/>
    </row>
    <row r="49" spans="1:14">
      <c r="A49" s="8"/>
      <c r="B49" s="35"/>
      <c r="C49" s="35"/>
      <c r="D49" s="4"/>
      <c r="E49" s="4"/>
      <c r="F49" s="4"/>
      <c r="G49" s="4"/>
      <c r="H49" s="4"/>
      <c r="I49" s="4"/>
      <c r="J49" s="4"/>
      <c r="K49" s="4"/>
      <c r="L49" s="4"/>
      <c r="M49" s="5">
        <f>SUM(D49:L49)</f>
        <v>0</v>
      </c>
      <c r="N49" s="1"/>
    </row>
    <row r="50" spans="1:14" ht="13.5" thickBot="1">
      <c r="A50" s="8">
        <v>1</v>
      </c>
      <c r="B50" s="35"/>
      <c r="C50" s="60"/>
      <c r="D50" s="43"/>
      <c r="E50" s="4"/>
      <c r="F50" s="4"/>
      <c r="G50" s="4"/>
      <c r="H50" s="4"/>
      <c r="I50" s="4"/>
      <c r="J50" s="4"/>
      <c r="K50" s="4"/>
      <c r="L50" s="4"/>
      <c r="M50" s="5"/>
      <c r="N50" s="1"/>
    </row>
    <row r="51" spans="1:14" ht="14.25" thickTop="1" thickBot="1">
      <c r="A51" s="8" t="s">
        <v>4</v>
      </c>
      <c r="B51" s="39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1"/>
    </row>
    <row r="52" spans="1:14" ht="13.5" thickTop="1">
      <c r="A52" s="8"/>
      <c r="B52" s="35"/>
      <c r="C52" s="35"/>
      <c r="D52" s="4"/>
      <c r="E52" s="4"/>
      <c r="F52" s="4"/>
      <c r="G52" s="4"/>
      <c r="H52" s="4"/>
      <c r="I52" s="4"/>
      <c r="J52" s="4"/>
      <c r="K52" s="4"/>
      <c r="L52" s="4"/>
      <c r="M52" s="5"/>
      <c r="N52" s="1"/>
    </row>
    <row r="53" spans="1:14">
      <c r="A53" s="9" t="s">
        <v>26</v>
      </c>
      <c r="B53" s="34"/>
      <c r="C53" s="34"/>
      <c r="D53" s="4"/>
      <c r="E53" s="4"/>
      <c r="F53" s="4"/>
      <c r="G53" s="4"/>
      <c r="H53" s="4"/>
      <c r="I53" s="4"/>
      <c r="J53" s="4"/>
      <c r="K53" s="4"/>
      <c r="L53" s="4"/>
      <c r="M53" s="5"/>
      <c r="N53" s="1"/>
    </row>
    <row r="54" spans="1:14">
      <c r="A54" s="8"/>
      <c r="B54" s="35"/>
      <c r="C54" s="35"/>
      <c r="D54" s="4"/>
      <c r="E54" s="4"/>
      <c r="F54" s="4"/>
      <c r="G54" s="4"/>
      <c r="H54" s="4"/>
      <c r="I54" s="4"/>
      <c r="J54" s="4"/>
      <c r="K54" s="4"/>
      <c r="L54" s="4"/>
      <c r="M54" s="5"/>
      <c r="N54" s="1"/>
    </row>
    <row r="55" spans="1:14" ht="13.5" thickBot="1">
      <c r="A55" s="8">
        <v>1</v>
      </c>
      <c r="B55" s="35"/>
      <c r="C55" s="60"/>
      <c r="D55" s="43"/>
      <c r="E55" s="4"/>
      <c r="F55" s="4"/>
      <c r="G55" s="4"/>
      <c r="H55" s="4"/>
      <c r="I55" s="4"/>
      <c r="J55" s="4"/>
      <c r="K55" s="4"/>
      <c r="L55" s="4"/>
      <c r="M55" s="5"/>
      <c r="N55" s="1"/>
    </row>
    <row r="56" spans="1:14" ht="14.25" thickTop="1" thickBot="1">
      <c r="A56" s="8" t="s">
        <v>4</v>
      </c>
      <c r="B56" s="39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1"/>
    </row>
    <row r="57" spans="1:14" ht="13.5" thickTop="1">
      <c r="A57" s="8"/>
      <c r="B57" s="35"/>
      <c r="C57" s="35"/>
      <c r="D57" s="4"/>
      <c r="E57" s="4"/>
      <c r="F57" s="4"/>
      <c r="G57" s="4"/>
      <c r="H57" s="4"/>
      <c r="I57" s="4"/>
      <c r="J57" s="4"/>
      <c r="K57" s="4"/>
      <c r="L57" s="4"/>
      <c r="M57" s="5"/>
      <c r="N57" s="1"/>
    </row>
    <row r="58" spans="1:14">
      <c r="A58" s="8"/>
      <c r="B58" s="35"/>
      <c r="C58" s="35"/>
      <c r="D58" s="4"/>
      <c r="E58" s="4"/>
      <c r="F58" s="4"/>
      <c r="G58" s="4"/>
      <c r="H58" s="4"/>
      <c r="I58" s="4"/>
      <c r="J58" s="4"/>
      <c r="K58" s="4"/>
      <c r="L58" s="4"/>
      <c r="M58" s="5"/>
      <c r="N58" s="1"/>
    </row>
    <row r="59" spans="1:14">
      <c r="A59" s="9" t="s">
        <v>23</v>
      </c>
      <c r="B59" s="37"/>
      <c r="C59" s="37"/>
      <c r="D59" s="4"/>
      <c r="E59" s="4"/>
      <c r="F59" s="4"/>
      <c r="G59" s="4"/>
      <c r="H59" s="4"/>
      <c r="I59" s="4"/>
      <c r="J59" s="4"/>
      <c r="K59" s="4"/>
      <c r="L59" s="4"/>
      <c r="M59" s="5"/>
      <c r="N59" s="1"/>
    </row>
    <row r="60" spans="1:14" ht="13.5" thickBot="1">
      <c r="A60" s="8">
        <v>1</v>
      </c>
      <c r="B60" s="35">
        <v>75</v>
      </c>
      <c r="C60" s="44">
        <v>1487</v>
      </c>
      <c r="D60" s="43">
        <v>76750000</v>
      </c>
      <c r="E60" s="4">
        <v>660000</v>
      </c>
      <c r="F60" s="4">
        <v>360000</v>
      </c>
      <c r="G60" s="4">
        <v>230000</v>
      </c>
      <c r="H60" s="4">
        <v>217000</v>
      </c>
      <c r="I60" s="4"/>
      <c r="J60" s="4"/>
      <c r="K60" s="4"/>
      <c r="L60" s="4">
        <v>49609</v>
      </c>
      <c r="M60" s="5">
        <f>SUM(D60:L60)</f>
        <v>78266609</v>
      </c>
      <c r="N60" s="1"/>
    </row>
    <row r="61" spans="1:14" ht="14.25" thickTop="1" thickBot="1">
      <c r="A61" s="8" t="s">
        <v>4</v>
      </c>
      <c r="B61" s="39">
        <f t="shared" ref="B61:M61" si="8">B60</f>
        <v>75</v>
      </c>
      <c r="C61" s="6">
        <f t="shared" si="8"/>
        <v>1487</v>
      </c>
      <c r="D61" s="6">
        <f t="shared" si="8"/>
        <v>76750000</v>
      </c>
      <c r="E61" s="6">
        <f t="shared" si="8"/>
        <v>660000</v>
      </c>
      <c r="F61" s="6">
        <f t="shared" si="8"/>
        <v>360000</v>
      </c>
      <c r="G61" s="6">
        <f t="shared" si="8"/>
        <v>230000</v>
      </c>
      <c r="H61" s="6">
        <f t="shared" si="8"/>
        <v>217000</v>
      </c>
      <c r="I61" s="6">
        <f t="shared" si="8"/>
        <v>0</v>
      </c>
      <c r="J61" s="6">
        <f t="shared" si="8"/>
        <v>0</v>
      </c>
      <c r="K61" s="6">
        <f t="shared" si="8"/>
        <v>0</v>
      </c>
      <c r="L61" s="6">
        <f t="shared" si="8"/>
        <v>49609</v>
      </c>
      <c r="M61" s="6">
        <f t="shared" si="8"/>
        <v>78266609</v>
      </c>
      <c r="N61" s="1"/>
    </row>
    <row r="62" spans="1:14" ht="13.5" thickTop="1">
      <c r="A62" s="8"/>
      <c r="B62" s="35"/>
      <c r="C62" s="35"/>
      <c r="D62" s="4"/>
      <c r="E62" s="4"/>
      <c r="F62" s="4"/>
      <c r="G62" s="4"/>
      <c r="H62" s="4"/>
      <c r="I62" s="4"/>
      <c r="J62" s="4"/>
      <c r="K62" s="4"/>
      <c r="L62" s="4"/>
      <c r="M62" s="5"/>
      <c r="N62" s="1"/>
    </row>
    <row r="63" spans="1:14">
      <c r="A63" s="8"/>
      <c r="B63" s="35"/>
      <c r="C63" s="35"/>
      <c r="D63" s="4"/>
      <c r="E63" s="4"/>
      <c r="F63" s="4"/>
      <c r="G63" s="4"/>
      <c r="H63" s="4"/>
      <c r="I63" s="4"/>
      <c r="J63" s="4"/>
      <c r="K63" s="4"/>
      <c r="L63" s="4"/>
      <c r="M63" s="5"/>
      <c r="N63" s="1"/>
    </row>
    <row r="64" spans="1:14">
      <c r="A64" s="9" t="s">
        <v>22</v>
      </c>
      <c r="B64" s="37"/>
      <c r="C64" s="37"/>
      <c r="D64" s="4"/>
      <c r="E64" s="4"/>
      <c r="F64" s="4"/>
      <c r="G64" s="4"/>
      <c r="H64" s="4"/>
      <c r="I64" s="4"/>
      <c r="J64" s="4"/>
      <c r="K64" s="4"/>
      <c r="L64" s="4"/>
      <c r="M64" s="5"/>
      <c r="N64" s="1"/>
    </row>
    <row r="65" spans="1:14" ht="13.5" thickBot="1">
      <c r="A65" s="8">
        <v>1</v>
      </c>
      <c r="B65" s="35"/>
      <c r="C65" s="44"/>
      <c r="D65" s="43"/>
      <c r="E65" s="4"/>
      <c r="F65" s="4"/>
      <c r="G65" s="4"/>
      <c r="H65" s="4"/>
      <c r="I65" s="4"/>
      <c r="J65" s="4"/>
      <c r="K65" s="4"/>
      <c r="L65" s="4"/>
      <c r="M65" s="5"/>
      <c r="N65" s="1"/>
    </row>
    <row r="66" spans="1:14" ht="14.25" thickTop="1" thickBot="1">
      <c r="A66" s="8" t="s">
        <v>4</v>
      </c>
      <c r="B66" s="39">
        <f t="shared" ref="B66:M66" si="9">B65</f>
        <v>0</v>
      </c>
      <c r="C66" s="6">
        <f t="shared" si="9"/>
        <v>0</v>
      </c>
      <c r="D66" s="6">
        <f t="shared" si="9"/>
        <v>0</v>
      </c>
      <c r="E66" s="6">
        <f t="shared" si="9"/>
        <v>0</v>
      </c>
      <c r="F66" s="6">
        <f t="shared" si="9"/>
        <v>0</v>
      </c>
      <c r="G66" s="6">
        <f t="shared" si="9"/>
        <v>0</v>
      </c>
      <c r="H66" s="6">
        <f t="shared" si="9"/>
        <v>0</v>
      </c>
      <c r="I66" s="6">
        <f t="shared" si="9"/>
        <v>0</v>
      </c>
      <c r="J66" s="6">
        <f t="shared" si="9"/>
        <v>0</v>
      </c>
      <c r="K66" s="6">
        <f t="shared" si="9"/>
        <v>0</v>
      </c>
      <c r="L66" s="6">
        <f t="shared" si="9"/>
        <v>0</v>
      </c>
      <c r="M66" s="6">
        <f t="shared" si="9"/>
        <v>0</v>
      </c>
      <c r="N66" s="1"/>
    </row>
    <row r="67" spans="1:14" ht="13.5" thickTop="1">
      <c r="A67" s="8"/>
      <c r="B67" s="35"/>
      <c r="C67" s="35"/>
      <c r="D67" s="4"/>
      <c r="E67" s="4"/>
      <c r="F67" s="4"/>
      <c r="G67" s="4"/>
      <c r="H67" s="4"/>
      <c r="I67" s="4"/>
      <c r="J67" s="4"/>
      <c r="K67" s="4"/>
      <c r="L67" s="4"/>
      <c r="M67" s="5"/>
      <c r="N67" s="1"/>
    </row>
    <row r="68" spans="1:14">
      <c r="A68" s="8"/>
      <c r="B68" s="35"/>
      <c r="C68" s="35"/>
      <c r="D68" s="4"/>
      <c r="E68" s="4"/>
      <c r="F68" s="4"/>
      <c r="G68" s="4"/>
      <c r="H68" s="4"/>
      <c r="I68" s="4"/>
      <c r="J68" s="4"/>
      <c r="K68" s="4"/>
      <c r="L68" s="4"/>
      <c r="M68" s="5"/>
      <c r="N68" s="1"/>
    </row>
    <row r="69" spans="1:14">
      <c r="A69" s="9" t="s">
        <v>27</v>
      </c>
      <c r="B69" s="37"/>
      <c r="C69" s="37"/>
      <c r="D69" s="4"/>
      <c r="E69" s="4"/>
      <c r="F69" s="4"/>
      <c r="G69" s="4"/>
      <c r="H69" s="4"/>
      <c r="I69" s="4"/>
      <c r="J69" s="4"/>
      <c r="K69" s="4"/>
      <c r="L69" s="4"/>
      <c r="M69" s="5"/>
      <c r="N69" s="1"/>
    </row>
    <row r="70" spans="1:14" ht="13.5" thickBot="1">
      <c r="A70" s="8">
        <v>1</v>
      </c>
      <c r="B70" s="37">
        <v>1</v>
      </c>
      <c r="C70" s="63">
        <v>23</v>
      </c>
      <c r="D70" s="4">
        <v>1750000</v>
      </c>
      <c r="E70" s="4"/>
      <c r="F70" s="4"/>
      <c r="G70" s="4"/>
      <c r="H70" s="4"/>
      <c r="I70" s="4"/>
      <c r="J70" s="4"/>
      <c r="K70" s="4"/>
      <c r="L70" s="4">
        <v>571</v>
      </c>
      <c r="M70" s="5">
        <f>SUM(D70:L70)</f>
        <v>1750571</v>
      </c>
      <c r="N70" s="1"/>
    </row>
    <row r="71" spans="1:14" ht="14.25" thickTop="1" thickBot="1">
      <c r="A71" s="8" t="s">
        <v>4</v>
      </c>
      <c r="B71" s="39">
        <f t="shared" ref="B71:M71" si="10">B70</f>
        <v>1</v>
      </c>
      <c r="C71" s="6">
        <f t="shared" si="10"/>
        <v>23</v>
      </c>
      <c r="D71" s="6">
        <f t="shared" si="10"/>
        <v>1750000</v>
      </c>
      <c r="E71" s="6">
        <f t="shared" si="10"/>
        <v>0</v>
      </c>
      <c r="F71" s="6">
        <f t="shared" si="10"/>
        <v>0</v>
      </c>
      <c r="G71" s="6">
        <f t="shared" si="10"/>
        <v>0</v>
      </c>
      <c r="H71" s="6">
        <f t="shared" si="10"/>
        <v>0</v>
      </c>
      <c r="I71" s="6">
        <f t="shared" si="10"/>
        <v>0</v>
      </c>
      <c r="J71" s="6">
        <f t="shared" si="10"/>
        <v>0</v>
      </c>
      <c r="K71" s="6">
        <f t="shared" si="10"/>
        <v>0</v>
      </c>
      <c r="L71" s="6">
        <f t="shared" si="10"/>
        <v>571</v>
      </c>
      <c r="M71" s="6">
        <f t="shared" si="10"/>
        <v>1750571</v>
      </c>
      <c r="N71" s="1"/>
    </row>
    <row r="72" spans="1:14" ht="13.5" thickTop="1">
      <c r="A72" s="8"/>
      <c r="B72" s="58"/>
      <c r="C72" s="29"/>
      <c r="D72" s="2"/>
      <c r="E72" s="2"/>
      <c r="F72" s="2"/>
      <c r="G72" s="2"/>
      <c r="H72" s="2"/>
      <c r="I72" s="2"/>
      <c r="J72" s="2"/>
      <c r="K72" s="2"/>
      <c r="L72" s="2"/>
      <c r="M72" s="59"/>
      <c r="N72" s="1"/>
    </row>
    <row r="73" spans="1:14">
      <c r="A73" s="9" t="s">
        <v>25</v>
      </c>
      <c r="B73" s="37"/>
      <c r="C73" s="37"/>
      <c r="D73" s="4"/>
      <c r="E73" s="4"/>
      <c r="F73" s="4"/>
      <c r="G73" s="4"/>
      <c r="H73" s="4"/>
      <c r="I73" s="4"/>
      <c r="J73" s="4"/>
      <c r="K73" s="4"/>
      <c r="L73" s="4"/>
      <c r="M73" s="5"/>
      <c r="N73" s="1"/>
    </row>
    <row r="74" spans="1:14" ht="13.5" thickBot="1">
      <c r="A74" s="8">
        <v>1</v>
      </c>
      <c r="B74" s="62"/>
      <c r="C74" s="41"/>
      <c r="D74" s="42"/>
      <c r="E74" s="23"/>
      <c r="F74" s="23"/>
      <c r="G74" s="13"/>
      <c r="H74" s="13"/>
      <c r="I74" s="4"/>
      <c r="J74" s="4"/>
      <c r="K74" s="4"/>
      <c r="L74" s="4"/>
      <c r="M74" s="5"/>
      <c r="N74" s="1"/>
    </row>
    <row r="75" spans="1:14" ht="14.25" thickTop="1" thickBot="1">
      <c r="A75" s="8" t="s">
        <v>4</v>
      </c>
      <c r="B75" s="3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1"/>
    </row>
    <row r="76" spans="1:14" ht="14.25" thickTop="1" thickBot="1">
      <c r="A76" s="8"/>
      <c r="B76" s="58"/>
      <c r="C76" s="29"/>
      <c r="D76" s="2"/>
      <c r="E76" s="2"/>
      <c r="F76" s="2"/>
      <c r="G76" s="2"/>
      <c r="H76" s="2"/>
      <c r="I76" s="2"/>
      <c r="J76" s="2"/>
      <c r="K76" s="2"/>
      <c r="L76" s="2"/>
      <c r="M76" s="59"/>
      <c r="N76" s="1"/>
    </row>
    <row r="77" spans="1:14" ht="13.5" thickTop="1">
      <c r="A77" s="8"/>
      <c r="B77" s="58"/>
      <c r="C77" s="29"/>
      <c r="D77" s="2"/>
      <c r="E77" s="2"/>
      <c r="F77" s="2"/>
      <c r="G77" s="2"/>
      <c r="H77" s="2"/>
      <c r="I77" s="2"/>
      <c r="J77" s="2"/>
      <c r="K77" s="2"/>
      <c r="L77" s="2"/>
      <c r="M77" s="59"/>
      <c r="N77" s="1"/>
    </row>
    <row r="78" spans="1:14">
      <c r="A78" s="9" t="s">
        <v>24</v>
      </c>
      <c r="B78" s="37"/>
      <c r="C78" s="37"/>
      <c r="D78" s="4"/>
      <c r="E78" s="4"/>
      <c r="F78" s="4"/>
      <c r="G78" s="4"/>
      <c r="H78" s="4"/>
      <c r="I78" s="4"/>
      <c r="J78" s="4"/>
      <c r="K78" s="4"/>
      <c r="L78" s="4"/>
      <c r="M78" s="5"/>
      <c r="N78" s="1"/>
    </row>
    <row r="79" spans="1:14" ht="13.5" thickBot="1">
      <c r="A79" s="8">
        <v>1</v>
      </c>
      <c r="B79" s="35"/>
      <c r="C79" s="44"/>
      <c r="D79" s="43"/>
      <c r="E79" s="4"/>
      <c r="F79" s="4"/>
      <c r="G79" s="23"/>
      <c r="H79" s="23"/>
      <c r="I79" s="4"/>
      <c r="J79" s="4"/>
      <c r="K79" s="4"/>
      <c r="L79" s="4"/>
      <c r="M79" s="5"/>
      <c r="N79" s="1"/>
    </row>
    <row r="80" spans="1:14" ht="14.25" thickTop="1" thickBot="1">
      <c r="A80" s="8" t="s">
        <v>4</v>
      </c>
      <c r="B80" s="39">
        <f t="shared" ref="B80:M80" si="11">B79</f>
        <v>0</v>
      </c>
      <c r="C80" s="6">
        <f t="shared" si="11"/>
        <v>0</v>
      </c>
      <c r="D80" s="6">
        <f t="shared" si="11"/>
        <v>0</v>
      </c>
      <c r="E80" s="6">
        <f t="shared" si="11"/>
        <v>0</v>
      </c>
      <c r="F80" s="6">
        <f t="shared" si="11"/>
        <v>0</v>
      </c>
      <c r="G80" s="6">
        <f t="shared" si="11"/>
        <v>0</v>
      </c>
      <c r="H80" s="6">
        <f t="shared" si="11"/>
        <v>0</v>
      </c>
      <c r="I80" s="6">
        <f t="shared" si="11"/>
        <v>0</v>
      </c>
      <c r="J80" s="6">
        <f t="shared" si="11"/>
        <v>0</v>
      </c>
      <c r="K80" s="6">
        <f t="shared" si="11"/>
        <v>0</v>
      </c>
      <c r="L80" s="6">
        <f t="shared" si="11"/>
        <v>0</v>
      </c>
      <c r="M80" s="6">
        <f t="shared" si="11"/>
        <v>0</v>
      </c>
      <c r="N80" s="1"/>
    </row>
    <row r="81" spans="1:14" ht="14.25" thickTop="1" thickBot="1">
      <c r="A81" s="8"/>
      <c r="B81" s="58"/>
      <c r="C81" s="29"/>
      <c r="D81" s="2"/>
      <c r="E81" s="2"/>
      <c r="F81" s="2"/>
      <c r="G81" s="2"/>
      <c r="H81" s="2"/>
      <c r="I81" s="2"/>
      <c r="J81" s="2"/>
      <c r="K81" s="2"/>
      <c r="L81" s="2"/>
      <c r="M81" s="59"/>
      <c r="N81" s="1"/>
    </row>
    <row r="82" spans="1:14" ht="14.25" thickTop="1" thickBot="1">
      <c r="A82" s="10"/>
      <c r="B82" s="36"/>
      <c r="C82" s="36"/>
      <c r="D82" s="2"/>
      <c r="E82" s="2"/>
      <c r="F82" s="2"/>
      <c r="G82" s="2"/>
      <c r="H82" s="2"/>
      <c r="I82" s="2"/>
      <c r="J82" s="2"/>
      <c r="K82" s="2"/>
      <c r="L82" s="2"/>
      <c r="M82" s="3"/>
      <c r="N82" s="1"/>
    </row>
    <row r="83" spans="1:14" ht="14.25" thickTop="1" thickBot="1">
      <c r="A83" s="11" t="s">
        <v>3</v>
      </c>
      <c r="B83" s="40">
        <f>B80+B75+B71+B66+B61+B56+B51</f>
        <v>76</v>
      </c>
      <c r="C83" s="40">
        <f t="shared" ref="C83:M83" si="12">C80+C75+C71+C66+C61+C56+C51</f>
        <v>1510</v>
      </c>
      <c r="D83" s="40">
        <f t="shared" si="12"/>
        <v>78500000</v>
      </c>
      <c r="E83" s="40">
        <f t="shared" si="12"/>
        <v>660000</v>
      </c>
      <c r="F83" s="40">
        <f t="shared" si="12"/>
        <v>360000</v>
      </c>
      <c r="G83" s="40">
        <f t="shared" si="12"/>
        <v>230000</v>
      </c>
      <c r="H83" s="40">
        <f t="shared" si="12"/>
        <v>217000</v>
      </c>
      <c r="I83" s="40">
        <f t="shared" si="12"/>
        <v>0</v>
      </c>
      <c r="J83" s="40">
        <f t="shared" si="12"/>
        <v>0</v>
      </c>
      <c r="K83" s="40">
        <f t="shared" si="12"/>
        <v>0</v>
      </c>
      <c r="L83" s="40">
        <f t="shared" si="12"/>
        <v>50180</v>
      </c>
      <c r="M83" s="40">
        <f t="shared" si="12"/>
        <v>80017180</v>
      </c>
      <c r="N83" s="1"/>
    </row>
    <row r="84" spans="1:14" ht="13.5" thickTop="1">
      <c r="A84" s="30"/>
      <c r="B84" s="30"/>
      <c r="C84" s="3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1"/>
    </row>
  </sheetData>
  <phoneticPr fontId="0" type="noConversion"/>
  <pageMargins left="0.22" right="0.28000000000000003" top="1" bottom="1.44" header="0.5" footer="0.5"/>
  <pageSetup paperSize="9" scale="74" orientation="landscape" r:id="rId1"/>
  <headerFooter alignWithMargins="0"/>
  <rowBreaks count="1" manualBreakCount="1">
    <brk id="42" max="18" man="1"/>
  </rowBreaks>
  <colBreaks count="1" manualBreakCount="1">
    <brk id="14" max="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AP963"/>
  <sheetViews>
    <sheetView showGridLines="0" view="pageBreakPreview" topLeftCell="A436" zoomScale="55" zoomScaleNormal="48" zoomScaleSheetLayoutView="55" workbookViewId="0">
      <selection activeCell="V472" sqref="V472"/>
    </sheetView>
  </sheetViews>
  <sheetFormatPr defaultRowHeight="20.25"/>
  <cols>
    <col min="1" max="1" width="1.7109375" style="215" customWidth="1"/>
    <col min="2" max="2" width="93" style="215" customWidth="1"/>
    <col min="3" max="3" width="28.140625" style="216" customWidth="1"/>
    <col min="4" max="4" width="20.28515625" style="216" hidden="1" customWidth="1"/>
    <col min="5" max="5" width="15.28515625" style="278" customWidth="1"/>
    <col min="6" max="6" width="18.7109375" style="278" hidden="1" customWidth="1"/>
    <col min="7" max="7" width="21.5703125" style="217" hidden="1" customWidth="1"/>
    <col min="8" max="8" width="16.28515625" style="217" hidden="1" customWidth="1"/>
    <col min="9" max="9" width="14.7109375" style="217" hidden="1" customWidth="1"/>
    <col min="10" max="11" width="14.42578125" style="217" hidden="1" customWidth="1"/>
    <col min="12" max="12" width="14.7109375" style="217" hidden="1" customWidth="1"/>
    <col min="13" max="13" width="14.42578125" style="217" hidden="1" customWidth="1"/>
    <col min="14" max="15" width="13.42578125" style="217" hidden="1" customWidth="1"/>
    <col min="16" max="16" width="17.140625" style="217" hidden="1" customWidth="1"/>
    <col min="17" max="17" width="38.7109375" style="217" customWidth="1"/>
    <col min="18" max="18" width="28.28515625" style="217" hidden="1" customWidth="1"/>
    <col min="19" max="19" width="24.140625" style="217" customWidth="1"/>
    <col min="20" max="20" width="35.140625" style="217" customWidth="1"/>
    <col min="21" max="21" width="37" style="217" customWidth="1"/>
    <col min="22" max="22" width="29.42578125" style="217" customWidth="1"/>
    <col min="23" max="23" width="12.85546875" style="215" hidden="1" customWidth="1"/>
    <col min="24" max="24" width="11.28515625" style="215" hidden="1" customWidth="1"/>
    <col min="25" max="25" width="17.7109375" style="215" hidden="1" customWidth="1"/>
    <col min="26" max="26" width="17.42578125" style="215" hidden="1" customWidth="1"/>
    <col min="27" max="27" width="33" style="215" customWidth="1"/>
    <col min="28" max="28" width="27.42578125" style="215" customWidth="1"/>
    <col min="29" max="29" width="20.28515625" style="215" customWidth="1"/>
    <col min="30" max="30" width="25.5703125" style="339" customWidth="1"/>
    <col min="31" max="31" width="0.85546875" style="339" customWidth="1"/>
    <col min="32" max="32" width="25.28515625" style="216" bestFit="1" customWidth="1"/>
    <col min="33" max="33" width="26.42578125" style="739" customWidth="1"/>
    <col min="34" max="34" width="24.42578125" style="215" bestFit="1" customWidth="1"/>
    <col min="35" max="35" width="2.42578125" style="215" customWidth="1"/>
    <col min="36" max="36" width="24.28515625" style="215" customWidth="1"/>
    <col min="37" max="37" width="23.5703125" style="215" customWidth="1"/>
    <col min="38" max="38" width="22.85546875" style="215" customWidth="1"/>
    <col min="39" max="39" width="23.85546875" style="215" bestFit="1" customWidth="1"/>
    <col min="40" max="40" width="23.5703125" style="215" customWidth="1"/>
    <col min="41" max="41" width="38.28515625" style="215" customWidth="1"/>
    <col min="42" max="42" width="15.28515625" style="215" bestFit="1" customWidth="1"/>
    <col min="43" max="16384" width="9.140625" style="215"/>
  </cols>
  <sheetData>
    <row r="1" spans="2:41" ht="17.25" customHeight="1"/>
    <row r="2" spans="2:41" ht="17.25" customHeight="1"/>
    <row r="3" spans="2:41" ht="36.75" customHeight="1">
      <c r="B3" s="215" t="s">
        <v>0</v>
      </c>
    </row>
    <row r="4" spans="2:41" ht="32.25" customHeight="1">
      <c r="B4" s="215" t="s">
        <v>707</v>
      </c>
    </row>
    <row r="5" spans="2:41" ht="37.5" customHeight="1" thickBot="1"/>
    <row r="6" spans="2:41" ht="24.75" customHeight="1" thickTop="1">
      <c r="B6" s="1176" t="s">
        <v>1</v>
      </c>
      <c r="C6" s="1183" t="s">
        <v>15</v>
      </c>
      <c r="D6" s="1178" t="s">
        <v>470</v>
      </c>
      <c r="E6" s="1179"/>
      <c r="F6" s="1180"/>
      <c r="G6" s="1183" t="s">
        <v>244</v>
      </c>
      <c r="H6" s="1183" t="s">
        <v>471</v>
      </c>
      <c r="I6" s="1185" t="s">
        <v>472</v>
      </c>
      <c r="J6" s="1181" t="s">
        <v>473</v>
      </c>
      <c r="K6" s="1181" t="s">
        <v>474</v>
      </c>
      <c r="L6" s="572" t="s">
        <v>475</v>
      </c>
      <c r="M6" s="1183" t="s">
        <v>477</v>
      </c>
      <c r="N6" s="572" t="s">
        <v>475</v>
      </c>
      <c r="O6" s="572" t="s">
        <v>478</v>
      </c>
      <c r="P6" s="1183"/>
      <c r="Q6" s="568" t="s">
        <v>145</v>
      </c>
      <c r="R6" s="568" t="s">
        <v>253</v>
      </c>
      <c r="S6" s="568" t="s">
        <v>440</v>
      </c>
      <c r="T6" s="1174" t="s">
        <v>189</v>
      </c>
      <c r="U6" s="1174" t="s">
        <v>190</v>
      </c>
      <c r="V6" s="1171" t="s">
        <v>665</v>
      </c>
      <c r="W6" s="221" t="s">
        <v>16</v>
      </c>
      <c r="X6" s="222" t="s">
        <v>18</v>
      </c>
      <c r="Y6" s="218"/>
      <c r="Z6" s="218"/>
      <c r="AA6" s="1171" t="s">
        <v>664</v>
      </c>
      <c r="AB6" s="1240" t="s">
        <v>226</v>
      </c>
      <c r="AC6" s="218"/>
      <c r="AD6" s="1171" t="s">
        <v>259</v>
      </c>
      <c r="AE6" s="492"/>
      <c r="AF6" s="1189" t="s">
        <v>542</v>
      </c>
      <c r="AG6" s="1187" t="s">
        <v>617</v>
      </c>
      <c r="AH6" s="1195" t="s">
        <v>608</v>
      </c>
      <c r="AJ6" s="1197" t="s">
        <v>632</v>
      </c>
      <c r="AK6" s="1197"/>
      <c r="AL6" s="1220" t="s">
        <v>633</v>
      </c>
      <c r="AN6" s="215" t="s">
        <v>667</v>
      </c>
    </row>
    <row r="7" spans="2:41" ht="24.75" customHeight="1" thickBot="1">
      <c r="B7" s="1177"/>
      <c r="C7" s="1184"/>
      <c r="D7" s="573" t="s">
        <v>485</v>
      </c>
      <c r="E7" s="573" t="s">
        <v>486</v>
      </c>
      <c r="F7" s="573" t="s">
        <v>487</v>
      </c>
      <c r="G7" s="1184"/>
      <c r="H7" s="1184"/>
      <c r="I7" s="1186"/>
      <c r="J7" s="1182"/>
      <c r="K7" s="1182"/>
      <c r="L7" s="573" t="s">
        <v>476</v>
      </c>
      <c r="M7" s="1184"/>
      <c r="N7" s="573" t="s">
        <v>476</v>
      </c>
      <c r="O7" s="573" t="s">
        <v>479</v>
      </c>
      <c r="P7" s="1184"/>
      <c r="Q7" s="569" t="s">
        <v>708</v>
      </c>
      <c r="R7" s="569" t="s">
        <v>254</v>
      </c>
      <c r="S7" s="569" t="s">
        <v>439</v>
      </c>
      <c r="T7" s="1175"/>
      <c r="U7" s="1175"/>
      <c r="V7" s="1172"/>
      <c r="W7" s="224"/>
      <c r="X7" s="225" t="s">
        <v>19</v>
      </c>
      <c r="Y7" s="218"/>
      <c r="Z7" s="218"/>
      <c r="AA7" s="1172"/>
      <c r="AB7" s="1241"/>
      <c r="AC7" s="218"/>
      <c r="AD7" s="1172"/>
      <c r="AE7" s="492"/>
      <c r="AF7" s="1190"/>
      <c r="AG7" s="1188"/>
      <c r="AH7" s="1196"/>
      <c r="AJ7" s="292" t="s">
        <v>611</v>
      </c>
      <c r="AK7" s="292" t="s">
        <v>612</v>
      </c>
      <c r="AL7" s="1221"/>
    </row>
    <row r="8" spans="2:41" s="242" customFormat="1" ht="24.75" customHeight="1" thickTop="1">
      <c r="B8" s="234"/>
      <c r="C8" s="292"/>
      <c r="D8" s="310"/>
      <c r="E8" s="310"/>
      <c r="F8" s="310"/>
      <c r="G8" s="344"/>
      <c r="H8" s="344"/>
      <c r="I8" s="344"/>
      <c r="J8" s="344"/>
      <c r="K8" s="344"/>
      <c r="L8" s="344"/>
      <c r="M8" s="344"/>
      <c r="N8" s="344"/>
      <c r="O8" s="344"/>
      <c r="P8" s="345"/>
      <c r="Q8" s="346"/>
      <c r="R8" s="599"/>
      <c r="S8" s="599"/>
      <c r="T8" s="346"/>
      <c r="U8" s="346"/>
      <c r="V8" s="347"/>
      <c r="W8" s="398"/>
      <c r="X8" s="398"/>
      <c r="Y8" s="398"/>
      <c r="Z8" s="1084"/>
      <c r="AA8" s="1171">
        <v>878370277</v>
      </c>
      <c r="AB8" s="1240">
        <f>V35-AA8</f>
        <v>5.0001144409179688E-3</v>
      </c>
      <c r="AC8" s="837"/>
      <c r="AD8" s="347"/>
      <c r="AE8" s="493"/>
      <c r="AF8" s="741"/>
      <c r="AG8" s="800"/>
      <c r="AH8" s="798"/>
      <c r="AJ8" s="236"/>
      <c r="AK8" s="236"/>
      <c r="AL8" s="803"/>
    </row>
    <row r="9" spans="2:41" s="242" customFormat="1" ht="24.75" customHeight="1">
      <c r="B9" s="234" t="s">
        <v>560</v>
      </c>
      <c r="C9" s="292">
        <v>22</v>
      </c>
      <c r="D9" s="310"/>
      <c r="E9" s="310">
        <v>668</v>
      </c>
      <c r="F9" s="310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329">
        <v>73888</v>
      </c>
      <c r="R9" s="329"/>
      <c r="S9" s="329">
        <v>84000</v>
      </c>
      <c r="T9" s="294">
        <v>231010</v>
      </c>
      <c r="U9" s="294">
        <v>3193152.92</v>
      </c>
      <c r="V9" s="347">
        <v>89293006.920000002</v>
      </c>
      <c r="W9" s="398"/>
      <c r="X9" s="398"/>
      <c r="Y9" s="398"/>
      <c r="Z9" s="1084"/>
      <c r="AA9" s="1242"/>
      <c r="AB9" s="1243"/>
      <c r="AC9" s="836"/>
      <c r="AD9" s="295"/>
      <c r="AE9" s="353"/>
      <c r="AF9" s="746"/>
      <c r="AG9" s="815"/>
      <c r="AH9" s="816"/>
      <c r="AJ9" s="236"/>
      <c r="AK9" s="236"/>
      <c r="AL9" s="803">
        <f t="shared" ref="AL9:AL31" si="0">AK9/1050</f>
        <v>0</v>
      </c>
    </row>
    <row r="10" spans="2:41" s="242" customFormat="1" ht="24.75" customHeight="1">
      <c r="B10" s="234"/>
      <c r="C10" s="292"/>
      <c r="D10" s="310"/>
      <c r="E10" s="310"/>
      <c r="F10" s="310"/>
      <c r="G10" s="293"/>
      <c r="H10" s="293"/>
      <c r="I10" s="293"/>
      <c r="J10" s="293"/>
      <c r="K10" s="293"/>
      <c r="L10" s="293"/>
      <c r="M10" s="293"/>
      <c r="N10" s="293"/>
      <c r="O10" s="294"/>
      <c r="P10" s="294"/>
      <c r="Q10" s="329"/>
      <c r="R10" s="329"/>
      <c r="S10" s="329"/>
      <c r="T10" s="294"/>
      <c r="U10" s="294"/>
      <c r="V10" s="295"/>
      <c r="W10" s="398"/>
      <c r="X10" s="398"/>
      <c r="Y10" s="398"/>
      <c r="Z10" s="1084"/>
      <c r="AA10" s="1242"/>
      <c r="AB10" s="1243"/>
      <c r="AC10" s="838"/>
      <c r="AD10" s="295"/>
      <c r="AE10" s="353"/>
      <c r="AF10" s="742"/>
      <c r="AG10" s="817"/>
      <c r="AH10" s="816"/>
      <c r="AJ10" s="236"/>
      <c r="AK10" s="236"/>
      <c r="AL10" s="803"/>
    </row>
    <row r="11" spans="2:41" s="242" customFormat="1" ht="24.75" customHeight="1">
      <c r="B11" s="234" t="s">
        <v>559</v>
      </c>
      <c r="C11" s="292">
        <v>8</v>
      </c>
      <c r="D11" s="310"/>
      <c r="E11" s="310">
        <v>240</v>
      </c>
      <c r="F11" s="310"/>
      <c r="G11" s="344"/>
      <c r="H11" s="293"/>
      <c r="I11" s="293"/>
      <c r="J11" s="293"/>
      <c r="K11" s="293"/>
      <c r="L11" s="293"/>
      <c r="M11" s="293"/>
      <c r="N11" s="293"/>
      <c r="O11" s="294"/>
      <c r="P11" s="294"/>
      <c r="Q11" s="329">
        <v>595803</v>
      </c>
      <c r="R11" s="329"/>
      <c r="S11" s="329">
        <v>32000</v>
      </c>
      <c r="T11" s="294">
        <v>14437260</v>
      </c>
      <c r="U11" s="967">
        <v>8716747.7599999998</v>
      </c>
      <c r="V11" s="347">
        <v>54307922.760000005</v>
      </c>
      <c r="W11" s="398"/>
      <c r="X11" s="398"/>
      <c r="Y11" s="398"/>
      <c r="Z11" s="1084"/>
      <c r="AA11" s="1242"/>
      <c r="AB11" s="1243"/>
      <c r="AC11" s="836"/>
      <c r="AD11" s="295"/>
      <c r="AE11" s="353"/>
      <c r="AF11" s="742"/>
      <c r="AG11" s="815"/>
      <c r="AH11" s="816"/>
      <c r="AJ11" s="236"/>
      <c r="AK11" s="236"/>
      <c r="AL11" s="803">
        <f t="shared" si="0"/>
        <v>0</v>
      </c>
    </row>
    <row r="12" spans="2:41" ht="24.75" customHeight="1">
      <c r="B12" s="276"/>
      <c r="C12" s="277"/>
      <c r="D12" s="277"/>
      <c r="E12" s="277"/>
      <c r="F12" s="310"/>
      <c r="G12" s="293"/>
      <c r="H12" s="236"/>
      <c r="I12" s="236"/>
      <c r="J12" s="236"/>
      <c r="K12" s="236"/>
      <c r="L12" s="236"/>
      <c r="M12" s="236"/>
      <c r="N12" s="236"/>
      <c r="O12" s="260"/>
      <c r="P12" s="260"/>
      <c r="Q12" s="329"/>
      <c r="R12" s="329"/>
      <c r="S12" s="329"/>
      <c r="T12" s="294"/>
      <c r="U12" s="294"/>
      <c r="V12" s="295"/>
      <c r="W12" s="399"/>
      <c r="X12" s="399"/>
      <c r="Y12" s="399"/>
      <c r="Z12" s="1085"/>
      <c r="AA12" s="1242"/>
      <c r="AB12" s="1243"/>
      <c r="AC12" s="836"/>
      <c r="AD12" s="247"/>
      <c r="AE12" s="492"/>
      <c r="AF12" s="741"/>
      <c r="AG12" s="817"/>
      <c r="AH12" s="816"/>
      <c r="AJ12" s="236"/>
      <c r="AK12" s="236"/>
      <c r="AL12" s="803"/>
    </row>
    <row r="13" spans="2:41" s="242" customFormat="1" ht="24.75" customHeight="1">
      <c r="B13" s="234" t="s">
        <v>661</v>
      </c>
      <c r="C13" s="292">
        <v>30</v>
      </c>
      <c r="D13" s="310"/>
      <c r="E13" s="310">
        <v>920</v>
      </c>
      <c r="F13" s="310"/>
      <c r="G13" s="344"/>
      <c r="H13" s="344"/>
      <c r="I13" s="344"/>
      <c r="J13" s="344"/>
      <c r="K13" s="344"/>
      <c r="L13" s="344"/>
      <c r="M13" s="344"/>
      <c r="N13" s="344"/>
      <c r="O13" s="344"/>
      <c r="P13" s="345"/>
      <c r="Q13" s="329">
        <v>347060</v>
      </c>
      <c r="R13" s="329"/>
      <c r="S13" s="329">
        <v>64000</v>
      </c>
      <c r="T13" s="349">
        <f>3639444+64000+AM13</f>
        <v>33136125</v>
      </c>
      <c r="U13" s="349">
        <v>0</v>
      </c>
      <c r="V13" s="347">
        <v>165010794.14750004</v>
      </c>
      <c r="W13" s="398"/>
      <c r="X13" s="398"/>
      <c r="Y13" s="398"/>
      <c r="Z13" s="1084"/>
      <c r="AA13" s="1242"/>
      <c r="AB13" s="1243"/>
      <c r="AC13" s="836"/>
      <c r="AD13" s="247">
        <v>4903600</v>
      </c>
      <c r="AE13" s="493"/>
      <c r="AF13" s="741">
        <v>787069</v>
      </c>
      <c r="AG13" s="815">
        <f>7050000+2217478</f>
        <v>9267478</v>
      </c>
      <c r="AH13" s="816"/>
      <c r="AJ13" s="236">
        <v>14151681</v>
      </c>
      <c r="AK13" s="236">
        <v>15281000</v>
      </c>
      <c r="AL13" s="803">
        <f t="shared" si="0"/>
        <v>14553.333333333334</v>
      </c>
      <c r="AM13" s="239">
        <f>AJ13+AK13</f>
        <v>29432681</v>
      </c>
      <c r="AO13" s="239"/>
    </row>
    <row r="14" spans="2:41" ht="24.75" customHeight="1">
      <c r="B14" s="234"/>
      <c r="C14" s="277"/>
      <c r="D14" s="277"/>
      <c r="E14" s="277"/>
      <c r="F14" s="310"/>
      <c r="G14" s="293"/>
      <c r="H14" s="236"/>
      <c r="I14" s="236"/>
      <c r="J14" s="236"/>
      <c r="K14" s="236"/>
      <c r="L14" s="236"/>
      <c r="M14" s="236"/>
      <c r="N14" s="236"/>
      <c r="O14" s="260"/>
      <c r="P14" s="260"/>
      <c r="Q14" s="329"/>
      <c r="R14" s="329"/>
      <c r="S14" s="329"/>
      <c r="T14" s="294"/>
      <c r="U14" s="294"/>
      <c r="V14" s="295"/>
      <c r="W14" s="399"/>
      <c r="X14" s="399"/>
      <c r="Y14" s="399"/>
      <c r="Z14" s="1085"/>
      <c r="AA14" s="1242"/>
      <c r="AB14" s="1243"/>
      <c r="AC14" s="836"/>
      <c r="AD14" s="247"/>
      <c r="AE14" s="492"/>
      <c r="AF14" s="741"/>
      <c r="AG14" s="817"/>
      <c r="AH14" s="816"/>
      <c r="AJ14" s="236"/>
      <c r="AK14" s="236"/>
      <c r="AL14" s="803"/>
    </row>
    <row r="15" spans="2:41" ht="24.75" customHeight="1">
      <c r="B15" s="234" t="s">
        <v>575</v>
      </c>
      <c r="C15" s="277">
        <v>2</v>
      </c>
      <c r="D15" s="277"/>
      <c r="E15" s="277">
        <v>62</v>
      </c>
      <c r="F15" s="310"/>
      <c r="G15" s="293"/>
      <c r="H15" s="236"/>
      <c r="I15" s="236"/>
      <c r="J15" s="236"/>
      <c r="K15" s="236"/>
      <c r="L15" s="236"/>
      <c r="M15" s="236"/>
      <c r="N15" s="236"/>
      <c r="O15" s="260"/>
      <c r="P15" s="260"/>
      <c r="Q15" s="329">
        <v>28987</v>
      </c>
      <c r="R15" s="329"/>
      <c r="S15" s="329">
        <v>0</v>
      </c>
      <c r="T15" s="294">
        <f>AM15</f>
        <v>2218345</v>
      </c>
      <c r="U15" s="294">
        <v>0</v>
      </c>
      <c r="V15" s="295">
        <v>10390585.5375</v>
      </c>
      <c r="W15" s="399"/>
      <c r="X15" s="399"/>
      <c r="Y15" s="399"/>
      <c r="Z15" s="1085"/>
      <c r="AA15" s="1242"/>
      <c r="AB15" s="1243"/>
      <c r="AC15" s="836"/>
      <c r="AD15" s="247"/>
      <c r="AE15" s="492"/>
      <c r="AF15" s="741"/>
      <c r="AG15" s="815"/>
      <c r="AH15" s="816"/>
      <c r="AJ15" s="236">
        <v>1103595</v>
      </c>
      <c r="AK15" s="236">
        <v>1114750</v>
      </c>
      <c r="AL15" s="803">
        <f t="shared" si="0"/>
        <v>1061.6666666666667</v>
      </c>
      <c r="AM15" s="239">
        <f>AJ15+AK15</f>
        <v>2218345</v>
      </c>
    </row>
    <row r="16" spans="2:41" ht="24.75" customHeight="1">
      <c r="B16" s="234"/>
      <c r="C16" s="277"/>
      <c r="D16" s="277"/>
      <c r="E16" s="277"/>
      <c r="F16" s="310"/>
      <c r="G16" s="293"/>
      <c r="H16" s="236"/>
      <c r="I16" s="236"/>
      <c r="J16" s="236"/>
      <c r="K16" s="236"/>
      <c r="L16" s="236"/>
      <c r="M16" s="236"/>
      <c r="N16" s="236"/>
      <c r="O16" s="260"/>
      <c r="P16" s="260"/>
      <c r="Q16" s="329"/>
      <c r="R16" s="329"/>
      <c r="S16" s="329"/>
      <c r="T16" s="294"/>
      <c r="U16" s="294"/>
      <c r="V16" s="295"/>
      <c r="W16" s="399"/>
      <c r="X16" s="399"/>
      <c r="Y16" s="399"/>
      <c r="Z16" s="1085"/>
      <c r="AA16" s="1242"/>
      <c r="AB16" s="1243"/>
      <c r="AC16" s="836"/>
      <c r="AD16" s="247"/>
      <c r="AE16" s="492"/>
      <c r="AF16" s="741"/>
      <c r="AG16" s="817"/>
      <c r="AH16" s="816"/>
      <c r="AJ16" s="236"/>
      <c r="AK16" s="236"/>
      <c r="AL16" s="803"/>
    </row>
    <row r="17" spans="2:41" s="242" customFormat="1" ht="24.75" customHeight="1">
      <c r="B17" s="234" t="s">
        <v>558</v>
      </c>
      <c r="C17" s="235">
        <v>33</v>
      </c>
      <c r="D17" s="277"/>
      <c r="E17" s="277">
        <v>1007</v>
      </c>
      <c r="F17" s="310"/>
      <c r="G17" s="344"/>
      <c r="H17" s="236"/>
      <c r="I17" s="236"/>
      <c r="J17" s="236"/>
      <c r="K17" s="236"/>
      <c r="L17" s="236"/>
      <c r="M17" s="236"/>
      <c r="N17" s="236"/>
      <c r="O17" s="260"/>
      <c r="P17" s="260"/>
      <c r="Q17" s="329">
        <v>121625</v>
      </c>
      <c r="R17" s="329"/>
      <c r="S17" s="329">
        <v>120000</v>
      </c>
      <c r="T17" s="294">
        <f>AM17+2629000</f>
        <v>17797944</v>
      </c>
      <c r="U17" s="294">
        <v>918731.76</v>
      </c>
      <c r="V17" s="347">
        <v>160530635.75999999</v>
      </c>
      <c r="W17" s="398"/>
      <c r="X17" s="398"/>
      <c r="Y17" s="398"/>
      <c r="Z17" s="1084"/>
      <c r="AA17" s="1242"/>
      <c r="AB17" s="1243"/>
      <c r="AC17" s="836"/>
      <c r="AD17" s="247">
        <v>10563150</v>
      </c>
      <c r="AE17" s="353"/>
      <c r="AF17" s="741">
        <v>1095499</v>
      </c>
      <c r="AG17" s="815">
        <v>4977896</v>
      </c>
      <c r="AH17" s="816"/>
      <c r="AJ17" s="236">
        <v>6390944</v>
      </c>
      <c r="AK17" s="236">
        <v>8778000</v>
      </c>
      <c r="AL17" s="803">
        <f t="shared" si="0"/>
        <v>8360</v>
      </c>
      <c r="AM17" s="239">
        <f>AJ17+AK17</f>
        <v>15168944</v>
      </c>
      <c r="AN17" s="218"/>
      <c r="AO17" s="239"/>
    </row>
    <row r="18" spans="2:41" s="242" customFormat="1" ht="31.5" customHeight="1">
      <c r="B18" s="234"/>
      <c r="C18" s="235"/>
      <c r="D18" s="277"/>
      <c r="E18" s="277"/>
      <c r="F18" s="310"/>
      <c r="G18" s="293"/>
      <c r="H18" s="236"/>
      <c r="I18" s="236"/>
      <c r="J18" s="236"/>
      <c r="K18" s="236"/>
      <c r="L18" s="236"/>
      <c r="M18" s="236"/>
      <c r="N18" s="236"/>
      <c r="O18" s="260"/>
      <c r="P18" s="260"/>
      <c r="Q18" s="329"/>
      <c r="R18" s="329"/>
      <c r="S18" s="329"/>
      <c r="T18" s="294"/>
      <c r="U18" s="294"/>
      <c r="V18" s="318"/>
      <c r="W18" s="398"/>
      <c r="X18" s="398"/>
      <c r="Y18" s="398"/>
      <c r="Z18" s="1084"/>
      <c r="AA18" s="1242"/>
      <c r="AB18" s="1243"/>
      <c r="AC18" s="835"/>
      <c r="AD18" s="247"/>
      <c r="AE18" s="353"/>
      <c r="AF18" s="741"/>
      <c r="AG18" s="817"/>
      <c r="AH18" s="816"/>
      <c r="AJ18" s="236"/>
      <c r="AK18" s="236"/>
      <c r="AL18" s="803"/>
    </row>
    <row r="19" spans="2:41" ht="24.75" customHeight="1">
      <c r="B19" s="234" t="s">
        <v>557</v>
      </c>
      <c r="C19" s="292">
        <v>24</v>
      </c>
      <c r="D19" s="310"/>
      <c r="E19" s="310">
        <v>715</v>
      </c>
      <c r="F19" s="310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329">
        <v>85836</v>
      </c>
      <c r="R19" s="329"/>
      <c r="S19" s="329">
        <v>92000</v>
      </c>
      <c r="T19" s="294">
        <v>110000</v>
      </c>
      <c r="U19" s="294">
        <v>4190313.06</v>
      </c>
      <c r="V19" s="1114">
        <v>96038461.060000002</v>
      </c>
      <c r="W19" s="488"/>
      <c r="X19" s="399"/>
      <c r="Y19" s="399"/>
      <c r="Z19" s="1085"/>
      <c r="AA19" s="1242"/>
      <c r="AB19" s="1243"/>
      <c r="AC19" s="836"/>
      <c r="AD19" s="295"/>
      <c r="AE19" s="492"/>
      <c r="AF19" s="741"/>
      <c r="AG19" s="815"/>
      <c r="AH19" s="816"/>
      <c r="AJ19" s="236"/>
      <c r="AK19" s="236"/>
      <c r="AL19" s="803">
        <f t="shared" si="0"/>
        <v>0</v>
      </c>
    </row>
    <row r="20" spans="2:41" ht="24.75" customHeight="1">
      <c r="B20" s="279"/>
      <c r="C20" s="384"/>
      <c r="D20" s="384"/>
      <c r="E20" s="384"/>
      <c r="F20" s="310"/>
      <c r="G20" s="293"/>
      <c r="H20" s="385"/>
      <c r="I20" s="385"/>
      <c r="J20" s="385"/>
      <c r="K20" s="385"/>
      <c r="L20" s="385"/>
      <c r="M20" s="385"/>
      <c r="N20" s="385"/>
      <c r="O20" s="302"/>
      <c r="P20" s="302"/>
      <c r="Q20" s="530"/>
      <c r="R20" s="530"/>
      <c r="S20" s="530"/>
      <c r="T20" s="342"/>
      <c r="U20" s="342"/>
      <c r="V20" s="290"/>
      <c r="W20" s="399"/>
      <c r="X20" s="399"/>
      <c r="Y20" s="399"/>
      <c r="Z20" s="1085"/>
      <c r="AA20" s="1242"/>
      <c r="AB20" s="1243"/>
      <c r="AC20" s="836"/>
      <c r="AD20" s="386"/>
      <c r="AE20" s="492"/>
      <c r="AF20" s="741"/>
      <c r="AG20" s="817"/>
      <c r="AH20" s="816"/>
      <c r="AJ20" s="236"/>
      <c r="AK20" s="236"/>
      <c r="AL20" s="803"/>
    </row>
    <row r="21" spans="2:41" ht="24.75" customHeight="1">
      <c r="B21" s="234" t="s">
        <v>606</v>
      </c>
      <c r="C21" s="384"/>
      <c r="D21" s="384"/>
      <c r="E21" s="384"/>
      <c r="F21" s="310"/>
      <c r="G21" s="293"/>
      <c r="H21" s="385"/>
      <c r="I21" s="385"/>
      <c r="J21" s="385"/>
      <c r="K21" s="385"/>
      <c r="L21" s="385"/>
      <c r="M21" s="385"/>
      <c r="N21" s="385"/>
      <c r="O21" s="302"/>
      <c r="P21" s="302"/>
      <c r="Q21" s="530"/>
      <c r="R21" s="530"/>
      <c r="S21" s="530"/>
      <c r="T21" s="342"/>
      <c r="U21" s="342"/>
      <c r="V21" s="295"/>
      <c r="W21" s="399"/>
      <c r="X21" s="399"/>
      <c r="Y21" s="399"/>
      <c r="Z21" s="1085"/>
      <c r="AA21" s="1242"/>
      <c r="AB21" s="1243"/>
      <c r="AC21" s="836"/>
      <c r="AD21" s="386"/>
      <c r="AE21" s="492"/>
      <c r="AF21" s="741"/>
      <c r="AG21" s="815"/>
      <c r="AH21" s="816"/>
      <c r="AJ21" s="236"/>
      <c r="AK21" s="236"/>
      <c r="AL21" s="803">
        <f t="shared" si="0"/>
        <v>0</v>
      </c>
    </row>
    <row r="22" spans="2:41" ht="24.75" customHeight="1">
      <c r="B22" s="279"/>
      <c r="C22" s="384"/>
      <c r="D22" s="384"/>
      <c r="E22" s="384"/>
      <c r="F22" s="310"/>
      <c r="G22" s="293"/>
      <c r="H22" s="385"/>
      <c r="I22" s="385"/>
      <c r="J22" s="385"/>
      <c r="K22" s="385"/>
      <c r="L22" s="385"/>
      <c r="M22" s="385"/>
      <c r="N22" s="385"/>
      <c r="O22" s="302"/>
      <c r="P22" s="302"/>
      <c r="Q22" s="530"/>
      <c r="R22" s="530"/>
      <c r="S22" s="530"/>
      <c r="T22" s="342"/>
      <c r="U22" s="342"/>
      <c r="V22" s="295"/>
      <c r="W22" s="399"/>
      <c r="X22" s="399"/>
      <c r="Y22" s="399"/>
      <c r="Z22" s="1085"/>
      <c r="AA22" s="1242"/>
      <c r="AB22" s="1243"/>
      <c r="AC22" s="836"/>
      <c r="AD22" s="386"/>
      <c r="AE22" s="492"/>
      <c r="AF22" s="741"/>
      <c r="AG22" s="817"/>
      <c r="AH22" s="816"/>
      <c r="AJ22" s="236"/>
      <c r="AK22" s="236"/>
      <c r="AL22" s="803"/>
    </row>
    <row r="23" spans="2:41" ht="24.75" customHeight="1">
      <c r="B23" s="234" t="s">
        <v>556</v>
      </c>
      <c r="C23" s="384">
        <v>4</v>
      </c>
      <c r="D23" s="384"/>
      <c r="E23" s="384">
        <v>124</v>
      </c>
      <c r="F23" s="310"/>
      <c r="G23" s="344"/>
      <c r="H23" s="385"/>
      <c r="I23" s="385"/>
      <c r="J23" s="385"/>
      <c r="K23" s="385"/>
      <c r="L23" s="385"/>
      <c r="M23" s="385"/>
      <c r="N23" s="385"/>
      <c r="O23" s="302"/>
      <c r="P23" s="302"/>
      <c r="Q23" s="530">
        <v>154187</v>
      </c>
      <c r="R23" s="530"/>
      <c r="S23" s="530">
        <v>16000</v>
      </c>
      <c r="T23" s="294">
        <v>5464385</v>
      </c>
      <c r="U23" s="294">
        <v>4190313.2</v>
      </c>
      <c r="V23" s="347">
        <v>26028565.199999999</v>
      </c>
      <c r="W23" s="399"/>
      <c r="X23" s="399"/>
      <c r="Y23" s="399"/>
      <c r="Z23" s="1085"/>
      <c r="AA23" s="1242"/>
      <c r="AB23" s="1243"/>
      <c r="AC23" s="836"/>
      <c r="AD23" s="386"/>
      <c r="AE23" s="492"/>
      <c r="AF23" s="741"/>
      <c r="AG23" s="815"/>
      <c r="AH23" s="816"/>
      <c r="AJ23" s="236"/>
      <c r="AK23" s="236"/>
      <c r="AL23" s="803">
        <f t="shared" si="0"/>
        <v>0</v>
      </c>
    </row>
    <row r="24" spans="2:41" ht="24.75" customHeight="1">
      <c r="B24" s="279"/>
      <c r="C24" s="384"/>
      <c r="D24" s="384"/>
      <c r="E24" s="384"/>
      <c r="F24" s="310"/>
      <c r="G24" s="293"/>
      <c r="H24" s="385"/>
      <c r="I24" s="385"/>
      <c r="J24" s="385"/>
      <c r="K24" s="385"/>
      <c r="L24" s="385"/>
      <c r="M24" s="385"/>
      <c r="N24" s="385"/>
      <c r="O24" s="302"/>
      <c r="P24" s="302"/>
      <c r="Q24" s="530"/>
      <c r="R24" s="530"/>
      <c r="S24" s="530"/>
      <c r="T24" s="342"/>
      <c r="U24" s="342"/>
      <c r="V24" s="295"/>
      <c r="W24" s="399"/>
      <c r="X24" s="399"/>
      <c r="Y24" s="399"/>
      <c r="Z24" s="1085"/>
      <c r="AA24" s="1242"/>
      <c r="AB24" s="1243"/>
      <c r="AC24" s="836"/>
      <c r="AD24" s="386"/>
      <c r="AE24" s="492"/>
      <c r="AF24" s="741"/>
      <c r="AG24" s="817"/>
      <c r="AH24" s="816"/>
      <c r="AJ24" s="236"/>
      <c r="AK24" s="236"/>
      <c r="AL24" s="803"/>
    </row>
    <row r="25" spans="2:41" ht="24.75" customHeight="1">
      <c r="B25" s="234" t="s">
        <v>555</v>
      </c>
      <c r="C25" s="384">
        <v>0</v>
      </c>
      <c r="D25" s="384"/>
      <c r="E25" s="384"/>
      <c r="F25" s="310"/>
      <c r="G25" s="344"/>
      <c r="H25" s="385"/>
      <c r="I25" s="385"/>
      <c r="J25" s="385"/>
      <c r="K25" s="385"/>
      <c r="L25" s="385"/>
      <c r="M25" s="385"/>
      <c r="N25" s="385"/>
      <c r="O25" s="302"/>
      <c r="P25" s="302"/>
      <c r="Q25" s="530"/>
      <c r="R25" s="530"/>
      <c r="S25" s="530"/>
      <c r="T25" s="342"/>
      <c r="U25" s="342"/>
      <c r="V25" s="347"/>
      <c r="W25" s="399"/>
      <c r="X25" s="399"/>
      <c r="Y25" s="399"/>
      <c r="Z25" s="1085"/>
      <c r="AA25" s="1242"/>
      <c r="AB25" s="1243"/>
      <c r="AC25" s="836"/>
      <c r="AD25" s="386"/>
      <c r="AE25" s="492"/>
      <c r="AF25" s="741"/>
      <c r="AG25" s="815"/>
      <c r="AH25" s="816"/>
      <c r="AJ25" s="236"/>
      <c r="AK25" s="236"/>
      <c r="AL25" s="803">
        <f t="shared" si="0"/>
        <v>0</v>
      </c>
    </row>
    <row r="26" spans="2:41" ht="24.75" customHeight="1">
      <c r="B26" s="279"/>
      <c r="C26" s="384"/>
      <c r="D26" s="384"/>
      <c r="E26" s="384"/>
      <c r="F26" s="310"/>
      <c r="G26" s="293"/>
      <c r="H26" s="385"/>
      <c r="I26" s="385"/>
      <c r="J26" s="385"/>
      <c r="K26" s="385"/>
      <c r="L26" s="385"/>
      <c r="M26" s="385"/>
      <c r="N26" s="385"/>
      <c r="O26" s="302"/>
      <c r="P26" s="302"/>
      <c r="Q26" s="530"/>
      <c r="R26" s="530"/>
      <c r="S26" s="530"/>
      <c r="T26" s="342"/>
      <c r="U26" s="342"/>
      <c r="V26" s="295"/>
      <c r="W26" s="399"/>
      <c r="X26" s="399"/>
      <c r="Y26" s="399"/>
      <c r="Z26" s="1085"/>
      <c r="AA26" s="1242"/>
      <c r="AB26" s="1243"/>
      <c r="AC26" s="836"/>
      <c r="AD26" s="386"/>
      <c r="AE26" s="492"/>
      <c r="AF26" s="741"/>
      <c r="AG26" s="817"/>
      <c r="AH26" s="816"/>
      <c r="AJ26" s="236"/>
      <c r="AK26" s="236"/>
      <c r="AL26" s="803"/>
    </row>
    <row r="27" spans="2:41" ht="24.75" customHeight="1">
      <c r="B27" s="234" t="s">
        <v>554</v>
      </c>
      <c r="C27" s="384">
        <v>66</v>
      </c>
      <c r="D27" s="384"/>
      <c r="E27" s="384">
        <v>1967</v>
      </c>
      <c r="F27" s="310"/>
      <c r="G27" s="293"/>
      <c r="H27" s="385"/>
      <c r="I27" s="385"/>
      <c r="J27" s="385"/>
      <c r="K27" s="385"/>
      <c r="L27" s="385"/>
      <c r="M27" s="385"/>
      <c r="N27" s="385"/>
      <c r="O27" s="302"/>
      <c r="P27" s="302"/>
      <c r="Q27" s="524">
        <v>13690</v>
      </c>
      <c r="R27" s="524"/>
      <c r="S27" s="524">
        <v>260000</v>
      </c>
      <c r="T27" s="302">
        <v>0</v>
      </c>
      <c r="U27" s="302">
        <v>4033456.5</v>
      </c>
      <c r="V27" s="347">
        <v>257209802.5</v>
      </c>
      <c r="W27" s="399"/>
      <c r="X27" s="399"/>
      <c r="Y27" s="399"/>
      <c r="Z27" s="1085"/>
      <c r="AA27" s="1242"/>
      <c r="AB27" s="1243"/>
      <c r="AC27" s="836"/>
      <c r="AD27" s="386"/>
      <c r="AE27" s="492"/>
      <c r="AF27" s="741"/>
      <c r="AG27" s="815"/>
      <c r="AH27" s="816"/>
      <c r="AJ27" s="236"/>
      <c r="AK27" s="236"/>
      <c r="AL27" s="803">
        <f t="shared" si="0"/>
        <v>0</v>
      </c>
    </row>
    <row r="28" spans="2:41" ht="24.75" customHeight="1">
      <c r="B28" s="279"/>
      <c r="C28" s="384"/>
      <c r="D28" s="384"/>
      <c r="E28" s="384"/>
      <c r="F28" s="310"/>
      <c r="G28" s="293"/>
      <c r="H28" s="385"/>
      <c r="I28" s="385"/>
      <c r="J28" s="385"/>
      <c r="K28" s="385"/>
      <c r="L28" s="385"/>
      <c r="M28" s="385"/>
      <c r="N28" s="385"/>
      <c r="O28" s="302"/>
      <c r="P28" s="302"/>
      <c r="Q28" s="524"/>
      <c r="R28" s="524"/>
      <c r="S28" s="524"/>
      <c r="T28" s="302"/>
      <c r="U28" s="302"/>
      <c r="V28" s="347"/>
      <c r="W28" s="399"/>
      <c r="X28" s="399"/>
      <c r="Y28" s="399"/>
      <c r="Z28" s="1085"/>
      <c r="AA28" s="1242"/>
      <c r="AB28" s="1243"/>
      <c r="AC28" s="836"/>
      <c r="AD28" s="386"/>
      <c r="AE28" s="492"/>
      <c r="AF28" s="741"/>
      <c r="AG28" s="817"/>
      <c r="AH28" s="816"/>
      <c r="AJ28" s="236"/>
      <c r="AK28" s="236"/>
      <c r="AL28" s="803"/>
    </row>
    <row r="29" spans="2:41" ht="24.75" customHeight="1">
      <c r="B29" s="234" t="s">
        <v>553</v>
      </c>
      <c r="C29" s="384">
        <v>2</v>
      </c>
      <c r="D29" s="384"/>
      <c r="E29" s="384">
        <v>59</v>
      </c>
      <c r="F29" s="310"/>
      <c r="G29" s="293"/>
      <c r="H29" s="385"/>
      <c r="I29" s="385"/>
      <c r="J29" s="385"/>
      <c r="K29" s="385"/>
      <c r="L29" s="385"/>
      <c r="M29" s="385"/>
      <c r="N29" s="385"/>
      <c r="O29" s="302"/>
      <c r="P29" s="302"/>
      <c r="Q29" s="524">
        <v>16020</v>
      </c>
      <c r="R29" s="524"/>
      <c r="S29" s="524">
        <v>8000</v>
      </c>
      <c r="T29" s="302">
        <v>1289450</v>
      </c>
      <c r="U29" s="302">
        <v>2588134.62</v>
      </c>
      <c r="V29" s="347">
        <v>11735746.620000001</v>
      </c>
      <c r="W29" s="399"/>
      <c r="X29" s="399"/>
      <c r="Y29" s="399"/>
      <c r="Z29" s="1085"/>
      <c r="AA29" s="1242"/>
      <c r="AB29" s="1243"/>
      <c r="AC29" s="836"/>
      <c r="AD29" s="386"/>
      <c r="AE29" s="492"/>
      <c r="AF29" s="741"/>
      <c r="AG29" s="815"/>
      <c r="AH29" s="816"/>
      <c r="AJ29" s="236"/>
      <c r="AK29" s="236"/>
      <c r="AL29" s="803">
        <f t="shared" si="0"/>
        <v>0</v>
      </c>
    </row>
    <row r="30" spans="2:41" ht="24.75" hidden="1" customHeight="1">
      <c r="B30" s="279"/>
      <c r="C30" s="384"/>
      <c r="D30" s="384"/>
      <c r="E30" s="384"/>
      <c r="F30" s="310"/>
      <c r="G30" s="777"/>
      <c r="H30" s="385"/>
      <c r="I30" s="385"/>
      <c r="J30" s="385"/>
      <c r="K30" s="385"/>
      <c r="L30" s="385"/>
      <c r="M30" s="385"/>
      <c r="N30" s="385"/>
      <c r="O30" s="302"/>
      <c r="P30" s="302"/>
      <c r="Q30" s="530"/>
      <c r="R30" s="530"/>
      <c r="S30" s="530"/>
      <c r="T30" s="342"/>
      <c r="U30" s="342"/>
      <c r="V30" s="725"/>
      <c r="W30" s="399"/>
      <c r="X30" s="399"/>
      <c r="Y30" s="399"/>
      <c r="Z30" s="1085"/>
      <c r="AA30" s="1242"/>
      <c r="AB30" s="1243"/>
      <c r="AC30" s="836"/>
      <c r="AD30" s="386"/>
      <c r="AE30" s="492"/>
      <c r="AF30" s="741"/>
      <c r="AG30" s="817"/>
      <c r="AH30" s="816"/>
      <c r="AJ30" s="236"/>
      <c r="AK30" s="236"/>
      <c r="AL30" s="803"/>
    </row>
    <row r="31" spans="2:41" ht="24.75" hidden="1" customHeight="1">
      <c r="B31" s="234" t="s">
        <v>574</v>
      </c>
      <c r="C31" s="384"/>
      <c r="D31" s="384"/>
      <c r="E31" s="384"/>
      <c r="F31" s="310"/>
      <c r="G31" s="777"/>
      <c r="H31" s="385"/>
      <c r="I31" s="385"/>
      <c r="J31" s="385"/>
      <c r="K31" s="385"/>
      <c r="L31" s="385"/>
      <c r="M31" s="385"/>
      <c r="N31" s="385"/>
      <c r="O31" s="302"/>
      <c r="P31" s="302"/>
      <c r="Q31" s="530"/>
      <c r="R31" s="530"/>
      <c r="S31" s="530"/>
      <c r="T31" s="342"/>
      <c r="U31" s="342"/>
      <c r="V31" s="725"/>
      <c r="W31" s="399"/>
      <c r="X31" s="399"/>
      <c r="Y31" s="399"/>
      <c r="Z31" s="1085"/>
      <c r="AA31" s="1242"/>
      <c r="AB31" s="1243"/>
      <c r="AC31" s="836"/>
      <c r="AD31" s="386"/>
      <c r="AE31" s="492"/>
      <c r="AF31" s="741"/>
      <c r="AG31" s="815"/>
      <c r="AH31" s="816"/>
      <c r="AJ31" s="236"/>
      <c r="AK31" s="236"/>
      <c r="AL31" s="803">
        <f t="shared" si="0"/>
        <v>0</v>
      </c>
    </row>
    <row r="32" spans="2:41" ht="24.75" customHeight="1">
      <c r="B32" s="279"/>
      <c r="C32" s="1150"/>
      <c r="D32" s="1150"/>
      <c r="E32" s="1150"/>
      <c r="F32" s="1151"/>
      <c r="G32" s="1152"/>
      <c r="H32" s="1153"/>
      <c r="I32" s="1153"/>
      <c r="J32" s="1153"/>
      <c r="K32" s="1153"/>
      <c r="L32" s="1153"/>
      <c r="M32" s="1153"/>
      <c r="N32" s="1153"/>
      <c r="O32" s="1154"/>
      <c r="P32" s="1154"/>
      <c r="Q32" s="1046"/>
      <c r="R32" s="1046"/>
      <c r="S32" s="1046"/>
      <c r="T32" s="1045"/>
      <c r="U32" s="1045"/>
      <c r="V32" s="725"/>
      <c r="W32" s="399"/>
      <c r="X32" s="399"/>
      <c r="Y32" s="399"/>
      <c r="Z32" s="1085"/>
      <c r="AA32" s="1242"/>
      <c r="AB32" s="1243"/>
      <c r="AC32" s="836"/>
      <c r="AD32" s="386"/>
      <c r="AE32" s="492"/>
      <c r="AF32" s="1155"/>
      <c r="AG32" s="1156"/>
      <c r="AH32" s="1157"/>
      <c r="AJ32" s="1072"/>
      <c r="AK32" s="1072"/>
      <c r="AL32" s="1073"/>
    </row>
    <row r="33" spans="2:38" ht="24.75" customHeight="1">
      <c r="B33" s="279" t="s">
        <v>684</v>
      </c>
      <c r="C33" s="1150">
        <v>2</v>
      </c>
      <c r="D33" s="1150"/>
      <c r="E33" s="1150">
        <v>62</v>
      </c>
      <c r="F33" s="1151"/>
      <c r="G33" s="1152"/>
      <c r="H33" s="1153"/>
      <c r="I33" s="1153"/>
      <c r="J33" s="1153"/>
      <c r="K33" s="1153"/>
      <c r="L33" s="1153"/>
      <c r="M33" s="1153"/>
      <c r="N33" s="1153"/>
      <c r="O33" s="1154"/>
      <c r="P33" s="1154"/>
      <c r="Q33" s="1046">
        <v>0</v>
      </c>
      <c r="R33" s="1046"/>
      <c r="S33" s="1046">
        <v>0</v>
      </c>
      <c r="T33" s="1045">
        <v>0</v>
      </c>
      <c r="U33" s="1045">
        <v>123244.5</v>
      </c>
      <c r="V33" s="725">
        <v>7824756.5</v>
      </c>
      <c r="W33" s="399"/>
      <c r="X33" s="399"/>
      <c r="Y33" s="399"/>
      <c r="Z33" s="1085"/>
      <c r="AA33" s="1242"/>
      <c r="AB33" s="1243"/>
      <c r="AC33" s="836"/>
      <c r="AD33" s="386"/>
      <c r="AE33" s="492"/>
      <c r="AF33" s="1155"/>
      <c r="AG33" s="1156"/>
      <c r="AH33" s="1157"/>
      <c r="AJ33" s="1072"/>
      <c r="AK33" s="1072"/>
      <c r="AL33" s="1073"/>
    </row>
    <row r="34" spans="2:38" ht="24.75" customHeight="1" thickBot="1">
      <c r="B34" s="279"/>
      <c r="C34" s="384"/>
      <c r="D34" s="384"/>
      <c r="E34" s="384"/>
      <c r="F34" s="384"/>
      <c r="G34" s="385"/>
      <c r="H34" s="385"/>
      <c r="I34" s="385"/>
      <c r="J34" s="385"/>
      <c r="K34" s="385"/>
      <c r="L34" s="385"/>
      <c r="M34" s="385"/>
      <c r="N34" s="385"/>
      <c r="O34" s="302"/>
      <c r="P34" s="302"/>
      <c r="Q34" s="524"/>
      <c r="R34" s="524"/>
      <c r="S34" s="524"/>
      <c r="T34" s="302"/>
      <c r="U34" s="302"/>
      <c r="V34" s="386"/>
      <c r="W34" s="399"/>
      <c r="X34" s="399"/>
      <c r="Y34" s="399"/>
      <c r="Z34" s="1085"/>
      <c r="AA34" s="1172"/>
      <c r="AB34" s="1241"/>
      <c r="AC34" s="836"/>
      <c r="AD34" s="386"/>
      <c r="AE34" s="492"/>
      <c r="AF34" s="741"/>
      <c r="AG34" s="800"/>
      <c r="AH34" s="799"/>
      <c r="AJ34" s="236"/>
      <c r="AK34" s="236"/>
      <c r="AL34" s="803"/>
    </row>
    <row r="35" spans="2:38" ht="24.75" customHeight="1" thickTop="1" thickBot="1">
      <c r="B35" s="261" t="s">
        <v>3</v>
      </c>
      <c r="C35" s="262">
        <f>SUM(C8:C34)</f>
        <v>193</v>
      </c>
      <c r="D35" s="262">
        <f t="shared" ref="D35:R35" si="1">SUM(D8:D34)</f>
        <v>0</v>
      </c>
      <c r="E35" s="262">
        <f>SUM(E8:E34)</f>
        <v>5824</v>
      </c>
      <c r="F35" s="262">
        <f t="shared" si="1"/>
        <v>0</v>
      </c>
      <c r="G35" s="262">
        <f t="shared" si="1"/>
        <v>0</v>
      </c>
      <c r="H35" s="262">
        <f t="shared" si="1"/>
        <v>0</v>
      </c>
      <c r="I35" s="262">
        <f t="shared" si="1"/>
        <v>0</v>
      </c>
      <c r="J35" s="262">
        <f t="shared" si="1"/>
        <v>0</v>
      </c>
      <c r="K35" s="262">
        <f t="shared" si="1"/>
        <v>0</v>
      </c>
      <c r="L35" s="262">
        <f t="shared" si="1"/>
        <v>0</v>
      </c>
      <c r="M35" s="262">
        <f t="shared" si="1"/>
        <v>0</v>
      </c>
      <c r="N35" s="262">
        <f t="shared" si="1"/>
        <v>0</v>
      </c>
      <c r="O35" s="262">
        <f t="shared" si="1"/>
        <v>0</v>
      </c>
      <c r="P35" s="262">
        <f t="shared" si="1"/>
        <v>0</v>
      </c>
      <c r="Q35" s="262">
        <f>SUM(Q8:Q34)</f>
        <v>1437096</v>
      </c>
      <c r="R35" s="263">
        <f t="shared" si="1"/>
        <v>0</v>
      </c>
      <c r="S35" s="262">
        <f>SUM(S8:S34)</f>
        <v>676000</v>
      </c>
      <c r="T35" s="263">
        <f>SUM(T8:T34)</f>
        <v>74684519</v>
      </c>
      <c r="U35" s="263">
        <f>SUM(U8:U34)</f>
        <v>27954094.32</v>
      </c>
      <c r="V35" s="263">
        <f>SUM(V8:V34)</f>
        <v>878370277.00500011</v>
      </c>
      <c r="W35" s="303"/>
      <c r="X35" s="355" t="e">
        <f>#REF!/#REF!</f>
        <v>#REF!</v>
      </c>
      <c r="Y35" s="218" t="s">
        <v>17</v>
      </c>
      <c r="Z35" s="218"/>
      <c r="AA35" s="1092">
        <f>AA8</f>
        <v>878370277</v>
      </c>
      <c r="AB35" s="1095">
        <f>AB8</f>
        <v>5.0001144409179688E-3</v>
      </c>
      <c r="AC35" s="836"/>
      <c r="AD35" s="265">
        <f>SUM(AD8:AD34)</f>
        <v>15466750</v>
      </c>
      <c r="AE35" s="492"/>
      <c r="AF35" s="450">
        <f>SUM(AF9:AF34)</f>
        <v>1882568</v>
      </c>
      <c r="AG35" s="812">
        <f t="shared" ref="AG35:AH35" si="2">SUM(AG9:AG34)</f>
        <v>14245374</v>
      </c>
      <c r="AH35" s="798">
        <f t="shared" si="2"/>
        <v>0</v>
      </c>
      <c r="AJ35" s="236">
        <f>SUM(AJ9:AJ34)</f>
        <v>21646220</v>
      </c>
      <c r="AK35" s="236">
        <f>SUM(AK8:AK34)</f>
        <v>25173750</v>
      </c>
      <c r="AL35" s="803">
        <f>SUM(AL8:AL34)</f>
        <v>23975</v>
      </c>
    </row>
    <row r="36" spans="2:38" ht="17.25" customHeight="1" thickTop="1">
      <c r="B36" s="336"/>
      <c r="C36" s="566"/>
      <c r="D36" s="566"/>
      <c r="E36" s="566"/>
      <c r="F36" s="566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218"/>
      <c r="X36" s="218"/>
      <c r="Y36" s="218"/>
      <c r="Z36" s="218"/>
      <c r="AA36" s="218"/>
      <c r="AB36" s="218"/>
      <c r="AC36" s="218"/>
      <c r="AD36" s="492"/>
      <c r="AE36" s="492"/>
      <c r="AF36" s="278"/>
    </row>
    <row r="37" spans="2:38" ht="17.25" customHeight="1">
      <c r="W37" s="218"/>
      <c r="X37" s="218"/>
      <c r="Y37" s="218"/>
      <c r="Z37" s="218"/>
      <c r="AA37" s="218"/>
      <c r="AB37" s="218"/>
      <c r="AC37" s="218"/>
      <c r="AD37" s="492"/>
      <c r="AE37" s="492"/>
      <c r="AF37" s="278"/>
    </row>
    <row r="38" spans="2:38" ht="17.25" customHeight="1">
      <c r="W38" s="218"/>
      <c r="X38" s="218"/>
      <c r="Y38" s="218"/>
      <c r="Z38" s="218"/>
      <c r="AA38" s="218"/>
      <c r="AB38" s="218"/>
      <c r="AC38" s="218"/>
      <c r="AD38" s="492"/>
      <c r="AE38" s="492"/>
      <c r="AF38" s="278"/>
    </row>
    <row r="39" spans="2:38" ht="17.25" customHeight="1">
      <c r="W39" s="218"/>
      <c r="X39" s="218"/>
      <c r="Y39" s="218"/>
      <c r="Z39" s="218"/>
      <c r="AA39" s="218"/>
      <c r="AB39" s="218"/>
      <c r="AC39" s="218"/>
      <c r="AD39" s="492"/>
      <c r="AE39" s="492"/>
      <c r="AF39" s="278"/>
    </row>
    <row r="40" spans="2:38" ht="17.25" customHeight="1">
      <c r="B40" s="336"/>
      <c r="C40" s="566"/>
      <c r="D40" s="566"/>
      <c r="E40" s="566"/>
      <c r="F40" s="566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7"/>
      <c r="W40" s="218"/>
      <c r="X40" s="218"/>
      <c r="Y40" s="218"/>
      <c r="Z40" s="218"/>
      <c r="AA40" s="218"/>
      <c r="AB40" s="218"/>
      <c r="AC40" s="218"/>
      <c r="AD40" s="492"/>
      <c r="AE40" s="492"/>
      <c r="AF40" s="278"/>
    </row>
    <row r="41" spans="2:38" ht="17.25" customHeight="1">
      <c r="B41" s="336" t="s">
        <v>524</v>
      </c>
      <c r="C41" s="1173" t="s">
        <v>81</v>
      </c>
      <c r="D41" s="1173"/>
      <c r="E41" s="566"/>
      <c r="F41" s="1173"/>
      <c r="G41" s="1173"/>
      <c r="H41" s="1173"/>
      <c r="I41" s="1173"/>
      <c r="J41" s="337"/>
      <c r="K41" s="337"/>
      <c r="L41" s="1173" t="s">
        <v>82</v>
      </c>
      <c r="M41" s="1173"/>
      <c r="N41" s="1173"/>
      <c r="O41" s="1173"/>
      <c r="P41" s="1173"/>
      <c r="Q41" s="1173"/>
      <c r="R41" s="1173"/>
      <c r="S41" s="1173"/>
      <c r="T41" s="1173"/>
      <c r="U41" s="1173"/>
      <c r="V41" s="1173"/>
      <c r="W41" s="218"/>
      <c r="X41" s="218"/>
      <c r="Y41" s="218"/>
      <c r="Z41" s="218"/>
      <c r="AA41" s="218"/>
      <c r="AB41" s="218"/>
      <c r="AC41" s="218"/>
      <c r="AD41" s="492"/>
      <c r="AE41" s="492"/>
      <c r="AF41" s="278"/>
    </row>
    <row r="42" spans="2:38" ht="17.25" customHeight="1">
      <c r="B42" s="336"/>
      <c r="C42" s="566"/>
      <c r="D42" s="566"/>
      <c r="E42" s="566"/>
      <c r="F42" s="566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218"/>
      <c r="X42" s="218"/>
      <c r="Y42" s="218"/>
      <c r="Z42" s="218"/>
      <c r="AA42" s="218"/>
      <c r="AB42" s="218"/>
      <c r="AC42" s="218"/>
      <c r="AD42" s="492"/>
      <c r="AE42" s="492"/>
      <c r="AF42" s="278"/>
    </row>
    <row r="43" spans="2:38" ht="17.25" customHeight="1">
      <c r="W43" s="218"/>
      <c r="X43" s="218"/>
      <c r="Y43" s="218"/>
      <c r="Z43" s="218"/>
      <c r="AA43" s="218"/>
      <c r="AB43" s="218"/>
      <c r="AC43" s="218"/>
      <c r="AD43" s="492"/>
      <c r="AE43" s="492"/>
      <c r="AF43" s="278"/>
    </row>
    <row r="44" spans="2:38" ht="17.25" customHeight="1">
      <c r="W44" s="218"/>
      <c r="X44" s="218"/>
      <c r="Y44" s="218"/>
      <c r="Z44" s="218"/>
      <c r="AA44" s="218"/>
      <c r="AB44" s="218"/>
      <c r="AC44" s="218"/>
      <c r="AD44" s="492"/>
      <c r="AE44" s="492"/>
      <c r="AF44" s="278"/>
    </row>
    <row r="45" spans="2:38" ht="17.25" customHeight="1">
      <c r="B45" s="739"/>
      <c r="W45" s="218"/>
      <c r="X45" s="218"/>
      <c r="Y45" s="218"/>
      <c r="Z45" s="218"/>
      <c r="AA45" s="218"/>
      <c r="AB45" s="218"/>
      <c r="AC45" s="218"/>
      <c r="AD45" s="492"/>
      <c r="AE45" s="492"/>
      <c r="AF45" s="278"/>
    </row>
    <row r="46" spans="2:38" ht="17.25" customHeight="1">
      <c r="B46" s="740"/>
      <c r="C46" s="566"/>
      <c r="D46" s="566"/>
      <c r="E46" s="566"/>
      <c r="F46" s="566"/>
      <c r="G46" s="566"/>
      <c r="H46" s="566"/>
      <c r="I46" s="566"/>
      <c r="J46" s="337"/>
      <c r="K46" s="337"/>
      <c r="L46" s="566"/>
      <c r="M46" s="566"/>
      <c r="N46" s="566"/>
      <c r="O46" s="566"/>
      <c r="P46" s="566"/>
      <c r="Q46" s="566"/>
      <c r="R46" s="566"/>
      <c r="S46" s="566"/>
      <c r="T46" s="566"/>
      <c r="U46" s="566"/>
      <c r="V46" s="566"/>
      <c r="W46" s="218"/>
      <c r="X46" s="218"/>
      <c r="Y46" s="218"/>
      <c r="Z46" s="218"/>
      <c r="AA46" s="218"/>
      <c r="AB46" s="218"/>
      <c r="AC46" s="218"/>
      <c r="AD46" s="492"/>
      <c r="AE46" s="492"/>
      <c r="AF46" s="278"/>
    </row>
    <row r="47" spans="2:38" ht="17.25" customHeight="1">
      <c r="B47" s="216"/>
      <c r="C47" s="278"/>
      <c r="D47" s="278"/>
      <c r="W47" s="218"/>
      <c r="X47" s="218"/>
      <c r="Y47" s="218"/>
      <c r="Z47" s="218"/>
      <c r="AA47" s="218"/>
      <c r="AB47" s="218"/>
      <c r="AC47" s="218"/>
      <c r="AD47" s="492"/>
      <c r="AE47" s="492"/>
      <c r="AF47" s="278"/>
    </row>
    <row r="48" spans="2:38" ht="14.25" customHeight="1">
      <c r="C48" s="278"/>
      <c r="D48" s="278"/>
      <c r="W48" s="218"/>
      <c r="X48" s="218"/>
      <c r="Y48" s="218"/>
      <c r="Z48" s="218"/>
      <c r="AA48" s="218"/>
      <c r="AB48" s="218"/>
      <c r="AC48" s="218"/>
      <c r="AD48" s="492"/>
      <c r="AE48" s="492"/>
      <c r="AF48" s="278"/>
    </row>
    <row r="49" spans="2:40" ht="17.25" hidden="1" customHeight="1">
      <c r="C49" s="278"/>
      <c r="D49" s="278"/>
      <c r="W49" s="218"/>
      <c r="X49" s="218"/>
      <c r="Y49" s="218"/>
      <c r="Z49" s="218"/>
      <c r="AA49" s="218"/>
      <c r="AB49" s="218"/>
      <c r="AC49" s="218"/>
      <c r="AD49" s="492"/>
      <c r="AE49" s="492"/>
      <c r="AF49" s="278"/>
    </row>
    <row r="50" spans="2:40" ht="33.75" customHeight="1">
      <c r="B50" s="215" t="s">
        <v>0</v>
      </c>
      <c r="C50" s="278"/>
      <c r="D50" s="278"/>
      <c r="W50" s="218"/>
      <c r="X50" s="218"/>
      <c r="Y50" s="218"/>
      <c r="Z50" s="218"/>
      <c r="AA50" s="218"/>
      <c r="AB50" s="218"/>
      <c r="AC50" s="218"/>
      <c r="AD50" s="492"/>
      <c r="AE50" s="492"/>
      <c r="AF50" s="278"/>
    </row>
    <row r="51" spans="2:40" ht="33" customHeight="1">
      <c r="B51" s="215" t="str">
        <f>B4</f>
        <v>DENOMINATION FOR OKTOBER 2025</v>
      </c>
      <c r="C51" s="278"/>
      <c r="D51" s="278"/>
      <c r="W51" s="218"/>
      <c r="X51" s="218"/>
      <c r="Y51" s="218"/>
      <c r="Z51" s="218"/>
      <c r="AA51" s="218"/>
      <c r="AB51" s="218"/>
      <c r="AC51" s="218"/>
      <c r="AD51" s="492"/>
      <c r="AE51" s="492"/>
      <c r="AF51" s="278"/>
    </row>
    <row r="52" spans="2:40" ht="24.75" customHeight="1" thickBot="1">
      <c r="B52" s="216"/>
      <c r="C52" s="278"/>
      <c r="D52" s="278"/>
      <c r="W52" s="218"/>
      <c r="X52" s="218"/>
      <c r="Y52" s="218"/>
      <c r="Z52" s="218"/>
      <c r="AA52" s="218"/>
      <c r="AB52" s="218"/>
      <c r="AC52" s="218"/>
      <c r="AD52" s="492"/>
      <c r="AE52" s="492"/>
      <c r="AF52" s="278"/>
    </row>
    <row r="53" spans="2:40" ht="24.75" customHeight="1" thickTop="1">
      <c r="B53" s="1176" t="s">
        <v>1</v>
      </c>
      <c r="C53" s="1183" t="s">
        <v>15</v>
      </c>
      <c r="D53" s="1178" t="s">
        <v>470</v>
      </c>
      <c r="E53" s="1179"/>
      <c r="F53" s="1180"/>
      <c r="G53" s="1183" t="s">
        <v>244</v>
      </c>
      <c r="H53" s="1183" t="s">
        <v>471</v>
      </c>
      <c r="I53" s="1185" t="s">
        <v>472</v>
      </c>
      <c r="J53" s="1181" t="s">
        <v>473</v>
      </c>
      <c r="K53" s="1181" t="s">
        <v>474</v>
      </c>
      <c r="L53" s="572" t="s">
        <v>475</v>
      </c>
      <c r="M53" s="1183" t="s">
        <v>477</v>
      </c>
      <c r="N53" s="572" t="s">
        <v>475</v>
      </c>
      <c r="O53" s="572" t="s">
        <v>478</v>
      </c>
      <c r="P53" s="1183"/>
      <c r="Q53" s="568" t="s">
        <v>145</v>
      </c>
      <c r="R53" s="568" t="s">
        <v>253</v>
      </c>
      <c r="S53" s="568" t="s">
        <v>440</v>
      </c>
      <c r="T53" s="1183" t="str">
        <f>T6</f>
        <v>TOTAL PREMI</v>
      </c>
      <c r="U53" s="1174" t="str">
        <f>U6</f>
        <v>TOTAL LEMBUR</v>
      </c>
      <c r="V53" s="1171" t="s">
        <v>665</v>
      </c>
      <c r="W53" s="304" t="s">
        <v>16</v>
      </c>
      <c r="X53" s="222" t="s">
        <v>18</v>
      </c>
      <c r="Y53" s="218"/>
      <c r="Z53" s="218"/>
      <c r="AA53" s="1206" t="s">
        <v>664</v>
      </c>
      <c r="AB53" s="1240" t="s">
        <v>226</v>
      </c>
      <c r="AC53" s="218"/>
      <c r="AD53" s="1171" t="s">
        <v>259</v>
      </c>
      <c r="AE53" s="492"/>
      <c r="AF53" s="1189" t="s">
        <v>542</v>
      </c>
      <c r="AG53" s="1187" t="s">
        <v>617</v>
      </c>
      <c r="AH53" s="1195" t="s">
        <v>608</v>
      </c>
      <c r="AJ53" s="1197" t="s">
        <v>452</v>
      </c>
      <c r="AK53" s="1197"/>
      <c r="AN53" s="215" t="s">
        <v>615</v>
      </c>
    </row>
    <row r="54" spans="2:40" ht="24.75" customHeight="1" thickBot="1">
      <c r="B54" s="1177"/>
      <c r="C54" s="1184"/>
      <c r="D54" s="573" t="s">
        <v>485</v>
      </c>
      <c r="E54" s="573" t="s">
        <v>486</v>
      </c>
      <c r="F54" s="573" t="s">
        <v>487</v>
      </c>
      <c r="G54" s="1184"/>
      <c r="H54" s="1184"/>
      <c r="I54" s="1186"/>
      <c r="J54" s="1182"/>
      <c r="K54" s="1182"/>
      <c r="L54" s="573" t="s">
        <v>476</v>
      </c>
      <c r="M54" s="1184"/>
      <c r="N54" s="573" t="s">
        <v>476</v>
      </c>
      <c r="O54" s="573" t="s">
        <v>479</v>
      </c>
      <c r="P54" s="1184"/>
      <c r="Q54" s="569" t="str">
        <f>Q7</f>
        <v>(MASA OKTOBER 2025)</v>
      </c>
      <c r="R54" s="569" t="s">
        <v>254</v>
      </c>
      <c r="S54" s="569" t="s">
        <v>439</v>
      </c>
      <c r="T54" s="1184"/>
      <c r="U54" s="1175"/>
      <c r="V54" s="1172"/>
      <c r="W54" s="305"/>
      <c r="X54" s="225" t="s">
        <v>19</v>
      </c>
      <c r="Y54" s="218"/>
      <c r="Z54" s="218"/>
      <c r="AA54" s="1209"/>
      <c r="AB54" s="1241"/>
      <c r="AC54" s="218"/>
      <c r="AD54" s="1172"/>
      <c r="AE54" s="492"/>
      <c r="AF54" s="1190"/>
      <c r="AG54" s="1188"/>
      <c r="AH54" s="1196"/>
      <c r="AJ54" s="292" t="s">
        <v>611</v>
      </c>
      <c r="AK54" s="292" t="s">
        <v>612</v>
      </c>
    </row>
    <row r="55" spans="2:40" ht="24.75" customHeight="1" thickTop="1">
      <c r="B55" s="356"/>
      <c r="C55" s="357"/>
      <c r="D55" s="357"/>
      <c r="E55" s="840"/>
      <c r="F55" s="840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9"/>
      <c r="R55" s="359"/>
      <c r="S55" s="359"/>
      <c r="T55" s="359"/>
      <c r="U55" s="359"/>
      <c r="V55" s="360"/>
      <c r="W55" s="487"/>
      <c r="X55" s="361"/>
      <c r="Y55" s="218"/>
      <c r="Z55" s="218"/>
      <c r="AA55" s="1206">
        <v>695391805</v>
      </c>
      <c r="AB55" s="1246">
        <f>V90-AA90</f>
        <v>0.44148147106170654</v>
      </c>
      <c r="AD55" s="360"/>
      <c r="AF55" s="364"/>
      <c r="AH55" s="380"/>
      <c r="AJ55" s="236"/>
      <c r="AK55" s="236"/>
      <c r="AL55" s="803"/>
    </row>
    <row r="56" spans="2:40" ht="24.75" customHeight="1">
      <c r="B56" s="362" t="s">
        <v>586</v>
      </c>
      <c r="C56" s="533">
        <v>6</v>
      </c>
      <c r="D56" s="839"/>
      <c r="E56" s="839">
        <v>185</v>
      </c>
      <c r="F56" s="310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521">
        <v>97618</v>
      </c>
      <c r="R56" s="521"/>
      <c r="S56" s="521">
        <v>24000</v>
      </c>
      <c r="T56" s="260">
        <v>2020515</v>
      </c>
      <c r="U56" s="289">
        <v>5321921.82</v>
      </c>
      <c r="V56" s="290">
        <v>31980344.820000004</v>
      </c>
      <c r="W56" s="488"/>
      <c r="X56" s="352"/>
      <c r="Y56" s="218"/>
      <c r="Z56" s="218"/>
      <c r="AA56" s="1245"/>
      <c r="AB56" s="1247"/>
      <c r="AC56" s="805"/>
      <c r="AD56" s="290"/>
      <c r="AF56" s="364"/>
      <c r="AG56" s="818"/>
      <c r="AH56" s="816"/>
      <c r="AJ56" s="236"/>
      <c r="AK56" s="236"/>
      <c r="AL56" s="803">
        <f t="shared" ref="AL56:AL88" si="3">AK56/1050</f>
        <v>0</v>
      </c>
    </row>
    <row r="57" spans="2:40" s="242" customFormat="1" ht="24.75" hidden="1" customHeight="1">
      <c r="B57" s="363"/>
      <c r="C57" s="357"/>
      <c r="D57" s="840"/>
      <c r="E57" s="840"/>
      <c r="F57" s="310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522"/>
      <c r="R57" s="522"/>
      <c r="S57" s="522"/>
      <c r="T57" s="260"/>
      <c r="U57" s="359"/>
      <c r="V57" s="491"/>
      <c r="W57" s="488"/>
      <c r="X57" s="352"/>
      <c r="Y57" s="218"/>
      <c r="Z57" s="218"/>
      <c r="AA57" s="1245"/>
      <c r="AB57" s="1247"/>
      <c r="AC57" s="805"/>
      <c r="AD57" s="491"/>
      <c r="AE57" s="539"/>
      <c r="AF57" s="746"/>
      <c r="AG57" s="817"/>
      <c r="AH57" s="816"/>
      <c r="AJ57" s="236"/>
      <c r="AK57" s="236"/>
      <c r="AL57" s="803"/>
    </row>
    <row r="58" spans="2:40" s="242" customFormat="1" ht="24.75" hidden="1" customHeight="1">
      <c r="B58" s="362" t="s">
        <v>587</v>
      </c>
      <c r="C58" s="310"/>
      <c r="D58" s="310"/>
      <c r="E58" s="310"/>
      <c r="F58" s="310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29"/>
      <c r="R58" s="329"/>
      <c r="S58" s="329"/>
      <c r="T58" s="260"/>
      <c r="U58" s="289"/>
      <c r="V58" s="347"/>
      <c r="W58" s="489"/>
      <c r="X58" s="348"/>
      <c r="Y58" s="239"/>
      <c r="Z58" s="239"/>
      <c r="AA58" s="1245"/>
      <c r="AB58" s="1247"/>
      <c r="AC58" s="805"/>
      <c r="AD58" s="347"/>
      <c r="AE58" s="339"/>
      <c r="AF58" s="746"/>
      <c r="AG58" s="815"/>
      <c r="AH58" s="816"/>
      <c r="AJ58" s="236"/>
      <c r="AK58" s="236"/>
      <c r="AL58" s="803">
        <f t="shared" si="3"/>
        <v>0</v>
      </c>
      <c r="AN58" s="809">
        <f>AD58/550</f>
        <v>0</v>
      </c>
    </row>
    <row r="59" spans="2:40" s="242" customFormat="1" ht="24.75" customHeight="1">
      <c r="B59" s="362"/>
      <c r="C59" s="310"/>
      <c r="D59" s="310"/>
      <c r="E59" s="310"/>
      <c r="F59" s="310"/>
      <c r="G59" s="344"/>
      <c r="H59" s="344"/>
      <c r="I59" s="344"/>
      <c r="J59" s="344"/>
      <c r="K59" s="344"/>
      <c r="L59" s="344"/>
      <c r="M59" s="344"/>
      <c r="N59" s="344"/>
      <c r="O59" s="349"/>
      <c r="P59" s="349"/>
      <c r="Q59" s="329"/>
      <c r="R59" s="329"/>
      <c r="S59" s="329"/>
      <c r="T59" s="260"/>
      <c r="U59" s="349"/>
      <c r="V59" s="347"/>
      <c r="W59" s="489"/>
      <c r="X59" s="348"/>
      <c r="Y59" s="239"/>
      <c r="Z59" s="239"/>
      <c r="AA59" s="1245"/>
      <c r="AB59" s="1247"/>
      <c r="AC59" s="805"/>
      <c r="AD59" s="347"/>
      <c r="AE59" s="339"/>
      <c r="AF59" s="746"/>
      <c r="AG59" s="817"/>
      <c r="AH59" s="816"/>
      <c r="AJ59" s="236"/>
      <c r="AK59" s="236"/>
      <c r="AL59" s="803"/>
      <c r="AN59" s="809">
        <f>AD59/550</f>
        <v>0</v>
      </c>
    </row>
    <row r="60" spans="2:40" s="242" customFormat="1" ht="24.75" customHeight="1">
      <c r="B60" s="362" t="s">
        <v>588</v>
      </c>
      <c r="C60" s="277">
        <v>61</v>
      </c>
      <c r="D60" s="277"/>
      <c r="E60" s="277">
        <v>1831</v>
      </c>
      <c r="F60" s="310"/>
      <c r="G60" s="236"/>
      <c r="H60" s="236"/>
      <c r="I60" s="236"/>
      <c r="J60" s="236"/>
      <c r="K60" s="236"/>
      <c r="L60" s="236"/>
      <c r="M60" s="236"/>
      <c r="N60" s="236"/>
      <c r="O60" s="236"/>
      <c r="P60" s="365"/>
      <c r="Q60" s="577">
        <v>86107</v>
      </c>
      <c r="R60" s="577"/>
      <c r="S60" s="577">
        <v>240000</v>
      </c>
      <c r="T60" s="260">
        <v>0</v>
      </c>
      <c r="U60" s="260">
        <v>3249173.1799999997</v>
      </c>
      <c r="V60" s="367">
        <v>238759842.17999998</v>
      </c>
      <c r="W60" s="489"/>
      <c r="X60" s="348"/>
      <c r="Y60" s="239"/>
      <c r="Z60" s="239"/>
      <c r="AA60" s="1245"/>
      <c r="AB60" s="1247"/>
      <c r="AC60" s="805"/>
      <c r="AD60" s="367"/>
      <c r="AE60" s="339"/>
      <c r="AF60" s="746"/>
      <c r="AG60" s="815"/>
      <c r="AH60" s="816"/>
      <c r="AJ60" s="236"/>
      <c r="AK60" s="236"/>
      <c r="AL60" s="803">
        <f t="shared" si="3"/>
        <v>0</v>
      </c>
      <c r="AN60" s="809">
        <f>AD60/550</f>
        <v>0</v>
      </c>
    </row>
    <row r="61" spans="2:40" s="242" customFormat="1" ht="24.75" customHeight="1">
      <c r="B61" s="362"/>
      <c r="C61" s="235"/>
      <c r="D61" s="277"/>
      <c r="E61" s="277"/>
      <c r="F61" s="310"/>
      <c r="G61" s="365"/>
      <c r="H61" s="365"/>
      <c r="I61" s="365"/>
      <c r="J61" s="365"/>
      <c r="K61" s="365"/>
      <c r="L61" s="365"/>
      <c r="M61" s="365"/>
      <c r="N61" s="365"/>
      <c r="O61" s="366"/>
      <c r="P61" s="366"/>
      <c r="Q61" s="577"/>
      <c r="R61" s="577"/>
      <c r="S61" s="577"/>
      <c r="T61" s="260"/>
      <c r="U61" s="366"/>
      <c r="V61" s="367"/>
      <c r="W61" s="489"/>
      <c r="X61" s="348"/>
      <c r="Y61" s="239"/>
      <c r="Z61" s="239"/>
      <c r="AA61" s="1245"/>
      <c r="AB61" s="1247"/>
      <c r="AC61" s="805"/>
      <c r="AD61" s="367"/>
      <c r="AE61" s="339"/>
      <c r="AF61" s="746"/>
      <c r="AG61" s="817"/>
      <c r="AH61" s="816"/>
      <c r="AJ61" s="236"/>
      <c r="AK61" s="236"/>
      <c r="AL61" s="803"/>
      <c r="AN61" s="809">
        <f>AD61/550</f>
        <v>0</v>
      </c>
    </row>
    <row r="62" spans="2:40" s="242" customFormat="1" ht="24.75" hidden="1" customHeight="1">
      <c r="B62" s="362" t="s">
        <v>631</v>
      </c>
      <c r="C62" s="235"/>
      <c r="D62" s="277"/>
      <c r="E62" s="277"/>
      <c r="F62" s="310"/>
      <c r="G62" s="365"/>
      <c r="H62" s="365"/>
      <c r="I62" s="365"/>
      <c r="J62" s="365"/>
      <c r="K62" s="365"/>
      <c r="L62" s="365"/>
      <c r="M62" s="365"/>
      <c r="N62" s="365"/>
      <c r="O62" s="366"/>
      <c r="P62" s="366"/>
      <c r="Q62" s="577"/>
      <c r="R62" s="577"/>
      <c r="S62" s="577"/>
      <c r="T62" s="260"/>
      <c r="U62" s="804"/>
      <c r="V62" s="367"/>
      <c r="W62" s="489"/>
      <c r="X62" s="348"/>
      <c r="Y62" s="239"/>
      <c r="Z62" s="239"/>
      <c r="AA62" s="1245"/>
      <c r="AB62" s="1247"/>
      <c r="AC62" s="805"/>
      <c r="AD62" s="367"/>
      <c r="AE62" s="339"/>
      <c r="AF62" s="746"/>
      <c r="AG62" s="815"/>
      <c r="AH62" s="816"/>
      <c r="AJ62" s="236"/>
      <c r="AK62" s="236"/>
      <c r="AL62" s="803">
        <f t="shared" si="3"/>
        <v>0</v>
      </c>
      <c r="AN62" s="809">
        <f>AD62/550</f>
        <v>0</v>
      </c>
    </row>
    <row r="63" spans="2:40" s="242" customFormat="1" ht="24.75" hidden="1" customHeight="1">
      <c r="B63" s="362"/>
      <c r="C63" s="235"/>
      <c r="D63" s="277"/>
      <c r="E63" s="277"/>
      <c r="F63" s="310"/>
      <c r="G63" s="365"/>
      <c r="H63" s="365"/>
      <c r="I63" s="365"/>
      <c r="J63" s="365"/>
      <c r="K63" s="365"/>
      <c r="L63" s="365"/>
      <c r="M63" s="365"/>
      <c r="N63" s="365"/>
      <c r="O63" s="366"/>
      <c r="P63" s="366"/>
      <c r="Q63" s="577"/>
      <c r="R63" s="577"/>
      <c r="S63" s="577"/>
      <c r="T63" s="260"/>
      <c r="U63" s="804"/>
      <c r="V63" s="367"/>
      <c r="W63" s="489"/>
      <c r="X63" s="348"/>
      <c r="Y63" s="239"/>
      <c r="Z63" s="239"/>
      <c r="AA63" s="1245"/>
      <c r="AB63" s="1247"/>
      <c r="AC63" s="805"/>
      <c r="AD63" s="367"/>
      <c r="AE63" s="339"/>
      <c r="AF63" s="746"/>
      <c r="AG63" s="817"/>
      <c r="AH63" s="816"/>
      <c r="AJ63" s="236"/>
      <c r="AK63" s="236"/>
      <c r="AL63" s="803">
        <f t="shared" si="3"/>
        <v>0</v>
      </c>
    </row>
    <row r="64" spans="2:40" s="242" customFormat="1" ht="24.75" customHeight="1">
      <c r="B64" s="362" t="s">
        <v>587</v>
      </c>
      <c r="C64" s="1000">
        <v>22</v>
      </c>
      <c r="D64" s="1001"/>
      <c r="E64" s="1001">
        <v>654</v>
      </c>
      <c r="F64" s="992"/>
      <c r="G64" s="1002"/>
      <c r="H64" s="1002"/>
      <c r="I64" s="1002"/>
      <c r="J64" s="1002"/>
      <c r="K64" s="1002"/>
      <c r="L64" s="1002"/>
      <c r="M64" s="1002"/>
      <c r="N64" s="1002"/>
      <c r="O64" s="1003"/>
      <c r="P64" s="1003"/>
      <c r="Q64" s="1004">
        <v>28278</v>
      </c>
      <c r="R64" s="1004"/>
      <c r="S64" s="1004">
        <v>88000</v>
      </c>
      <c r="T64" s="990">
        <f>2328889+AM64</f>
        <v>8987701</v>
      </c>
      <c r="U64" s="804">
        <v>0</v>
      </c>
      <c r="V64" s="1005">
        <v>85913667.481481478</v>
      </c>
      <c r="W64" s="489"/>
      <c r="X64" s="348"/>
      <c r="Y64" s="239"/>
      <c r="Z64" s="239"/>
      <c r="AA64" s="1245"/>
      <c r="AB64" s="1247"/>
      <c r="AC64" s="805"/>
      <c r="AD64" s="1005">
        <v>0</v>
      </c>
      <c r="AE64" s="339"/>
      <c r="AF64" s="988">
        <v>7496127.4074074086</v>
      </c>
      <c r="AG64" s="1143">
        <v>2328888.888888889</v>
      </c>
      <c r="AH64" s="986"/>
      <c r="AJ64" s="985">
        <v>1340562</v>
      </c>
      <c r="AK64" s="985">
        <v>5318250</v>
      </c>
      <c r="AL64" s="803">
        <f t="shared" si="3"/>
        <v>5065</v>
      </c>
      <c r="AM64" s="239">
        <f>AJ64+AK64</f>
        <v>6658812</v>
      </c>
    </row>
    <row r="65" spans="2:39" s="242" customFormat="1" ht="24.75" customHeight="1">
      <c r="B65" s="362"/>
      <c r="C65" s="1000"/>
      <c r="D65" s="1001"/>
      <c r="E65" s="1001"/>
      <c r="F65" s="992"/>
      <c r="G65" s="1002"/>
      <c r="H65" s="1002"/>
      <c r="I65" s="1002"/>
      <c r="J65" s="1002"/>
      <c r="K65" s="1002"/>
      <c r="L65" s="1002"/>
      <c r="M65" s="1002"/>
      <c r="N65" s="1002"/>
      <c r="O65" s="1003"/>
      <c r="P65" s="1003"/>
      <c r="Q65" s="1004"/>
      <c r="R65" s="1004"/>
      <c r="S65" s="1004"/>
      <c r="T65" s="990"/>
      <c r="U65" s="804"/>
      <c r="V65" s="1005"/>
      <c r="W65" s="489"/>
      <c r="X65" s="348"/>
      <c r="Y65" s="239"/>
      <c r="Z65" s="239"/>
      <c r="AA65" s="1245"/>
      <c r="AB65" s="1247"/>
      <c r="AC65" s="805"/>
      <c r="AD65" s="1005"/>
      <c r="AE65" s="339"/>
      <c r="AF65" s="988"/>
      <c r="AG65" s="1006"/>
      <c r="AH65" s="986"/>
      <c r="AJ65" s="985"/>
      <c r="AK65" s="985"/>
      <c r="AL65" s="803"/>
    </row>
    <row r="66" spans="2:39" s="242" customFormat="1" ht="24.75" customHeight="1">
      <c r="B66" s="362" t="s">
        <v>645</v>
      </c>
      <c r="C66" s="1000"/>
      <c r="D66" s="1001"/>
      <c r="E66" s="1001"/>
      <c r="F66" s="992"/>
      <c r="G66" s="1002"/>
      <c r="H66" s="1002"/>
      <c r="I66" s="1002"/>
      <c r="J66" s="1002"/>
      <c r="K66" s="1002"/>
      <c r="L66" s="1002"/>
      <c r="M66" s="1002"/>
      <c r="N66" s="1002"/>
      <c r="O66" s="1003"/>
      <c r="P66" s="1003"/>
      <c r="Q66" s="1004"/>
      <c r="R66" s="1004"/>
      <c r="S66" s="1004"/>
      <c r="T66" s="990"/>
      <c r="U66" s="804"/>
      <c r="V66" s="1005"/>
      <c r="W66" s="489"/>
      <c r="X66" s="348"/>
      <c r="Y66" s="239"/>
      <c r="Z66" s="239"/>
      <c r="AA66" s="1245"/>
      <c r="AB66" s="1247"/>
      <c r="AC66" s="805"/>
      <c r="AD66" s="1005"/>
      <c r="AE66" s="339"/>
      <c r="AF66" s="988"/>
      <c r="AG66" s="1006"/>
      <c r="AH66" s="986"/>
      <c r="AJ66" s="985"/>
      <c r="AK66" s="985"/>
      <c r="AL66" s="803">
        <f>AK66/1050</f>
        <v>0</v>
      </c>
    </row>
    <row r="67" spans="2:39" s="242" customFormat="1" ht="24.75" customHeight="1">
      <c r="B67" s="362"/>
      <c r="C67" s="1000"/>
      <c r="D67" s="1001"/>
      <c r="E67" s="1001"/>
      <c r="F67" s="992"/>
      <c r="G67" s="1002"/>
      <c r="H67" s="1002"/>
      <c r="I67" s="1002"/>
      <c r="J67" s="1002"/>
      <c r="K67" s="1002"/>
      <c r="L67" s="1002"/>
      <c r="M67" s="1002"/>
      <c r="N67" s="1002"/>
      <c r="O67" s="1003"/>
      <c r="P67" s="1003"/>
      <c r="Q67" s="1004"/>
      <c r="R67" s="1004"/>
      <c r="S67" s="1004"/>
      <c r="T67" s="990"/>
      <c r="U67" s="804"/>
      <c r="V67" s="1005"/>
      <c r="W67" s="489"/>
      <c r="X67" s="348"/>
      <c r="Y67" s="239"/>
      <c r="Z67" s="239"/>
      <c r="AA67" s="1245"/>
      <c r="AB67" s="1247"/>
      <c r="AC67" s="805"/>
      <c r="AD67" s="1005"/>
      <c r="AE67" s="339"/>
      <c r="AF67" s="988"/>
      <c r="AG67" s="1006"/>
      <c r="AH67" s="986"/>
      <c r="AJ67" s="985"/>
      <c r="AK67" s="985"/>
      <c r="AL67" s="984"/>
    </row>
    <row r="68" spans="2:39" ht="24.75" customHeight="1">
      <c r="B68" s="362" t="s">
        <v>590</v>
      </c>
      <c r="C68" s="292">
        <v>72</v>
      </c>
      <c r="D68" s="310"/>
      <c r="E68" s="310">
        <v>2187</v>
      </c>
      <c r="F68" s="310"/>
      <c r="G68" s="293"/>
      <c r="H68" s="293"/>
      <c r="I68" s="293"/>
      <c r="J68" s="293"/>
      <c r="K68" s="293"/>
      <c r="L68" s="293"/>
      <c r="M68" s="293"/>
      <c r="N68" s="293"/>
      <c r="O68" s="294"/>
      <c r="P68" s="294"/>
      <c r="Q68" s="329">
        <v>157349</v>
      </c>
      <c r="R68" s="329"/>
      <c r="S68" s="329">
        <v>284000</v>
      </c>
      <c r="T68" s="260">
        <v>0</v>
      </c>
      <c r="U68" s="294">
        <v>5277105.3600000003</v>
      </c>
      <c r="V68" s="295">
        <v>286305528.36000001</v>
      </c>
      <c r="W68" s="489"/>
      <c r="X68" s="348"/>
      <c r="Y68" s="239"/>
      <c r="Z68" s="239"/>
      <c r="AA68" s="1245"/>
      <c r="AB68" s="1247"/>
      <c r="AC68" s="805"/>
      <c r="AD68" s="247"/>
      <c r="AE68" s="493"/>
      <c r="AF68" s="746"/>
      <c r="AG68" s="815"/>
      <c r="AH68" s="816"/>
      <c r="AJ68" s="236"/>
      <c r="AK68" s="236"/>
      <c r="AL68" s="803">
        <f>AK68/1050</f>
        <v>0</v>
      </c>
      <c r="AM68" s="239">
        <f>AJ68+AK68</f>
        <v>0</v>
      </c>
    </row>
    <row r="69" spans="2:39" ht="24.75" customHeight="1">
      <c r="B69" s="362"/>
      <c r="C69" s="235"/>
      <c r="D69" s="277"/>
      <c r="E69" s="277"/>
      <c r="F69" s="310"/>
      <c r="G69" s="236"/>
      <c r="H69" s="236"/>
      <c r="I69" s="236"/>
      <c r="J69" s="236"/>
      <c r="K69" s="236"/>
      <c r="L69" s="236"/>
      <c r="M69" s="236"/>
      <c r="N69" s="236"/>
      <c r="O69" s="260"/>
      <c r="P69" s="260"/>
      <c r="Q69" s="577"/>
      <c r="R69" s="577"/>
      <c r="S69" s="577"/>
      <c r="T69" s="260"/>
      <c r="U69" s="260"/>
      <c r="V69" s="247"/>
      <c r="W69" s="488"/>
      <c r="X69" s="352"/>
      <c r="Y69" s="218"/>
      <c r="Z69" s="218"/>
      <c r="AA69" s="1245"/>
      <c r="AB69" s="1247"/>
      <c r="AC69" s="218"/>
      <c r="AD69" s="247"/>
      <c r="AE69" s="492"/>
      <c r="AF69" s="746"/>
      <c r="AG69" s="817"/>
      <c r="AH69" s="816"/>
      <c r="AJ69" s="236"/>
      <c r="AK69" s="236"/>
      <c r="AL69" s="803"/>
    </row>
    <row r="70" spans="2:39" ht="24.75" hidden="1" customHeight="1">
      <c r="B70" s="362" t="s">
        <v>591</v>
      </c>
      <c r="C70" s="235"/>
      <c r="D70" s="277"/>
      <c r="E70" s="277"/>
      <c r="F70" s="310"/>
      <c r="G70" s="236"/>
      <c r="H70" s="236"/>
      <c r="I70" s="236"/>
      <c r="J70" s="236"/>
      <c r="K70" s="236"/>
      <c r="L70" s="236"/>
      <c r="M70" s="236"/>
      <c r="N70" s="236"/>
      <c r="O70" s="260"/>
      <c r="P70" s="260"/>
      <c r="Q70" s="577"/>
      <c r="R70" s="577"/>
      <c r="S70" s="577"/>
      <c r="T70" s="260"/>
      <c r="U70" s="260"/>
      <c r="V70" s="247"/>
      <c r="W70" s="488"/>
      <c r="X70" s="352"/>
      <c r="Y70" s="218"/>
      <c r="Z70" s="218"/>
      <c r="AA70" s="1245"/>
      <c r="AB70" s="1247"/>
      <c r="AC70" s="218"/>
      <c r="AD70" s="247"/>
      <c r="AE70" s="492"/>
      <c r="AF70" s="746"/>
      <c r="AG70" s="817"/>
      <c r="AH70" s="816"/>
      <c r="AJ70" s="236"/>
      <c r="AK70" s="236"/>
      <c r="AL70" s="803"/>
    </row>
    <row r="71" spans="2:39" ht="24.75" hidden="1" customHeight="1">
      <c r="B71" s="362"/>
      <c r="C71" s="235"/>
      <c r="D71" s="277"/>
      <c r="E71" s="277"/>
      <c r="F71" s="310"/>
      <c r="G71" s="236"/>
      <c r="H71" s="236"/>
      <c r="I71" s="236"/>
      <c r="J71" s="236"/>
      <c r="K71" s="236"/>
      <c r="L71" s="236"/>
      <c r="M71" s="236"/>
      <c r="N71" s="236"/>
      <c r="O71" s="260"/>
      <c r="P71" s="260"/>
      <c r="Q71" s="577"/>
      <c r="R71" s="577"/>
      <c r="S71" s="577"/>
      <c r="T71" s="260"/>
      <c r="U71" s="260"/>
      <c r="V71" s="247"/>
      <c r="W71" s="488"/>
      <c r="X71" s="352"/>
      <c r="Y71" s="218"/>
      <c r="Z71" s="218"/>
      <c r="AA71" s="1245"/>
      <c r="AB71" s="1247"/>
      <c r="AC71" s="218"/>
      <c r="AD71" s="247"/>
      <c r="AE71" s="492"/>
      <c r="AF71" s="746"/>
      <c r="AG71" s="817"/>
      <c r="AH71" s="816"/>
      <c r="AJ71" s="236"/>
      <c r="AK71" s="236"/>
      <c r="AL71" s="803"/>
    </row>
    <row r="72" spans="2:39" s="242" customFormat="1" ht="24.75" customHeight="1">
      <c r="B72" s="362" t="s">
        <v>685</v>
      </c>
      <c r="C72" s="235">
        <v>6</v>
      </c>
      <c r="D72" s="277"/>
      <c r="E72" s="277">
        <v>182</v>
      </c>
      <c r="F72" s="310"/>
      <c r="G72" s="236"/>
      <c r="H72" s="236"/>
      <c r="I72" s="236"/>
      <c r="J72" s="236"/>
      <c r="K72" s="236"/>
      <c r="L72" s="236"/>
      <c r="M72" s="236"/>
      <c r="N72" s="236"/>
      <c r="O72" s="260"/>
      <c r="P72" s="260"/>
      <c r="Q72" s="577">
        <v>0</v>
      </c>
      <c r="R72" s="577"/>
      <c r="S72" s="577">
        <v>0</v>
      </c>
      <c r="T72" s="260">
        <v>0</v>
      </c>
      <c r="U72" s="260">
        <v>0</v>
      </c>
      <c r="V72" s="247">
        <v>22587656</v>
      </c>
      <c r="W72" s="488"/>
      <c r="X72" s="352"/>
      <c r="Y72" s="218"/>
      <c r="Z72" s="218"/>
      <c r="AA72" s="1245"/>
      <c r="AB72" s="1247"/>
      <c r="AC72" s="805"/>
      <c r="AD72" s="247"/>
      <c r="AE72" s="492"/>
      <c r="AF72" s="746"/>
      <c r="AG72" s="815"/>
      <c r="AH72" s="816"/>
      <c r="AJ72" s="236"/>
      <c r="AK72" s="236"/>
      <c r="AL72" s="803">
        <f t="shared" si="3"/>
        <v>0</v>
      </c>
    </row>
    <row r="73" spans="2:39" s="242" customFormat="1" ht="24.75" customHeight="1">
      <c r="B73" s="362"/>
      <c r="C73" s="235"/>
      <c r="D73" s="277"/>
      <c r="E73" s="277"/>
      <c r="F73" s="310"/>
      <c r="G73" s="236"/>
      <c r="H73" s="236"/>
      <c r="I73" s="236"/>
      <c r="J73" s="236"/>
      <c r="K73" s="236"/>
      <c r="L73" s="236"/>
      <c r="M73" s="236"/>
      <c r="N73" s="236"/>
      <c r="O73" s="260"/>
      <c r="P73" s="260"/>
      <c r="Q73" s="577"/>
      <c r="R73" s="577"/>
      <c r="S73" s="577"/>
      <c r="T73" s="260"/>
      <c r="U73" s="260"/>
      <c r="V73" s="247"/>
      <c r="W73" s="488"/>
      <c r="X73" s="352"/>
      <c r="Y73" s="218"/>
      <c r="Z73" s="218"/>
      <c r="AA73" s="1245"/>
      <c r="AB73" s="1247"/>
      <c r="AC73" s="805"/>
      <c r="AD73" s="989"/>
      <c r="AE73" s="492"/>
      <c r="AF73" s="988"/>
      <c r="AG73" s="987"/>
      <c r="AH73" s="986"/>
      <c r="AJ73" s="985"/>
      <c r="AK73" s="985"/>
      <c r="AL73" s="984"/>
    </row>
    <row r="74" spans="2:39" s="242" customFormat="1" ht="24.75" customHeight="1">
      <c r="B74" s="362" t="s">
        <v>592</v>
      </c>
      <c r="C74" s="235">
        <v>5</v>
      </c>
      <c r="D74" s="277"/>
      <c r="E74" s="277">
        <v>155</v>
      </c>
      <c r="F74" s="310"/>
      <c r="G74" s="236"/>
      <c r="H74" s="236"/>
      <c r="I74" s="236"/>
      <c r="J74" s="236"/>
      <c r="K74" s="236"/>
      <c r="L74" s="236"/>
      <c r="M74" s="236"/>
      <c r="N74" s="236"/>
      <c r="O74" s="260"/>
      <c r="P74" s="260"/>
      <c r="Q74" s="577">
        <v>181988</v>
      </c>
      <c r="R74" s="577"/>
      <c r="S74" s="577">
        <v>20000</v>
      </c>
      <c r="T74" s="260">
        <v>2287431</v>
      </c>
      <c r="U74" s="260">
        <v>7237813.5999999996</v>
      </c>
      <c r="V74" s="247">
        <v>29844766.600000001</v>
      </c>
      <c r="W74" s="488"/>
      <c r="X74" s="352"/>
      <c r="Y74" s="218"/>
      <c r="Z74" s="218"/>
      <c r="AA74" s="1245"/>
      <c r="AB74" s="1247"/>
      <c r="AC74" s="805"/>
      <c r="AD74" s="989"/>
      <c r="AE74" s="492"/>
      <c r="AF74" s="988"/>
      <c r="AG74" s="987"/>
      <c r="AH74" s="986"/>
      <c r="AJ74" s="985"/>
      <c r="AK74" s="985"/>
      <c r="AL74" s="803">
        <f>AK74/1050</f>
        <v>0</v>
      </c>
    </row>
    <row r="75" spans="2:39" s="242" customFormat="1" ht="24.75" customHeight="1">
      <c r="B75" s="362"/>
      <c r="C75" s="956"/>
      <c r="D75" s="993"/>
      <c r="E75" s="993"/>
      <c r="F75" s="992"/>
      <c r="G75" s="991"/>
      <c r="H75" s="991"/>
      <c r="I75" s="991"/>
      <c r="J75" s="991"/>
      <c r="K75" s="991"/>
      <c r="L75" s="991"/>
      <c r="M75" s="991"/>
      <c r="N75" s="991"/>
      <c r="O75" s="271"/>
      <c r="P75" s="271"/>
      <c r="Q75" s="521"/>
      <c r="R75" s="521"/>
      <c r="S75" s="521"/>
      <c r="T75" s="990"/>
      <c r="U75" s="289"/>
      <c r="V75" s="290"/>
      <c r="W75" s="488"/>
      <c r="X75" s="352"/>
      <c r="Y75" s="218"/>
      <c r="Z75" s="218"/>
      <c r="AA75" s="1245"/>
      <c r="AB75" s="1247"/>
      <c r="AC75" s="805"/>
      <c r="AD75" s="989"/>
      <c r="AE75" s="492"/>
      <c r="AF75" s="988"/>
      <c r="AG75" s="987"/>
      <c r="AH75" s="986"/>
      <c r="AJ75" s="985"/>
      <c r="AK75" s="985"/>
      <c r="AL75" s="984"/>
    </row>
    <row r="76" spans="2:39" s="242" customFormat="1" ht="24.75" customHeight="1">
      <c r="B76" s="362"/>
      <c r="C76" s="956"/>
      <c r="D76" s="993"/>
      <c r="E76" s="993"/>
      <c r="F76" s="992"/>
      <c r="G76" s="991"/>
      <c r="H76" s="991"/>
      <c r="I76" s="991"/>
      <c r="J76" s="991"/>
      <c r="K76" s="991"/>
      <c r="L76" s="991"/>
      <c r="M76" s="991"/>
      <c r="N76" s="991"/>
      <c r="O76" s="271"/>
      <c r="P76" s="271"/>
      <c r="Q76" s="521"/>
      <c r="R76" s="521"/>
      <c r="S76" s="521"/>
      <c r="T76" s="990"/>
      <c r="U76" s="289"/>
      <c r="V76" s="290"/>
      <c r="W76" s="488"/>
      <c r="X76" s="352"/>
      <c r="Y76" s="218"/>
      <c r="Z76" s="218"/>
      <c r="AA76" s="1245"/>
      <c r="AB76" s="1247"/>
      <c r="AC76" s="805"/>
      <c r="AD76" s="989"/>
      <c r="AE76" s="492"/>
      <c r="AF76" s="988"/>
      <c r="AG76" s="987"/>
      <c r="AH76" s="986"/>
      <c r="AJ76" s="985"/>
      <c r="AK76" s="985"/>
      <c r="AL76" s="803">
        <f>AK76/1050</f>
        <v>0</v>
      </c>
    </row>
    <row r="77" spans="2:39" ht="24.75" customHeight="1">
      <c r="B77" s="362"/>
      <c r="C77" s="533"/>
      <c r="D77" s="839"/>
      <c r="E77" s="839"/>
      <c r="F77" s="310"/>
      <c r="G77" s="288"/>
      <c r="H77" s="288"/>
      <c r="I77" s="288"/>
      <c r="J77" s="288"/>
      <c r="K77" s="288"/>
      <c r="L77" s="288"/>
      <c r="M77" s="288"/>
      <c r="N77" s="288"/>
      <c r="O77" s="271"/>
      <c r="P77" s="271"/>
      <c r="Q77" s="521"/>
      <c r="R77" s="329"/>
      <c r="S77" s="329"/>
      <c r="T77" s="260"/>
      <c r="U77" s="294"/>
      <c r="V77" s="295"/>
      <c r="W77" s="489"/>
      <c r="X77" s="348"/>
      <c r="Y77" s="239"/>
      <c r="Z77" s="239"/>
      <c r="AA77" s="1245"/>
      <c r="AB77" s="1247"/>
      <c r="AC77" s="239"/>
      <c r="AD77" s="295"/>
      <c r="AE77" s="493"/>
      <c r="AF77" s="746"/>
      <c r="AG77" s="817"/>
      <c r="AH77" s="816"/>
      <c r="AJ77" s="236"/>
      <c r="AK77" s="236"/>
      <c r="AL77" s="803"/>
    </row>
    <row r="78" spans="2:39" ht="24.75" customHeight="1">
      <c r="B78" s="362"/>
      <c r="C78" s="257"/>
      <c r="D78" s="369"/>
      <c r="E78" s="369"/>
      <c r="F78" s="839"/>
      <c r="G78" s="254"/>
      <c r="H78" s="254"/>
      <c r="I78" s="254"/>
      <c r="J78" s="254"/>
      <c r="K78" s="254"/>
      <c r="L78" s="254"/>
      <c r="M78" s="254"/>
      <c r="N78" s="254"/>
      <c r="O78" s="370"/>
      <c r="P78" s="370"/>
      <c r="Q78" s="369"/>
      <c r="R78" s="277"/>
      <c r="S78" s="277"/>
      <c r="T78" s="236"/>
      <c r="U78" s="344"/>
      <c r="V78" s="295"/>
      <c r="W78" s="489"/>
      <c r="X78" s="348"/>
      <c r="Y78" s="239"/>
      <c r="Z78" s="239"/>
      <c r="AA78" s="1245"/>
      <c r="AB78" s="1247"/>
      <c r="AC78" s="805"/>
      <c r="AD78" s="247"/>
      <c r="AE78" s="493"/>
      <c r="AF78" s="746"/>
      <c r="AG78" s="815"/>
      <c r="AH78" s="816"/>
      <c r="AJ78" s="236"/>
      <c r="AK78" s="236"/>
      <c r="AL78" s="803">
        <f t="shared" si="3"/>
        <v>0</v>
      </c>
    </row>
    <row r="79" spans="2:39" ht="24.75" hidden="1" customHeight="1">
      <c r="B79" s="362"/>
      <c r="C79" s="292"/>
      <c r="D79" s="310"/>
      <c r="E79" s="310"/>
      <c r="F79" s="310"/>
      <c r="G79" s="293"/>
      <c r="H79" s="293"/>
      <c r="I79" s="293"/>
      <c r="J79" s="293"/>
      <c r="K79" s="293"/>
      <c r="L79" s="293"/>
      <c r="M79" s="293"/>
      <c r="N79" s="293"/>
      <c r="O79" s="294"/>
      <c r="P79" s="294"/>
      <c r="Q79" s="329"/>
      <c r="R79" s="329"/>
      <c r="S79" s="329"/>
      <c r="T79" s="260"/>
      <c r="U79" s="294"/>
      <c r="V79" s="295"/>
      <c r="W79" s="489"/>
      <c r="X79" s="348"/>
      <c r="Y79" s="239"/>
      <c r="Z79" s="239"/>
      <c r="AA79" s="1245"/>
      <c r="AB79" s="1247"/>
      <c r="AC79" s="239"/>
      <c r="AD79" s="295"/>
      <c r="AE79" s="493"/>
      <c r="AF79" s="746"/>
      <c r="AG79" s="817"/>
      <c r="AH79" s="816"/>
      <c r="AJ79" s="236"/>
      <c r="AK79" s="236"/>
      <c r="AL79" s="803"/>
    </row>
    <row r="80" spans="2:39" ht="24.75" hidden="1" customHeight="1">
      <c r="B80" s="362" t="s">
        <v>589</v>
      </c>
      <c r="C80" s="235"/>
      <c r="D80" s="277"/>
      <c r="E80" s="277"/>
      <c r="F80" s="310"/>
      <c r="G80" s="236"/>
      <c r="H80" s="236"/>
      <c r="I80" s="236"/>
      <c r="J80" s="236"/>
      <c r="K80" s="236"/>
      <c r="L80" s="236"/>
      <c r="M80" s="236"/>
      <c r="N80" s="236"/>
      <c r="O80" s="260"/>
      <c r="P80" s="260"/>
      <c r="Q80" s="577"/>
      <c r="R80" s="577"/>
      <c r="S80" s="577"/>
      <c r="T80" s="260"/>
      <c r="U80" s="260"/>
      <c r="V80" s="247"/>
      <c r="W80" s="489"/>
      <c r="X80" s="348"/>
      <c r="Y80" s="239"/>
      <c r="Z80" s="239"/>
      <c r="AA80" s="1245"/>
      <c r="AB80" s="1247"/>
      <c r="AC80" s="805"/>
      <c r="AD80" s="247"/>
      <c r="AE80" s="353"/>
      <c r="AF80" s="746"/>
      <c r="AG80" s="815"/>
      <c r="AH80" s="816"/>
      <c r="AJ80" s="236"/>
      <c r="AK80" s="236"/>
      <c r="AL80" s="803">
        <f t="shared" si="3"/>
        <v>0</v>
      </c>
    </row>
    <row r="81" spans="2:42" s="242" customFormat="1" ht="24.75" customHeight="1">
      <c r="B81" s="362"/>
      <c r="C81" s="368"/>
      <c r="D81" s="277"/>
      <c r="E81" s="277"/>
      <c r="F81" s="310"/>
      <c r="G81" s="236"/>
      <c r="H81" s="236"/>
      <c r="I81" s="236"/>
      <c r="J81" s="236"/>
      <c r="K81" s="236"/>
      <c r="L81" s="236"/>
      <c r="M81" s="236"/>
      <c r="N81" s="236"/>
      <c r="O81" s="260"/>
      <c r="P81" s="260"/>
      <c r="Q81" s="577"/>
      <c r="R81" s="577"/>
      <c r="S81" s="577"/>
      <c r="T81" s="260"/>
      <c r="U81" s="260"/>
      <c r="V81" s="247"/>
      <c r="W81" s="488"/>
      <c r="X81" s="352"/>
      <c r="Y81" s="218"/>
      <c r="Z81" s="218"/>
      <c r="AA81" s="1245"/>
      <c r="AB81" s="1247"/>
      <c r="AC81" s="218"/>
      <c r="AD81" s="247"/>
      <c r="AE81" s="492"/>
      <c r="AF81" s="746"/>
      <c r="AG81" s="817"/>
      <c r="AH81" s="816"/>
      <c r="AJ81" s="236"/>
      <c r="AK81" s="236"/>
      <c r="AL81" s="803"/>
    </row>
    <row r="82" spans="2:42" s="242" customFormat="1" ht="24.75" customHeight="1">
      <c r="B82" s="362"/>
      <c r="C82" s="292"/>
      <c r="D82" s="310"/>
      <c r="E82" s="310"/>
      <c r="F82" s="310"/>
      <c r="G82" s="293"/>
      <c r="H82" s="293"/>
      <c r="I82" s="293"/>
      <c r="J82" s="293"/>
      <c r="K82" s="293"/>
      <c r="L82" s="293"/>
      <c r="M82" s="293"/>
      <c r="N82" s="293"/>
      <c r="O82" s="294"/>
      <c r="P82" s="294"/>
      <c r="Q82" s="329"/>
      <c r="R82" s="329"/>
      <c r="S82" s="329"/>
      <c r="T82" s="260"/>
      <c r="U82" s="294"/>
      <c r="V82" s="295"/>
      <c r="W82" s="489"/>
      <c r="X82" s="348"/>
      <c r="Y82" s="239"/>
      <c r="Z82" s="239"/>
      <c r="AA82" s="1245"/>
      <c r="AB82" s="1247"/>
      <c r="AC82" s="805"/>
      <c r="AD82" s="247"/>
      <c r="AE82" s="353"/>
      <c r="AF82" s="746"/>
      <c r="AG82" s="815"/>
      <c r="AH82" s="816"/>
      <c r="AJ82" s="236"/>
      <c r="AK82" s="236"/>
      <c r="AL82" s="803">
        <f t="shared" si="3"/>
        <v>0</v>
      </c>
    </row>
    <row r="83" spans="2:42" s="242" customFormat="1" ht="24.75" hidden="1" customHeight="1">
      <c r="B83" s="362"/>
      <c r="C83" s="235"/>
      <c r="D83" s="277"/>
      <c r="E83" s="277"/>
      <c r="F83" s="310"/>
      <c r="G83" s="236"/>
      <c r="H83" s="236"/>
      <c r="I83" s="236"/>
      <c r="J83" s="236"/>
      <c r="K83" s="236"/>
      <c r="L83" s="236"/>
      <c r="M83" s="236"/>
      <c r="N83" s="236"/>
      <c r="O83" s="260"/>
      <c r="P83" s="260"/>
      <c r="Q83" s="577"/>
      <c r="R83" s="577"/>
      <c r="S83" s="577"/>
      <c r="T83" s="260"/>
      <c r="U83" s="260"/>
      <c r="V83" s="247"/>
      <c r="W83" s="489"/>
      <c r="X83" s="348"/>
      <c r="Y83" s="239"/>
      <c r="Z83" s="239"/>
      <c r="AA83" s="1245"/>
      <c r="AB83" s="1247"/>
      <c r="AC83" s="274"/>
      <c r="AD83" s="247"/>
      <c r="AE83" s="353"/>
      <c r="AF83" s="746"/>
      <c r="AG83" s="817"/>
      <c r="AH83" s="816"/>
      <c r="AJ83" s="236"/>
      <c r="AK83" s="236"/>
      <c r="AL83" s="803"/>
    </row>
    <row r="84" spans="2:42" ht="24.75" hidden="1" customHeight="1">
      <c r="B84" s="362"/>
      <c r="C84" s="235"/>
      <c r="D84" s="277"/>
      <c r="E84" s="277"/>
      <c r="F84" s="310"/>
      <c r="G84" s="236"/>
      <c r="H84" s="236"/>
      <c r="I84" s="236"/>
      <c r="J84" s="236"/>
      <c r="K84" s="236"/>
      <c r="L84" s="236"/>
      <c r="M84" s="236"/>
      <c r="N84" s="236"/>
      <c r="O84" s="260"/>
      <c r="P84" s="260"/>
      <c r="Q84" s="577"/>
      <c r="R84" s="577"/>
      <c r="S84" s="577"/>
      <c r="T84" s="260"/>
      <c r="U84" s="260"/>
      <c r="V84" s="247"/>
      <c r="W84" s="489"/>
      <c r="X84" s="348"/>
      <c r="Y84" s="239"/>
      <c r="Z84" s="239"/>
      <c r="AA84" s="1245"/>
      <c r="AB84" s="1247"/>
      <c r="AC84" s="805"/>
      <c r="AD84" s="295"/>
      <c r="AE84" s="353"/>
      <c r="AF84" s="746"/>
      <c r="AG84" s="815"/>
      <c r="AH84" s="816"/>
      <c r="AJ84" s="236"/>
      <c r="AK84" s="236"/>
      <c r="AL84" s="803">
        <f t="shared" si="3"/>
        <v>0</v>
      </c>
    </row>
    <row r="85" spans="2:42" s="242" customFormat="1" ht="24.75" hidden="1" customHeight="1">
      <c r="B85" s="362"/>
      <c r="C85" s="235"/>
      <c r="D85" s="277"/>
      <c r="E85" s="277"/>
      <c r="F85" s="310"/>
      <c r="G85" s="236"/>
      <c r="H85" s="236"/>
      <c r="I85" s="236"/>
      <c r="J85" s="236"/>
      <c r="K85" s="236"/>
      <c r="L85" s="236"/>
      <c r="M85" s="236"/>
      <c r="N85" s="236"/>
      <c r="O85" s="260"/>
      <c r="P85" s="260"/>
      <c r="Q85" s="577"/>
      <c r="R85" s="577"/>
      <c r="S85" s="577"/>
      <c r="T85" s="260"/>
      <c r="U85" s="260"/>
      <c r="V85" s="247"/>
      <c r="W85" s="488"/>
      <c r="X85" s="352"/>
      <c r="Y85" s="218"/>
      <c r="Z85" s="218"/>
      <c r="AA85" s="1245"/>
      <c r="AB85" s="1247"/>
      <c r="AC85" s="216"/>
      <c r="AD85" s="247"/>
      <c r="AE85" s="339"/>
      <c r="AF85" s="746"/>
      <c r="AG85" s="817"/>
      <c r="AH85" s="816"/>
      <c r="AJ85" s="236"/>
      <c r="AK85" s="236"/>
      <c r="AL85" s="803"/>
    </row>
    <row r="86" spans="2:42" s="242" customFormat="1" ht="24.75" hidden="1" customHeight="1">
      <c r="B86" s="362"/>
      <c r="C86" s="235"/>
      <c r="D86" s="277"/>
      <c r="E86" s="277"/>
      <c r="F86" s="310"/>
      <c r="G86" s="236"/>
      <c r="H86" s="236"/>
      <c r="I86" s="236"/>
      <c r="J86" s="236"/>
      <c r="K86" s="236"/>
      <c r="L86" s="236"/>
      <c r="M86" s="236"/>
      <c r="N86" s="236"/>
      <c r="O86" s="260"/>
      <c r="P86" s="260"/>
      <c r="Q86" s="577"/>
      <c r="R86" s="577"/>
      <c r="S86" s="577"/>
      <c r="T86" s="260"/>
      <c r="U86" s="260"/>
      <c r="V86" s="247"/>
      <c r="W86" s="488"/>
      <c r="X86" s="352"/>
      <c r="Y86" s="218"/>
      <c r="Z86" s="218"/>
      <c r="AA86" s="1245"/>
      <c r="AB86" s="1247"/>
      <c r="AC86" s="216"/>
      <c r="AD86" s="295"/>
      <c r="AE86" s="339"/>
      <c r="AF86" s="746"/>
      <c r="AG86" s="815"/>
      <c r="AH86" s="816"/>
      <c r="AJ86" s="236"/>
      <c r="AK86" s="236"/>
      <c r="AL86" s="803">
        <f t="shared" si="3"/>
        <v>0</v>
      </c>
      <c r="AP86" s="242">
        <v>795000</v>
      </c>
    </row>
    <row r="87" spans="2:42" s="242" customFormat="1" ht="24.75" customHeight="1">
      <c r="B87" s="362"/>
      <c r="C87" s="235"/>
      <c r="D87" s="277"/>
      <c r="E87" s="277"/>
      <c r="F87" s="310"/>
      <c r="G87" s="236"/>
      <c r="H87" s="236"/>
      <c r="I87" s="236"/>
      <c r="J87" s="236"/>
      <c r="K87" s="236"/>
      <c r="L87" s="236"/>
      <c r="M87" s="236"/>
      <c r="N87" s="236"/>
      <c r="O87" s="260"/>
      <c r="P87" s="260"/>
      <c r="Q87" s="577"/>
      <c r="R87" s="577"/>
      <c r="S87" s="577"/>
      <c r="T87" s="260"/>
      <c r="U87" s="260"/>
      <c r="V87" s="247"/>
      <c r="W87" s="488"/>
      <c r="X87" s="352"/>
      <c r="Y87" s="218"/>
      <c r="Z87" s="218"/>
      <c r="AA87" s="1245"/>
      <c r="AB87" s="1247"/>
      <c r="AC87" s="216"/>
      <c r="AD87" s="247"/>
      <c r="AE87" s="339"/>
      <c r="AF87" s="746"/>
      <c r="AG87" s="817"/>
      <c r="AH87" s="816"/>
      <c r="AJ87" s="236"/>
      <c r="AK87" s="236"/>
      <c r="AL87" s="803"/>
    </row>
    <row r="88" spans="2:42" s="242" customFormat="1" ht="24.75" customHeight="1">
      <c r="B88" s="362"/>
      <c r="C88" s="235"/>
      <c r="D88" s="277"/>
      <c r="E88" s="277"/>
      <c r="F88" s="310"/>
      <c r="G88" s="236"/>
      <c r="H88" s="236"/>
      <c r="I88" s="236"/>
      <c r="J88" s="236"/>
      <c r="K88" s="236"/>
      <c r="L88" s="236"/>
      <c r="M88" s="236"/>
      <c r="N88" s="236"/>
      <c r="O88" s="260"/>
      <c r="P88" s="260"/>
      <c r="Q88" s="577"/>
      <c r="R88" s="577"/>
      <c r="S88" s="577"/>
      <c r="T88" s="260"/>
      <c r="U88" s="260"/>
      <c r="V88" s="247"/>
      <c r="W88" s="488"/>
      <c r="X88" s="352"/>
      <c r="Y88" s="218"/>
      <c r="Z88" s="218"/>
      <c r="AA88" s="1245"/>
      <c r="AB88" s="1247"/>
      <c r="AC88" s="805"/>
      <c r="AD88" s="247"/>
      <c r="AE88" s="339"/>
      <c r="AF88" s="746"/>
      <c r="AG88" s="815"/>
      <c r="AH88" s="816"/>
      <c r="AJ88" s="236"/>
      <c r="AK88" s="236"/>
      <c r="AL88" s="803">
        <f t="shared" si="3"/>
        <v>0</v>
      </c>
    </row>
    <row r="89" spans="2:42" ht="31.5" customHeight="1" thickBot="1">
      <c r="B89" s="255"/>
      <c r="C89" s="369"/>
      <c r="D89" s="369"/>
      <c r="E89" s="369"/>
      <c r="F89" s="369"/>
      <c r="G89" s="254"/>
      <c r="H89" s="254"/>
      <c r="I89" s="254"/>
      <c r="J89" s="254"/>
      <c r="K89" s="254"/>
      <c r="L89" s="254"/>
      <c r="M89" s="254"/>
      <c r="N89" s="254"/>
      <c r="O89" s="370"/>
      <c r="P89" s="370"/>
      <c r="Q89" s="523"/>
      <c r="R89" s="523"/>
      <c r="S89" s="523"/>
      <c r="T89" s="370"/>
      <c r="U89" s="370"/>
      <c r="V89" s="247"/>
      <c r="W89" s="489"/>
      <c r="X89" s="348"/>
      <c r="Y89" s="239"/>
      <c r="Z89" s="239"/>
      <c r="AA89" s="1209"/>
      <c r="AB89" s="1248"/>
      <c r="AC89" s="239"/>
      <c r="AD89" s="247"/>
      <c r="AE89" s="493"/>
      <c r="AF89" s="450"/>
      <c r="AG89" s="682"/>
      <c r="AH89" s="798"/>
      <c r="AJ89" s="236"/>
      <c r="AK89" s="236"/>
      <c r="AL89" s="803"/>
    </row>
    <row r="90" spans="2:42" ht="26.25" customHeight="1" thickTop="1" thickBot="1">
      <c r="B90" s="261" t="s">
        <v>3</v>
      </c>
      <c r="C90" s="262">
        <f>SUM(C56:C89)</f>
        <v>172</v>
      </c>
      <c r="D90" s="262">
        <f>SUM(D56:D89)</f>
        <v>0</v>
      </c>
      <c r="E90" s="262">
        <f>SUM(E56:E89)</f>
        <v>5194</v>
      </c>
      <c r="F90" s="414">
        <f>D90-E90</f>
        <v>-5194</v>
      </c>
      <c r="G90" s="262">
        <f>SUM(G56:G89)</f>
        <v>0</v>
      </c>
      <c r="H90" s="262">
        <f>SUM(H56:H89)</f>
        <v>0</v>
      </c>
      <c r="I90" s="262">
        <f>SUM(I56:I89)</f>
        <v>0</v>
      </c>
      <c r="J90" s="262">
        <f>SUM(J56:J89)</f>
        <v>0</v>
      </c>
      <c r="K90" s="262"/>
      <c r="L90" s="262"/>
      <c r="M90" s="262"/>
      <c r="N90" s="262"/>
      <c r="O90" s="262"/>
      <c r="P90" s="262"/>
      <c r="Q90" s="262">
        <f>SUM(Q56:Q89)</f>
        <v>551340</v>
      </c>
      <c r="R90" s="262">
        <f t="shared" ref="R90:T90" si="4">SUM(R56:R89)</f>
        <v>0</v>
      </c>
      <c r="S90" s="262">
        <f t="shared" si="4"/>
        <v>656000</v>
      </c>
      <c r="T90" s="263">
        <f t="shared" si="4"/>
        <v>13295647</v>
      </c>
      <c r="U90" s="263">
        <f>SUM(U56:U89)</f>
        <v>21086013.960000001</v>
      </c>
      <c r="V90" s="263">
        <f>SUM(V56:V89)</f>
        <v>695391805.44148147</v>
      </c>
      <c r="W90" s="490"/>
      <c r="X90" s="355"/>
      <c r="Y90" s="218"/>
      <c r="Z90" s="218"/>
      <c r="AA90" s="1093">
        <f>AA55</f>
        <v>695391805</v>
      </c>
      <c r="AB90" s="1092">
        <f>AB55</f>
        <v>0.44148147106170654</v>
      </c>
      <c r="AC90" s="218"/>
      <c r="AD90" s="265">
        <f>SUM(AD56:AD89)</f>
        <v>0</v>
      </c>
      <c r="AE90" s="492"/>
      <c r="AF90" s="310">
        <f>SUM(AF55:AF89)</f>
        <v>7496127.4074074086</v>
      </c>
      <c r="AG90" s="811">
        <f>SUM(AG55:AG89)</f>
        <v>2328888.888888889</v>
      </c>
      <c r="AH90" s="798">
        <f>SUM(AH55:AH89)</f>
        <v>0</v>
      </c>
      <c r="AJ90" s="236">
        <f>SUM(AJ58:AJ89)</f>
        <v>1340562</v>
      </c>
      <c r="AK90" s="236">
        <f>SUM(AK58:AK89)</f>
        <v>5318250</v>
      </c>
      <c r="AL90" s="803">
        <f>AK90/1050</f>
        <v>5065</v>
      </c>
      <c r="AN90" s="809">
        <f>SUM(AN54:AN89)</f>
        <v>0</v>
      </c>
    </row>
    <row r="91" spans="2:42" ht="17.25" customHeight="1" thickTop="1">
      <c r="V91" s="440"/>
    </row>
    <row r="92" spans="2:42" ht="17.25" customHeight="1">
      <c r="C92" s="216" t="s">
        <v>144</v>
      </c>
    </row>
    <row r="93" spans="2:42" ht="17.25" customHeight="1">
      <c r="K93" s="1202"/>
      <c r="L93" s="1202"/>
      <c r="M93" s="1202"/>
    </row>
    <row r="94" spans="2:42" ht="17.25" customHeight="1"/>
    <row r="95" spans="2:42" ht="17.25" customHeight="1"/>
    <row r="96" spans="2:42" ht="17.25" customHeight="1">
      <c r="B96" s="336" t="s">
        <v>526</v>
      </c>
      <c r="C96" s="847" t="s">
        <v>81</v>
      </c>
      <c r="D96" s="847"/>
      <c r="E96" s="566"/>
      <c r="F96" s="1173"/>
      <c r="G96" s="1173"/>
      <c r="H96" s="1173"/>
      <c r="I96" s="1173"/>
      <c r="J96" s="337"/>
      <c r="K96" s="337"/>
      <c r="L96" s="1173" t="s">
        <v>82</v>
      </c>
      <c r="M96" s="1173"/>
      <c r="N96" s="1173"/>
      <c r="O96" s="1173"/>
      <c r="P96" s="1173"/>
      <c r="Q96" s="1173"/>
      <c r="R96" s="1173"/>
      <c r="S96" s="1173"/>
      <c r="T96" s="1173"/>
      <c r="U96" s="1173"/>
      <c r="V96" s="1173"/>
      <c r="AD96" s="776"/>
    </row>
    <row r="97" spans="2:38" ht="17.25" customHeight="1">
      <c r="B97" s="336"/>
      <c r="C97" s="566"/>
      <c r="D97" s="566"/>
      <c r="E97" s="566"/>
      <c r="F97" s="566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</row>
    <row r="98" spans="2:38" ht="17.25" customHeight="1">
      <c r="B98" s="336"/>
      <c r="C98" s="566"/>
      <c r="D98" s="566"/>
      <c r="E98" s="566"/>
      <c r="F98" s="566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AD98" s="492"/>
    </row>
    <row r="99" spans="2:38" ht="17.25" customHeight="1">
      <c r="B99" s="336"/>
      <c r="C99" s="566"/>
      <c r="D99" s="566"/>
      <c r="E99" s="566"/>
      <c r="F99" s="566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</row>
    <row r="100" spans="2:38" ht="17.25" customHeight="1">
      <c r="B100" s="336"/>
      <c r="C100" s="566"/>
      <c r="D100" s="566"/>
      <c r="E100" s="566"/>
      <c r="F100" s="1173"/>
      <c r="G100" s="1173"/>
      <c r="H100" s="1173"/>
      <c r="I100" s="1173"/>
      <c r="J100" s="337"/>
      <c r="K100" s="337"/>
      <c r="L100" s="1173"/>
      <c r="M100" s="1173"/>
      <c r="N100" s="1173"/>
      <c r="O100" s="1173"/>
      <c r="P100" s="1173"/>
      <c r="Q100" s="1173"/>
      <c r="R100" s="1173"/>
      <c r="S100" s="1173"/>
      <c r="T100" s="1173"/>
      <c r="U100" s="1173"/>
      <c r="V100" s="1173"/>
    </row>
    <row r="101" spans="2:38" ht="17.25" customHeight="1"/>
    <row r="102" spans="2:38" ht="18.75" customHeight="1"/>
    <row r="103" spans="2:38" ht="18.75" customHeight="1"/>
    <row r="104" spans="2:38" ht="18.75" customHeight="1"/>
    <row r="105" spans="2:38" ht="18.75" customHeight="1">
      <c r="B105" s="215" t="s">
        <v>0</v>
      </c>
    </row>
    <row r="106" spans="2:38" ht="63.75" customHeight="1">
      <c r="B106" s="215" t="str">
        <f>B4</f>
        <v>DENOMINATION FOR OKTOBER 2025</v>
      </c>
    </row>
    <row r="107" spans="2:38" ht="27" customHeight="1" thickBot="1"/>
    <row r="108" spans="2:38" ht="27" customHeight="1" thickTop="1">
      <c r="B108" s="1176" t="s">
        <v>1</v>
      </c>
      <c r="C108" s="1183" t="s">
        <v>15</v>
      </c>
      <c r="D108" s="1178" t="s">
        <v>470</v>
      </c>
      <c r="E108" s="1179"/>
      <c r="F108" s="1180"/>
      <c r="G108" s="1183" t="s">
        <v>244</v>
      </c>
      <c r="H108" s="1183" t="s">
        <v>471</v>
      </c>
      <c r="I108" s="1185" t="s">
        <v>472</v>
      </c>
      <c r="J108" s="1181" t="s">
        <v>473</v>
      </c>
      <c r="K108" s="1181"/>
      <c r="L108" s="572"/>
      <c r="M108" s="1183"/>
      <c r="N108" s="572"/>
      <c r="O108" s="572"/>
      <c r="P108" s="1183"/>
      <c r="Q108" s="568" t="s">
        <v>145</v>
      </c>
      <c r="R108" s="568" t="s">
        <v>253</v>
      </c>
      <c r="S108" s="568" t="s">
        <v>440</v>
      </c>
      <c r="T108" s="1174" t="str">
        <f>T6</f>
        <v>TOTAL PREMI</v>
      </c>
      <c r="U108" s="1174" t="str">
        <f>U6</f>
        <v>TOTAL LEMBUR</v>
      </c>
      <c r="V108" s="1171" t="s">
        <v>665</v>
      </c>
      <c r="W108" s="304" t="s">
        <v>16</v>
      </c>
      <c r="X108" s="222" t="s">
        <v>18</v>
      </c>
      <c r="Y108" s="218"/>
      <c r="Z108" s="218"/>
      <c r="AA108" s="1171" t="s">
        <v>664</v>
      </c>
      <c r="AB108" s="1240" t="s">
        <v>226</v>
      </c>
      <c r="AC108" s="218"/>
      <c r="AD108" s="1171" t="s">
        <v>259</v>
      </c>
      <c r="AE108" s="492"/>
      <c r="AF108" s="1189" t="s">
        <v>542</v>
      </c>
      <c r="AG108" s="1187" t="s">
        <v>617</v>
      </c>
      <c r="AH108" s="1198" t="s">
        <v>647</v>
      </c>
      <c r="AJ108" s="1197" t="s">
        <v>452</v>
      </c>
      <c r="AK108" s="1197"/>
      <c r="AL108" s="380"/>
    </row>
    <row r="109" spans="2:38" ht="27" customHeight="1" thickBot="1">
      <c r="B109" s="1177"/>
      <c r="C109" s="1184"/>
      <c r="D109" s="573" t="s">
        <v>485</v>
      </c>
      <c r="E109" s="573" t="s">
        <v>486</v>
      </c>
      <c r="F109" s="573" t="s">
        <v>487</v>
      </c>
      <c r="G109" s="1184"/>
      <c r="H109" s="1184"/>
      <c r="I109" s="1186"/>
      <c r="J109" s="1182"/>
      <c r="K109" s="1182"/>
      <c r="L109" s="573"/>
      <c r="M109" s="1184"/>
      <c r="N109" s="573"/>
      <c r="O109" s="573"/>
      <c r="P109" s="1184"/>
      <c r="Q109" s="569" t="str">
        <f>Q54</f>
        <v>(MASA OKTOBER 2025)</v>
      </c>
      <c r="R109" s="569" t="s">
        <v>254</v>
      </c>
      <c r="S109" s="569" t="s">
        <v>439</v>
      </c>
      <c r="T109" s="1184"/>
      <c r="U109" s="1175"/>
      <c r="V109" s="1172"/>
      <c r="W109" s="305"/>
      <c r="X109" s="225" t="s">
        <v>19</v>
      </c>
      <c r="Y109" s="218"/>
      <c r="Z109" s="218"/>
      <c r="AA109" s="1172"/>
      <c r="AB109" s="1241"/>
      <c r="AC109" s="218"/>
      <c r="AD109" s="1172"/>
      <c r="AE109" s="492"/>
      <c r="AF109" s="1190"/>
      <c r="AG109" s="1188"/>
      <c r="AH109" s="1199"/>
      <c r="AJ109" s="292" t="s">
        <v>611</v>
      </c>
      <c r="AK109" s="292" t="s">
        <v>612</v>
      </c>
      <c r="AL109" s="380"/>
    </row>
    <row r="110" spans="2:38" s="242" customFormat="1" ht="27" customHeight="1" thickTop="1">
      <c r="B110" s="226"/>
      <c r="C110" s="227"/>
      <c r="D110" s="802"/>
      <c r="E110" s="801"/>
      <c r="F110" s="842"/>
      <c r="G110" s="229"/>
      <c r="H110" s="229"/>
      <c r="I110" s="229"/>
      <c r="J110" s="229"/>
      <c r="K110" s="229"/>
      <c r="L110" s="229"/>
      <c r="M110" s="229"/>
      <c r="N110" s="229"/>
      <c r="O110" s="229"/>
      <c r="P110" s="230"/>
      <c r="Q110" s="231"/>
      <c r="R110" s="231"/>
      <c r="S110" s="231"/>
      <c r="T110" s="230"/>
      <c r="U110" s="337"/>
      <c r="V110" s="564"/>
      <c r="W110" s="232"/>
      <c r="X110" s="233"/>
      <c r="Y110" s="215"/>
      <c r="Z110" s="215"/>
      <c r="AA110" s="1234">
        <v>804360365</v>
      </c>
      <c r="AB110" s="1237">
        <f>V135-AA135</f>
        <v>-1.7399997711181641</v>
      </c>
      <c r="AD110" s="564"/>
      <c r="AE110" s="339"/>
      <c r="AF110" s="364"/>
      <c r="AG110" s="828"/>
      <c r="AH110" s="800"/>
      <c r="AJ110" s="236"/>
      <c r="AK110" s="236"/>
      <c r="AL110" s="236"/>
    </row>
    <row r="111" spans="2:38" s="242" customFormat="1" ht="27" customHeight="1">
      <c r="B111" s="234" t="s">
        <v>547</v>
      </c>
      <c r="C111" s="235">
        <v>29</v>
      </c>
      <c r="D111" s="277"/>
      <c r="E111" s="277">
        <v>892</v>
      </c>
      <c r="F111" s="310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578">
        <v>53637</v>
      </c>
      <c r="R111" s="578"/>
      <c r="S111" s="578">
        <v>100000</v>
      </c>
      <c r="T111" s="236">
        <v>250000</v>
      </c>
      <c r="U111" s="244">
        <v>3708539.05</v>
      </c>
      <c r="V111" s="550">
        <v>119156076.05</v>
      </c>
      <c r="W111" s="240"/>
      <c r="X111" s="241"/>
      <c r="AA111" s="1235"/>
      <c r="AB111" s="1244"/>
      <c r="AC111" s="805"/>
      <c r="AD111" s="238"/>
      <c r="AE111" s="353"/>
      <c r="AF111" s="364"/>
      <c r="AG111" s="827"/>
      <c r="AH111" s="800"/>
      <c r="AJ111" s="236"/>
      <c r="AK111" s="236"/>
      <c r="AL111" s="803">
        <f t="shared" ref="AL111:AL133" si="5">AK111/1050</f>
        <v>0</v>
      </c>
    </row>
    <row r="112" spans="2:38" s="242" customFormat="1" ht="27" customHeight="1">
      <c r="B112" s="234"/>
      <c r="C112" s="243"/>
      <c r="D112" s="578"/>
      <c r="E112" s="578"/>
      <c r="F112" s="310"/>
      <c r="G112" s="237"/>
      <c r="H112" s="237"/>
      <c r="I112" s="237"/>
      <c r="J112" s="237"/>
      <c r="K112" s="237"/>
      <c r="L112" s="244"/>
      <c r="M112" s="236"/>
      <c r="N112" s="237"/>
      <c r="O112" s="237"/>
      <c r="P112" s="236"/>
      <c r="Q112" s="578"/>
      <c r="R112" s="578"/>
      <c r="S112" s="578"/>
      <c r="T112" s="236"/>
      <c r="U112" s="244"/>
      <c r="V112" s="550"/>
      <c r="W112" s="245"/>
      <c r="X112" s="246"/>
      <c r="AA112" s="1235"/>
      <c r="AB112" s="1244"/>
      <c r="AD112" s="238"/>
      <c r="AE112" s="353"/>
      <c r="AF112" s="364"/>
      <c r="AG112" s="827"/>
      <c r="AH112" s="800"/>
      <c r="AJ112" s="236"/>
      <c r="AK112" s="236"/>
      <c r="AL112" s="803"/>
    </row>
    <row r="113" spans="2:40" s="242" customFormat="1" ht="27" customHeight="1">
      <c r="B113" s="234" t="s">
        <v>546</v>
      </c>
      <c r="C113" s="243">
        <v>20</v>
      </c>
      <c r="D113" s="578"/>
      <c r="E113" s="578">
        <v>614</v>
      </c>
      <c r="F113" s="310"/>
      <c r="G113" s="237"/>
      <c r="H113" s="237"/>
      <c r="I113" s="237"/>
      <c r="J113" s="237"/>
      <c r="K113" s="237"/>
      <c r="L113" s="244"/>
      <c r="M113" s="236"/>
      <c r="N113" s="237"/>
      <c r="O113" s="237"/>
      <c r="P113" s="236"/>
      <c r="Q113" s="578">
        <v>111916</v>
      </c>
      <c r="R113" s="578"/>
      <c r="S113" s="578">
        <v>36000</v>
      </c>
      <c r="T113" s="236">
        <f>2716667+3450500+AM113</f>
        <v>15958944</v>
      </c>
      <c r="U113" s="244">
        <v>0</v>
      </c>
      <c r="V113" s="550">
        <v>99926945</v>
      </c>
      <c r="W113" s="245"/>
      <c r="X113" s="246"/>
      <c r="AA113" s="1235"/>
      <c r="AB113" s="1244"/>
      <c r="AC113" s="805"/>
      <c r="AD113" s="238">
        <v>3709000</v>
      </c>
      <c r="AE113" s="353"/>
      <c r="AF113" s="746"/>
      <c r="AG113" s="815">
        <v>1292317</v>
      </c>
      <c r="AH113" s="816"/>
      <c r="AJ113" s="236">
        <v>4023777</v>
      </c>
      <c r="AK113" s="236">
        <v>5768000</v>
      </c>
      <c r="AL113" s="803">
        <f t="shared" si="5"/>
        <v>5493.333333333333</v>
      </c>
      <c r="AM113" s="239">
        <f>AJ113+AK113</f>
        <v>9791777</v>
      </c>
    </row>
    <row r="114" spans="2:40" s="242" customFormat="1" ht="27" customHeight="1">
      <c r="B114" s="234"/>
      <c r="C114" s="251"/>
      <c r="D114" s="531"/>
      <c r="E114" s="531"/>
      <c r="F114" s="310"/>
      <c r="G114" s="252"/>
      <c r="H114" s="252"/>
      <c r="I114" s="252"/>
      <c r="J114" s="252"/>
      <c r="K114" s="252"/>
      <c r="L114" s="253"/>
      <c r="M114" s="254"/>
      <c r="N114" s="252"/>
      <c r="O114" s="252"/>
      <c r="P114" s="254"/>
      <c r="Q114" s="531"/>
      <c r="R114" s="531"/>
      <c r="S114" s="531"/>
      <c r="T114" s="254"/>
      <c r="U114" s="253"/>
      <c r="V114" s="550"/>
      <c r="W114" s="245"/>
      <c r="X114" s="246"/>
      <c r="AA114" s="1235"/>
      <c r="AB114" s="1244"/>
      <c r="AD114" s="238"/>
      <c r="AE114" s="353"/>
      <c r="AF114" s="746"/>
      <c r="AG114" s="829"/>
      <c r="AH114" s="817"/>
      <c r="AJ114" s="236"/>
      <c r="AK114" s="236"/>
      <c r="AL114" s="803"/>
    </row>
    <row r="115" spans="2:40" s="242" customFormat="1" ht="27" customHeight="1">
      <c r="B115" s="234" t="s">
        <v>482</v>
      </c>
      <c r="C115" s="251">
        <v>4</v>
      </c>
      <c r="D115" s="531"/>
      <c r="E115" s="531">
        <v>124</v>
      </c>
      <c r="F115" s="310"/>
      <c r="G115" s="252"/>
      <c r="H115" s="252"/>
      <c r="I115" s="252"/>
      <c r="J115" s="252"/>
      <c r="K115" s="252"/>
      <c r="L115" s="253"/>
      <c r="M115" s="254"/>
      <c r="N115" s="252"/>
      <c r="O115" s="252"/>
      <c r="P115" s="254"/>
      <c r="Q115" s="531">
        <v>253539</v>
      </c>
      <c r="R115" s="531"/>
      <c r="S115" s="531">
        <v>16000</v>
      </c>
      <c r="T115" s="254">
        <v>5476085</v>
      </c>
      <c r="U115" s="253">
        <v>5411555.3399999999</v>
      </c>
      <c r="V115" s="550">
        <v>27206945.340000004</v>
      </c>
      <c r="W115" s="245"/>
      <c r="X115" s="246"/>
      <c r="AA115" s="1235"/>
      <c r="AB115" s="1244"/>
      <c r="AC115" s="805"/>
      <c r="AD115" s="238"/>
      <c r="AE115" s="353"/>
      <c r="AF115" s="746"/>
      <c r="AG115" s="829"/>
      <c r="AH115" s="816"/>
      <c r="AJ115" s="236"/>
      <c r="AK115" s="236"/>
      <c r="AL115" s="803">
        <f t="shared" si="5"/>
        <v>0</v>
      </c>
    </row>
    <row r="116" spans="2:40" ht="27" customHeight="1">
      <c r="B116" s="234"/>
      <c r="C116" s="251"/>
      <c r="D116" s="531"/>
      <c r="E116" s="531"/>
      <c r="F116" s="310"/>
      <c r="G116" s="252"/>
      <c r="H116" s="252"/>
      <c r="I116" s="252"/>
      <c r="J116" s="252"/>
      <c r="K116" s="252"/>
      <c r="L116" s="253"/>
      <c r="M116" s="254"/>
      <c r="N116" s="252"/>
      <c r="O116" s="252"/>
      <c r="P116" s="254"/>
      <c r="Q116" s="531"/>
      <c r="R116" s="531"/>
      <c r="S116" s="531"/>
      <c r="T116" s="254"/>
      <c r="U116" s="253"/>
      <c r="V116" s="550"/>
      <c r="W116" s="245"/>
      <c r="X116" s="246"/>
      <c r="Y116" s="242"/>
      <c r="Z116" s="242"/>
      <c r="AA116" s="1235"/>
      <c r="AB116" s="1244"/>
      <c r="AD116" s="238"/>
      <c r="AE116" s="353"/>
      <c r="AF116" s="746"/>
      <c r="AG116" s="829"/>
      <c r="AH116" s="825"/>
      <c r="AJ116" s="236"/>
      <c r="AK116" s="236"/>
      <c r="AL116" s="803"/>
    </row>
    <row r="117" spans="2:40" s="242" customFormat="1" ht="27" customHeight="1">
      <c r="B117" s="234" t="s">
        <v>620</v>
      </c>
      <c r="C117" s="251"/>
      <c r="D117" s="531"/>
      <c r="E117" s="531"/>
      <c r="F117" s="310"/>
      <c r="G117" s="252"/>
      <c r="H117" s="252"/>
      <c r="I117" s="252"/>
      <c r="J117" s="252"/>
      <c r="K117" s="252"/>
      <c r="L117" s="253"/>
      <c r="M117" s="254"/>
      <c r="N117" s="252"/>
      <c r="O117" s="252"/>
      <c r="P117" s="254"/>
      <c r="Q117" s="531"/>
      <c r="R117" s="531"/>
      <c r="S117" s="531"/>
      <c r="T117" s="254"/>
      <c r="U117" s="253"/>
      <c r="V117" s="295"/>
      <c r="W117" s="248"/>
      <c r="X117" s="249"/>
      <c r="Y117" s="215"/>
      <c r="Z117" s="215"/>
      <c r="AA117" s="1235"/>
      <c r="AB117" s="1244"/>
      <c r="AC117" s="805"/>
      <c r="AD117" s="247"/>
      <c r="AE117" s="339"/>
      <c r="AF117" s="746"/>
      <c r="AG117" s="815"/>
      <c r="AH117" s="816"/>
      <c r="AJ117" s="236"/>
      <c r="AK117" s="236"/>
      <c r="AL117" s="803">
        <f>AK117/1050</f>
        <v>0</v>
      </c>
      <c r="AM117" s="239">
        <f>AJ117+AK117</f>
        <v>0</v>
      </c>
    </row>
    <row r="118" spans="2:40" s="242" customFormat="1" ht="27" customHeight="1">
      <c r="B118" s="250"/>
      <c r="C118" s="251"/>
      <c r="D118" s="531"/>
      <c r="E118" s="531"/>
      <c r="F118" s="310"/>
      <c r="G118" s="252"/>
      <c r="H118" s="252"/>
      <c r="I118" s="252"/>
      <c r="J118" s="252"/>
      <c r="K118" s="252"/>
      <c r="L118" s="253"/>
      <c r="M118" s="833"/>
      <c r="N118" s="252"/>
      <c r="O118" s="252"/>
      <c r="P118" s="833"/>
      <c r="Q118" s="531"/>
      <c r="R118" s="531"/>
      <c r="S118" s="531"/>
      <c r="T118" s="833"/>
      <c r="U118" s="253"/>
      <c r="V118" s="295"/>
      <c r="W118" s="248"/>
      <c r="X118" s="249"/>
      <c r="Y118" s="215"/>
      <c r="Z118" s="215"/>
      <c r="AA118" s="1235"/>
      <c r="AB118" s="1244"/>
      <c r="AC118" s="239"/>
      <c r="AD118" s="247"/>
      <c r="AE118" s="339"/>
      <c r="AF118" s="746"/>
      <c r="AG118" s="815"/>
      <c r="AH118" s="816"/>
      <c r="AJ118" s="236"/>
      <c r="AK118" s="236"/>
      <c r="AL118" s="803"/>
      <c r="AN118" s="67" t="s">
        <v>654</v>
      </c>
    </row>
    <row r="119" spans="2:40" s="242" customFormat="1" ht="27" customHeight="1">
      <c r="B119" s="234" t="s">
        <v>552</v>
      </c>
      <c r="C119" s="251">
        <v>31</v>
      </c>
      <c r="D119" s="531"/>
      <c r="E119" s="531">
        <v>940</v>
      </c>
      <c r="F119" s="310"/>
      <c r="G119" s="252"/>
      <c r="H119" s="252"/>
      <c r="I119" s="252"/>
      <c r="J119" s="252"/>
      <c r="K119" s="252"/>
      <c r="L119" s="253"/>
      <c r="M119" s="833"/>
      <c r="N119" s="252"/>
      <c r="O119" s="252"/>
      <c r="P119" s="833"/>
      <c r="Q119" s="531">
        <v>0</v>
      </c>
      <c r="R119" s="531"/>
      <c r="S119" s="531">
        <v>120000</v>
      </c>
      <c r="T119" s="833">
        <f>2701667+AM119</f>
        <v>12495208</v>
      </c>
      <c r="U119" s="253">
        <v>380937.56</v>
      </c>
      <c r="V119" s="295">
        <v>134241783.06</v>
      </c>
      <c r="W119" s="248"/>
      <c r="X119" s="249"/>
      <c r="Y119" s="215"/>
      <c r="Z119" s="215"/>
      <c r="AA119" s="1235"/>
      <c r="AB119" s="1244"/>
      <c r="AC119" s="805"/>
      <c r="AD119" s="247">
        <v>0</v>
      </c>
      <c r="AE119" s="339"/>
      <c r="AF119" s="746">
        <v>721566</v>
      </c>
      <c r="AG119" s="815">
        <v>533407.5</v>
      </c>
      <c r="AH119" s="816"/>
      <c r="AJ119" s="236">
        <v>355791</v>
      </c>
      <c r="AK119" s="236">
        <v>9437750</v>
      </c>
      <c r="AL119" s="803">
        <f t="shared" si="5"/>
        <v>8988.3333333333339</v>
      </c>
      <c r="AM119" s="239">
        <f>AJ119+AK119</f>
        <v>9793541</v>
      </c>
      <c r="AN119" s="1012"/>
    </row>
    <row r="120" spans="2:40" ht="27" customHeight="1">
      <c r="B120" s="250"/>
      <c r="C120" s="251"/>
      <c r="D120" s="531"/>
      <c r="E120" s="531"/>
      <c r="F120" s="310"/>
      <c r="G120" s="254"/>
      <c r="H120" s="252"/>
      <c r="I120" s="254"/>
      <c r="J120" s="252"/>
      <c r="K120" s="254"/>
      <c r="L120" s="256"/>
      <c r="M120" s="254"/>
      <c r="N120" s="254"/>
      <c r="O120" s="254"/>
      <c r="P120" s="254"/>
      <c r="Q120" s="531"/>
      <c r="R120" s="531"/>
      <c r="S120" s="531"/>
      <c r="T120" s="254"/>
      <c r="U120" s="253"/>
      <c r="V120" s="550"/>
      <c r="W120" s="240"/>
      <c r="X120" s="241"/>
      <c r="Y120" s="242"/>
      <c r="Z120" s="242"/>
      <c r="AA120" s="1235"/>
      <c r="AB120" s="1244"/>
      <c r="AC120" s="239"/>
      <c r="AD120" s="238"/>
      <c r="AE120" s="353"/>
      <c r="AF120" s="746"/>
      <c r="AG120" s="815"/>
      <c r="AH120" s="816"/>
      <c r="AJ120" s="236"/>
      <c r="AK120" s="236"/>
      <c r="AL120" s="803"/>
    </row>
    <row r="121" spans="2:40" ht="27" customHeight="1">
      <c r="B121" s="234" t="s">
        <v>551</v>
      </c>
      <c r="C121" s="257">
        <v>21</v>
      </c>
      <c r="D121" s="369"/>
      <c r="E121" s="369">
        <v>644</v>
      </c>
      <c r="F121" s="310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531">
        <v>86231</v>
      </c>
      <c r="R121" s="531"/>
      <c r="S121" s="531">
        <v>80000</v>
      </c>
      <c r="T121" s="254">
        <v>0</v>
      </c>
      <c r="U121" s="253">
        <v>2711378.98</v>
      </c>
      <c r="V121" s="295">
        <v>85609953.980000004</v>
      </c>
      <c r="W121" s="258"/>
      <c r="X121" s="259"/>
      <c r="AA121" s="1235"/>
      <c r="AB121" s="1244"/>
      <c r="AC121" s="805"/>
      <c r="AD121" s="247"/>
      <c r="AE121" s="492"/>
      <c r="AF121" s="746"/>
      <c r="AG121" s="815"/>
      <c r="AH121" s="816"/>
      <c r="AJ121" s="236"/>
      <c r="AK121" s="236"/>
      <c r="AL121" s="803">
        <f t="shared" si="5"/>
        <v>0</v>
      </c>
    </row>
    <row r="122" spans="2:40" ht="27" customHeight="1">
      <c r="B122" s="250"/>
      <c r="C122" s="251"/>
      <c r="D122" s="531"/>
      <c r="E122" s="531"/>
      <c r="F122" s="310"/>
      <c r="G122" s="252"/>
      <c r="H122" s="252"/>
      <c r="I122" s="252"/>
      <c r="J122" s="252"/>
      <c r="K122" s="252"/>
      <c r="L122" s="253"/>
      <c r="M122" s="254"/>
      <c r="N122" s="252"/>
      <c r="O122" s="252"/>
      <c r="P122" s="254"/>
      <c r="Q122" s="531"/>
      <c r="R122" s="531"/>
      <c r="S122" s="531"/>
      <c r="T122" s="254"/>
      <c r="U122" s="253"/>
      <c r="V122" s="295"/>
      <c r="W122" s="258"/>
      <c r="X122" s="259"/>
      <c r="AA122" s="1235"/>
      <c r="AB122" s="1244"/>
      <c r="AC122" s="239"/>
      <c r="AD122" s="247"/>
      <c r="AF122" s="746"/>
      <c r="AG122" s="815"/>
      <c r="AH122" s="816"/>
      <c r="AJ122" s="236"/>
      <c r="AK122" s="236"/>
      <c r="AL122" s="803"/>
    </row>
    <row r="123" spans="2:40" ht="27" customHeight="1">
      <c r="B123" s="234" t="s">
        <v>483</v>
      </c>
      <c r="C123" s="243">
        <v>6</v>
      </c>
      <c r="D123" s="578"/>
      <c r="E123" s="578">
        <v>186</v>
      </c>
      <c r="F123" s="310"/>
      <c r="G123" s="237"/>
      <c r="H123" s="237"/>
      <c r="I123" s="237"/>
      <c r="J123" s="237"/>
      <c r="K123" s="237"/>
      <c r="L123" s="244"/>
      <c r="M123" s="236"/>
      <c r="N123" s="237"/>
      <c r="O123" s="237"/>
      <c r="P123" s="236"/>
      <c r="Q123" s="994">
        <v>284480</v>
      </c>
      <c r="R123" s="578"/>
      <c r="S123" s="578">
        <v>24000</v>
      </c>
      <c r="T123" s="236">
        <v>6814360</v>
      </c>
      <c r="U123" s="244">
        <v>6834468.04</v>
      </c>
      <c r="V123" s="550">
        <v>37964924.039999999</v>
      </c>
      <c r="W123" s="258"/>
      <c r="X123" s="259"/>
      <c r="AA123" s="1235"/>
      <c r="AB123" s="1244"/>
      <c r="AC123" s="805"/>
      <c r="AD123" s="238"/>
      <c r="AF123" s="746"/>
      <c r="AG123" s="815"/>
      <c r="AH123" s="816"/>
      <c r="AJ123" s="236"/>
      <c r="AK123" s="236"/>
      <c r="AL123" s="803">
        <f t="shared" si="5"/>
        <v>0</v>
      </c>
    </row>
    <row r="124" spans="2:40" ht="27" customHeight="1">
      <c r="B124" s="250"/>
      <c r="C124" s="251"/>
      <c r="D124" s="531"/>
      <c r="E124" s="531"/>
      <c r="F124" s="310"/>
      <c r="G124" s="254"/>
      <c r="H124" s="252"/>
      <c r="I124" s="254"/>
      <c r="J124" s="252"/>
      <c r="K124" s="254"/>
      <c r="L124" s="256"/>
      <c r="M124" s="254"/>
      <c r="N124" s="254"/>
      <c r="O124" s="254"/>
      <c r="P124" s="254"/>
      <c r="Q124" s="531"/>
      <c r="R124" s="531"/>
      <c r="S124" s="531"/>
      <c r="T124" s="254"/>
      <c r="U124" s="253"/>
      <c r="V124" s="295"/>
      <c r="W124" s="258"/>
      <c r="X124" s="259"/>
      <c r="AA124" s="1235"/>
      <c r="AB124" s="1244"/>
      <c r="AC124" s="239"/>
      <c r="AD124" s="247"/>
      <c r="AF124" s="746"/>
      <c r="AG124" s="815"/>
      <c r="AH124" s="816"/>
      <c r="AJ124" s="236"/>
      <c r="AK124" s="236"/>
      <c r="AL124" s="803"/>
    </row>
    <row r="125" spans="2:40" ht="27" customHeight="1">
      <c r="B125" s="234" t="s">
        <v>550</v>
      </c>
      <c r="C125" s="251"/>
      <c r="D125" s="531"/>
      <c r="E125" s="531"/>
      <c r="F125" s="310"/>
      <c r="G125" s="254"/>
      <c r="H125" s="252"/>
      <c r="I125" s="254"/>
      <c r="J125" s="252"/>
      <c r="K125" s="254"/>
      <c r="L125" s="256"/>
      <c r="M125" s="254"/>
      <c r="N125" s="254"/>
      <c r="O125" s="254"/>
      <c r="P125" s="254"/>
      <c r="Q125" s="531"/>
      <c r="R125" s="531"/>
      <c r="S125" s="531"/>
      <c r="T125" s="254"/>
      <c r="U125" s="253"/>
      <c r="V125" s="295"/>
      <c r="W125" s="258"/>
      <c r="X125" s="259"/>
      <c r="AA125" s="1235"/>
      <c r="AB125" s="1244"/>
      <c r="AC125" s="805"/>
      <c r="AD125" s="247"/>
      <c r="AF125" s="746"/>
      <c r="AG125" s="815"/>
      <c r="AH125" s="816"/>
      <c r="AJ125" s="236"/>
      <c r="AK125" s="236"/>
      <c r="AL125" s="803">
        <f t="shared" si="5"/>
        <v>0</v>
      </c>
      <c r="AM125" s="239">
        <f>AJ125+AK125</f>
        <v>0</v>
      </c>
      <c r="AN125" s="1012"/>
    </row>
    <row r="126" spans="2:40" s="242" customFormat="1" ht="27" customHeight="1">
      <c r="B126" s="250"/>
      <c r="C126" s="251"/>
      <c r="D126" s="531"/>
      <c r="E126" s="531"/>
      <c r="F126" s="310"/>
      <c r="G126" s="254"/>
      <c r="H126" s="252"/>
      <c r="I126" s="254"/>
      <c r="J126" s="252"/>
      <c r="K126" s="254"/>
      <c r="L126" s="256"/>
      <c r="M126" s="254"/>
      <c r="N126" s="254"/>
      <c r="O126" s="254"/>
      <c r="P126" s="254"/>
      <c r="Q126" s="531"/>
      <c r="R126" s="531"/>
      <c r="S126" s="531"/>
      <c r="T126" s="254"/>
      <c r="U126" s="253"/>
      <c r="V126" s="295"/>
      <c r="W126" s="258"/>
      <c r="X126" s="259"/>
      <c r="Y126" s="215"/>
      <c r="Z126" s="215"/>
      <c r="AA126" s="1235"/>
      <c r="AB126" s="1244"/>
      <c r="AC126" s="239"/>
      <c r="AD126" s="247"/>
      <c r="AE126" s="339"/>
      <c r="AF126" s="746"/>
      <c r="AG126" s="815"/>
      <c r="AH126" s="816"/>
      <c r="AJ126" s="236"/>
      <c r="AK126" s="236"/>
      <c r="AL126" s="803"/>
    </row>
    <row r="127" spans="2:40" s="242" customFormat="1" ht="27" customHeight="1">
      <c r="B127" s="234" t="s">
        <v>549</v>
      </c>
      <c r="C127" s="257">
        <v>26</v>
      </c>
      <c r="D127" s="369"/>
      <c r="E127" s="369">
        <v>793</v>
      </c>
      <c r="F127" s="310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531">
        <v>0</v>
      </c>
      <c r="R127" s="531"/>
      <c r="S127" s="531">
        <v>104000</v>
      </c>
      <c r="T127" s="254">
        <v>0</v>
      </c>
      <c r="U127" s="253">
        <v>526590.14</v>
      </c>
      <c r="V127" s="295">
        <v>102874126.14</v>
      </c>
      <c r="W127" s="240"/>
      <c r="X127" s="241"/>
      <c r="AA127" s="1235"/>
      <c r="AB127" s="1244"/>
      <c r="AC127" s="805"/>
      <c r="AD127" s="238"/>
      <c r="AE127" s="353"/>
      <c r="AF127" s="746"/>
      <c r="AG127" s="815"/>
      <c r="AH127" s="816"/>
      <c r="AJ127" s="236"/>
      <c r="AK127" s="236"/>
      <c r="AL127" s="803">
        <f t="shared" si="5"/>
        <v>0</v>
      </c>
    </row>
    <row r="128" spans="2:40" s="242" customFormat="1" ht="27" customHeight="1">
      <c r="B128" s="234"/>
      <c r="C128" s="251"/>
      <c r="D128" s="531"/>
      <c r="E128" s="531"/>
      <c r="F128" s="310"/>
      <c r="G128" s="254"/>
      <c r="H128" s="252"/>
      <c r="I128" s="254"/>
      <c r="J128" s="252"/>
      <c r="K128" s="254"/>
      <c r="L128" s="256"/>
      <c r="M128" s="254"/>
      <c r="N128" s="254"/>
      <c r="O128" s="254"/>
      <c r="P128" s="236"/>
      <c r="Q128" s="578"/>
      <c r="R128" s="578"/>
      <c r="S128" s="578"/>
      <c r="T128" s="236"/>
      <c r="U128" s="244"/>
      <c r="V128" s="550"/>
      <c r="W128" s="240"/>
      <c r="X128" s="241"/>
      <c r="AA128" s="1235"/>
      <c r="AB128" s="1244"/>
      <c r="AC128" s="239"/>
      <c r="AD128" s="238"/>
      <c r="AE128" s="353"/>
      <c r="AF128" s="746"/>
      <c r="AG128" s="815"/>
      <c r="AH128" s="816"/>
      <c r="AJ128" s="236"/>
      <c r="AK128" s="236"/>
      <c r="AL128" s="803"/>
    </row>
    <row r="129" spans="2:40" s="242" customFormat="1" ht="27" customHeight="1">
      <c r="B129" s="234" t="s">
        <v>484</v>
      </c>
      <c r="C129" s="251">
        <v>6</v>
      </c>
      <c r="D129" s="531"/>
      <c r="E129" s="531">
        <v>185</v>
      </c>
      <c r="F129" s="310"/>
      <c r="G129" s="254"/>
      <c r="H129" s="252"/>
      <c r="I129" s="254"/>
      <c r="J129" s="252"/>
      <c r="K129" s="254"/>
      <c r="L129" s="256"/>
      <c r="M129" s="254"/>
      <c r="N129" s="254"/>
      <c r="O129" s="254"/>
      <c r="P129" s="236"/>
      <c r="Q129" s="578">
        <v>338023</v>
      </c>
      <c r="R129" s="578"/>
      <c r="S129" s="578">
        <v>24000</v>
      </c>
      <c r="T129" s="236">
        <v>9685250</v>
      </c>
      <c r="U129" s="244">
        <v>7125773.2000000002</v>
      </c>
      <c r="V129" s="550">
        <v>41070496.199999996</v>
      </c>
      <c r="W129" s="240"/>
      <c r="X129" s="241"/>
      <c r="AA129" s="1235"/>
      <c r="AB129" s="1244"/>
      <c r="AC129" s="805"/>
      <c r="AD129" s="238"/>
      <c r="AE129" s="353"/>
      <c r="AF129" s="746"/>
      <c r="AG129" s="815"/>
      <c r="AH129" s="816"/>
      <c r="AJ129" s="236"/>
      <c r="AK129" s="236"/>
      <c r="AL129" s="803">
        <f t="shared" si="5"/>
        <v>0</v>
      </c>
    </row>
    <row r="130" spans="2:40" s="242" customFormat="1" ht="27" customHeight="1">
      <c r="B130" s="234"/>
      <c r="C130" s="251"/>
      <c r="D130" s="531"/>
      <c r="E130" s="531"/>
      <c r="F130" s="310"/>
      <c r="G130" s="254"/>
      <c r="H130" s="252"/>
      <c r="I130" s="254"/>
      <c r="J130" s="252"/>
      <c r="K130" s="254"/>
      <c r="L130" s="256"/>
      <c r="M130" s="254"/>
      <c r="N130" s="254"/>
      <c r="O130" s="254"/>
      <c r="P130" s="236"/>
      <c r="Q130" s="578"/>
      <c r="R130" s="578"/>
      <c r="S130" s="578"/>
      <c r="T130" s="236"/>
      <c r="U130" s="244"/>
      <c r="V130" s="550"/>
      <c r="W130" s="240"/>
      <c r="X130" s="241"/>
      <c r="AA130" s="1235"/>
      <c r="AB130" s="1244"/>
      <c r="AC130" s="239"/>
      <c r="AD130" s="238"/>
      <c r="AE130" s="353"/>
      <c r="AF130" s="746"/>
      <c r="AG130" s="815"/>
      <c r="AH130" s="816"/>
      <c r="AJ130" s="236"/>
      <c r="AK130" s="236"/>
      <c r="AL130" s="803"/>
    </row>
    <row r="131" spans="2:40" s="242" customFormat="1" ht="27" customHeight="1">
      <c r="B131" s="234" t="s">
        <v>614</v>
      </c>
      <c r="C131" s="251">
        <v>2</v>
      </c>
      <c r="D131" s="531"/>
      <c r="E131" s="531">
        <v>59</v>
      </c>
      <c r="F131" s="310"/>
      <c r="G131" s="254"/>
      <c r="H131" s="252"/>
      <c r="I131" s="254"/>
      <c r="J131" s="252"/>
      <c r="K131" s="254"/>
      <c r="L131" s="256"/>
      <c r="M131" s="254"/>
      <c r="N131" s="254"/>
      <c r="O131" s="254"/>
      <c r="P131" s="236"/>
      <c r="Q131" s="578">
        <v>0</v>
      </c>
      <c r="R131" s="578"/>
      <c r="S131" s="578">
        <v>0</v>
      </c>
      <c r="T131" s="236">
        <f>AM131</f>
        <v>395500</v>
      </c>
      <c r="U131" s="244">
        <v>0</v>
      </c>
      <c r="V131" s="550">
        <v>7378234</v>
      </c>
      <c r="W131" s="240"/>
      <c r="X131" s="241"/>
      <c r="AA131" s="1235"/>
      <c r="AB131" s="1244"/>
      <c r="AC131" s="805"/>
      <c r="AD131" s="238">
        <v>91000</v>
      </c>
      <c r="AE131" s="353"/>
      <c r="AF131" s="746">
        <v>422118</v>
      </c>
      <c r="AG131" s="815">
        <v>0</v>
      </c>
      <c r="AH131" s="816"/>
      <c r="AJ131" s="236">
        <v>0</v>
      </c>
      <c r="AK131" s="236">
        <v>395500</v>
      </c>
      <c r="AL131" s="803">
        <f t="shared" si="5"/>
        <v>376.66666666666669</v>
      </c>
      <c r="AM131" s="239">
        <f>AJ131+AK131</f>
        <v>395500</v>
      </c>
    </row>
    <row r="132" spans="2:40" s="242" customFormat="1" ht="27" customHeight="1">
      <c r="B132" s="234"/>
      <c r="C132" s="251"/>
      <c r="D132" s="531"/>
      <c r="E132" s="531"/>
      <c r="F132" s="310"/>
      <c r="G132" s="254"/>
      <c r="H132" s="252"/>
      <c r="I132" s="254"/>
      <c r="J132" s="252"/>
      <c r="K132" s="254"/>
      <c r="L132" s="256"/>
      <c r="M132" s="254"/>
      <c r="N132" s="254"/>
      <c r="O132" s="254"/>
      <c r="P132" s="236"/>
      <c r="Q132" s="578"/>
      <c r="R132" s="578"/>
      <c r="S132" s="578"/>
      <c r="T132" s="236"/>
      <c r="U132" s="244"/>
      <c r="V132" s="550"/>
      <c r="W132" s="240"/>
      <c r="X132" s="241"/>
      <c r="AA132" s="1235"/>
      <c r="AB132" s="1244"/>
      <c r="AC132" s="239"/>
      <c r="AD132" s="238"/>
      <c r="AE132" s="353"/>
      <c r="AF132" s="746"/>
      <c r="AG132" s="815"/>
      <c r="AH132" s="816"/>
      <c r="AJ132" s="236"/>
      <c r="AK132" s="236"/>
      <c r="AL132" s="803"/>
      <c r="AN132" s="215" t="s">
        <v>654</v>
      </c>
    </row>
    <row r="133" spans="2:40" s="242" customFormat="1" ht="27" customHeight="1">
      <c r="B133" s="234" t="s">
        <v>548</v>
      </c>
      <c r="C133" s="257">
        <v>31</v>
      </c>
      <c r="D133" s="369"/>
      <c r="E133" s="369">
        <v>933</v>
      </c>
      <c r="F133" s="310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531">
        <v>85826</v>
      </c>
      <c r="R133" s="531"/>
      <c r="S133" s="531">
        <v>100000</v>
      </c>
      <c r="T133" s="254">
        <f>2769444+AM133</f>
        <v>18769183</v>
      </c>
      <c r="U133" s="253"/>
      <c r="V133" s="295">
        <v>148930879.44999999</v>
      </c>
      <c r="W133" s="240"/>
      <c r="X133" s="241"/>
      <c r="AA133" s="1235"/>
      <c r="AB133" s="1244"/>
      <c r="AC133" s="805"/>
      <c r="AD133" s="238">
        <v>12482050</v>
      </c>
      <c r="AE133" s="353"/>
      <c r="AF133" s="746">
        <v>3954132</v>
      </c>
      <c r="AG133" s="815">
        <v>991468.45</v>
      </c>
      <c r="AH133" s="816"/>
      <c r="AJ133" s="236">
        <v>522739</v>
      </c>
      <c r="AK133" s="236">
        <v>15477000</v>
      </c>
      <c r="AL133" s="803">
        <f t="shared" si="5"/>
        <v>14740</v>
      </c>
      <c r="AM133" s="239">
        <f>AJ133+AK133</f>
        <v>15999739</v>
      </c>
      <c r="AN133" s="1012"/>
    </row>
    <row r="134" spans="2:40" ht="33.75" customHeight="1" thickBot="1">
      <c r="B134" s="234"/>
      <c r="C134" s="251"/>
      <c r="D134" s="531"/>
      <c r="E134" s="531"/>
      <c r="F134" s="369"/>
      <c r="G134" s="254"/>
      <c r="H134" s="252"/>
      <c r="I134" s="254"/>
      <c r="J134" s="252"/>
      <c r="K134" s="254"/>
      <c r="L134" s="256"/>
      <c r="M134" s="254"/>
      <c r="N134" s="254"/>
      <c r="O134" s="256"/>
      <c r="P134" s="260"/>
      <c r="Q134" s="577"/>
      <c r="R134" s="524"/>
      <c r="S134" s="524"/>
      <c r="T134" s="333"/>
      <c r="U134" s="244"/>
      <c r="V134" s="238"/>
      <c r="W134" s="240"/>
      <c r="X134" s="241"/>
      <c r="Y134" s="242"/>
      <c r="Z134" s="242"/>
      <c r="AA134" s="1236"/>
      <c r="AB134" s="1233"/>
      <c r="AC134" s="239"/>
      <c r="AD134" s="238"/>
      <c r="AE134" s="492"/>
      <c r="AF134" s="747"/>
      <c r="AG134" s="828"/>
      <c r="AH134" s="798"/>
      <c r="AJ134" s="236"/>
      <c r="AK134" s="236"/>
      <c r="AL134" s="803"/>
    </row>
    <row r="135" spans="2:40" ht="26.25" customHeight="1" thickTop="1" thickBot="1">
      <c r="B135" s="261" t="s">
        <v>3</v>
      </c>
      <c r="C135" s="262">
        <f>SUM(C111:C134)</f>
        <v>176</v>
      </c>
      <c r="D135" s="262">
        <f>SUM(D111:D134)</f>
        <v>0</v>
      </c>
      <c r="E135" s="262">
        <f>SUM(E111:E134)</f>
        <v>5370</v>
      </c>
      <c r="F135" s="262">
        <f>SUM(F111:F134)</f>
        <v>0</v>
      </c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>
        <f>SUM(Q111:Q134)</f>
        <v>1213652</v>
      </c>
      <c r="R135" s="262"/>
      <c r="S135" s="262">
        <f>SUM(S111:S134)</f>
        <v>604000</v>
      </c>
      <c r="T135" s="265">
        <f>SUM(T111:T134)</f>
        <v>69844530</v>
      </c>
      <c r="U135" s="265">
        <f>SUM(U111:U134)</f>
        <v>26699242.310000002</v>
      </c>
      <c r="V135" s="265">
        <f>SUM(V111:V134)</f>
        <v>804360363.26000023</v>
      </c>
      <c r="W135" s="266"/>
      <c r="X135" s="267"/>
      <c r="AA135" s="1099">
        <f>AA110</f>
        <v>804360365</v>
      </c>
      <c r="AB135" s="1099">
        <f>AB110</f>
        <v>-1.7399997711181641</v>
      </c>
      <c r="AC135" s="218"/>
      <c r="AD135" s="265">
        <f>SUM(AD111:AD134)</f>
        <v>16282050</v>
      </c>
      <c r="AF135" s="743">
        <f>SUM(AF111:AF134)</f>
        <v>5097816</v>
      </c>
      <c r="AG135" s="830">
        <f>SUM(AG110:AG134)</f>
        <v>2817192.95</v>
      </c>
      <c r="AH135" s="798">
        <f>SUM(AH110:AH134)</f>
        <v>0</v>
      </c>
      <c r="AJ135" s="236">
        <f>SUM(AJ111:AJ134)</f>
        <v>4902307</v>
      </c>
      <c r="AK135" s="236">
        <f>SUM(AK111:AK134)</f>
        <v>31078250</v>
      </c>
      <c r="AL135" s="803">
        <f>AK135/1050</f>
        <v>29598.333333333332</v>
      </c>
    </row>
    <row r="136" spans="2:40" ht="17.25" customHeight="1" thickTop="1">
      <c r="B136" s="441"/>
      <c r="C136" s="566"/>
      <c r="D136" s="566"/>
      <c r="E136" s="566"/>
      <c r="F136" s="566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X136" s="321"/>
    </row>
    <row r="137" spans="2:40" ht="17.25" customHeight="1">
      <c r="B137" s="336"/>
      <c r="C137" s="566"/>
      <c r="D137" s="566"/>
      <c r="E137" s="566"/>
      <c r="F137" s="566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X137" s="321"/>
    </row>
    <row r="138" spans="2:40" ht="17.25" customHeight="1">
      <c r="B138" s="274"/>
      <c r="C138" s="442"/>
      <c r="D138" s="442"/>
      <c r="E138" s="442"/>
      <c r="F138" s="442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774"/>
      <c r="T138" s="275"/>
      <c r="U138" s="275"/>
      <c r="V138" s="275"/>
      <c r="X138" s="321"/>
    </row>
    <row r="139" spans="2:40" ht="17.25" customHeight="1">
      <c r="B139" s="274"/>
      <c r="C139" s="442"/>
      <c r="D139" s="442"/>
      <c r="E139" s="442"/>
      <c r="F139" s="442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X139" s="321"/>
    </row>
    <row r="140" spans="2:40" ht="17.25" customHeight="1">
      <c r="B140" s="274"/>
      <c r="C140" s="442"/>
      <c r="D140" s="442"/>
      <c r="E140" s="442"/>
      <c r="F140" s="442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X140" s="321"/>
    </row>
    <row r="141" spans="2:40" ht="17.25" customHeight="1">
      <c r="B141" s="336" t="s">
        <v>525</v>
      </c>
      <c r="C141" s="1173" t="s">
        <v>81</v>
      </c>
      <c r="D141" s="1173"/>
      <c r="E141" s="566"/>
      <c r="F141" s="1173"/>
      <c r="G141" s="1173"/>
      <c r="H141" s="1173"/>
      <c r="I141" s="1173"/>
      <c r="J141" s="337"/>
      <c r="K141" s="337"/>
      <c r="L141" s="1173" t="s">
        <v>82</v>
      </c>
      <c r="M141" s="1173"/>
      <c r="N141" s="1173"/>
      <c r="O141" s="1173"/>
      <c r="P141" s="1173"/>
      <c r="Q141" s="1173"/>
      <c r="R141" s="1173"/>
      <c r="S141" s="1173"/>
      <c r="T141" s="1173"/>
      <c r="U141" s="1173"/>
      <c r="V141" s="1173"/>
      <c r="X141" s="321"/>
    </row>
    <row r="142" spans="2:40" ht="17.25" customHeight="1">
      <c r="B142" s="336"/>
      <c r="X142" s="321"/>
    </row>
    <row r="143" spans="2:40" ht="17.25" customHeight="1">
      <c r="B143" s="336"/>
      <c r="C143" s="566"/>
      <c r="D143" s="566"/>
      <c r="E143" s="566"/>
      <c r="F143" s="566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X143" s="321"/>
    </row>
    <row r="144" spans="2:40" ht="17.25" customHeight="1">
      <c r="B144" s="336"/>
      <c r="C144" s="566"/>
      <c r="D144" s="566"/>
      <c r="E144" s="566"/>
      <c r="F144" s="566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X144" s="321"/>
    </row>
    <row r="145" spans="2:40" ht="17.25" customHeight="1">
      <c r="B145" s="336"/>
      <c r="C145" s="566"/>
      <c r="D145" s="566"/>
      <c r="E145" s="566"/>
      <c r="F145" s="1173"/>
      <c r="G145" s="1173"/>
      <c r="H145" s="1173"/>
      <c r="I145" s="1173"/>
      <c r="J145" s="337"/>
      <c r="K145" s="337"/>
      <c r="L145" s="1173"/>
      <c r="M145" s="1173"/>
      <c r="N145" s="1173"/>
      <c r="O145" s="1173"/>
      <c r="P145" s="1173"/>
      <c r="Q145" s="1173"/>
      <c r="R145" s="1173"/>
      <c r="S145" s="1173"/>
      <c r="T145" s="1173"/>
      <c r="U145" s="1173"/>
      <c r="V145" s="1173"/>
      <c r="X145" s="321"/>
    </row>
    <row r="146" spans="2:40" ht="17.25" customHeight="1"/>
    <row r="147" spans="2:40" ht="17.25" customHeight="1"/>
    <row r="148" spans="2:40" ht="17.25" customHeight="1"/>
    <row r="149" spans="2:40" ht="17.25" customHeight="1">
      <c r="B149" s="215" t="s">
        <v>0</v>
      </c>
    </row>
    <row r="150" spans="2:40" ht="63.75" customHeight="1">
      <c r="B150" s="215" t="str">
        <f>B4</f>
        <v>DENOMINATION FOR OKTOBER 2025</v>
      </c>
    </row>
    <row r="151" spans="2:40" ht="29.25" customHeight="1" thickBot="1"/>
    <row r="152" spans="2:40" ht="29.25" customHeight="1" thickTop="1">
      <c r="B152" s="1176" t="s">
        <v>1</v>
      </c>
      <c r="C152" s="1183" t="s">
        <v>15</v>
      </c>
      <c r="D152" s="1178" t="s">
        <v>470</v>
      </c>
      <c r="E152" s="1179"/>
      <c r="F152" s="1180"/>
      <c r="G152" s="1183" t="s">
        <v>244</v>
      </c>
      <c r="H152" s="1183" t="s">
        <v>471</v>
      </c>
      <c r="I152" s="1185" t="s">
        <v>472</v>
      </c>
      <c r="J152" s="1181" t="s">
        <v>473</v>
      </c>
      <c r="K152" s="1181" t="s">
        <v>474</v>
      </c>
      <c r="L152" s="572" t="s">
        <v>475</v>
      </c>
      <c r="M152" s="1183" t="s">
        <v>477</v>
      </c>
      <c r="N152" s="572" t="s">
        <v>475</v>
      </c>
      <c r="O152" s="572" t="s">
        <v>478</v>
      </c>
      <c r="P152" s="1183"/>
      <c r="Q152" s="568" t="s">
        <v>145</v>
      </c>
      <c r="R152" s="568" t="s">
        <v>253</v>
      </c>
      <c r="S152" s="568" t="s">
        <v>440</v>
      </c>
      <c r="T152" s="1174" t="str">
        <f>T108</f>
        <v>TOTAL PREMI</v>
      </c>
      <c r="U152" s="1174" t="str">
        <f>U108</f>
        <v>TOTAL LEMBUR</v>
      </c>
      <c r="V152" s="1171" t="s">
        <v>665</v>
      </c>
      <c r="W152" s="221" t="s">
        <v>16</v>
      </c>
      <c r="X152" s="222" t="s">
        <v>18</v>
      </c>
      <c r="AA152" s="1222" t="s">
        <v>664</v>
      </c>
      <c r="AB152" s="1232" t="s">
        <v>226</v>
      </c>
      <c r="AD152" s="1171" t="s">
        <v>259</v>
      </c>
      <c r="AF152" s="1189" t="s">
        <v>542</v>
      </c>
      <c r="AG152" s="1187" t="s">
        <v>617</v>
      </c>
      <c r="AH152" s="1200" t="s">
        <v>646</v>
      </c>
      <c r="AJ152" s="1197" t="s">
        <v>452</v>
      </c>
      <c r="AK152" s="1197"/>
    </row>
    <row r="153" spans="2:40" ht="29.25" customHeight="1" thickBot="1">
      <c r="B153" s="1177"/>
      <c r="C153" s="1184"/>
      <c r="D153" s="573" t="s">
        <v>485</v>
      </c>
      <c r="E153" s="573" t="s">
        <v>486</v>
      </c>
      <c r="F153" s="573" t="s">
        <v>487</v>
      </c>
      <c r="G153" s="1184"/>
      <c r="H153" s="1184"/>
      <c r="I153" s="1186"/>
      <c r="J153" s="1182"/>
      <c r="K153" s="1182"/>
      <c r="L153" s="573" t="s">
        <v>476</v>
      </c>
      <c r="M153" s="1184"/>
      <c r="N153" s="573" t="s">
        <v>476</v>
      </c>
      <c r="O153" s="573" t="s">
        <v>479</v>
      </c>
      <c r="P153" s="1184"/>
      <c r="Q153" s="569" t="str">
        <f>Q109</f>
        <v>(MASA OKTOBER 2025)</v>
      </c>
      <c r="R153" s="569" t="s">
        <v>254</v>
      </c>
      <c r="S153" s="569" t="s">
        <v>439</v>
      </c>
      <c r="T153" s="1175"/>
      <c r="U153" s="1175"/>
      <c r="V153" s="1172"/>
      <c r="W153" s="224"/>
      <c r="X153" s="225" t="s">
        <v>19</v>
      </c>
      <c r="AA153" s="1223"/>
      <c r="AB153" s="1233"/>
      <c r="AD153" s="1172"/>
      <c r="AF153" s="1190"/>
      <c r="AG153" s="1188"/>
      <c r="AH153" s="1201"/>
      <c r="AJ153" s="292" t="s">
        <v>611</v>
      </c>
      <c r="AK153" s="292" t="s">
        <v>612</v>
      </c>
    </row>
    <row r="154" spans="2:40" s="242" customFormat="1" ht="29.25" customHeight="1" thickTop="1">
      <c r="B154" s="268"/>
      <c r="C154" s="269"/>
      <c r="D154" s="708"/>
      <c r="E154" s="708"/>
      <c r="F154" s="708"/>
      <c r="G154" s="270"/>
      <c r="H154" s="270"/>
      <c r="I154" s="270"/>
      <c r="J154" s="270"/>
      <c r="K154" s="270"/>
      <c r="L154" s="270"/>
      <c r="M154" s="270"/>
      <c r="N154" s="270"/>
      <c r="O154" s="271"/>
      <c r="P154" s="271"/>
      <c r="Q154" s="271"/>
      <c r="R154" s="271"/>
      <c r="S154" s="271"/>
      <c r="T154" s="271"/>
      <c r="U154" s="271"/>
      <c r="V154" s="272"/>
      <c r="W154" s="232"/>
      <c r="X154" s="233"/>
      <c r="Y154" s="215"/>
      <c r="Z154" s="215"/>
      <c r="AA154" s="1234">
        <v>594505798</v>
      </c>
      <c r="AB154" s="1237">
        <f>V175-AA154</f>
        <v>0.47682666778564453</v>
      </c>
      <c r="AC154" s="215"/>
      <c r="AD154" s="272"/>
      <c r="AE154" s="339"/>
      <c r="AF154" s="364"/>
      <c r="AG154" s="796"/>
      <c r="AH154" s="798"/>
      <c r="AJ154" s="260"/>
      <c r="AK154" s="236"/>
      <c r="AN154" s="216" t="s">
        <v>670</v>
      </c>
    </row>
    <row r="155" spans="2:40" s="242" customFormat="1" ht="29.25" customHeight="1">
      <c r="B155" s="234" t="s">
        <v>540</v>
      </c>
      <c r="C155" s="235">
        <v>36</v>
      </c>
      <c r="D155" s="277"/>
      <c r="E155" s="277">
        <v>1092</v>
      </c>
      <c r="F155" s="310"/>
      <c r="G155" s="236"/>
      <c r="H155" s="236"/>
      <c r="I155" s="236"/>
      <c r="J155" s="236"/>
      <c r="K155" s="236"/>
      <c r="L155" s="236"/>
      <c r="M155" s="236"/>
      <c r="N155" s="236"/>
      <c r="O155" s="260"/>
      <c r="P155" s="260"/>
      <c r="Q155" s="577">
        <v>465196</v>
      </c>
      <c r="R155" s="577"/>
      <c r="S155" s="577">
        <v>140000</v>
      </c>
      <c r="T155" s="260">
        <f>7441815+AM155</f>
        <v>34716535</v>
      </c>
      <c r="U155" s="260">
        <v>1109200.55</v>
      </c>
      <c r="V155" s="247">
        <v>178847453.01666671</v>
      </c>
      <c r="W155" s="273"/>
      <c r="X155" s="241"/>
      <c r="AA155" s="1235"/>
      <c r="AB155" s="1238"/>
      <c r="AC155" s="805"/>
      <c r="AD155" s="247"/>
      <c r="AE155" s="353"/>
      <c r="AF155" s="741">
        <v>2226891.333333333</v>
      </c>
      <c r="AG155" s="983">
        <v>4752848.8</v>
      </c>
      <c r="AH155" s="816"/>
      <c r="AJ155" s="260">
        <v>6453220</v>
      </c>
      <c r="AK155" s="236">
        <v>20821500</v>
      </c>
      <c r="AL155" s="803">
        <f t="shared" ref="AL155:AL173" si="6">AK155/1050</f>
        <v>19830</v>
      </c>
      <c r="AM155" s="239">
        <f>AJ155+AK155</f>
        <v>27274720</v>
      </c>
      <c r="AN155" s="1012"/>
    </row>
    <row r="156" spans="2:40" s="242" customFormat="1" ht="29.25" customHeight="1">
      <c r="B156" s="234"/>
      <c r="C156" s="235"/>
      <c r="D156" s="277"/>
      <c r="E156" s="277"/>
      <c r="F156" s="310"/>
      <c r="G156" s="236"/>
      <c r="H156" s="236"/>
      <c r="I156" s="236"/>
      <c r="J156" s="236"/>
      <c r="K156" s="236"/>
      <c r="L156" s="236"/>
      <c r="M156" s="236"/>
      <c r="N156" s="236"/>
      <c r="O156" s="260"/>
      <c r="P156" s="260"/>
      <c r="Q156" s="577"/>
      <c r="R156" s="577"/>
      <c r="S156" s="577"/>
      <c r="T156" s="260"/>
      <c r="U156" s="260"/>
      <c r="V156" s="247"/>
      <c r="W156" s="273"/>
      <c r="X156" s="241"/>
      <c r="AA156" s="1235"/>
      <c r="AB156" s="1238"/>
      <c r="AD156" s="247"/>
      <c r="AE156" s="353"/>
      <c r="AF156" s="742"/>
      <c r="AG156" s="867"/>
      <c r="AH156" s="816"/>
      <c r="AJ156" s="260"/>
      <c r="AK156" s="236"/>
      <c r="AL156" s="803"/>
    </row>
    <row r="157" spans="2:40" ht="29.25" customHeight="1">
      <c r="B157" s="234" t="s">
        <v>539</v>
      </c>
      <c r="C157" s="235">
        <v>21</v>
      </c>
      <c r="D157" s="277"/>
      <c r="E157" s="277">
        <v>642</v>
      </c>
      <c r="F157" s="310"/>
      <c r="G157" s="236"/>
      <c r="H157" s="236"/>
      <c r="I157" s="236"/>
      <c r="J157" s="236"/>
      <c r="K157" s="236"/>
      <c r="L157" s="236"/>
      <c r="M157" s="236"/>
      <c r="N157" s="236"/>
      <c r="O157" s="260"/>
      <c r="P157" s="260"/>
      <c r="Q157" s="577">
        <v>0</v>
      </c>
      <c r="R157" s="577"/>
      <c r="S157" s="577">
        <v>84000</v>
      </c>
      <c r="T157" s="260">
        <v>0</v>
      </c>
      <c r="U157" s="260">
        <v>1400505.76</v>
      </c>
      <c r="V157" s="295">
        <v>84050301.760000005</v>
      </c>
      <c r="W157" s="240"/>
      <c r="X157" s="241"/>
      <c r="Y157" s="242"/>
      <c r="Z157" s="242"/>
      <c r="AA157" s="1235"/>
      <c r="AB157" s="1238"/>
      <c r="AC157" s="805"/>
      <c r="AD157" s="247"/>
      <c r="AE157" s="353"/>
      <c r="AF157" s="741"/>
      <c r="AG157" s="815"/>
      <c r="AH157" s="816"/>
      <c r="AJ157" s="260"/>
      <c r="AK157" s="236"/>
      <c r="AL157" s="803">
        <f t="shared" si="6"/>
        <v>0</v>
      </c>
    </row>
    <row r="158" spans="2:40" ht="29.25" customHeight="1">
      <c r="B158" s="276"/>
      <c r="C158" s="277"/>
      <c r="D158" s="277"/>
      <c r="E158" s="277"/>
      <c r="F158" s="310"/>
      <c r="G158" s="236"/>
      <c r="H158" s="236"/>
      <c r="I158" s="236"/>
      <c r="J158" s="236"/>
      <c r="K158" s="236"/>
      <c r="L158" s="236"/>
      <c r="M158" s="236"/>
      <c r="N158" s="236"/>
      <c r="O158" s="260"/>
      <c r="P158" s="260"/>
      <c r="Q158" s="577"/>
      <c r="R158" s="577"/>
      <c r="S158" s="577"/>
      <c r="T158" s="236"/>
      <c r="U158" s="260"/>
      <c r="V158" s="247"/>
      <c r="W158" s="258"/>
      <c r="X158" s="259"/>
      <c r="AA158" s="1235"/>
      <c r="AB158" s="1238"/>
      <c r="AD158" s="247"/>
      <c r="AF158" s="742"/>
      <c r="AG158" s="817"/>
      <c r="AH158" s="816"/>
      <c r="AJ158" s="260"/>
      <c r="AK158" s="236"/>
      <c r="AL158" s="803"/>
      <c r="AN158" s="215" t="s">
        <v>671</v>
      </c>
    </row>
    <row r="159" spans="2:40" ht="29.25" customHeight="1">
      <c r="B159" s="234" t="s">
        <v>652</v>
      </c>
      <c r="C159" s="277">
        <v>8</v>
      </c>
      <c r="D159" s="277"/>
      <c r="E159" s="277">
        <v>241</v>
      </c>
      <c r="F159" s="310"/>
      <c r="G159" s="236"/>
      <c r="H159" s="236"/>
      <c r="I159" s="236"/>
      <c r="J159" s="236"/>
      <c r="K159" s="236"/>
      <c r="L159" s="236"/>
      <c r="M159" s="236"/>
      <c r="N159" s="236"/>
      <c r="O159" s="260"/>
      <c r="P159" s="260"/>
      <c r="Q159" s="577">
        <v>398647</v>
      </c>
      <c r="R159" s="577"/>
      <c r="S159" s="577">
        <v>32000</v>
      </c>
      <c r="T159" s="260">
        <v>12519235</v>
      </c>
      <c r="U159" s="260">
        <v>7730791.9199999999</v>
      </c>
      <c r="V159" s="295">
        <v>51736647.920000002</v>
      </c>
      <c r="W159" s="258"/>
      <c r="X159" s="259"/>
      <c r="AA159" s="1235"/>
      <c r="AB159" s="1238"/>
      <c r="AC159" s="805"/>
      <c r="AD159" s="247"/>
      <c r="AF159" s="742"/>
      <c r="AG159" s="815"/>
      <c r="AH159" s="816"/>
      <c r="AJ159" s="260"/>
      <c r="AK159" s="236"/>
      <c r="AL159" s="803">
        <f t="shared" si="6"/>
        <v>0</v>
      </c>
      <c r="AN159" s="1012"/>
    </row>
    <row r="160" spans="2:40" ht="29.25" customHeight="1">
      <c r="B160" s="276"/>
      <c r="C160" s="277"/>
      <c r="D160" s="277"/>
      <c r="E160" s="277"/>
      <c r="F160" s="310"/>
      <c r="G160" s="236"/>
      <c r="H160" s="236"/>
      <c r="I160" s="236"/>
      <c r="J160" s="236"/>
      <c r="K160" s="236"/>
      <c r="L160" s="236"/>
      <c r="M160" s="236"/>
      <c r="N160" s="236"/>
      <c r="O160" s="260"/>
      <c r="P160" s="260"/>
      <c r="Q160" s="577"/>
      <c r="R160" s="577"/>
      <c r="S160" s="577"/>
      <c r="T160" s="260"/>
      <c r="U160" s="260"/>
      <c r="V160" s="247"/>
      <c r="W160" s="258"/>
      <c r="X160" s="259"/>
      <c r="AA160" s="1235"/>
      <c r="AB160" s="1238"/>
      <c r="AC160" s="242"/>
      <c r="AD160" s="247"/>
      <c r="AF160" s="742"/>
      <c r="AG160" s="817"/>
      <c r="AH160" s="816"/>
      <c r="AJ160" s="260"/>
      <c r="AK160" s="236"/>
      <c r="AL160" s="803"/>
    </row>
    <row r="161" spans="2:40" ht="29.25" hidden="1" customHeight="1">
      <c r="B161" s="234" t="s">
        <v>628</v>
      </c>
      <c r="C161" s="277"/>
      <c r="D161" s="277"/>
      <c r="E161" s="277"/>
      <c r="F161" s="310"/>
      <c r="G161" s="236"/>
      <c r="H161" s="236"/>
      <c r="I161" s="236"/>
      <c r="J161" s="236"/>
      <c r="K161" s="236"/>
      <c r="L161" s="236"/>
      <c r="M161" s="236"/>
      <c r="N161" s="236"/>
      <c r="O161" s="260"/>
      <c r="P161" s="260"/>
      <c r="Q161" s="577"/>
      <c r="R161" s="577"/>
      <c r="S161" s="577"/>
      <c r="T161" s="260"/>
      <c r="U161" s="260"/>
      <c r="V161" s="247"/>
      <c r="W161" s="258"/>
      <c r="X161" s="259"/>
      <c r="AA161" s="1235"/>
      <c r="AB161" s="1238"/>
      <c r="AC161" s="242"/>
      <c r="AD161" s="247"/>
      <c r="AF161" s="742"/>
      <c r="AG161" s="815"/>
      <c r="AH161" s="816"/>
      <c r="AJ161" s="260"/>
      <c r="AK161" s="236"/>
      <c r="AL161" s="803">
        <f t="shared" si="6"/>
        <v>0</v>
      </c>
    </row>
    <row r="162" spans="2:40" ht="29.25" hidden="1" customHeight="1">
      <c r="B162" s="276"/>
      <c r="C162" s="277"/>
      <c r="D162" s="277"/>
      <c r="E162" s="277"/>
      <c r="F162" s="310"/>
      <c r="G162" s="236"/>
      <c r="H162" s="236"/>
      <c r="I162" s="236"/>
      <c r="J162" s="236"/>
      <c r="K162" s="236"/>
      <c r="L162" s="236"/>
      <c r="M162" s="236"/>
      <c r="N162" s="236"/>
      <c r="O162" s="260"/>
      <c r="P162" s="260"/>
      <c r="Q162" s="577"/>
      <c r="R162" s="577"/>
      <c r="S162" s="577"/>
      <c r="T162" s="260"/>
      <c r="U162" s="260"/>
      <c r="V162" s="247"/>
      <c r="W162" s="258"/>
      <c r="X162" s="259"/>
      <c r="AA162" s="1235"/>
      <c r="AB162" s="1238"/>
      <c r="AC162" s="242"/>
      <c r="AD162" s="247"/>
      <c r="AF162" s="742"/>
      <c r="AG162" s="817"/>
      <c r="AH162" s="816"/>
      <c r="AJ162" s="260"/>
      <c r="AK162" s="236"/>
      <c r="AL162" s="803"/>
    </row>
    <row r="163" spans="2:40" ht="29.25" customHeight="1">
      <c r="B163" s="234" t="s">
        <v>686</v>
      </c>
      <c r="C163" s="277">
        <v>22</v>
      </c>
      <c r="D163" s="277"/>
      <c r="E163" s="277">
        <v>678</v>
      </c>
      <c r="F163" s="310"/>
      <c r="G163" s="236"/>
      <c r="H163" s="236"/>
      <c r="I163" s="236"/>
      <c r="J163" s="236"/>
      <c r="K163" s="236"/>
      <c r="L163" s="236"/>
      <c r="M163" s="236"/>
      <c r="N163" s="236"/>
      <c r="O163" s="260"/>
      <c r="P163" s="260"/>
      <c r="Q163" s="577">
        <v>54695</v>
      </c>
      <c r="R163" s="577"/>
      <c r="S163" s="577">
        <v>84000</v>
      </c>
      <c r="T163" s="260">
        <v>467358</v>
      </c>
      <c r="U163" s="260">
        <v>3876599.7399999998</v>
      </c>
      <c r="V163" s="247">
        <v>92265765.406666666</v>
      </c>
      <c r="W163" s="258"/>
      <c r="X163" s="259"/>
      <c r="AA163" s="1235"/>
      <c r="AB163" s="1238"/>
      <c r="AC163" s="805"/>
      <c r="AD163" s="247"/>
      <c r="AF163" s="742"/>
      <c r="AG163" s="815"/>
      <c r="AH163" s="816"/>
      <c r="AJ163" s="260"/>
      <c r="AK163" s="236"/>
      <c r="AL163" s="803">
        <f t="shared" si="6"/>
        <v>0</v>
      </c>
    </row>
    <row r="164" spans="2:40" ht="29.25" hidden="1" customHeight="1">
      <c r="B164" s="276"/>
      <c r="C164" s="277"/>
      <c r="D164" s="277"/>
      <c r="E164" s="277"/>
      <c r="F164" s="310"/>
      <c r="G164" s="236"/>
      <c r="H164" s="236"/>
      <c r="I164" s="236"/>
      <c r="J164" s="236"/>
      <c r="K164" s="236"/>
      <c r="L164" s="236"/>
      <c r="M164" s="236"/>
      <c r="N164" s="236"/>
      <c r="O164" s="260"/>
      <c r="P164" s="260"/>
      <c r="Q164" s="577"/>
      <c r="R164" s="577"/>
      <c r="S164" s="577"/>
      <c r="T164" s="260"/>
      <c r="U164" s="260"/>
      <c r="V164" s="247"/>
      <c r="W164" s="258"/>
      <c r="X164" s="259"/>
      <c r="AA164" s="1235"/>
      <c r="AB164" s="1238"/>
      <c r="AC164" s="242"/>
      <c r="AD164" s="247"/>
      <c r="AF164" s="742"/>
      <c r="AG164" s="817"/>
      <c r="AH164" s="816"/>
      <c r="AJ164" s="260"/>
      <c r="AK164" s="236"/>
      <c r="AL164" s="803"/>
    </row>
    <row r="165" spans="2:40" ht="29.25" hidden="1" customHeight="1">
      <c r="B165" s="234" t="s">
        <v>629</v>
      </c>
      <c r="C165" s="277"/>
      <c r="D165" s="277"/>
      <c r="E165" s="277"/>
      <c r="F165" s="310"/>
      <c r="G165" s="236"/>
      <c r="H165" s="236"/>
      <c r="I165" s="236"/>
      <c r="J165" s="236"/>
      <c r="K165" s="236"/>
      <c r="L165" s="236"/>
      <c r="M165" s="236"/>
      <c r="N165" s="236"/>
      <c r="O165" s="260"/>
      <c r="P165" s="260"/>
      <c r="Q165" s="577"/>
      <c r="R165" s="577"/>
      <c r="S165" s="577"/>
      <c r="T165" s="260"/>
      <c r="U165" s="260"/>
      <c r="V165" s="247"/>
      <c r="W165" s="258"/>
      <c r="X165" s="259"/>
      <c r="AA165" s="1235"/>
      <c r="AB165" s="1238"/>
      <c r="AC165" s="242"/>
      <c r="AD165" s="247"/>
      <c r="AF165" s="742"/>
      <c r="AG165" s="817"/>
      <c r="AH165" s="816"/>
      <c r="AJ165" s="260"/>
      <c r="AK165" s="236"/>
      <c r="AL165" s="803">
        <f t="shared" si="6"/>
        <v>0</v>
      </c>
    </row>
    <row r="166" spans="2:40" ht="29.25" customHeight="1">
      <c r="B166" s="276"/>
      <c r="C166" s="277"/>
      <c r="D166" s="277"/>
      <c r="E166" s="277"/>
      <c r="F166" s="310"/>
      <c r="G166" s="236"/>
      <c r="H166" s="236"/>
      <c r="I166" s="236"/>
      <c r="J166" s="236"/>
      <c r="K166" s="236"/>
      <c r="L166" s="236"/>
      <c r="M166" s="236"/>
      <c r="N166" s="236"/>
      <c r="O166" s="260"/>
      <c r="P166" s="260"/>
      <c r="Q166" s="577"/>
      <c r="R166" s="577"/>
      <c r="S166" s="577"/>
      <c r="T166" s="260"/>
      <c r="U166" s="260"/>
      <c r="V166" s="247"/>
      <c r="W166" s="258"/>
      <c r="X166" s="259"/>
      <c r="AA166" s="1235"/>
      <c r="AB166" s="1238"/>
      <c r="AC166" s="242"/>
      <c r="AD166" s="247"/>
      <c r="AF166" s="742"/>
      <c r="AG166" s="817"/>
      <c r="AH166" s="816"/>
      <c r="AJ166" s="260"/>
      <c r="AK166" s="236"/>
      <c r="AL166" s="803"/>
      <c r="AN166" s="215" t="s">
        <v>671</v>
      </c>
    </row>
    <row r="167" spans="2:40" ht="29.25" customHeight="1">
      <c r="B167" s="234" t="s">
        <v>660</v>
      </c>
      <c r="C167" s="277">
        <v>5</v>
      </c>
      <c r="D167" s="277"/>
      <c r="E167" s="277">
        <v>153</v>
      </c>
      <c r="F167" s="310"/>
      <c r="G167" s="236"/>
      <c r="H167" s="236"/>
      <c r="I167" s="236"/>
      <c r="J167" s="236"/>
      <c r="K167" s="236"/>
      <c r="L167" s="236"/>
      <c r="M167" s="236"/>
      <c r="N167" s="236"/>
      <c r="O167" s="260"/>
      <c r="P167" s="260"/>
      <c r="Q167" s="577">
        <v>257434</v>
      </c>
      <c r="R167" s="577"/>
      <c r="S167" s="577">
        <v>20000</v>
      </c>
      <c r="T167" s="260">
        <v>4391696</v>
      </c>
      <c r="U167" s="260">
        <v>6565570.8399999999</v>
      </c>
      <c r="V167" s="247">
        <v>30972482.840000004</v>
      </c>
      <c r="W167" s="258"/>
      <c r="X167" s="259"/>
      <c r="AA167" s="1235"/>
      <c r="AB167" s="1238"/>
      <c r="AC167" s="805"/>
      <c r="AD167" s="247"/>
      <c r="AF167" s="742"/>
      <c r="AG167" s="815"/>
      <c r="AH167" s="816"/>
      <c r="AJ167" s="260"/>
      <c r="AK167" s="236"/>
      <c r="AL167" s="803">
        <f t="shared" si="6"/>
        <v>0</v>
      </c>
      <c r="AN167" s="1012"/>
    </row>
    <row r="168" spans="2:40" ht="29.25" customHeight="1">
      <c r="B168" s="276"/>
      <c r="C168" s="277"/>
      <c r="D168" s="277"/>
      <c r="E168" s="277"/>
      <c r="F168" s="310"/>
      <c r="G168" s="236"/>
      <c r="H168" s="236"/>
      <c r="I168" s="236"/>
      <c r="J168" s="236"/>
      <c r="K168" s="236"/>
      <c r="L168" s="236"/>
      <c r="M168" s="236"/>
      <c r="N168" s="236"/>
      <c r="O168" s="260"/>
      <c r="P168" s="260"/>
      <c r="Q168" s="577"/>
      <c r="R168" s="577"/>
      <c r="S168" s="577"/>
      <c r="T168" s="260"/>
      <c r="U168" s="260"/>
      <c r="V168" s="247"/>
      <c r="W168" s="258"/>
      <c r="X168" s="259"/>
      <c r="AA168" s="1235"/>
      <c r="AB168" s="1238"/>
      <c r="AD168" s="247"/>
      <c r="AF168" s="742"/>
      <c r="AG168" s="817"/>
      <c r="AH168" s="816"/>
      <c r="AJ168" s="260"/>
      <c r="AK168" s="236"/>
      <c r="AL168" s="803"/>
      <c r="AN168" s="216" t="s">
        <v>670</v>
      </c>
    </row>
    <row r="169" spans="2:40" ht="29.25" customHeight="1">
      <c r="B169" s="234" t="s">
        <v>561</v>
      </c>
      <c r="C169" s="277">
        <v>27</v>
      </c>
      <c r="D169" s="277"/>
      <c r="E169" s="277">
        <v>828</v>
      </c>
      <c r="F169" s="310"/>
      <c r="G169" s="236"/>
      <c r="H169" s="236"/>
      <c r="I169" s="236"/>
      <c r="J169" s="236"/>
      <c r="K169" s="236"/>
      <c r="L169" s="236"/>
      <c r="M169" s="236"/>
      <c r="N169" s="236"/>
      <c r="O169" s="260"/>
      <c r="P169" s="260"/>
      <c r="Q169" s="577">
        <v>136062</v>
      </c>
      <c r="R169" s="577"/>
      <c r="S169" s="577">
        <v>108000</v>
      </c>
      <c r="T169" s="260">
        <f>3489259+431660+AM169</f>
        <v>15803652</v>
      </c>
      <c r="U169" s="1142">
        <v>459365.88</v>
      </c>
      <c r="V169" s="295">
        <v>131687241.53349333</v>
      </c>
      <c r="W169" s="258"/>
      <c r="X169" s="259"/>
      <c r="AA169" s="1235"/>
      <c r="AB169" s="1238"/>
      <c r="AC169" s="805"/>
      <c r="AD169" s="247">
        <v>8599500</v>
      </c>
      <c r="AF169" s="741">
        <v>2022409.8656330751</v>
      </c>
      <c r="AG169" s="815">
        <v>1154883.5191263934</v>
      </c>
      <c r="AH169" s="816"/>
      <c r="AJ169" s="260">
        <v>834983</v>
      </c>
      <c r="AK169" s="236">
        <v>11047750</v>
      </c>
      <c r="AL169" s="803">
        <f t="shared" si="6"/>
        <v>10521.666666666666</v>
      </c>
      <c r="AM169" s="239">
        <f>AJ169+AK169</f>
        <v>11882733</v>
      </c>
      <c r="AN169" s="215">
        <v>766770</v>
      </c>
    </row>
    <row r="170" spans="2:40" s="242" customFormat="1" ht="29.25" customHeight="1">
      <c r="B170" s="276"/>
      <c r="C170" s="277"/>
      <c r="D170" s="277"/>
      <c r="E170" s="277"/>
      <c r="F170" s="310"/>
      <c r="G170" s="236"/>
      <c r="H170" s="236"/>
      <c r="I170" s="236"/>
      <c r="J170" s="236"/>
      <c r="K170" s="236"/>
      <c r="L170" s="236"/>
      <c r="M170" s="236"/>
      <c r="N170" s="236"/>
      <c r="O170" s="260"/>
      <c r="P170" s="260"/>
      <c r="Q170" s="577"/>
      <c r="R170" s="577"/>
      <c r="S170" s="577"/>
      <c r="T170" s="260"/>
      <c r="U170" s="260"/>
      <c r="V170" s="247"/>
      <c r="W170" s="258"/>
      <c r="X170" s="259"/>
      <c r="Y170" s="215"/>
      <c r="Z170" s="215"/>
      <c r="AA170" s="1235"/>
      <c r="AB170" s="1238"/>
      <c r="AC170" s="215"/>
      <c r="AD170" s="247"/>
      <c r="AE170" s="339"/>
      <c r="AF170" s="742"/>
      <c r="AG170" s="817"/>
      <c r="AH170" s="816"/>
      <c r="AJ170" s="260"/>
      <c r="AK170" s="236"/>
      <c r="AL170" s="803"/>
    </row>
    <row r="171" spans="2:40" s="242" customFormat="1" ht="29.25" customHeight="1">
      <c r="B171" s="234" t="s">
        <v>618</v>
      </c>
      <c r="C171" s="277"/>
      <c r="D171" s="277"/>
      <c r="E171" s="277"/>
      <c r="F171" s="310"/>
      <c r="G171" s="236"/>
      <c r="H171" s="236"/>
      <c r="I171" s="236"/>
      <c r="J171" s="236"/>
      <c r="K171" s="236"/>
      <c r="L171" s="236"/>
      <c r="M171" s="236"/>
      <c r="N171" s="236"/>
      <c r="O171" s="260"/>
      <c r="P171" s="260"/>
      <c r="Q171" s="577"/>
      <c r="R171" s="577"/>
      <c r="S171" s="577"/>
      <c r="T171" s="260"/>
      <c r="U171" s="260"/>
      <c r="V171" s="247"/>
      <c r="W171" s="258"/>
      <c r="X171" s="259"/>
      <c r="Y171" s="215"/>
      <c r="Z171" s="215"/>
      <c r="AA171" s="1235"/>
      <c r="AB171" s="1238"/>
      <c r="AC171" s="215"/>
      <c r="AD171" s="247"/>
      <c r="AE171" s="339"/>
      <c r="AF171" s="742"/>
      <c r="AG171" s="815"/>
      <c r="AH171" s="816"/>
      <c r="AJ171" s="260"/>
      <c r="AK171" s="236"/>
      <c r="AL171" s="803">
        <f t="shared" si="6"/>
        <v>0</v>
      </c>
    </row>
    <row r="172" spans="2:40" s="242" customFormat="1" ht="29.25" customHeight="1">
      <c r="B172" s="276"/>
      <c r="C172" s="277"/>
      <c r="D172" s="277"/>
      <c r="E172" s="277"/>
      <c r="F172" s="310"/>
      <c r="G172" s="236"/>
      <c r="H172" s="236"/>
      <c r="I172" s="236"/>
      <c r="J172" s="236"/>
      <c r="K172" s="236"/>
      <c r="L172" s="236"/>
      <c r="M172" s="236"/>
      <c r="N172" s="236"/>
      <c r="O172" s="260"/>
      <c r="P172" s="260"/>
      <c r="Q172" s="577"/>
      <c r="R172" s="577"/>
      <c r="S172" s="577"/>
      <c r="T172" s="260"/>
      <c r="U172" s="260"/>
      <c r="V172" s="247"/>
      <c r="W172" s="258"/>
      <c r="X172" s="259"/>
      <c r="Y172" s="215"/>
      <c r="Z172" s="215"/>
      <c r="AA172" s="1235"/>
      <c r="AB172" s="1238"/>
      <c r="AC172" s="215"/>
      <c r="AD172" s="247"/>
      <c r="AE172" s="339"/>
      <c r="AF172" s="742"/>
      <c r="AG172" s="817"/>
      <c r="AH172" s="816"/>
      <c r="AJ172" s="260"/>
      <c r="AK172" s="236"/>
      <c r="AL172" s="803"/>
    </row>
    <row r="173" spans="2:40" s="242" customFormat="1" ht="29.25" customHeight="1">
      <c r="B173" s="234" t="s">
        <v>450</v>
      </c>
      <c r="C173" s="235">
        <v>6</v>
      </c>
      <c r="D173" s="277"/>
      <c r="E173" s="277">
        <v>186</v>
      </c>
      <c r="F173" s="310"/>
      <c r="G173" s="236"/>
      <c r="H173" s="236"/>
      <c r="I173" s="236"/>
      <c r="J173" s="236"/>
      <c r="K173" s="236"/>
      <c r="L173" s="236"/>
      <c r="M173" s="236"/>
      <c r="N173" s="236"/>
      <c r="O173" s="260"/>
      <c r="P173" s="260"/>
      <c r="Q173" s="577">
        <v>0</v>
      </c>
      <c r="R173" s="577"/>
      <c r="S173" s="577">
        <v>24000</v>
      </c>
      <c r="T173" s="260">
        <f>AM173</f>
        <v>761250</v>
      </c>
      <c r="U173" s="260">
        <v>0</v>
      </c>
      <c r="V173" s="247">
        <v>24945906</v>
      </c>
      <c r="W173" s="240"/>
      <c r="X173" s="241"/>
      <c r="AA173" s="1235"/>
      <c r="AB173" s="1238"/>
      <c r="AC173" s="805"/>
      <c r="AD173" s="295">
        <v>0</v>
      </c>
      <c r="AE173" s="353">
        <v>0</v>
      </c>
      <c r="AF173" s="741">
        <v>0</v>
      </c>
      <c r="AG173" s="815">
        <v>0</v>
      </c>
      <c r="AH173" s="816"/>
      <c r="AJ173" s="260">
        <v>0</v>
      </c>
      <c r="AK173" s="236">
        <v>761250</v>
      </c>
      <c r="AL173" s="803">
        <f t="shared" si="6"/>
        <v>725</v>
      </c>
      <c r="AM173" s="239">
        <f>AJ173+AK173</f>
        <v>761250</v>
      </c>
    </row>
    <row r="174" spans="2:40" ht="29.25" customHeight="1" thickBot="1">
      <c r="B174" s="279"/>
      <c r="C174" s="235"/>
      <c r="D174" s="277"/>
      <c r="E174" s="277"/>
      <c r="F174" s="277"/>
      <c r="G174" s="236"/>
      <c r="H174" s="236"/>
      <c r="I174" s="236"/>
      <c r="J174" s="236"/>
      <c r="K174" s="236"/>
      <c r="L174" s="236"/>
      <c r="M174" s="236"/>
      <c r="N174" s="236"/>
      <c r="O174" s="260"/>
      <c r="P174" s="260"/>
      <c r="Q174" s="577"/>
      <c r="R174" s="577"/>
      <c r="S174" s="577"/>
      <c r="T174" s="260"/>
      <c r="U174" s="260"/>
      <c r="V174" s="247"/>
      <c r="W174" s="240"/>
      <c r="X174" s="241"/>
      <c r="Y174" s="242"/>
      <c r="Z174" s="242"/>
      <c r="AA174" s="1236"/>
      <c r="AB174" s="1239"/>
      <c r="AC174" s="242"/>
      <c r="AD174" s="247"/>
      <c r="AE174" s="353"/>
      <c r="AF174" s="742"/>
      <c r="AG174" s="817"/>
      <c r="AH174" s="816"/>
      <c r="AJ174" s="260"/>
      <c r="AK174" s="236"/>
      <c r="AL174" s="803"/>
    </row>
    <row r="175" spans="2:40" ht="26.25" customHeight="1" thickTop="1" thickBot="1">
      <c r="B175" s="261" t="s">
        <v>3</v>
      </c>
      <c r="C175" s="262">
        <f>SUM(C154:C174)</f>
        <v>125</v>
      </c>
      <c r="D175" s="262">
        <f>SUM(D155:D174)</f>
        <v>0</v>
      </c>
      <c r="E175" s="262">
        <f>SUM(E154:E174)</f>
        <v>3820</v>
      </c>
      <c r="F175" s="414">
        <f>D175-E175</f>
        <v>-3820</v>
      </c>
      <c r="G175" s="263">
        <f t="shared" ref="G175:N175" si="7">SUM(G154:G174)</f>
        <v>0</v>
      </c>
      <c r="H175" s="263">
        <f t="shared" si="7"/>
        <v>0</v>
      </c>
      <c r="I175" s="263">
        <f t="shared" si="7"/>
        <v>0</v>
      </c>
      <c r="J175" s="263">
        <f t="shared" si="7"/>
        <v>0</v>
      </c>
      <c r="K175" s="263">
        <f t="shared" si="7"/>
        <v>0</v>
      </c>
      <c r="L175" s="263">
        <f t="shared" si="7"/>
        <v>0</v>
      </c>
      <c r="M175" s="263">
        <f t="shared" si="7"/>
        <v>0</v>
      </c>
      <c r="N175" s="263">
        <f t="shared" si="7"/>
        <v>0</v>
      </c>
      <c r="O175" s="263"/>
      <c r="P175" s="263">
        <f t="shared" ref="P175:T175" si="8">SUM(P154:P174)</f>
        <v>0</v>
      </c>
      <c r="Q175" s="579">
        <f t="shared" si="8"/>
        <v>1312034</v>
      </c>
      <c r="R175" s="579">
        <f t="shared" si="8"/>
        <v>0</v>
      </c>
      <c r="S175" s="579">
        <f t="shared" si="8"/>
        <v>492000</v>
      </c>
      <c r="T175" s="265">
        <f t="shared" si="8"/>
        <v>68659726</v>
      </c>
      <c r="U175" s="265">
        <f>SUM(U154:U174)</f>
        <v>21142034.690000001</v>
      </c>
      <c r="V175" s="265">
        <f>SUM(V154:V174)</f>
        <v>594505798.47682667</v>
      </c>
      <c r="W175" s="266"/>
      <c r="X175" s="280" t="e">
        <f>#REF!/#REF!</f>
        <v>#REF!</v>
      </c>
      <c r="Y175" s="215" t="s">
        <v>21</v>
      </c>
      <c r="AA175" s="1099">
        <f>AA154</f>
        <v>594505798</v>
      </c>
      <c r="AB175" s="1099">
        <f>AB154</f>
        <v>0.47682666778564453</v>
      </c>
      <c r="AC175" s="218"/>
      <c r="AD175" s="265">
        <f>SUM(AD155:AD174)</f>
        <v>8599500</v>
      </c>
      <c r="AF175" s="277">
        <f>SUM(AF155:AF174)</f>
        <v>4249301.1989664081</v>
      </c>
      <c r="AG175" s="811">
        <f>SUM(AG155:AG174)</f>
        <v>5907732.3191263936</v>
      </c>
      <c r="AH175" s="798">
        <f>SUM(AH154:AH174)</f>
        <v>0</v>
      </c>
      <c r="AJ175" s="260">
        <f>SUM(AJ155:AJ174)</f>
        <v>7288203</v>
      </c>
      <c r="AK175" s="236">
        <f>SUM(AK155:AK174)</f>
        <v>32630500</v>
      </c>
      <c r="AL175" s="803">
        <f>AK175/1050</f>
        <v>31076.666666666668</v>
      </c>
    </row>
    <row r="176" spans="2:40" ht="17.25" customHeight="1" thickTop="1">
      <c r="B176" s="336"/>
      <c r="C176" s="566"/>
      <c r="D176" s="566"/>
      <c r="E176" s="566"/>
      <c r="F176" s="566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X176" s="443"/>
    </row>
    <row r="177" spans="2:38" ht="17.25" customHeight="1">
      <c r="S177" s="775"/>
      <c r="X177" s="443"/>
      <c r="AA177" s="1012"/>
    </row>
    <row r="178" spans="2:38" ht="17.25" customHeight="1">
      <c r="C178" s="566"/>
      <c r="D178" s="566"/>
      <c r="E178" s="566"/>
      <c r="F178" s="566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774"/>
      <c r="T178" s="337"/>
      <c r="U178" s="337"/>
      <c r="V178" s="337"/>
      <c r="X178" s="443"/>
      <c r="AH178" s="218"/>
    </row>
    <row r="179" spans="2:38" ht="17.25" customHeight="1">
      <c r="B179" s="336"/>
      <c r="C179" s="566"/>
      <c r="D179" s="566"/>
      <c r="E179" s="566"/>
      <c r="F179" s="566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774"/>
      <c r="T179" s="337"/>
      <c r="U179" s="337"/>
      <c r="V179" s="337"/>
      <c r="X179" s="443"/>
      <c r="AA179" s="1122"/>
      <c r="AG179" s="217"/>
      <c r="AH179" s="217">
        <f>AH178-AH175</f>
        <v>0</v>
      </c>
      <c r="AL179" s="808"/>
    </row>
    <row r="180" spans="2:38" ht="17.25" customHeight="1">
      <c r="B180" s="336"/>
      <c r="C180" s="566"/>
      <c r="D180" s="566"/>
      <c r="E180" s="566"/>
      <c r="F180" s="566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X180" s="443"/>
    </row>
    <row r="181" spans="2:38" ht="17.25" customHeight="1">
      <c r="B181" s="336"/>
      <c r="C181" s="566"/>
      <c r="D181" s="566"/>
      <c r="E181" s="566"/>
      <c r="F181" s="566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X181" s="443"/>
      <c r="AD181" s="339" t="s">
        <v>144</v>
      </c>
    </row>
    <row r="182" spans="2:38" ht="17.25" customHeight="1">
      <c r="B182" s="336" t="s">
        <v>528</v>
      </c>
      <c r="C182" s="847" t="s">
        <v>81</v>
      </c>
      <c r="D182" s="847"/>
      <c r="E182" s="566"/>
      <c r="F182" s="1173"/>
      <c r="G182" s="1173"/>
      <c r="H182" s="1173"/>
      <c r="I182" s="1173"/>
      <c r="J182" s="337"/>
      <c r="K182" s="337"/>
      <c r="L182" s="1173" t="s">
        <v>82</v>
      </c>
      <c r="M182" s="1173"/>
      <c r="N182" s="1173"/>
      <c r="O182" s="1173"/>
      <c r="P182" s="1173"/>
      <c r="Q182" s="1173"/>
      <c r="R182" s="1173"/>
      <c r="S182" s="1173"/>
      <c r="T182" s="1173"/>
      <c r="U182" s="1173"/>
      <c r="V182" s="1173"/>
      <c r="X182" s="443"/>
    </row>
    <row r="183" spans="2:38" ht="17.25" customHeight="1">
      <c r="B183" s="336"/>
      <c r="C183" s="566"/>
      <c r="D183" s="566"/>
      <c r="E183" s="566"/>
      <c r="F183" s="566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X183" s="443"/>
    </row>
    <row r="184" spans="2:38" ht="17.25" customHeight="1">
      <c r="B184" s="336"/>
      <c r="C184" s="566"/>
      <c r="D184" s="566"/>
      <c r="E184" s="566"/>
      <c r="F184" s="566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X184" s="443"/>
    </row>
    <row r="185" spans="2:38" ht="17.25" customHeight="1">
      <c r="B185" s="336"/>
      <c r="C185" s="566"/>
      <c r="D185" s="566"/>
      <c r="E185" s="566"/>
      <c r="F185" s="566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X185" s="443"/>
    </row>
    <row r="186" spans="2:38" ht="17.25" customHeight="1">
      <c r="B186" s="336"/>
      <c r="C186" s="566"/>
      <c r="D186" s="566"/>
      <c r="E186" s="566"/>
      <c r="F186" s="1173"/>
      <c r="G186" s="1173"/>
      <c r="H186" s="1173"/>
      <c r="I186" s="1173"/>
      <c r="J186" s="337"/>
      <c r="K186" s="337"/>
      <c r="L186" s="1173"/>
      <c r="M186" s="1173"/>
      <c r="N186" s="1173"/>
      <c r="O186" s="1173"/>
      <c r="P186" s="1173"/>
      <c r="Q186" s="1173"/>
      <c r="R186" s="1173"/>
      <c r="S186" s="1173"/>
      <c r="T186" s="1173"/>
      <c r="U186" s="1173"/>
      <c r="V186" s="1173"/>
      <c r="X186" s="443"/>
    </row>
    <row r="187" spans="2:38" ht="24.75" customHeight="1"/>
    <row r="188" spans="2:38" ht="24.75" customHeight="1"/>
    <row r="189" spans="2:38" ht="24.75" customHeight="1"/>
    <row r="190" spans="2:38" ht="24.75" customHeight="1">
      <c r="B190" s="215" t="s">
        <v>0</v>
      </c>
      <c r="Q190" s="217" t="s">
        <v>144</v>
      </c>
    </row>
    <row r="191" spans="2:38" ht="63.75" customHeight="1">
      <c r="B191" s="215" t="str">
        <f>B4</f>
        <v>DENOMINATION FOR OKTOBER 2025</v>
      </c>
    </row>
    <row r="192" spans="2:38" ht="24.75" customHeight="1" thickBot="1">
      <c r="B192" s="297"/>
      <c r="C192" s="298"/>
    </row>
    <row r="193" spans="2:40" ht="24.75" customHeight="1" thickTop="1">
      <c r="B193" s="1176" t="s">
        <v>1</v>
      </c>
      <c r="C193" s="1183" t="s">
        <v>15</v>
      </c>
      <c r="D193" s="1178" t="s">
        <v>470</v>
      </c>
      <c r="E193" s="1179"/>
      <c r="F193" s="1180"/>
      <c r="G193" s="1183" t="s">
        <v>244</v>
      </c>
      <c r="H193" s="1183" t="s">
        <v>471</v>
      </c>
      <c r="I193" s="1185" t="s">
        <v>472</v>
      </c>
      <c r="J193" s="1181" t="s">
        <v>473</v>
      </c>
      <c r="K193" s="1181" t="s">
        <v>474</v>
      </c>
      <c r="L193" s="572" t="s">
        <v>475</v>
      </c>
      <c r="M193" s="1183" t="s">
        <v>477</v>
      </c>
      <c r="N193" s="572" t="s">
        <v>475</v>
      </c>
      <c r="O193" s="572" t="s">
        <v>478</v>
      </c>
      <c r="P193" s="1183"/>
      <c r="Q193" s="568" t="s">
        <v>145</v>
      </c>
      <c r="R193" s="568" t="s">
        <v>253</v>
      </c>
      <c r="S193" s="568" t="s">
        <v>440</v>
      </c>
      <c r="T193" s="1174" t="str">
        <f>T152</f>
        <v>TOTAL PREMI</v>
      </c>
      <c r="U193" s="1174" t="str">
        <f>U152</f>
        <v>TOTAL LEMBUR</v>
      </c>
      <c r="V193" s="1171" t="s">
        <v>665</v>
      </c>
      <c r="W193" s="221" t="s">
        <v>16</v>
      </c>
      <c r="X193" s="222" t="s">
        <v>18</v>
      </c>
      <c r="AA193" s="1230" t="s">
        <v>664</v>
      </c>
      <c r="AB193" s="1222" t="s">
        <v>226</v>
      </c>
      <c r="AD193" s="1171" t="s">
        <v>259</v>
      </c>
      <c r="AF193" s="1189" t="s">
        <v>542</v>
      </c>
      <c r="AG193" s="1187" t="s">
        <v>617</v>
      </c>
      <c r="AH193" s="1195" t="s">
        <v>608</v>
      </c>
      <c r="AJ193" s="1197" t="s">
        <v>452</v>
      </c>
      <c r="AK193" s="1197"/>
    </row>
    <row r="194" spans="2:40" ht="29.25" customHeight="1" thickBot="1">
      <c r="B194" s="1177"/>
      <c r="C194" s="1184"/>
      <c r="D194" s="573" t="s">
        <v>485</v>
      </c>
      <c r="E194" s="573" t="s">
        <v>486</v>
      </c>
      <c r="F194" s="573" t="s">
        <v>487</v>
      </c>
      <c r="G194" s="1184"/>
      <c r="H194" s="1184"/>
      <c r="I194" s="1186"/>
      <c r="J194" s="1182"/>
      <c r="K194" s="1182"/>
      <c r="L194" s="573" t="s">
        <v>476</v>
      </c>
      <c r="M194" s="1184"/>
      <c r="N194" s="573" t="s">
        <v>476</v>
      </c>
      <c r="O194" s="573" t="s">
        <v>479</v>
      </c>
      <c r="P194" s="1184"/>
      <c r="Q194" s="569" t="str">
        <f>Q153</f>
        <v>(MASA OKTOBER 2025)</v>
      </c>
      <c r="R194" s="569" t="s">
        <v>254</v>
      </c>
      <c r="S194" s="569" t="s">
        <v>439</v>
      </c>
      <c r="T194" s="1175"/>
      <c r="U194" s="1175"/>
      <c r="V194" s="1172"/>
      <c r="W194" s="224"/>
      <c r="X194" s="225" t="s">
        <v>19</v>
      </c>
      <c r="AA194" s="1231"/>
      <c r="AB194" s="1223"/>
      <c r="AC194" s="216"/>
      <c r="AD194" s="1172"/>
      <c r="AF194" s="1190"/>
      <c r="AG194" s="1188"/>
      <c r="AH194" s="1196"/>
      <c r="AJ194" s="292" t="s">
        <v>611</v>
      </c>
      <c r="AK194" s="292" t="s">
        <v>612</v>
      </c>
    </row>
    <row r="195" spans="2:40" s="242" customFormat="1" ht="24.75" customHeight="1" thickTop="1">
      <c r="B195" s="299" t="s">
        <v>144</v>
      </c>
      <c r="C195" s="572"/>
      <c r="D195" s="708"/>
      <c r="E195" s="708"/>
      <c r="F195" s="708"/>
      <c r="G195" s="270"/>
      <c r="H195" s="270"/>
      <c r="I195" s="270"/>
      <c r="J195" s="270"/>
      <c r="K195" s="270"/>
      <c r="L195" s="270"/>
      <c r="M195" s="270"/>
      <c r="N195" s="270"/>
      <c r="O195" s="271"/>
      <c r="P195" s="271"/>
      <c r="Q195" s="271"/>
      <c r="R195" s="271"/>
      <c r="S195" s="271"/>
      <c r="T195" s="271"/>
      <c r="U195" s="271"/>
      <c r="V195" s="272"/>
      <c r="W195" s="300"/>
      <c r="X195" s="301"/>
      <c r="Y195" s="215"/>
      <c r="Z195" s="215"/>
      <c r="AA195" s="1224">
        <v>966927557</v>
      </c>
      <c r="AB195" s="1227">
        <f>V226-AA195</f>
        <v>0.39999997615814209</v>
      </c>
      <c r="AC195" s="215"/>
      <c r="AD195" s="272"/>
      <c r="AE195" s="339"/>
      <c r="AF195" s="292"/>
      <c r="AG195" s="828"/>
      <c r="AH195" s="798"/>
      <c r="AJ195" s="260"/>
      <c r="AK195" s="236"/>
      <c r="AL195" s="803"/>
      <c r="AN195" s="215" t="s">
        <v>674</v>
      </c>
    </row>
    <row r="196" spans="2:40" ht="24.75" customHeight="1">
      <c r="B196" s="1021" t="s">
        <v>178</v>
      </c>
      <c r="C196" s="235">
        <v>30</v>
      </c>
      <c r="D196" s="277"/>
      <c r="E196" s="277">
        <v>852</v>
      </c>
      <c r="F196" s="277"/>
      <c r="G196" s="236"/>
      <c r="H196" s="236"/>
      <c r="I196" s="236"/>
      <c r="J196" s="236"/>
      <c r="K196" s="236"/>
      <c r="L196" s="236"/>
      <c r="M196" s="236"/>
      <c r="N196" s="236"/>
      <c r="O196" s="260"/>
      <c r="P196" s="260"/>
      <c r="Q196" s="577">
        <v>819606</v>
      </c>
      <c r="R196" s="260"/>
      <c r="S196" s="577">
        <v>116000</v>
      </c>
      <c r="T196" s="260">
        <f>6550000+AM196</f>
        <v>27905877</v>
      </c>
      <c r="U196" s="260">
        <v>0</v>
      </c>
      <c r="V196" s="295">
        <v>162586398</v>
      </c>
      <c r="W196" s="273"/>
      <c r="X196" s="241"/>
      <c r="Y196" s="242"/>
      <c r="Z196" s="242"/>
      <c r="AA196" s="1225"/>
      <c r="AB196" s="1228"/>
      <c r="AC196" s="805"/>
      <c r="AD196" s="247">
        <v>21342200</v>
      </c>
      <c r="AE196" s="353"/>
      <c r="AF196" s="819">
        <v>2768689</v>
      </c>
      <c r="AG196" s="815">
        <v>4050000</v>
      </c>
      <c r="AH196" s="816"/>
      <c r="AJ196" s="260">
        <v>4130627</v>
      </c>
      <c r="AK196" s="236">
        <v>17225250</v>
      </c>
      <c r="AL196" s="803">
        <f t="shared" ref="AL196:AL224" si="9">AK196/1050</f>
        <v>16405</v>
      </c>
      <c r="AM196" s="239">
        <f>AJ196+AK196</f>
        <v>21355877</v>
      </c>
      <c r="AN196" s="1012">
        <v>3381632</v>
      </c>
    </row>
    <row r="197" spans="2:40" ht="24.75" customHeight="1">
      <c r="B197" s="1021"/>
      <c r="C197" s="235"/>
      <c r="D197" s="277"/>
      <c r="E197" s="277"/>
      <c r="F197" s="277"/>
      <c r="G197" s="236"/>
      <c r="H197" s="236"/>
      <c r="I197" s="236"/>
      <c r="J197" s="236"/>
      <c r="K197" s="236"/>
      <c r="L197" s="236"/>
      <c r="M197" s="236"/>
      <c r="N197" s="236"/>
      <c r="O197" s="260"/>
      <c r="P197" s="260"/>
      <c r="Q197" s="577"/>
      <c r="R197" s="260"/>
      <c r="S197" s="577"/>
      <c r="T197" s="260"/>
      <c r="U197" s="260"/>
      <c r="V197" s="295"/>
      <c r="W197" s="258"/>
      <c r="X197" s="259"/>
      <c r="AA197" s="1225"/>
      <c r="AB197" s="1228"/>
      <c r="AC197" s="805"/>
      <c r="AD197" s="247"/>
      <c r="AF197" s="819"/>
      <c r="AG197" s="817"/>
      <c r="AH197" s="816"/>
      <c r="AJ197" s="260"/>
      <c r="AK197" s="236"/>
      <c r="AL197" s="803"/>
      <c r="AN197" s="215" t="s">
        <v>674</v>
      </c>
    </row>
    <row r="198" spans="2:40" ht="24.75" customHeight="1">
      <c r="B198" s="1021" t="s">
        <v>545</v>
      </c>
      <c r="C198" s="235">
        <v>1</v>
      </c>
      <c r="D198" s="277"/>
      <c r="E198" s="277">
        <v>29</v>
      </c>
      <c r="F198" s="277"/>
      <c r="G198" s="236"/>
      <c r="H198" s="236"/>
      <c r="I198" s="236"/>
      <c r="J198" s="236"/>
      <c r="K198" s="236"/>
      <c r="L198" s="236"/>
      <c r="M198" s="236"/>
      <c r="N198" s="236"/>
      <c r="O198" s="260"/>
      <c r="P198" s="260"/>
      <c r="Q198" s="577">
        <v>0</v>
      </c>
      <c r="R198" s="260"/>
      <c r="S198" s="577">
        <v>4000</v>
      </c>
      <c r="T198" s="260">
        <f>AM198</f>
        <v>1739611</v>
      </c>
      <c r="U198" s="260">
        <v>0</v>
      </c>
      <c r="V198" s="295">
        <v>5706700</v>
      </c>
      <c r="W198" s="258"/>
      <c r="X198" s="259"/>
      <c r="AA198" s="1225"/>
      <c r="AB198" s="1228"/>
      <c r="AC198" s="805"/>
      <c r="AD198" s="247">
        <v>212300</v>
      </c>
      <c r="AF198" s="819">
        <v>133527</v>
      </c>
      <c r="AG198" s="815">
        <v>300000</v>
      </c>
      <c r="AH198" s="816"/>
      <c r="AJ198" s="260">
        <v>771861</v>
      </c>
      <c r="AK198" s="236">
        <v>967750</v>
      </c>
      <c r="AL198" s="803">
        <f t="shared" si="9"/>
        <v>921.66666666666663</v>
      </c>
      <c r="AM198" s="239">
        <f>AJ198+AK198</f>
        <v>1739611</v>
      </c>
      <c r="AN198" s="1012"/>
    </row>
    <row r="199" spans="2:40" s="242" customFormat="1" ht="24.75" customHeight="1">
      <c r="B199" s="1021"/>
      <c r="C199" s="235"/>
      <c r="D199" s="277"/>
      <c r="E199" s="277"/>
      <c r="F199" s="277"/>
      <c r="G199" s="236"/>
      <c r="H199" s="236"/>
      <c r="I199" s="236"/>
      <c r="J199" s="236"/>
      <c r="K199" s="236"/>
      <c r="L199" s="236"/>
      <c r="M199" s="236"/>
      <c r="N199" s="236"/>
      <c r="O199" s="260"/>
      <c r="P199" s="260"/>
      <c r="Q199" s="577"/>
      <c r="R199" s="260"/>
      <c r="S199" s="577"/>
      <c r="T199" s="260"/>
      <c r="U199" s="260"/>
      <c r="V199" s="295"/>
      <c r="W199" s="258"/>
      <c r="X199" s="259"/>
      <c r="Y199" s="215"/>
      <c r="Z199" s="215"/>
      <c r="AA199" s="1225"/>
      <c r="AB199" s="1228"/>
      <c r="AC199" s="215"/>
      <c r="AD199" s="247"/>
      <c r="AE199" s="339"/>
      <c r="AG199" s="817"/>
      <c r="AH199" s="816"/>
      <c r="AJ199" s="260"/>
      <c r="AK199" s="236"/>
      <c r="AL199" s="803"/>
    </row>
    <row r="200" spans="2:40" s="242" customFormat="1" ht="24.75" hidden="1" customHeight="1">
      <c r="B200" s="1021" t="s">
        <v>104</v>
      </c>
      <c r="C200" s="235"/>
      <c r="D200" s="277"/>
      <c r="E200" s="277"/>
      <c r="F200" s="277"/>
      <c r="G200" s="236"/>
      <c r="H200" s="236"/>
      <c r="I200" s="236"/>
      <c r="J200" s="236"/>
      <c r="K200" s="236"/>
      <c r="L200" s="236"/>
      <c r="M200" s="236"/>
      <c r="N200" s="236"/>
      <c r="O200" s="260"/>
      <c r="P200" s="260"/>
      <c r="Q200" s="577"/>
      <c r="R200" s="260"/>
      <c r="S200" s="577"/>
      <c r="T200" s="260"/>
      <c r="U200" s="260"/>
      <c r="V200" s="295"/>
      <c r="W200" s="240"/>
      <c r="X200" s="241"/>
      <c r="AA200" s="1225"/>
      <c r="AB200" s="1228"/>
      <c r="AD200" s="247"/>
      <c r="AE200" s="353"/>
      <c r="AF200" s="819"/>
      <c r="AG200" s="815"/>
      <c r="AH200" s="816"/>
      <c r="AJ200" s="260"/>
      <c r="AK200" s="236"/>
      <c r="AL200" s="803">
        <f t="shared" si="9"/>
        <v>0</v>
      </c>
    </row>
    <row r="201" spans="2:40" s="242" customFormat="1" ht="24.75" hidden="1" customHeight="1">
      <c r="B201" s="1021"/>
      <c r="C201" s="235"/>
      <c r="D201" s="277"/>
      <c r="E201" s="277"/>
      <c r="F201" s="277"/>
      <c r="G201" s="236"/>
      <c r="H201" s="236"/>
      <c r="I201" s="236"/>
      <c r="J201" s="236"/>
      <c r="K201" s="236"/>
      <c r="L201" s="236"/>
      <c r="M201" s="236"/>
      <c r="N201" s="236"/>
      <c r="O201" s="260"/>
      <c r="P201" s="260"/>
      <c r="Q201" s="577"/>
      <c r="R201" s="260"/>
      <c r="S201" s="577"/>
      <c r="T201" s="260"/>
      <c r="U201" s="260"/>
      <c r="V201" s="295"/>
      <c r="W201" s="240"/>
      <c r="X201" s="241"/>
      <c r="AA201" s="1225"/>
      <c r="AB201" s="1228"/>
      <c r="AD201" s="247"/>
      <c r="AE201" s="353"/>
      <c r="AF201" s="819"/>
      <c r="AG201" s="817"/>
      <c r="AH201" s="816"/>
      <c r="AJ201" s="260"/>
      <c r="AK201" s="236"/>
      <c r="AL201" s="803"/>
    </row>
    <row r="202" spans="2:40" ht="24.75" customHeight="1">
      <c r="B202" s="1021" t="s">
        <v>179</v>
      </c>
      <c r="C202" s="235">
        <v>29</v>
      </c>
      <c r="D202" s="277"/>
      <c r="E202" s="277">
        <v>897</v>
      </c>
      <c r="F202" s="277"/>
      <c r="G202" s="236"/>
      <c r="H202" s="236"/>
      <c r="I202" s="236"/>
      <c r="J202" s="236"/>
      <c r="K202" s="236"/>
      <c r="L202" s="236"/>
      <c r="M202" s="236"/>
      <c r="N202" s="236"/>
      <c r="O202" s="260"/>
      <c r="P202" s="260"/>
      <c r="Q202" s="577">
        <v>52407</v>
      </c>
      <c r="R202" s="260"/>
      <c r="S202" s="577">
        <v>116000</v>
      </c>
      <c r="T202" s="260">
        <v>0</v>
      </c>
      <c r="U202" s="260">
        <v>3327601</v>
      </c>
      <c r="V202" s="295">
        <v>119403794.40000001</v>
      </c>
      <c r="W202" s="240"/>
      <c r="X202" s="241"/>
      <c r="Y202" s="242"/>
      <c r="Z202" s="242"/>
      <c r="AA202" s="1225"/>
      <c r="AB202" s="1228"/>
      <c r="AC202" s="805"/>
      <c r="AD202" s="295"/>
      <c r="AE202" s="353"/>
      <c r="AF202" s="819"/>
      <c r="AG202" s="815"/>
      <c r="AH202" s="816"/>
      <c r="AJ202" s="260"/>
      <c r="AK202" s="236"/>
      <c r="AL202" s="803">
        <f t="shared" si="9"/>
        <v>0</v>
      </c>
    </row>
    <row r="203" spans="2:40" ht="24.75" customHeight="1">
      <c r="B203" s="1021"/>
      <c r="C203" s="235"/>
      <c r="D203" s="277"/>
      <c r="E203" s="277"/>
      <c r="F203" s="277"/>
      <c r="G203" s="236"/>
      <c r="H203" s="236"/>
      <c r="I203" s="236"/>
      <c r="J203" s="236"/>
      <c r="K203" s="236"/>
      <c r="L203" s="236"/>
      <c r="M203" s="236"/>
      <c r="N203" s="236"/>
      <c r="O203" s="260"/>
      <c r="P203" s="260"/>
      <c r="Q203" s="577"/>
      <c r="R203" s="260"/>
      <c r="S203" s="577"/>
      <c r="T203" s="260"/>
      <c r="U203" s="260"/>
      <c r="V203" s="295"/>
      <c r="W203" s="258"/>
      <c r="X203" s="259"/>
      <c r="AA203" s="1225"/>
      <c r="AB203" s="1228"/>
      <c r="AD203" s="247"/>
      <c r="AF203" s="819"/>
      <c r="AG203" s="817"/>
      <c r="AH203" s="816"/>
      <c r="AJ203" s="260"/>
      <c r="AK203" s="236"/>
      <c r="AL203" s="803"/>
    </row>
    <row r="204" spans="2:40" ht="24.75" customHeight="1">
      <c r="B204" s="1021" t="s">
        <v>183</v>
      </c>
      <c r="C204" s="292">
        <v>33</v>
      </c>
      <c r="D204" s="277"/>
      <c r="E204" s="277">
        <v>1007</v>
      </c>
      <c r="F204" s="277"/>
      <c r="G204" s="236"/>
      <c r="H204" s="236"/>
      <c r="I204" s="236"/>
      <c r="J204" s="236"/>
      <c r="K204" s="236"/>
      <c r="L204" s="236"/>
      <c r="M204" s="236"/>
      <c r="N204" s="236"/>
      <c r="O204" s="260"/>
      <c r="P204" s="260"/>
      <c r="Q204" s="577">
        <v>33174</v>
      </c>
      <c r="R204" s="260"/>
      <c r="S204" s="577">
        <v>132000</v>
      </c>
      <c r="T204" s="260">
        <v>0</v>
      </c>
      <c r="U204" s="260">
        <v>3237969</v>
      </c>
      <c r="V204" s="295">
        <v>132985633</v>
      </c>
      <c r="W204" s="258"/>
      <c r="X204" s="259"/>
      <c r="AA204" s="1225"/>
      <c r="AB204" s="1228"/>
      <c r="AC204" s="805"/>
      <c r="AD204" s="247"/>
      <c r="AF204" s="819"/>
      <c r="AG204" s="815"/>
      <c r="AH204" s="816"/>
      <c r="AJ204" s="260"/>
      <c r="AK204" s="236"/>
      <c r="AL204" s="803">
        <f t="shared" si="9"/>
        <v>0</v>
      </c>
    </row>
    <row r="205" spans="2:40" s="242" customFormat="1" ht="24.75" customHeight="1">
      <c r="B205" s="1022"/>
      <c r="C205" s="235"/>
      <c r="D205" s="277"/>
      <c r="E205" s="277"/>
      <c r="F205" s="277"/>
      <c r="G205" s="236"/>
      <c r="H205" s="236"/>
      <c r="I205" s="236"/>
      <c r="J205" s="236"/>
      <c r="K205" s="236"/>
      <c r="L205" s="236"/>
      <c r="M205" s="236"/>
      <c r="N205" s="236"/>
      <c r="O205" s="260"/>
      <c r="P205" s="260"/>
      <c r="Q205" s="577"/>
      <c r="R205" s="260"/>
      <c r="S205" s="577"/>
      <c r="T205" s="260"/>
      <c r="U205" s="260"/>
      <c r="V205" s="295"/>
      <c r="W205" s="258"/>
      <c r="X205" s="259"/>
      <c r="Y205" s="215"/>
      <c r="Z205" s="215"/>
      <c r="AA205" s="1225"/>
      <c r="AB205" s="1228"/>
      <c r="AC205" s="215"/>
      <c r="AD205" s="247"/>
      <c r="AE205" s="339"/>
      <c r="AF205" s="819"/>
      <c r="AG205" s="817"/>
      <c r="AH205" s="816"/>
      <c r="AJ205" s="260"/>
      <c r="AK205" s="236"/>
      <c r="AL205" s="803"/>
    </row>
    <row r="206" spans="2:40" ht="24.75" customHeight="1">
      <c r="B206" s="1021" t="s">
        <v>105</v>
      </c>
      <c r="C206" s="235">
        <v>6</v>
      </c>
      <c r="D206" s="277"/>
      <c r="E206" s="277">
        <v>183</v>
      </c>
      <c r="F206" s="277"/>
      <c r="G206" s="236"/>
      <c r="H206" s="236"/>
      <c r="I206" s="236"/>
      <c r="J206" s="236"/>
      <c r="K206" s="236"/>
      <c r="L206" s="236"/>
      <c r="M206" s="236"/>
      <c r="N206" s="236"/>
      <c r="O206" s="260"/>
      <c r="P206" s="260"/>
      <c r="Q206" s="577">
        <v>112994</v>
      </c>
      <c r="R206" s="260"/>
      <c r="S206" s="577">
        <v>24000</v>
      </c>
      <c r="T206" s="260">
        <v>4128794</v>
      </c>
      <c r="U206" s="260">
        <v>3551683</v>
      </c>
      <c r="V206" s="295">
        <v>31550629</v>
      </c>
      <c r="W206" s="240"/>
      <c r="X206" s="241"/>
      <c r="Y206" s="242"/>
      <c r="Z206" s="242"/>
      <c r="AA206" s="1225"/>
      <c r="AB206" s="1228"/>
      <c r="AC206" s="805"/>
      <c r="AD206" s="247"/>
      <c r="AE206" s="353"/>
      <c r="AF206" s="819"/>
      <c r="AG206" s="815"/>
      <c r="AH206" s="816"/>
      <c r="AJ206" s="260"/>
      <c r="AK206" s="236"/>
      <c r="AL206" s="803">
        <f t="shared" si="9"/>
        <v>0</v>
      </c>
    </row>
    <row r="207" spans="2:40" s="242" customFormat="1" ht="24.75" customHeight="1">
      <c r="B207" s="1022"/>
      <c r="C207" s="235"/>
      <c r="D207" s="277"/>
      <c r="E207" s="277"/>
      <c r="F207" s="277"/>
      <c r="G207" s="236"/>
      <c r="H207" s="236"/>
      <c r="I207" s="236"/>
      <c r="J207" s="236"/>
      <c r="K207" s="236"/>
      <c r="L207" s="236"/>
      <c r="M207" s="236"/>
      <c r="N207" s="236"/>
      <c r="O207" s="260"/>
      <c r="P207" s="260"/>
      <c r="Q207" s="577"/>
      <c r="R207" s="260"/>
      <c r="S207" s="577"/>
      <c r="T207" s="260"/>
      <c r="U207" s="260"/>
      <c r="V207" s="295"/>
      <c r="W207" s="258"/>
      <c r="X207" s="259"/>
      <c r="Y207" s="215"/>
      <c r="Z207" s="215"/>
      <c r="AA207" s="1225"/>
      <c r="AB207" s="1228"/>
      <c r="AC207" s="805"/>
      <c r="AD207" s="247"/>
      <c r="AE207" s="339"/>
      <c r="AF207" s="819"/>
      <c r="AG207" s="817"/>
      <c r="AH207" s="816"/>
      <c r="AJ207" s="260"/>
      <c r="AK207" s="236"/>
      <c r="AL207" s="803"/>
    </row>
    <row r="208" spans="2:40" s="242" customFormat="1" ht="24.75" customHeight="1">
      <c r="B208" s="1021" t="s">
        <v>109</v>
      </c>
      <c r="C208" s="235">
        <v>6</v>
      </c>
      <c r="D208" s="277"/>
      <c r="E208" s="277">
        <v>185</v>
      </c>
      <c r="F208" s="277"/>
      <c r="G208" s="236"/>
      <c r="H208" s="236"/>
      <c r="I208" s="236"/>
      <c r="J208" s="236"/>
      <c r="K208" s="236"/>
      <c r="L208" s="236"/>
      <c r="M208" s="236"/>
      <c r="N208" s="236"/>
      <c r="O208" s="260"/>
      <c r="P208" s="260"/>
      <c r="Q208" s="577">
        <v>312263</v>
      </c>
      <c r="R208" s="260"/>
      <c r="S208" s="577">
        <v>24000</v>
      </c>
      <c r="T208" s="260">
        <v>5100148</v>
      </c>
      <c r="U208" s="260">
        <v>6856877</v>
      </c>
      <c r="V208" s="295">
        <v>36016228</v>
      </c>
      <c r="W208" s="258"/>
      <c r="X208" s="259"/>
      <c r="Y208" s="215"/>
      <c r="Z208" s="215"/>
      <c r="AA208" s="1225"/>
      <c r="AB208" s="1228"/>
      <c r="AC208" s="805"/>
      <c r="AD208" s="247"/>
      <c r="AE208" s="339"/>
      <c r="AF208" s="819"/>
      <c r="AG208" s="817"/>
      <c r="AH208" s="816"/>
      <c r="AJ208" s="260"/>
      <c r="AK208" s="236"/>
      <c r="AL208" s="803">
        <f t="shared" si="9"/>
        <v>0</v>
      </c>
    </row>
    <row r="209" spans="2:40" s="242" customFormat="1" ht="24.75" customHeight="1">
      <c r="B209" s="1022"/>
      <c r="C209" s="235"/>
      <c r="D209" s="277"/>
      <c r="E209" s="277"/>
      <c r="F209" s="277"/>
      <c r="G209" s="236"/>
      <c r="H209" s="236"/>
      <c r="I209" s="236"/>
      <c r="J209" s="236"/>
      <c r="K209" s="236"/>
      <c r="L209" s="236"/>
      <c r="M209" s="236"/>
      <c r="N209" s="236"/>
      <c r="O209" s="260"/>
      <c r="P209" s="260"/>
      <c r="Q209" s="577"/>
      <c r="R209" s="260"/>
      <c r="S209" s="577"/>
      <c r="T209" s="260"/>
      <c r="U209" s="260"/>
      <c r="V209" s="295"/>
      <c r="W209" s="258"/>
      <c r="X209" s="259"/>
      <c r="Y209" s="215"/>
      <c r="Z209" s="215"/>
      <c r="AA209" s="1225"/>
      <c r="AB209" s="1228"/>
      <c r="AC209" s="805"/>
      <c r="AD209" s="247"/>
      <c r="AE209" s="339"/>
      <c r="AF209" s="819"/>
      <c r="AG209" s="817"/>
      <c r="AH209" s="816"/>
      <c r="AJ209" s="260"/>
      <c r="AK209" s="236"/>
      <c r="AL209" s="803"/>
    </row>
    <row r="210" spans="2:40" s="242" customFormat="1" ht="24.75" customHeight="1">
      <c r="B210" s="1021" t="s">
        <v>104</v>
      </c>
      <c r="C210" s="292">
        <v>5</v>
      </c>
      <c r="D210" s="277"/>
      <c r="E210" s="277">
        <v>155</v>
      </c>
      <c r="F210" s="277"/>
      <c r="G210" s="236"/>
      <c r="H210" s="236"/>
      <c r="I210" s="236"/>
      <c r="J210" s="236"/>
      <c r="K210" s="236"/>
      <c r="L210" s="236"/>
      <c r="M210" s="236"/>
      <c r="N210" s="236"/>
      <c r="O210" s="260"/>
      <c r="P210" s="260"/>
      <c r="Q210" s="577">
        <v>259210</v>
      </c>
      <c r="R210" s="260"/>
      <c r="S210" s="577">
        <v>20000</v>
      </c>
      <c r="T210" s="260">
        <v>5085069</v>
      </c>
      <c r="U210" s="260">
        <v>6565570</v>
      </c>
      <c r="V210" s="295">
        <v>31746189</v>
      </c>
      <c r="W210" s="258"/>
      <c r="X210" s="259"/>
      <c r="Y210" s="215"/>
      <c r="Z210" s="215"/>
      <c r="AA210" s="1225"/>
      <c r="AB210" s="1228"/>
      <c r="AC210" s="805"/>
      <c r="AD210" s="247"/>
      <c r="AE210" s="339"/>
      <c r="AF210" s="819"/>
      <c r="AG210" s="817"/>
      <c r="AH210" s="816"/>
      <c r="AJ210" s="260"/>
      <c r="AK210" s="236"/>
      <c r="AL210" s="803">
        <f t="shared" si="9"/>
        <v>0</v>
      </c>
    </row>
    <row r="211" spans="2:40" s="242" customFormat="1" ht="24.75" customHeight="1">
      <c r="B211" s="1022"/>
      <c r="C211" s="235"/>
      <c r="D211" s="277"/>
      <c r="E211" s="277"/>
      <c r="F211" s="277"/>
      <c r="G211" s="236"/>
      <c r="H211" s="236"/>
      <c r="I211" s="236"/>
      <c r="J211" s="236"/>
      <c r="K211" s="236"/>
      <c r="L211" s="236"/>
      <c r="M211" s="236"/>
      <c r="N211" s="236"/>
      <c r="O211" s="260"/>
      <c r="P211" s="260"/>
      <c r="Q211" s="577"/>
      <c r="R211" s="260"/>
      <c r="S211" s="577"/>
      <c r="T211" s="260"/>
      <c r="U211" s="260"/>
      <c r="V211" s="295"/>
      <c r="W211" s="258"/>
      <c r="X211" s="259"/>
      <c r="Y211" s="215"/>
      <c r="Z211" s="215"/>
      <c r="AA211" s="1225"/>
      <c r="AB211" s="1228"/>
      <c r="AC211" s="805"/>
      <c r="AD211" s="247"/>
      <c r="AE211" s="339"/>
      <c r="AF211" s="819"/>
      <c r="AG211" s="817"/>
      <c r="AH211" s="816"/>
      <c r="AJ211" s="260"/>
      <c r="AK211" s="236"/>
      <c r="AL211" s="803"/>
    </row>
    <row r="212" spans="2:40" s="242" customFormat="1" ht="24.75" customHeight="1">
      <c r="B212" s="1021" t="s">
        <v>182</v>
      </c>
      <c r="C212" s="292">
        <v>31</v>
      </c>
      <c r="D212" s="277"/>
      <c r="E212" s="277">
        <v>932</v>
      </c>
      <c r="F212" s="277"/>
      <c r="G212" s="236"/>
      <c r="H212" s="236"/>
      <c r="I212" s="236"/>
      <c r="J212" s="236"/>
      <c r="K212" s="236"/>
      <c r="L212" s="236"/>
      <c r="M212" s="236"/>
      <c r="N212" s="236"/>
      <c r="O212" s="260"/>
      <c r="P212" s="260"/>
      <c r="Q212" s="577">
        <v>411698</v>
      </c>
      <c r="R212" s="260"/>
      <c r="S212" s="577">
        <v>124000</v>
      </c>
      <c r="T212" s="260">
        <f>6480000+AM212</f>
        <v>25391985</v>
      </c>
      <c r="U212" s="260">
        <v>0</v>
      </c>
      <c r="V212" s="295">
        <v>162212442</v>
      </c>
      <c r="W212" s="258"/>
      <c r="X212" s="259"/>
      <c r="Y212" s="215"/>
      <c r="Z212" s="215"/>
      <c r="AA212" s="1225"/>
      <c r="AB212" s="1228"/>
      <c r="AC212" s="805"/>
      <c r="AD212" s="247">
        <v>13097650</v>
      </c>
      <c r="AE212" s="353"/>
      <c r="AF212" s="819">
        <v>1341511</v>
      </c>
      <c r="AG212" s="815">
        <v>5400000</v>
      </c>
      <c r="AH212" s="816"/>
      <c r="AJ212" s="260">
        <v>6056485</v>
      </c>
      <c r="AK212" s="236">
        <v>12855500</v>
      </c>
      <c r="AL212" s="803">
        <f t="shared" si="9"/>
        <v>12243.333333333334</v>
      </c>
      <c r="AM212" s="239">
        <f>AJ212+AK212</f>
        <v>18911985</v>
      </c>
    </row>
    <row r="213" spans="2:40" s="242" customFormat="1" ht="24.75" customHeight="1">
      <c r="B213" s="1021"/>
      <c r="C213" s="235"/>
      <c r="D213" s="277"/>
      <c r="E213" s="277"/>
      <c r="F213" s="277"/>
      <c r="G213" s="236"/>
      <c r="H213" s="236"/>
      <c r="I213" s="236"/>
      <c r="J213" s="236"/>
      <c r="K213" s="236"/>
      <c r="L213" s="236"/>
      <c r="M213" s="236"/>
      <c r="N213" s="236"/>
      <c r="O213" s="260"/>
      <c r="P213" s="260"/>
      <c r="Q213" s="577"/>
      <c r="R213" s="260"/>
      <c r="S213" s="577"/>
      <c r="T213" s="260"/>
      <c r="U213" s="260"/>
      <c r="V213" s="295"/>
      <c r="W213" s="240"/>
      <c r="X213" s="241"/>
      <c r="AA213" s="1225"/>
      <c r="AB213" s="1228"/>
      <c r="AC213" s="805"/>
      <c r="AD213" s="247"/>
      <c r="AE213" s="353"/>
      <c r="AF213" s="819"/>
      <c r="AG213" s="817"/>
      <c r="AH213" s="816"/>
      <c r="AJ213" s="260"/>
      <c r="AK213" s="236"/>
      <c r="AL213" s="803"/>
      <c r="AN213" s="215" t="s">
        <v>654</v>
      </c>
    </row>
    <row r="214" spans="2:40" s="242" customFormat="1" ht="24.75" customHeight="1">
      <c r="B214" s="234" t="s">
        <v>613</v>
      </c>
      <c r="C214" s="292">
        <v>3</v>
      </c>
      <c r="D214" s="277"/>
      <c r="E214" s="277">
        <v>84</v>
      </c>
      <c r="F214" s="277"/>
      <c r="G214" s="236"/>
      <c r="H214" s="236"/>
      <c r="I214" s="236"/>
      <c r="J214" s="236"/>
      <c r="K214" s="236"/>
      <c r="L214" s="236"/>
      <c r="M214" s="236"/>
      <c r="N214" s="236"/>
      <c r="O214" s="260"/>
      <c r="P214" s="260"/>
      <c r="Q214" s="577">
        <v>0</v>
      </c>
      <c r="R214" s="260"/>
      <c r="S214" s="577">
        <v>12000</v>
      </c>
      <c r="T214" s="260">
        <f>AM214</f>
        <v>2540623</v>
      </c>
      <c r="U214" s="260">
        <v>0</v>
      </c>
      <c r="V214" s="295">
        <v>14857361</v>
      </c>
      <c r="W214" s="240"/>
      <c r="X214" s="241"/>
      <c r="AA214" s="1225"/>
      <c r="AB214" s="1228"/>
      <c r="AC214" s="805"/>
      <c r="AD214" s="247">
        <v>1339450</v>
      </c>
      <c r="AE214" s="353"/>
      <c r="AF214" s="819">
        <v>0</v>
      </c>
      <c r="AG214" s="815">
        <v>600000</v>
      </c>
      <c r="AH214" s="816"/>
      <c r="AJ214" s="260">
        <v>1207123</v>
      </c>
      <c r="AK214" s="236">
        <v>1333500</v>
      </c>
      <c r="AL214" s="803">
        <f t="shared" si="9"/>
        <v>1270</v>
      </c>
      <c r="AM214" s="1120">
        <f>AJ214+AK214</f>
        <v>2540623</v>
      </c>
    </row>
    <row r="215" spans="2:40" s="242" customFormat="1" ht="24.75" customHeight="1">
      <c r="B215" s="234"/>
      <c r="C215" s="235"/>
      <c r="D215" s="277"/>
      <c r="E215" s="277"/>
      <c r="F215" s="277"/>
      <c r="G215" s="236"/>
      <c r="H215" s="236"/>
      <c r="I215" s="236"/>
      <c r="J215" s="236"/>
      <c r="K215" s="236"/>
      <c r="L215" s="236"/>
      <c r="M215" s="236"/>
      <c r="N215" s="236"/>
      <c r="O215" s="260"/>
      <c r="P215" s="260"/>
      <c r="Q215" s="577"/>
      <c r="R215" s="260"/>
      <c r="S215" s="577"/>
      <c r="T215" s="260"/>
      <c r="U215" s="260"/>
      <c r="V215" s="295"/>
      <c r="W215" s="240"/>
      <c r="X215" s="241"/>
      <c r="AA215" s="1225"/>
      <c r="AB215" s="1228"/>
      <c r="AC215" s="805"/>
      <c r="AD215" s="247"/>
      <c r="AE215" s="353"/>
      <c r="AF215" s="819"/>
      <c r="AG215" s="817"/>
      <c r="AH215" s="816"/>
      <c r="AJ215" s="260"/>
      <c r="AK215" s="236"/>
      <c r="AL215" s="803"/>
    </row>
    <row r="216" spans="2:40" s="242" customFormat="1" ht="24.75" customHeight="1">
      <c r="B216" s="234" t="s">
        <v>181</v>
      </c>
      <c r="C216" s="235">
        <v>32</v>
      </c>
      <c r="D216" s="277"/>
      <c r="E216" s="277">
        <v>863</v>
      </c>
      <c r="F216" s="277"/>
      <c r="G216" s="236"/>
      <c r="H216" s="236"/>
      <c r="I216" s="236"/>
      <c r="J216" s="236"/>
      <c r="K216" s="236"/>
      <c r="L216" s="236"/>
      <c r="M216" s="236"/>
      <c r="N216" s="236"/>
      <c r="O216" s="260"/>
      <c r="P216" s="260"/>
      <c r="Q216" s="577">
        <v>693515</v>
      </c>
      <c r="R216" s="260"/>
      <c r="S216" s="577">
        <v>124000</v>
      </c>
      <c r="T216" s="260">
        <f>6250000+AM216</f>
        <v>36664452</v>
      </c>
      <c r="U216" s="260">
        <v>0</v>
      </c>
      <c r="V216" s="295">
        <v>161729595</v>
      </c>
      <c r="W216" s="258"/>
      <c r="X216" s="259"/>
      <c r="Y216" s="215"/>
      <c r="Z216" s="215"/>
      <c r="AA216" s="1225"/>
      <c r="AB216" s="1228"/>
      <c r="AC216" s="805"/>
      <c r="AD216" s="247">
        <v>7994800</v>
      </c>
      <c r="AE216" s="353"/>
      <c r="AF216" s="819">
        <v>1148112</v>
      </c>
      <c r="AG216" s="815">
        <v>7700000</v>
      </c>
      <c r="AH216" s="816"/>
      <c r="AJ216" s="260">
        <v>12125202</v>
      </c>
      <c r="AK216" s="236">
        <v>18289250</v>
      </c>
      <c r="AL216" s="803">
        <f t="shared" si="9"/>
        <v>17418.333333333332</v>
      </c>
      <c r="AM216" s="239">
        <f>AJ216+AK216</f>
        <v>30414452</v>
      </c>
    </row>
    <row r="217" spans="2:40" s="242" customFormat="1" ht="24.75" hidden="1" customHeight="1">
      <c r="B217" s="234"/>
      <c r="C217" s="235"/>
      <c r="D217" s="277"/>
      <c r="E217" s="277"/>
      <c r="F217" s="277"/>
      <c r="G217" s="236"/>
      <c r="H217" s="236"/>
      <c r="I217" s="236"/>
      <c r="J217" s="236"/>
      <c r="K217" s="236"/>
      <c r="L217" s="236"/>
      <c r="M217" s="236"/>
      <c r="N217" s="236"/>
      <c r="O217" s="260"/>
      <c r="P217" s="260"/>
      <c r="Q217" s="577"/>
      <c r="R217" s="260"/>
      <c r="S217" s="577"/>
      <c r="T217" s="260"/>
      <c r="U217" s="260"/>
      <c r="V217" s="295"/>
      <c r="W217" s="240"/>
      <c r="X217" s="241"/>
      <c r="AA217" s="1225"/>
      <c r="AB217" s="1228"/>
      <c r="AC217" s="805"/>
      <c r="AD217" s="247"/>
      <c r="AE217" s="353"/>
      <c r="AF217" s="819"/>
      <c r="AG217" s="817"/>
      <c r="AH217" s="816"/>
      <c r="AJ217" s="260"/>
      <c r="AK217" s="236"/>
      <c r="AL217" s="803"/>
    </row>
    <row r="218" spans="2:40" s="242" customFormat="1" ht="24.75" hidden="1" customHeight="1">
      <c r="B218" s="234" t="s">
        <v>605</v>
      </c>
      <c r="C218" s="235"/>
      <c r="D218" s="277"/>
      <c r="E218" s="277"/>
      <c r="F218" s="277"/>
      <c r="G218" s="236"/>
      <c r="H218" s="236"/>
      <c r="I218" s="236"/>
      <c r="J218" s="236"/>
      <c r="K218" s="236"/>
      <c r="L218" s="236"/>
      <c r="M218" s="236"/>
      <c r="N218" s="236"/>
      <c r="O218" s="260"/>
      <c r="P218" s="260"/>
      <c r="Q218" s="577"/>
      <c r="R218" s="260"/>
      <c r="S218" s="577"/>
      <c r="T218" s="260"/>
      <c r="U218" s="260"/>
      <c r="V218" s="295"/>
      <c r="W218" s="240"/>
      <c r="X218" s="241"/>
      <c r="AA218" s="1225"/>
      <c r="AB218" s="1228"/>
      <c r="AC218" s="805"/>
      <c r="AD218" s="247"/>
      <c r="AE218" s="353"/>
      <c r="AF218" s="819"/>
      <c r="AG218" s="815"/>
      <c r="AH218" s="816"/>
      <c r="AJ218" s="260"/>
      <c r="AK218" s="236"/>
      <c r="AL218" s="803">
        <f t="shared" si="9"/>
        <v>0</v>
      </c>
    </row>
    <row r="219" spans="2:40" s="242" customFormat="1" ht="24.75" hidden="1" customHeight="1">
      <c r="B219" s="234"/>
      <c r="C219" s="235"/>
      <c r="D219" s="277"/>
      <c r="E219" s="277"/>
      <c r="F219" s="277"/>
      <c r="G219" s="236"/>
      <c r="H219" s="236"/>
      <c r="I219" s="236"/>
      <c r="J219" s="236"/>
      <c r="K219" s="236"/>
      <c r="L219" s="236"/>
      <c r="M219" s="236"/>
      <c r="N219" s="236"/>
      <c r="O219" s="260"/>
      <c r="P219" s="260"/>
      <c r="Q219" s="577"/>
      <c r="R219" s="260"/>
      <c r="S219" s="577"/>
      <c r="T219" s="260"/>
      <c r="U219" s="260"/>
      <c r="V219" s="295"/>
      <c r="W219" s="240"/>
      <c r="X219" s="241"/>
      <c r="AA219" s="1225"/>
      <c r="AB219" s="1228"/>
      <c r="AC219" s="805"/>
      <c r="AD219" s="247"/>
      <c r="AE219" s="353"/>
      <c r="AF219" s="819"/>
      <c r="AG219" s="817"/>
      <c r="AH219" s="816"/>
      <c r="AJ219" s="260"/>
      <c r="AK219" s="236"/>
      <c r="AL219" s="803"/>
    </row>
    <row r="220" spans="2:40" s="242" customFormat="1" ht="24.75" hidden="1" customHeight="1">
      <c r="B220" s="234" t="s">
        <v>109</v>
      </c>
      <c r="C220" s="235"/>
      <c r="D220" s="277"/>
      <c r="E220" s="277"/>
      <c r="F220" s="277"/>
      <c r="G220" s="236"/>
      <c r="H220" s="236"/>
      <c r="I220" s="236"/>
      <c r="J220" s="236"/>
      <c r="K220" s="236"/>
      <c r="L220" s="236"/>
      <c r="M220" s="236"/>
      <c r="N220" s="236"/>
      <c r="O220" s="260"/>
      <c r="P220" s="260"/>
      <c r="Q220" s="577"/>
      <c r="R220" s="260"/>
      <c r="S220" s="577"/>
      <c r="T220" s="260"/>
      <c r="U220" s="260"/>
      <c r="V220" s="295"/>
      <c r="W220" s="240"/>
      <c r="X220" s="241"/>
      <c r="AA220" s="1225"/>
      <c r="AB220" s="1228"/>
      <c r="AC220" s="805"/>
      <c r="AD220" s="247"/>
      <c r="AE220" s="353"/>
      <c r="AF220" s="819"/>
      <c r="AG220" s="815"/>
      <c r="AH220" s="816"/>
      <c r="AJ220" s="260"/>
      <c r="AK220" s="236"/>
      <c r="AL220" s="803">
        <f t="shared" si="9"/>
        <v>0</v>
      </c>
    </row>
    <row r="221" spans="2:40" s="242" customFormat="1" ht="24.75" customHeight="1">
      <c r="B221" s="234"/>
      <c r="C221" s="235"/>
      <c r="D221" s="277"/>
      <c r="E221" s="277"/>
      <c r="F221" s="277"/>
      <c r="G221" s="236"/>
      <c r="H221" s="236"/>
      <c r="I221" s="236"/>
      <c r="J221" s="236"/>
      <c r="K221" s="236"/>
      <c r="L221" s="236"/>
      <c r="M221" s="236"/>
      <c r="N221" s="236"/>
      <c r="O221" s="260"/>
      <c r="P221" s="260"/>
      <c r="Q221" s="577"/>
      <c r="R221" s="260"/>
      <c r="S221" s="577"/>
      <c r="T221" s="260"/>
      <c r="U221" s="260"/>
      <c r="V221" s="295"/>
      <c r="W221" s="240"/>
      <c r="X221" s="241"/>
      <c r="AA221" s="1225"/>
      <c r="AB221" s="1228"/>
      <c r="AC221" s="805"/>
      <c r="AD221" s="247"/>
      <c r="AE221" s="353"/>
      <c r="AF221" s="819"/>
      <c r="AG221" s="817"/>
      <c r="AH221" s="816"/>
      <c r="AJ221" s="260"/>
      <c r="AK221" s="236"/>
      <c r="AL221" s="803"/>
    </row>
    <row r="222" spans="2:40" s="242" customFormat="1" ht="24.75" customHeight="1">
      <c r="B222" s="234" t="s">
        <v>616</v>
      </c>
      <c r="C222" s="235">
        <v>4</v>
      </c>
      <c r="D222" s="277"/>
      <c r="E222" s="277">
        <v>64</v>
      </c>
      <c r="F222" s="277"/>
      <c r="G222" s="236"/>
      <c r="H222" s="236"/>
      <c r="I222" s="236"/>
      <c r="J222" s="236"/>
      <c r="K222" s="236"/>
      <c r="L222" s="236"/>
      <c r="M222" s="236"/>
      <c r="N222" s="236"/>
      <c r="O222" s="260"/>
      <c r="P222" s="260"/>
      <c r="Q222" s="577">
        <v>0</v>
      </c>
      <c r="R222" s="260"/>
      <c r="S222" s="577">
        <v>16000</v>
      </c>
      <c r="T222" s="260">
        <f>AM222</f>
        <v>1905026</v>
      </c>
      <c r="U222" s="260">
        <v>0</v>
      </c>
      <c r="V222" s="295">
        <v>11182250</v>
      </c>
      <c r="W222" s="240"/>
      <c r="X222" s="241"/>
      <c r="AA222" s="1225"/>
      <c r="AB222" s="1228"/>
      <c r="AC222" s="805"/>
      <c r="AD222" s="247">
        <v>1643400</v>
      </c>
      <c r="AE222" s="353"/>
      <c r="AF222" s="819">
        <v>0</v>
      </c>
      <c r="AG222" s="815">
        <v>0</v>
      </c>
      <c r="AH222" s="816"/>
      <c r="AJ222" s="260">
        <v>795526</v>
      </c>
      <c r="AK222" s="236">
        <v>1109500</v>
      </c>
      <c r="AL222" s="803">
        <f t="shared" si="9"/>
        <v>1056.6666666666667</v>
      </c>
      <c r="AM222" s="1120">
        <f>AJ222+AK222</f>
        <v>1905026</v>
      </c>
      <c r="AN222" s="1012"/>
    </row>
    <row r="223" spans="2:40" ht="24.75" customHeight="1">
      <c r="B223" s="234"/>
      <c r="C223" s="235"/>
      <c r="D223" s="277"/>
      <c r="E223" s="277"/>
      <c r="F223" s="277"/>
      <c r="G223" s="236"/>
      <c r="H223" s="236"/>
      <c r="I223" s="236"/>
      <c r="J223" s="236"/>
      <c r="K223" s="236"/>
      <c r="L223" s="236"/>
      <c r="M223" s="236"/>
      <c r="N223" s="236"/>
      <c r="O223" s="260"/>
      <c r="P223" s="260"/>
      <c r="Q223" s="577"/>
      <c r="R223" s="260"/>
      <c r="S223" s="577"/>
      <c r="T223" s="260"/>
      <c r="U223" s="260"/>
      <c r="V223" s="295"/>
      <c r="W223" s="240"/>
      <c r="X223" s="241"/>
      <c r="Y223" s="242"/>
      <c r="Z223" s="242"/>
      <c r="AA223" s="1225"/>
      <c r="AB223" s="1228"/>
      <c r="AC223" s="805"/>
      <c r="AD223" s="247"/>
      <c r="AE223" s="353"/>
      <c r="AF223" s="819"/>
      <c r="AG223" s="817"/>
      <c r="AH223" s="816"/>
      <c r="AJ223" s="260"/>
      <c r="AK223" s="236"/>
      <c r="AL223" s="803"/>
    </row>
    <row r="224" spans="2:40" ht="24.75" customHeight="1">
      <c r="B224" s="234" t="s">
        <v>180</v>
      </c>
      <c r="C224" s="235">
        <v>25</v>
      </c>
      <c r="D224" s="277"/>
      <c r="E224" s="277">
        <v>743</v>
      </c>
      <c r="F224" s="277"/>
      <c r="G224" s="236"/>
      <c r="H224" s="236"/>
      <c r="I224" s="236"/>
      <c r="J224" s="236"/>
      <c r="K224" s="236"/>
      <c r="L224" s="236"/>
      <c r="M224" s="236"/>
      <c r="N224" s="236"/>
      <c r="O224" s="260"/>
      <c r="P224" s="260"/>
      <c r="Q224" s="577">
        <v>0</v>
      </c>
      <c r="R224" s="260"/>
      <c r="S224" s="577">
        <v>100000</v>
      </c>
      <c r="T224" s="260">
        <v>0</v>
      </c>
      <c r="U224" s="260">
        <v>1490138</v>
      </c>
      <c r="V224" s="295">
        <v>96950338</v>
      </c>
      <c r="W224" s="258"/>
      <c r="X224" s="259"/>
      <c r="AA224" s="1225"/>
      <c r="AB224" s="1228"/>
      <c r="AC224" s="805"/>
      <c r="AD224" s="247"/>
      <c r="AF224" s="819"/>
      <c r="AG224" s="815"/>
      <c r="AH224" s="816"/>
      <c r="AJ224" s="260"/>
      <c r="AK224" s="236"/>
      <c r="AL224" s="803">
        <f t="shared" si="9"/>
        <v>0</v>
      </c>
    </row>
    <row r="225" spans="2:38" ht="24.75" customHeight="1" thickBot="1">
      <c r="B225" s="234"/>
      <c r="C225" s="235"/>
      <c r="D225" s="277"/>
      <c r="E225" s="277"/>
      <c r="F225" s="277"/>
      <c r="G225" s="236"/>
      <c r="H225" s="236"/>
      <c r="I225" s="236"/>
      <c r="J225" s="236"/>
      <c r="K225" s="236"/>
      <c r="L225" s="236"/>
      <c r="M225" s="236"/>
      <c r="N225" s="236"/>
      <c r="O225" s="302"/>
      <c r="P225" s="302"/>
      <c r="Q225" s="524"/>
      <c r="R225" s="302"/>
      <c r="S225" s="302"/>
      <c r="T225" s="302"/>
      <c r="U225" s="302"/>
      <c r="V225" s="295"/>
      <c r="W225" s="258"/>
      <c r="X225" s="259"/>
      <c r="AA225" s="1226"/>
      <c r="AB225" s="1229"/>
      <c r="AC225" s="805"/>
      <c r="AD225" s="247"/>
      <c r="AF225" s="470"/>
      <c r="AG225" s="817"/>
      <c r="AH225" s="816"/>
      <c r="AJ225" s="260"/>
      <c r="AK225" s="236"/>
      <c r="AL225" s="803"/>
    </row>
    <row r="226" spans="2:38" ht="32.25" customHeight="1" thickTop="1" thickBot="1">
      <c r="B226" s="261" t="s">
        <v>3</v>
      </c>
      <c r="C226" s="262">
        <f>SUM(C195:C225)</f>
        <v>205</v>
      </c>
      <c r="D226" s="262">
        <f>SUM(D196:D225)</f>
        <v>0</v>
      </c>
      <c r="E226" s="262">
        <f>SUM(E195:E225)</f>
        <v>5994</v>
      </c>
      <c r="F226" s="262">
        <f>D226-E226</f>
        <v>-5994</v>
      </c>
      <c r="G226" s="263">
        <f t="shared" ref="G226:N226" si="10">SUM(G195:G225)</f>
        <v>0</v>
      </c>
      <c r="H226" s="263">
        <f t="shared" si="10"/>
        <v>0</v>
      </c>
      <c r="I226" s="263">
        <f t="shared" si="10"/>
        <v>0</v>
      </c>
      <c r="J226" s="263">
        <f t="shared" si="10"/>
        <v>0</v>
      </c>
      <c r="K226" s="263">
        <f t="shared" si="10"/>
        <v>0</v>
      </c>
      <c r="L226" s="263">
        <f t="shared" si="10"/>
        <v>0</v>
      </c>
      <c r="M226" s="263">
        <f t="shared" si="10"/>
        <v>0</v>
      </c>
      <c r="N226" s="263">
        <f t="shared" si="10"/>
        <v>0</v>
      </c>
      <c r="O226" s="263"/>
      <c r="P226" s="263">
        <f t="shared" ref="P226:U226" si="11">SUM(P195:P225)</f>
        <v>0</v>
      </c>
      <c r="Q226" s="262">
        <f t="shared" si="11"/>
        <v>2694867</v>
      </c>
      <c r="R226" s="262">
        <f t="shared" si="11"/>
        <v>0</v>
      </c>
      <c r="S226" s="262">
        <f t="shared" si="11"/>
        <v>812000</v>
      </c>
      <c r="T226" s="265">
        <f t="shared" si="11"/>
        <v>110461585</v>
      </c>
      <c r="U226" s="265">
        <f t="shared" si="11"/>
        <v>25029838</v>
      </c>
      <c r="V226" s="265">
        <f>SUM(V195:V225)</f>
        <v>966927557.39999998</v>
      </c>
      <c r="W226" s="303"/>
      <c r="X226" s="280" t="e">
        <f>#REF!/#REF!</f>
        <v>#REF!</v>
      </c>
      <c r="Y226" s="215" t="s">
        <v>21</v>
      </c>
      <c r="AA226" s="1100">
        <f>AA195</f>
        <v>966927557</v>
      </c>
      <c r="AB226" s="1099">
        <f>AB195</f>
        <v>0.39999997615814209</v>
      </c>
      <c r="AC226" s="218"/>
      <c r="AD226" s="265">
        <f>SUM(AD196:AD225)</f>
        <v>45629800</v>
      </c>
      <c r="AF226" s="277">
        <f>SUM(AF196:AF225)</f>
        <v>5391839</v>
      </c>
      <c r="AG226" s="811">
        <f>SUM(AG196:AG225)</f>
        <v>18050000</v>
      </c>
      <c r="AH226" s="798">
        <f>SUM(AH195:AH225)</f>
        <v>0</v>
      </c>
      <c r="AJ226" s="260">
        <f>SUM(AJ196:AJ225)</f>
        <v>25086824</v>
      </c>
      <c r="AK226" s="236">
        <f>SUM(AK196:AK225)</f>
        <v>51780750</v>
      </c>
      <c r="AL226" s="803">
        <f>AK226/1050</f>
        <v>49315</v>
      </c>
    </row>
    <row r="227" spans="2:38" ht="17.25" customHeight="1" thickTop="1">
      <c r="W227" s="218"/>
      <c r="X227" s="443"/>
    </row>
    <row r="228" spans="2:38" ht="17.25" customHeight="1">
      <c r="W228" s="218"/>
      <c r="X228" s="443"/>
      <c r="AD228" s="492"/>
      <c r="AL228" s="808"/>
    </row>
    <row r="229" spans="2:38" ht="17.25" customHeight="1">
      <c r="C229" s="336"/>
      <c r="D229" s="566"/>
      <c r="E229" s="566"/>
      <c r="F229" s="566"/>
      <c r="G229" s="337"/>
      <c r="H229" s="337"/>
      <c r="I229" s="337"/>
      <c r="J229" s="337"/>
      <c r="K229" s="337"/>
      <c r="L229" s="337"/>
      <c r="M229" s="337"/>
      <c r="N229" s="337"/>
      <c r="O229" s="337"/>
      <c r="P229" s="337"/>
      <c r="Q229" s="566"/>
      <c r="R229" s="337"/>
      <c r="S229" s="566"/>
      <c r="T229" s="337"/>
      <c r="U229" s="337"/>
      <c r="W229" s="218"/>
      <c r="X229" s="443"/>
    </row>
    <row r="230" spans="2:38" ht="17.25" customHeight="1">
      <c r="W230" s="218"/>
      <c r="X230" s="443"/>
      <c r="AD230" s="492"/>
    </row>
    <row r="231" spans="2:38" ht="17.25" customHeight="1">
      <c r="W231" s="218"/>
      <c r="X231" s="443"/>
      <c r="AD231" s="492"/>
    </row>
    <row r="232" spans="2:38" ht="17.25" customHeight="1">
      <c r="B232" s="336" t="s">
        <v>527</v>
      </c>
      <c r="C232" s="1173" t="s">
        <v>81</v>
      </c>
      <c r="D232" s="1173"/>
      <c r="E232" s="566"/>
      <c r="F232" s="1173"/>
      <c r="G232" s="1173"/>
      <c r="H232" s="1173"/>
      <c r="I232" s="1173"/>
      <c r="J232" s="337"/>
      <c r="K232" s="337"/>
      <c r="L232" s="1173" t="s">
        <v>82</v>
      </c>
      <c r="M232" s="1173"/>
      <c r="N232" s="1173"/>
      <c r="O232" s="1173"/>
      <c r="P232" s="1173"/>
      <c r="Q232" s="1173"/>
      <c r="R232" s="1173"/>
      <c r="S232" s="1173"/>
      <c r="T232" s="1173"/>
      <c r="U232" s="1173"/>
      <c r="V232" s="1173"/>
      <c r="W232" s="218"/>
      <c r="X232" s="443"/>
    </row>
    <row r="233" spans="2:38" ht="17.25" customHeight="1">
      <c r="B233" s="336"/>
      <c r="C233" s="566"/>
      <c r="D233" s="566"/>
      <c r="E233" s="566"/>
      <c r="F233" s="566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7"/>
      <c r="V233" s="337"/>
      <c r="W233" s="218"/>
      <c r="X233" s="443"/>
      <c r="AD233" s="492"/>
    </row>
    <row r="234" spans="2:38" ht="17.25" customHeight="1">
      <c r="B234" s="336"/>
      <c r="C234" s="566"/>
      <c r="D234" s="566"/>
      <c r="E234" s="566"/>
      <c r="F234" s="566"/>
      <c r="G234" s="337"/>
      <c r="H234" s="337"/>
      <c r="I234" s="337"/>
      <c r="J234" s="337"/>
      <c r="K234" s="337"/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7"/>
      <c r="W234" s="218"/>
      <c r="X234" s="443"/>
    </row>
    <row r="235" spans="2:38" ht="17.25" customHeight="1">
      <c r="B235" s="336"/>
      <c r="C235" s="566"/>
      <c r="D235" s="566"/>
      <c r="E235" s="566"/>
      <c r="F235" s="566"/>
      <c r="G235" s="337"/>
      <c r="H235" s="337"/>
      <c r="I235" s="337"/>
      <c r="J235" s="337"/>
      <c r="K235" s="337"/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7"/>
      <c r="W235" s="218"/>
      <c r="X235" s="443"/>
    </row>
    <row r="236" spans="2:38" ht="24.75" customHeight="1">
      <c r="B236" s="336"/>
      <c r="C236" s="566"/>
      <c r="D236" s="566"/>
      <c r="E236" s="566"/>
      <c r="F236" s="1173"/>
      <c r="G236" s="1173"/>
      <c r="H236" s="1173"/>
      <c r="I236" s="1173"/>
      <c r="J236" s="337"/>
      <c r="K236" s="337"/>
      <c r="L236" s="1173"/>
      <c r="M236" s="1173"/>
      <c r="N236" s="1173"/>
      <c r="O236" s="1173"/>
      <c r="P236" s="1173"/>
      <c r="Q236" s="1173"/>
      <c r="R236" s="1173"/>
      <c r="S236" s="1173"/>
      <c r="T236" s="1173"/>
      <c r="U236" s="1173"/>
      <c r="V236" s="1173"/>
    </row>
    <row r="237" spans="2:38" ht="24.75" customHeight="1"/>
    <row r="238" spans="2:38" ht="24.75" customHeight="1"/>
    <row r="239" spans="2:38" ht="24.75" customHeight="1">
      <c r="B239" s="215" t="s">
        <v>0</v>
      </c>
    </row>
    <row r="240" spans="2:38" ht="63.75" customHeight="1">
      <c r="B240" s="215" t="str">
        <f>B4</f>
        <v>DENOMINATION FOR OKTOBER 2025</v>
      </c>
    </row>
    <row r="241" spans="2:41" ht="24.75" customHeight="1" thickBot="1">
      <c r="B241" s="297"/>
      <c r="C241" s="576"/>
      <c r="D241" s="278"/>
    </row>
    <row r="242" spans="2:41" ht="24.75" customHeight="1" thickTop="1">
      <c r="B242" s="1176" t="s">
        <v>1</v>
      </c>
      <c r="C242" s="1183" t="s">
        <v>15</v>
      </c>
      <c r="D242" s="1178" t="s">
        <v>470</v>
      </c>
      <c r="E242" s="1179"/>
      <c r="F242" s="1180"/>
      <c r="G242" s="1183" t="s">
        <v>244</v>
      </c>
      <c r="H242" s="1183" t="s">
        <v>471</v>
      </c>
      <c r="I242" s="1185" t="s">
        <v>472</v>
      </c>
      <c r="J242" s="1181" t="s">
        <v>473</v>
      </c>
      <c r="K242" s="1181" t="s">
        <v>474</v>
      </c>
      <c r="L242" s="572" t="s">
        <v>475</v>
      </c>
      <c r="M242" s="1183" t="s">
        <v>477</v>
      </c>
      <c r="N242" s="572" t="s">
        <v>475</v>
      </c>
      <c r="O242" s="572" t="s">
        <v>478</v>
      </c>
      <c r="P242" s="1183"/>
      <c r="Q242" s="568" t="s">
        <v>145</v>
      </c>
      <c r="R242" s="568" t="s">
        <v>253</v>
      </c>
      <c r="S242" s="568" t="s">
        <v>440</v>
      </c>
      <c r="T242" s="1174" t="str">
        <f>T193</f>
        <v>TOTAL PREMI</v>
      </c>
      <c r="U242" s="1174" t="str">
        <f>U193</f>
        <v>TOTAL LEMBUR</v>
      </c>
      <c r="V242" s="1171" t="s">
        <v>665</v>
      </c>
      <c r="W242" s="221" t="s">
        <v>16</v>
      </c>
      <c r="X242" s="222" t="s">
        <v>18</v>
      </c>
      <c r="AA242" s="1222" t="s">
        <v>664</v>
      </c>
      <c r="AB242" s="1232" t="s">
        <v>226</v>
      </c>
      <c r="AD242" s="1171" t="s">
        <v>259</v>
      </c>
      <c r="AF242" s="1189" t="s">
        <v>542</v>
      </c>
      <c r="AG242" s="1187" t="s">
        <v>617</v>
      </c>
      <c r="AH242" s="1195" t="s">
        <v>608</v>
      </c>
      <c r="AJ242" s="1197" t="s">
        <v>452</v>
      </c>
      <c r="AK242" s="1197"/>
      <c r="AL242" s="1009"/>
      <c r="AN242" s="1082" t="s">
        <v>663</v>
      </c>
      <c r="AO242" s="739" t="s">
        <v>648</v>
      </c>
    </row>
    <row r="243" spans="2:41" ht="24.75" customHeight="1" thickBot="1">
      <c r="B243" s="1177"/>
      <c r="C243" s="1184"/>
      <c r="D243" s="573" t="s">
        <v>485</v>
      </c>
      <c r="E243" s="573" t="s">
        <v>486</v>
      </c>
      <c r="F243" s="573" t="s">
        <v>487</v>
      </c>
      <c r="G243" s="1184"/>
      <c r="H243" s="1184"/>
      <c r="I243" s="1186"/>
      <c r="J243" s="1182"/>
      <c r="K243" s="1182"/>
      <c r="L243" s="573" t="s">
        <v>476</v>
      </c>
      <c r="M243" s="1184"/>
      <c r="N243" s="573" t="s">
        <v>476</v>
      </c>
      <c r="O243" s="573" t="s">
        <v>479</v>
      </c>
      <c r="P243" s="1184"/>
      <c r="Q243" s="569" t="str">
        <f>Q194</f>
        <v>(MASA OKTOBER 2025)</v>
      </c>
      <c r="R243" s="569" t="s">
        <v>254</v>
      </c>
      <c r="S243" s="569" t="s">
        <v>439</v>
      </c>
      <c r="T243" s="1175"/>
      <c r="U243" s="1175"/>
      <c r="V243" s="1172"/>
      <c r="W243" s="224"/>
      <c r="X243" s="225" t="s">
        <v>19</v>
      </c>
      <c r="AA243" s="1223"/>
      <c r="AB243" s="1233"/>
      <c r="AD243" s="1172"/>
      <c r="AF243" s="1190"/>
      <c r="AG243" s="1188"/>
      <c r="AH243" s="1196"/>
      <c r="AJ243" s="292" t="s">
        <v>611</v>
      </c>
      <c r="AK243" s="292" t="s">
        <v>612</v>
      </c>
      <c r="AL243" s="1009"/>
    </row>
    <row r="244" spans="2:41" s="242" customFormat="1" ht="24.75" customHeight="1" thickTop="1">
      <c r="B244" s="299"/>
      <c r="C244" s="269"/>
      <c r="D244" s="269"/>
      <c r="E244" s="709"/>
      <c r="F244" s="709"/>
      <c r="G244" s="306"/>
      <c r="H244" s="306"/>
      <c r="I244" s="306"/>
      <c r="J244" s="306"/>
      <c r="K244" s="306"/>
      <c r="L244" s="306"/>
      <c r="M244" s="306"/>
      <c r="N244" s="306"/>
      <c r="O244" s="307"/>
      <c r="P244" s="307"/>
      <c r="Q244" s="307"/>
      <c r="R244" s="307"/>
      <c r="S244" s="307"/>
      <c r="T244" s="307"/>
      <c r="U244" s="307"/>
      <c r="V244" s="308"/>
      <c r="W244" s="258"/>
      <c r="X244" s="259"/>
      <c r="Y244" s="215"/>
      <c r="Z244" s="215"/>
      <c r="AA244" s="1234">
        <v>686674495</v>
      </c>
      <c r="AB244" s="1237">
        <f>V261-AA244</f>
        <v>1.6100000143051147</v>
      </c>
      <c r="AC244" s="215"/>
      <c r="AD244" s="283"/>
      <c r="AE244" s="339"/>
      <c r="AF244" s="532"/>
      <c r="AG244" s="796"/>
      <c r="AH244" s="860"/>
      <c r="AJ244" s="843"/>
      <c r="AK244" s="844"/>
      <c r="AL244" s="807"/>
    </row>
    <row r="245" spans="2:41" ht="24.75" customHeight="1">
      <c r="B245" s="291" t="s">
        <v>562</v>
      </c>
      <c r="C245" s="292">
        <v>26</v>
      </c>
      <c r="D245" s="277"/>
      <c r="E245" s="277">
        <v>796</v>
      </c>
      <c r="F245" s="277"/>
      <c r="G245" s="293"/>
      <c r="H245" s="293"/>
      <c r="I245" s="293"/>
      <c r="J245" s="293"/>
      <c r="K245" s="293"/>
      <c r="L245" s="293"/>
      <c r="M245" s="293"/>
      <c r="N245" s="293"/>
      <c r="O245" s="294"/>
      <c r="P245" s="294"/>
      <c r="Q245" s="329">
        <v>0</v>
      </c>
      <c r="R245" s="329"/>
      <c r="S245" s="329">
        <v>104000</v>
      </c>
      <c r="T245" s="294">
        <v>144449</v>
      </c>
      <c r="U245" s="294">
        <v>1691810.9799999997</v>
      </c>
      <c r="V245" s="295">
        <v>104500205.98</v>
      </c>
      <c r="W245" s="240"/>
      <c r="X245" s="241"/>
      <c r="Y245" s="242"/>
      <c r="Z245" s="242"/>
      <c r="AA245" s="1235"/>
      <c r="AB245" s="1238"/>
      <c r="AC245" s="805"/>
      <c r="AD245" s="863"/>
      <c r="AE245" s="863"/>
      <c r="AF245" s="292"/>
      <c r="AG245" s="682"/>
      <c r="AH245" s="380"/>
      <c r="AJ245" s="843"/>
      <c r="AK245" s="844"/>
      <c r="AL245" s="803">
        <f>AK245/1050</f>
        <v>0</v>
      </c>
    </row>
    <row r="246" spans="2:41" s="242" customFormat="1" ht="24.75" customHeight="1">
      <c r="B246" s="448"/>
      <c r="C246" s="292"/>
      <c r="D246" s="310"/>
      <c r="E246" s="310"/>
      <c r="F246" s="277"/>
      <c r="G246" s="293"/>
      <c r="H246" s="293"/>
      <c r="I246" s="293"/>
      <c r="J246" s="293"/>
      <c r="K246" s="293"/>
      <c r="L246" s="293"/>
      <c r="M246" s="293"/>
      <c r="N246" s="293"/>
      <c r="O246" s="294"/>
      <c r="P246" s="294"/>
      <c r="Q246" s="329"/>
      <c r="R246" s="329"/>
      <c r="S246" s="329"/>
      <c r="T246" s="294"/>
      <c r="U246" s="294"/>
      <c r="V246" s="295"/>
      <c r="W246" s="258"/>
      <c r="X246" s="259"/>
      <c r="Y246" s="215"/>
      <c r="Z246" s="215"/>
      <c r="AA246" s="1235"/>
      <c r="AB246" s="1238"/>
      <c r="AC246" s="216"/>
      <c r="AD246" s="293"/>
      <c r="AE246" s="863"/>
      <c r="AF246" s="450"/>
      <c r="AG246" s="866"/>
      <c r="AH246" s="798"/>
      <c r="AJ246" s="845"/>
      <c r="AK246" s="846"/>
      <c r="AL246" s="807"/>
    </row>
    <row r="247" spans="2:41" s="242" customFormat="1" ht="24.75" customHeight="1">
      <c r="B247" s="291" t="s">
        <v>563</v>
      </c>
      <c r="C247" s="292">
        <v>31</v>
      </c>
      <c r="D247" s="310"/>
      <c r="E247" s="310">
        <v>943</v>
      </c>
      <c r="F247" s="277"/>
      <c r="G247" s="293"/>
      <c r="H247" s="293"/>
      <c r="I247" s="293"/>
      <c r="J247" s="293"/>
      <c r="K247" s="293"/>
      <c r="L247" s="293"/>
      <c r="M247" s="293"/>
      <c r="N247" s="293"/>
      <c r="O247" s="294"/>
      <c r="P247" s="294"/>
      <c r="Q247" s="329">
        <v>488546</v>
      </c>
      <c r="R247" s="329"/>
      <c r="S247" s="329">
        <v>92000</v>
      </c>
      <c r="T247" s="294">
        <f>5070000+AM247</f>
        <v>27872184</v>
      </c>
      <c r="U247" s="294">
        <v>145652.60000000056</v>
      </c>
      <c r="V247" s="295">
        <v>165505701.59999999</v>
      </c>
      <c r="W247" s="240"/>
      <c r="X247" s="241"/>
      <c r="AA247" s="1235"/>
      <c r="AB247" s="1238"/>
      <c r="AC247" s="805"/>
      <c r="AD247" s="290">
        <v>13123550</v>
      </c>
      <c r="AE247" s="353"/>
      <c r="AF247" s="861">
        <v>2285259</v>
      </c>
      <c r="AG247" s="981">
        <v>4200000</v>
      </c>
      <c r="AH247" s="862"/>
      <c r="AJ247" s="260">
        <v>10672934</v>
      </c>
      <c r="AK247" s="236">
        <v>12129250</v>
      </c>
      <c r="AL247" s="803">
        <f>AK247/1050</f>
        <v>11551.666666666666</v>
      </c>
      <c r="AM247" s="239">
        <f>AJ247+AK247</f>
        <v>22802184</v>
      </c>
      <c r="AN247" s="1008"/>
      <c r="AO247" s="1007"/>
    </row>
    <row r="248" spans="2:41" s="242" customFormat="1" ht="24.75" customHeight="1">
      <c r="B248" s="322"/>
      <c r="C248" s="310"/>
      <c r="D248" s="310"/>
      <c r="E248" s="310"/>
      <c r="F248" s="277"/>
      <c r="G248" s="293"/>
      <c r="H248" s="293"/>
      <c r="I248" s="293"/>
      <c r="J248" s="293"/>
      <c r="K248" s="293"/>
      <c r="L248" s="293"/>
      <c r="M248" s="293"/>
      <c r="N248" s="293"/>
      <c r="O248" s="294"/>
      <c r="P248" s="294"/>
      <c r="Q248" s="329"/>
      <c r="R248" s="329"/>
      <c r="S248" s="329"/>
      <c r="T248" s="294"/>
      <c r="U248" s="294"/>
      <c r="V248" s="295"/>
      <c r="W248" s="240"/>
      <c r="X248" s="241"/>
      <c r="AA248" s="1235"/>
      <c r="AB248" s="1238"/>
      <c r="AC248" s="353"/>
      <c r="AD248" s="295"/>
      <c r="AE248" s="353"/>
      <c r="AF248" s="450"/>
      <c r="AG248" s="867"/>
      <c r="AH248" s="798"/>
      <c r="AJ248" s="256"/>
      <c r="AK248" s="833"/>
      <c r="AL248" s="807"/>
      <c r="AN248" s="215" t="s">
        <v>672</v>
      </c>
    </row>
    <row r="249" spans="2:41" s="242" customFormat="1" ht="25.5" customHeight="1">
      <c r="B249" s="309" t="s">
        <v>564</v>
      </c>
      <c r="C249" s="965">
        <v>5</v>
      </c>
      <c r="D249" s="960"/>
      <c r="E249" s="960">
        <v>153</v>
      </c>
      <c r="F249" s="982"/>
      <c r="G249" s="966"/>
      <c r="H249" s="966"/>
      <c r="I249" s="966"/>
      <c r="J249" s="966"/>
      <c r="K249" s="966"/>
      <c r="L249" s="966"/>
      <c r="M249" s="966"/>
      <c r="N249" s="966"/>
      <c r="O249" s="967"/>
      <c r="P249" s="967"/>
      <c r="Q249" s="968">
        <v>271908</v>
      </c>
      <c r="R249" s="968"/>
      <c r="S249" s="968">
        <v>20000</v>
      </c>
      <c r="T249" s="967">
        <v>4855053</v>
      </c>
      <c r="U249" s="967">
        <v>6845672.080000001</v>
      </c>
      <c r="V249" s="964">
        <v>31644587.079999998</v>
      </c>
      <c r="W249" s="240"/>
      <c r="X249" s="241"/>
      <c r="AA249" s="1235"/>
      <c r="AB249" s="1238"/>
      <c r="AC249" s="805"/>
      <c r="AD249" s="295"/>
      <c r="AE249" s="353"/>
      <c r="AF249" s="450"/>
      <c r="AG249" s="815"/>
      <c r="AH249" s="798"/>
      <c r="AJ249" s="260"/>
      <c r="AK249" s="236"/>
      <c r="AL249" s="803">
        <f t="shared" ref="AL249:AL259" si="12">AK249/1050</f>
        <v>0</v>
      </c>
      <c r="AN249" s="1012"/>
    </row>
    <row r="250" spans="2:41" s="242" customFormat="1" ht="24.75" customHeight="1">
      <c r="B250" s="381"/>
      <c r="C250" s="960"/>
      <c r="D250" s="960"/>
      <c r="E250" s="960"/>
      <c r="F250" s="982"/>
      <c r="G250" s="966"/>
      <c r="H250" s="966"/>
      <c r="I250" s="966"/>
      <c r="J250" s="966"/>
      <c r="K250" s="966"/>
      <c r="L250" s="966"/>
      <c r="M250" s="966"/>
      <c r="N250" s="966"/>
      <c r="O250" s="967"/>
      <c r="P250" s="967"/>
      <c r="Q250" s="968"/>
      <c r="R250" s="968"/>
      <c r="S250" s="968"/>
      <c r="T250" s="967"/>
      <c r="U250" s="967"/>
      <c r="V250" s="964"/>
      <c r="W250" s="240"/>
      <c r="X250" s="241"/>
      <c r="AA250" s="1235"/>
      <c r="AB250" s="1238"/>
      <c r="AC250" s="353"/>
      <c r="AD250" s="295"/>
      <c r="AE250" s="353"/>
      <c r="AF250" s="450"/>
      <c r="AG250" s="817"/>
      <c r="AH250" s="798"/>
      <c r="AJ250" s="260"/>
      <c r="AK250" s="236"/>
      <c r="AL250" s="807"/>
    </row>
    <row r="251" spans="2:41" s="242" customFormat="1" ht="24.75" customHeight="1">
      <c r="B251" s="291" t="s">
        <v>621</v>
      </c>
      <c r="C251" s="960">
        <v>1</v>
      </c>
      <c r="D251" s="960"/>
      <c r="E251" s="960">
        <v>24</v>
      </c>
      <c r="F251" s="982"/>
      <c r="G251" s="966"/>
      <c r="H251" s="966"/>
      <c r="I251" s="966"/>
      <c r="J251" s="966"/>
      <c r="K251" s="966"/>
      <c r="L251" s="966"/>
      <c r="M251" s="966"/>
      <c r="N251" s="966"/>
      <c r="O251" s="975"/>
      <c r="P251" s="975"/>
      <c r="Q251" s="976">
        <v>0</v>
      </c>
      <c r="R251" s="976"/>
      <c r="S251" s="976">
        <v>0</v>
      </c>
      <c r="T251" s="975">
        <f>AM251</f>
        <v>701588</v>
      </c>
      <c r="U251" s="975">
        <v>0</v>
      </c>
      <c r="V251" s="964">
        <v>4227904</v>
      </c>
      <c r="W251" s="240"/>
      <c r="X251" s="241"/>
      <c r="AA251" s="1235"/>
      <c r="AB251" s="1238"/>
      <c r="AC251" s="353"/>
      <c r="AD251" s="318">
        <v>430100</v>
      </c>
      <c r="AE251" s="353"/>
      <c r="AF251" s="450">
        <v>0</v>
      </c>
      <c r="AG251" s="810">
        <v>150000</v>
      </c>
      <c r="AH251" s="798"/>
      <c r="AJ251" s="260">
        <v>283338</v>
      </c>
      <c r="AK251" s="236">
        <v>418250</v>
      </c>
      <c r="AL251" s="803">
        <f t="shared" si="12"/>
        <v>398.33333333333331</v>
      </c>
      <c r="AM251" s="239">
        <f>AJ251+AK251</f>
        <v>701588</v>
      </c>
      <c r="AN251" s="1007"/>
      <c r="AO251" s="1007"/>
    </row>
    <row r="252" spans="2:41" s="242" customFormat="1" ht="27.75" customHeight="1">
      <c r="B252" s="381"/>
      <c r="C252" s="310"/>
      <c r="D252" s="310"/>
      <c r="E252" s="310"/>
      <c r="F252" s="277"/>
      <c r="G252" s="293"/>
      <c r="H252" s="293"/>
      <c r="I252" s="293"/>
      <c r="J252" s="293"/>
      <c r="K252" s="293"/>
      <c r="L252" s="293"/>
      <c r="M252" s="293"/>
      <c r="N252" s="293"/>
      <c r="O252" s="342"/>
      <c r="P252" s="342"/>
      <c r="Q252" s="530"/>
      <c r="R252" s="530"/>
      <c r="S252" s="530"/>
      <c r="T252" s="342"/>
      <c r="U252" s="342"/>
      <c r="V252" s="295"/>
      <c r="W252" s="240"/>
      <c r="X252" s="241"/>
      <c r="AA252" s="1235"/>
      <c r="AB252" s="1238"/>
      <c r="AC252" s="353"/>
      <c r="AD252" s="318"/>
      <c r="AE252" s="353"/>
      <c r="AF252" s="450"/>
      <c r="AG252" s="817"/>
      <c r="AH252" s="798"/>
      <c r="AJ252" s="843"/>
      <c r="AK252" s="844"/>
      <c r="AL252" s="807"/>
    </row>
    <row r="253" spans="2:41" s="242" customFormat="1" ht="24.75" customHeight="1">
      <c r="B253" s="309" t="s">
        <v>565</v>
      </c>
      <c r="C253" s="292">
        <v>32</v>
      </c>
      <c r="D253" s="310"/>
      <c r="E253" s="310">
        <v>974</v>
      </c>
      <c r="F253" s="277"/>
      <c r="G253" s="293"/>
      <c r="H253" s="293"/>
      <c r="I253" s="293"/>
      <c r="J253" s="293"/>
      <c r="K253" s="293"/>
      <c r="L253" s="293"/>
      <c r="M253" s="293"/>
      <c r="N253" s="293"/>
      <c r="O253" s="342"/>
      <c r="P253" s="342"/>
      <c r="Q253" s="530">
        <v>915024</v>
      </c>
      <c r="R253" s="530"/>
      <c r="S253" s="530">
        <v>40000</v>
      </c>
      <c r="T253" s="342">
        <f>4600000+AM253</f>
        <v>38868181</v>
      </c>
      <c r="U253" s="342">
        <v>67224.28</v>
      </c>
      <c r="V253" s="295">
        <v>180815709.28</v>
      </c>
      <c r="W253" s="240"/>
      <c r="X253" s="241"/>
      <c r="AA253" s="1235"/>
      <c r="AB253" s="1238"/>
      <c r="AC253" s="805"/>
      <c r="AD253" s="318">
        <v>11968000</v>
      </c>
      <c r="AE253" s="353"/>
      <c r="AF253" s="450">
        <v>1340534</v>
      </c>
      <c r="AG253" s="810">
        <v>6700000</v>
      </c>
      <c r="AH253" s="798"/>
      <c r="AJ253" s="260">
        <v>24125181</v>
      </c>
      <c r="AK253" s="236">
        <v>10143000</v>
      </c>
      <c r="AL253" s="803">
        <f t="shared" si="12"/>
        <v>9660</v>
      </c>
      <c r="AM253" s="239">
        <f>AJ253+AK253</f>
        <v>34268181</v>
      </c>
    </row>
    <row r="254" spans="2:41" s="242" customFormat="1" ht="24.75" customHeight="1">
      <c r="B254" s="291"/>
      <c r="C254" s="292"/>
      <c r="D254" s="310"/>
      <c r="E254" s="310"/>
      <c r="F254" s="277"/>
      <c r="G254" s="293"/>
      <c r="H254" s="293"/>
      <c r="I254" s="293"/>
      <c r="J254" s="293"/>
      <c r="K254" s="293"/>
      <c r="L254" s="293"/>
      <c r="M254" s="293"/>
      <c r="N254" s="293"/>
      <c r="O254" s="342"/>
      <c r="P254" s="342"/>
      <c r="Q254" s="530"/>
      <c r="R254" s="530"/>
      <c r="S254" s="530"/>
      <c r="T254" s="342"/>
      <c r="U254" s="342"/>
      <c r="V254" s="318"/>
      <c r="W254" s="240"/>
      <c r="X254" s="241"/>
      <c r="AA254" s="1235"/>
      <c r="AB254" s="1238"/>
      <c r="AC254" s="353"/>
      <c r="AD254" s="318"/>
      <c r="AE254" s="353"/>
      <c r="AF254" s="450"/>
      <c r="AG254" s="817"/>
      <c r="AH254" s="798"/>
      <c r="AJ254" s="843"/>
      <c r="AK254" s="844"/>
      <c r="AL254" s="807"/>
      <c r="AN254" s="215" t="s">
        <v>671</v>
      </c>
    </row>
    <row r="255" spans="2:41" s="242" customFormat="1" ht="24.75" customHeight="1">
      <c r="B255" s="291" t="s">
        <v>566</v>
      </c>
      <c r="C255" s="292">
        <v>33</v>
      </c>
      <c r="D255" s="310"/>
      <c r="E255" s="310">
        <v>987</v>
      </c>
      <c r="F255" s="277"/>
      <c r="G255" s="293"/>
      <c r="H255" s="293"/>
      <c r="I255" s="293"/>
      <c r="J255" s="293"/>
      <c r="K255" s="293"/>
      <c r="L255" s="293"/>
      <c r="M255" s="293"/>
      <c r="N255" s="293"/>
      <c r="O255" s="342"/>
      <c r="P255" s="342"/>
      <c r="Q255" s="530">
        <v>122413</v>
      </c>
      <c r="R255" s="530"/>
      <c r="S255" s="530">
        <v>128000</v>
      </c>
      <c r="T255" s="342">
        <v>151887</v>
      </c>
      <c r="U255" s="342">
        <v>5120248.8400000008</v>
      </c>
      <c r="V255" s="295">
        <v>132140310.84</v>
      </c>
      <c r="W255" s="240"/>
      <c r="X255" s="241"/>
      <c r="AA255" s="1235"/>
      <c r="AB255" s="1238"/>
      <c r="AC255" s="805"/>
      <c r="AD255" s="318"/>
      <c r="AE255" s="353"/>
      <c r="AF255" s="450"/>
      <c r="AG255" s="815"/>
      <c r="AH255" s="798"/>
      <c r="AJ255" s="843"/>
      <c r="AK255" s="844"/>
      <c r="AL255" s="803">
        <f t="shared" si="12"/>
        <v>0</v>
      </c>
      <c r="AN255" s="1012"/>
    </row>
    <row r="256" spans="2:41" s="242" customFormat="1" ht="24.75" customHeight="1">
      <c r="B256" s="291"/>
      <c r="C256" s="292"/>
      <c r="D256" s="310"/>
      <c r="E256" s="310"/>
      <c r="F256" s="277"/>
      <c r="G256" s="293"/>
      <c r="H256" s="293"/>
      <c r="I256" s="293"/>
      <c r="J256" s="293"/>
      <c r="K256" s="293"/>
      <c r="L256" s="293"/>
      <c r="M256" s="293"/>
      <c r="N256" s="293"/>
      <c r="O256" s="342"/>
      <c r="P256" s="342"/>
      <c r="Q256" s="530"/>
      <c r="R256" s="530"/>
      <c r="S256" s="530"/>
      <c r="T256" s="342"/>
      <c r="U256" s="342"/>
      <c r="V256" s="318"/>
      <c r="W256" s="240"/>
      <c r="X256" s="241"/>
      <c r="AA256" s="1235"/>
      <c r="AB256" s="1238"/>
      <c r="AC256" s="353"/>
      <c r="AD256" s="318"/>
      <c r="AE256" s="353"/>
      <c r="AF256" s="364"/>
      <c r="AG256" s="817"/>
      <c r="AH256" s="1115"/>
      <c r="AJ256" s="843"/>
      <c r="AK256" s="844"/>
      <c r="AL256" s="807"/>
    </row>
    <row r="257" spans="2:40" s="242" customFormat="1" ht="24.75" customHeight="1">
      <c r="B257" s="309" t="s">
        <v>622</v>
      </c>
      <c r="C257" s="292">
        <v>3</v>
      </c>
      <c r="D257" s="310"/>
      <c r="E257" s="310">
        <v>92</v>
      </c>
      <c r="F257" s="277"/>
      <c r="G257" s="293"/>
      <c r="H257" s="293"/>
      <c r="I257" s="293"/>
      <c r="J257" s="293"/>
      <c r="K257" s="293"/>
      <c r="L257" s="293"/>
      <c r="M257" s="293"/>
      <c r="N257" s="293"/>
      <c r="O257" s="342"/>
      <c r="P257" s="342"/>
      <c r="Q257" s="530">
        <v>0</v>
      </c>
      <c r="R257" s="530"/>
      <c r="S257" s="530">
        <v>12000</v>
      </c>
      <c r="T257" s="342">
        <f>AM257</f>
        <v>2662230</v>
      </c>
      <c r="U257" s="342">
        <v>0</v>
      </c>
      <c r="V257" s="318">
        <v>15024878</v>
      </c>
      <c r="W257" s="240"/>
      <c r="X257" s="241"/>
      <c r="AA257" s="1235"/>
      <c r="AB257" s="1238"/>
      <c r="AC257" s="805"/>
      <c r="AD257" s="318">
        <v>501600</v>
      </c>
      <c r="AE257" s="353"/>
      <c r="AF257" s="450">
        <v>0</v>
      </c>
      <c r="AG257" s="815">
        <v>450000</v>
      </c>
      <c r="AH257" s="1117"/>
      <c r="AJ257" s="260">
        <v>1724230</v>
      </c>
      <c r="AK257" s="236">
        <v>938000</v>
      </c>
      <c r="AL257" s="803">
        <f t="shared" si="12"/>
        <v>893.33333333333337</v>
      </c>
      <c r="AM257" s="239">
        <f>AJ257+AK257</f>
        <v>2662230</v>
      </c>
    </row>
    <row r="258" spans="2:40" s="242" customFormat="1" ht="24.75" customHeight="1">
      <c r="B258" s="291"/>
      <c r="C258" s="292"/>
      <c r="D258" s="310"/>
      <c r="E258" s="310"/>
      <c r="F258" s="277"/>
      <c r="G258" s="293"/>
      <c r="H258" s="293"/>
      <c r="I258" s="293"/>
      <c r="J258" s="293"/>
      <c r="K258" s="293"/>
      <c r="L258" s="293"/>
      <c r="M258" s="293"/>
      <c r="N258" s="293"/>
      <c r="O258" s="342"/>
      <c r="P258" s="342"/>
      <c r="Q258" s="530"/>
      <c r="R258" s="530"/>
      <c r="S258" s="530"/>
      <c r="T258" s="342"/>
      <c r="U258" s="342"/>
      <c r="V258" s="318"/>
      <c r="W258" s="240"/>
      <c r="X258" s="241"/>
      <c r="AA258" s="1235"/>
      <c r="AB258" s="1238"/>
      <c r="AC258" s="353"/>
      <c r="AD258" s="318"/>
      <c r="AE258" s="353"/>
      <c r="AF258" s="364"/>
      <c r="AG258" s="817"/>
      <c r="AH258" s="1116"/>
      <c r="AJ258" s="843"/>
      <c r="AK258" s="844"/>
      <c r="AL258" s="807"/>
      <c r="AN258" s="215" t="s">
        <v>671</v>
      </c>
    </row>
    <row r="259" spans="2:40" s="242" customFormat="1" ht="24.75" customHeight="1">
      <c r="B259" s="291" t="s">
        <v>567</v>
      </c>
      <c r="C259" s="292">
        <v>9</v>
      </c>
      <c r="D259" s="310"/>
      <c r="E259" s="310">
        <v>279</v>
      </c>
      <c r="F259" s="277"/>
      <c r="G259" s="293"/>
      <c r="H259" s="293"/>
      <c r="I259" s="293"/>
      <c r="J259" s="293"/>
      <c r="K259" s="293"/>
      <c r="L259" s="293"/>
      <c r="M259" s="293"/>
      <c r="N259" s="293"/>
      <c r="O259" s="342"/>
      <c r="P259" s="342"/>
      <c r="Q259" s="329">
        <v>272226</v>
      </c>
      <c r="R259" s="329"/>
      <c r="S259" s="329">
        <v>32000</v>
      </c>
      <c r="T259" s="294">
        <v>5598467.2700000005</v>
      </c>
      <c r="U259" s="293">
        <v>10397354.559999999</v>
      </c>
      <c r="V259" s="295">
        <v>52815199.829999998</v>
      </c>
      <c r="W259" s="240"/>
      <c r="X259" s="241"/>
      <c r="AA259" s="1235"/>
      <c r="AB259" s="1238"/>
      <c r="AC259" s="805"/>
      <c r="AD259" s="295"/>
      <c r="AE259" s="353"/>
      <c r="AF259" s="364"/>
      <c r="AG259" s="815"/>
      <c r="AH259" s="798"/>
      <c r="AJ259" s="843"/>
      <c r="AK259" s="844"/>
      <c r="AL259" s="803">
        <f t="shared" si="12"/>
        <v>0</v>
      </c>
      <c r="AN259" s="1012"/>
    </row>
    <row r="260" spans="2:40" ht="24.75" customHeight="1" thickBot="1">
      <c r="B260" s="268"/>
      <c r="C260" s="547"/>
      <c r="D260" s="708"/>
      <c r="E260" s="708"/>
      <c r="F260" s="708"/>
      <c r="G260" s="270"/>
      <c r="H260" s="270"/>
      <c r="I260" s="270"/>
      <c r="J260" s="270"/>
      <c r="K260" s="270"/>
      <c r="L260" s="270"/>
      <c r="M260" s="270"/>
      <c r="N260" s="270"/>
      <c r="O260" s="271"/>
      <c r="P260" s="271"/>
      <c r="Q260" s="537"/>
      <c r="R260" s="537"/>
      <c r="S260" s="537"/>
      <c r="T260" s="271"/>
      <c r="U260" s="271"/>
      <c r="V260" s="272"/>
      <c r="W260" s="240"/>
      <c r="X260" s="241"/>
      <c r="Y260" s="242"/>
      <c r="Z260" s="242"/>
      <c r="AA260" s="1236"/>
      <c r="AB260" s="1239"/>
      <c r="AC260" s="353"/>
      <c r="AD260" s="272"/>
      <c r="AE260" s="353"/>
      <c r="AF260" s="364"/>
      <c r="AG260" s="796"/>
      <c r="AH260" s="798"/>
      <c r="AJ260" s="843"/>
      <c r="AK260" s="844"/>
      <c r="AL260" s="807"/>
    </row>
    <row r="261" spans="2:40" ht="32.25" customHeight="1" thickTop="1" thickBot="1">
      <c r="B261" s="319" t="s">
        <v>3</v>
      </c>
      <c r="C261" s="414">
        <f>SUM(C244:C260)</f>
        <v>140</v>
      </c>
      <c r="D261" s="414">
        <f>SUM(D244:D259)</f>
        <v>0</v>
      </c>
      <c r="E261" s="414">
        <f>SUM(E244:E260)</f>
        <v>4248</v>
      </c>
      <c r="F261" s="414">
        <f>D261-E261</f>
        <v>-4248</v>
      </c>
      <c r="G261" s="320">
        <f t="shared" ref="G261:N261" si="13">SUM(G244:G259)</f>
        <v>0</v>
      </c>
      <c r="H261" s="320">
        <f t="shared" si="13"/>
        <v>0</v>
      </c>
      <c r="I261" s="320">
        <f t="shared" si="13"/>
        <v>0</v>
      </c>
      <c r="J261" s="320">
        <f t="shared" si="13"/>
        <v>0</v>
      </c>
      <c r="K261" s="320">
        <f t="shared" si="13"/>
        <v>0</v>
      </c>
      <c r="L261" s="320">
        <f t="shared" si="13"/>
        <v>0</v>
      </c>
      <c r="M261" s="320">
        <f t="shared" si="13"/>
        <v>0</v>
      </c>
      <c r="N261" s="320">
        <f t="shared" si="13"/>
        <v>0</v>
      </c>
      <c r="O261" s="320"/>
      <c r="P261" s="320">
        <f>SUM(P244:P259)</f>
        <v>0</v>
      </c>
      <c r="Q261" s="455">
        <f>SUM(Q244:Q260)</f>
        <v>2070117</v>
      </c>
      <c r="R261" s="455">
        <f>SUM(R244:R259)</f>
        <v>0</v>
      </c>
      <c r="S261" s="455">
        <f>SUM(S244:S260)</f>
        <v>428000</v>
      </c>
      <c r="T261" s="413">
        <f>SUM(T244:T260)</f>
        <v>80854039.269999996</v>
      </c>
      <c r="U261" s="413">
        <f>SUM(U244:U260)</f>
        <v>24267963.34</v>
      </c>
      <c r="V261" s="413">
        <f>SUM(V244:V260)</f>
        <v>686674496.61000001</v>
      </c>
      <c r="W261" s="266"/>
      <c r="X261" s="267" t="e">
        <f>#REF!/#REF!</f>
        <v>#REF!</v>
      </c>
      <c r="Y261" s="215" t="s">
        <v>21</v>
      </c>
      <c r="AA261" s="1099">
        <f>AA244</f>
        <v>686674495</v>
      </c>
      <c r="AB261" s="1099">
        <f>AB244</f>
        <v>1.6100000143051147</v>
      </c>
      <c r="AC261" s="218"/>
      <c r="AD261" s="413">
        <f>SUM(AD246:AD260)</f>
        <v>26023250</v>
      </c>
      <c r="AF261" s="310">
        <f>SUM(AF244:AF260)</f>
        <v>3625793</v>
      </c>
      <c r="AG261" s="810">
        <f>SUM(AG244:AG260)</f>
        <v>11500000</v>
      </c>
      <c r="AH261" s="826">
        <f>SUM(AH246:AH260)</f>
        <v>0</v>
      </c>
      <c r="AJ261" s="260">
        <f>SUM(AJ247:AJ260)</f>
        <v>36805683</v>
      </c>
      <c r="AK261" s="236">
        <f>SUM(AK247:AK260)</f>
        <v>23628500</v>
      </c>
      <c r="AL261" s="803">
        <f>AK261/1050</f>
        <v>22503.333333333332</v>
      </c>
    </row>
    <row r="262" spans="2:40" ht="17.25" customHeight="1" thickTop="1">
      <c r="B262" s="216"/>
      <c r="C262" s="278"/>
      <c r="D262" s="278"/>
      <c r="X262" s="321"/>
    </row>
    <row r="263" spans="2:40" ht="17.25" customHeight="1">
      <c r="X263" s="321"/>
    </row>
    <row r="264" spans="2:40" ht="17.25" customHeight="1">
      <c r="B264" s="216" t="s">
        <v>144</v>
      </c>
      <c r="C264" s="278"/>
      <c r="D264" s="278"/>
      <c r="X264" s="321"/>
    </row>
    <row r="265" spans="2:40" ht="17.25" customHeight="1">
      <c r="B265" s="216"/>
      <c r="C265" s="278"/>
      <c r="D265" s="278"/>
      <c r="X265" s="321"/>
    </row>
    <row r="266" spans="2:40" ht="17.25" customHeight="1">
      <c r="B266" s="217"/>
      <c r="C266" s="278"/>
      <c r="D266" s="278"/>
      <c r="X266" s="321"/>
    </row>
    <row r="267" spans="2:40" ht="17.25" customHeight="1">
      <c r="B267" s="336" t="s">
        <v>529</v>
      </c>
      <c r="C267" s="1173" t="s">
        <v>81</v>
      </c>
      <c r="D267" s="1173"/>
      <c r="E267" s="566"/>
      <c r="F267" s="1173"/>
      <c r="G267" s="1173"/>
      <c r="H267" s="1173"/>
      <c r="I267" s="1173"/>
      <c r="J267" s="337"/>
      <c r="K267" s="337"/>
      <c r="L267" s="1173" t="s">
        <v>82</v>
      </c>
      <c r="M267" s="1173"/>
      <c r="N267" s="1173"/>
      <c r="O267" s="1173"/>
      <c r="P267" s="1173"/>
      <c r="Q267" s="1173"/>
      <c r="R267" s="1173"/>
      <c r="S267" s="1173"/>
      <c r="T267" s="1173"/>
      <c r="U267" s="1173"/>
      <c r="V267" s="1173"/>
      <c r="X267" s="321"/>
    </row>
    <row r="268" spans="2:40" ht="17.25" customHeight="1">
      <c r="B268" s="336"/>
      <c r="C268" s="566"/>
      <c r="D268" s="566"/>
      <c r="E268" s="566"/>
      <c r="F268" s="566"/>
      <c r="G268" s="337"/>
      <c r="H268" s="337"/>
      <c r="I268" s="337"/>
      <c r="J268" s="337"/>
      <c r="K268" s="337"/>
      <c r="L268" s="337"/>
      <c r="M268" s="337"/>
      <c r="N268" s="337"/>
      <c r="O268" s="337"/>
      <c r="P268" s="337"/>
      <c r="Q268" s="337"/>
      <c r="R268" s="337"/>
      <c r="S268" s="337"/>
      <c r="T268" s="337"/>
      <c r="U268" s="337"/>
      <c r="V268" s="337"/>
      <c r="X268" s="321"/>
    </row>
    <row r="269" spans="2:40" ht="17.25" customHeight="1">
      <c r="B269" s="336"/>
      <c r="C269" s="566"/>
      <c r="D269" s="566"/>
      <c r="E269" s="566"/>
      <c r="F269" s="566"/>
      <c r="G269" s="337"/>
      <c r="H269" s="337"/>
      <c r="I269" s="337"/>
      <c r="J269" s="337"/>
      <c r="K269" s="337"/>
      <c r="L269" s="337"/>
      <c r="M269" s="337"/>
      <c r="N269" s="337"/>
      <c r="O269" s="337"/>
      <c r="P269" s="337"/>
      <c r="Q269" s="337"/>
      <c r="R269" s="337"/>
      <c r="S269" s="337"/>
      <c r="T269" s="337"/>
      <c r="U269" s="337"/>
      <c r="V269" s="337"/>
      <c r="X269" s="321"/>
    </row>
    <row r="270" spans="2:40" ht="17.25" customHeight="1">
      <c r="B270" s="336"/>
      <c r="C270" s="566"/>
      <c r="D270" s="566"/>
      <c r="E270" s="566"/>
      <c r="F270" s="566"/>
      <c r="G270" s="337"/>
      <c r="H270" s="337"/>
      <c r="I270" s="337"/>
      <c r="J270" s="337"/>
      <c r="K270" s="337"/>
      <c r="L270" s="337"/>
      <c r="M270" s="337"/>
      <c r="N270" s="337"/>
      <c r="O270" s="337"/>
      <c r="P270" s="337"/>
      <c r="Q270" s="337"/>
      <c r="R270" s="337"/>
      <c r="S270" s="337"/>
      <c r="T270" s="337"/>
      <c r="U270" s="337"/>
      <c r="V270" s="337"/>
      <c r="X270" s="321"/>
    </row>
    <row r="271" spans="2:40" ht="17.25" customHeight="1">
      <c r="B271" s="336"/>
      <c r="C271" s="566"/>
      <c r="D271" s="566"/>
      <c r="E271" s="566"/>
      <c r="F271" s="1173"/>
      <c r="G271" s="1173"/>
      <c r="H271" s="1173"/>
      <c r="I271" s="1173"/>
      <c r="J271" s="337"/>
      <c r="K271" s="337"/>
      <c r="L271" s="1173"/>
      <c r="M271" s="1173"/>
      <c r="N271" s="1173"/>
      <c r="O271" s="1173"/>
      <c r="P271" s="1173"/>
      <c r="Q271" s="1173"/>
      <c r="R271" s="1173"/>
      <c r="S271" s="1173"/>
      <c r="T271" s="1173"/>
      <c r="U271" s="1173"/>
      <c r="V271" s="1173"/>
      <c r="X271" s="321"/>
    </row>
    <row r="272" spans="2:40" ht="17.25" customHeight="1">
      <c r="B272" s="216"/>
      <c r="C272" s="278"/>
      <c r="D272" s="278"/>
      <c r="X272" s="321"/>
    </row>
    <row r="273" spans="2:41" ht="27.75" customHeight="1">
      <c r="B273" s="216"/>
      <c r="C273" s="278"/>
      <c r="D273" s="278"/>
      <c r="X273" s="321"/>
    </row>
    <row r="274" spans="2:41" ht="27.75" customHeight="1">
      <c r="B274" s="215" t="s">
        <v>0</v>
      </c>
      <c r="C274" s="278"/>
      <c r="D274" s="278"/>
      <c r="X274" s="321"/>
    </row>
    <row r="275" spans="2:41" ht="63.75" customHeight="1">
      <c r="B275" s="215" t="str">
        <f>B4</f>
        <v>DENOMINATION FOR OKTOBER 2025</v>
      </c>
      <c r="C275" s="278"/>
      <c r="D275" s="278"/>
      <c r="X275" s="321"/>
    </row>
    <row r="276" spans="2:41" ht="27.75" customHeight="1" thickBot="1">
      <c r="B276" s="297"/>
    </row>
    <row r="277" spans="2:41" ht="27.75" customHeight="1" thickTop="1">
      <c r="B277" s="1176" t="s">
        <v>1</v>
      </c>
      <c r="C277" s="1183" t="s">
        <v>15</v>
      </c>
      <c r="D277" s="1178" t="s">
        <v>470</v>
      </c>
      <c r="E277" s="1179"/>
      <c r="F277" s="1180"/>
      <c r="G277" s="1183" t="s">
        <v>244</v>
      </c>
      <c r="H277" s="1183" t="s">
        <v>471</v>
      </c>
      <c r="I277" s="1185" t="s">
        <v>472</v>
      </c>
      <c r="J277" s="1181" t="s">
        <v>473</v>
      </c>
      <c r="K277" s="1181" t="s">
        <v>474</v>
      </c>
      <c r="L277" s="572" t="s">
        <v>475</v>
      </c>
      <c r="M277" s="1183" t="s">
        <v>477</v>
      </c>
      <c r="N277" s="572" t="s">
        <v>475</v>
      </c>
      <c r="O277" s="572" t="s">
        <v>478</v>
      </c>
      <c r="P277" s="1183"/>
      <c r="Q277" s="568" t="s">
        <v>145</v>
      </c>
      <c r="R277" s="568" t="s">
        <v>253</v>
      </c>
      <c r="S277" s="568" t="s">
        <v>440</v>
      </c>
      <c r="T277" s="1174" t="str">
        <f>T242</f>
        <v>TOTAL PREMI</v>
      </c>
      <c r="U277" s="1174" t="str">
        <f>U242</f>
        <v>TOTAL LEMBUR</v>
      </c>
      <c r="V277" s="1171" t="s">
        <v>666</v>
      </c>
      <c r="AA277" s="1222" t="s">
        <v>664</v>
      </c>
      <c r="AB277" s="1232" t="s">
        <v>226</v>
      </c>
      <c r="AD277" s="1171" t="s">
        <v>259</v>
      </c>
      <c r="AF277" s="1189" t="s">
        <v>542</v>
      </c>
      <c r="AG277" s="1189" t="s">
        <v>617</v>
      </c>
      <c r="AH277" s="1195" t="s">
        <v>608</v>
      </c>
      <c r="AJ277" s="1197" t="s">
        <v>452</v>
      </c>
      <c r="AK277" s="1197"/>
      <c r="AL277" s="218"/>
    </row>
    <row r="278" spans="2:41" ht="27.75" customHeight="1" thickBot="1">
      <c r="B278" s="1177"/>
      <c r="C278" s="1184"/>
      <c r="D278" s="573" t="s">
        <v>485</v>
      </c>
      <c r="E278" s="573" t="s">
        <v>486</v>
      </c>
      <c r="F278" s="573" t="s">
        <v>487</v>
      </c>
      <c r="G278" s="1184"/>
      <c r="H278" s="1184"/>
      <c r="I278" s="1186"/>
      <c r="J278" s="1182"/>
      <c r="K278" s="1182"/>
      <c r="L278" s="573" t="s">
        <v>476</v>
      </c>
      <c r="M278" s="1184"/>
      <c r="N278" s="573" t="s">
        <v>476</v>
      </c>
      <c r="O278" s="573" t="s">
        <v>479</v>
      </c>
      <c r="P278" s="1184"/>
      <c r="Q278" s="569" t="str">
        <f>Q243</f>
        <v>(MASA OKTOBER 2025)</v>
      </c>
      <c r="R278" s="569" t="s">
        <v>254</v>
      </c>
      <c r="S278" s="569" t="s">
        <v>439</v>
      </c>
      <c r="T278" s="1175"/>
      <c r="U278" s="1175"/>
      <c r="V278" s="1172"/>
      <c r="AA278" s="1223"/>
      <c r="AB278" s="1233"/>
      <c r="AD278" s="1172"/>
      <c r="AF278" s="1190"/>
      <c r="AG278" s="1190"/>
      <c r="AH278" s="1196"/>
      <c r="AJ278" s="292" t="s">
        <v>611</v>
      </c>
      <c r="AK278" s="292" t="s">
        <v>612</v>
      </c>
      <c r="AO278" s="337"/>
    </row>
    <row r="279" spans="2:41" s="242" customFormat="1" ht="27.75" customHeight="1" thickTop="1">
      <c r="B279" s="287"/>
      <c r="C279" s="269"/>
      <c r="D279" s="709"/>
      <c r="E279" s="709"/>
      <c r="F279" s="709"/>
      <c r="G279" s="306"/>
      <c r="H279" s="306"/>
      <c r="I279" s="306"/>
      <c r="J279" s="306"/>
      <c r="K279" s="306"/>
      <c r="L279" s="306"/>
      <c r="M279" s="306"/>
      <c r="N279" s="306"/>
      <c r="O279" s="307"/>
      <c r="P279" s="307"/>
      <c r="Q279" s="307"/>
      <c r="R279" s="307"/>
      <c r="S279" s="307"/>
      <c r="T279" s="307"/>
      <c r="U279" s="307"/>
      <c r="V279" s="308"/>
      <c r="W279" s="215"/>
      <c r="X279" s="215"/>
      <c r="Y279" s="215"/>
      <c r="Z279" s="215"/>
      <c r="AA279" s="1234">
        <v>676070056</v>
      </c>
      <c r="AB279" s="1237">
        <f>V296-AA279</f>
        <v>0.35000002384185791</v>
      </c>
      <c r="AC279" s="215"/>
      <c r="AD279" s="308"/>
      <c r="AE279" s="339"/>
      <c r="AF279" s="310"/>
      <c r="AG279" s="800"/>
      <c r="AH279" s="798"/>
      <c r="AJ279" s="260"/>
      <c r="AK279" s="236"/>
      <c r="AL279" s="236"/>
      <c r="AM279" s="1169" t="s">
        <v>655</v>
      </c>
      <c r="AN279" s="1170"/>
      <c r="AO279" s="1139" t="s">
        <v>630</v>
      </c>
    </row>
    <row r="280" spans="2:41" s="242" customFormat="1" ht="27.75" customHeight="1">
      <c r="B280" s="287" t="s">
        <v>568</v>
      </c>
      <c r="C280" s="292">
        <v>34</v>
      </c>
      <c r="D280" s="310"/>
      <c r="E280" s="310">
        <v>1028</v>
      </c>
      <c r="F280" s="310"/>
      <c r="G280" s="293"/>
      <c r="H280" s="293"/>
      <c r="I280" s="293"/>
      <c r="J280" s="293"/>
      <c r="K280" s="293"/>
      <c r="L280" s="293"/>
      <c r="M280" s="293"/>
      <c r="N280" s="293"/>
      <c r="O280" s="289"/>
      <c r="P280" s="289"/>
      <c r="Q280" s="521">
        <v>398018</v>
      </c>
      <c r="R280" s="289"/>
      <c r="S280" s="521">
        <v>136000</v>
      </c>
      <c r="T280" s="289">
        <f>5680000+250000+AM280</f>
        <v>26380840</v>
      </c>
      <c r="U280" s="289">
        <v>0</v>
      </c>
      <c r="V280" s="290">
        <v>183989141</v>
      </c>
      <c r="AA280" s="1235"/>
      <c r="AB280" s="1238"/>
      <c r="AC280" s="805"/>
      <c r="AD280" s="290">
        <v>15416500</v>
      </c>
      <c r="AE280" s="353"/>
      <c r="AF280" s="741">
        <v>787733</v>
      </c>
      <c r="AG280" s="810">
        <v>8250000</v>
      </c>
      <c r="AH280" s="816"/>
      <c r="AJ280" s="260">
        <v>6163840</v>
      </c>
      <c r="AK280" s="236">
        <v>14287000</v>
      </c>
      <c r="AL280" s="803">
        <f t="shared" ref="AL280:AL294" si="14">AK280/1050</f>
        <v>13606.666666666666</v>
      </c>
      <c r="AM280" s="1081">
        <f>AJ280+AK280</f>
        <v>20450840</v>
      </c>
      <c r="AN280" s="1138"/>
      <c r="AO280" s="337">
        <v>2666668</v>
      </c>
    </row>
    <row r="281" spans="2:41" s="242" customFormat="1" ht="27.75" customHeight="1">
      <c r="B281" s="287"/>
      <c r="C281" s="292"/>
      <c r="D281" s="310"/>
      <c r="E281" s="310"/>
      <c r="F281" s="310"/>
      <c r="G281" s="293"/>
      <c r="H281" s="293"/>
      <c r="I281" s="293"/>
      <c r="J281" s="293"/>
      <c r="K281" s="293"/>
      <c r="L281" s="293"/>
      <c r="M281" s="293"/>
      <c r="N281" s="293"/>
      <c r="O281" s="289"/>
      <c r="P281" s="289"/>
      <c r="Q281" s="521"/>
      <c r="R281" s="289"/>
      <c r="S281" s="521"/>
      <c r="T281" s="289"/>
      <c r="U281" s="289"/>
      <c r="V281" s="290"/>
      <c r="AA281" s="1235"/>
      <c r="AB281" s="1238"/>
      <c r="AD281" s="290"/>
      <c r="AE281" s="353"/>
      <c r="AF281" s="741"/>
      <c r="AG281" s="817"/>
      <c r="AH281" s="816"/>
      <c r="AJ281" s="260"/>
      <c r="AK281" s="236"/>
      <c r="AL281" s="803"/>
      <c r="AO281" s="337"/>
    </row>
    <row r="282" spans="2:41" s="242" customFormat="1" ht="27.75" customHeight="1">
      <c r="B282" s="291" t="s">
        <v>569</v>
      </c>
      <c r="C282" s="292">
        <v>25</v>
      </c>
      <c r="D282" s="310"/>
      <c r="E282" s="310">
        <v>734</v>
      </c>
      <c r="F282" s="310"/>
      <c r="G282" s="293"/>
      <c r="H282" s="293"/>
      <c r="I282" s="293"/>
      <c r="J282" s="293"/>
      <c r="K282" s="293"/>
      <c r="L282" s="293"/>
      <c r="M282" s="293"/>
      <c r="N282" s="293"/>
      <c r="O282" s="289"/>
      <c r="P282" s="289"/>
      <c r="Q282" s="521">
        <v>126294</v>
      </c>
      <c r="R282" s="289"/>
      <c r="S282" s="521">
        <v>100000</v>
      </c>
      <c r="T282" s="289">
        <v>135800</v>
      </c>
      <c r="U282" s="289">
        <v>4817739.59</v>
      </c>
      <c r="V282" s="290">
        <v>99240135.590000004</v>
      </c>
      <c r="AA282" s="1235"/>
      <c r="AB282" s="1238"/>
      <c r="AC282" s="805"/>
      <c r="AD282" s="290"/>
      <c r="AE282" s="353"/>
      <c r="AF282" s="741"/>
      <c r="AG282" s="815"/>
      <c r="AH282" s="816"/>
      <c r="AJ282" s="260"/>
      <c r="AK282" s="236"/>
      <c r="AL282" s="803">
        <f t="shared" si="14"/>
        <v>0</v>
      </c>
      <c r="AO282" s="337"/>
    </row>
    <row r="283" spans="2:41" s="242" customFormat="1" ht="27.75" customHeight="1">
      <c r="B283" s="287"/>
      <c r="C283" s="292"/>
      <c r="D283" s="310"/>
      <c r="E283" s="310"/>
      <c r="F283" s="310"/>
      <c r="G283" s="293"/>
      <c r="H283" s="293"/>
      <c r="I283" s="293"/>
      <c r="J283" s="293"/>
      <c r="K283" s="293"/>
      <c r="L283" s="293"/>
      <c r="M283" s="293"/>
      <c r="N283" s="293"/>
      <c r="O283" s="289"/>
      <c r="P283" s="289"/>
      <c r="Q283" s="521"/>
      <c r="R283" s="289"/>
      <c r="S283" s="521"/>
      <c r="T283" s="289"/>
      <c r="U283" s="289"/>
      <c r="V283" s="290"/>
      <c r="AA283" s="1235"/>
      <c r="AB283" s="1238"/>
      <c r="AD283" s="290"/>
      <c r="AE283" s="353"/>
      <c r="AF283" s="741"/>
      <c r="AG283" s="817"/>
      <c r="AH283" s="816"/>
      <c r="AJ283" s="260"/>
      <c r="AK283" s="236"/>
      <c r="AL283" s="803"/>
      <c r="AN283" s="215" t="s">
        <v>671</v>
      </c>
      <c r="AO283" s="337"/>
    </row>
    <row r="284" spans="2:41" ht="27.75" customHeight="1">
      <c r="B284" s="291" t="s">
        <v>570</v>
      </c>
      <c r="C284" s="292">
        <v>8</v>
      </c>
      <c r="D284" s="310"/>
      <c r="E284" s="310">
        <v>238</v>
      </c>
      <c r="F284" s="310"/>
      <c r="G284" s="293"/>
      <c r="H284" s="293"/>
      <c r="I284" s="293"/>
      <c r="J284" s="293"/>
      <c r="K284" s="293"/>
      <c r="L284" s="293"/>
      <c r="M284" s="293"/>
      <c r="N284" s="293"/>
      <c r="O284" s="289"/>
      <c r="P284" s="289"/>
      <c r="Q284" s="521">
        <v>392177</v>
      </c>
      <c r="R284" s="289"/>
      <c r="S284" s="521">
        <v>32000</v>
      </c>
      <c r="T284" s="289">
        <v>11048600.5</v>
      </c>
      <c r="U284" s="289">
        <v>8380626.5399999982</v>
      </c>
      <c r="V284" s="290">
        <v>50553058.039999999</v>
      </c>
      <c r="W284" s="242"/>
      <c r="X284" s="242"/>
      <c r="Y284" s="242"/>
      <c r="Z284" s="242"/>
      <c r="AA284" s="1235"/>
      <c r="AB284" s="1238"/>
      <c r="AC284" s="805"/>
      <c r="AD284" s="290"/>
      <c r="AE284" s="353"/>
      <c r="AF284" s="741"/>
      <c r="AG284" s="815"/>
      <c r="AH284" s="816"/>
      <c r="AJ284" s="260"/>
      <c r="AK284" s="236"/>
      <c r="AL284" s="803">
        <f t="shared" si="14"/>
        <v>0</v>
      </c>
      <c r="AN284" s="1012"/>
      <c r="AO284" s="337"/>
    </row>
    <row r="285" spans="2:41" s="242" customFormat="1" ht="27.75" customHeight="1">
      <c r="B285" s="322"/>
      <c r="C285" s="292"/>
      <c r="D285" s="310"/>
      <c r="E285" s="310"/>
      <c r="F285" s="310"/>
      <c r="G285" s="293"/>
      <c r="H285" s="293"/>
      <c r="I285" s="293"/>
      <c r="J285" s="293"/>
      <c r="K285" s="293"/>
      <c r="L285" s="293"/>
      <c r="M285" s="293"/>
      <c r="N285" s="293"/>
      <c r="O285" s="289"/>
      <c r="P285" s="289"/>
      <c r="Q285" s="521"/>
      <c r="R285" s="289"/>
      <c r="S285" s="521"/>
      <c r="T285" s="289"/>
      <c r="U285" s="289"/>
      <c r="V285" s="290"/>
      <c r="W285" s="215"/>
      <c r="X285" s="215"/>
      <c r="Y285" s="215"/>
      <c r="Z285" s="215"/>
      <c r="AA285" s="1235"/>
      <c r="AB285" s="1238"/>
      <c r="AC285" s="215"/>
      <c r="AD285" s="290"/>
      <c r="AE285" s="339"/>
      <c r="AF285" s="718"/>
      <c r="AG285" s="817"/>
      <c r="AH285" s="816"/>
      <c r="AJ285" s="260"/>
      <c r="AK285" s="236"/>
      <c r="AL285" s="803"/>
      <c r="AO285" s="337"/>
    </row>
    <row r="286" spans="2:41" s="242" customFormat="1" ht="27.75" customHeight="1">
      <c r="B286" s="287" t="s">
        <v>601</v>
      </c>
      <c r="C286" s="292"/>
      <c r="D286" s="310"/>
      <c r="E286" s="310"/>
      <c r="F286" s="310"/>
      <c r="G286" s="293"/>
      <c r="H286" s="293"/>
      <c r="I286" s="293"/>
      <c r="J286" s="293"/>
      <c r="K286" s="293"/>
      <c r="L286" s="293"/>
      <c r="M286" s="293"/>
      <c r="N286" s="293"/>
      <c r="O286" s="289"/>
      <c r="P286" s="289"/>
      <c r="Q286" s="521"/>
      <c r="R286" s="289"/>
      <c r="S286" s="521"/>
      <c r="T286" s="289"/>
      <c r="U286" s="289"/>
      <c r="V286" s="290"/>
      <c r="W286" s="215"/>
      <c r="X286" s="215"/>
      <c r="Y286" s="215"/>
      <c r="Z286" s="215"/>
      <c r="AA286" s="1235"/>
      <c r="AB286" s="1238"/>
      <c r="AC286" s="805"/>
      <c r="AD286" s="290"/>
      <c r="AE286" s="339"/>
      <c r="AF286" s="741"/>
      <c r="AG286" s="810"/>
      <c r="AH286" s="816"/>
      <c r="AJ286" s="260"/>
      <c r="AK286" s="236"/>
      <c r="AL286" s="803">
        <f t="shared" si="14"/>
        <v>0</v>
      </c>
      <c r="AM286" s="239">
        <f>AJ286+AK286</f>
        <v>0</v>
      </c>
      <c r="AO286" s="337"/>
    </row>
    <row r="287" spans="2:41" s="242" customFormat="1" ht="27.75" customHeight="1">
      <c r="B287" s="322"/>
      <c r="C287" s="292"/>
      <c r="D287" s="310"/>
      <c r="E287" s="310"/>
      <c r="F287" s="310"/>
      <c r="G287" s="293"/>
      <c r="H287" s="293"/>
      <c r="I287" s="293"/>
      <c r="J287" s="293"/>
      <c r="K287" s="293"/>
      <c r="L287" s="293"/>
      <c r="M287" s="293"/>
      <c r="N287" s="293"/>
      <c r="O287" s="289"/>
      <c r="P287" s="289"/>
      <c r="Q287" s="521"/>
      <c r="R287" s="289"/>
      <c r="S287" s="521"/>
      <c r="T287" s="289"/>
      <c r="U287" s="289"/>
      <c r="V287" s="290"/>
      <c r="W287" s="215"/>
      <c r="X287" s="215"/>
      <c r="Y287" s="215"/>
      <c r="Z287" s="215"/>
      <c r="AA287" s="1235"/>
      <c r="AB287" s="1238"/>
      <c r="AC287" s="215"/>
      <c r="AD287" s="290"/>
      <c r="AE287" s="339"/>
      <c r="AF287" s="718"/>
      <c r="AG287" s="817"/>
      <c r="AH287" s="816"/>
      <c r="AJ287" s="260"/>
      <c r="AK287" s="236"/>
      <c r="AL287" s="803"/>
      <c r="AO287" s="337"/>
    </row>
    <row r="288" spans="2:41" ht="27.75" customHeight="1">
      <c r="B288" s="291" t="s">
        <v>571</v>
      </c>
      <c r="C288" s="292">
        <v>28</v>
      </c>
      <c r="D288" s="310"/>
      <c r="E288" s="310">
        <v>849</v>
      </c>
      <c r="F288" s="310"/>
      <c r="G288" s="293"/>
      <c r="H288" s="293"/>
      <c r="I288" s="293"/>
      <c r="J288" s="293"/>
      <c r="K288" s="293"/>
      <c r="L288" s="293"/>
      <c r="M288" s="293"/>
      <c r="N288" s="293"/>
      <c r="O288" s="289"/>
      <c r="P288" s="289"/>
      <c r="Q288" s="521">
        <v>0</v>
      </c>
      <c r="R288" s="289"/>
      <c r="S288" s="521">
        <v>112000</v>
      </c>
      <c r="T288" s="289">
        <v>255400</v>
      </c>
      <c r="U288" s="289">
        <v>974752.06</v>
      </c>
      <c r="V288" s="290">
        <v>110078570.06</v>
      </c>
      <c r="W288" s="242"/>
      <c r="X288" s="242"/>
      <c r="Y288" s="242"/>
      <c r="Z288" s="242"/>
      <c r="AA288" s="1235"/>
      <c r="AB288" s="1238"/>
      <c r="AC288" s="805"/>
      <c r="AD288" s="290"/>
      <c r="AE288" s="353"/>
      <c r="AF288" s="741"/>
      <c r="AG288" s="815"/>
      <c r="AH288" s="816"/>
      <c r="AJ288" s="260"/>
      <c r="AK288" s="236"/>
      <c r="AL288" s="803">
        <f t="shared" si="14"/>
        <v>0</v>
      </c>
      <c r="AO288" s="337"/>
    </row>
    <row r="289" spans="2:41" ht="27.75" customHeight="1">
      <c r="B289" s="546"/>
      <c r="C289" s="292"/>
      <c r="D289" s="310"/>
      <c r="E289" s="310"/>
      <c r="F289" s="310"/>
      <c r="G289" s="293"/>
      <c r="H289" s="293"/>
      <c r="I289" s="293"/>
      <c r="J289" s="293"/>
      <c r="K289" s="293"/>
      <c r="L289" s="293"/>
      <c r="M289" s="293"/>
      <c r="N289" s="293"/>
      <c r="O289" s="289"/>
      <c r="P289" s="289"/>
      <c r="Q289" s="521"/>
      <c r="R289" s="289"/>
      <c r="S289" s="521"/>
      <c r="T289" s="289"/>
      <c r="U289" s="289"/>
      <c r="V289" s="290"/>
      <c r="AA289" s="1235"/>
      <c r="AB289" s="1238"/>
      <c r="AD289" s="290"/>
      <c r="AF289" s="718"/>
      <c r="AG289" s="817"/>
      <c r="AH289" s="816"/>
      <c r="AJ289" s="260"/>
      <c r="AK289" s="236"/>
      <c r="AL289" s="803"/>
      <c r="AN289" s="215" t="s">
        <v>673</v>
      </c>
      <c r="AO289" s="337"/>
    </row>
    <row r="290" spans="2:41" ht="27.75" customHeight="1">
      <c r="B290" s="287" t="s">
        <v>572</v>
      </c>
      <c r="C290" s="292">
        <v>36</v>
      </c>
      <c r="D290" s="310"/>
      <c r="E290" s="310">
        <v>1077</v>
      </c>
      <c r="F290" s="310"/>
      <c r="G290" s="293"/>
      <c r="H290" s="293"/>
      <c r="I290" s="293"/>
      <c r="J290" s="293"/>
      <c r="K290" s="293"/>
      <c r="L290" s="293"/>
      <c r="M290" s="293"/>
      <c r="N290" s="293"/>
      <c r="O290" s="289"/>
      <c r="P290" s="289"/>
      <c r="Q290" s="521">
        <v>454163</v>
      </c>
      <c r="R290" s="289"/>
      <c r="S290" s="521">
        <v>144000</v>
      </c>
      <c r="T290" s="289">
        <f>5570000+AM290</f>
        <v>26768733</v>
      </c>
      <c r="U290" s="289">
        <v>0</v>
      </c>
      <c r="V290" s="290">
        <v>184353779</v>
      </c>
      <c r="AA290" s="1235"/>
      <c r="AB290" s="1238"/>
      <c r="AC290" s="805"/>
      <c r="AD290" s="290">
        <v>14565100</v>
      </c>
      <c r="AF290" s="741">
        <v>910237</v>
      </c>
      <c r="AG290" s="810">
        <v>6050000</v>
      </c>
      <c r="AH290" s="816"/>
      <c r="AJ290" s="260">
        <v>8836733</v>
      </c>
      <c r="AK290" s="236">
        <v>12362000</v>
      </c>
      <c r="AL290" s="803">
        <f t="shared" si="14"/>
        <v>11773.333333333334</v>
      </c>
      <c r="AM290" s="239">
        <f>AJ290+AK290</f>
        <v>21198733</v>
      </c>
      <c r="AN290" s="1012"/>
      <c r="AO290" s="337"/>
    </row>
    <row r="291" spans="2:41" ht="27.75" customHeight="1">
      <c r="B291" s="291"/>
      <c r="C291" s="292"/>
      <c r="D291" s="310"/>
      <c r="E291" s="310"/>
      <c r="F291" s="310"/>
      <c r="G291" s="293"/>
      <c r="H291" s="293"/>
      <c r="I291" s="293"/>
      <c r="J291" s="293"/>
      <c r="K291" s="293"/>
      <c r="L291" s="293"/>
      <c r="M291" s="293"/>
      <c r="N291" s="293"/>
      <c r="O291" s="289"/>
      <c r="P291" s="289"/>
      <c r="Q291" s="521"/>
      <c r="R291" s="289"/>
      <c r="S291" s="521"/>
      <c r="T291" s="289"/>
      <c r="U291" s="289"/>
      <c r="V291" s="290"/>
      <c r="AA291" s="1235"/>
      <c r="AB291" s="1238"/>
      <c r="AD291" s="290"/>
      <c r="AF291" s="718"/>
      <c r="AG291" s="817"/>
      <c r="AH291" s="816"/>
      <c r="AJ291" s="260"/>
      <c r="AK291" s="236"/>
      <c r="AL291" s="803"/>
      <c r="AO291" s="337"/>
    </row>
    <row r="292" spans="2:41" ht="27.75" customHeight="1">
      <c r="B292" s="291" t="s">
        <v>573</v>
      </c>
      <c r="C292" s="1163">
        <v>8</v>
      </c>
      <c r="D292" s="310"/>
      <c r="E292" s="310">
        <v>240</v>
      </c>
      <c r="F292" s="310"/>
      <c r="G292" s="293"/>
      <c r="H292" s="293"/>
      <c r="I292" s="293"/>
      <c r="J292" s="293"/>
      <c r="K292" s="293"/>
      <c r="L292" s="293"/>
      <c r="M292" s="293"/>
      <c r="N292" s="293"/>
      <c r="O292" s="289"/>
      <c r="P292" s="289"/>
      <c r="Q292" s="521">
        <v>283211</v>
      </c>
      <c r="R292" s="289"/>
      <c r="S292" s="521">
        <v>32000</v>
      </c>
      <c r="T292" s="289">
        <v>6906551.5</v>
      </c>
      <c r="U292" s="289">
        <v>9758724.1600000001</v>
      </c>
      <c r="V292" s="290">
        <v>47855372.659999996</v>
      </c>
      <c r="AA292" s="1235"/>
      <c r="AB292" s="1238"/>
      <c r="AC292" s="805"/>
      <c r="AD292" s="290"/>
      <c r="AF292" s="741"/>
      <c r="AG292" s="810"/>
      <c r="AH292" s="816"/>
      <c r="AJ292" s="260"/>
      <c r="AK292" s="236"/>
      <c r="AL292" s="803">
        <f t="shared" si="14"/>
        <v>0</v>
      </c>
      <c r="AM292" s="239">
        <f>AJ292+AK292</f>
        <v>0</v>
      </c>
      <c r="AO292" s="337"/>
    </row>
    <row r="293" spans="2:41" ht="27.75" customHeight="1">
      <c r="B293" s="291"/>
      <c r="C293" s="292"/>
      <c r="D293" s="310"/>
      <c r="E293" s="310"/>
      <c r="F293" s="310"/>
      <c r="G293" s="293"/>
      <c r="H293" s="293"/>
      <c r="I293" s="293"/>
      <c r="J293" s="293"/>
      <c r="K293" s="293"/>
      <c r="L293" s="293"/>
      <c r="M293" s="293"/>
      <c r="N293" s="293"/>
      <c r="O293" s="289"/>
      <c r="P293" s="289"/>
      <c r="Q293" s="521"/>
      <c r="R293" s="289"/>
      <c r="S293" s="521"/>
      <c r="T293" s="289"/>
      <c r="U293" s="289"/>
      <c r="V293" s="290"/>
      <c r="AA293" s="1235"/>
      <c r="AB293" s="1238"/>
      <c r="AD293" s="290"/>
      <c r="AF293" s="718"/>
      <c r="AG293" s="817"/>
      <c r="AH293" s="816"/>
      <c r="AJ293" s="260"/>
      <c r="AK293" s="236"/>
      <c r="AL293" s="803"/>
      <c r="AN293" s="215" t="s">
        <v>671</v>
      </c>
      <c r="AO293" s="337" t="s">
        <v>662</v>
      </c>
    </row>
    <row r="294" spans="2:41" ht="27.75" customHeight="1">
      <c r="B294" s="291" t="s">
        <v>579</v>
      </c>
      <c r="C294" s="292"/>
      <c r="D294" s="310"/>
      <c r="E294" s="310"/>
      <c r="F294" s="310"/>
      <c r="G294" s="293"/>
      <c r="H294" s="293"/>
      <c r="I294" s="293"/>
      <c r="J294" s="293"/>
      <c r="K294" s="293"/>
      <c r="L294" s="293"/>
      <c r="M294" s="293"/>
      <c r="N294" s="293"/>
      <c r="O294" s="289"/>
      <c r="P294" s="289"/>
      <c r="Q294" s="521"/>
      <c r="R294" s="289"/>
      <c r="S294" s="521"/>
      <c r="T294" s="289"/>
      <c r="U294" s="289"/>
      <c r="V294" s="290"/>
      <c r="AA294" s="1235"/>
      <c r="AB294" s="1238"/>
      <c r="AC294" s="805"/>
      <c r="AD294" s="290"/>
      <c r="AF294" s="718"/>
      <c r="AG294" s="815"/>
      <c r="AH294" s="816"/>
      <c r="AJ294" s="260"/>
      <c r="AK294" s="236"/>
      <c r="AL294" s="803">
        <f t="shared" si="14"/>
        <v>0</v>
      </c>
      <c r="AN294" s="1012"/>
      <c r="AO294" s="337"/>
    </row>
    <row r="295" spans="2:41" ht="27.75" customHeight="1" thickBot="1">
      <c r="B295" s="268"/>
      <c r="C295" s="547"/>
      <c r="D295" s="708"/>
      <c r="E295" s="708"/>
      <c r="F295" s="839"/>
      <c r="G295" s="270"/>
      <c r="H295" s="270"/>
      <c r="I295" s="270"/>
      <c r="J295" s="270"/>
      <c r="K295" s="270"/>
      <c r="L295" s="270"/>
      <c r="M295" s="270"/>
      <c r="N295" s="270"/>
      <c r="O295" s="271"/>
      <c r="P295" s="271"/>
      <c r="Q295" s="537"/>
      <c r="R295" s="271"/>
      <c r="S295" s="271"/>
      <c r="T295" s="271"/>
      <c r="U295" s="271"/>
      <c r="V295" s="272"/>
      <c r="AA295" s="1236"/>
      <c r="AB295" s="1239"/>
      <c r="AD295" s="272"/>
      <c r="AF295" s="310"/>
      <c r="AH295" s="816"/>
      <c r="AJ295" s="260"/>
      <c r="AK295" s="236"/>
      <c r="AL295" s="803"/>
      <c r="AO295" s="337"/>
    </row>
    <row r="296" spans="2:41" ht="32.25" customHeight="1" thickTop="1" thickBot="1">
      <c r="B296" s="319" t="s">
        <v>3</v>
      </c>
      <c r="C296" s="414">
        <f>SUM(C279:C295)</f>
        <v>139</v>
      </c>
      <c r="D296" s="414">
        <f>SUM(D279:D295)</f>
        <v>0</v>
      </c>
      <c r="E296" s="414">
        <f>SUM(E279:E295)</f>
        <v>4166</v>
      </c>
      <c r="F296" s="414">
        <f>D296-E296</f>
        <v>-4166</v>
      </c>
      <c r="G296" s="320">
        <f t="shared" ref="G296:N296" si="15">SUM(G279:G288)</f>
        <v>0</v>
      </c>
      <c r="H296" s="320">
        <f t="shared" si="15"/>
        <v>0</v>
      </c>
      <c r="I296" s="320">
        <f t="shared" si="15"/>
        <v>0</v>
      </c>
      <c r="J296" s="320">
        <f t="shared" si="15"/>
        <v>0</v>
      </c>
      <c r="K296" s="320">
        <f t="shared" si="15"/>
        <v>0</v>
      </c>
      <c r="L296" s="320">
        <f t="shared" si="15"/>
        <v>0</v>
      </c>
      <c r="M296" s="320">
        <f t="shared" si="15"/>
        <v>0</v>
      </c>
      <c r="N296" s="320">
        <f t="shared" si="15"/>
        <v>0</v>
      </c>
      <c r="O296" s="320"/>
      <c r="P296" s="320">
        <f>SUM(P279:P288)</f>
        <v>0</v>
      </c>
      <c r="Q296" s="414">
        <f t="shared" ref="Q296:R296" si="16">SUM(Q279:Q295)</f>
        <v>1653863</v>
      </c>
      <c r="R296" s="414">
        <f t="shared" si="16"/>
        <v>0</v>
      </c>
      <c r="S296" s="414">
        <f>SUM(S279:S295)</f>
        <v>556000</v>
      </c>
      <c r="T296" s="320">
        <f>SUM(T279:T295)</f>
        <v>71495925</v>
      </c>
      <c r="U296" s="320">
        <f>SUM(U279:U295)</f>
        <v>23931842.350000001</v>
      </c>
      <c r="V296" s="413">
        <f>SUM(V279:V295)</f>
        <v>676070056.35000002</v>
      </c>
      <c r="W296" s="217" t="e">
        <f>#REF!+#REF!+#REF!+#REF!+#REF!+#REF!</f>
        <v>#REF!</v>
      </c>
      <c r="X296" s="217" t="e">
        <f>#REF!+#REF!+#REF!+#REF!+#REF!+#REF!</f>
        <v>#REF!</v>
      </c>
      <c r="Y296" s="217" t="e">
        <f>#REF!+#REF!+#REF!+#REF!+#REF!+#REF!</f>
        <v>#REF!</v>
      </c>
      <c r="Z296" s="217" t="e">
        <f>#REF!+#REF!+#REF!+#REF!+#REF!+#REF!</f>
        <v>#REF!</v>
      </c>
      <c r="AA296" s="413">
        <f>AA279</f>
        <v>676070056</v>
      </c>
      <c r="AB296" s="413">
        <f>AB279</f>
        <v>0.35000002384185791</v>
      </c>
      <c r="AC296" s="217"/>
      <c r="AD296" s="413">
        <f>SUM(AD280:AD295)</f>
        <v>29981600</v>
      </c>
      <c r="AE296" s="492"/>
      <c r="AF296" s="450">
        <f>SUM(AF280:AF295)</f>
        <v>1697970</v>
      </c>
      <c r="AG296" s="810">
        <f>SUM(AG280:AG295)</f>
        <v>14300000</v>
      </c>
      <c r="AH296" s="344">
        <f>SUM(AH280:AH295)</f>
        <v>0</v>
      </c>
      <c r="AJ296" s="260">
        <f>SUM(AJ280:AJ295)</f>
        <v>15000573</v>
      </c>
      <c r="AK296" s="236">
        <f>SUM(AK280:AK295)</f>
        <v>26649000</v>
      </c>
      <c r="AL296" s="803">
        <f>AK296/1050</f>
        <v>25380</v>
      </c>
    </row>
    <row r="297" spans="2:41" ht="17.25" customHeight="1" thickTop="1">
      <c r="B297" s="216"/>
      <c r="C297" s="278"/>
      <c r="D297" s="278"/>
      <c r="W297" s="217"/>
      <c r="X297" s="217"/>
      <c r="Y297" s="217"/>
      <c r="Z297" s="217"/>
      <c r="AA297" s="217"/>
      <c r="AB297" s="217"/>
      <c r="AC297" s="217"/>
      <c r="AD297" s="492"/>
      <c r="AE297" s="492"/>
      <c r="AF297" s="278"/>
    </row>
    <row r="298" spans="2:41" ht="17.25" customHeight="1">
      <c r="W298" s="217"/>
      <c r="X298" s="217"/>
      <c r="Y298" s="217"/>
      <c r="Z298" s="217"/>
      <c r="AA298" s="217"/>
      <c r="AB298" s="217"/>
      <c r="AC298" s="217"/>
      <c r="AD298" s="492"/>
      <c r="AE298" s="492"/>
      <c r="AF298" s="278"/>
    </row>
    <row r="299" spans="2:41" ht="17.25" customHeight="1">
      <c r="B299" s="216"/>
      <c r="C299" s="278"/>
      <c r="D299" s="278"/>
      <c r="W299" s="217"/>
      <c r="X299" s="217"/>
      <c r="Y299" s="217"/>
      <c r="Z299" s="217"/>
      <c r="AA299" s="217"/>
      <c r="AB299" s="217"/>
      <c r="AC299" s="217"/>
      <c r="AD299" s="492"/>
      <c r="AE299" s="492"/>
      <c r="AF299" s="278"/>
    </row>
    <row r="300" spans="2:41" ht="17.25" customHeight="1">
      <c r="W300" s="217"/>
      <c r="X300" s="217"/>
      <c r="Y300" s="217"/>
      <c r="Z300" s="217"/>
      <c r="AA300" s="217"/>
      <c r="AB300" s="217"/>
      <c r="AC300" s="217"/>
      <c r="AD300" s="492"/>
      <c r="AE300" s="492"/>
      <c r="AF300" s="278"/>
    </row>
    <row r="301" spans="2:41" ht="17.25" customHeight="1">
      <c r="B301" s="216"/>
      <c r="C301" s="278"/>
      <c r="D301" s="278"/>
      <c r="W301" s="217"/>
      <c r="X301" s="217"/>
      <c r="Y301" s="217"/>
      <c r="Z301" s="217"/>
      <c r="AA301" s="217"/>
      <c r="AB301" s="217"/>
      <c r="AC301" s="217"/>
      <c r="AD301" s="492"/>
      <c r="AE301" s="492"/>
      <c r="AF301" s="278"/>
    </row>
    <row r="302" spans="2:41" ht="17.25" customHeight="1">
      <c r="B302" s="336" t="s">
        <v>530</v>
      </c>
      <c r="C302" s="1173" t="s">
        <v>81</v>
      </c>
      <c r="D302" s="1173"/>
      <c r="E302" s="566"/>
      <c r="F302" s="1173"/>
      <c r="G302" s="1173"/>
      <c r="H302" s="1173"/>
      <c r="I302" s="1173"/>
      <c r="J302" s="337"/>
      <c r="K302" s="337"/>
      <c r="L302" s="1173" t="s">
        <v>82</v>
      </c>
      <c r="M302" s="1173"/>
      <c r="N302" s="1173"/>
      <c r="O302" s="1173"/>
      <c r="P302" s="1173"/>
      <c r="Q302" s="1173"/>
      <c r="R302" s="1173"/>
      <c r="S302" s="1173"/>
      <c r="T302" s="1173"/>
      <c r="U302" s="1173"/>
      <c r="V302" s="1173"/>
      <c r="W302" s="217"/>
      <c r="X302" s="217"/>
      <c r="Y302" s="217"/>
      <c r="Z302" s="217"/>
      <c r="AA302" s="217"/>
      <c r="AB302" s="217"/>
      <c r="AC302" s="217"/>
      <c r="AD302" s="492"/>
      <c r="AE302" s="492"/>
      <c r="AF302" s="278"/>
    </row>
    <row r="303" spans="2:41" ht="17.25" customHeight="1">
      <c r="B303" s="336"/>
      <c r="C303" s="566"/>
      <c r="D303" s="566"/>
      <c r="E303" s="566"/>
      <c r="F303" s="566"/>
      <c r="G303" s="337"/>
      <c r="H303" s="337"/>
      <c r="I303" s="337"/>
      <c r="J303" s="337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  <c r="W303" s="217"/>
      <c r="X303" s="217"/>
      <c r="Y303" s="217"/>
      <c r="Z303" s="217"/>
      <c r="AA303" s="217"/>
      <c r="AB303" s="217"/>
      <c r="AC303" s="217"/>
      <c r="AD303" s="492"/>
      <c r="AE303" s="492"/>
      <c r="AF303" s="278"/>
    </row>
    <row r="304" spans="2:41" ht="17.25" customHeight="1">
      <c r="B304" s="336"/>
      <c r="C304" s="566"/>
      <c r="D304" s="566"/>
      <c r="E304" s="566"/>
      <c r="F304" s="566"/>
      <c r="G304" s="337"/>
      <c r="H304" s="337"/>
      <c r="I304" s="337"/>
      <c r="J304" s="337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  <c r="W304" s="217"/>
      <c r="X304" s="217"/>
      <c r="Y304" s="217"/>
      <c r="Z304" s="217"/>
      <c r="AA304" s="217"/>
      <c r="AB304" s="217"/>
      <c r="AC304" s="217"/>
      <c r="AD304" s="492"/>
      <c r="AE304" s="492"/>
      <c r="AF304" s="278"/>
    </row>
    <row r="305" spans="2:41" ht="17.25" customHeight="1">
      <c r="B305" s="336"/>
      <c r="C305" s="566"/>
      <c r="D305" s="566"/>
      <c r="E305" s="566"/>
      <c r="F305" s="566"/>
      <c r="G305" s="337"/>
      <c r="H305" s="337"/>
      <c r="I305" s="337"/>
      <c r="J305" s="337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  <c r="W305" s="217"/>
      <c r="X305" s="217"/>
      <c r="Y305" s="217"/>
      <c r="Z305" s="217"/>
      <c r="AA305" s="217"/>
      <c r="AB305" s="217"/>
      <c r="AC305" s="217"/>
      <c r="AD305" s="492"/>
      <c r="AE305" s="492"/>
      <c r="AF305" s="278"/>
    </row>
    <row r="306" spans="2:41" ht="17.25" customHeight="1">
      <c r="B306" s="336"/>
      <c r="C306" s="566"/>
      <c r="D306" s="566"/>
      <c r="E306" s="566"/>
      <c r="F306" s="1173"/>
      <c r="G306" s="1173"/>
      <c r="H306" s="1173"/>
      <c r="I306" s="1173"/>
      <c r="J306" s="337"/>
      <c r="K306" s="337"/>
      <c r="L306" s="1173"/>
      <c r="M306" s="1173"/>
      <c r="N306" s="1173"/>
      <c r="O306" s="1173"/>
      <c r="P306" s="1173"/>
      <c r="Q306" s="1173"/>
      <c r="R306" s="1173"/>
      <c r="S306" s="1173"/>
      <c r="T306" s="1173"/>
      <c r="U306" s="1173"/>
      <c r="V306" s="1173"/>
      <c r="W306" s="217"/>
      <c r="X306" s="217"/>
      <c r="Y306" s="217"/>
      <c r="Z306" s="217"/>
      <c r="AA306" s="217"/>
      <c r="AB306" s="217"/>
      <c r="AC306" s="217"/>
      <c r="AD306" s="492"/>
      <c r="AE306" s="492"/>
      <c r="AF306" s="278"/>
    </row>
    <row r="307" spans="2:41" ht="23.25" customHeight="1">
      <c r="B307" s="216"/>
      <c r="C307" s="278"/>
      <c r="D307" s="278"/>
    </row>
    <row r="308" spans="2:41" ht="23.25" customHeight="1"/>
    <row r="309" spans="2:41" ht="23.25" customHeight="1"/>
    <row r="310" spans="2:41" ht="23.25" customHeight="1">
      <c r="B310" s="215" t="s">
        <v>0</v>
      </c>
    </row>
    <row r="311" spans="2:41" ht="63.75" customHeight="1">
      <c r="B311" s="215" t="str">
        <f>B275</f>
        <v>DENOMINATION FOR OKTOBER 2025</v>
      </c>
    </row>
    <row r="312" spans="2:41" ht="28.5" customHeight="1" thickBot="1">
      <c r="B312" s="297"/>
    </row>
    <row r="313" spans="2:41" ht="28.5" customHeight="1" thickTop="1">
      <c r="B313" s="1176" t="s">
        <v>1</v>
      </c>
      <c r="C313" s="1183" t="s">
        <v>15</v>
      </c>
      <c r="D313" s="1178" t="str">
        <f>D277</f>
        <v>HK</v>
      </c>
      <c r="E313" s="1179"/>
      <c r="F313" s="1180"/>
      <c r="G313" s="1183" t="s">
        <v>244</v>
      </c>
      <c r="H313" s="1183" t="s">
        <v>471</v>
      </c>
      <c r="I313" s="1185" t="s">
        <v>472</v>
      </c>
      <c r="J313" s="1181" t="s">
        <v>473</v>
      </c>
      <c r="K313" s="1181" t="s">
        <v>474</v>
      </c>
      <c r="L313" s="572" t="s">
        <v>475</v>
      </c>
      <c r="M313" s="1183" t="s">
        <v>477</v>
      </c>
      <c r="N313" s="572" t="s">
        <v>475</v>
      </c>
      <c r="O313" s="572" t="s">
        <v>478</v>
      </c>
      <c r="P313" s="1183"/>
      <c r="Q313" s="568" t="s">
        <v>145</v>
      </c>
      <c r="R313" s="568" t="s">
        <v>253</v>
      </c>
      <c r="S313" s="568" t="s">
        <v>440</v>
      </c>
      <c r="T313" s="1174" t="str">
        <f>T277</f>
        <v>TOTAL PREMI</v>
      </c>
      <c r="U313" s="1174" t="str">
        <f>U277</f>
        <v>TOTAL LEMBUR</v>
      </c>
      <c r="V313" s="1171" t="s">
        <v>665</v>
      </c>
      <c r="W313" s="304" t="s">
        <v>16</v>
      </c>
      <c r="X313" s="222" t="s">
        <v>18</v>
      </c>
      <c r="AA313" s="1230" t="s">
        <v>664</v>
      </c>
      <c r="AB313" s="1222" t="s">
        <v>226</v>
      </c>
      <c r="AD313" s="1171" t="s">
        <v>259</v>
      </c>
      <c r="AF313" s="1189" t="s">
        <v>542</v>
      </c>
      <c r="AG313" s="1187" t="s">
        <v>617</v>
      </c>
      <c r="AH313" s="1195" t="s">
        <v>608</v>
      </c>
      <c r="AJ313" s="1197" t="s">
        <v>452</v>
      </c>
      <c r="AK313" s="1197"/>
      <c r="AN313" s="215" t="s">
        <v>649</v>
      </c>
      <c r="AO313" s="215" t="s">
        <v>650</v>
      </c>
    </row>
    <row r="314" spans="2:41" ht="28.5" customHeight="1" thickBot="1">
      <c r="B314" s="1177"/>
      <c r="C314" s="1184"/>
      <c r="D314" s="573" t="s">
        <v>485</v>
      </c>
      <c r="E314" s="573" t="s">
        <v>486</v>
      </c>
      <c r="F314" s="573" t="s">
        <v>487</v>
      </c>
      <c r="G314" s="1184"/>
      <c r="H314" s="1184"/>
      <c r="I314" s="1186"/>
      <c r="J314" s="1182"/>
      <c r="K314" s="1182"/>
      <c r="L314" s="573" t="s">
        <v>476</v>
      </c>
      <c r="M314" s="1184"/>
      <c r="N314" s="573" t="s">
        <v>476</v>
      </c>
      <c r="O314" s="573" t="s">
        <v>479</v>
      </c>
      <c r="P314" s="1184"/>
      <c r="Q314" s="569" t="str">
        <f>Q243</f>
        <v>(MASA OKTOBER 2025)</v>
      </c>
      <c r="R314" s="569" t="s">
        <v>254</v>
      </c>
      <c r="S314" s="569" t="s">
        <v>439</v>
      </c>
      <c r="T314" s="1175"/>
      <c r="U314" s="1175"/>
      <c r="V314" s="1172"/>
      <c r="W314" s="305"/>
      <c r="X314" s="225" t="s">
        <v>19</v>
      </c>
      <c r="AA314" s="1231"/>
      <c r="AB314" s="1223"/>
      <c r="AD314" s="1172"/>
      <c r="AF314" s="1190"/>
      <c r="AG314" s="1188"/>
      <c r="AH314" s="1196"/>
      <c r="AJ314" s="292" t="s">
        <v>611</v>
      </c>
      <c r="AK314" s="292" t="s">
        <v>612</v>
      </c>
    </row>
    <row r="315" spans="2:41" s="242" customFormat="1" ht="28.5" customHeight="1" thickTop="1">
      <c r="B315" s="268"/>
      <c r="C315" s="269"/>
      <c r="D315" s="269"/>
      <c r="E315" s="709"/>
      <c r="F315" s="709"/>
      <c r="G315" s="306"/>
      <c r="H315" s="306"/>
      <c r="I315" s="306"/>
      <c r="J315" s="306"/>
      <c r="K315" s="306"/>
      <c r="L315" s="306"/>
      <c r="M315" s="306"/>
      <c r="N315" s="306"/>
      <c r="O315" s="307"/>
      <c r="P315" s="307"/>
      <c r="Q315" s="307"/>
      <c r="R315" s="307"/>
      <c r="S315" s="307"/>
      <c r="T315" s="307"/>
      <c r="U315" s="307"/>
      <c r="V315" s="308"/>
      <c r="W315" s="218"/>
      <c r="X315" s="301"/>
      <c r="Y315" s="215"/>
      <c r="Z315" s="215"/>
      <c r="AA315" s="1224">
        <v>657131647</v>
      </c>
      <c r="AB315" s="1227">
        <f>V332-AA315</f>
        <v>-28906718.669999957</v>
      </c>
      <c r="AC315" s="215"/>
      <c r="AD315" s="308"/>
      <c r="AE315" s="339"/>
      <c r="AF315" s="292"/>
      <c r="AG315" s="828"/>
      <c r="AH315" s="798"/>
      <c r="AJ315" s="260"/>
      <c r="AK315" s="236"/>
      <c r="AL315" s="803"/>
    </row>
    <row r="316" spans="2:41" ht="28.5" customHeight="1">
      <c r="B316" s="309" t="s">
        <v>133</v>
      </c>
      <c r="C316" s="292">
        <v>31</v>
      </c>
      <c r="D316" s="310"/>
      <c r="E316" s="310">
        <v>935</v>
      </c>
      <c r="F316" s="310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310">
        <v>316467</v>
      </c>
      <c r="R316" s="521"/>
      <c r="S316" s="521">
        <v>124000</v>
      </c>
      <c r="T316" s="289">
        <f>1193225+AM316</f>
        <v>1265065</v>
      </c>
      <c r="U316" s="289">
        <v>16615599.41</v>
      </c>
      <c r="V316" s="295">
        <v>138056963.41</v>
      </c>
      <c r="W316" s="245"/>
      <c r="X316" s="241"/>
      <c r="Y316" s="242"/>
      <c r="Z316" s="242"/>
      <c r="AA316" s="1225"/>
      <c r="AB316" s="1228"/>
      <c r="AC316" s="805"/>
      <c r="AD316" s="295"/>
      <c r="AE316" s="353"/>
      <c r="AF316" s="742"/>
      <c r="AG316" s="815"/>
      <c r="AH316" s="798"/>
      <c r="AJ316" s="260">
        <v>14090</v>
      </c>
      <c r="AK316" s="236">
        <v>57750</v>
      </c>
      <c r="AL316" s="803">
        <f t="shared" ref="AL316:AL330" si="17">AK316/1050</f>
        <v>55</v>
      </c>
      <c r="AM316" s="239">
        <f>AJ316+AK316</f>
        <v>71840</v>
      </c>
      <c r="AN316" s="1011"/>
      <c r="AO316" s="1011"/>
    </row>
    <row r="317" spans="2:41" s="242" customFormat="1" ht="28.5" customHeight="1">
      <c r="B317" s="291"/>
      <c r="C317" s="310"/>
      <c r="D317" s="310"/>
      <c r="E317" s="310"/>
      <c r="F317" s="310"/>
      <c r="G317" s="293"/>
      <c r="H317" s="293"/>
      <c r="I317" s="293"/>
      <c r="J317" s="293"/>
      <c r="K317" s="293"/>
      <c r="L317" s="293"/>
      <c r="M317" s="293"/>
      <c r="N317" s="293"/>
      <c r="O317" s="294"/>
      <c r="P317" s="294"/>
      <c r="Q317" s="329"/>
      <c r="R317" s="329"/>
      <c r="S317" s="329"/>
      <c r="T317" s="294"/>
      <c r="U317" s="294"/>
      <c r="V317" s="295"/>
      <c r="W317" s="218"/>
      <c r="X317" s="215"/>
      <c r="Y317" s="215"/>
      <c r="Z317" s="215"/>
      <c r="AA317" s="1225"/>
      <c r="AB317" s="1228"/>
      <c r="AC317" s="805"/>
      <c r="AD317" s="295"/>
      <c r="AE317" s="339"/>
      <c r="AF317" s="470"/>
      <c r="AG317" s="815"/>
      <c r="AH317" s="798"/>
      <c r="AJ317" s="260"/>
      <c r="AK317" s="236"/>
      <c r="AL317" s="803"/>
    </row>
    <row r="318" spans="2:41" ht="28.5" customHeight="1">
      <c r="B318" s="291" t="s">
        <v>134</v>
      </c>
      <c r="C318" s="310">
        <v>26</v>
      </c>
      <c r="D318" s="310"/>
      <c r="E318" s="310">
        <v>800</v>
      </c>
      <c r="F318" s="310"/>
      <c r="G318" s="293"/>
      <c r="H318" s="293"/>
      <c r="I318" s="293"/>
      <c r="J318" s="293"/>
      <c r="K318" s="293"/>
      <c r="L318" s="293"/>
      <c r="M318" s="293"/>
      <c r="N318" s="293"/>
      <c r="O318" s="294"/>
      <c r="P318" s="294"/>
      <c r="Q318" s="329">
        <v>730661</v>
      </c>
      <c r="R318" s="329"/>
      <c r="S318" s="329">
        <v>100000</v>
      </c>
      <c r="T318" s="294">
        <f>7075000+AM318</f>
        <v>30425539</v>
      </c>
      <c r="U318" s="294">
        <v>0</v>
      </c>
      <c r="V318" s="295">
        <v>148987006</v>
      </c>
      <c r="W318" s="218"/>
      <c r="AA318" s="1225"/>
      <c r="AB318" s="1228"/>
      <c r="AC318" s="805"/>
      <c r="AD318" s="295">
        <v>11005500</v>
      </c>
      <c r="AF318" s="741">
        <v>2927148</v>
      </c>
      <c r="AG318" s="815">
        <v>8250000</v>
      </c>
      <c r="AH318" s="798"/>
      <c r="AJ318" s="260">
        <v>14051039</v>
      </c>
      <c r="AK318" s="236">
        <v>9299500</v>
      </c>
      <c r="AL318" s="803">
        <f t="shared" si="17"/>
        <v>8856.6666666666661</v>
      </c>
      <c r="AM318" s="239">
        <f>AJ318+AK318</f>
        <v>23350539</v>
      </c>
    </row>
    <row r="319" spans="2:41" s="242" customFormat="1" ht="28.5" customHeight="1">
      <c r="B319" s="448"/>
      <c r="C319" s="292"/>
      <c r="D319" s="310"/>
      <c r="E319" s="310"/>
      <c r="F319" s="310"/>
      <c r="G319" s="270"/>
      <c r="H319" s="270"/>
      <c r="I319" s="270"/>
      <c r="J319" s="270"/>
      <c r="K319" s="270"/>
      <c r="L319" s="270"/>
      <c r="M319" s="270"/>
      <c r="N319" s="270"/>
      <c r="O319" s="270"/>
      <c r="P319" s="293"/>
      <c r="Q319" s="329"/>
      <c r="R319" s="329"/>
      <c r="S319" s="329"/>
      <c r="T319" s="294"/>
      <c r="U319" s="294"/>
      <c r="V319" s="295"/>
      <c r="W319" s="258"/>
      <c r="X319" s="311"/>
      <c r="Y319" s="215"/>
      <c r="Z319" s="215"/>
      <c r="AA319" s="1225"/>
      <c r="AB319" s="1228"/>
      <c r="AC319" s="805"/>
      <c r="AD319" s="295"/>
      <c r="AE319" s="339"/>
      <c r="AF319" s="741"/>
      <c r="AG319" s="815"/>
      <c r="AH319" s="798"/>
      <c r="AJ319" s="260"/>
      <c r="AK319" s="236"/>
      <c r="AL319" s="803"/>
    </row>
    <row r="320" spans="2:41" s="242" customFormat="1" ht="28.5" customHeight="1">
      <c r="B320" s="291" t="s">
        <v>619</v>
      </c>
      <c r="C320" s="312">
        <v>2</v>
      </c>
      <c r="D320" s="310"/>
      <c r="E320" s="310">
        <v>21</v>
      </c>
      <c r="F320" s="310"/>
      <c r="G320" s="270"/>
      <c r="H320" s="270"/>
      <c r="I320" s="270"/>
      <c r="J320" s="270"/>
      <c r="K320" s="270"/>
      <c r="L320" s="270"/>
      <c r="M320" s="270"/>
      <c r="N320" s="270"/>
      <c r="O320" s="270"/>
      <c r="P320" s="293"/>
      <c r="Q320" s="329">
        <v>0</v>
      </c>
      <c r="R320" s="329"/>
      <c r="S320" s="329">
        <v>0</v>
      </c>
      <c r="T320" s="294">
        <f>AM320</f>
        <v>414533</v>
      </c>
      <c r="U320" s="294">
        <v>0</v>
      </c>
      <c r="V320" s="295">
        <v>2900631</v>
      </c>
      <c r="W320" s="258"/>
      <c r="X320" s="311"/>
      <c r="Y320" s="215"/>
      <c r="Z320" s="215"/>
      <c r="AA320" s="1225"/>
      <c r="AB320" s="1228"/>
      <c r="AC320" s="805"/>
      <c r="AD320" s="295">
        <v>0</v>
      </c>
      <c r="AE320" s="339"/>
      <c r="AF320" s="741">
        <v>72458</v>
      </c>
      <c r="AG320" s="815">
        <v>0</v>
      </c>
      <c r="AH320" s="798"/>
      <c r="AJ320" s="260">
        <v>180033</v>
      </c>
      <c r="AK320" s="236">
        <v>234500</v>
      </c>
      <c r="AL320" s="803">
        <f t="shared" si="17"/>
        <v>223.33333333333334</v>
      </c>
      <c r="AM320" s="239">
        <f>AJ320+AK320</f>
        <v>414533</v>
      </c>
    </row>
    <row r="321" spans="2:40" s="242" customFormat="1" ht="28.5" customHeight="1">
      <c r="B321" s="448"/>
      <c r="C321" s="292"/>
      <c r="D321" s="310"/>
      <c r="E321" s="310"/>
      <c r="F321" s="310"/>
      <c r="G321" s="270"/>
      <c r="H321" s="270"/>
      <c r="I321" s="270"/>
      <c r="J321" s="270"/>
      <c r="K321" s="270"/>
      <c r="L321" s="270"/>
      <c r="M321" s="270"/>
      <c r="N321" s="270"/>
      <c r="O321" s="270"/>
      <c r="P321" s="293"/>
      <c r="Q321" s="329"/>
      <c r="R321" s="329"/>
      <c r="S321" s="329"/>
      <c r="T321" s="294"/>
      <c r="U321" s="294"/>
      <c r="V321" s="295"/>
      <c r="W321" s="258"/>
      <c r="X321" s="311"/>
      <c r="Y321" s="215"/>
      <c r="Z321" s="215"/>
      <c r="AA321" s="1225"/>
      <c r="AB321" s="1228"/>
      <c r="AC321" s="805"/>
      <c r="AD321" s="295"/>
      <c r="AE321" s="339"/>
      <c r="AF321" s="741"/>
      <c r="AG321" s="815"/>
      <c r="AH321" s="798"/>
      <c r="AJ321" s="260"/>
      <c r="AK321" s="236"/>
      <c r="AL321" s="803"/>
      <c r="AN321" s="215" t="s">
        <v>671</v>
      </c>
    </row>
    <row r="322" spans="2:40" ht="28.5" customHeight="1">
      <c r="B322" s="291" t="s">
        <v>132</v>
      </c>
      <c r="C322" s="312">
        <v>8</v>
      </c>
      <c r="D322" s="310"/>
      <c r="E322" s="310">
        <v>247</v>
      </c>
      <c r="F322" s="310"/>
      <c r="G322" s="270"/>
      <c r="H322" s="270"/>
      <c r="I322" s="270"/>
      <c r="J322" s="270"/>
      <c r="K322" s="270"/>
      <c r="L322" s="270"/>
      <c r="M322" s="270"/>
      <c r="N322" s="270"/>
      <c r="O322" s="270"/>
      <c r="P322" s="293"/>
      <c r="Q322" s="310">
        <v>631705</v>
      </c>
      <c r="R322" s="329"/>
      <c r="S322" s="329">
        <v>32000</v>
      </c>
      <c r="T322" s="294">
        <v>14534194.5</v>
      </c>
      <c r="U322" s="294">
        <v>9209725.7400000002</v>
      </c>
      <c r="V322" s="295">
        <v>55548603.240000002</v>
      </c>
      <c r="W322" s="240"/>
      <c r="X322" s="314"/>
      <c r="Y322" s="242"/>
      <c r="Z322" s="242"/>
      <c r="AA322" s="1225"/>
      <c r="AB322" s="1228"/>
      <c r="AC322" s="805"/>
      <c r="AD322" s="295"/>
      <c r="AE322" s="353"/>
      <c r="AF322" s="741"/>
      <c r="AG322" s="815"/>
      <c r="AH322" s="798"/>
      <c r="AJ322" s="260"/>
      <c r="AK322" s="236"/>
      <c r="AL322" s="803">
        <f t="shared" si="17"/>
        <v>0</v>
      </c>
      <c r="AN322" s="1010"/>
    </row>
    <row r="323" spans="2:40" s="242" customFormat="1" ht="28.5" customHeight="1">
      <c r="B323" s="309"/>
      <c r="C323" s="292"/>
      <c r="D323" s="310"/>
      <c r="E323" s="310"/>
      <c r="F323" s="310"/>
      <c r="G323" s="270"/>
      <c r="H323" s="270"/>
      <c r="I323" s="270"/>
      <c r="J323" s="270"/>
      <c r="K323" s="270"/>
      <c r="L323" s="270"/>
      <c r="M323" s="270"/>
      <c r="N323" s="270"/>
      <c r="O323" s="270"/>
      <c r="P323" s="293"/>
      <c r="Q323" s="329"/>
      <c r="R323" s="329"/>
      <c r="S323" s="329"/>
      <c r="T323" s="329"/>
      <c r="U323" s="329"/>
      <c r="V323" s="295"/>
      <c r="W323" s="258"/>
      <c r="X323" s="311"/>
      <c r="Y323" s="215"/>
      <c r="Z323" s="215"/>
      <c r="AA323" s="1225"/>
      <c r="AB323" s="1228"/>
      <c r="AC323" s="805"/>
      <c r="AD323" s="295"/>
      <c r="AE323" s="339"/>
      <c r="AF323" s="741"/>
      <c r="AG323" s="815"/>
      <c r="AH323" s="798"/>
      <c r="AJ323" s="260"/>
      <c r="AK323" s="236"/>
      <c r="AL323" s="803"/>
      <c r="AN323" s="215" t="s">
        <v>671</v>
      </c>
    </row>
    <row r="324" spans="2:40" ht="28.5" customHeight="1">
      <c r="B324" s="309" t="s">
        <v>131</v>
      </c>
      <c r="C324" s="292">
        <v>6</v>
      </c>
      <c r="D324" s="710"/>
      <c r="E324" s="710">
        <v>185</v>
      </c>
      <c r="F324" s="310"/>
      <c r="G324" s="270"/>
      <c r="H324" s="270"/>
      <c r="I324" s="270"/>
      <c r="J324" s="270"/>
      <c r="K324" s="270"/>
      <c r="L324" s="270"/>
      <c r="M324" s="270"/>
      <c r="N324" s="270"/>
      <c r="O324" s="270"/>
      <c r="P324" s="293"/>
      <c r="Q324" s="310">
        <v>230900</v>
      </c>
      <c r="R324" s="329"/>
      <c r="S324" s="329">
        <v>24000</v>
      </c>
      <c r="T324" s="294">
        <v>7135124</v>
      </c>
      <c r="U324" s="294">
        <v>6980120.6000000006</v>
      </c>
      <c r="V324" s="295">
        <v>38219090.600000001</v>
      </c>
      <c r="W324" s="240"/>
      <c r="X324" s="314"/>
      <c r="Y324" s="242"/>
      <c r="Z324" s="242"/>
      <c r="AA324" s="1225"/>
      <c r="AB324" s="1228"/>
      <c r="AC324" s="805"/>
      <c r="AD324" s="295"/>
      <c r="AE324" s="353"/>
      <c r="AF324" s="741"/>
      <c r="AG324" s="815"/>
      <c r="AH324" s="798"/>
      <c r="AJ324" s="260"/>
      <c r="AK324" s="236"/>
      <c r="AL324" s="803">
        <f t="shared" si="17"/>
        <v>0</v>
      </c>
      <c r="AN324" s="1010"/>
    </row>
    <row r="325" spans="2:40" ht="28.5" customHeight="1">
      <c r="B325" s="309"/>
      <c r="C325" s="532"/>
      <c r="D325" s="316"/>
      <c r="E325" s="316"/>
      <c r="F325" s="310"/>
      <c r="G325" s="315"/>
      <c r="H325" s="315"/>
      <c r="I325" s="315"/>
      <c r="J325" s="315"/>
      <c r="K325" s="315"/>
      <c r="L325" s="315"/>
      <c r="M325" s="315"/>
      <c r="N325" s="315"/>
      <c r="O325" s="315"/>
      <c r="P325" s="293"/>
      <c r="Q325" s="310"/>
      <c r="R325" s="329"/>
      <c r="S325" s="329"/>
      <c r="T325" s="294"/>
      <c r="U325" s="294"/>
      <c r="V325" s="295"/>
      <c r="W325" s="258"/>
      <c r="X325" s="311"/>
      <c r="AA325" s="1225"/>
      <c r="AB325" s="1228"/>
      <c r="AC325" s="805"/>
      <c r="AD325" s="295"/>
      <c r="AF325" s="741"/>
      <c r="AG325" s="815"/>
      <c r="AH325" s="798"/>
      <c r="AJ325" s="260"/>
      <c r="AK325" s="236"/>
      <c r="AL325" s="803"/>
      <c r="AN325" s="215" t="s">
        <v>673</v>
      </c>
    </row>
    <row r="326" spans="2:40" ht="28.5" customHeight="1">
      <c r="B326" s="291" t="s">
        <v>651</v>
      </c>
      <c r="C326" s="532">
        <v>32</v>
      </c>
      <c r="D326" s="316"/>
      <c r="E326" s="316">
        <v>986</v>
      </c>
      <c r="F326" s="310"/>
      <c r="G326" s="315"/>
      <c r="H326" s="315"/>
      <c r="I326" s="315"/>
      <c r="J326" s="315"/>
      <c r="K326" s="315"/>
      <c r="L326" s="315"/>
      <c r="M326" s="315"/>
      <c r="N326" s="315"/>
      <c r="O326" s="315"/>
      <c r="P326" s="293"/>
      <c r="Q326" s="310">
        <v>418134</v>
      </c>
      <c r="R326" s="329"/>
      <c r="S326" s="329">
        <v>128000</v>
      </c>
      <c r="T326" s="294">
        <f>6875000+AM326</f>
        <v>26824196</v>
      </c>
      <c r="U326" s="294">
        <v>0</v>
      </c>
      <c r="V326" s="295">
        <v>167284672</v>
      </c>
      <c r="W326" s="258"/>
      <c r="X326" s="311"/>
      <c r="AA326" s="1225"/>
      <c r="AB326" s="1228"/>
      <c r="AC326" s="805"/>
      <c r="AD326" s="295">
        <v>9865100</v>
      </c>
      <c r="AF326" s="741">
        <v>2819012</v>
      </c>
      <c r="AG326" s="815">
        <v>7050000</v>
      </c>
      <c r="AH326" s="798"/>
      <c r="AJ326" s="260">
        <v>9268946</v>
      </c>
      <c r="AK326" s="236">
        <v>10680250</v>
      </c>
      <c r="AL326" s="803">
        <f t="shared" si="17"/>
        <v>10171.666666666666</v>
      </c>
      <c r="AM326" s="239">
        <f>AJ326+AK326</f>
        <v>19949196</v>
      </c>
      <c r="AN326" s="1010"/>
    </row>
    <row r="327" spans="2:40" ht="28.5" customHeight="1">
      <c r="B327" s="309"/>
      <c r="C327" s="532"/>
      <c r="D327" s="316"/>
      <c r="E327" s="316"/>
      <c r="F327" s="310"/>
      <c r="G327" s="315"/>
      <c r="H327" s="315"/>
      <c r="I327" s="315"/>
      <c r="J327" s="315"/>
      <c r="K327" s="315"/>
      <c r="L327" s="315"/>
      <c r="M327" s="315"/>
      <c r="N327" s="315"/>
      <c r="O327" s="315"/>
      <c r="P327" s="293"/>
      <c r="Q327" s="310"/>
      <c r="R327" s="329"/>
      <c r="S327" s="329"/>
      <c r="T327" s="294"/>
      <c r="U327" s="294"/>
      <c r="V327" s="295"/>
      <c r="W327" s="258"/>
      <c r="X327" s="311"/>
      <c r="AA327" s="1225"/>
      <c r="AB327" s="1228"/>
      <c r="AC327" s="805"/>
      <c r="AD327" s="295"/>
      <c r="AF327" s="741"/>
      <c r="AG327" s="815"/>
      <c r="AH327" s="798"/>
      <c r="AJ327" s="260"/>
      <c r="AK327" s="236"/>
      <c r="AL327" s="803"/>
    </row>
    <row r="328" spans="2:40" ht="28.5" customHeight="1">
      <c r="B328" s="309" t="s">
        <v>130</v>
      </c>
      <c r="C328" s="310">
        <v>19</v>
      </c>
      <c r="D328" s="310"/>
      <c r="E328" s="310">
        <v>582</v>
      </c>
      <c r="F328" s="310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310">
        <v>0</v>
      </c>
      <c r="R328" s="329"/>
      <c r="S328" s="329">
        <v>76000</v>
      </c>
      <c r="T328" s="294">
        <v>810000</v>
      </c>
      <c r="U328" s="294">
        <v>1490138.08</v>
      </c>
      <c r="V328" s="295">
        <v>77227962.079999998</v>
      </c>
      <c r="W328" s="258"/>
      <c r="X328" s="311"/>
      <c r="AA328" s="1225"/>
      <c r="AB328" s="1228"/>
      <c r="AC328" s="805"/>
      <c r="AD328" s="295"/>
      <c r="AF328" s="741"/>
      <c r="AG328" s="815"/>
      <c r="AH328" s="798"/>
      <c r="AJ328" s="260"/>
      <c r="AK328" s="236"/>
      <c r="AL328" s="803">
        <f t="shared" si="17"/>
        <v>0</v>
      </c>
      <c r="AN328" s="1010"/>
    </row>
    <row r="329" spans="2:40" ht="28.5" customHeight="1">
      <c r="B329" s="309"/>
      <c r="C329" s="316"/>
      <c r="D329" s="316"/>
      <c r="E329" s="316"/>
      <c r="F329" s="310"/>
      <c r="G329" s="315"/>
      <c r="H329" s="315"/>
      <c r="I329" s="315"/>
      <c r="J329" s="315"/>
      <c r="K329" s="315"/>
      <c r="L329" s="315"/>
      <c r="M329" s="315"/>
      <c r="N329" s="315"/>
      <c r="O329" s="315"/>
      <c r="P329" s="293"/>
      <c r="Q329" s="310"/>
      <c r="R329" s="329"/>
      <c r="S329" s="329"/>
      <c r="T329" s="294"/>
      <c r="U329" s="294"/>
      <c r="V329" s="295"/>
      <c r="W329" s="258"/>
      <c r="X329" s="311"/>
      <c r="AA329" s="1225"/>
      <c r="AB329" s="1228"/>
      <c r="AC329" s="805"/>
      <c r="AD329" s="295"/>
      <c r="AF329" s="741"/>
      <c r="AG329" s="815"/>
      <c r="AH329" s="798"/>
      <c r="AJ329" s="260"/>
      <c r="AK329" s="236"/>
      <c r="AL329" s="803"/>
    </row>
    <row r="330" spans="2:40" ht="28.5" customHeight="1">
      <c r="B330" s="291" t="s">
        <v>623</v>
      </c>
      <c r="C330" s="316"/>
      <c r="D330" s="316"/>
      <c r="E330" s="316"/>
      <c r="F330" s="310"/>
      <c r="G330" s="315"/>
      <c r="H330" s="315"/>
      <c r="I330" s="315"/>
      <c r="J330" s="315"/>
      <c r="K330" s="315"/>
      <c r="L330" s="315"/>
      <c r="M330" s="315"/>
      <c r="N330" s="315"/>
      <c r="O330" s="315"/>
      <c r="P330" s="293"/>
      <c r="Q330" s="310"/>
      <c r="R330" s="329"/>
      <c r="S330" s="329"/>
      <c r="T330" s="294"/>
      <c r="U330" s="294"/>
      <c r="V330" s="295"/>
      <c r="W330" s="258"/>
      <c r="X330" s="311"/>
      <c r="AA330" s="1225"/>
      <c r="AB330" s="1228"/>
      <c r="AC330" s="805"/>
      <c r="AD330" s="295"/>
      <c r="AF330" s="741"/>
      <c r="AG330" s="815"/>
      <c r="AH330" s="798"/>
      <c r="AJ330" s="260"/>
      <c r="AK330" s="236"/>
      <c r="AL330" s="803">
        <f t="shared" si="17"/>
        <v>0</v>
      </c>
      <c r="AM330" s="239">
        <f>AJ330+AK330</f>
        <v>0</v>
      </c>
    </row>
    <row r="331" spans="2:40" ht="28.5" customHeight="1" thickBot="1">
      <c r="B331" s="309"/>
      <c r="C331" s="316"/>
      <c r="D331" s="316"/>
      <c r="E331" s="316"/>
      <c r="F331" s="316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6"/>
      <c r="R331" s="530"/>
      <c r="S331" s="530"/>
      <c r="T331" s="342"/>
      <c r="U331" s="342"/>
      <c r="V331" s="318"/>
      <c r="W331" s="258"/>
      <c r="X331" s="311"/>
      <c r="AA331" s="1226"/>
      <c r="AB331" s="1229"/>
      <c r="AC331" s="805"/>
      <c r="AD331" s="318"/>
      <c r="AF331" s="470"/>
      <c r="AG331" s="827"/>
      <c r="AH331" s="798"/>
      <c r="AJ331" s="260"/>
      <c r="AK331" s="236"/>
      <c r="AL331" s="803"/>
    </row>
    <row r="332" spans="2:40" ht="28.5" customHeight="1" thickTop="1" thickBot="1">
      <c r="B332" s="319" t="s">
        <v>3</v>
      </c>
      <c r="C332" s="410">
        <f>SUM(C315:C331)</f>
        <v>124</v>
      </c>
      <c r="D332" s="711">
        <f>SUM(D316:D331)</f>
        <v>0</v>
      </c>
      <c r="E332" s="711">
        <f>SUM(E315:E331)</f>
        <v>3756</v>
      </c>
      <c r="F332" s="414">
        <f>D332-E332</f>
        <v>-3756</v>
      </c>
      <c r="G332" s="411">
        <f t="shared" ref="G332:N332" si="18">SUM(G315:G330)</f>
        <v>0</v>
      </c>
      <c r="H332" s="411">
        <f t="shared" si="18"/>
        <v>0</v>
      </c>
      <c r="I332" s="411">
        <f t="shared" si="18"/>
        <v>0</v>
      </c>
      <c r="J332" s="411">
        <f t="shared" si="18"/>
        <v>0</v>
      </c>
      <c r="K332" s="411">
        <f t="shared" si="18"/>
        <v>0</v>
      </c>
      <c r="L332" s="411">
        <f t="shared" si="18"/>
        <v>0</v>
      </c>
      <c r="M332" s="411">
        <f t="shared" si="18"/>
        <v>0</v>
      </c>
      <c r="N332" s="411">
        <f t="shared" si="18"/>
        <v>0</v>
      </c>
      <c r="O332" s="412"/>
      <c r="P332" s="412">
        <f>SUM(P316:P330)</f>
        <v>0</v>
      </c>
      <c r="Q332" s="414">
        <f>SUM(Q316:Q331)</f>
        <v>2327867</v>
      </c>
      <c r="R332" s="414">
        <f>SUM(R316:R331)</f>
        <v>0</v>
      </c>
      <c r="S332" s="414">
        <f>SUM(S316:S331)</f>
        <v>484000</v>
      </c>
      <c r="T332" s="413">
        <f>SUM(T316:T331)</f>
        <v>81408651.5</v>
      </c>
      <c r="U332" s="413">
        <f>SUM(U316:U331)</f>
        <v>34295583.829999998</v>
      </c>
      <c r="V332" s="413">
        <f>SUM(V315:Z331)</f>
        <v>628224928.33000004</v>
      </c>
      <c r="W332" s="258"/>
      <c r="X332" s="311"/>
      <c r="AA332" s="1100">
        <f>AA315</f>
        <v>657131647</v>
      </c>
      <c r="AB332" s="1099">
        <f>AB315</f>
        <v>-28906718.669999957</v>
      </c>
      <c r="AC332" s="217"/>
      <c r="AD332" s="413">
        <f>SUM(AD316:AD331)</f>
        <v>20870600</v>
      </c>
      <c r="AF332" s="310">
        <f>SUM(AF315:AF331)</f>
        <v>5818618</v>
      </c>
      <c r="AG332" s="811">
        <f t="shared" ref="AG332:AH332" si="19">SUM(AG315:AG331)</f>
        <v>15300000</v>
      </c>
      <c r="AH332" s="310">
        <f t="shared" si="19"/>
        <v>0</v>
      </c>
      <c r="AJ332" s="236">
        <f>SUM(AJ314:AJ331)</f>
        <v>23514108</v>
      </c>
      <c r="AK332" s="236">
        <f>SUM(AK314:AK331)</f>
        <v>20272000</v>
      </c>
      <c r="AL332" s="803">
        <f>AK332/1050</f>
        <v>19306.666666666668</v>
      </c>
    </row>
    <row r="333" spans="2:40" ht="17.25" customHeight="1" thickTop="1">
      <c r="B333" s="216"/>
      <c r="X333" s="443"/>
    </row>
    <row r="334" spans="2:40" ht="17.25" customHeight="1">
      <c r="B334" s="216"/>
      <c r="X334" s="443"/>
    </row>
    <row r="335" spans="2:40" ht="17.25" customHeight="1">
      <c r="B335" s="216"/>
      <c r="X335" s="443"/>
    </row>
    <row r="336" spans="2:40" ht="17.25" customHeight="1">
      <c r="B336" s="216"/>
      <c r="X336" s="443"/>
    </row>
    <row r="337" spans="2:38" ht="17.25" customHeight="1">
      <c r="B337" s="216"/>
      <c r="X337" s="443"/>
    </row>
    <row r="338" spans="2:38" ht="17.25" customHeight="1">
      <c r="B338" s="336" t="s">
        <v>531</v>
      </c>
      <c r="C338" s="847" t="s">
        <v>81</v>
      </c>
      <c r="D338" s="847"/>
      <c r="E338" s="566"/>
      <c r="F338" s="1173"/>
      <c r="G338" s="1173"/>
      <c r="H338" s="1173"/>
      <c r="I338" s="1173"/>
      <c r="J338" s="337"/>
      <c r="K338" s="337"/>
      <c r="L338" s="1173" t="s">
        <v>82</v>
      </c>
      <c r="M338" s="1173"/>
      <c r="N338" s="1173"/>
      <c r="O338" s="1173"/>
      <c r="P338" s="1173"/>
      <c r="Q338" s="1173"/>
      <c r="R338" s="1173"/>
      <c r="S338" s="1173"/>
      <c r="T338" s="1173"/>
      <c r="U338" s="1173"/>
      <c r="V338" s="1173"/>
      <c r="X338" s="443"/>
    </row>
    <row r="339" spans="2:38" ht="17.25" customHeight="1">
      <c r="B339" s="336"/>
      <c r="C339" s="566"/>
      <c r="D339" s="566"/>
      <c r="E339" s="566"/>
      <c r="F339" s="566"/>
      <c r="G339" s="337"/>
      <c r="H339" s="337"/>
      <c r="I339" s="337"/>
      <c r="J339" s="337"/>
      <c r="K339" s="337"/>
      <c r="L339" s="337"/>
      <c r="M339" s="337"/>
      <c r="N339" s="337"/>
      <c r="O339" s="337"/>
      <c r="P339" s="337"/>
      <c r="Q339" s="337"/>
      <c r="R339" s="337"/>
      <c r="S339" s="337"/>
      <c r="T339" s="337"/>
      <c r="U339" s="337"/>
      <c r="V339" s="337"/>
      <c r="X339" s="443"/>
    </row>
    <row r="340" spans="2:38" ht="17.25" customHeight="1">
      <c r="B340" s="336"/>
      <c r="C340" s="566"/>
      <c r="D340" s="566"/>
      <c r="E340" s="566"/>
      <c r="F340" s="566"/>
      <c r="G340" s="337"/>
      <c r="H340" s="337"/>
      <c r="I340" s="337"/>
      <c r="J340" s="337"/>
      <c r="K340" s="337"/>
      <c r="L340" s="337"/>
      <c r="M340" s="337"/>
      <c r="N340" s="337"/>
      <c r="O340" s="337"/>
      <c r="P340" s="337"/>
      <c r="Q340" s="337"/>
      <c r="R340" s="337"/>
      <c r="S340" s="337"/>
      <c r="T340" s="337"/>
      <c r="U340" s="337"/>
      <c r="V340" s="337"/>
      <c r="X340" s="443"/>
    </row>
    <row r="341" spans="2:38" ht="17.25" customHeight="1">
      <c r="B341" s="336"/>
      <c r="C341" s="566"/>
      <c r="D341" s="566"/>
      <c r="E341" s="566"/>
      <c r="F341" s="566"/>
      <c r="G341" s="337"/>
      <c r="H341" s="337"/>
      <c r="I341" s="337"/>
      <c r="J341" s="337"/>
      <c r="K341" s="337"/>
      <c r="L341" s="337"/>
      <c r="M341" s="337"/>
      <c r="N341" s="337"/>
      <c r="O341" s="337"/>
      <c r="P341" s="337"/>
      <c r="Q341" s="337"/>
      <c r="R341" s="337"/>
      <c r="S341" s="337"/>
      <c r="T341" s="337"/>
      <c r="U341" s="337"/>
      <c r="V341" s="337"/>
      <c r="X341" s="443"/>
    </row>
    <row r="342" spans="2:38" ht="17.25" customHeight="1">
      <c r="B342" s="336"/>
      <c r="C342" s="566"/>
      <c r="D342" s="566"/>
      <c r="E342" s="566"/>
      <c r="F342" s="1173"/>
      <c r="G342" s="1173"/>
      <c r="H342" s="1173"/>
      <c r="I342" s="1173"/>
      <c r="J342" s="337"/>
      <c r="K342" s="337"/>
      <c r="L342" s="1173"/>
      <c r="M342" s="1173"/>
      <c r="N342" s="1173"/>
      <c r="O342" s="1173"/>
      <c r="P342" s="1173"/>
      <c r="Q342" s="1173"/>
      <c r="R342" s="1173"/>
      <c r="S342" s="1173"/>
      <c r="T342" s="1173"/>
      <c r="U342" s="1173"/>
      <c r="V342" s="1173"/>
      <c r="X342" s="443"/>
    </row>
    <row r="343" spans="2:38" ht="26.25" customHeight="1">
      <c r="B343" s="216"/>
      <c r="C343" s="278"/>
      <c r="D343" s="278"/>
    </row>
    <row r="344" spans="2:38" ht="26.25" customHeight="1"/>
    <row r="345" spans="2:38" ht="26.25" customHeight="1">
      <c r="AD345" s="492"/>
    </row>
    <row r="346" spans="2:38" ht="26.25" customHeight="1">
      <c r="B346" s="215" t="s">
        <v>0</v>
      </c>
      <c r="C346" s="216" t="s">
        <v>265</v>
      </c>
    </row>
    <row r="347" spans="2:38" ht="45" customHeight="1">
      <c r="B347" s="215" t="str">
        <f>B4</f>
        <v>DENOMINATION FOR OKTOBER 2025</v>
      </c>
    </row>
    <row r="348" spans="2:38" ht="26.25" customHeight="1" thickBot="1">
      <c r="B348" s="297"/>
    </row>
    <row r="349" spans="2:38" ht="26.25" customHeight="1" thickTop="1">
      <c r="B349" s="1176" t="s">
        <v>1</v>
      </c>
      <c r="C349" s="1183" t="s">
        <v>15</v>
      </c>
      <c r="D349" s="1178" t="s">
        <v>470</v>
      </c>
      <c r="E349" s="1179"/>
      <c r="F349" s="1180"/>
      <c r="G349" s="1183" t="s">
        <v>244</v>
      </c>
      <c r="H349" s="1183" t="s">
        <v>471</v>
      </c>
      <c r="I349" s="1185" t="s">
        <v>472</v>
      </c>
      <c r="J349" s="1181" t="s">
        <v>473</v>
      </c>
      <c r="K349" s="1181" t="s">
        <v>474</v>
      </c>
      <c r="L349" s="572" t="s">
        <v>475</v>
      </c>
      <c r="M349" s="1183" t="s">
        <v>477</v>
      </c>
      <c r="N349" s="572" t="s">
        <v>475</v>
      </c>
      <c r="O349" s="572" t="s">
        <v>478</v>
      </c>
      <c r="P349" s="1183"/>
      <c r="Q349" s="568" t="s">
        <v>145</v>
      </c>
      <c r="R349" s="568" t="s">
        <v>253</v>
      </c>
      <c r="S349" s="568" t="s">
        <v>440</v>
      </c>
      <c r="T349" s="1174" t="str">
        <f>T313</f>
        <v>TOTAL PREMI</v>
      </c>
      <c r="U349" s="1174" t="str">
        <f>U313</f>
        <v>TOTAL LEMBUR</v>
      </c>
      <c r="V349" s="1171" t="s">
        <v>665</v>
      </c>
      <c r="W349" s="304" t="s">
        <v>16</v>
      </c>
      <c r="X349" s="222" t="s">
        <v>18</v>
      </c>
      <c r="AA349" s="1230" t="s">
        <v>664</v>
      </c>
      <c r="AB349" s="1222" t="s">
        <v>226</v>
      </c>
      <c r="AD349" s="1171" t="s">
        <v>259</v>
      </c>
      <c r="AF349" s="1189" t="s">
        <v>542</v>
      </c>
      <c r="AG349" s="1187" t="s">
        <v>617</v>
      </c>
      <c r="AH349" s="1195" t="s">
        <v>608</v>
      </c>
      <c r="AJ349" s="1197" t="s">
        <v>452</v>
      </c>
      <c r="AK349" s="1197"/>
    </row>
    <row r="350" spans="2:38" ht="26.25" customHeight="1" thickBot="1">
      <c r="B350" s="1177"/>
      <c r="C350" s="1184"/>
      <c r="D350" s="573" t="s">
        <v>485</v>
      </c>
      <c r="E350" s="573" t="s">
        <v>486</v>
      </c>
      <c r="F350" s="573" t="s">
        <v>487</v>
      </c>
      <c r="G350" s="1184"/>
      <c r="H350" s="1184"/>
      <c r="I350" s="1186"/>
      <c r="J350" s="1182"/>
      <c r="K350" s="1182"/>
      <c r="L350" s="573" t="s">
        <v>476</v>
      </c>
      <c r="M350" s="1184"/>
      <c r="N350" s="573" t="s">
        <v>476</v>
      </c>
      <c r="O350" s="573" t="s">
        <v>479</v>
      </c>
      <c r="P350" s="1184"/>
      <c r="Q350" s="569" t="str">
        <f>Q314</f>
        <v>(MASA OKTOBER 2025)</v>
      </c>
      <c r="R350" s="569" t="s">
        <v>254</v>
      </c>
      <c r="S350" s="569" t="s">
        <v>439</v>
      </c>
      <c r="T350" s="1175"/>
      <c r="U350" s="1175"/>
      <c r="V350" s="1172"/>
      <c r="W350" s="305"/>
      <c r="X350" s="225" t="s">
        <v>19</v>
      </c>
      <c r="AA350" s="1231"/>
      <c r="AB350" s="1223"/>
      <c r="AD350" s="1172"/>
      <c r="AF350" s="1190"/>
      <c r="AG350" s="1188"/>
      <c r="AH350" s="1196"/>
      <c r="AJ350" s="292" t="s">
        <v>611</v>
      </c>
      <c r="AK350" s="292" t="s">
        <v>612</v>
      </c>
    </row>
    <row r="351" spans="2:38" ht="26.25" customHeight="1" thickTop="1">
      <c r="B351" s="291"/>
      <c r="C351" s="338"/>
      <c r="D351" s="338"/>
      <c r="E351" s="839"/>
      <c r="F351" s="839"/>
      <c r="G351" s="288"/>
      <c r="H351" s="288"/>
      <c r="I351" s="288"/>
      <c r="J351" s="288"/>
      <c r="K351" s="288"/>
      <c r="L351" s="288"/>
      <c r="M351" s="288"/>
      <c r="N351" s="288"/>
      <c r="O351" s="289"/>
      <c r="P351" s="289"/>
      <c r="Q351" s="289"/>
      <c r="R351" s="289"/>
      <c r="S351" s="289"/>
      <c r="T351" s="289"/>
      <c r="U351" s="289"/>
      <c r="V351" s="295"/>
      <c r="W351" s="218"/>
      <c r="X351" s="301"/>
      <c r="AA351" s="1224">
        <v>1282489712</v>
      </c>
      <c r="AB351" s="1227">
        <f>V385-AA351</f>
        <v>5.0000190734863281E-2</v>
      </c>
      <c r="AD351" s="295"/>
      <c r="AF351" s="450"/>
      <c r="AG351" s="828"/>
      <c r="AH351" s="798"/>
      <c r="AJ351" s="260"/>
      <c r="AK351" s="236"/>
      <c r="AL351" s="803"/>
    </row>
    <row r="352" spans="2:38" ht="26.25" customHeight="1">
      <c r="B352" s="957" t="s">
        <v>122</v>
      </c>
      <c r="C352" s="965">
        <v>37</v>
      </c>
      <c r="D352" s="960"/>
      <c r="E352" s="960">
        <v>1118</v>
      </c>
      <c r="F352" s="960"/>
      <c r="G352" s="966"/>
      <c r="H352" s="966"/>
      <c r="I352" s="966"/>
      <c r="J352" s="966"/>
      <c r="K352" s="966"/>
      <c r="L352" s="966"/>
      <c r="M352" s="966"/>
      <c r="N352" s="966"/>
      <c r="O352" s="966"/>
      <c r="P352" s="966"/>
      <c r="Q352" s="960">
        <v>0</v>
      </c>
      <c r="R352" s="963"/>
      <c r="S352" s="963">
        <v>148000</v>
      </c>
      <c r="T352" s="962">
        <v>179200</v>
      </c>
      <c r="U352" s="962">
        <v>2610542.7800000003</v>
      </c>
      <c r="V352" s="964">
        <v>146005054.78000003</v>
      </c>
      <c r="W352" s="218"/>
      <c r="X352" s="301"/>
      <c r="AA352" s="1225"/>
      <c r="AB352" s="1228"/>
      <c r="AC352" s="805">
        <f>S352/C352</f>
        <v>4000</v>
      </c>
      <c r="AD352" s="295"/>
      <c r="AF352" s="741"/>
      <c r="AG352" s="815"/>
      <c r="AH352" s="798"/>
      <c r="AJ352" s="260"/>
      <c r="AK352" s="236"/>
      <c r="AL352" s="803">
        <f t="shared" ref="AL352:AL381" si="20">AK352/1050</f>
        <v>0</v>
      </c>
    </row>
    <row r="353" spans="2:41" s="242" customFormat="1" ht="26.25" customHeight="1">
      <c r="B353" s="291"/>
      <c r="C353" s="958"/>
      <c r="D353" s="959"/>
      <c r="E353" s="959"/>
      <c r="F353" s="960"/>
      <c r="G353" s="961"/>
      <c r="H353" s="961"/>
      <c r="I353" s="961"/>
      <c r="J353" s="961"/>
      <c r="K353" s="961"/>
      <c r="L353" s="961"/>
      <c r="M353" s="961"/>
      <c r="N353" s="961"/>
      <c r="O353" s="962"/>
      <c r="P353" s="962"/>
      <c r="Q353" s="963"/>
      <c r="R353" s="963"/>
      <c r="S353" s="963"/>
      <c r="T353" s="962"/>
      <c r="U353" s="962"/>
      <c r="V353" s="964"/>
      <c r="W353" s="218"/>
      <c r="X353" s="301"/>
      <c r="Y353" s="215"/>
      <c r="Z353" s="215"/>
      <c r="AA353" s="1225"/>
      <c r="AB353" s="1228"/>
      <c r="AC353" s="215"/>
      <c r="AD353" s="295"/>
      <c r="AE353" s="339"/>
      <c r="AF353" s="741"/>
      <c r="AG353" s="815"/>
      <c r="AH353" s="798"/>
      <c r="AJ353" s="260"/>
      <c r="AK353" s="236"/>
      <c r="AL353" s="803"/>
      <c r="AN353" s="215"/>
    </row>
    <row r="354" spans="2:41" s="242" customFormat="1" ht="26.25" customHeight="1">
      <c r="B354" s="291" t="s">
        <v>120</v>
      </c>
      <c r="C354" s="958">
        <v>38</v>
      </c>
      <c r="D354" s="959"/>
      <c r="E354" s="959">
        <v>1172</v>
      </c>
      <c r="F354" s="960"/>
      <c r="G354" s="961"/>
      <c r="H354" s="961"/>
      <c r="I354" s="961"/>
      <c r="J354" s="961"/>
      <c r="K354" s="961"/>
      <c r="L354" s="961"/>
      <c r="M354" s="961"/>
      <c r="N354" s="961"/>
      <c r="O354" s="962"/>
      <c r="P354" s="962"/>
      <c r="Q354" s="963">
        <v>929146</v>
      </c>
      <c r="R354" s="963"/>
      <c r="S354" s="963">
        <v>152000</v>
      </c>
      <c r="T354" s="962">
        <f>4850000+250000+AM354</f>
        <v>37529554</v>
      </c>
      <c r="U354" s="962">
        <v>0</v>
      </c>
      <c r="V354" s="964">
        <v>216350467</v>
      </c>
      <c r="W354" s="218"/>
      <c r="X354" s="301"/>
      <c r="Y354" s="215"/>
      <c r="Z354" s="215"/>
      <c r="AA354" s="1225"/>
      <c r="AB354" s="1228"/>
      <c r="AC354" s="805">
        <f>S354/C354</f>
        <v>4000</v>
      </c>
      <c r="AD354" s="295">
        <v>19531500</v>
      </c>
      <c r="AE354" s="353"/>
      <c r="AF354" s="741">
        <v>225819</v>
      </c>
      <c r="AG354" s="815">
        <v>9200000</v>
      </c>
      <c r="AH354" s="798"/>
      <c r="AJ354" s="260">
        <v>20863804</v>
      </c>
      <c r="AK354" s="236">
        <v>11565750</v>
      </c>
      <c r="AL354" s="803">
        <f t="shared" si="20"/>
        <v>11015</v>
      </c>
      <c r="AM354" s="239">
        <f>AJ354+AK354</f>
        <v>32429554</v>
      </c>
      <c r="AN354" s="1010"/>
    </row>
    <row r="355" spans="2:41" s="242" customFormat="1" ht="26.25" customHeight="1">
      <c r="B355" s="291"/>
      <c r="C355" s="965"/>
      <c r="D355" s="960"/>
      <c r="E355" s="960"/>
      <c r="F355" s="960"/>
      <c r="G355" s="966"/>
      <c r="H355" s="966"/>
      <c r="I355" s="966"/>
      <c r="J355" s="966"/>
      <c r="K355" s="966"/>
      <c r="L355" s="966"/>
      <c r="M355" s="966"/>
      <c r="N355" s="966"/>
      <c r="O355" s="967"/>
      <c r="P355" s="967"/>
      <c r="Q355" s="968"/>
      <c r="R355" s="968"/>
      <c r="S355" s="968"/>
      <c r="T355" s="967"/>
      <c r="U355" s="967"/>
      <c r="V355" s="964"/>
      <c r="AA355" s="1225"/>
      <c r="AB355" s="1228"/>
      <c r="AD355" s="295"/>
      <c r="AE355" s="353"/>
      <c r="AF355" s="741"/>
      <c r="AG355" s="815"/>
      <c r="AH355" s="798"/>
      <c r="AJ355" s="260"/>
      <c r="AK355" s="236"/>
      <c r="AL355" s="803"/>
    </row>
    <row r="356" spans="2:41" s="242" customFormat="1" ht="26.25" customHeight="1">
      <c r="B356" s="291" t="s">
        <v>687</v>
      </c>
      <c r="C356" s="958">
        <v>4</v>
      </c>
      <c r="D356" s="969"/>
      <c r="E356" s="969">
        <v>124</v>
      </c>
      <c r="F356" s="960"/>
      <c r="G356" s="970"/>
      <c r="H356" s="970"/>
      <c r="I356" s="970"/>
      <c r="J356" s="970"/>
      <c r="K356" s="970"/>
      <c r="L356" s="970"/>
      <c r="M356" s="970"/>
      <c r="N356" s="970"/>
      <c r="O356" s="962"/>
      <c r="P356" s="962"/>
      <c r="Q356" s="963">
        <v>0</v>
      </c>
      <c r="R356" s="963"/>
      <c r="S356" s="963">
        <v>0</v>
      </c>
      <c r="T356" s="962">
        <v>0</v>
      </c>
      <c r="U356" s="962">
        <v>0</v>
      </c>
      <c r="V356" s="964">
        <v>15403024</v>
      </c>
      <c r="AA356" s="1225"/>
      <c r="AB356" s="1228"/>
      <c r="AC356" s="805"/>
      <c r="AD356" s="295"/>
      <c r="AE356" s="353"/>
      <c r="AF356" s="741"/>
      <c r="AG356" s="815"/>
      <c r="AH356" s="798"/>
      <c r="AJ356" s="260"/>
      <c r="AK356" s="236"/>
      <c r="AL356" s="803">
        <f>AK356/1050</f>
        <v>0</v>
      </c>
      <c r="AM356" s="239">
        <f>AJ356+AK356</f>
        <v>0</v>
      </c>
    </row>
    <row r="357" spans="2:41" s="242" customFormat="1" ht="26.25" customHeight="1">
      <c r="B357" s="291"/>
      <c r="C357" s="958"/>
      <c r="D357" s="969"/>
      <c r="E357" s="969"/>
      <c r="F357" s="960"/>
      <c r="G357" s="970"/>
      <c r="H357" s="970"/>
      <c r="I357" s="970"/>
      <c r="J357" s="970"/>
      <c r="K357" s="970"/>
      <c r="L357" s="970"/>
      <c r="M357" s="970"/>
      <c r="N357" s="970"/>
      <c r="O357" s="962"/>
      <c r="P357" s="962"/>
      <c r="Q357" s="963"/>
      <c r="R357" s="963"/>
      <c r="S357" s="963"/>
      <c r="T357" s="962"/>
      <c r="U357" s="971"/>
      <c r="V357" s="964"/>
      <c r="AA357" s="1225"/>
      <c r="AB357" s="1228"/>
      <c r="AD357" s="295"/>
      <c r="AE357" s="353"/>
      <c r="AF357" s="741"/>
      <c r="AG357" s="815"/>
      <c r="AH357" s="798"/>
      <c r="AJ357" s="260"/>
      <c r="AK357" s="236"/>
      <c r="AL357" s="803"/>
      <c r="AN357" s="215" t="s">
        <v>671</v>
      </c>
    </row>
    <row r="358" spans="2:41" s="242" customFormat="1" ht="26.25" customHeight="1">
      <c r="B358" s="291" t="s">
        <v>465</v>
      </c>
      <c r="C358" s="958">
        <v>12</v>
      </c>
      <c r="D358" s="959"/>
      <c r="E358" s="959">
        <v>365</v>
      </c>
      <c r="F358" s="960"/>
      <c r="G358" s="961"/>
      <c r="H358" s="961"/>
      <c r="I358" s="961"/>
      <c r="J358" s="961"/>
      <c r="K358" s="961"/>
      <c r="L358" s="961"/>
      <c r="M358" s="961"/>
      <c r="N358" s="961"/>
      <c r="O358" s="962"/>
      <c r="P358" s="962"/>
      <c r="Q358" s="963">
        <v>933111</v>
      </c>
      <c r="R358" s="963"/>
      <c r="S358" s="963">
        <v>48000</v>
      </c>
      <c r="T358" s="962">
        <v>25894268.5</v>
      </c>
      <c r="U358" s="972">
        <v>13142345.92</v>
      </c>
      <c r="V358" s="964">
        <v>86104015.420000002</v>
      </c>
      <c r="AA358" s="1225"/>
      <c r="AB358" s="1228"/>
      <c r="AC358" s="805">
        <f>S358/C358</f>
        <v>4000</v>
      </c>
      <c r="AD358" s="295"/>
      <c r="AE358" s="353"/>
      <c r="AF358" s="741"/>
      <c r="AG358" s="815"/>
      <c r="AH358" s="798"/>
      <c r="AJ358" s="260"/>
      <c r="AK358" s="236"/>
      <c r="AL358" s="803">
        <f t="shared" si="20"/>
        <v>0</v>
      </c>
      <c r="AM358" s="1012"/>
      <c r="AN358" s="1012"/>
      <c r="AO358" s="1012"/>
    </row>
    <row r="359" spans="2:41" s="242" customFormat="1" ht="26.25" customHeight="1">
      <c r="B359" s="291"/>
      <c r="C359" s="965"/>
      <c r="D359" s="960"/>
      <c r="E359" s="960"/>
      <c r="F359" s="960"/>
      <c r="G359" s="966"/>
      <c r="H359" s="966"/>
      <c r="I359" s="966"/>
      <c r="J359" s="966"/>
      <c r="K359" s="966"/>
      <c r="L359" s="966"/>
      <c r="M359" s="966"/>
      <c r="N359" s="966"/>
      <c r="O359" s="967"/>
      <c r="P359" s="967"/>
      <c r="Q359" s="968"/>
      <c r="R359" s="968"/>
      <c r="S359" s="968"/>
      <c r="T359" s="967"/>
      <c r="U359" s="962"/>
      <c r="V359" s="964"/>
      <c r="AA359" s="1225"/>
      <c r="AB359" s="1228"/>
      <c r="AD359" s="295"/>
      <c r="AE359" s="353"/>
      <c r="AF359" s="741"/>
      <c r="AG359" s="815"/>
      <c r="AH359" s="798"/>
      <c r="AJ359" s="260"/>
      <c r="AK359" s="236"/>
      <c r="AL359" s="803"/>
      <c r="AN359" s="1140"/>
    </row>
    <row r="360" spans="2:41" s="242" customFormat="1" ht="26.25" customHeight="1">
      <c r="B360" s="291" t="s">
        <v>627</v>
      </c>
      <c r="C360" s="958">
        <v>2</v>
      </c>
      <c r="D360" s="1158"/>
      <c r="E360" s="1158">
        <v>62</v>
      </c>
      <c r="F360" s="1076"/>
      <c r="G360" s="1159"/>
      <c r="H360" s="1159"/>
      <c r="I360" s="1159"/>
      <c r="J360" s="1159"/>
      <c r="K360" s="1159"/>
      <c r="L360" s="1159"/>
      <c r="M360" s="1159"/>
      <c r="N360" s="1159"/>
      <c r="O360" s="962"/>
      <c r="P360" s="962"/>
      <c r="Q360" s="963">
        <v>13927</v>
      </c>
      <c r="R360" s="963"/>
      <c r="S360" s="963">
        <v>0</v>
      </c>
      <c r="T360" s="962">
        <f>AM360</f>
        <v>791872</v>
      </c>
      <c r="U360" s="962">
        <v>0</v>
      </c>
      <c r="V360" s="1141">
        <v>9133257</v>
      </c>
      <c r="AA360" s="1225"/>
      <c r="AB360" s="1228"/>
      <c r="AD360" s="1051">
        <v>503800</v>
      </c>
      <c r="AE360" s="353"/>
      <c r="AF360" s="1155">
        <v>0</v>
      </c>
      <c r="AG360" s="1156">
        <v>150000</v>
      </c>
      <c r="AH360" s="1070"/>
      <c r="AJ360" s="1071">
        <v>364872</v>
      </c>
      <c r="AK360" s="1072">
        <v>427000</v>
      </c>
      <c r="AL360" s="803">
        <f>AK360/1050</f>
        <v>406.66666666666669</v>
      </c>
      <c r="AM360" s="239">
        <f>AJ360+AK360</f>
        <v>791872</v>
      </c>
      <c r="AN360" s="1140"/>
    </row>
    <row r="361" spans="2:41" s="242" customFormat="1" ht="26.25" customHeight="1">
      <c r="B361" s="291"/>
      <c r="C361" s="958"/>
      <c r="D361" s="1158"/>
      <c r="E361" s="1158"/>
      <c r="F361" s="1076"/>
      <c r="G361" s="1159"/>
      <c r="H361" s="1159"/>
      <c r="I361" s="1159"/>
      <c r="J361" s="1159"/>
      <c r="K361" s="1159"/>
      <c r="L361" s="1159"/>
      <c r="M361" s="1159"/>
      <c r="N361" s="1159"/>
      <c r="O361" s="962"/>
      <c r="P361" s="962"/>
      <c r="Q361" s="963"/>
      <c r="R361" s="963"/>
      <c r="S361" s="963"/>
      <c r="T361" s="962"/>
      <c r="U361" s="962"/>
      <c r="V361" s="1141"/>
      <c r="AA361" s="1225"/>
      <c r="AB361" s="1228"/>
      <c r="AD361" s="1051"/>
      <c r="AE361" s="353"/>
      <c r="AF361" s="1155"/>
      <c r="AG361" s="1156"/>
      <c r="AH361" s="1070"/>
      <c r="AJ361" s="1071"/>
      <c r="AK361" s="1072"/>
      <c r="AL361" s="1073"/>
      <c r="AN361" s="1140" t="s">
        <v>671</v>
      </c>
    </row>
    <row r="362" spans="2:41" ht="26.25" customHeight="1">
      <c r="B362" s="291" t="s">
        <v>123</v>
      </c>
      <c r="C362" s="958">
        <v>35</v>
      </c>
      <c r="D362" s="959"/>
      <c r="E362" s="959">
        <v>1053</v>
      </c>
      <c r="F362" s="960"/>
      <c r="G362" s="961"/>
      <c r="H362" s="961"/>
      <c r="I362" s="961"/>
      <c r="J362" s="961"/>
      <c r="K362" s="961"/>
      <c r="L362" s="961"/>
      <c r="M362" s="961"/>
      <c r="N362" s="961"/>
      <c r="O362" s="962"/>
      <c r="P362" s="962"/>
      <c r="Q362" s="963">
        <v>90340</v>
      </c>
      <c r="R362" s="963"/>
      <c r="S362" s="963">
        <v>140000</v>
      </c>
      <c r="T362" s="962">
        <v>526600</v>
      </c>
      <c r="U362" s="967">
        <v>4492822.3499999996</v>
      </c>
      <c r="V362" s="964">
        <v>139705842.34999999</v>
      </c>
      <c r="W362" s="218"/>
      <c r="X362" s="301"/>
      <c r="AA362" s="1225"/>
      <c r="AB362" s="1228"/>
      <c r="AC362" s="805">
        <f>S362/C362</f>
        <v>4000</v>
      </c>
      <c r="AD362" s="295"/>
      <c r="AF362" s="741"/>
      <c r="AG362" s="815"/>
      <c r="AH362" s="798"/>
      <c r="AJ362" s="260"/>
      <c r="AK362" s="236"/>
      <c r="AL362" s="803">
        <f t="shared" si="20"/>
        <v>0</v>
      </c>
    </row>
    <row r="363" spans="2:41" s="242" customFormat="1" ht="26.25" customHeight="1">
      <c r="B363" s="309"/>
      <c r="C363" s="958"/>
      <c r="D363" s="959"/>
      <c r="E363" s="959"/>
      <c r="F363" s="960"/>
      <c r="G363" s="961"/>
      <c r="H363" s="961"/>
      <c r="I363" s="961"/>
      <c r="J363" s="961"/>
      <c r="K363" s="961"/>
      <c r="L363" s="961"/>
      <c r="M363" s="961"/>
      <c r="N363" s="961"/>
      <c r="O363" s="962"/>
      <c r="P363" s="962"/>
      <c r="Q363" s="963"/>
      <c r="R363" s="963"/>
      <c r="S363" s="963"/>
      <c r="T363" s="962"/>
      <c r="U363" s="962"/>
      <c r="V363" s="964"/>
      <c r="W363" s="218"/>
      <c r="X363" s="301"/>
      <c r="Y363" s="215"/>
      <c r="Z363" s="215"/>
      <c r="AA363" s="1225"/>
      <c r="AB363" s="1228"/>
      <c r="AC363" s="215"/>
      <c r="AD363" s="295"/>
      <c r="AE363" s="339"/>
      <c r="AF363" s="741"/>
      <c r="AG363" s="815"/>
      <c r="AH363" s="798"/>
      <c r="AJ363" s="260"/>
      <c r="AK363" s="236"/>
      <c r="AL363" s="803"/>
      <c r="AN363" s="215"/>
    </row>
    <row r="364" spans="2:41" ht="26.25" customHeight="1">
      <c r="B364" s="309" t="s">
        <v>625</v>
      </c>
      <c r="C364" s="958">
        <v>39</v>
      </c>
      <c r="D364" s="959"/>
      <c r="E364" s="959">
        <v>1159</v>
      </c>
      <c r="F364" s="960"/>
      <c r="G364" s="961"/>
      <c r="H364" s="961"/>
      <c r="I364" s="961"/>
      <c r="J364" s="961"/>
      <c r="K364" s="961"/>
      <c r="L364" s="961"/>
      <c r="M364" s="961"/>
      <c r="N364" s="961"/>
      <c r="O364" s="962"/>
      <c r="P364" s="962"/>
      <c r="Q364" s="963">
        <v>907779</v>
      </c>
      <c r="R364" s="963"/>
      <c r="S364" s="963">
        <v>156000</v>
      </c>
      <c r="T364" s="962">
        <f>4755000+AM364</f>
        <v>35785828</v>
      </c>
      <c r="U364" s="962">
        <v>0</v>
      </c>
      <c r="V364" s="964">
        <v>209724932</v>
      </c>
      <c r="W364" s="218"/>
      <c r="X364" s="301"/>
      <c r="AA364" s="1225"/>
      <c r="AB364" s="1228"/>
      <c r="AC364" s="805">
        <f>S364/C364</f>
        <v>4000</v>
      </c>
      <c r="AD364" s="295">
        <v>18592700</v>
      </c>
      <c r="AE364" s="353"/>
      <c r="AF364" s="741">
        <v>474221</v>
      </c>
      <c r="AG364" s="815">
        <v>7300000</v>
      </c>
      <c r="AH364" s="798"/>
      <c r="AJ364" s="260">
        <v>18605828</v>
      </c>
      <c r="AK364" s="236">
        <v>12425000</v>
      </c>
      <c r="AL364" s="803">
        <f t="shared" si="20"/>
        <v>11833.333333333334</v>
      </c>
      <c r="AM364" s="239">
        <f>AJ364+AK364</f>
        <v>31030828</v>
      </c>
      <c r="AN364" s="1010"/>
    </row>
    <row r="365" spans="2:41" ht="26.25" customHeight="1">
      <c r="B365" s="309"/>
      <c r="C365" s="965"/>
      <c r="D365" s="960"/>
      <c r="E365" s="960"/>
      <c r="F365" s="960"/>
      <c r="G365" s="966"/>
      <c r="H365" s="966"/>
      <c r="I365" s="966"/>
      <c r="J365" s="966"/>
      <c r="K365" s="966"/>
      <c r="L365" s="966"/>
      <c r="M365" s="966"/>
      <c r="N365" s="966"/>
      <c r="O365" s="967"/>
      <c r="P365" s="967"/>
      <c r="Q365" s="968"/>
      <c r="R365" s="968"/>
      <c r="S365" s="968"/>
      <c r="T365" s="967"/>
      <c r="U365" s="967"/>
      <c r="V365" s="964"/>
      <c r="W365" s="242"/>
      <c r="X365" s="242"/>
      <c r="Y365" s="242"/>
      <c r="Z365" s="242"/>
      <c r="AA365" s="1225"/>
      <c r="AB365" s="1228"/>
      <c r="AC365" s="242"/>
      <c r="AD365" s="295"/>
      <c r="AE365" s="353"/>
      <c r="AF365" s="741"/>
      <c r="AG365" s="815"/>
      <c r="AH365" s="798"/>
      <c r="AJ365" s="260"/>
      <c r="AK365" s="236"/>
      <c r="AL365" s="803"/>
    </row>
    <row r="366" spans="2:41" ht="26.25" customHeight="1">
      <c r="B366" s="309" t="s">
        <v>624</v>
      </c>
      <c r="C366" s="958">
        <v>1</v>
      </c>
      <c r="D366" s="969"/>
      <c r="E366" s="969">
        <v>31</v>
      </c>
      <c r="F366" s="960"/>
      <c r="G366" s="970"/>
      <c r="H366" s="970"/>
      <c r="I366" s="970"/>
      <c r="J366" s="970"/>
      <c r="K366" s="970"/>
      <c r="L366" s="970"/>
      <c r="M366" s="970"/>
      <c r="N366" s="970"/>
      <c r="O366" s="962"/>
      <c r="P366" s="962"/>
      <c r="Q366" s="963">
        <v>0</v>
      </c>
      <c r="R366" s="963"/>
      <c r="S366" s="963">
        <v>0</v>
      </c>
      <c r="T366" s="962">
        <f>AM366</f>
        <v>498150</v>
      </c>
      <c r="U366" s="967">
        <v>0</v>
      </c>
      <c r="V366" s="964">
        <v>4597906</v>
      </c>
      <c r="W366" s="242"/>
      <c r="X366" s="242"/>
      <c r="Y366" s="242"/>
      <c r="Z366" s="242"/>
      <c r="AA366" s="1225"/>
      <c r="AB366" s="1228"/>
      <c r="AC366" s="805"/>
      <c r="AD366" s="295">
        <v>99000</v>
      </c>
      <c r="AE366" s="353"/>
      <c r="AF366" s="741"/>
      <c r="AG366" s="815">
        <v>150000</v>
      </c>
      <c r="AH366" s="798"/>
      <c r="AJ366" s="260">
        <v>99150</v>
      </c>
      <c r="AK366" s="236">
        <v>399000</v>
      </c>
      <c r="AL366" s="803">
        <f t="shared" si="20"/>
        <v>380</v>
      </c>
      <c r="AM366" s="239">
        <f>AJ366+AK366</f>
        <v>498150</v>
      </c>
    </row>
    <row r="367" spans="2:41" ht="26.25" customHeight="1">
      <c r="B367" s="309"/>
      <c r="C367" s="958"/>
      <c r="D367" s="969"/>
      <c r="E367" s="969"/>
      <c r="F367" s="960"/>
      <c r="G367" s="970"/>
      <c r="H367" s="970"/>
      <c r="I367" s="970"/>
      <c r="J367" s="970"/>
      <c r="K367" s="970"/>
      <c r="L367" s="970"/>
      <c r="M367" s="970"/>
      <c r="N367" s="970"/>
      <c r="O367" s="962"/>
      <c r="P367" s="962"/>
      <c r="Q367" s="963"/>
      <c r="R367" s="963"/>
      <c r="S367" s="963"/>
      <c r="T367" s="962"/>
      <c r="U367" s="967"/>
      <c r="V367" s="964"/>
      <c r="W367" s="242"/>
      <c r="X367" s="242"/>
      <c r="Y367" s="242"/>
      <c r="Z367" s="242"/>
      <c r="AA367" s="1225"/>
      <c r="AB367" s="1228"/>
      <c r="AC367" s="242"/>
      <c r="AD367" s="295"/>
      <c r="AE367" s="353"/>
      <c r="AF367" s="741"/>
      <c r="AG367" s="815"/>
      <c r="AH367" s="798"/>
      <c r="AJ367" s="260"/>
      <c r="AK367" s="236"/>
      <c r="AL367" s="803"/>
      <c r="AN367" s="215" t="s">
        <v>671</v>
      </c>
    </row>
    <row r="368" spans="2:41" ht="26.25" customHeight="1">
      <c r="B368" s="291" t="s">
        <v>466</v>
      </c>
      <c r="C368" s="958">
        <v>13</v>
      </c>
      <c r="D368" s="959"/>
      <c r="E368" s="959">
        <v>388</v>
      </c>
      <c r="F368" s="960"/>
      <c r="G368" s="961"/>
      <c r="H368" s="961"/>
      <c r="I368" s="961"/>
      <c r="J368" s="961"/>
      <c r="K368" s="961"/>
      <c r="L368" s="961"/>
      <c r="M368" s="961"/>
      <c r="N368" s="961"/>
      <c r="O368" s="962"/>
      <c r="P368" s="962"/>
      <c r="Q368" s="963">
        <v>609902</v>
      </c>
      <c r="R368" s="963"/>
      <c r="S368" s="963">
        <v>48000</v>
      </c>
      <c r="T368" s="962">
        <v>15293255</v>
      </c>
      <c r="U368" s="967">
        <v>14397198.980000002</v>
      </c>
      <c r="V368" s="964">
        <v>80078759.980000004</v>
      </c>
      <c r="W368" s="242"/>
      <c r="X368" s="242"/>
      <c r="Y368" s="242"/>
      <c r="Z368" s="242"/>
      <c r="AA368" s="1225"/>
      <c r="AB368" s="1228"/>
      <c r="AC368" s="805">
        <f>S368/C368</f>
        <v>3692.3076923076924</v>
      </c>
      <c r="AD368" s="295"/>
      <c r="AE368" s="353"/>
      <c r="AF368" s="741"/>
      <c r="AG368" s="815"/>
      <c r="AH368" s="798"/>
      <c r="AJ368" s="260"/>
      <c r="AK368" s="236"/>
      <c r="AL368" s="803">
        <f t="shared" si="20"/>
        <v>0</v>
      </c>
      <c r="AM368" s="1012"/>
      <c r="AN368" s="1012"/>
      <c r="AO368" s="1012"/>
    </row>
    <row r="369" spans="2:40" ht="26.25" customHeight="1">
      <c r="B369" s="309"/>
      <c r="C369" s="973"/>
      <c r="D369" s="973"/>
      <c r="E369" s="973"/>
      <c r="F369" s="960"/>
      <c r="G369" s="974"/>
      <c r="H369" s="974"/>
      <c r="I369" s="974"/>
      <c r="J369" s="974"/>
      <c r="K369" s="974"/>
      <c r="L369" s="974"/>
      <c r="M369" s="974"/>
      <c r="N369" s="974"/>
      <c r="O369" s="975"/>
      <c r="P369" s="975"/>
      <c r="Q369" s="976"/>
      <c r="R369" s="976"/>
      <c r="S369" s="976"/>
      <c r="T369" s="975"/>
      <c r="U369" s="975"/>
      <c r="V369" s="964"/>
      <c r="W369" s="248"/>
      <c r="X369" s="311"/>
      <c r="AA369" s="1225"/>
      <c r="AB369" s="1228"/>
      <c r="AD369" s="295"/>
      <c r="AF369" s="741"/>
      <c r="AG369" s="831"/>
      <c r="AH369" s="798"/>
      <c r="AJ369" s="260"/>
      <c r="AK369" s="236"/>
      <c r="AL369" s="803"/>
    </row>
    <row r="370" spans="2:40" ht="26.25" customHeight="1">
      <c r="B370" s="309" t="s">
        <v>126</v>
      </c>
      <c r="C370" s="973">
        <v>37</v>
      </c>
      <c r="D370" s="973"/>
      <c r="E370" s="973">
        <v>1098</v>
      </c>
      <c r="F370" s="960"/>
      <c r="G370" s="974"/>
      <c r="H370" s="974"/>
      <c r="I370" s="974"/>
      <c r="J370" s="974"/>
      <c r="K370" s="974"/>
      <c r="L370" s="974"/>
      <c r="M370" s="974"/>
      <c r="N370" s="974"/>
      <c r="O370" s="975"/>
      <c r="P370" s="975"/>
      <c r="Q370" s="976">
        <v>130658</v>
      </c>
      <c r="R370" s="976"/>
      <c r="S370" s="976">
        <v>148000</v>
      </c>
      <c r="T370" s="975">
        <v>2216000</v>
      </c>
      <c r="U370" s="975">
        <v>6038980.6400000006</v>
      </c>
      <c r="V370" s="964">
        <v>148799814.63999999</v>
      </c>
      <c r="W370" s="248"/>
      <c r="X370" s="311"/>
      <c r="AA370" s="1225"/>
      <c r="AB370" s="1228"/>
      <c r="AC370" s="805">
        <f>S370/C370</f>
        <v>4000</v>
      </c>
      <c r="AD370" s="295"/>
      <c r="AE370" s="216"/>
      <c r="AF370" s="741"/>
      <c r="AG370" s="832"/>
      <c r="AH370" s="798"/>
      <c r="AJ370" s="260"/>
      <c r="AK370" s="236"/>
      <c r="AL370" s="803">
        <f t="shared" si="20"/>
        <v>0</v>
      </c>
    </row>
    <row r="371" spans="2:40" ht="26.25" customHeight="1">
      <c r="B371" s="309"/>
      <c r="C371" s="973"/>
      <c r="D371" s="973"/>
      <c r="E371" s="973"/>
      <c r="F371" s="960"/>
      <c r="G371" s="974"/>
      <c r="H371" s="974"/>
      <c r="I371" s="974"/>
      <c r="J371" s="974"/>
      <c r="K371" s="974"/>
      <c r="L371" s="974"/>
      <c r="M371" s="974"/>
      <c r="N371" s="974"/>
      <c r="O371" s="975"/>
      <c r="P371" s="975"/>
      <c r="Q371" s="976"/>
      <c r="R371" s="976"/>
      <c r="S371" s="976"/>
      <c r="T371" s="975"/>
      <c r="U371" s="975"/>
      <c r="V371" s="964"/>
      <c r="W371" s="248"/>
      <c r="X371" s="311"/>
      <c r="AA371" s="1225"/>
      <c r="AB371" s="1228"/>
      <c r="AD371" s="295"/>
      <c r="AE371" s="216"/>
      <c r="AF371" s="741"/>
      <c r="AG371" s="821"/>
      <c r="AH371" s="798"/>
      <c r="AJ371" s="260"/>
      <c r="AK371" s="236"/>
      <c r="AL371" s="803"/>
    </row>
    <row r="372" spans="2:40" ht="26.25" customHeight="1">
      <c r="B372" s="309" t="s">
        <v>335</v>
      </c>
      <c r="C372" s="973">
        <v>28</v>
      </c>
      <c r="D372" s="973"/>
      <c r="E372" s="973">
        <v>847</v>
      </c>
      <c r="F372" s="960"/>
      <c r="G372" s="974"/>
      <c r="H372" s="974"/>
      <c r="I372" s="974"/>
      <c r="J372" s="974"/>
      <c r="K372" s="974"/>
      <c r="L372" s="974"/>
      <c r="M372" s="974"/>
      <c r="N372" s="974"/>
      <c r="O372" s="975"/>
      <c r="P372" s="975"/>
      <c r="Q372" s="976">
        <v>341175</v>
      </c>
      <c r="R372" s="976"/>
      <c r="S372" s="976">
        <v>112000</v>
      </c>
      <c r="T372" s="975">
        <f>3100000+AM372</f>
        <v>19877008</v>
      </c>
      <c r="U372" s="975">
        <v>0</v>
      </c>
      <c r="V372" s="964">
        <v>137719220</v>
      </c>
      <c r="W372" s="248"/>
      <c r="X372" s="311"/>
      <c r="AA372" s="1225"/>
      <c r="AB372" s="1228"/>
      <c r="AC372" s="805">
        <f>S372/C372</f>
        <v>4000</v>
      </c>
      <c r="AD372" s="295">
        <v>6301000</v>
      </c>
      <c r="AE372" s="216"/>
      <c r="AF372" s="741">
        <v>94081</v>
      </c>
      <c r="AG372" s="815">
        <v>2700000</v>
      </c>
      <c r="AH372" s="798"/>
      <c r="AJ372" s="260">
        <v>9110258</v>
      </c>
      <c r="AK372" s="236">
        <v>7666750</v>
      </c>
      <c r="AL372" s="803">
        <f t="shared" si="20"/>
        <v>7301.666666666667</v>
      </c>
      <c r="AM372" s="239">
        <f>AJ372+AK372</f>
        <v>16777008</v>
      </c>
      <c r="AN372" s="806"/>
    </row>
    <row r="373" spans="2:40" s="242" customFormat="1" ht="26.25" customHeight="1">
      <c r="B373" s="309"/>
      <c r="C373" s="973"/>
      <c r="D373" s="973"/>
      <c r="E373" s="973"/>
      <c r="F373" s="960"/>
      <c r="G373" s="974"/>
      <c r="H373" s="974"/>
      <c r="I373" s="974"/>
      <c r="J373" s="974"/>
      <c r="K373" s="974"/>
      <c r="L373" s="974"/>
      <c r="M373" s="974"/>
      <c r="N373" s="974"/>
      <c r="O373" s="975"/>
      <c r="P373" s="975"/>
      <c r="Q373" s="976"/>
      <c r="R373" s="976"/>
      <c r="S373" s="976"/>
      <c r="T373" s="975"/>
      <c r="U373" s="975"/>
      <c r="V373" s="964"/>
      <c r="W373" s="248"/>
      <c r="X373" s="311"/>
      <c r="Y373" s="215"/>
      <c r="Z373" s="215"/>
      <c r="AA373" s="1225"/>
      <c r="AB373" s="1228"/>
      <c r="AC373" s="805"/>
      <c r="AD373" s="295"/>
      <c r="AE373" s="339"/>
      <c r="AF373" s="741"/>
      <c r="AG373" s="815"/>
      <c r="AH373" s="798"/>
      <c r="AJ373" s="260"/>
      <c r="AK373" s="236"/>
      <c r="AL373" s="803"/>
      <c r="AN373" s="215" t="s">
        <v>671</v>
      </c>
    </row>
    <row r="374" spans="2:40" s="242" customFormat="1" ht="26.25" customHeight="1">
      <c r="B374" s="291" t="s">
        <v>544</v>
      </c>
      <c r="C374" s="965">
        <v>10</v>
      </c>
      <c r="D374" s="977"/>
      <c r="E374" s="977">
        <v>305</v>
      </c>
      <c r="F374" s="960"/>
      <c r="G374" s="966"/>
      <c r="H374" s="966"/>
      <c r="I374" s="966"/>
      <c r="J374" s="966"/>
      <c r="K374" s="966"/>
      <c r="L374" s="966"/>
      <c r="M374" s="966"/>
      <c r="N374" s="966"/>
      <c r="O374" s="967"/>
      <c r="P374" s="967"/>
      <c r="Q374" s="968">
        <v>669153</v>
      </c>
      <c r="R374" s="968"/>
      <c r="S374" s="968">
        <v>40000</v>
      </c>
      <c r="T374" s="967">
        <v>16436945</v>
      </c>
      <c r="U374" s="967">
        <v>14509239.24</v>
      </c>
      <c r="V374" s="964">
        <v>70473531.239999995</v>
      </c>
      <c r="W374" s="245"/>
      <c r="X374" s="314"/>
      <c r="AA374" s="1225"/>
      <c r="AB374" s="1228"/>
      <c r="AC374" s="805">
        <f>S374/C374</f>
        <v>4000</v>
      </c>
      <c r="AD374" s="295"/>
      <c r="AE374" s="353"/>
      <c r="AF374" s="741"/>
      <c r="AG374" s="815"/>
      <c r="AH374" s="798"/>
      <c r="AJ374" s="260"/>
      <c r="AK374" s="236"/>
      <c r="AL374" s="803">
        <f t="shared" si="20"/>
        <v>0</v>
      </c>
      <c r="AN374" s="1012"/>
    </row>
    <row r="375" spans="2:40" s="242" customFormat="1" ht="23.25" customHeight="1">
      <c r="B375" s="291"/>
      <c r="C375" s="978"/>
      <c r="D375" s="977"/>
      <c r="E375" s="977"/>
      <c r="F375" s="960"/>
      <c r="G375" s="966"/>
      <c r="H375" s="966"/>
      <c r="I375" s="966"/>
      <c r="J375" s="966"/>
      <c r="K375" s="966"/>
      <c r="L375" s="966"/>
      <c r="M375" s="966"/>
      <c r="N375" s="966"/>
      <c r="O375" s="967"/>
      <c r="P375" s="967"/>
      <c r="Q375" s="968"/>
      <c r="R375" s="968"/>
      <c r="S375" s="968"/>
      <c r="T375" s="967"/>
      <c r="U375" s="967"/>
      <c r="V375" s="964"/>
      <c r="W375" s="245"/>
      <c r="X375" s="314"/>
      <c r="AA375" s="1225"/>
      <c r="AB375" s="1228"/>
      <c r="AD375" s="295"/>
      <c r="AE375" s="353"/>
      <c r="AF375" s="741"/>
      <c r="AG375" s="815"/>
      <c r="AH375" s="798"/>
      <c r="AJ375" s="260"/>
      <c r="AK375" s="236"/>
      <c r="AL375" s="803"/>
    </row>
    <row r="376" spans="2:40" s="242" customFormat="1" ht="24.75" customHeight="1">
      <c r="B376" s="309" t="s">
        <v>658</v>
      </c>
      <c r="C376" s="958">
        <v>3</v>
      </c>
      <c r="D376" s="979"/>
      <c r="E376" s="979">
        <v>93</v>
      </c>
      <c r="F376" s="960"/>
      <c r="G376" s="970"/>
      <c r="H376" s="970"/>
      <c r="I376" s="970"/>
      <c r="J376" s="970"/>
      <c r="K376" s="970"/>
      <c r="L376" s="970"/>
      <c r="M376" s="970"/>
      <c r="N376" s="970"/>
      <c r="O376" s="962"/>
      <c r="P376" s="962"/>
      <c r="Q376" s="963">
        <v>0</v>
      </c>
      <c r="R376" s="963"/>
      <c r="S376" s="963">
        <v>0</v>
      </c>
      <c r="T376" s="962">
        <v>0</v>
      </c>
      <c r="U376" s="962">
        <v>1310873.3799999999</v>
      </c>
      <c r="V376" s="980">
        <v>12863141.380000001</v>
      </c>
      <c r="W376" s="245"/>
      <c r="X376" s="314"/>
      <c r="AA376" s="1225"/>
      <c r="AB376" s="1228"/>
      <c r="AD376" s="295"/>
      <c r="AE376" s="353"/>
      <c r="AF376" s="741"/>
      <c r="AG376" s="815"/>
      <c r="AH376" s="798"/>
      <c r="AJ376" s="260"/>
      <c r="AK376" s="236"/>
      <c r="AL376" s="803">
        <f t="shared" si="20"/>
        <v>0</v>
      </c>
    </row>
    <row r="377" spans="2:40" s="242" customFormat="1" ht="26.25" customHeight="1">
      <c r="B377" s="291"/>
      <c r="C377" s="958"/>
      <c r="D377" s="979"/>
      <c r="E377" s="979"/>
      <c r="F377" s="960"/>
      <c r="G377" s="970"/>
      <c r="H377" s="970"/>
      <c r="I377" s="970"/>
      <c r="J377" s="970"/>
      <c r="K377" s="970"/>
      <c r="L377" s="970"/>
      <c r="M377" s="970"/>
      <c r="N377" s="970"/>
      <c r="O377" s="962"/>
      <c r="P377" s="962"/>
      <c r="Q377" s="963"/>
      <c r="R377" s="963"/>
      <c r="S377" s="963"/>
      <c r="T377" s="962"/>
      <c r="U377" s="962"/>
      <c r="V377" s="980"/>
      <c r="W377" s="245"/>
      <c r="X377" s="314"/>
      <c r="AA377" s="1225"/>
      <c r="AB377" s="1228"/>
      <c r="AD377" s="295"/>
      <c r="AE377" s="353"/>
      <c r="AF377" s="741"/>
      <c r="AG377" s="815"/>
      <c r="AH377" s="798"/>
      <c r="AJ377" s="260"/>
      <c r="AK377" s="236"/>
      <c r="AL377" s="803"/>
    </row>
    <row r="378" spans="2:40" s="242" customFormat="1" ht="26.25" customHeight="1">
      <c r="B378" s="291" t="s">
        <v>626</v>
      </c>
      <c r="C378" s="958"/>
      <c r="D378" s="979"/>
      <c r="E378" s="979"/>
      <c r="F378" s="960"/>
      <c r="G378" s="961"/>
      <c r="H378" s="961"/>
      <c r="I378" s="961"/>
      <c r="J378" s="961"/>
      <c r="K378" s="961"/>
      <c r="L378" s="961"/>
      <c r="M378" s="961"/>
      <c r="N378" s="961"/>
      <c r="O378" s="962"/>
      <c r="P378" s="962"/>
      <c r="Q378" s="963"/>
      <c r="R378" s="963"/>
      <c r="S378" s="963"/>
      <c r="T378" s="962"/>
      <c r="U378" s="962"/>
      <c r="V378" s="980"/>
      <c r="W378" s="245"/>
      <c r="X378" s="314"/>
      <c r="AA378" s="1225"/>
      <c r="AB378" s="1228"/>
      <c r="AC378" s="805" t="e">
        <f>S378/C378</f>
        <v>#DIV/0!</v>
      </c>
      <c r="AD378" s="295"/>
      <c r="AE378" s="353"/>
      <c r="AF378" s="741"/>
      <c r="AG378" s="815"/>
      <c r="AH378" s="798"/>
      <c r="AJ378" s="260"/>
      <c r="AK378" s="236"/>
      <c r="AL378" s="803">
        <f t="shared" si="20"/>
        <v>0</v>
      </c>
      <c r="AM378" s="239">
        <f>AJ378+AK378</f>
        <v>0</v>
      </c>
    </row>
    <row r="379" spans="2:40" s="242" customFormat="1" ht="26.25" customHeight="1">
      <c r="B379" s="291"/>
      <c r="C379" s="544"/>
      <c r="D379" s="712"/>
      <c r="E379" s="712"/>
      <c r="F379" s="310"/>
      <c r="G379" s="293"/>
      <c r="H379" s="293"/>
      <c r="I379" s="293"/>
      <c r="J379" s="293"/>
      <c r="K379" s="293"/>
      <c r="L379" s="293"/>
      <c r="M379" s="293"/>
      <c r="N379" s="293"/>
      <c r="O379" s="294"/>
      <c r="P379" s="294"/>
      <c r="Q379" s="329"/>
      <c r="R379" s="329"/>
      <c r="S379" s="329"/>
      <c r="T379" s="294"/>
      <c r="U379" s="294"/>
      <c r="V379" s="295"/>
      <c r="W379" s="245"/>
      <c r="X379" s="314"/>
      <c r="AA379" s="1225"/>
      <c r="AB379" s="1228"/>
      <c r="AD379" s="295"/>
      <c r="AE379" s="353"/>
      <c r="AF379" s="741"/>
      <c r="AG379" s="815"/>
      <c r="AH379" s="798"/>
      <c r="AJ379" s="260"/>
      <c r="AK379" s="236"/>
      <c r="AL379" s="803"/>
    </row>
    <row r="380" spans="2:40" s="242" customFormat="1" ht="26.25" hidden="1" customHeight="1">
      <c r="B380" s="291" t="s">
        <v>610</v>
      </c>
      <c r="C380" s="338"/>
      <c r="D380" s="797"/>
      <c r="E380" s="797"/>
      <c r="F380" s="310"/>
      <c r="G380" s="288"/>
      <c r="H380" s="288"/>
      <c r="I380" s="288"/>
      <c r="J380" s="288"/>
      <c r="K380" s="288"/>
      <c r="L380" s="288"/>
      <c r="M380" s="288"/>
      <c r="N380" s="288"/>
      <c r="O380" s="289"/>
      <c r="P380" s="289"/>
      <c r="Q380" s="521"/>
      <c r="R380" s="521"/>
      <c r="S380" s="521"/>
      <c r="T380" s="289"/>
      <c r="U380" s="289"/>
      <c r="V380" s="290"/>
      <c r="W380" s="245"/>
      <c r="X380" s="314"/>
      <c r="AA380" s="1225"/>
      <c r="AB380" s="1228"/>
      <c r="AC380" s="805"/>
      <c r="AD380" s="290"/>
      <c r="AE380" s="353"/>
      <c r="AF380" s="741"/>
      <c r="AG380" s="815"/>
      <c r="AH380" s="798"/>
      <c r="AJ380" s="260"/>
      <c r="AK380" s="236"/>
      <c r="AL380" s="803">
        <f t="shared" si="20"/>
        <v>0</v>
      </c>
    </row>
    <row r="381" spans="2:40" s="242" customFormat="1" ht="26.25" customHeight="1">
      <c r="B381" s="291" t="s">
        <v>609</v>
      </c>
      <c r="C381" s="958">
        <v>1</v>
      </c>
      <c r="D381" s="979"/>
      <c r="E381" s="979">
        <v>31</v>
      </c>
      <c r="F381" s="960"/>
      <c r="G381" s="970"/>
      <c r="H381" s="970"/>
      <c r="I381" s="970"/>
      <c r="J381" s="970"/>
      <c r="K381" s="970"/>
      <c r="L381" s="970"/>
      <c r="M381" s="970"/>
      <c r="N381" s="970"/>
      <c r="O381" s="962"/>
      <c r="P381" s="962"/>
      <c r="Q381" s="963">
        <v>0</v>
      </c>
      <c r="R381" s="963"/>
      <c r="S381" s="963">
        <v>4000</v>
      </c>
      <c r="T381" s="962">
        <v>300000</v>
      </c>
      <c r="U381" s="962">
        <v>1053180.26</v>
      </c>
      <c r="V381" s="980">
        <v>5530746.2599999998</v>
      </c>
      <c r="W381" s="245"/>
      <c r="X381" s="314"/>
      <c r="AA381" s="1225"/>
      <c r="AB381" s="1228"/>
      <c r="AD381" s="290"/>
      <c r="AE381" s="653"/>
      <c r="AF381" s="1069"/>
      <c r="AG381" s="1075"/>
      <c r="AH381" s="798"/>
      <c r="AJ381" s="260"/>
      <c r="AK381" s="236"/>
      <c r="AL381" s="803">
        <f t="shared" si="20"/>
        <v>0</v>
      </c>
    </row>
    <row r="382" spans="2:40" s="242" customFormat="1" ht="26.25" customHeight="1">
      <c r="B382" s="268"/>
      <c r="C382" s="1062"/>
      <c r="D382" s="1063"/>
      <c r="E382" s="1063"/>
      <c r="F382" s="1064"/>
      <c r="G382" s="1065"/>
      <c r="H382" s="1065"/>
      <c r="I382" s="1065"/>
      <c r="J382" s="1065"/>
      <c r="K382" s="1065"/>
      <c r="L382" s="1065"/>
      <c r="M382" s="1065"/>
      <c r="N382" s="1065"/>
      <c r="O382" s="971"/>
      <c r="P382" s="971"/>
      <c r="Q382" s="1066"/>
      <c r="R382" s="1066"/>
      <c r="S382" s="1066"/>
      <c r="T382" s="971"/>
      <c r="U382" s="971"/>
      <c r="V382" s="1067"/>
      <c r="W382" s="245"/>
      <c r="X382" s="1068"/>
      <c r="AA382" s="1225"/>
      <c r="AB382" s="1228"/>
      <c r="AD382" s="318"/>
      <c r="AE382" s="353"/>
      <c r="AF382" s="728"/>
      <c r="AG382" s="796"/>
      <c r="AH382" s="1070"/>
      <c r="AJ382" s="1071"/>
      <c r="AK382" s="1072"/>
      <c r="AL382" s="1073"/>
    </row>
    <row r="383" spans="2:40" s="242" customFormat="1" ht="26.25" customHeight="1">
      <c r="B383" s="291" t="s">
        <v>659</v>
      </c>
      <c r="C383" s="1077"/>
      <c r="D383" s="1076"/>
      <c r="E383" s="1076"/>
      <c r="F383" s="1076"/>
      <c r="G383" s="1078"/>
      <c r="H383" s="1078"/>
      <c r="I383" s="1078"/>
      <c r="J383" s="1078"/>
      <c r="K383" s="1078"/>
      <c r="L383" s="1078"/>
      <c r="M383" s="1078"/>
      <c r="N383" s="1078"/>
      <c r="O383" s="1078"/>
      <c r="P383" s="1078"/>
      <c r="Q383" s="1076"/>
      <c r="R383" s="1076"/>
      <c r="S383" s="1076"/>
      <c r="T383" s="1078"/>
      <c r="U383" s="1078"/>
      <c r="V383" s="1141"/>
      <c r="W383" s="245"/>
      <c r="X383" s="1068"/>
      <c r="AA383" s="1225"/>
      <c r="AB383" s="1228"/>
      <c r="AD383" s="1051"/>
      <c r="AE383" s="1118"/>
      <c r="AF383" s="1069"/>
      <c r="AG383" s="1080"/>
      <c r="AH383" s="1070"/>
      <c r="AJ383" s="1071"/>
      <c r="AK383" s="1072"/>
      <c r="AL383" s="1073"/>
    </row>
    <row r="384" spans="2:40" s="242" customFormat="1" ht="26.25" customHeight="1" thickBot="1">
      <c r="B384" s="268"/>
      <c r="C384" s="1062"/>
      <c r="D384" s="1063"/>
      <c r="E384" s="1063"/>
      <c r="F384" s="1064"/>
      <c r="G384" s="1065"/>
      <c r="H384" s="1065"/>
      <c r="I384" s="1065"/>
      <c r="J384" s="1065"/>
      <c r="K384" s="1065"/>
      <c r="L384" s="1065"/>
      <c r="M384" s="1065"/>
      <c r="N384" s="1065"/>
      <c r="O384" s="971"/>
      <c r="P384" s="971"/>
      <c r="Q384" s="1066"/>
      <c r="R384" s="1066"/>
      <c r="S384" s="1066"/>
      <c r="T384" s="971"/>
      <c r="U384" s="971"/>
      <c r="V384" s="1067"/>
      <c r="W384" s="245"/>
      <c r="X384" s="1068"/>
      <c r="AA384" s="1226"/>
      <c r="AB384" s="1229"/>
      <c r="AD384" s="286"/>
      <c r="AE384" s="353"/>
      <c r="AF384" s="1074"/>
      <c r="AG384" s="796"/>
      <c r="AH384" s="1070"/>
      <c r="AJ384" s="1071"/>
      <c r="AK384" s="1072"/>
      <c r="AL384" s="803"/>
    </row>
    <row r="385" spans="2:38" ht="26.25" customHeight="1" thickTop="1" thickBot="1">
      <c r="B385" s="319" t="s">
        <v>62</v>
      </c>
      <c r="C385" s="414">
        <f>SUM(C352:C383)</f>
        <v>260</v>
      </c>
      <c r="D385" s="414">
        <f t="shared" ref="D385:U385" si="21">SUM(D352:D383)</f>
        <v>0</v>
      </c>
      <c r="E385" s="414">
        <f>SUM(E352:E383)</f>
        <v>7846</v>
      </c>
      <c r="F385" s="414">
        <f t="shared" si="21"/>
        <v>0</v>
      </c>
      <c r="G385" s="414">
        <f t="shared" si="21"/>
        <v>0</v>
      </c>
      <c r="H385" s="414">
        <f t="shared" si="21"/>
        <v>0</v>
      </c>
      <c r="I385" s="414">
        <f t="shared" si="21"/>
        <v>0</v>
      </c>
      <c r="J385" s="414">
        <f t="shared" si="21"/>
        <v>0</v>
      </c>
      <c r="K385" s="414">
        <f t="shared" si="21"/>
        <v>0</v>
      </c>
      <c r="L385" s="414">
        <f t="shared" si="21"/>
        <v>0</v>
      </c>
      <c r="M385" s="414">
        <f t="shared" si="21"/>
        <v>0</v>
      </c>
      <c r="N385" s="414">
        <f t="shared" si="21"/>
        <v>0</v>
      </c>
      <c r="O385" s="414">
        <f t="shared" si="21"/>
        <v>0</v>
      </c>
      <c r="P385" s="414">
        <f t="shared" si="21"/>
        <v>0</v>
      </c>
      <c r="Q385" s="414">
        <f t="shared" si="21"/>
        <v>4625191</v>
      </c>
      <c r="R385" s="414">
        <f t="shared" si="21"/>
        <v>0</v>
      </c>
      <c r="S385" s="414">
        <f t="shared" si="21"/>
        <v>996000</v>
      </c>
      <c r="T385" s="320">
        <f t="shared" si="21"/>
        <v>155328680.5</v>
      </c>
      <c r="U385" s="320">
        <f t="shared" si="21"/>
        <v>57555183.550000004</v>
      </c>
      <c r="V385" s="320">
        <f>SUM(V352:V383)</f>
        <v>1282489712.0500002</v>
      </c>
      <c r="W385" s="711">
        <f t="shared" ref="W385" si="22">SUM(W352:W381)</f>
        <v>0</v>
      </c>
      <c r="X385" s="414">
        <f t="shared" ref="X385" si="23">SUM(X352:X381)</f>
        <v>0</v>
      </c>
      <c r="Y385" s="414">
        <f t="shared" ref="Y385" si="24">SUM(Y352:Y381)</f>
        <v>0</v>
      </c>
      <c r="Z385" s="455">
        <f t="shared" ref="Z385" si="25">SUM(Z352:Z381)</f>
        <v>0</v>
      </c>
      <c r="AA385" s="455">
        <f>AA351</f>
        <v>1282489712</v>
      </c>
      <c r="AB385" s="415">
        <f>AB351</f>
        <v>5.0000190734863281E-2</v>
      </c>
      <c r="AC385" s="217"/>
      <c r="AD385" s="320">
        <f>SUM(AD352:AE383)</f>
        <v>45028000</v>
      </c>
      <c r="AF385" s="376">
        <f>SUM(AF351:AF383)</f>
        <v>794121</v>
      </c>
      <c r="AG385" s="810">
        <f t="shared" ref="AG385:AK385" si="26">SUM(AG351:AG383)</f>
        <v>19500000</v>
      </c>
      <c r="AH385" s="798">
        <f t="shared" si="26"/>
        <v>0</v>
      </c>
      <c r="AI385" s="376">
        <f t="shared" si="26"/>
        <v>0</v>
      </c>
      <c r="AJ385" s="293">
        <f t="shared" si="26"/>
        <v>49043912</v>
      </c>
      <c r="AK385" s="293">
        <f t="shared" si="26"/>
        <v>32483500</v>
      </c>
      <c r="AL385" s="803">
        <f>AK385/1050</f>
        <v>30936.666666666668</v>
      </c>
    </row>
    <row r="386" spans="2:38" ht="17.25" customHeight="1" thickTop="1">
      <c r="B386" s="216"/>
      <c r="C386" s="278"/>
      <c r="D386" s="278"/>
    </row>
    <row r="387" spans="2:38" ht="17.25" customHeight="1">
      <c r="B387" s="216"/>
      <c r="C387" s="278"/>
      <c r="D387" s="278"/>
    </row>
    <row r="388" spans="2:38" ht="17.25" customHeight="1">
      <c r="B388" s="216"/>
      <c r="C388" s="278"/>
      <c r="D388" s="278"/>
      <c r="S388" s="775"/>
    </row>
    <row r="389" spans="2:38" ht="17.25" customHeight="1">
      <c r="B389" s="216"/>
      <c r="C389" s="278"/>
      <c r="D389" s="278"/>
    </row>
    <row r="390" spans="2:38" ht="17.25" customHeight="1">
      <c r="B390" s="216"/>
      <c r="C390" s="278"/>
      <c r="D390" s="278"/>
      <c r="AD390" s="492"/>
      <c r="AF390" s="744">
        <f>AF385+AF296+AF261+AF226+AF175+AF135+AF90+AF35+AF332</f>
        <v>36054153.606373817</v>
      </c>
    </row>
    <row r="391" spans="2:38" ht="17.25" customHeight="1">
      <c r="B391" s="336" t="s">
        <v>532</v>
      </c>
      <c r="C391" s="1173" t="s">
        <v>81</v>
      </c>
      <c r="D391" s="1173"/>
      <c r="E391" s="566"/>
      <c r="F391" s="1173"/>
      <c r="G391" s="1173"/>
      <c r="H391" s="1173"/>
      <c r="I391" s="1173"/>
      <c r="J391" s="337"/>
      <c r="K391" s="337"/>
      <c r="L391" s="1173" t="s">
        <v>82</v>
      </c>
      <c r="M391" s="1173"/>
      <c r="N391" s="1173"/>
      <c r="O391" s="1173"/>
      <c r="P391" s="1173"/>
      <c r="Q391" s="1173"/>
      <c r="R391" s="1173"/>
      <c r="S391" s="1173"/>
      <c r="T391" s="1173"/>
      <c r="U391" s="1173"/>
      <c r="V391" s="1173"/>
    </row>
    <row r="392" spans="2:38" ht="17.25" customHeight="1">
      <c r="B392" s="336"/>
      <c r="C392" s="566"/>
      <c r="D392" s="566"/>
      <c r="E392" s="566"/>
      <c r="F392" s="566"/>
      <c r="G392" s="337"/>
      <c r="H392" s="337"/>
      <c r="I392" s="337"/>
      <c r="J392" s="337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</row>
    <row r="393" spans="2:38" ht="17.25" customHeight="1">
      <c r="B393" s="336"/>
      <c r="C393" s="566"/>
      <c r="D393" s="566"/>
      <c r="E393" s="566"/>
      <c r="F393" s="566"/>
      <c r="G393" s="337"/>
      <c r="H393" s="337"/>
      <c r="I393" s="337"/>
      <c r="J393" s="337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</row>
    <row r="394" spans="2:38" ht="17.25" customHeight="1">
      <c r="B394" s="336"/>
      <c r="C394" s="566"/>
      <c r="D394" s="566"/>
      <c r="E394" s="566"/>
      <c r="F394" s="566"/>
      <c r="G394" s="337"/>
      <c r="H394" s="337"/>
      <c r="I394" s="337"/>
      <c r="J394" s="337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</row>
    <row r="395" spans="2:38" ht="17.25" customHeight="1">
      <c r="C395" s="566"/>
      <c r="D395" s="566"/>
      <c r="E395" s="566"/>
      <c r="F395" s="1173"/>
      <c r="G395" s="1173"/>
      <c r="H395" s="1173"/>
      <c r="I395" s="1173"/>
      <c r="J395" s="337"/>
      <c r="K395" s="337"/>
      <c r="L395" s="1173"/>
      <c r="M395" s="1173"/>
      <c r="N395" s="1173"/>
      <c r="O395" s="1173"/>
      <c r="P395" s="1173"/>
      <c r="Q395" s="1173"/>
      <c r="R395" s="1173"/>
      <c r="S395" s="1173"/>
      <c r="T395" s="1173"/>
      <c r="U395" s="1173"/>
      <c r="V395" s="1173"/>
    </row>
    <row r="396" spans="2:38" ht="17.25" customHeight="1"/>
    <row r="397" spans="2:38" ht="17.25" customHeight="1">
      <c r="B397" s="336"/>
      <c r="L397" s="1202"/>
      <c r="M397" s="1202"/>
    </row>
    <row r="398" spans="2:38" ht="17.25" customHeight="1">
      <c r="B398" s="215" t="str">
        <f>B346</f>
        <v>PT. REBINMAS JAYA</v>
      </c>
      <c r="L398" s="278"/>
      <c r="M398" s="278"/>
    </row>
    <row r="399" spans="2:38" ht="63.75" customHeight="1">
      <c r="B399" s="215" t="str">
        <f>B51</f>
        <v>DENOMINATION FOR OKTOBER 2025</v>
      </c>
      <c r="L399" s="278"/>
      <c r="M399" s="278"/>
    </row>
    <row r="400" spans="2:38" ht="27" customHeight="1" thickBot="1"/>
    <row r="401" spans="2:30" ht="27" customHeight="1" thickTop="1">
      <c r="B401" s="1176" t="s">
        <v>1</v>
      </c>
      <c r="C401" s="1183" t="s">
        <v>15</v>
      </c>
      <c r="D401" s="1178" t="s">
        <v>470</v>
      </c>
      <c r="E401" s="1179"/>
      <c r="F401" s="1180"/>
      <c r="G401" s="1183" t="s">
        <v>244</v>
      </c>
      <c r="H401" s="1183" t="s">
        <v>471</v>
      </c>
      <c r="I401" s="1185" t="s">
        <v>472</v>
      </c>
      <c r="J401" s="1181" t="s">
        <v>473</v>
      </c>
      <c r="K401" s="1181" t="s">
        <v>474</v>
      </c>
      <c r="L401" s="572" t="s">
        <v>475</v>
      </c>
      <c r="M401" s="1183" t="s">
        <v>477</v>
      </c>
      <c r="N401" s="572" t="s">
        <v>475</v>
      </c>
      <c r="O401" s="572" t="s">
        <v>478</v>
      </c>
      <c r="P401" s="1183"/>
      <c r="Q401" s="568" t="s">
        <v>145</v>
      </c>
      <c r="R401" s="568" t="s">
        <v>253</v>
      </c>
      <c r="S401" s="568" t="s">
        <v>440</v>
      </c>
      <c r="T401" s="1174" t="str">
        <f>T349</f>
        <v>TOTAL PREMI</v>
      </c>
      <c r="U401" s="1174" t="str">
        <f>U349</f>
        <v>TOTAL LEMBUR</v>
      </c>
      <c r="V401" s="1171" t="s">
        <v>665</v>
      </c>
      <c r="AA401" s="1222" t="s">
        <v>664</v>
      </c>
      <c r="AB401" s="1232" t="s">
        <v>226</v>
      </c>
      <c r="AD401" s="1171" t="s">
        <v>259</v>
      </c>
    </row>
    <row r="402" spans="2:30" ht="27" customHeight="1" thickBot="1">
      <c r="B402" s="1177"/>
      <c r="C402" s="1184"/>
      <c r="D402" s="573" t="s">
        <v>485</v>
      </c>
      <c r="E402" s="573" t="s">
        <v>486</v>
      </c>
      <c r="F402" s="573" t="s">
        <v>487</v>
      </c>
      <c r="G402" s="1184"/>
      <c r="H402" s="1184"/>
      <c r="I402" s="1186"/>
      <c r="J402" s="1182"/>
      <c r="K402" s="1182"/>
      <c r="L402" s="573" t="s">
        <v>476</v>
      </c>
      <c r="M402" s="1184"/>
      <c r="N402" s="573" t="s">
        <v>476</v>
      </c>
      <c r="O402" s="573" t="s">
        <v>479</v>
      </c>
      <c r="P402" s="1184"/>
      <c r="Q402" s="569" t="str">
        <f>Q350</f>
        <v>(MASA OKTOBER 2025)</v>
      </c>
      <c r="R402" s="569" t="s">
        <v>254</v>
      </c>
      <c r="S402" s="569" t="s">
        <v>439</v>
      </c>
      <c r="T402" s="1175"/>
      <c r="U402" s="1175"/>
      <c r="V402" s="1172"/>
      <c r="AA402" s="1223"/>
      <c r="AB402" s="1233"/>
      <c r="AD402" s="1172"/>
    </row>
    <row r="403" spans="2:30" ht="27" customHeight="1" thickTop="1">
      <c r="B403" s="387"/>
      <c r="C403" s="388"/>
      <c r="D403" s="388"/>
      <c r="E403" s="841"/>
      <c r="F403" s="709"/>
      <c r="G403" s="306"/>
      <c r="H403" s="306"/>
      <c r="I403" s="306"/>
      <c r="J403" s="306"/>
      <c r="K403" s="306"/>
      <c r="L403" s="306"/>
      <c r="M403" s="306"/>
      <c r="N403" s="306"/>
      <c r="O403" s="307"/>
      <c r="P403" s="307"/>
      <c r="Q403" s="307"/>
      <c r="R403" s="307"/>
      <c r="S403" s="307"/>
      <c r="T403" s="307"/>
      <c r="U403" s="307"/>
      <c r="V403" s="308"/>
      <c r="AA403" s="1234">
        <v>87891672</v>
      </c>
      <c r="AB403" s="1237">
        <f>V404-AA403</f>
        <v>75.220000013709068</v>
      </c>
      <c r="AD403" s="308"/>
    </row>
    <row r="404" spans="2:30" ht="27" customHeight="1">
      <c r="B404" s="234" t="s">
        <v>76</v>
      </c>
      <c r="C404" s="243">
        <v>14</v>
      </c>
      <c r="D404" s="243"/>
      <c r="E404" s="578">
        <v>414</v>
      </c>
      <c r="F404" s="277"/>
      <c r="G404" s="236"/>
      <c r="H404" s="236"/>
      <c r="I404" s="236"/>
      <c r="J404" s="236"/>
      <c r="K404" s="236"/>
      <c r="L404" s="236"/>
      <c r="M404" s="236"/>
      <c r="N404" s="236"/>
      <c r="O404" s="260"/>
      <c r="P404" s="260"/>
      <c r="Q404" s="577">
        <v>614448</v>
      </c>
      <c r="R404" s="577"/>
      <c r="S404" s="577">
        <v>24000</v>
      </c>
      <c r="T404" s="577">
        <v>0</v>
      </c>
      <c r="U404" s="260">
        <v>34289981.219999999</v>
      </c>
      <c r="V404" s="247">
        <v>87891747.220000014</v>
      </c>
      <c r="AA404" s="1235"/>
      <c r="AB404" s="1244"/>
      <c r="AC404" s="805"/>
      <c r="AD404" s="247"/>
    </row>
    <row r="405" spans="2:30" ht="27" customHeight="1" thickBot="1">
      <c r="B405" s="330"/>
      <c r="C405" s="331"/>
      <c r="D405" s="331"/>
      <c r="E405" s="713"/>
      <c r="F405" s="715"/>
      <c r="G405" s="333"/>
      <c r="H405" s="333"/>
      <c r="I405" s="333"/>
      <c r="J405" s="333"/>
      <c r="K405" s="333"/>
      <c r="L405" s="333"/>
      <c r="M405" s="333"/>
      <c r="N405" s="333"/>
      <c r="O405" s="334"/>
      <c r="P405" s="334"/>
      <c r="Q405" s="534"/>
      <c r="R405" s="534"/>
      <c r="S405" s="534"/>
      <c r="T405" s="534"/>
      <c r="U405" s="334"/>
      <c r="V405" s="335"/>
      <c r="AA405" s="1236"/>
      <c r="AB405" s="1233"/>
      <c r="AD405" s="335"/>
    </row>
    <row r="406" spans="2:30" ht="33.75" customHeight="1" thickTop="1" thickBot="1">
      <c r="B406" s="261" t="s">
        <v>3</v>
      </c>
      <c r="C406" s="567">
        <f t="shared" ref="C406:N406" si="27">SUM(C403:C405)</f>
        <v>14</v>
      </c>
      <c r="D406" s="567">
        <f t="shared" si="27"/>
        <v>0</v>
      </c>
      <c r="E406" s="567">
        <f t="shared" si="27"/>
        <v>414</v>
      </c>
      <c r="F406" s="567">
        <f t="shared" si="27"/>
        <v>0</v>
      </c>
      <c r="G406" s="567">
        <f t="shared" si="27"/>
        <v>0</v>
      </c>
      <c r="H406" s="567">
        <f t="shared" si="27"/>
        <v>0</v>
      </c>
      <c r="I406" s="567">
        <f t="shared" si="27"/>
        <v>0</v>
      </c>
      <c r="J406" s="567">
        <f t="shared" si="27"/>
        <v>0</v>
      </c>
      <c r="K406" s="567">
        <f t="shared" si="27"/>
        <v>0</v>
      </c>
      <c r="L406" s="567">
        <f t="shared" si="27"/>
        <v>0</v>
      </c>
      <c r="M406" s="567">
        <f t="shared" si="27"/>
        <v>0</v>
      </c>
      <c r="N406" s="567">
        <f t="shared" si="27"/>
        <v>0</v>
      </c>
      <c r="O406" s="567"/>
      <c r="P406" s="567">
        <f t="shared" ref="P406:V406" si="28">SUM(P403:P405)</f>
        <v>0</v>
      </c>
      <c r="Q406" s="567">
        <f t="shared" si="28"/>
        <v>614448</v>
      </c>
      <c r="R406" s="567">
        <f t="shared" si="28"/>
        <v>0</v>
      </c>
      <c r="S406" s="567">
        <f t="shared" si="28"/>
        <v>24000</v>
      </c>
      <c r="T406" s="567">
        <f t="shared" si="28"/>
        <v>0</v>
      </c>
      <c r="U406" s="265">
        <f t="shared" si="28"/>
        <v>34289981.219999999</v>
      </c>
      <c r="V406" s="265">
        <f t="shared" si="28"/>
        <v>87891747.220000014</v>
      </c>
      <c r="AA406" s="1099">
        <f>AA403</f>
        <v>87891672</v>
      </c>
      <c r="AB406" s="1099">
        <f>AB403</f>
        <v>75.220000013709068</v>
      </c>
      <c r="AC406" s="217"/>
      <c r="AD406" s="265"/>
    </row>
    <row r="407" spans="2:30" ht="17.25" customHeight="1" thickTop="1">
      <c r="B407" s="336"/>
      <c r="C407" s="566"/>
      <c r="D407" s="566"/>
      <c r="E407" s="566"/>
      <c r="F407" s="566"/>
      <c r="G407" s="337"/>
      <c r="H407" s="337"/>
      <c r="I407" s="337"/>
      <c r="J407" s="337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</row>
    <row r="408" spans="2:30" ht="17.25" customHeight="1">
      <c r="B408" s="336"/>
      <c r="C408" s="566"/>
      <c r="D408" s="566"/>
      <c r="E408" s="566"/>
      <c r="F408" s="566"/>
      <c r="G408" s="337"/>
      <c r="H408" s="337"/>
      <c r="I408" s="337"/>
      <c r="J408" s="337"/>
      <c r="K408" s="337"/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</row>
    <row r="409" spans="2:30" ht="17.25" customHeight="1">
      <c r="B409" s="336"/>
      <c r="C409" s="566"/>
      <c r="D409" s="566"/>
      <c r="E409" s="566"/>
      <c r="F409" s="566"/>
      <c r="G409" s="337"/>
      <c r="H409" s="337"/>
      <c r="I409" s="337"/>
      <c r="J409" s="337"/>
      <c r="K409" s="337"/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</row>
    <row r="410" spans="2:30" ht="17.25" customHeight="1">
      <c r="B410" s="336"/>
      <c r="C410" s="566"/>
      <c r="D410" s="566"/>
      <c r="E410" s="566"/>
      <c r="F410" s="566"/>
      <c r="G410" s="337"/>
      <c r="H410" s="337"/>
      <c r="I410" s="337"/>
      <c r="J410" s="337"/>
      <c r="K410" s="337"/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</row>
    <row r="411" spans="2:30" ht="17.25" customHeight="1">
      <c r="B411" s="336"/>
      <c r="E411" s="566"/>
      <c r="F411" s="566"/>
      <c r="G411" s="337"/>
      <c r="H411" s="337"/>
      <c r="I411" s="337"/>
      <c r="J411" s="337"/>
      <c r="K411" s="337"/>
      <c r="L411" s="337"/>
      <c r="M411" s="337"/>
      <c r="N411" s="337"/>
      <c r="O411" s="337"/>
      <c r="P411" s="337"/>
      <c r="Q411" s="337"/>
      <c r="R411" s="337"/>
      <c r="S411" s="337"/>
      <c r="T411" s="337"/>
      <c r="U411" s="337"/>
      <c r="V411" s="337"/>
    </row>
    <row r="412" spans="2:30" ht="17.25" customHeight="1">
      <c r="B412" s="336" t="s">
        <v>533</v>
      </c>
      <c r="C412" s="1173" t="s">
        <v>81</v>
      </c>
      <c r="D412" s="1173"/>
      <c r="E412" s="566"/>
      <c r="F412" s="1173"/>
      <c r="G412" s="1173"/>
      <c r="H412" s="1173"/>
      <c r="I412" s="1173"/>
      <c r="J412" s="337"/>
      <c r="K412" s="337"/>
      <c r="L412" s="1173" t="s">
        <v>82</v>
      </c>
      <c r="M412" s="1173"/>
      <c r="N412" s="1173"/>
      <c r="O412" s="1173"/>
      <c r="P412" s="1173"/>
      <c r="Q412" s="1173"/>
      <c r="R412" s="1173"/>
      <c r="S412" s="1173"/>
      <c r="T412" s="1173"/>
      <c r="U412" s="1173"/>
      <c r="V412" s="1173"/>
    </row>
    <row r="413" spans="2:30" ht="17.25" customHeight="1">
      <c r="B413" s="336"/>
      <c r="C413" s="566"/>
      <c r="D413" s="566"/>
      <c r="E413" s="566"/>
      <c r="F413" s="566"/>
      <c r="G413" s="337"/>
      <c r="H413" s="337"/>
      <c r="I413" s="337"/>
      <c r="J413" s="337"/>
      <c r="K413" s="337"/>
      <c r="L413" s="337"/>
      <c r="M413" s="337"/>
      <c r="N413" s="337"/>
      <c r="O413" s="337"/>
      <c r="P413" s="337"/>
      <c r="Q413" s="337"/>
      <c r="R413" s="337"/>
      <c r="S413" s="337"/>
      <c r="T413" s="337"/>
      <c r="U413" s="337"/>
      <c r="V413" s="337"/>
    </row>
    <row r="414" spans="2:30" ht="17.25" customHeight="1">
      <c r="B414" s="336"/>
      <c r="C414" s="566"/>
      <c r="D414" s="566"/>
      <c r="E414" s="566"/>
      <c r="F414" s="566"/>
      <c r="G414" s="337"/>
      <c r="H414" s="337"/>
      <c r="I414" s="337"/>
      <c r="J414" s="337"/>
      <c r="K414" s="337"/>
      <c r="L414" s="337"/>
      <c r="M414" s="337"/>
      <c r="N414" s="337"/>
      <c r="O414" s="337"/>
      <c r="P414" s="337"/>
      <c r="Q414" s="337" t="s">
        <v>144</v>
      </c>
      <c r="R414" s="337"/>
      <c r="S414" s="337"/>
      <c r="T414" s="337"/>
      <c r="U414" s="337"/>
      <c r="V414" s="337"/>
    </row>
    <row r="415" spans="2:30" ht="17.25" customHeight="1">
      <c r="B415" s="336"/>
      <c r="C415" s="566"/>
      <c r="D415" s="566"/>
      <c r="E415" s="566"/>
      <c r="F415" s="566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  <c r="T415" s="337"/>
      <c r="U415" s="337"/>
      <c r="V415" s="337"/>
    </row>
    <row r="416" spans="2:30" ht="17.25" customHeight="1">
      <c r="B416" s="336"/>
      <c r="C416" s="566"/>
      <c r="D416" s="566"/>
      <c r="E416" s="566"/>
      <c r="F416" s="1173"/>
      <c r="G416" s="1173"/>
      <c r="H416" s="1173"/>
      <c r="I416" s="1173"/>
      <c r="J416" s="337"/>
      <c r="K416" s="337"/>
      <c r="L416" s="1173"/>
      <c r="M416" s="1173"/>
      <c r="N416" s="1173"/>
      <c r="O416" s="1173"/>
      <c r="P416" s="1173"/>
      <c r="Q416" s="1173"/>
      <c r="R416" s="1173"/>
      <c r="S416" s="1173"/>
      <c r="T416" s="1173"/>
      <c r="U416" s="1173"/>
      <c r="V416" s="1173"/>
    </row>
    <row r="417" spans="2:33" ht="17.25" customHeight="1">
      <c r="B417" s="336"/>
      <c r="C417" s="566"/>
      <c r="D417" s="566"/>
      <c r="E417" s="566"/>
      <c r="F417" s="566"/>
      <c r="G417" s="337"/>
      <c r="H417" s="337"/>
      <c r="I417" s="337"/>
      <c r="J417" s="337"/>
      <c r="K417" s="337"/>
      <c r="L417" s="337"/>
      <c r="M417" s="337"/>
      <c r="N417" s="337"/>
      <c r="O417" s="337"/>
      <c r="P417" s="337"/>
      <c r="Q417" s="337"/>
      <c r="R417" s="337"/>
      <c r="S417" s="337"/>
      <c r="T417" s="337"/>
      <c r="U417" s="337"/>
      <c r="V417" s="337"/>
    </row>
    <row r="418" spans="2:33" ht="23.25" customHeight="1"/>
    <row r="419" spans="2:33" ht="23.25" customHeight="1"/>
    <row r="420" spans="2:33" ht="23.25" customHeight="1"/>
    <row r="421" spans="2:33" ht="23.25" customHeight="1">
      <c r="B421" s="215" t="str">
        <f>B50</f>
        <v>PT. REBINMAS JAYA</v>
      </c>
    </row>
    <row r="422" spans="2:33" ht="48.75" customHeight="1">
      <c r="B422" s="215" t="str">
        <f>B4</f>
        <v>DENOMINATION FOR OKTOBER 2025</v>
      </c>
    </row>
    <row r="423" spans="2:33" ht="27" customHeight="1" thickBot="1"/>
    <row r="424" spans="2:33" ht="27" customHeight="1" thickTop="1">
      <c r="B424" s="1176" t="s">
        <v>1</v>
      </c>
      <c r="C424" s="1183" t="s">
        <v>15</v>
      </c>
      <c r="D424" s="1178" t="s">
        <v>470</v>
      </c>
      <c r="E424" s="1179"/>
      <c r="F424" s="1180"/>
      <c r="G424" s="1183" t="s">
        <v>244</v>
      </c>
      <c r="H424" s="1183" t="s">
        <v>471</v>
      </c>
      <c r="I424" s="1185" t="s">
        <v>472</v>
      </c>
      <c r="J424" s="1181" t="s">
        <v>473</v>
      </c>
      <c r="K424" s="1181" t="s">
        <v>474</v>
      </c>
      <c r="L424" s="572" t="s">
        <v>475</v>
      </c>
      <c r="M424" s="1183" t="s">
        <v>477</v>
      </c>
      <c r="N424" s="572" t="s">
        <v>475</v>
      </c>
      <c r="O424" s="572" t="s">
        <v>478</v>
      </c>
      <c r="P424" s="1183"/>
      <c r="Q424" s="568" t="s">
        <v>145</v>
      </c>
      <c r="R424" s="568" t="s">
        <v>253</v>
      </c>
      <c r="S424" s="568" t="s">
        <v>440</v>
      </c>
      <c r="T424" s="1174" t="str">
        <f>T401</f>
        <v>TOTAL PREMI</v>
      </c>
      <c r="U424" s="1174" t="str">
        <f>U401</f>
        <v>TOTAL LEMBUR</v>
      </c>
      <c r="V424" s="1171" t="s">
        <v>665</v>
      </c>
      <c r="AA424" s="1230" t="s">
        <v>664</v>
      </c>
      <c r="AB424" s="1222" t="s">
        <v>226</v>
      </c>
      <c r="AD424" s="1171" t="s">
        <v>259</v>
      </c>
    </row>
    <row r="425" spans="2:33" ht="27" customHeight="1" thickBot="1">
      <c r="B425" s="1177"/>
      <c r="C425" s="1184"/>
      <c r="D425" s="573" t="s">
        <v>485</v>
      </c>
      <c r="E425" s="573" t="s">
        <v>486</v>
      </c>
      <c r="F425" s="573" t="s">
        <v>487</v>
      </c>
      <c r="G425" s="1184"/>
      <c r="H425" s="1184"/>
      <c r="I425" s="1186"/>
      <c r="J425" s="1182"/>
      <c r="K425" s="1182"/>
      <c r="L425" s="573" t="s">
        <v>476</v>
      </c>
      <c r="M425" s="1184"/>
      <c r="N425" s="573" t="s">
        <v>476</v>
      </c>
      <c r="O425" s="573" t="s">
        <v>479</v>
      </c>
      <c r="P425" s="1184"/>
      <c r="Q425" s="569" t="str">
        <f>Q402</f>
        <v>(MASA OKTOBER 2025)</v>
      </c>
      <c r="R425" s="569" t="s">
        <v>254</v>
      </c>
      <c r="S425" s="569" t="s">
        <v>439</v>
      </c>
      <c r="T425" s="1175"/>
      <c r="U425" s="1175"/>
      <c r="V425" s="1172"/>
      <c r="AA425" s="1231"/>
      <c r="AB425" s="1223"/>
      <c r="AD425" s="1172"/>
    </row>
    <row r="426" spans="2:33" s="242" customFormat="1" ht="27" customHeight="1" thickTop="1">
      <c r="B426" s="323"/>
      <c r="C426" s="324"/>
      <c r="D426" s="324"/>
      <c r="E426" s="714"/>
      <c r="F426" s="726"/>
      <c r="G426" s="326"/>
      <c r="H426" s="326"/>
      <c r="I426" s="326"/>
      <c r="J426" s="326"/>
      <c r="K426" s="326"/>
      <c r="L426" s="326"/>
      <c r="M426" s="326"/>
      <c r="N426" s="326"/>
      <c r="O426" s="327"/>
      <c r="P426" s="327"/>
      <c r="Q426" s="327"/>
      <c r="R426" s="327"/>
      <c r="S426" s="327"/>
      <c r="T426" s="327"/>
      <c r="U426" s="327"/>
      <c r="V426" s="328"/>
      <c r="W426" s="215"/>
      <c r="X426" s="215"/>
      <c r="Y426" s="215"/>
      <c r="Z426" s="215"/>
      <c r="AA426" s="1224">
        <v>28906719</v>
      </c>
      <c r="AB426" s="1227">
        <f>V427-AA426</f>
        <v>3.9999999105930328E-2</v>
      </c>
      <c r="AC426" s="215"/>
      <c r="AD426" s="328"/>
      <c r="AE426" s="339"/>
      <c r="AF426" s="216"/>
      <c r="AG426" s="796"/>
    </row>
    <row r="427" spans="2:33" ht="27" customHeight="1">
      <c r="B427" s="234" t="s">
        <v>31</v>
      </c>
      <c r="C427" s="292">
        <v>5</v>
      </c>
      <c r="D427" s="292"/>
      <c r="E427" s="310">
        <v>154</v>
      </c>
      <c r="F427" s="310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329">
        <v>78309</v>
      </c>
      <c r="R427" s="294"/>
      <c r="S427" s="329">
        <v>20000</v>
      </c>
      <c r="T427" s="329">
        <v>400000</v>
      </c>
      <c r="U427" s="294">
        <v>8358218.04</v>
      </c>
      <c r="V427" s="295">
        <v>28906719.039999999</v>
      </c>
      <c r="W427" s="242"/>
      <c r="X427" s="242"/>
      <c r="Y427" s="242"/>
      <c r="Z427" s="242"/>
      <c r="AA427" s="1225"/>
      <c r="AB427" s="1251"/>
      <c r="AC427" s="836"/>
      <c r="AD427" s="295"/>
      <c r="AE427" s="353"/>
      <c r="AF427" s="274"/>
    </row>
    <row r="428" spans="2:33" ht="27" customHeight="1" thickBot="1">
      <c r="B428" s="330"/>
      <c r="C428" s="331"/>
      <c r="D428" s="331"/>
      <c r="E428" s="713"/>
      <c r="F428" s="715"/>
      <c r="G428" s="333"/>
      <c r="H428" s="333"/>
      <c r="I428" s="333"/>
      <c r="J428" s="333"/>
      <c r="K428" s="333"/>
      <c r="L428" s="333"/>
      <c r="M428" s="333"/>
      <c r="N428" s="333"/>
      <c r="O428" s="334"/>
      <c r="P428" s="334"/>
      <c r="Q428" s="534"/>
      <c r="R428" s="334"/>
      <c r="S428" s="334"/>
      <c r="T428" s="534"/>
      <c r="U428" s="334"/>
      <c r="V428" s="335"/>
      <c r="AA428" s="1226"/>
      <c r="AB428" s="1223"/>
      <c r="AD428" s="335"/>
    </row>
    <row r="429" spans="2:33" ht="30.75" customHeight="1" thickTop="1" thickBot="1">
      <c r="B429" s="261" t="s">
        <v>3</v>
      </c>
      <c r="C429" s="567">
        <f t="shared" ref="C429:N429" si="29">SUM(C426:C428)</f>
        <v>5</v>
      </c>
      <c r="D429" s="567">
        <f t="shared" si="29"/>
        <v>0</v>
      </c>
      <c r="E429" s="567">
        <f t="shared" si="29"/>
        <v>154</v>
      </c>
      <c r="F429" s="567">
        <f t="shared" si="29"/>
        <v>0</v>
      </c>
      <c r="G429" s="567">
        <f t="shared" si="29"/>
        <v>0</v>
      </c>
      <c r="H429" s="567">
        <f t="shared" si="29"/>
        <v>0</v>
      </c>
      <c r="I429" s="567">
        <f t="shared" si="29"/>
        <v>0</v>
      </c>
      <c r="J429" s="567">
        <f t="shared" si="29"/>
        <v>0</v>
      </c>
      <c r="K429" s="567">
        <f t="shared" si="29"/>
        <v>0</v>
      </c>
      <c r="L429" s="567">
        <f t="shared" si="29"/>
        <v>0</v>
      </c>
      <c r="M429" s="567">
        <f t="shared" si="29"/>
        <v>0</v>
      </c>
      <c r="N429" s="567">
        <f t="shared" si="29"/>
        <v>0</v>
      </c>
      <c r="O429" s="567"/>
      <c r="P429" s="567">
        <f t="shared" ref="P429:V429" si="30">SUM(P426:P428)</f>
        <v>0</v>
      </c>
      <c r="Q429" s="567">
        <f t="shared" si="30"/>
        <v>78309</v>
      </c>
      <c r="R429" s="567">
        <f t="shared" si="30"/>
        <v>0</v>
      </c>
      <c r="S429" s="567">
        <f t="shared" si="30"/>
        <v>20000</v>
      </c>
      <c r="T429" s="597">
        <f t="shared" si="30"/>
        <v>400000</v>
      </c>
      <c r="U429" s="265">
        <f t="shared" si="30"/>
        <v>8358218.04</v>
      </c>
      <c r="V429" s="265">
        <f t="shared" si="30"/>
        <v>28906719.039999999</v>
      </c>
      <c r="AA429" s="1100">
        <f>AA426</f>
        <v>28906719</v>
      </c>
      <c r="AB429" s="1100">
        <f>AB426</f>
        <v>3.9999999105930328E-2</v>
      </c>
      <c r="AC429" s="217"/>
      <c r="AD429" s="265">
        <f>SUM(AD427:AD428)</f>
        <v>0</v>
      </c>
    </row>
    <row r="430" spans="2:33" ht="23.25" customHeight="1" thickTop="1">
      <c r="B430" s="336"/>
      <c r="C430" s="566"/>
      <c r="D430" s="566"/>
      <c r="E430" s="566"/>
      <c r="F430" s="566"/>
      <c r="G430" s="337"/>
      <c r="H430" s="337"/>
      <c r="I430" s="337"/>
      <c r="J430" s="337"/>
      <c r="K430" s="337"/>
      <c r="L430" s="337"/>
      <c r="M430" s="337"/>
      <c r="N430" s="337"/>
      <c r="O430" s="337"/>
      <c r="P430" s="337"/>
      <c r="Q430" s="337"/>
      <c r="R430" s="337"/>
      <c r="S430" s="337"/>
      <c r="T430" s="337"/>
      <c r="U430" s="337"/>
      <c r="V430" s="337"/>
    </row>
    <row r="431" spans="2:33" ht="23.25" customHeight="1">
      <c r="B431" s="336"/>
      <c r="C431" s="566"/>
      <c r="D431" s="566"/>
      <c r="E431" s="566"/>
      <c r="F431" s="566"/>
      <c r="G431" s="337"/>
      <c r="H431" s="337"/>
      <c r="I431" s="337"/>
      <c r="J431" s="337"/>
      <c r="K431" s="337"/>
      <c r="L431" s="337"/>
      <c r="M431" s="337"/>
      <c r="N431" s="337"/>
      <c r="O431" s="337"/>
      <c r="P431" s="337"/>
      <c r="Q431" s="337"/>
      <c r="R431" s="337"/>
      <c r="S431" s="337"/>
      <c r="T431" s="337"/>
      <c r="U431" s="337"/>
      <c r="V431" s="1144"/>
    </row>
    <row r="432" spans="2:33" ht="23.25" customHeight="1">
      <c r="B432" s="336"/>
      <c r="C432" s="566"/>
      <c r="D432" s="566"/>
      <c r="E432" s="566"/>
      <c r="F432" s="566"/>
      <c r="G432" s="337"/>
      <c r="H432" s="337"/>
      <c r="I432" s="337"/>
      <c r="J432" s="337"/>
      <c r="K432" s="337"/>
      <c r="L432" s="337"/>
      <c r="M432" s="337"/>
      <c r="N432" s="337"/>
      <c r="O432" s="337"/>
      <c r="P432" s="337"/>
      <c r="Q432" s="337"/>
      <c r="R432" s="337"/>
      <c r="S432" s="337"/>
      <c r="T432" s="337"/>
      <c r="U432" s="337"/>
      <c r="V432" s="1144"/>
    </row>
    <row r="433" spans="2:38" ht="23.25" customHeight="1">
      <c r="B433" s="336" t="s">
        <v>534</v>
      </c>
      <c r="C433" s="847" t="s">
        <v>81</v>
      </c>
      <c r="D433" s="847"/>
      <c r="E433" s="566"/>
      <c r="F433" s="1173"/>
      <c r="G433" s="1173"/>
      <c r="H433" s="1173"/>
      <c r="I433" s="1173"/>
      <c r="J433" s="337"/>
      <c r="K433" s="337"/>
      <c r="L433" s="1173" t="s">
        <v>82</v>
      </c>
      <c r="M433" s="1173"/>
      <c r="N433" s="1173"/>
      <c r="O433" s="1173"/>
      <c r="P433" s="1173"/>
      <c r="Q433" s="1173"/>
      <c r="R433" s="1173"/>
      <c r="S433" s="1173"/>
      <c r="T433" s="1173"/>
      <c r="U433" s="1173"/>
      <c r="V433" s="1173"/>
    </row>
    <row r="434" spans="2:38" ht="17.25" customHeight="1">
      <c r="B434" s="336"/>
      <c r="C434" s="566"/>
      <c r="D434" s="566"/>
      <c r="E434" s="566"/>
      <c r="F434" s="566"/>
      <c r="G434" s="337"/>
      <c r="H434" s="337"/>
      <c r="I434" s="337"/>
      <c r="J434" s="337"/>
      <c r="K434" s="337"/>
      <c r="L434" s="337"/>
      <c r="M434" s="337"/>
      <c r="N434" s="337"/>
      <c r="O434" s="337"/>
      <c r="P434" s="337"/>
      <c r="Q434" s="337"/>
      <c r="R434" s="337"/>
      <c r="S434" s="337"/>
      <c r="T434" s="337"/>
      <c r="U434" s="337"/>
      <c r="V434" s="337"/>
    </row>
    <row r="435" spans="2:38" ht="17.25" customHeight="1">
      <c r="B435" s="336"/>
      <c r="C435" s="566"/>
      <c r="D435" s="566"/>
      <c r="E435" s="566"/>
      <c r="F435" s="566"/>
      <c r="G435" s="337"/>
      <c r="H435" s="337"/>
      <c r="I435" s="337"/>
      <c r="J435" s="337"/>
      <c r="K435" s="337"/>
      <c r="L435" s="337"/>
      <c r="M435" s="337"/>
      <c r="N435" s="337"/>
      <c r="O435" s="337"/>
      <c r="P435" s="337"/>
      <c r="Q435" s="337"/>
      <c r="R435" s="337"/>
      <c r="S435" s="337"/>
      <c r="T435" s="337"/>
      <c r="U435" s="337"/>
      <c r="V435" s="337"/>
    </row>
    <row r="436" spans="2:38" ht="17.25" customHeight="1">
      <c r="B436" s="336"/>
      <c r="C436" s="566"/>
      <c r="D436" s="566"/>
      <c r="E436" s="566"/>
      <c r="F436" s="566"/>
      <c r="G436" s="337"/>
      <c r="H436" s="337"/>
      <c r="I436" s="337"/>
      <c r="J436" s="337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</row>
    <row r="437" spans="2:38" ht="17.25" customHeight="1">
      <c r="B437" s="336"/>
      <c r="C437" s="566"/>
      <c r="D437" s="566"/>
      <c r="E437" s="566"/>
      <c r="F437" s="566"/>
      <c r="G437" s="337"/>
      <c r="H437" s="337"/>
      <c r="I437" s="337"/>
      <c r="J437" s="337"/>
      <c r="K437" s="337"/>
      <c r="L437" s="337"/>
      <c r="M437" s="337"/>
      <c r="N437" s="337"/>
      <c r="O437" s="337"/>
      <c r="P437" s="337"/>
      <c r="Q437" s="337"/>
      <c r="R437" s="337"/>
      <c r="S437" s="337"/>
      <c r="T437" s="337"/>
      <c r="U437" s="337"/>
      <c r="V437" s="337"/>
      <c r="AA437" s="218"/>
    </row>
    <row r="438" spans="2:38" ht="17.25" customHeight="1">
      <c r="B438" s="336"/>
      <c r="C438" s="566"/>
      <c r="D438" s="566"/>
      <c r="E438" s="566"/>
      <c r="F438" s="566"/>
      <c r="G438" s="337"/>
      <c r="H438" s="337"/>
      <c r="I438" s="337"/>
      <c r="J438" s="337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</row>
    <row r="439" spans="2:38" ht="24.75" customHeight="1"/>
    <row r="440" spans="2:38" ht="24.75" customHeight="1"/>
    <row r="441" spans="2:38" ht="24.75" customHeight="1"/>
    <row r="442" spans="2:38" ht="24.75" customHeight="1">
      <c r="B442" s="215" t="s">
        <v>43</v>
      </c>
    </row>
    <row r="443" spans="2:38" ht="63.75" customHeight="1">
      <c r="B443" s="215" t="str">
        <f>B4</f>
        <v>DENOMINATION FOR OKTOBER 2025</v>
      </c>
    </row>
    <row r="444" spans="2:38" ht="27" customHeight="1" thickBot="1">
      <c r="B444" s="297"/>
    </row>
    <row r="445" spans="2:38" ht="27" customHeight="1" thickTop="1">
      <c r="B445" s="1176" t="s">
        <v>1</v>
      </c>
      <c r="C445" s="1183" t="s">
        <v>15</v>
      </c>
      <c r="D445" s="1178" t="s">
        <v>470</v>
      </c>
      <c r="E445" s="1179"/>
      <c r="F445" s="1180"/>
      <c r="G445" s="1183" t="s">
        <v>244</v>
      </c>
      <c r="H445" s="1183" t="s">
        <v>471</v>
      </c>
      <c r="I445" s="1185" t="s">
        <v>472</v>
      </c>
      <c r="J445" s="1181" t="s">
        <v>473</v>
      </c>
      <c r="K445" s="1181" t="s">
        <v>474</v>
      </c>
      <c r="L445" s="572" t="s">
        <v>475</v>
      </c>
      <c r="M445" s="1183" t="s">
        <v>477</v>
      </c>
      <c r="N445" s="572" t="s">
        <v>475</v>
      </c>
      <c r="O445" s="572" t="s">
        <v>478</v>
      </c>
      <c r="P445" s="1183"/>
      <c r="Q445" s="568" t="s">
        <v>145</v>
      </c>
      <c r="R445" s="568" t="s">
        <v>253</v>
      </c>
      <c r="S445" s="568" t="s">
        <v>440</v>
      </c>
      <c r="T445" s="1174" t="str">
        <f>T401</f>
        <v>TOTAL PREMI</v>
      </c>
      <c r="U445" s="1174" t="str">
        <f>U401</f>
        <v>TOTAL LEMBUR</v>
      </c>
      <c r="V445" s="1171" t="s">
        <v>665</v>
      </c>
      <c r="AA445" s="1222" t="s">
        <v>664</v>
      </c>
      <c r="AB445" s="1232" t="s">
        <v>226</v>
      </c>
      <c r="AD445" s="1171" t="s">
        <v>259</v>
      </c>
      <c r="AF445" s="1189" t="s">
        <v>542</v>
      </c>
      <c r="AG445" s="1191" t="s">
        <v>617</v>
      </c>
      <c r="AH445" s="1166" t="s">
        <v>452</v>
      </c>
      <c r="AI445" s="1167"/>
      <c r="AJ445" s="1168"/>
      <c r="AL445" s="215" t="s">
        <v>654</v>
      </c>
    </row>
    <row r="446" spans="2:38" ht="27" customHeight="1" thickBot="1">
      <c r="B446" s="1177"/>
      <c r="C446" s="1184"/>
      <c r="D446" s="573" t="s">
        <v>485</v>
      </c>
      <c r="E446" s="573" t="s">
        <v>486</v>
      </c>
      <c r="F446" s="573" t="s">
        <v>487</v>
      </c>
      <c r="G446" s="1184"/>
      <c r="H446" s="1184"/>
      <c r="I446" s="1186"/>
      <c r="J446" s="1182"/>
      <c r="K446" s="1182"/>
      <c r="L446" s="573" t="s">
        <v>476</v>
      </c>
      <c r="M446" s="1184"/>
      <c r="N446" s="573" t="s">
        <v>476</v>
      </c>
      <c r="O446" s="573" t="s">
        <v>479</v>
      </c>
      <c r="P446" s="1184"/>
      <c r="Q446" s="569" t="str">
        <f>Q425</f>
        <v>(MASA OKTOBER 2025)</v>
      </c>
      <c r="R446" s="569" t="s">
        <v>254</v>
      </c>
      <c r="S446" s="569" t="s">
        <v>439</v>
      </c>
      <c r="T446" s="1175"/>
      <c r="U446" s="1175"/>
      <c r="V446" s="1172"/>
      <c r="AA446" s="1223"/>
      <c r="AB446" s="1233"/>
      <c r="AC446" s="216"/>
      <c r="AD446" s="1172"/>
      <c r="AF446" s="1190"/>
      <c r="AG446" s="1192"/>
      <c r="AH446" s="1015" t="s">
        <v>611</v>
      </c>
      <c r="AI446" s="1017" t="s">
        <v>612</v>
      </c>
      <c r="AJ446" s="1014"/>
    </row>
    <row r="447" spans="2:38" s="242" customFormat="1" ht="27" customHeight="1" thickTop="1">
      <c r="B447" s="371"/>
      <c r="C447" s="312"/>
      <c r="D447" s="710"/>
      <c r="E447" s="710"/>
      <c r="F447" s="708"/>
      <c r="G447" s="270"/>
      <c r="H447" s="270"/>
      <c r="I447" s="270"/>
      <c r="J447" s="270"/>
      <c r="K447" s="270"/>
      <c r="L447" s="270"/>
      <c r="M447" s="270"/>
      <c r="N447" s="270"/>
      <c r="O447" s="271"/>
      <c r="P447" s="271"/>
      <c r="Q447" s="271"/>
      <c r="R447" s="271"/>
      <c r="S447" s="271"/>
      <c r="T447" s="271"/>
      <c r="U447" s="271"/>
      <c r="V447" s="272"/>
      <c r="W447" s="215"/>
      <c r="X447" s="215"/>
      <c r="Y447" s="215"/>
      <c r="Z447" s="215"/>
      <c r="AA447" s="1234">
        <v>222679965</v>
      </c>
      <c r="AB447" s="1237">
        <f>V456-AA447</f>
        <v>-0.1600000262260437</v>
      </c>
      <c r="AC447" s="215"/>
      <c r="AD447" s="272"/>
      <c r="AE447" s="339"/>
      <c r="AF447" s="292"/>
      <c r="AG447" s="1020"/>
      <c r="AH447" s="1016"/>
      <c r="AI447" s="1016"/>
      <c r="AJ447" s="1016"/>
    </row>
    <row r="448" spans="2:38" ht="27" customHeight="1">
      <c r="B448" s="234" t="s">
        <v>327</v>
      </c>
      <c r="C448" s="277">
        <v>18</v>
      </c>
      <c r="D448" s="277"/>
      <c r="E448" s="277">
        <v>539</v>
      </c>
      <c r="F448" s="310"/>
      <c r="G448" s="236"/>
      <c r="H448" s="236"/>
      <c r="I448" s="236"/>
      <c r="J448" s="236"/>
      <c r="K448" s="236"/>
      <c r="L448" s="236"/>
      <c r="M448" s="236"/>
      <c r="N448" s="236"/>
      <c r="O448" s="260"/>
      <c r="P448" s="260"/>
      <c r="Q448" s="577">
        <v>895827</v>
      </c>
      <c r="R448" s="577"/>
      <c r="S448" s="577">
        <v>180000</v>
      </c>
      <c r="T448" s="260">
        <f>3220000+AK448</f>
        <v>37106648</v>
      </c>
      <c r="U448" s="260">
        <v>0</v>
      </c>
      <c r="V448" s="295">
        <v>112001499</v>
      </c>
      <c r="W448" s="242"/>
      <c r="X448" s="242"/>
      <c r="Y448" s="242"/>
      <c r="Z448" s="242"/>
      <c r="AA448" s="1235"/>
      <c r="AB448" s="1238"/>
      <c r="AC448" s="836"/>
      <c r="AD448" s="247"/>
      <c r="AE448" s="353"/>
      <c r="AF448" s="450">
        <v>0</v>
      </c>
      <c r="AG448" s="1019">
        <v>6500000</v>
      </c>
      <c r="AH448" s="1013">
        <v>27073898</v>
      </c>
      <c r="AI448" s="1017"/>
      <c r="AJ448" s="1013">
        <v>6812750</v>
      </c>
      <c r="AK448" s="1121">
        <f>AH448+AJ448</f>
        <v>33886648</v>
      </c>
      <c r="AL448" s="1012"/>
    </row>
    <row r="449" spans="2:38" ht="27" customHeight="1">
      <c r="B449" s="234"/>
      <c r="C449" s="277"/>
      <c r="D449" s="277"/>
      <c r="E449" s="277"/>
      <c r="F449" s="310"/>
      <c r="G449" s="236"/>
      <c r="H449" s="236"/>
      <c r="I449" s="236"/>
      <c r="J449" s="236"/>
      <c r="K449" s="236"/>
      <c r="L449" s="236"/>
      <c r="M449" s="236"/>
      <c r="N449" s="236"/>
      <c r="O449" s="260"/>
      <c r="P449" s="260"/>
      <c r="Q449" s="577"/>
      <c r="R449" s="577"/>
      <c r="S449" s="577"/>
      <c r="T449" s="260"/>
      <c r="U449" s="260"/>
      <c r="V449" s="247"/>
      <c r="AA449" s="1235"/>
      <c r="AB449" s="1238"/>
      <c r="AC449" s="834"/>
      <c r="AD449" s="247"/>
      <c r="AF449" s="450"/>
      <c r="AG449" s="1018"/>
      <c r="AH449" s="1017"/>
      <c r="AI449" s="1017"/>
      <c r="AJ449" s="1017"/>
    </row>
    <row r="450" spans="2:38" ht="27" customHeight="1">
      <c r="B450" s="234" t="s">
        <v>653</v>
      </c>
      <c r="C450" s="277">
        <v>21</v>
      </c>
      <c r="D450" s="277"/>
      <c r="E450" s="277">
        <v>612</v>
      </c>
      <c r="F450" s="310"/>
      <c r="G450" s="236"/>
      <c r="H450" s="236"/>
      <c r="I450" s="236"/>
      <c r="J450" s="236"/>
      <c r="K450" s="236"/>
      <c r="L450" s="236"/>
      <c r="M450" s="236"/>
      <c r="N450" s="236"/>
      <c r="O450" s="260"/>
      <c r="P450" s="260"/>
      <c r="Q450" s="577">
        <v>63888</v>
      </c>
      <c r="R450" s="577"/>
      <c r="S450" s="577">
        <v>210000</v>
      </c>
      <c r="T450" s="260">
        <v>256870</v>
      </c>
      <c r="U450" s="260">
        <v>3125928.76</v>
      </c>
      <c r="V450" s="247">
        <v>81608676.760000005</v>
      </c>
      <c r="AA450" s="1235"/>
      <c r="AB450" s="1238"/>
      <c r="AC450" s="834"/>
      <c r="AD450" s="247"/>
      <c r="AF450" s="450"/>
      <c r="AG450" s="1018"/>
      <c r="AH450" s="1017"/>
      <c r="AI450" s="1017"/>
      <c r="AJ450" s="1017"/>
    </row>
    <row r="451" spans="2:38" s="242" customFormat="1" ht="27" customHeight="1">
      <c r="B451" s="234"/>
      <c r="C451" s="277"/>
      <c r="D451" s="277"/>
      <c r="E451" s="277"/>
      <c r="F451" s="310"/>
      <c r="G451" s="236"/>
      <c r="H451" s="236"/>
      <c r="I451" s="236"/>
      <c r="J451" s="236"/>
      <c r="K451" s="236"/>
      <c r="L451" s="236"/>
      <c r="M451" s="236"/>
      <c r="N451" s="236"/>
      <c r="O451" s="260"/>
      <c r="P451" s="260"/>
      <c r="Q451" s="577"/>
      <c r="R451" s="577"/>
      <c r="S451" s="577"/>
      <c r="T451" s="260"/>
      <c r="U451" s="260"/>
      <c r="V451" s="247"/>
      <c r="W451" s="215"/>
      <c r="X451" s="215"/>
      <c r="Y451" s="215"/>
      <c r="Z451" s="215"/>
      <c r="AA451" s="1235"/>
      <c r="AB451" s="1238"/>
      <c r="AC451" s="834"/>
      <c r="AD451" s="247"/>
      <c r="AE451" s="339"/>
      <c r="AF451" s="450"/>
      <c r="AG451" s="1018"/>
      <c r="AH451" s="1016"/>
      <c r="AI451" s="1016"/>
      <c r="AJ451" s="1016"/>
      <c r="AL451" s="215" t="s">
        <v>671</v>
      </c>
    </row>
    <row r="452" spans="2:38" s="242" customFormat="1" ht="27" customHeight="1">
      <c r="B452" s="234" t="s">
        <v>448</v>
      </c>
      <c r="C452" s="235">
        <v>2</v>
      </c>
      <c r="D452" s="277"/>
      <c r="E452" s="277">
        <v>60</v>
      </c>
      <c r="F452" s="310"/>
      <c r="G452" s="236"/>
      <c r="H452" s="236"/>
      <c r="I452" s="236"/>
      <c r="J452" s="236"/>
      <c r="K452" s="236"/>
      <c r="L452" s="236"/>
      <c r="M452" s="236"/>
      <c r="N452" s="236"/>
      <c r="O452" s="260"/>
      <c r="P452" s="260"/>
      <c r="Q452" s="577">
        <v>144991</v>
      </c>
      <c r="R452" s="577"/>
      <c r="S452" s="577">
        <v>20000</v>
      </c>
      <c r="T452" s="260">
        <v>2898464</v>
      </c>
      <c r="U452" s="260">
        <v>2845827.66</v>
      </c>
      <c r="V452" s="247">
        <v>13509192.66</v>
      </c>
      <c r="AA452" s="1235"/>
      <c r="AB452" s="1238"/>
      <c r="AC452" s="868"/>
      <c r="AD452" s="247"/>
      <c r="AE452" s="353"/>
      <c r="AF452" s="450"/>
      <c r="AG452" s="1018"/>
      <c r="AH452" s="1016"/>
      <c r="AI452" s="1016"/>
      <c r="AJ452" s="1016"/>
      <c r="AL452" s="1010"/>
    </row>
    <row r="453" spans="2:38" s="242" customFormat="1" ht="27" customHeight="1">
      <c r="B453" s="643"/>
      <c r="C453" s="373"/>
      <c r="D453" s="384"/>
      <c r="E453" s="384"/>
      <c r="F453" s="310"/>
      <c r="G453" s="385"/>
      <c r="H453" s="385"/>
      <c r="I453" s="385"/>
      <c r="J453" s="385"/>
      <c r="K453" s="385"/>
      <c r="L453" s="385"/>
      <c r="M453" s="385"/>
      <c r="N453" s="385"/>
      <c r="O453" s="302"/>
      <c r="P453" s="302"/>
      <c r="Q453" s="524"/>
      <c r="R453" s="524"/>
      <c r="S453" s="524"/>
      <c r="T453" s="302"/>
      <c r="U453" s="302"/>
      <c r="V453" s="386"/>
      <c r="AA453" s="1235"/>
      <c r="AB453" s="1238"/>
      <c r="AC453" s="834"/>
      <c r="AD453" s="386"/>
      <c r="AE453" s="353"/>
      <c r="AF453" s="450"/>
      <c r="AG453" s="1018"/>
      <c r="AH453" s="1016"/>
      <c r="AI453" s="1016"/>
      <c r="AJ453" s="1016"/>
    </row>
    <row r="454" spans="2:38" s="242" customFormat="1" ht="27.75" customHeight="1">
      <c r="B454" s="234" t="s">
        <v>607</v>
      </c>
      <c r="C454" s="235">
        <v>2</v>
      </c>
      <c r="D454" s="277"/>
      <c r="E454" s="277">
        <v>62</v>
      </c>
      <c r="F454" s="310"/>
      <c r="G454" s="236"/>
      <c r="H454" s="236"/>
      <c r="I454" s="236"/>
      <c r="J454" s="236"/>
      <c r="K454" s="236"/>
      <c r="L454" s="236"/>
      <c r="M454" s="236"/>
      <c r="N454" s="236"/>
      <c r="O454" s="260"/>
      <c r="P454" s="260"/>
      <c r="Q454" s="577">
        <v>164338</v>
      </c>
      <c r="R454" s="577"/>
      <c r="S454" s="277">
        <v>20000</v>
      </c>
      <c r="T454" s="302">
        <v>3476670</v>
      </c>
      <c r="U454" s="302">
        <v>4022252.42</v>
      </c>
      <c r="V454" s="386">
        <v>15560596.420000002</v>
      </c>
      <c r="AA454" s="1235"/>
      <c r="AB454" s="1238"/>
      <c r="AC454" s="834"/>
      <c r="AD454" s="386"/>
      <c r="AE454" s="353"/>
      <c r="AF454" s="450"/>
      <c r="AG454" s="1018"/>
      <c r="AH454" s="1016"/>
      <c r="AI454" s="1016"/>
      <c r="AJ454" s="1016"/>
      <c r="AL454" s="1010"/>
    </row>
    <row r="455" spans="2:38" s="242" customFormat="1" ht="26.25" customHeight="1" thickBot="1">
      <c r="B455" s="405"/>
      <c r="C455" s="402"/>
      <c r="D455" s="402"/>
      <c r="E455" s="715"/>
      <c r="F455" s="715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534"/>
      <c r="R455" s="534"/>
      <c r="S455" s="534"/>
      <c r="T455" s="334"/>
      <c r="U455" s="334"/>
      <c r="V455" s="335"/>
      <c r="AA455" s="1236"/>
      <c r="AB455" s="1239"/>
      <c r="AC455" s="834"/>
      <c r="AD455" s="335"/>
      <c r="AE455" s="353"/>
      <c r="AF455" s="450"/>
      <c r="AG455" s="1018"/>
      <c r="AH455" s="1016"/>
      <c r="AI455" s="1016"/>
      <c r="AJ455" s="1016"/>
    </row>
    <row r="456" spans="2:38" ht="32.25" customHeight="1" thickTop="1" thickBot="1">
      <c r="B456" s="595" t="s">
        <v>3</v>
      </c>
      <c r="C456" s="262">
        <f>SUM(C448:C455)</f>
        <v>43</v>
      </c>
      <c r="D456" s="262">
        <f t="shared" ref="D456:U456" si="31">SUM(D448:D455)</f>
        <v>0</v>
      </c>
      <c r="E456" s="262">
        <f>SUM(E448:E455)</f>
        <v>1273</v>
      </c>
      <c r="F456" s="262">
        <f t="shared" si="31"/>
        <v>0</v>
      </c>
      <c r="G456" s="262">
        <f t="shared" si="31"/>
        <v>0</v>
      </c>
      <c r="H456" s="262">
        <f t="shared" si="31"/>
        <v>0</v>
      </c>
      <c r="I456" s="262">
        <f t="shared" si="31"/>
        <v>0</v>
      </c>
      <c r="J456" s="262">
        <f t="shared" si="31"/>
        <v>0</v>
      </c>
      <c r="K456" s="262">
        <f t="shared" si="31"/>
        <v>0</v>
      </c>
      <c r="L456" s="262">
        <f t="shared" si="31"/>
        <v>0</v>
      </c>
      <c r="M456" s="262">
        <f t="shared" si="31"/>
        <v>0</v>
      </c>
      <c r="N456" s="262">
        <f t="shared" si="31"/>
        <v>0</v>
      </c>
      <c r="O456" s="262">
        <f t="shared" si="31"/>
        <v>0</v>
      </c>
      <c r="P456" s="262">
        <f t="shared" si="31"/>
        <v>0</v>
      </c>
      <c r="Q456" s="597">
        <f t="shared" si="31"/>
        <v>1269044</v>
      </c>
      <c r="R456" s="597">
        <f t="shared" si="31"/>
        <v>0</v>
      </c>
      <c r="S456" s="597">
        <f t="shared" si="31"/>
        <v>430000</v>
      </c>
      <c r="T456" s="602">
        <f t="shared" si="31"/>
        <v>43738652</v>
      </c>
      <c r="U456" s="602">
        <f t="shared" si="31"/>
        <v>9994008.8399999999</v>
      </c>
      <c r="V456" s="602">
        <f>SUM(V448:V455)</f>
        <v>222679964.83999997</v>
      </c>
      <c r="W456" s="242"/>
      <c r="X456" s="242"/>
      <c r="Y456" s="242"/>
      <c r="Z456" s="242"/>
      <c r="AA456" s="1099">
        <f>AA447</f>
        <v>222679965</v>
      </c>
      <c r="AB456" s="1099">
        <f>AB447</f>
        <v>-0.1600000262260437</v>
      </c>
      <c r="AC456" s="217"/>
      <c r="AD456" s="596">
        <f>SUM(AD448:AD455)</f>
        <v>0</v>
      </c>
      <c r="AE456" s="353"/>
      <c r="AF456" s="310">
        <f>SUM(AF447:AF455)</f>
        <v>0</v>
      </c>
      <c r="AG456" s="1018">
        <f>SUM(AG448:AG455)</f>
        <v>6500000</v>
      </c>
      <c r="AH456" s="1044">
        <f t="shared" ref="AH456:AJ456" si="32">SUM(AH448:AH455)</f>
        <v>27073898</v>
      </c>
      <c r="AI456" s="1044">
        <f t="shared" si="32"/>
        <v>0</v>
      </c>
      <c r="AJ456" s="1079">
        <f t="shared" si="32"/>
        <v>6812750</v>
      </c>
    </row>
    <row r="457" spans="2:38" ht="17.25" customHeight="1" thickTop="1">
      <c r="B457" s="336"/>
      <c r="C457" s="566"/>
      <c r="D457" s="566"/>
      <c r="E457" s="566"/>
      <c r="F457" s="566"/>
      <c r="G457" s="337"/>
      <c r="H457" s="337"/>
      <c r="I457" s="337"/>
      <c r="J457" s="337"/>
      <c r="K457" s="337"/>
      <c r="L457" s="337"/>
      <c r="M457" s="337"/>
      <c r="N457" s="337"/>
      <c r="O457" s="337"/>
      <c r="P457" s="337"/>
      <c r="Q457" s="337"/>
      <c r="R457" s="337"/>
      <c r="S457" s="337"/>
      <c r="T457" s="337"/>
      <c r="U457" s="337"/>
      <c r="V457" s="337"/>
    </row>
    <row r="458" spans="2:38" ht="17.25" customHeight="1">
      <c r="B458" s="336"/>
      <c r="C458" s="566"/>
      <c r="D458" s="566"/>
      <c r="E458" s="566"/>
      <c r="F458" s="566"/>
      <c r="G458" s="337"/>
      <c r="H458" s="337"/>
      <c r="I458" s="337"/>
      <c r="J458" s="337"/>
      <c r="K458" s="337"/>
      <c r="L458" s="337"/>
      <c r="M458" s="337"/>
      <c r="N458" s="337"/>
      <c r="O458" s="337"/>
      <c r="P458" s="337"/>
      <c r="Q458" s="337"/>
      <c r="R458" s="337"/>
      <c r="S458" s="337"/>
      <c r="T458" s="337"/>
      <c r="U458" s="337"/>
      <c r="V458" s="337"/>
      <c r="AD458" s="492"/>
    </row>
    <row r="459" spans="2:38" ht="17.25" customHeight="1">
      <c r="B459" s="336"/>
      <c r="C459" s="566"/>
      <c r="D459" s="566"/>
      <c r="E459" s="566"/>
      <c r="F459" s="566"/>
      <c r="G459" s="337"/>
      <c r="H459" s="1173"/>
      <c r="I459" s="1173"/>
      <c r="J459" s="1173"/>
      <c r="K459" s="1173"/>
      <c r="L459" s="337"/>
      <c r="M459" s="337"/>
      <c r="N459" s="337"/>
      <c r="O459" s="337"/>
      <c r="P459" s="337"/>
      <c r="Q459" s="337"/>
      <c r="R459" s="337"/>
      <c r="S459" s="337"/>
      <c r="T459" s="337"/>
      <c r="U459" s="337"/>
      <c r="V459" s="337"/>
    </row>
    <row r="460" spans="2:38" ht="17.25" customHeight="1">
      <c r="B460" s="336"/>
      <c r="C460" s="566"/>
      <c r="D460" s="566"/>
      <c r="E460" s="566"/>
      <c r="F460" s="566"/>
      <c r="G460" s="337"/>
      <c r="H460" s="337"/>
      <c r="I460" s="337"/>
      <c r="J460" s="337"/>
      <c r="K460" s="337"/>
      <c r="L460" s="337"/>
      <c r="M460" s="337"/>
      <c r="N460" s="337"/>
      <c r="O460" s="337"/>
      <c r="P460" s="337"/>
      <c r="Q460" s="337"/>
      <c r="R460" s="337"/>
      <c r="S460" s="337"/>
      <c r="T460" s="337"/>
      <c r="U460" s="337"/>
      <c r="V460" s="337"/>
    </row>
    <row r="461" spans="2:38" ht="17.25" customHeight="1">
      <c r="B461" s="336" t="s">
        <v>535</v>
      </c>
      <c r="C461" s="847" t="s">
        <v>81</v>
      </c>
      <c r="D461" s="847"/>
      <c r="E461" s="566"/>
      <c r="F461" s="566"/>
      <c r="G461" s="337"/>
      <c r="H461" s="337"/>
      <c r="I461" s="337"/>
      <c r="J461" s="337"/>
      <c r="K461" s="337"/>
      <c r="L461" s="1173" t="s">
        <v>82</v>
      </c>
      <c r="M461" s="1173"/>
      <c r="N461" s="1173"/>
      <c r="O461" s="1173"/>
      <c r="P461" s="1173"/>
      <c r="Q461" s="1173"/>
      <c r="R461" s="1173"/>
      <c r="S461" s="1173"/>
      <c r="T461" s="1173"/>
      <c r="U461" s="1173"/>
      <c r="V461" s="1173"/>
    </row>
    <row r="462" spans="2:38" ht="17.25" customHeight="1">
      <c r="B462" s="336"/>
      <c r="C462" s="566"/>
      <c r="D462" s="566"/>
      <c r="E462" s="566"/>
      <c r="F462" s="1173"/>
      <c r="G462" s="1173"/>
      <c r="H462" s="1173"/>
      <c r="I462" s="1173"/>
      <c r="J462" s="337"/>
      <c r="K462" s="337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</row>
    <row r="463" spans="2:38" ht="17.25" customHeight="1">
      <c r="B463" s="336"/>
      <c r="C463" s="566"/>
      <c r="D463" s="566"/>
      <c r="E463" s="566"/>
      <c r="F463" s="566"/>
      <c r="G463" s="566"/>
      <c r="H463" s="566"/>
      <c r="I463" s="566"/>
      <c r="J463" s="337"/>
      <c r="K463" s="337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</row>
    <row r="464" spans="2:38" ht="17.25" customHeight="1">
      <c r="C464" s="566"/>
      <c r="D464" s="566"/>
      <c r="E464" s="566"/>
      <c r="F464" s="566"/>
      <c r="G464" s="337"/>
      <c r="H464" s="337"/>
      <c r="I464" s="337"/>
      <c r="J464" s="337"/>
      <c r="K464" s="337"/>
      <c r="L464" s="337"/>
      <c r="M464" s="337"/>
      <c r="N464" s="337"/>
      <c r="O464" s="337"/>
      <c r="P464" s="337"/>
      <c r="Q464" s="566"/>
      <c r="R464" s="337"/>
      <c r="S464" s="337"/>
      <c r="T464" s="337"/>
      <c r="U464" s="337"/>
      <c r="V464" s="337"/>
    </row>
    <row r="465" spans="2:33" ht="24.75" customHeight="1">
      <c r="F465" s="727"/>
      <c r="G465" s="281"/>
      <c r="N465" s="281"/>
      <c r="O465" s="281"/>
      <c r="P465" s="281"/>
      <c r="Q465" s="566"/>
      <c r="R465" s="281"/>
      <c r="S465" s="281"/>
      <c r="T465" s="281"/>
      <c r="U465" s="281"/>
      <c r="AC465" s="218"/>
      <c r="AD465" s="492"/>
      <c r="AE465" s="492"/>
      <c r="AF465" s="278"/>
    </row>
    <row r="466" spans="2:33" ht="26.25" customHeight="1">
      <c r="B466" s="215" t="s">
        <v>0</v>
      </c>
      <c r="F466" s="727"/>
      <c r="G466" s="281"/>
      <c r="N466" s="281"/>
      <c r="O466" s="281"/>
      <c r="P466" s="281"/>
      <c r="Q466" s="566"/>
      <c r="R466" s="281"/>
      <c r="S466" s="281"/>
      <c r="T466" s="281"/>
      <c r="U466" s="281"/>
      <c r="AC466" s="218"/>
      <c r="AD466" s="492"/>
      <c r="AE466" s="492"/>
      <c r="AF466" s="278"/>
    </row>
    <row r="467" spans="2:33" ht="63.75" customHeight="1">
      <c r="B467" s="215" t="str">
        <f>B4</f>
        <v>DENOMINATION FOR OKTOBER 2025</v>
      </c>
      <c r="F467" s="727"/>
      <c r="G467" s="281"/>
      <c r="N467" s="281"/>
      <c r="O467" s="281"/>
      <c r="P467" s="281"/>
      <c r="Q467" s="566"/>
      <c r="R467" s="281"/>
      <c r="S467" s="281"/>
      <c r="T467" s="281"/>
      <c r="U467" s="281"/>
      <c r="AC467" s="218"/>
      <c r="AD467" s="492"/>
      <c r="AE467" s="492"/>
      <c r="AF467" s="278"/>
    </row>
    <row r="468" spans="2:33" ht="27" customHeight="1" thickBot="1">
      <c r="F468" s="727"/>
      <c r="G468" s="281"/>
      <c r="N468" s="281"/>
      <c r="O468" s="281"/>
      <c r="P468" s="281"/>
      <c r="Q468" s="281"/>
      <c r="R468" s="281"/>
      <c r="S468" s="281"/>
      <c r="T468" s="281"/>
      <c r="U468" s="281"/>
    </row>
    <row r="469" spans="2:33" ht="27" customHeight="1" thickTop="1">
      <c r="B469" s="1176" t="s">
        <v>1</v>
      </c>
      <c r="C469" s="572" t="s">
        <v>15</v>
      </c>
      <c r="D469" s="1178" t="s">
        <v>470</v>
      </c>
      <c r="E469" s="1179"/>
      <c r="F469" s="1180"/>
      <c r="G469" s="1183" t="s">
        <v>244</v>
      </c>
      <c r="H469" s="1183" t="s">
        <v>471</v>
      </c>
      <c r="I469" s="1185" t="s">
        <v>472</v>
      </c>
      <c r="J469" s="1181" t="s">
        <v>473</v>
      </c>
      <c r="K469" s="1181" t="s">
        <v>474</v>
      </c>
      <c r="L469" s="572" t="s">
        <v>475</v>
      </c>
      <c r="M469" s="1183" t="s">
        <v>477</v>
      </c>
      <c r="N469" s="572" t="s">
        <v>475</v>
      </c>
      <c r="O469" s="572" t="s">
        <v>478</v>
      </c>
      <c r="P469" s="1183"/>
      <c r="Q469" s="568" t="str">
        <f>Q6</f>
        <v>TOTAL PPH 21</v>
      </c>
      <c r="R469" s="568" t="s">
        <v>253</v>
      </c>
      <c r="S469" s="568" t="s">
        <v>440</v>
      </c>
      <c r="T469" s="1174" t="str">
        <f>T445</f>
        <v>TOTAL PREMI</v>
      </c>
      <c r="U469" s="1174" t="str">
        <f>U445</f>
        <v>TOTAL LEMBUR</v>
      </c>
      <c r="V469" s="1171" t="s">
        <v>665</v>
      </c>
      <c r="AA469" s="1222" t="s">
        <v>664</v>
      </c>
      <c r="AB469" s="1232" t="s">
        <v>226</v>
      </c>
      <c r="AD469" s="1171" t="s">
        <v>259</v>
      </c>
    </row>
    <row r="470" spans="2:33" ht="27" customHeight="1" thickBot="1">
      <c r="B470" s="1177"/>
      <c r="C470" s="573"/>
      <c r="D470" s="573" t="s">
        <v>485</v>
      </c>
      <c r="E470" s="573" t="s">
        <v>486</v>
      </c>
      <c r="F470" s="573" t="s">
        <v>487</v>
      </c>
      <c r="G470" s="1184"/>
      <c r="H470" s="1184"/>
      <c r="I470" s="1186"/>
      <c r="J470" s="1182"/>
      <c r="K470" s="1182"/>
      <c r="L470" s="573" t="s">
        <v>476</v>
      </c>
      <c r="M470" s="1184"/>
      <c r="N470" s="573" t="s">
        <v>476</v>
      </c>
      <c r="O470" s="573" t="s">
        <v>479</v>
      </c>
      <c r="P470" s="1184"/>
      <c r="Q470" s="569" t="str">
        <f>Q446</f>
        <v>(MASA OKTOBER 2025)</v>
      </c>
      <c r="R470" s="569" t="s">
        <v>254</v>
      </c>
      <c r="S470" s="569" t="s">
        <v>439</v>
      </c>
      <c r="T470" s="1175"/>
      <c r="U470" s="1175"/>
      <c r="V470" s="1172"/>
      <c r="AA470" s="1223"/>
      <c r="AB470" s="1233"/>
      <c r="AD470" s="1172"/>
    </row>
    <row r="471" spans="2:33" ht="27" customHeight="1" thickTop="1">
      <c r="B471" s="391"/>
      <c r="C471" s="392"/>
      <c r="D471" s="392"/>
      <c r="E471" s="716"/>
      <c r="F471" s="728"/>
      <c r="G471" s="394"/>
      <c r="H471" s="394"/>
      <c r="I471" s="394"/>
      <c r="J471" s="394"/>
      <c r="K471" s="394"/>
      <c r="L471" s="394"/>
      <c r="M471" s="394"/>
      <c r="N471" s="394"/>
      <c r="O471" s="395"/>
      <c r="P471" s="395"/>
      <c r="Q471" s="395"/>
      <c r="R471" s="395"/>
      <c r="S471" s="395"/>
      <c r="T471" s="395"/>
      <c r="U471" s="395"/>
      <c r="V471" s="396"/>
      <c r="AA471" s="1234">
        <v>161128233</v>
      </c>
      <c r="AB471" s="1237">
        <f>V478-AA471</f>
        <v>67.279999971389771</v>
      </c>
      <c r="AC471" s="216"/>
      <c r="AD471" s="396"/>
    </row>
    <row r="472" spans="2:33" s="242" customFormat="1" ht="27" customHeight="1">
      <c r="B472" s="234" t="s">
        <v>83</v>
      </c>
      <c r="C472" s="235">
        <v>23</v>
      </c>
      <c r="D472" s="277"/>
      <c r="E472" s="277">
        <v>684</v>
      </c>
      <c r="F472" s="310"/>
      <c r="G472" s="236"/>
      <c r="H472" s="236"/>
      <c r="I472" s="236"/>
      <c r="J472" s="236"/>
      <c r="K472" s="236"/>
      <c r="L472" s="236"/>
      <c r="M472" s="236"/>
      <c r="N472" s="236"/>
      <c r="O472" s="260"/>
      <c r="P472" s="260"/>
      <c r="Q472" s="577">
        <v>580165</v>
      </c>
      <c r="R472" s="577"/>
      <c r="S472" s="577">
        <v>92000</v>
      </c>
      <c r="T472" s="260">
        <v>1050000</v>
      </c>
      <c r="U472" s="260">
        <v>28615132</v>
      </c>
      <c r="V472" s="247">
        <v>117532684.99999999</v>
      </c>
      <c r="W472" s="215"/>
      <c r="X472" s="215"/>
      <c r="Y472" s="215"/>
      <c r="Z472" s="215"/>
      <c r="AA472" s="1235"/>
      <c r="AB472" s="1244"/>
      <c r="AC472" s="868"/>
      <c r="AD472" s="247">
        <v>0</v>
      </c>
      <c r="AE472" s="339"/>
      <c r="AF472" s="216"/>
      <c r="AG472" s="796"/>
    </row>
    <row r="473" spans="2:33" ht="27" customHeight="1">
      <c r="B473" s="362"/>
      <c r="C473" s="235"/>
      <c r="D473" s="277"/>
      <c r="E473" s="277"/>
      <c r="F473" s="310"/>
      <c r="G473" s="236"/>
      <c r="H473" s="236"/>
      <c r="I473" s="236"/>
      <c r="J473" s="236"/>
      <c r="K473" s="236"/>
      <c r="L473" s="236"/>
      <c r="M473" s="236"/>
      <c r="N473" s="236"/>
      <c r="O473" s="260"/>
      <c r="P473" s="260"/>
      <c r="Q473" s="577"/>
      <c r="R473" s="577"/>
      <c r="S473" s="577"/>
      <c r="T473" s="260"/>
      <c r="U473" s="260"/>
      <c r="V473" s="247"/>
      <c r="W473" s="242"/>
      <c r="X473" s="242"/>
      <c r="Y473" s="242"/>
      <c r="Z473" s="242"/>
      <c r="AA473" s="1235"/>
      <c r="AB473" s="1244"/>
      <c r="AC473" s="835"/>
      <c r="AD473" s="247"/>
      <c r="AE473" s="353"/>
    </row>
    <row r="474" spans="2:33" s="242" customFormat="1" ht="27" customHeight="1">
      <c r="B474" s="234" t="s">
        <v>29</v>
      </c>
      <c r="C474" s="235">
        <v>6</v>
      </c>
      <c r="D474" s="277"/>
      <c r="E474" s="277">
        <v>185</v>
      </c>
      <c r="F474" s="310"/>
      <c r="G474" s="236"/>
      <c r="H474" s="236"/>
      <c r="I474" s="236"/>
      <c r="J474" s="236"/>
      <c r="K474" s="236"/>
      <c r="L474" s="236"/>
      <c r="M474" s="236"/>
      <c r="N474" s="236"/>
      <c r="O474" s="260"/>
      <c r="P474" s="260"/>
      <c r="Q474" s="577">
        <v>429859</v>
      </c>
      <c r="R474" s="577"/>
      <c r="S474" s="577">
        <v>24000</v>
      </c>
      <c r="T474" s="260">
        <v>2067520</v>
      </c>
      <c r="U474" s="260">
        <v>17332658.279999997</v>
      </c>
      <c r="V474" s="247">
        <v>43595615.280000001</v>
      </c>
      <c r="W474" s="215"/>
      <c r="X474" s="215"/>
      <c r="Y474" s="215"/>
      <c r="Z474" s="215"/>
      <c r="AA474" s="1235"/>
      <c r="AB474" s="1244"/>
      <c r="AC474" s="868"/>
      <c r="AD474" s="247">
        <v>0</v>
      </c>
      <c r="AE474" s="339"/>
      <c r="AF474" s="216"/>
      <c r="AG474" s="796"/>
    </row>
    <row r="475" spans="2:33" s="242" customFormat="1" ht="27" customHeight="1">
      <c r="B475" s="279"/>
      <c r="C475" s="373"/>
      <c r="D475" s="384"/>
      <c r="E475" s="384"/>
      <c r="F475" s="316"/>
      <c r="G475" s="385"/>
      <c r="H475" s="390"/>
      <c r="I475" s="385"/>
      <c r="J475" s="385"/>
      <c r="K475" s="385"/>
      <c r="L475" s="385"/>
      <c r="M475" s="385"/>
      <c r="N475" s="385"/>
      <c r="O475" s="302"/>
      <c r="P475" s="302"/>
      <c r="Q475" s="871"/>
      <c r="R475" s="524"/>
      <c r="S475" s="524"/>
      <c r="T475" s="302"/>
      <c r="U475" s="302"/>
      <c r="V475" s="386"/>
      <c r="W475" s="215"/>
      <c r="X475" s="215"/>
      <c r="Y475" s="215"/>
      <c r="Z475" s="215"/>
      <c r="AA475" s="1235"/>
      <c r="AB475" s="1244"/>
      <c r="AC475" s="868"/>
      <c r="AD475" s="386"/>
      <c r="AE475" s="339"/>
      <c r="AF475" s="216"/>
      <c r="AG475" s="796"/>
    </row>
    <row r="476" spans="2:33" s="242" customFormat="1" ht="27" customHeight="1">
      <c r="B476" s="234" t="s">
        <v>635</v>
      </c>
      <c r="C476" s="373"/>
      <c r="D476" s="384"/>
      <c r="E476" s="384"/>
      <c r="F476" s="316"/>
      <c r="G476" s="385"/>
      <c r="H476" s="390"/>
      <c r="I476" s="385"/>
      <c r="J476" s="385"/>
      <c r="K476" s="385"/>
      <c r="L476" s="385"/>
      <c r="M476" s="385"/>
      <c r="N476" s="385"/>
      <c r="O476" s="302"/>
      <c r="P476" s="302"/>
      <c r="Q476" s="871"/>
      <c r="R476" s="524"/>
      <c r="S476" s="524"/>
      <c r="T476" s="302"/>
      <c r="U476" s="302"/>
      <c r="V476" s="386"/>
      <c r="W476" s="215"/>
      <c r="X476" s="215"/>
      <c r="Y476" s="215"/>
      <c r="Z476" s="215"/>
      <c r="AA476" s="1235"/>
      <c r="AB476" s="1244"/>
      <c r="AC476" s="868"/>
      <c r="AD476" s="386">
        <v>0</v>
      </c>
      <c r="AE476" s="339"/>
      <c r="AF476" s="216"/>
      <c r="AG476" s="796"/>
    </row>
    <row r="477" spans="2:33" ht="27" customHeight="1" thickBot="1">
      <c r="B477" s="372"/>
      <c r="C477" s="384"/>
      <c r="D477" s="384"/>
      <c r="E477" s="384"/>
      <c r="F477" s="384"/>
      <c r="G477" s="385"/>
      <c r="H477" s="390"/>
      <c r="I477" s="385"/>
      <c r="J477" s="385"/>
      <c r="K477" s="385"/>
      <c r="L477" s="385"/>
      <c r="M477" s="385"/>
      <c r="N477" s="385"/>
      <c r="O477" s="385"/>
      <c r="P477" s="333"/>
      <c r="Q477" s="447"/>
      <c r="R477" s="333"/>
      <c r="S477" s="333"/>
      <c r="T477" s="333"/>
      <c r="U477" s="333"/>
      <c r="V477" s="386"/>
      <c r="AA477" s="1236"/>
      <c r="AB477" s="1233"/>
      <c r="AC477" s="834"/>
      <c r="AD477" s="386"/>
    </row>
    <row r="478" spans="2:33" ht="33.75" customHeight="1" thickTop="1" thickBot="1">
      <c r="B478" s="261" t="s">
        <v>3</v>
      </c>
      <c r="C478" s="262">
        <f>SUM(C471:C477)</f>
        <v>29</v>
      </c>
      <c r="D478" s="262">
        <f t="shared" ref="D478:R478" si="33">SUM(D471:D477)</f>
        <v>0</v>
      </c>
      <c r="E478" s="262">
        <f t="shared" si="33"/>
        <v>869</v>
      </c>
      <c r="F478" s="262">
        <f t="shared" si="33"/>
        <v>0</v>
      </c>
      <c r="G478" s="262">
        <f t="shared" si="33"/>
        <v>0</v>
      </c>
      <c r="H478" s="262">
        <f t="shared" si="33"/>
        <v>0</v>
      </c>
      <c r="I478" s="262">
        <f t="shared" si="33"/>
        <v>0</v>
      </c>
      <c r="J478" s="262">
        <f t="shared" si="33"/>
        <v>0</v>
      </c>
      <c r="K478" s="262">
        <f t="shared" si="33"/>
        <v>0</v>
      </c>
      <c r="L478" s="262">
        <f t="shared" si="33"/>
        <v>0</v>
      </c>
      <c r="M478" s="262">
        <f t="shared" si="33"/>
        <v>0</v>
      </c>
      <c r="N478" s="262">
        <f t="shared" si="33"/>
        <v>0</v>
      </c>
      <c r="O478" s="262">
        <f t="shared" si="33"/>
        <v>0</v>
      </c>
      <c r="P478" s="262">
        <f t="shared" si="33"/>
        <v>0</v>
      </c>
      <c r="Q478" s="262">
        <f t="shared" si="33"/>
        <v>1010024</v>
      </c>
      <c r="R478" s="262">
        <f t="shared" si="33"/>
        <v>0</v>
      </c>
      <c r="S478" s="262">
        <f>SUM(S471:S477)</f>
        <v>116000</v>
      </c>
      <c r="T478" s="263">
        <f>SUM(T471:T477)</f>
        <v>3117520</v>
      </c>
      <c r="U478" s="263">
        <f>SUM(U471:U477)</f>
        <v>45947790.280000001</v>
      </c>
      <c r="V478" s="263">
        <f>SUM(V472:V476)</f>
        <v>161128300.27999997</v>
      </c>
      <c r="AA478" s="1099">
        <f>AA471</f>
        <v>161128233</v>
      </c>
      <c r="AB478" s="1099">
        <f>AB471</f>
        <v>67.279999971389771</v>
      </c>
      <c r="AC478" s="217"/>
      <c r="AD478" s="265">
        <f>SUM(AD472:AD477)</f>
        <v>0</v>
      </c>
      <c r="AE478" s="492"/>
      <c r="AF478" s="278"/>
    </row>
    <row r="479" spans="2:33" ht="17.25" customHeight="1" thickTop="1">
      <c r="B479" s="336"/>
      <c r="C479" s="215"/>
      <c r="D479" s="215"/>
      <c r="E479" s="216"/>
      <c r="F479" s="216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</row>
    <row r="480" spans="2:33" ht="17.25" customHeight="1">
      <c r="B480" s="336"/>
      <c r="C480" s="566"/>
      <c r="D480" s="566"/>
      <c r="E480" s="566"/>
      <c r="F480" s="566"/>
      <c r="G480" s="337"/>
      <c r="H480" s="337"/>
      <c r="I480" s="337"/>
      <c r="J480" s="337"/>
      <c r="K480" s="337"/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</row>
    <row r="481" spans="2:30" ht="17.25" customHeight="1">
      <c r="B481" s="336"/>
      <c r="C481" s="566"/>
      <c r="D481" s="566"/>
      <c r="E481" s="566"/>
      <c r="F481" s="566"/>
      <c r="G481" s="337"/>
      <c r="H481" s="337"/>
      <c r="I481" s="337"/>
      <c r="J481" s="337"/>
      <c r="K481" s="337"/>
      <c r="L481" s="337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</row>
    <row r="482" spans="2:30" ht="17.25" customHeight="1">
      <c r="B482" s="336"/>
      <c r="C482" s="566"/>
      <c r="D482" s="566"/>
      <c r="E482" s="566"/>
      <c r="F482" s="566"/>
      <c r="G482" s="337"/>
      <c r="H482" s="337"/>
      <c r="I482" s="337"/>
      <c r="J482" s="337"/>
      <c r="K482" s="337"/>
      <c r="L482" s="337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</row>
    <row r="483" spans="2:30" ht="17.25" customHeight="1">
      <c r="B483" s="336"/>
      <c r="C483" s="566"/>
      <c r="D483" s="566"/>
      <c r="E483" s="566"/>
      <c r="F483" s="566"/>
      <c r="G483" s="337"/>
      <c r="H483" s="337"/>
      <c r="I483" s="337"/>
      <c r="J483" s="337"/>
      <c r="K483" s="337"/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  <c r="AD483" s="492"/>
    </row>
    <row r="484" spans="2:30" ht="17.25" customHeight="1">
      <c r="B484" s="336" t="s">
        <v>525</v>
      </c>
      <c r="C484" s="847" t="s">
        <v>81</v>
      </c>
      <c r="D484" s="847"/>
      <c r="E484" s="566"/>
      <c r="F484" s="566"/>
      <c r="G484" s="337"/>
      <c r="H484" s="337"/>
      <c r="I484" s="337"/>
      <c r="J484" s="337"/>
      <c r="K484" s="337"/>
      <c r="L484" s="1173" t="s">
        <v>82</v>
      </c>
      <c r="M484" s="1173"/>
      <c r="N484" s="1173"/>
      <c r="O484" s="1173"/>
      <c r="P484" s="1173"/>
      <c r="Q484" s="1173"/>
      <c r="R484" s="1173"/>
      <c r="S484" s="1173"/>
      <c r="T484" s="1173"/>
      <c r="U484" s="1173"/>
      <c r="V484" s="1173"/>
    </row>
    <row r="485" spans="2:30" ht="17.25" customHeight="1">
      <c r="B485" s="336"/>
      <c r="C485" s="566"/>
      <c r="D485" s="566"/>
      <c r="E485" s="566"/>
      <c r="F485" s="1173"/>
      <c r="G485" s="1173"/>
      <c r="H485" s="1173"/>
      <c r="I485" s="1173"/>
      <c r="J485" s="337"/>
      <c r="K485" s="337"/>
    </row>
    <row r="486" spans="2:30" ht="17.25" customHeight="1">
      <c r="B486" s="336"/>
      <c r="C486" s="566"/>
      <c r="D486" s="566"/>
      <c r="E486" s="566"/>
      <c r="F486" s="566"/>
      <c r="G486" s="337"/>
      <c r="H486" s="337"/>
      <c r="I486" s="337"/>
      <c r="J486" s="337"/>
      <c r="K486" s="337"/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</row>
    <row r="487" spans="2:30" ht="17.25" customHeight="1">
      <c r="C487" s="566"/>
      <c r="D487" s="566"/>
      <c r="E487" s="566"/>
      <c r="F487" s="566"/>
      <c r="G487" s="337"/>
      <c r="H487" s="337"/>
      <c r="I487" s="337"/>
      <c r="J487" s="337"/>
      <c r="K487" s="337"/>
      <c r="L487" s="337"/>
      <c r="M487" s="337"/>
      <c r="N487" s="337"/>
      <c r="O487" s="337"/>
      <c r="P487" s="337"/>
      <c r="Q487" s="1173"/>
      <c r="R487" s="1173"/>
      <c r="S487" s="1173"/>
      <c r="T487" s="1173"/>
      <c r="U487" s="1173"/>
      <c r="V487" s="1173"/>
    </row>
    <row r="488" spans="2:30" ht="17.25" customHeight="1">
      <c r="C488" s="566"/>
      <c r="D488" s="566"/>
      <c r="E488" s="566"/>
      <c r="F488" s="566"/>
      <c r="G488" s="337"/>
      <c r="H488" s="337"/>
      <c r="I488" s="337"/>
      <c r="J488" s="337"/>
      <c r="K488" s="337"/>
      <c r="L488" s="337"/>
      <c r="M488" s="337"/>
      <c r="N488" s="337"/>
      <c r="O488" s="337"/>
      <c r="P488" s="337"/>
      <c r="Q488" s="566"/>
      <c r="R488" s="566"/>
      <c r="S488" s="566"/>
      <c r="T488" s="566"/>
      <c r="U488" s="566"/>
      <c r="V488" s="566"/>
    </row>
    <row r="489" spans="2:30" ht="17.25" customHeight="1">
      <c r="C489" s="566"/>
      <c r="D489" s="566"/>
      <c r="E489" s="566"/>
      <c r="F489" s="566"/>
      <c r="G489" s="337"/>
      <c r="H489" s="337"/>
      <c r="I489" s="337"/>
      <c r="J489" s="337"/>
      <c r="K489" s="337"/>
      <c r="L489" s="337"/>
      <c r="M489" s="337"/>
      <c r="N489" s="337"/>
      <c r="O489" s="337"/>
      <c r="P489" s="337"/>
      <c r="Q489" s="566"/>
      <c r="R489" s="566"/>
      <c r="S489" s="566"/>
      <c r="T489" s="566"/>
      <c r="U489" s="566"/>
      <c r="V489" s="566"/>
    </row>
    <row r="490" spans="2:30" ht="17.25" customHeight="1">
      <c r="C490" s="566"/>
      <c r="D490" s="566"/>
      <c r="E490" s="566"/>
      <c r="F490" s="566"/>
      <c r="G490" s="337"/>
      <c r="H490" s="337"/>
      <c r="I490" s="337"/>
      <c r="J490" s="337"/>
      <c r="K490" s="337"/>
      <c r="L490" s="337"/>
      <c r="M490" s="337"/>
      <c r="N490" s="337"/>
      <c r="O490" s="337"/>
      <c r="P490" s="337"/>
      <c r="Q490" s="566"/>
      <c r="R490" s="566"/>
      <c r="S490" s="566"/>
      <c r="T490" s="566"/>
      <c r="U490" s="566"/>
      <c r="V490" s="566"/>
    </row>
    <row r="491" spans="2:30" ht="17.25" customHeight="1">
      <c r="B491" s="215" t="s">
        <v>0</v>
      </c>
      <c r="F491" s="727"/>
      <c r="G491" s="281"/>
      <c r="N491" s="281"/>
      <c r="O491" s="281"/>
      <c r="P491" s="281"/>
      <c r="Q491" s="566"/>
      <c r="R491" s="281"/>
      <c r="S491" s="281"/>
      <c r="T491" s="281"/>
      <c r="U491" s="281"/>
      <c r="AC491" s="218"/>
      <c r="AD491" s="492"/>
    </row>
    <row r="492" spans="2:30" ht="17.25" customHeight="1">
      <c r="B492" s="215" t="str">
        <f>B467</f>
        <v>DENOMINATION FOR OKTOBER 2025</v>
      </c>
      <c r="F492" s="727"/>
      <c r="G492" s="281"/>
      <c r="N492" s="281"/>
      <c r="O492" s="281"/>
      <c r="P492" s="281"/>
      <c r="Q492" s="566"/>
      <c r="R492" s="281"/>
      <c r="S492" s="281"/>
      <c r="T492" s="281"/>
      <c r="U492" s="281"/>
      <c r="AC492" s="218"/>
      <c r="AD492" s="492"/>
    </row>
    <row r="493" spans="2:30" ht="17.25" customHeight="1" thickBot="1">
      <c r="F493" s="727"/>
      <c r="G493" s="281"/>
      <c r="N493" s="281"/>
      <c r="O493" s="281"/>
      <c r="P493" s="281"/>
      <c r="Q493" s="281"/>
      <c r="R493" s="281"/>
      <c r="S493" s="281"/>
      <c r="T493" s="281"/>
      <c r="U493" s="281"/>
    </row>
    <row r="494" spans="2:30" ht="24" customHeight="1" thickTop="1">
      <c r="B494" s="1176" t="s">
        <v>1</v>
      </c>
      <c r="C494" s="572" t="s">
        <v>15</v>
      </c>
      <c r="D494" s="1178" t="s">
        <v>470</v>
      </c>
      <c r="E494" s="1179"/>
      <c r="F494" s="1180"/>
      <c r="G494" s="1183" t="s">
        <v>244</v>
      </c>
      <c r="H494" s="1183" t="s">
        <v>471</v>
      </c>
      <c r="I494" s="1185" t="s">
        <v>472</v>
      </c>
      <c r="J494" s="1181" t="s">
        <v>473</v>
      </c>
      <c r="K494" s="1181" t="s">
        <v>474</v>
      </c>
      <c r="L494" s="572" t="s">
        <v>475</v>
      </c>
      <c r="M494" s="1183" t="s">
        <v>477</v>
      </c>
      <c r="N494" s="572" t="s">
        <v>475</v>
      </c>
      <c r="O494" s="572" t="s">
        <v>478</v>
      </c>
      <c r="P494" s="1183"/>
      <c r="Q494" s="568" t="str">
        <f>+Q469</f>
        <v>TOTAL PPH 21</v>
      </c>
      <c r="R494" s="568" t="s">
        <v>253</v>
      </c>
      <c r="S494" s="568" t="s">
        <v>440</v>
      </c>
      <c r="T494" s="1174" t="str">
        <f>+T469</f>
        <v>TOTAL PREMI</v>
      </c>
      <c r="U494" s="1174" t="str">
        <f>+U469</f>
        <v>TOTAL LEMBUR</v>
      </c>
      <c r="V494" s="1171" t="s">
        <v>665</v>
      </c>
      <c r="AA494" s="1222" t="s">
        <v>664</v>
      </c>
      <c r="AB494" s="1232" t="s">
        <v>226</v>
      </c>
      <c r="AD494" s="1171" t="s">
        <v>259</v>
      </c>
    </row>
    <row r="495" spans="2:30" ht="27" customHeight="1" thickBot="1">
      <c r="B495" s="1177"/>
      <c r="C495" s="573"/>
      <c r="D495" s="573" t="s">
        <v>485</v>
      </c>
      <c r="E495" s="573" t="s">
        <v>486</v>
      </c>
      <c r="F495" s="573" t="s">
        <v>487</v>
      </c>
      <c r="G495" s="1184"/>
      <c r="H495" s="1184"/>
      <c r="I495" s="1186"/>
      <c r="J495" s="1182"/>
      <c r="K495" s="1182"/>
      <c r="L495" s="573" t="s">
        <v>476</v>
      </c>
      <c r="M495" s="1184"/>
      <c r="N495" s="573" t="s">
        <v>476</v>
      </c>
      <c r="O495" s="573" t="s">
        <v>479</v>
      </c>
      <c r="P495" s="1184"/>
      <c r="Q495" s="569" t="str">
        <f>+Q470</f>
        <v>(MASA OKTOBER 2025)</v>
      </c>
      <c r="R495" s="569" t="s">
        <v>254</v>
      </c>
      <c r="S495" s="569" t="s">
        <v>439</v>
      </c>
      <c r="T495" s="1175"/>
      <c r="U495" s="1175"/>
      <c r="V495" s="1172"/>
      <c r="AA495" s="1223"/>
      <c r="AB495" s="1249"/>
      <c r="AD495" s="1172"/>
    </row>
    <row r="496" spans="2:30" ht="28.5" customHeight="1" thickTop="1">
      <c r="B496" s="391"/>
      <c r="C496" s="392"/>
      <c r="D496" s="392"/>
      <c r="E496" s="716"/>
      <c r="F496" s="728"/>
      <c r="G496" s="394"/>
      <c r="H496" s="394"/>
      <c r="I496" s="394"/>
      <c r="J496" s="394"/>
      <c r="K496" s="394"/>
      <c r="L496" s="394"/>
      <c r="M496" s="394"/>
      <c r="N496" s="394"/>
      <c r="O496" s="395"/>
      <c r="P496" s="395"/>
      <c r="Q496" s="395"/>
      <c r="R496" s="395"/>
      <c r="S496" s="395"/>
      <c r="T496" s="395"/>
      <c r="U496" s="395"/>
      <c r="V496" s="396"/>
      <c r="AA496" s="1234">
        <v>90844403</v>
      </c>
      <c r="AB496" s="1250">
        <f>V503-AA496</f>
        <v>64.75</v>
      </c>
      <c r="AC496" s="216"/>
      <c r="AD496" s="396"/>
    </row>
    <row r="497" spans="2:30" ht="35.25" customHeight="1">
      <c r="B497" s="234" t="s">
        <v>656</v>
      </c>
      <c r="C497" s="235">
        <v>18</v>
      </c>
      <c r="D497" s="277"/>
      <c r="E497" s="277">
        <v>547</v>
      </c>
      <c r="F497" s="310"/>
      <c r="G497" s="236"/>
      <c r="H497" s="236"/>
      <c r="I497" s="236"/>
      <c r="J497" s="236"/>
      <c r="K497" s="236"/>
      <c r="L497" s="236"/>
      <c r="M497" s="236"/>
      <c r="N497" s="236"/>
      <c r="O497" s="260"/>
      <c r="P497" s="260"/>
      <c r="Q497" s="577">
        <v>389632</v>
      </c>
      <c r="R497" s="577"/>
      <c r="S497" s="577">
        <v>72000</v>
      </c>
      <c r="T497" s="260">
        <v>0</v>
      </c>
      <c r="U497" s="260">
        <v>20581831.750000004</v>
      </c>
      <c r="V497" s="247">
        <v>90844467.75</v>
      </c>
      <c r="AA497" s="1235"/>
      <c r="AB497" s="1238"/>
      <c r="AC497" s="868"/>
      <c r="AD497" s="247">
        <v>0</v>
      </c>
    </row>
    <row r="498" spans="2:30" ht="35.25" customHeight="1">
      <c r="B498" s="362"/>
      <c r="C498" s="235"/>
      <c r="D498" s="277"/>
      <c r="E498" s="277"/>
      <c r="F498" s="310"/>
      <c r="G498" s="236"/>
      <c r="H498" s="236"/>
      <c r="I498" s="236"/>
      <c r="J498" s="236"/>
      <c r="K498" s="236"/>
      <c r="L498" s="236"/>
      <c r="M498" s="236"/>
      <c r="N498" s="236"/>
      <c r="O498" s="260"/>
      <c r="P498" s="260"/>
      <c r="Q498" s="577"/>
      <c r="R498" s="577"/>
      <c r="S498" s="577"/>
      <c r="T498" s="260"/>
      <c r="U498" s="260"/>
      <c r="V498" s="247"/>
      <c r="W498" s="242"/>
      <c r="X498" s="242"/>
      <c r="Y498" s="242"/>
      <c r="Z498" s="242"/>
      <c r="AA498" s="1235"/>
      <c r="AB498" s="1238"/>
      <c r="AC498" s="835"/>
      <c r="AD498" s="247"/>
    </row>
    <row r="499" spans="2:30" ht="35.25" customHeight="1">
      <c r="B499" s="234"/>
      <c r="C499" s="235"/>
      <c r="D499" s="277"/>
      <c r="E499" s="277"/>
      <c r="F499" s="310"/>
      <c r="G499" s="236"/>
      <c r="H499" s="236"/>
      <c r="I499" s="236"/>
      <c r="J499" s="236"/>
      <c r="K499" s="236"/>
      <c r="L499" s="236"/>
      <c r="M499" s="236"/>
      <c r="N499" s="236"/>
      <c r="O499" s="260"/>
      <c r="P499" s="260"/>
      <c r="Q499" s="577"/>
      <c r="R499" s="577"/>
      <c r="S499" s="577"/>
      <c r="T499" s="260"/>
      <c r="U499" s="260"/>
      <c r="V499" s="247"/>
      <c r="AA499" s="1235"/>
      <c r="AB499" s="1238"/>
      <c r="AC499" s="868"/>
      <c r="AD499" s="247"/>
    </row>
    <row r="500" spans="2:30" ht="35.25" hidden="1" customHeight="1">
      <c r="B500" s="279"/>
      <c r="C500" s="373"/>
      <c r="D500" s="384"/>
      <c r="E500" s="384"/>
      <c r="F500" s="316"/>
      <c r="G500" s="385"/>
      <c r="H500" s="390"/>
      <c r="I500" s="385"/>
      <c r="J500" s="385"/>
      <c r="K500" s="385"/>
      <c r="L500" s="385"/>
      <c r="M500" s="385"/>
      <c r="N500" s="385"/>
      <c r="O500" s="302"/>
      <c r="P500" s="302"/>
      <c r="Q500" s="871"/>
      <c r="R500" s="524"/>
      <c r="S500" s="524"/>
      <c r="T500" s="302"/>
      <c r="U500" s="302"/>
      <c r="V500" s="386"/>
      <c r="AA500" s="1235"/>
      <c r="AB500" s="1238"/>
      <c r="AC500" s="868"/>
      <c r="AD500" s="386"/>
    </row>
    <row r="501" spans="2:30" ht="35.25" hidden="1" customHeight="1">
      <c r="B501" s="234"/>
      <c r="C501" s="373"/>
      <c r="D501" s="384"/>
      <c r="E501" s="384"/>
      <c r="F501" s="316"/>
      <c r="G501" s="385"/>
      <c r="H501" s="390"/>
      <c r="I501" s="385"/>
      <c r="J501" s="385"/>
      <c r="K501" s="385"/>
      <c r="L501" s="385"/>
      <c r="M501" s="385"/>
      <c r="N501" s="385"/>
      <c r="O501" s="302"/>
      <c r="P501" s="302"/>
      <c r="Q501" s="871"/>
      <c r="R501" s="524"/>
      <c r="S501" s="524"/>
      <c r="T501" s="302"/>
      <c r="U501" s="302"/>
      <c r="V501" s="386"/>
      <c r="AA501" s="1235"/>
      <c r="AB501" s="1238"/>
      <c r="AC501" s="868"/>
      <c r="AD501" s="386"/>
    </row>
    <row r="502" spans="2:30" ht="10.5" customHeight="1" thickBot="1">
      <c r="B502" s="372"/>
      <c r="C502" s="384"/>
      <c r="D502" s="384"/>
      <c r="E502" s="384"/>
      <c r="F502" s="384"/>
      <c r="G502" s="385"/>
      <c r="H502" s="390"/>
      <c r="I502" s="385"/>
      <c r="J502" s="385"/>
      <c r="K502" s="385"/>
      <c r="L502" s="385"/>
      <c r="M502" s="385"/>
      <c r="N502" s="385"/>
      <c r="O502" s="385"/>
      <c r="P502" s="333"/>
      <c r="Q502" s="447"/>
      <c r="R502" s="333"/>
      <c r="S502" s="333"/>
      <c r="T502" s="333"/>
      <c r="U502" s="333"/>
      <c r="V502" s="386"/>
      <c r="AA502" s="1236"/>
      <c r="AB502" s="1239"/>
      <c r="AC502" s="834"/>
      <c r="AD502" s="386"/>
    </row>
    <row r="503" spans="2:30" ht="36.75" customHeight="1" thickTop="1" thickBot="1">
      <c r="B503" s="261" t="s">
        <v>3</v>
      </c>
      <c r="C503" s="262">
        <f>SUM(C496:C502)</f>
        <v>18</v>
      </c>
      <c r="D503" s="262">
        <f t="shared" ref="D503:V503" si="34">SUM(D496:D502)</f>
        <v>0</v>
      </c>
      <c r="E503" s="262">
        <f t="shared" si="34"/>
        <v>547</v>
      </c>
      <c r="F503" s="262">
        <f t="shared" si="34"/>
        <v>0</v>
      </c>
      <c r="G503" s="262">
        <f t="shared" si="34"/>
        <v>0</v>
      </c>
      <c r="H503" s="262">
        <f t="shared" si="34"/>
        <v>0</v>
      </c>
      <c r="I503" s="262">
        <f t="shared" si="34"/>
        <v>0</v>
      </c>
      <c r="J503" s="262">
        <f t="shared" si="34"/>
        <v>0</v>
      </c>
      <c r="K503" s="262">
        <f t="shared" si="34"/>
        <v>0</v>
      </c>
      <c r="L503" s="262">
        <f t="shared" si="34"/>
        <v>0</v>
      </c>
      <c r="M503" s="262">
        <f t="shared" si="34"/>
        <v>0</v>
      </c>
      <c r="N503" s="262">
        <f t="shared" si="34"/>
        <v>0</v>
      </c>
      <c r="O503" s="262">
        <f t="shared" si="34"/>
        <v>0</v>
      </c>
      <c r="P503" s="262">
        <f t="shared" si="34"/>
        <v>0</v>
      </c>
      <c r="Q503" s="262">
        <f t="shared" si="34"/>
        <v>389632</v>
      </c>
      <c r="R503" s="262">
        <f t="shared" si="34"/>
        <v>0</v>
      </c>
      <c r="S503" s="262">
        <f t="shared" si="34"/>
        <v>72000</v>
      </c>
      <c r="T503" s="263">
        <f t="shared" si="34"/>
        <v>0</v>
      </c>
      <c r="U503" s="263">
        <f t="shared" si="34"/>
        <v>20581831.750000004</v>
      </c>
      <c r="V503" s="263">
        <f t="shared" si="34"/>
        <v>90844467.75</v>
      </c>
      <c r="AA503" s="1099">
        <f>AA496</f>
        <v>90844403</v>
      </c>
      <c r="AB503" s="1099">
        <f>AB496</f>
        <v>64.75</v>
      </c>
      <c r="AC503" s="217"/>
      <c r="AD503" s="265">
        <f>SUM(AD497:AD502)</f>
        <v>0</v>
      </c>
    </row>
    <row r="504" spans="2:30" ht="17.25" customHeight="1" thickTop="1">
      <c r="B504" s="336"/>
      <c r="C504" s="215"/>
      <c r="D504" s="215"/>
      <c r="E504" s="216"/>
      <c r="F504" s="216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</row>
    <row r="505" spans="2:30" ht="17.25" customHeight="1">
      <c r="B505" s="336"/>
      <c r="C505" s="566"/>
      <c r="D505" s="566"/>
      <c r="E505" s="566"/>
      <c r="F505" s="566"/>
      <c r="G505" s="337"/>
      <c r="H505" s="337"/>
      <c r="I505" s="337"/>
      <c r="J505" s="337"/>
      <c r="K505" s="337"/>
      <c r="L505" s="337"/>
      <c r="M505" s="337"/>
      <c r="N505" s="337"/>
      <c r="O505" s="337"/>
      <c r="P505" s="337"/>
      <c r="Q505" s="337"/>
      <c r="R505" s="337"/>
      <c r="S505" s="337"/>
      <c r="T505" s="337"/>
      <c r="U505" s="337"/>
      <c r="V505" s="337"/>
    </row>
    <row r="506" spans="2:30" ht="17.25" customHeight="1">
      <c r="B506" s="336"/>
      <c r="C506" s="566"/>
      <c r="D506" s="566"/>
      <c r="E506" s="566"/>
      <c r="F506" s="566"/>
      <c r="G506" s="337"/>
      <c r="H506" s="337"/>
      <c r="I506" s="337"/>
      <c r="J506" s="337"/>
      <c r="K506" s="337"/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</row>
    <row r="507" spans="2:30" ht="17.25" customHeight="1">
      <c r="B507" s="336"/>
      <c r="C507" s="566"/>
      <c r="D507" s="566"/>
      <c r="E507" s="566"/>
      <c r="F507" s="566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</row>
    <row r="508" spans="2:30" ht="17.25" customHeight="1">
      <c r="B508" s="336"/>
      <c r="C508" s="566"/>
      <c r="D508" s="566"/>
      <c r="E508" s="566"/>
      <c r="F508" s="566"/>
      <c r="G508" s="337"/>
      <c r="H508" s="337"/>
      <c r="I508" s="337"/>
      <c r="J508" s="337"/>
      <c r="K508" s="337"/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  <c r="AD508" s="492"/>
    </row>
    <row r="509" spans="2:30" ht="17.25" customHeight="1">
      <c r="B509" s="336" t="s">
        <v>525</v>
      </c>
      <c r="C509" s="847" t="s">
        <v>81</v>
      </c>
      <c r="D509" s="847"/>
      <c r="E509" s="566"/>
      <c r="F509" s="566"/>
      <c r="G509" s="337"/>
      <c r="H509" s="337"/>
      <c r="I509" s="337"/>
      <c r="J509" s="337"/>
      <c r="K509" s="337"/>
      <c r="L509" s="1173" t="s">
        <v>82</v>
      </c>
      <c r="M509" s="1173"/>
      <c r="N509" s="1173"/>
      <c r="O509" s="1173"/>
      <c r="P509" s="1173"/>
      <c r="Q509" s="1173"/>
      <c r="R509" s="1173"/>
      <c r="S509" s="1173"/>
      <c r="T509" s="1173"/>
      <c r="U509" s="1173"/>
      <c r="V509" s="1173"/>
    </row>
    <row r="510" spans="2:30" ht="17.25" customHeight="1">
      <c r="B510" s="336"/>
      <c r="C510" s="566"/>
      <c r="D510" s="566"/>
      <c r="E510" s="566"/>
      <c r="F510" s="1173"/>
      <c r="G510" s="1173"/>
      <c r="H510" s="1173"/>
      <c r="I510" s="1173"/>
      <c r="J510" s="337"/>
      <c r="K510" s="337"/>
    </row>
    <row r="511" spans="2:30" ht="17.25" customHeight="1">
      <c r="F511" s="727"/>
      <c r="G511" s="281"/>
      <c r="N511" s="281"/>
      <c r="O511" s="281"/>
      <c r="P511" s="281"/>
      <c r="Q511" s="281"/>
      <c r="R511" s="281"/>
      <c r="S511" s="281"/>
      <c r="T511" s="281"/>
      <c r="U511" s="281"/>
    </row>
    <row r="512" spans="2:30" ht="17.25" customHeight="1">
      <c r="F512" s="727"/>
      <c r="G512" s="281"/>
      <c r="N512" s="281"/>
      <c r="O512" s="281"/>
      <c r="P512" s="281"/>
      <c r="Q512" s="281"/>
      <c r="R512" s="281"/>
      <c r="S512" s="281"/>
      <c r="T512" s="281"/>
      <c r="U512" s="281"/>
    </row>
    <row r="513" spans="2:38" ht="17.25" customHeight="1">
      <c r="F513" s="727"/>
      <c r="G513" s="281"/>
      <c r="N513" s="281"/>
      <c r="O513" s="281"/>
      <c r="P513" s="281"/>
      <c r="Q513" s="281"/>
      <c r="R513" s="281"/>
      <c r="S513" s="281"/>
      <c r="T513" s="281"/>
      <c r="U513" s="281"/>
    </row>
    <row r="514" spans="2:38" ht="17.25" customHeight="1">
      <c r="F514" s="727"/>
      <c r="G514" s="281"/>
      <c r="N514" s="281"/>
      <c r="O514" s="281"/>
      <c r="P514" s="281"/>
      <c r="Q514" s="281"/>
      <c r="R514" s="281"/>
      <c r="S514" s="281"/>
      <c r="T514" s="281"/>
      <c r="U514" s="281"/>
    </row>
    <row r="515" spans="2:38" ht="17.25" customHeight="1">
      <c r="F515" s="727"/>
      <c r="G515" s="281"/>
      <c r="N515" s="281"/>
      <c r="O515" s="281"/>
      <c r="P515" s="281"/>
      <c r="Q515" s="281"/>
      <c r="R515" s="281"/>
      <c r="S515" s="281"/>
      <c r="T515" s="281"/>
      <c r="U515" s="281"/>
    </row>
    <row r="516" spans="2:38" ht="17.25" customHeight="1">
      <c r="F516" s="727"/>
      <c r="G516" s="281"/>
      <c r="N516" s="281"/>
      <c r="O516" s="281"/>
      <c r="P516" s="281"/>
      <c r="Q516" s="281"/>
      <c r="R516" s="281"/>
      <c r="S516" s="281"/>
      <c r="T516" s="281"/>
      <c r="U516" s="281"/>
    </row>
    <row r="517" spans="2:38" ht="17.25" customHeight="1">
      <c r="B517" s="215" t="str">
        <f>'SUMMARY - WAGES IJL'!A3</f>
        <v>SUMMARY - WAGES OKTOBER 2025</v>
      </c>
    </row>
    <row r="518" spans="2:38" ht="17.25" customHeight="1" thickBot="1"/>
    <row r="519" spans="2:38" ht="24.75" customHeight="1" thickTop="1" thickBot="1">
      <c r="B519" s="1218" t="s">
        <v>1</v>
      </c>
      <c r="C519" s="1183" t="s">
        <v>15</v>
      </c>
      <c r="D519" s="1178" t="s">
        <v>470</v>
      </c>
      <c r="E519" s="1179"/>
      <c r="F519" s="1180"/>
      <c r="G519" s="1183" t="s">
        <v>244</v>
      </c>
      <c r="H519" s="1183" t="s">
        <v>471</v>
      </c>
      <c r="I519" s="1185" t="s">
        <v>472</v>
      </c>
      <c r="J519" s="1181" t="s">
        <v>473</v>
      </c>
      <c r="K519" s="1181" t="s">
        <v>474</v>
      </c>
      <c r="L519" s="572" t="s">
        <v>475</v>
      </c>
      <c r="M519" s="1183" t="s">
        <v>477</v>
      </c>
      <c r="N519" s="572" t="s">
        <v>475</v>
      </c>
      <c r="O519" s="572" t="s">
        <v>478</v>
      </c>
      <c r="P519" s="1183"/>
      <c r="Q519" s="568" t="str">
        <f>Q469</f>
        <v>TOTAL PPH 21</v>
      </c>
      <c r="R519" s="568" t="s">
        <v>253</v>
      </c>
      <c r="S519" s="568" t="s">
        <v>440</v>
      </c>
      <c r="T519" s="1174" t="str">
        <f>T469</f>
        <v>TOTAL PREMI</v>
      </c>
      <c r="U519" s="1206" t="str">
        <f>U469</f>
        <v>TOTAL LEMBUR</v>
      </c>
      <c r="V519" s="1171" t="s">
        <v>665</v>
      </c>
      <c r="AA519" s="1222" t="s">
        <v>664</v>
      </c>
      <c r="AB519" s="1232" t="s">
        <v>226</v>
      </c>
      <c r="AD519" s="1171" t="s">
        <v>259</v>
      </c>
      <c r="AF519" s="1193" t="s">
        <v>542</v>
      </c>
      <c r="AG519" s="1187" t="s">
        <v>617</v>
      </c>
      <c r="AH519" s="1195" t="s">
        <v>608</v>
      </c>
      <c r="AJ519" s="1197" t="s">
        <v>452</v>
      </c>
      <c r="AK519" s="1197"/>
    </row>
    <row r="520" spans="2:38" ht="26.25" customHeight="1" thickBot="1">
      <c r="B520" s="1219"/>
      <c r="C520" s="1184"/>
      <c r="D520" s="573" t="s">
        <v>485</v>
      </c>
      <c r="E520" s="573" t="s">
        <v>486</v>
      </c>
      <c r="F520" s="573" t="s">
        <v>487</v>
      </c>
      <c r="G520" s="1184"/>
      <c r="H520" s="1184"/>
      <c r="I520" s="1186"/>
      <c r="J520" s="1182"/>
      <c r="K520" s="1182"/>
      <c r="L520" s="573" t="s">
        <v>476</v>
      </c>
      <c r="M520" s="1184"/>
      <c r="N520" s="573" t="s">
        <v>476</v>
      </c>
      <c r="O520" s="573" t="s">
        <v>479</v>
      </c>
      <c r="P520" s="1184"/>
      <c r="Q520" s="569" t="str">
        <f>Q470</f>
        <v>(MASA OKTOBER 2025)</v>
      </c>
      <c r="R520" s="569" t="s">
        <v>254</v>
      </c>
      <c r="S520" s="569" t="s">
        <v>439</v>
      </c>
      <c r="T520" s="1175"/>
      <c r="U520" s="1209"/>
      <c r="V520" s="1172"/>
      <c r="W520" s="304" t="s">
        <v>16</v>
      </c>
      <c r="X520" s="222" t="s">
        <v>18</v>
      </c>
      <c r="AA520" s="1223"/>
      <c r="AB520" s="1233"/>
      <c r="AD520" s="1172"/>
      <c r="AF520" s="1194"/>
      <c r="AG520" s="1188"/>
      <c r="AH520" s="1196"/>
      <c r="AJ520" s="292" t="s">
        <v>611</v>
      </c>
      <c r="AK520" s="292" t="s">
        <v>612</v>
      </c>
    </row>
    <row r="521" spans="2:38" ht="18" customHeight="1" thickTop="1" thickBot="1">
      <c r="B521" s="387"/>
      <c r="C521" s="269"/>
      <c r="D521" s="269"/>
      <c r="E521" s="709"/>
      <c r="F521" s="709"/>
      <c r="G521" s="306"/>
      <c r="H521" s="306"/>
      <c r="I521" s="306"/>
      <c r="J521" s="306"/>
      <c r="K521" s="306"/>
      <c r="L521" s="306"/>
      <c r="M521" s="306"/>
      <c r="N521" s="306"/>
      <c r="O521" s="307"/>
      <c r="P521" s="307"/>
      <c r="Q521" s="307"/>
      <c r="R521" s="307"/>
      <c r="S521" s="307"/>
      <c r="T521" s="307"/>
      <c r="U521" s="307"/>
      <c r="V521" s="308"/>
      <c r="W521" s="305"/>
      <c r="X521" s="225" t="s">
        <v>19</v>
      </c>
      <c r="AA521" s="1090"/>
      <c r="AB521" s="1098"/>
      <c r="AF521" s="274"/>
    </row>
    <row r="522" spans="2:38" ht="18" customHeight="1">
      <c r="B522" s="291" t="s">
        <v>7</v>
      </c>
      <c r="C522" s="310">
        <f t="shared" ref="C522:N522" si="35">C35</f>
        <v>193</v>
      </c>
      <c r="D522" s="310">
        <f t="shared" si="35"/>
        <v>0</v>
      </c>
      <c r="E522" s="310">
        <f t="shared" si="35"/>
        <v>5824</v>
      </c>
      <c r="F522" s="310">
        <f t="shared" si="35"/>
        <v>0</v>
      </c>
      <c r="G522" s="310">
        <f t="shared" si="35"/>
        <v>0</v>
      </c>
      <c r="H522" s="310">
        <f t="shared" si="35"/>
        <v>0</v>
      </c>
      <c r="I522" s="310">
        <f t="shared" si="35"/>
        <v>0</v>
      </c>
      <c r="J522" s="310">
        <f t="shared" si="35"/>
        <v>0</v>
      </c>
      <c r="K522" s="310">
        <f t="shared" si="35"/>
        <v>0</v>
      </c>
      <c r="L522" s="310">
        <f t="shared" si="35"/>
        <v>0</v>
      </c>
      <c r="M522" s="310">
        <f t="shared" si="35"/>
        <v>0</v>
      </c>
      <c r="N522" s="310">
        <f t="shared" si="35"/>
        <v>0</v>
      </c>
      <c r="O522" s="310"/>
      <c r="P522" s="310">
        <f t="shared" ref="P522:AB522" si="36">P35</f>
        <v>0</v>
      </c>
      <c r="Q522" s="310">
        <f t="shared" si="36"/>
        <v>1437096</v>
      </c>
      <c r="R522" s="310">
        <f t="shared" si="36"/>
        <v>0</v>
      </c>
      <c r="S522" s="310">
        <f t="shared" si="36"/>
        <v>676000</v>
      </c>
      <c r="T522" s="310">
        <f t="shared" si="36"/>
        <v>74684519</v>
      </c>
      <c r="U522" s="1043">
        <f t="shared" si="36"/>
        <v>27954094.32</v>
      </c>
      <c r="V522" s="1051">
        <f t="shared" si="36"/>
        <v>878370277.00500011</v>
      </c>
      <c r="W522" s="1051">
        <f t="shared" si="36"/>
        <v>0</v>
      </c>
      <c r="X522" s="1051" t="e">
        <f t="shared" si="36"/>
        <v>#REF!</v>
      </c>
      <c r="Y522" s="1051" t="str">
        <f t="shared" si="36"/>
        <v>Upah rata-rata/ hk</v>
      </c>
      <c r="Z522" s="1051">
        <f t="shared" si="36"/>
        <v>0</v>
      </c>
      <c r="AA522" s="1051">
        <f t="shared" si="36"/>
        <v>878370277</v>
      </c>
      <c r="AB522" s="1051">
        <f t="shared" si="36"/>
        <v>5.0001144409179688E-3</v>
      </c>
      <c r="AC522" s="1102"/>
      <c r="AD522" s="471">
        <f>AD35</f>
        <v>15466750</v>
      </c>
      <c r="AE522" s="471"/>
      <c r="AF522" s="819">
        <f>AF35</f>
        <v>1882568</v>
      </c>
      <c r="AG522" s="815">
        <f>AG35</f>
        <v>14245374</v>
      </c>
      <c r="AH522" s="816">
        <f>AH35</f>
        <v>0</v>
      </c>
      <c r="AJ522" s="344">
        <f>AJ35</f>
        <v>21646220</v>
      </c>
      <c r="AK522" s="344">
        <f>AK35</f>
        <v>25173750</v>
      </c>
      <c r="AL522" s="293">
        <f t="shared" ref="AL522:AL553" si="37">AK522/1050</f>
        <v>23975</v>
      </c>
    </row>
    <row r="523" spans="2:38" ht="18" customHeight="1">
      <c r="B523" s="291"/>
      <c r="C523" s="310"/>
      <c r="D523" s="310"/>
      <c r="E523" s="310"/>
      <c r="F523" s="310"/>
      <c r="G523" s="293"/>
      <c r="H523" s="293"/>
      <c r="I523" s="293"/>
      <c r="J523" s="293"/>
      <c r="K523" s="293"/>
      <c r="L523" s="293"/>
      <c r="M523" s="293"/>
      <c r="N523" s="293"/>
      <c r="O523" s="294"/>
      <c r="P523" s="294"/>
      <c r="Q523" s="294"/>
      <c r="R523" s="294"/>
      <c r="S523" s="294"/>
      <c r="T523" s="294"/>
      <c r="U523" s="1044"/>
      <c r="V523" s="1051"/>
      <c r="W523" s="248"/>
      <c r="X523" s="259"/>
      <c r="AA523" s="1087"/>
      <c r="AB523" s="1096"/>
      <c r="AC523" s="248"/>
      <c r="AD523" s="471"/>
      <c r="AE523" s="820"/>
      <c r="AF523" s="742"/>
      <c r="AG523" s="821"/>
      <c r="AH523" s="822"/>
      <c r="AJ523" s="380"/>
      <c r="AK523" s="380"/>
      <c r="AL523" s="293">
        <f t="shared" si="37"/>
        <v>0</v>
      </c>
    </row>
    <row r="524" spans="2:38" ht="18" customHeight="1">
      <c r="B524" s="291" t="s">
        <v>8</v>
      </c>
      <c r="C524" s="310">
        <f t="shared" ref="C524:N524" si="38">C90</f>
        <v>172</v>
      </c>
      <c r="D524" s="310">
        <f t="shared" si="38"/>
        <v>0</v>
      </c>
      <c r="E524" s="310">
        <f t="shared" si="38"/>
        <v>5194</v>
      </c>
      <c r="F524" s="310">
        <f t="shared" si="38"/>
        <v>-5194</v>
      </c>
      <c r="G524" s="310">
        <f t="shared" si="38"/>
        <v>0</v>
      </c>
      <c r="H524" s="310">
        <f t="shared" si="38"/>
        <v>0</v>
      </c>
      <c r="I524" s="310">
        <f t="shared" si="38"/>
        <v>0</v>
      </c>
      <c r="J524" s="310">
        <f t="shared" si="38"/>
        <v>0</v>
      </c>
      <c r="K524" s="310">
        <f t="shared" si="38"/>
        <v>0</v>
      </c>
      <c r="L524" s="310">
        <f t="shared" si="38"/>
        <v>0</v>
      </c>
      <c r="M524" s="310">
        <f t="shared" si="38"/>
        <v>0</v>
      </c>
      <c r="N524" s="310">
        <f t="shared" si="38"/>
        <v>0</v>
      </c>
      <c r="O524" s="310"/>
      <c r="P524" s="310">
        <f t="shared" ref="P524:AB524" si="39">P90</f>
        <v>0</v>
      </c>
      <c r="Q524" s="310">
        <f t="shared" si="39"/>
        <v>551340</v>
      </c>
      <c r="R524" s="310">
        <f t="shared" si="39"/>
        <v>0</v>
      </c>
      <c r="S524" s="310">
        <f t="shared" si="39"/>
        <v>656000</v>
      </c>
      <c r="T524" s="310">
        <f t="shared" si="39"/>
        <v>13295647</v>
      </c>
      <c r="U524" s="1043">
        <f t="shared" si="39"/>
        <v>21086013.960000001</v>
      </c>
      <c r="V524" s="1051">
        <f t="shared" si="39"/>
        <v>695391805.44148147</v>
      </c>
      <c r="W524" s="1051">
        <f t="shared" si="39"/>
        <v>0</v>
      </c>
      <c r="X524" s="1051">
        <f t="shared" si="39"/>
        <v>0</v>
      </c>
      <c r="Y524" s="1051">
        <f t="shared" si="39"/>
        <v>0</v>
      </c>
      <c r="Z524" s="1051">
        <f t="shared" si="39"/>
        <v>0</v>
      </c>
      <c r="AA524" s="1051">
        <f t="shared" si="39"/>
        <v>695391805</v>
      </c>
      <c r="AB524" s="1051">
        <f t="shared" si="39"/>
        <v>0.44148147106170654</v>
      </c>
      <c r="AC524" s="1102"/>
      <c r="AD524" s="471">
        <f>AD90</f>
        <v>0</v>
      </c>
      <c r="AE524" s="471"/>
      <c r="AF524" s="819">
        <f>AF90</f>
        <v>7496127.4074074086</v>
      </c>
      <c r="AG524" s="815">
        <f>AG90</f>
        <v>2328888.888888889</v>
      </c>
      <c r="AH524" s="816">
        <f>AH90</f>
        <v>0</v>
      </c>
      <c r="AJ524" s="293">
        <f>AJ90</f>
        <v>1340562</v>
      </c>
      <c r="AK524" s="293">
        <f>AK90</f>
        <v>5318250</v>
      </c>
      <c r="AL524" s="293">
        <f t="shared" si="37"/>
        <v>5065</v>
      </c>
    </row>
    <row r="525" spans="2:38" ht="18" customHeight="1">
      <c r="B525" s="291"/>
      <c r="C525" s="310"/>
      <c r="D525" s="310"/>
      <c r="E525" s="310"/>
      <c r="F525" s="310"/>
      <c r="G525" s="293"/>
      <c r="H525" s="293"/>
      <c r="I525" s="293"/>
      <c r="J525" s="293"/>
      <c r="K525" s="293"/>
      <c r="L525" s="293"/>
      <c r="M525" s="293"/>
      <c r="N525" s="293"/>
      <c r="O525" s="294"/>
      <c r="P525" s="294"/>
      <c r="Q525" s="294"/>
      <c r="R525" s="294"/>
      <c r="S525" s="294"/>
      <c r="T525" s="294"/>
      <c r="U525" s="1044"/>
      <c r="V525" s="1051"/>
      <c r="W525" s="248"/>
      <c r="X525" s="259"/>
      <c r="AA525" s="1087"/>
      <c r="AB525" s="1096"/>
      <c r="AC525" s="1102"/>
      <c r="AD525" s="471"/>
      <c r="AE525" s="820"/>
      <c r="AF525" s="742"/>
      <c r="AG525" s="823"/>
      <c r="AH525" s="824"/>
      <c r="AJ525" s="292"/>
      <c r="AK525" s="292"/>
      <c r="AL525" s="293">
        <f t="shared" si="37"/>
        <v>0</v>
      </c>
    </row>
    <row r="526" spans="2:38" ht="18" customHeight="1">
      <c r="B526" s="291" t="s">
        <v>6</v>
      </c>
      <c r="C526" s="310">
        <f t="shared" ref="C526:N526" si="40">C135</f>
        <v>176</v>
      </c>
      <c r="D526" s="310">
        <f t="shared" si="40"/>
        <v>0</v>
      </c>
      <c r="E526" s="310">
        <f t="shared" si="40"/>
        <v>5370</v>
      </c>
      <c r="F526" s="310">
        <f t="shared" si="40"/>
        <v>0</v>
      </c>
      <c r="G526" s="310">
        <f t="shared" si="40"/>
        <v>0</v>
      </c>
      <c r="H526" s="310">
        <f t="shared" si="40"/>
        <v>0</v>
      </c>
      <c r="I526" s="310">
        <f t="shared" si="40"/>
        <v>0</v>
      </c>
      <c r="J526" s="310">
        <f t="shared" si="40"/>
        <v>0</v>
      </c>
      <c r="K526" s="310">
        <f t="shared" si="40"/>
        <v>0</v>
      </c>
      <c r="L526" s="310">
        <f t="shared" si="40"/>
        <v>0</v>
      </c>
      <c r="M526" s="310">
        <f t="shared" si="40"/>
        <v>0</v>
      </c>
      <c r="N526" s="310">
        <f t="shared" si="40"/>
        <v>0</v>
      </c>
      <c r="O526" s="310"/>
      <c r="P526" s="310">
        <f t="shared" ref="P526:AB526" si="41">P135</f>
        <v>0</v>
      </c>
      <c r="Q526" s="310">
        <f t="shared" si="41"/>
        <v>1213652</v>
      </c>
      <c r="R526" s="310">
        <f t="shared" si="41"/>
        <v>0</v>
      </c>
      <c r="S526" s="310">
        <f t="shared" si="41"/>
        <v>604000</v>
      </c>
      <c r="T526" s="310">
        <f t="shared" si="41"/>
        <v>69844530</v>
      </c>
      <c r="U526" s="1043">
        <f t="shared" si="41"/>
        <v>26699242.310000002</v>
      </c>
      <c r="V526" s="1051">
        <f t="shared" si="41"/>
        <v>804360363.26000023</v>
      </c>
      <c r="W526" s="1051">
        <f t="shared" si="41"/>
        <v>0</v>
      </c>
      <c r="X526" s="1051">
        <f t="shared" si="41"/>
        <v>0</v>
      </c>
      <c r="Y526" s="1051">
        <f t="shared" si="41"/>
        <v>0</v>
      </c>
      <c r="Z526" s="1051">
        <f t="shared" si="41"/>
        <v>0</v>
      </c>
      <c r="AA526" s="1051">
        <f t="shared" si="41"/>
        <v>804360365</v>
      </c>
      <c r="AB526" s="1051">
        <f t="shared" si="41"/>
        <v>-1.7399997711181641</v>
      </c>
      <c r="AC526" s="1102"/>
      <c r="AD526" s="471">
        <f>AD135</f>
        <v>16282050</v>
      </c>
      <c r="AE526" s="471"/>
      <c r="AF526" s="819">
        <f>AF135</f>
        <v>5097816</v>
      </c>
      <c r="AG526" s="815">
        <f>AG135</f>
        <v>2817192.95</v>
      </c>
      <c r="AH526" s="816">
        <f>AH135</f>
        <v>0</v>
      </c>
      <c r="AJ526" s="293">
        <f>AJ135</f>
        <v>4902307</v>
      </c>
      <c r="AK526" s="293">
        <f>AK135</f>
        <v>31078250</v>
      </c>
      <c r="AL526" s="293">
        <f t="shared" si="37"/>
        <v>29598.333333333332</v>
      </c>
    </row>
    <row r="527" spans="2:38" ht="18" customHeight="1">
      <c r="B527" s="291"/>
      <c r="C527" s="310"/>
      <c r="D527" s="310"/>
      <c r="E527" s="310"/>
      <c r="F527" s="310"/>
      <c r="G527" s="293"/>
      <c r="H527" s="293"/>
      <c r="I527" s="293"/>
      <c r="J527" s="293"/>
      <c r="K527" s="293"/>
      <c r="L527" s="293"/>
      <c r="M527" s="293"/>
      <c r="N527" s="293"/>
      <c r="O527" s="294"/>
      <c r="P527" s="294"/>
      <c r="Q527" s="294"/>
      <c r="R527" s="294"/>
      <c r="S527" s="294"/>
      <c r="T527" s="294"/>
      <c r="U527" s="1044"/>
      <c r="V527" s="1051"/>
      <c r="W527" s="248"/>
      <c r="X527" s="259"/>
      <c r="AA527" s="1087"/>
      <c r="AB527" s="1096"/>
      <c r="AC527" s="1102"/>
      <c r="AD527" s="471"/>
      <c r="AE527" s="820"/>
      <c r="AF527" s="742"/>
      <c r="AG527" s="823"/>
      <c r="AH527" s="824"/>
      <c r="AJ527" s="292"/>
      <c r="AK527" s="292"/>
      <c r="AL527" s="293">
        <f t="shared" si="37"/>
        <v>0</v>
      </c>
    </row>
    <row r="528" spans="2:38" ht="18" customHeight="1">
      <c r="B528" s="291" t="s">
        <v>5</v>
      </c>
      <c r="C528" s="310">
        <f t="shared" ref="C528:N528" si="42">C175</f>
        <v>125</v>
      </c>
      <c r="D528" s="310">
        <f t="shared" si="42"/>
        <v>0</v>
      </c>
      <c r="E528" s="310">
        <f t="shared" si="42"/>
        <v>3820</v>
      </c>
      <c r="F528" s="310">
        <f t="shared" si="42"/>
        <v>-3820</v>
      </c>
      <c r="G528" s="310">
        <f t="shared" si="42"/>
        <v>0</v>
      </c>
      <c r="H528" s="310">
        <f t="shared" si="42"/>
        <v>0</v>
      </c>
      <c r="I528" s="310">
        <f t="shared" si="42"/>
        <v>0</v>
      </c>
      <c r="J528" s="310">
        <f t="shared" si="42"/>
        <v>0</v>
      </c>
      <c r="K528" s="310">
        <f t="shared" si="42"/>
        <v>0</v>
      </c>
      <c r="L528" s="310">
        <f t="shared" si="42"/>
        <v>0</v>
      </c>
      <c r="M528" s="310">
        <f t="shared" si="42"/>
        <v>0</v>
      </c>
      <c r="N528" s="310">
        <f t="shared" si="42"/>
        <v>0</v>
      </c>
      <c r="O528" s="310"/>
      <c r="P528" s="310">
        <f t="shared" ref="P528:AB528" si="43">P175</f>
        <v>0</v>
      </c>
      <c r="Q528" s="310">
        <f t="shared" si="43"/>
        <v>1312034</v>
      </c>
      <c r="R528" s="310">
        <f t="shared" si="43"/>
        <v>0</v>
      </c>
      <c r="S528" s="310">
        <f t="shared" si="43"/>
        <v>492000</v>
      </c>
      <c r="T528" s="310">
        <f t="shared" si="43"/>
        <v>68659726</v>
      </c>
      <c r="U528" s="1043">
        <f t="shared" si="43"/>
        <v>21142034.690000001</v>
      </c>
      <c r="V528" s="1051">
        <f t="shared" si="43"/>
        <v>594505798.47682667</v>
      </c>
      <c r="W528" s="1051">
        <f t="shared" si="43"/>
        <v>0</v>
      </c>
      <c r="X528" s="1051" t="e">
        <f t="shared" si="43"/>
        <v>#REF!</v>
      </c>
      <c r="Y528" s="1051" t="str">
        <f t="shared" si="43"/>
        <v>Upah rata-rata / HK</v>
      </c>
      <c r="Z528" s="1051">
        <f t="shared" si="43"/>
        <v>0</v>
      </c>
      <c r="AA528" s="1051">
        <f t="shared" si="43"/>
        <v>594505798</v>
      </c>
      <c r="AB528" s="1051">
        <f t="shared" si="43"/>
        <v>0.47682666778564453</v>
      </c>
      <c r="AC528" s="1102"/>
      <c r="AD528" s="471">
        <f>AD175</f>
        <v>8599500</v>
      </c>
      <c r="AE528" s="471"/>
      <c r="AF528" s="819">
        <f>AF175</f>
        <v>4249301.1989664081</v>
      </c>
      <c r="AG528" s="815">
        <f>AG175</f>
        <v>5907732.3191263936</v>
      </c>
      <c r="AH528" s="816">
        <f>AH175</f>
        <v>0</v>
      </c>
      <c r="AJ528" s="293">
        <f>AJ175</f>
        <v>7288203</v>
      </c>
      <c r="AK528" s="293">
        <f>AK175</f>
        <v>32630500</v>
      </c>
      <c r="AL528" s="293">
        <f t="shared" si="37"/>
        <v>31076.666666666668</v>
      </c>
    </row>
    <row r="529" spans="2:38" ht="18" customHeight="1">
      <c r="B529" s="291"/>
      <c r="C529" s="310"/>
      <c r="D529" s="310"/>
      <c r="E529" s="310"/>
      <c r="F529" s="310"/>
      <c r="G529" s="293"/>
      <c r="H529" s="293"/>
      <c r="I529" s="293"/>
      <c r="J529" s="293"/>
      <c r="K529" s="293"/>
      <c r="L529" s="293"/>
      <c r="M529" s="293"/>
      <c r="N529" s="293"/>
      <c r="O529" s="294"/>
      <c r="P529" s="294"/>
      <c r="Q529" s="294"/>
      <c r="R529" s="294"/>
      <c r="S529" s="294"/>
      <c r="T529" s="294"/>
      <c r="U529" s="1044"/>
      <c r="V529" s="1051"/>
      <c r="W529" s="248"/>
      <c r="X529" s="259"/>
      <c r="AA529" s="1087"/>
      <c r="AB529" s="1096"/>
      <c r="AC529" s="1102"/>
      <c r="AD529" s="471"/>
      <c r="AE529" s="820"/>
      <c r="AF529" s="742"/>
      <c r="AG529" s="823"/>
      <c r="AH529" s="824"/>
      <c r="AJ529" s="292"/>
      <c r="AK529" s="292"/>
      <c r="AL529" s="293">
        <f t="shared" si="37"/>
        <v>0</v>
      </c>
    </row>
    <row r="530" spans="2:38" ht="18" customHeight="1">
      <c r="B530" s="291" t="s">
        <v>9</v>
      </c>
      <c r="C530" s="310">
        <f t="shared" ref="C530:N530" si="44">C226</f>
        <v>205</v>
      </c>
      <c r="D530" s="310">
        <f t="shared" si="44"/>
        <v>0</v>
      </c>
      <c r="E530" s="310">
        <f t="shared" si="44"/>
        <v>5994</v>
      </c>
      <c r="F530" s="310">
        <f t="shared" si="44"/>
        <v>-5994</v>
      </c>
      <c r="G530" s="310">
        <f t="shared" si="44"/>
        <v>0</v>
      </c>
      <c r="H530" s="310">
        <f t="shared" si="44"/>
        <v>0</v>
      </c>
      <c r="I530" s="310">
        <f t="shared" si="44"/>
        <v>0</v>
      </c>
      <c r="J530" s="310">
        <f t="shared" si="44"/>
        <v>0</v>
      </c>
      <c r="K530" s="310">
        <f t="shared" si="44"/>
        <v>0</v>
      </c>
      <c r="L530" s="310">
        <f t="shared" si="44"/>
        <v>0</v>
      </c>
      <c r="M530" s="310">
        <f t="shared" si="44"/>
        <v>0</v>
      </c>
      <c r="N530" s="310">
        <f t="shared" si="44"/>
        <v>0</v>
      </c>
      <c r="O530" s="310"/>
      <c r="P530" s="310">
        <f t="shared" ref="P530:AB530" si="45">P226</f>
        <v>0</v>
      </c>
      <c r="Q530" s="310">
        <f t="shared" si="45"/>
        <v>2694867</v>
      </c>
      <c r="R530" s="310">
        <f t="shared" si="45"/>
        <v>0</v>
      </c>
      <c r="S530" s="310">
        <f t="shared" si="45"/>
        <v>812000</v>
      </c>
      <c r="T530" s="310">
        <f t="shared" si="45"/>
        <v>110461585</v>
      </c>
      <c r="U530" s="1043">
        <f t="shared" si="45"/>
        <v>25029838</v>
      </c>
      <c r="V530" s="1051">
        <f t="shared" si="45"/>
        <v>966927557.39999998</v>
      </c>
      <c r="W530" s="1051">
        <f t="shared" si="45"/>
        <v>0</v>
      </c>
      <c r="X530" s="1051" t="e">
        <f t="shared" si="45"/>
        <v>#REF!</v>
      </c>
      <c r="Y530" s="1051" t="str">
        <f t="shared" si="45"/>
        <v>Upah rata-rata / HK</v>
      </c>
      <c r="Z530" s="1051">
        <f t="shared" si="45"/>
        <v>0</v>
      </c>
      <c r="AA530" s="1051">
        <f t="shared" si="45"/>
        <v>966927557</v>
      </c>
      <c r="AB530" s="1051">
        <f t="shared" si="45"/>
        <v>0.39999997615814209</v>
      </c>
      <c r="AC530" s="1102"/>
      <c r="AD530" s="471">
        <f>AD226</f>
        <v>45629800</v>
      </c>
      <c r="AE530" s="471"/>
      <c r="AF530" s="819">
        <f>AF226</f>
        <v>5391839</v>
      </c>
      <c r="AG530" s="815">
        <f>AG226</f>
        <v>18050000</v>
      </c>
      <c r="AH530" s="816">
        <f>AH226</f>
        <v>0</v>
      </c>
      <c r="AJ530" s="293">
        <f>AJ226</f>
        <v>25086824</v>
      </c>
      <c r="AK530" s="293">
        <f>AK226</f>
        <v>51780750</v>
      </c>
      <c r="AL530" s="293">
        <f t="shared" si="37"/>
        <v>49315</v>
      </c>
    </row>
    <row r="531" spans="2:38" ht="18" customHeight="1">
      <c r="B531" s="309"/>
      <c r="C531" s="316"/>
      <c r="D531" s="316"/>
      <c r="E531" s="316"/>
      <c r="F531" s="316"/>
      <c r="G531" s="315"/>
      <c r="H531" s="315"/>
      <c r="I531" s="315"/>
      <c r="J531" s="315"/>
      <c r="K531" s="315"/>
      <c r="L531" s="315"/>
      <c r="M531" s="315"/>
      <c r="N531" s="315"/>
      <c r="O531" s="342"/>
      <c r="P531" s="342"/>
      <c r="Q531" s="342"/>
      <c r="R531" s="342"/>
      <c r="S531" s="342"/>
      <c r="T531" s="342"/>
      <c r="U531" s="1045"/>
      <c r="V531" s="1051"/>
      <c r="W531" s="248"/>
      <c r="X531" s="259"/>
      <c r="AA531" s="1087"/>
      <c r="AB531" s="1096"/>
      <c r="AC531" s="1102"/>
      <c r="AD531" s="471"/>
      <c r="AE531" s="820"/>
      <c r="AF531" s="742"/>
      <c r="AG531" s="823"/>
      <c r="AH531" s="824"/>
      <c r="AJ531" s="292"/>
      <c r="AK531" s="292"/>
      <c r="AL531" s="293">
        <f t="shared" si="37"/>
        <v>0</v>
      </c>
    </row>
    <row r="532" spans="2:38" ht="18" customHeight="1">
      <c r="B532" s="291" t="s">
        <v>76</v>
      </c>
      <c r="C532" s="310">
        <f t="shared" ref="C532:N532" si="46">C406</f>
        <v>14</v>
      </c>
      <c r="D532" s="310">
        <f t="shared" si="46"/>
        <v>0</v>
      </c>
      <c r="E532" s="310">
        <f t="shared" si="46"/>
        <v>414</v>
      </c>
      <c r="F532" s="310">
        <f t="shared" si="46"/>
        <v>0</v>
      </c>
      <c r="G532" s="310">
        <f t="shared" si="46"/>
        <v>0</v>
      </c>
      <c r="H532" s="310">
        <f t="shared" si="46"/>
        <v>0</v>
      </c>
      <c r="I532" s="310">
        <f t="shared" si="46"/>
        <v>0</v>
      </c>
      <c r="J532" s="310">
        <f t="shared" si="46"/>
        <v>0</v>
      </c>
      <c r="K532" s="310">
        <f t="shared" si="46"/>
        <v>0</v>
      </c>
      <c r="L532" s="310">
        <f t="shared" si="46"/>
        <v>0</v>
      </c>
      <c r="M532" s="310">
        <f t="shared" si="46"/>
        <v>0</v>
      </c>
      <c r="N532" s="310">
        <f t="shared" si="46"/>
        <v>0</v>
      </c>
      <c r="O532" s="310"/>
      <c r="P532" s="310">
        <f t="shared" ref="P532:AB532" si="47">P406</f>
        <v>0</v>
      </c>
      <c r="Q532" s="310">
        <f t="shared" si="47"/>
        <v>614448</v>
      </c>
      <c r="R532" s="310">
        <f t="shared" si="47"/>
        <v>0</v>
      </c>
      <c r="S532" s="310">
        <f t="shared" si="47"/>
        <v>24000</v>
      </c>
      <c r="T532" s="310">
        <f t="shared" si="47"/>
        <v>0</v>
      </c>
      <c r="U532" s="1043">
        <f t="shared" si="47"/>
        <v>34289981.219999999</v>
      </c>
      <c r="V532" s="1051">
        <f t="shared" si="47"/>
        <v>87891747.220000014</v>
      </c>
      <c r="W532" s="1051">
        <f t="shared" si="47"/>
        <v>0</v>
      </c>
      <c r="X532" s="1051">
        <f t="shared" si="47"/>
        <v>0</v>
      </c>
      <c r="Y532" s="1051">
        <f t="shared" si="47"/>
        <v>0</v>
      </c>
      <c r="Z532" s="1051">
        <f t="shared" si="47"/>
        <v>0</v>
      </c>
      <c r="AA532" s="1051">
        <f t="shared" si="47"/>
        <v>87891672</v>
      </c>
      <c r="AB532" s="1051">
        <f t="shared" si="47"/>
        <v>75.220000013709068</v>
      </c>
      <c r="AC532" s="1102"/>
      <c r="AD532" s="471">
        <v>0</v>
      </c>
      <c r="AE532" s="471"/>
      <c r="AF532" s="819">
        <v>0</v>
      </c>
      <c r="AG532" s="815">
        <v>0</v>
      </c>
      <c r="AH532" s="816">
        <v>0</v>
      </c>
      <c r="AJ532" s="293">
        <v>0</v>
      </c>
      <c r="AK532" s="293">
        <v>0</v>
      </c>
      <c r="AL532" s="293">
        <f t="shared" si="37"/>
        <v>0</v>
      </c>
    </row>
    <row r="533" spans="2:38" ht="18" customHeight="1">
      <c r="B533" s="309"/>
      <c r="C533" s="316"/>
      <c r="D533" s="316"/>
      <c r="E533" s="316"/>
      <c r="F533" s="316"/>
      <c r="G533" s="315"/>
      <c r="H533" s="315"/>
      <c r="I533" s="315"/>
      <c r="J533" s="315"/>
      <c r="K533" s="315"/>
      <c r="L533" s="315"/>
      <c r="M533" s="315"/>
      <c r="N533" s="315"/>
      <c r="O533" s="342"/>
      <c r="P533" s="342"/>
      <c r="Q533" s="342"/>
      <c r="R533" s="342"/>
      <c r="S533" s="342"/>
      <c r="T533" s="342"/>
      <c r="U533" s="1045"/>
      <c r="V533" s="1051"/>
      <c r="W533" s="248"/>
      <c r="X533" s="259"/>
      <c r="AA533" s="1087"/>
      <c r="AB533" s="1096"/>
      <c r="AC533" s="1102"/>
      <c r="AD533" s="471"/>
      <c r="AE533" s="820"/>
      <c r="AF533" s="742"/>
      <c r="AG533" s="823"/>
      <c r="AH533" s="824"/>
      <c r="AJ533" s="292"/>
      <c r="AK533" s="292"/>
      <c r="AL533" s="293">
        <f t="shared" si="37"/>
        <v>0</v>
      </c>
    </row>
    <row r="534" spans="2:38" ht="18" customHeight="1">
      <c r="B534" s="309" t="s">
        <v>54</v>
      </c>
      <c r="C534" s="316">
        <f>C478</f>
        <v>29</v>
      </c>
      <c r="D534" s="316">
        <f t="shared" ref="D534" si="48">D478</f>
        <v>0</v>
      </c>
      <c r="E534" s="316">
        <f t="shared" ref="E534:AB534" si="49">E478</f>
        <v>869</v>
      </c>
      <c r="F534" s="316">
        <f t="shared" si="49"/>
        <v>0</v>
      </c>
      <c r="G534" s="316">
        <f t="shared" si="49"/>
        <v>0</v>
      </c>
      <c r="H534" s="316">
        <f t="shared" si="49"/>
        <v>0</v>
      </c>
      <c r="I534" s="316">
        <f t="shared" si="49"/>
        <v>0</v>
      </c>
      <c r="J534" s="316">
        <f t="shared" si="49"/>
        <v>0</v>
      </c>
      <c r="K534" s="316">
        <f t="shared" si="49"/>
        <v>0</v>
      </c>
      <c r="L534" s="316">
        <f t="shared" si="49"/>
        <v>0</v>
      </c>
      <c r="M534" s="316">
        <f t="shared" si="49"/>
        <v>0</v>
      </c>
      <c r="N534" s="316">
        <f t="shared" si="49"/>
        <v>0</v>
      </c>
      <c r="O534" s="316"/>
      <c r="P534" s="316">
        <f t="shared" si="49"/>
        <v>0</v>
      </c>
      <c r="Q534" s="316">
        <f t="shared" si="49"/>
        <v>1010024</v>
      </c>
      <c r="R534" s="316">
        <f t="shared" ref="R534:S534" si="50">R478</f>
        <v>0</v>
      </c>
      <c r="S534" s="316">
        <f t="shared" si="50"/>
        <v>116000</v>
      </c>
      <c r="T534" s="316">
        <f t="shared" si="49"/>
        <v>3117520</v>
      </c>
      <c r="U534" s="1046">
        <f t="shared" si="49"/>
        <v>45947790.280000001</v>
      </c>
      <c r="V534" s="318">
        <f t="shared" si="49"/>
        <v>161128300.27999997</v>
      </c>
      <c r="W534" s="318">
        <f t="shared" si="49"/>
        <v>0</v>
      </c>
      <c r="X534" s="318">
        <f t="shared" si="49"/>
        <v>0</v>
      </c>
      <c r="Y534" s="318">
        <f t="shared" si="49"/>
        <v>0</v>
      </c>
      <c r="Z534" s="318">
        <f t="shared" si="49"/>
        <v>0</v>
      </c>
      <c r="AA534" s="318">
        <f t="shared" si="49"/>
        <v>161128233</v>
      </c>
      <c r="AB534" s="318">
        <f t="shared" si="49"/>
        <v>67.279999971389771</v>
      </c>
      <c r="AC534" s="1102"/>
      <c r="AD534" s="471">
        <v>0</v>
      </c>
      <c r="AE534" s="471"/>
      <c r="AF534" s="819">
        <v>0</v>
      </c>
      <c r="AG534" s="815">
        <v>0</v>
      </c>
      <c r="AH534" s="816">
        <v>0</v>
      </c>
      <c r="AJ534" s="293">
        <v>0</v>
      </c>
      <c r="AK534" s="293">
        <v>0</v>
      </c>
      <c r="AL534" s="293">
        <f t="shared" si="37"/>
        <v>0</v>
      </c>
    </row>
    <row r="535" spans="2:38" ht="18" customHeight="1">
      <c r="B535" s="309"/>
      <c r="C535" s="316"/>
      <c r="D535" s="316"/>
      <c r="E535" s="316"/>
      <c r="F535" s="316"/>
      <c r="G535" s="315"/>
      <c r="H535" s="315"/>
      <c r="I535" s="315"/>
      <c r="J535" s="315"/>
      <c r="K535" s="315"/>
      <c r="L535" s="315"/>
      <c r="M535" s="315"/>
      <c r="N535" s="315"/>
      <c r="O535" s="342"/>
      <c r="P535" s="342"/>
      <c r="Q535" s="342"/>
      <c r="R535" s="342"/>
      <c r="S535" s="342"/>
      <c r="T535" s="342"/>
      <c r="U535" s="1045"/>
      <c r="V535" s="1051"/>
      <c r="W535" s="248"/>
      <c r="X535" s="259"/>
      <c r="AA535" s="1087"/>
      <c r="AB535" s="1096"/>
      <c r="AC535" s="1102"/>
      <c r="AD535" s="471"/>
      <c r="AE535" s="820"/>
      <c r="AF535" s="742"/>
      <c r="AG535" s="823"/>
      <c r="AH535" s="824"/>
      <c r="AJ535" s="292"/>
      <c r="AK535" s="292"/>
      <c r="AL535" s="293">
        <f t="shared" si="37"/>
        <v>0</v>
      </c>
    </row>
    <row r="536" spans="2:38" ht="18" customHeight="1">
      <c r="B536" s="309" t="s">
        <v>657</v>
      </c>
      <c r="C536" s="316">
        <f>+C503</f>
        <v>18</v>
      </c>
      <c r="D536" s="316"/>
      <c r="E536" s="316">
        <f>+E503</f>
        <v>547</v>
      </c>
      <c r="F536" s="316"/>
      <c r="G536" s="315"/>
      <c r="H536" s="315"/>
      <c r="I536" s="315"/>
      <c r="J536" s="315"/>
      <c r="K536" s="315"/>
      <c r="L536" s="315"/>
      <c r="M536" s="315"/>
      <c r="N536" s="315"/>
      <c r="O536" s="342"/>
      <c r="P536" s="342"/>
      <c r="Q536" s="530">
        <f>+Q503</f>
        <v>389632</v>
      </c>
      <c r="R536" s="342"/>
      <c r="S536" s="530">
        <f>+S503</f>
        <v>72000</v>
      </c>
      <c r="T536" s="530">
        <f>+T503</f>
        <v>0</v>
      </c>
      <c r="U536" s="1046">
        <f>+U503</f>
        <v>20581831.750000004</v>
      </c>
      <c r="V536" s="1051">
        <f>+V503</f>
        <v>90844467.75</v>
      </c>
      <c r="W536" s="1051">
        <f t="shared" ref="W536:AB536" si="51">+W503</f>
        <v>0</v>
      </c>
      <c r="X536" s="1051">
        <f t="shared" si="51"/>
        <v>0</v>
      </c>
      <c r="Y536" s="1051">
        <f t="shared" si="51"/>
        <v>0</v>
      </c>
      <c r="Z536" s="1051">
        <f t="shared" si="51"/>
        <v>0</v>
      </c>
      <c r="AA536" s="1051">
        <f t="shared" si="51"/>
        <v>90844403</v>
      </c>
      <c r="AB536" s="1051">
        <f t="shared" si="51"/>
        <v>64.75</v>
      </c>
      <c r="AC536" s="1102"/>
      <c r="AD536" s="471"/>
      <c r="AE536" s="820"/>
      <c r="AF536" s="742"/>
      <c r="AG536" s="823"/>
      <c r="AH536" s="824"/>
      <c r="AJ536" s="292"/>
      <c r="AK536" s="292"/>
      <c r="AL536" s="293"/>
    </row>
    <row r="537" spans="2:38" ht="18" customHeight="1">
      <c r="B537" s="309"/>
      <c r="C537" s="316"/>
      <c r="D537" s="316"/>
      <c r="E537" s="316"/>
      <c r="F537" s="316"/>
      <c r="G537" s="315"/>
      <c r="H537" s="315"/>
      <c r="I537" s="315"/>
      <c r="J537" s="315"/>
      <c r="K537" s="315"/>
      <c r="L537" s="315"/>
      <c r="M537" s="315"/>
      <c r="N537" s="315"/>
      <c r="O537" s="342"/>
      <c r="P537" s="342"/>
      <c r="Q537" s="342"/>
      <c r="R537" s="342"/>
      <c r="S537" s="342"/>
      <c r="T537" s="342"/>
      <c r="U537" s="1045"/>
      <c r="V537" s="1051"/>
      <c r="W537" s="248"/>
      <c r="X537" s="259"/>
      <c r="AA537" s="1087"/>
      <c r="AB537" s="1096"/>
      <c r="AC537" s="1102"/>
      <c r="AD537" s="471"/>
      <c r="AE537" s="820"/>
      <c r="AF537" s="742"/>
      <c r="AG537" s="823"/>
      <c r="AH537" s="824"/>
      <c r="AJ537" s="292"/>
      <c r="AK537" s="292"/>
      <c r="AL537" s="293"/>
    </row>
    <row r="538" spans="2:38" ht="18" customHeight="1">
      <c r="B538" s="291" t="s">
        <v>576</v>
      </c>
      <c r="C538" s="450">
        <v>167</v>
      </c>
      <c r="D538" s="450"/>
      <c r="E538" s="450">
        <v>5029</v>
      </c>
      <c r="F538" s="450"/>
      <c r="G538" s="376"/>
      <c r="H538" s="376"/>
      <c r="I538" s="376"/>
      <c r="J538" s="376"/>
      <c r="K538" s="376"/>
      <c r="L538" s="376"/>
      <c r="M538" s="376"/>
      <c r="N538" s="376"/>
      <c r="O538" s="377"/>
      <c r="P538" s="377"/>
      <c r="Q538" s="450">
        <v>15090000</v>
      </c>
      <c r="R538" s="599"/>
      <c r="S538" s="599">
        <v>604000</v>
      </c>
      <c r="T538" s="599">
        <v>0</v>
      </c>
      <c r="U538" s="1047">
        <v>587803801</v>
      </c>
      <c r="V538" s="1052">
        <v>1234277949</v>
      </c>
      <c r="W538" s="1052"/>
      <c r="X538" s="1052"/>
      <c r="Y538" s="1052"/>
      <c r="Z538" s="1052"/>
      <c r="AA538" s="1052">
        <v>1234277949</v>
      </c>
      <c r="AB538" s="1052">
        <f>V538-AA538</f>
        <v>0</v>
      </c>
      <c r="AC538" s="1102"/>
      <c r="AD538" s="471">
        <v>0</v>
      </c>
      <c r="AE538" s="471"/>
      <c r="AF538" s="471">
        <v>0</v>
      </c>
      <c r="AG538" s="471">
        <v>0</v>
      </c>
      <c r="AH538" s="471">
        <v>0</v>
      </c>
      <c r="AJ538" s="293">
        <v>0</v>
      </c>
      <c r="AK538" s="293">
        <v>0</v>
      </c>
      <c r="AL538" s="293">
        <f t="shared" si="37"/>
        <v>0</v>
      </c>
    </row>
    <row r="539" spans="2:38" ht="18" customHeight="1">
      <c r="B539" s="309"/>
      <c r="C539" s="316"/>
      <c r="D539" s="316"/>
      <c r="E539" s="316"/>
      <c r="F539" s="316"/>
      <c r="G539" s="315"/>
      <c r="H539" s="315"/>
      <c r="I539" s="315"/>
      <c r="J539" s="315"/>
      <c r="K539" s="315"/>
      <c r="L539" s="315"/>
      <c r="M539" s="315"/>
      <c r="N539" s="315"/>
      <c r="O539" s="342"/>
      <c r="P539" s="342"/>
      <c r="Q539" s="342"/>
      <c r="R539" s="342"/>
      <c r="S539" s="342"/>
      <c r="T539" s="342"/>
      <c r="U539" s="1045"/>
      <c r="V539" s="318"/>
      <c r="W539" s="248"/>
      <c r="X539" s="259"/>
      <c r="AA539" s="1091"/>
      <c r="AB539" s="1101"/>
      <c r="AC539" s="1102"/>
      <c r="AD539" s="471"/>
      <c r="AE539" s="825"/>
      <c r="AF539" s="742"/>
      <c r="AG539" s="823"/>
      <c r="AH539" s="824"/>
      <c r="AJ539" s="292"/>
      <c r="AK539" s="292"/>
      <c r="AL539" s="293">
        <f t="shared" si="37"/>
        <v>0</v>
      </c>
    </row>
    <row r="540" spans="2:38" ht="18" hidden="1" customHeight="1">
      <c r="B540" s="375" t="s">
        <v>580</v>
      </c>
      <c r="C540" s="450">
        <v>0</v>
      </c>
      <c r="D540" s="450">
        <v>0</v>
      </c>
      <c r="E540" s="450">
        <v>0</v>
      </c>
      <c r="F540" s="450">
        <v>0</v>
      </c>
      <c r="G540" s="293"/>
      <c r="H540" s="293"/>
      <c r="I540" s="293"/>
      <c r="J540" s="293"/>
      <c r="K540" s="293"/>
      <c r="L540" s="293"/>
      <c r="M540" s="293"/>
      <c r="N540" s="293"/>
      <c r="O540" s="294"/>
      <c r="P540" s="294"/>
      <c r="Q540" s="450">
        <v>0</v>
      </c>
      <c r="R540" s="294"/>
      <c r="S540" s="599">
        <v>0</v>
      </c>
      <c r="T540" s="599">
        <v>0</v>
      </c>
      <c r="U540" s="1047">
        <v>0</v>
      </c>
      <c r="V540" s="1052">
        <v>0</v>
      </c>
      <c r="W540" s="248"/>
      <c r="X540" s="259"/>
      <c r="AA540" s="1146"/>
      <c r="AB540" s="1147"/>
      <c r="AC540" s="1102"/>
      <c r="AD540" s="471"/>
      <c r="AE540" s="825"/>
      <c r="AF540" s="742"/>
      <c r="AG540" s="823"/>
      <c r="AH540" s="824"/>
      <c r="AJ540" s="292"/>
      <c r="AK540" s="292"/>
      <c r="AL540" s="293">
        <f t="shared" si="37"/>
        <v>0</v>
      </c>
    </row>
    <row r="541" spans="2:38" ht="18" customHeight="1" thickBot="1">
      <c r="B541" s="571"/>
      <c r="C541" s="569"/>
      <c r="D541" s="569"/>
      <c r="E541" s="569"/>
      <c r="F541" s="569"/>
      <c r="G541" s="223"/>
      <c r="H541" s="223"/>
      <c r="I541" s="223"/>
      <c r="J541" s="223"/>
      <c r="K541" s="223"/>
      <c r="L541" s="223"/>
      <c r="M541" s="223"/>
      <c r="N541" s="223"/>
      <c r="O541" s="285"/>
      <c r="P541" s="285"/>
      <c r="Q541" s="285"/>
      <c r="R541" s="285"/>
      <c r="S541" s="285"/>
      <c r="T541" s="285"/>
      <c r="U541" s="285"/>
      <c r="V541" s="286"/>
      <c r="W541" s="248"/>
      <c r="X541" s="259"/>
      <c r="AA541" s="1148"/>
      <c r="AB541" s="1149"/>
      <c r="AC541" s="1102"/>
      <c r="AD541" s="471"/>
      <c r="AE541" s="825"/>
      <c r="AF541" s="742"/>
      <c r="AG541" s="823"/>
      <c r="AH541" s="824"/>
      <c r="AJ541" s="292"/>
      <c r="AK541" s="292"/>
      <c r="AL541" s="293">
        <f t="shared" si="37"/>
        <v>0</v>
      </c>
    </row>
    <row r="542" spans="2:38" ht="18" customHeight="1" thickTop="1" thickBot="1">
      <c r="B542" s="319" t="s">
        <v>4</v>
      </c>
      <c r="C542" s="414">
        <f>SUM(C521:C541)</f>
        <v>1099</v>
      </c>
      <c r="D542" s="414">
        <f t="shared" ref="D542:U542" si="52">SUM(D521:D541)</f>
        <v>0</v>
      </c>
      <c r="E542" s="414">
        <f t="shared" si="52"/>
        <v>33061</v>
      </c>
      <c r="F542" s="414">
        <f t="shared" si="52"/>
        <v>-15008</v>
      </c>
      <c r="G542" s="414">
        <f t="shared" si="52"/>
        <v>0</v>
      </c>
      <c r="H542" s="414">
        <f t="shared" si="52"/>
        <v>0</v>
      </c>
      <c r="I542" s="414">
        <f t="shared" si="52"/>
        <v>0</v>
      </c>
      <c r="J542" s="414">
        <f t="shared" si="52"/>
        <v>0</v>
      </c>
      <c r="K542" s="414">
        <f t="shared" si="52"/>
        <v>0</v>
      </c>
      <c r="L542" s="414">
        <f t="shared" si="52"/>
        <v>0</v>
      </c>
      <c r="M542" s="414">
        <f t="shared" si="52"/>
        <v>0</v>
      </c>
      <c r="N542" s="414">
        <f t="shared" si="52"/>
        <v>0</v>
      </c>
      <c r="O542" s="414">
        <f t="shared" si="52"/>
        <v>0</v>
      </c>
      <c r="P542" s="414">
        <f t="shared" si="52"/>
        <v>0</v>
      </c>
      <c r="Q542" s="414">
        <f t="shared" si="52"/>
        <v>24313093</v>
      </c>
      <c r="R542" s="414">
        <f t="shared" si="52"/>
        <v>0</v>
      </c>
      <c r="S542" s="414">
        <f t="shared" si="52"/>
        <v>4056000</v>
      </c>
      <c r="T542" s="414">
        <f t="shared" si="52"/>
        <v>340063527</v>
      </c>
      <c r="U542" s="455">
        <f t="shared" si="52"/>
        <v>810534627.52999997</v>
      </c>
      <c r="V542" s="413">
        <f>SUM(V521:V541)</f>
        <v>5513698265.8333082</v>
      </c>
      <c r="W542" s="413">
        <f t="shared" ref="W542:AB542" si="53">SUM(W521:W541)</f>
        <v>0</v>
      </c>
      <c r="X542" s="413" t="e">
        <f t="shared" si="53"/>
        <v>#REF!</v>
      </c>
      <c r="Y542" s="413">
        <f t="shared" si="53"/>
        <v>0</v>
      </c>
      <c r="Z542" s="413">
        <f t="shared" si="53"/>
        <v>0</v>
      </c>
      <c r="AA542" s="413">
        <f t="shared" si="53"/>
        <v>5513698059</v>
      </c>
      <c r="AB542" s="413">
        <f t="shared" si="53"/>
        <v>206.83330844342709</v>
      </c>
      <c r="AC542" s="1102"/>
      <c r="AD542" s="471"/>
      <c r="AE542" s="825"/>
      <c r="AF542" s="742"/>
      <c r="AG542" s="823"/>
      <c r="AH542" s="824"/>
      <c r="AJ542" s="292"/>
      <c r="AK542" s="292"/>
      <c r="AL542" s="293">
        <f t="shared" si="37"/>
        <v>0</v>
      </c>
    </row>
    <row r="543" spans="2:38" ht="18" customHeight="1" thickTop="1">
      <c r="B543" s="291"/>
      <c r="C543" s="292"/>
      <c r="D543" s="292"/>
      <c r="E543" s="310"/>
      <c r="F543" s="310"/>
      <c r="G543" s="293"/>
      <c r="H543" s="293"/>
      <c r="I543" s="293"/>
      <c r="J543" s="293"/>
      <c r="K543" s="293"/>
      <c r="L543" s="293"/>
      <c r="M543" s="293"/>
      <c r="N543" s="293"/>
      <c r="O543" s="294"/>
      <c r="P543" s="294"/>
      <c r="Q543" s="294"/>
      <c r="R543" s="294"/>
      <c r="S543" s="294"/>
      <c r="T543" s="294"/>
      <c r="U543" s="1044"/>
      <c r="V543" s="1051"/>
      <c r="W543" s="248"/>
      <c r="X543" s="259"/>
      <c r="AA543" s="1089"/>
      <c r="AB543" s="1098"/>
      <c r="AC543" s="1102"/>
      <c r="AD543" s="471"/>
      <c r="AE543" s="825"/>
      <c r="AF543" s="742"/>
      <c r="AG543" s="823"/>
      <c r="AH543" s="824"/>
      <c r="AJ543" s="292"/>
      <c r="AK543" s="292"/>
      <c r="AL543" s="293">
        <f t="shared" si="37"/>
        <v>0</v>
      </c>
    </row>
    <row r="544" spans="2:38" ht="18" customHeight="1">
      <c r="B544" s="291" t="s">
        <v>57</v>
      </c>
      <c r="C544" s="310">
        <f t="shared" ref="C544:N544" si="54">C261</f>
        <v>140</v>
      </c>
      <c r="D544" s="310">
        <f t="shared" si="54"/>
        <v>0</v>
      </c>
      <c r="E544" s="310">
        <f t="shared" si="54"/>
        <v>4248</v>
      </c>
      <c r="F544" s="310">
        <f t="shared" si="54"/>
        <v>-4248</v>
      </c>
      <c r="G544" s="310">
        <f t="shared" si="54"/>
        <v>0</v>
      </c>
      <c r="H544" s="310">
        <f t="shared" si="54"/>
        <v>0</v>
      </c>
      <c r="I544" s="310">
        <f t="shared" si="54"/>
        <v>0</v>
      </c>
      <c r="J544" s="310">
        <f t="shared" si="54"/>
        <v>0</v>
      </c>
      <c r="K544" s="310">
        <f t="shared" si="54"/>
        <v>0</v>
      </c>
      <c r="L544" s="310">
        <f t="shared" si="54"/>
        <v>0</v>
      </c>
      <c r="M544" s="310">
        <f t="shared" si="54"/>
        <v>0</v>
      </c>
      <c r="N544" s="310">
        <f t="shared" si="54"/>
        <v>0</v>
      </c>
      <c r="O544" s="310"/>
      <c r="P544" s="310">
        <f t="shared" ref="P544:AB544" si="55">P261</f>
        <v>0</v>
      </c>
      <c r="Q544" s="310">
        <f t="shared" si="55"/>
        <v>2070117</v>
      </c>
      <c r="R544" s="310">
        <f t="shared" si="55"/>
        <v>0</v>
      </c>
      <c r="S544" s="310">
        <f t="shared" si="55"/>
        <v>428000</v>
      </c>
      <c r="T544" s="310">
        <f t="shared" si="55"/>
        <v>80854039.269999996</v>
      </c>
      <c r="U544" s="1043">
        <f t="shared" si="55"/>
        <v>24267963.34</v>
      </c>
      <c r="V544" s="1051">
        <f t="shared" si="55"/>
        <v>686674496.61000001</v>
      </c>
      <c r="W544" s="1051">
        <f t="shared" si="55"/>
        <v>0</v>
      </c>
      <c r="X544" s="1051" t="e">
        <f t="shared" si="55"/>
        <v>#REF!</v>
      </c>
      <c r="Y544" s="1051" t="str">
        <f t="shared" si="55"/>
        <v>Upah rata-rata / HK</v>
      </c>
      <c r="Z544" s="1051">
        <f t="shared" si="55"/>
        <v>0</v>
      </c>
      <c r="AA544" s="1051">
        <f t="shared" si="55"/>
        <v>686674495</v>
      </c>
      <c r="AB544" s="1051">
        <f t="shared" si="55"/>
        <v>1.6100000143051147</v>
      </c>
      <c r="AC544" s="1102"/>
      <c r="AD544" s="471">
        <f>AD261</f>
        <v>26023250</v>
      </c>
      <c r="AE544" s="471"/>
      <c r="AF544" s="819">
        <f>AF261</f>
        <v>3625793</v>
      </c>
      <c r="AG544" s="815">
        <f>AG261</f>
        <v>11500000</v>
      </c>
      <c r="AH544" s="816">
        <f>AH261</f>
        <v>0</v>
      </c>
      <c r="AJ544" s="293">
        <f>AJ261</f>
        <v>36805683</v>
      </c>
      <c r="AK544" s="293">
        <f>AK261</f>
        <v>23628500</v>
      </c>
      <c r="AL544" s="293">
        <f t="shared" si="37"/>
        <v>22503.333333333332</v>
      </c>
    </row>
    <row r="545" spans="2:38" ht="18" customHeight="1">
      <c r="B545" s="291"/>
      <c r="C545" s="310"/>
      <c r="D545" s="310"/>
      <c r="E545" s="310"/>
      <c r="F545" s="310"/>
      <c r="G545" s="293"/>
      <c r="H545" s="293"/>
      <c r="I545" s="293"/>
      <c r="J545" s="293"/>
      <c r="K545" s="293"/>
      <c r="L545" s="293"/>
      <c r="M545" s="293"/>
      <c r="N545" s="293"/>
      <c r="O545" s="294"/>
      <c r="P545" s="294"/>
      <c r="Q545" s="294"/>
      <c r="R545" s="294"/>
      <c r="S545" s="294"/>
      <c r="T545" s="294"/>
      <c r="U545" s="1044"/>
      <c r="V545" s="1051"/>
      <c r="W545" s="248"/>
      <c r="X545" s="259"/>
      <c r="AA545" s="1087"/>
      <c r="AB545" s="1096"/>
      <c r="AC545" s="1102"/>
      <c r="AD545" s="471"/>
      <c r="AE545" s="825"/>
      <c r="AF545" s="742"/>
      <c r="AG545" s="823"/>
      <c r="AH545" s="824"/>
      <c r="AJ545" s="292"/>
      <c r="AK545" s="292"/>
      <c r="AL545" s="293">
        <f t="shared" si="37"/>
        <v>0</v>
      </c>
    </row>
    <row r="546" spans="2:38" ht="18" customHeight="1">
      <c r="B546" s="291" t="s">
        <v>58</v>
      </c>
      <c r="C546" s="310">
        <f t="shared" ref="C546:N546" si="56">C296</f>
        <v>139</v>
      </c>
      <c r="D546" s="310">
        <f t="shared" si="56"/>
        <v>0</v>
      </c>
      <c r="E546" s="310">
        <f t="shared" si="56"/>
        <v>4166</v>
      </c>
      <c r="F546" s="310">
        <f t="shared" si="56"/>
        <v>-4166</v>
      </c>
      <c r="G546" s="310">
        <f t="shared" si="56"/>
        <v>0</v>
      </c>
      <c r="H546" s="310">
        <f t="shared" si="56"/>
        <v>0</v>
      </c>
      <c r="I546" s="310">
        <f t="shared" si="56"/>
        <v>0</v>
      </c>
      <c r="J546" s="310">
        <f t="shared" si="56"/>
        <v>0</v>
      </c>
      <c r="K546" s="310">
        <f t="shared" si="56"/>
        <v>0</v>
      </c>
      <c r="L546" s="310">
        <f t="shared" si="56"/>
        <v>0</v>
      </c>
      <c r="M546" s="310">
        <f t="shared" si="56"/>
        <v>0</v>
      </c>
      <c r="N546" s="310">
        <f t="shared" si="56"/>
        <v>0</v>
      </c>
      <c r="O546" s="310"/>
      <c r="P546" s="310">
        <f t="shared" ref="P546:AB546" si="57">P296</f>
        <v>0</v>
      </c>
      <c r="Q546" s="310">
        <f t="shared" si="57"/>
        <v>1653863</v>
      </c>
      <c r="R546" s="310">
        <f t="shared" si="57"/>
        <v>0</v>
      </c>
      <c r="S546" s="310">
        <f t="shared" si="57"/>
        <v>556000</v>
      </c>
      <c r="T546" s="310">
        <f t="shared" si="57"/>
        <v>71495925</v>
      </c>
      <c r="U546" s="1043">
        <f t="shared" si="57"/>
        <v>23931842.350000001</v>
      </c>
      <c r="V546" s="1051">
        <f t="shared" si="57"/>
        <v>676070056.35000002</v>
      </c>
      <c r="W546" s="1051" t="e">
        <f t="shared" si="57"/>
        <v>#REF!</v>
      </c>
      <c r="X546" s="1051" t="e">
        <f t="shared" si="57"/>
        <v>#REF!</v>
      </c>
      <c r="Y546" s="1051" t="e">
        <f t="shared" si="57"/>
        <v>#REF!</v>
      </c>
      <c r="Z546" s="1051" t="e">
        <f t="shared" si="57"/>
        <v>#REF!</v>
      </c>
      <c r="AA546" s="1051">
        <f t="shared" si="57"/>
        <v>676070056</v>
      </c>
      <c r="AB546" s="1051">
        <f t="shared" si="57"/>
        <v>0.35000002384185791</v>
      </c>
      <c r="AC546" s="1102"/>
      <c r="AD546" s="471">
        <f>AD296</f>
        <v>29981600</v>
      </c>
      <c r="AE546" s="471"/>
      <c r="AF546" s="819">
        <f>AF296</f>
        <v>1697970</v>
      </c>
      <c r="AG546" s="815">
        <f>AG296</f>
        <v>14300000</v>
      </c>
      <c r="AH546" s="816">
        <f>AH296</f>
        <v>0</v>
      </c>
      <c r="AJ546" s="293">
        <f>AJ296</f>
        <v>15000573</v>
      </c>
      <c r="AK546" s="293">
        <f>AK296</f>
        <v>26649000</v>
      </c>
      <c r="AL546" s="293">
        <f t="shared" si="37"/>
        <v>25380</v>
      </c>
    </row>
    <row r="547" spans="2:38" ht="18" customHeight="1">
      <c r="B547" s="291"/>
      <c r="C547" s="292"/>
      <c r="D547" s="310"/>
      <c r="E547" s="310"/>
      <c r="F547" s="310"/>
      <c r="G547" s="293"/>
      <c r="H547" s="293"/>
      <c r="I547" s="293"/>
      <c r="J547" s="293"/>
      <c r="K547" s="293"/>
      <c r="L547" s="293"/>
      <c r="M547" s="293"/>
      <c r="N547" s="293"/>
      <c r="O547" s="294"/>
      <c r="P547" s="294"/>
      <c r="Q547" s="294"/>
      <c r="R547" s="294"/>
      <c r="S547" s="294"/>
      <c r="T547" s="294"/>
      <c r="U547" s="1044"/>
      <c r="V547" s="1051"/>
      <c r="W547" s="248"/>
      <c r="X547" s="259"/>
      <c r="AA547" s="1087"/>
      <c r="AB547" s="1096"/>
      <c r="AC547" s="1102"/>
      <c r="AD547" s="471"/>
      <c r="AE547" s="825"/>
      <c r="AF547" s="742"/>
      <c r="AG547" s="823"/>
      <c r="AH547" s="824"/>
      <c r="AJ547" s="292"/>
      <c r="AK547" s="292"/>
      <c r="AL547" s="293">
        <f t="shared" si="37"/>
        <v>0</v>
      </c>
    </row>
    <row r="548" spans="2:38" ht="18" customHeight="1">
      <c r="B548" s="291" t="s">
        <v>59</v>
      </c>
      <c r="C548" s="292">
        <f t="shared" ref="C548:N548" si="58">C332</f>
        <v>124</v>
      </c>
      <c r="D548" s="292">
        <f t="shared" si="58"/>
        <v>0</v>
      </c>
      <c r="E548" s="310">
        <f t="shared" si="58"/>
        <v>3756</v>
      </c>
      <c r="F548" s="292">
        <f t="shared" si="58"/>
        <v>-3756</v>
      </c>
      <c r="G548" s="292">
        <f t="shared" si="58"/>
        <v>0</v>
      </c>
      <c r="H548" s="292">
        <f t="shared" si="58"/>
        <v>0</v>
      </c>
      <c r="I548" s="292">
        <f t="shared" si="58"/>
        <v>0</v>
      </c>
      <c r="J548" s="292">
        <f t="shared" si="58"/>
        <v>0</v>
      </c>
      <c r="K548" s="292">
        <f t="shared" si="58"/>
        <v>0</v>
      </c>
      <c r="L548" s="292">
        <f t="shared" si="58"/>
        <v>0</v>
      </c>
      <c r="M548" s="292">
        <f t="shared" si="58"/>
        <v>0</v>
      </c>
      <c r="N548" s="292">
        <f t="shared" si="58"/>
        <v>0</v>
      </c>
      <c r="O548" s="292"/>
      <c r="P548" s="292">
        <f t="shared" ref="P548:AB548" si="59">P332</f>
        <v>0</v>
      </c>
      <c r="Q548" s="310">
        <f t="shared" si="59"/>
        <v>2327867</v>
      </c>
      <c r="R548" s="310">
        <f t="shared" si="59"/>
        <v>0</v>
      </c>
      <c r="S548" s="310">
        <f t="shared" si="59"/>
        <v>484000</v>
      </c>
      <c r="T548" s="310">
        <f t="shared" si="59"/>
        <v>81408651.5</v>
      </c>
      <c r="U548" s="1043">
        <f t="shared" si="59"/>
        <v>34295583.829999998</v>
      </c>
      <c r="V548" s="1051">
        <f t="shared" si="59"/>
        <v>628224928.33000004</v>
      </c>
      <c r="W548" s="1051">
        <f t="shared" si="59"/>
        <v>0</v>
      </c>
      <c r="X548" s="1051">
        <f t="shared" si="59"/>
        <v>0</v>
      </c>
      <c r="Y548" s="1051">
        <f t="shared" si="59"/>
        <v>0</v>
      </c>
      <c r="Z548" s="1051">
        <f t="shared" si="59"/>
        <v>0</v>
      </c>
      <c r="AA548" s="1051">
        <f>AA332</f>
        <v>657131647</v>
      </c>
      <c r="AB548" s="1051">
        <f t="shared" si="59"/>
        <v>-28906718.669999957</v>
      </c>
      <c r="AC548" s="1102"/>
      <c r="AD548" s="471">
        <f>AD332</f>
        <v>20870600</v>
      </c>
      <c r="AE548" s="471"/>
      <c r="AF548" s="819">
        <f>AF332</f>
        <v>5818618</v>
      </c>
      <c r="AG548" s="815">
        <f>AG332</f>
        <v>15300000</v>
      </c>
      <c r="AH548" s="816">
        <f>AH332</f>
        <v>0</v>
      </c>
      <c r="AJ548" s="293">
        <f>AJ332</f>
        <v>23514108</v>
      </c>
      <c r="AK548" s="293">
        <f>AK332</f>
        <v>20272000</v>
      </c>
      <c r="AL548" s="293">
        <f t="shared" si="37"/>
        <v>19306.666666666668</v>
      </c>
    </row>
    <row r="549" spans="2:38" ht="18" customHeight="1">
      <c r="B549" s="291"/>
      <c r="C549" s="292"/>
      <c r="D549" s="310"/>
      <c r="E549" s="310"/>
      <c r="F549" s="310"/>
      <c r="G549" s="293"/>
      <c r="H549" s="293"/>
      <c r="I549" s="293"/>
      <c r="J549" s="293"/>
      <c r="K549" s="293"/>
      <c r="L549" s="293"/>
      <c r="M549" s="293"/>
      <c r="N549" s="293"/>
      <c r="O549" s="294"/>
      <c r="P549" s="294"/>
      <c r="Q549" s="294"/>
      <c r="R549" s="294"/>
      <c r="S549" s="294"/>
      <c r="T549" s="294"/>
      <c r="U549" s="1044"/>
      <c r="V549" s="1051"/>
      <c r="W549" s="248"/>
      <c r="X549" s="259"/>
      <c r="AA549" s="1087"/>
      <c r="AB549" s="1096"/>
      <c r="AC549" s="1102"/>
      <c r="AD549" s="471">
        <f>AD112</f>
        <v>0</v>
      </c>
      <c r="AE549" s="825"/>
      <c r="AF549" s="742"/>
      <c r="AG549" s="823"/>
      <c r="AH549" s="824"/>
      <c r="AJ549" s="292"/>
      <c r="AK549" s="292"/>
      <c r="AL549" s="293">
        <f t="shared" si="37"/>
        <v>0</v>
      </c>
    </row>
    <row r="550" spans="2:38" ht="18" customHeight="1">
      <c r="B550" s="291" t="s">
        <v>60</v>
      </c>
      <c r="C550" s="310">
        <f t="shared" ref="C550:N550" si="60">C385</f>
        <v>260</v>
      </c>
      <c r="D550" s="310">
        <f t="shared" si="60"/>
        <v>0</v>
      </c>
      <c r="E550" s="310">
        <f t="shared" si="60"/>
        <v>7846</v>
      </c>
      <c r="F550" s="310">
        <f t="shared" si="60"/>
        <v>0</v>
      </c>
      <c r="G550" s="310">
        <f t="shared" si="60"/>
        <v>0</v>
      </c>
      <c r="H550" s="310">
        <f t="shared" si="60"/>
        <v>0</v>
      </c>
      <c r="I550" s="310">
        <f t="shared" si="60"/>
        <v>0</v>
      </c>
      <c r="J550" s="310">
        <f t="shared" si="60"/>
        <v>0</v>
      </c>
      <c r="K550" s="310">
        <f t="shared" si="60"/>
        <v>0</v>
      </c>
      <c r="L550" s="310">
        <f t="shared" si="60"/>
        <v>0</v>
      </c>
      <c r="M550" s="310">
        <f t="shared" si="60"/>
        <v>0</v>
      </c>
      <c r="N550" s="310">
        <f t="shared" si="60"/>
        <v>0</v>
      </c>
      <c r="O550" s="310"/>
      <c r="P550" s="310">
        <f t="shared" ref="P550:AB550" si="61">P385</f>
        <v>0</v>
      </c>
      <c r="Q550" s="310">
        <f t="shared" si="61"/>
        <v>4625191</v>
      </c>
      <c r="R550" s="310">
        <f t="shared" si="61"/>
        <v>0</v>
      </c>
      <c r="S550" s="310">
        <f t="shared" si="61"/>
        <v>996000</v>
      </c>
      <c r="T550" s="310">
        <f t="shared" si="61"/>
        <v>155328680.5</v>
      </c>
      <c r="U550" s="1043">
        <f t="shared" si="61"/>
        <v>57555183.550000004</v>
      </c>
      <c r="V550" s="1051">
        <f t="shared" si="61"/>
        <v>1282489712.0500002</v>
      </c>
      <c r="W550" s="1051">
        <f t="shared" si="61"/>
        <v>0</v>
      </c>
      <c r="X550" s="1051">
        <f t="shared" si="61"/>
        <v>0</v>
      </c>
      <c r="Y550" s="1051">
        <f t="shared" si="61"/>
        <v>0</v>
      </c>
      <c r="Z550" s="1051">
        <f t="shared" si="61"/>
        <v>0</v>
      </c>
      <c r="AA550" s="1051">
        <f t="shared" si="61"/>
        <v>1282489712</v>
      </c>
      <c r="AB550" s="1051">
        <f t="shared" si="61"/>
        <v>5.0000190734863281E-2</v>
      </c>
      <c r="AC550" s="1102"/>
      <c r="AD550" s="471">
        <f>AD385</f>
        <v>45028000</v>
      </c>
      <c r="AE550" s="471"/>
      <c r="AF550" s="819">
        <f>AF385</f>
        <v>794121</v>
      </c>
      <c r="AG550" s="815">
        <f>AG385</f>
        <v>19500000</v>
      </c>
      <c r="AH550" s="816">
        <f>AH385</f>
        <v>0</v>
      </c>
      <c r="AJ550" s="293">
        <f>AJ385</f>
        <v>49043912</v>
      </c>
      <c r="AK550" s="293">
        <f>AK385</f>
        <v>32483500</v>
      </c>
      <c r="AL550" s="293">
        <f t="shared" si="37"/>
        <v>30936.666666666668</v>
      </c>
    </row>
    <row r="551" spans="2:38" ht="18" customHeight="1">
      <c r="B551" s="291"/>
      <c r="C551" s="310"/>
      <c r="D551" s="310"/>
      <c r="E551" s="310"/>
      <c r="F551" s="310"/>
      <c r="G551" s="293"/>
      <c r="H551" s="293"/>
      <c r="I551" s="293"/>
      <c r="J551" s="293"/>
      <c r="K551" s="293"/>
      <c r="L551" s="293"/>
      <c r="M551" s="293"/>
      <c r="N551" s="293"/>
      <c r="O551" s="294"/>
      <c r="P551" s="294"/>
      <c r="Q551" s="294"/>
      <c r="R551" s="294"/>
      <c r="S551" s="294"/>
      <c r="T551" s="294"/>
      <c r="U551" s="1044"/>
      <c r="V551" s="1051"/>
      <c r="W551" s="248"/>
      <c r="X551" s="259"/>
      <c r="AA551" s="1087"/>
      <c r="AB551" s="1096"/>
      <c r="AC551" s="1102"/>
      <c r="AD551" s="471"/>
      <c r="AE551" s="825"/>
      <c r="AF551" s="742"/>
      <c r="AG551" s="823"/>
      <c r="AH551" s="824"/>
      <c r="AJ551" s="292"/>
      <c r="AK551" s="292"/>
      <c r="AL551" s="293">
        <f t="shared" si="37"/>
        <v>0</v>
      </c>
    </row>
    <row r="552" spans="2:38" ht="18" customHeight="1">
      <c r="B552" s="291" t="s">
        <v>31</v>
      </c>
      <c r="C552" s="310">
        <f t="shared" ref="C552:N552" si="62">C429</f>
        <v>5</v>
      </c>
      <c r="D552" s="310">
        <f t="shared" si="62"/>
        <v>0</v>
      </c>
      <c r="E552" s="310">
        <f t="shared" si="62"/>
        <v>154</v>
      </c>
      <c r="F552" s="310">
        <f t="shared" si="62"/>
        <v>0</v>
      </c>
      <c r="G552" s="310">
        <f t="shared" si="62"/>
        <v>0</v>
      </c>
      <c r="H552" s="310">
        <f t="shared" si="62"/>
        <v>0</v>
      </c>
      <c r="I552" s="310">
        <f t="shared" si="62"/>
        <v>0</v>
      </c>
      <c r="J552" s="310">
        <f t="shared" si="62"/>
        <v>0</v>
      </c>
      <c r="K552" s="310">
        <f t="shared" si="62"/>
        <v>0</v>
      </c>
      <c r="L552" s="310">
        <f t="shared" si="62"/>
        <v>0</v>
      </c>
      <c r="M552" s="310">
        <f t="shared" si="62"/>
        <v>0</v>
      </c>
      <c r="N552" s="310">
        <f t="shared" si="62"/>
        <v>0</v>
      </c>
      <c r="O552" s="310"/>
      <c r="P552" s="310">
        <f t="shared" ref="P552:Z552" si="63">P429</f>
        <v>0</v>
      </c>
      <c r="Q552" s="310">
        <f t="shared" si="63"/>
        <v>78309</v>
      </c>
      <c r="R552" s="310">
        <f t="shared" si="63"/>
        <v>0</v>
      </c>
      <c r="S552" s="310">
        <f t="shared" si="63"/>
        <v>20000</v>
      </c>
      <c r="T552" s="310">
        <f t="shared" si="63"/>
        <v>400000</v>
      </c>
      <c r="U552" s="1043">
        <f t="shared" si="63"/>
        <v>8358218.04</v>
      </c>
      <c r="V552" s="1051">
        <f t="shared" si="63"/>
        <v>28906719.039999999</v>
      </c>
      <c r="W552" s="1051">
        <f t="shared" si="63"/>
        <v>0</v>
      </c>
      <c r="X552" s="1051">
        <f t="shared" si="63"/>
        <v>0</v>
      </c>
      <c r="Y552" s="1051">
        <f t="shared" si="63"/>
        <v>0</v>
      </c>
      <c r="Z552" s="1051">
        <f t="shared" si="63"/>
        <v>0</v>
      </c>
      <c r="AA552" s="1051">
        <v>0</v>
      </c>
      <c r="AB552" s="1051">
        <f>V552-AA552</f>
        <v>28906719.039999999</v>
      </c>
      <c r="AC552" s="1102"/>
      <c r="AD552" s="293"/>
      <c r="AE552" s="380"/>
      <c r="AF552" s="364"/>
      <c r="AG552" s="813"/>
      <c r="AH552" s="814"/>
      <c r="AJ552" s="292"/>
      <c r="AK552" s="292"/>
      <c r="AL552" s="293">
        <f t="shared" si="37"/>
        <v>0</v>
      </c>
    </row>
    <row r="553" spans="2:38" ht="18" customHeight="1" thickBot="1">
      <c r="B553" s="291"/>
      <c r="C553" s="310"/>
      <c r="D553" s="310"/>
      <c r="E553" s="310"/>
      <c r="F553" s="310"/>
      <c r="G553" s="293"/>
      <c r="H553" s="293"/>
      <c r="I553" s="293"/>
      <c r="J553" s="293"/>
      <c r="K553" s="293"/>
      <c r="L553" s="293"/>
      <c r="M553" s="293"/>
      <c r="N553" s="293"/>
      <c r="O553" s="294"/>
      <c r="P553" s="294"/>
      <c r="Q553" s="294"/>
      <c r="R553" s="294"/>
      <c r="S553" s="294"/>
      <c r="T553" s="294"/>
      <c r="U553" s="1044"/>
      <c r="V553" s="1051"/>
      <c r="W553" s="248"/>
      <c r="X553" s="259"/>
      <c r="AA553" s="1091"/>
      <c r="AB553" s="1101"/>
      <c r="AC553" s="313"/>
      <c r="AD553" s="293"/>
      <c r="AE553" s="380"/>
      <c r="AF553" s="364"/>
      <c r="AG553" s="813"/>
      <c r="AH553" s="814"/>
      <c r="AJ553" s="292"/>
      <c r="AK553" s="292"/>
      <c r="AL553" s="293">
        <f t="shared" si="37"/>
        <v>0</v>
      </c>
    </row>
    <row r="554" spans="2:38" ht="18" customHeight="1" thickTop="1" thickBot="1">
      <c r="B554" s="319" t="s">
        <v>10</v>
      </c>
      <c r="C554" s="414">
        <f>SUM(C542:C553)</f>
        <v>1767</v>
      </c>
      <c r="D554" s="414">
        <f t="shared" ref="D554:U554" si="64">SUM(D542:D553)</f>
        <v>0</v>
      </c>
      <c r="E554" s="414">
        <f>SUM(E542:E553)</f>
        <v>53231</v>
      </c>
      <c r="F554" s="414">
        <f t="shared" si="64"/>
        <v>-27178</v>
      </c>
      <c r="G554" s="320">
        <f t="shared" si="64"/>
        <v>0</v>
      </c>
      <c r="H554" s="320">
        <f t="shared" si="64"/>
        <v>0</v>
      </c>
      <c r="I554" s="320">
        <f t="shared" si="64"/>
        <v>0</v>
      </c>
      <c r="J554" s="320">
        <f t="shared" si="64"/>
        <v>0</v>
      </c>
      <c r="K554" s="320">
        <f t="shared" si="64"/>
        <v>0</v>
      </c>
      <c r="L554" s="320">
        <f t="shared" si="64"/>
        <v>0</v>
      </c>
      <c r="M554" s="320">
        <f t="shared" si="64"/>
        <v>0</v>
      </c>
      <c r="N554" s="320">
        <f t="shared" si="64"/>
        <v>0</v>
      </c>
      <c r="O554" s="320"/>
      <c r="P554" s="320"/>
      <c r="Q554" s="456">
        <f t="shared" si="64"/>
        <v>35068440</v>
      </c>
      <c r="R554" s="456">
        <f t="shared" si="64"/>
        <v>0</v>
      </c>
      <c r="S554" s="456">
        <f t="shared" si="64"/>
        <v>6540000</v>
      </c>
      <c r="T554" s="456">
        <f>SUM(T542:T553)</f>
        <v>729550823.26999998</v>
      </c>
      <c r="U554" s="455">
        <f t="shared" si="64"/>
        <v>958943418.63999999</v>
      </c>
      <c r="V554" s="413">
        <f>SUM(V542:V553)</f>
        <v>8816064178.2133102</v>
      </c>
      <c r="W554" s="413" t="e">
        <f t="shared" ref="W554:AB554" si="65">SUM(W542:W553)</f>
        <v>#REF!</v>
      </c>
      <c r="X554" s="413" t="e">
        <f t="shared" si="65"/>
        <v>#REF!</v>
      </c>
      <c r="Y554" s="413" t="e">
        <f t="shared" si="65"/>
        <v>#REF!</v>
      </c>
      <c r="Z554" s="413" t="e">
        <f t="shared" si="65"/>
        <v>#REF!</v>
      </c>
      <c r="AA554" s="413">
        <f t="shared" si="65"/>
        <v>8816063969</v>
      </c>
      <c r="AB554" s="413">
        <f t="shared" si="65"/>
        <v>209.2133087143302</v>
      </c>
      <c r="AC554" s="313"/>
      <c r="AD554" s="293">
        <f>SUM(AD522:AD553)</f>
        <v>207881550</v>
      </c>
      <c r="AE554" s="293"/>
      <c r="AF554" s="376">
        <f>SUM(AF522:AF553)</f>
        <v>36054153.606373817</v>
      </c>
      <c r="AG554" s="810">
        <f>SUM(AG522:AG553)</f>
        <v>103949188.15801528</v>
      </c>
      <c r="AH554" s="798">
        <f t="shared" ref="AH554" si="66">SUM(AH522:AH553)</f>
        <v>0</v>
      </c>
      <c r="AJ554" s="293">
        <f>SUM(AJ522:AJ553)</f>
        <v>184628392</v>
      </c>
      <c r="AK554" s="293">
        <f>SUM(AK522:AK553)</f>
        <v>249014500</v>
      </c>
      <c r="AL554" s="293">
        <f>AK554/1050</f>
        <v>237156.66666666666</v>
      </c>
    </row>
    <row r="555" spans="2:38" ht="18" customHeight="1" thickTop="1">
      <c r="B555" s="287"/>
      <c r="C555" s="533"/>
      <c r="D555" s="533"/>
      <c r="E555" s="839"/>
      <c r="F555" s="839"/>
      <c r="G555" s="288"/>
      <c r="H555" s="288"/>
      <c r="I555" s="288"/>
      <c r="J555" s="288"/>
      <c r="K555" s="288"/>
      <c r="L555" s="288"/>
      <c r="M555" s="288"/>
      <c r="N555" s="288"/>
      <c r="O555" s="289"/>
      <c r="P555" s="289"/>
      <c r="Q555" s="289"/>
      <c r="R555" s="289"/>
      <c r="S555" s="289"/>
      <c r="T555" s="289"/>
      <c r="U555" s="289"/>
      <c r="V555" s="290"/>
      <c r="W555" s="248"/>
      <c r="X555" s="259"/>
      <c r="AA555" s="1089"/>
      <c r="AB555" s="1098"/>
      <c r="AC555" s="313"/>
      <c r="AD555" s="293"/>
      <c r="AE555" s="215"/>
      <c r="AF555" s="376"/>
      <c r="AG555" s="810"/>
      <c r="AH555" s="1017"/>
    </row>
    <row r="556" spans="2:38" ht="18" customHeight="1">
      <c r="B556" s="291" t="s">
        <v>61</v>
      </c>
      <c r="C556" s="310">
        <f t="shared" ref="C556:N556" si="67">C456</f>
        <v>43</v>
      </c>
      <c r="D556" s="310">
        <f t="shared" si="67"/>
        <v>0</v>
      </c>
      <c r="E556" s="310">
        <f t="shared" si="67"/>
        <v>1273</v>
      </c>
      <c r="F556" s="310">
        <f t="shared" si="67"/>
        <v>0</v>
      </c>
      <c r="G556" s="310">
        <f t="shared" si="67"/>
        <v>0</v>
      </c>
      <c r="H556" s="310">
        <f t="shared" si="67"/>
        <v>0</v>
      </c>
      <c r="I556" s="310">
        <f t="shared" si="67"/>
        <v>0</v>
      </c>
      <c r="J556" s="310">
        <f t="shared" si="67"/>
        <v>0</v>
      </c>
      <c r="K556" s="310">
        <f t="shared" si="67"/>
        <v>0</v>
      </c>
      <c r="L556" s="310">
        <f t="shared" si="67"/>
        <v>0</v>
      </c>
      <c r="M556" s="310">
        <f t="shared" si="67"/>
        <v>0</v>
      </c>
      <c r="N556" s="310">
        <f t="shared" si="67"/>
        <v>0</v>
      </c>
      <c r="O556" s="310"/>
      <c r="P556" s="310">
        <f t="shared" ref="P556:AB556" si="68">P456</f>
        <v>0</v>
      </c>
      <c r="Q556" s="310">
        <f t="shared" si="68"/>
        <v>1269044</v>
      </c>
      <c r="R556" s="310">
        <f t="shared" si="68"/>
        <v>0</v>
      </c>
      <c r="S556" s="310">
        <f t="shared" si="68"/>
        <v>430000</v>
      </c>
      <c r="T556" s="310">
        <f t="shared" si="68"/>
        <v>43738652</v>
      </c>
      <c r="U556" s="1043">
        <f t="shared" si="68"/>
        <v>9994008.8399999999</v>
      </c>
      <c r="V556" s="1051">
        <f t="shared" si="68"/>
        <v>222679964.83999997</v>
      </c>
      <c r="W556" s="1051">
        <f t="shared" si="68"/>
        <v>0</v>
      </c>
      <c r="X556" s="1051">
        <f t="shared" si="68"/>
        <v>0</v>
      </c>
      <c r="Y556" s="1051">
        <f t="shared" si="68"/>
        <v>0</v>
      </c>
      <c r="Z556" s="1051">
        <f t="shared" si="68"/>
        <v>0</v>
      </c>
      <c r="AA556" s="1051">
        <f t="shared" si="68"/>
        <v>222679965</v>
      </c>
      <c r="AB556" s="1051">
        <f t="shared" si="68"/>
        <v>-0.1600000262260437</v>
      </c>
      <c r="AC556" s="313"/>
      <c r="AD556" s="293">
        <f>AD456</f>
        <v>0</v>
      </c>
      <c r="AE556" s="215"/>
      <c r="AF556" s="819">
        <f>AF456</f>
        <v>0</v>
      </c>
      <c r="AG556" s="815">
        <f>AG456</f>
        <v>6500000</v>
      </c>
      <c r="AH556" s="815">
        <f>AH456</f>
        <v>27073898</v>
      </c>
    </row>
    <row r="557" spans="2:38" ht="16.5" customHeight="1" thickBot="1">
      <c r="B557" s="287"/>
      <c r="C557" s="533"/>
      <c r="D557" s="533"/>
      <c r="E557" s="839"/>
      <c r="F557" s="839"/>
      <c r="G557" s="288"/>
      <c r="H557" s="288"/>
      <c r="I557" s="288"/>
      <c r="J557" s="288"/>
      <c r="K557" s="288"/>
      <c r="L557" s="288"/>
      <c r="M557" s="288"/>
      <c r="N557" s="288"/>
      <c r="O557" s="289"/>
      <c r="P557" s="289"/>
      <c r="Q557" s="289"/>
      <c r="R557" s="289"/>
      <c r="S557" s="289"/>
      <c r="T557" s="289"/>
      <c r="U557" s="289"/>
      <c r="V557" s="1051"/>
      <c r="W557" s="248"/>
      <c r="X557" s="259"/>
      <c r="AA557" s="1087"/>
      <c r="AB557" s="1096"/>
      <c r="AE557" s="215"/>
    </row>
    <row r="558" spans="2:38" s="242" customFormat="1" ht="16.5" hidden="1" customHeight="1">
      <c r="B558" s="363" t="s">
        <v>32</v>
      </c>
      <c r="C558" s="357">
        <v>0</v>
      </c>
      <c r="D558" s="357"/>
      <c r="E558" s="840">
        <v>0</v>
      </c>
      <c r="F558" s="840">
        <v>0</v>
      </c>
      <c r="G558" s="358">
        <v>0</v>
      </c>
      <c r="H558" s="358">
        <v>0</v>
      </c>
      <c r="I558" s="358">
        <v>0</v>
      </c>
      <c r="J558" s="358">
        <v>0</v>
      </c>
      <c r="K558" s="358">
        <v>0</v>
      </c>
      <c r="L558" s="358">
        <v>0</v>
      </c>
      <c r="M558" s="358">
        <v>0</v>
      </c>
      <c r="N558" s="358">
        <v>0</v>
      </c>
      <c r="O558" s="359"/>
      <c r="P558" s="359"/>
      <c r="Q558" s="359"/>
      <c r="R558" s="359"/>
      <c r="S558" s="359"/>
      <c r="T558" s="359"/>
      <c r="U558" s="359"/>
      <c r="V558" s="1052">
        <f>SUM(E558:N558)</f>
        <v>0</v>
      </c>
      <c r="W558" s="248"/>
      <c r="X558" s="259"/>
      <c r="Y558" s="215"/>
      <c r="Z558" s="215"/>
      <c r="AA558" s="1087"/>
      <c r="AB558" s="1096"/>
      <c r="AC558" s="215"/>
      <c r="AD558" s="339"/>
      <c r="AE558" s="215"/>
      <c r="AF558" s="216"/>
      <c r="AG558" s="739"/>
      <c r="AH558" s="215"/>
    </row>
    <row r="559" spans="2:38" ht="16.5" hidden="1" customHeight="1">
      <c r="B559" s="287"/>
      <c r="C559" s="533"/>
      <c r="D559" s="533"/>
      <c r="E559" s="839"/>
      <c r="F559" s="839"/>
      <c r="G559" s="288"/>
      <c r="H559" s="288"/>
      <c r="I559" s="288"/>
      <c r="J559" s="288"/>
      <c r="K559" s="288"/>
      <c r="L559" s="288"/>
      <c r="M559" s="288"/>
      <c r="N559" s="288"/>
      <c r="O559" s="289"/>
      <c r="P559" s="289"/>
      <c r="Q559" s="289"/>
      <c r="R559" s="289"/>
      <c r="S559" s="289"/>
      <c r="T559" s="289"/>
      <c r="U559" s="289"/>
      <c r="V559" s="1051"/>
      <c r="W559" s="245"/>
      <c r="X559" s="241"/>
      <c r="Y559" s="242"/>
      <c r="Z559" s="242"/>
      <c r="AA559" s="1088"/>
      <c r="AB559" s="1097"/>
      <c r="AC559" s="242"/>
      <c r="AD559" s="353"/>
      <c r="AE559" s="215"/>
    </row>
    <row r="560" spans="2:38" s="242" customFormat="1" ht="16.5" hidden="1" customHeight="1">
      <c r="B560" s="291" t="s">
        <v>35</v>
      </c>
      <c r="C560" s="310">
        <f t="shared" ref="C560:N560" si="69">C611</f>
        <v>0</v>
      </c>
      <c r="D560" s="310"/>
      <c r="E560" s="310">
        <f t="shared" si="69"/>
        <v>0</v>
      </c>
      <c r="F560" s="310">
        <f t="shared" si="69"/>
        <v>0</v>
      </c>
      <c r="G560" s="293">
        <f t="shared" si="69"/>
        <v>0</v>
      </c>
      <c r="H560" s="293">
        <f t="shared" si="69"/>
        <v>0</v>
      </c>
      <c r="I560" s="293">
        <f t="shared" si="69"/>
        <v>0</v>
      </c>
      <c r="J560" s="293">
        <f t="shared" si="69"/>
        <v>0</v>
      </c>
      <c r="K560" s="293">
        <f t="shared" si="69"/>
        <v>0</v>
      </c>
      <c r="L560" s="293">
        <f t="shared" si="69"/>
        <v>0</v>
      </c>
      <c r="M560" s="293">
        <f t="shared" si="69"/>
        <v>0</v>
      </c>
      <c r="N560" s="293">
        <f t="shared" si="69"/>
        <v>0</v>
      </c>
      <c r="O560" s="294"/>
      <c r="P560" s="294"/>
      <c r="Q560" s="294"/>
      <c r="R560" s="294"/>
      <c r="S560" s="294"/>
      <c r="T560" s="294"/>
      <c r="U560" s="1044"/>
      <c r="V560" s="1051">
        <f>SUM(E560:N560)</f>
        <v>0</v>
      </c>
      <c r="W560" s="248"/>
      <c r="X560" s="259"/>
      <c r="Y560" s="215"/>
      <c r="Z560" s="215"/>
      <c r="AA560" s="1087"/>
      <c r="AB560" s="1096"/>
      <c r="AC560" s="215"/>
      <c r="AD560" s="339">
        <f>152-97</f>
        <v>55</v>
      </c>
      <c r="AE560" s="215"/>
      <c r="AF560" s="216"/>
      <c r="AG560" s="796"/>
    </row>
    <row r="561" spans="2:34" ht="16.5" hidden="1" customHeight="1">
      <c r="B561" s="291"/>
      <c r="C561" s="292"/>
      <c r="D561" s="292"/>
      <c r="E561" s="310"/>
      <c r="F561" s="310"/>
      <c r="G561" s="293"/>
      <c r="H561" s="293"/>
      <c r="I561" s="293"/>
      <c r="J561" s="293"/>
      <c r="K561" s="293"/>
      <c r="L561" s="293"/>
      <c r="M561" s="293"/>
      <c r="N561" s="293"/>
      <c r="O561" s="294"/>
      <c r="P561" s="294"/>
      <c r="Q561" s="294"/>
      <c r="R561" s="294"/>
      <c r="S561" s="294"/>
      <c r="T561" s="294"/>
      <c r="U561" s="1044"/>
      <c r="V561" s="1051"/>
      <c r="W561" s="1049"/>
      <c r="X561" s="348"/>
      <c r="Y561" s="242"/>
      <c r="Z561" s="242"/>
      <c r="AA561" s="1088"/>
      <c r="AB561" s="1097"/>
      <c r="AC561" s="242"/>
      <c r="AD561" s="353"/>
      <c r="AE561" s="353"/>
      <c r="AF561" s="274"/>
    </row>
    <row r="562" spans="2:34" ht="16.5" hidden="1" customHeight="1">
      <c r="B562" s="291" t="s">
        <v>36</v>
      </c>
      <c r="C562" s="310">
        <f t="shared" ref="C562:N562" si="70">C636</f>
        <v>0</v>
      </c>
      <c r="D562" s="310"/>
      <c r="E562" s="310">
        <f t="shared" si="70"/>
        <v>0</v>
      </c>
      <c r="F562" s="310">
        <f t="shared" si="70"/>
        <v>0</v>
      </c>
      <c r="G562" s="293">
        <f t="shared" si="70"/>
        <v>0</v>
      </c>
      <c r="H562" s="293">
        <f t="shared" si="70"/>
        <v>0</v>
      </c>
      <c r="I562" s="293">
        <f t="shared" si="70"/>
        <v>0</v>
      </c>
      <c r="J562" s="293">
        <f t="shared" si="70"/>
        <v>0</v>
      </c>
      <c r="K562" s="293">
        <f t="shared" si="70"/>
        <v>0</v>
      </c>
      <c r="L562" s="293">
        <f t="shared" si="70"/>
        <v>0</v>
      </c>
      <c r="M562" s="293">
        <f t="shared" si="70"/>
        <v>0</v>
      </c>
      <c r="N562" s="293">
        <f t="shared" si="70"/>
        <v>0</v>
      </c>
      <c r="O562" s="294"/>
      <c r="P562" s="294"/>
      <c r="Q562" s="294"/>
      <c r="R562" s="294"/>
      <c r="S562" s="294"/>
      <c r="T562" s="294"/>
      <c r="U562" s="1044"/>
      <c r="V562" s="1051">
        <f>SUM(E562:N562)</f>
        <v>0</v>
      </c>
      <c r="W562" s="1050"/>
      <c r="X562" s="352"/>
      <c r="AA562" s="1087"/>
      <c r="AB562" s="1096"/>
    </row>
    <row r="563" spans="2:34" ht="16.5" hidden="1" customHeight="1">
      <c r="B563" s="291"/>
      <c r="C563" s="292"/>
      <c r="D563" s="292"/>
      <c r="E563" s="310"/>
      <c r="F563" s="310"/>
      <c r="G563" s="293"/>
      <c r="H563" s="293"/>
      <c r="I563" s="293"/>
      <c r="J563" s="293"/>
      <c r="K563" s="293"/>
      <c r="L563" s="293"/>
      <c r="M563" s="293"/>
      <c r="N563" s="293"/>
      <c r="O563" s="294"/>
      <c r="P563" s="294"/>
      <c r="Q563" s="294"/>
      <c r="R563" s="294"/>
      <c r="S563" s="294"/>
      <c r="T563" s="294"/>
      <c r="U563" s="1044"/>
      <c r="V563" s="1051"/>
      <c r="W563" s="248"/>
      <c r="X563" s="259"/>
      <c r="AA563" s="1087"/>
      <c r="AB563" s="1096"/>
      <c r="AG563" s="217"/>
      <c r="AH563" s="218"/>
    </row>
    <row r="564" spans="2:34" ht="16.5" hidden="1" customHeight="1">
      <c r="B564" s="291" t="s">
        <v>41</v>
      </c>
      <c r="C564" s="310">
        <f t="shared" ref="C564:N564" si="71">C657</f>
        <v>0</v>
      </c>
      <c r="D564" s="310"/>
      <c r="E564" s="310">
        <f t="shared" si="71"/>
        <v>0</v>
      </c>
      <c r="F564" s="310">
        <f t="shared" si="71"/>
        <v>0</v>
      </c>
      <c r="G564" s="293">
        <f t="shared" si="71"/>
        <v>0</v>
      </c>
      <c r="H564" s="293">
        <f t="shared" si="71"/>
        <v>0</v>
      </c>
      <c r="I564" s="293">
        <f t="shared" si="71"/>
        <v>0</v>
      </c>
      <c r="J564" s="293">
        <f t="shared" si="71"/>
        <v>0</v>
      </c>
      <c r="K564" s="293">
        <f t="shared" si="71"/>
        <v>0</v>
      </c>
      <c r="L564" s="293">
        <f t="shared" si="71"/>
        <v>0</v>
      </c>
      <c r="M564" s="293">
        <f t="shared" si="71"/>
        <v>0</v>
      </c>
      <c r="N564" s="293">
        <f t="shared" si="71"/>
        <v>0</v>
      </c>
      <c r="O564" s="294"/>
      <c r="P564" s="294"/>
      <c r="Q564" s="294"/>
      <c r="R564" s="294"/>
      <c r="S564" s="294"/>
      <c r="T564" s="294"/>
      <c r="U564" s="1044"/>
      <c r="V564" s="1051">
        <f>SUM(E564:N564)</f>
        <v>0</v>
      </c>
      <c r="W564" s="248"/>
      <c r="X564" s="259"/>
      <c r="AA564" s="1087"/>
      <c r="AB564" s="1096"/>
    </row>
    <row r="565" spans="2:34" ht="16.5" hidden="1" customHeight="1">
      <c r="B565" s="291"/>
      <c r="C565" s="310"/>
      <c r="D565" s="310"/>
      <c r="E565" s="310"/>
      <c r="F565" s="310"/>
      <c r="G565" s="293"/>
      <c r="H565" s="293"/>
      <c r="I565" s="293"/>
      <c r="J565" s="293"/>
      <c r="K565" s="293"/>
      <c r="L565" s="293"/>
      <c r="M565" s="293"/>
      <c r="N565" s="293"/>
      <c r="O565" s="294"/>
      <c r="P565" s="294"/>
      <c r="Q565" s="294"/>
      <c r="R565" s="294"/>
      <c r="S565" s="294"/>
      <c r="T565" s="294"/>
      <c r="U565" s="1044"/>
      <c r="V565" s="1051"/>
      <c r="W565" s="1050"/>
      <c r="X565" s="352"/>
      <c r="AA565" s="1087"/>
      <c r="AB565" s="1096"/>
    </row>
    <row r="566" spans="2:34" ht="16.5" hidden="1" customHeight="1">
      <c r="B566" s="291" t="s">
        <v>37</v>
      </c>
      <c r="C566" s="310">
        <f t="shared" ref="C566:N566" si="72">C680</f>
        <v>0</v>
      </c>
      <c r="D566" s="310"/>
      <c r="E566" s="310">
        <f t="shared" si="72"/>
        <v>0</v>
      </c>
      <c r="F566" s="310">
        <f t="shared" si="72"/>
        <v>0</v>
      </c>
      <c r="G566" s="293">
        <f t="shared" si="72"/>
        <v>0</v>
      </c>
      <c r="H566" s="293">
        <f t="shared" si="72"/>
        <v>0</v>
      </c>
      <c r="I566" s="293">
        <f t="shared" si="72"/>
        <v>0</v>
      </c>
      <c r="J566" s="293">
        <f t="shared" si="72"/>
        <v>0</v>
      </c>
      <c r="K566" s="293">
        <f t="shared" si="72"/>
        <v>0</v>
      </c>
      <c r="L566" s="293">
        <f t="shared" si="72"/>
        <v>0</v>
      </c>
      <c r="M566" s="293">
        <f t="shared" si="72"/>
        <v>0</v>
      </c>
      <c r="N566" s="293">
        <f t="shared" si="72"/>
        <v>0</v>
      </c>
      <c r="O566" s="294"/>
      <c r="P566" s="294"/>
      <c r="Q566" s="294"/>
      <c r="R566" s="294"/>
      <c r="S566" s="294"/>
      <c r="T566" s="294"/>
      <c r="U566" s="1044"/>
      <c r="V566" s="1051">
        <f>SUM(E566:N566)</f>
        <v>0</v>
      </c>
      <c r="W566" s="1050"/>
      <c r="X566" s="352"/>
      <c r="AA566" s="1087"/>
      <c r="AB566" s="1096"/>
    </row>
    <row r="567" spans="2:34" ht="16.5" hidden="1" customHeight="1">
      <c r="B567" s="291"/>
      <c r="C567" s="292"/>
      <c r="D567" s="292"/>
      <c r="E567" s="310"/>
      <c r="F567" s="310"/>
      <c r="G567" s="293"/>
      <c r="H567" s="293"/>
      <c r="I567" s="293"/>
      <c r="J567" s="293"/>
      <c r="K567" s="293"/>
      <c r="L567" s="293"/>
      <c r="M567" s="293"/>
      <c r="N567" s="293"/>
      <c r="O567" s="294"/>
      <c r="P567" s="294"/>
      <c r="Q567" s="294"/>
      <c r="R567" s="294"/>
      <c r="S567" s="294"/>
      <c r="T567" s="294"/>
      <c r="U567" s="1044"/>
      <c r="V567" s="1051"/>
      <c r="W567" s="1050"/>
      <c r="X567" s="352"/>
      <c r="AA567" s="1087"/>
      <c r="AB567" s="1096"/>
    </row>
    <row r="568" spans="2:34" ht="16.5" hidden="1" customHeight="1">
      <c r="B568" s="291" t="s">
        <v>40</v>
      </c>
      <c r="C568" s="310">
        <f t="shared" ref="C568:N568" si="73">C703</f>
        <v>0</v>
      </c>
      <c r="D568" s="310"/>
      <c r="E568" s="310">
        <f t="shared" si="73"/>
        <v>0</v>
      </c>
      <c r="F568" s="310">
        <f t="shared" si="73"/>
        <v>0</v>
      </c>
      <c r="G568" s="293">
        <f t="shared" si="73"/>
        <v>0</v>
      </c>
      <c r="H568" s="293">
        <f t="shared" si="73"/>
        <v>0</v>
      </c>
      <c r="I568" s="293">
        <f t="shared" si="73"/>
        <v>0</v>
      </c>
      <c r="J568" s="293">
        <f t="shared" si="73"/>
        <v>0</v>
      </c>
      <c r="K568" s="293">
        <f t="shared" si="73"/>
        <v>0</v>
      </c>
      <c r="L568" s="293">
        <f t="shared" si="73"/>
        <v>0</v>
      </c>
      <c r="M568" s="293">
        <f t="shared" si="73"/>
        <v>0</v>
      </c>
      <c r="N568" s="293">
        <f t="shared" si="73"/>
        <v>0</v>
      </c>
      <c r="O568" s="294"/>
      <c r="P568" s="294"/>
      <c r="Q568" s="294"/>
      <c r="R568" s="294"/>
      <c r="S568" s="294"/>
      <c r="T568" s="294"/>
      <c r="U568" s="1044"/>
      <c r="V568" s="1051">
        <f>SUM(E568:N568)</f>
        <v>0</v>
      </c>
      <c r="W568" s="1050"/>
      <c r="X568" s="352"/>
      <c r="AA568" s="1087"/>
      <c r="AB568" s="1096"/>
    </row>
    <row r="569" spans="2:34" ht="16.5" hidden="1" customHeight="1">
      <c r="B569" s="291"/>
      <c r="C569" s="292"/>
      <c r="D569" s="292"/>
      <c r="E569" s="310"/>
      <c r="F569" s="310"/>
      <c r="G569" s="293"/>
      <c r="H569" s="293"/>
      <c r="I569" s="293"/>
      <c r="J569" s="293"/>
      <c r="K569" s="293"/>
      <c r="L569" s="293"/>
      <c r="M569" s="293"/>
      <c r="N569" s="293"/>
      <c r="O569" s="294"/>
      <c r="P569" s="294"/>
      <c r="Q569" s="294"/>
      <c r="R569" s="294"/>
      <c r="S569" s="294"/>
      <c r="T569" s="294"/>
      <c r="U569" s="1044"/>
      <c r="V569" s="1051"/>
      <c r="W569" s="1050"/>
      <c r="X569" s="352"/>
      <c r="AA569" s="1087"/>
      <c r="AB569" s="1096"/>
    </row>
    <row r="570" spans="2:34" ht="16.5" hidden="1" customHeight="1">
      <c r="B570" s="291" t="s">
        <v>42</v>
      </c>
      <c r="C570" s="310">
        <f>C723</f>
        <v>0</v>
      </c>
      <c r="D570" s="310"/>
      <c r="E570" s="310">
        <f t="shared" ref="E570:N570" si="74">E729</f>
        <v>0</v>
      </c>
      <c r="F570" s="310">
        <f t="shared" si="74"/>
        <v>0</v>
      </c>
      <c r="G570" s="293">
        <f t="shared" si="74"/>
        <v>0</v>
      </c>
      <c r="H570" s="293">
        <f t="shared" si="74"/>
        <v>0</v>
      </c>
      <c r="I570" s="293">
        <f t="shared" si="74"/>
        <v>0</v>
      </c>
      <c r="J570" s="293">
        <f t="shared" si="74"/>
        <v>0</v>
      </c>
      <c r="K570" s="293">
        <f t="shared" si="74"/>
        <v>0</v>
      </c>
      <c r="L570" s="293">
        <f t="shared" si="74"/>
        <v>0</v>
      </c>
      <c r="M570" s="293">
        <f t="shared" si="74"/>
        <v>0</v>
      </c>
      <c r="N570" s="293">
        <f t="shared" si="74"/>
        <v>0</v>
      </c>
      <c r="O570" s="294"/>
      <c r="P570" s="294"/>
      <c r="Q570" s="294"/>
      <c r="R570" s="294"/>
      <c r="S570" s="294"/>
      <c r="T570" s="294"/>
      <c r="U570" s="1044"/>
      <c r="V570" s="1051">
        <f>V723</f>
        <v>0</v>
      </c>
      <c r="W570" s="1050"/>
      <c r="X570" s="352"/>
      <c r="AA570" s="1087"/>
      <c r="AB570" s="1096"/>
    </row>
    <row r="571" spans="2:34" ht="16.5" hidden="1" customHeight="1">
      <c r="B571" s="291"/>
      <c r="C571" s="292"/>
      <c r="D571" s="292"/>
      <c r="E571" s="310"/>
      <c r="F571" s="310"/>
      <c r="G571" s="293"/>
      <c r="H571" s="293"/>
      <c r="I571" s="293"/>
      <c r="J571" s="293"/>
      <c r="K571" s="293"/>
      <c r="L571" s="293"/>
      <c r="M571" s="293"/>
      <c r="N571" s="293"/>
      <c r="O571" s="294"/>
      <c r="P571" s="294"/>
      <c r="Q571" s="294"/>
      <c r="R571" s="294"/>
      <c r="S571" s="294"/>
      <c r="T571" s="294"/>
      <c r="U571" s="1044"/>
      <c r="V571" s="1051"/>
      <c r="W571" s="1050"/>
      <c r="X571" s="352"/>
      <c r="AA571" s="1087"/>
      <c r="AB571" s="1096"/>
    </row>
    <row r="572" spans="2:34" ht="16.5" hidden="1" customHeight="1">
      <c r="B572" s="291" t="s">
        <v>52</v>
      </c>
      <c r="C572" s="310">
        <f t="shared" ref="C572:N572" si="75">C755</f>
        <v>0</v>
      </c>
      <c r="D572" s="310"/>
      <c r="E572" s="310">
        <f t="shared" si="75"/>
        <v>0</v>
      </c>
      <c r="F572" s="310">
        <f t="shared" si="75"/>
        <v>0</v>
      </c>
      <c r="G572" s="293">
        <f t="shared" si="75"/>
        <v>0</v>
      </c>
      <c r="H572" s="293">
        <f t="shared" si="75"/>
        <v>0</v>
      </c>
      <c r="I572" s="293">
        <f t="shared" si="75"/>
        <v>0</v>
      </c>
      <c r="J572" s="293">
        <f t="shared" si="75"/>
        <v>0</v>
      </c>
      <c r="K572" s="293">
        <f t="shared" si="75"/>
        <v>0</v>
      </c>
      <c r="L572" s="293">
        <f t="shared" si="75"/>
        <v>0</v>
      </c>
      <c r="M572" s="293">
        <f t="shared" si="75"/>
        <v>0</v>
      </c>
      <c r="N572" s="293">
        <f t="shared" si="75"/>
        <v>0</v>
      </c>
      <c r="O572" s="294"/>
      <c r="P572" s="294"/>
      <c r="Q572" s="294"/>
      <c r="R572" s="294"/>
      <c r="S572" s="294"/>
      <c r="T572" s="294"/>
      <c r="U572" s="1044"/>
      <c r="V572" s="1051">
        <f>SUM(E572:N572)</f>
        <v>0</v>
      </c>
      <c r="W572" s="1050"/>
      <c r="X572" s="352"/>
      <c r="AA572" s="1087"/>
      <c r="AB572" s="1096"/>
    </row>
    <row r="573" spans="2:34" ht="16.5" hidden="1" customHeight="1">
      <c r="B573" s="291"/>
      <c r="C573" s="292"/>
      <c r="D573" s="292"/>
      <c r="E573" s="310"/>
      <c r="F573" s="310"/>
      <c r="G573" s="293"/>
      <c r="H573" s="293"/>
      <c r="I573" s="293"/>
      <c r="J573" s="293"/>
      <c r="K573" s="293"/>
      <c r="L573" s="293"/>
      <c r="M573" s="293"/>
      <c r="N573" s="293"/>
      <c r="O573" s="294"/>
      <c r="P573" s="294"/>
      <c r="Q573" s="294"/>
      <c r="R573" s="294"/>
      <c r="S573" s="294"/>
      <c r="T573" s="294"/>
      <c r="U573" s="1044"/>
      <c r="V573" s="1051"/>
      <c r="W573" s="1050"/>
      <c r="X573" s="352"/>
      <c r="AA573" s="1087"/>
      <c r="AB573" s="1096"/>
      <c r="AC573" s="218"/>
      <c r="AD573" s="492"/>
      <c r="AE573" s="492"/>
      <c r="AF573" s="278"/>
    </row>
    <row r="574" spans="2:34" ht="16.5" hidden="1" customHeight="1">
      <c r="B574" s="291" t="s">
        <v>53</v>
      </c>
      <c r="C574" s="292">
        <f t="shared" ref="C574:N574" si="76">C779</f>
        <v>0</v>
      </c>
      <c r="D574" s="292"/>
      <c r="E574" s="310">
        <f t="shared" si="76"/>
        <v>0</v>
      </c>
      <c r="F574" s="310">
        <f t="shared" si="76"/>
        <v>0</v>
      </c>
      <c r="G574" s="293">
        <f t="shared" si="76"/>
        <v>0</v>
      </c>
      <c r="H574" s="293">
        <f t="shared" si="76"/>
        <v>0</v>
      </c>
      <c r="I574" s="293">
        <f t="shared" si="76"/>
        <v>0</v>
      </c>
      <c r="J574" s="293">
        <f t="shared" si="76"/>
        <v>0</v>
      </c>
      <c r="K574" s="293">
        <f t="shared" si="76"/>
        <v>0</v>
      </c>
      <c r="L574" s="293">
        <f t="shared" si="76"/>
        <v>0</v>
      </c>
      <c r="M574" s="293">
        <f t="shared" si="76"/>
        <v>0</v>
      </c>
      <c r="N574" s="293">
        <f t="shared" si="76"/>
        <v>0</v>
      </c>
      <c r="O574" s="294"/>
      <c r="P574" s="294"/>
      <c r="Q574" s="294"/>
      <c r="R574" s="294"/>
      <c r="S574" s="294"/>
      <c r="T574" s="294"/>
      <c r="U574" s="1044"/>
      <c r="V574" s="1051">
        <f>SUM(E574:N574)</f>
        <v>0</v>
      </c>
      <c r="W574" s="1050"/>
      <c r="X574" s="352"/>
      <c r="AA574" s="1087"/>
      <c r="AB574" s="1096"/>
    </row>
    <row r="575" spans="2:34" ht="16.5" hidden="1" customHeight="1">
      <c r="B575" s="291"/>
      <c r="C575" s="292"/>
      <c r="D575" s="292"/>
      <c r="E575" s="310"/>
      <c r="F575" s="310"/>
      <c r="G575" s="293"/>
      <c r="H575" s="293"/>
      <c r="I575" s="293"/>
      <c r="J575" s="293"/>
      <c r="K575" s="293"/>
      <c r="L575" s="293"/>
      <c r="M575" s="293"/>
      <c r="N575" s="293"/>
      <c r="O575" s="294"/>
      <c r="P575" s="294"/>
      <c r="Q575" s="294"/>
      <c r="R575" s="294"/>
      <c r="S575" s="294"/>
      <c r="T575" s="294"/>
      <c r="U575" s="1044"/>
      <c r="V575" s="1051"/>
      <c r="W575" s="1050"/>
      <c r="X575" s="352"/>
      <c r="AA575" s="1087"/>
      <c r="AB575" s="1096"/>
    </row>
    <row r="576" spans="2:34" ht="16.5" hidden="1" customHeight="1">
      <c r="B576" s="291" t="s">
        <v>39</v>
      </c>
      <c r="C576" s="292">
        <v>0</v>
      </c>
      <c r="D576" s="292"/>
      <c r="E576" s="310">
        <f t="shared" ref="E576:N576" si="77">E798</f>
        <v>0</v>
      </c>
      <c r="F576" s="310">
        <f t="shared" si="77"/>
        <v>0</v>
      </c>
      <c r="G576" s="293">
        <f t="shared" si="77"/>
        <v>0</v>
      </c>
      <c r="H576" s="293">
        <f t="shared" si="77"/>
        <v>0</v>
      </c>
      <c r="I576" s="293">
        <f t="shared" si="77"/>
        <v>0</v>
      </c>
      <c r="J576" s="293">
        <f t="shared" si="77"/>
        <v>0</v>
      </c>
      <c r="K576" s="293">
        <f t="shared" si="77"/>
        <v>0</v>
      </c>
      <c r="L576" s="293">
        <f t="shared" si="77"/>
        <v>0</v>
      </c>
      <c r="M576" s="293">
        <f t="shared" si="77"/>
        <v>0</v>
      </c>
      <c r="N576" s="293">
        <f t="shared" si="77"/>
        <v>0</v>
      </c>
      <c r="O576" s="294"/>
      <c r="P576" s="294"/>
      <c r="Q576" s="294"/>
      <c r="R576" s="294"/>
      <c r="S576" s="294"/>
      <c r="T576" s="294"/>
      <c r="U576" s="1044"/>
      <c r="V576" s="1051">
        <v>0</v>
      </c>
      <c r="W576" s="1050"/>
      <c r="X576" s="352"/>
      <c r="AA576" s="1087"/>
      <c r="AB576" s="1096"/>
      <c r="AE576" s="492"/>
      <c r="AF576" s="278"/>
    </row>
    <row r="577" spans="2:32" ht="16.5" hidden="1" customHeight="1">
      <c r="B577" s="291"/>
      <c r="C577" s="292"/>
      <c r="D577" s="292"/>
      <c r="E577" s="310"/>
      <c r="F577" s="310"/>
      <c r="G577" s="293"/>
      <c r="H577" s="293"/>
      <c r="I577" s="293"/>
      <c r="J577" s="293"/>
      <c r="K577" s="293"/>
      <c r="L577" s="293"/>
      <c r="M577" s="293"/>
      <c r="N577" s="293"/>
      <c r="O577" s="294"/>
      <c r="P577" s="294"/>
      <c r="Q577" s="294"/>
      <c r="R577" s="294"/>
      <c r="S577" s="294"/>
      <c r="T577" s="294"/>
      <c r="U577" s="1044"/>
      <c r="V577" s="1051"/>
      <c r="W577" s="1050"/>
      <c r="X577" s="352"/>
      <c r="AA577" s="1087"/>
      <c r="AB577" s="1096"/>
    </row>
    <row r="578" spans="2:32" ht="16.5" hidden="1" customHeight="1">
      <c r="B578" s="460" t="s">
        <v>72</v>
      </c>
      <c r="C578" s="449"/>
      <c r="D578" s="449"/>
      <c r="E578" s="449"/>
      <c r="F578" s="449"/>
      <c r="G578" s="444"/>
      <c r="H578" s="444"/>
      <c r="I578" s="444"/>
      <c r="J578" s="444"/>
      <c r="K578" s="444"/>
      <c r="L578" s="444"/>
      <c r="M578" s="444"/>
      <c r="N578" s="444"/>
      <c r="O578" s="445"/>
      <c r="P578" s="445"/>
      <c r="Q578" s="445"/>
      <c r="R578" s="445"/>
      <c r="S578" s="445"/>
      <c r="T578" s="445"/>
      <c r="U578" s="1048"/>
      <c r="V578" s="446"/>
      <c r="W578" s="1050"/>
      <c r="X578" s="352"/>
      <c r="AA578" s="1087"/>
      <c r="AB578" s="1096"/>
    </row>
    <row r="579" spans="2:32" ht="16.5" hidden="1" customHeight="1">
      <c r="B579" s="291"/>
      <c r="C579" s="292"/>
      <c r="D579" s="292"/>
      <c r="E579" s="310"/>
      <c r="F579" s="310"/>
      <c r="G579" s="293"/>
      <c r="H579" s="293"/>
      <c r="I579" s="293"/>
      <c r="J579" s="293"/>
      <c r="K579" s="293"/>
      <c r="L579" s="293"/>
      <c r="M579" s="293"/>
      <c r="N579" s="293"/>
      <c r="O579" s="294"/>
      <c r="P579" s="294"/>
      <c r="Q579" s="294"/>
      <c r="R579" s="294"/>
      <c r="S579" s="294"/>
      <c r="T579" s="294"/>
      <c r="U579" s="1044"/>
      <c r="V579" s="1051"/>
      <c r="W579" s="1050"/>
      <c r="X579" s="352"/>
      <c r="AA579" s="1087"/>
      <c r="AB579" s="1096"/>
    </row>
    <row r="580" spans="2:32" ht="16.5" hidden="1" customHeight="1">
      <c r="B580" s="291" t="s">
        <v>77</v>
      </c>
      <c r="C580" s="292">
        <f t="shared" ref="C580:N580" si="78">C821</f>
        <v>0</v>
      </c>
      <c r="D580" s="292"/>
      <c r="E580" s="310">
        <f t="shared" si="78"/>
        <v>0</v>
      </c>
      <c r="F580" s="310">
        <f t="shared" si="78"/>
        <v>0</v>
      </c>
      <c r="G580" s="293">
        <f t="shared" si="78"/>
        <v>0</v>
      </c>
      <c r="H580" s="293">
        <f t="shared" si="78"/>
        <v>0</v>
      </c>
      <c r="I580" s="293">
        <f t="shared" si="78"/>
        <v>0</v>
      </c>
      <c r="J580" s="293">
        <f t="shared" si="78"/>
        <v>0</v>
      </c>
      <c r="K580" s="293">
        <f t="shared" si="78"/>
        <v>0</v>
      </c>
      <c r="L580" s="293">
        <f t="shared" si="78"/>
        <v>0</v>
      </c>
      <c r="M580" s="293">
        <f t="shared" si="78"/>
        <v>0</v>
      </c>
      <c r="N580" s="293">
        <f t="shared" si="78"/>
        <v>0</v>
      </c>
      <c r="O580" s="294"/>
      <c r="P580" s="294"/>
      <c r="Q580" s="294"/>
      <c r="R580" s="294"/>
      <c r="S580" s="294"/>
      <c r="T580" s="294"/>
      <c r="U580" s="1044"/>
      <c r="V580" s="1051">
        <f>SUM(E580:N580)</f>
        <v>0</v>
      </c>
      <c r="W580" s="1050"/>
      <c r="X580" s="352"/>
      <c r="AA580" s="1087"/>
      <c r="AB580" s="1096"/>
    </row>
    <row r="581" spans="2:32" ht="16.5" hidden="1" customHeight="1">
      <c r="B581" s="291"/>
      <c r="C581" s="292"/>
      <c r="D581" s="292"/>
      <c r="E581" s="310"/>
      <c r="F581" s="310"/>
      <c r="G581" s="293"/>
      <c r="H581" s="293"/>
      <c r="I581" s="293"/>
      <c r="J581" s="293"/>
      <c r="K581" s="293"/>
      <c r="L581" s="293"/>
      <c r="M581" s="293"/>
      <c r="N581" s="293"/>
      <c r="O581" s="294"/>
      <c r="P581" s="294"/>
      <c r="Q581" s="294"/>
      <c r="R581" s="294"/>
      <c r="S581" s="294"/>
      <c r="T581" s="294"/>
      <c r="U581" s="1044"/>
      <c r="V581" s="1051"/>
      <c r="W581" s="1050"/>
      <c r="X581" s="352"/>
      <c r="AA581" s="1087"/>
      <c r="AB581" s="1096"/>
    </row>
    <row r="582" spans="2:32" ht="16.5" hidden="1" customHeight="1">
      <c r="B582" s="291" t="s">
        <v>70</v>
      </c>
      <c r="C582" s="292">
        <f t="shared" ref="C582:N582" si="79">C843</f>
        <v>0</v>
      </c>
      <c r="D582" s="292"/>
      <c r="E582" s="310">
        <f t="shared" si="79"/>
        <v>0</v>
      </c>
      <c r="F582" s="310">
        <f t="shared" si="79"/>
        <v>0</v>
      </c>
      <c r="G582" s="293">
        <f t="shared" si="79"/>
        <v>0</v>
      </c>
      <c r="H582" s="293">
        <f t="shared" si="79"/>
        <v>0</v>
      </c>
      <c r="I582" s="293">
        <f t="shared" si="79"/>
        <v>0</v>
      </c>
      <c r="J582" s="293">
        <f t="shared" si="79"/>
        <v>0</v>
      </c>
      <c r="K582" s="293">
        <f t="shared" si="79"/>
        <v>0</v>
      </c>
      <c r="L582" s="293">
        <f t="shared" si="79"/>
        <v>0</v>
      </c>
      <c r="M582" s="293">
        <f t="shared" si="79"/>
        <v>0</v>
      </c>
      <c r="N582" s="293">
        <f t="shared" si="79"/>
        <v>0</v>
      </c>
      <c r="O582" s="293"/>
      <c r="P582" s="293"/>
      <c r="Q582" s="294"/>
      <c r="R582" s="294"/>
      <c r="S582" s="294"/>
      <c r="T582" s="294"/>
      <c r="U582" s="1044"/>
      <c r="V582" s="1051">
        <f>SUM(E582:N582)</f>
        <v>0</v>
      </c>
      <c r="W582" s="1050"/>
      <c r="X582" s="352"/>
      <c r="AA582" s="1087"/>
      <c r="AB582" s="1096"/>
    </row>
    <row r="583" spans="2:32" ht="16.5" hidden="1" customHeight="1">
      <c r="B583" s="291"/>
      <c r="C583" s="292"/>
      <c r="D583" s="292"/>
      <c r="E583" s="310"/>
      <c r="F583" s="310"/>
      <c r="G583" s="293"/>
      <c r="H583" s="293"/>
      <c r="I583" s="293"/>
      <c r="J583" s="293"/>
      <c r="K583" s="293"/>
      <c r="L583" s="293"/>
      <c r="M583" s="293"/>
      <c r="N583" s="293"/>
      <c r="O583" s="294"/>
      <c r="P583" s="294"/>
      <c r="Q583" s="294"/>
      <c r="R583" s="294"/>
      <c r="S583" s="294"/>
      <c r="T583" s="294"/>
      <c r="U583" s="1044"/>
      <c r="V583" s="1051"/>
      <c r="W583" s="1050"/>
      <c r="X583" s="352"/>
      <c r="AA583" s="1087"/>
      <c r="AB583" s="1096"/>
    </row>
    <row r="584" spans="2:32" ht="16.5" hidden="1" customHeight="1">
      <c r="B584" s="291" t="s">
        <v>34</v>
      </c>
      <c r="C584" s="310">
        <v>0</v>
      </c>
      <c r="D584" s="310"/>
      <c r="E584" s="310">
        <f t="shared" ref="E584:N584" si="80">E873</f>
        <v>0</v>
      </c>
      <c r="F584" s="310">
        <f t="shared" si="80"/>
        <v>0</v>
      </c>
      <c r="G584" s="293">
        <f t="shared" si="80"/>
        <v>0</v>
      </c>
      <c r="H584" s="293">
        <f t="shared" si="80"/>
        <v>0</v>
      </c>
      <c r="I584" s="293">
        <f t="shared" si="80"/>
        <v>0</v>
      </c>
      <c r="J584" s="293">
        <f t="shared" si="80"/>
        <v>0</v>
      </c>
      <c r="K584" s="293">
        <f t="shared" si="80"/>
        <v>0</v>
      </c>
      <c r="L584" s="293">
        <f t="shared" si="80"/>
        <v>0</v>
      </c>
      <c r="M584" s="293">
        <f t="shared" si="80"/>
        <v>0</v>
      </c>
      <c r="N584" s="293">
        <f t="shared" si="80"/>
        <v>0</v>
      </c>
      <c r="O584" s="294"/>
      <c r="P584" s="294"/>
      <c r="Q584" s="294"/>
      <c r="R584" s="294"/>
      <c r="S584" s="294"/>
      <c r="T584" s="294"/>
      <c r="U584" s="1044"/>
      <c r="V584" s="1051">
        <f>SUM(E584:N584)</f>
        <v>0</v>
      </c>
      <c r="W584" s="1050"/>
      <c r="X584" s="352"/>
      <c r="AA584" s="1087"/>
      <c r="AB584" s="1096"/>
      <c r="AC584" s="461"/>
      <c r="AD584" s="540"/>
      <c r="AE584" s="540"/>
      <c r="AF584" s="745"/>
    </row>
    <row r="585" spans="2:32" ht="16.5" hidden="1" customHeight="1">
      <c r="B585" s="291"/>
      <c r="C585" s="292"/>
      <c r="D585" s="292"/>
      <c r="E585" s="310"/>
      <c r="F585" s="310"/>
      <c r="G585" s="293"/>
      <c r="H585" s="293"/>
      <c r="I585" s="293"/>
      <c r="J585" s="293"/>
      <c r="K585" s="293"/>
      <c r="L585" s="293"/>
      <c r="M585" s="293"/>
      <c r="N585" s="293"/>
      <c r="O585" s="294"/>
      <c r="P585" s="294"/>
      <c r="Q585" s="294"/>
      <c r="R585" s="294"/>
      <c r="S585" s="294"/>
      <c r="T585" s="294"/>
      <c r="U585" s="1044"/>
      <c r="V585" s="1051"/>
      <c r="W585" s="1050"/>
      <c r="X585" s="352"/>
      <c r="AA585" s="1087"/>
      <c r="AB585" s="1096"/>
      <c r="AC585" s="461"/>
      <c r="AD585" s="540"/>
      <c r="AE585" s="540"/>
      <c r="AF585" s="745"/>
    </row>
    <row r="586" spans="2:32" ht="16.5" hidden="1" customHeight="1">
      <c r="B586" s="309" t="s">
        <v>68</v>
      </c>
      <c r="C586" s="462">
        <v>0</v>
      </c>
      <c r="D586" s="462"/>
      <c r="E586" s="717">
        <v>0</v>
      </c>
      <c r="F586" s="316">
        <v>0</v>
      </c>
      <c r="G586" s="315">
        <v>0</v>
      </c>
      <c r="H586" s="315">
        <v>0</v>
      </c>
      <c r="I586" s="315">
        <v>0</v>
      </c>
      <c r="J586" s="315">
        <v>0</v>
      </c>
      <c r="K586" s="315">
        <v>0</v>
      </c>
      <c r="L586" s="315">
        <v>0</v>
      </c>
      <c r="M586" s="315">
        <v>0</v>
      </c>
      <c r="N586" s="315">
        <v>0</v>
      </c>
      <c r="O586" s="342"/>
      <c r="P586" s="342"/>
      <c r="Q586" s="342"/>
      <c r="R586" s="342"/>
      <c r="S586" s="342"/>
      <c r="T586" s="342"/>
      <c r="U586" s="1045"/>
      <c r="V586" s="1051">
        <f>SUM(E586:N586)</f>
        <v>0</v>
      </c>
      <c r="W586" s="1050"/>
      <c r="X586" s="352"/>
      <c r="AA586" s="1087"/>
      <c r="AB586" s="1096"/>
      <c r="AC586" s="461"/>
      <c r="AD586" s="540"/>
      <c r="AE586" s="540"/>
      <c r="AF586" s="745"/>
    </row>
    <row r="587" spans="2:32" ht="16.5" hidden="1" customHeight="1">
      <c r="B587" s="309"/>
      <c r="C587" s="464"/>
      <c r="D587" s="464"/>
      <c r="E587" s="717"/>
      <c r="F587" s="316"/>
      <c r="G587" s="315"/>
      <c r="H587" s="315"/>
      <c r="I587" s="315"/>
      <c r="J587" s="315"/>
      <c r="K587" s="315"/>
      <c r="L587" s="315"/>
      <c r="M587" s="315"/>
      <c r="N587" s="315"/>
      <c r="O587" s="342"/>
      <c r="P587" s="342"/>
      <c r="Q587" s="342"/>
      <c r="R587" s="342"/>
      <c r="S587" s="342"/>
      <c r="T587" s="342"/>
      <c r="U587" s="1045"/>
      <c r="V587" s="1051"/>
      <c r="W587" s="1050"/>
      <c r="X587" s="352"/>
      <c r="Y587" s="218"/>
      <c r="Z587" s="218"/>
      <c r="AA587" s="1086"/>
      <c r="AB587" s="1094"/>
      <c r="AC587" s="461"/>
      <c r="AD587" s="540"/>
      <c r="AE587" s="540"/>
      <c r="AF587" s="745"/>
    </row>
    <row r="588" spans="2:32" ht="16.5" hidden="1" customHeight="1" thickBot="1">
      <c r="B588" s="453"/>
      <c r="C588" s="465"/>
      <c r="D588" s="465"/>
      <c r="E588" s="454"/>
      <c r="F588" s="454"/>
      <c r="G588" s="317"/>
      <c r="H588" s="317"/>
      <c r="I588" s="317"/>
      <c r="J588" s="317"/>
      <c r="K588" s="317"/>
      <c r="L588" s="317"/>
      <c r="M588" s="317"/>
      <c r="N588" s="317"/>
      <c r="O588" s="406"/>
      <c r="P588" s="406"/>
      <c r="Q588" s="342"/>
      <c r="R588" s="342"/>
      <c r="S588" s="342"/>
      <c r="T588" s="342"/>
      <c r="U588" s="1045"/>
      <c r="V588" s="296"/>
      <c r="W588" s="1050"/>
      <c r="X588" s="352"/>
      <c r="Y588" s="218"/>
      <c r="Z588" s="218"/>
      <c r="AA588" s="725"/>
      <c r="AB588" s="1103"/>
      <c r="AC588" s="461"/>
      <c r="AD588" s="540"/>
      <c r="AE588" s="540"/>
      <c r="AF588" s="745"/>
    </row>
    <row r="589" spans="2:32" ht="16.5" customHeight="1" thickTop="1" thickBot="1">
      <c r="B589" s="565" t="s">
        <v>3</v>
      </c>
      <c r="C589" s="569">
        <f>SUM(C554:C588)</f>
        <v>1810</v>
      </c>
      <c r="D589" s="569">
        <f t="shared" ref="D589:U589" si="81">SUM(D554:D588)</f>
        <v>0</v>
      </c>
      <c r="E589" s="569">
        <f t="shared" si="81"/>
        <v>54504</v>
      </c>
      <c r="F589" s="569">
        <f t="shared" si="81"/>
        <v>-27178</v>
      </c>
      <c r="G589" s="569">
        <f t="shared" si="81"/>
        <v>0</v>
      </c>
      <c r="H589" s="569">
        <f t="shared" si="81"/>
        <v>0</v>
      </c>
      <c r="I589" s="569">
        <f t="shared" si="81"/>
        <v>0</v>
      </c>
      <c r="J589" s="569">
        <f t="shared" si="81"/>
        <v>0</v>
      </c>
      <c r="K589" s="569">
        <f t="shared" si="81"/>
        <v>0</v>
      </c>
      <c r="L589" s="569">
        <f t="shared" si="81"/>
        <v>0</v>
      </c>
      <c r="M589" s="569">
        <f t="shared" si="81"/>
        <v>0</v>
      </c>
      <c r="N589" s="569">
        <f t="shared" si="81"/>
        <v>0</v>
      </c>
      <c r="O589" s="569">
        <f t="shared" si="81"/>
        <v>0</v>
      </c>
      <c r="P589" s="569">
        <f t="shared" si="81"/>
        <v>0</v>
      </c>
      <c r="Q589" s="414">
        <f t="shared" si="81"/>
        <v>36337484</v>
      </c>
      <c r="R589" s="414">
        <f t="shared" si="81"/>
        <v>0</v>
      </c>
      <c r="S589" s="414">
        <f t="shared" si="81"/>
        <v>6970000</v>
      </c>
      <c r="T589" s="413">
        <f>SUM(T554:T588)</f>
        <v>773289475.26999998</v>
      </c>
      <c r="U589" s="413">
        <f t="shared" si="81"/>
        <v>968937427.48000002</v>
      </c>
      <c r="V589" s="413">
        <f>SUM(V554:V588)</f>
        <v>9038744143.0533104</v>
      </c>
      <c r="W589" s="413" t="e">
        <f t="shared" ref="W589:AB589" si="82">SUM(W554:W588)</f>
        <v>#REF!</v>
      </c>
      <c r="X589" s="413" t="e">
        <f t="shared" si="82"/>
        <v>#REF!</v>
      </c>
      <c r="Y589" s="413" t="e">
        <f t="shared" si="82"/>
        <v>#REF!</v>
      </c>
      <c r="Z589" s="413" t="e">
        <f t="shared" si="82"/>
        <v>#REF!</v>
      </c>
      <c r="AA589" s="413">
        <f t="shared" si="82"/>
        <v>9038743934</v>
      </c>
      <c r="AB589" s="413">
        <f t="shared" si="82"/>
        <v>209.05330868810415</v>
      </c>
      <c r="AC589" s="443"/>
      <c r="AD589" s="541"/>
      <c r="AE589" s="541"/>
      <c r="AF589" s="744"/>
    </row>
    <row r="590" spans="2:32" ht="17.25" customHeight="1" thickTop="1" thickBot="1">
      <c r="B590" s="216"/>
      <c r="C590" s="278"/>
      <c r="D590" s="278"/>
      <c r="W590" s="303" t="e">
        <f>SUM(W8:W589)</f>
        <v>#REF!</v>
      </c>
      <c r="X590" s="467"/>
      <c r="AC590" s="443"/>
      <c r="AD590" s="541"/>
      <c r="AE590" s="541"/>
      <c r="AF590" s="744"/>
    </row>
    <row r="591" spans="2:32" ht="17.25" customHeight="1">
      <c r="B591" s="216"/>
      <c r="C591" s="278"/>
      <c r="D591" s="278"/>
      <c r="W591" s="218"/>
      <c r="AC591" s="443"/>
      <c r="AD591" s="541"/>
      <c r="AE591" s="541"/>
      <c r="AF591" s="744"/>
    </row>
    <row r="592" spans="2:32" ht="17.25" customHeight="1">
      <c r="B592" s="216"/>
      <c r="C592" s="278"/>
      <c r="D592" s="278"/>
      <c r="W592" s="218"/>
      <c r="AC592" s="443"/>
      <c r="AD592" s="541"/>
      <c r="AE592" s="541"/>
      <c r="AF592" s="744"/>
    </row>
    <row r="593" spans="2:40" ht="17.25" customHeight="1">
      <c r="B593" s="336" t="s">
        <v>204</v>
      </c>
      <c r="C593" s="566"/>
      <c r="D593" s="566"/>
      <c r="E593" s="566"/>
      <c r="F593" s="566"/>
      <c r="G593" s="337"/>
      <c r="H593" s="337"/>
      <c r="I593" s="337"/>
      <c r="J593" s="337"/>
      <c r="K593" s="337"/>
      <c r="L593" s="1173" t="s">
        <v>82</v>
      </c>
      <c r="M593" s="1173"/>
      <c r="N593" s="1173"/>
      <c r="O593" s="1173"/>
      <c r="P593" s="1173"/>
      <c r="Q593" s="1173"/>
      <c r="R593" s="1173"/>
      <c r="S593" s="1173"/>
      <c r="T593" s="1173"/>
      <c r="U593" s="1173"/>
      <c r="V593" s="1173"/>
      <c r="W593" s="218"/>
      <c r="AC593" s="443"/>
      <c r="AD593" s="541"/>
      <c r="AE593" s="541"/>
      <c r="AF593" s="744"/>
    </row>
    <row r="594" spans="2:40" ht="17.25" customHeight="1">
      <c r="B594" s="216"/>
      <c r="C594" s="215"/>
      <c r="D594" s="215"/>
      <c r="E594" s="216"/>
      <c r="F594" s="216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8"/>
      <c r="AC594" s="443"/>
      <c r="AD594" s="541"/>
      <c r="AE594" s="541"/>
      <c r="AF594" s="744"/>
    </row>
    <row r="595" spans="2:40" ht="17.25" customHeight="1">
      <c r="B595" s="216"/>
      <c r="C595" s="278"/>
      <c r="D595" s="278"/>
      <c r="W595" s="218"/>
      <c r="AC595" s="443"/>
      <c r="AD595" s="541"/>
      <c r="AE595" s="541"/>
      <c r="AF595" s="744"/>
    </row>
    <row r="596" spans="2:40" ht="17.25" customHeight="1">
      <c r="C596" s="278"/>
      <c r="D596" s="278"/>
      <c r="W596" s="218"/>
      <c r="AC596" s="443"/>
      <c r="AD596" s="541"/>
      <c r="AE596" s="541"/>
      <c r="AF596" s="744"/>
    </row>
    <row r="597" spans="2:40" ht="17.25" customHeight="1">
      <c r="C597" s="278"/>
      <c r="D597" s="278"/>
      <c r="W597" s="218"/>
      <c r="AC597" s="443"/>
      <c r="AD597" s="541"/>
      <c r="AE597" s="541"/>
      <c r="AF597" s="744"/>
    </row>
    <row r="598" spans="2:40" ht="17.25" hidden="1" customHeight="1">
      <c r="B598" s="215" t="s">
        <v>0</v>
      </c>
      <c r="C598" s="278"/>
      <c r="D598" s="278"/>
      <c r="W598" s="218"/>
    </row>
    <row r="599" spans="2:40" ht="17.25" hidden="1" customHeight="1">
      <c r="B599" s="215" t="str">
        <f>B4</f>
        <v>DENOMINATION FOR OKTOBER 2025</v>
      </c>
      <c r="F599" s="727"/>
      <c r="G599" s="281"/>
      <c r="N599" s="281"/>
      <c r="O599" s="281"/>
      <c r="P599" s="281"/>
      <c r="Q599" s="281"/>
      <c r="R599" s="281"/>
      <c r="S599" s="281"/>
      <c r="T599" s="281"/>
      <c r="U599" s="281"/>
    </row>
    <row r="600" spans="2:40" ht="17.25" hidden="1" customHeight="1" thickBot="1">
      <c r="B600" s="215" t="s">
        <v>410</v>
      </c>
      <c r="F600" s="727"/>
      <c r="G600" s="281"/>
      <c r="N600" s="281"/>
      <c r="O600" s="281"/>
      <c r="P600" s="281"/>
      <c r="Q600" s="281"/>
      <c r="R600" s="281"/>
      <c r="S600" s="281"/>
      <c r="T600" s="281"/>
      <c r="U600" s="281"/>
    </row>
    <row r="601" spans="2:40" ht="30" hidden="1" customHeight="1" thickTop="1" thickBot="1">
      <c r="F601" s="727"/>
      <c r="G601" s="281"/>
      <c r="N601" s="281"/>
      <c r="O601" s="281"/>
      <c r="P601" s="281"/>
      <c r="Q601" s="281"/>
      <c r="R601" s="281"/>
      <c r="S601" s="281"/>
      <c r="T601" s="281"/>
      <c r="U601" s="281"/>
      <c r="AG601" s="220"/>
      <c r="AH601" s="220"/>
      <c r="AI601" s="220"/>
      <c r="AJ601" s="220"/>
      <c r="AK601" s="220"/>
      <c r="AL601" s="220"/>
      <c r="AM601" s="220"/>
      <c r="AN601" s="220"/>
    </row>
    <row r="602" spans="2:40" ht="30" hidden="1" customHeight="1" thickTop="1" thickBot="1">
      <c r="B602" s="1176" t="s">
        <v>1</v>
      </c>
      <c r="C602" s="1183" t="s">
        <v>15</v>
      </c>
      <c r="D602" s="572"/>
      <c r="E602" s="568"/>
      <c r="F602" s="568"/>
      <c r="G602" s="220"/>
      <c r="H602" s="220"/>
      <c r="I602" s="220"/>
      <c r="J602" s="220"/>
      <c r="K602" s="220"/>
      <c r="L602" s="220"/>
      <c r="M602" s="220"/>
      <c r="N602" s="220"/>
      <c r="O602" s="282"/>
      <c r="P602" s="282"/>
      <c r="Q602" s="1206"/>
      <c r="R602" s="1207"/>
      <c r="S602" s="1207"/>
      <c r="T602" s="1207"/>
      <c r="U602" s="1208"/>
      <c r="V602" s="1171" t="s">
        <v>3</v>
      </c>
      <c r="AG602" s="223"/>
      <c r="AH602" s="223"/>
      <c r="AI602" s="223">
        <v>10000</v>
      </c>
      <c r="AJ602" s="223">
        <v>1000</v>
      </c>
      <c r="AK602" s="223">
        <v>500</v>
      </c>
      <c r="AL602" s="223">
        <v>100</v>
      </c>
      <c r="AM602" s="223">
        <v>50</v>
      </c>
      <c r="AN602" s="223" t="s">
        <v>2</v>
      </c>
    </row>
    <row r="603" spans="2:40" ht="30" hidden="1" customHeight="1" thickTop="1" thickBot="1">
      <c r="B603" s="1177"/>
      <c r="C603" s="1184"/>
      <c r="D603" s="573"/>
      <c r="E603" s="569">
        <v>100000</v>
      </c>
      <c r="F603" s="569">
        <v>50000</v>
      </c>
      <c r="G603" s="223">
        <v>20000</v>
      </c>
      <c r="H603" s="223">
        <v>10000</v>
      </c>
      <c r="I603" s="223">
        <v>5000</v>
      </c>
      <c r="J603" s="223">
        <v>1000</v>
      </c>
      <c r="K603" s="223">
        <v>500</v>
      </c>
      <c r="L603" s="223">
        <v>100</v>
      </c>
      <c r="M603" s="223">
        <v>50</v>
      </c>
      <c r="N603" s="223" t="s">
        <v>2</v>
      </c>
      <c r="O603" s="285"/>
      <c r="P603" s="285"/>
      <c r="Q603" s="1209"/>
      <c r="R603" s="1210"/>
      <c r="S603" s="1210"/>
      <c r="T603" s="1210"/>
      <c r="U603" s="1211"/>
      <c r="V603" s="1172"/>
    </row>
    <row r="604" spans="2:40" ht="30" hidden="1" customHeight="1" thickTop="1">
      <c r="B604" s="287" t="s">
        <v>411</v>
      </c>
      <c r="C604" s="533"/>
      <c r="D604" s="533"/>
      <c r="E604" s="839"/>
      <c r="F604" s="839"/>
      <c r="G604" s="288"/>
      <c r="H604" s="288"/>
      <c r="I604" s="288"/>
      <c r="J604" s="288"/>
      <c r="K604" s="288"/>
      <c r="L604" s="288"/>
      <c r="M604" s="288"/>
      <c r="N604" s="288"/>
      <c r="O604" s="289"/>
      <c r="P604" s="289"/>
      <c r="Q604" s="289"/>
      <c r="R604" s="289"/>
      <c r="S604" s="289"/>
      <c r="T604" s="289"/>
      <c r="U604" s="289"/>
      <c r="V604" s="290"/>
    </row>
    <row r="605" spans="2:40" s="242" customFormat="1" ht="30" hidden="1" customHeight="1">
      <c r="B605" s="291" t="s">
        <v>413</v>
      </c>
      <c r="C605" s="310"/>
      <c r="D605" s="310"/>
      <c r="E605" s="310"/>
      <c r="F605" s="310"/>
      <c r="G605" s="293"/>
      <c r="H605" s="293"/>
      <c r="I605" s="293"/>
      <c r="J605" s="293"/>
      <c r="K605" s="293"/>
      <c r="L605" s="293"/>
      <c r="M605" s="293"/>
      <c r="N605" s="293"/>
      <c r="O605" s="294"/>
      <c r="P605" s="294"/>
      <c r="Q605" s="294"/>
      <c r="R605" s="294"/>
      <c r="S605" s="294"/>
      <c r="T605" s="294"/>
      <c r="U605" s="294"/>
      <c r="V605" s="295"/>
      <c r="W605" s="215"/>
      <c r="X605" s="215"/>
      <c r="Y605" s="215"/>
      <c r="Z605" s="215"/>
      <c r="AA605" s="215"/>
      <c r="AB605" s="215"/>
      <c r="AC605" s="215"/>
      <c r="AD605" s="339"/>
      <c r="AE605" s="339"/>
      <c r="AF605" s="216"/>
      <c r="AG605" s="796"/>
    </row>
    <row r="606" spans="2:40" ht="30" hidden="1" customHeight="1">
      <c r="B606" s="291" t="s">
        <v>412</v>
      </c>
      <c r="C606" s="292"/>
      <c r="D606" s="292"/>
      <c r="E606" s="310"/>
      <c r="F606" s="310"/>
      <c r="G606" s="293"/>
      <c r="H606" s="293"/>
      <c r="I606" s="293"/>
      <c r="J606" s="293"/>
      <c r="K606" s="293"/>
      <c r="L606" s="293"/>
      <c r="M606" s="293"/>
      <c r="N606" s="293"/>
      <c r="O606" s="294"/>
      <c r="P606" s="294"/>
      <c r="Q606" s="294"/>
      <c r="R606" s="294"/>
      <c r="S606" s="294"/>
      <c r="T606" s="294"/>
      <c r="U606" s="294"/>
      <c r="V606" s="295"/>
      <c r="W606" s="242"/>
      <c r="X606" s="242"/>
      <c r="Y606" s="242"/>
      <c r="Z606" s="242"/>
      <c r="AA606" s="242"/>
      <c r="AB606" s="242"/>
      <c r="AC606" s="242"/>
      <c r="AD606" s="353"/>
      <c r="AE606" s="353"/>
      <c r="AF606" s="274"/>
    </row>
    <row r="607" spans="2:40" ht="30" hidden="1" customHeight="1">
      <c r="B607" s="291"/>
      <c r="C607" s="292"/>
      <c r="D607" s="292"/>
      <c r="E607" s="310"/>
      <c r="F607" s="310"/>
      <c r="G607" s="293"/>
      <c r="H607" s="293"/>
      <c r="I607" s="293"/>
      <c r="J607" s="293"/>
      <c r="K607" s="293"/>
      <c r="L607" s="293"/>
      <c r="M607" s="293"/>
      <c r="N607" s="293"/>
      <c r="O607" s="294"/>
      <c r="P607" s="294"/>
      <c r="Q607" s="294"/>
      <c r="R607" s="294"/>
      <c r="S607" s="294"/>
      <c r="T607" s="294"/>
      <c r="U607" s="294"/>
      <c r="V607" s="295"/>
    </row>
    <row r="608" spans="2:40" ht="30" hidden="1" customHeight="1">
      <c r="B608" s="468"/>
      <c r="C608" s="292"/>
      <c r="D608" s="292"/>
      <c r="E608" s="310"/>
      <c r="F608" s="310"/>
      <c r="G608" s="293"/>
      <c r="H608" s="293"/>
      <c r="I608" s="293"/>
      <c r="J608" s="293"/>
      <c r="K608" s="293"/>
      <c r="L608" s="293"/>
      <c r="M608" s="293"/>
      <c r="N608" s="293"/>
      <c r="O608" s="294"/>
      <c r="P608" s="294"/>
      <c r="Q608" s="294"/>
      <c r="R608" s="294"/>
      <c r="S608" s="294"/>
      <c r="T608" s="294"/>
      <c r="U608" s="294"/>
      <c r="V608" s="295"/>
    </row>
    <row r="609" spans="2:22" ht="30" hidden="1" customHeight="1">
      <c r="B609" s="469"/>
      <c r="C609" s="470"/>
      <c r="D609" s="470"/>
      <c r="E609" s="718"/>
      <c r="F609" s="718"/>
      <c r="G609" s="471"/>
      <c r="H609" s="471"/>
      <c r="I609" s="471"/>
      <c r="J609" s="471"/>
      <c r="K609" s="471"/>
      <c r="L609" s="471"/>
      <c r="M609" s="471"/>
      <c r="N609" s="471"/>
      <c r="O609" s="472"/>
      <c r="P609" s="472"/>
      <c r="Q609" s="472"/>
      <c r="R609" s="472"/>
      <c r="S609" s="472"/>
      <c r="T609" s="472"/>
      <c r="U609" s="472"/>
      <c r="V609" s="473"/>
    </row>
    <row r="610" spans="2:22" ht="30" hidden="1" customHeight="1" thickBot="1">
      <c r="B610" s="375"/>
      <c r="C610" s="364"/>
      <c r="D610" s="364"/>
      <c r="E610" s="450"/>
      <c r="F610" s="450"/>
      <c r="G610" s="376"/>
      <c r="H610" s="376"/>
      <c r="I610" s="376"/>
      <c r="J610" s="376"/>
      <c r="K610" s="376"/>
      <c r="L610" s="376"/>
      <c r="M610" s="376"/>
      <c r="N610" s="376"/>
      <c r="O610" s="377"/>
      <c r="P610" s="377"/>
      <c r="Q610" s="377"/>
      <c r="R610" s="377"/>
      <c r="S610" s="377"/>
      <c r="T610" s="377"/>
      <c r="U610" s="377"/>
      <c r="V610" s="378"/>
    </row>
    <row r="611" spans="2:22" ht="17.25" hidden="1" customHeight="1" thickTop="1" thickBot="1">
      <c r="B611" s="319" t="s">
        <v>3</v>
      </c>
      <c r="C611" s="414">
        <f t="shared" ref="C611:V611" si="83">SUM(C604:C610)</f>
        <v>0</v>
      </c>
      <c r="D611" s="414"/>
      <c r="E611" s="414">
        <f t="shared" si="83"/>
        <v>0</v>
      </c>
      <c r="F611" s="414">
        <f t="shared" si="83"/>
        <v>0</v>
      </c>
      <c r="G611" s="320">
        <f t="shared" si="83"/>
        <v>0</v>
      </c>
      <c r="H611" s="320">
        <f t="shared" si="83"/>
        <v>0</v>
      </c>
      <c r="I611" s="320">
        <f t="shared" si="83"/>
        <v>0</v>
      </c>
      <c r="J611" s="320">
        <f t="shared" si="83"/>
        <v>0</v>
      </c>
      <c r="K611" s="320">
        <f t="shared" si="83"/>
        <v>0</v>
      </c>
      <c r="L611" s="320">
        <f t="shared" si="83"/>
        <v>0</v>
      </c>
      <c r="M611" s="320">
        <f t="shared" si="83"/>
        <v>0</v>
      </c>
      <c r="N611" s="320">
        <f t="shared" si="83"/>
        <v>0</v>
      </c>
      <c r="O611" s="320"/>
      <c r="P611" s="320">
        <f t="shared" si="83"/>
        <v>0</v>
      </c>
      <c r="Q611" s="415"/>
      <c r="R611" s="415"/>
      <c r="S611" s="415"/>
      <c r="T611" s="415"/>
      <c r="U611" s="415"/>
      <c r="V611" s="413">
        <f t="shared" si="83"/>
        <v>0</v>
      </c>
    </row>
    <row r="612" spans="2:22" ht="17.25" customHeight="1">
      <c r="B612" s="216"/>
    </row>
    <row r="613" spans="2:22" ht="17.25" customHeight="1">
      <c r="B613" s="216"/>
      <c r="C613" s="278"/>
      <c r="D613" s="278"/>
    </row>
    <row r="614" spans="2:22" ht="17.25" customHeight="1">
      <c r="B614" s="216"/>
      <c r="C614" s="278"/>
      <c r="D614" s="278"/>
    </row>
    <row r="615" spans="2:22" ht="17.25" customHeight="1"/>
    <row r="616" spans="2:22" ht="17.25" customHeight="1">
      <c r="B616" s="216"/>
      <c r="C616" s="215"/>
      <c r="D616" s="215"/>
      <c r="E616" s="216"/>
      <c r="F616" s="216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</row>
    <row r="617" spans="2:22" ht="17.25" hidden="1" customHeight="1">
      <c r="B617" s="336" t="s">
        <v>204</v>
      </c>
      <c r="C617" s="566"/>
      <c r="D617" s="566"/>
      <c r="E617" s="566"/>
      <c r="F617" s="566"/>
      <c r="G617" s="337"/>
      <c r="H617" s="337"/>
      <c r="I617" s="337"/>
      <c r="J617" s="337"/>
      <c r="K617" s="337"/>
      <c r="L617" s="1173" t="s">
        <v>82</v>
      </c>
      <c r="M617" s="1173"/>
      <c r="N617" s="1173"/>
      <c r="O617" s="1173"/>
      <c r="P617" s="1173"/>
      <c r="Q617" s="1173"/>
      <c r="R617" s="1173"/>
      <c r="S617" s="1173"/>
      <c r="T617" s="1173"/>
      <c r="U617" s="1173"/>
      <c r="V617" s="1173"/>
    </row>
    <row r="618" spans="2:22" ht="17.25" customHeight="1">
      <c r="B618" s="216"/>
      <c r="C618" s="566"/>
      <c r="D618" s="566"/>
      <c r="E618" s="566"/>
      <c r="F618" s="1173"/>
      <c r="G618" s="1173"/>
      <c r="H618" s="1173"/>
      <c r="I618" s="1173"/>
      <c r="J618" s="337"/>
      <c r="K618" s="337"/>
      <c r="L618" s="1173"/>
      <c r="M618" s="1173"/>
      <c r="N618" s="1173"/>
      <c r="O618" s="1173"/>
      <c r="P618" s="1173"/>
      <c r="Q618" s="1173"/>
      <c r="R618" s="1173"/>
      <c r="S618" s="1173"/>
      <c r="T618" s="1173"/>
      <c r="U618" s="1173"/>
      <c r="V618" s="1173"/>
    </row>
    <row r="619" spans="2:22" ht="17.25" customHeight="1">
      <c r="B619" s="216"/>
      <c r="C619" s="278"/>
      <c r="D619" s="278"/>
    </row>
    <row r="620" spans="2:22" ht="17.25" customHeight="1">
      <c r="B620" s="216"/>
      <c r="C620" s="278"/>
      <c r="D620" s="278"/>
    </row>
    <row r="621" spans="2:22" ht="17.25" customHeight="1">
      <c r="B621" s="216"/>
      <c r="C621" s="278"/>
      <c r="D621" s="278"/>
    </row>
    <row r="622" spans="2:22" ht="17.25" customHeight="1">
      <c r="C622" s="278"/>
      <c r="D622" s="278"/>
    </row>
    <row r="623" spans="2:22" ht="17.25" hidden="1" customHeight="1">
      <c r="B623" s="215" t="s">
        <v>0</v>
      </c>
      <c r="F623" s="727"/>
      <c r="G623" s="281"/>
      <c r="N623" s="281"/>
      <c r="O623" s="281"/>
      <c r="P623" s="281"/>
      <c r="Q623" s="281"/>
      <c r="R623" s="281"/>
      <c r="S623" s="281"/>
      <c r="T623" s="281"/>
      <c r="U623" s="281"/>
    </row>
    <row r="624" spans="2:22" ht="17.25" hidden="1" customHeight="1">
      <c r="B624" s="215" t="str">
        <f>B4</f>
        <v>DENOMINATION FOR OKTOBER 2025</v>
      </c>
      <c r="F624" s="727"/>
      <c r="G624" s="281"/>
      <c r="N624" s="281"/>
      <c r="O624" s="281"/>
      <c r="P624" s="281"/>
      <c r="Q624" s="281"/>
      <c r="R624" s="281"/>
      <c r="S624" s="281"/>
      <c r="T624" s="281"/>
      <c r="U624" s="281"/>
    </row>
    <row r="625" spans="2:33" ht="17.25" hidden="1" customHeight="1">
      <c r="B625" s="215" t="s">
        <v>46</v>
      </c>
      <c r="F625" s="727"/>
      <c r="G625" s="281"/>
      <c r="N625" s="281"/>
      <c r="O625" s="281"/>
      <c r="P625" s="281"/>
      <c r="Q625" s="281"/>
      <c r="R625" s="281"/>
      <c r="S625" s="281"/>
      <c r="T625" s="281"/>
      <c r="U625" s="281"/>
    </row>
    <row r="626" spans="2:33" ht="17.25" hidden="1" customHeight="1" thickBot="1">
      <c r="F626" s="727"/>
      <c r="G626" s="281"/>
      <c r="N626" s="281"/>
      <c r="O626" s="281"/>
      <c r="P626" s="281"/>
      <c r="Q626" s="281"/>
      <c r="R626" s="281"/>
      <c r="S626" s="281"/>
      <c r="T626" s="281"/>
      <c r="U626" s="281"/>
    </row>
    <row r="627" spans="2:33" ht="17.25" hidden="1" customHeight="1" thickTop="1">
      <c r="B627" s="570" t="s">
        <v>1</v>
      </c>
      <c r="C627" s="572" t="s">
        <v>15</v>
      </c>
      <c r="D627" s="572"/>
      <c r="E627" s="568"/>
      <c r="F627" s="568"/>
      <c r="G627" s="220"/>
      <c r="H627" s="220"/>
      <c r="I627" s="220"/>
      <c r="J627" s="220"/>
      <c r="K627" s="220"/>
      <c r="L627" s="220"/>
      <c r="M627" s="220"/>
      <c r="N627" s="220"/>
      <c r="O627" s="282"/>
      <c r="P627" s="282"/>
      <c r="Q627" s="574"/>
      <c r="R627" s="574"/>
      <c r="S627" s="574"/>
      <c r="T627" s="574"/>
      <c r="U627" s="574"/>
      <c r="V627" s="283"/>
    </row>
    <row r="628" spans="2:33" ht="17.25" hidden="1" customHeight="1" thickBot="1">
      <c r="B628" s="571"/>
      <c r="C628" s="284"/>
      <c r="D628" s="284"/>
      <c r="E628" s="569">
        <v>100000</v>
      </c>
      <c r="F628" s="569">
        <v>50000</v>
      </c>
      <c r="G628" s="223">
        <v>20000</v>
      </c>
      <c r="H628" s="223">
        <v>10000</v>
      </c>
      <c r="I628" s="223">
        <v>5000</v>
      </c>
      <c r="J628" s="223">
        <v>1000</v>
      </c>
      <c r="K628" s="223">
        <v>500</v>
      </c>
      <c r="L628" s="223">
        <v>100</v>
      </c>
      <c r="M628" s="223">
        <v>50</v>
      </c>
      <c r="N628" s="223" t="s">
        <v>2</v>
      </c>
      <c r="O628" s="285"/>
      <c r="P628" s="285"/>
      <c r="Q628" s="575"/>
      <c r="R628" s="575"/>
      <c r="S628" s="575"/>
      <c r="T628" s="575"/>
      <c r="U628" s="575"/>
      <c r="V628" s="286" t="s">
        <v>3</v>
      </c>
    </row>
    <row r="629" spans="2:33" ht="17.25" hidden="1" customHeight="1" thickTop="1">
      <c r="B629" s="287"/>
      <c r="C629" s="533"/>
      <c r="D629" s="533"/>
      <c r="E629" s="839"/>
      <c r="F629" s="839"/>
      <c r="G629" s="288"/>
      <c r="H629" s="288"/>
      <c r="I629" s="288"/>
      <c r="J629" s="288"/>
      <c r="K629" s="288"/>
      <c r="L629" s="288"/>
      <c r="M629" s="288"/>
      <c r="N629" s="288"/>
      <c r="O629" s="289"/>
      <c r="P629" s="289"/>
      <c r="Q629" s="289"/>
      <c r="R629" s="289"/>
      <c r="S629" s="289"/>
      <c r="T629" s="289"/>
      <c r="U629" s="289"/>
      <c r="V629" s="290"/>
    </row>
    <row r="630" spans="2:33" s="242" customFormat="1" ht="17.25" hidden="1" customHeight="1">
      <c r="B630" s="234"/>
      <c r="C630" s="277"/>
      <c r="D630" s="277"/>
      <c r="E630" s="277"/>
      <c r="F630" s="277"/>
      <c r="G630" s="236"/>
      <c r="H630" s="236"/>
      <c r="I630" s="236"/>
      <c r="J630" s="236"/>
      <c r="K630" s="236"/>
      <c r="L630" s="236"/>
      <c r="M630" s="236"/>
      <c r="N630" s="236"/>
      <c r="O630" s="260"/>
      <c r="P630" s="260"/>
      <c r="Q630" s="260"/>
      <c r="R630" s="260"/>
      <c r="S630" s="260"/>
      <c r="T630" s="260"/>
      <c r="U630" s="260"/>
      <c r="V630" s="247">
        <f>SUM(E630:N630)</f>
        <v>0</v>
      </c>
      <c r="W630" s="215"/>
      <c r="X630" s="215"/>
      <c r="Y630" s="215"/>
      <c r="Z630" s="215"/>
      <c r="AA630" s="215"/>
      <c r="AB630" s="215"/>
      <c r="AC630" s="215"/>
      <c r="AD630" s="339"/>
      <c r="AE630" s="339"/>
      <c r="AF630" s="216"/>
      <c r="AG630" s="796"/>
    </row>
    <row r="631" spans="2:33" ht="17.25" hidden="1" customHeight="1">
      <c r="B631" s="234"/>
      <c r="C631" s="235"/>
      <c r="D631" s="235"/>
      <c r="E631" s="277"/>
      <c r="F631" s="277"/>
      <c r="G631" s="236"/>
      <c r="H631" s="236"/>
      <c r="I631" s="236"/>
      <c r="J631" s="236"/>
      <c r="K631" s="236"/>
      <c r="L631" s="236"/>
      <c r="M631" s="236"/>
      <c r="N631" s="236"/>
      <c r="O631" s="260"/>
      <c r="P631" s="260"/>
      <c r="Q631" s="260"/>
      <c r="R631" s="260"/>
      <c r="S631" s="260"/>
      <c r="T631" s="260"/>
      <c r="U631" s="260"/>
      <c r="V631" s="247"/>
      <c r="W631" s="242"/>
      <c r="X631" s="242"/>
      <c r="Y631" s="242"/>
      <c r="Z631" s="242"/>
      <c r="AA631" s="242"/>
      <c r="AB631" s="242"/>
      <c r="AC631" s="242"/>
      <c r="AD631" s="353"/>
      <c r="AE631" s="353"/>
      <c r="AF631" s="274"/>
    </row>
    <row r="632" spans="2:33" ht="17.25" hidden="1" customHeight="1">
      <c r="B632" s="234"/>
      <c r="C632" s="235"/>
      <c r="D632" s="235"/>
      <c r="E632" s="277"/>
      <c r="F632" s="277"/>
      <c r="G632" s="236"/>
      <c r="H632" s="236"/>
      <c r="I632" s="236"/>
      <c r="J632" s="236"/>
      <c r="K632" s="236"/>
      <c r="L632" s="236"/>
      <c r="M632" s="236"/>
      <c r="N632" s="236"/>
      <c r="O632" s="260"/>
      <c r="P632" s="260"/>
      <c r="Q632" s="260"/>
      <c r="R632" s="260"/>
      <c r="S632" s="260"/>
      <c r="T632" s="260"/>
      <c r="U632" s="260"/>
      <c r="V632" s="247"/>
    </row>
    <row r="633" spans="2:33" ht="17.25" hidden="1" customHeight="1">
      <c r="B633" s="234"/>
      <c r="C633" s="235"/>
      <c r="D633" s="235"/>
      <c r="E633" s="277"/>
      <c r="F633" s="277"/>
      <c r="G633" s="236"/>
      <c r="H633" s="236"/>
      <c r="I633" s="236"/>
      <c r="J633" s="236"/>
      <c r="K633" s="236"/>
      <c r="L633" s="236"/>
      <c r="M633" s="236"/>
      <c r="N633" s="236"/>
      <c r="O633" s="260"/>
      <c r="P633" s="260"/>
      <c r="Q633" s="260"/>
      <c r="R633" s="260"/>
      <c r="S633" s="260"/>
      <c r="T633" s="260"/>
      <c r="U633" s="260"/>
      <c r="V633" s="247"/>
    </row>
    <row r="634" spans="2:33" ht="17.25" hidden="1" customHeight="1">
      <c r="B634" s="234"/>
      <c r="C634" s="235"/>
      <c r="D634" s="235"/>
      <c r="E634" s="277"/>
      <c r="F634" s="277"/>
      <c r="G634" s="236"/>
      <c r="H634" s="236"/>
      <c r="I634" s="236"/>
      <c r="J634" s="236"/>
      <c r="K634" s="236"/>
      <c r="L634" s="236"/>
      <c r="M634" s="236"/>
      <c r="N634" s="236"/>
      <c r="O634" s="260"/>
      <c r="P634" s="260"/>
      <c r="Q634" s="260"/>
      <c r="R634" s="260"/>
      <c r="S634" s="260"/>
      <c r="T634" s="260"/>
      <c r="U634" s="260"/>
      <c r="V634" s="247"/>
    </row>
    <row r="635" spans="2:33" ht="17.25" hidden="1" customHeight="1" thickBot="1">
      <c r="B635" s="226"/>
      <c r="C635" s="474"/>
      <c r="D635" s="474"/>
      <c r="E635" s="842"/>
      <c r="F635" s="842"/>
      <c r="G635" s="229"/>
      <c r="H635" s="229"/>
      <c r="I635" s="229"/>
      <c r="J635" s="229"/>
      <c r="K635" s="229"/>
      <c r="L635" s="229"/>
      <c r="M635" s="229"/>
      <c r="N635" s="229"/>
      <c r="O635" s="370"/>
      <c r="P635" s="370"/>
      <c r="Q635" s="370"/>
      <c r="R635" s="370"/>
      <c r="S635" s="370"/>
      <c r="T635" s="370"/>
      <c r="U635" s="370"/>
      <c r="V635" s="564"/>
    </row>
    <row r="636" spans="2:33" ht="17.25" hidden="1" customHeight="1" thickTop="1" thickBot="1">
      <c r="B636" s="261" t="s">
        <v>3</v>
      </c>
      <c r="C636" s="262">
        <f>SUM(C629:C635)</f>
        <v>0</v>
      </c>
      <c r="D636" s="262"/>
      <c r="E636" s="262">
        <f>SUM(E629:E635)</f>
        <v>0</v>
      </c>
      <c r="F636" s="262">
        <f t="shared" ref="F636:V636" si="84">SUM(F629:F635)</f>
        <v>0</v>
      </c>
      <c r="G636" s="263">
        <f t="shared" si="84"/>
        <v>0</v>
      </c>
      <c r="H636" s="263">
        <f t="shared" si="84"/>
        <v>0</v>
      </c>
      <c r="I636" s="263">
        <f t="shared" si="84"/>
        <v>0</v>
      </c>
      <c r="J636" s="263">
        <f t="shared" si="84"/>
        <v>0</v>
      </c>
      <c r="K636" s="263">
        <f t="shared" si="84"/>
        <v>0</v>
      </c>
      <c r="L636" s="263">
        <f t="shared" si="84"/>
        <v>0</v>
      </c>
      <c r="M636" s="263">
        <f t="shared" si="84"/>
        <v>0</v>
      </c>
      <c r="N636" s="263">
        <f t="shared" si="84"/>
        <v>0</v>
      </c>
      <c r="O636" s="263"/>
      <c r="P636" s="263">
        <f t="shared" si="84"/>
        <v>0</v>
      </c>
      <c r="Q636" s="264"/>
      <c r="R636" s="264"/>
      <c r="S636" s="264"/>
      <c r="T636" s="264"/>
      <c r="U636" s="264"/>
      <c r="V636" s="265">
        <f t="shared" si="84"/>
        <v>0</v>
      </c>
    </row>
    <row r="637" spans="2:33" ht="17.25" hidden="1" customHeight="1" thickTop="1">
      <c r="B637" s="336"/>
      <c r="C637" s="215"/>
      <c r="D637" s="215"/>
      <c r="E637" s="216"/>
      <c r="F637" s="216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</row>
    <row r="638" spans="2:33" ht="17.25" hidden="1" customHeight="1">
      <c r="B638" s="336"/>
      <c r="C638" s="566"/>
      <c r="D638" s="566"/>
      <c r="E638" s="566"/>
      <c r="F638" s="566"/>
      <c r="G638" s="337"/>
      <c r="H638" s="337"/>
      <c r="I638" s="337"/>
      <c r="J638" s="337"/>
      <c r="K638" s="337"/>
      <c r="L638" s="337"/>
      <c r="M638" s="337"/>
      <c r="N638" s="337"/>
      <c r="O638" s="337"/>
      <c r="P638" s="337"/>
      <c r="Q638" s="337"/>
      <c r="R638" s="337"/>
      <c r="S638" s="337"/>
      <c r="T638" s="337"/>
      <c r="U638" s="337"/>
      <c r="V638" s="337"/>
    </row>
    <row r="639" spans="2:33" ht="17.25" hidden="1" customHeight="1">
      <c r="B639" s="336"/>
      <c r="C639" s="566"/>
      <c r="D639" s="566"/>
      <c r="E639" s="566"/>
      <c r="F639" s="566"/>
      <c r="G639" s="337"/>
      <c r="H639" s="337"/>
      <c r="I639" s="337"/>
      <c r="J639" s="337"/>
      <c r="K639" s="337"/>
      <c r="L639" s="337"/>
      <c r="M639" s="337"/>
      <c r="N639" s="337"/>
      <c r="O639" s="337"/>
      <c r="P639" s="337"/>
      <c r="Q639" s="337"/>
      <c r="R639" s="337"/>
      <c r="S639" s="337"/>
      <c r="T639" s="337"/>
      <c r="U639" s="337"/>
      <c r="V639" s="337"/>
    </row>
    <row r="640" spans="2:33" ht="17.25" hidden="1" customHeight="1">
      <c r="B640" s="336"/>
      <c r="C640" s="566"/>
      <c r="D640" s="566"/>
      <c r="E640" s="566"/>
      <c r="F640" s="566"/>
      <c r="G640" s="337"/>
      <c r="H640" s="337"/>
      <c r="I640" s="337"/>
      <c r="J640" s="337"/>
      <c r="K640" s="337"/>
      <c r="L640" s="337"/>
      <c r="M640" s="337"/>
      <c r="N640" s="337"/>
      <c r="O640" s="337"/>
      <c r="P640" s="337"/>
      <c r="Q640" s="337"/>
      <c r="R640" s="337"/>
      <c r="S640" s="337"/>
      <c r="T640" s="337"/>
      <c r="U640" s="337"/>
      <c r="V640" s="337"/>
    </row>
    <row r="641" spans="2:33" ht="17.25" hidden="1" customHeight="1">
      <c r="B641" s="336"/>
      <c r="C641" s="566"/>
      <c r="D641" s="566"/>
      <c r="E641" s="566"/>
      <c r="F641" s="566"/>
      <c r="G641" s="337"/>
      <c r="H641" s="337"/>
      <c r="I641" s="337"/>
      <c r="J641" s="337"/>
      <c r="K641" s="337"/>
      <c r="L641" s="337"/>
      <c r="M641" s="337"/>
      <c r="N641" s="337"/>
      <c r="O641" s="337"/>
      <c r="P641" s="337"/>
      <c r="Q641" s="337"/>
      <c r="R641" s="337"/>
      <c r="S641" s="337"/>
      <c r="T641" s="337"/>
      <c r="U641" s="337"/>
      <c r="V641" s="337"/>
    </row>
    <row r="642" spans="2:33" ht="17.25" hidden="1" customHeight="1">
      <c r="B642" s="336" t="s">
        <v>80</v>
      </c>
      <c r="C642" s="566"/>
      <c r="D642" s="566"/>
      <c r="E642" s="566"/>
      <c r="F642" s="566"/>
      <c r="G642" s="337"/>
      <c r="H642" s="337"/>
      <c r="I642" s="337"/>
      <c r="J642" s="337"/>
      <c r="K642" s="337"/>
      <c r="L642" s="337"/>
      <c r="M642" s="337"/>
      <c r="N642" s="337"/>
      <c r="O642" s="337"/>
      <c r="P642" s="337"/>
      <c r="Q642" s="337"/>
      <c r="R642" s="337"/>
      <c r="S642" s="337"/>
      <c r="T642" s="337"/>
      <c r="U642" s="337"/>
      <c r="V642" s="337"/>
    </row>
    <row r="643" spans="2:33" ht="17.25" hidden="1" customHeight="1">
      <c r="B643" s="216"/>
      <c r="C643" s="566"/>
      <c r="D643" s="566"/>
      <c r="E643" s="566"/>
      <c r="F643" s="1173" t="s">
        <v>81</v>
      </c>
      <c r="G643" s="1173"/>
      <c r="H643" s="1173"/>
      <c r="I643" s="1173"/>
      <c r="J643" s="337"/>
      <c r="K643" s="337"/>
      <c r="L643" s="1173" t="s">
        <v>82</v>
      </c>
      <c r="M643" s="1173"/>
      <c r="N643" s="1173"/>
      <c r="O643" s="1173"/>
      <c r="P643" s="1173"/>
      <c r="Q643" s="1173"/>
      <c r="R643" s="1173"/>
      <c r="S643" s="1173"/>
      <c r="T643" s="1173"/>
      <c r="U643" s="1173"/>
      <c r="V643" s="1173"/>
    </row>
    <row r="644" spans="2:33" ht="17.25" hidden="1" customHeight="1">
      <c r="B644" s="216"/>
      <c r="C644" s="278"/>
      <c r="D644" s="278"/>
    </row>
    <row r="645" spans="2:33" ht="17.25" hidden="1" customHeight="1">
      <c r="B645" s="215" t="str">
        <f>B4</f>
        <v>DENOMINATION FOR OKTOBER 2025</v>
      </c>
      <c r="C645" s="278"/>
      <c r="D645" s="278"/>
    </row>
    <row r="646" spans="2:33" ht="17.25" hidden="1" customHeight="1">
      <c r="B646" s="215" t="s">
        <v>48</v>
      </c>
      <c r="F646" s="727"/>
      <c r="G646" s="281"/>
      <c r="N646" s="281"/>
      <c r="O646" s="281"/>
      <c r="P646" s="281"/>
      <c r="Q646" s="281"/>
      <c r="R646" s="281"/>
      <c r="S646" s="281"/>
      <c r="T646" s="281"/>
      <c r="U646" s="281"/>
    </row>
    <row r="647" spans="2:33" ht="17.25" hidden="1" customHeight="1" thickBot="1">
      <c r="F647" s="727"/>
      <c r="G647" s="281"/>
      <c r="N647" s="281"/>
      <c r="O647" s="281"/>
      <c r="P647" s="281"/>
      <c r="Q647" s="281"/>
      <c r="R647" s="281"/>
      <c r="S647" s="281"/>
      <c r="T647" s="281"/>
      <c r="U647" s="281"/>
    </row>
    <row r="648" spans="2:33" ht="17.25" hidden="1" customHeight="1" thickTop="1">
      <c r="B648" s="570" t="s">
        <v>1</v>
      </c>
      <c r="C648" s="572" t="s">
        <v>15</v>
      </c>
      <c r="D648" s="572"/>
      <c r="E648" s="568"/>
      <c r="F648" s="568"/>
      <c r="G648" s="220"/>
      <c r="H648" s="220"/>
      <c r="I648" s="220"/>
      <c r="J648" s="220"/>
      <c r="K648" s="220"/>
      <c r="L648" s="220"/>
      <c r="M648" s="220"/>
      <c r="N648" s="220"/>
      <c r="O648" s="282"/>
      <c r="P648" s="282"/>
      <c r="Q648" s="282">
        <f>Q627</f>
        <v>0</v>
      </c>
      <c r="R648" s="282"/>
      <c r="S648" s="282"/>
      <c r="T648" s="282"/>
      <c r="U648" s="282"/>
      <c r="V648" s="283"/>
    </row>
    <row r="649" spans="2:33" ht="17.25" hidden="1" customHeight="1" thickBot="1">
      <c r="B649" s="571"/>
      <c r="C649" s="284"/>
      <c r="D649" s="284"/>
      <c r="E649" s="569">
        <v>100000</v>
      </c>
      <c r="F649" s="569">
        <v>50000</v>
      </c>
      <c r="G649" s="223">
        <v>20000</v>
      </c>
      <c r="H649" s="223">
        <v>10000</v>
      </c>
      <c r="I649" s="223">
        <v>5000</v>
      </c>
      <c r="J649" s="223">
        <v>1000</v>
      </c>
      <c r="K649" s="223">
        <v>500</v>
      </c>
      <c r="L649" s="223">
        <v>100</v>
      </c>
      <c r="M649" s="223">
        <v>50</v>
      </c>
      <c r="N649" s="223" t="s">
        <v>2</v>
      </c>
      <c r="O649" s="285"/>
      <c r="P649" s="285"/>
      <c r="Q649" s="285">
        <f>Q628</f>
        <v>0</v>
      </c>
      <c r="R649" s="285"/>
      <c r="S649" s="285"/>
      <c r="T649" s="285"/>
      <c r="U649" s="285"/>
      <c r="V649" s="286" t="s">
        <v>3</v>
      </c>
    </row>
    <row r="650" spans="2:33" ht="17.25" hidden="1" customHeight="1" thickTop="1">
      <c r="B650" s="287"/>
      <c r="C650" s="533"/>
      <c r="D650" s="533"/>
      <c r="E650" s="839"/>
      <c r="F650" s="839"/>
      <c r="G650" s="288"/>
      <c r="H650" s="288"/>
      <c r="I650" s="288"/>
      <c r="J650" s="288"/>
      <c r="K650" s="288"/>
      <c r="L650" s="288"/>
      <c r="M650" s="288"/>
      <c r="N650" s="288"/>
      <c r="O650" s="289"/>
      <c r="P650" s="289"/>
      <c r="Q650" s="289"/>
      <c r="R650" s="289"/>
      <c r="S650" s="289"/>
      <c r="T650" s="289"/>
      <c r="U650" s="289"/>
      <c r="V650" s="290"/>
    </row>
    <row r="651" spans="2:33" s="242" customFormat="1" ht="17.25" hidden="1" customHeight="1">
      <c r="B651" s="234"/>
      <c r="C651" s="277"/>
      <c r="D651" s="277"/>
      <c r="E651" s="277"/>
      <c r="F651" s="277"/>
      <c r="G651" s="236"/>
      <c r="H651" s="236"/>
      <c r="I651" s="236"/>
      <c r="J651" s="236"/>
      <c r="K651" s="236"/>
      <c r="L651" s="236"/>
      <c r="M651" s="236"/>
      <c r="N651" s="236"/>
      <c r="O651" s="260"/>
      <c r="P651" s="260"/>
      <c r="Q651" s="260"/>
      <c r="R651" s="260"/>
      <c r="S651" s="260"/>
      <c r="T651" s="260"/>
      <c r="U651" s="260"/>
      <c r="V651" s="247">
        <f>SUM(E651:N651)</f>
        <v>0</v>
      </c>
      <c r="W651" s="215"/>
      <c r="X651" s="215"/>
      <c r="Y651" s="215"/>
      <c r="Z651" s="215"/>
      <c r="AA651" s="215"/>
      <c r="AB651" s="215"/>
      <c r="AC651" s="215"/>
      <c r="AD651" s="339"/>
      <c r="AE651" s="339"/>
      <c r="AF651" s="216"/>
      <c r="AG651" s="796"/>
    </row>
    <row r="652" spans="2:33" ht="17.25" hidden="1" customHeight="1">
      <c r="B652" s="234"/>
      <c r="C652" s="235"/>
      <c r="D652" s="235"/>
      <c r="E652" s="277"/>
      <c r="F652" s="277"/>
      <c r="G652" s="236"/>
      <c r="H652" s="236"/>
      <c r="I652" s="236"/>
      <c r="J652" s="236"/>
      <c r="K652" s="236"/>
      <c r="L652" s="236"/>
      <c r="M652" s="236"/>
      <c r="N652" s="236"/>
      <c r="O652" s="260"/>
      <c r="P652" s="260"/>
      <c r="Q652" s="260"/>
      <c r="R652" s="260"/>
      <c r="S652" s="260"/>
      <c r="T652" s="260"/>
      <c r="U652" s="260"/>
      <c r="V652" s="247"/>
      <c r="W652" s="242"/>
      <c r="X652" s="242"/>
      <c r="Y652" s="242"/>
      <c r="Z652" s="242"/>
      <c r="AA652" s="242"/>
      <c r="AB652" s="242"/>
      <c r="AC652" s="242"/>
      <c r="AD652" s="353"/>
      <c r="AE652" s="353"/>
      <c r="AF652" s="274"/>
    </row>
    <row r="653" spans="2:33" ht="17.25" hidden="1" customHeight="1">
      <c r="B653" s="234"/>
      <c r="C653" s="235"/>
      <c r="D653" s="235"/>
      <c r="E653" s="277"/>
      <c r="F653" s="277"/>
      <c r="G653" s="236"/>
      <c r="H653" s="236"/>
      <c r="I653" s="236"/>
      <c r="J653" s="236"/>
      <c r="K653" s="236"/>
      <c r="L653" s="236"/>
      <c r="M653" s="236"/>
      <c r="N653" s="236"/>
      <c r="O653" s="260"/>
      <c r="P653" s="260"/>
      <c r="Q653" s="260"/>
      <c r="R653" s="260"/>
      <c r="S653" s="260"/>
      <c r="T653" s="260"/>
      <c r="U653" s="260"/>
      <c r="V653" s="247">
        <f>SUM(E653:N653)</f>
        <v>0</v>
      </c>
    </row>
    <row r="654" spans="2:33" ht="17.25" hidden="1" customHeight="1">
      <c r="B654" s="234"/>
      <c r="C654" s="235"/>
      <c r="D654" s="235"/>
      <c r="E654" s="277"/>
      <c r="F654" s="277"/>
      <c r="G654" s="236"/>
      <c r="H654" s="236"/>
      <c r="I654" s="236"/>
      <c r="J654" s="236"/>
      <c r="K654" s="236"/>
      <c r="L654" s="236"/>
      <c r="M654" s="236"/>
      <c r="N654" s="236"/>
      <c r="O654" s="260"/>
      <c r="P654" s="260"/>
      <c r="Q654" s="260"/>
      <c r="R654" s="260"/>
      <c r="S654" s="260"/>
      <c r="T654" s="260"/>
      <c r="U654" s="260"/>
      <c r="V654" s="247"/>
    </row>
    <row r="655" spans="2:33" ht="17.25" hidden="1" customHeight="1">
      <c r="B655" s="234"/>
      <c r="C655" s="235"/>
      <c r="D655" s="235"/>
      <c r="E655" s="277"/>
      <c r="F655" s="277"/>
      <c r="G655" s="236"/>
      <c r="H655" s="236"/>
      <c r="I655" s="236"/>
      <c r="J655" s="236"/>
      <c r="K655" s="236"/>
      <c r="L655" s="236"/>
      <c r="M655" s="236"/>
      <c r="N655" s="236"/>
      <c r="O655" s="260"/>
      <c r="P655" s="260"/>
      <c r="Q655" s="260"/>
      <c r="R655" s="260"/>
      <c r="S655" s="260"/>
      <c r="T655" s="260"/>
      <c r="U655" s="260"/>
      <c r="V655" s="247"/>
    </row>
    <row r="656" spans="2:33" ht="17.25" hidden="1" customHeight="1" thickBot="1">
      <c r="B656" s="234"/>
      <c r="C656" s="235"/>
      <c r="D656" s="235"/>
      <c r="E656" s="277"/>
      <c r="F656" s="277"/>
      <c r="G656" s="236"/>
      <c r="H656" s="236"/>
      <c r="I656" s="236"/>
      <c r="J656" s="236"/>
      <c r="K656" s="236"/>
      <c r="L656" s="236"/>
      <c r="M656" s="236"/>
      <c r="N656" s="236"/>
      <c r="O656" s="260"/>
      <c r="P656" s="260"/>
      <c r="Q656" s="260"/>
      <c r="R656" s="260"/>
      <c r="S656" s="260"/>
      <c r="T656" s="260"/>
      <c r="U656" s="260"/>
      <c r="V656" s="247"/>
    </row>
    <row r="657" spans="2:22" ht="17.25" hidden="1" customHeight="1" thickTop="1" thickBot="1">
      <c r="B657" s="261" t="s">
        <v>3</v>
      </c>
      <c r="C657" s="262">
        <f t="shared" ref="C657:V657" si="85">SUM(C650:C656)</f>
        <v>0</v>
      </c>
      <c r="D657" s="262"/>
      <c r="E657" s="262">
        <f t="shared" si="85"/>
        <v>0</v>
      </c>
      <c r="F657" s="262">
        <f t="shared" si="85"/>
        <v>0</v>
      </c>
      <c r="G657" s="263">
        <f t="shared" si="85"/>
        <v>0</v>
      </c>
      <c r="H657" s="263">
        <f t="shared" si="85"/>
        <v>0</v>
      </c>
      <c r="I657" s="263">
        <f t="shared" si="85"/>
        <v>0</v>
      </c>
      <c r="J657" s="263">
        <f t="shared" si="85"/>
        <v>0</v>
      </c>
      <c r="K657" s="263">
        <f t="shared" si="85"/>
        <v>0</v>
      </c>
      <c r="L657" s="263">
        <f t="shared" si="85"/>
        <v>0</v>
      </c>
      <c r="M657" s="263">
        <f t="shared" si="85"/>
        <v>0</v>
      </c>
      <c r="N657" s="263">
        <f t="shared" si="85"/>
        <v>0</v>
      </c>
      <c r="O657" s="263"/>
      <c r="P657" s="263">
        <f t="shared" si="85"/>
        <v>0</v>
      </c>
      <c r="Q657" s="264"/>
      <c r="R657" s="264"/>
      <c r="S657" s="264"/>
      <c r="T657" s="264"/>
      <c r="U657" s="264"/>
      <c r="V657" s="265">
        <f t="shared" si="85"/>
        <v>0</v>
      </c>
    </row>
    <row r="658" spans="2:22" ht="17.25" hidden="1" customHeight="1" thickTop="1">
      <c r="B658" s="336"/>
      <c r="C658" s="215"/>
      <c r="D658" s="215"/>
      <c r="E658" s="216"/>
      <c r="F658" s="216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</row>
    <row r="659" spans="2:22" ht="17.25" hidden="1" customHeight="1">
      <c r="B659" s="336"/>
      <c r="C659" s="566"/>
      <c r="D659" s="566"/>
      <c r="E659" s="566"/>
      <c r="F659" s="566"/>
      <c r="G659" s="337"/>
      <c r="H659" s="337"/>
      <c r="I659" s="337"/>
      <c r="J659" s="337"/>
      <c r="K659" s="337"/>
      <c r="L659" s="337"/>
      <c r="M659" s="337"/>
      <c r="N659" s="337"/>
      <c r="O659" s="337"/>
      <c r="P659" s="337"/>
      <c r="Q659" s="337"/>
      <c r="R659" s="337"/>
      <c r="S659" s="337"/>
      <c r="T659" s="337"/>
      <c r="U659" s="337"/>
      <c r="V659" s="337"/>
    </row>
    <row r="660" spans="2:22" ht="17.25" hidden="1" customHeight="1">
      <c r="B660" s="336"/>
      <c r="C660" s="566"/>
      <c r="D660" s="566"/>
      <c r="E660" s="566"/>
      <c r="F660" s="566"/>
      <c r="G660" s="337"/>
      <c r="H660" s="337"/>
      <c r="I660" s="337"/>
      <c r="J660" s="337"/>
      <c r="K660" s="337"/>
      <c r="L660" s="337"/>
      <c r="M660" s="337"/>
      <c r="N660" s="337"/>
      <c r="O660" s="337"/>
      <c r="P660" s="337"/>
      <c r="Q660" s="337"/>
      <c r="R660" s="337"/>
      <c r="S660" s="337"/>
      <c r="T660" s="337"/>
      <c r="U660" s="337"/>
      <c r="V660" s="337"/>
    </row>
    <row r="661" spans="2:22" ht="17.25" hidden="1" customHeight="1">
      <c r="B661" s="336"/>
      <c r="C661" s="566"/>
      <c r="D661" s="566"/>
      <c r="E661" s="566"/>
      <c r="F661" s="566"/>
      <c r="G661" s="337"/>
      <c r="H661" s="337"/>
      <c r="I661" s="337"/>
      <c r="J661" s="337"/>
      <c r="K661" s="337"/>
      <c r="L661" s="337"/>
      <c r="M661" s="337"/>
      <c r="N661" s="337"/>
      <c r="O661" s="337"/>
      <c r="P661" s="337"/>
      <c r="Q661" s="337"/>
      <c r="R661" s="337"/>
      <c r="S661" s="337"/>
      <c r="T661" s="337"/>
      <c r="U661" s="337"/>
      <c r="V661" s="337"/>
    </row>
    <row r="662" spans="2:22" ht="17.25" hidden="1" customHeight="1">
      <c r="B662" s="336"/>
      <c r="C662" s="566"/>
      <c r="D662" s="566"/>
      <c r="E662" s="566"/>
      <c r="F662" s="566"/>
      <c r="G662" s="337"/>
      <c r="H662" s="337"/>
      <c r="I662" s="337"/>
      <c r="J662" s="337"/>
      <c r="K662" s="337"/>
      <c r="L662" s="337"/>
      <c r="M662" s="337"/>
      <c r="N662" s="337"/>
      <c r="O662" s="337"/>
      <c r="P662" s="337"/>
      <c r="Q662" s="337"/>
      <c r="R662" s="337"/>
      <c r="S662" s="337"/>
      <c r="T662" s="337"/>
      <c r="U662" s="337"/>
      <c r="V662" s="337"/>
    </row>
    <row r="663" spans="2:22" ht="17.25" hidden="1" customHeight="1">
      <c r="B663" s="336"/>
      <c r="C663" s="566"/>
      <c r="D663" s="566"/>
      <c r="E663" s="566"/>
      <c r="F663" s="566"/>
      <c r="G663" s="337"/>
      <c r="H663" s="337"/>
      <c r="I663" s="337"/>
      <c r="J663" s="337"/>
      <c r="K663" s="337"/>
      <c r="L663" s="337"/>
      <c r="M663" s="337"/>
      <c r="N663" s="337"/>
      <c r="O663" s="337"/>
      <c r="P663" s="337"/>
      <c r="Q663" s="337"/>
      <c r="R663" s="337"/>
      <c r="S663" s="337"/>
      <c r="T663" s="337"/>
      <c r="U663" s="337"/>
      <c r="V663" s="337"/>
    </row>
    <row r="664" spans="2:22" ht="17.25" hidden="1" customHeight="1">
      <c r="B664" s="336" t="s">
        <v>80</v>
      </c>
      <c r="C664" s="566"/>
      <c r="D664" s="566"/>
      <c r="E664" s="566"/>
      <c r="F664" s="566"/>
      <c r="G664" s="337"/>
      <c r="H664" s="337"/>
      <c r="I664" s="337"/>
      <c r="J664" s="337"/>
      <c r="K664" s="337"/>
      <c r="L664" s="337"/>
      <c r="M664" s="337"/>
      <c r="N664" s="337"/>
      <c r="O664" s="337"/>
      <c r="P664" s="337"/>
      <c r="Q664" s="337"/>
      <c r="R664" s="337"/>
      <c r="S664" s="337"/>
      <c r="T664" s="337"/>
      <c r="U664" s="337"/>
      <c r="V664" s="337"/>
    </row>
    <row r="665" spans="2:22" ht="17.25" hidden="1" customHeight="1">
      <c r="B665" s="336"/>
      <c r="C665" s="566"/>
      <c r="D665" s="566"/>
      <c r="E665" s="566"/>
      <c r="F665" s="1173" t="s">
        <v>81</v>
      </c>
      <c r="G665" s="1173"/>
      <c r="H665" s="1173"/>
      <c r="I665" s="1173"/>
      <c r="J665" s="337"/>
      <c r="K665" s="337"/>
      <c r="L665" s="1173" t="s">
        <v>82</v>
      </c>
      <c r="M665" s="1173"/>
      <c r="N665" s="1173"/>
      <c r="O665" s="1173"/>
      <c r="P665" s="1173"/>
      <c r="Q665" s="1173"/>
      <c r="R665" s="1173"/>
      <c r="S665" s="1173"/>
      <c r="T665" s="1173"/>
      <c r="U665" s="1173"/>
      <c r="V665" s="1173"/>
    </row>
    <row r="666" spans="2:22" ht="17.25" hidden="1" customHeight="1">
      <c r="C666" s="566"/>
      <c r="D666" s="566"/>
      <c r="E666" s="566"/>
      <c r="F666" s="566"/>
      <c r="G666" s="337"/>
      <c r="H666" s="337"/>
      <c r="I666" s="337"/>
      <c r="J666" s="337"/>
      <c r="K666" s="337"/>
      <c r="L666" s="337"/>
      <c r="M666" s="337"/>
      <c r="N666" s="337"/>
      <c r="O666" s="337"/>
      <c r="P666" s="337"/>
      <c r="Q666" s="337"/>
      <c r="R666" s="337"/>
      <c r="S666" s="337"/>
      <c r="T666" s="337"/>
      <c r="U666" s="337"/>
      <c r="V666" s="337"/>
    </row>
    <row r="667" spans="2:22" ht="17.25" hidden="1" customHeight="1">
      <c r="B667" s="215" t="s">
        <v>0</v>
      </c>
      <c r="F667" s="727"/>
      <c r="G667" s="281"/>
      <c r="N667" s="281"/>
      <c r="O667" s="281"/>
      <c r="P667" s="281"/>
      <c r="Q667" s="281"/>
      <c r="R667" s="281"/>
      <c r="S667" s="281"/>
      <c r="T667" s="281"/>
      <c r="U667" s="281"/>
    </row>
    <row r="668" spans="2:22" ht="17.25" hidden="1" customHeight="1">
      <c r="B668" s="215" t="str">
        <f>B4</f>
        <v>DENOMINATION FOR OKTOBER 2025</v>
      </c>
      <c r="F668" s="727"/>
      <c r="G668" s="281"/>
      <c r="N668" s="281"/>
      <c r="O668" s="281"/>
      <c r="P668" s="281"/>
      <c r="Q668" s="281"/>
      <c r="R668" s="281"/>
      <c r="S668" s="281"/>
      <c r="T668" s="281"/>
      <c r="U668" s="281"/>
    </row>
    <row r="669" spans="2:22" ht="17.25" hidden="1" customHeight="1">
      <c r="B669" s="215" t="s">
        <v>47</v>
      </c>
      <c r="F669" s="727"/>
      <c r="G669" s="281"/>
      <c r="N669" s="281"/>
      <c r="O669" s="281"/>
      <c r="P669" s="281"/>
      <c r="Q669" s="281"/>
      <c r="R669" s="281"/>
      <c r="S669" s="281"/>
      <c r="T669" s="281"/>
      <c r="U669" s="281"/>
    </row>
    <row r="670" spans="2:22" ht="17.25" hidden="1" customHeight="1" thickBot="1">
      <c r="F670" s="727"/>
      <c r="G670" s="281"/>
      <c r="N670" s="281"/>
      <c r="O670" s="281"/>
      <c r="P670" s="281"/>
      <c r="Q670" s="281"/>
      <c r="R670" s="281"/>
      <c r="S670" s="281"/>
      <c r="T670" s="281"/>
      <c r="U670" s="281"/>
    </row>
    <row r="671" spans="2:22" ht="17.25" hidden="1" customHeight="1" thickTop="1">
      <c r="B671" s="570" t="s">
        <v>1</v>
      </c>
      <c r="C671" s="572" t="s">
        <v>15</v>
      </c>
      <c r="D671" s="572"/>
      <c r="E671" s="568"/>
      <c r="F671" s="568"/>
      <c r="G671" s="220"/>
      <c r="H671" s="220"/>
      <c r="I671" s="220"/>
      <c r="J671" s="220"/>
      <c r="K671" s="220"/>
      <c r="L671" s="220"/>
      <c r="M671" s="220"/>
      <c r="N671" s="220"/>
      <c r="O671" s="282"/>
      <c r="P671" s="282"/>
      <c r="Q671" s="282"/>
      <c r="R671" s="282"/>
      <c r="S671" s="282"/>
      <c r="T671" s="282"/>
      <c r="U671" s="282"/>
      <c r="V671" s="283"/>
    </row>
    <row r="672" spans="2:22" ht="17.25" hidden="1" customHeight="1" thickBot="1">
      <c r="B672" s="571"/>
      <c r="C672" s="284"/>
      <c r="D672" s="284"/>
      <c r="E672" s="569">
        <v>100000</v>
      </c>
      <c r="F672" s="569">
        <v>50000</v>
      </c>
      <c r="G672" s="223">
        <v>20000</v>
      </c>
      <c r="H672" s="223">
        <v>10000</v>
      </c>
      <c r="I672" s="223">
        <v>5000</v>
      </c>
      <c r="J672" s="223">
        <v>1000</v>
      </c>
      <c r="K672" s="223">
        <v>500</v>
      </c>
      <c r="L672" s="223">
        <v>100</v>
      </c>
      <c r="M672" s="223">
        <v>50</v>
      </c>
      <c r="N672" s="223" t="s">
        <v>2</v>
      </c>
      <c r="O672" s="285"/>
      <c r="P672" s="285"/>
      <c r="Q672" s="285"/>
      <c r="R672" s="285"/>
      <c r="S672" s="285"/>
      <c r="T672" s="285"/>
      <c r="U672" s="285"/>
      <c r="V672" s="286" t="s">
        <v>3</v>
      </c>
    </row>
    <row r="673" spans="2:33" ht="17.25" hidden="1" customHeight="1" thickTop="1">
      <c r="B673" s="287"/>
      <c r="C673" s="533"/>
      <c r="D673" s="533"/>
      <c r="E673" s="839"/>
      <c r="F673" s="839"/>
      <c r="G673" s="288"/>
      <c r="H673" s="288"/>
      <c r="I673" s="288"/>
      <c r="J673" s="288"/>
      <c r="K673" s="288"/>
      <c r="L673" s="288"/>
      <c r="M673" s="288"/>
      <c r="N673" s="288"/>
      <c r="O673" s="289"/>
      <c r="P673" s="289"/>
      <c r="Q673" s="289"/>
      <c r="R673" s="289"/>
      <c r="S673" s="289"/>
      <c r="T673" s="289"/>
      <c r="U673" s="289"/>
      <c r="V673" s="290"/>
    </row>
    <row r="674" spans="2:33" s="242" customFormat="1" ht="17.25" hidden="1" customHeight="1">
      <c r="B674" s="234"/>
      <c r="C674" s="277"/>
      <c r="D674" s="277"/>
      <c r="E674" s="277"/>
      <c r="F674" s="277"/>
      <c r="G674" s="236"/>
      <c r="H674" s="236"/>
      <c r="I674" s="236"/>
      <c r="J674" s="236"/>
      <c r="K674" s="236"/>
      <c r="L674" s="236"/>
      <c r="M674" s="236"/>
      <c r="N674" s="236"/>
      <c r="O674" s="260"/>
      <c r="P674" s="260"/>
      <c r="Q674" s="260"/>
      <c r="R674" s="260"/>
      <c r="S674" s="260"/>
      <c r="T674" s="260"/>
      <c r="U674" s="260"/>
      <c r="V674" s="247">
        <f>SUM(E674:N674)</f>
        <v>0</v>
      </c>
      <c r="W674" s="215"/>
      <c r="X674" s="215"/>
      <c r="Y674" s="215"/>
      <c r="Z674" s="215"/>
      <c r="AA674" s="215"/>
      <c r="AB674" s="215"/>
      <c r="AC674" s="215"/>
      <c r="AD674" s="339"/>
      <c r="AE674" s="339"/>
      <c r="AF674" s="216"/>
      <c r="AG674" s="796"/>
    </row>
    <row r="675" spans="2:33" ht="17.25" hidden="1" customHeight="1">
      <c r="B675" s="234"/>
      <c r="C675" s="235"/>
      <c r="D675" s="235"/>
      <c r="E675" s="277"/>
      <c r="F675" s="277"/>
      <c r="G675" s="236"/>
      <c r="H675" s="236"/>
      <c r="I675" s="236"/>
      <c r="J675" s="236"/>
      <c r="K675" s="236"/>
      <c r="L675" s="236"/>
      <c r="M675" s="236"/>
      <c r="N675" s="236"/>
      <c r="O675" s="260"/>
      <c r="P675" s="260"/>
      <c r="Q675" s="260"/>
      <c r="R675" s="260"/>
      <c r="S675" s="260"/>
      <c r="T675" s="260"/>
      <c r="U675" s="260"/>
      <c r="V675" s="247"/>
      <c r="W675" s="242"/>
      <c r="X675" s="242"/>
      <c r="Y675" s="242"/>
      <c r="Z675" s="242"/>
      <c r="AA675" s="242"/>
      <c r="AB675" s="242"/>
      <c r="AC675" s="242"/>
      <c r="AD675" s="353"/>
      <c r="AE675" s="353"/>
      <c r="AF675" s="274"/>
    </row>
    <row r="676" spans="2:33" ht="17.25" hidden="1" customHeight="1">
      <c r="B676" s="234"/>
      <c r="C676" s="235"/>
      <c r="D676" s="235"/>
      <c r="E676" s="277"/>
      <c r="F676" s="277"/>
      <c r="G676" s="236"/>
      <c r="H676" s="236"/>
      <c r="I676" s="236"/>
      <c r="J676" s="236"/>
      <c r="K676" s="236"/>
      <c r="L676" s="236"/>
      <c r="M676" s="236"/>
      <c r="N676" s="236"/>
      <c r="O676" s="260"/>
      <c r="P676" s="260"/>
      <c r="Q676" s="260"/>
      <c r="R676" s="260"/>
      <c r="S676" s="260"/>
      <c r="T676" s="260"/>
      <c r="U676" s="260"/>
      <c r="V676" s="247"/>
    </row>
    <row r="677" spans="2:33" ht="17.25" hidden="1" customHeight="1">
      <c r="B677" s="234"/>
      <c r="C677" s="235"/>
      <c r="D677" s="235"/>
      <c r="E677" s="277"/>
      <c r="F677" s="277"/>
      <c r="G677" s="236"/>
      <c r="H677" s="236"/>
      <c r="I677" s="236"/>
      <c r="J677" s="236"/>
      <c r="K677" s="236"/>
      <c r="L677" s="236"/>
      <c r="M677" s="236"/>
      <c r="N677" s="236"/>
      <c r="O677" s="260"/>
      <c r="P677" s="260"/>
      <c r="Q677" s="260"/>
      <c r="R677" s="260"/>
      <c r="S677" s="260"/>
      <c r="T677" s="260"/>
      <c r="U677" s="260"/>
      <c r="V677" s="247"/>
    </row>
    <row r="678" spans="2:33" ht="17.25" hidden="1" customHeight="1">
      <c r="B678" s="375"/>
      <c r="C678" s="364"/>
      <c r="D678" s="364"/>
      <c r="E678" s="450"/>
      <c r="F678" s="450"/>
      <c r="G678" s="376"/>
      <c r="H678" s="376"/>
      <c r="I678" s="376"/>
      <c r="J678" s="376"/>
      <c r="K678" s="376"/>
      <c r="L678" s="376"/>
      <c r="M678" s="376"/>
      <c r="N678" s="376"/>
      <c r="O678" s="377"/>
      <c r="P678" s="377"/>
      <c r="Q678" s="377"/>
      <c r="R678" s="377"/>
      <c r="S678" s="377"/>
      <c r="T678" s="377"/>
      <c r="U678" s="377"/>
      <c r="V678" s="378"/>
    </row>
    <row r="679" spans="2:33" ht="17.25" hidden="1" customHeight="1" thickBot="1">
      <c r="B679" s="375"/>
      <c r="C679" s="364"/>
      <c r="D679" s="364"/>
      <c r="E679" s="450"/>
      <c r="F679" s="450"/>
      <c r="G679" s="376"/>
      <c r="H679" s="376"/>
      <c r="I679" s="376"/>
      <c r="J679" s="376"/>
      <c r="K679" s="376"/>
      <c r="L679" s="376"/>
      <c r="M679" s="376"/>
      <c r="N679" s="376"/>
      <c r="O679" s="377"/>
      <c r="P679" s="377"/>
      <c r="Q679" s="377"/>
      <c r="R679" s="377"/>
      <c r="S679" s="377"/>
      <c r="T679" s="377"/>
      <c r="U679" s="377"/>
      <c r="V679" s="378"/>
    </row>
    <row r="680" spans="2:33" ht="17.25" hidden="1" customHeight="1" thickTop="1" thickBot="1">
      <c r="B680" s="261" t="s">
        <v>3</v>
      </c>
      <c r="C680" s="262">
        <f t="shared" ref="C680:P680" si="86">SUM(C673:C679)</f>
        <v>0</v>
      </c>
      <c r="D680" s="262"/>
      <c r="E680" s="262">
        <f t="shared" si="86"/>
        <v>0</v>
      </c>
      <c r="F680" s="262">
        <f t="shared" si="86"/>
        <v>0</v>
      </c>
      <c r="G680" s="263">
        <f t="shared" si="86"/>
        <v>0</v>
      </c>
      <c r="H680" s="263">
        <f t="shared" si="86"/>
        <v>0</v>
      </c>
      <c r="I680" s="263">
        <f t="shared" si="86"/>
        <v>0</v>
      </c>
      <c r="J680" s="263">
        <f t="shared" si="86"/>
        <v>0</v>
      </c>
      <c r="K680" s="263">
        <f t="shared" si="86"/>
        <v>0</v>
      </c>
      <c r="L680" s="263">
        <f t="shared" si="86"/>
        <v>0</v>
      </c>
      <c r="M680" s="263">
        <f t="shared" si="86"/>
        <v>0</v>
      </c>
      <c r="N680" s="263">
        <f t="shared" si="86"/>
        <v>0</v>
      </c>
      <c r="O680" s="263"/>
      <c r="P680" s="263">
        <f t="shared" si="86"/>
        <v>0</v>
      </c>
      <c r="Q680" s="264"/>
      <c r="R680" s="264"/>
      <c r="S680" s="264"/>
      <c r="T680" s="264"/>
      <c r="U680" s="264"/>
      <c r="V680" s="265">
        <f>SUM(V673:V679)</f>
        <v>0</v>
      </c>
    </row>
    <row r="681" spans="2:33" ht="17.25" hidden="1" customHeight="1" thickTop="1">
      <c r="B681" s="336"/>
    </row>
    <row r="682" spans="2:33" ht="17.25" hidden="1" customHeight="1">
      <c r="B682" s="336"/>
      <c r="C682" s="566"/>
      <c r="D682" s="566"/>
      <c r="E682" s="566"/>
      <c r="F682" s="566"/>
      <c r="G682" s="337"/>
      <c r="H682" s="337"/>
      <c r="I682" s="337"/>
      <c r="J682" s="337"/>
      <c r="K682" s="337"/>
      <c r="L682" s="337"/>
      <c r="M682" s="337"/>
      <c r="N682" s="337"/>
      <c r="O682" s="337"/>
      <c r="P682" s="337"/>
      <c r="Q682" s="337"/>
      <c r="R682" s="337"/>
      <c r="S682" s="337"/>
      <c r="T682" s="337"/>
      <c r="U682" s="337"/>
      <c r="V682" s="337"/>
    </row>
    <row r="683" spans="2:33" ht="17.25" hidden="1" customHeight="1">
      <c r="B683" s="336"/>
      <c r="C683" s="566"/>
      <c r="D683" s="566"/>
      <c r="E683" s="566"/>
      <c r="F683" s="566"/>
      <c r="G683" s="337"/>
      <c r="H683" s="337"/>
      <c r="I683" s="337"/>
      <c r="J683" s="337"/>
      <c r="K683" s="337"/>
      <c r="L683" s="337"/>
      <c r="M683" s="337"/>
      <c r="N683" s="337"/>
      <c r="O683" s="337"/>
      <c r="P683" s="337"/>
      <c r="Q683" s="337"/>
      <c r="R683" s="337"/>
      <c r="S683" s="337"/>
      <c r="T683" s="337"/>
      <c r="U683" s="337"/>
      <c r="V683" s="337"/>
    </row>
    <row r="684" spans="2:33" ht="17.25" hidden="1" customHeight="1">
      <c r="B684" s="336"/>
      <c r="C684" s="566"/>
      <c r="D684" s="566"/>
      <c r="E684" s="566"/>
      <c r="F684" s="566"/>
      <c r="G684" s="337"/>
      <c r="H684" s="337"/>
      <c r="I684" s="337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</row>
    <row r="685" spans="2:33" ht="17.25" hidden="1" customHeight="1">
      <c r="B685" s="336"/>
      <c r="C685" s="566"/>
      <c r="D685" s="566"/>
      <c r="E685" s="566"/>
      <c r="F685" s="566"/>
      <c r="G685" s="337"/>
      <c r="H685" s="337"/>
      <c r="I685" s="337"/>
      <c r="J685" s="337"/>
      <c r="K685" s="337"/>
      <c r="L685" s="337"/>
      <c r="M685" s="337"/>
      <c r="N685" s="337"/>
      <c r="O685" s="337"/>
      <c r="P685" s="337"/>
      <c r="Q685" s="337"/>
      <c r="R685" s="337"/>
      <c r="S685" s="337"/>
      <c r="T685" s="337"/>
      <c r="U685" s="337"/>
      <c r="V685" s="337"/>
    </row>
    <row r="686" spans="2:33" ht="17.25" hidden="1" customHeight="1">
      <c r="B686" s="336" t="s">
        <v>80</v>
      </c>
      <c r="C686" s="566"/>
      <c r="D686" s="566"/>
      <c r="E686" s="566"/>
      <c r="F686" s="566"/>
      <c r="G686" s="337"/>
      <c r="H686" s="337"/>
      <c r="I686" s="337"/>
      <c r="J686" s="337"/>
      <c r="K686" s="337"/>
      <c r="L686" s="337"/>
      <c r="M686" s="337"/>
      <c r="N686" s="337"/>
      <c r="O686" s="337"/>
      <c r="P686" s="337"/>
      <c r="Q686" s="337"/>
      <c r="R686" s="337"/>
      <c r="S686" s="337"/>
      <c r="T686" s="337"/>
      <c r="U686" s="337"/>
      <c r="V686" s="337"/>
    </row>
    <row r="687" spans="2:33" ht="17.25" hidden="1" customHeight="1">
      <c r="B687" s="336"/>
      <c r="C687" s="566"/>
      <c r="D687" s="566"/>
      <c r="E687" s="566"/>
      <c r="F687" s="1173" t="s">
        <v>81</v>
      </c>
      <c r="G687" s="1173"/>
      <c r="H687" s="1173"/>
      <c r="I687" s="1173"/>
      <c r="J687" s="337"/>
      <c r="K687" s="337"/>
      <c r="L687" s="1173" t="s">
        <v>82</v>
      </c>
      <c r="M687" s="1173"/>
      <c r="N687" s="1173"/>
      <c r="O687" s="1173"/>
      <c r="P687" s="1173"/>
      <c r="Q687" s="1173"/>
      <c r="R687" s="1173"/>
      <c r="S687" s="1173"/>
      <c r="T687" s="1173"/>
      <c r="U687" s="1173"/>
      <c r="V687" s="1173"/>
    </row>
    <row r="688" spans="2:33" ht="17.25" hidden="1" customHeight="1">
      <c r="C688" s="566"/>
      <c r="D688" s="566"/>
      <c r="E688" s="566"/>
      <c r="F688" s="566"/>
      <c r="G688" s="337"/>
      <c r="H688" s="337"/>
      <c r="I688" s="337"/>
      <c r="J688" s="337"/>
      <c r="K688" s="337"/>
      <c r="L688" s="337"/>
      <c r="M688" s="337"/>
      <c r="N688" s="337"/>
      <c r="O688" s="337"/>
      <c r="P688" s="337"/>
      <c r="Q688" s="337"/>
      <c r="R688" s="337"/>
      <c r="S688" s="337"/>
      <c r="T688" s="337"/>
      <c r="U688" s="337"/>
      <c r="V688" s="337"/>
    </row>
    <row r="689" spans="2:33" ht="17.25" hidden="1" customHeight="1">
      <c r="B689" s="215" t="s">
        <v>0</v>
      </c>
      <c r="F689" s="727"/>
      <c r="G689" s="281"/>
      <c r="N689" s="281"/>
      <c r="O689" s="281"/>
      <c r="P689" s="281"/>
      <c r="Q689" s="281"/>
      <c r="R689" s="281"/>
      <c r="S689" s="281"/>
      <c r="T689" s="281"/>
      <c r="U689" s="281"/>
    </row>
    <row r="690" spans="2:33" ht="17.25" hidden="1" customHeight="1">
      <c r="B690" s="215" t="str">
        <f>B4</f>
        <v>DENOMINATION FOR OKTOBER 2025</v>
      </c>
      <c r="F690" s="727"/>
      <c r="G690" s="281"/>
      <c r="N690" s="281"/>
      <c r="O690" s="281"/>
      <c r="P690" s="281"/>
      <c r="Q690" s="281"/>
      <c r="R690" s="281"/>
      <c r="S690" s="281"/>
      <c r="T690" s="281"/>
      <c r="U690" s="281"/>
    </row>
    <row r="691" spans="2:33" ht="17.25" hidden="1" customHeight="1">
      <c r="B691" s="215" t="s">
        <v>49</v>
      </c>
      <c r="F691" s="727"/>
      <c r="G691" s="281"/>
      <c r="N691" s="281"/>
      <c r="O691" s="281"/>
      <c r="P691" s="281"/>
      <c r="Q691" s="281"/>
      <c r="R691" s="281"/>
      <c r="S691" s="281"/>
      <c r="T691" s="281"/>
      <c r="U691" s="281"/>
    </row>
    <row r="692" spans="2:33" ht="17.25" hidden="1" customHeight="1" thickBot="1">
      <c r="F692" s="727"/>
      <c r="G692" s="281"/>
      <c r="N692" s="281"/>
      <c r="O692" s="281"/>
      <c r="P692" s="281"/>
      <c r="Q692" s="281"/>
      <c r="R692" s="281"/>
      <c r="S692" s="281"/>
      <c r="T692" s="281"/>
      <c r="U692" s="281"/>
    </row>
    <row r="693" spans="2:33" ht="17.25" hidden="1" customHeight="1" thickTop="1">
      <c r="B693" s="570" t="s">
        <v>1</v>
      </c>
      <c r="C693" s="572" t="s">
        <v>15</v>
      </c>
      <c r="D693" s="572"/>
      <c r="E693" s="568"/>
      <c r="F693" s="568"/>
      <c r="G693" s="220"/>
      <c r="H693" s="220"/>
      <c r="I693" s="220"/>
      <c r="J693" s="220"/>
      <c r="K693" s="220"/>
      <c r="L693" s="220"/>
      <c r="M693" s="220"/>
      <c r="N693" s="220"/>
      <c r="O693" s="282"/>
      <c r="P693" s="282"/>
      <c r="Q693" s="282"/>
      <c r="R693" s="282"/>
      <c r="S693" s="282"/>
      <c r="T693" s="282"/>
      <c r="U693" s="282"/>
      <c r="V693" s="283"/>
    </row>
    <row r="694" spans="2:33" ht="17.25" hidden="1" customHeight="1" thickBot="1">
      <c r="B694" s="571"/>
      <c r="C694" s="284"/>
      <c r="D694" s="284"/>
      <c r="E694" s="569">
        <v>100000</v>
      </c>
      <c r="F694" s="569">
        <v>50000</v>
      </c>
      <c r="G694" s="223">
        <v>20000</v>
      </c>
      <c r="H694" s="223">
        <v>10000</v>
      </c>
      <c r="I694" s="223">
        <v>5000</v>
      </c>
      <c r="J694" s="223">
        <v>1000</v>
      </c>
      <c r="K694" s="223">
        <v>500</v>
      </c>
      <c r="L694" s="223">
        <v>100</v>
      </c>
      <c r="M694" s="223">
        <v>50</v>
      </c>
      <c r="N694" s="223" t="s">
        <v>2</v>
      </c>
      <c r="O694" s="285"/>
      <c r="P694" s="285"/>
      <c r="Q694" s="285"/>
      <c r="R694" s="285"/>
      <c r="S694" s="285"/>
      <c r="T694" s="285"/>
      <c r="U694" s="285"/>
      <c r="V694" s="286" t="s">
        <v>3</v>
      </c>
    </row>
    <row r="695" spans="2:33" ht="17.25" hidden="1" customHeight="1" thickTop="1">
      <c r="B695" s="287"/>
      <c r="C695" s="533"/>
      <c r="D695" s="533"/>
      <c r="E695" s="839"/>
      <c r="F695" s="839"/>
      <c r="G695" s="288"/>
      <c r="H695" s="288"/>
      <c r="I695" s="288"/>
      <c r="J695" s="288"/>
      <c r="K695" s="288"/>
      <c r="L695" s="288"/>
      <c r="M695" s="288"/>
      <c r="N695" s="288"/>
      <c r="O695" s="289"/>
      <c r="P695" s="289"/>
      <c r="Q695" s="289"/>
      <c r="R695" s="289"/>
      <c r="S695" s="289"/>
      <c r="T695" s="289"/>
      <c r="U695" s="289"/>
      <c r="V695" s="290"/>
    </row>
    <row r="696" spans="2:33" s="242" customFormat="1" ht="17.25" hidden="1" customHeight="1">
      <c r="B696" s="234"/>
      <c r="C696" s="277"/>
      <c r="D696" s="277"/>
      <c r="E696" s="277"/>
      <c r="F696" s="277"/>
      <c r="G696" s="254"/>
      <c r="H696" s="254"/>
      <c r="I696" s="236"/>
      <c r="J696" s="236"/>
      <c r="K696" s="236"/>
      <c r="L696" s="236"/>
      <c r="M696" s="236"/>
      <c r="N696" s="236"/>
      <c r="O696" s="260"/>
      <c r="P696" s="260"/>
      <c r="Q696" s="260"/>
      <c r="R696" s="260"/>
      <c r="S696" s="260"/>
      <c r="T696" s="260"/>
      <c r="U696" s="260"/>
      <c r="V696" s="247">
        <f>SUM(E696:N696)</f>
        <v>0</v>
      </c>
      <c r="W696" s="215"/>
      <c r="X696" s="215"/>
      <c r="Y696" s="215"/>
      <c r="Z696" s="215"/>
      <c r="AA696" s="215"/>
      <c r="AB696" s="215"/>
      <c r="AC696" s="215"/>
      <c r="AD696" s="339"/>
      <c r="AE696" s="339"/>
      <c r="AF696" s="216"/>
      <c r="AG696" s="796"/>
    </row>
    <row r="697" spans="2:33" ht="17.25" hidden="1" customHeight="1">
      <c r="B697" s="234"/>
      <c r="C697" s="235"/>
      <c r="D697" s="235"/>
      <c r="E697" s="277"/>
      <c r="F697" s="277"/>
      <c r="G697" s="236"/>
      <c r="H697" s="236"/>
      <c r="I697" s="236"/>
      <c r="J697" s="236"/>
      <c r="K697" s="236"/>
      <c r="L697" s="236"/>
      <c r="M697" s="236"/>
      <c r="N697" s="236"/>
      <c r="O697" s="260"/>
      <c r="P697" s="260"/>
      <c r="Q697" s="260"/>
      <c r="R697" s="260"/>
      <c r="S697" s="260"/>
      <c r="T697" s="260"/>
      <c r="U697" s="260"/>
      <c r="V697" s="247"/>
      <c r="W697" s="242"/>
      <c r="X697" s="242"/>
      <c r="Y697" s="242"/>
      <c r="Z697" s="242"/>
      <c r="AA697" s="242"/>
      <c r="AB697" s="242"/>
      <c r="AC697" s="242"/>
      <c r="AD697" s="353"/>
      <c r="AE697" s="353"/>
      <c r="AF697" s="274"/>
    </row>
    <row r="698" spans="2:33" s="242" customFormat="1" ht="17.25" hidden="1" customHeight="1">
      <c r="B698" s="234"/>
      <c r="C698" s="235"/>
      <c r="D698" s="235"/>
      <c r="E698" s="277"/>
      <c r="F698" s="277"/>
      <c r="G698" s="236"/>
      <c r="H698" s="236"/>
      <c r="I698" s="236"/>
      <c r="J698" s="236"/>
      <c r="K698" s="236"/>
      <c r="L698" s="236"/>
      <c r="M698" s="236"/>
      <c r="N698" s="236"/>
      <c r="O698" s="260"/>
      <c r="P698" s="260"/>
      <c r="Q698" s="260"/>
      <c r="R698" s="260"/>
      <c r="S698" s="260"/>
      <c r="T698" s="260"/>
      <c r="U698" s="260"/>
      <c r="V698" s="247">
        <f>SUM(E698:N698)</f>
        <v>0</v>
      </c>
      <c r="W698" s="215"/>
      <c r="X698" s="215"/>
      <c r="Y698" s="215"/>
      <c r="Z698" s="215"/>
      <c r="AA698" s="215"/>
      <c r="AB698" s="215"/>
      <c r="AC698" s="215"/>
      <c r="AD698" s="339"/>
      <c r="AE698" s="339"/>
      <c r="AF698" s="216"/>
      <c r="AG698" s="796"/>
    </row>
    <row r="699" spans="2:33" ht="17.25" hidden="1" customHeight="1">
      <c r="B699" s="234"/>
      <c r="C699" s="235"/>
      <c r="D699" s="235"/>
      <c r="E699" s="277"/>
      <c r="F699" s="277"/>
      <c r="G699" s="236"/>
      <c r="H699" s="236"/>
      <c r="I699" s="236"/>
      <c r="J699" s="236"/>
      <c r="K699" s="236"/>
      <c r="L699" s="236"/>
      <c r="M699" s="236"/>
      <c r="N699" s="236"/>
      <c r="O699" s="260"/>
      <c r="P699" s="260"/>
      <c r="Q699" s="260"/>
      <c r="R699" s="260"/>
      <c r="S699" s="260"/>
      <c r="T699" s="260"/>
      <c r="U699" s="260"/>
      <c r="V699" s="247"/>
      <c r="W699" s="242"/>
      <c r="X699" s="242"/>
      <c r="Y699" s="242"/>
      <c r="Z699" s="242"/>
      <c r="AA699" s="242"/>
      <c r="AB699" s="242"/>
      <c r="AC699" s="242"/>
      <c r="AD699" s="353"/>
      <c r="AE699" s="353"/>
      <c r="AF699" s="274"/>
    </row>
    <row r="700" spans="2:33" ht="17.25" hidden="1" customHeight="1">
      <c r="B700" s="234"/>
      <c r="C700" s="235"/>
      <c r="D700" s="235"/>
      <c r="E700" s="277"/>
      <c r="F700" s="277"/>
      <c r="G700" s="236"/>
      <c r="H700" s="236"/>
      <c r="I700" s="236"/>
      <c r="J700" s="236"/>
      <c r="K700" s="236"/>
      <c r="L700" s="236"/>
      <c r="M700" s="236"/>
      <c r="N700" s="236"/>
      <c r="O700" s="260"/>
      <c r="P700" s="260"/>
      <c r="Q700" s="260"/>
      <c r="R700" s="260"/>
      <c r="S700" s="260"/>
      <c r="T700" s="260"/>
      <c r="U700" s="260"/>
      <c r="V700" s="247"/>
    </row>
    <row r="701" spans="2:33" ht="17.25" hidden="1" customHeight="1">
      <c r="B701" s="234"/>
      <c r="C701" s="235"/>
      <c r="D701" s="235"/>
      <c r="E701" s="277"/>
      <c r="F701" s="277"/>
      <c r="G701" s="236"/>
      <c r="H701" s="236"/>
      <c r="I701" s="236"/>
      <c r="J701" s="236"/>
      <c r="K701" s="236"/>
      <c r="L701" s="236"/>
      <c r="M701" s="236"/>
      <c r="N701" s="236"/>
      <c r="O701" s="260"/>
      <c r="P701" s="260"/>
      <c r="Q701" s="260"/>
      <c r="R701" s="260"/>
      <c r="S701" s="260"/>
      <c r="T701" s="260"/>
      <c r="U701" s="260"/>
      <c r="V701" s="247"/>
    </row>
    <row r="702" spans="2:33" ht="17.25" hidden="1" customHeight="1" thickBot="1">
      <c r="B702" s="234"/>
      <c r="C702" s="235"/>
      <c r="D702" s="235"/>
      <c r="E702" s="277"/>
      <c r="F702" s="277"/>
      <c r="G702" s="236"/>
      <c r="H702" s="236"/>
      <c r="I702" s="236"/>
      <c r="J702" s="236"/>
      <c r="K702" s="236"/>
      <c r="L702" s="236"/>
      <c r="M702" s="236"/>
      <c r="N702" s="236"/>
      <c r="O702" s="260"/>
      <c r="P702" s="260"/>
      <c r="Q702" s="260"/>
      <c r="R702" s="260"/>
      <c r="S702" s="260"/>
      <c r="T702" s="260"/>
      <c r="U702" s="260"/>
      <c r="V702" s="247"/>
    </row>
    <row r="703" spans="2:33" ht="17.25" hidden="1" customHeight="1" thickTop="1" thickBot="1">
      <c r="B703" s="261" t="s">
        <v>3</v>
      </c>
      <c r="C703" s="262">
        <f t="shared" ref="C703:P703" si="87">SUM(C695:C702)</f>
        <v>0</v>
      </c>
      <c r="D703" s="262"/>
      <c r="E703" s="262">
        <f t="shared" si="87"/>
        <v>0</v>
      </c>
      <c r="F703" s="262">
        <f t="shared" si="87"/>
        <v>0</v>
      </c>
      <c r="G703" s="263">
        <f>SUM(G695:G702)</f>
        <v>0</v>
      </c>
      <c r="H703" s="263">
        <f t="shared" si="87"/>
        <v>0</v>
      </c>
      <c r="I703" s="263">
        <f t="shared" si="87"/>
        <v>0</v>
      </c>
      <c r="J703" s="263">
        <f t="shared" si="87"/>
        <v>0</v>
      </c>
      <c r="K703" s="263">
        <f t="shared" si="87"/>
        <v>0</v>
      </c>
      <c r="L703" s="263">
        <f t="shared" si="87"/>
        <v>0</v>
      </c>
      <c r="M703" s="263">
        <f t="shared" si="87"/>
        <v>0</v>
      </c>
      <c r="N703" s="263">
        <f t="shared" si="87"/>
        <v>0</v>
      </c>
      <c r="O703" s="263"/>
      <c r="P703" s="263">
        <f t="shared" si="87"/>
        <v>0</v>
      </c>
      <c r="Q703" s="264"/>
      <c r="R703" s="264"/>
      <c r="S703" s="264"/>
      <c r="T703" s="264"/>
      <c r="U703" s="264"/>
      <c r="V703" s="265">
        <f>SUM(V695:V702)</f>
        <v>0</v>
      </c>
    </row>
    <row r="704" spans="2:33" ht="17.25" hidden="1" customHeight="1" thickTop="1">
      <c r="B704" s="336"/>
    </row>
    <row r="705" spans="2:22" ht="17.25" hidden="1" customHeight="1">
      <c r="B705" s="336"/>
      <c r="C705" s="566"/>
      <c r="D705" s="566"/>
      <c r="E705" s="566"/>
      <c r="F705" s="566"/>
      <c r="G705" s="337"/>
      <c r="H705" s="337"/>
      <c r="I705" s="337"/>
      <c r="J705" s="337"/>
      <c r="K705" s="337"/>
      <c r="L705" s="337"/>
      <c r="M705" s="337"/>
      <c r="N705" s="337"/>
      <c r="O705" s="337"/>
      <c r="P705" s="337"/>
      <c r="Q705" s="337"/>
      <c r="R705" s="337"/>
      <c r="S705" s="337"/>
      <c r="T705" s="337"/>
      <c r="U705" s="337"/>
      <c r="V705" s="337"/>
    </row>
    <row r="706" spans="2:22" ht="17.25" hidden="1" customHeight="1">
      <c r="B706" s="336"/>
      <c r="C706" s="566"/>
      <c r="D706" s="566"/>
      <c r="E706" s="566"/>
      <c r="F706" s="566"/>
      <c r="G706" s="337"/>
      <c r="H706" s="337"/>
      <c r="I706" s="337"/>
      <c r="J706" s="337"/>
      <c r="K706" s="337"/>
      <c r="L706" s="337"/>
      <c r="M706" s="337"/>
      <c r="N706" s="337"/>
      <c r="O706" s="337"/>
      <c r="P706" s="337"/>
      <c r="Q706" s="337"/>
      <c r="R706" s="337"/>
      <c r="S706" s="337"/>
      <c r="T706" s="337"/>
      <c r="U706" s="337"/>
      <c r="V706" s="337"/>
    </row>
    <row r="707" spans="2:22" ht="17.25" hidden="1" customHeight="1">
      <c r="B707" s="336"/>
      <c r="C707" s="566"/>
      <c r="D707" s="566"/>
      <c r="E707" s="566"/>
      <c r="F707" s="566"/>
      <c r="G707" s="337"/>
      <c r="H707" s="337"/>
      <c r="I707" s="337"/>
      <c r="J707" s="337"/>
      <c r="K707" s="337"/>
      <c r="L707" s="337"/>
      <c r="M707" s="337"/>
      <c r="N707" s="337"/>
      <c r="O707" s="337"/>
      <c r="P707" s="337"/>
      <c r="Q707" s="337"/>
      <c r="R707" s="337"/>
      <c r="S707" s="337"/>
      <c r="T707" s="337"/>
      <c r="U707" s="337"/>
      <c r="V707" s="337"/>
    </row>
    <row r="708" spans="2:22" ht="17.25" hidden="1" customHeight="1">
      <c r="B708" s="336"/>
      <c r="C708" s="566"/>
      <c r="D708" s="566"/>
      <c r="E708" s="566"/>
      <c r="F708" s="566"/>
      <c r="G708" s="337"/>
      <c r="H708" s="337"/>
      <c r="I708" s="337"/>
      <c r="J708" s="337"/>
      <c r="K708" s="337"/>
      <c r="L708" s="337"/>
      <c r="M708" s="337"/>
      <c r="N708" s="337"/>
      <c r="O708" s="337"/>
      <c r="P708" s="337"/>
      <c r="Q708" s="337"/>
      <c r="R708" s="337"/>
      <c r="S708" s="337"/>
      <c r="T708" s="337"/>
      <c r="U708" s="337"/>
      <c r="V708" s="337"/>
    </row>
    <row r="709" spans="2:22" ht="17.25" hidden="1" customHeight="1">
      <c r="B709" s="336" t="s">
        <v>80</v>
      </c>
      <c r="C709" s="566"/>
      <c r="D709" s="566"/>
      <c r="E709" s="566"/>
      <c r="F709" s="566"/>
      <c r="G709" s="337"/>
      <c r="H709" s="337"/>
      <c r="I709" s="337"/>
      <c r="J709" s="337"/>
      <c r="K709" s="337"/>
      <c r="L709" s="337"/>
      <c r="M709" s="337"/>
      <c r="N709" s="337"/>
      <c r="O709" s="337"/>
      <c r="P709" s="337"/>
      <c r="Q709" s="337"/>
      <c r="R709" s="337"/>
      <c r="S709" s="337"/>
      <c r="T709" s="337"/>
      <c r="U709" s="337"/>
      <c r="V709" s="337"/>
    </row>
    <row r="710" spans="2:22" ht="17.25" hidden="1" customHeight="1">
      <c r="B710" s="336"/>
      <c r="C710" s="566"/>
      <c r="D710" s="566"/>
      <c r="E710" s="566"/>
      <c r="F710" s="1173" t="s">
        <v>81</v>
      </c>
      <c r="G710" s="1173"/>
      <c r="H710" s="1173"/>
      <c r="I710" s="1173"/>
      <c r="J710" s="337"/>
      <c r="K710" s="337"/>
      <c r="L710" s="1173" t="s">
        <v>82</v>
      </c>
      <c r="M710" s="1173"/>
      <c r="N710" s="1173"/>
      <c r="O710" s="1173"/>
      <c r="P710" s="1173"/>
      <c r="Q710" s="1173"/>
      <c r="R710" s="1173"/>
      <c r="S710" s="1173"/>
      <c r="T710" s="1173"/>
      <c r="U710" s="1173"/>
      <c r="V710" s="1173"/>
    </row>
    <row r="711" spans="2:22" ht="17.25" hidden="1" customHeight="1">
      <c r="B711" s="336"/>
      <c r="C711" s="566"/>
      <c r="D711" s="566"/>
      <c r="E711" s="566"/>
      <c r="F711" s="566"/>
      <c r="G711" s="337"/>
      <c r="H711" s="337"/>
      <c r="I711" s="337"/>
      <c r="J711" s="337"/>
      <c r="K711" s="337"/>
      <c r="L711" s="337"/>
      <c r="M711" s="337"/>
      <c r="N711" s="337"/>
      <c r="O711" s="337"/>
      <c r="P711" s="337"/>
      <c r="Q711" s="337"/>
      <c r="R711" s="337"/>
      <c r="S711" s="337"/>
      <c r="T711" s="337"/>
      <c r="U711" s="337"/>
      <c r="V711" s="337"/>
    </row>
    <row r="712" spans="2:22" ht="17.25" hidden="1" customHeight="1">
      <c r="B712" s="336"/>
      <c r="C712" s="566"/>
      <c r="D712" s="566"/>
      <c r="E712" s="566"/>
      <c r="F712" s="566"/>
      <c r="G712" s="337"/>
      <c r="H712" s="337"/>
      <c r="I712" s="337"/>
      <c r="J712" s="337"/>
      <c r="K712" s="337"/>
      <c r="L712" s="337"/>
      <c r="M712" s="337"/>
      <c r="N712" s="337"/>
      <c r="O712" s="337"/>
      <c r="P712" s="337"/>
      <c r="Q712" s="337"/>
      <c r="R712" s="337"/>
      <c r="S712" s="337"/>
      <c r="T712" s="337"/>
      <c r="U712" s="337"/>
      <c r="V712" s="337"/>
    </row>
    <row r="713" spans="2:22" ht="17.25" hidden="1" customHeight="1">
      <c r="B713" s="336"/>
      <c r="C713" s="566"/>
      <c r="D713" s="566"/>
      <c r="E713" s="566"/>
      <c r="F713" s="566"/>
      <c r="G713" s="337"/>
      <c r="H713" s="337"/>
      <c r="I713" s="337"/>
      <c r="J713" s="337"/>
      <c r="K713" s="337"/>
      <c r="L713" s="337"/>
      <c r="M713" s="337"/>
      <c r="N713" s="337"/>
      <c r="O713" s="337"/>
      <c r="P713" s="337"/>
      <c r="Q713" s="337"/>
      <c r="R713" s="337"/>
      <c r="S713" s="337"/>
      <c r="T713" s="337"/>
      <c r="U713" s="337"/>
      <c r="V713" s="337"/>
    </row>
    <row r="714" spans="2:22" ht="17.25" hidden="1" customHeight="1">
      <c r="C714" s="566"/>
      <c r="D714" s="566"/>
      <c r="E714" s="566"/>
      <c r="F714" s="566"/>
      <c r="G714" s="337"/>
      <c r="H714" s="337"/>
      <c r="I714" s="337"/>
      <c r="J714" s="337"/>
      <c r="K714" s="337"/>
      <c r="L714" s="337"/>
      <c r="M714" s="337"/>
      <c r="N714" s="337"/>
      <c r="O714" s="337"/>
      <c r="P714" s="337"/>
      <c r="Q714" s="337"/>
      <c r="R714" s="337"/>
      <c r="S714" s="337"/>
      <c r="T714" s="337"/>
      <c r="U714" s="337"/>
      <c r="V714" s="337"/>
    </row>
    <row r="715" spans="2:22" ht="17.25" hidden="1" customHeight="1">
      <c r="B715" s="215" t="s">
        <v>0</v>
      </c>
      <c r="F715" s="727"/>
      <c r="G715" s="281"/>
      <c r="N715" s="281"/>
      <c r="O715" s="281"/>
      <c r="P715" s="281"/>
      <c r="Q715" s="281"/>
      <c r="R715" s="281"/>
      <c r="S715" s="281"/>
      <c r="T715" s="281"/>
      <c r="U715" s="281"/>
    </row>
    <row r="716" spans="2:22" ht="17.25" hidden="1" customHeight="1">
      <c r="B716" s="215" t="str">
        <f>B4</f>
        <v>DENOMINATION FOR OKTOBER 2025</v>
      </c>
      <c r="F716" s="727"/>
      <c r="G716" s="281"/>
      <c r="N716" s="281"/>
      <c r="O716" s="281"/>
      <c r="P716" s="281"/>
      <c r="Q716" s="281"/>
      <c r="R716" s="281"/>
      <c r="S716" s="281"/>
      <c r="T716" s="281"/>
      <c r="U716" s="281"/>
    </row>
    <row r="717" spans="2:22" ht="17.25" hidden="1" customHeight="1">
      <c r="B717" s="215" t="s">
        <v>215</v>
      </c>
      <c r="F717" s="727"/>
      <c r="G717" s="281"/>
      <c r="N717" s="281"/>
      <c r="O717" s="281"/>
      <c r="P717" s="281"/>
      <c r="Q717" s="281"/>
      <c r="R717" s="281"/>
      <c r="S717" s="281"/>
      <c r="T717" s="281"/>
      <c r="U717" s="281"/>
    </row>
    <row r="718" spans="2:22" ht="27" hidden="1" customHeight="1" thickBot="1">
      <c r="F718" s="727"/>
      <c r="G718" s="281"/>
      <c r="N718" s="281"/>
      <c r="O718" s="281"/>
      <c r="P718" s="281"/>
      <c r="Q718" s="281"/>
      <c r="R718" s="281"/>
      <c r="S718" s="281"/>
      <c r="T718" s="281"/>
      <c r="U718" s="281"/>
    </row>
    <row r="719" spans="2:22" ht="27" hidden="1" customHeight="1" thickTop="1">
      <c r="B719" s="570" t="s">
        <v>1</v>
      </c>
      <c r="C719" s="1183" t="s">
        <v>15</v>
      </c>
      <c r="D719" s="572"/>
      <c r="E719" s="719"/>
      <c r="F719" s="719"/>
      <c r="G719" s="475"/>
      <c r="H719" s="475"/>
      <c r="I719" s="475"/>
      <c r="J719" s="475"/>
      <c r="K719" s="475"/>
      <c r="L719" s="475"/>
      <c r="M719" s="475"/>
      <c r="N719" s="475"/>
      <c r="O719" s="476"/>
      <c r="P719" s="476"/>
      <c r="Q719" s="476"/>
      <c r="R719" s="476"/>
      <c r="S719" s="476"/>
      <c r="T719" s="476"/>
      <c r="U719" s="476"/>
      <c r="V719" s="1171" t="s">
        <v>3</v>
      </c>
    </row>
    <row r="720" spans="2:22" ht="27" hidden="1" customHeight="1" thickBot="1">
      <c r="B720" s="571"/>
      <c r="C720" s="1184"/>
      <c r="D720" s="573"/>
      <c r="E720" s="720">
        <v>100000</v>
      </c>
      <c r="F720" s="720">
        <v>50000</v>
      </c>
      <c r="G720" s="477">
        <v>20000</v>
      </c>
      <c r="H720" s="477">
        <v>10000</v>
      </c>
      <c r="I720" s="477">
        <v>5000</v>
      </c>
      <c r="J720" s="477">
        <v>1000</v>
      </c>
      <c r="K720" s="477">
        <v>500</v>
      </c>
      <c r="L720" s="477">
        <v>100</v>
      </c>
      <c r="M720" s="477">
        <v>50</v>
      </c>
      <c r="N720" s="477" t="s">
        <v>2</v>
      </c>
      <c r="O720" s="478"/>
      <c r="P720" s="478"/>
      <c r="Q720" s="478"/>
      <c r="R720" s="478"/>
      <c r="S720" s="478"/>
      <c r="T720" s="478"/>
      <c r="U720" s="478"/>
      <c r="V720" s="1172"/>
    </row>
    <row r="721" spans="2:33" ht="27" hidden="1" customHeight="1" thickTop="1">
      <c r="B721" s="479"/>
      <c r="C721" s="480"/>
      <c r="D721" s="480"/>
      <c r="E721" s="721"/>
      <c r="F721" s="721"/>
      <c r="G721" s="481"/>
      <c r="H721" s="481"/>
      <c r="I721" s="481"/>
      <c r="J721" s="481"/>
      <c r="K721" s="481"/>
      <c r="L721" s="481"/>
      <c r="M721" s="481"/>
      <c r="N721" s="481"/>
      <c r="O721" s="482"/>
      <c r="P721" s="482"/>
      <c r="Q721" s="482"/>
      <c r="R721" s="482"/>
      <c r="S721" s="482"/>
      <c r="T721" s="482"/>
      <c r="U721" s="482"/>
      <c r="V721" s="483"/>
    </row>
    <row r="722" spans="2:33" s="242" customFormat="1" ht="27" hidden="1" customHeight="1">
      <c r="B722" s="287" t="s">
        <v>409</v>
      </c>
      <c r="C722" s="292">
        <v>13</v>
      </c>
      <c r="D722" s="292"/>
      <c r="E722" s="310"/>
      <c r="F722" s="310"/>
      <c r="G722" s="293"/>
      <c r="H722" s="293"/>
      <c r="I722" s="293"/>
      <c r="J722" s="293"/>
      <c r="K722" s="293"/>
      <c r="L722" s="293"/>
      <c r="M722" s="293"/>
      <c r="N722" s="293"/>
      <c r="O722" s="294"/>
      <c r="P722" s="294"/>
      <c r="Q722" s="294"/>
      <c r="R722" s="294"/>
      <c r="S722" s="294"/>
      <c r="T722" s="294"/>
      <c r="U722" s="294"/>
      <c r="V722" s="295">
        <v>3967839</v>
      </c>
      <c r="W722" s="215"/>
      <c r="X722" s="215"/>
      <c r="Y722" s="215"/>
      <c r="Z722" s="215"/>
      <c r="AA722" s="215"/>
      <c r="AB722" s="215"/>
      <c r="AC722" s="215"/>
      <c r="AD722" s="339"/>
      <c r="AE722" s="339"/>
      <c r="AF722" s="216"/>
      <c r="AG722" s="796"/>
    </row>
    <row r="723" spans="2:33" s="242" customFormat="1" ht="27" hidden="1" customHeight="1">
      <c r="B723" s="291"/>
      <c r="C723" s="292"/>
      <c r="D723" s="292"/>
      <c r="E723" s="310"/>
      <c r="F723" s="310"/>
      <c r="G723" s="293"/>
      <c r="H723" s="293"/>
      <c r="I723" s="293"/>
      <c r="J723" s="293"/>
      <c r="K723" s="293"/>
      <c r="L723" s="293"/>
      <c r="M723" s="293"/>
      <c r="N723" s="293"/>
      <c r="O723" s="294"/>
      <c r="P723" s="294"/>
      <c r="Q723" s="294"/>
      <c r="R723" s="294"/>
      <c r="S723" s="294"/>
      <c r="T723" s="294"/>
      <c r="U723" s="294"/>
      <c r="V723" s="295"/>
      <c r="AD723" s="353"/>
      <c r="AE723" s="353"/>
      <c r="AF723" s="274"/>
      <c r="AG723" s="796"/>
    </row>
    <row r="724" spans="2:33" s="242" customFormat="1" ht="27" hidden="1" customHeight="1">
      <c r="B724" s="291"/>
      <c r="C724" s="292"/>
      <c r="D724" s="292"/>
      <c r="E724" s="310"/>
      <c r="F724" s="310"/>
      <c r="G724" s="293"/>
      <c r="H724" s="293"/>
      <c r="I724" s="293"/>
      <c r="J724" s="293"/>
      <c r="K724" s="293"/>
      <c r="L724" s="293"/>
      <c r="M724" s="293"/>
      <c r="N724" s="293"/>
      <c r="O724" s="294"/>
      <c r="P724" s="294"/>
      <c r="Q724" s="294"/>
      <c r="R724" s="294"/>
      <c r="S724" s="294"/>
      <c r="T724" s="294"/>
      <c r="U724" s="294"/>
      <c r="V724" s="295"/>
      <c r="AD724" s="353"/>
      <c r="AE724" s="353"/>
      <c r="AF724" s="274"/>
      <c r="AG724" s="796"/>
    </row>
    <row r="725" spans="2:33" s="242" customFormat="1" ht="27" hidden="1" customHeight="1">
      <c r="B725" s="291"/>
      <c r="C725" s="292"/>
      <c r="D725" s="292"/>
      <c r="E725" s="310"/>
      <c r="F725" s="310"/>
      <c r="G725" s="293"/>
      <c r="H725" s="293"/>
      <c r="I725" s="293"/>
      <c r="J725" s="293"/>
      <c r="K725" s="293"/>
      <c r="L725" s="293"/>
      <c r="M725" s="293"/>
      <c r="N725" s="293"/>
      <c r="O725" s="294"/>
      <c r="P725" s="294"/>
      <c r="Q725" s="294"/>
      <c r="R725" s="294"/>
      <c r="S725" s="294"/>
      <c r="T725" s="294"/>
      <c r="U725" s="294"/>
      <c r="V725" s="295"/>
      <c r="AD725" s="353"/>
      <c r="AE725" s="353"/>
      <c r="AF725" s="274"/>
      <c r="AG725" s="796"/>
    </row>
    <row r="726" spans="2:33" s="242" customFormat="1" ht="27" hidden="1" customHeight="1">
      <c r="B726" s="291"/>
      <c r="C726" s="292"/>
      <c r="D726" s="292"/>
      <c r="E726" s="310"/>
      <c r="F726" s="310"/>
      <c r="G726" s="293"/>
      <c r="H726" s="293"/>
      <c r="I726" s="293"/>
      <c r="J726" s="293"/>
      <c r="K726" s="293"/>
      <c r="L726" s="293"/>
      <c r="M726" s="293"/>
      <c r="N726" s="293"/>
      <c r="O726" s="294"/>
      <c r="P726" s="294"/>
      <c r="Q726" s="294"/>
      <c r="R726" s="294"/>
      <c r="S726" s="294"/>
      <c r="T726" s="294"/>
      <c r="U726" s="294"/>
      <c r="V726" s="295"/>
      <c r="AD726" s="353"/>
      <c r="AE726" s="353"/>
      <c r="AF726" s="274"/>
      <c r="AG726" s="796"/>
    </row>
    <row r="727" spans="2:33" s="242" customFormat="1" ht="27" hidden="1" customHeight="1">
      <c r="B727" s="291"/>
      <c r="C727" s="292"/>
      <c r="D727" s="292"/>
      <c r="E727" s="310"/>
      <c r="F727" s="310"/>
      <c r="G727" s="293"/>
      <c r="H727" s="293"/>
      <c r="I727" s="293"/>
      <c r="J727" s="293"/>
      <c r="K727" s="293"/>
      <c r="L727" s="293"/>
      <c r="M727" s="293"/>
      <c r="N727" s="293"/>
      <c r="O727" s="294"/>
      <c r="P727" s="294"/>
      <c r="Q727" s="294"/>
      <c r="R727" s="294"/>
      <c r="S727" s="294"/>
      <c r="T727" s="294"/>
      <c r="U727" s="294"/>
      <c r="V727" s="295"/>
      <c r="AD727" s="353"/>
      <c r="AE727" s="353"/>
      <c r="AF727" s="274"/>
      <c r="AG727" s="796"/>
    </row>
    <row r="728" spans="2:33" ht="27" hidden="1" customHeight="1" thickBot="1">
      <c r="B728" s="291"/>
      <c r="C728" s="292"/>
      <c r="D728" s="292"/>
      <c r="E728" s="310"/>
      <c r="F728" s="310"/>
      <c r="G728" s="293"/>
      <c r="H728" s="293"/>
      <c r="I728" s="293"/>
      <c r="J728" s="293"/>
      <c r="K728" s="293"/>
      <c r="L728" s="293"/>
      <c r="M728" s="293"/>
      <c r="N728" s="293"/>
      <c r="O728" s="294"/>
      <c r="P728" s="294"/>
      <c r="Q728" s="294"/>
      <c r="R728" s="294"/>
      <c r="S728" s="294"/>
      <c r="T728" s="294"/>
      <c r="U728" s="294"/>
      <c r="V728" s="295"/>
      <c r="W728" s="242"/>
      <c r="X728" s="242"/>
      <c r="Y728" s="242"/>
      <c r="Z728" s="242"/>
      <c r="AA728" s="242"/>
      <c r="AB728" s="242"/>
      <c r="AC728" s="242"/>
      <c r="AD728" s="353"/>
      <c r="AE728" s="353"/>
      <c r="AF728" s="274"/>
    </row>
    <row r="729" spans="2:33" ht="17.25" hidden="1" customHeight="1" thickTop="1" thickBot="1">
      <c r="B729" s="319" t="s">
        <v>3</v>
      </c>
      <c r="C729" s="414">
        <f t="shared" ref="C729:V729" si="88">SUM(C721:C728)</f>
        <v>13</v>
      </c>
      <c r="D729" s="414"/>
      <c r="E729" s="414">
        <f t="shared" si="88"/>
        <v>0</v>
      </c>
      <c r="F729" s="414">
        <f t="shared" si="88"/>
        <v>0</v>
      </c>
      <c r="G729" s="320">
        <f t="shared" si="88"/>
        <v>0</v>
      </c>
      <c r="H729" s="320">
        <f t="shared" si="88"/>
        <v>0</v>
      </c>
      <c r="I729" s="320">
        <f t="shared" si="88"/>
        <v>0</v>
      </c>
      <c r="J729" s="320">
        <f t="shared" si="88"/>
        <v>0</v>
      </c>
      <c r="K729" s="320">
        <f t="shared" si="88"/>
        <v>0</v>
      </c>
      <c r="L729" s="320">
        <f t="shared" si="88"/>
        <v>0</v>
      </c>
      <c r="M729" s="320">
        <f t="shared" si="88"/>
        <v>0</v>
      </c>
      <c r="N729" s="320">
        <f t="shared" si="88"/>
        <v>0</v>
      </c>
      <c r="O729" s="320"/>
      <c r="P729" s="320">
        <f t="shared" si="88"/>
        <v>0</v>
      </c>
      <c r="Q729" s="415"/>
      <c r="R729" s="415"/>
      <c r="S729" s="415"/>
      <c r="T729" s="415"/>
      <c r="U729" s="415"/>
      <c r="V729" s="413">
        <f t="shared" si="88"/>
        <v>3967839</v>
      </c>
    </row>
    <row r="730" spans="2:33" ht="17.25" hidden="1" customHeight="1" thickTop="1">
      <c r="B730" s="216"/>
    </row>
    <row r="731" spans="2:33" ht="17.25" hidden="1" customHeight="1">
      <c r="B731" s="216"/>
      <c r="C731" s="278"/>
      <c r="D731" s="278"/>
    </row>
    <row r="732" spans="2:33" ht="17.25" hidden="1" customHeight="1">
      <c r="B732" s="216"/>
      <c r="C732" s="278"/>
      <c r="D732" s="278"/>
    </row>
    <row r="733" spans="2:33" ht="17.25" hidden="1" customHeight="1">
      <c r="B733" s="216"/>
      <c r="C733" s="278"/>
      <c r="D733" s="278"/>
    </row>
    <row r="734" spans="2:33" ht="17.25" hidden="1" customHeight="1">
      <c r="B734" s="216"/>
      <c r="C734" s="278"/>
      <c r="D734" s="278"/>
    </row>
    <row r="735" spans="2:33" ht="17.25" hidden="1" customHeight="1">
      <c r="B735" s="216"/>
      <c r="C735" s="278"/>
      <c r="D735" s="278"/>
    </row>
    <row r="736" spans="2:33" ht="17.25" hidden="1" customHeight="1">
      <c r="B736" s="216"/>
      <c r="C736" s="278"/>
      <c r="D736" s="278"/>
    </row>
    <row r="737" spans="2:22" ht="17.25" hidden="1" customHeight="1">
      <c r="B737" s="336" t="s">
        <v>204</v>
      </c>
      <c r="C737" s="566"/>
      <c r="D737" s="566"/>
      <c r="E737" s="566"/>
      <c r="F737" s="566"/>
      <c r="G737" s="337"/>
      <c r="H737" s="337"/>
      <c r="I737" s="337"/>
      <c r="J737" s="337"/>
      <c r="K737" s="337"/>
      <c r="L737" s="1173" t="s">
        <v>82</v>
      </c>
      <c r="M737" s="1173"/>
      <c r="N737" s="1173"/>
      <c r="O737" s="1173"/>
      <c r="P737" s="1173"/>
      <c r="Q737" s="1173"/>
      <c r="R737" s="1173"/>
      <c r="S737" s="1173"/>
      <c r="T737" s="1173"/>
      <c r="U737" s="1173"/>
      <c r="V737" s="1173"/>
    </row>
    <row r="738" spans="2:22" ht="17.25" hidden="1" customHeight="1">
      <c r="B738" s="336"/>
      <c r="C738" s="566"/>
      <c r="D738" s="566"/>
      <c r="E738" s="566"/>
      <c r="F738" s="1173" t="s">
        <v>81</v>
      </c>
      <c r="G738" s="1173"/>
      <c r="H738" s="1173"/>
      <c r="I738" s="1173"/>
      <c r="J738" s="337"/>
      <c r="K738" s="337"/>
      <c r="L738" s="1173"/>
      <c r="M738" s="1173"/>
      <c r="N738" s="1173"/>
      <c r="O738" s="1173"/>
      <c r="P738" s="1173"/>
      <c r="Q738" s="1173"/>
      <c r="R738" s="1173"/>
      <c r="S738" s="1173"/>
      <c r="T738" s="1173"/>
      <c r="U738" s="1173"/>
      <c r="V738" s="1173"/>
    </row>
    <row r="739" spans="2:22" ht="17.25" hidden="1" customHeight="1">
      <c r="C739" s="566"/>
      <c r="D739" s="566"/>
      <c r="E739" s="566"/>
      <c r="F739" s="566"/>
      <c r="G739" s="337"/>
      <c r="H739" s="337"/>
      <c r="I739" s="337"/>
      <c r="J739" s="337"/>
      <c r="K739" s="337"/>
      <c r="L739" s="337"/>
      <c r="M739" s="337"/>
      <c r="N739" s="337"/>
      <c r="O739" s="337"/>
      <c r="P739" s="337"/>
      <c r="Q739" s="337"/>
      <c r="R739" s="337"/>
      <c r="S739" s="337"/>
      <c r="T739" s="337"/>
      <c r="U739" s="337"/>
      <c r="V739" s="337"/>
    </row>
    <row r="740" spans="2:22" ht="17.25" hidden="1" customHeight="1">
      <c r="B740" s="215" t="s">
        <v>0</v>
      </c>
      <c r="F740" s="727"/>
      <c r="G740" s="281"/>
      <c r="N740" s="281"/>
      <c r="O740" s="281"/>
      <c r="P740" s="281"/>
      <c r="Q740" s="281"/>
      <c r="R740" s="281"/>
      <c r="S740" s="281"/>
      <c r="T740" s="281"/>
      <c r="U740" s="281"/>
    </row>
    <row r="741" spans="2:22" ht="17.25" hidden="1" customHeight="1">
      <c r="B741" s="215" t="str">
        <f>B4</f>
        <v>DENOMINATION FOR OKTOBER 2025</v>
      </c>
      <c r="F741" s="727"/>
      <c r="G741" s="281"/>
      <c r="N741" s="281"/>
      <c r="O741" s="281"/>
      <c r="P741" s="281"/>
      <c r="Q741" s="281"/>
      <c r="R741" s="281"/>
      <c r="S741" s="281"/>
      <c r="T741" s="281"/>
      <c r="U741" s="281"/>
    </row>
    <row r="742" spans="2:22" ht="17.25" hidden="1" customHeight="1">
      <c r="B742" s="215" t="s">
        <v>51</v>
      </c>
      <c r="F742" s="727"/>
      <c r="G742" s="281"/>
      <c r="N742" s="281"/>
      <c r="O742" s="281"/>
      <c r="P742" s="281"/>
      <c r="Q742" s="281"/>
      <c r="R742" s="281"/>
      <c r="S742" s="281"/>
      <c r="T742" s="281"/>
      <c r="U742" s="281"/>
    </row>
    <row r="743" spans="2:22" ht="17.25" hidden="1" customHeight="1" thickBot="1">
      <c r="F743" s="727"/>
      <c r="G743" s="281"/>
      <c r="N743" s="281"/>
      <c r="O743" s="281"/>
      <c r="P743" s="281"/>
      <c r="Q743" s="281"/>
      <c r="R743" s="281"/>
      <c r="S743" s="281"/>
      <c r="T743" s="281"/>
      <c r="U743" s="281"/>
    </row>
    <row r="744" spans="2:22" ht="17.25" hidden="1" customHeight="1" thickTop="1">
      <c r="B744" s="570" t="s">
        <v>1</v>
      </c>
      <c r="C744" s="572" t="s">
        <v>15</v>
      </c>
      <c r="D744" s="572"/>
      <c r="E744" s="568"/>
      <c r="F744" s="568"/>
      <c r="G744" s="220"/>
      <c r="H744" s="220"/>
      <c r="I744" s="220"/>
      <c r="J744" s="220"/>
      <c r="K744" s="220"/>
      <c r="L744" s="220"/>
      <c r="M744" s="220"/>
      <c r="N744" s="220"/>
      <c r="O744" s="282"/>
      <c r="P744" s="282"/>
      <c r="Q744" s="282"/>
      <c r="R744" s="282"/>
      <c r="S744" s="282"/>
      <c r="T744" s="282"/>
      <c r="U744" s="282"/>
      <c r="V744" s="283"/>
    </row>
    <row r="745" spans="2:22" ht="17.25" hidden="1" customHeight="1" thickBot="1">
      <c r="B745" s="571"/>
      <c r="C745" s="284"/>
      <c r="D745" s="284"/>
      <c r="E745" s="569">
        <v>100000</v>
      </c>
      <c r="F745" s="569">
        <v>50000</v>
      </c>
      <c r="G745" s="223">
        <v>20000</v>
      </c>
      <c r="H745" s="223">
        <v>10000</v>
      </c>
      <c r="I745" s="223">
        <v>5000</v>
      </c>
      <c r="J745" s="223">
        <v>1000</v>
      </c>
      <c r="K745" s="223">
        <v>500</v>
      </c>
      <c r="L745" s="223">
        <v>100</v>
      </c>
      <c r="M745" s="223">
        <v>50</v>
      </c>
      <c r="N745" s="223" t="s">
        <v>2</v>
      </c>
      <c r="O745" s="285"/>
      <c r="P745" s="285"/>
      <c r="Q745" s="285"/>
      <c r="R745" s="285"/>
      <c r="S745" s="285"/>
      <c r="T745" s="285"/>
      <c r="U745" s="285"/>
      <c r="V745" s="286" t="s">
        <v>3</v>
      </c>
    </row>
    <row r="746" spans="2:22" ht="17.25" hidden="1" customHeight="1" thickTop="1">
      <c r="B746" s="287"/>
      <c r="C746" s="533"/>
      <c r="D746" s="533"/>
      <c r="E746" s="839"/>
      <c r="F746" s="839"/>
      <c r="G746" s="288"/>
      <c r="H746" s="288"/>
      <c r="I746" s="288"/>
      <c r="J746" s="288"/>
      <c r="K746" s="288"/>
      <c r="L746" s="288"/>
      <c r="M746" s="288"/>
      <c r="N746" s="288"/>
      <c r="O746" s="289"/>
      <c r="P746" s="289"/>
      <c r="Q746" s="289"/>
      <c r="R746" s="289"/>
      <c r="S746" s="289"/>
      <c r="T746" s="289"/>
      <c r="U746" s="289"/>
      <c r="V746" s="290"/>
    </row>
    <row r="747" spans="2:22" ht="17.25" hidden="1" customHeight="1">
      <c r="B747" s="291"/>
      <c r="C747" s="292"/>
      <c r="D747" s="292"/>
      <c r="E747" s="310"/>
      <c r="F747" s="310"/>
      <c r="G747" s="293"/>
      <c r="H747" s="293"/>
      <c r="I747" s="293"/>
      <c r="J747" s="293"/>
      <c r="K747" s="293"/>
      <c r="L747" s="293"/>
      <c r="M747" s="293"/>
      <c r="N747" s="293"/>
      <c r="O747" s="294"/>
      <c r="P747" s="294"/>
      <c r="Q747" s="294"/>
      <c r="R747" s="294"/>
      <c r="S747" s="294"/>
      <c r="T747" s="294"/>
      <c r="U747" s="294"/>
      <c r="V747" s="295"/>
    </row>
    <row r="748" spans="2:22" ht="17.25" hidden="1" customHeight="1">
      <c r="B748" s="291"/>
      <c r="C748" s="292"/>
      <c r="D748" s="292"/>
      <c r="E748" s="310"/>
      <c r="F748" s="310"/>
      <c r="G748" s="293"/>
      <c r="H748" s="293"/>
      <c r="I748" s="293"/>
      <c r="J748" s="293"/>
      <c r="K748" s="293"/>
      <c r="L748" s="293"/>
      <c r="M748" s="293"/>
      <c r="N748" s="293"/>
      <c r="O748" s="294"/>
      <c r="P748" s="294"/>
      <c r="Q748" s="294"/>
      <c r="R748" s="294"/>
      <c r="S748" s="294"/>
      <c r="T748" s="294"/>
      <c r="U748" s="294"/>
      <c r="V748" s="295"/>
    </row>
    <row r="749" spans="2:22" ht="17.25" hidden="1" customHeight="1">
      <c r="B749" s="291"/>
      <c r="C749" s="292"/>
      <c r="D749" s="292"/>
      <c r="E749" s="310"/>
      <c r="F749" s="310"/>
      <c r="G749" s="293"/>
      <c r="H749" s="293"/>
      <c r="I749" s="293"/>
      <c r="J749" s="293"/>
      <c r="K749" s="293"/>
      <c r="L749" s="293"/>
      <c r="M749" s="293"/>
      <c r="N749" s="293"/>
      <c r="O749" s="294"/>
      <c r="P749" s="294"/>
      <c r="Q749" s="294"/>
      <c r="R749" s="294"/>
      <c r="S749" s="294"/>
      <c r="T749" s="294"/>
      <c r="U749" s="294"/>
      <c r="V749" s="295"/>
    </row>
    <row r="750" spans="2:22" ht="17.25" hidden="1" customHeight="1">
      <c r="B750" s="291"/>
      <c r="C750" s="292"/>
      <c r="D750" s="292"/>
      <c r="E750" s="310"/>
      <c r="F750" s="310"/>
      <c r="G750" s="293"/>
      <c r="H750" s="293"/>
      <c r="I750" s="293"/>
      <c r="J750" s="293"/>
      <c r="K750" s="293"/>
      <c r="L750" s="293"/>
      <c r="M750" s="293"/>
      <c r="N750" s="293"/>
      <c r="O750" s="294"/>
      <c r="P750" s="294"/>
      <c r="Q750" s="294"/>
      <c r="R750" s="294"/>
      <c r="S750" s="294"/>
      <c r="T750" s="294"/>
      <c r="U750" s="294"/>
      <c r="V750" s="295"/>
    </row>
    <row r="751" spans="2:22" ht="17.25" hidden="1" customHeight="1">
      <c r="B751" s="291"/>
      <c r="C751" s="292"/>
      <c r="D751" s="292"/>
      <c r="E751" s="310"/>
      <c r="F751" s="310"/>
      <c r="G751" s="293"/>
      <c r="H751" s="293"/>
      <c r="I751" s="293"/>
      <c r="J751" s="293"/>
      <c r="K751" s="293"/>
      <c r="L751" s="293"/>
      <c r="M751" s="293"/>
      <c r="N751" s="293"/>
      <c r="O751" s="294"/>
      <c r="P751" s="294"/>
      <c r="Q751" s="294"/>
      <c r="R751" s="294"/>
      <c r="S751" s="294"/>
      <c r="T751" s="294"/>
      <c r="U751" s="294"/>
      <c r="V751" s="295"/>
    </row>
    <row r="752" spans="2:22" ht="17.25" hidden="1" customHeight="1">
      <c r="B752" s="291"/>
      <c r="C752" s="292"/>
      <c r="D752" s="292"/>
      <c r="E752" s="310"/>
      <c r="F752" s="310"/>
      <c r="G752" s="293"/>
      <c r="H752" s="293"/>
      <c r="I752" s="293"/>
      <c r="J752" s="293"/>
      <c r="K752" s="293"/>
      <c r="L752" s="293"/>
      <c r="M752" s="293"/>
      <c r="N752" s="293"/>
      <c r="O752" s="294"/>
      <c r="P752" s="294"/>
      <c r="Q752" s="294"/>
      <c r="R752" s="294"/>
      <c r="S752" s="294"/>
      <c r="T752" s="294"/>
      <c r="U752" s="294"/>
      <c r="V752" s="295"/>
    </row>
    <row r="753" spans="2:22" ht="17.25" hidden="1" customHeight="1">
      <c r="B753" s="291"/>
      <c r="C753" s="292"/>
      <c r="D753" s="292"/>
      <c r="E753" s="310"/>
      <c r="F753" s="310"/>
      <c r="G753" s="293"/>
      <c r="H753" s="293"/>
      <c r="I753" s="293"/>
      <c r="J753" s="293"/>
      <c r="K753" s="293"/>
      <c r="L753" s="293"/>
      <c r="M753" s="293"/>
      <c r="N753" s="293"/>
      <c r="O753" s="294"/>
      <c r="P753" s="294"/>
      <c r="Q753" s="294"/>
      <c r="R753" s="294"/>
      <c r="S753" s="294"/>
      <c r="T753" s="294"/>
      <c r="U753" s="294"/>
      <c r="V753" s="295"/>
    </row>
    <row r="754" spans="2:22" ht="17.25" hidden="1" customHeight="1" thickBot="1">
      <c r="B754" s="291"/>
      <c r="C754" s="292"/>
      <c r="D754" s="292"/>
      <c r="E754" s="310"/>
      <c r="F754" s="310"/>
      <c r="G754" s="293"/>
      <c r="H754" s="293"/>
      <c r="I754" s="293"/>
      <c r="J754" s="293"/>
      <c r="K754" s="293"/>
      <c r="L754" s="293"/>
      <c r="M754" s="293"/>
      <c r="N754" s="293"/>
      <c r="O754" s="294"/>
      <c r="P754" s="294"/>
      <c r="Q754" s="294"/>
      <c r="R754" s="294"/>
      <c r="S754" s="294"/>
      <c r="T754" s="294"/>
      <c r="U754" s="294"/>
      <c r="V754" s="295"/>
    </row>
    <row r="755" spans="2:22" ht="17.25" hidden="1" customHeight="1" thickTop="1" thickBot="1">
      <c r="B755" s="319" t="s">
        <v>3</v>
      </c>
      <c r="C755" s="414">
        <f t="shared" ref="C755:V755" si="89">SUM(C746:C754)</f>
        <v>0</v>
      </c>
      <c r="D755" s="414"/>
      <c r="E755" s="414">
        <f t="shared" si="89"/>
        <v>0</v>
      </c>
      <c r="F755" s="414">
        <f t="shared" si="89"/>
        <v>0</v>
      </c>
      <c r="G755" s="320">
        <f t="shared" si="89"/>
        <v>0</v>
      </c>
      <c r="H755" s="320">
        <f t="shared" si="89"/>
        <v>0</v>
      </c>
      <c r="I755" s="320">
        <f t="shared" si="89"/>
        <v>0</v>
      </c>
      <c r="J755" s="320">
        <f t="shared" si="89"/>
        <v>0</v>
      </c>
      <c r="K755" s="320">
        <f t="shared" si="89"/>
        <v>0</v>
      </c>
      <c r="L755" s="320">
        <f t="shared" si="89"/>
        <v>0</v>
      </c>
      <c r="M755" s="320">
        <f t="shared" si="89"/>
        <v>0</v>
      </c>
      <c r="N755" s="320">
        <f t="shared" si="89"/>
        <v>0</v>
      </c>
      <c r="O755" s="320"/>
      <c r="P755" s="320">
        <f t="shared" si="89"/>
        <v>0</v>
      </c>
      <c r="Q755" s="415"/>
      <c r="R755" s="415"/>
      <c r="S755" s="415"/>
      <c r="T755" s="415"/>
      <c r="U755" s="415"/>
      <c r="V755" s="413">
        <f t="shared" si="89"/>
        <v>0</v>
      </c>
    </row>
    <row r="756" spans="2:22" ht="17.25" hidden="1" customHeight="1" thickTop="1">
      <c r="B756" s="216"/>
    </row>
    <row r="757" spans="2:22" ht="17.25" hidden="1" customHeight="1">
      <c r="B757" s="216"/>
      <c r="C757" s="278"/>
      <c r="D757" s="278"/>
    </row>
    <row r="758" spans="2:22" ht="17.25" hidden="1" customHeight="1">
      <c r="B758" s="216"/>
      <c r="C758" s="278"/>
      <c r="D758" s="278"/>
    </row>
    <row r="759" spans="2:22" ht="17.25" hidden="1" customHeight="1">
      <c r="B759" s="216"/>
      <c r="C759" s="278"/>
      <c r="D759" s="278"/>
    </row>
    <row r="760" spans="2:22" ht="17.25" hidden="1" customHeight="1">
      <c r="B760" s="216"/>
      <c r="C760" s="278"/>
      <c r="D760" s="278"/>
    </row>
    <row r="761" spans="2:22" ht="17.25" hidden="1" customHeight="1">
      <c r="B761" s="336" t="s">
        <v>80</v>
      </c>
      <c r="C761" s="278"/>
      <c r="D761" s="278"/>
    </row>
    <row r="762" spans="2:22" ht="17.25" hidden="1" customHeight="1">
      <c r="B762" s="216"/>
      <c r="C762" s="566"/>
      <c r="D762" s="566"/>
      <c r="E762" s="566"/>
      <c r="F762" s="1173" t="s">
        <v>81</v>
      </c>
      <c r="G762" s="1173"/>
      <c r="H762" s="1173"/>
      <c r="I762" s="1173"/>
      <c r="J762" s="337"/>
      <c r="K762" s="337"/>
      <c r="L762" s="1173" t="s">
        <v>82</v>
      </c>
      <c r="M762" s="1173"/>
      <c r="N762" s="1173"/>
      <c r="O762" s="1173"/>
      <c r="P762" s="1173"/>
      <c r="Q762" s="1173"/>
      <c r="R762" s="1173"/>
      <c r="S762" s="1173"/>
      <c r="T762" s="1173"/>
      <c r="U762" s="1173"/>
      <c r="V762" s="1173"/>
    </row>
    <row r="763" spans="2:22" ht="17.25" hidden="1" customHeight="1">
      <c r="B763" s="216"/>
      <c r="C763" s="278"/>
      <c r="D763" s="278"/>
    </row>
    <row r="764" spans="2:22" ht="17.25" hidden="1" customHeight="1">
      <c r="C764" s="278"/>
      <c r="D764" s="278"/>
    </row>
    <row r="765" spans="2:22" ht="17.25" hidden="1" customHeight="1">
      <c r="B765" s="215" t="s">
        <v>0</v>
      </c>
      <c r="F765" s="727"/>
      <c r="G765" s="281"/>
      <c r="N765" s="281"/>
      <c r="O765" s="281"/>
      <c r="P765" s="281"/>
      <c r="Q765" s="281"/>
      <c r="R765" s="281"/>
      <c r="S765" s="281"/>
      <c r="T765" s="281"/>
      <c r="U765" s="281"/>
    </row>
    <row r="766" spans="2:22" ht="17.25" hidden="1" customHeight="1">
      <c r="B766" s="215" t="str">
        <f>B4</f>
        <v>DENOMINATION FOR OKTOBER 2025</v>
      </c>
      <c r="F766" s="727"/>
      <c r="G766" s="281"/>
      <c r="N766" s="281"/>
      <c r="O766" s="281"/>
      <c r="P766" s="281"/>
      <c r="Q766" s="281"/>
      <c r="R766" s="281"/>
      <c r="S766" s="281"/>
      <c r="T766" s="281"/>
      <c r="U766" s="281"/>
    </row>
    <row r="767" spans="2:22" ht="17.25" hidden="1" customHeight="1">
      <c r="B767" s="215" t="s">
        <v>50</v>
      </c>
      <c r="F767" s="727"/>
      <c r="G767" s="281"/>
      <c r="N767" s="281"/>
      <c r="O767" s="281"/>
      <c r="P767" s="281"/>
      <c r="Q767" s="281"/>
      <c r="R767" s="281"/>
      <c r="S767" s="281"/>
      <c r="T767" s="281"/>
      <c r="U767" s="281"/>
    </row>
    <row r="768" spans="2:22" ht="17.25" hidden="1" customHeight="1" thickBot="1">
      <c r="F768" s="727"/>
      <c r="G768" s="281"/>
      <c r="N768" s="281"/>
      <c r="O768" s="281"/>
      <c r="P768" s="281"/>
      <c r="Q768" s="281"/>
      <c r="R768" s="281"/>
      <c r="S768" s="281"/>
      <c r="T768" s="281"/>
      <c r="U768" s="281"/>
    </row>
    <row r="769" spans="2:33" ht="17.25" hidden="1" customHeight="1" thickTop="1">
      <c r="B769" s="570" t="s">
        <v>1</v>
      </c>
      <c r="C769" s="572" t="s">
        <v>15</v>
      </c>
      <c r="D769" s="572"/>
      <c r="E769" s="568"/>
      <c r="F769" s="568"/>
      <c r="G769" s="220"/>
      <c r="H769" s="220"/>
      <c r="I769" s="220"/>
      <c r="J769" s="220"/>
      <c r="K769" s="220"/>
      <c r="L769" s="220"/>
      <c r="M769" s="220"/>
      <c r="N769" s="220"/>
      <c r="O769" s="282"/>
      <c r="P769" s="282"/>
      <c r="Q769" s="282"/>
      <c r="R769" s="282"/>
      <c r="S769" s="282"/>
      <c r="T769" s="282"/>
      <c r="U769" s="282"/>
      <c r="V769" s="283"/>
    </row>
    <row r="770" spans="2:33" ht="17.25" hidden="1" customHeight="1" thickBot="1">
      <c r="B770" s="571"/>
      <c r="C770" s="284"/>
      <c r="D770" s="284"/>
      <c r="E770" s="569">
        <v>100000</v>
      </c>
      <c r="F770" s="569">
        <v>50000</v>
      </c>
      <c r="G770" s="223">
        <v>20000</v>
      </c>
      <c r="H770" s="223">
        <v>10000</v>
      </c>
      <c r="I770" s="223">
        <v>5000</v>
      </c>
      <c r="J770" s="223">
        <v>1000</v>
      </c>
      <c r="K770" s="223">
        <v>500</v>
      </c>
      <c r="L770" s="223">
        <v>100</v>
      </c>
      <c r="M770" s="223">
        <v>50</v>
      </c>
      <c r="N770" s="223" t="s">
        <v>2</v>
      </c>
      <c r="O770" s="285"/>
      <c r="P770" s="285"/>
      <c r="Q770" s="285"/>
      <c r="R770" s="285"/>
      <c r="S770" s="285"/>
      <c r="T770" s="285"/>
      <c r="U770" s="285"/>
      <c r="V770" s="286" t="s">
        <v>3</v>
      </c>
    </row>
    <row r="771" spans="2:33" s="242" customFormat="1" ht="17.25" hidden="1" customHeight="1" thickTop="1">
      <c r="B771" s="291"/>
      <c r="C771" s="292"/>
      <c r="D771" s="292"/>
      <c r="E771" s="310"/>
      <c r="F771" s="310"/>
      <c r="G771" s="293"/>
      <c r="H771" s="293"/>
      <c r="I771" s="293"/>
      <c r="J771" s="293"/>
      <c r="K771" s="293"/>
      <c r="L771" s="293"/>
      <c r="M771" s="293"/>
      <c r="N771" s="293"/>
      <c r="O771" s="294"/>
      <c r="P771" s="294"/>
      <c r="Q771" s="294"/>
      <c r="R771" s="294"/>
      <c r="S771" s="294"/>
      <c r="T771" s="294"/>
      <c r="U771" s="294"/>
      <c r="V771" s="295"/>
      <c r="W771" s="215"/>
      <c r="X771" s="215"/>
      <c r="Y771" s="215"/>
      <c r="Z771" s="215"/>
      <c r="AA771" s="215"/>
      <c r="AB771" s="215"/>
      <c r="AC771" s="215"/>
      <c r="AD771" s="339"/>
      <c r="AE771" s="339"/>
      <c r="AF771" s="216"/>
      <c r="AG771" s="796"/>
    </row>
    <row r="772" spans="2:33" s="242" customFormat="1" ht="17.25" hidden="1" customHeight="1">
      <c r="B772" s="291"/>
      <c r="C772" s="292"/>
      <c r="D772" s="292"/>
      <c r="E772" s="310"/>
      <c r="F772" s="310"/>
      <c r="G772" s="293"/>
      <c r="H772" s="293"/>
      <c r="I772" s="293"/>
      <c r="J772" s="293"/>
      <c r="K772" s="293"/>
      <c r="L772" s="293"/>
      <c r="M772" s="293"/>
      <c r="N772" s="293"/>
      <c r="O772" s="294"/>
      <c r="P772" s="294"/>
      <c r="Q772" s="294"/>
      <c r="R772" s="294"/>
      <c r="S772" s="294"/>
      <c r="T772" s="294"/>
      <c r="U772" s="294"/>
      <c r="V772" s="295"/>
      <c r="AD772" s="353"/>
      <c r="AE772" s="353"/>
      <c r="AF772" s="274"/>
      <c r="AG772" s="796"/>
    </row>
    <row r="773" spans="2:33" s="242" customFormat="1" ht="17.25" hidden="1" customHeight="1">
      <c r="B773" s="291"/>
      <c r="C773" s="292"/>
      <c r="D773" s="292"/>
      <c r="E773" s="310"/>
      <c r="F773" s="310"/>
      <c r="G773" s="293"/>
      <c r="H773" s="293"/>
      <c r="I773" s="293"/>
      <c r="J773" s="293"/>
      <c r="K773" s="293"/>
      <c r="L773" s="293"/>
      <c r="M773" s="293"/>
      <c r="N773" s="293"/>
      <c r="O773" s="294"/>
      <c r="P773" s="294"/>
      <c r="Q773" s="294"/>
      <c r="R773" s="294"/>
      <c r="S773" s="294"/>
      <c r="T773" s="294"/>
      <c r="U773" s="294"/>
      <c r="V773" s="295"/>
      <c r="AD773" s="353"/>
      <c r="AE773" s="353"/>
      <c r="AF773" s="274"/>
      <c r="AG773" s="796"/>
    </row>
    <row r="774" spans="2:33" s="242" customFormat="1" ht="17.25" hidden="1" customHeight="1">
      <c r="B774" s="291"/>
      <c r="C774" s="292"/>
      <c r="D774" s="292"/>
      <c r="E774" s="310"/>
      <c r="F774" s="310"/>
      <c r="G774" s="293"/>
      <c r="H774" s="293"/>
      <c r="I774" s="293"/>
      <c r="J774" s="293"/>
      <c r="K774" s="293"/>
      <c r="L774" s="293"/>
      <c r="M774" s="293"/>
      <c r="N774" s="293"/>
      <c r="O774" s="294"/>
      <c r="P774" s="294"/>
      <c r="Q774" s="294"/>
      <c r="R774" s="294"/>
      <c r="S774" s="294"/>
      <c r="T774" s="294"/>
      <c r="U774" s="294"/>
      <c r="V774" s="295"/>
      <c r="AD774" s="353"/>
      <c r="AE774" s="353"/>
      <c r="AF774" s="274"/>
      <c r="AG774" s="796"/>
    </row>
    <row r="775" spans="2:33" s="242" customFormat="1" ht="17.25" hidden="1" customHeight="1">
      <c r="B775" s="291"/>
      <c r="C775" s="292"/>
      <c r="D775" s="292"/>
      <c r="E775" s="310"/>
      <c r="F775" s="310"/>
      <c r="G775" s="293"/>
      <c r="H775" s="293"/>
      <c r="I775" s="293"/>
      <c r="J775" s="293"/>
      <c r="K775" s="293"/>
      <c r="L775" s="293"/>
      <c r="M775" s="293"/>
      <c r="N775" s="293"/>
      <c r="O775" s="294"/>
      <c r="P775" s="294"/>
      <c r="Q775" s="294"/>
      <c r="R775" s="294"/>
      <c r="S775" s="294"/>
      <c r="T775" s="294"/>
      <c r="U775" s="294"/>
      <c r="V775" s="295"/>
      <c r="AD775" s="353"/>
      <c r="AE775" s="353"/>
      <c r="AF775" s="274"/>
      <c r="AG775" s="796"/>
    </row>
    <row r="776" spans="2:33" s="242" customFormat="1" ht="17.25" hidden="1" customHeight="1">
      <c r="B776" s="291"/>
      <c r="C776" s="292"/>
      <c r="D776" s="292"/>
      <c r="E776" s="310"/>
      <c r="F776" s="310"/>
      <c r="G776" s="293"/>
      <c r="H776" s="293"/>
      <c r="I776" s="293"/>
      <c r="J776" s="293"/>
      <c r="K776" s="293"/>
      <c r="L776" s="293"/>
      <c r="M776" s="293"/>
      <c r="N776" s="293"/>
      <c r="O776" s="294"/>
      <c r="P776" s="294"/>
      <c r="Q776" s="294"/>
      <c r="R776" s="294"/>
      <c r="S776" s="294"/>
      <c r="T776" s="294"/>
      <c r="U776" s="294"/>
      <c r="V776" s="295"/>
      <c r="AD776" s="353"/>
      <c r="AE776" s="353"/>
      <c r="AF776" s="274"/>
      <c r="AG776" s="796"/>
    </row>
    <row r="777" spans="2:33" s="242" customFormat="1" ht="17.25" hidden="1" customHeight="1">
      <c r="B777" s="291"/>
      <c r="C777" s="292"/>
      <c r="D777" s="292"/>
      <c r="E777" s="310"/>
      <c r="F777" s="310"/>
      <c r="G777" s="293"/>
      <c r="H777" s="293"/>
      <c r="I777" s="293"/>
      <c r="J777" s="293"/>
      <c r="K777" s="293"/>
      <c r="L777" s="293"/>
      <c r="M777" s="293"/>
      <c r="N777" s="293"/>
      <c r="O777" s="294"/>
      <c r="P777" s="294"/>
      <c r="Q777" s="294"/>
      <c r="R777" s="294"/>
      <c r="S777" s="294"/>
      <c r="T777" s="294"/>
      <c r="U777" s="294"/>
      <c r="V777" s="295"/>
      <c r="AD777" s="353"/>
      <c r="AE777" s="353"/>
      <c r="AF777" s="274"/>
      <c r="AG777" s="796"/>
    </row>
    <row r="778" spans="2:33" s="242" customFormat="1" ht="17.25" hidden="1" customHeight="1" thickBot="1">
      <c r="B778" s="291"/>
      <c r="C778" s="292"/>
      <c r="D778" s="292"/>
      <c r="E778" s="310"/>
      <c r="F778" s="310"/>
      <c r="G778" s="293"/>
      <c r="H778" s="293"/>
      <c r="I778" s="293"/>
      <c r="J778" s="293"/>
      <c r="K778" s="293"/>
      <c r="L778" s="293"/>
      <c r="M778" s="293"/>
      <c r="N778" s="293"/>
      <c r="O778" s="294"/>
      <c r="P778" s="294"/>
      <c r="Q778" s="294"/>
      <c r="R778" s="294"/>
      <c r="S778" s="294"/>
      <c r="T778" s="294"/>
      <c r="U778" s="294"/>
      <c r="V778" s="295"/>
      <c r="AD778" s="353"/>
      <c r="AE778" s="353"/>
      <c r="AF778" s="274"/>
      <c r="AG778" s="796"/>
    </row>
    <row r="779" spans="2:33" ht="17.25" hidden="1" customHeight="1" thickTop="1" thickBot="1">
      <c r="B779" s="319" t="s">
        <v>3</v>
      </c>
      <c r="C779" s="379">
        <f t="shared" ref="C779:P779" si="90">SUM(C771:C778)</f>
        <v>0</v>
      </c>
      <c r="D779" s="379"/>
      <c r="E779" s="414">
        <f t="shared" si="90"/>
        <v>0</v>
      </c>
      <c r="F779" s="414">
        <f t="shared" si="90"/>
        <v>0</v>
      </c>
      <c r="G779" s="320">
        <f t="shared" si="90"/>
        <v>0</v>
      </c>
      <c r="H779" s="320">
        <f t="shared" si="90"/>
        <v>0</v>
      </c>
      <c r="I779" s="320">
        <f t="shared" si="90"/>
        <v>0</v>
      </c>
      <c r="J779" s="320">
        <f t="shared" si="90"/>
        <v>0</v>
      </c>
      <c r="K779" s="320">
        <f t="shared" si="90"/>
        <v>0</v>
      </c>
      <c r="L779" s="320">
        <f t="shared" si="90"/>
        <v>0</v>
      </c>
      <c r="M779" s="320">
        <f t="shared" si="90"/>
        <v>0</v>
      </c>
      <c r="N779" s="320">
        <f t="shared" si="90"/>
        <v>0</v>
      </c>
      <c r="O779" s="320"/>
      <c r="P779" s="320">
        <f t="shared" si="90"/>
        <v>0</v>
      </c>
      <c r="Q779" s="415"/>
      <c r="R779" s="415"/>
      <c r="S779" s="415"/>
      <c r="T779" s="415"/>
      <c r="U779" s="415"/>
      <c r="V779" s="413">
        <f>SUM(V771:V778)</f>
        <v>0</v>
      </c>
      <c r="W779" s="242"/>
      <c r="X779" s="242"/>
      <c r="Y779" s="242"/>
      <c r="Z779" s="242"/>
      <c r="AA779" s="242"/>
      <c r="AB779" s="242"/>
      <c r="AC779" s="242"/>
      <c r="AD779" s="353"/>
      <c r="AE779" s="353"/>
      <c r="AF779" s="274"/>
    </row>
    <row r="780" spans="2:33" ht="17.25" hidden="1" customHeight="1" thickTop="1">
      <c r="B780" s="216"/>
    </row>
    <row r="781" spans="2:33" ht="17.25" hidden="1" customHeight="1">
      <c r="B781" s="216"/>
    </row>
    <row r="782" spans="2:33" ht="17.25" hidden="1" customHeight="1">
      <c r="B782" s="216"/>
    </row>
    <row r="783" spans="2:33" ht="17.25" hidden="1" customHeight="1">
      <c r="B783" s="216"/>
    </row>
    <row r="784" spans="2:33" ht="17.25" hidden="1" customHeight="1">
      <c r="B784" s="216"/>
    </row>
    <row r="785" spans="2:33" ht="17.25" hidden="1" customHeight="1">
      <c r="B785" s="336" t="s">
        <v>80</v>
      </c>
    </row>
    <row r="786" spans="2:33" ht="17.25" hidden="1" customHeight="1">
      <c r="B786" s="339"/>
      <c r="C786" s="566"/>
      <c r="D786" s="566"/>
      <c r="E786" s="566"/>
      <c r="F786" s="1173" t="s">
        <v>81</v>
      </c>
      <c r="G786" s="1173"/>
      <c r="H786" s="1173"/>
      <c r="I786" s="1173"/>
      <c r="J786" s="337"/>
      <c r="K786" s="337"/>
      <c r="L786" s="1173" t="s">
        <v>82</v>
      </c>
      <c r="M786" s="1173"/>
      <c r="N786" s="1173"/>
      <c r="O786" s="1173"/>
      <c r="P786" s="1173"/>
      <c r="Q786" s="1173"/>
      <c r="R786" s="1173"/>
      <c r="S786" s="1173"/>
      <c r="T786" s="1173"/>
      <c r="U786" s="1173"/>
      <c r="V786" s="1173"/>
    </row>
    <row r="787" spans="2:33" ht="26.25" hidden="1" customHeight="1">
      <c r="B787" s="215" t="s">
        <v>0</v>
      </c>
    </row>
    <row r="788" spans="2:33" ht="26.25" hidden="1" customHeight="1">
      <c r="B788" s="215" t="str">
        <f>B4</f>
        <v>DENOMINATION FOR OKTOBER 2025</v>
      </c>
      <c r="F788" s="727"/>
      <c r="G788" s="281"/>
      <c r="N788" s="281"/>
      <c r="O788" s="281"/>
      <c r="P788" s="281"/>
      <c r="Q788" s="281"/>
      <c r="R788" s="281"/>
      <c r="S788" s="281"/>
      <c r="T788" s="281"/>
      <c r="U788" s="281"/>
    </row>
    <row r="789" spans="2:33" ht="26.25" hidden="1" customHeight="1">
      <c r="B789" s="215" t="s">
        <v>154</v>
      </c>
      <c r="F789" s="727"/>
      <c r="G789" s="281"/>
      <c r="N789" s="281"/>
      <c r="O789" s="281"/>
      <c r="P789" s="281"/>
      <c r="Q789" s="281"/>
      <c r="R789" s="281"/>
      <c r="S789" s="281"/>
      <c r="T789" s="281"/>
      <c r="U789" s="281"/>
    </row>
    <row r="790" spans="2:33" ht="26.25" hidden="1" customHeight="1" thickBot="1">
      <c r="F790" s="727"/>
      <c r="G790" s="281"/>
      <c r="N790" s="281"/>
      <c r="O790" s="281"/>
      <c r="P790" s="281"/>
      <c r="Q790" s="281"/>
      <c r="R790" s="281"/>
      <c r="S790" s="281"/>
      <c r="T790" s="281"/>
      <c r="U790" s="281"/>
    </row>
    <row r="791" spans="2:33" ht="26.25" hidden="1" customHeight="1" thickTop="1">
      <c r="B791" s="1176" t="s">
        <v>1</v>
      </c>
      <c r="C791" s="1183" t="s">
        <v>15</v>
      </c>
      <c r="D791" s="572"/>
      <c r="E791" s="568"/>
      <c r="F791" s="568"/>
      <c r="G791" s="220"/>
      <c r="H791" s="220"/>
      <c r="I791" s="220"/>
      <c r="J791" s="220"/>
      <c r="K791" s="220"/>
      <c r="L791" s="220"/>
      <c r="M791" s="220"/>
      <c r="N791" s="220"/>
      <c r="O791" s="282"/>
      <c r="P791" s="282"/>
      <c r="Q791" s="568"/>
      <c r="R791" s="568"/>
      <c r="S791" s="568"/>
      <c r="T791" s="1174"/>
      <c r="U791" s="1174"/>
      <c r="V791" s="1171" t="s">
        <v>3</v>
      </c>
    </row>
    <row r="792" spans="2:33" ht="26.25" hidden="1" customHeight="1" thickBot="1">
      <c r="B792" s="1177"/>
      <c r="C792" s="1184"/>
      <c r="D792" s="573"/>
      <c r="E792" s="569">
        <v>100000</v>
      </c>
      <c r="F792" s="569">
        <v>50000</v>
      </c>
      <c r="G792" s="223">
        <v>20000</v>
      </c>
      <c r="H792" s="223">
        <v>10000</v>
      </c>
      <c r="I792" s="223">
        <v>5000</v>
      </c>
      <c r="J792" s="223">
        <v>1000</v>
      </c>
      <c r="K792" s="223">
        <v>500</v>
      </c>
      <c r="L792" s="223">
        <v>100</v>
      </c>
      <c r="M792" s="223">
        <v>50</v>
      </c>
      <c r="N792" s="223" t="s">
        <v>2</v>
      </c>
      <c r="O792" s="285"/>
      <c r="P792" s="285"/>
      <c r="Q792" s="569"/>
      <c r="R792" s="569"/>
      <c r="S792" s="569"/>
      <c r="T792" s="1175"/>
      <c r="U792" s="1175"/>
      <c r="V792" s="1172"/>
    </row>
    <row r="793" spans="2:33" ht="26.25" hidden="1" customHeight="1" thickTop="1">
      <c r="B793" s="287"/>
      <c r="C793" s="533"/>
      <c r="D793" s="533"/>
      <c r="E793" s="839"/>
      <c r="F793" s="839"/>
      <c r="G793" s="288"/>
      <c r="H793" s="288"/>
      <c r="I793" s="288"/>
      <c r="J793" s="288"/>
      <c r="K793" s="288"/>
      <c r="L793" s="288"/>
      <c r="M793" s="288"/>
      <c r="N793" s="288"/>
      <c r="O793" s="289"/>
      <c r="P793" s="289"/>
      <c r="Q793" s="289"/>
      <c r="R793" s="289"/>
      <c r="S793" s="289"/>
      <c r="T793" s="289"/>
      <c r="U793" s="289"/>
      <c r="V793" s="290"/>
    </row>
    <row r="794" spans="2:33" s="242" customFormat="1" ht="26.25" hidden="1" customHeight="1">
      <c r="B794" s="291"/>
      <c r="C794" s="292"/>
      <c r="D794" s="292"/>
      <c r="E794" s="310"/>
      <c r="F794" s="310"/>
      <c r="G794" s="293"/>
      <c r="H794" s="293"/>
      <c r="I794" s="293"/>
      <c r="J794" s="293"/>
      <c r="K794" s="293"/>
      <c r="L794" s="293"/>
      <c r="M794" s="293"/>
      <c r="N794" s="293"/>
      <c r="O794" s="294"/>
      <c r="P794" s="294"/>
      <c r="Q794" s="294"/>
      <c r="R794" s="294"/>
      <c r="S794" s="294"/>
      <c r="T794" s="294"/>
      <c r="U794" s="294"/>
      <c r="V794" s="295"/>
      <c r="W794" s="215"/>
      <c r="X794" s="215"/>
      <c r="Y794" s="215"/>
      <c r="Z794" s="215"/>
      <c r="AA794" s="215"/>
      <c r="AB794" s="215"/>
      <c r="AC794" s="215"/>
      <c r="AD794" s="339"/>
      <c r="AE794" s="339"/>
      <c r="AF794" s="216"/>
      <c r="AG794" s="796"/>
    </row>
    <row r="795" spans="2:33" s="242" customFormat="1" ht="26.25" hidden="1" customHeight="1">
      <c r="B795" s="291"/>
      <c r="C795" s="292"/>
      <c r="D795" s="292"/>
      <c r="E795" s="310"/>
      <c r="F795" s="310"/>
      <c r="G795" s="293"/>
      <c r="H795" s="293"/>
      <c r="I795" s="293"/>
      <c r="J795" s="293"/>
      <c r="K795" s="293"/>
      <c r="L795" s="293"/>
      <c r="M795" s="293"/>
      <c r="N795" s="293"/>
      <c r="O795" s="294"/>
      <c r="P795" s="294"/>
      <c r="Q795" s="294"/>
      <c r="R795" s="294"/>
      <c r="S795" s="294"/>
      <c r="T795" s="294"/>
      <c r="U795" s="294"/>
      <c r="V795" s="295"/>
      <c r="AD795" s="353"/>
      <c r="AE795" s="353"/>
      <c r="AF795" s="274"/>
      <c r="AG795" s="796"/>
    </row>
    <row r="796" spans="2:33" s="242" customFormat="1" ht="26.25" hidden="1" customHeight="1">
      <c r="B796" s="291"/>
      <c r="C796" s="292"/>
      <c r="D796" s="292"/>
      <c r="E796" s="310"/>
      <c r="F796" s="310"/>
      <c r="G796" s="293"/>
      <c r="H796" s="293"/>
      <c r="I796" s="293"/>
      <c r="J796" s="293"/>
      <c r="K796" s="293"/>
      <c r="L796" s="293"/>
      <c r="M796" s="293"/>
      <c r="N796" s="293"/>
      <c r="O796" s="294"/>
      <c r="P796" s="294"/>
      <c r="Q796" s="294"/>
      <c r="R796" s="294"/>
      <c r="S796" s="294"/>
      <c r="T796" s="294"/>
      <c r="U796" s="294"/>
      <c r="V796" s="295"/>
      <c r="AD796" s="353"/>
      <c r="AE796" s="353"/>
      <c r="AF796" s="274"/>
      <c r="AG796" s="796"/>
    </row>
    <row r="797" spans="2:33" ht="26.25" hidden="1" customHeight="1" thickBot="1">
      <c r="B797" s="525"/>
      <c r="C797" s="526"/>
      <c r="D797" s="526"/>
      <c r="E797" s="722"/>
      <c r="F797" s="722"/>
      <c r="G797" s="527"/>
      <c r="H797" s="527"/>
      <c r="I797" s="527"/>
      <c r="J797" s="527"/>
      <c r="K797" s="527"/>
      <c r="L797" s="527"/>
      <c r="M797" s="527"/>
      <c r="N797" s="527"/>
      <c r="O797" s="528"/>
      <c r="P797" s="528"/>
      <c r="Q797" s="528"/>
      <c r="R797" s="528"/>
      <c r="S797" s="528"/>
      <c r="T797" s="528"/>
      <c r="U797" s="528"/>
      <c r="V797" s="529"/>
      <c r="W797" s="242"/>
      <c r="X797" s="242"/>
      <c r="Y797" s="242"/>
      <c r="Z797" s="242"/>
      <c r="AA797" s="242"/>
      <c r="AB797" s="242"/>
      <c r="AC797" s="242"/>
      <c r="AD797" s="353"/>
      <c r="AE797" s="353"/>
      <c r="AF797" s="274"/>
    </row>
    <row r="798" spans="2:33" ht="26.25" hidden="1" customHeight="1" thickBot="1">
      <c r="B798" s="565" t="s">
        <v>3</v>
      </c>
      <c r="C798" s="573">
        <f t="shared" ref="C798:P798" si="91">SUM(C793:C797)</f>
        <v>0</v>
      </c>
      <c r="D798" s="573"/>
      <c r="E798" s="569">
        <f t="shared" si="91"/>
        <v>0</v>
      </c>
      <c r="F798" s="569">
        <f t="shared" si="91"/>
        <v>0</v>
      </c>
      <c r="G798" s="223">
        <f t="shared" si="91"/>
        <v>0</v>
      </c>
      <c r="H798" s="223">
        <f t="shared" si="91"/>
        <v>0</v>
      </c>
      <c r="I798" s="223">
        <f t="shared" si="91"/>
        <v>0</v>
      </c>
      <c r="J798" s="223">
        <f t="shared" si="91"/>
        <v>0</v>
      </c>
      <c r="K798" s="223">
        <f>SUM(K793:K797)</f>
        <v>0</v>
      </c>
      <c r="L798" s="223">
        <f t="shared" si="91"/>
        <v>0</v>
      </c>
      <c r="M798" s="223">
        <f t="shared" si="91"/>
        <v>0</v>
      </c>
      <c r="N798" s="223">
        <f>SUM(N793:N797)</f>
        <v>0</v>
      </c>
      <c r="O798" s="223"/>
      <c r="P798" s="223">
        <f t="shared" si="91"/>
        <v>0</v>
      </c>
      <c r="Q798" s="285"/>
      <c r="R798" s="285"/>
      <c r="S798" s="285"/>
      <c r="T798" s="285"/>
      <c r="U798" s="285"/>
      <c r="V798" s="286">
        <f>SUM(V793:V797)</f>
        <v>0</v>
      </c>
    </row>
    <row r="799" spans="2:33" ht="17.25" hidden="1" customHeight="1" thickTop="1">
      <c r="B799" s="216"/>
      <c r="C799" s="215"/>
      <c r="D799" s="215"/>
      <c r="E799" s="216"/>
      <c r="F799" s="216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</row>
    <row r="800" spans="2:33" ht="17.25" hidden="1" customHeight="1">
      <c r="B800" s="216"/>
    </row>
    <row r="801" spans="2:22" ht="17.25" hidden="1" customHeight="1">
      <c r="B801" s="216"/>
    </row>
    <row r="802" spans="2:22" ht="17.25" hidden="1" customHeight="1">
      <c r="B802" s="216"/>
    </row>
    <row r="803" spans="2:22" ht="17.25" hidden="1" customHeight="1">
      <c r="B803" s="216"/>
    </row>
    <row r="804" spans="2:22" ht="17.25" hidden="1" customHeight="1">
      <c r="B804" s="336" t="s">
        <v>204</v>
      </c>
      <c r="C804" s="566"/>
      <c r="D804" s="566"/>
      <c r="E804" s="566"/>
      <c r="F804" s="566"/>
      <c r="G804" s="337"/>
      <c r="H804" s="337"/>
      <c r="I804" s="337"/>
      <c r="J804" s="337"/>
      <c r="K804" s="337"/>
      <c r="L804" s="1173" t="s">
        <v>82</v>
      </c>
      <c r="M804" s="1173"/>
      <c r="N804" s="1173"/>
      <c r="O804" s="1173"/>
      <c r="P804" s="1173"/>
      <c r="Q804" s="1173"/>
      <c r="R804" s="1173"/>
      <c r="S804" s="1173"/>
      <c r="T804" s="1173"/>
      <c r="U804" s="1173"/>
      <c r="V804" s="1173"/>
    </row>
    <row r="805" spans="2:22" ht="17.25" hidden="1" customHeight="1">
      <c r="B805" s="339"/>
      <c r="C805" s="566"/>
      <c r="D805" s="566"/>
      <c r="E805" s="566"/>
      <c r="F805" s="1173" t="s">
        <v>81</v>
      </c>
      <c r="G805" s="1173"/>
      <c r="H805" s="1173"/>
      <c r="I805" s="1173"/>
      <c r="J805" s="337"/>
      <c r="K805" s="337"/>
      <c r="L805" s="1173"/>
      <c r="M805" s="1173"/>
      <c r="N805" s="1173"/>
      <c r="O805" s="1173"/>
      <c r="P805" s="1173"/>
      <c r="Q805" s="1173"/>
      <c r="R805" s="1173"/>
      <c r="S805" s="1173"/>
      <c r="T805" s="1173"/>
      <c r="U805" s="1173"/>
      <c r="V805" s="1173"/>
    </row>
    <row r="806" spans="2:22" ht="17.25" hidden="1" customHeight="1">
      <c r="B806" s="339"/>
      <c r="C806" s="566"/>
      <c r="D806" s="566"/>
      <c r="E806" s="566"/>
      <c r="F806" s="566"/>
      <c r="G806" s="566"/>
      <c r="H806" s="566"/>
      <c r="I806" s="566"/>
      <c r="J806" s="337"/>
      <c r="K806" s="337"/>
      <c r="L806" s="566"/>
      <c r="M806" s="566"/>
      <c r="N806" s="566"/>
      <c r="O806" s="566"/>
      <c r="P806" s="566"/>
      <c r="Q806" s="566"/>
      <c r="R806" s="566"/>
      <c r="S806" s="566"/>
      <c r="T806" s="566"/>
      <c r="U806" s="566"/>
      <c r="V806" s="566"/>
    </row>
    <row r="807" spans="2:22" ht="17.25" hidden="1" customHeight="1"/>
    <row r="808" spans="2:22" ht="26.25" hidden="1" customHeight="1">
      <c r="B808" s="215" t="s">
        <v>0</v>
      </c>
      <c r="F808" s="727"/>
      <c r="G808" s="281"/>
      <c r="N808" s="281"/>
      <c r="O808" s="281"/>
      <c r="P808" s="281"/>
      <c r="Q808" s="281"/>
      <c r="R808" s="281"/>
      <c r="S808" s="281"/>
      <c r="T808" s="281"/>
      <c r="U808" s="281"/>
    </row>
    <row r="809" spans="2:22" ht="26.25" hidden="1" customHeight="1">
      <c r="B809" s="215" t="str">
        <f>B4</f>
        <v>DENOMINATION FOR OKTOBER 2025</v>
      </c>
      <c r="F809" s="727"/>
      <c r="G809" s="281"/>
      <c r="N809" s="281"/>
      <c r="O809" s="281"/>
      <c r="P809" s="281"/>
      <c r="Q809" s="281"/>
      <c r="R809" s="281"/>
      <c r="S809" s="281"/>
      <c r="T809" s="281"/>
      <c r="U809" s="281"/>
    </row>
    <row r="810" spans="2:22" ht="26.25" hidden="1" customHeight="1">
      <c r="F810" s="727"/>
      <c r="G810" s="281"/>
      <c r="N810" s="281"/>
      <c r="O810" s="281"/>
      <c r="P810" s="281"/>
      <c r="Q810" s="281"/>
      <c r="R810" s="281"/>
      <c r="S810" s="281"/>
      <c r="T810" s="281"/>
      <c r="U810" s="281"/>
    </row>
    <row r="811" spans="2:22" ht="26.25" hidden="1" customHeight="1" thickBot="1">
      <c r="F811" s="727"/>
      <c r="G811" s="281"/>
      <c r="N811" s="281"/>
      <c r="O811" s="281"/>
      <c r="P811" s="281"/>
      <c r="Q811" s="281"/>
      <c r="R811" s="281"/>
      <c r="S811" s="281"/>
      <c r="T811" s="281"/>
      <c r="U811" s="281"/>
    </row>
    <row r="812" spans="2:22" ht="26.25" hidden="1" customHeight="1" thickTop="1">
      <c r="B812" s="570" t="s">
        <v>1</v>
      </c>
      <c r="C812" s="572" t="s">
        <v>15</v>
      </c>
      <c r="D812" s="572"/>
      <c r="E812" s="568"/>
      <c r="F812" s="568"/>
      <c r="G812" s="220"/>
      <c r="H812" s="220"/>
      <c r="I812" s="220"/>
      <c r="J812" s="220"/>
      <c r="K812" s="220"/>
      <c r="L812" s="220"/>
      <c r="M812" s="220"/>
      <c r="N812" s="220"/>
      <c r="O812" s="282"/>
      <c r="P812" s="282"/>
      <c r="Q812" s="282"/>
      <c r="R812" s="282"/>
      <c r="S812" s="282"/>
      <c r="T812" s="282"/>
      <c r="U812" s="282"/>
      <c r="V812" s="283"/>
    </row>
    <row r="813" spans="2:22" ht="26.25" hidden="1" customHeight="1" thickBot="1">
      <c r="B813" s="571"/>
      <c r="C813" s="284"/>
      <c r="D813" s="284"/>
      <c r="E813" s="569">
        <v>100000</v>
      </c>
      <c r="F813" s="569">
        <v>50000</v>
      </c>
      <c r="G813" s="223">
        <v>20000</v>
      </c>
      <c r="H813" s="223">
        <v>10000</v>
      </c>
      <c r="I813" s="223">
        <v>5000</v>
      </c>
      <c r="J813" s="223">
        <v>1000</v>
      </c>
      <c r="K813" s="223">
        <v>500</v>
      </c>
      <c r="L813" s="223">
        <v>100</v>
      </c>
      <c r="M813" s="223">
        <v>50</v>
      </c>
      <c r="N813" s="223" t="s">
        <v>2</v>
      </c>
      <c r="O813" s="285"/>
      <c r="P813" s="285"/>
      <c r="Q813" s="285"/>
      <c r="R813" s="285"/>
      <c r="S813" s="285"/>
      <c r="T813" s="285"/>
      <c r="U813" s="285"/>
      <c r="V813" s="286" t="s">
        <v>3</v>
      </c>
    </row>
    <row r="814" spans="2:22" ht="26.25" hidden="1" customHeight="1" thickTop="1">
      <c r="B814" s="287"/>
      <c r="C814" s="533"/>
      <c r="D814" s="533"/>
      <c r="E814" s="839"/>
      <c r="F814" s="839"/>
      <c r="G814" s="288"/>
      <c r="H814" s="288"/>
      <c r="I814" s="288"/>
      <c r="J814" s="288"/>
      <c r="K814" s="288"/>
      <c r="L814" s="288"/>
      <c r="M814" s="288"/>
      <c r="N814" s="288"/>
      <c r="O814" s="289"/>
      <c r="P814" s="289"/>
      <c r="Q814" s="289"/>
      <c r="R814" s="289"/>
      <c r="S814" s="289"/>
      <c r="T814" s="289"/>
      <c r="U814" s="289"/>
      <c r="V814" s="290"/>
    </row>
    <row r="815" spans="2:22" ht="26.25" hidden="1" customHeight="1">
      <c r="B815" s="291"/>
      <c r="C815" s="292"/>
      <c r="D815" s="292"/>
      <c r="E815" s="310"/>
      <c r="F815" s="310"/>
      <c r="G815" s="293"/>
      <c r="H815" s="293"/>
      <c r="I815" s="293"/>
      <c r="J815" s="293"/>
      <c r="K815" s="293"/>
      <c r="L815" s="293"/>
      <c r="M815" s="293"/>
      <c r="N815" s="293"/>
      <c r="O815" s="294"/>
      <c r="P815" s="294"/>
      <c r="Q815" s="294"/>
      <c r="R815" s="294"/>
      <c r="S815" s="294"/>
      <c r="T815" s="294"/>
      <c r="U815" s="294"/>
      <c r="V815" s="295"/>
    </row>
    <row r="816" spans="2:22" ht="26.25" hidden="1" customHeight="1">
      <c r="B816" s="291"/>
      <c r="C816" s="292"/>
      <c r="D816" s="292"/>
      <c r="E816" s="310"/>
      <c r="F816" s="310"/>
      <c r="G816" s="293"/>
      <c r="H816" s="293"/>
      <c r="I816" s="293"/>
      <c r="J816" s="293"/>
      <c r="K816" s="293"/>
      <c r="L816" s="293"/>
      <c r="M816" s="293"/>
      <c r="N816" s="293"/>
      <c r="O816" s="294"/>
      <c r="P816" s="294"/>
      <c r="Q816" s="294"/>
      <c r="R816" s="294"/>
      <c r="S816" s="294"/>
      <c r="T816" s="294"/>
      <c r="U816" s="294"/>
      <c r="V816" s="295"/>
    </row>
    <row r="817" spans="2:22" ht="26.25" hidden="1" customHeight="1">
      <c r="B817" s="291"/>
      <c r="C817" s="292"/>
      <c r="D817" s="292"/>
      <c r="E817" s="310"/>
      <c r="F817" s="310"/>
      <c r="G817" s="293"/>
      <c r="H817" s="293"/>
      <c r="I817" s="293"/>
      <c r="J817" s="293"/>
      <c r="K817" s="293"/>
      <c r="L817" s="293"/>
      <c r="M817" s="293"/>
      <c r="N817" s="293"/>
      <c r="O817" s="294"/>
      <c r="P817" s="294"/>
      <c r="Q817" s="294"/>
      <c r="R817" s="294"/>
      <c r="S817" s="294"/>
      <c r="T817" s="294"/>
      <c r="U817" s="294"/>
      <c r="V817" s="295"/>
    </row>
    <row r="818" spans="2:22" ht="26.25" hidden="1" customHeight="1">
      <c r="B818" s="291"/>
      <c r="C818" s="292"/>
      <c r="D818" s="292"/>
      <c r="E818" s="310"/>
      <c r="F818" s="310"/>
      <c r="G818" s="293"/>
      <c r="H818" s="293"/>
      <c r="I818" s="293"/>
      <c r="J818" s="293"/>
      <c r="K818" s="293"/>
      <c r="L818" s="293"/>
      <c r="M818" s="293"/>
      <c r="N818" s="293"/>
      <c r="O818" s="294"/>
      <c r="P818" s="294"/>
      <c r="Q818" s="294"/>
      <c r="R818" s="294"/>
      <c r="S818" s="294"/>
      <c r="T818" s="294"/>
      <c r="U818" s="294"/>
      <c r="V818" s="295"/>
    </row>
    <row r="819" spans="2:22" ht="26.25" hidden="1" customHeight="1">
      <c r="B819" s="291"/>
      <c r="C819" s="292"/>
      <c r="D819" s="292"/>
      <c r="E819" s="310"/>
      <c r="F819" s="310"/>
      <c r="G819" s="293"/>
      <c r="H819" s="293"/>
      <c r="I819" s="293"/>
      <c r="J819" s="293"/>
      <c r="K819" s="293"/>
      <c r="L819" s="293"/>
      <c r="M819" s="293"/>
      <c r="N819" s="293"/>
      <c r="O819" s="294"/>
      <c r="P819" s="294"/>
      <c r="Q819" s="294"/>
      <c r="R819" s="294"/>
      <c r="S819" s="294"/>
      <c r="T819" s="294"/>
      <c r="U819" s="294"/>
      <c r="V819" s="295"/>
    </row>
    <row r="820" spans="2:22" ht="26.25" hidden="1" customHeight="1" thickBot="1">
      <c r="B820" s="375"/>
      <c r="C820" s="364"/>
      <c r="D820" s="364"/>
      <c r="E820" s="450"/>
      <c r="F820" s="450"/>
      <c r="G820" s="376"/>
      <c r="H820" s="376"/>
      <c r="I820" s="376"/>
      <c r="J820" s="376"/>
      <c r="K820" s="376"/>
      <c r="L820" s="376"/>
      <c r="M820" s="376"/>
      <c r="N820" s="376"/>
      <c r="O820" s="377"/>
      <c r="P820" s="377"/>
      <c r="Q820" s="377"/>
      <c r="R820" s="377"/>
      <c r="S820" s="377"/>
      <c r="T820" s="377"/>
      <c r="U820" s="377"/>
      <c r="V820" s="378"/>
    </row>
    <row r="821" spans="2:22" ht="26.25" hidden="1" customHeight="1" thickTop="1" thickBot="1">
      <c r="B821" s="319" t="s">
        <v>3</v>
      </c>
      <c r="C821" s="379">
        <f>SUM(C814:C820)</f>
        <v>0</v>
      </c>
      <c r="D821" s="379"/>
      <c r="E821" s="414">
        <f t="shared" ref="E821:V821" si="92">SUM(E814:E820)</f>
        <v>0</v>
      </c>
      <c r="F821" s="414">
        <f t="shared" si="92"/>
        <v>0</v>
      </c>
      <c r="G821" s="320">
        <f t="shared" si="92"/>
        <v>0</v>
      </c>
      <c r="H821" s="320">
        <f t="shared" si="92"/>
        <v>0</v>
      </c>
      <c r="I821" s="320">
        <f t="shared" si="92"/>
        <v>0</v>
      </c>
      <c r="J821" s="320">
        <f t="shared" si="92"/>
        <v>0</v>
      </c>
      <c r="K821" s="320">
        <f t="shared" si="92"/>
        <v>0</v>
      </c>
      <c r="L821" s="320">
        <f t="shared" si="92"/>
        <v>0</v>
      </c>
      <c r="M821" s="320">
        <f t="shared" si="92"/>
        <v>0</v>
      </c>
      <c r="N821" s="320">
        <f t="shared" si="92"/>
        <v>0</v>
      </c>
      <c r="O821" s="320"/>
      <c r="P821" s="320">
        <f t="shared" si="92"/>
        <v>0</v>
      </c>
      <c r="Q821" s="320"/>
      <c r="R821" s="320"/>
      <c r="S821" s="320"/>
      <c r="T821" s="320"/>
      <c r="U821" s="320"/>
      <c r="V821" s="320">
        <f t="shared" si="92"/>
        <v>0</v>
      </c>
    </row>
    <row r="822" spans="2:22" ht="17.25" hidden="1" customHeight="1" thickTop="1">
      <c r="B822" s="216"/>
      <c r="C822" s="215"/>
      <c r="D822" s="215"/>
      <c r="E822" s="216"/>
      <c r="F822" s="216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</row>
    <row r="823" spans="2:22" ht="17.25" hidden="1" customHeight="1">
      <c r="B823" s="216"/>
      <c r="E823" s="723"/>
      <c r="F823" s="723"/>
      <c r="G823" s="401"/>
      <c r="H823" s="401"/>
      <c r="I823" s="401"/>
      <c r="J823" s="401"/>
      <c r="K823" s="401"/>
      <c r="L823" s="401"/>
      <c r="M823" s="401"/>
      <c r="N823" s="401"/>
      <c r="O823" s="401"/>
      <c r="P823" s="401"/>
      <c r="Q823" s="401"/>
      <c r="R823" s="401"/>
      <c r="S823" s="401"/>
      <c r="T823" s="401"/>
      <c r="U823" s="401"/>
      <c r="V823" s="401"/>
    </row>
    <row r="824" spans="2:22" ht="17.25" hidden="1" customHeight="1">
      <c r="B824" s="216"/>
      <c r="E824" s="723"/>
      <c r="F824" s="723"/>
      <c r="G824" s="401"/>
      <c r="H824" s="401"/>
      <c r="I824" s="401"/>
      <c r="J824" s="401"/>
      <c r="K824" s="401"/>
      <c r="L824" s="401"/>
      <c r="M824" s="401"/>
      <c r="N824" s="401"/>
      <c r="O824" s="401"/>
      <c r="P824" s="401"/>
      <c r="Q824" s="401"/>
      <c r="R824" s="401"/>
      <c r="S824" s="401"/>
      <c r="T824" s="401"/>
      <c r="U824" s="401"/>
      <c r="V824" s="401"/>
    </row>
    <row r="825" spans="2:22" ht="17.25" hidden="1" customHeight="1">
      <c r="B825" s="216"/>
      <c r="E825" s="723"/>
      <c r="F825" s="723"/>
      <c r="G825" s="401"/>
      <c r="H825" s="401"/>
      <c r="I825" s="401"/>
      <c r="J825" s="401"/>
      <c r="K825" s="401"/>
      <c r="L825" s="401"/>
      <c r="M825" s="401"/>
      <c r="N825" s="401"/>
      <c r="O825" s="401"/>
      <c r="P825" s="401"/>
      <c r="Q825" s="401"/>
      <c r="R825" s="401"/>
      <c r="S825" s="401"/>
      <c r="T825" s="401"/>
      <c r="U825" s="401"/>
      <c r="V825" s="401"/>
    </row>
    <row r="826" spans="2:22" ht="17.25" hidden="1" customHeight="1">
      <c r="B826" s="216"/>
      <c r="E826" s="723"/>
      <c r="F826" s="723"/>
      <c r="G826" s="401"/>
      <c r="H826" s="401"/>
      <c r="I826" s="401"/>
      <c r="J826" s="401"/>
      <c r="K826" s="401"/>
      <c r="L826" s="401"/>
      <c r="M826" s="401"/>
      <c r="N826" s="401"/>
      <c r="O826" s="401"/>
      <c r="P826" s="401"/>
      <c r="Q826" s="401"/>
      <c r="R826" s="401"/>
      <c r="S826" s="401"/>
      <c r="T826" s="401"/>
      <c r="U826" s="401"/>
      <c r="V826" s="401"/>
    </row>
    <row r="827" spans="2:22" ht="17.25" hidden="1" customHeight="1">
      <c r="B827" s="336" t="s">
        <v>80</v>
      </c>
      <c r="E827" s="723"/>
      <c r="F827" s="723"/>
      <c r="G827" s="401"/>
      <c r="H827" s="401"/>
      <c r="I827" s="401"/>
      <c r="J827" s="401"/>
      <c r="K827" s="401"/>
      <c r="L827" s="401"/>
      <c r="M827" s="401"/>
      <c r="N827" s="401"/>
      <c r="O827" s="401"/>
      <c r="P827" s="401"/>
      <c r="Q827" s="401"/>
      <c r="R827" s="401"/>
      <c r="S827" s="401"/>
      <c r="T827" s="401"/>
      <c r="U827" s="401"/>
      <c r="V827" s="401"/>
    </row>
    <row r="828" spans="2:22" ht="17.25" hidden="1" customHeight="1">
      <c r="B828" s="339"/>
      <c r="C828" s="566"/>
      <c r="D828" s="566"/>
      <c r="E828" s="566"/>
      <c r="F828" s="1173" t="s">
        <v>81</v>
      </c>
      <c r="G828" s="1173"/>
      <c r="H828" s="1173"/>
      <c r="I828" s="1173"/>
      <c r="J828" s="337"/>
      <c r="K828" s="337"/>
      <c r="L828" s="1173" t="s">
        <v>82</v>
      </c>
      <c r="M828" s="1173"/>
      <c r="N828" s="1173"/>
      <c r="O828" s="1173"/>
      <c r="P828" s="1173"/>
      <c r="Q828" s="1173"/>
      <c r="R828" s="1173"/>
      <c r="S828" s="1173"/>
      <c r="T828" s="1173"/>
      <c r="U828" s="1173"/>
      <c r="V828" s="1173"/>
    </row>
    <row r="829" spans="2:22" ht="17.25" hidden="1" customHeight="1"/>
    <row r="830" spans="2:22" ht="17.25" hidden="1" customHeight="1">
      <c r="F830" s="727"/>
      <c r="G830" s="281"/>
      <c r="N830" s="281"/>
      <c r="O830" s="281"/>
      <c r="P830" s="281"/>
      <c r="Q830" s="281"/>
      <c r="R830" s="281"/>
      <c r="S830" s="281"/>
      <c r="T830" s="281"/>
      <c r="U830" s="281"/>
    </row>
    <row r="831" spans="2:22" ht="17.25" hidden="1" customHeight="1">
      <c r="B831" s="215" t="s">
        <v>0</v>
      </c>
      <c r="F831" s="727"/>
      <c r="G831" s="281"/>
      <c r="N831" s="281"/>
      <c r="O831" s="281"/>
      <c r="P831" s="281"/>
      <c r="Q831" s="281"/>
      <c r="R831" s="281"/>
      <c r="S831" s="281"/>
      <c r="T831" s="281"/>
      <c r="U831" s="281"/>
    </row>
    <row r="832" spans="2:22" ht="17.25" hidden="1" customHeight="1">
      <c r="B832" s="215" t="str">
        <f>B809</f>
        <v>DENOMINATION FOR OKTOBER 2025</v>
      </c>
      <c r="F832" s="727"/>
      <c r="G832" s="281"/>
      <c r="N832" s="281"/>
      <c r="O832" s="281"/>
      <c r="P832" s="281"/>
      <c r="Q832" s="281"/>
      <c r="R832" s="281"/>
      <c r="S832" s="281"/>
      <c r="T832" s="281"/>
      <c r="U832" s="281"/>
    </row>
    <row r="833" spans="2:33" ht="17.25" hidden="1" customHeight="1">
      <c r="B833" s="215" t="s">
        <v>69</v>
      </c>
      <c r="F833" s="727"/>
      <c r="G833" s="281"/>
      <c r="N833" s="281"/>
      <c r="O833" s="281"/>
      <c r="P833" s="281"/>
      <c r="Q833" s="281"/>
      <c r="R833" s="281"/>
      <c r="S833" s="281"/>
      <c r="T833" s="281"/>
      <c r="U833" s="281"/>
    </row>
    <row r="834" spans="2:33" ht="17.25" hidden="1" customHeight="1" thickBot="1">
      <c r="F834" s="727"/>
      <c r="G834" s="281"/>
      <c r="N834" s="281"/>
      <c r="O834" s="281"/>
      <c r="P834" s="281"/>
      <c r="Q834" s="281"/>
      <c r="R834" s="281"/>
      <c r="S834" s="281"/>
      <c r="T834" s="281"/>
      <c r="U834" s="281"/>
    </row>
    <row r="835" spans="2:33" ht="17.25" hidden="1" customHeight="1" thickTop="1">
      <c r="B835" s="570" t="s">
        <v>1</v>
      </c>
      <c r="C835" s="572" t="s">
        <v>15</v>
      </c>
      <c r="D835" s="572"/>
      <c r="E835" s="568"/>
      <c r="F835" s="568"/>
      <c r="G835" s="220"/>
      <c r="H835" s="220"/>
      <c r="I835" s="220"/>
      <c r="J835" s="220"/>
      <c r="K835" s="220"/>
      <c r="L835" s="220"/>
      <c r="M835" s="220"/>
      <c r="N835" s="220"/>
      <c r="O835" s="282"/>
      <c r="P835" s="282"/>
      <c r="Q835" s="282"/>
      <c r="R835" s="282"/>
      <c r="S835" s="282"/>
      <c r="T835" s="282"/>
      <c r="U835" s="282"/>
      <c r="V835" s="283"/>
    </row>
    <row r="836" spans="2:33" ht="17.25" hidden="1" customHeight="1" thickBot="1">
      <c r="B836" s="571"/>
      <c r="C836" s="284"/>
      <c r="D836" s="284"/>
      <c r="E836" s="569">
        <v>100000</v>
      </c>
      <c r="F836" s="569">
        <v>50000</v>
      </c>
      <c r="G836" s="223">
        <v>20000</v>
      </c>
      <c r="H836" s="223">
        <v>10000</v>
      </c>
      <c r="I836" s="223">
        <v>5000</v>
      </c>
      <c r="J836" s="223">
        <v>1000</v>
      </c>
      <c r="K836" s="223">
        <v>500</v>
      </c>
      <c r="L836" s="223">
        <v>100</v>
      </c>
      <c r="M836" s="223">
        <v>50</v>
      </c>
      <c r="N836" s="223" t="s">
        <v>2</v>
      </c>
      <c r="O836" s="285"/>
      <c r="P836" s="285"/>
      <c r="Q836" s="285"/>
      <c r="R836" s="285"/>
      <c r="S836" s="285"/>
      <c r="T836" s="285"/>
      <c r="U836" s="285"/>
      <c r="V836" s="286" t="s">
        <v>3</v>
      </c>
    </row>
    <row r="837" spans="2:33" ht="17.25" hidden="1" customHeight="1" thickTop="1">
      <c r="B837" s="287"/>
      <c r="C837" s="533"/>
      <c r="D837" s="533"/>
      <c r="E837" s="839"/>
      <c r="F837" s="839"/>
      <c r="G837" s="288"/>
      <c r="H837" s="288"/>
      <c r="I837" s="288"/>
      <c r="J837" s="288"/>
      <c r="K837" s="288"/>
      <c r="L837" s="288"/>
      <c r="M837" s="288"/>
      <c r="N837" s="288"/>
      <c r="O837" s="289"/>
      <c r="P837" s="289"/>
      <c r="Q837" s="289"/>
      <c r="R837" s="289"/>
      <c r="S837" s="289"/>
      <c r="T837" s="289"/>
      <c r="U837" s="289"/>
      <c r="V837" s="290"/>
    </row>
    <row r="838" spans="2:33" s="242" customFormat="1" ht="17.25" hidden="1" customHeight="1">
      <c r="B838" s="291"/>
      <c r="C838" s="292"/>
      <c r="D838" s="292"/>
      <c r="E838" s="310"/>
      <c r="F838" s="310"/>
      <c r="G838" s="293"/>
      <c r="H838" s="293"/>
      <c r="I838" s="293"/>
      <c r="J838" s="293"/>
      <c r="K838" s="293"/>
      <c r="L838" s="293"/>
      <c r="M838" s="293"/>
      <c r="N838" s="293"/>
      <c r="O838" s="294"/>
      <c r="P838" s="294"/>
      <c r="Q838" s="294"/>
      <c r="R838" s="294"/>
      <c r="S838" s="294"/>
      <c r="T838" s="294"/>
      <c r="U838" s="294"/>
      <c r="V838" s="295"/>
      <c r="W838" s="215"/>
      <c r="X838" s="215"/>
      <c r="Y838" s="215"/>
      <c r="Z838" s="215"/>
      <c r="AA838" s="215"/>
      <c r="AB838" s="215"/>
      <c r="AC838" s="215"/>
      <c r="AD838" s="339"/>
      <c r="AE838" s="339"/>
      <c r="AF838" s="216"/>
      <c r="AG838" s="796"/>
    </row>
    <row r="839" spans="2:33" ht="17.25" hidden="1" customHeight="1">
      <c r="B839" s="291"/>
      <c r="C839" s="292"/>
      <c r="D839" s="292"/>
      <c r="E839" s="310"/>
      <c r="F839" s="310"/>
      <c r="G839" s="293"/>
      <c r="H839" s="293"/>
      <c r="I839" s="293"/>
      <c r="J839" s="293"/>
      <c r="K839" s="293"/>
      <c r="L839" s="293"/>
      <c r="M839" s="293"/>
      <c r="N839" s="293"/>
      <c r="O839" s="294"/>
      <c r="P839" s="294"/>
      <c r="Q839" s="294"/>
      <c r="R839" s="294"/>
      <c r="S839" s="294"/>
      <c r="T839" s="294"/>
      <c r="U839" s="294"/>
      <c r="V839" s="295"/>
      <c r="W839" s="242"/>
      <c r="X839" s="242"/>
      <c r="Y839" s="242"/>
      <c r="Z839" s="242"/>
      <c r="AA839" s="242"/>
      <c r="AB839" s="242"/>
      <c r="AC839" s="242"/>
      <c r="AD839" s="353"/>
      <c r="AE839" s="353"/>
      <c r="AF839" s="274"/>
    </row>
    <row r="840" spans="2:33" ht="17.25" hidden="1" customHeight="1">
      <c r="B840" s="291"/>
      <c r="C840" s="292"/>
      <c r="D840" s="292"/>
      <c r="E840" s="310"/>
      <c r="F840" s="310"/>
      <c r="G840" s="293"/>
      <c r="H840" s="293"/>
      <c r="I840" s="293"/>
      <c r="J840" s="293"/>
      <c r="K840" s="293"/>
      <c r="L840" s="293"/>
      <c r="M840" s="293"/>
      <c r="N840" s="293"/>
      <c r="O840" s="294"/>
      <c r="P840" s="294"/>
      <c r="Q840" s="294"/>
      <c r="R840" s="294"/>
      <c r="S840" s="294"/>
      <c r="T840" s="294"/>
      <c r="U840" s="294"/>
      <c r="V840" s="295"/>
    </row>
    <row r="841" spans="2:33" ht="17.25" hidden="1" customHeight="1">
      <c r="B841" s="469"/>
      <c r="C841" s="470"/>
      <c r="D841" s="470"/>
      <c r="E841" s="718"/>
      <c r="F841" s="718"/>
      <c r="G841" s="471"/>
      <c r="H841" s="471"/>
      <c r="I841" s="471"/>
      <c r="J841" s="471"/>
      <c r="K841" s="471"/>
      <c r="L841" s="471"/>
      <c r="M841" s="471"/>
      <c r="N841" s="471"/>
      <c r="O841" s="472"/>
      <c r="P841" s="472"/>
      <c r="Q841" s="472"/>
      <c r="R841" s="472"/>
      <c r="S841" s="472"/>
      <c r="T841" s="472"/>
      <c r="U841" s="472"/>
      <c r="V841" s="473"/>
    </row>
    <row r="842" spans="2:33" ht="17.25" hidden="1" customHeight="1" thickBot="1">
      <c r="B842" s="375"/>
      <c r="C842" s="364"/>
      <c r="D842" s="364"/>
      <c r="E842" s="450"/>
      <c r="F842" s="450"/>
      <c r="G842" s="376"/>
      <c r="H842" s="376"/>
      <c r="I842" s="376"/>
      <c r="J842" s="376"/>
      <c r="K842" s="376"/>
      <c r="L842" s="376"/>
      <c r="M842" s="376"/>
      <c r="N842" s="376"/>
      <c r="O842" s="377"/>
      <c r="P842" s="377"/>
      <c r="Q842" s="377"/>
      <c r="R842" s="377"/>
      <c r="S842" s="377"/>
      <c r="T842" s="377"/>
      <c r="U842" s="377"/>
      <c r="V842" s="378"/>
    </row>
    <row r="843" spans="2:33" ht="17.25" hidden="1" customHeight="1" thickTop="1" thickBot="1">
      <c r="B843" s="319" t="s">
        <v>3</v>
      </c>
      <c r="C843" s="379">
        <f t="shared" ref="C843:V843" si="93">SUM(C837:C842)</f>
        <v>0</v>
      </c>
      <c r="D843" s="379"/>
      <c r="E843" s="724">
        <f>SUM(E837:E842)</f>
        <v>0</v>
      </c>
      <c r="F843" s="724">
        <f t="shared" si="93"/>
        <v>0</v>
      </c>
      <c r="G843" s="484">
        <f>SUM(G837:G842)</f>
        <v>0</v>
      </c>
      <c r="H843" s="484">
        <f t="shared" si="93"/>
        <v>0</v>
      </c>
      <c r="I843" s="484">
        <f t="shared" si="93"/>
        <v>0</v>
      </c>
      <c r="J843" s="484">
        <f t="shared" si="93"/>
        <v>0</v>
      </c>
      <c r="K843" s="484">
        <f t="shared" si="93"/>
        <v>0</v>
      </c>
      <c r="L843" s="484">
        <f t="shared" si="93"/>
        <v>0</v>
      </c>
      <c r="M843" s="484">
        <f t="shared" si="93"/>
        <v>0</v>
      </c>
      <c r="N843" s="484">
        <f t="shared" si="93"/>
        <v>0</v>
      </c>
      <c r="O843" s="484"/>
      <c r="P843" s="484">
        <f t="shared" si="93"/>
        <v>0</v>
      </c>
      <c r="Q843" s="485"/>
      <c r="R843" s="485"/>
      <c r="S843" s="485"/>
      <c r="T843" s="485"/>
      <c r="U843" s="485"/>
      <c r="V843" s="486">
        <f t="shared" si="93"/>
        <v>0</v>
      </c>
    </row>
    <row r="844" spans="2:33" ht="17.25" hidden="1" customHeight="1" thickTop="1">
      <c r="B844" s="216"/>
    </row>
    <row r="845" spans="2:33" ht="17.25" hidden="1" customHeight="1">
      <c r="B845" s="216"/>
      <c r="E845" s="723"/>
      <c r="F845" s="723"/>
      <c r="G845" s="401"/>
      <c r="H845" s="401"/>
      <c r="I845" s="401"/>
      <c r="J845" s="401"/>
      <c r="K845" s="401"/>
      <c r="L845" s="401"/>
      <c r="M845" s="401"/>
      <c r="N845" s="401"/>
      <c r="O845" s="401"/>
      <c r="P845" s="401"/>
      <c r="Q845" s="401"/>
      <c r="R845" s="401"/>
      <c r="S845" s="401"/>
      <c r="T845" s="401"/>
      <c r="U845" s="401"/>
      <c r="V845" s="401"/>
    </row>
    <row r="846" spans="2:33" ht="17.25" hidden="1" customHeight="1">
      <c r="B846" s="216"/>
      <c r="E846" s="723"/>
      <c r="F846" s="723"/>
      <c r="G846" s="401"/>
      <c r="H846" s="401"/>
      <c r="I846" s="401"/>
      <c r="J846" s="401"/>
      <c r="K846" s="401"/>
      <c r="L846" s="401"/>
      <c r="M846" s="401"/>
      <c r="N846" s="401"/>
      <c r="O846" s="401"/>
      <c r="P846" s="401"/>
      <c r="Q846" s="401"/>
      <c r="R846" s="401"/>
      <c r="S846" s="401"/>
      <c r="T846" s="401"/>
      <c r="U846" s="401"/>
      <c r="V846" s="401"/>
    </row>
    <row r="847" spans="2:33" ht="17.25" hidden="1" customHeight="1">
      <c r="B847" s="216"/>
      <c r="E847" s="723"/>
      <c r="F847" s="723"/>
      <c r="G847" s="401"/>
      <c r="H847" s="401"/>
      <c r="I847" s="401"/>
      <c r="J847" s="401"/>
      <c r="K847" s="401"/>
      <c r="L847" s="401"/>
      <c r="M847" s="401"/>
      <c r="N847" s="401"/>
      <c r="O847" s="401"/>
      <c r="P847" s="401"/>
      <c r="Q847" s="401"/>
      <c r="R847" s="401"/>
      <c r="S847" s="401"/>
      <c r="T847" s="401"/>
      <c r="U847" s="401"/>
      <c r="V847" s="401"/>
    </row>
    <row r="848" spans="2:33" ht="17.25" hidden="1" customHeight="1">
      <c r="B848" s="216"/>
      <c r="E848" s="723"/>
      <c r="F848" s="723"/>
      <c r="G848" s="401"/>
      <c r="H848" s="401"/>
      <c r="I848" s="401"/>
      <c r="J848" s="401"/>
      <c r="K848" s="401"/>
      <c r="L848" s="401"/>
      <c r="M848" s="401"/>
      <c r="N848" s="401"/>
      <c r="O848" s="401"/>
      <c r="P848" s="401"/>
      <c r="Q848" s="401"/>
      <c r="R848" s="401"/>
      <c r="S848" s="401"/>
      <c r="T848" s="401"/>
      <c r="U848" s="401"/>
      <c r="V848" s="401"/>
    </row>
    <row r="849" spans="2:33" ht="17.25" hidden="1" customHeight="1">
      <c r="B849" s="336" t="s">
        <v>80</v>
      </c>
      <c r="E849" s="723"/>
      <c r="F849" s="723"/>
      <c r="G849" s="401"/>
      <c r="H849" s="401"/>
      <c r="I849" s="401"/>
      <c r="J849" s="401"/>
      <c r="K849" s="401"/>
      <c r="L849" s="401"/>
      <c r="M849" s="401"/>
      <c r="N849" s="401"/>
      <c r="O849" s="401"/>
      <c r="P849" s="401"/>
      <c r="Q849" s="401"/>
      <c r="R849" s="401"/>
      <c r="S849" s="401"/>
      <c r="T849" s="401"/>
      <c r="U849" s="401"/>
      <c r="V849" s="401"/>
    </row>
    <row r="850" spans="2:33" ht="17.25" hidden="1" customHeight="1">
      <c r="B850" s="216"/>
      <c r="C850" s="566"/>
      <c r="D850" s="566"/>
      <c r="E850" s="566"/>
      <c r="F850" s="1173" t="s">
        <v>81</v>
      </c>
      <c r="G850" s="1173"/>
      <c r="H850" s="1173"/>
      <c r="I850" s="1173"/>
      <c r="J850" s="337"/>
      <c r="K850" s="337"/>
      <c r="L850" s="1173" t="s">
        <v>82</v>
      </c>
      <c r="M850" s="1173"/>
      <c r="N850" s="1173"/>
      <c r="O850" s="1173"/>
      <c r="P850" s="1173"/>
      <c r="Q850" s="1173"/>
      <c r="R850" s="1173"/>
      <c r="S850" s="1173"/>
      <c r="T850" s="1173"/>
      <c r="U850" s="1173"/>
      <c r="V850" s="1173"/>
    </row>
    <row r="851" spans="2:33" ht="17.25" hidden="1" customHeight="1">
      <c r="B851" s="216"/>
      <c r="C851" s="566"/>
      <c r="D851" s="566"/>
      <c r="E851" s="566"/>
      <c r="F851" s="566"/>
      <c r="G851" s="566"/>
      <c r="H851" s="566"/>
      <c r="I851" s="566"/>
      <c r="J851" s="337"/>
      <c r="K851" s="337"/>
      <c r="L851" s="566"/>
      <c r="M851" s="566"/>
      <c r="N851" s="566"/>
      <c r="O851" s="566"/>
      <c r="P851" s="566"/>
      <c r="Q851" s="566"/>
      <c r="R851" s="566"/>
      <c r="S851" s="566"/>
      <c r="T851" s="566"/>
      <c r="U851" s="566"/>
      <c r="V851" s="566"/>
    </row>
    <row r="852" spans="2:33" ht="17.25" hidden="1" customHeight="1">
      <c r="B852" s="339"/>
      <c r="E852" s="723"/>
      <c r="F852" s="723"/>
      <c r="G852" s="401"/>
      <c r="H852" s="401"/>
      <c r="I852" s="401"/>
      <c r="J852" s="401"/>
      <c r="K852" s="401"/>
      <c r="L852" s="401"/>
      <c r="M852" s="401"/>
      <c r="N852" s="401"/>
      <c r="O852" s="401"/>
      <c r="P852" s="401"/>
      <c r="Q852" s="401"/>
      <c r="R852" s="401"/>
      <c r="S852" s="401"/>
      <c r="T852" s="401"/>
      <c r="U852" s="401"/>
      <c r="V852" s="401"/>
    </row>
    <row r="853" spans="2:33" ht="17.25" hidden="1" customHeight="1"/>
    <row r="854" spans="2:33" ht="17.25" hidden="1" customHeight="1"/>
    <row r="855" spans="2:33" ht="17.25" hidden="1" customHeight="1">
      <c r="B855" s="215" t="str">
        <f>B4</f>
        <v>DENOMINATION FOR OKTOBER 2025</v>
      </c>
      <c r="F855" s="727"/>
      <c r="G855" s="281"/>
      <c r="N855" s="281"/>
      <c r="O855" s="281"/>
      <c r="P855" s="281"/>
      <c r="Q855" s="281"/>
      <c r="R855" s="281"/>
      <c r="S855" s="281"/>
      <c r="T855" s="281"/>
      <c r="U855" s="281"/>
    </row>
    <row r="856" spans="2:33" ht="44.25" hidden="1" customHeight="1">
      <c r="B856" s="215" t="s">
        <v>191</v>
      </c>
      <c r="F856" s="727"/>
      <c r="G856" s="281"/>
      <c r="N856" s="281"/>
      <c r="O856" s="281"/>
      <c r="P856" s="281"/>
      <c r="Q856" s="281"/>
      <c r="R856" s="281"/>
      <c r="S856" s="281"/>
      <c r="T856" s="281"/>
      <c r="U856" s="281"/>
    </row>
    <row r="857" spans="2:33" ht="27" hidden="1" customHeight="1" thickBot="1">
      <c r="F857" s="727"/>
      <c r="G857" s="281"/>
      <c r="N857" s="281"/>
      <c r="O857" s="281"/>
      <c r="P857" s="281"/>
      <c r="Q857" s="281"/>
      <c r="R857" s="281"/>
      <c r="S857" s="281"/>
      <c r="T857" s="281"/>
      <c r="U857" s="281"/>
    </row>
    <row r="858" spans="2:33" ht="27" hidden="1" customHeight="1" thickTop="1">
      <c r="B858" s="1176" t="s">
        <v>1</v>
      </c>
      <c r="C858" s="1183" t="s">
        <v>15</v>
      </c>
      <c r="D858" s="572"/>
      <c r="E858" s="1174">
        <v>100000</v>
      </c>
      <c r="F858" s="1174">
        <v>50000</v>
      </c>
      <c r="G858" s="1174">
        <v>20000</v>
      </c>
      <c r="H858" s="1174">
        <v>10000</v>
      </c>
      <c r="I858" s="1174">
        <v>5000</v>
      </c>
      <c r="J858" s="1174">
        <v>1000</v>
      </c>
      <c r="K858" s="1174">
        <v>500</v>
      </c>
      <c r="L858" s="1174">
        <v>100</v>
      </c>
      <c r="M858" s="1174">
        <v>50</v>
      </c>
      <c r="N858" s="1174" t="s">
        <v>2</v>
      </c>
      <c r="O858" s="574"/>
      <c r="P858" s="282"/>
      <c r="Q858" s="1206"/>
      <c r="R858" s="1207"/>
      <c r="S858" s="1207"/>
      <c r="T858" s="1207"/>
      <c r="U858" s="1208"/>
      <c r="V858" s="1171" t="s">
        <v>3</v>
      </c>
    </row>
    <row r="859" spans="2:33" ht="27" hidden="1" customHeight="1" thickTop="1">
      <c r="B859" s="1177"/>
      <c r="C859" s="1184"/>
      <c r="D859" s="573"/>
      <c r="E859" s="1175"/>
      <c r="F859" s="1175"/>
      <c r="G859" s="1175"/>
      <c r="H859" s="1175"/>
      <c r="I859" s="1175"/>
      <c r="J859" s="1175"/>
      <c r="K859" s="1175"/>
      <c r="L859" s="1175"/>
      <c r="M859" s="1175"/>
      <c r="N859" s="1175"/>
      <c r="O859" s="575"/>
      <c r="P859" s="285"/>
      <c r="Q859" s="1209"/>
      <c r="R859" s="1210"/>
      <c r="S859" s="1210"/>
      <c r="T859" s="1210"/>
      <c r="U859" s="1211"/>
      <c r="V859" s="1172"/>
    </row>
    <row r="860" spans="2:33" ht="27" hidden="1" customHeight="1">
      <c r="B860" s="287"/>
      <c r="C860" s="533"/>
      <c r="D860" s="533"/>
      <c r="E860" s="839"/>
      <c r="F860" s="839"/>
      <c r="G860" s="288"/>
      <c r="H860" s="288"/>
      <c r="I860" s="288"/>
      <c r="J860" s="288"/>
      <c r="K860" s="288"/>
      <c r="L860" s="288"/>
      <c r="M860" s="288"/>
      <c r="N860" s="288"/>
      <c r="O860" s="289"/>
      <c r="P860" s="289"/>
      <c r="Q860" s="1212"/>
      <c r="R860" s="1213"/>
      <c r="S860" s="1213"/>
      <c r="T860" s="1213"/>
      <c r="U860" s="1214"/>
      <c r="V860" s="290"/>
    </row>
    <row r="861" spans="2:33" s="242" customFormat="1" ht="27" hidden="1" customHeight="1">
      <c r="B861" s="234" t="s">
        <v>38</v>
      </c>
      <c r="C861" s="235"/>
      <c r="D861" s="235"/>
      <c r="E861" s="277"/>
      <c r="F861" s="277"/>
      <c r="G861" s="236"/>
      <c r="H861" s="236"/>
      <c r="I861" s="236"/>
      <c r="J861" s="236"/>
      <c r="K861" s="236"/>
      <c r="L861" s="236"/>
      <c r="M861" s="236"/>
      <c r="N861" s="236"/>
      <c r="O861" s="260"/>
      <c r="P861" s="260"/>
      <c r="Q861" s="1203"/>
      <c r="R861" s="1204"/>
      <c r="S861" s="1204"/>
      <c r="T861" s="1204"/>
      <c r="U861" s="1205"/>
      <c r="V861" s="247"/>
      <c r="W861" s="215"/>
      <c r="X861" s="215"/>
      <c r="Y861" s="215"/>
      <c r="Z861" s="215"/>
      <c r="AA861" s="215"/>
      <c r="AB861" s="215"/>
      <c r="AC861" s="215"/>
      <c r="AD861" s="339"/>
      <c r="AE861" s="339"/>
      <c r="AF861" s="216"/>
      <c r="AG861" s="796"/>
    </row>
    <row r="862" spans="2:33" ht="27" hidden="1" customHeight="1">
      <c r="B862" s="234"/>
      <c r="C862" s="235"/>
      <c r="D862" s="235"/>
      <c r="E862" s="277"/>
      <c r="F862" s="277"/>
      <c r="G862" s="236"/>
      <c r="H862" s="236"/>
      <c r="I862" s="236"/>
      <c r="J862" s="236"/>
      <c r="K862" s="236"/>
      <c r="L862" s="236"/>
      <c r="M862" s="236"/>
      <c r="N862" s="236"/>
      <c r="O862" s="260"/>
      <c r="P862" s="260"/>
      <c r="Q862" s="1203"/>
      <c r="R862" s="1204"/>
      <c r="S862" s="1204"/>
      <c r="T862" s="1204"/>
      <c r="U862" s="1205"/>
      <c r="V862" s="247"/>
      <c r="W862" s="242"/>
      <c r="X862" s="242"/>
      <c r="Y862" s="242"/>
      <c r="Z862" s="242"/>
      <c r="AA862" s="242"/>
      <c r="AB862" s="242"/>
      <c r="AC862" s="242"/>
      <c r="AD862" s="353"/>
      <c r="AE862" s="353"/>
      <c r="AF862" s="274"/>
    </row>
    <row r="863" spans="2:33" s="242" customFormat="1" ht="27" hidden="1" customHeight="1">
      <c r="B863" s="234" t="s">
        <v>196</v>
      </c>
      <c r="C863" s="235"/>
      <c r="D863" s="235"/>
      <c r="E863" s="277"/>
      <c r="F863" s="277"/>
      <c r="G863" s="236"/>
      <c r="H863" s="236"/>
      <c r="I863" s="236"/>
      <c r="J863" s="236"/>
      <c r="K863" s="236"/>
      <c r="L863" s="236"/>
      <c r="M863" s="236"/>
      <c r="N863" s="236"/>
      <c r="O863" s="260"/>
      <c r="P863" s="260"/>
      <c r="Q863" s="1203"/>
      <c r="R863" s="1204"/>
      <c r="S863" s="1204"/>
      <c r="T863" s="1204"/>
      <c r="U863" s="1205"/>
      <c r="V863" s="247"/>
      <c r="W863" s="215"/>
      <c r="X863" s="215"/>
      <c r="Y863" s="215"/>
      <c r="Z863" s="215"/>
      <c r="AA863" s="215"/>
      <c r="AB863" s="215"/>
      <c r="AC863" s="215"/>
      <c r="AD863" s="339"/>
      <c r="AE863" s="339"/>
      <c r="AF863" s="216"/>
      <c r="AG863" s="796"/>
    </row>
    <row r="864" spans="2:33" ht="27" hidden="1" customHeight="1">
      <c r="B864" s="234"/>
      <c r="C864" s="235"/>
      <c r="D864" s="235"/>
      <c r="E864" s="277"/>
      <c r="F864" s="277"/>
      <c r="G864" s="236"/>
      <c r="H864" s="236"/>
      <c r="I864" s="236"/>
      <c r="J864" s="236"/>
      <c r="K864" s="236"/>
      <c r="L864" s="236"/>
      <c r="M864" s="236"/>
      <c r="N864" s="236"/>
      <c r="O864" s="260"/>
      <c r="P864" s="260"/>
      <c r="Q864" s="1203"/>
      <c r="R864" s="1204"/>
      <c r="S864" s="1204"/>
      <c r="T864" s="1204"/>
      <c r="U864" s="1205"/>
      <c r="V864" s="247"/>
      <c r="W864" s="242"/>
      <c r="X864" s="242"/>
      <c r="Y864" s="242"/>
      <c r="Z864" s="242"/>
      <c r="AA864" s="242"/>
      <c r="AB864" s="242"/>
      <c r="AC864" s="242"/>
      <c r="AD864" s="353"/>
      <c r="AE864" s="353"/>
      <c r="AF864" s="274"/>
    </row>
    <row r="865" spans="2:33" s="242" customFormat="1" ht="27" hidden="1" customHeight="1">
      <c r="B865" s="234" t="s">
        <v>197</v>
      </c>
      <c r="C865" s="235"/>
      <c r="D865" s="235"/>
      <c r="E865" s="277"/>
      <c r="F865" s="277"/>
      <c r="G865" s="236"/>
      <c r="H865" s="236"/>
      <c r="I865" s="236"/>
      <c r="J865" s="236"/>
      <c r="K865" s="236"/>
      <c r="L865" s="236"/>
      <c r="M865" s="236"/>
      <c r="N865" s="236"/>
      <c r="O865" s="260"/>
      <c r="P865" s="260"/>
      <c r="Q865" s="1203"/>
      <c r="R865" s="1204"/>
      <c r="S865" s="1204"/>
      <c r="T865" s="1204"/>
      <c r="U865" s="1205"/>
      <c r="V865" s="247"/>
      <c r="W865" s="215"/>
      <c r="X865" s="215"/>
      <c r="Y865" s="215"/>
      <c r="Z865" s="215"/>
      <c r="AA865" s="215"/>
      <c r="AB865" s="215"/>
      <c r="AC865" s="215"/>
      <c r="AD865" s="339"/>
      <c r="AE865" s="339"/>
      <c r="AF865" s="216"/>
      <c r="AG865" s="796"/>
    </row>
    <row r="866" spans="2:33" ht="27" hidden="1" customHeight="1">
      <c r="B866" s="234"/>
      <c r="C866" s="235"/>
      <c r="D866" s="235"/>
      <c r="E866" s="277"/>
      <c r="F866" s="277"/>
      <c r="G866" s="236"/>
      <c r="H866" s="236"/>
      <c r="I866" s="236"/>
      <c r="J866" s="236"/>
      <c r="K866" s="236"/>
      <c r="L866" s="236"/>
      <c r="M866" s="236"/>
      <c r="N866" s="236"/>
      <c r="O866" s="260"/>
      <c r="P866" s="260"/>
      <c r="Q866" s="1203"/>
      <c r="R866" s="1204"/>
      <c r="S866" s="1204"/>
      <c r="T866" s="1204"/>
      <c r="U866" s="1205"/>
      <c r="V866" s="247"/>
      <c r="W866" s="242"/>
      <c r="X866" s="242"/>
      <c r="Y866" s="242"/>
      <c r="Z866" s="242"/>
      <c r="AA866" s="242"/>
      <c r="AB866" s="242"/>
      <c r="AC866" s="242"/>
      <c r="AD866" s="353"/>
      <c r="AE866" s="353"/>
      <c r="AF866" s="274"/>
    </row>
    <row r="867" spans="2:33" s="242" customFormat="1" ht="27" hidden="1" customHeight="1">
      <c r="B867" s="234" t="s">
        <v>63</v>
      </c>
      <c r="C867" s="235"/>
      <c r="D867" s="235"/>
      <c r="E867" s="277"/>
      <c r="F867" s="277"/>
      <c r="G867" s="236"/>
      <c r="H867" s="236"/>
      <c r="I867" s="236"/>
      <c r="J867" s="380"/>
      <c r="K867" s="236"/>
      <c r="L867" s="236"/>
      <c r="M867" s="236"/>
      <c r="N867" s="236"/>
      <c r="O867" s="260"/>
      <c r="P867" s="260"/>
      <c r="Q867" s="1203"/>
      <c r="R867" s="1204"/>
      <c r="S867" s="1204"/>
      <c r="T867" s="1204"/>
      <c r="U867" s="1205"/>
      <c r="V867" s="247"/>
      <c r="W867" s="215"/>
      <c r="X867" s="215"/>
      <c r="Y867" s="215"/>
      <c r="Z867" s="215"/>
      <c r="AA867" s="215"/>
      <c r="AB867" s="215"/>
      <c r="AC867" s="215"/>
      <c r="AD867" s="339"/>
      <c r="AE867" s="339"/>
      <c r="AF867" s="216"/>
      <c r="AG867" s="796"/>
    </row>
    <row r="868" spans="2:33" ht="27" hidden="1" customHeight="1">
      <c r="B868" s="234"/>
      <c r="C868" s="235"/>
      <c r="D868" s="235"/>
      <c r="E868" s="277"/>
      <c r="F868" s="277"/>
      <c r="G868" s="236"/>
      <c r="H868" s="236"/>
      <c r="I868" s="236"/>
      <c r="J868" s="354"/>
      <c r="K868" s="236"/>
      <c r="L868" s="236"/>
      <c r="M868" s="236"/>
      <c r="N868" s="236"/>
      <c r="O868" s="260"/>
      <c r="P868" s="260"/>
      <c r="Q868" s="1203"/>
      <c r="R868" s="1204"/>
      <c r="S868" s="1204"/>
      <c r="T868" s="1204"/>
      <c r="U868" s="1205"/>
      <c r="V868" s="247"/>
      <c r="W868" s="242"/>
      <c r="X868" s="242"/>
      <c r="Y868" s="242"/>
      <c r="Z868" s="242"/>
      <c r="AA868" s="242"/>
      <c r="AB868" s="242"/>
      <c r="AC868" s="242"/>
      <c r="AD868" s="353"/>
      <c r="AE868" s="353"/>
      <c r="AF868" s="274"/>
    </row>
    <row r="869" spans="2:33" ht="27" hidden="1" customHeight="1">
      <c r="B869" s="234" t="s">
        <v>97</v>
      </c>
      <c r="C869" s="235"/>
      <c r="D869" s="235"/>
      <c r="E869" s="277"/>
      <c r="F869" s="277"/>
      <c r="G869" s="236"/>
      <c r="H869" s="236"/>
      <c r="I869" s="236"/>
      <c r="J869" s="236"/>
      <c r="K869" s="236"/>
      <c r="L869" s="236"/>
      <c r="M869" s="236"/>
      <c r="N869" s="236"/>
      <c r="O869" s="260"/>
      <c r="P869" s="260"/>
      <c r="Q869" s="1203"/>
      <c r="R869" s="1204"/>
      <c r="S869" s="1204"/>
      <c r="T869" s="1204"/>
      <c r="U869" s="1205"/>
      <c r="V869" s="247"/>
    </row>
    <row r="870" spans="2:33" ht="27" hidden="1" customHeight="1">
      <c r="B870" s="234"/>
      <c r="C870" s="235"/>
      <c r="D870" s="235"/>
      <c r="E870" s="277"/>
      <c r="F870" s="277"/>
      <c r="G870" s="236"/>
      <c r="H870" s="236"/>
      <c r="I870" s="236"/>
      <c r="J870" s="236"/>
      <c r="K870" s="236"/>
      <c r="L870" s="236"/>
      <c r="M870" s="236"/>
      <c r="N870" s="236"/>
      <c r="O870" s="260"/>
      <c r="P870" s="260"/>
      <c r="Q870" s="1203"/>
      <c r="R870" s="1204"/>
      <c r="S870" s="1204"/>
      <c r="T870" s="1204"/>
      <c r="U870" s="1205"/>
      <c r="V870" s="247"/>
    </row>
    <row r="871" spans="2:33" ht="27" hidden="1" customHeight="1" thickBot="1">
      <c r="B871" s="234" t="s">
        <v>186</v>
      </c>
      <c r="C871" s="235"/>
      <c r="D871" s="235"/>
      <c r="E871" s="277"/>
      <c r="F871" s="277"/>
      <c r="G871" s="236"/>
      <c r="H871" s="236"/>
      <c r="I871" s="236"/>
      <c r="J871" s="236"/>
      <c r="K871" s="236"/>
      <c r="L871" s="236"/>
      <c r="M871" s="236"/>
      <c r="N871" s="236"/>
      <c r="O871" s="260"/>
      <c r="P871" s="260"/>
      <c r="Q871" s="1203"/>
      <c r="R871" s="1204"/>
      <c r="S871" s="1204"/>
      <c r="T871" s="1204"/>
      <c r="U871" s="1205"/>
      <c r="V871" s="247"/>
    </row>
    <row r="872" spans="2:33" ht="27" hidden="1" customHeight="1" thickBot="1">
      <c r="B872" s="234"/>
      <c r="C872" s="235"/>
      <c r="D872" s="235"/>
      <c r="E872" s="277"/>
      <c r="F872" s="277"/>
      <c r="G872" s="236"/>
      <c r="H872" s="236"/>
      <c r="I872" s="236"/>
      <c r="J872" s="236"/>
      <c r="K872" s="236"/>
      <c r="L872" s="236"/>
      <c r="M872" s="236"/>
      <c r="N872" s="236"/>
      <c r="O872" s="260"/>
      <c r="P872" s="260"/>
      <c r="Q872" s="1203"/>
      <c r="R872" s="1204"/>
      <c r="S872" s="1204"/>
      <c r="T872" s="1204"/>
      <c r="U872" s="1205"/>
      <c r="V872" s="247"/>
    </row>
    <row r="873" spans="2:33" ht="17.25" hidden="1" customHeight="1" thickTop="1" thickBot="1">
      <c r="B873" s="261" t="s">
        <v>3</v>
      </c>
      <c r="C873" s="262">
        <f>SUM(C860:C872)</f>
        <v>0</v>
      </c>
      <c r="D873" s="262"/>
      <c r="E873" s="262">
        <f t="shared" ref="E873:P873" si="94">SUM(E860:E872)</f>
        <v>0</v>
      </c>
      <c r="F873" s="262">
        <f t="shared" si="94"/>
        <v>0</v>
      </c>
      <c r="G873" s="263">
        <f t="shared" si="94"/>
        <v>0</v>
      </c>
      <c r="H873" s="263">
        <f t="shared" si="94"/>
        <v>0</v>
      </c>
      <c r="I873" s="263">
        <f t="shared" si="94"/>
        <v>0</v>
      </c>
      <c r="J873" s="263">
        <f t="shared" si="94"/>
        <v>0</v>
      </c>
      <c r="K873" s="263">
        <f t="shared" si="94"/>
        <v>0</v>
      </c>
      <c r="L873" s="263">
        <f t="shared" si="94"/>
        <v>0</v>
      </c>
      <c r="M873" s="263">
        <f t="shared" si="94"/>
        <v>0</v>
      </c>
      <c r="N873" s="263">
        <f t="shared" si="94"/>
        <v>0</v>
      </c>
      <c r="O873" s="263"/>
      <c r="P873" s="263">
        <f t="shared" si="94"/>
        <v>0</v>
      </c>
      <c r="Q873" s="1215"/>
      <c r="R873" s="1216"/>
      <c r="S873" s="1216"/>
      <c r="T873" s="1216"/>
      <c r="U873" s="1217"/>
      <c r="V873" s="265">
        <f>SUM(V860:V872)</f>
        <v>0</v>
      </c>
    </row>
    <row r="874" spans="2:33" ht="17.25" hidden="1" customHeight="1" thickTop="1">
      <c r="B874" s="336"/>
    </row>
    <row r="875" spans="2:33" ht="17.25" hidden="1" customHeight="1">
      <c r="B875" s="336"/>
      <c r="C875" s="566"/>
      <c r="D875" s="566"/>
      <c r="E875" s="566"/>
      <c r="F875" s="566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  <c r="T875" s="337"/>
      <c r="U875" s="337"/>
      <c r="V875" s="337"/>
    </row>
    <row r="876" spans="2:33" ht="17.25" hidden="1" customHeight="1">
      <c r="B876" s="336"/>
      <c r="C876" s="566"/>
      <c r="D876" s="566"/>
      <c r="E876" s="566"/>
      <c r="F876" s="566"/>
      <c r="G876" s="337"/>
      <c r="H876" s="337"/>
      <c r="I876" s="337"/>
      <c r="J876" s="337"/>
      <c r="K876" s="337"/>
      <c r="L876" s="337"/>
      <c r="M876" s="337"/>
      <c r="N876" s="337"/>
      <c r="O876" s="337"/>
      <c r="P876" s="337"/>
      <c r="Q876" s="337"/>
      <c r="R876" s="337"/>
      <c r="S876" s="337"/>
      <c r="T876" s="337"/>
      <c r="U876" s="337"/>
      <c r="V876" s="337"/>
    </row>
    <row r="877" spans="2:33" ht="17.25" hidden="1" customHeight="1">
      <c r="B877" s="336"/>
      <c r="C877" s="566"/>
      <c r="D877" s="566"/>
      <c r="E877" s="566"/>
      <c r="F877" s="566"/>
      <c r="G877" s="337"/>
      <c r="H877" s="337"/>
      <c r="I877" s="337"/>
      <c r="J877" s="337"/>
      <c r="K877" s="337"/>
      <c r="L877" s="337"/>
      <c r="M877" s="337"/>
      <c r="N877" s="337"/>
      <c r="O877" s="337"/>
      <c r="P877" s="337"/>
      <c r="Q877" s="337"/>
      <c r="R877" s="337"/>
      <c r="S877" s="337"/>
      <c r="T877" s="337"/>
      <c r="U877" s="337"/>
      <c r="V877" s="337"/>
    </row>
    <row r="878" spans="2:33" ht="17.25" hidden="1" customHeight="1">
      <c r="B878" s="336"/>
      <c r="C878" s="566"/>
      <c r="D878" s="566"/>
      <c r="E878" s="566"/>
      <c r="F878" s="566"/>
      <c r="G878" s="337"/>
      <c r="H878" s="337"/>
      <c r="I878" s="337"/>
      <c r="J878" s="337"/>
      <c r="K878" s="337"/>
      <c r="L878" s="337"/>
      <c r="M878" s="337"/>
      <c r="N878" s="337"/>
      <c r="O878" s="337"/>
      <c r="P878" s="337"/>
      <c r="Q878" s="337"/>
      <c r="R878" s="337"/>
      <c r="S878" s="337"/>
      <c r="T878" s="337"/>
      <c r="U878" s="337"/>
      <c r="V878" s="337"/>
    </row>
    <row r="879" spans="2:33" ht="17.25" hidden="1" customHeight="1">
      <c r="B879" s="336" t="s">
        <v>135</v>
      </c>
      <c r="C879" s="566"/>
      <c r="D879" s="566"/>
      <c r="E879" s="566"/>
      <c r="F879" s="566"/>
      <c r="G879" s="337"/>
      <c r="H879" s="337"/>
      <c r="I879" s="337"/>
      <c r="J879" s="337"/>
      <c r="K879" s="337"/>
      <c r="L879" s="1173" t="s">
        <v>82</v>
      </c>
      <c r="M879" s="1173"/>
      <c r="N879" s="1173"/>
      <c r="O879" s="1173"/>
      <c r="P879" s="1173"/>
      <c r="Q879" s="1173"/>
      <c r="R879" s="1173"/>
      <c r="S879" s="1173"/>
      <c r="T879" s="1173"/>
      <c r="U879" s="1173"/>
      <c r="V879" s="1173"/>
    </row>
    <row r="880" spans="2:33" ht="17.25" hidden="1" customHeight="1">
      <c r="B880" s="216"/>
      <c r="C880" s="566"/>
      <c r="D880" s="566"/>
      <c r="E880" s="566"/>
      <c r="F880" s="566"/>
      <c r="G880" s="337"/>
      <c r="H880" s="337"/>
      <c r="I880" s="337"/>
      <c r="J880" s="337"/>
      <c r="K880" s="337"/>
      <c r="L880" s="337"/>
      <c r="M880" s="337"/>
      <c r="N880" s="337"/>
      <c r="O880" s="337"/>
      <c r="P880" s="337"/>
      <c r="Q880" s="337"/>
      <c r="R880" s="337"/>
      <c r="S880" s="337"/>
      <c r="T880" s="337"/>
      <c r="U880" s="337"/>
      <c r="V880" s="337"/>
    </row>
    <row r="881" spans="2:28" ht="17.25" hidden="1" customHeight="1">
      <c r="B881" s="216"/>
      <c r="E881" s="723"/>
      <c r="F881" s="723"/>
      <c r="G881" s="401"/>
      <c r="H881" s="401"/>
      <c r="I881" s="401"/>
      <c r="J881" s="401"/>
      <c r="K881" s="401"/>
      <c r="L881" s="401"/>
      <c r="M881" s="401"/>
      <c r="N881" s="401"/>
      <c r="O881" s="401"/>
      <c r="P881" s="401"/>
      <c r="Q881" s="401"/>
      <c r="R881" s="401"/>
      <c r="S881" s="401"/>
      <c r="T881" s="401"/>
      <c r="U881" s="401"/>
      <c r="V881" s="401"/>
    </row>
    <row r="882" spans="2:28" ht="17.25" hidden="1" customHeight="1">
      <c r="B882" s="336"/>
      <c r="E882" s="723"/>
      <c r="F882" s="723"/>
      <c r="G882" s="401"/>
      <c r="H882" s="401"/>
      <c r="I882" s="401"/>
      <c r="J882" s="401"/>
      <c r="K882" s="401"/>
      <c r="L882" s="401"/>
      <c r="M882" s="401"/>
      <c r="N882" s="401"/>
      <c r="O882" s="401"/>
      <c r="P882" s="401"/>
      <c r="Q882" s="1173"/>
      <c r="R882" s="1173"/>
      <c r="S882" s="1173"/>
      <c r="T882" s="1173"/>
      <c r="U882" s="1173"/>
      <c r="V882" s="1173"/>
      <c r="W882" s="1173"/>
      <c r="X882" s="1173"/>
      <c r="Y882" s="1173"/>
      <c r="Z882" s="1173"/>
      <c r="AA882" s="566"/>
      <c r="AB882" s="566"/>
    </row>
    <row r="883" spans="2:28" ht="17.25" hidden="1" customHeight="1">
      <c r="B883" s="336"/>
      <c r="C883" s="566"/>
      <c r="D883" s="566"/>
      <c r="E883" s="566"/>
      <c r="F883" s="1173" t="s">
        <v>81</v>
      </c>
      <c r="G883" s="1173"/>
      <c r="H883" s="1173"/>
      <c r="I883" s="1173"/>
      <c r="J883" s="337"/>
      <c r="K883" s="337"/>
    </row>
    <row r="884" spans="2:28" ht="17.25" hidden="1" customHeight="1">
      <c r="C884" s="566"/>
      <c r="D884" s="566"/>
      <c r="E884" s="566"/>
      <c r="F884" s="566"/>
      <c r="G884" s="337"/>
      <c r="H884" s="337"/>
      <c r="I884" s="337"/>
      <c r="J884" s="337"/>
      <c r="K884" s="337"/>
      <c r="L884" s="337"/>
      <c r="M884" s="337"/>
      <c r="N884" s="337"/>
      <c r="O884" s="337"/>
      <c r="P884" s="337"/>
      <c r="Q884" s="337"/>
      <c r="R884" s="337"/>
      <c r="S884" s="337"/>
      <c r="T884" s="337"/>
      <c r="U884" s="337"/>
      <c r="V884" s="337"/>
    </row>
    <row r="885" spans="2:28" hidden="1">
      <c r="C885" s="215"/>
      <c r="D885" s="215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</row>
    <row r="886" spans="2:28" hidden="1">
      <c r="B886" s="215" t="str">
        <f>B855</f>
        <v>DENOMINATION FOR OKTOBER 2025</v>
      </c>
    </row>
    <row r="887" spans="2:28" hidden="1">
      <c r="B887" s="215" t="s">
        <v>191</v>
      </c>
      <c r="F887" s="727"/>
      <c r="G887" s="281"/>
      <c r="N887" s="281"/>
      <c r="O887" s="281"/>
      <c r="P887" s="281"/>
      <c r="Q887" s="281"/>
      <c r="R887" s="281"/>
      <c r="S887" s="281"/>
      <c r="T887" s="281"/>
      <c r="U887" s="281"/>
    </row>
    <row r="888" spans="2:28" hidden="1">
      <c r="F888" s="727"/>
      <c r="G888" s="281"/>
      <c r="N888" s="281"/>
      <c r="O888" s="281"/>
      <c r="P888" s="281"/>
      <c r="Q888" s="281"/>
      <c r="R888" s="281"/>
      <c r="S888" s="281"/>
      <c r="T888" s="281"/>
      <c r="U888" s="281"/>
    </row>
    <row r="889" spans="2:28" ht="21" hidden="1" thickBot="1">
      <c r="F889" s="727"/>
      <c r="G889" s="281"/>
      <c r="N889" s="281"/>
      <c r="O889" s="281"/>
      <c r="P889" s="281"/>
      <c r="Q889" s="281"/>
      <c r="R889" s="281"/>
      <c r="S889" s="281"/>
      <c r="T889" s="281"/>
      <c r="U889" s="281"/>
    </row>
    <row r="890" spans="2:28" ht="21" hidden="1" thickTop="1">
      <c r="B890" s="1176" t="s">
        <v>1</v>
      </c>
      <c r="C890" s="1183" t="s">
        <v>15</v>
      </c>
      <c r="D890" s="572"/>
      <c r="E890" s="568"/>
      <c r="F890" s="568"/>
      <c r="G890" s="220"/>
      <c r="H890" s="220"/>
      <c r="I890" s="220"/>
      <c r="J890" s="220"/>
      <c r="K890" s="220"/>
      <c r="L890" s="220"/>
      <c r="M890" s="220"/>
      <c r="N890" s="220"/>
      <c r="O890" s="282"/>
      <c r="P890" s="282"/>
      <c r="Q890" s="1206"/>
      <c r="R890" s="1207"/>
      <c r="S890" s="1207"/>
      <c r="T890" s="1207"/>
      <c r="U890" s="1208"/>
      <c r="V890" s="1171" t="s">
        <v>3</v>
      </c>
    </row>
    <row r="891" spans="2:28" ht="30.75" hidden="1" customHeight="1" thickBot="1">
      <c r="B891" s="1177"/>
      <c r="C891" s="1184"/>
      <c r="D891" s="573"/>
      <c r="E891" s="569">
        <v>100000</v>
      </c>
      <c r="F891" s="569">
        <v>50000</v>
      </c>
      <c r="G891" s="223">
        <v>20000</v>
      </c>
      <c r="H891" s="223">
        <v>10000</v>
      </c>
      <c r="I891" s="223">
        <v>5000</v>
      </c>
      <c r="J891" s="223">
        <v>1000</v>
      </c>
      <c r="K891" s="223">
        <v>500</v>
      </c>
      <c r="L891" s="223">
        <v>100</v>
      </c>
      <c r="M891" s="223">
        <v>50</v>
      </c>
      <c r="N891" s="223" t="s">
        <v>2</v>
      </c>
      <c r="O891" s="285"/>
      <c r="P891" s="285"/>
      <c r="Q891" s="1209"/>
      <c r="R891" s="1210"/>
      <c r="S891" s="1210"/>
      <c r="T891" s="1210"/>
      <c r="U891" s="1211"/>
      <c r="V891" s="1172"/>
    </row>
    <row r="892" spans="2:28" ht="30.75" hidden="1" customHeight="1" thickTop="1">
      <c r="B892" s="287"/>
      <c r="C892" s="533"/>
      <c r="D892" s="533"/>
      <c r="E892" s="839"/>
      <c r="F892" s="839"/>
      <c r="G892" s="288"/>
      <c r="H892" s="288"/>
      <c r="I892" s="288"/>
      <c r="J892" s="288"/>
      <c r="K892" s="288"/>
      <c r="L892" s="288"/>
      <c r="M892" s="288"/>
      <c r="N892" s="288"/>
      <c r="O892" s="289"/>
      <c r="P892" s="289"/>
      <c r="Q892" s="289"/>
      <c r="R892" s="289"/>
      <c r="S892" s="289"/>
      <c r="T892" s="289"/>
      <c r="U892" s="289"/>
      <c r="V892" s="290"/>
    </row>
    <row r="893" spans="2:28" ht="30.75" hidden="1" customHeight="1">
      <c r="B893" s="234" t="s">
        <v>261</v>
      </c>
      <c r="C893" s="251"/>
      <c r="D893" s="251"/>
      <c r="E893" s="531"/>
      <c r="F893" s="369"/>
      <c r="G893" s="254"/>
      <c r="H893" s="252"/>
      <c r="I893" s="254"/>
      <c r="J893" s="252"/>
      <c r="K893" s="254"/>
      <c r="L893" s="256"/>
      <c r="M893" s="254"/>
      <c r="N893" s="254"/>
      <c r="O893" s="256"/>
      <c r="P893" s="260"/>
      <c r="Q893" s="260"/>
      <c r="R893" s="260"/>
      <c r="S893" s="260"/>
      <c r="T893" s="260"/>
      <c r="U893" s="260"/>
      <c r="V893" s="238">
        <f>SUM(F893:N893)</f>
        <v>0</v>
      </c>
    </row>
    <row r="894" spans="2:28" ht="30.75" hidden="1" customHeight="1">
      <c r="B894" s="234"/>
      <c r="C894" s="251"/>
      <c r="D894" s="251"/>
      <c r="E894" s="531"/>
      <c r="F894" s="369"/>
      <c r="G894" s="254"/>
      <c r="H894" s="252"/>
      <c r="I894" s="254"/>
      <c r="J894" s="252"/>
      <c r="K894" s="254"/>
      <c r="L894" s="256"/>
      <c r="M894" s="254"/>
      <c r="N894" s="254"/>
      <c r="O894" s="256"/>
      <c r="P894" s="260"/>
      <c r="Q894" s="260"/>
      <c r="R894" s="260"/>
      <c r="S894" s="260"/>
      <c r="T894" s="260"/>
      <c r="U894" s="260"/>
      <c r="V894" s="238"/>
    </row>
    <row r="895" spans="2:28" ht="30.75" hidden="1" customHeight="1" thickBot="1">
      <c r="B895" s="234"/>
      <c r="C895" s="235"/>
      <c r="D895" s="235"/>
      <c r="E895" s="277"/>
      <c r="F895" s="277"/>
      <c r="G895" s="236"/>
      <c r="H895" s="236"/>
      <c r="I895" s="236"/>
      <c r="J895" s="236"/>
      <c r="K895" s="236"/>
      <c r="L895" s="236"/>
      <c r="M895" s="236"/>
      <c r="N895" s="236"/>
      <c r="O895" s="260"/>
      <c r="P895" s="260"/>
      <c r="Q895" s="260"/>
      <c r="R895" s="260"/>
      <c r="S895" s="260"/>
      <c r="T895" s="260"/>
      <c r="U895" s="260"/>
      <c r="V895" s="247"/>
    </row>
    <row r="896" spans="2:28" ht="21.75" hidden="1" thickTop="1" thickBot="1">
      <c r="B896" s="261" t="s">
        <v>3</v>
      </c>
      <c r="C896" s="262">
        <f t="shared" ref="C896:V896" si="95">SUM(C892:C895)</f>
        <v>0</v>
      </c>
      <c r="D896" s="262"/>
      <c r="E896" s="262">
        <f t="shared" si="95"/>
        <v>0</v>
      </c>
      <c r="F896" s="262">
        <f t="shared" si="95"/>
        <v>0</v>
      </c>
      <c r="G896" s="263">
        <f t="shared" si="95"/>
        <v>0</v>
      </c>
      <c r="H896" s="263">
        <f t="shared" si="95"/>
        <v>0</v>
      </c>
      <c r="I896" s="263">
        <f t="shared" si="95"/>
        <v>0</v>
      </c>
      <c r="J896" s="263">
        <f t="shared" si="95"/>
        <v>0</v>
      </c>
      <c r="K896" s="263">
        <f t="shared" si="95"/>
        <v>0</v>
      </c>
      <c r="L896" s="263">
        <f t="shared" si="95"/>
        <v>0</v>
      </c>
      <c r="M896" s="263">
        <f t="shared" si="95"/>
        <v>0</v>
      </c>
      <c r="N896" s="263">
        <f t="shared" si="95"/>
        <v>0</v>
      </c>
      <c r="O896" s="263"/>
      <c r="P896" s="263">
        <f t="shared" si="95"/>
        <v>0</v>
      </c>
      <c r="Q896" s="264"/>
      <c r="R896" s="264"/>
      <c r="S896" s="264"/>
      <c r="T896" s="264"/>
      <c r="U896" s="264"/>
      <c r="V896" s="265">
        <f t="shared" si="95"/>
        <v>0</v>
      </c>
    </row>
    <row r="897" spans="2:22" ht="21" hidden="1" thickTop="1"/>
    <row r="898" spans="2:22" hidden="1"/>
    <row r="899" spans="2:22" hidden="1"/>
    <row r="900" spans="2:22" hidden="1"/>
    <row r="901" spans="2:22" hidden="1"/>
    <row r="902" spans="2:22" hidden="1">
      <c r="B902" s="336" t="s">
        <v>80</v>
      </c>
    </row>
    <row r="903" spans="2:22" hidden="1">
      <c r="C903" s="566"/>
      <c r="D903" s="566"/>
      <c r="E903" s="566"/>
      <c r="F903" s="1173" t="s">
        <v>81</v>
      </c>
      <c r="G903" s="1173"/>
      <c r="H903" s="1173"/>
      <c r="I903" s="1173"/>
      <c r="J903" s="337"/>
      <c r="K903" s="337"/>
      <c r="L903" s="1173" t="s">
        <v>82</v>
      </c>
      <c r="M903" s="1173"/>
      <c r="N903" s="1173"/>
      <c r="O903" s="1173"/>
      <c r="P903" s="1173"/>
      <c r="Q903" s="1173"/>
      <c r="R903" s="1173"/>
      <c r="S903" s="1173"/>
      <c r="T903" s="1173"/>
      <c r="U903" s="1173"/>
      <c r="V903" s="1173"/>
    </row>
    <row r="904" spans="2:22" hidden="1"/>
    <row r="905" spans="2:22" hidden="1"/>
    <row r="906" spans="2:22" hidden="1"/>
    <row r="907" spans="2:22" hidden="1"/>
    <row r="908" spans="2:22" hidden="1"/>
    <row r="909" spans="2:22" hidden="1">
      <c r="B909" s="215" t="s">
        <v>0</v>
      </c>
    </row>
    <row r="910" spans="2:22" hidden="1">
      <c r="B910" s="215" t="str">
        <f>B4</f>
        <v>DENOMINATION FOR OKTOBER 2025</v>
      </c>
      <c r="F910" s="727"/>
      <c r="G910" s="281"/>
      <c r="N910" s="281"/>
      <c r="O910" s="281"/>
      <c r="P910" s="281"/>
      <c r="Q910" s="281"/>
      <c r="R910" s="281"/>
      <c r="S910" s="281"/>
      <c r="T910" s="281"/>
      <c r="U910" s="281"/>
    </row>
    <row r="911" spans="2:22" hidden="1">
      <c r="F911" s="727"/>
      <c r="G911" s="281"/>
      <c r="N911" s="281"/>
      <c r="O911" s="281"/>
      <c r="P911" s="281"/>
      <c r="Q911" s="281"/>
      <c r="R911" s="281"/>
      <c r="S911" s="281"/>
      <c r="T911" s="281"/>
      <c r="U911" s="281"/>
    </row>
    <row r="912" spans="2:22" ht="21" hidden="1" thickBot="1">
      <c r="F912" s="727"/>
      <c r="G912" s="281"/>
      <c r="N912" s="281"/>
      <c r="O912" s="281"/>
      <c r="P912" s="281"/>
      <c r="Q912" s="281"/>
      <c r="R912" s="281"/>
      <c r="S912" s="281"/>
      <c r="T912" s="281"/>
      <c r="U912" s="281"/>
    </row>
    <row r="913" spans="2:22" ht="21" hidden="1" thickTop="1">
      <c r="B913" s="570" t="s">
        <v>1</v>
      </c>
      <c r="C913" s="572" t="s">
        <v>15</v>
      </c>
      <c r="D913" s="572"/>
      <c r="E913" s="568"/>
      <c r="F913" s="568"/>
      <c r="G913" s="220"/>
      <c r="H913" s="220"/>
      <c r="I913" s="220"/>
      <c r="J913" s="220"/>
      <c r="K913" s="220"/>
      <c r="L913" s="220"/>
      <c r="M913" s="220"/>
      <c r="N913" s="220"/>
      <c r="O913" s="282"/>
      <c r="P913" s="282"/>
      <c r="Q913" s="282"/>
      <c r="R913" s="282"/>
      <c r="S913" s="282"/>
      <c r="T913" s="282"/>
      <c r="U913" s="282"/>
      <c r="V913" s="283"/>
    </row>
    <row r="914" spans="2:22" ht="21" hidden="1" thickBot="1">
      <c r="B914" s="571"/>
      <c r="C914" s="284"/>
      <c r="D914" s="284"/>
      <c r="E914" s="569">
        <v>100000</v>
      </c>
      <c r="F914" s="569">
        <v>50000</v>
      </c>
      <c r="G914" s="223">
        <v>20000</v>
      </c>
      <c r="H914" s="223">
        <v>10000</v>
      </c>
      <c r="I914" s="223">
        <v>5000</v>
      </c>
      <c r="J914" s="223">
        <v>1000</v>
      </c>
      <c r="K914" s="223">
        <v>500</v>
      </c>
      <c r="L914" s="223">
        <v>100</v>
      </c>
      <c r="M914" s="223">
        <v>50</v>
      </c>
      <c r="N914" s="223" t="s">
        <v>2</v>
      </c>
      <c r="O914" s="285"/>
      <c r="P914" s="285"/>
      <c r="Q914" s="285"/>
      <c r="R914" s="285"/>
      <c r="S914" s="285"/>
      <c r="T914" s="285"/>
      <c r="U914" s="285"/>
      <c r="V914" s="286" t="s">
        <v>3</v>
      </c>
    </row>
    <row r="915" spans="2:22" ht="21" hidden="1" thickTop="1">
      <c r="B915" s="287"/>
      <c r="C915" s="533"/>
      <c r="D915" s="533"/>
      <c r="E915" s="839"/>
      <c r="F915" s="839"/>
      <c r="G915" s="288"/>
      <c r="H915" s="288"/>
      <c r="I915" s="288"/>
      <c r="J915" s="288"/>
      <c r="K915" s="288"/>
      <c r="L915" s="288"/>
      <c r="M915" s="288"/>
      <c r="N915" s="288"/>
      <c r="O915" s="289"/>
      <c r="P915" s="289"/>
      <c r="Q915" s="289"/>
      <c r="R915" s="289"/>
      <c r="S915" s="289"/>
      <c r="T915" s="289"/>
      <c r="U915" s="289"/>
      <c r="V915" s="290"/>
    </row>
    <row r="916" spans="2:22" hidden="1">
      <c r="B916" s="234" t="s">
        <v>72</v>
      </c>
      <c r="C916" s="251"/>
      <c r="D916" s="251"/>
      <c r="E916" s="531"/>
      <c r="F916" s="369"/>
      <c r="G916" s="254"/>
      <c r="H916" s="252"/>
      <c r="I916" s="254"/>
      <c r="J916" s="252"/>
      <c r="K916" s="254"/>
      <c r="L916" s="256"/>
      <c r="M916" s="254"/>
      <c r="N916" s="254"/>
      <c r="O916" s="256"/>
      <c r="P916" s="260"/>
      <c r="Q916" s="260"/>
      <c r="R916" s="260"/>
      <c r="S916" s="260"/>
      <c r="T916" s="260"/>
      <c r="U916" s="260"/>
      <c r="V916" s="238">
        <f>SUM(E916:N916)</f>
        <v>0</v>
      </c>
    </row>
    <row r="917" spans="2:22" hidden="1">
      <c r="B917" s="234"/>
      <c r="C917" s="251"/>
      <c r="D917" s="251"/>
      <c r="E917" s="531"/>
      <c r="F917" s="369"/>
      <c r="G917" s="254"/>
      <c r="H917" s="252"/>
      <c r="I917" s="254"/>
      <c r="J917" s="252"/>
      <c r="K917" s="254"/>
      <c r="L917" s="256"/>
      <c r="M917" s="254"/>
      <c r="N917" s="254"/>
      <c r="O917" s="256"/>
      <c r="P917" s="260"/>
      <c r="Q917" s="260"/>
      <c r="R917" s="260"/>
      <c r="S917" s="260"/>
      <c r="T917" s="260"/>
      <c r="U917" s="260"/>
      <c r="V917" s="238"/>
    </row>
    <row r="918" spans="2:22" ht="21" hidden="1" thickBot="1">
      <c r="B918" s="234"/>
      <c r="C918" s="235"/>
      <c r="D918" s="235"/>
      <c r="E918" s="277"/>
      <c r="F918" s="277"/>
      <c r="G918" s="236"/>
      <c r="H918" s="236"/>
      <c r="I918" s="236"/>
      <c r="J918" s="236"/>
      <c r="K918" s="236"/>
      <c r="L918" s="236"/>
      <c r="M918" s="236"/>
      <c r="N918" s="236"/>
      <c r="O918" s="260"/>
      <c r="P918" s="260"/>
      <c r="Q918" s="260"/>
      <c r="R918" s="260"/>
      <c r="S918" s="260"/>
      <c r="T918" s="260"/>
      <c r="U918" s="260"/>
      <c r="V918" s="247"/>
    </row>
    <row r="919" spans="2:22" ht="21.75" hidden="1" thickTop="1" thickBot="1">
      <c r="B919" s="261" t="s">
        <v>3</v>
      </c>
      <c r="C919" s="262">
        <f t="shared" ref="C919:V919" si="96">SUM(C915:C918)</f>
        <v>0</v>
      </c>
      <c r="D919" s="262"/>
      <c r="E919" s="262">
        <f t="shared" si="96"/>
        <v>0</v>
      </c>
      <c r="F919" s="262">
        <f t="shared" si="96"/>
        <v>0</v>
      </c>
      <c r="G919" s="263">
        <f t="shared" si="96"/>
        <v>0</v>
      </c>
      <c r="H919" s="263">
        <f t="shared" si="96"/>
        <v>0</v>
      </c>
      <c r="I919" s="263">
        <f t="shared" si="96"/>
        <v>0</v>
      </c>
      <c r="J919" s="263">
        <f t="shared" si="96"/>
        <v>0</v>
      </c>
      <c r="K919" s="263">
        <f t="shared" si="96"/>
        <v>0</v>
      </c>
      <c r="L919" s="263">
        <f t="shared" si="96"/>
        <v>0</v>
      </c>
      <c r="M919" s="263">
        <f t="shared" si="96"/>
        <v>0</v>
      </c>
      <c r="N919" s="263">
        <f t="shared" si="96"/>
        <v>0</v>
      </c>
      <c r="O919" s="263"/>
      <c r="P919" s="263">
        <f t="shared" si="96"/>
        <v>0</v>
      </c>
      <c r="Q919" s="264"/>
      <c r="R919" s="264"/>
      <c r="S919" s="264"/>
      <c r="T919" s="264"/>
      <c r="U919" s="264"/>
      <c r="V919" s="265">
        <f t="shared" si="96"/>
        <v>0</v>
      </c>
    </row>
    <row r="920" spans="2:22" ht="21" hidden="1" thickTop="1"/>
    <row r="921" spans="2:22" hidden="1"/>
    <row r="922" spans="2:22" hidden="1"/>
    <row r="923" spans="2:22" hidden="1"/>
    <row r="924" spans="2:22" hidden="1"/>
    <row r="925" spans="2:22" hidden="1">
      <c r="B925" s="336" t="s">
        <v>80</v>
      </c>
    </row>
    <row r="926" spans="2:22" hidden="1">
      <c r="B926" s="336"/>
      <c r="C926" s="566"/>
      <c r="D926" s="566"/>
      <c r="E926" s="566"/>
      <c r="F926" s="1173" t="s">
        <v>81</v>
      </c>
      <c r="G926" s="1173"/>
      <c r="H926" s="1173"/>
      <c r="I926" s="1173"/>
      <c r="J926" s="337"/>
      <c r="K926" s="337"/>
      <c r="L926" s="1173" t="s">
        <v>82</v>
      </c>
      <c r="M926" s="1173"/>
      <c r="N926" s="1173"/>
      <c r="O926" s="1173"/>
      <c r="P926" s="1173"/>
      <c r="Q926" s="1173"/>
      <c r="R926" s="1173"/>
      <c r="S926" s="1173"/>
      <c r="T926" s="1173"/>
      <c r="U926" s="1173"/>
      <c r="V926" s="1173"/>
    </row>
    <row r="927" spans="2:22" hidden="1">
      <c r="B927" s="336"/>
      <c r="C927" s="566"/>
      <c r="D927" s="566"/>
      <c r="E927" s="566"/>
      <c r="F927" s="566"/>
      <c r="G927" s="566"/>
      <c r="H927" s="566"/>
      <c r="I927" s="566"/>
      <c r="J927" s="337"/>
      <c r="K927" s="337"/>
      <c r="L927" s="566"/>
      <c r="M927" s="566"/>
      <c r="N927" s="566"/>
      <c r="O927" s="566"/>
      <c r="P927" s="566"/>
      <c r="Q927" s="566"/>
      <c r="R927" s="566"/>
      <c r="S927" s="566"/>
      <c r="T927" s="566"/>
      <c r="U927" s="566"/>
      <c r="V927" s="566"/>
    </row>
    <row r="928" spans="2:22" hidden="1">
      <c r="B928" s="336"/>
      <c r="C928" s="566"/>
      <c r="D928" s="566"/>
      <c r="E928" s="566"/>
      <c r="F928" s="566"/>
      <c r="G928" s="566"/>
      <c r="H928" s="566"/>
      <c r="I928" s="566"/>
      <c r="J928" s="337"/>
      <c r="K928" s="337"/>
      <c r="L928" s="566"/>
      <c r="M928" s="566"/>
      <c r="N928" s="566"/>
      <c r="O928" s="566"/>
      <c r="P928" s="566"/>
      <c r="Q928" s="566"/>
      <c r="R928" s="566"/>
      <c r="S928" s="566"/>
      <c r="T928" s="566"/>
      <c r="U928" s="566"/>
      <c r="V928" s="566"/>
    </row>
    <row r="929" spans="2:22" hidden="1">
      <c r="B929" s="336"/>
      <c r="C929" s="566"/>
      <c r="D929" s="566"/>
      <c r="E929" s="566"/>
      <c r="F929" s="566"/>
      <c r="G929" s="566"/>
      <c r="H929" s="566"/>
      <c r="I929" s="566"/>
      <c r="J929" s="337"/>
      <c r="K929" s="337"/>
      <c r="L929" s="566"/>
      <c r="M929" s="566"/>
      <c r="N929" s="566"/>
      <c r="O929" s="566"/>
      <c r="P929" s="566"/>
      <c r="Q929" s="566"/>
      <c r="R929" s="566"/>
      <c r="S929" s="566"/>
      <c r="T929" s="566"/>
      <c r="U929" s="566"/>
      <c r="V929" s="566"/>
    </row>
    <row r="930" spans="2:22" hidden="1">
      <c r="B930" s="215" t="s">
        <v>43</v>
      </c>
    </row>
    <row r="931" spans="2:22" hidden="1">
      <c r="B931" s="215" t="str">
        <f>B443</f>
        <v>DENOMINATION FOR OKTOBER 2025</v>
      </c>
    </row>
    <row r="932" spans="2:22" ht="21" hidden="1" thickBot="1">
      <c r="B932" s="297"/>
    </row>
    <row r="933" spans="2:22" ht="21" hidden="1" thickTop="1">
      <c r="B933" s="1176" t="s">
        <v>1</v>
      </c>
      <c r="C933" s="1183" t="s">
        <v>15</v>
      </c>
      <c r="D933" s="572"/>
      <c r="E933" s="568"/>
      <c r="F933" s="568"/>
      <c r="G933" s="220"/>
      <c r="H933" s="220"/>
      <c r="I933" s="220"/>
      <c r="J933" s="220"/>
      <c r="K933" s="220"/>
      <c r="L933" s="220"/>
      <c r="M933" s="220"/>
      <c r="N933" s="220"/>
      <c r="O933" s="282"/>
      <c r="P933" s="574">
        <f>P484</f>
        <v>0</v>
      </c>
      <c r="Q933" s="568" t="s">
        <v>145</v>
      </c>
      <c r="R933" s="568" t="s">
        <v>253</v>
      </c>
      <c r="S933" s="568"/>
      <c r="T933" s="1174" t="str">
        <f>T401</f>
        <v>TOTAL PREMI</v>
      </c>
      <c r="U933" s="1174" t="str">
        <f>U152</f>
        <v>TOTAL LEMBUR</v>
      </c>
      <c r="V933" s="1171" t="s">
        <v>3</v>
      </c>
    </row>
    <row r="934" spans="2:22" ht="31.5" hidden="1" customHeight="1" thickBot="1">
      <c r="B934" s="1177"/>
      <c r="C934" s="1184"/>
      <c r="D934" s="573"/>
      <c r="E934" s="569">
        <v>100000</v>
      </c>
      <c r="F934" s="569">
        <v>50000</v>
      </c>
      <c r="G934" s="223">
        <v>20000</v>
      </c>
      <c r="H934" s="223">
        <v>10000</v>
      </c>
      <c r="I934" s="223">
        <v>5000</v>
      </c>
      <c r="J934" s="223">
        <v>1000</v>
      </c>
      <c r="K934" s="223">
        <v>500</v>
      </c>
      <c r="L934" s="223">
        <v>100</v>
      </c>
      <c r="M934" s="223">
        <v>50</v>
      </c>
      <c r="N934" s="223" t="s">
        <v>2</v>
      </c>
      <c r="O934" s="285"/>
      <c r="P934" s="575">
        <f>P485</f>
        <v>0</v>
      </c>
      <c r="Q934" s="569" t="str">
        <f>Q278</f>
        <v>(MASA OKTOBER 2025)</v>
      </c>
      <c r="R934" s="569" t="s">
        <v>254</v>
      </c>
      <c r="S934" s="569"/>
      <c r="T934" s="1175"/>
      <c r="U934" s="1175"/>
      <c r="V934" s="1172"/>
    </row>
    <row r="935" spans="2:22" ht="31.5" hidden="1" customHeight="1" thickTop="1">
      <c r="B935" s="404"/>
      <c r="C935" s="373"/>
      <c r="D935" s="373"/>
      <c r="E935" s="384"/>
      <c r="F935" s="384"/>
      <c r="G935" s="385"/>
      <c r="H935" s="385"/>
      <c r="I935" s="385"/>
      <c r="J935" s="385"/>
      <c r="K935" s="385"/>
      <c r="L935" s="385"/>
      <c r="M935" s="385"/>
      <c r="N935" s="385"/>
      <c r="O935" s="302"/>
      <c r="P935" s="302"/>
      <c r="Q935" s="524"/>
      <c r="R935" s="302"/>
      <c r="S935" s="302"/>
      <c r="T935" s="302"/>
      <c r="U935" s="302"/>
      <c r="V935" s="386"/>
    </row>
    <row r="936" spans="2:22" ht="31.5" hidden="1" customHeight="1">
      <c r="B936" s="279" t="s">
        <v>258</v>
      </c>
      <c r="C936" s="532">
        <v>1</v>
      </c>
      <c r="D936" s="532"/>
      <c r="E936" s="384"/>
      <c r="F936" s="384"/>
      <c r="G936" s="385"/>
      <c r="H936" s="385"/>
      <c r="I936" s="385"/>
      <c r="J936" s="385"/>
      <c r="K936" s="385"/>
      <c r="L936" s="385"/>
      <c r="M936" s="385"/>
      <c r="N936" s="385"/>
      <c r="O936" s="302"/>
      <c r="P936" s="302"/>
      <c r="Q936" s="524">
        <v>0</v>
      </c>
      <c r="R936" s="302"/>
      <c r="S936" s="302"/>
      <c r="T936" s="524">
        <f>240650+119700</f>
        <v>360350</v>
      </c>
      <c r="U936" s="524">
        <v>0</v>
      </c>
      <c r="V936" s="598">
        <v>1159429</v>
      </c>
    </row>
    <row r="937" spans="2:22" ht="31.5" hidden="1" customHeight="1" thickBot="1">
      <c r="B937" s="405"/>
      <c r="C937" s="402"/>
      <c r="D937" s="402"/>
      <c r="E937" s="715"/>
      <c r="F937" s="715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534"/>
      <c r="R937" s="334"/>
      <c r="S937" s="334"/>
      <c r="T937" s="334"/>
      <c r="U937" s="334"/>
      <c r="V937" s="335"/>
    </row>
    <row r="938" spans="2:22" ht="21.75" hidden="1" thickTop="1" thickBot="1">
      <c r="B938" s="595" t="s">
        <v>3</v>
      </c>
      <c r="C938" s="262">
        <f t="shared" ref="C938:V938" si="97">SUM(C935:C937)</f>
        <v>1</v>
      </c>
      <c r="D938" s="262"/>
      <c r="E938" s="262">
        <f t="shared" si="97"/>
        <v>0</v>
      </c>
      <c r="F938" s="262">
        <f t="shared" si="97"/>
        <v>0</v>
      </c>
      <c r="G938" s="262">
        <f t="shared" si="97"/>
        <v>0</v>
      </c>
      <c r="H938" s="262">
        <f t="shared" si="97"/>
        <v>0</v>
      </c>
      <c r="I938" s="262">
        <f t="shared" si="97"/>
        <v>0</v>
      </c>
      <c r="J938" s="262">
        <f t="shared" si="97"/>
        <v>0</v>
      </c>
      <c r="K938" s="262">
        <f t="shared" si="97"/>
        <v>0</v>
      </c>
      <c r="L938" s="262">
        <f t="shared" si="97"/>
        <v>0</v>
      </c>
      <c r="M938" s="262">
        <f t="shared" si="97"/>
        <v>0</v>
      </c>
      <c r="N938" s="262">
        <f t="shared" si="97"/>
        <v>0</v>
      </c>
      <c r="O938" s="262"/>
      <c r="P938" s="262">
        <f t="shared" si="97"/>
        <v>0</v>
      </c>
      <c r="Q938" s="262">
        <f t="shared" si="97"/>
        <v>0</v>
      </c>
      <c r="R938" s="262">
        <f t="shared" si="97"/>
        <v>0</v>
      </c>
      <c r="S938" s="262"/>
      <c r="T938" s="262">
        <f t="shared" si="97"/>
        <v>360350</v>
      </c>
      <c r="U938" s="262">
        <f t="shared" si="97"/>
        <v>0</v>
      </c>
      <c r="V938" s="262">
        <f t="shared" si="97"/>
        <v>1159429</v>
      </c>
    </row>
    <row r="939" spans="2:22" ht="21" hidden="1" thickTop="1">
      <c r="B939" s="336"/>
      <c r="C939" s="566"/>
      <c r="D939" s="566"/>
      <c r="E939" s="566"/>
      <c r="F939" s="566"/>
      <c r="G939" s="337"/>
      <c r="H939" s="337"/>
      <c r="I939" s="337"/>
      <c r="J939" s="337"/>
      <c r="K939" s="337"/>
      <c r="L939" s="337"/>
      <c r="M939" s="337"/>
      <c r="N939" s="337"/>
      <c r="O939" s="337"/>
      <c r="P939" s="337"/>
      <c r="Q939" s="337"/>
      <c r="R939" s="337"/>
      <c r="S939" s="337"/>
      <c r="T939" s="337"/>
      <c r="U939" s="337"/>
      <c r="V939" s="337"/>
    </row>
    <row r="940" spans="2:22" hidden="1">
      <c r="B940" s="336"/>
      <c r="C940" s="566"/>
      <c r="D940" s="566"/>
      <c r="E940" s="566"/>
      <c r="F940" s="566"/>
      <c r="G940" s="337"/>
      <c r="H940" s="337"/>
      <c r="I940" s="337"/>
      <c r="J940" s="337"/>
      <c r="K940" s="337"/>
      <c r="L940" s="337"/>
      <c r="M940" s="337"/>
      <c r="N940" s="337"/>
      <c r="O940" s="337"/>
      <c r="P940" s="337"/>
      <c r="Q940" s="337"/>
      <c r="R940" s="337"/>
      <c r="S940" s="337"/>
      <c r="T940" s="337"/>
      <c r="U940" s="337"/>
      <c r="V940" s="337"/>
    </row>
    <row r="941" spans="2:22" hidden="1">
      <c r="B941" s="336"/>
      <c r="C941" s="566"/>
      <c r="D941" s="566"/>
      <c r="E941" s="566"/>
      <c r="F941" s="566"/>
      <c r="G941" s="337"/>
      <c r="H941" s="1173"/>
      <c r="I941" s="1173"/>
      <c r="J941" s="1173"/>
      <c r="K941" s="1173"/>
      <c r="L941" s="337"/>
      <c r="M941" s="337"/>
      <c r="N941" s="337"/>
      <c r="O941" s="337"/>
      <c r="P941" s="337"/>
      <c r="Q941" s="337"/>
      <c r="R941" s="337"/>
      <c r="S941" s="337"/>
      <c r="T941" s="337"/>
      <c r="U941" s="337"/>
      <c r="V941" s="337"/>
    </row>
    <row r="942" spans="2:22" hidden="1">
      <c r="B942" s="336"/>
      <c r="C942" s="566"/>
      <c r="D942" s="566"/>
      <c r="E942" s="566"/>
      <c r="F942" s="566"/>
      <c r="G942" s="337"/>
      <c r="H942" s="337"/>
      <c r="I942" s="337"/>
      <c r="J942" s="337"/>
      <c r="K942" s="337"/>
      <c r="L942" s="337"/>
      <c r="M942" s="337"/>
      <c r="N942" s="337"/>
      <c r="O942" s="337"/>
      <c r="P942" s="337"/>
      <c r="Q942" s="337"/>
      <c r="R942" s="337"/>
      <c r="S942" s="337"/>
      <c r="T942" s="337"/>
      <c r="U942" s="337"/>
      <c r="V942" s="337"/>
    </row>
    <row r="943" spans="2:22" hidden="1">
      <c r="B943" s="336" t="s">
        <v>209</v>
      </c>
      <c r="C943" s="566"/>
      <c r="D943" s="566"/>
      <c r="E943" s="566"/>
      <c r="F943" s="566"/>
      <c r="G943" s="337"/>
      <c r="H943" s="337"/>
      <c r="I943" s="337"/>
      <c r="J943" s="337"/>
      <c r="K943" s="337"/>
      <c r="L943" s="1173" t="s">
        <v>82</v>
      </c>
      <c r="M943" s="1173"/>
      <c r="N943" s="1173"/>
      <c r="O943" s="1173"/>
      <c r="P943" s="1173"/>
      <c r="Q943" s="1173"/>
      <c r="R943" s="1173"/>
      <c r="S943" s="1173"/>
      <c r="T943" s="1173"/>
      <c r="U943" s="1173"/>
      <c r="V943" s="1173"/>
    </row>
    <row r="944" spans="2:22">
      <c r="B944" s="336"/>
      <c r="C944" s="566"/>
      <c r="D944" s="566"/>
      <c r="E944" s="566"/>
      <c r="F944" s="1173" t="s">
        <v>81</v>
      </c>
      <c r="G944" s="1173"/>
      <c r="H944" s="1173"/>
      <c r="I944" s="1173"/>
      <c r="J944" s="337"/>
      <c r="K944" s="337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</row>
    <row r="945" spans="2:22">
      <c r="B945" s="336"/>
      <c r="C945" s="566"/>
      <c r="D945" s="566"/>
      <c r="E945" s="566"/>
      <c r="F945" s="566"/>
      <c r="G945" s="566"/>
      <c r="H945" s="566"/>
      <c r="I945" s="566"/>
      <c r="J945" s="337"/>
      <c r="K945" s="337"/>
      <c r="L945" s="566"/>
      <c r="M945" s="566"/>
      <c r="N945" s="566"/>
      <c r="O945" s="566"/>
      <c r="P945" s="566"/>
      <c r="Q945" s="566"/>
      <c r="R945" s="566"/>
      <c r="S945" s="566"/>
      <c r="T945" s="566"/>
      <c r="U945" s="566"/>
      <c r="V945" s="566"/>
    </row>
    <row r="946" spans="2:22">
      <c r="B946" s="336"/>
      <c r="C946" s="566"/>
      <c r="D946" s="566"/>
      <c r="E946" s="566"/>
      <c r="F946" s="566"/>
      <c r="G946" s="566"/>
      <c r="H946" s="566"/>
      <c r="I946" s="566"/>
      <c r="J946" s="337"/>
      <c r="K946" s="337"/>
      <c r="L946" s="566"/>
      <c r="M946" s="566"/>
      <c r="N946" s="566"/>
      <c r="O946" s="566"/>
      <c r="P946" s="566"/>
      <c r="Q946" s="566"/>
      <c r="R946" s="566"/>
      <c r="S946" s="566"/>
      <c r="T946" s="566"/>
      <c r="U946" s="566"/>
      <c r="V946" s="566"/>
    </row>
    <row r="947" spans="2:22">
      <c r="B947" s="336"/>
      <c r="C947" s="566"/>
      <c r="D947" s="566"/>
      <c r="E947" s="566"/>
      <c r="F947" s="566"/>
      <c r="G947" s="566"/>
      <c r="H947" s="566"/>
      <c r="I947" s="566"/>
      <c r="J947" s="337"/>
      <c r="K947" s="337"/>
      <c r="L947" s="566"/>
      <c r="M947" s="566"/>
      <c r="N947" s="566"/>
      <c r="O947" s="566"/>
      <c r="P947" s="566"/>
      <c r="Q947" s="566"/>
      <c r="R947" s="566"/>
      <c r="S947" s="566"/>
      <c r="T947" s="566"/>
      <c r="U947" s="566"/>
      <c r="V947" s="566"/>
    </row>
    <row r="948" spans="2:22">
      <c r="B948" s="336"/>
      <c r="C948" s="566"/>
      <c r="D948" s="566"/>
      <c r="E948" s="566"/>
      <c r="F948" s="566"/>
      <c r="G948" s="566"/>
      <c r="H948" s="566"/>
      <c r="I948" s="566"/>
      <c r="J948" s="337"/>
      <c r="K948" s="337"/>
      <c r="L948" s="566"/>
      <c r="M948" s="566"/>
      <c r="N948" s="566"/>
      <c r="O948" s="566"/>
      <c r="P948" s="566"/>
      <c r="Q948" s="566"/>
      <c r="R948" s="566"/>
      <c r="S948" s="566"/>
      <c r="T948" s="566"/>
      <c r="U948" s="566"/>
      <c r="V948" s="566"/>
    </row>
    <row r="949" spans="2:22">
      <c r="B949" s="336"/>
      <c r="C949" s="566"/>
      <c r="D949" s="566"/>
      <c r="E949" s="566"/>
      <c r="F949" s="566"/>
      <c r="G949" s="566"/>
      <c r="H949" s="566"/>
      <c r="I949" s="566"/>
      <c r="J949" s="337"/>
      <c r="K949" s="337"/>
      <c r="L949" s="566"/>
      <c r="M949" s="566"/>
      <c r="N949" s="566"/>
      <c r="O949" s="566"/>
      <c r="P949" s="566"/>
      <c r="Q949" s="566"/>
      <c r="R949" s="566"/>
      <c r="S949" s="566"/>
      <c r="T949" s="566"/>
      <c r="U949" s="566"/>
      <c r="V949" s="566"/>
    </row>
    <row r="950" spans="2:22">
      <c r="B950" s="336"/>
      <c r="C950" s="566"/>
      <c r="D950" s="566"/>
      <c r="E950" s="566"/>
      <c r="F950" s="566"/>
      <c r="G950" s="566"/>
      <c r="H950" s="566"/>
      <c r="I950" s="566"/>
      <c r="J950" s="337"/>
      <c r="K950" s="337"/>
      <c r="L950" s="566"/>
      <c r="M950" s="566"/>
      <c r="N950" s="566"/>
      <c r="O950" s="566"/>
      <c r="P950" s="566"/>
      <c r="Q950" s="566"/>
      <c r="R950" s="566"/>
      <c r="S950" s="566"/>
      <c r="T950" s="566"/>
      <c r="U950" s="566"/>
      <c r="V950" s="566"/>
    </row>
    <row r="951" spans="2:22">
      <c r="B951" s="336"/>
      <c r="C951" s="566"/>
      <c r="D951" s="566"/>
      <c r="E951" s="566"/>
      <c r="F951" s="566"/>
      <c r="G951" s="566"/>
      <c r="H951" s="566"/>
      <c r="I951" s="566"/>
      <c r="J951" s="337"/>
      <c r="K951" s="337"/>
      <c r="L951" s="566"/>
      <c r="M951" s="566"/>
      <c r="N951" s="566"/>
      <c r="O951" s="566"/>
      <c r="P951" s="566"/>
      <c r="Q951" s="566"/>
      <c r="R951" s="566"/>
      <c r="S951" s="566"/>
      <c r="T951" s="566"/>
      <c r="U951" s="566"/>
      <c r="V951" s="566"/>
    </row>
    <row r="952" spans="2:22">
      <c r="B952" s="336"/>
      <c r="C952" s="566"/>
      <c r="D952" s="566"/>
      <c r="E952" s="566"/>
      <c r="F952" s="566"/>
      <c r="G952" s="566"/>
      <c r="H952" s="566"/>
      <c r="I952" s="566"/>
      <c r="J952" s="337"/>
      <c r="K952" s="337"/>
      <c r="L952" s="566"/>
      <c r="M952" s="566"/>
      <c r="N952" s="566"/>
      <c r="O952" s="566"/>
      <c r="P952" s="566"/>
      <c r="Q952" s="566"/>
      <c r="R952" s="566"/>
      <c r="S952" s="566"/>
      <c r="T952" s="566"/>
      <c r="U952" s="566"/>
      <c r="V952" s="566"/>
    </row>
    <row r="953" spans="2:22">
      <c r="B953" s="336"/>
      <c r="C953" s="566"/>
      <c r="D953" s="566"/>
      <c r="E953" s="566"/>
      <c r="F953" s="566"/>
      <c r="G953" s="566"/>
      <c r="H953" s="566"/>
      <c r="I953" s="566"/>
      <c r="J953" s="337"/>
      <c r="K953" s="337"/>
      <c r="L953" s="566"/>
      <c r="M953" s="566"/>
      <c r="N953" s="566"/>
      <c r="O953" s="566"/>
      <c r="P953" s="566"/>
      <c r="Q953" s="566"/>
      <c r="R953" s="566"/>
      <c r="S953" s="566"/>
      <c r="T953" s="566"/>
      <c r="U953" s="566"/>
      <c r="V953" s="566"/>
    </row>
    <row r="954" spans="2:22">
      <c r="B954" s="336"/>
      <c r="C954" s="566"/>
      <c r="D954" s="566"/>
      <c r="E954" s="566"/>
      <c r="F954" s="566"/>
      <c r="G954" s="566"/>
      <c r="H954" s="566"/>
      <c r="I954" s="566"/>
      <c r="J954" s="337"/>
      <c r="K954" s="337"/>
      <c r="L954" s="566"/>
      <c r="M954" s="566"/>
      <c r="N954" s="566"/>
      <c r="O954" s="566"/>
      <c r="P954" s="566"/>
      <c r="Q954" s="566"/>
      <c r="R954" s="566"/>
      <c r="S954" s="566"/>
      <c r="T954" s="566"/>
      <c r="U954" s="566"/>
      <c r="V954" s="566"/>
    </row>
    <row r="955" spans="2:22">
      <c r="B955" s="336"/>
      <c r="C955" s="566"/>
      <c r="D955" s="566"/>
      <c r="E955" s="566"/>
      <c r="F955" s="566"/>
      <c r="G955" s="566"/>
      <c r="H955" s="566"/>
      <c r="I955" s="566"/>
      <c r="J955" s="337"/>
      <c r="K955" s="337"/>
      <c r="L955" s="566"/>
      <c r="M955" s="566"/>
      <c r="N955" s="566"/>
      <c r="O955" s="566"/>
      <c r="P955" s="566"/>
      <c r="Q955" s="566"/>
      <c r="R955" s="566"/>
      <c r="S955" s="566"/>
      <c r="T955" s="566"/>
      <c r="U955" s="566"/>
      <c r="V955" s="566"/>
    </row>
    <row r="956" spans="2:22">
      <c r="B956" s="336"/>
      <c r="C956" s="566"/>
      <c r="D956" s="566"/>
      <c r="E956" s="566"/>
      <c r="F956" s="566"/>
      <c r="G956" s="566"/>
      <c r="H956" s="566"/>
      <c r="I956" s="566"/>
      <c r="J956" s="337"/>
      <c r="K956" s="337"/>
      <c r="L956" s="566"/>
      <c r="M956" s="566"/>
      <c r="N956" s="566"/>
      <c r="O956" s="566"/>
      <c r="P956" s="566"/>
      <c r="Q956" s="566"/>
      <c r="R956" s="566"/>
      <c r="S956" s="566"/>
      <c r="T956" s="566"/>
      <c r="U956" s="566"/>
      <c r="V956" s="566"/>
    </row>
    <row r="957" spans="2:22">
      <c r="B957" s="336"/>
      <c r="C957" s="566"/>
      <c r="D957" s="566"/>
      <c r="E957" s="566"/>
      <c r="F957" s="566"/>
      <c r="G957" s="566"/>
      <c r="H957" s="566"/>
      <c r="I957" s="566"/>
      <c r="J957" s="337"/>
      <c r="K957" s="337"/>
      <c r="L957" s="566"/>
      <c r="M957" s="566"/>
      <c r="N957" s="566"/>
      <c r="O957" s="566"/>
      <c r="P957" s="566"/>
      <c r="Q957" s="566"/>
      <c r="R957" s="566"/>
      <c r="S957" s="566"/>
      <c r="T957" s="566"/>
      <c r="U957" s="566"/>
      <c r="V957" s="566"/>
    </row>
    <row r="958" spans="2:22">
      <c r="B958" s="336"/>
      <c r="C958" s="566"/>
      <c r="D958" s="566"/>
      <c r="E958" s="566"/>
      <c r="F958" s="566"/>
      <c r="G958" s="566"/>
      <c r="H958" s="566"/>
      <c r="I958" s="566"/>
      <c r="J958" s="337"/>
      <c r="K958" s="337"/>
      <c r="L958" s="566"/>
      <c r="M958" s="566"/>
      <c r="N958" s="566"/>
      <c r="O958" s="566"/>
      <c r="P958" s="566"/>
      <c r="Q958" s="566"/>
      <c r="R958" s="566"/>
      <c r="S958" s="566"/>
      <c r="T958" s="566"/>
      <c r="U958" s="566"/>
      <c r="V958" s="566"/>
    </row>
    <row r="959" spans="2:22">
      <c r="B959" s="336"/>
      <c r="C959" s="566"/>
      <c r="D959" s="566"/>
      <c r="E959" s="566"/>
      <c r="F959" s="566"/>
      <c r="G959" s="566"/>
      <c r="H959" s="566"/>
      <c r="I959" s="566"/>
      <c r="J959" s="337"/>
      <c r="K959" s="337"/>
      <c r="L959" s="566"/>
      <c r="M959" s="566"/>
      <c r="N959" s="566"/>
      <c r="O959" s="566"/>
      <c r="P959" s="566"/>
      <c r="Q959" s="566"/>
      <c r="R959" s="566"/>
      <c r="S959" s="566"/>
      <c r="T959" s="566"/>
      <c r="U959" s="566"/>
      <c r="V959" s="566"/>
    </row>
    <row r="960" spans="2:22">
      <c r="B960" s="336"/>
      <c r="C960" s="566"/>
      <c r="D960" s="566"/>
      <c r="E960" s="566"/>
      <c r="F960" s="566"/>
      <c r="G960" s="566"/>
      <c r="H960" s="566"/>
      <c r="I960" s="566"/>
      <c r="J960" s="337"/>
      <c r="K960" s="337"/>
      <c r="L960" s="566"/>
      <c r="M960" s="566"/>
      <c r="N960" s="566"/>
      <c r="O960" s="566"/>
      <c r="P960" s="566"/>
      <c r="Q960" s="566"/>
      <c r="R960" s="566"/>
      <c r="S960" s="566"/>
      <c r="T960" s="566"/>
      <c r="U960" s="566"/>
      <c r="V960" s="566"/>
    </row>
    <row r="961" spans="2:22">
      <c r="B961" s="336"/>
      <c r="C961" s="566"/>
      <c r="D961" s="566"/>
      <c r="E961" s="566"/>
      <c r="F961" s="566"/>
      <c r="G961" s="566"/>
      <c r="H961" s="566"/>
      <c r="I961" s="566"/>
      <c r="J961" s="337"/>
      <c r="K961" s="337"/>
      <c r="L961" s="566"/>
      <c r="M961" s="566"/>
      <c r="N961" s="566"/>
      <c r="O961" s="566"/>
      <c r="P961" s="566"/>
      <c r="Q961" s="566"/>
      <c r="R961" s="566"/>
      <c r="S961" s="566"/>
      <c r="T961" s="566"/>
      <c r="U961" s="566"/>
      <c r="V961" s="566"/>
    </row>
    <row r="962" spans="2:22">
      <c r="B962" s="336"/>
      <c r="C962" s="566"/>
      <c r="D962" s="566"/>
      <c r="E962" s="566"/>
      <c r="F962" s="566"/>
      <c r="G962" s="566"/>
      <c r="H962" s="566"/>
      <c r="I962" s="566"/>
      <c r="J962" s="337"/>
      <c r="K962" s="337"/>
      <c r="L962" s="566"/>
      <c r="M962" s="566"/>
      <c r="N962" s="566"/>
      <c r="O962" s="566"/>
      <c r="P962" s="566"/>
      <c r="Q962" s="566"/>
      <c r="R962" s="566"/>
      <c r="S962" s="566"/>
      <c r="T962" s="566"/>
      <c r="U962" s="566"/>
      <c r="V962" s="566"/>
    </row>
    <row r="963" spans="2:22">
      <c r="C963" s="566"/>
      <c r="D963" s="566"/>
      <c r="E963" s="566"/>
      <c r="F963" s="566"/>
      <c r="G963" s="566"/>
      <c r="H963" s="566"/>
      <c r="I963" s="566"/>
      <c r="J963" s="337"/>
      <c r="K963" s="337"/>
      <c r="L963" s="566"/>
      <c r="M963" s="566"/>
      <c r="N963" s="566"/>
      <c r="O963" s="566"/>
      <c r="P963" s="566"/>
      <c r="Q963" s="566"/>
      <c r="R963" s="566"/>
      <c r="S963" s="566"/>
      <c r="T963" s="566"/>
      <c r="U963" s="566"/>
      <c r="V963" s="566"/>
    </row>
  </sheetData>
  <mergeCells count="452">
    <mergeCell ref="AB469:AB470"/>
    <mergeCell ref="AA471:AA477"/>
    <mergeCell ref="AB471:AB477"/>
    <mergeCell ref="AB494:AB495"/>
    <mergeCell ref="AA496:AA502"/>
    <mergeCell ref="AB496:AB502"/>
    <mergeCell ref="AB519:AB520"/>
    <mergeCell ref="AB401:AB402"/>
    <mergeCell ref="AA403:AA405"/>
    <mergeCell ref="AB403:AB405"/>
    <mergeCell ref="AB424:AB425"/>
    <mergeCell ref="AA426:AA428"/>
    <mergeCell ref="AB426:AB428"/>
    <mergeCell ref="AB445:AB446"/>
    <mergeCell ref="AA447:AA455"/>
    <mergeCell ref="AB447:AB455"/>
    <mergeCell ref="AA401:AA402"/>
    <mergeCell ref="AA424:AA425"/>
    <mergeCell ref="AA445:AA446"/>
    <mergeCell ref="AA469:AA470"/>
    <mergeCell ref="AA494:AA495"/>
    <mergeCell ref="AA519:AA520"/>
    <mergeCell ref="AB6:AB7"/>
    <mergeCell ref="AA8:AA34"/>
    <mergeCell ref="AB8:AB34"/>
    <mergeCell ref="AB108:AB109"/>
    <mergeCell ref="AA110:AA134"/>
    <mergeCell ref="AB110:AB134"/>
    <mergeCell ref="AB152:AB153"/>
    <mergeCell ref="AA154:AA174"/>
    <mergeCell ref="AB154:AB174"/>
    <mergeCell ref="AA55:AA89"/>
    <mergeCell ref="AB53:AB54"/>
    <mergeCell ref="AB55:AB89"/>
    <mergeCell ref="AB313:AB314"/>
    <mergeCell ref="AA315:AA331"/>
    <mergeCell ref="AB315:AB331"/>
    <mergeCell ref="AB349:AB350"/>
    <mergeCell ref="AA351:AA384"/>
    <mergeCell ref="AB351:AB384"/>
    <mergeCell ref="AA6:AA7"/>
    <mergeCell ref="AA53:AA54"/>
    <mergeCell ref="AA108:AA109"/>
    <mergeCell ref="AA152:AA153"/>
    <mergeCell ref="AA193:AA194"/>
    <mergeCell ref="AA242:AA243"/>
    <mergeCell ref="AA277:AA278"/>
    <mergeCell ref="AA313:AA314"/>
    <mergeCell ref="AA349:AA350"/>
    <mergeCell ref="AB193:AB194"/>
    <mergeCell ref="AA195:AA225"/>
    <mergeCell ref="AB195:AB225"/>
    <mergeCell ref="AB242:AB243"/>
    <mergeCell ref="AA244:AA260"/>
    <mergeCell ref="AB244:AB260"/>
    <mergeCell ref="AB277:AB278"/>
    <mergeCell ref="AA279:AA295"/>
    <mergeCell ref="AB279:AB295"/>
    <mergeCell ref="AL6:AL7"/>
    <mergeCell ref="B53:B54"/>
    <mergeCell ref="C53:C54"/>
    <mergeCell ref="T53:T54"/>
    <mergeCell ref="U53:U54"/>
    <mergeCell ref="V53:V54"/>
    <mergeCell ref="B6:B7"/>
    <mergeCell ref="C6:C7"/>
    <mergeCell ref="T6:T7"/>
    <mergeCell ref="U6:U7"/>
    <mergeCell ref="V6:V7"/>
    <mergeCell ref="G6:G7"/>
    <mergeCell ref="H6:H7"/>
    <mergeCell ref="I6:I7"/>
    <mergeCell ref="J6:J7"/>
    <mergeCell ref="K6:K7"/>
    <mergeCell ref="M6:M7"/>
    <mergeCell ref="M53:M54"/>
    <mergeCell ref="P53:P54"/>
    <mergeCell ref="D6:F6"/>
    <mergeCell ref="D53:F53"/>
    <mergeCell ref="P6:P7"/>
    <mergeCell ref="I53:I54"/>
    <mergeCell ref="J53:J54"/>
    <mergeCell ref="B152:B153"/>
    <mergeCell ref="C152:C153"/>
    <mergeCell ref="T152:T153"/>
    <mergeCell ref="B108:B109"/>
    <mergeCell ref="C108:C109"/>
    <mergeCell ref="F145:I145"/>
    <mergeCell ref="L145:V145"/>
    <mergeCell ref="T108:T109"/>
    <mergeCell ref="U108:U109"/>
    <mergeCell ref="V108:V109"/>
    <mergeCell ref="G108:G109"/>
    <mergeCell ref="H108:H109"/>
    <mergeCell ref="I108:I109"/>
    <mergeCell ref="J108:J109"/>
    <mergeCell ref="K108:K109"/>
    <mergeCell ref="M108:M109"/>
    <mergeCell ref="C141:D141"/>
    <mergeCell ref="F141:I141"/>
    <mergeCell ref="L141:V141"/>
    <mergeCell ref="H152:H153"/>
    <mergeCell ref="I152:I153"/>
    <mergeCell ref="P152:P153"/>
    <mergeCell ref="AG6:AG7"/>
    <mergeCell ref="AD6:AD7"/>
    <mergeCell ref="F41:I41"/>
    <mergeCell ref="L41:V41"/>
    <mergeCell ref="C391:D391"/>
    <mergeCell ref="C412:D412"/>
    <mergeCell ref="AD193:AD194"/>
    <mergeCell ref="G193:G194"/>
    <mergeCell ref="H193:H194"/>
    <mergeCell ref="I193:I194"/>
    <mergeCell ref="J193:J194"/>
    <mergeCell ref="K193:K194"/>
    <mergeCell ref="M193:M194"/>
    <mergeCell ref="P193:P194"/>
    <mergeCell ref="AD277:AD278"/>
    <mergeCell ref="J313:J314"/>
    <mergeCell ref="K313:K314"/>
    <mergeCell ref="M313:M314"/>
    <mergeCell ref="P313:P314"/>
    <mergeCell ref="AD242:AD243"/>
    <mergeCell ref="L232:V232"/>
    <mergeCell ref="C41:D41"/>
    <mergeCell ref="J349:J350"/>
    <mergeCell ref="K349:K350"/>
    <mergeCell ref="B193:B194"/>
    <mergeCell ref="C193:C194"/>
    <mergeCell ref="T193:T194"/>
    <mergeCell ref="U193:U194"/>
    <mergeCell ref="B277:B278"/>
    <mergeCell ref="C277:C278"/>
    <mergeCell ref="T277:T278"/>
    <mergeCell ref="U277:U278"/>
    <mergeCell ref="G277:G278"/>
    <mergeCell ref="H277:H278"/>
    <mergeCell ref="I277:I278"/>
    <mergeCell ref="J277:J278"/>
    <mergeCell ref="K277:K278"/>
    <mergeCell ref="M277:M278"/>
    <mergeCell ref="P277:P278"/>
    <mergeCell ref="F267:I267"/>
    <mergeCell ref="L267:V267"/>
    <mergeCell ref="F271:I271"/>
    <mergeCell ref="L271:V271"/>
    <mergeCell ref="B242:B243"/>
    <mergeCell ref="C242:C243"/>
    <mergeCell ref="T242:T243"/>
    <mergeCell ref="C267:D267"/>
    <mergeCell ref="D277:F277"/>
    <mergeCell ref="T313:T314"/>
    <mergeCell ref="U313:U314"/>
    <mergeCell ref="V313:V314"/>
    <mergeCell ref="B401:B402"/>
    <mergeCell ref="C401:C402"/>
    <mergeCell ref="T401:T402"/>
    <mergeCell ref="U401:U402"/>
    <mergeCell ref="V401:V402"/>
    <mergeCell ref="F338:I338"/>
    <mergeCell ref="L338:V338"/>
    <mergeCell ref="F342:I342"/>
    <mergeCell ref="L342:V342"/>
    <mergeCell ref="B349:B350"/>
    <mergeCell ref="C349:C350"/>
    <mergeCell ref="T349:T350"/>
    <mergeCell ref="U349:U350"/>
    <mergeCell ref="V349:V350"/>
    <mergeCell ref="G349:G350"/>
    <mergeCell ref="H349:H350"/>
    <mergeCell ref="I349:I350"/>
    <mergeCell ref="F391:I391"/>
    <mergeCell ref="D401:F401"/>
    <mergeCell ref="G401:G402"/>
    <mergeCell ref="H401:H402"/>
    <mergeCell ref="I401:I402"/>
    <mergeCell ref="J401:J402"/>
    <mergeCell ref="K401:K402"/>
    <mergeCell ref="M401:M402"/>
    <mergeCell ref="G313:G314"/>
    <mergeCell ref="B313:B314"/>
    <mergeCell ref="C313:C314"/>
    <mergeCell ref="B424:B425"/>
    <mergeCell ref="C424:C425"/>
    <mergeCell ref="T424:T425"/>
    <mergeCell ref="U424:U425"/>
    <mergeCell ref="V424:V425"/>
    <mergeCell ref="G424:G425"/>
    <mergeCell ref="H424:H425"/>
    <mergeCell ref="J424:J425"/>
    <mergeCell ref="F412:I412"/>
    <mergeCell ref="L412:V412"/>
    <mergeCell ref="F416:I416"/>
    <mergeCell ref="L416:V416"/>
    <mergeCell ref="K424:K425"/>
    <mergeCell ref="M424:M425"/>
    <mergeCell ref="P424:P425"/>
    <mergeCell ref="D424:F424"/>
    <mergeCell ref="B445:B446"/>
    <mergeCell ref="C445:C446"/>
    <mergeCell ref="T445:T446"/>
    <mergeCell ref="U445:U446"/>
    <mergeCell ref="V445:V446"/>
    <mergeCell ref="G445:G446"/>
    <mergeCell ref="H445:H446"/>
    <mergeCell ref="I445:I446"/>
    <mergeCell ref="J445:J446"/>
    <mergeCell ref="K445:K446"/>
    <mergeCell ref="M445:M446"/>
    <mergeCell ref="P445:P446"/>
    <mergeCell ref="D445:F445"/>
    <mergeCell ref="C602:C603"/>
    <mergeCell ref="Q602:U603"/>
    <mergeCell ref="V602:V603"/>
    <mergeCell ref="B519:B520"/>
    <mergeCell ref="C519:C520"/>
    <mergeCell ref="T519:T520"/>
    <mergeCell ref="U519:U520"/>
    <mergeCell ref="V519:V520"/>
    <mergeCell ref="G469:G470"/>
    <mergeCell ref="H469:H470"/>
    <mergeCell ref="I469:I470"/>
    <mergeCell ref="J469:J470"/>
    <mergeCell ref="K469:K470"/>
    <mergeCell ref="M469:M470"/>
    <mergeCell ref="P469:P470"/>
    <mergeCell ref="V469:V470"/>
    <mergeCell ref="B791:B792"/>
    <mergeCell ref="C791:C792"/>
    <mergeCell ref="T791:T792"/>
    <mergeCell ref="U791:U792"/>
    <mergeCell ref="V791:V792"/>
    <mergeCell ref="AD519:AD520"/>
    <mergeCell ref="G519:G520"/>
    <mergeCell ref="H519:H520"/>
    <mergeCell ref="I519:I520"/>
    <mergeCell ref="J519:J520"/>
    <mergeCell ref="K519:K520"/>
    <mergeCell ref="M519:M520"/>
    <mergeCell ref="P519:P520"/>
    <mergeCell ref="C719:C720"/>
    <mergeCell ref="V719:V720"/>
    <mergeCell ref="F618:I618"/>
    <mergeCell ref="L618:V618"/>
    <mergeCell ref="F643:I643"/>
    <mergeCell ref="L643:V643"/>
    <mergeCell ref="F665:I665"/>
    <mergeCell ref="L665:V665"/>
    <mergeCell ref="D519:F519"/>
    <mergeCell ref="L593:V593"/>
    <mergeCell ref="B602:B603"/>
    <mergeCell ref="B858:B859"/>
    <mergeCell ref="C858:C859"/>
    <mergeCell ref="E858:E859"/>
    <mergeCell ref="F858:F859"/>
    <mergeCell ref="G858:G859"/>
    <mergeCell ref="H858:H859"/>
    <mergeCell ref="F805:I805"/>
    <mergeCell ref="L805:V805"/>
    <mergeCell ref="F828:I828"/>
    <mergeCell ref="L828:V828"/>
    <mergeCell ref="F850:I850"/>
    <mergeCell ref="L850:V850"/>
    <mergeCell ref="B933:B934"/>
    <mergeCell ref="C933:C934"/>
    <mergeCell ref="T933:T934"/>
    <mergeCell ref="U933:U934"/>
    <mergeCell ref="V933:V934"/>
    <mergeCell ref="F883:I883"/>
    <mergeCell ref="B890:B891"/>
    <mergeCell ref="C890:C891"/>
    <mergeCell ref="Q890:U891"/>
    <mergeCell ref="V890:V891"/>
    <mergeCell ref="F903:I903"/>
    <mergeCell ref="L903:V903"/>
    <mergeCell ref="H941:K941"/>
    <mergeCell ref="L943:V943"/>
    <mergeCell ref="F944:I944"/>
    <mergeCell ref="F926:I926"/>
    <mergeCell ref="L926:V926"/>
    <mergeCell ref="Q870:U870"/>
    <mergeCell ref="Q871:U871"/>
    <mergeCell ref="Q872:U872"/>
    <mergeCell ref="Q873:U873"/>
    <mergeCell ref="L879:V879"/>
    <mergeCell ref="Q882:Z882"/>
    <mergeCell ref="Q865:U865"/>
    <mergeCell ref="Q866:U866"/>
    <mergeCell ref="Q867:U867"/>
    <mergeCell ref="Q868:U868"/>
    <mergeCell ref="Q869:U869"/>
    <mergeCell ref="Q858:U859"/>
    <mergeCell ref="V858:V859"/>
    <mergeCell ref="D349:F349"/>
    <mergeCell ref="Q860:U860"/>
    <mergeCell ref="Q861:U861"/>
    <mergeCell ref="Q862:U862"/>
    <mergeCell ref="Q863:U863"/>
    <mergeCell ref="I858:I859"/>
    <mergeCell ref="J858:J859"/>
    <mergeCell ref="K858:K859"/>
    <mergeCell ref="L858:L859"/>
    <mergeCell ref="M858:M859"/>
    <mergeCell ref="N858:N859"/>
    <mergeCell ref="F687:I687"/>
    <mergeCell ref="L687:V687"/>
    <mergeCell ref="F710:I710"/>
    <mergeCell ref="L710:V710"/>
    <mergeCell ref="I424:I425"/>
    <mergeCell ref="L804:V804"/>
    <mergeCell ref="L302:V302"/>
    <mergeCell ref="F306:I306"/>
    <mergeCell ref="L306:V306"/>
    <mergeCell ref="V277:V278"/>
    <mergeCell ref="F232:I232"/>
    <mergeCell ref="Q864:U864"/>
    <mergeCell ref="L737:V737"/>
    <mergeCell ref="F738:I738"/>
    <mergeCell ref="L738:V738"/>
    <mergeCell ref="F762:I762"/>
    <mergeCell ref="L762:V762"/>
    <mergeCell ref="F786:I786"/>
    <mergeCell ref="L786:V786"/>
    <mergeCell ref="L484:V484"/>
    <mergeCell ref="F485:I485"/>
    <mergeCell ref="Q487:V487"/>
    <mergeCell ref="L617:V617"/>
    <mergeCell ref="F433:I433"/>
    <mergeCell ref="L433:V433"/>
    <mergeCell ref="T469:T470"/>
    <mergeCell ref="U469:U470"/>
    <mergeCell ref="L236:V236"/>
    <mergeCell ref="F462:I462"/>
    <mergeCell ref="F395:I395"/>
    <mergeCell ref="V242:V243"/>
    <mergeCell ref="J242:J243"/>
    <mergeCell ref="K242:K243"/>
    <mergeCell ref="M242:M243"/>
    <mergeCell ref="P242:P243"/>
    <mergeCell ref="U242:U243"/>
    <mergeCell ref="AD108:AD109"/>
    <mergeCell ref="H313:H314"/>
    <mergeCell ref="I313:I314"/>
    <mergeCell ref="F236:I236"/>
    <mergeCell ref="G242:G243"/>
    <mergeCell ref="H242:H243"/>
    <mergeCell ref="I242:I243"/>
    <mergeCell ref="J152:J153"/>
    <mergeCell ref="K152:K153"/>
    <mergeCell ref="M152:M153"/>
    <mergeCell ref="F182:I182"/>
    <mergeCell ref="F186:I186"/>
    <mergeCell ref="D152:F152"/>
    <mergeCell ref="D193:F193"/>
    <mergeCell ref="D242:F242"/>
    <mergeCell ref="G152:G153"/>
    <mergeCell ref="C232:D232"/>
    <mergeCell ref="D313:F313"/>
    <mergeCell ref="AD53:AD54"/>
    <mergeCell ref="K93:M93"/>
    <mergeCell ref="L96:V96"/>
    <mergeCell ref="L100:V100"/>
    <mergeCell ref="G53:G54"/>
    <mergeCell ref="H53:H54"/>
    <mergeCell ref="K53:K54"/>
    <mergeCell ref="P108:P109"/>
    <mergeCell ref="F96:I96"/>
    <mergeCell ref="F100:I100"/>
    <mergeCell ref="D108:F108"/>
    <mergeCell ref="AF152:AF153"/>
    <mergeCell ref="AF193:AF194"/>
    <mergeCell ref="AF242:AF243"/>
    <mergeCell ref="AF277:AF278"/>
    <mergeCell ref="AF313:AF314"/>
    <mergeCell ref="AF349:AF350"/>
    <mergeCell ref="AF445:AF446"/>
    <mergeCell ref="AD152:AD153"/>
    <mergeCell ref="L182:V182"/>
    <mergeCell ref="L186:V186"/>
    <mergeCell ref="U152:U153"/>
    <mergeCell ref="V152:V153"/>
    <mergeCell ref="AD424:AD425"/>
    <mergeCell ref="AD349:AD350"/>
    <mergeCell ref="AD445:AD446"/>
    <mergeCell ref="M349:M350"/>
    <mergeCell ref="P349:P350"/>
    <mergeCell ref="AD313:AD314"/>
    <mergeCell ref="V193:V194"/>
    <mergeCell ref="L391:V391"/>
    <mergeCell ref="L395:V395"/>
    <mergeCell ref="L397:M397"/>
    <mergeCell ref="P401:P402"/>
    <mergeCell ref="AD401:AD402"/>
    <mergeCell ref="AF519:AF520"/>
    <mergeCell ref="AF6:AF7"/>
    <mergeCell ref="AH6:AH7"/>
    <mergeCell ref="AJ6:AK6"/>
    <mergeCell ref="AH53:AH54"/>
    <mergeCell ref="AJ53:AK53"/>
    <mergeCell ref="AH108:AH109"/>
    <mergeCell ref="AJ108:AK108"/>
    <mergeCell ref="AH152:AH153"/>
    <mergeCell ref="AJ152:AK152"/>
    <mergeCell ref="AH193:AH194"/>
    <mergeCell ref="AJ193:AK193"/>
    <mergeCell ref="AH242:AH243"/>
    <mergeCell ref="AJ242:AK242"/>
    <mergeCell ref="AH277:AH278"/>
    <mergeCell ref="AJ277:AK277"/>
    <mergeCell ref="AH313:AH314"/>
    <mergeCell ref="AJ313:AK313"/>
    <mergeCell ref="AH349:AH350"/>
    <mergeCell ref="AJ349:AK349"/>
    <mergeCell ref="AH519:AH520"/>
    <mergeCell ref="AJ519:AK519"/>
    <mergeCell ref="AF108:AF109"/>
    <mergeCell ref="AF53:AF54"/>
    <mergeCell ref="AG53:AG54"/>
    <mergeCell ref="AG519:AG520"/>
    <mergeCell ref="AG108:AG109"/>
    <mergeCell ref="AG152:AG153"/>
    <mergeCell ref="AG193:AG194"/>
    <mergeCell ref="AG242:AG243"/>
    <mergeCell ref="AG277:AG278"/>
    <mergeCell ref="AG313:AG314"/>
    <mergeCell ref="AG349:AG350"/>
    <mergeCell ref="AG445:AG446"/>
    <mergeCell ref="AH445:AJ445"/>
    <mergeCell ref="AM279:AN279"/>
    <mergeCell ref="AD494:AD495"/>
    <mergeCell ref="L509:V509"/>
    <mergeCell ref="F510:I510"/>
    <mergeCell ref="T494:T495"/>
    <mergeCell ref="U494:U495"/>
    <mergeCell ref="B494:B495"/>
    <mergeCell ref="D494:F494"/>
    <mergeCell ref="K494:K495"/>
    <mergeCell ref="M494:M495"/>
    <mergeCell ref="P494:P495"/>
    <mergeCell ref="V494:V495"/>
    <mergeCell ref="G494:G495"/>
    <mergeCell ref="H494:H495"/>
    <mergeCell ref="I494:I495"/>
    <mergeCell ref="J494:J495"/>
    <mergeCell ref="C302:D302"/>
    <mergeCell ref="AD469:AD470"/>
    <mergeCell ref="B469:B470"/>
    <mergeCell ref="D469:F469"/>
    <mergeCell ref="H459:K459"/>
    <mergeCell ref="L461:V461"/>
    <mergeCell ref="F302:I302"/>
  </mergeCells>
  <printOptions horizontalCentered="1"/>
  <pageMargins left="0.15748031496063" right="0.118110236220472" top="0.196850393700787" bottom="0.23622047244094499" header="0.118110236220472" footer="3.9370078740157501E-2"/>
  <pageSetup paperSize="14" scale="40" orientation="landscape" r:id="rId1"/>
  <headerFooter alignWithMargins="0"/>
  <rowBreaks count="28" manualBreakCount="28">
    <brk id="47" max="39" man="1"/>
    <brk id="102" max="39" man="1"/>
    <brk id="145" max="16383" man="1"/>
    <brk id="186" max="16383" man="1"/>
    <brk id="235" max="16383" man="1"/>
    <brk id="271" max="39" man="1"/>
    <brk id="307" max="39" man="1"/>
    <brk id="342" max="16383" man="1"/>
    <brk id="394" max="16383" man="1"/>
    <brk id="418" max="39" man="1"/>
    <brk id="439" max="39" man="1"/>
    <brk id="463" max="39" man="1"/>
    <brk id="485" max="16383" man="1"/>
    <brk id="509" max="16383" man="1"/>
    <brk id="597" max="39" man="1"/>
    <brk id="622" max="39" man="1"/>
    <brk id="644" max="39" man="1"/>
    <brk id="667" max="39" man="1"/>
    <brk id="689" max="39" man="1"/>
    <brk id="714" max="39" man="1"/>
    <brk id="739" max="39" man="1"/>
    <brk id="764" max="39" man="1"/>
    <brk id="786" max="39" man="1"/>
    <brk id="807" max="39" man="1"/>
    <brk id="831" max="39" man="1"/>
    <brk id="854" max="39" man="1"/>
    <brk id="885" max="39" man="1"/>
    <brk id="927" max="39" man="1"/>
  </rowBreaks>
  <colBreaks count="1" manualBreakCount="1">
    <brk id="28" min="1" max="9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workbookViewId="0">
      <selection activeCell="C38" sqref="C38"/>
    </sheetView>
  </sheetViews>
  <sheetFormatPr defaultRowHeight="12.75"/>
  <cols>
    <col min="1" max="1" width="38.28515625" bestFit="1" customWidth="1"/>
    <col min="2" max="2" width="15.5703125" customWidth="1"/>
    <col min="3" max="3" width="17.5703125" customWidth="1"/>
    <col min="4" max="4" width="17.42578125" customWidth="1"/>
  </cols>
  <sheetData>
    <row r="3" spans="1:4">
      <c r="A3" s="1254" t="s">
        <v>598</v>
      </c>
      <c r="B3" s="1254"/>
      <c r="C3" s="1254"/>
      <c r="D3" s="1254"/>
    </row>
    <row r="6" spans="1:4">
      <c r="A6" s="1252" t="s">
        <v>1</v>
      </c>
      <c r="B6" s="1252" t="s">
        <v>602</v>
      </c>
      <c r="C6" s="1252" t="s">
        <v>603</v>
      </c>
      <c r="D6" s="1252" t="s">
        <v>3</v>
      </c>
    </row>
    <row r="7" spans="1:4">
      <c r="A7" s="1253"/>
      <c r="B7" s="1253"/>
      <c r="C7" s="1253"/>
      <c r="D7" s="1253"/>
    </row>
    <row r="8" spans="1:4">
      <c r="A8" s="601" t="s">
        <v>7</v>
      </c>
      <c r="B8" s="789">
        <v>123600328</v>
      </c>
      <c r="C8" s="13">
        <f>'SEPTEMBER DIBAYAR OKT 2025 '!V522</f>
        <v>878370277.00500011</v>
      </c>
      <c r="D8" s="611">
        <f>B8+C8</f>
        <v>1001970605.0050001</v>
      </c>
    </row>
    <row r="9" spans="1:4">
      <c r="A9" s="601"/>
      <c r="B9" s="738"/>
      <c r="C9" s="601"/>
      <c r="D9" s="611"/>
    </row>
    <row r="10" spans="1:4">
      <c r="A10" s="601" t="s">
        <v>8</v>
      </c>
      <c r="B10" s="789">
        <v>113089408</v>
      </c>
      <c r="C10" s="13">
        <f>'SEPTEMBER DIBAYAR OKT 2025 '!V524</f>
        <v>695391805.44148147</v>
      </c>
      <c r="D10" s="611">
        <f t="shared" ref="D10:D40" si="0">B10+C10</f>
        <v>808481213.44148147</v>
      </c>
    </row>
    <row r="11" spans="1:4">
      <c r="A11" s="601"/>
      <c r="B11" s="789"/>
      <c r="C11" s="601"/>
      <c r="D11" s="611"/>
    </row>
    <row r="12" spans="1:4">
      <c r="A12" s="601" t="s">
        <v>6</v>
      </c>
      <c r="B12" s="789">
        <v>127956678.65999998</v>
      </c>
      <c r="C12" s="13">
        <f>'SEPTEMBER DIBAYAR OKT 2025 '!V526</f>
        <v>804360363.26000023</v>
      </c>
      <c r="D12" s="611">
        <f t="shared" si="0"/>
        <v>932317041.9200002</v>
      </c>
    </row>
    <row r="13" spans="1:4">
      <c r="A13" s="601"/>
      <c r="B13" s="789"/>
      <c r="C13" s="601"/>
      <c r="D13" s="611"/>
    </row>
    <row r="14" spans="1:4">
      <c r="A14" s="601" t="s">
        <v>5</v>
      </c>
      <c r="B14" s="789">
        <v>85491956.876666665</v>
      </c>
      <c r="C14" s="13">
        <f>'SEPTEMBER DIBAYAR OKT 2025 '!V528</f>
        <v>594505798.47682667</v>
      </c>
      <c r="D14" s="611">
        <f t="shared" si="0"/>
        <v>679997755.35349333</v>
      </c>
    </row>
    <row r="15" spans="1:4">
      <c r="A15" s="601"/>
      <c r="B15" s="789"/>
      <c r="C15" s="601"/>
      <c r="D15" s="611"/>
    </row>
    <row r="16" spans="1:4">
      <c r="A16" s="601" t="s">
        <v>9</v>
      </c>
      <c r="B16" s="789">
        <v>126346301</v>
      </c>
      <c r="C16" s="13">
        <f>'SEPTEMBER DIBAYAR OKT 2025 '!V530</f>
        <v>966927557.39999998</v>
      </c>
      <c r="D16" s="611">
        <f t="shared" si="0"/>
        <v>1093273858.4000001</v>
      </c>
    </row>
    <row r="17" spans="1:7">
      <c r="A17" s="601"/>
      <c r="B17" s="789"/>
      <c r="C17" s="601"/>
      <c r="D17" s="611"/>
    </row>
    <row r="18" spans="1:7">
      <c r="A18" s="601" t="s">
        <v>76</v>
      </c>
      <c r="B18" s="789">
        <v>9966517</v>
      </c>
      <c r="C18" s="13">
        <f>'SEPTEMBER DIBAYAR OKT 2025 '!V532</f>
        <v>87891747.220000014</v>
      </c>
      <c r="D18" s="611">
        <f t="shared" si="0"/>
        <v>97858264.220000014</v>
      </c>
    </row>
    <row r="19" spans="1:7">
      <c r="A19" s="601"/>
      <c r="B19" s="789"/>
      <c r="C19" s="601"/>
      <c r="D19" s="611"/>
    </row>
    <row r="20" spans="1:7">
      <c r="A20" s="601" t="s">
        <v>54</v>
      </c>
      <c r="B20" s="789">
        <v>17796308.509999998</v>
      </c>
      <c r="C20" s="13">
        <f>'SEPTEMBER DIBAYAR OKT 2025 '!V534</f>
        <v>161128300.27999997</v>
      </c>
      <c r="D20" s="611">
        <f t="shared" si="0"/>
        <v>178924608.78999996</v>
      </c>
    </row>
    <row r="21" spans="1:7">
      <c r="A21" s="601"/>
      <c r="B21" s="789"/>
      <c r="C21" s="601"/>
      <c r="D21" s="611"/>
    </row>
    <row r="22" spans="1:7">
      <c r="A22" s="601" t="s">
        <v>576</v>
      </c>
      <c r="B22" s="789"/>
      <c r="C22" s="13">
        <f>'SEPTEMBER DIBAYAR OKT 2025 '!V538</f>
        <v>1234277949</v>
      </c>
      <c r="D22" s="611">
        <f t="shared" si="0"/>
        <v>1234277949</v>
      </c>
    </row>
    <row r="23" spans="1:7">
      <c r="A23" s="601"/>
      <c r="B23" s="789"/>
      <c r="C23" s="601"/>
      <c r="D23" s="611"/>
    </row>
    <row r="24" spans="1:7">
      <c r="A24" s="601" t="s">
        <v>580</v>
      </c>
      <c r="B24" s="789"/>
      <c r="C24" s="13">
        <f>'SEPTEMBER DIBAYAR OKT 2025 '!V540</f>
        <v>0</v>
      </c>
      <c r="D24" s="611">
        <f t="shared" si="0"/>
        <v>0</v>
      </c>
    </row>
    <row r="25" spans="1:7">
      <c r="A25" s="601"/>
      <c r="B25" s="789"/>
      <c r="C25" s="601"/>
      <c r="D25" s="611"/>
    </row>
    <row r="26" spans="1:7">
      <c r="A26" s="792" t="s">
        <v>4</v>
      </c>
      <c r="B26" s="793">
        <v>604247498.04666662</v>
      </c>
      <c r="C26" s="794">
        <f>SUM(C8:C25)</f>
        <v>5422853798.0833082</v>
      </c>
      <c r="D26" s="794">
        <f t="shared" si="0"/>
        <v>6027101296.1299744</v>
      </c>
    </row>
    <row r="27" spans="1:7">
      <c r="A27" s="601"/>
      <c r="B27" s="787"/>
      <c r="C27" s="601"/>
      <c r="D27" s="611"/>
    </row>
    <row r="28" spans="1:7">
      <c r="A28" s="601" t="s">
        <v>57</v>
      </c>
      <c r="B28" s="789">
        <v>96906532.960000008</v>
      </c>
      <c r="C28" s="13">
        <f>'SEPTEMBER DIBAYAR OKT 2025 '!V544</f>
        <v>686674496.61000001</v>
      </c>
      <c r="D28" s="611">
        <f t="shared" si="0"/>
        <v>783581029.57000005</v>
      </c>
    </row>
    <row r="29" spans="1:7">
      <c r="A29" s="601"/>
      <c r="B29" s="789"/>
      <c r="C29" s="601"/>
      <c r="D29" s="611"/>
    </row>
    <row r="30" spans="1:7">
      <c r="A30" s="601" t="s">
        <v>58</v>
      </c>
      <c r="B30" s="789">
        <v>89304799.693333343</v>
      </c>
      <c r="C30" s="13">
        <f>'SEPTEMBER DIBAYAR OKT 2025 '!V546</f>
        <v>676070056.35000002</v>
      </c>
      <c r="D30" s="611">
        <f t="shared" si="0"/>
        <v>765374856.04333341</v>
      </c>
    </row>
    <row r="31" spans="1:7">
      <c r="A31" s="601"/>
      <c r="B31" s="789"/>
      <c r="C31" s="601"/>
      <c r="D31" s="611"/>
    </row>
    <row r="32" spans="1:7">
      <c r="A32" s="601" t="s">
        <v>59</v>
      </c>
      <c r="B32" s="789">
        <v>89209565.769094422</v>
      </c>
      <c r="C32" s="13">
        <f>'SEPTEMBER DIBAYAR OKT 2025 '!V548</f>
        <v>628224928.33000004</v>
      </c>
      <c r="D32" s="611">
        <f t="shared" si="0"/>
        <v>717434494.09909451</v>
      </c>
      <c r="G32" s="1"/>
    </row>
    <row r="33" spans="1:4">
      <c r="A33" s="601"/>
      <c r="B33" s="789"/>
      <c r="C33" s="601"/>
      <c r="D33" s="611"/>
    </row>
    <row r="34" spans="1:4">
      <c r="A34" s="601" t="s">
        <v>60</v>
      </c>
      <c r="B34" s="789">
        <v>189746747.47000006</v>
      </c>
      <c r="C34" s="13">
        <f>'SEPTEMBER DIBAYAR OKT 2025 '!V550</f>
        <v>1282489712.0500002</v>
      </c>
      <c r="D34" s="611">
        <f t="shared" si="0"/>
        <v>1472236459.5200002</v>
      </c>
    </row>
    <row r="35" spans="1:4">
      <c r="A35" s="601"/>
      <c r="B35" s="789"/>
      <c r="C35" s="601"/>
      <c r="D35" s="611"/>
    </row>
    <row r="36" spans="1:4">
      <c r="A36" s="601" t="s">
        <v>31</v>
      </c>
      <c r="B36" s="789">
        <v>3546165.8400000003</v>
      </c>
      <c r="C36" s="13">
        <f>'SEPTEMBER DIBAYAR OKT 2025 '!V552</f>
        <v>28906719.039999999</v>
      </c>
      <c r="D36" s="611">
        <f t="shared" si="0"/>
        <v>32452884.879999999</v>
      </c>
    </row>
    <row r="37" spans="1:4">
      <c r="A37" s="601"/>
      <c r="B37" s="789"/>
      <c r="C37" s="601"/>
      <c r="D37" s="611"/>
    </row>
    <row r="38" spans="1:4">
      <c r="A38" s="795" t="s">
        <v>10</v>
      </c>
      <c r="B38" s="788">
        <f>SUM(B26:B37)</f>
        <v>1072961309.7790946</v>
      </c>
      <c r="C38" s="788">
        <f>SUM(C26:C37)</f>
        <v>8725219710.4633102</v>
      </c>
      <c r="D38" s="790">
        <f>SUM(D26:D37)</f>
        <v>9798181020.2424011</v>
      </c>
    </row>
    <row r="39" spans="1:4" hidden="1">
      <c r="A39" s="601"/>
      <c r="B39" s="787"/>
      <c r="C39" s="601"/>
      <c r="D39" s="611"/>
    </row>
    <row r="40" spans="1:4" hidden="1">
      <c r="A40" s="601" t="s">
        <v>61</v>
      </c>
      <c r="B40" s="789">
        <v>30426819</v>
      </c>
      <c r="C40" s="791">
        <f>'SEPTEMBER DIBAYAR OKT 2025 '!V556</f>
        <v>222679964.83999997</v>
      </c>
      <c r="D40" s="791">
        <f t="shared" si="0"/>
        <v>253106783.83999997</v>
      </c>
    </row>
  </sheetData>
  <mergeCells count="5">
    <mergeCell ref="A6:A7"/>
    <mergeCell ref="B6:B7"/>
    <mergeCell ref="C6:C7"/>
    <mergeCell ref="D6:D7"/>
    <mergeCell ref="A3:D3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L78"/>
  <sheetViews>
    <sheetView view="pageBreakPreview" zoomScale="60" zoomScaleNormal="68" workbookViewId="0">
      <selection activeCell="AE11" sqref="AE11"/>
    </sheetView>
  </sheetViews>
  <sheetFormatPr defaultRowHeight="12.75"/>
  <cols>
    <col min="1" max="1" width="27.28515625" style="72" customWidth="1"/>
    <col min="2" max="13" width="30.85546875" style="72" hidden="1" customWidth="1"/>
    <col min="14" max="14" width="15" style="72" hidden="1" customWidth="1"/>
    <col min="15" max="19" width="19.42578125" style="95" hidden="1" customWidth="1"/>
    <col min="20" max="20" width="18.140625" style="95" hidden="1" customWidth="1"/>
    <col min="21" max="21" width="15" style="95" hidden="1" customWidth="1"/>
    <col min="22" max="22" width="12.42578125" style="95" hidden="1" customWidth="1"/>
    <col min="23" max="23" width="14.7109375" style="95" hidden="1" customWidth="1"/>
    <col min="24" max="24" width="14.42578125" style="95" hidden="1" customWidth="1"/>
    <col min="25" max="25" width="15.5703125" style="95" customWidth="1"/>
    <col min="26" max="26" width="24" style="95" customWidth="1"/>
    <col min="27" max="27" width="14.42578125" style="95" customWidth="1"/>
    <col min="28" max="28" width="21.7109375" style="95" customWidth="1"/>
    <col min="29" max="29" width="16.85546875" style="95" customWidth="1"/>
    <col min="30" max="30" width="17" style="95" customWidth="1"/>
    <col min="31" max="31" width="18.42578125" style="95" customWidth="1"/>
    <col min="32" max="32" width="17.7109375" style="72" customWidth="1"/>
    <col min="33" max="33" width="16.7109375" style="72" customWidth="1"/>
    <col min="34" max="34" width="19.85546875" style="72" hidden="1" customWidth="1"/>
    <col min="35" max="35" width="17" style="72" hidden="1" customWidth="1"/>
    <col min="36" max="36" width="15.85546875" style="72" customWidth="1"/>
    <col min="37" max="37" width="9.140625" style="72"/>
    <col min="38" max="38" width="19.7109375" style="72" customWidth="1"/>
    <col min="39" max="16384" width="9.140625" style="72"/>
  </cols>
  <sheetData>
    <row r="1" spans="1:38" ht="15.75">
      <c r="A1" s="535" t="s">
        <v>262</v>
      </c>
    </row>
    <row r="3" spans="1:38" ht="15.75">
      <c r="A3" s="535" t="s">
        <v>705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</row>
    <row r="4" spans="1:38" ht="15" customHeight="1" thickBot="1"/>
    <row r="5" spans="1:38" ht="21" customHeight="1" thickTop="1">
      <c r="A5" s="1256" t="s">
        <v>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74" t="s">
        <v>185</v>
      </c>
      <c r="O5" s="75"/>
      <c r="P5" s="75"/>
      <c r="Q5" s="76"/>
      <c r="R5" s="76"/>
      <c r="S5" s="76"/>
      <c r="T5" s="76"/>
      <c r="U5" s="76"/>
      <c r="V5" s="76"/>
      <c r="W5" s="76"/>
      <c r="X5" s="76"/>
      <c r="Y5" s="214" t="s">
        <v>185</v>
      </c>
      <c r="Z5" s="214" t="s">
        <v>148</v>
      </c>
      <c r="AA5" s="214" t="s">
        <v>3</v>
      </c>
      <c r="AB5" s="214" t="s">
        <v>3</v>
      </c>
      <c r="AC5" s="214" t="s">
        <v>3</v>
      </c>
      <c r="AD5" s="214" t="s">
        <v>3</v>
      </c>
      <c r="AE5" s="520" t="s">
        <v>3</v>
      </c>
      <c r="AF5" s="520" t="s">
        <v>3</v>
      </c>
      <c r="AG5" s="1258" t="s">
        <v>664</v>
      </c>
      <c r="AH5" s="1261" t="s">
        <v>226</v>
      </c>
      <c r="AI5" s="1258" t="s">
        <v>184</v>
      </c>
    </row>
    <row r="6" spans="1:38" ht="30" customHeight="1" thickBot="1">
      <c r="A6" s="1257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417" t="s">
        <v>669</v>
      </c>
      <c r="O6" s="79">
        <v>100000</v>
      </c>
      <c r="P6" s="79">
        <v>50000</v>
      </c>
      <c r="Q6" s="79">
        <v>20000</v>
      </c>
      <c r="R6" s="79">
        <v>10000</v>
      </c>
      <c r="S6" s="79">
        <v>5000</v>
      </c>
      <c r="T6" s="79">
        <v>1000</v>
      </c>
      <c r="U6" s="79">
        <v>500</v>
      </c>
      <c r="V6" s="79">
        <v>100</v>
      </c>
      <c r="W6" s="79">
        <v>50</v>
      </c>
      <c r="X6" s="79" t="s">
        <v>2</v>
      </c>
      <c r="Y6" s="417" t="s">
        <v>681</v>
      </c>
      <c r="Z6" s="110" t="s">
        <v>682</v>
      </c>
      <c r="AA6" s="110" t="s">
        <v>439</v>
      </c>
      <c r="AB6" s="494" t="s">
        <v>703</v>
      </c>
      <c r="AC6" s="110" t="s">
        <v>259</v>
      </c>
      <c r="AD6" s="110" t="s">
        <v>543</v>
      </c>
      <c r="AE6" s="417" t="s">
        <v>681</v>
      </c>
      <c r="AF6" s="580" t="s">
        <v>701</v>
      </c>
      <c r="AG6" s="1259"/>
      <c r="AH6" s="1262"/>
      <c r="AI6" s="1259"/>
    </row>
    <row r="7" spans="1:38" ht="30.75" customHeight="1" thickTop="1">
      <c r="A7" s="114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134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212"/>
      <c r="Z7" s="212"/>
      <c r="AA7" s="212"/>
      <c r="AB7" s="212"/>
      <c r="AC7" s="212"/>
      <c r="AD7" s="212"/>
      <c r="AE7" s="117"/>
      <c r="AF7" s="117"/>
      <c r="AG7" s="117"/>
      <c r="AH7" s="117"/>
      <c r="AI7" s="117"/>
    </row>
    <row r="8" spans="1:38" s="105" customFormat="1" ht="30.75" customHeight="1">
      <c r="A8" s="83" t="s">
        <v>61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84">
        <v>43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4">
        <f>'SEPTEMBER DIBAYAR OKT 2025 '!C556</f>
        <v>43</v>
      </c>
      <c r="Z8" s="84">
        <f>'SEPTEMBER DIBAYAR OKT 2025 '!Q556</f>
        <v>1269044</v>
      </c>
      <c r="AA8" s="84">
        <f>'SEPTEMBER DIBAYAR OKT 2025 '!S456</f>
        <v>430000</v>
      </c>
      <c r="AB8" s="84">
        <f>'SEPTEMBER DIBAYAR OKT 2025 '!T556</f>
        <v>43738652</v>
      </c>
      <c r="AC8" s="84">
        <f>'SEPTEMBER DIBAYAR OKT 2025 '!AD556</f>
        <v>0</v>
      </c>
      <c r="AD8" s="106">
        <f>'SEPTEMBER DIBAYAR OKT 2025 '!U556</f>
        <v>9994008.8399999999</v>
      </c>
      <c r="AE8" s="85">
        <v>236957607</v>
      </c>
      <c r="AF8" s="85">
        <f>'SEPTEMBER DIBAYAR OKT 2025 '!V556</f>
        <v>222679964.83999997</v>
      </c>
      <c r="AG8" s="1110">
        <f>'SEPTEMBER DIBAYAR OKT 2025 '!AA556</f>
        <v>222679965</v>
      </c>
      <c r="AH8" s="1110">
        <f>'SEPTEMBER DIBAYAR OKT 2025 '!AB556</f>
        <v>-0.1600000262260437</v>
      </c>
      <c r="AI8" s="85">
        <f>AF8-AE8</f>
        <v>-14277642.160000026</v>
      </c>
    </row>
    <row r="9" spans="1:38" ht="30.75" customHeight="1" thickBot="1">
      <c r="A9" s="87"/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88"/>
      <c r="O9" s="89"/>
      <c r="P9" s="89"/>
      <c r="Q9" s="89"/>
      <c r="R9" s="89"/>
      <c r="S9" s="89"/>
      <c r="T9" s="89"/>
      <c r="U9" s="89"/>
      <c r="V9" s="89"/>
      <c r="W9" s="89"/>
      <c r="X9" s="89"/>
      <c r="Y9" s="213"/>
      <c r="Z9" s="407"/>
      <c r="AA9" s="407"/>
      <c r="AB9" s="213"/>
      <c r="AC9" s="213"/>
      <c r="AD9" s="213"/>
      <c r="AE9" s="90"/>
      <c r="AF9" s="90"/>
      <c r="AG9" s="90"/>
      <c r="AH9" s="90"/>
      <c r="AI9" s="90"/>
    </row>
    <row r="10" spans="1:38" ht="30.75" customHeight="1" thickTop="1" thickBot="1">
      <c r="A10" s="91" t="s">
        <v>71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85">
        <v>43</v>
      </c>
      <c r="O10" s="686">
        <f t="shared" ref="O10:X10" si="0">SUM(O8:O9)</f>
        <v>0</v>
      </c>
      <c r="P10" s="686">
        <f t="shared" si="0"/>
        <v>0</v>
      </c>
      <c r="Q10" s="686">
        <f t="shared" si="0"/>
        <v>0</v>
      </c>
      <c r="R10" s="686">
        <f t="shared" si="0"/>
        <v>0</v>
      </c>
      <c r="S10" s="686">
        <f t="shared" si="0"/>
        <v>0</v>
      </c>
      <c r="T10" s="686">
        <f t="shared" si="0"/>
        <v>0</v>
      </c>
      <c r="U10" s="686">
        <f t="shared" si="0"/>
        <v>0</v>
      </c>
      <c r="V10" s="686">
        <f t="shared" si="0"/>
        <v>0</v>
      </c>
      <c r="W10" s="686">
        <f t="shared" si="0"/>
        <v>0</v>
      </c>
      <c r="X10" s="686">
        <f t="shared" si="0"/>
        <v>0</v>
      </c>
      <c r="Y10" s="686">
        <f t="shared" ref="Y10:AI10" si="1">SUM(Y8:Y9)</f>
        <v>43</v>
      </c>
      <c r="Z10" s="686">
        <f t="shared" si="1"/>
        <v>1269044</v>
      </c>
      <c r="AA10" s="686">
        <f t="shared" si="1"/>
        <v>430000</v>
      </c>
      <c r="AB10" s="686">
        <f t="shared" si="1"/>
        <v>43738652</v>
      </c>
      <c r="AC10" s="686">
        <f t="shared" si="1"/>
        <v>0</v>
      </c>
      <c r="AD10" s="686">
        <f t="shared" si="1"/>
        <v>9994008.8399999999</v>
      </c>
      <c r="AE10" s="94">
        <f>AE8</f>
        <v>236957607</v>
      </c>
      <c r="AF10" s="687">
        <f t="shared" si="1"/>
        <v>222679964.83999997</v>
      </c>
      <c r="AG10" s="687">
        <f t="shared" si="1"/>
        <v>222679965</v>
      </c>
      <c r="AH10" s="687">
        <f t="shared" si="1"/>
        <v>-0.1600000262260437</v>
      </c>
      <c r="AI10" s="94">
        <f t="shared" si="1"/>
        <v>-14277642.160000026</v>
      </c>
    </row>
    <row r="11" spans="1:38" ht="13.5" thickTop="1">
      <c r="AE11" s="177"/>
    </row>
    <row r="12" spans="1:38" ht="12.75" customHeight="1">
      <c r="Z12" s="177"/>
      <c r="AA12" s="177"/>
      <c r="AD12" s="72"/>
      <c r="AL12" s="28"/>
    </row>
    <row r="13" spans="1:38" ht="10.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144"/>
      <c r="AA13" s="144"/>
      <c r="AB13" s="99"/>
      <c r="AC13" s="99"/>
      <c r="AD13" s="99"/>
      <c r="AE13" s="144"/>
      <c r="AF13" s="64"/>
      <c r="AG13" s="64"/>
      <c r="AH13" s="64"/>
      <c r="AI13" s="28"/>
    </row>
    <row r="14" spans="1:38" ht="16.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437" t="s">
        <v>194</v>
      </c>
      <c r="AE14" s="438">
        <v>480.87</v>
      </c>
      <c r="AF14" s="438">
        <v>587.88</v>
      </c>
      <c r="AG14" s="438"/>
      <c r="AH14" s="438"/>
      <c r="AI14" s="438">
        <f>AF14-AE14</f>
        <v>107.00999999999999</v>
      </c>
      <c r="AL14" s="538"/>
    </row>
    <row r="15" spans="1:38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144"/>
      <c r="AA15" s="144"/>
      <c r="AB15" s="99"/>
      <c r="AC15" s="99"/>
      <c r="AD15" s="99"/>
      <c r="AE15" s="144"/>
      <c r="AF15" s="64"/>
      <c r="AG15" s="64"/>
      <c r="AH15" s="64"/>
    </row>
    <row r="16" spans="1:38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44"/>
      <c r="AF16" s="64"/>
      <c r="AG16" s="64"/>
      <c r="AH16" s="64"/>
    </row>
    <row r="17" spans="1:3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144"/>
      <c r="AE17" s="144"/>
      <c r="AF17" s="64"/>
      <c r="AG17" s="64"/>
      <c r="AH17" s="64"/>
    </row>
    <row r="18" spans="1:34">
      <c r="A18" s="200" t="s">
        <v>80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1255" t="s">
        <v>141</v>
      </c>
      <c r="O18" s="1255"/>
      <c r="P18" s="1255"/>
      <c r="Q18" s="1255"/>
      <c r="R18" s="1255"/>
      <c r="S18" s="1255"/>
      <c r="T18" s="1255"/>
      <c r="U18" s="1255"/>
      <c r="V18" s="1255"/>
      <c r="W18" s="1255"/>
      <c r="X18" s="1255"/>
      <c r="Y18" s="1255"/>
      <c r="Z18" s="1255"/>
      <c r="AA18" s="409"/>
      <c r="AC18" s="416" t="s">
        <v>218</v>
      </c>
      <c r="AD18" s="409"/>
      <c r="AE18" s="409"/>
      <c r="AF18" s="519"/>
      <c r="AG18" s="519"/>
      <c r="AH18" s="519"/>
    </row>
    <row r="27" spans="1:34">
      <c r="AB27" s="177"/>
    </row>
    <row r="60" spans="1:35">
      <c r="AE60" s="177"/>
      <c r="AF60" s="28"/>
      <c r="AG60" s="28"/>
      <c r="AH60" s="28"/>
    </row>
    <row r="62" spans="1:35" ht="15.75">
      <c r="A62" s="535" t="s">
        <v>262</v>
      </c>
    </row>
    <row r="63" spans="1:35" ht="15.75">
      <c r="A63" s="535" t="str">
        <f>A3</f>
        <v>SUMMARY - WAGES OKTOBER 2025</v>
      </c>
    </row>
    <row r="64" spans="1:35" ht="17.25" customHeight="1">
      <c r="A64" s="1260" t="s">
        <v>599</v>
      </c>
      <c r="B64" s="1260"/>
      <c r="C64" s="1260"/>
      <c r="D64" s="1260"/>
      <c r="E64" s="1260"/>
      <c r="F64" s="1260"/>
      <c r="G64" s="1260"/>
      <c r="H64" s="1260"/>
      <c r="I64" s="1260"/>
      <c r="J64" s="1260"/>
      <c r="K64" s="1260"/>
      <c r="L64" s="1260"/>
      <c r="M64" s="1260"/>
      <c r="N64" s="1260"/>
      <c r="O64" s="1260"/>
      <c r="P64" s="1260"/>
      <c r="Q64" s="1260"/>
      <c r="R64" s="1260"/>
      <c r="S64" s="1260"/>
      <c r="T64" s="1260"/>
      <c r="U64" s="1260"/>
      <c r="V64" s="1260"/>
      <c r="W64" s="1260"/>
      <c r="X64" s="1260"/>
      <c r="Y64" s="1260"/>
      <c r="Z64" s="1260"/>
      <c r="AA64" s="1260"/>
      <c r="AB64" s="1260"/>
      <c r="AC64" s="1260"/>
      <c r="AD64" s="1260"/>
      <c r="AE64" s="1260"/>
      <c r="AF64" s="1260"/>
      <c r="AG64" s="1260"/>
      <c r="AH64" s="1260"/>
      <c r="AI64" s="1260"/>
    </row>
    <row r="65" spans="1:35" ht="22.5" customHeight="1" thickBot="1"/>
    <row r="66" spans="1:35" ht="21" customHeight="1" thickTop="1">
      <c r="A66" s="1256" t="s">
        <v>1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74" t="s">
        <v>185</v>
      </c>
      <c r="O66" s="75"/>
      <c r="P66" s="75"/>
      <c r="Q66" s="76"/>
      <c r="R66" s="76"/>
      <c r="S66" s="76"/>
      <c r="T66" s="76"/>
      <c r="U66" s="76"/>
      <c r="V66" s="76"/>
      <c r="W66" s="76"/>
      <c r="X66" s="76"/>
      <c r="Y66" s="214" t="s">
        <v>185</v>
      </c>
      <c r="Z66" s="214" t="s">
        <v>148</v>
      </c>
      <c r="AA66" s="214" t="s">
        <v>3</v>
      </c>
      <c r="AB66" s="214" t="s">
        <v>3</v>
      </c>
      <c r="AC66" s="214" t="s">
        <v>3</v>
      </c>
      <c r="AD66" s="214" t="s">
        <v>3</v>
      </c>
      <c r="AE66" s="520" t="s">
        <v>3</v>
      </c>
      <c r="AF66" s="397" t="s">
        <v>3</v>
      </c>
      <c r="AG66" s="1083"/>
      <c r="AH66" s="1083"/>
      <c r="AI66" s="1258" t="s">
        <v>184</v>
      </c>
    </row>
    <row r="67" spans="1:35" ht="21" customHeight="1" thickBot="1">
      <c r="A67" s="1257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417" t="s">
        <v>585</v>
      </c>
      <c r="O67" s="79">
        <v>100000</v>
      </c>
      <c r="P67" s="79">
        <v>50000</v>
      </c>
      <c r="Q67" s="79">
        <v>20000</v>
      </c>
      <c r="R67" s="79">
        <v>10000</v>
      </c>
      <c r="S67" s="79">
        <v>5000</v>
      </c>
      <c r="T67" s="79">
        <v>1000</v>
      </c>
      <c r="U67" s="79">
        <v>500</v>
      </c>
      <c r="V67" s="79">
        <v>100</v>
      </c>
      <c r="W67" s="79">
        <v>50</v>
      </c>
      <c r="X67" s="79" t="s">
        <v>2</v>
      </c>
      <c r="Y67" s="417" t="s">
        <v>593</v>
      </c>
      <c r="Z67" s="110" t="s">
        <v>597</v>
      </c>
      <c r="AA67" s="110" t="s">
        <v>439</v>
      </c>
      <c r="AB67" s="494" t="s">
        <v>581</v>
      </c>
      <c r="AC67" s="110" t="s">
        <v>259</v>
      </c>
      <c r="AD67" s="110" t="s">
        <v>543</v>
      </c>
      <c r="AE67" s="417" t="s">
        <v>585</v>
      </c>
      <c r="AF67" s="417" t="s">
        <v>593</v>
      </c>
      <c r="AG67" s="1109"/>
      <c r="AH67" s="1109"/>
      <c r="AI67" s="1259"/>
    </row>
    <row r="68" spans="1:35" ht="21" customHeight="1" thickTop="1">
      <c r="A68" s="114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134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212"/>
      <c r="Z68" s="212"/>
      <c r="AA68" s="212"/>
      <c r="AB68" s="212"/>
      <c r="AC68" s="212"/>
      <c r="AD68" s="212"/>
      <c r="AE68" s="212"/>
      <c r="AF68" s="117"/>
      <c r="AG68" s="117"/>
      <c r="AH68" s="117"/>
      <c r="AI68" s="117"/>
    </row>
    <row r="69" spans="1:35" ht="21" customHeight="1">
      <c r="A69" s="83" t="s">
        <v>61</v>
      </c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84">
        <v>44</v>
      </c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4">
        <f t="shared" ref="Y69" si="2">Y8</f>
        <v>43</v>
      </c>
      <c r="Z69" s="84">
        <f>Z8</f>
        <v>1269044</v>
      </c>
      <c r="AA69" s="84">
        <f>AA8</f>
        <v>430000</v>
      </c>
      <c r="AB69" s="84">
        <f>AB8</f>
        <v>43738652</v>
      </c>
      <c r="AC69" s="84">
        <f>AC8</f>
        <v>0</v>
      </c>
      <c r="AD69" s="106">
        <f>AD8</f>
        <v>9994008.8399999999</v>
      </c>
      <c r="AE69" s="85">
        <f>145808894</f>
        <v>145808894</v>
      </c>
      <c r="AF69" s="85">
        <f>Sheet8!D40</f>
        <v>253106783.83999997</v>
      </c>
      <c r="AG69" s="1110"/>
      <c r="AH69" s="1110"/>
      <c r="AI69" s="85">
        <f>AF69-AE69</f>
        <v>107297889.83999997</v>
      </c>
    </row>
    <row r="70" spans="1:35" ht="21" customHeight="1" thickBot="1">
      <c r="A70" s="8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88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213"/>
      <c r="Z70" s="407"/>
      <c r="AA70" s="407"/>
      <c r="AB70" s="213"/>
      <c r="AC70" s="213"/>
      <c r="AD70" s="213"/>
      <c r="AE70" s="90"/>
      <c r="AF70" s="90"/>
      <c r="AG70" s="90"/>
      <c r="AH70" s="90"/>
      <c r="AI70" s="90"/>
    </row>
    <row r="71" spans="1:35" ht="21" customHeight="1" thickTop="1" thickBot="1">
      <c r="A71" s="91" t="s">
        <v>71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85">
        <v>44</v>
      </c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686">
        <f t="shared" ref="Y71:AD71" si="3">SUM(Y69:Y70)</f>
        <v>43</v>
      </c>
      <c r="Z71" s="686">
        <f t="shared" si="3"/>
        <v>1269044</v>
      </c>
      <c r="AA71" s="686">
        <f t="shared" si="3"/>
        <v>430000</v>
      </c>
      <c r="AB71" s="686">
        <f t="shared" si="3"/>
        <v>43738652</v>
      </c>
      <c r="AC71" s="686">
        <f t="shared" si="3"/>
        <v>0</v>
      </c>
      <c r="AD71" s="686">
        <f t="shared" si="3"/>
        <v>9994008.8399999999</v>
      </c>
      <c r="AE71" s="94">
        <f>SUM(AE69:AE70)</f>
        <v>145808894</v>
      </c>
      <c r="AF71" s="687">
        <f t="shared" ref="AF71:AI71" si="4">SUM(AF69:AF70)</f>
        <v>253106783.83999997</v>
      </c>
      <c r="AG71" s="687"/>
      <c r="AH71" s="687"/>
      <c r="AI71" s="94">
        <f t="shared" si="4"/>
        <v>107297889.83999997</v>
      </c>
    </row>
    <row r="72" spans="1:35" ht="21" customHeight="1" thickTop="1">
      <c r="AE72" s="177"/>
    </row>
    <row r="73" spans="1:35">
      <c r="Z73" s="177"/>
      <c r="AA73" s="177"/>
      <c r="AD73" s="72"/>
    </row>
    <row r="74" spans="1:3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144"/>
      <c r="AA74" s="144"/>
      <c r="AB74" s="99"/>
      <c r="AC74" s="99"/>
      <c r="AD74" s="99"/>
      <c r="AE74" s="144"/>
      <c r="AF74" s="64"/>
      <c r="AG74" s="64"/>
      <c r="AH74" s="64"/>
      <c r="AI74" s="28"/>
    </row>
    <row r="75" spans="1:35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437" t="s">
        <v>194</v>
      </c>
      <c r="AE75" s="438">
        <v>630.58000000000004</v>
      </c>
      <c r="AF75" s="438">
        <v>572.82000000000005</v>
      </c>
      <c r="AG75" s="438"/>
      <c r="AH75" s="438"/>
      <c r="AI75" s="438">
        <f t="shared" ref="AI75" si="5">AF75-AE75</f>
        <v>-57.759999999999991</v>
      </c>
    </row>
    <row r="76" spans="1:3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144"/>
      <c r="AA76" s="144"/>
      <c r="AB76" s="99"/>
      <c r="AC76" s="99"/>
      <c r="AD76" s="99"/>
      <c r="AE76" s="144"/>
      <c r="AF76" s="64"/>
      <c r="AG76" s="64"/>
      <c r="AH76" s="64"/>
    </row>
    <row r="77" spans="1:3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144"/>
      <c r="AF77" s="64"/>
      <c r="AG77" s="64"/>
      <c r="AH77" s="64"/>
    </row>
    <row r="78" spans="1:35">
      <c r="A78" s="200" t="s">
        <v>80</v>
      </c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1255" t="s">
        <v>141</v>
      </c>
      <c r="O78" s="1255"/>
      <c r="P78" s="1255"/>
      <c r="Q78" s="1255"/>
      <c r="R78" s="1255"/>
      <c r="S78" s="1255"/>
      <c r="T78" s="1255"/>
      <c r="U78" s="1255"/>
      <c r="V78" s="1255"/>
      <c r="W78" s="1255"/>
      <c r="X78" s="1255"/>
      <c r="Y78" s="1255"/>
      <c r="Z78" s="1255"/>
      <c r="AA78" s="409"/>
      <c r="AC78" s="416" t="s">
        <v>218</v>
      </c>
    </row>
  </sheetData>
  <mergeCells count="9">
    <mergeCell ref="N78:Z78"/>
    <mergeCell ref="A5:A6"/>
    <mergeCell ref="AI5:AI6"/>
    <mergeCell ref="N18:Z18"/>
    <mergeCell ref="A66:A67"/>
    <mergeCell ref="AI66:AI67"/>
    <mergeCell ref="A64:AI64"/>
    <mergeCell ref="AG5:AG6"/>
    <mergeCell ref="AH5:AH6"/>
  </mergeCells>
  <pageMargins left="0.39370078740157483" right="0.70866141732283472" top="0.74803149606299213" bottom="0.74803149606299213" header="0.31496062992125984" footer="0.31496062992125984"/>
  <pageSetup paperSize="14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D52"/>
  <sheetViews>
    <sheetView tabSelected="1" view="pageBreakPreview" topLeftCell="A16" zoomScale="70" zoomScaleNormal="69" zoomScaleSheetLayoutView="70" workbookViewId="0">
      <selection activeCell="AJ44" sqref="AJ44"/>
    </sheetView>
  </sheetViews>
  <sheetFormatPr defaultRowHeight="12.75"/>
  <cols>
    <col min="1" max="1" width="22.42578125" style="72" customWidth="1"/>
    <col min="2" max="13" width="23.85546875" style="72" hidden="1" customWidth="1"/>
    <col min="14" max="14" width="12.28515625" style="72" customWidth="1"/>
    <col min="15" max="24" width="23.85546875" style="95" hidden="1" customWidth="1"/>
    <col min="25" max="25" width="12.42578125" style="95" customWidth="1"/>
    <col min="26" max="26" width="20.7109375" style="95" customWidth="1"/>
    <col min="27" max="27" width="15" style="95" customWidth="1"/>
    <col min="28" max="28" width="21.140625" style="95" hidden="1" customWidth="1"/>
    <col min="29" max="29" width="20" style="95" customWidth="1"/>
    <col min="30" max="30" width="18.7109375" style="95" customWidth="1"/>
    <col min="31" max="31" width="19.7109375" style="95" customWidth="1"/>
    <col min="32" max="32" width="18.7109375" style="95" customWidth="1"/>
    <col min="33" max="33" width="15.42578125" style="95" customWidth="1"/>
    <col min="34" max="34" width="18.28515625" style="72" customWidth="1"/>
    <col min="35" max="35" width="15.85546875" style="72" customWidth="1"/>
    <col min="36" max="36" width="19.28515625" style="72" customWidth="1"/>
    <col min="37" max="37" width="22.42578125" style="72" customWidth="1"/>
    <col min="38" max="38" width="26.42578125" style="72" customWidth="1"/>
    <col min="39" max="39" width="19.28515625" style="72" hidden="1" customWidth="1"/>
    <col min="40" max="40" width="17.85546875" style="72" hidden="1" customWidth="1"/>
    <col min="41" max="41" width="20" style="72" hidden="1" customWidth="1"/>
    <col min="42" max="42" width="17.7109375" style="72" hidden="1" customWidth="1"/>
    <col min="43" max="43" width="19.28515625" style="72" hidden="1" customWidth="1"/>
    <col min="44" max="44" width="20" style="72" customWidth="1"/>
    <col min="45" max="45" width="18.42578125" style="848" customWidth="1"/>
    <col min="46" max="46" width="26.140625" style="72" hidden="1" customWidth="1"/>
    <col min="47" max="47" width="15.7109375" style="72" hidden="1" customWidth="1"/>
    <col min="48" max="48" width="14.140625" style="72" hidden="1" customWidth="1"/>
    <col min="49" max="49" width="14.85546875" style="72" hidden="1" customWidth="1"/>
    <col min="50" max="50" width="0.28515625" style="72" hidden="1" customWidth="1"/>
    <col min="51" max="51" width="0" style="72" hidden="1" customWidth="1"/>
    <col min="52" max="52" width="12.42578125" style="72" hidden="1" customWidth="1"/>
    <col min="53" max="16384" width="9.140625" style="72"/>
  </cols>
  <sheetData>
    <row r="1" spans="1:56" ht="15.75">
      <c r="A1" s="535" t="s">
        <v>0</v>
      </c>
    </row>
    <row r="2" spans="1:56" ht="15.75">
      <c r="A2" s="535" t="str">
        <f>'SUMMARY - WAGES IJL'!A3</f>
        <v>SUMMARY - WAGES OKTOBER 2025</v>
      </c>
    </row>
    <row r="3" spans="1:56" ht="13.5" thickBot="1"/>
    <row r="4" spans="1:56" ht="19.5" customHeight="1" thickTop="1">
      <c r="A4" s="1256" t="s">
        <v>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74" t="s">
        <v>185</v>
      </c>
      <c r="O4" s="75"/>
      <c r="P4" s="75"/>
      <c r="Q4" s="76"/>
      <c r="R4" s="76"/>
      <c r="S4" s="76"/>
      <c r="T4" s="76"/>
      <c r="U4" s="76"/>
      <c r="V4" s="76"/>
      <c r="W4" s="76"/>
      <c r="X4" s="76"/>
      <c r="Y4" s="214" t="s">
        <v>185</v>
      </c>
      <c r="Z4" s="214" t="s">
        <v>145</v>
      </c>
      <c r="AA4" s="214" t="s">
        <v>440</v>
      </c>
      <c r="AB4" s="214" t="s">
        <v>3</v>
      </c>
      <c r="AC4" s="214" t="s">
        <v>3</v>
      </c>
      <c r="AD4" s="214" t="s">
        <v>3</v>
      </c>
      <c r="AE4" s="214" t="s">
        <v>3</v>
      </c>
      <c r="AF4" s="1267" t="s">
        <v>683</v>
      </c>
      <c r="AG4" s="1268"/>
      <c r="AH4" s="1267" t="s">
        <v>704</v>
      </c>
      <c r="AI4" s="1268"/>
      <c r="AJ4" s="873"/>
      <c r="AK4" s="1258" t="s">
        <v>226</v>
      </c>
      <c r="AL4" s="1261" t="s">
        <v>184</v>
      </c>
      <c r="AM4" s="1160"/>
      <c r="AN4" s="848"/>
      <c r="AP4" s="1263" t="s">
        <v>226</v>
      </c>
      <c r="AQ4" s="1265" t="s">
        <v>184</v>
      </c>
      <c r="AR4" s="418"/>
      <c r="AS4" s="72"/>
      <c r="AT4" s="581" t="s">
        <v>229</v>
      </c>
      <c r="AU4" s="1">
        <v>2008.47</v>
      </c>
      <c r="AV4" s="582"/>
      <c r="AW4" s="583" t="s">
        <v>320</v>
      </c>
      <c r="AX4">
        <f>AU4/1000</f>
        <v>2.00847</v>
      </c>
      <c r="AY4"/>
      <c r="AZ4"/>
      <c r="BA4"/>
      <c r="BB4"/>
      <c r="BC4"/>
      <c r="BD4"/>
    </row>
    <row r="5" spans="1:56" ht="27.75" customHeight="1" thickBot="1">
      <c r="A5" s="1257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417" t="s">
        <v>681</v>
      </c>
      <c r="O5" s="79">
        <v>100000</v>
      </c>
      <c r="P5" s="79">
        <v>50000</v>
      </c>
      <c r="Q5" s="79">
        <v>20000</v>
      </c>
      <c r="R5" s="79">
        <v>10000</v>
      </c>
      <c r="S5" s="79">
        <v>5000</v>
      </c>
      <c r="T5" s="79">
        <v>1000</v>
      </c>
      <c r="U5" s="79">
        <v>500</v>
      </c>
      <c r="V5" s="79">
        <v>100</v>
      </c>
      <c r="W5" s="79">
        <v>50</v>
      </c>
      <c r="X5" s="79" t="s">
        <v>2</v>
      </c>
      <c r="Y5" s="417" t="s">
        <v>701</v>
      </c>
      <c r="Z5" s="110" t="s">
        <v>702</v>
      </c>
      <c r="AA5" s="110" t="s">
        <v>439</v>
      </c>
      <c r="AB5" s="110" t="s">
        <v>257</v>
      </c>
      <c r="AC5" s="494" t="s">
        <v>703</v>
      </c>
      <c r="AD5" s="110" t="s">
        <v>456</v>
      </c>
      <c r="AE5" s="110" t="s">
        <v>543</v>
      </c>
      <c r="AF5" s="417" t="s">
        <v>634</v>
      </c>
      <c r="AG5" s="580" t="s">
        <v>319</v>
      </c>
      <c r="AH5" s="417" t="s">
        <v>634</v>
      </c>
      <c r="AI5" s="580" t="s">
        <v>319</v>
      </c>
      <c r="AJ5" s="870" t="s">
        <v>664</v>
      </c>
      <c r="AK5" s="1259"/>
      <c r="AL5" s="1262"/>
      <c r="AM5" s="1160"/>
      <c r="AN5" s="848"/>
      <c r="AP5" s="1264"/>
      <c r="AQ5" s="1266"/>
      <c r="AR5" s="418"/>
      <c r="AS5" s="72"/>
      <c r="AT5" s="581" t="s">
        <v>230</v>
      </c>
      <c r="AU5" s="1"/>
      <c r="AV5" s="582"/>
      <c r="AW5" s="583" t="s">
        <v>320</v>
      </c>
      <c r="AX5">
        <f t="shared" ref="AX5:AX8" si="0">AU5/1000</f>
        <v>0</v>
      </c>
      <c r="AY5"/>
      <c r="AZ5"/>
      <c r="BA5"/>
      <c r="BB5"/>
      <c r="BC5"/>
      <c r="BD5"/>
    </row>
    <row r="6" spans="1:56" ht="15.75" thickTop="1">
      <c r="A6" s="80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81"/>
      <c r="O6" s="82"/>
      <c r="P6" s="82"/>
      <c r="Q6" s="82"/>
      <c r="R6" s="82"/>
      <c r="S6" s="82"/>
      <c r="T6" s="82"/>
      <c r="U6" s="82"/>
      <c r="V6" s="82"/>
      <c r="W6" s="82"/>
      <c r="X6" s="82"/>
      <c r="Y6" s="209"/>
      <c r="Z6" s="209"/>
      <c r="AA6" s="209"/>
      <c r="AB6" s="209"/>
      <c r="AC6" s="209"/>
      <c r="AD6" s="536"/>
      <c r="AE6" s="536"/>
      <c r="AF6" s="209"/>
      <c r="AG6" s="209"/>
      <c r="AH6" s="1026"/>
      <c r="AI6" s="1026"/>
      <c r="AJ6" s="98"/>
      <c r="AK6" s="1104"/>
      <c r="AL6" s="1105"/>
      <c r="AM6" s="1161"/>
      <c r="AN6" s="849"/>
      <c r="AP6" s="1124"/>
      <c r="AQ6" s="1125"/>
      <c r="AS6" s="72"/>
      <c r="AT6" s="581" t="s">
        <v>231</v>
      </c>
      <c r="AU6" s="1"/>
      <c r="AV6" s="582"/>
      <c r="AW6" s="583" t="s">
        <v>320</v>
      </c>
      <c r="AX6">
        <f t="shared" si="0"/>
        <v>0</v>
      </c>
      <c r="AY6"/>
      <c r="AZ6"/>
      <c r="BA6"/>
      <c r="BB6"/>
      <c r="BC6"/>
      <c r="BD6"/>
    </row>
    <row r="7" spans="1:56" ht="15.75" customHeight="1">
      <c r="A7" s="748" t="s">
        <v>7</v>
      </c>
      <c r="B7" s="749"/>
      <c r="C7" s="749"/>
      <c r="D7" s="749"/>
      <c r="E7" s="749"/>
      <c r="F7" s="749"/>
      <c r="G7" s="749"/>
      <c r="H7" s="749"/>
      <c r="I7" s="749"/>
      <c r="J7" s="749"/>
      <c r="K7" s="749"/>
      <c r="L7" s="749"/>
      <c r="M7" s="749"/>
      <c r="N7" s="750">
        <v>195</v>
      </c>
      <c r="O7" s="751"/>
      <c r="P7" s="751"/>
      <c r="Q7" s="751"/>
      <c r="R7" s="751"/>
      <c r="S7" s="751"/>
      <c r="T7" s="751"/>
      <c r="U7" s="751"/>
      <c r="V7" s="751"/>
      <c r="W7" s="751"/>
      <c r="X7" s="751"/>
      <c r="Y7" s="752">
        <f>'SEPTEMBER DIBAYAR OKT 2025 '!C522</f>
        <v>193</v>
      </c>
      <c r="Z7" s="752">
        <f>'SEPTEMBER DIBAYAR OKT 2025 '!Q522</f>
        <v>1437096</v>
      </c>
      <c r="AA7" s="752">
        <f>'SEPTEMBER DIBAYAR OKT 2025 '!S522</f>
        <v>676000</v>
      </c>
      <c r="AB7" s="752"/>
      <c r="AC7" s="752">
        <f>'SEPTEMBER DIBAYAR OKT 2025 '!T522</f>
        <v>74684519</v>
      </c>
      <c r="AD7" s="752">
        <f>'SEPTEMBER DIBAYAR OKT 2025 '!AD522</f>
        <v>15466750</v>
      </c>
      <c r="AE7" s="752">
        <f>'SEPTEMBER DIBAYAR OKT 2025 '!U522</f>
        <v>27954094.32</v>
      </c>
      <c r="AF7" s="753">
        <v>901997144.41999996</v>
      </c>
      <c r="AG7" s="855">
        <v>1204.6500000000001</v>
      </c>
      <c r="AH7" s="1027">
        <f>'SEPTEMBER DIBAYAR OKT 2025 '!V522</f>
        <v>878370277.00500011</v>
      </c>
      <c r="AI7" s="1028">
        <v>1480.67</v>
      </c>
      <c r="AJ7" s="1135">
        <f>'SEPTEMBER DIBAYAR OKT 2025 '!AA522</f>
        <v>878370277</v>
      </c>
      <c r="AK7" s="1131">
        <f>'SEPTEMBER DIBAYAR OKT 2025 '!AB522</f>
        <v>5.0001144409179688E-3</v>
      </c>
      <c r="AL7" s="1106">
        <f>AH7-AF7</f>
        <v>-23626867.414999843</v>
      </c>
      <c r="AM7" s="1162"/>
      <c r="AN7" s="849"/>
      <c r="AO7" s="28"/>
      <c r="AP7" s="1123">
        <f>AH7-AJ7</f>
        <v>5.0001144409179688E-3</v>
      </c>
      <c r="AQ7" s="1126">
        <f>AH7-AF7</f>
        <v>-23626867.414999843</v>
      </c>
      <c r="AR7" s="28"/>
      <c r="AS7" s="551"/>
      <c r="AT7" s="581" t="s">
        <v>232</v>
      </c>
      <c r="AU7" s="1"/>
      <c r="AV7" s="582"/>
      <c r="AW7" s="583" t="s">
        <v>320</v>
      </c>
      <c r="AX7">
        <f t="shared" si="0"/>
        <v>0</v>
      </c>
      <c r="AY7"/>
      <c r="AZ7"/>
      <c r="BA7"/>
      <c r="BB7"/>
      <c r="BC7"/>
      <c r="BD7"/>
    </row>
    <row r="8" spans="1:56" ht="15.75" customHeight="1">
      <c r="A8" s="748"/>
      <c r="B8" s="749"/>
      <c r="C8" s="749"/>
      <c r="D8" s="749"/>
      <c r="E8" s="749"/>
      <c r="F8" s="749"/>
      <c r="G8" s="749"/>
      <c r="H8" s="749"/>
      <c r="I8" s="749"/>
      <c r="J8" s="749"/>
      <c r="K8" s="749"/>
      <c r="L8" s="749"/>
      <c r="M8" s="749"/>
      <c r="N8" s="750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2"/>
      <c r="Z8" s="752"/>
      <c r="AA8" s="752"/>
      <c r="AB8" s="752"/>
      <c r="AC8" s="752"/>
      <c r="AD8" s="752"/>
      <c r="AE8" s="752"/>
      <c r="AF8" s="753"/>
      <c r="AG8" s="751"/>
      <c r="AH8" s="1027"/>
      <c r="AI8" s="1029"/>
      <c r="AJ8" s="1135">
        <f>'SEPTEMBER DIBAYAR OKT 2025 '!AA523</f>
        <v>0</v>
      </c>
      <c r="AK8" s="1131">
        <f>'SEPTEMBER DIBAYAR OKT 2025 '!AB523</f>
        <v>0</v>
      </c>
      <c r="AL8" s="1106">
        <f t="shared" ref="AL8:AL25" si="1">AH8-AF8</f>
        <v>0</v>
      </c>
      <c r="AM8" s="1162"/>
      <c r="AN8" s="849"/>
      <c r="AO8" s="28"/>
      <c r="AP8" s="1123"/>
      <c r="AQ8" s="1126"/>
      <c r="AR8" s="28"/>
      <c r="AS8" s="72"/>
      <c r="AT8" s="581" t="s">
        <v>321</v>
      </c>
      <c r="AU8" s="1"/>
      <c r="AV8" s="582"/>
      <c r="AW8" s="583" t="s">
        <v>320</v>
      </c>
      <c r="AX8">
        <f t="shared" si="0"/>
        <v>0</v>
      </c>
      <c r="AY8"/>
      <c r="AZ8"/>
      <c r="BA8"/>
      <c r="BB8"/>
      <c r="BC8"/>
      <c r="BD8"/>
    </row>
    <row r="9" spans="1:56" ht="15.75" customHeight="1" thickBot="1">
      <c r="A9" s="748" t="s">
        <v>8</v>
      </c>
      <c r="B9" s="749"/>
      <c r="C9" s="749"/>
      <c r="D9" s="749"/>
      <c r="E9" s="749"/>
      <c r="F9" s="749"/>
      <c r="G9" s="749"/>
      <c r="H9" s="749"/>
      <c r="I9" s="749"/>
      <c r="J9" s="749"/>
      <c r="K9" s="749"/>
      <c r="L9" s="749"/>
      <c r="M9" s="749"/>
      <c r="N9" s="750">
        <v>171</v>
      </c>
      <c r="O9" s="751"/>
      <c r="P9" s="751"/>
      <c r="Q9" s="751"/>
      <c r="R9" s="751"/>
      <c r="S9" s="751"/>
      <c r="T9" s="751"/>
      <c r="U9" s="751"/>
      <c r="V9" s="751"/>
      <c r="W9" s="751"/>
      <c r="X9" s="751"/>
      <c r="Y9" s="752">
        <f>'SEPTEMBER DIBAYAR OKT 2025 '!C524</f>
        <v>172</v>
      </c>
      <c r="Z9" s="752">
        <f>'SEPTEMBER DIBAYAR OKT 2025 '!Q524</f>
        <v>551340</v>
      </c>
      <c r="AA9" s="752">
        <f>'SEPTEMBER DIBAYAR OKT 2025 '!S524</f>
        <v>656000</v>
      </c>
      <c r="AB9" s="752"/>
      <c r="AC9" s="752">
        <f>'SEPTEMBER DIBAYAR OKT 2025 '!T524</f>
        <v>13295647</v>
      </c>
      <c r="AD9" s="752">
        <f>'SEPTEMBER DIBAYAR OKT 2025 '!AD524</f>
        <v>0</v>
      </c>
      <c r="AE9" s="752">
        <f>'SEPTEMBER DIBAYAR OKT 2025 '!U524</f>
        <v>21086013.960000001</v>
      </c>
      <c r="AF9" s="753">
        <v>672210895.74000001</v>
      </c>
      <c r="AG9" s="856">
        <v>162.57</v>
      </c>
      <c r="AH9" s="1027">
        <f>'SEPTEMBER DIBAYAR OKT 2025 '!V524</f>
        <v>695391805.44148147</v>
      </c>
      <c r="AI9" s="1030">
        <v>231.69</v>
      </c>
      <c r="AJ9" s="1135">
        <f>'SEPTEMBER DIBAYAR OKT 2025 '!AA524</f>
        <v>695391805</v>
      </c>
      <c r="AK9" s="1131">
        <f>'SEPTEMBER DIBAYAR OKT 2025 '!AB524</f>
        <v>0.44148147106170654</v>
      </c>
      <c r="AL9" s="1106">
        <f>AH9-AF9</f>
        <v>23180909.701481462</v>
      </c>
      <c r="AM9" s="1162"/>
      <c r="AN9" s="849"/>
      <c r="AO9" s="28"/>
      <c r="AP9" s="1123">
        <f t="shared" ref="AP9:AP23" si="2">AH9-AJ9</f>
        <v>0.44148147106170654</v>
      </c>
      <c r="AQ9" s="1126">
        <f t="shared" ref="AQ9:AQ25" si="3">AH9-AF9</f>
        <v>23180909.701481462</v>
      </c>
      <c r="AR9" s="28"/>
      <c r="AS9" s="72"/>
      <c r="AT9" s="581" t="s">
        <v>322</v>
      </c>
      <c r="AU9" s="594"/>
      <c r="AV9" s="584"/>
      <c r="AW9" s="584" t="s">
        <v>320</v>
      </c>
      <c r="AX9"/>
      <c r="AY9"/>
      <c r="AZ9"/>
      <c r="BA9"/>
      <c r="BB9"/>
      <c r="BC9"/>
      <c r="BD9"/>
    </row>
    <row r="10" spans="1:56" ht="15.75" customHeight="1" thickTop="1">
      <c r="A10" s="748"/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  <c r="N10" s="750"/>
      <c r="O10" s="751"/>
      <c r="P10" s="751"/>
      <c r="Q10" s="751"/>
      <c r="R10" s="751"/>
      <c r="S10" s="751"/>
      <c r="T10" s="751"/>
      <c r="U10" s="751"/>
      <c r="V10" s="751"/>
      <c r="W10" s="751"/>
      <c r="X10" s="751"/>
      <c r="Y10" s="752"/>
      <c r="Z10" s="752"/>
      <c r="AA10" s="752"/>
      <c r="AB10" s="752"/>
      <c r="AC10" s="752"/>
      <c r="AD10" s="752"/>
      <c r="AE10" s="752"/>
      <c r="AF10" s="753"/>
      <c r="AG10" s="751"/>
      <c r="AH10" s="1027"/>
      <c r="AI10" s="1029"/>
      <c r="AJ10" s="1135">
        <f>'SEPTEMBER DIBAYAR OKT 2025 '!AA525</f>
        <v>0</v>
      </c>
      <c r="AK10" s="1131">
        <f>'SEPTEMBER DIBAYAR OKT 2025 '!AB525</f>
        <v>0</v>
      </c>
      <c r="AL10" s="1106">
        <f t="shared" si="1"/>
        <v>0</v>
      </c>
      <c r="AM10" s="1162"/>
      <c r="AN10" s="849"/>
      <c r="AO10" s="28"/>
      <c r="AP10" s="1123"/>
      <c r="AQ10" s="1126"/>
      <c r="AR10" s="28"/>
      <c r="AS10" s="72"/>
      <c r="AT10" s="581"/>
      <c r="AU10" s="28">
        <f>SUM(AU4:AU9)</f>
        <v>2008.47</v>
      </c>
      <c r="AV10" s="585"/>
      <c r="AW10" s="586" t="s">
        <v>320</v>
      </c>
      <c r="AX10"/>
      <c r="AY10"/>
      <c r="AZ10"/>
      <c r="BA10"/>
      <c r="BB10"/>
      <c r="BC10"/>
      <c r="BD10"/>
    </row>
    <row r="11" spans="1:56" ht="15.75" customHeight="1">
      <c r="A11" s="748" t="s">
        <v>6</v>
      </c>
      <c r="B11" s="749"/>
      <c r="C11" s="749"/>
      <c r="D11" s="749"/>
      <c r="E11" s="749"/>
      <c r="F11" s="749"/>
      <c r="G11" s="749"/>
      <c r="H11" s="749"/>
      <c r="I11" s="749"/>
      <c r="J11" s="749"/>
      <c r="K11" s="749"/>
      <c r="L11" s="749"/>
      <c r="M11" s="749"/>
      <c r="N11" s="750">
        <v>177</v>
      </c>
      <c r="O11" s="751"/>
      <c r="P11" s="751"/>
      <c r="Q11" s="751"/>
      <c r="R11" s="751"/>
      <c r="S11" s="751"/>
      <c r="T11" s="751"/>
      <c r="U11" s="751"/>
      <c r="V11" s="751"/>
      <c r="W11" s="751"/>
      <c r="X11" s="751"/>
      <c r="Y11" s="752">
        <f>'SEPTEMBER DIBAYAR OKT 2025 '!C526</f>
        <v>176</v>
      </c>
      <c r="Z11" s="752">
        <f>'SEPTEMBER DIBAYAR OKT 2025 '!Q526</f>
        <v>1213652</v>
      </c>
      <c r="AA11" s="752">
        <f>'SEPTEMBER DIBAYAR OKT 2025 '!S526</f>
        <v>604000</v>
      </c>
      <c r="AB11" s="752"/>
      <c r="AC11" s="752">
        <f>'SEPTEMBER DIBAYAR OKT 2025 '!T526</f>
        <v>69844530</v>
      </c>
      <c r="AD11" s="752">
        <f>'SEPTEMBER DIBAYAR OKT 2025 '!AD526</f>
        <v>16282050</v>
      </c>
      <c r="AE11" s="752">
        <f>'SEPTEMBER DIBAYAR OKT 2025 '!U526</f>
        <v>26699242.310000002</v>
      </c>
      <c r="AF11" s="753">
        <v>800455317.25999999</v>
      </c>
      <c r="AG11" s="856">
        <v>1241.79</v>
      </c>
      <c r="AH11" s="1027">
        <f>'SEPTEMBER DIBAYAR OKT 2025 '!V526</f>
        <v>804360363.26000023</v>
      </c>
      <c r="AI11" s="1030">
        <v>1501.58</v>
      </c>
      <c r="AJ11" s="1135">
        <f>'SEPTEMBER DIBAYAR OKT 2025 '!AA526</f>
        <v>804360365</v>
      </c>
      <c r="AK11" s="1131">
        <f>'SEPTEMBER DIBAYAR OKT 2025 '!AB526</f>
        <v>-1.7399997711181641</v>
      </c>
      <c r="AL11" s="1106">
        <f t="shared" si="1"/>
        <v>3905046.0000002384</v>
      </c>
      <c r="AM11" s="1162"/>
      <c r="AN11" s="849"/>
      <c r="AO11" s="28"/>
      <c r="AP11" s="1123">
        <f t="shared" si="2"/>
        <v>-1.7399997711181641</v>
      </c>
      <c r="AQ11" s="1126">
        <f t="shared" si="3"/>
        <v>3905046.0000002384</v>
      </c>
      <c r="AR11" s="28"/>
      <c r="AS11" s="72"/>
      <c r="AT11"/>
      <c r="AU11"/>
      <c r="AV11"/>
      <c r="AW11"/>
      <c r="AX11"/>
      <c r="AY11"/>
      <c r="AZ11"/>
      <c r="BA11"/>
      <c r="BB11"/>
      <c r="BC11"/>
      <c r="BD11"/>
    </row>
    <row r="12" spans="1:56" ht="15.75" customHeight="1">
      <c r="A12" s="748"/>
      <c r="B12" s="749"/>
      <c r="C12" s="749"/>
      <c r="D12" s="749"/>
      <c r="E12" s="749"/>
      <c r="F12" s="749"/>
      <c r="G12" s="749"/>
      <c r="H12" s="749"/>
      <c r="I12" s="749"/>
      <c r="J12" s="749"/>
      <c r="K12" s="749"/>
      <c r="L12" s="749"/>
      <c r="M12" s="749"/>
      <c r="N12" s="750"/>
      <c r="O12" s="751"/>
      <c r="P12" s="751"/>
      <c r="Q12" s="751"/>
      <c r="R12" s="751"/>
      <c r="S12" s="751"/>
      <c r="T12" s="751"/>
      <c r="U12" s="751"/>
      <c r="V12" s="751"/>
      <c r="W12" s="751"/>
      <c r="X12" s="751"/>
      <c r="Y12" s="752"/>
      <c r="Z12" s="752"/>
      <c r="AA12" s="752"/>
      <c r="AB12" s="752"/>
      <c r="AC12" s="752"/>
      <c r="AD12" s="752"/>
      <c r="AE12" s="752"/>
      <c r="AF12" s="753"/>
      <c r="AG12" s="751"/>
      <c r="AH12" s="1027"/>
      <c r="AI12" s="1029"/>
      <c r="AJ12" s="1135">
        <f>'SEPTEMBER DIBAYAR OKT 2025 '!AA527</f>
        <v>0</v>
      </c>
      <c r="AK12" s="1131">
        <f>'SEPTEMBER DIBAYAR OKT 2025 '!AB527</f>
        <v>0</v>
      </c>
      <c r="AL12" s="1106">
        <f t="shared" si="1"/>
        <v>0</v>
      </c>
      <c r="AM12" s="1162"/>
      <c r="AN12" s="849"/>
      <c r="AO12" s="28"/>
      <c r="AP12" s="1123"/>
      <c r="AQ12" s="1126"/>
      <c r="AR12" s="28"/>
      <c r="AS12" s="72"/>
      <c r="AT12" s="587" t="s">
        <v>235</v>
      </c>
      <c r="AU12" s="1"/>
      <c r="AV12"/>
      <c r="AW12" s="588" t="s">
        <v>320</v>
      </c>
      <c r="AX12"/>
      <c r="AY12"/>
      <c r="AZ12"/>
      <c r="BA12"/>
      <c r="BB12"/>
      <c r="BC12"/>
      <c r="BD12"/>
    </row>
    <row r="13" spans="1:56" ht="15.75" customHeight="1">
      <c r="A13" s="748" t="s">
        <v>5</v>
      </c>
      <c r="B13" s="749"/>
      <c r="C13" s="749"/>
      <c r="D13" s="749"/>
      <c r="E13" s="749"/>
      <c r="F13" s="749"/>
      <c r="G13" s="749"/>
      <c r="H13" s="749"/>
      <c r="I13" s="749"/>
      <c r="J13" s="749"/>
      <c r="K13" s="749"/>
      <c r="L13" s="749"/>
      <c r="M13" s="749"/>
      <c r="N13" s="750">
        <v>124</v>
      </c>
      <c r="O13" s="751"/>
      <c r="P13" s="751"/>
      <c r="Q13" s="751"/>
      <c r="R13" s="751"/>
      <c r="S13" s="751"/>
      <c r="T13" s="751"/>
      <c r="U13" s="751"/>
      <c r="V13" s="751"/>
      <c r="W13" s="751"/>
      <c r="X13" s="751"/>
      <c r="Y13" s="752">
        <f>'SEPTEMBER DIBAYAR OKT 2025 '!C528</f>
        <v>125</v>
      </c>
      <c r="Z13" s="752">
        <f>'SEPTEMBER DIBAYAR OKT 2025 '!Q528</f>
        <v>1312034</v>
      </c>
      <c r="AA13" s="752">
        <f>'SEPTEMBER DIBAYAR OKT 2025 '!S528</f>
        <v>492000</v>
      </c>
      <c r="AB13" s="752"/>
      <c r="AC13" s="752">
        <f>'SEPTEMBER DIBAYAR OKT 2025 '!T528</f>
        <v>68659726</v>
      </c>
      <c r="AD13" s="752">
        <f>'SEPTEMBER DIBAYAR OKT 2025 '!AD528</f>
        <v>8599500</v>
      </c>
      <c r="AE13" s="752">
        <f>'SEPTEMBER DIBAYAR OKT 2025 '!U528</f>
        <v>21142034.690000001</v>
      </c>
      <c r="AF13" s="753">
        <v>638901820.58958459</v>
      </c>
      <c r="AG13" s="856">
        <v>1132.97</v>
      </c>
      <c r="AH13" s="1027">
        <f>'SEPTEMBER DIBAYAR OKT 2025 '!V528</f>
        <v>594505798.47682667</v>
      </c>
      <c r="AI13" s="1030">
        <v>1433.46</v>
      </c>
      <c r="AJ13" s="1135">
        <f>'SEPTEMBER DIBAYAR OKT 2025 '!AA528</f>
        <v>594505798</v>
      </c>
      <c r="AK13" s="1131">
        <f>'SEPTEMBER DIBAYAR OKT 2025 '!AB528</f>
        <v>0.47682666778564453</v>
      </c>
      <c r="AL13" s="1106">
        <f t="shared" si="1"/>
        <v>-44396022.112757921</v>
      </c>
      <c r="AM13" s="1162"/>
      <c r="AN13" s="849"/>
      <c r="AO13" s="28"/>
      <c r="AP13" s="1123">
        <f t="shared" si="2"/>
        <v>0.47682666778564453</v>
      </c>
      <c r="AQ13" s="1126">
        <f t="shared" si="3"/>
        <v>-44396022.112757921</v>
      </c>
      <c r="AR13" s="28"/>
      <c r="AS13" s="72"/>
      <c r="AT13" s="587" t="s">
        <v>236</v>
      </c>
      <c r="AU13" s="1"/>
      <c r="AV13"/>
      <c r="AW13" s="588" t="s">
        <v>320</v>
      </c>
      <c r="AX13"/>
      <c r="AY13"/>
      <c r="AZ13"/>
      <c r="BA13"/>
      <c r="BB13"/>
      <c r="BC13"/>
      <c r="BD13"/>
    </row>
    <row r="14" spans="1:56" ht="15.75" customHeight="1">
      <c r="A14" s="748"/>
      <c r="B14" s="749"/>
      <c r="C14" s="749"/>
      <c r="D14" s="749"/>
      <c r="E14" s="749"/>
      <c r="F14" s="749"/>
      <c r="G14" s="749"/>
      <c r="H14" s="749"/>
      <c r="I14" s="749"/>
      <c r="J14" s="749"/>
      <c r="K14" s="749"/>
      <c r="L14" s="749"/>
      <c r="M14" s="749"/>
      <c r="N14" s="750"/>
      <c r="O14" s="751"/>
      <c r="P14" s="751"/>
      <c r="Q14" s="751"/>
      <c r="R14" s="751"/>
      <c r="S14" s="751"/>
      <c r="T14" s="751"/>
      <c r="U14" s="751"/>
      <c r="V14" s="751"/>
      <c r="W14" s="751"/>
      <c r="X14" s="751"/>
      <c r="Y14" s="752"/>
      <c r="Z14" s="752"/>
      <c r="AA14" s="752"/>
      <c r="AB14" s="752"/>
      <c r="AC14" s="752"/>
      <c r="AD14" s="752"/>
      <c r="AE14" s="752"/>
      <c r="AF14" s="753"/>
      <c r="AG14" s="751"/>
      <c r="AH14" s="1027"/>
      <c r="AI14" s="1029"/>
      <c r="AJ14" s="1135">
        <f>'SEPTEMBER DIBAYAR OKT 2025 '!AA529</f>
        <v>0</v>
      </c>
      <c r="AK14" s="1131">
        <f>'SEPTEMBER DIBAYAR OKT 2025 '!AB529</f>
        <v>0</v>
      </c>
      <c r="AL14" s="1106">
        <f t="shared" si="1"/>
        <v>0</v>
      </c>
      <c r="AM14" s="1162"/>
      <c r="AN14" s="849"/>
      <c r="AO14" s="28"/>
      <c r="AP14" s="1123"/>
      <c r="AQ14" s="1126"/>
      <c r="AR14" s="28"/>
      <c r="AS14" s="72"/>
      <c r="AT14" s="587" t="s">
        <v>237</v>
      </c>
      <c r="AU14" s="1"/>
      <c r="AV14"/>
      <c r="AW14" s="588" t="s">
        <v>320</v>
      </c>
      <c r="AY14"/>
      <c r="AZ14"/>
      <c r="BA14"/>
      <c r="BB14"/>
      <c r="BC14"/>
      <c r="BD14"/>
    </row>
    <row r="15" spans="1:56" ht="15.75" customHeight="1" thickBot="1">
      <c r="A15" s="748" t="s">
        <v>9</v>
      </c>
      <c r="B15" s="749"/>
      <c r="C15" s="749"/>
      <c r="D15" s="749"/>
      <c r="E15" s="749"/>
      <c r="F15" s="749"/>
      <c r="G15" s="749"/>
      <c r="H15" s="749"/>
      <c r="I15" s="749"/>
      <c r="J15" s="749"/>
      <c r="K15" s="749"/>
      <c r="L15" s="749"/>
      <c r="M15" s="749"/>
      <c r="N15" s="750">
        <v>204</v>
      </c>
      <c r="O15" s="563"/>
      <c r="P15" s="563"/>
      <c r="Q15" s="563"/>
      <c r="R15" s="563"/>
      <c r="S15" s="563"/>
      <c r="T15" s="563"/>
      <c r="U15" s="563"/>
      <c r="V15" s="563"/>
      <c r="W15" s="563"/>
      <c r="X15" s="563"/>
      <c r="Y15" s="752">
        <f>'SEPTEMBER DIBAYAR OKT 2025 '!C530</f>
        <v>205</v>
      </c>
      <c r="Z15" s="752">
        <f>'SEPTEMBER DIBAYAR OKT 2025 '!Q530</f>
        <v>2694867</v>
      </c>
      <c r="AA15" s="752">
        <f>'SEPTEMBER DIBAYAR OKT 2025 '!S530</f>
        <v>812000</v>
      </c>
      <c r="AB15" s="752"/>
      <c r="AC15" s="752">
        <f>'SEPTEMBER DIBAYAR OKT 2025 '!T530</f>
        <v>110461585</v>
      </c>
      <c r="AD15" s="752">
        <f>'SEPTEMBER DIBAYAR OKT 2025 '!AD530</f>
        <v>45629800</v>
      </c>
      <c r="AE15" s="752">
        <f>'SEPTEMBER DIBAYAR OKT 2025 '!U530</f>
        <v>25029838</v>
      </c>
      <c r="AF15" s="753">
        <v>948183177.39999998</v>
      </c>
      <c r="AG15" s="857">
        <v>2224.25</v>
      </c>
      <c r="AH15" s="1027">
        <f>'SEPTEMBER DIBAYAR OKT 2025 '!V530</f>
        <v>966927557.39999998</v>
      </c>
      <c r="AI15" s="1031">
        <v>2564.16</v>
      </c>
      <c r="AJ15" s="1135">
        <f>'SEPTEMBER DIBAYAR OKT 2025 '!AA530</f>
        <v>966927557</v>
      </c>
      <c r="AK15" s="1131">
        <f>'SEPTEMBER DIBAYAR OKT 2025 '!AB530</f>
        <v>0.39999997615814209</v>
      </c>
      <c r="AL15" s="1106">
        <f t="shared" si="1"/>
        <v>18744380</v>
      </c>
      <c r="AM15" s="1162"/>
      <c r="AN15" s="849"/>
      <c r="AO15" s="28"/>
      <c r="AP15" s="1123">
        <f t="shared" si="2"/>
        <v>0.39999997615814209</v>
      </c>
      <c r="AQ15" s="1126">
        <f t="shared" si="3"/>
        <v>18744380</v>
      </c>
      <c r="AR15" s="28"/>
      <c r="AS15" s="72"/>
      <c r="AT15" s="587" t="s">
        <v>281</v>
      </c>
      <c r="AU15" s="1"/>
      <c r="AV15" s="589"/>
      <c r="AW15" s="590" t="s">
        <v>320</v>
      </c>
      <c r="AY15"/>
      <c r="AZ15"/>
      <c r="BA15"/>
      <c r="BB15"/>
      <c r="BC15"/>
      <c r="BD15"/>
    </row>
    <row r="16" spans="1:56" ht="15.75" customHeight="1" thickTop="1">
      <c r="A16" s="748"/>
      <c r="B16" s="749"/>
      <c r="C16" s="749"/>
      <c r="D16" s="749"/>
      <c r="E16" s="749"/>
      <c r="F16" s="749"/>
      <c r="G16" s="749"/>
      <c r="H16" s="749"/>
      <c r="I16" s="749"/>
      <c r="J16" s="749"/>
      <c r="K16" s="749"/>
      <c r="L16" s="749"/>
      <c r="M16" s="749"/>
      <c r="N16" s="750"/>
      <c r="O16" s="751"/>
      <c r="P16" s="751"/>
      <c r="Q16" s="751"/>
      <c r="R16" s="751"/>
      <c r="S16" s="751"/>
      <c r="T16" s="751"/>
      <c r="U16" s="751"/>
      <c r="V16" s="751"/>
      <c r="W16" s="751"/>
      <c r="X16" s="751"/>
      <c r="Y16" s="752"/>
      <c r="Z16" s="752"/>
      <c r="AA16" s="752"/>
      <c r="AB16" s="752"/>
      <c r="AC16" s="752"/>
      <c r="AD16" s="752"/>
      <c r="AE16" s="752"/>
      <c r="AF16" s="753"/>
      <c r="AG16" s="858"/>
      <c r="AH16" s="1027"/>
      <c r="AI16" s="1032"/>
      <c r="AJ16" s="1135">
        <f>'SEPTEMBER DIBAYAR OKT 2025 '!AA531</f>
        <v>0</v>
      </c>
      <c r="AK16" s="1131">
        <f>'SEPTEMBER DIBAYAR OKT 2025 '!AB531</f>
        <v>0</v>
      </c>
      <c r="AL16" s="1106">
        <f t="shared" si="1"/>
        <v>0</v>
      </c>
      <c r="AM16" s="1162"/>
      <c r="AN16" s="849"/>
      <c r="AO16" s="28"/>
      <c r="AP16" s="1123"/>
      <c r="AQ16" s="1126"/>
      <c r="AR16" s="28"/>
      <c r="AS16" s="72"/>
      <c r="AT16" s="587"/>
      <c r="AU16" s="28">
        <f>SUM(AU12:AU15)</f>
        <v>0</v>
      </c>
      <c r="AV16"/>
      <c r="AW16" s="588" t="s">
        <v>320</v>
      </c>
      <c r="AY16"/>
      <c r="AZ16"/>
      <c r="BA16"/>
      <c r="BB16"/>
      <c r="BC16"/>
      <c r="BD16"/>
    </row>
    <row r="17" spans="1:56" ht="15.75" customHeight="1">
      <c r="A17" s="748" t="s">
        <v>76</v>
      </c>
      <c r="B17" s="749"/>
      <c r="C17" s="749"/>
      <c r="D17" s="749"/>
      <c r="E17" s="749"/>
      <c r="F17" s="749"/>
      <c r="G17" s="749"/>
      <c r="H17" s="749"/>
      <c r="I17" s="749"/>
      <c r="J17" s="749"/>
      <c r="K17" s="749"/>
      <c r="L17" s="749"/>
      <c r="M17" s="749"/>
      <c r="N17" s="750">
        <v>14</v>
      </c>
      <c r="O17" s="751"/>
      <c r="P17" s="751"/>
      <c r="Q17" s="751"/>
      <c r="R17" s="751"/>
      <c r="S17" s="751"/>
      <c r="T17" s="751"/>
      <c r="U17" s="751"/>
      <c r="V17" s="751"/>
      <c r="W17" s="751"/>
      <c r="X17" s="751"/>
      <c r="Y17" s="752">
        <f>'SEPTEMBER DIBAYAR OKT 2025 '!C532</f>
        <v>14</v>
      </c>
      <c r="Z17" s="752">
        <f>'SEPTEMBER DIBAYAR OKT 2025 '!Q532</f>
        <v>614448</v>
      </c>
      <c r="AA17" s="752">
        <f>'SEPTEMBER DIBAYAR OKT 2025 '!S532</f>
        <v>24000</v>
      </c>
      <c r="AB17" s="752"/>
      <c r="AC17" s="752">
        <f>'SEPTEMBER DIBAYAR OKT 2025 '!T532</f>
        <v>0</v>
      </c>
      <c r="AD17" s="752">
        <f>'SEPTEMBER DIBAYAR OKT 2025 '!AD532</f>
        <v>0</v>
      </c>
      <c r="AE17" s="752">
        <f>'SEPTEMBER DIBAYAR OKT 2025 '!U532</f>
        <v>34289981.219999999</v>
      </c>
      <c r="AF17" s="753">
        <v>80279506</v>
      </c>
      <c r="AG17" s="751"/>
      <c r="AH17" s="1027">
        <f>'SEPTEMBER DIBAYAR OKT 2025 '!V532</f>
        <v>87891747.220000014</v>
      </c>
      <c r="AI17" s="1029"/>
      <c r="AJ17" s="1135">
        <f>'SEPTEMBER DIBAYAR OKT 2025 '!AA532</f>
        <v>87891672</v>
      </c>
      <c r="AK17" s="1131">
        <f>'SEPTEMBER DIBAYAR OKT 2025 '!AB532</f>
        <v>75.220000013709068</v>
      </c>
      <c r="AL17" s="1106">
        <f t="shared" si="1"/>
        <v>7612241.2200000137</v>
      </c>
      <c r="AM17" s="1162"/>
      <c r="AN17" s="849"/>
      <c r="AO17" s="28"/>
      <c r="AP17" s="1123">
        <f t="shared" si="2"/>
        <v>75.220000013709068</v>
      </c>
      <c r="AQ17" s="1126">
        <f t="shared" si="3"/>
        <v>7612241.2200000137</v>
      </c>
      <c r="AR17" s="28"/>
      <c r="AS17" s="72"/>
      <c r="AT17"/>
      <c r="AU17"/>
      <c r="AV17"/>
      <c r="AW17"/>
      <c r="AY17"/>
      <c r="AZ17"/>
      <c r="BA17"/>
      <c r="BB17"/>
      <c r="BC17"/>
      <c r="BD17"/>
    </row>
    <row r="18" spans="1:56" ht="15.75" customHeight="1">
      <c r="A18" s="748"/>
      <c r="B18" s="749"/>
      <c r="C18" s="749"/>
      <c r="D18" s="749"/>
      <c r="E18" s="749"/>
      <c r="F18" s="749"/>
      <c r="G18" s="749"/>
      <c r="H18" s="749"/>
      <c r="I18" s="749"/>
      <c r="J18" s="749"/>
      <c r="K18" s="749"/>
      <c r="L18" s="749"/>
      <c r="M18" s="749"/>
      <c r="N18" s="750"/>
      <c r="O18" s="751"/>
      <c r="P18" s="751"/>
      <c r="Q18" s="751"/>
      <c r="R18" s="751"/>
      <c r="S18" s="751"/>
      <c r="T18" s="751"/>
      <c r="U18" s="751"/>
      <c r="V18" s="751"/>
      <c r="W18" s="751"/>
      <c r="X18" s="751"/>
      <c r="Y18" s="752"/>
      <c r="Z18" s="752"/>
      <c r="AA18" s="752"/>
      <c r="AB18" s="752"/>
      <c r="AC18" s="752"/>
      <c r="AD18" s="752"/>
      <c r="AE18" s="752"/>
      <c r="AF18" s="753"/>
      <c r="AG18" s="751"/>
      <c r="AH18" s="1027"/>
      <c r="AI18" s="1029"/>
      <c r="AJ18" s="1135">
        <f>'SEPTEMBER DIBAYAR OKT 2025 '!AA533</f>
        <v>0</v>
      </c>
      <c r="AK18" s="1131">
        <f>'SEPTEMBER DIBAYAR OKT 2025 '!AB533</f>
        <v>0</v>
      </c>
      <c r="AL18" s="1106">
        <f t="shared" si="1"/>
        <v>0</v>
      </c>
      <c r="AM18" s="1162"/>
      <c r="AN18" s="849"/>
      <c r="AO18" s="28"/>
      <c r="AP18" s="1123"/>
      <c r="AQ18" s="1126"/>
      <c r="AR18" s="28"/>
      <c r="AS18" s="72"/>
      <c r="AT18" s="587"/>
      <c r="AU18"/>
      <c r="AV18" s="587"/>
      <c r="AW18" s="588"/>
      <c r="AY18"/>
      <c r="AZ18"/>
      <c r="BA18"/>
      <c r="BB18"/>
      <c r="BC18"/>
      <c r="BD18"/>
    </row>
    <row r="19" spans="1:56" ht="15.75" customHeight="1">
      <c r="A19" s="748" t="s">
        <v>54</v>
      </c>
      <c r="B19" s="749"/>
      <c r="C19" s="749"/>
      <c r="D19" s="749"/>
      <c r="E19" s="749"/>
      <c r="F19" s="749"/>
      <c r="G19" s="749"/>
      <c r="H19" s="749"/>
      <c r="I19" s="749"/>
      <c r="J19" s="749"/>
      <c r="K19" s="749"/>
      <c r="L19" s="749"/>
      <c r="M19" s="749"/>
      <c r="N19" s="750">
        <v>29</v>
      </c>
      <c r="O19" s="751"/>
      <c r="P19" s="751"/>
      <c r="Q19" s="751"/>
      <c r="R19" s="751"/>
      <c r="S19" s="751"/>
      <c r="T19" s="751"/>
      <c r="U19" s="751"/>
      <c r="V19" s="751"/>
      <c r="W19" s="751"/>
      <c r="X19" s="751"/>
      <c r="Y19" s="752">
        <f>'SEPTEMBER DIBAYAR OKT 2025 '!C534</f>
        <v>29</v>
      </c>
      <c r="Z19" s="752">
        <f>'SEPTEMBER DIBAYAR OKT 2025 '!Q534</f>
        <v>1010024</v>
      </c>
      <c r="AA19" s="752">
        <f>'SEPTEMBER DIBAYAR OKT 2025 '!S534</f>
        <v>116000</v>
      </c>
      <c r="AB19" s="752"/>
      <c r="AC19" s="752">
        <f>'SEPTEMBER DIBAYAR OKT 2025 '!T534</f>
        <v>3117520</v>
      </c>
      <c r="AD19" s="752">
        <f>'SEPTEMBER DIBAYAR OKT 2025 '!AD534</f>
        <v>0</v>
      </c>
      <c r="AE19" s="752">
        <f>'SEPTEMBER DIBAYAR OKT 2025 '!U534</f>
        <v>45947790.280000001</v>
      </c>
      <c r="AF19" s="753">
        <v>163108145</v>
      </c>
      <c r="AG19" s="751"/>
      <c r="AH19" s="1027">
        <f>'SEPTEMBER DIBAYAR OKT 2025 '!V534</f>
        <v>161128300.27999997</v>
      </c>
      <c r="AI19" s="1029"/>
      <c r="AJ19" s="1135">
        <f>'SEPTEMBER DIBAYAR OKT 2025 '!AA534</f>
        <v>161128233</v>
      </c>
      <c r="AK19" s="1131">
        <f>'SEPTEMBER DIBAYAR OKT 2025 '!AB534</f>
        <v>67.279999971389771</v>
      </c>
      <c r="AL19" s="1106">
        <f t="shared" si="1"/>
        <v>-1979844.7200000286</v>
      </c>
      <c r="AM19" s="1162"/>
      <c r="AN19" s="849">
        <f>AF19-AJ19</f>
        <v>1979912</v>
      </c>
      <c r="AO19" s="28"/>
      <c r="AP19" s="1123">
        <f t="shared" si="2"/>
        <v>67.279999971389771</v>
      </c>
      <c r="AQ19" s="1126">
        <f t="shared" si="3"/>
        <v>-1979844.7200000286</v>
      </c>
      <c r="AR19" s="28"/>
      <c r="AS19" s="72"/>
      <c r="AT19" s="583" t="s">
        <v>323</v>
      </c>
      <c r="AU19" s="28">
        <f>AU10+AU16</f>
        <v>2008.47</v>
      </c>
      <c r="AV19"/>
      <c r="AW19" s="586" t="s">
        <v>320</v>
      </c>
      <c r="AY19"/>
      <c r="AZ19"/>
      <c r="BA19"/>
      <c r="BB19"/>
      <c r="BC19"/>
      <c r="BD19"/>
    </row>
    <row r="20" spans="1:56" ht="15.75" customHeight="1">
      <c r="A20" s="748"/>
      <c r="B20" s="749"/>
      <c r="C20" s="749"/>
      <c r="D20" s="749"/>
      <c r="E20" s="749"/>
      <c r="F20" s="749"/>
      <c r="G20" s="749"/>
      <c r="H20" s="749"/>
      <c r="I20" s="749"/>
      <c r="J20" s="749"/>
      <c r="K20" s="749"/>
      <c r="L20" s="749"/>
      <c r="M20" s="749"/>
      <c r="N20" s="750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2"/>
      <c r="Z20" s="752"/>
      <c r="AA20" s="752"/>
      <c r="AB20" s="752"/>
      <c r="AC20" s="752"/>
      <c r="AD20" s="752"/>
      <c r="AE20" s="752"/>
      <c r="AF20" s="753"/>
      <c r="AG20" s="751"/>
      <c r="AH20" s="1027"/>
      <c r="AI20" s="1029"/>
      <c r="AJ20" s="1135">
        <f>'SEPTEMBER DIBAYAR OKT 2025 '!AA535</f>
        <v>0</v>
      </c>
      <c r="AK20" s="1131">
        <f>'SEPTEMBER DIBAYAR OKT 2025 '!AB535</f>
        <v>0</v>
      </c>
      <c r="AL20" s="1106">
        <f t="shared" si="1"/>
        <v>0</v>
      </c>
      <c r="AM20" s="1162"/>
      <c r="AN20" s="849"/>
      <c r="AO20" s="28"/>
      <c r="AP20" s="1123"/>
      <c r="AQ20" s="1126"/>
      <c r="AR20" s="28"/>
      <c r="AS20" s="72"/>
      <c r="AT20"/>
      <c r="AU20"/>
      <c r="AV20"/>
      <c r="AW20"/>
      <c r="AY20"/>
      <c r="AZ20"/>
      <c r="BA20"/>
      <c r="BB20"/>
      <c r="BC20"/>
      <c r="BD20"/>
    </row>
    <row r="21" spans="1:56" ht="15.75" customHeight="1">
      <c r="A21" s="748" t="s">
        <v>656</v>
      </c>
      <c r="B21" s="749"/>
      <c r="C21" s="749"/>
      <c r="D21" s="749"/>
      <c r="E21" s="749"/>
      <c r="F21" s="749"/>
      <c r="G21" s="749"/>
      <c r="H21" s="749"/>
      <c r="I21" s="749"/>
      <c r="J21" s="749"/>
      <c r="K21" s="749"/>
      <c r="L21" s="749"/>
      <c r="M21" s="749"/>
      <c r="N21" s="750">
        <v>18</v>
      </c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2">
        <f>+'SEPTEMBER DIBAYAR OKT 2025 '!C536</f>
        <v>18</v>
      </c>
      <c r="Z21" s="752">
        <f>+'SEPTEMBER DIBAYAR OKT 2025 '!Q536</f>
        <v>389632</v>
      </c>
      <c r="AA21" s="752">
        <f>+'SEPTEMBER DIBAYAR OKT 2025 '!S536</f>
        <v>72000</v>
      </c>
      <c r="AB21" s="752"/>
      <c r="AC21" s="752">
        <f>+'SEPTEMBER DIBAYAR OKT 2025 '!T536</f>
        <v>0</v>
      </c>
      <c r="AD21" s="752">
        <v>0</v>
      </c>
      <c r="AE21" s="752">
        <f>+'SEPTEMBER DIBAYAR OKT 2025 '!U536</f>
        <v>20581831.750000004</v>
      </c>
      <c r="AF21" s="753">
        <v>88815910</v>
      </c>
      <c r="AG21" s="751"/>
      <c r="AH21" s="1027">
        <f>'SEPTEMBER DIBAYAR OKT 2025 '!V536</f>
        <v>90844467.75</v>
      </c>
      <c r="AI21" s="1029"/>
      <c r="AJ21" s="1135">
        <f>'SEPTEMBER DIBAYAR OKT 2025 '!AA536</f>
        <v>90844403</v>
      </c>
      <c r="AK21" s="1131">
        <f>'SEPTEMBER DIBAYAR OKT 2025 '!AB536</f>
        <v>64.75</v>
      </c>
      <c r="AL21" s="1106">
        <f t="shared" si="1"/>
        <v>2028557.75</v>
      </c>
      <c r="AM21" s="1162"/>
      <c r="AN21" s="849"/>
      <c r="AO21" s="28"/>
      <c r="AP21" s="1123">
        <f t="shared" si="2"/>
        <v>64.75</v>
      </c>
      <c r="AQ21" s="1126">
        <f t="shared" si="3"/>
        <v>2028557.75</v>
      </c>
      <c r="AR21" s="28"/>
      <c r="AS21" s="72"/>
      <c r="AT21"/>
      <c r="AU21"/>
      <c r="AV21"/>
      <c r="AW21"/>
      <c r="AY21"/>
      <c r="AZ21"/>
      <c r="BA21"/>
      <c r="BB21"/>
      <c r="BC21"/>
      <c r="BD21"/>
    </row>
    <row r="22" spans="1:56" ht="15.75" customHeight="1">
      <c r="A22" s="748"/>
      <c r="B22" s="749"/>
      <c r="C22" s="749"/>
      <c r="D22" s="749"/>
      <c r="E22" s="749"/>
      <c r="F22" s="749"/>
      <c r="G22" s="749"/>
      <c r="H22" s="749"/>
      <c r="I22" s="749"/>
      <c r="J22" s="749"/>
      <c r="K22" s="749"/>
      <c r="L22" s="749"/>
      <c r="M22" s="749"/>
      <c r="N22" s="750"/>
      <c r="O22" s="751"/>
      <c r="P22" s="751"/>
      <c r="Q22" s="751"/>
      <c r="R22" s="751"/>
      <c r="S22" s="751"/>
      <c r="T22" s="751"/>
      <c r="U22" s="751"/>
      <c r="V22" s="751"/>
      <c r="W22" s="751"/>
      <c r="X22" s="751"/>
      <c r="Y22" s="752"/>
      <c r="Z22" s="752"/>
      <c r="AA22" s="752"/>
      <c r="AB22" s="752"/>
      <c r="AC22" s="752"/>
      <c r="AD22" s="752"/>
      <c r="AE22" s="752"/>
      <c r="AF22" s="753"/>
      <c r="AG22" s="751"/>
      <c r="AH22" s="1027"/>
      <c r="AI22" s="1029"/>
      <c r="AJ22" s="1135">
        <f>'SEPTEMBER DIBAYAR OKT 2025 '!AA537</f>
        <v>0</v>
      </c>
      <c r="AK22" s="1131">
        <f>'SEPTEMBER DIBAYAR OKT 2025 '!AB537</f>
        <v>0</v>
      </c>
      <c r="AL22" s="1106">
        <f t="shared" si="1"/>
        <v>0</v>
      </c>
      <c r="AM22" s="1162"/>
      <c r="AN22" s="849"/>
      <c r="AO22" s="28"/>
      <c r="AP22" s="1123"/>
      <c r="AQ22" s="1126"/>
      <c r="AR22" s="28"/>
      <c r="AS22" s="72"/>
      <c r="AT22"/>
      <c r="AU22"/>
      <c r="AV22"/>
      <c r="AW22"/>
      <c r="AY22"/>
      <c r="AZ22"/>
      <c r="BA22"/>
      <c r="BB22"/>
      <c r="BC22"/>
      <c r="BD22"/>
    </row>
    <row r="23" spans="1:56" ht="15.75" customHeight="1">
      <c r="A23" s="748" t="s">
        <v>576</v>
      </c>
      <c r="B23" s="749"/>
      <c r="C23" s="749"/>
      <c r="D23" s="749"/>
      <c r="E23" s="749"/>
      <c r="F23" s="749"/>
      <c r="G23" s="749"/>
      <c r="H23" s="749"/>
      <c r="I23" s="749"/>
      <c r="J23" s="749"/>
      <c r="K23" s="749"/>
      <c r="L23" s="749"/>
      <c r="M23" s="749"/>
      <c r="N23" s="750">
        <v>167</v>
      </c>
      <c r="O23" s="755"/>
      <c r="P23" s="755"/>
      <c r="Q23" s="755"/>
      <c r="R23" s="755"/>
      <c r="S23" s="755"/>
      <c r="T23" s="755"/>
      <c r="U23" s="755"/>
      <c r="V23" s="755"/>
      <c r="W23" s="755"/>
      <c r="X23" s="755"/>
      <c r="Y23" s="752">
        <f>'SEPTEMBER DIBAYAR OKT 2025 '!C538</f>
        <v>167</v>
      </c>
      <c r="Z23" s="752">
        <f>'SEPTEMBER DIBAYAR OKT 2025 '!Q538</f>
        <v>15090000</v>
      </c>
      <c r="AA23" s="752">
        <f>'SEPTEMBER DIBAYAR OKT 2025 '!S538</f>
        <v>604000</v>
      </c>
      <c r="AB23" s="752" t="s">
        <v>676</v>
      </c>
      <c r="AC23" s="752">
        <f>'SEPTEMBER DIBAYAR OKT 2025 '!T538</f>
        <v>0</v>
      </c>
      <c r="AD23" s="752">
        <f>'SEPTEMBER DIBAYAR OKT 2025 '!AD538</f>
        <v>0</v>
      </c>
      <c r="AE23" s="752">
        <f>'SEPTEMBER DIBAYAR OKT 2025 '!U538</f>
        <v>587803801</v>
      </c>
      <c r="AF23" s="753">
        <v>1207391151</v>
      </c>
      <c r="AG23" s="751"/>
      <c r="AH23" s="1027">
        <f>'SEPTEMBER DIBAYAR OKT 2025 '!V538</f>
        <v>1234277949</v>
      </c>
      <c r="AI23" s="1029"/>
      <c r="AJ23" s="1135">
        <f>'SEPTEMBER DIBAYAR OKT 2025 '!AA538</f>
        <v>1234277949</v>
      </c>
      <c r="AK23" s="1131">
        <f>'SEPTEMBER DIBAYAR OKT 2025 '!AB538</f>
        <v>0</v>
      </c>
      <c r="AL23" s="1106">
        <f t="shared" si="1"/>
        <v>26886798</v>
      </c>
      <c r="AM23" s="1162"/>
      <c r="AN23" s="849">
        <f>AF23-AJ23</f>
        <v>-26886798</v>
      </c>
      <c r="AO23" s="28">
        <f>AF23/37*7</f>
        <v>228425352.8918919</v>
      </c>
      <c r="AP23" s="1123">
        <f t="shared" si="2"/>
        <v>0</v>
      </c>
      <c r="AQ23" s="1126">
        <f t="shared" si="3"/>
        <v>26886798</v>
      </c>
      <c r="AR23" s="28"/>
      <c r="AS23" s="72"/>
      <c r="AT23" s="690" t="s">
        <v>324</v>
      </c>
      <c r="AU23" s="690"/>
      <c r="AV23"/>
      <c r="AW23" s="690" t="s">
        <v>320</v>
      </c>
      <c r="AY23"/>
      <c r="AZ23"/>
      <c r="BA23"/>
      <c r="BB23"/>
      <c r="BC23"/>
      <c r="BD23"/>
    </row>
    <row r="24" spans="1:56" ht="15.75" customHeight="1">
      <c r="A24" s="83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84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784"/>
      <c r="Z24" s="84"/>
      <c r="AA24" s="210"/>
      <c r="AB24" s="210"/>
      <c r="AC24" s="784"/>
      <c r="AD24" s="784"/>
      <c r="AE24" s="784"/>
      <c r="AF24" s="210"/>
      <c r="AG24" s="86"/>
      <c r="AH24" s="1033"/>
      <c r="AI24" s="1034"/>
      <c r="AJ24" s="1135">
        <f>'SEPTEMBER DIBAYAR OKT 2025 '!AA539</f>
        <v>0</v>
      </c>
      <c r="AK24" s="1165"/>
      <c r="AL24" s="1106">
        <f t="shared" si="1"/>
        <v>0</v>
      </c>
      <c r="AM24" s="1162"/>
      <c r="AN24" s="849"/>
      <c r="AO24" s="28"/>
      <c r="AP24" s="1123"/>
      <c r="AQ24" s="1126"/>
      <c r="AR24" s="28"/>
      <c r="AS24" s="72"/>
      <c r="AX24" s="1">
        <v>1593610</v>
      </c>
    </row>
    <row r="25" spans="1:56" ht="15.75" hidden="1" customHeight="1">
      <c r="A25" s="785" t="s">
        <v>577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759">
        <v>0</v>
      </c>
      <c r="O25" s="754"/>
      <c r="P25" s="754"/>
      <c r="Q25" s="754"/>
      <c r="R25" s="754"/>
      <c r="S25" s="754"/>
      <c r="T25" s="754"/>
      <c r="U25" s="754"/>
      <c r="V25" s="754"/>
      <c r="W25" s="754"/>
      <c r="X25" s="754"/>
      <c r="Y25" s="759">
        <f>'SEPTEMBER DIBAYAR OKT 2025 '!C540</f>
        <v>0</v>
      </c>
      <c r="Z25" s="759">
        <f>'SEPTEMBER DIBAYAR OKT 2025 '!Q540</f>
        <v>0</v>
      </c>
      <c r="AA25" s="759">
        <v>0</v>
      </c>
      <c r="AB25" s="754"/>
      <c r="AC25" s="759">
        <v>0</v>
      </c>
      <c r="AD25" s="759">
        <v>0</v>
      </c>
      <c r="AE25" s="759">
        <f>'SEPTEMBER DIBAYAR OKT 2025 '!U540</f>
        <v>0</v>
      </c>
      <c r="AF25" s="754">
        <v>0</v>
      </c>
      <c r="AG25" s="858"/>
      <c r="AH25" s="1035">
        <v>0</v>
      </c>
      <c r="AI25" s="1032"/>
      <c r="AJ25" s="1136">
        <f>'SEPTEMBER DIBAYAR OKT 2025 '!AA540</f>
        <v>0</v>
      </c>
      <c r="AK25" s="1119"/>
      <c r="AL25" s="1106">
        <f t="shared" si="1"/>
        <v>0</v>
      </c>
      <c r="AM25" s="1162"/>
      <c r="AN25" s="849"/>
      <c r="AO25" s="28"/>
      <c r="AP25" s="1123"/>
      <c r="AQ25" s="1126">
        <f t="shared" si="3"/>
        <v>0</v>
      </c>
      <c r="AR25" s="28"/>
      <c r="AS25" s="72"/>
      <c r="AX25" s="1"/>
    </row>
    <row r="26" spans="1:56" ht="15.75" customHeight="1" thickBot="1">
      <c r="A26" s="779"/>
      <c r="B26" s="780"/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1"/>
      <c r="O26" s="782"/>
      <c r="P26" s="782"/>
      <c r="Q26" s="782"/>
      <c r="R26" s="782"/>
      <c r="S26" s="782"/>
      <c r="T26" s="782"/>
      <c r="U26" s="782"/>
      <c r="V26" s="782"/>
      <c r="W26" s="782"/>
      <c r="X26" s="782"/>
      <c r="Y26" s="781"/>
      <c r="Z26" s="781"/>
      <c r="AA26" s="782"/>
      <c r="AB26" s="782"/>
      <c r="AC26" s="781"/>
      <c r="AD26" s="781"/>
      <c r="AE26" s="781"/>
      <c r="AF26" s="783"/>
      <c r="AG26" s="79"/>
      <c r="AH26" s="1036"/>
      <c r="AI26" s="1037"/>
      <c r="AJ26" s="133"/>
      <c r="AK26" s="127"/>
      <c r="AL26" s="1107"/>
      <c r="AM26" s="1161"/>
      <c r="AN26" s="849"/>
      <c r="AO26" s="28"/>
      <c r="AP26" s="1123"/>
      <c r="AQ26" s="1126"/>
      <c r="AR26" s="28"/>
      <c r="AS26" s="72"/>
      <c r="AX26" s="1"/>
    </row>
    <row r="27" spans="1:56" ht="18.75" customHeight="1" thickTop="1" thickBot="1">
      <c r="A27" s="149" t="s">
        <v>67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400">
        <v>1099</v>
      </c>
      <c r="O27" s="400">
        <f t="shared" ref="O27:X27" si="4">SUM(O7:O23)</f>
        <v>0</v>
      </c>
      <c r="P27" s="400">
        <f t="shared" si="4"/>
        <v>0</v>
      </c>
      <c r="Q27" s="400">
        <f t="shared" si="4"/>
        <v>0</v>
      </c>
      <c r="R27" s="400">
        <f t="shared" si="4"/>
        <v>0</v>
      </c>
      <c r="S27" s="400">
        <f t="shared" si="4"/>
        <v>0</v>
      </c>
      <c r="T27" s="400">
        <f t="shared" si="4"/>
        <v>0</v>
      </c>
      <c r="U27" s="400">
        <f t="shared" si="4"/>
        <v>0</v>
      </c>
      <c r="V27" s="400">
        <f t="shared" si="4"/>
        <v>0</v>
      </c>
      <c r="W27" s="400">
        <f t="shared" si="4"/>
        <v>0</v>
      </c>
      <c r="X27" s="400">
        <f t="shared" si="4"/>
        <v>0</v>
      </c>
      <c r="Y27" s="400">
        <f>SUM(Y7:Y26)</f>
        <v>1099</v>
      </c>
      <c r="Z27" s="400">
        <f t="shared" ref="Z27:AC27" si="5">SUM(Z7:Z26)</f>
        <v>24313093</v>
      </c>
      <c r="AA27" s="400">
        <f t="shared" si="5"/>
        <v>4056000</v>
      </c>
      <c r="AB27" s="400">
        <f t="shared" si="5"/>
        <v>0</v>
      </c>
      <c r="AC27" s="400">
        <f t="shared" si="5"/>
        <v>340063527</v>
      </c>
      <c r="AD27" s="400">
        <f t="shared" ref="AD27:AH27" si="6">SUM(AD7:AD26)</f>
        <v>85978100</v>
      </c>
      <c r="AE27" s="400">
        <f t="shared" si="6"/>
        <v>810534627.52999997</v>
      </c>
      <c r="AF27" s="543">
        <v>5501343067.409584</v>
      </c>
      <c r="AG27" s="591">
        <v>5966.2300000000005</v>
      </c>
      <c r="AH27" s="1038">
        <f t="shared" si="6"/>
        <v>5513698265.8333082</v>
      </c>
      <c r="AI27" s="1039">
        <f>SUM(AI7:AI26)</f>
        <v>7211.5599999999995</v>
      </c>
      <c r="AJ27" s="94">
        <f>SUM(AJ7:AJ26)</f>
        <v>5513698059</v>
      </c>
      <c r="AK27" s="102">
        <f t="shared" ref="AK27:AQ27" si="7">SUM(AK7:AK26)</f>
        <v>206.83330844342709</v>
      </c>
      <c r="AL27" s="94">
        <f t="shared" si="7"/>
        <v>12355198.423723921</v>
      </c>
      <c r="AM27" s="102"/>
      <c r="AN27" s="543">
        <f t="shared" si="7"/>
        <v>-24906886</v>
      </c>
      <c r="AO27" s="543">
        <f t="shared" si="7"/>
        <v>228425352.8918919</v>
      </c>
      <c r="AP27" s="543">
        <f>SUM(AP7:AP26)</f>
        <v>206.83330844342709</v>
      </c>
      <c r="AQ27" s="94">
        <f t="shared" si="7"/>
        <v>12355198.423723921</v>
      </c>
      <c r="AR27" s="1127"/>
      <c r="AS27" s="72"/>
      <c r="AX27"/>
    </row>
    <row r="28" spans="1:56" ht="15.75" customHeight="1" thickTop="1">
      <c r="A28" s="114"/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134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212"/>
      <c r="Z28" s="212"/>
      <c r="AA28" s="212"/>
      <c r="AB28" s="212"/>
      <c r="AC28" s="212"/>
      <c r="AD28" s="212"/>
      <c r="AE28" s="212"/>
      <c r="AF28" s="209"/>
      <c r="AG28" s="212"/>
      <c r="AH28" s="1026"/>
      <c r="AI28" s="1040"/>
      <c r="AJ28" s="117"/>
      <c r="AK28" s="853"/>
      <c r="AL28" s="853"/>
      <c r="AM28" s="1161"/>
      <c r="AN28" s="849"/>
      <c r="AO28" s="28"/>
      <c r="AP28" s="1123"/>
      <c r="AQ28" s="1126"/>
      <c r="AR28" s="28"/>
      <c r="AS28" s="72"/>
      <c r="AX28" s="1">
        <v>456610</v>
      </c>
    </row>
    <row r="29" spans="1:56" ht="15.75" customHeight="1">
      <c r="A29" s="756" t="s">
        <v>57</v>
      </c>
      <c r="B29" s="757"/>
      <c r="C29" s="757"/>
      <c r="D29" s="757"/>
      <c r="E29" s="757"/>
      <c r="F29" s="757"/>
      <c r="G29" s="757"/>
      <c r="H29" s="757"/>
      <c r="I29" s="757"/>
      <c r="J29" s="757"/>
      <c r="K29" s="757"/>
      <c r="L29" s="757"/>
      <c r="M29" s="757"/>
      <c r="N29" s="758">
        <v>141</v>
      </c>
      <c r="O29" s="698"/>
      <c r="P29" s="698"/>
      <c r="Q29" s="698"/>
      <c r="R29" s="698"/>
      <c r="S29" s="698"/>
      <c r="T29" s="698"/>
      <c r="U29" s="698"/>
      <c r="V29" s="698"/>
      <c r="W29" s="698"/>
      <c r="X29" s="698"/>
      <c r="Y29" s="758">
        <f>'SEPTEMBER DIBAYAR OKT 2025 '!C544</f>
        <v>140</v>
      </c>
      <c r="Z29" s="759">
        <f>'SEPTEMBER DIBAYAR OKT 2025 '!Q544</f>
        <v>2070117</v>
      </c>
      <c r="AA29" s="759">
        <f>'SEPTEMBER DIBAYAR OKT 2025 '!S544</f>
        <v>428000</v>
      </c>
      <c r="AB29" s="759"/>
      <c r="AC29" s="759">
        <f>'SEPTEMBER DIBAYAR OKT 2025 '!T544</f>
        <v>80854039.269999996</v>
      </c>
      <c r="AD29" s="759">
        <f>'SEPTEMBER DIBAYAR OKT 2025 '!AD544</f>
        <v>26023250</v>
      </c>
      <c r="AE29" s="759">
        <f>'SEPTEMBER DIBAYAR OKT 2025 '!U544</f>
        <v>24267963.34</v>
      </c>
      <c r="AF29" s="753">
        <v>666076416.74713492</v>
      </c>
      <c r="AG29" s="855">
        <v>1428.52</v>
      </c>
      <c r="AH29" s="1027">
        <f>'SEPTEMBER DIBAYAR OKT 2025 '!V544</f>
        <v>686674496.61000001</v>
      </c>
      <c r="AI29" s="1028">
        <v>1825.69</v>
      </c>
      <c r="AJ29" s="1137">
        <f>'SEPTEMBER DIBAYAR OKT 2025 '!AA544</f>
        <v>686674495</v>
      </c>
      <c r="AK29" s="1132">
        <f>'SEPTEMBER DIBAYAR OKT 2025 '!AB544</f>
        <v>1.6100000143051147</v>
      </c>
      <c r="AL29" s="852">
        <f>AH29-AF29</f>
        <v>20598079.86286509</v>
      </c>
      <c r="AM29" s="1162"/>
      <c r="AN29" s="850">
        <f>AF29-AJ29</f>
        <v>-20598078.252865076</v>
      </c>
      <c r="AO29" s="28">
        <f>AJ29-AF29</f>
        <v>20598078.252865076</v>
      </c>
      <c r="AP29" s="1123">
        <f t="shared" ref="AP29:AP31" si="8">AH29-AJ29</f>
        <v>1.6100000143051147</v>
      </c>
      <c r="AQ29" s="1126">
        <f>AH29-AF29</f>
        <v>20598079.86286509</v>
      </c>
      <c r="AR29" s="28"/>
      <c r="AS29" s="72"/>
    </row>
    <row r="30" spans="1:56" ht="15.75" customHeight="1">
      <c r="A30" s="760"/>
      <c r="B30" s="757"/>
      <c r="C30" s="757"/>
      <c r="D30" s="757"/>
      <c r="E30" s="757"/>
      <c r="F30" s="757"/>
      <c r="G30" s="757"/>
      <c r="H30" s="757"/>
      <c r="I30" s="757"/>
      <c r="J30" s="757"/>
      <c r="K30" s="757"/>
      <c r="L30" s="757"/>
      <c r="M30" s="757"/>
      <c r="N30" s="761"/>
      <c r="O30" s="698"/>
      <c r="P30" s="698"/>
      <c r="Q30" s="698"/>
      <c r="R30" s="698"/>
      <c r="S30" s="698"/>
      <c r="T30" s="698"/>
      <c r="U30" s="698"/>
      <c r="V30" s="698"/>
      <c r="W30" s="698"/>
      <c r="X30" s="698"/>
      <c r="Y30" s="758"/>
      <c r="Z30" s="759"/>
      <c r="AA30" s="759"/>
      <c r="AB30" s="752"/>
      <c r="AC30" s="752"/>
      <c r="AD30" s="759"/>
      <c r="AE30" s="759"/>
      <c r="AF30" s="753"/>
      <c r="AG30" s="857"/>
      <c r="AH30" s="1027"/>
      <c r="AI30" s="1031"/>
      <c r="AJ30" s="1137">
        <f>'SEPTEMBER DIBAYAR OKT 2025 '!AA545</f>
        <v>0</v>
      </c>
      <c r="AK30" s="1132">
        <f>'SEPTEMBER DIBAYAR OKT 2025 '!AB545</f>
        <v>0</v>
      </c>
      <c r="AL30" s="852">
        <f t="shared" ref="AL30:AL37" si="9">AH30-AF30</f>
        <v>0</v>
      </c>
      <c r="AM30" s="1162"/>
      <c r="AN30" s="850"/>
      <c r="AO30" s="28">
        <f t="shared" ref="AO30:AO37" si="10">AJ30-AF30</f>
        <v>0</v>
      </c>
      <c r="AP30" s="1123"/>
      <c r="AQ30" s="1126"/>
      <c r="AR30" s="28"/>
      <c r="AS30" s="72"/>
    </row>
    <row r="31" spans="1:56" ht="15.75" customHeight="1">
      <c r="A31" s="760" t="s">
        <v>58</v>
      </c>
      <c r="B31" s="757"/>
      <c r="C31" s="757"/>
      <c r="D31" s="757"/>
      <c r="E31" s="757"/>
      <c r="F31" s="757"/>
      <c r="G31" s="757"/>
      <c r="H31" s="757"/>
      <c r="I31" s="757"/>
      <c r="J31" s="757"/>
      <c r="K31" s="757"/>
      <c r="L31" s="757"/>
      <c r="M31" s="757"/>
      <c r="N31" s="758">
        <v>139</v>
      </c>
      <c r="O31" s="698"/>
      <c r="P31" s="698"/>
      <c r="Q31" s="698"/>
      <c r="R31" s="698"/>
      <c r="S31" s="698"/>
      <c r="T31" s="698"/>
      <c r="U31" s="698"/>
      <c r="V31" s="698"/>
      <c r="W31" s="698"/>
      <c r="X31" s="698"/>
      <c r="Y31" s="758">
        <f>'SEPTEMBER DIBAYAR OKT 2025 '!C546</f>
        <v>139</v>
      </c>
      <c r="Z31" s="759">
        <f>'SEPTEMBER DIBAYAR OKT 2025 '!Q546</f>
        <v>1653863</v>
      </c>
      <c r="AA31" s="759">
        <f>'SEPTEMBER DIBAYAR OKT 2025 '!S546</f>
        <v>556000</v>
      </c>
      <c r="AB31" s="759"/>
      <c r="AC31" s="759">
        <f>'SEPTEMBER DIBAYAR OKT 2025 '!T546</f>
        <v>71495925</v>
      </c>
      <c r="AD31" s="759">
        <f>'SEPTEMBER DIBAYAR OKT 2025 '!AD546</f>
        <v>29981600</v>
      </c>
      <c r="AE31" s="759">
        <f>'SEPTEMBER DIBAYAR OKT 2025 '!U546</f>
        <v>23931842.350000001</v>
      </c>
      <c r="AF31" s="753">
        <v>668699821</v>
      </c>
      <c r="AG31" s="857">
        <v>1697.47</v>
      </c>
      <c r="AH31" s="1027">
        <f>'SEPTEMBER DIBAYAR OKT 2025 '!V546</f>
        <v>676070056.35000002</v>
      </c>
      <c r="AI31" s="1031">
        <v>1996.52</v>
      </c>
      <c r="AJ31" s="1137">
        <f>'SEPTEMBER DIBAYAR OKT 2025 '!AA546</f>
        <v>676070056</v>
      </c>
      <c r="AK31" s="1132">
        <f>'SEPTEMBER DIBAYAR OKT 2025 '!AB546</f>
        <v>0.35000002384185791</v>
      </c>
      <c r="AL31" s="852">
        <f t="shared" si="9"/>
        <v>7370235.3500000238</v>
      </c>
      <c r="AM31" s="1162"/>
      <c r="AN31" s="850">
        <f>AF31-AJ31</f>
        <v>-7370235</v>
      </c>
      <c r="AO31" s="28">
        <f t="shared" si="10"/>
        <v>7370235</v>
      </c>
      <c r="AP31" s="1123">
        <f t="shared" si="8"/>
        <v>0.35000002384185791</v>
      </c>
      <c r="AQ31" s="1126">
        <f t="shared" ref="AQ31:AQ37" si="11">AH31-AF31</f>
        <v>7370235.3500000238</v>
      </c>
      <c r="AR31" s="28"/>
      <c r="AS31" s="72"/>
    </row>
    <row r="32" spans="1:56" ht="15.75" customHeight="1">
      <c r="A32" s="760"/>
      <c r="B32" s="757"/>
      <c r="C32" s="757"/>
      <c r="D32" s="757"/>
      <c r="E32" s="757"/>
      <c r="F32" s="757"/>
      <c r="G32" s="757"/>
      <c r="H32" s="757"/>
      <c r="I32" s="757"/>
      <c r="J32" s="757"/>
      <c r="K32" s="757"/>
      <c r="L32" s="757"/>
      <c r="M32" s="757"/>
      <c r="N32" s="761"/>
      <c r="O32" s="698"/>
      <c r="P32" s="698"/>
      <c r="Q32" s="698"/>
      <c r="R32" s="698"/>
      <c r="S32" s="698"/>
      <c r="T32" s="698"/>
      <c r="U32" s="698"/>
      <c r="V32" s="698"/>
      <c r="W32" s="698"/>
      <c r="X32" s="698"/>
      <c r="Y32" s="758"/>
      <c r="Z32" s="759"/>
      <c r="AA32" s="759"/>
      <c r="AB32" s="759"/>
      <c r="AC32" s="759"/>
      <c r="AD32" s="759"/>
      <c r="AE32" s="759"/>
      <c r="AF32" s="753"/>
      <c r="AG32" s="857"/>
      <c r="AH32" s="1027"/>
      <c r="AI32" s="1031"/>
      <c r="AJ32" s="1137">
        <f>'SEPTEMBER DIBAYAR OKT 2025 '!AA547</f>
        <v>0</v>
      </c>
      <c r="AK32" s="1132">
        <f>'SEPTEMBER DIBAYAR OKT 2025 '!AB547</f>
        <v>0</v>
      </c>
      <c r="AL32" s="852">
        <f t="shared" si="9"/>
        <v>0</v>
      </c>
      <c r="AM32" s="1162"/>
      <c r="AN32" s="850"/>
      <c r="AO32" s="28">
        <f t="shared" si="10"/>
        <v>0</v>
      </c>
      <c r="AP32" s="1123"/>
      <c r="AQ32" s="1126"/>
      <c r="AR32" s="28"/>
      <c r="AS32" s="72"/>
    </row>
    <row r="33" spans="1:48" ht="15.75" customHeight="1">
      <c r="A33" s="760" t="s">
        <v>59</v>
      </c>
      <c r="B33" s="757"/>
      <c r="C33" s="757"/>
      <c r="D33" s="757"/>
      <c r="E33" s="757"/>
      <c r="F33" s="757"/>
      <c r="G33" s="757"/>
      <c r="H33" s="757"/>
      <c r="I33" s="757"/>
      <c r="J33" s="757"/>
      <c r="K33" s="757"/>
      <c r="L33" s="757"/>
      <c r="M33" s="757"/>
      <c r="N33" s="761">
        <v>128</v>
      </c>
      <c r="O33" s="762"/>
      <c r="P33" s="762"/>
      <c r="Q33" s="762"/>
      <c r="R33" s="762"/>
      <c r="S33" s="762"/>
      <c r="T33" s="762"/>
      <c r="U33" s="762"/>
      <c r="V33" s="762"/>
      <c r="W33" s="762"/>
      <c r="X33" s="762"/>
      <c r="Y33" s="758">
        <f>'SEPTEMBER DIBAYAR OKT 2025 '!C548</f>
        <v>124</v>
      </c>
      <c r="Z33" s="759">
        <f>'SEPTEMBER DIBAYAR OKT 2025 '!Q548</f>
        <v>2327867</v>
      </c>
      <c r="AA33" s="759">
        <f>'SEPTEMBER DIBAYAR OKT 2025 '!S548</f>
        <v>484000</v>
      </c>
      <c r="AB33" s="759"/>
      <c r="AC33" s="759">
        <f>'SEPTEMBER DIBAYAR OKT 2025 '!T548</f>
        <v>81408651.5</v>
      </c>
      <c r="AD33" s="759">
        <f>'SEPTEMBER DIBAYAR OKT 2025 '!AD548</f>
        <v>20870600</v>
      </c>
      <c r="AE33" s="759">
        <f>'SEPTEMBER DIBAYAR OKT 2025 '!U548</f>
        <v>34295583.829999998</v>
      </c>
      <c r="AF33" s="753">
        <v>622111088</v>
      </c>
      <c r="AG33" s="857">
        <v>1437.68</v>
      </c>
      <c r="AH33" s="1027">
        <f>'SEPTEMBER DIBAYAR OKT 2025 '!V548</f>
        <v>628224928.33000004</v>
      </c>
      <c r="AI33" s="1031">
        <v>1806.87</v>
      </c>
      <c r="AJ33" s="1137">
        <f>'SEPTEMBER DIBAYAR OKT 2025 '!AA548</f>
        <v>657131647</v>
      </c>
      <c r="AK33" s="1132">
        <f>'SEPTEMBER DIBAYAR OKT 2025 '!AB548</f>
        <v>-28906718.669999957</v>
      </c>
      <c r="AL33" s="852">
        <f t="shared" si="9"/>
        <v>6113840.3300000429</v>
      </c>
      <c r="AM33" s="1162"/>
      <c r="AN33" s="850">
        <f>AF33-AJ33</f>
        <v>-35020559</v>
      </c>
      <c r="AO33" s="28">
        <f t="shared" si="10"/>
        <v>35020559</v>
      </c>
      <c r="AP33" s="1123">
        <f>AH33-AJ33</f>
        <v>-28906718.669999957</v>
      </c>
      <c r="AQ33" s="1126">
        <f>AH33-AF33</f>
        <v>6113840.3300000429</v>
      </c>
      <c r="AR33" s="28"/>
      <c r="AS33" s="72"/>
    </row>
    <row r="34" spans="1:48" ht="15.75" customHeight="1">
      <c r="A34" s="760"/>
      <c r="B34" s="757"/>
      <c r="C34" s="757"/>
      <c r="D34" s="757"/>
      <c r="E34" s="757"/>
      <c r="F34" s="757"/>
      <c r="G34" s="757"/>
      <c r="H34" s="757"/>
      <c r="I34" s="757"/>
      <c r="J34" s="757"/>
      <c r="K34" s="757"/>
      <c r="L34" s="757"/>
      <c r="M34" s="757"/>
      <c r="N34" s="761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758"/>
      <c r="Z34" s="759"/>
      <c r="AA34" s="759"/>
      <c r="AB34" s="759"/>
      <c r="AC34" s="759"/>
      <c r="AD34" s="759"/>
      <c r="AE34" s="759"/>
      <c r="AF34" s="753"/>
      <c r="AG34" s="857"/>
      <c r="AH34" s="1027"/>
      <c r="AI34" s="1031"/>
      <c r="AJ34" s="1137">
        <f>'SEPTEMBER DIBAYAR OKT 2025 '!AA549</f>
        <v>0</v>
      </c>
      <c r="AK34" s="1132">
        <f>'SEPTEMBER DIBAYAR OKT 2025 '!AB549</f>
        <v>0</v>
      </c>
      <c r="AL34" s="852">
        <f t="shared" si="9"/>
        <v>0</v>
      </c>
      <c r="AM34" s="1162"/>
      <c r="AN34" s="850"/>
      <c r="AO34" s="28">
        <f t="shared" si="10"/>
        <v>0</v>
      </c>
      <c r="AP34" s="1123"/>
      <c r="AQ34" s="1126"/>
      <c r="AR34" s="28"/>
      <c r="AS34" s="72"/>
    </row>
    <row r="35" spans="1:48" ht="15.75" customHeight="1">
      <c r="A35" s="760" t="s">
        <v>60</v>
      </c>
      <c r="B35" s="757"/>
      <c r="C35" s="757"/>
      <c r="D35" s="757"/>
      <c r="E35" s="757"/>
      <c r="F35" s="757"/>
      <c r="G35" s="757"/>
      <c r="H35" s="757"/>
      <c r="I35" s="757"/>
      <c r="J35" s="757"/>
      <c r="K35" s="757"/>
      <c r="L35" s="757"/>
      <c r="M35" s="757"/>
      <c r="N35" s="752">
        <v>264</v>
      </c>
      <c r="O35" s="563"/>
      <c r="P35" s="563"/>
      <c r="Q35" s="563"/>
      <c r="R35" s="563"/>
      <c r="S35" s="563"/>
      <c r="T35" s="563"/>
      <c r="U35" s="563"/>
      <c r="V35" s="563"/>
      <c r="W35" s="563"/>
      <c r="X35" s="563"/>
      <c r="Y35" s="758">
        <f>'SEPTEMBER DIBAYAR OKT 2025 '!C550</f>
        <v>260</v>
      </c>
      <c r="Z35" s="759">
        <f>'SEPTEMBER DIBAYAR OKT 2025 '!Q550</f>
        <v>4625191</v>
      </c>
      <c r="AA35" s="759">
        <f>'SEPTEMBER DIBAYAR OKT 2025 '!S550</f>
        <v>996000</v>
      </c>
      <c r="AB35" s="759"/>
      <c r="AC35" s="759">
        <f>'SEPTEMBER DIBAYAR OKT 2025 '!T550</f>
        <v>155328680.5</v>
      </c>
      <c r="AD35" s="759">
        <f>'SEPTEMBER DIBAYAR OKT 2025 '!AD550</f>
        <v>45028000</v>
      </c>
      <c r="AE35" s="759">
        <f>'SEPTEMBER DIBAYAR OKT 2025 '!U550</f>
        <v>57555183.550000004</v>
      </c>
      <c r="AF35" s="753">
        <v>1292709179.0800002</v>
      </c>
      <c r="AG35" s="857">
        <v>2211.9</v>
      </c>
      <c r="AH35" s="1027">
        <f>'SEPTEMBER DIBAYAR OKT 2025 '!V550</f>
        <v>1282489712.0500002</v>
      </c>
      <c r="AI35" s="1031">
        <v>2533.65</v>
      </c>
      <c r="AJ35" s="1137">
        <f>'SEPTEMBER DIBAYAR OKT 2025 '!AA550</f>
        <v>1282489712</v>
      </c>
      <c r="AK35" s="1132">
        <f>'SEPTEMBER DIBAYAR OKT 2025 '!AB550</f>
        <v>5.0000190734863281E-2</v>
      </c>
      <c r="AL35" s="852">
        <f t="shared" si="9"/>
        <v>-10219467.029999971</v>
      </c>
      <c r="AM35" s="1162"/>
      <c r="AN35" s="850">
        <f>AF35-AJ35</f>
        <v>10219467.080000162</v>
      </c>
      <c r="AO35" s="28">
        <f t="shared" si="10"/>
        <v>-10219467.080000162</v>
      </c>
      <c r="AP35" s="1123">
        <f>AH35-AJ35</f>
        <v>5.0000190734863281E-2</v>
      </c>
      <c r="AQ35" s="1126">
        <f t="shared" si="11"/>
        <v>-10219467.029999971</v>
      </c>
      <c r="AR35" s="28"/>
      <c r="AS35" s="1129">
        <f>AF7+AF9+AF11+AF13+AF15+AF17+AF19+AF29+AF31+AF33+AF35+AF37</f>
        <v>7481538423.2367191</v>
      </c>
      <c r="AT35" s="517" t="s">
        <v>263</v>
      </c>
      <c r="AU35" s="517"/>
    </row>
    <row r="36" spans="1:48" ht="15.75" customHeight="1">
      <c r="A36" s="763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5"/>
      <c r="O36" s="766"/>
      <c r="P36" s="766"/>
      <c r="Q36" s="766"/>
      <c r="R36" s="766"/>
      <c r="S36" s="766"/>
      <c r="T36" s="766"/>
      <c r="U36" s="766"/>
      <c r="V36" s="766"/>
      <c r="W36" s="766"/>
      <c r="X36" s="766"/>
      <c r="Y36" s="758"/>
      <c r="Z36" s="759"/>
      <c r="AA36" s="759"/>
      <c r="AB36" s="759"/>
      <c r="AC36" s="759"/>
      <c r="AD36" s="759"/>
      <c r="AE36" s="759"/>
      <c r="AF36" s="753"/>
      <c r="AG36" s="857"/>
      <c r="AH36" s="1027"/>
      <c r="AI36" s="1031"/>
      <c r="AJ36" s="1137">
        <f>'SEPTEMBER DIBAYAR OKT 2025 '!AA551</f>
        <v>0</v>
      </c>
      <c r="AK36" s="1132">
        <f>'SEPTEMBER DIBAYAR OKT 2025 '!AB551</f>
        <v>0</v>
      </c>
      <c r="AL36" s="852">
        <f t="shared" si="9"/>
        <v>0</v>
      </c>
      <c r="AM36" s="1162"/>
      <c r="AN36" s="850"/>
      <c r="AO36" s="28">
        <f t="shared" si="10"/>
        <v>0</v>
      </c>
      <c r="AP36" s="1123"/>
      <c r="AQ36" s="1126"/>
      <c r="AR36" s="28"/>
      <c r="AS36" s="1130"/>
    </row>
    <row r="37" spans="1:48" ht="15.75" customHeight="1">
      <c r="A37" s="756" t="s">
        <v>31</v>
      </c>
      <c r="B37" s="767"/>
      <c r="C37" s="767"/>
      <c r="D37" s="767"/>
      <c r="E37" s="767"/>
      <c r="F37" s="767"/>
      <c r="G37" s="767"/>
      <c r="H37" s="767"/>
      <c r="I37" s="767"/>
      <c r="J37" s="767"/>
      <c r="K37" s="767"/>
      <c r="L37" s="767"/>
      <c r="M37" s="767"/>
      <c r="N37" s="752">
        <v>5</v>
      </c>
      <c r="O37" s="563"/>
      <c r="P37" s="563"/>
      <c r="Q37" s="563"/>
      <c r="R37" s="563"/>
      <c r="S37" s="563"/>
      <c r="T37" s="563"/>
      <c r="U37" s="563"/>
      <c r="V37" s="563"/>
      <c r="W37" s="563"/>
      <c r="X37" s="563"/>
      <c r="Y37" s="758">
        <f>'SEPTEMBER DIBAYAR OKT 2025 '!C552</f>
        <v>5</v>
      </c>
      <c r="Z37" s="759">
        <f>'SEPTEMBER DIBAYAR OKT 2025 '!Q552</f>
        <v>78309</v>
      </c>
      <c r="AA37" s="759">
        <f>'SEPTEMBER DIBAYAR OKT 2025 '!S552</f>
        <v>20000</v>
      </c>
      <c r="AB37" s="759"/>
      <c r="AC37" s="759">
        <f>'SEPTEMBER DIBAYAR OKT 2025 '!T552</f>
        <v>400000</v>
      </c>
      <c r="AD37" s="759">
        <f>'SEPTEMBER DIBAYAR OKT 2025 '!AD552</f>
        <v>0</v>
      </c>
      <c r="AE37" s="759">
        <f>'SEPTEMBER DIBAYAR OKT 2025 '!U552</f>
        <v>8358218.04</v>
      </c>
      <c r="AF37" s="753">
        <v>26805912</v>
      </c>
      <c r="AG37" s="859"/>
      <c r="AH37" s="1027">
        <f>'SEPTEMBER DIBAYAR OKT 2025 '!V552</f>
        <v>28906719.039999999</v>
      </c>
      <c r="AI37" s="1041"/>
      <c r="AJ37" s="1137">
        <v>0</v>
      </c>
      <c r="AK37" s="1132">
        <f>'SEPTEMBER DIBAYAR OKT 2025 '!AB552</f>
        <v>28906719.039999999</v>
      </c>
      <c r="AL37" s="852">
        <f t="shared" si="9"/>
        <v>2100807.0399999991</v>
      </c>
      <c r="AM37" s="1162"/>
      <c r="AN37" s="850">
        <f>AF37-AJ37</f>
        <v>26805912</v>
      </c>
      <c r="AO37" s="28">
        <f t="shared" si="10"/>
        <v>-26805912</v>
      </c>
      <c r="AP37" s="1123">
        <f>AH37-AJ37</f>
        <v>28906719.039999999</v>
      </c>
      <c r="AQ37" s="1126">
        <f t="shared" si="11"/>
        <v>2100807.0399999991</v>
      </c>
      <c r="AR37" s="28"/>
      <c r="AS37" s="1129">
        <f>AS35+AF23</f>
        <v>8688929574.2367191</v>
      </c>
      <c r="AT37" s="518" t="s">
        <v>264</v>
      </c>
      <c r="AU37" s="518"/>
      <c r="AV37" s="518"/>
    </row>
    <row r="38" spans="1:48" ht="15.75" customHeight="1" thickBot="1">
      <c r="A38" s="108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128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211"/>
      <c r="Z38" s="211"/>
      <c r="AA38" s="211"/>
      <c r="AB38" s="211"/>
      <c r="AC38" s="211"/>
      <c r="AD38" s="211"/>
      <c r="AE38" s="211"/>
      <c r="AF38" s="213"/>
      <c r="AG38" s="213"/>
      <c r="AH38" s="1042"/>
      <c r="AI38" s="1042"/>
      <c r="AJ38" s="113"/>
      <c r="AK38" s="1133"/>
      <c r="AL38" s="852">
        <f t="shared" ref="AL38" si="12">AF38-AH38</f>
        <v>0</v>
      </c>
      <c r="AM38" s="1162"/>
      <c r="AN38" s="848"/>
      <c r="AO38" s="28"/>
      <c r="AP38" s="1123"/>
      <c r="AQ38" s="1126"/>
      <c r="AR38" s="28"/>
      <c r="AS38" s="72"/>
    </row>
    <row r="39" spans="1:48" ht="17.25" customHeight="1" thickTop="1" thickBot="1">
      <c r="A39" s="149" t="s">
        <v>67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400">
        <v>677</v>
      </c>
      <c r="O39" s="400">
        <f t="shared" ref="O39:X39" si="13">SUM(O29:O37)</f>
        <v>0</v>
      </c>
      <c r="P39" s="400">
        <f t="shared" si="13"/>
        <v>0</v>
      </c>
      <c r="Q39" s="400">
        <f t="shared" si="13"/>
        <v>0</v>
      </c>
      <c r="R39" s="400">
        <f t="shared" si="13"/>
        <v>0</v>
      </c>
      <c r="S39" s="400">
        <f t="shared" si="13"/>
        <v>0</v>
      </c>
      <c r="T39" s="400">
        <f t="shared" si="13"/>
        <v>0</v>
      </c>
      <c r="U39" s="400">
        <f t="shared" si="13"/>
        <v>0</v>
      </c>
      <c r="V39" s="400">
        <f t="shared" si="13"/>
        <v>0</v>
      </c>
      <c r="W39" s="400">
        <f t="shared" si="13"/>
        <v>0</v>
      </c>
      <c r="X39" s="400">
        <f t="shared" si="13"/>
        <v>0</v>
      </c>
      <c r="Y39" s="400">
        <f>SUM(Y29:Y37)</f>
        <v>668</v>
      </c>
      <c r="Z39" s="400">
        <f>SUM(Z29:Z37)</f>
        <v>10755347</v>
      </c>
      <c r="AA39" s="400">
        <f>SUM(AA29:AA37)</f>
        <v>2484000</v>
      </c>
      <c r="AB39" s="400">
        <f>SUM(AB29:AB37)</f>
        <v>0</v>
      </c>
      <c r="AC39" s="400">
        <f>SUM(AC28:AC38)</f>
        <v>389487296.26999998</v>
      </c>
      <c r="AD39" s="400">
        <f>SUM(AD28:AD38)</f>
        <v>121903450</v>
      </c>
      <c r="AE39" s="400">
        <f>SUM(AE28:AE38)</f>
        <v>148408791.10999998</v>
      </c>
      <c r="AF39" s="94">
        <v>3276402416.8271351</v>
      </c>
      <c r="AG39" s="854">
        <v>6775.57</v>
      </c>
      <c r="AH39" s="94">
        <f>SUM(AH28:AH38)</f>
        <v>3302365912.3800001</v>
      </c>
      <c r="AI39" s="854">
        <f>SUM(AI28:AI38)</f>
        <v>8162.73</v>
      </c>
      <c r="AJ39" s="94">
        <f t="shared" ref="AJ39:AQ39" si="14">SUM(AJ28:AJ38)</f>
        <v>3302365910</v>
      </c>
      <c r="AK39" s="102">
        <f t="shared" si="14"/>
        <v>2.3800002709031105</v>
      </c>
      <c r="AL39" s="94">
        <f t="shared" si="14"/>
        <v>25963495.552865185</v>
      </c>
      <c r="AM39" s="102"/>
      <c r="AN39" s="543">
        <f t="shared" si="14"/>
        <v>-25963493.172864914</v>
      </c>
      <c r="AO39" s="543">
        <f t="shared" si="14"/>
        <v>25963493.172864914</v>
      </c>
      <c r="AP39" s="543">
        <f>SUM(AP28:AP38)</f>
        <v>2.3800002709031105</v>
      </c>
      <c r="AQ39" s="94">
        <f t="shared" si="14"/>
        <v>25963495.552865185</v>
      </c>
      <c r="AR39" s="1127"/>
      <c r="AS39" s="72"/>
    </row>
    <row r="40" spans="1:48" ht="16.5" customHeight="1" thickTop="1" thickBot="1">
      <c r="A40" s="149"/>
      <c r="B40" s="542"/>
      <c r="C40" s="542"/>
      <c r="D40" s="542"/>
      <c r="E40" s="542"/>
      <c r="F40" s="542"/>
      <c r="G40" s="542"/>
      <c r="H40" s="542"/>
      <c r="I40" s="542"/>
      <c r="J40" s="542"/>
      <c r="K40" s="542"/>
      <c r="L40" s="542"/>
      <c r="M40" s="542"/>
      <c r="N40" s="400"/>
      <c r="O40" s="543"/>
      <c r="P40" s="543"/>
      <c r="Q40" s="543"/>
      <c r="R40" s="543"/>
      <c r="S40" s="543"/>
      <c r="T40" s="543"/>
      <c r="U40" s="543"/>
      <c r="V40" s="543"/>
      <c r="W40" s="543"/>
      <c r="X40" s="543"/>
      <c r="Y40" s="400"/>
      <c r="Z40" s="400"/>
      <c r="AA40" s="400"/>
      <c r="AB40" s="400"/>
      <c r="AC40" s="400"/>
      <c r="AD40" s="400"/>
      <c r="AE40" s="400"/>
      <c r="AF40" s="94"/>
      <c r="AG40" s="543"/>
      <c r="AH40" s="94"/>
      <c r="AI40" s="543"/>
      <c r="AJ40" s="94"/>
      <c r="AK40" s="103"/>
      <c r="AL40" s="103"/>
      <c r="AM40" s="1161"/>
      <c r="AN40" s="848"/>
      <c r="AO40" s="28"/>
      <c r="AP40" s="1123"/>
      <c r="AQ40" s="1126"/>
      <c r="AR40" s="28"/>
      <c r="AS40" s="72"/>
    </row>
    <row r="41" spans="1:48" ht="30" customHeight="1" thickTop="1" thickBot="1">
      <c r="A41" s="91" t="s">
        <v>71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85">
        <v>1776</v>
      </c>
      <c r="O41" s="686">
        <f t="shared" ref="O41:AE41" si="15">O39+O27</f>
        <v>0</v>
      </c>
      <c r="P41" s="686">
        <f t="shared" si="15"/>
        <v>0</v>
      </c>
      <c r="Q41" s="686">
        <f t="shared" si="15"/>
        <v>0</v>
      </c>
      <c r="R41" s="686">
        <f t="shared" si="15"/>
        <v>0</v>
      </c>
      <c r="S41" s="686">
        <f t="shared" si="15"/>
        <v>0</v>
      </c>
      <c r="T41" s="686">
        <f t="shared" si="15"/>
        <v>0</v>
      </c>
      <c r="U41" s="686">
        <f t="shared" si="15"/>
        <v>0</v>
      </c>
      <c r="V41" s="686">
        <f t="shared" si="15"/>
        <v>0</v>
      </c>
      <c r="W41" s="686">
        <f t="shared" si="15"/>
        <v>0</v>
      </c>
      <c r="X41" s="686">
        <f t="shared" si="15"/>
        <v>0</v>
      </c>
      <c r="Y41" s="686">
        <f>Y39+Y27</f>
        <v>1767</v>
      </c>
      <c r="Z41" s="686">
        <f t="shared" si="15"/>
        <v>35068440</v>
      </c>
      <c r="AA41" s="686">
        <f t="shared" si="15"/>
        <v>6540000</v>
      </c>
      <c r="AB41" s="686">
        <f t="shared" si="15"/>
        <v>0</v>
      </c>
      <c r="AC41" s="686">
        <f t="shared" si="15"/>
        <v>729550823.26999998</v>
      </c>
      <c r="AD41" s="686">
        <f t="shared" si="15"/>
        <v>207881550</v>
      </c>
      <c r="AE41" s="686">
        <f t="shared" si="15"/>
        <v>958943418.63999999</v>
      </c>
      <c r="AF41" s="94">
        <v>8777745484.2367191</v>
      </c>
      <c r="AG41" s="786">
        <v>12741.8</v>
      </c>
      <c r="AH41" s="94">
        <f>AH39+AH27</f>
        <v>8816064178.2133083</v>
      </c>
      <c r="AI41" s="786">
        <f>AI39+AI27</f>
        <v>15374.289999999999</v>
      </c>
      <c r="AJ41" s="687">
        <f t="shared" ref="AJ41:AP41" si="16">AJ39+AJ27</f>
        <v>8816063969</v>
      </c>
      <c r="AK41" s="1134">
        <f t="shared" si="16"/>
        <v>209.2133087143302</v>
      </c>
      <c r="AL41" s="687">
        <f t="shared" si="16"/>
        <v>38318693.976589106</v>
      </c>
      <c r="AM41" s="1134"/>
      <c r="AN41" s="1108">
        <f t="shared" si="16"/>
        <v>-50870379.172864914</v>
      </c>
      <c r="AO41" s="1108">
        <f t="shared" si="16"/>
        <v>254388846.06475681</v>
      </c>
      <c r="AP41" s="1108">
        <f t="shared" si="16"/>
        <v>209.2133087143302</v>
      </c>
      <c r="AQ41" s="687">
        <f>AQ39+AQ27</f>
        <v>38318693.976589106</v>
      </c>
      <c r="AR41" s="1128"/>
      <c r="AS41" s="72"/>
    </row>
    <row r="42" spans="1:48" ht="13.5" thickTop="1">
      <c r="AF42" s="177"/>
      <c r="AG42" s="177"/>
      <c r="AI42" s="865" t="e">
        <f>#REF!-AG41</f>
        <v>#REF!</v>
      </c>
      <c r="AL42" s="865">
        <f>AG41-AI41</f>
        <v>-2632.49</v>
      </c>
      <c r="AM42" s="865"/>
    </row>
    <row r="43" spans="1:48" ht="22.5" customHeight="1">
      <c r="X43" s="95" t="s">
        <v>98</v>
      </c>
      <c r="Y43" s="177"/>
      <c r="Z43" s="177"/>
      <c r="AA43" s="707"/>
      <c r="AB43" s="177"/>
      <c r="AD43" s="177"/>
      <c r="AE43" s="771" t="s">
        <v>98</v>
      </c>
      <c r="AF43" s="770">
        <f>AF7+AF9+AF11+AF13+AF15+AF17+AF19+AF29+AF31+AF33+AF35+AF37+AF21</f>
        <v>7570354333.2367191</v>
      </c>
      <c r="AG43" s="770"/>
      <c r="AH43" s="770">
        <f>AH7+AH9+AH11+AH13+AH15+AH17+AH19+AH29+AH31+AH33+AH35+AH37+AH21</f>
        <v>7581786229.2133083</v>
      </c>
      <c r="AI43" s="770"/>
      <c r="AJ43" s="28">
        <f>AH41-AJ41</f>
        <v>209.21330833435059</v>
      </c>
      <c r="AL43" s="770">
        <f>AF43-AH43</f>
        <v>-11431895.976589203</v>
      </c>
      <c r="AM43" s="770"/>
      <c r="AO43" s="770" t="e">
        <f>AF43-#REF!</f>
        <v>#REF!</v>
      </c>
      <c r="AP43" s="770"/>
      <c r="AQ43" s="770"/>
      <c r="AR43" s="770"/>
      <c r="AS43" s="851" t="e">
        <f>AO43/#REF!*100</f>
        <v>#REF!</v>
      </c>
    </row>
    <row r="44" spans="1:48" ht="6" customHeight="1">
      <c r="Y44" s="177"/>
      <c r="Z44" s="177"/>
      <c r="AA44" s="177"/>
      <c r="AB44" s="177"/>
      <c r="AE44" s="771"/>
      <c r="AF44" s="769"/>
      <c r="AH44" s="769"/>
      <c r="AL44" s="769"/>
      <c r="AM44" s="769"/>
      <c r="AO44" s="770" t="e">
        <f>AF44-#REF!</f>
        <v>#REF!</v>
      </c>
      <c r="AP44" s="770"/>
      <c r="AQ44" s="770"/>
      <c r="AR44" s="770"/>
      <c r="AS44" s="849"/>
      <c r="AU44" s="28"/>
    </row>
    <row r="45" spans="1:48" ht="16.5" customHeight="1">
      <c r="X45" s="95" t="s">
        <v>55</v>
      </c>
      <c r="Y45" s="177"/>
      <c r="Z45" s="177"/>
      <c r="AA45" s="177"/>
      <c r="AB45" s="177"/>
      <c r="AE45" s="772" t="s">
        <v>55</v>
      </c>
      <c r="AF45" s="769">
        <f>AF23+AF25</f>
        <v>1207391151</v>
      </c>
      <c r="AG45" s="768"/>
      <c r="AH45" s="769">
        <f>AH23+AH25</f>
        <v>1234277949</v>
      </c>
      <c r="AI45" s="864"/>
      <c r="AL45" s="769">
        <f>AF45-AH45</f>
        <v>-26886798</v>
      </c>
      <c r="AM45" s="769"/>
      <c r="AO45" s="770" t="e">
        <f>AF45-#REF!</f>
        <v>#REF!</v>
      </c>
      <c r="AP45" s="770"/>
      <c r="AQ45" s="770"/>
      <c r="AR45" s="770"/>
      <c r="AS45" s="851" t="e">
        <f>AO45/#REF!*100</f>
        <v>#REF!</v>
      </c>
    </row>
    <row r="46" spans="1:48" ht="12.75" hidden="1" customHeight="1">
      <c r="Y46" s="177"/>
      <c r="Z46" s="177"/>
      <c r="AA46" s="177"/>
      <c r="AB46" s="177"/>
      <c r="AD46" s="177"/>
      <c r="AE46" s="772"/>
      <c r="AF46" s="436"/>
      <c r="AG46" s="435"/>
      <c r="AH46" s="436"/>
      <c r="AI46" s="436"/>
      <c r="AL46" s="436"/>
      <c r="AM46" s="436"/>
      <c r="AO46" s="770" t="e">
        <f>AF46-#REF!</f>
        <v>#REF!</v>
      </c>
      <c r="AP46" s="770"/>
      <c r="AQ46" s="770"/>
      <c r="AR46" s="770"/>
      <c r="AS46" s="849"/>
    </row>
    <row r="47" spans="1:48" ht="16.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773" t="s">
        <v>194</v>
      </c>
      <c r="AF47" s="438">
        <f>+AG41</f>
        <v>12741.8</v>
      </c>
      <c r="AG47" s="768"/>
      <c r="AH47" s="438">
        <f>+AI41</f>
        <v>15374.289999999999</v>
      </c>
      <c r="AI47" s="438"/>
      <c r="AL47" s="438">
        <f>AF47-AH47</f>
        <v>-2632.49</v>
      </c>
      <c r="AM47" s="438"/>
      <c r="AO47" s="869" t="e">
        <f>AF47-#REF!</f>
        <v>#REF!</v>
      </c>
      <c r="AP47" s="869"/>
      <c r="AQ47" s="869"/>
      <c r="AR47" s="869"/>
      <c r="AS47" s="851" t="e">
        <f>AO47/#REF!*100</f>
        <v>#REF!</v>
      </c>
      <c r="AU47" s="538"/>
    </row>
    <row r="48" spans="1: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144"/>
      <c r="AA48" s="144"/>
      <c r="AB48" s="144"/>
      <c r="AC48" s="99"/>
      <c r="AD48" s="99"/>
      <c r="AE48" s="99"/>
      <c r="AF48" s="144"/>
      <c r="AG48" s="144">
        <f>AH47-AF47</f>
        <v>2632.49</v>
      </c>
      <c r="AH48" s="64"/>
      <c r="AI48" s="64"/>
      <c r="AJ48" s="64"/>
      <c r="AK48" s="64"/>
      <c r="AL48" s="64"/>
      <c r="AM48" s="64"/>
      <c r="AN48" s="64"/>
    </row>
    <row r="49" spans="1:45" ht="0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144"/>
      <c r="AG49" s="144"/>
      <c r="AH49" s="64"/>
      <c r="AI49" s="64"/>
      <c r="AJ49" s="64"/>
      <c r="AK49" s="64"/>
      <c r="AL49" s="64"/>
      <c r="AM49" s="64"/>
      <c r="AN49" s="64"/>
    </row>
    <row r="50" spans="1:4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144"/>
      <c r="AF50" s="144"/>
      <c r="AG50" s="144"/>
      <c r="AH50" s="64"/>
      <c r="AI50" s="64"/>
      <c r="AJ50" s="64"/>
      <c r="AK50" s="64"/>
      <c r="AL50" s="64"/>
      <c r="AM50" s="64"/>
      <c r="AN50" s="64"/>
    </row>
    <row r="51" spans="1:45" ht="22.5" customHeight="1">
      <c r="A51" s="418" t="s">
        <v>80</v>
      </c>
      <c r="B51" s="1111"/>
      <c r="C51" s="1111"/>
      <c r="D51" s="1111"/>
      <c r="E51" s="1111"/>
      <c r="F51" s="1111"/>
      <c r="G51" s="1111"/>
      <c r="H51" s="1111"/>
      <c r="I51" s="1111"/>
      <c r="J51" s="1111"/>
      <c r="K51" s="1111"/>
      <c r="L51" s="1111"/>
      <c r="M51" s="1111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AA51" s="104" t="s">
        <v>141</v>
      </c>
      <c r="AB51" s="104"/>
      <c r="AE51" s="104"/>
      <c r="AF51" s="106" t="s">
        <v>218</v>
      </c>
      <c r="AG51" s="104"/>
      <c r="AH51" s="1112"/>
      <c r="AI51" s="1112"/>
      <c r="AJ51" s="1112"/>
      <c r="AK51" s="1112"/>
      <c r="AL51" s="1112"/>
      <c r="AM51" s="1112"/>
      <c r="AN51" s="1112"/>
      <c r="AS51" s="72"/>
    </row>
    <row r="52" spans="1:45">
      <c r="AH52" s="28"/>
      <c r="AI52" s="28"/>
      <c r="AJ52" s="28"/>
      <c r="AK52" s="28"/>
      <c r="AL52" s="28"/>
      <c r="AM52" s="28"/>
      <c r="AN52" s="28"/>
    </row>
  </sheetData>
  <mergeCells count="7">
    <mergeCell ref="AP4:AP5"/>
    <mergeCell ref="AQ4:AQ5"/>
    <mergeCell ref="AL4:AL5"/>
    <mergeCell ref="A4:A5"/>
    <mergeCell ref="AF4:AG4"/>
    <mergeCell ref="AH4:AI4"/>
    <mergeCell ref="AK4:AK5"/>
  </mergeCells>
  <pageMargins left="0.74803149606299202" right="0.15748031496063" top="0.74803149606299202" bottom="0.74803149606299202" header="0.31496062992126" footer="0.31496062992126"/>
  <pageSetup paperSize="14" scale="52" orientation="landscape" r:id="rId1"/>
  <colBreaks count="1" manualBreakCount="1">
    <brk id="39" max="5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90"/>
  <sheetViews>
    <sheetView view="pageBreakPreview" zoomScale="60" zoomScaleNormal="93" workbookViewId="0">
      <selection activeCell="G32" sqref="G32"/>
    </sheetView>
  </sheetViews>
  <sheetFormatPr defaultRowHeight="14.25"/>
  <cols>
    <col min="1" max="1" width="17" style="874" customWidth="1"/>
    <col min="2" max="2" width="14.7109375" style="874" customWidth="1"/>
    <col min="3" max="3" width="16.7109375" style="874" customWidth="1"/>
    <col min="4" max="4" width="16.28515625" style="874" customWidth="1"/>
    <col min="5" max="5" width="13.140625" style="874" customWidth="1"/>
    <col min="6" max="6" width="21.5703125" style="874" customWidth="1"/>
    <col min="7" max="7" width="18.28515625" style="874" bestFit="1" customWidth="1"/>
    <col min="8" max="8" width="18.5703125" style="874" customWidth="1"/>
    <col min="9" max="9" width="18.28515625" style="874" customWidth="1"/>
    <col min="10" max="10" width="18.5703125" style="874" customWidth="1"/>
    <col min="11" max="11" width="17.42578125" style="874" customWidth="1"/>
    <col min="12" max="12" width="25.42578125" style="874" customWidth="1"/>
    <col min="13" max="13" width="18.85546875" style="874" customWidth="1"/>
    <col min="14" max="14" width="14.42578125" style="874" customWidth="1"/>
    <col min="15" max="15" width="19.140625" style="874" customWidth="1"/>
    <col min="16" max="16" width="21.5703125" style="874" customWidth="1"/>
    <col min="17" max="17" width="9.140625" style="874"/>
    <col min="18" max="18" width="14.5703125" style="874" customWidth="1"/>
    <col min="19" max="19" width="9.140625" style="874"/>
    <col min="20" max="20" width="14" style="874" customWidth="1"/>
    <col min="21" max="16384" width="9.140625" style="874"/>
  </cols>
  <sheetData>
    <row r="1" spans="1:16" ht="15">
      <c r="A1" s="771" t="s">
        <v>696</v>
      </c>
    </row>
    <row r="2" spans="1:16" ht="17.25" customHeight="1" thickBot="1">
      <c r="A2" s="771"/>
      <c r="F2" s="875"/>
      <c r="G2" s="875"/>
      <c r="H2" s="875"/>
    </row>
    <row r="3" spans="1:16" s="877" customFormat="1" ht="20.25" customHeight="1">
      <c r="A3" s="1274" t="s">
        <v>422</v>
      </c>
      <c r="B3" s="1276" t="s">
        <v>438</v>
      </c>
      <c r="C3" s="1278" t="s">
        <v>423</v>
      </c>
      <c r="D3" s="1279"/>
      <c r="E3" s="1279"/>
      <c r="F3" s="1279"/>
      <c r="G3" s="1279" t="s">
        <v>425</v>
      </c>
      <c r="H3" s="1279"/>
      <c r="I3" s="1279"/>
      <c r="J3" s="1280"/>
      <c r="K3" s="1278" t="s">
        <v>426</v>
      </c>
      <c r="L3" s="1279"/>
      <c r="M3" s="1290" t="s">
        <v>428</v>
      </c>
      <c r="P3" s="938" t="s">
        <v>427</v>
      </c>
    </row>
    <row r="4" spans="1:16" s="881" customFormat="1" ht="20.25" customHeight="1" thickBot="1">
      <c r="A4" s="1275"/>
      <c r="B4" s="1277"/>
      <c r="C4" s="878">
        <v>45931</v>
      </c>
      <c r="D4" s="878">
        <v>45901</v>
      </c>
      <c r="E4" s="879" t="s">
        <v>424</v>
      </c>
      <c r="F4" s="940">
        <v>45931</v>
      </c>
      <c r="G4" s="940">
        <v>45901</v>
      </c>
      <c r="H4" s="880" t="s">
        <v>424</v>
      </c>
      <c r="I4" s="878">
        <v>45931</v>
      </c>
      <c r="J4" s="878">
        <v>45901</v>
      </c>
      <c r="K4" s="879" t="s">
        <v>424</v>
      </c>
      <c r="L4" s="1164" t="s">
        <v>697</v>
      </c>
      <c r="M4" s="1291"/>
    </row>
    <row r="5" spans="1:16" s="877" customFormat="1" ht="21.75" customHeight="1" thickTop="1">
      <c r="A5" s="882" t="s">
        <v>340</v>
      </c>
      <c r="B5" s="883">
        <v>1188.8499999999999</v>
      </c>
      <c r="C5" s="884">
        <f>'SUMMARY - WAGES PT.RJ'!Y7</f>
        <v>193</v>
      </c>
      <c r="D5" s="885">
        <v>195</v>
      </c>
      <c r="E5" s="884">
        <f>C5-D5</f>
        <v>-2</v>
      </c>
      <c r="F5" s="886">
        <f>'SUMMARY - WAGES PT.RJ'!AH7</f>
        <v>878370277.00500011</v>
      </c>
      <c r="G5" s="886">
        <v>901997144.41999996</v>
      </c>
      <c r="H5" s="886">
        <f>F5-G5</f>
        <v>-23626867.414999843</v>
      </c>
      <c r="I5" s="887">
        <f>'SUMMARY - WAGES PT.RJ'!AI7</f>
        <v>1480.67</v>
      </c>
      <c r="J5" s="887">
        <v>1204.6500000000001</v>
      </c>
      <c r="K5" s="887">
        <f>I5-J5</f>
        <v>276.02</v>
      </c>
      <c r="L5" s="995">
        <f>K5/J5*100</f>
        <v>22.912879259535963</v>
      </c>
      <c r="M5" s="997">
        <f>H5/G5*100</f>
        <v>-2.6193949239376293</v>
      </c>
    </row>
    <row r="6" spans="1:16" s="877" customFormat="1" ht="21.75" customHeight="1">
      <c r="A6" s="891" t="s">
        <v>341</v>
      </c>
      <c r="B6" s="892">
        <v>61.83</v>
      </c>
      <c r="C6" s="893">
        <f>'SUMMARY - WAGES PT.RJ'!Y9</f>
        <v>172</v>
      </c>
      <c r="D6" s="894">
        <v>171</v>
      </c>
      <c r="E6" s="893">
        <f t="shared" ref="E6:E18" si="0">C6-D6</f>
        <v>1</v>
      </c>
      <c r="F6" s="895">
        <f>'SUMMARY - WAGES PT.RJ'!AH9</f>
        <v>695391805.44148147</v>
      </c>
      <c r="G6" s="895">
        <v>672210895.74000001</v>
      </c>
      <c r="H6" s="886">
        <f t="shared" ref="H6:H18" si="1">F6-G6</f>
        <v>23180909.701481462</v>
      </c>
      <c r="I6" s="896">
        <f>'SUMMARY - WAGES PT.RJ'!AI9</f>
        <v>231.69</v>
      </c>
      <c r="J6" s="896">
        <v>162.57</v>
      </c>
      <c r="K6" s="887">
        <f t="shared" ref="K6:K18" si="2">I6-J6</f>
        <v>69.12</v>
      </c>
      <c r="L6" s="995">
        <f t="shared" ref="L6:L13" si="3">K6/J6*100</f>
        <v>42.517069570031374</v>
      </c>
      <c r="M6" s="997">
        <f t="shared" ref="M6:M18" si="4">H6/G6*100</f>
        <v>3.4484578944473778</v>
      </c>
    </row>
    <row r="7" spans="1:16" s="877" customFormat="1" ht="21.75" customHeight="1">
      <c r="A7" s="891" t="s">
        <v>342</v>
      </c>
      <c r="B7" s="892">
        <v>1491.97</v>
      </c>
      <c r="C7" s="893">
        <f>'SUMMARY - WAGES PT.RJ'!Y11</f>
        <v>176</v>
      </c>
      <c r="D7" s="894">
        <v>177</v>
      </c>
      <c r="E7" s="893">
        <f t="shared" si="0"/>
        <v>-1</v>
      </c>
      <c r="F7" s="895">
        <f>'SUMMARY - WAGES PT.RJ'!AH11</f>
        <v>804360363.26000023</v>
      </c>
      <c r="G7" s="895">
        <v>800455317.25999999</v>
      </c>
      <c r="H7" s="886">
        <f t="shared" si="1"/>
        <v>3905046.0000002384</v>
      </c>
      <c r="I7" s="896">
        <f>'SUMMARY - WAGES PT.RJ'!AI11</f>
        <v>1501.58</v>
      </c>
      <c r="J7" s="896">
        <v>1241.79</v>
      </c>
      <c r="K7" s="887">
        <f t="shared" si="2"/>
        <v>259.78999999999996</v>
      </c>
      <c r="L7" s="995">
        <f t="shared" si="3"/>
        <v>20.920606543779542</v>
      </c>
      <c r="M7" s="997">
        <f t="shared" si="4"/>
        <v>0.48785309008470495</v>
      </c>
    </row>
    <row r="8" spans="1:16" s="877" customFormat="1" ht="21.75" customHeight="1">
      <c r="A8" s="891" t="s">
        <v>343</v>
      </c>
      <c r="B8" s="892">
        <v>982.11</v>
      </c>
      <c r="C8" s="893">
        <f>'SUMMARY - WAGES PT.RJ'!Y13</f>
        <v>125</v>
      </c>
      <c r="D8" s="894">
        <v>124</v>
      </c>
      <c r="E8" s="893">
        <f t="shared" si="0"/>
        <v>1</v>
      </c>
      <c r="F8" s="895">
        <f>'SUMMARY - WAGES PT.RJ'!AH13</f>
        <v>594505798.47682667</v>
      </c>
      <c r="G8" s="895">
        <v>638901820.58958459</v>
      </c>
      <c r="H8" s="886">
        <f t="shared" si="1"/>
        <v>-44396022.112757921</v>
      </c>
      <c r="I8" s="896">
        <f>'SUMMARY - WAGES PT.RJ'!AI13</f>
        <v>1433.46</v>
      </c>
      <c r="J8" s="896">
        <v>1132.97</v>
      </c>
      <c r="K8" s="887">
        <f t="shared" si="2"/>
        <v>300.49</v>
      </c>
      <c r="L8" s="995">
        <f t="shared" si="3"/>
        <v>26.522326275188224</v>
      </c>
      <c r="M8" s="997">
        <f t="shared" si="4"/>
        <v>-6.9488019413982665</v>
      </c>
    </row>
    <row r="9" spans="1:16" s="877" customFormat="1" ht="21.75" customHeight="1">
      <c r="A9" s="891" t="s">
        <v>233</v>
      </c>
      <c r="B9" s="892">
        <v>1518.88</v>
      </c>
      <c r="C9" s="893">
        <f>'SUMMARY - WAGES PT.RJ'!Y15</f>
        <v>205</v>
      </c>
      <c r="D9" s="894">
        <v>204</v>
      </c>
      <c r="E9" s="893">
        <f t="shared" si="0"/>
        <v>1</v>
      </c>
      <c r="F9" s="895">
        <f>'SUMMARY - WAGES PT.RJ'!AH15</f>
        <v>966927557.39999998</v>
      </c>
      <c r="G9" s="895">
        <v>948183177.39999998</v>
      </c>
      <c r="H9" s="886">
        <f t="shared" si="1"/>
        <v>18744380</v>
      </c>
      <c r="I9" s="896">
        <f>'SUMMARY - WAGES PT.RJ'!AI15</f>
        <v>2564.16</v>
      </c>
      <c r="J9" s="896">
        <v>2224.25</v>
      </c>
      <c r="K9" s="887">
        <f t="shared" si="2"/>
        <v>339.90999999999985</v>
      </c>
      <c r="L9" s="995">
        <f t="shared" si="3"/>
        <v>15.282005170282112</v>
      </c>
      <c r="M9" s="997">
        <f t="shared" si="4"/>
        <v>1.9768732927110886</v>
      </c>
    </row>
    <row r="10" spans="1:16" s="877" customFormat="1" ht="21.75" customHeight="1">
      <c r="A10" s="891" t="s">
        <v>235</v>
      </c>
      <c r="B10" s="892">
        <v>1158.2</v>
      </c>
      <c r="C10" s="893">
        <f>'SUMMARY - WAGES PT.RJ'!Y29</f>
        <v>140</v>
      </c>
      <c r="D10" s="893">
        <v>141</v>
      </c>
      <c r="E10" s="893">
        <f t="shared" si="0"/>
        <v>-1</v>
      </c>
      <c r="F10" s="895">
        <f>'SUMMARY - WAGES PT.RJ'!AH29</f>
        <v>686674496.61000001</v>
      </c>
      <c r="G10" s="895">
        <v>666076416.74713492</v>
      </c>
      <c r="H10" s="886">
        <f t="shared" si="1"/>
        <v>20598079.86286509</v>
      </c>
      <c r="I10" s="896">
        <f>'SUMMARY - WAGES PT.RJ'!AI29</f>
        <v>1825.69</v>
      </c>
      <c r="J10" s="896">
        <v>1428.52</v>
      </c>
      <c r="K10" s="887">
        <f t="shared" si="2"/>
        <v>397.17000000000007</v>
      </c>
      <c r="L10" s="995">
        <f t="shared" si="3"/>
        <v>27.802900904432565</v>
      </c>
      <c r="M10" s="997">
        <f t="shared" si="4"/>
        <v>3.0924499569371209</v>
      </c>
    </row>
    <row r="11" spans="1:16" s="877" customFormat="1" ht="21.75" customHeight="1">
      <c r="A11" s="891" t="s">
        <v>236</v>
      </c>
      <c r="B11" s="892">
        <v>1210.0999999999999</v>
      </c>
      <c r="C11" s="893">
        <f>'SUMMARY - WAGES PT.RJ'!Y31</f>
        <v>139</v>
      </c>
      <c r="D11" s="893">
        <v>139</v>
      </c>
      <c r="E11" s="893">
        <f t="shared" si="0"/>
        <v>0</v>
      </c>
      <c r="F11" s="895">
        <f>'SUMMARY - WAGES PT.RJ'!AH31</f>
        <v>676070056.35000002</v>
      </c>
      <c r="G11" s="895">
        <v>668699821</v>
      </c>
      <c r="H11" s="886">
        <f t="shared" si="1"/>
        <v>7370235.3500000238</v>
      </c>
      <c r="I11" s="896">
        <f>'SUMMARY - WAGES PT.RJ'!AI31</f>
        <v>1996.52</v>
      </c>
      <c r="J11" s="896">
        <v>1697.47</v>
      </c>
      <c r="K11" s="887">
        <f t="shared" si="2"/>
        <v>299.04999999999995</v>
      </c>
      <c r="L11" s="995">
        <f t="shared" si="3"/>
        <v>17.61739530006421</v>
      </c>
      <c r="M11" s="997">
        <f t="shared" si="4"/>
        <v>1.102173967831827</v>
      </c>
    </row>
    <row r="12" spans="1:16" s="877" customFormat="1" ht="21.75" customHeight="1">
      <c r="A12" s="891" t="s">
        <v>237</v>
      </c>
      <c r="B12" s="892">
        <v>1056.1300000000001</v>
      </c>
      <c r="C12" s="893">
        <f>'SUMMARY - WAGES PT.RJ'!Y33</f>
        <v>124</v>
      </c>
      <c r="D12" s="894">
        <v>128</v>
      </c>
      <c r="E12" s="893">
        <f t="shared" si="0"/>
        <v>-4</v>
      </c>
      <c r="F12" s="895">
        <f>'SUMMARY - WAGES PT.RJ'!AH33</f>
        <v>628224928.33000004</v>
      </c>
      <c r="G12" s="895">
        <v>622111088</v>
      </c>
      <c r="H12" s="886">
        <f t="shared" si="1"/>
        <v>6113840.3300000429</v>
      </c>
      <c r="I12" s="896">
        <f>'SUMMARY - WAGES PT.RJ'!AI33</f>
        <v>1806.87</v>
      </c>
      <c r="J12" s="896">
        <v>1437.68</v>
      </c>
      <c r="K12" s="887">
        <f t="shared" si="2"/>
        <v>369.18999999999983</v>
      </c>
      <c r="L12" s="995">
        <f t="shared" si="3"/>
        <v>25.679567080296017</v>
      </c>
      <c r="M12" s="997">
        <f t="shared" si="4"/>
        <v>0.98275701043284458</v>
      </c>
    </row>
    <row r="13" spans="1:16" s="877" customFormat="1" ht="21.75" customHeight="1">
      <c r="A13" s="891" t="s">
        <v>281</v>
      </c>
      <c r="B13" s="892">
        <v>1824.94</v>
      </c>
      <c r="C13" s="893">
        <f>'SUMMARY - WAGES PT.RJ'!Y35</f>
        <v>260</v>
      </c>
      <c r="D13" s="893">
        <v>264</v>
      </c>
      <c r="E13" s="893">
        <f t="shared" si="0"/>
        <v>-4</v>
      </c>
      <c r="F13" s="895">
        <f>'SUMMARY - WAGES PT.RJ'!AH35</f>
        <v>1282489712.0500002</v>
      </c>
      <c r="G13" s="895">
        <v>1292709179.0800002</v>
      </c>
      <c r="H13" s="886">
        <f t="shared" si="1"/>
        <v>-10219467.029999971</v>
      </c>
      <c r="I13" s="896">
        <f>'SUMMARY - WAGES PT.RJ'!AI35</f>
        <v>2533.65</v>
      </c>
      <c r="J13" s="896">
        <v>2211.9</v>
      </c>
      <c r="K13" s="887">
        <f t="shared" si="2"/>
        <v>321.75</v>
      </c>
      <c r="L13" s="995">
        <f t="shared" si="3"/>
        <v>14.546317645463175</v>
      </c>
      <c r="M13" s="997">
        <f t="shared" si="4"/>
        <v>-0.79054648913942094</v>
      </c>
    </row>
    <row r="14" spans="1:16" s="877" customFormat="1" ht="21.75" customHeight="1">
      <c r="A14" s="891" t="s">
        <v>576</v>
      </c>
      <c r="B14" s="892"/>
      <c r="C14" s="893">
        <f>'SUMMARY - WAGES PT.RJ'!Y23</f>
        <v>167</v>
      </c>
      <c r="D14" s="894">
        <v>167</v>
      </c>
      <c r="E14" s="893">
        <f t="shared" si="0"/>
        <v>0</v>
      </c>
      <c r="F14" s="895">
        <f>'SUMMARY - WAGES PT.RJ'!AH23</f>
        <v>1234277949</v>
      </c>
      <c r="G14" s="895">
        <v>1207391151</v>
      </c>
      <c r="H14" s="886">
        <f t="shared" si="1"/>
        <v>26886798</v>
      </c>
      <c r="I14" s="897">
        <v>0</v>
      </c>
      <c r="J14" s="897">
        <v>0</v>
      </c>
      <c r="K14" s="887">
        <f t="shared" si="2"/>
        <v>0</v>
      </c>
      <c r="L14" s="995">
        <v>0</v>
      </c>
      <c r="M14" s="997">
        <f t="shared" si="4"/>
        <v>2.2268506753367783</v>
      </c>
    </row>
    <row r="15" spans="1:16" s="877" customFormat="1" ht="21" customHeight="1">
      <c r="A15" s="891" t="s">
        <v>636</v>
      </c>
      <c r="B15" s="892"/>
      <c r="C15" s="893">
        <f>'SUMMARY - WAGES PT.RJ'!Y21</f>
        <v>18</v>
      </c>
      <c r="D15" s="894">
        <v>18</v>
      </c>
      <c r="E15" s="893">
        <f t="shared" si="0"/>
        <v>0</v>
      </c>
      <c r="F15" s="895">
        <f>'SUMMARY - WAGES PT.RJ'!AH21</f>
        <v>90844467.75</v>
      </c>
      <c r="G15" s="895">
        <v>88815910</v>
      </c>
      <c r="H15" s="886">
        <f t="shared" si="1"/>
        <v>2028557.75</v>
      </c>
      <c r="I15" s="897">
        <v>0</v>
      </c>
      <c r="J15" s="897">
        <v>0</v>
      </c>
      <c r="K15" s="887">
        <f t="shared" si="2"/>
        <v>0</v>
      </c>
      <c r="L15" s="995">
        <v>0</v>
      </c>
      <c r="M15" s="997">
        <f t="shared" si="4"/>
        <v>2.2840026634867563</v>
      </c>
    </row>
    <row r="16" spans="1:16" s="877" customFormat="1" ht="21.75" customHeight="1">
      <c r="A16" s="891" t="s">
        <v>429</v>
      </c>
      <c r="B16" s="892"/>
      <c r="C16" s="893">
        <f>'SUMMARY - WAGES PT.RJ'!Y37</f>
        <v>5</v>
      </c>
      <c r="D16" s="893">
        <v>5</v>
      </c>
      <c r="E16" s="893">
        <f t="shared" si="0"/>
        <v>0</v>
      </c>
      <c r="F16" s="895">
        <f>'SUMMARY - WAGES PT.RJ'!AH37</f>
        <v>28906719.039999999</v>
      </c>
      <c r="G16" s="895">
        <v>26805912</v>
      </c>
      <c r="H16" s="886">
        <f t="shared" si="1"/>
        <v>2100807.0399999991</v>
      </c>
      <c r="I16" s="897">
        <v>0</v>
      </c>
      <c r="J16" s="897">
        <v>0</v>
      </c>
      <c r="K16" s="887">
        <f t="shared" si="2"/>
        <v>0</v>
      </c>
      <c r="L16" s="995">
        <v>0</v>
      </c>
      <c r="M16" s="997">
        <f t="shared" si="4"/>
        <v>7.8371033971908854</v>
      </c>
    </row>
    <row r="17" spans="1:16" s="877" customFormat="1" ht="21.75" customHeight="1">
      <c r="A17" s="891" t="s">
        <v>430</v>
      </c>
      <c r="B17" s="892"/>
      <c r="C17" s="893">
        <f>'SUMMARY - WAGES PT.RJ'!Y17</f>
        <v>14</v>
      </c>
      <c r="D17" s="894">
        <v>14</v>
      </c>
      <c r="E17" s="893">
        <f t="shared" si="0"/>
        <v>0</v>
      </c>
      <c r="F17" s="895">
        <f>'SUMMARY - WAGES PT.RJ'!AH17</f>
        <v>87891747.220000014</v>
      </c>
      <c r="G17" s="895">
        <v>80279506</v>
      </c>
      <c r="H17" s="886">
        <f t="shared" si="1"/>
        <v>7612241.2200000137</v>
      </c>
      <c r="I17" s="897">
        <v>0</v>
      </c>
      <c r="J17" s="897">
        <v>0</v>
      </c>
      <c r="K17" s="887">
        <f t="shared" si="2"/>
        <v>0</v>
      </c>
      <c r="L17" s="995">
        <v>0</v>
      </c>
      <c r="M17" s="997">
        <f t="shared" si="4"/>
        <v>9.4821724737568935</v>
      </c>
    </row>
    <row r="18" spans="1:16" s="877" customFormat="1" ht="21.75" customHeight="1" thickBot="1">
      <c r="A18" s="898" t="s">
        <v>431</v>
      </c>
      <c r="B18" s="899"/>
      <c r="C18" s="900">
        <f>'SUMMARY - WAGES PT.RJ'!Y19</f>
        <v>29</v>
      </c>
      <c r="D18" s="901">
        <v>29</v>
      </c>
      <c r="E18" s="900">
        <f t="shared" si="0"/>
        <v>0</v>
      </c>
      <c r="F18" s="902">
        <f>'SUMMARY - WAGES PT.RJ'!AH19</f>
        <v>161128300.27999997</v>
      </c>
      <c r="G18" s="902">
        <v>163108145</v>
      </c>
      <c r="H18" s="903">
        <f t="shared" si="1"/>
        <v>-1979844.7200000286</v>
      </c>
      <c r="I18" s="904">
        <v>0</v>
      </c>
      <c r="J18" s="904">
        <v>0</v>
      </c>
      <c r="K18" s="887">
        <f t="shared" si="2"/>
        <v>0</v>
      </c>
      <c r="L18" s="995">
        <v>0</v>
      </c>
      <c r="M18" s="997">
        <f t="shared" si="4"/>
        <v>-1.2138233317533154</v>
      </c>
    </row>
    <row r="19" spans="1:16" s="877" customFormat="1" ht="21.75" customHeight="1" thickBot="1">
      <c r="A19" s="906"/>
      <c r="B19" s="907">
        <f t="shared" ref="B19:E19" si="5">SUM(B5:B18)</f>
        <v>10493.01</v>
      </c>
      <c r="C19" s="1023">
        <f>SUM(C5:C18)</f>
        <v>1767</v>
      </c>
      <c r="D19" s="1023">
        <v>1776</v>
      </c>
      <c r="E19" s="1023">
        <f t="shared" si="5"/>
        <v>-9</v>
      </c>
      <c r="F19" s="1024">
        <f>SUM(F5:F18)</f>
        <v>8816064178.2133102</v>
      </c>
      <c r="G19" s="1024">
        <v>8777745484.2367191</v>
      </c>
      <c r="H19" s="1024">
        <f t="shared" ref="H19" si="6">SUM(H5:H18)</f>
        <v>38318693.976589106</v>
      </c>
      <c r="I19" s="1025">
        <f>SUM(I5:I18)</f>
        <v>15374.289999999999</v>
      </c>
      <c r="J19" s="1025">
        <v>12741.8</v>
      </c>
      <c r="K19" s="913">
        <f>SUM(K5:K18)</f>
        <v>2632.49</v>
      </c>
      <c r="L19" s="996">
        <f t="shared" ref="L19" si="7">K19/J19*100</f>
        <v>20.660267780062473</v>
      </c>
      <c r="M19" s="998">
        <f>H19/G19*100</f>
        <v>0.43654368932663534</v>
      </c>
    </row>
    <row r="20" spans="1:16">
      <c r="C20" s="916"/>
      <c r="D20" s="916"/>
      <c r="E20" s="916"/>
    </row>
    <row r="21" spans="1:16" ht="15">
      <c r="A21" s="917" t="s">
        <v>433</v>
      </c>
      <c r="F21" s="918"/>
      <c r="G21" s="918"/>
      <c r="I21" s="918"/>
    </row>
    <row r="22" spans="1:16" ht="6" customHeight="1">
      <c r="A22" s="917"/>
    </row>
    <row r="23" spans="1:16" s="919" customFormat="1" ht="17.25" customHeight="1">
      <c r="A23" s="1269" t="s">
        <v>422</v>
      </c>
      <c r="B23" s="1269" t="s">
        <v>432</v>
      </c>
      <c r="C23" s="1269"/>
      <c r="D23" s="1269"/>
      <c r="E23" s="1270"/>
      <c r="F23" s="890"/>
      <c r="G23" s="890"/>
      <c r="M23" s="920"/>
    </row>
    <row r="24" spans="1:16" s="919" customFormat="1" ht="17.25" customHeight="1">
      <c r="A24" s="1269"/>
      <c r="B24" s="921"/>
      <c r="C24" s="921" t="s">
        <v>435</v>
      </c>
      <c r="D24" s="921" t="s">
        <v>436</v>
      </c>
      <c r="E24" s="1270"/>
      <c r="F24" s="890"/>
      <c r="G24" s="890"/>
      <c r="I24" s="1271" t="s">
        <v>700</v>
      </c>
      <c r="J24" s="1272"/>
      <c r="K24" s="1272"/>
      <c r="L24" s="1273"/>
      <c r="M24" s="922">
        <f>K39</f>
        <v>180132680</v>
      </c>
      <c r="O24" s="923"/>
    </row>
    <row r="25" spans="1:16" s="877" customFormat="1" ht="17.25" customHeight="1">
      <c r="A25" s="897" t="s">
        <v>340</v>
      </c>
      <c r="B25" s="895"/>
      <c r="C25" s="895">
        <f>'SUMMARY - WAGES PT.RJ'!AD7</f>
        <v>15466750</v>
      </c>
      <c r="D25" s="895">
        <f>C25+B25</f>
        <v>15466750</v>
      </c>
      <c r="E25" s="890"/>
      <c r="F25" s="890"/>
      <c r="G25" s="890"/>
      <c r="I25" s="924" t="s">
        <v>709</v>
      </c>
      <c r="J25" s="925"/>
      <c r="K25" s="925"/>
      <c r="L25" s="926" t="s">
        <v>480</v>
      </c>
      <c r="M25" s="922">
        <f>Rekapitulasi!F282</f>
        <v>-59993945.730000004</v>
      </c>
    </row>
    <row r="26" spans="1:16" s="877" customFormat="1" ht="17.25" customHeight="1">
      <c r="A26" s="897" t="s">
        <v>341</v>
      </c>
      <c r="B26" s="895"/>
      <c r="C26" s="895">
        <f>'SUMMARY - WAGES PT.RJ'!AD9-C37</f>
        <v>0</v>
      </c>
      <c r="D26" s="895">
        <f>C26+B26</f>
        <v>0</v>
      </c>
      <c r="E26" s="890"/>
      <c r="F26" s="890"/>
      <c r="G26" s="890"/>
      <c r="I26" s="924" t="s">
        <v>710</v>
      </c>
      <c r="J26" s="925"/>
      <c r="K26" s="925"/>
      <c r="L26" s="926" t="s">
        <v>480</v>
      </c>
      <c r="M26" s="922">
        <f>Rekapitulasi!G282</f>
        <v>-5940259.1699999822</v>
      </c>
    </row>
    <row r="27" spans="1:16" s="877" customFormat="1" ht="17.25" customHeight="1">
      <c r="A27" s="897" t="s">
        <v>342</v>
      </c>
      <c r="B27" s="895"/>
      <c r="C27" s="895">
        <f>'SUMMARY - WAGES PT.RJ'!AD11</f>
        <v>16282050</v>
      </c>
      <c r="D27" s="895">
        <f t="shared" ref="D27:D33" si="8">C27+B27</f>
        <v>16282050</v>
      </c>
      <c r="E27" s="890"/>
      <c r="F27" s="890"/>
      <c r="G27" s="890"/>
      <c r="I27" s="924" t="s">
        <v>640</v>
      </c>
      <c r="J27" s="925"/>
      <c r="K27" s="925"/>
      <c r="L27" s="926" t="s">
        <v>481</v>
      </c>
      <c r="M27" s="922">
        <f>Prunning!G16</f>
        <v>-134517050</v>
      </c>
    </row>
    <row r="28" spans="1:16" s="877" customFormat="1" ht="17.25" customHeight="1">
      <c r="A28" s="897" t="s">
        <v>343</v>
      </c>
      <c r="B28" s="895"/>
      <c r="C28" s="895">
        <f>'SUMMARY - WAGES PT.RJ'!AD13-C38</f>
        <v>8599500</v>
      </c>
      <c r="D28" s="895">
        <f t="shared" si="8"/>
        <v>8599500</v>
      </c>
      <c r="E28" s="890"/>
      <c r="F28" s="890"/>
      <c r="G28" s="890"/>
      <c r="I28" s="924" t="s">
        <v>675</v>
      </c>
      <c r="J28" s="925"/>
      <c r="K28" s="925"/>
      <c r="L28" s="926"/>
      <c r="M28" s="922">
        <f>M37</f>
        <v>62481733.083015278</v>
      </c>
    </row>
    <row r="29" spans="1:16" s="877" customFormat="1" ht="17.25" customHeight="1">
      <c r="A29" s="897" t="s">
        <v>233</v>
      </c>
      <c r="B29" s="895"/>
      <c r="C29" s="895">
        <f>'SUMMARY - WAGES PT.RJ'!AD15</f>
        <v>45629800</v>
      </c>
      <c r="D29" s="895">
        <f t="shared" si="8"/>
        <v>45629800</v>
      </c>
      <c r="E29" s="890"/>
      <c r="F29" s="890"/>
      <c r="G29" s="890"/>
      <c r="I29" s="924"/>
      <c r="J29" s="925"/>
      <c r="K29" s="925"/>
      <c r="L29" s="926"/>
      <c r="M29" s="922"/>
    </row>
    <row r="30" spans="1:16" s="877" customFormat="1" ht="17.25" customHeight="1">
      <c r="A30" s="897" t="s">
        <v>235</v>
      </c>
      <c r="B30" s="895"/>
      <c r="C30" s="895">
        <f>'SUMMARY - WAGES PT.RJ'!AD29</f>
        <v>26023250</v>
      </c>
      <c r="D30" s="895">
        <f t="shared" si="8"/>
        <v>26023250</v>
      </c>
      <c r="E30" s="890"/>
      <c r="F30" s="890"/>
      <c r="G30" s="890"/>
      <c r="I30" s="1287" t="s">
        <v>318</v>
      </c>
      <c r="J30" s="1288"/>
      <c r="K30" s="1288"/>
      <c r="L30" s="1289"/>
      <c r="M30" s="927">
        <f>SUM(M24:M29)</f>
        <v>42163158.183015287</v>
      </c>
      <c r="O30" s="890"/>
      <c r="P30" s="928">
        <f>M30-H19</f>
        <v>3844464.2064261809</v>
      </c>
    </row>
    <row r="31" spans="1:16" s="877" customFormat="1" ht="17.25" customHeight="1">
      <c r="A31" s="897" t="s">
        <v>236</v>
      </c>
      <c r="B31" s="895"/>
      <c r="C31" s="895">
        <f>'SUMMARY - WAGES PT.RJ'!AD31</f>
        <v>29981600</v>
      </c>
      <c r="D31" s="895">
        <f t="shared" si="8"/>
        <v>29981600</v>
      </c>
      <c r="E31" s="890"/>
      <c r="F31" s="890"/>
      <c r="G31" s="890"/>
    </row>
    <row r="32" spans="1:16" s="877" customFormat="1" ht="17.25" customHeight="1">
      <c r="A32" s="897" t="s">
        <v>237</v>
      </c>
      <c r="B32" s="895"/>
      <c r="C32" s="895">
        <f>'SUMMARY - WAGES PT.RJ'!AD33</f>
        <v>20870600</v>
      </c>
      <c r="D32" s="895">
        <f t="shared" si="8"/>
        <v>20870600</v>
      </c>
      <c r="E32" s="890"/>
      <c r="F32" s="890"/>
      <c r="G32" s="890"/>
      <c r="I32" s="1286" t="s">
        <v>711</v>
      </c>
      <c r="J32" s="1286"/>
      <c r="K32" s="1286"/>
      <c r="L32" s="1286"/>
      <c r="M32" s="896">
        <f>K19</f>
        <v>2632.49</v>
      </c>
      <c r="N32" s="877" t="s">
        <v>320</v>
      </c>
      <c r="P32" s="890"/>
    </row>
    <row r="33" spans="1:15" s="877" customFormat="1" ht="17.25" customHeight="1">
      <c r="A33" s="897" t="s">
        <v>281</v>
      </c>
      <c r="B33" s="895"/>
      <c r="C33" s="895">
        <f>'SUMMARY - WAGES PT.RJ'!AD35-C39-C40</f>
        <v>45028000</v>
      </c>
      <c r="D33" s="895">
        <f t="shared" si="8"/>
        <v>45028000</v>
      </c>
      <c r="E33" s="890"/>
      <c r="F33" s="890"/>
      <c r="G33" s="890"/>
    </row>
    <row r="34" spans="1:15" s="877" customFormat="1" ht="20.25" customHeight="1">
      <c r="A34" s="929"/>
      <c r="B34" s="930"/>
      <c r="C34" s="930">
        <f>SUM(C25:C33)</f>
        <v>207881550</v>
      </c>
      <c r="D34" s="930">
        <f>SUM(D25:D33)</f>
        <v>207881550</v>
      </c>
      <c r="E34" s="931"/>
      <c r="F34" s="931"/>
      <c r="G34" s="931"/>
      <c r="M34" s="890"/>
    </row>
    <row r="35" spans="1:15" ht="18" customHeight="1">
      <c r="A35" s="771" t="s">
        <v>433</v>
      </c>
      <c r="E35" s="918"/>
      <c r="I35" s="924" t="s">
        <v>680</v>
      </c>
      <c r="J35" s="922">
        <v>51837</v>
      </c>
      <c r="K35" s="922">
        <f>J35*129220</f>
        <v>6698377140</v>
      </c>
      <c r="L35" s="924" t="s">
        <v>689</v>
      </c>
      <c r="M35" s="922">
        <v>41467455.075000003</v>
      </c>
      <c r="N35" s="877"/>
      <c r="O35" s="877"/>
    </row>
    <row r="36" spans="1:15" ht="15.75" customHeight="1">
      <c r="A36" s="921" t="s">
        <v>457</v>
      </c>
      <c r="B36" s="921"/>
      <c r="C36" s="921" t="s">
        <v>435</v>
      </c>
      <c r="D36" s="921" t="s">
        <v>436</v>
      </c>
      <c r="G36" s="918"/>
      <c r="I36" s="924" t="s">
        <v>698</v>
      </c>
      <c r="J36" s="922">
        <f>'SEPTEMBER DIBAYAR OKT 2025 '!E554</f>
        <v>53231</v>
      </c>
      <c r="K36" s="922">
        <f>J36*129220</f>
        <v>6878509820</v>
      </c>
      <c r="L36" s="924" t="s">
        <v>699</v>
      </c>
      <c r="M36" s="922">
        <f>'SEPTEMBER DIBAYAR OKT 2025 '!AG554</f>
        <v>103949188.15801528</v>
      </c>
    </row>
    <row r="37" spans="1:15" ht="15.75" customHeight="1">
      <c r="A37" s="897" t="s">
        <v>458</v>
      </c>
      <c r="B37" s="897"/>
      <c r="C37" s="895">
        <v>0</v>
      </c>
      <c r="D37" s="895">
        <f>SUM(C37)</f>
        <v>0</v>
      </c>
      <c r="I37" s="932"/>
      <c r="J37" s="922">
        <f>J36-J35</f>
        <v>1394</v>
      </c>
      <c r="K37" s="922">
        <f>K36-K35</f>
        <v>180132680</v>
      </c>
      <c r="M37" s="922">
        <f>M36-M35</f>
        <v>62481733.083015278</v>
      </c>
    </row>
    <row r="38" spans="1:15" ht="15.75" customHeight="1">
      <c r="A38" s="897" t="s">
        <v>469</v>
      </c>
      <c r="B38" s="897"/>
      <c r="C38" s="895">
        <v>0</v>
      </c>
      <c r="D38" s="895">
        <f>SUM(C38)</f>
        <v>0</v>
      </c>
      <c r="I38" s="1271" t="s">
        <v>541</v>
      </c>
      <c r="J38" s="1273"/>
      <c r="K38" s="922"/>
    </row>
    <row r="39" spans="1:15" ht="15.75" customHeight="1">
      <c r="A39" s="897" t="s">
        <v>459</v>
      </c>
      <c r="B39" s="933"/>
      <c r="C39" s="895">
        <v>0</v>
      </c>
      <c r="D39" s="895">
        <f>SUM(C39)</f>
        <v>0</v>
      </c>
      <c r="I39" s="934"/>
      <c r="J39" s="935"/>
      <c r="K39" s="936">
        <f>K37+K38</f>
        <v>180132680</v>
      </c>
    </row>
    <row r="40" spans="1:15" ht="15.75" customHeight="1">
      <c r="A40" s="897" t="s">
        <v>460</v>
      </c>
      <c r="B40" s="933"/>
      <c r="C40" s="895">
        <v>0</v>
      </c>
      <c r="D40" s="895">
        <f>SUM(C40)</f>
        <v>0</v>
      </c>
    </row>
    <row r="41" spans="1:15" ht="15.75" customHeight="1">
      <c r="A41" s="932"/>
      <c r="B41" s="932"/>
      <c r="C41" s="930">
        <f>SUM(C37:C40)</f>
        <v>0</v>
      </c>
      <c r="D41" s="930">
        <f>SUM(D37:D40)</f>
        <v>0</v>
      </c>
    </row>
    <row r="46" spans="1:15" ht="21.75" hidden="1" customHeight="1">
      <c r="A46" s="771" t="s">
        <v>594</v>
      </c>
    </row>
    <row r="47" spans="1:15" ht="21.75" hidden="1" customHeight="1" thickBot="1">
      <c r="A47" s="771"/>
      <c r="F47" s="875"/>
      <c r="G47" s="875"/>
      <c r="H47" s="875"/>
    </row>
    <row r="48" spans="1:15" ht="21.75" hidden="1" customHeight="1">
      <c r="A48" s="1274" t="s">
        <v>422</v>
      </c>
      <c r="B48" s="1276" t="s">
        <v>438</v>
      </c>
      <c r="C48" s="1281" t="s">
        <v>423</v>
      </c>
      <c r="D48" s="1281"/>
      <c r="E48" s="1281"/>
      <c r="F48" s="1282" t="s">
        <v>425</v>
      </c>
      <c r="G48" s="1283"/>
      <c r="H48" s="1284"/>
      <c r="I48" s="1281" t="s">
        <v>426</v>
      </c>
      <c r="J48" s="1281"/>
      <c r="K48" s="1281"/>
      <c r="L48" s="876" t="s">
        <v>427</v>
      </c>
      <c r="M48" s="1290" t="s">
        <v>428</v>
      </c>
    </row>
    <row r="49" spans="1:13" ht="21.75" hidden="1" customHeight="1" thickBot="1">
      <c r="A49" s="1275"/>
      <c r="B49" s="1277"/>
      <c r="C49" s="878">
        <v>44682</v>
      </c>
      <c r="D49" s="878">
        <v>44652</v>
      </c>
      <c r="E49" s="879" t="s">
        <v>424</v>
      </c>
      <c r="F49" s="878">
        <v>44682</v>
      </c>
      <c r="G49" s="878">
        <v>44652</v>
      </c>
      <c r="H49" s="880" t="s">
        <v>424</v>
      </c>
      <c r="I49" s="878">
        <v>44682</v>
      </c>
      <c r="J49" s="878">
        <v>44652</v>
      </c>
      <c r="K49" s="879" t="s">
        <v>424</v>
      </c>
      <c r="L49" s="880" t="s">
        <v>595</v>
      </c>
      <c r="M49" s="1291"/>
    </row>
    <row r="50" spans="1:13" ht="21.75" hidden="1" customHeight="1" thickTop="1">
      <c r="A50" s="882" t="s">
        <v>340</v>
      </c>
      <c r="B50" s="883">
        <v>1560.39</v>
      </c>
      <c r="C50" s="884">
        <v>228</v>
      </c>
      <c r="D50" s="885">
        <v>239</v>
      </c>
      <c r="E50" s="884">
        <v>-11</v>
      </c>
      <c r="F50" s="886" t="e">
        <f>'SUMMARY - WAGES PT.RJ'!#REF!</f>
        <v>#REF!</v>
      </c>
      <c r="G50" s="886">
        <v>623862226</v>
      </c>
      <c r="H50" s="886" t="e">
        <f>F50-G50</f>
        <v>#REF!</v>
      </c>
      <c r="I50" s="887">
        <v>2110.2800000000002</v>
      </c>
      <c r="J50" s="887">
        <v>2243.4</v>
      </c>
      <c r="K50" s="887">
        <f>I50-J50</f>
        <v>-133.11999999999989</v>
      </c>
      <c r="L50" s="888">
        <f>K50/J50*100</f>
        <v>-5.9338504056343</v>
      </c>
      <c r="M50" s="889" t="e">
        <f>H50/G50*100</f>
        <v>#REF!</v>
      </c>
    </row>
    <row r="51" spans="1:13" ht="21.75" hidden="1" customHeight="1">
      <c r="A51" s="891" t="s">
        <v>341</v>
      </c>
      <c r="B51" s="892">
        <v>1415.81</v>
      </c>
      <c r="C51" s="893">
        <v>198</v>
      </c>
      <c r="D51" s="894">
        <v>198</v>
      </c>
      <c r="E51" s="893">
        <v>0</v>
      </c>
      <c r="F51" s="886" t="e">
        <f>'SUMMARY - WAGES PT.RJ'!#REF!</f>
        <v>#REF!</v>
      </c>
      <c r="G51" s="895">
        <v>558607092</v>
      </c>
      <c r="H51" s="886" t="e">
        <f t="shared" ref="H51:H63" si="9">F51-G51</f>
        <v>#REF!</v>
      </c>
      <c r="I51" s="896">
        <v>1406.39</v>
      </c>
      <c r="J51" s="896">
        <v>1901.89</v>
      </c>
      <c r="K51" s="887">
        <f t="shared" ref="K51:K63" si="10">I51-J51</f>
        <v>-495.5</v>
      </c>
      <c r="L51" s="888">
        <f t="shared" ref="L51:L58" si="11">K51/J51*100</f>
        <v>-26.053031458181071</v>
      </c>
      <c r="M51" s="889" t="e">
        <f t="shared" ref="M51:M64" si="12">H51/G51*100</f>
        <v>#REF!</v>
      </c>
    </row>
    <row r="52" spans="1:13" ht="21.75" hidden="1" customHeight="1">
      <c r="A52" s="891" t="s">
        <v>342</v>
      </c>
      <c r="B52" s="892">
        <v>1485.65</v>
      </c>
      <c r="C52" s="893">
        <v>219</v>
      </c>
      <c r="D52" s="894">
        <v>218</v>
      </c>
      <c r="E52" s="893">
        <v>1</v>
      </c>
      <c r="F52" s="886" t="e">
        <f>'SUMMARY - WAGES PT.RJ'!#REF!</f>
        <v>#REF!</v>
      </c>
      <c r="G52" s="895">
        <v>651313920</v>
      </c>
      <c r="H52" s="886" t="e">
        <f t="shared" si="9"/>
        <v>#REF!</v>
      </c>
      <c r="I52" s="896">
        <v>1657.05</v>
      </c>
      <c r="J52" s="896">
        <v>2388.98</v>
      </c>
      <c r="K52" s="887">
        <f t="shared" si="10"/>
        <v>-731.93000000000006</v>
      </c>
      <c r="L52" s="888">
        <f t="shared" si="11"/>
        <v>-30.637761722576162</v>
      </c>
      <c r="M52" s="889" t="e">
        <f t="shared" si="12"/>
        <v>#REF!</v>
      </c>
    </row>
    <row r="53" spans="1:13" ht="21.75" hidden="1" customHeight="1">
      <c r="A53" s="891" t="s">
        <v>343</v>
      </c>
      <c r="B53" s="892">
        <v>982.11</v>
      </c>
      <c r="C53" s="893">
        <v>139</v>
      </c>
      <c r="D53" s="894">
        <v>146</v>
      </c>
      <c r="E53" s="893">
        <v>-7</v>
      </c>
      <c r="F53" s="895" t="e">
        <f>'SUMMARY - WAGES PT.RJ'!#REF!</f>
        <v>#REF!</v>
      </c>
      <c r="G53" s="895">
        <v>425958213</v>
      </c>
      <c r="H53" s="886" t="e">
        <f t="shared" si="9"/>
        <v>#REF!</v>
      </c>
      <c r="I53" s="896">
        <v>1223.45</v>
      </c>
      <c r="J53" s="896">
        <v>2038.17</v>
      </c>
      <c r="K53" s="887">
        <f t="shared" si="10"/>
        <v>-814.72</v>
      </c>
      <c r="L53" s="888">
        <f t="shared" si="11"/>
        <v>-39.973113135803196</v>
      </c>
      <c r="M53" s="889" t="e">
        <f t="shared" si="12"/>
        <v>#REF!</v>
      </c>
    </row>
    <row r="54" spans="1:13" ht="21.75" hidden="1" customHeight="1">
      <c r="A54" s="891" t="s">
        <v>233</v>
      </c>
      <c r="B54" s="892">
        <v>1518.88</v>
      </c>
      <c r="C54" s="893">
        <v>203</v>
      </c>
      <c r="D54" s="894">
        <v>198</v>
      </c>
      <c r="E54" s="893">
        <v>5</v>
      </c>
      <c r="F54" s="895" t="e">
        <f>'SUMMARY - WAGES PT.RJ'!#REF!</f>
        <v>#REF!</v>
      </c>
      <c r="G54" s="895">
        <v>596364572</v>
      </c>
      <c r="H54" s="886" t="e">
        <f t="shared" si="9"/>
        <v>#REF!</v>
      </c>
      <c r="I54" s="896">
        <v>1890.58</v>
      </c>
      <c r="J54" s="896">
        <v>2692.48</v>
      </c>
      <c r="K54" s="887">
        <f t="shared" si="10"/>
        <v>-801.90000000000009</v>
      </c>
      <c r="L54" s="888">
        <f t="shared" si="11"/>
        <v>-29.782951033990972</v>
      </c>
      <c r="M54" s="889" t="e">
        <f t="shared" si="12"/>
        <v>#REF!</v>
      </c>
    </row>
    <row r="55" spans="1:13" ht="21.75" hidden="1" customHeight="1">
      <c r="A55" s="891" t="s">
        <v>235</v>
      </c>
      <c r="B55" s="892">
        <v>1158.2</v>
      </c>
      <c r="C55" s="893">
        <v>159</v>
      </c>
      <c r="D55" s="893">
        <v>157</v>
      </c>
      <c r="E55" s="893">
        <v>2</v>
      </c>
      <c r="F55" s="895" t="e">
        <f>'SUMMARY - WAGES PT.RJ'!#REF!</f>
        <v>#REF!</v>
      </c>
      <c r="G55" s="895">
        <v>499181826.18261898</v>
      </c>
      <c r="H55" s="886" t="e">
        <f t="shared" si="9"/>
        <v>#REF!</v>
      </c>
      <c r="I55" s="896">
        <v>1551.01</v>
      </c>
      <c r="J55" s="896">
        <v>1945.79</v>
      </c>
      <c r="K55" s="887">
        <f t="shared" si="10"/>
        <v>-394.78</v>
      </c>
      <c r="L55" s="888">
        <f t="shared" si="11"/>
        <v>-20.288931487981742</v>
      </c>
      <c r="M55" s="889" t="e">
        <f t="shared" si="12"/>
        <v>#REF!</v>
      </c>
    </row>
    <row r="56" spans="1:13" ht="21.75" hidden="1" customHeight="1">
      <c r="A56" s="891" t="s">
        <v>236</v>
      </c>
      <c r="B56" s="892">
        <v>1210.0999999999999</v>
      </c>
      <c r="C56" s="893">
        <v>145</v>
      </c>
      <c r="D56" s="893">
        <v>142</v>
      </c>
      <c r="E56" s="893">
        <v>3</v>
      </c>
      <c r="F56" s="895" t="e">
        <f>'SUMMARY - WAGES PT.RJ'!#REF!</f>
        <v>#REF!</v>
      </c>
      <c r="G56" s="895">
        <v>464910121.660577</v>
      </c>
      <c r="H56" s="886" t="e">
        <f t="shared" si="9"/>
        <v>#REF!</v>
      </c>
      <c r="I56" s="896">
        <v>1768.12</v>
      </c>
      <c r="J56" s="896">
        <v>2287.66</v>
      </c>
      <c r="K56" s="887">
        <f t="shared" si="10"/>
        <v>-519.54</v>
      </c>
      <c r="L56" s="888">
        <f t="shared" si="11"/>
        <v>-22.710542650568701</v>
      </c>
      <c r="M56" s="889" t="e">
        <f t="shared" si="12"/>
        <v>#REF!</v>
      </c>
    </row>
    <row r="57" spans="1:13" ht="21.75" hidden="1" customHeight="1">
      <c r="A57" s="891" t="s">
        <v>237</v>
      </c>
      <c r="B57" s="892">
        <v>1030.1600000000001</v>
      </c>
      <c r="C57" s="894">
        <v>128</v>
      </c>
      <c r="D57" s="894">
        <v>141</v>
      </c>
      <c r="E57" s="893">
        <v>-13</v>
      </c>
      <c r="F57" s="895" t="e">
        <f>'SUMMARY - WAGES PT.RJ'!#REF!</f>
        <v>#REF!</v>
      </c>
      <c r="G57" s="895">
        <v>464442333.45148098</v>
      </c>
      <c r="H57" s="886" t="e">
        <f t="shared" si="9"/>
        <v>#REF!</v>
      </c>
      <c r="I57" s="896">
        <v>1605.88</v>
      </c>
      <c r="J57" s="896">
        <v>1980.47</v>
      </c>
      <c r="K57" s="887">
        <f t="shared" si="10"/>
        <v>-374.58999999999992</v>
      </c>
      <c r="L57" s="888">
        <f t="shared" si="11"/>
        <v>-18.9141971350235</v>
      </c>
      <c r="M57" s="889" t="e">
        <f t="shared" si="12"/>
        <v>#REF!</v>
      </c>
    </row>
    <row r="58" spans="1:13" ht="21.75" hidden="1" customHeight="1">
      <c r="A58" s="891" t="s">
        <v>281</v>
      </c>
      <c r="B58" s="892">
        <v>1657.19</v>
      </c>
      <c r="C58" s="893">
        <v>303</v>
      </c>
      <c r="D58" s="893">
        <v>290</v>
      </c>
      <c r="E58" s="893">
        <v>13</v>
      </c>
      <c r="F58" s="895" t="e">
        <f>'SUMMARY - WAGES PT.RJ'!#REF!</f>
        <v>#REF!</v>
      </c>
      <c r="G58" s="895">
        <v>955202897.59326601</v>
      </c>
      <c r="H58" s="886" t="e">
        <f t="shared" si="9"/>
        <v>#REF!</v>
      </c>
      <c r="I58" s="896">
        <v>2319.3000000000002</v>
      </c>
      <c r="J58" s="896">
        <v>3118.66</v>
      </c>
      <c r="K58" s="887">
        <f t="shared" si="10"/>
        <v>-799.35999999999967</v>
      </c>
      <c r="L58" s="888">
        <f t="shared" si="11"/>
        <v>-25.631521230271964</v>
      </c>
      <c r="M58" s="889" t="e">
        <f t="shared" si="12"/>
        <v>#REF!</v>
      </c>
    </row>
    <row r="59" spans="1:13" ht="21.75" hidden="1" customHeight="1">
      <c r="A59" s="891" t="s">
        <v>576</v>
      </c>
      <c r="B59" s="892"/>
      <c r="C59" s="893">
        <v>125</v>
      </c>
      <c r="D59" s="894">
        <v>125</v>
      </c>
      <c r="E59" s="893">
        <v>0</v>
      </c>
      <c r="F59" s="895" t="e">
        <f>'SUMMARY - WAGES PT.RJ'!#REF!</f>
        <v>#REF!</v>
      </c>
      <c r="G59" s="895">
        <v>610112222</v>
      </c>
      <c r="H59" s="886" t="e">
        <f t="shared" si="9"/>
        <v>#REF!</v>
      </c>
      <c r="I59" s="897">
        <v>0</v>
      </c>
      <c r="J59" s="897">
        <v>0</v>
      </c>
      <c r="K59" s="887">
        <f t="shared" si="10"/>
        <v>0</v>
      </c>
      <c r="L59" s="888">
        <v>0</v>
      </c>
      <c r="M59" s="889" t="e">
        <f t="shared" si="12"/>
        <v>#REF!</v>
      </c>
    </row>
    <row r="60" spans="1:13" ht="21.75" hidden="1" customHeight="1">
      <c r="A60" s="891" t="s">
        <v>578</v>
      </c>
      <c r="B60" s="892"/>
      <c r="C60" s="893">
        <v>2</v>
      </c>
      <c r="D60" s="894">
        <v>2</v>
      </c>
      <c r="E60" s="893">
        <v>0</v>
      </c>
      <c r="F60" s="895" t="e">
        <f>'SUMMARY - WAGES PT.RJ'!#REF!</f>
        <v>#REF!</v>
      </c>
      <c r="G60" s="895">
        <v>13179016</v>
      </c>
      <c r="H60" s="886" t="e">
        <f t="shared" si="9"/>
        <v>#REF!</v>
      </c>
      <c r="I60" s="897">
        <v>0</v>
      </c>
      <c r="J60" s="897">
        <v>0</v>
      </c>
      <c r="K60" s="887">
        <f t="shared" si="10"/>
        <v>0</v>
      </c>
      <c r="L60" s="888">
        <v>0</v>
      </c>
      <c r="M60" s="889" t="e">
        <f t="shared" si="12"/>
        <v>#REF!</v>
      </c>
    </row>
    <row r="61" spans="1:13" ht="21.75" hidden="1" customHeight="1">
      <c r="A61" s="891" t="s">
        <v>429</v>
      </c>
      <c r="B61" s="892"/>
      <c r="C61" s="893">
        <v>5</v>
      </c>
      <c r="D61" s="893">
        <v>5</v>
      </c>
      <c r="E61" s="893">
        <v>0</v>
      </c>
      <c r="F61" s="895" t="e">
        <f>'SUMMARY - WAGES PT.RJ'!#REF!</f>
        <v>#REF!</v>
      </c>
      <c r="G61" s="895">
        <v>18439197</v>
      </c>
      <c r="H61" s="886" t="e">
        <f t="shared" si="9"/>
        <v>#REF!</v>
      </c>
      <c r="I61" s="897">
        <v>0</v>
      </c>
      <c r="J61" s="897">
        <v>0</v>
      </c>
      <c r="K61" s="887">
        <f t="shared" si="10"/>
        <v>0</v>
      </c>
      <c r="L61" s="888">
        <v>0</v>
      </c>
      <c r="M61" s="889" t="e">
        <f t="shared" si="12"/>
        <v>#REF!</v>
      </c>
    </row>
    <row r="62" spans="1:13" ht="21.75" hidden="1" customHeight="1">
      <c r="A62" s="891" t="s">
        <v>430</v>
      </c>
      <c r="B62" s="892"/>
      <c r="C62" s="893">
        <v>10</v>
      </c>
      <c r="D62" s="894">
        <v>10</v>
      </c>
      <c r="E62" s="893">
        <v>0</v>
      </c>
      <c r="F62" s="895" t="e">
        <f>'SUMMARY - WAGES PT.RJ'!#REF!</f>
        <v>#REF!</v>
      </c>
      <c r="G62" s="895">
        <v>49021715</v>
      </c>
      <c r="H62" s="886" t="e">
        <f t="shared" si="9"/>
        <v>#REF!</v>
      </c>
      <c r="I62" s="897">
        <v>0</v>
      </c>
      <c r="J62" s="897">
        <v>0</v>
      </c>
      <c r="K62" s="887">
        <f t="shared" si="10"/>
        <v>0</v>
      </c>
      <c r="L62" s="888">
        <v>0</v>
      </c>
      <c r="M62" s="889" t="e">
        <f t="shared" si="12"/>
        <v>#REF!</v>
      </c>
    </row>
    <row r="63" spans="1:13" ht="21.75" hidden="1" customHeight="1" thickBot="1">
      <c r="A63" s="898" t="s">
        <v>431</v>
      </c>
      <c r="B63" s="899"/>
      <c r="C63" s="900">
        <v>27</v>
      </c>
      <c r="D63" s="901">
        <v>27</v>
      </c>
      <c r="E63" s="900">
        <v>0</v>
      </c>
      <c r="F63" s="902" t="e">
        <f>'SUMMARY - WAGES PT.RJ'!#REF!</f>
        <v>#REF!</v>
      </c>
      <c r="G63" s="902">
        <v>91570417</v>
      </c>
      <c r="H63" s="903" t="e">
        <f t="shared" si="9"/>
        <v>#REF!</v>
      </c>
      <c r="I63" s="904">
        <v>0</v>
      </c>
      <c r="J63" s="904">
        <v>0</v>
      </c>
      <c r="K63" s="887">
        <f t="shared" si="10"/>
        <v>0</v>
      </c>
      <c r="L63" s="888">
        <v>0</v>
      </c>
      <c r="M63" s="905" t="e">
        <f t="shared" si="12"/>
        <v>#REF!</v>
      </c>
    </row>
    <row r="64" spans="1:13" ht="21.75" hidden="1" customHeight="1" thickBot="1">
      <c r="A64" s="906"/>
      <c r="B64" s="907">
        <f t="shared" ref="B64" si="13">SUM(B50:B63)</f>
        <v>12018.49</v>
      </c>
      <c r="C64" s="908">
        <v>1891</v>
      </c>
      <c r="D64" s="909">
        <v>1898</v>
      </c>
      <c r="E64" s="909">
        <v>-7</v>
      </c>
      <c r="F64" s="910" t="e">
        <f t="shared" ref="F64" si="14">SUM(F50:F63)</f>
        <v>#REF!</v>
      </c>
      <c r="G64" s="911">
        <v>6022165768.8879433</v>
      </c>
      <c r="H64" s="911" t="e">
        <f>SUM(H50:H63)</f>
        <v>#REF!</v>
      </c>
      <c r="I64" s="912">
        <f t="shared" ref="I64" si="15">SUM(I50:I63)</f>
        <v>15532.060000000001</v>
      </c>
      <c r="J64" s="912">
        <f>SUM(J50:J63)</f>
        <v>20597.5</v>
      </c>
      <c r="K64" s="913">
        <f>SUM(K50:K63)</f>
        <v>-5065.4399999999996</v>
      </c>
      <c r="L64" s="914">
        <f t="shared" ref="L64" si="16">K64/J64*100</f>
        <v>-24.592499089695348</v>
      </c>
      <c r="M64" s="915" t="e">
        <f t="shared" si="12"/>
        <v>#REF!</v>
      </c>
    </row>
    <row r="65" spans="1:16" ht="9" hidden="1" customHeight="1">
      <c r="C65" s="916"/>
      <c r="D65" s="916"/>
      <c r="E65" s="916"/>
    </row>
    <row r="66" spans="1:16" ht="21.75" hidden="1" customHeight="1">
      <c r="A66" s="917" t="s">
        <v>433</v>
      </c>
      <c r="F66" s="918"/>
      <c r="G66" s="918"/>
    </row>
    <row r="67" spans="1:16" ht="10.5" hidden="1" customHeight="1">
      <c r="A67" s="917"/>
    </row>
    <row r="68" spans="1:16" ht="21.75" hidden="1" customHeight="1">
      <c r="A68" s="1269" t="s">
        <v>422</v>
      </c>
      <c r="B68" s="1269" t="s">
        <v>432</v>
      </c>
      <c r="C68" s="1269"/>
      <c r="D68" s="1269"/>
      <c r="E68" s="1270"/>
      <c r="F68" s="1285"/>
      <c r="G68" s="1270"/>
      <c r="H68" s="919"/>
      <c r="I68" s="919"/>
      <c r="J68" s="919"/>
      <c r="K68" s="919"/>
      <c r="L68" s="919"/>
      <c r="M68" s="920"/>
    </row>
    <row r="69" spans="1:16" ht="21.75" hidden="1" customHeight="1">
      <c r="A69" s="1269"/>
      <c r="B69" s="921"/>
      <c r="C69" s="921" t="s">
        <v>435</v>
      </c>
      <c r="D69" s="921" t="s">
        <v>436</v>
      </c>
      <c r="E69" s="1270"/>
      <c r="F69" s="1270"/>
      <c r="G69" s="1270"/>
      <c r="H69" s="919"/>
      <c r="I69" s="1271" t="s">
        <v>604</v>
      </c>
      <c r="J69" s="1272"/>
      <c r="K69" s="1272"/>
      <c r="L69" s="1273"/>
      <c r="M69" s="922">
        <f>K84</f>
        <v>1870016783.0100002</v>
      </c>
    </row>
    <row r="70" spans="1:16" ht="17.25" hidden="1" customHeight="1">
      <c r="A70" s="897" t="s">
        <v>340</v>
      </c>
      <c r="B70" s="895"/>
      <c r="C70" s="895">
        <v>0</v>
      </c>
      <c r="D70" s="895">
        <v>0</v>
      </c>
      <c r="E70" s="890"/>
      <c r="F70" s="890"/>
      <c r="G70" s="890"/>
      <c r="H70" s="877"/>
      <c r="I70" s="924" t="s">
        <v>638</v>
      </c>
      <c r="J70" s="925"/>
      <c r="K70" s="925"/>
      <c r="L70" s="926" t="s">
        <v>480</v>
      </c>
      <c r="M70" s="922">
        <f>M25</f>
        <v>-59993945.730000004</v>
      </c>
    </row>
    <row r="71" spans="1:16" ht="17.25" hidden="1" customHeight="1">
      <c r="A71" s="897" t="s">
        <v>341</v>
      </c>
      <c r="B71" s="895"/>
      <c r="C71" s="895">
        <v>0</v>
      </c>
      <c r="D71" s="895">
        <v>0</v>
      </c>
      <c r="E71" s="890"/>
      <c r="F71" s="890"/>
      <c r="G71" s="890"/>
      <c r="H71" s="877"/>
      <c r="I71" s="924" t="s">
        <v>639</v>
      </c>
      <c r="J71" s="925"/>
      <c r="K71" s="925"/>
      <c r="L71" s="926" t="s">
        <v>480</v>
      </c>
      <c r="M71" s="922">
        <f>M26</f>
        <v>-5940259.1699999822</v>
      </c>
    </row>
    <row r="72" spans="1:16" ht="17.25" hidden="1" customHeight="1">
      <c r="A72" s="897" t="s">
        <v>342</v>
      </c>
      <c r="B72" s="895"/>
      <c r="C72" s="895">
        <v>10573400</v>
      </c>
      <c r="D72" s="895">
        <v>10573400</v>
      </c>
      <c r="E72" s="890"/>
      <c r="F72" s="890"/>
      <c r="G72" s="890"/>
      <c r="H72" s="877"/>
      <c r="I72" s="924" t="s">
        <v>640</v>
      </c>
      <c r="J72" s="925"/>
      <c r="K72" s="925"/>
      <c r="L72" s="926" t="s">
        <v>481</v>
      </c>
      <c r="M72" s="922">
        <f>M27</f>
        <v>-134517050</v>
      </c>
    </row>
    <row r="73" spans="1:16" ht="17.25" hidden="1" customHeight="1">
      <c r="A73" s="897" t="s">
        <v>343</v>
      </c>
      <c r="B73" s="895"/>
      <c r="C73" s="895">
        <v>0</v>
      </c>
      <c r="D73" s="895">
        <v>0</v>
      </c>
      <c r="E73" s="890"/>
      <c r="F73" s="890"/>
      <c r="G73" s="890"/>
      <c r="H73" s="877"/>
      <c r="I73" s="924"/>
      <c r="J73" s="925"/>
      <c r="K73" s="925"/>
      <c r="L73" s="926"/>
      <c r="M73" s="922"/>
    </row>
    <row r="74" spans="1:16" ht="17.25" hidden="1" customHeight="1">
      <c r="A74" s="897" t="s">
        <v>233</v>
      </c>
      <c r="B74" s="895"/>
      <c r="C74" s="895">
        <v>27384050</v>
      </c>
      <c r="D74" s="895">
        <v>27384050</v>
      </c>
      <c r="E74" s="890"/>
      <c r="F74" s="890"/>
      <c r="G74" s="890"/>
      <c r="H74" s="877"/>
      <c r="I74" s="924"/>
      <c r="J74" s="925"/>
      <c r="K74" s="925"/>
      <c r="L74" s="926"/>
      <c r="M74" s="922"/>
    </row>
    <row r="75" spans="1:16" ht="17.25" hidden="1" customHeight="1">
      <c r="A75" s="897" t="s">
        <v>235</v>
      </c>
      <c r="B75" s="895"/>
      <c r="C75" s="895">
        <v>24467000</v>
      </c>
      <c r="D75" s="895">
        <v>24467000</v>
      </c>
      <c r="E75" s="890"/>
      <c r="F75" s="890"/>
      <c r="G75" s="890"/>
      <c r="H75" s="877"/>
      <c r="I75" s="1287" t="s">
        <v>318</v>
      </c>
      <c r="J75" s="1288"/>
      <c r="K75" s="1288"/>
      <c r="L75" s="1289"/>
      <c r="M75" s="927">
        <f>SUM(M69:M74)</f>
        <v>1669565528.1100001</v>
      </c>
      <c r="P75" s="918" t="e">
        <f>H64-M75</f>
        <v>#REF!</v>
      </c>
    </row>
    <row r="76" spans="1:16" ht="17.25" hidden="1" customHeight="1">
      <c r="A76" s="897" t="s">
        <v>236</v>
      </c>
      <c r="B76" s="895"/>
      <c r="C76" s="895">
        <v>21814000</v>
      </c>
      <c r="D76" s="895">
        <v>21814000</v>
      </c>
      <c r="E76" s="890"/>
      <c r="F76" s="890"/>
      <c r="G76" s="890"/>
      <c r="H76" s="877"/>
      <c r="I76" s="877"/>
      <c r="J76" s="877"/>
      <c r="K76" s="877"/>
      <c r="L76" s="877"/>
      <c r="M76" s="877"/>
    </row>
    <row r="77" spans="1:16" ht="17.25" hidden="1" customHeight="1">
      <c r="A77" s="897" t="s">
        <v>237</v>
      </c>
      <c r="B77" s="895"/>
      <c r="C77" s="895">
        <v>17712000</v>
      </c>
      <c r="D77" s="895">
        <v>17712000</v>
      </c>
      <c r="E77" s="890"/>
      <c r="F77" s="890"/>
      <c r="G77" s="890"/>
      <c r="H77" s="877"/>
      <c r="I77" s="1286" t="s">
        <v>637</v>
      </c>
      <c r="J77" s="1286"/>
      <c r="K77" s="1286"/>
      <c r="L77" s="1286"/>
      <c r="M77" s="896">
        <f>K64</f>
        <v>-5065.4399999999996</v>
      </c>
    </row>
    <row r="78" spans="1:16" ht="17.25" hidden="1" customHeight="1">
      <c r="A78" s="897" t="s">
        <v>281</v>
      </c>
      <c r="B78" s="895"/>
      <c r="C78" s="895">
        <v>33843500</v>
      </c>
      <c r="D78" s="895">
        <v>33843500</v>
      </c>
      <c r="E78" s="890"/>
      <c r="F78" s="890"/>
      <c r="G78" s="890"/>
      <c r="H78" s="877"/>
      <c r="I78" s="877"/>
      <c r="J78" s="877"/>
      <c r="K78" s="877"/>
      <c r="L78" s="877"/>
      <c r="M78" s="877"/>
    </row>
    <row r="79" spans="1:16" ht="17.25" hidden="1" customHeight="1">
      <c r="A79" s="929"/>
      <c r="B79" s="930"/>
      <c r="C79" s="930">
        <v>135793950</v>
      </c>
      <c r="D79" s="930">
        <v>135793950</v>
      </c>
      <c r="E79" s="931"/>
      <c r="F79" s="931"/>
      <c r="G79" s="931"/>
      <c r="H79" s="877"/>
      <c r="I79" s="877"/>
      <c r="J79" s="877"/>
      <c r="K79" s="877"/>
      <c r="L79" s="877"/>
      <c r="M79" s="890"/>
    </row>
    <row r="80" spans="1:16" ht="17.25" hidden="1" customHeight="1">
      <c r="A80" s="771" t="s">
        <v>433</v>
      </c>
      <c r="E80" s="918"/>
      <c r="I80" s="924" t="s">
        <v>584</v>
      </c>
      <c r="J80" s="922">
        <v>41743</v>
      </c>
      <c r="K80" s="922">
        <v>4542868566.21</v>
      </c>
      <c r="L80" s="937" t="s">
        <v>582</v>
      </c>
      <c r="M80" s="918"/>
    </row>
    <row r="81" spans="1:13" ht="17.25" hidden="1" customHeight="1">
      <c r="A81" s="921" t="s">
        <v>457</v>
      </c>
      <c r="B81" s="921"/>
      <c r="C81" s="921" t="s">
        <v>435</v>
      </c>
      <c r="D81" s="921" t="s">
        <v>436</v>
      </c>
      <c r="G81" s="918"/>
      <c r="I81" s="924" t="s">
        <v>596</v>
      </c>
      <c r="J81" s="922">
        <f>50840+8086</f>
        <v>58926</v>
      </c>
      <c r="K81" s="922">
        <f>J81*108829.47</f>
        <v>6412885349.2200003</v>
      </c>
      <c r="M81" s="937"/>
    </row>
    <row r="82" spans="1:13" ht="17.25" hidden="1" customHeight="1">
      <c r="A82" s="897" t="s">
        <v>458</v>
      </c>
      <c r="B82" s="897"/>
      <c r="C82" s="895">
        <v>0</v>
      </c>
      <c r="D82" s="895">
        <v>0</v>
      </c>
      <c r="I82" s="932"/>
      <c r="J82" s="922">
        <f>J81-J80</f>
        <v>17183</v>
      </c>
      <c r="K82" s="922">
        <f>K81-K80</f>
        <v>1870016783.0100002</v>
      </c>
    </row>
    <row r="83" spans="1:13" ht="17.25" hidden="1" customHeight="1">
      <c r="A83" s="897" t="s">
        <v>469</v>
      </c>
      <c r="B83" s="897"/>
      <c r="C83" s="895">
        <v>0</v>
      </c>
      <c r="D83" s="895">
        <v>0</v>
      </c>
      <c r="I83" s="1271" t="s">
        <v>541</v>
      </c>
      <c r="J83" s="1273"/>
      <c r="K83" s="922"/>
    </row>
    <row r="84" spans="1:13" ht="17.25" hidden="1" customHeight="1">
      <c r="A84" s="897" t="s">
        <v>459</v>
      </c>
      <c r="B84" s="933"/>
      <c r="C84" s="895">
        <v>3894500</v>
      </c>
      <c r="D84" s="895">
        <v>3894500</v>
      </c>
      <c r="I84" s="934"/>
      <c r="J84" s="935"/>
      <c r="K84" s="936">
        <f>K82+K83</f>
        <v>1870016783.0100002</v>
      </c>
    </row>
    <row r="85" spans="1:13" ht="17.25" hidden="1" customHeight="1">
      <c r="A85" s="897" t="s">
        <v>460</v>
      </c>
      <c r="B85" s="933"/>
      <c r="C85" s="895">
        <v>2134500</v>
      </c>
      <c r="D85" s="895">
        <v>2134500</v>
      </c>
    </row>
    <row r="86" spans="1:13" ht="17.25" hidden="1" customHeight="1">
      <c r="A86" s="932"/>
      <c r="B86" s="932"/>
      <c r="C86" s="930">
        <v>6029000</v>
      </c>
      <c r="D86" s="930">
        <v>6029000</v>
      </c>
    </row>
    <row r="87" spans="1:13" hidden="1"/>
    <row r="88" spans="1:13" hidden="1"/>
    <row r="89" spans="1:13" hidden="1"/>
    <row r="90" spans="1:13" hidden="1"/>
  </sheetData>
  <mergeCells count="28">
    <mergeCell ref="I75:L75"/>
    <mergeCell ref="I77:L77"/>
    <mergeCell ref="I83:J83"/>
    <mergeCell ref="M48:M49"/>
    <mergeCell ref="I69:L69"/>
    <mergeCell ref="I38:J38"/>
    <mergeCell ref="I32:L32"/>
    <mergeCell ref="I30:L30"/>
    <mergeCell ref="M3:M4"/>
    <mergeCell ref="K3:L3"/>
    <mergeCell ref="A68:A69"/>
    <mergeCell ref="B68:D68"/>
    <mergeCell ref="E68:E69"/>
    <mergeCell ref="F68:F69"/>
    <mergeCell ref="G68:G69"/>
    <mergeCell ref="A48:A49"/>
    <mergeCell ref="B48:B49"/>
    <mergeCell ref="C48:E48"/>
    <mergeCell ref="F48:H48"/>
    <mergeCell ref="I48:K48"/>
    <mergeCell ref="A23:A24"/>
    <mergeCell ref="B23:D23"/>
    <mergeCell ref="E23:E24"/>
    <mergeCell ref="I24:L24"/>
    <mergeCell ref="A3:A4"/>
    <mergeCell ref="B3:B4"/>
    <mergeCell ref="C3:F3"/>
    <mergeCell ref="G3:J3"/>
  </mergeCells>
  <pageMargins left="0.43307086614173201" right="0.70866141732283505" top="0.27559055118110198" bottom="0.35433070866141703" header="0.31496062992126" footer="0.31496062992126"/>
  <pageSetup paperSize="14" scale="5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"/>
  <sheetViews>
    <sheetView zoomScale="82" zoomScaleNormal="82" zoomScaleSheetLayoutView="80" workbookViewId="0">
      <selection activeCell="D57" sqref="D57"/>
    </sheetView>
  </sheetViews>
  <sheetFormatPr defaultRowHeight="12.75"/>
  <cols>
    <col min="1" max="1" width="46.7109375" style="64" customWidth="1"/>
    <col min="2" max="2" width="33.5703125" style="64" customWidth="1"/>
    <col min="3" max="3" width="15.7109375" style="99" customWidth="1"/>
    <col min="4" max="4" width="15" style="99" customWidth="1"/>
    <col min="5" max="5" width="15.85546875" style="99" customWidth="1"/>
    <col min="6" max="7" width="14.140625" style="99" customWidth="1"/>
    <col min="8" max="9" width="15" style="99" customWidth="1"/>
    <col min="10" max="10" width="17.5703125" style="99" customWidth="1"/>
    <col min="11" max="11" width="2.140625" style="64" customWidth="1"/>
    <col min="12" max="12" width="21.140625" style="64" customWidth="1"/>
    <col min="13" max="13" width="15.5703125" style="64" bestFit="1" customWidth="1"/>
    <col min="14" max="14" width="9.140625" style="64"/>
    <col min="15" max="15" width="12.85546875" style="64" customWidth="1"/>
    <col min="16" max="16384" width="9.140625" style="64"/>
  </cols>
  <sheetData>
    <row r="1" spans="1:15" ht="13.5" thickTop="1">
      <c r="A1" s="171" t="s">
        <v>417</v>
      </c>
      <c r="B1" s="172"/>
      <c r="C1" s="172"/>
      <c r="D1" s="172"/>
      <c r="E1" s="172"/>
      <c r="F1" s="172"/>
      <c r="G1" s="172"/>
      <c r="H1" s="172"/>
      <c r="I1" s="172"/>
      <c r="J1" s="173"/>
    </row>
    <row r="2" spans="1:15" s="105" customFormat="1" ht="12.2" customHeight="1" thickBot="1">
      <c r="A2" s="174"/>
      <c r="B2" s="175"/>
      <c r="C2" s="175"/>
      <c r="D2" s="175"/>
      <c r="E2" s="175"/>
      <c r="F2" s="175"/>
      <c r="G2" s="175"/>
      <c r="H2" s="175"/>
      <c r="I2" s="175"/>
      <c r="J2" s="176"/>
      <c r="K2" s="104"/>
    </row>
    <row r="3" spans="1:15" s="105" customFormat="1" ht="12.2" customHeight="1" thickTop="1">
      <c r="A3" s="1256" t="s">
        <v>1</v>
      </c>
      <c r="B3" s="1263" t="s">
        <v>15</v>
      </c>
      <c r="C3" s="1295">
        <v>100000</v>
      </c>
      <c r="D3" s="1295">
        <v>50000</v>
      </c>
      <c r="E3" s="1295">
        <v>20000</v>
      </c>
      <c r="F3" s="1295">
        <v>10000</v>
      </c>
      <c r="G3" s="1295">
        <v>5000</v>
      </c>
      <c r="H3" s="1295">
        <v>1000</v>
      </c>
      <c r="I3" s="1295" t="s">
        <v>2</v>
      </c>
      <c r="J3" s="96"/>
      <c r="K3" s="104"/>
      <c r="L3" s="106"/>
    </row>
    <row r="4" spans="1:15" s="105" customFormat="1" ht="12.2" customHeight="1" thickBot="1">
      <c r="A4" s="1257"/>
      <c r="B4" s="1264"/>
      <c r="C4" s="1296"/>
      <c r="D4" s="1296"/>
      <c r="E4" s="1296"/>
      <c r="F4" s="1296"/>
      <c r="G4" s="1296"/>
      <c r="H4" s="1296"/>
      <c r="I4" s="1296"/>
      <c r="J4" s="97" t="s">
        <v>3</v>
      </c>
      <c r="K4" s="104"/>
      <c r="L4" s="106"/>
    </row>
    <row r="5" spans="1:15" s="105" customFormat="1" ht="12.2" customHeight="1" thickTop="1">
      <c r="A5" s="114"/>
      <c r="B5" s="115"/>
      <c r="C5" s="116"/>
      <c r="D5" s="116"/>
      <c r="E5" s="116"/>
      <c r="F5" s="116"/>
      <c r="G5" s="116"/>
      <c r="H5" s="116"/>
      <c r="I5" s="116"/>
      <c r="J5" s="117"/>
      <c r="K5" s="104"/>
    </row>
    <row r="6" spans="1:15" s="105" customFormat="1" ht="12.2" customHeight="1">
      <c r="A6" s="114" t="s">
        <v>32</v>
      </c>
      <c r="B6" s="115" t="e">
        <f>#REF!</f>
        <v>#REF!</v>
      </c>
      <c r="C6" s="116" t="e">
        <f>#REF!</f>
        <v>#REF!</v>
      </c>
      <c r="D6" s="116" t="e">
        <f>#REF!</f>
        <v>#REF!</v>
      </c>
      <c r="E6" s="116" t="e">
        <f>#REF!</f>
        <v>#REF!</v>
      </c>
      <c r="F6" s="116" t="e">
        <f>#REF!</f>
        <v>#REF!</v>
      </c>
      <c r="G6" s="116" t="e">
        <f>#REF!</f>
        <v>#REF!</v>
      </c>
      <c r="H6" s="116" t="e">
        <f>#REF!</f>
        <v>#REF!</v>
      </c>
      <c r="I6" s="116" t="e">
        <f>#REF!</f>
        <v>#REF!</v>
      </c>
      <c r="J6" s="85" t="e">
        <f>SUM(C6:I6)</f>
        <v>#REF!</v>
      </c>
      <c r="K6" s="104"/>
    </row>
    <row r="7" spans="1:15" s="105" customFormat="1" ht="12.2" customHeight="1">
      <c r="A7" s="114"/>
      <c r="B7" s="115"/>
      <c r="C7" s="116"/>
      <c r="D7" s="116"/>
      <c r="E7" s="116"/>
      <c r="F7" s="116"/>
      <c r="G7" s="116"/>
      <c r="H7" s="116"/>
      <c r="I7" s="116"/>
      <c r="J7" s="85"/>
      <c r="K7" s="104"/>
    </row>
    <row r="8" spans="1:15" s="105" customFormat="1" ht="12.2" customHeight="1">
      <c r="A8" s="83" t="s">
        <v>35</v>
      </c>
      <c r="B8" s="84" t="e">
        <f>#REF!</f>
        <v>#REF!</v>
      </c>
      <c r="C8" s="86">
        <v>13400000</v>
      </c>
      <c r="D8" s="86" t="e">
        <f>#REF!</f>
        <v>#REF!</v>
      </c>
      <c r="E8" s="86">
        <v>840000</v>
      </c>
      <c r="F8" s="86">
        <v>500000</v>
      </c>
      <c r="G8" s="86" t="e">
        <f>#REF!</f>
        <v>#REF!</v>
      </c>
      <c r="H8" s="86" t="e">
        <f>#REF!</f>
        <v>#REF!</v>
      </c>
      <c r="I8" s="86">
        <v>29180</v>
      </c>
      <c r="J8" s="85" t="e">
        <f>#REF!</f>
        <v>#REF!</v>
      </c>
      <c r="K8" s="104"/>
      <c r="L8" s="104"/>
    </row>
    <row r="9" spans="1:15" s="105" customFormat="1" ht="12.2" customHeight="1">
      <c r="A9" s="83"/>
      <c r="B9" s="84"/>
      <c r="C9" s="86"/>
      <c r="D9" s="86"/>
      <c r="E9" s="86"/>
      <c r="F9" s="86"/>
      <c r="G9" s="86"/>
      <c r="H9" s="86"/>
      <c r="I9" s="86"/>
      <c r="J9" s="85"/>
      <c r="K9" s="104"/>
      <c r="L9" s="104"/>
    </row>
    <row r="10" spans="1:15" s="105" customFormat="1" ht="12.2" customHeight="1">
      <c r="A10" s="83" t="s">
        <v>36</v>
      </c>
      <c r="B10" s="84" t="e">
        <f>#REF!</f>
        <v>#REF!</v>
      </c>
      <c r="C10" s="86" t="e">
        <f>#REF!</f>
        <v>#REF!</v>
      </c>
      <c r="D10" s="86" t="e">
        <f>#REF!</f>
        <v>#REF!</v>
      </c>
      <c r="E10" s="86" t="e">
        <f>#REF!</f>
        <v>#REF!</v>
      </c>
      <c r="F10" s="86" t="e">
        <f>#REF!</f>
        <v>#REF!</v>
      </c>
      <c r="G10" s="86" t="e">
        <f>#REF!</f>
        <v>#REF!</v>
      </c>
      <c r="H10" s="86" t="e">
        <f>#REF!</f>
        <v>#REF!</v>
      </c>
      <c r="I10" s="86" t="e">
        <f>#REF!</f>
        <v>#REF!</v>
      </c>
      <c r="J10" s="85" t="e">
        <f>SUM(C10:I10)</f>
        <v>#REF!</v>
      </c>
      <c r="K10" s="104"/>
    </row>
    <row r="11" spans="1:15" s="105" customFormat="1" ht="12.2" customHeight="1">
      <c r="A11" s="83"/>
      <c r="B11" s="84"/>
      <c r="C11" s="86"/>
      <c r="D11" s="86"/>
      <c r="E11" s="86"/>
      <c r="F11" s="86"/>
      <c r="G11" s="86"/>
      <c r="H11" s="86"/>
      <c r="I11" s="86"/>
      <c r="J11" s="85"/>
      <c r="K11" s="104"/>
    </row>
    <row r="12" spans="1:15" s="105" customFormat="1" ht="12.2" customHeight="1">
      <c r="A12" s="83" t="s">
        <v>41</v>
      </c>
      <c r="B12" s="84" t="e">
        <f>#REF!</f>
        <v>#REF!</v>
      </c>
      <c r="C12" s="86" t="e">
        <f>#REF!</f>
        <v>#REF!</v>
      </c>
      <c r="D12" s="86" t="e">
        <f>#REF!</f>
        <v>#REF!</v>
      </c>
      <c r="E12" s="86" t="e">
        <f>#REF!</f>
        <v>#REF!</v>
      </c>
      <c r="F12" s="86" t="e">
        <f>#REF!</f>
        <v>#REF!</v>
      </c>
      <c r="G12" s="86" t="e">
        <f>#REF!</f>
        <v>#REF!</v>
      </c>
      <c r="H12" s="86" t="e">
        <f>#REF!</f>
        <v>#REF!</v>
      </c>
      <c r="I12" s="86" t="e">
        <f>#REF!</f>
        <v>#REF!</v>
      </c>
      <c r="J12" s="85" t="e">
        <f>SUM(C12:I12)</f>
        <v>#REF!</v>
      </c>
      <c r="K12" s="104"/>
      <c r="L12" s="104"/>
    </row>
    <row r="13" spans="1:15" s="105" customFormat="1" ht="12.2" customHeight="1">
      <c r="A13" s="83"/>
      <c r="B13" s="84"/>
      <c r="C13" s="86"/>
      <c r="D13" s="86"/>
      <c r="E13" s="86"/>
      <c r="F13" s="86"/>
      <c r="G13" s="86"/>
      <c r="H13" s="86"/>
      <c r="I13" s="86"/>
      <c r="J13" s="85"/>
      <c r="K13" s="104"/>
      <c r="L13" s="104"/>
    </row>
    <row r="14" spans="1:15" s="105" customFormat="1" ht="12.2" customHeight="1">
      <c r="A14" s="83" t="s">
        <v>37</v>
      </c>
      <c r="B14" s="84" t="e">
        <f>#REF!</f>
        <v>#REF!</v>
      </c>
      <c r="C14" s="86" t="e">
        <f>#REF!</f>
        <v>#REF!</v>
      </c>
      <c r="D14" s="86" t="e">
        <f>#REF!</f>
        <v>#REF!</v>
      </c>
      <c r="E14" s="86" t="e">
        <f>#REF!</f>
        <v>#REF!</v>
      </c>
      <c r="F14" s="86" t="e">
        <f>#REF!</f>
        <v>#REF!</v>
      </c>
      <c r="G14" s="86" t="e">
        <f>#REF!</f>
        <v>#REF!</v>
      </c>
      <c r="H14" s="86" t="e">
        <f>#REF!</f>
        <v>#REF!</v>
      </c>
      <c r="I14" s="86" t="e">
        <f>#REF!</f>
        <v>#REF!</v>
      </c>
      <c r="J14" s="85" t="e">
        <f>SUM(C14:I14)</f>
        <v>#REF!</v>
      </c>
      <c r="K14" s="104"/>
      <c r="L14" s="104"/>
    </row>
    <row r="15" spans="1:15" s="105" customFormat="1" ht="12.2" customHeight="1">
      <c r="A15" s="83"/>
      <c r="B15" s="84"/>
      <c r="C15" s="86"/>
      <c r="D15" s="86"/>
      <c r="E15" s="86"/>
      <c r="F15" s="86"/>
      <c r="G15" s="86"/>
      <c r="H15" s="86"/>
      <c r="I15" s="86"/>
      <c r="J15" s="85"/>
      <c r="K15" s="104"/>
      <c r="L15" s="104"/>
    </row>
    <row r="16" spans="1:15" s="105" customFormat="1" ht="12.2" customHeight="1">
      <c r="A16" s="83" t="s">
        <v>74</v>
      </c>
      <c r="B16" s="84" t="e">
        <f>#REF!</f>
        <v>#REF!</v>
      </c>
      <c r="C16" s="86" t="e">
        <f>#REF!</f>
        <v>#REF!</v>
      </c>
      <c r="D16" s="86" t="e">
        <f>#REF!</f>
        <v>#REF!</v>
      </c>
      <c r="E16" s="86" t="e">
        <f>#REF!</f>
        <v>#REF!</v>
      </c>
      <c r="F16" s="86" t="e">
        <f>#REF!</f>
        <v>#REF!</v>
      </c>
      <c r="G16" s="86" t="e">
        <f>#REF!</f>
        <v>#REF!</v>
      </c>
      <c r="H16" s="86" t="e">
        <f>#REF!</f>
        <v>#REF!</v>
      </c>
      <c r="I16" s="86" t="e">
        <f>#REF!</f>
        <v>#REF!</v>
      </c>
      <c r="J16" s="85" t="e">
        <f>SUM(C16:I16)</f>
        <v>#REF!</v>
      </c>
      <c r="K16" s="104"/>
      <c r="L16" s="104"/>
      <c r="M16"/>
      <c r="N16"/>
      <c r="O16"/>
    </row>
    <row r="17" spans="1:17" s="105" customFormat="1" ht="12.2" customHeight="1">
      <c r="A17" s="83"/>
      <c r="B17" s="84"/>
      <c r="C17" s="86"/>
      <c r="D17" s="86"/>
      <c r="E17" s="86"/>
      <c r="F17" s="86"/>
      <c r="G17" s="86"/>
      <c r="H17" s="86"/>
      <c r="I17" s="86"/>
      <c r="J17" s="85"/>
      <c r="K17" s="104"/>
      <c r="L17" s="104"/>
      <c r="O17" s="104"/>
    </row>
    <row r="18" spans="1:17" s="105" customFormat="1" ht="12.2" customHeight="1">
      <c r="A18" s="83" t="s">
        <v>73</v>
      </c>
      <c r="B18" s="84" t="e">
        <f>#REF!</f>
        <v>#REF!</v>
      </c>
      <c r="C18" s="86" t="e">
        <f>#REF!</f>
        <v>#REF!</v>
      </c>
      <c r="D18" s="86" t="e">
        <f>#REF!</f>
        <v>#REF!</v>
      </c>
      <c r="E18" s="86" t="e">
        <f>#REF!</f>
        <v>#REF!</v>
      </c>
      <c r="F18" s="86" t="e">
        <f>#REF!</f>
        <v>#REF!</v>
      </c>
      <c r="G18" s="86" t="e">
        <f>#REF!</f>
        <v>#REF!</v>
      </c>
      <c r="H18" s="86" t="e">
        <f>#REF!</f>
        <v>#REF!</v>
      </c>
      <c r="I18" s="86" t="e">
        <f>#REF!</f>
        <v>#REF!</v>
      </c>
      <c r="J18" s="85" t="e">
        <f>SUM(C18:I18)</f>
        <v>#REF!</v>
      </c>
      <c r="K18" s="104"/>
      <c r="L18" s="104"/>
      <c r="O18" s="104"/>
    </row>
    <row r="19" spans="1:17" s="105" customFormat="1" ht="12.2" customHeight="1">
      <c r="A19" s="83"/>
      <c r="B19" s="84"/>
      <c r="C19" s="86"/>
      <c r="D19" s="86"/>
      <c r="E19" s="86"/>
      <c r="F19" s="86"/>
      <c r="G19" s="86"/>
      <c r="H19" s="86"/>
      <c r="I19" s="86"/>
      <c r="J19" s="85"/>
      <c r="K19" s="104"/>
      <c r="L19" s="104"/>
      <c r="O19" s="104"/>
    </row>
    <row r="20" spans="1:17" s="105" customFormat="1" ht="12.2" customHeight="1">
      <c r="A20" s="83" t="s">
        <v>77</v>
      </c>
      <c r="B20" s="84" t="e">
        <f>#REF!</f>
        <v>#REF!</v>
      </c>
      <c r="C20" s="86" t="e">
        <f>#REF!</f>
        <v>#REF!</v>
      </c>
      <c r="D20" s="86" t="e">
        <f>#REF!</f>
        <v>#REF!</v>
      </c>
      <c r="E20" s="86" t="e">
        <f>#REF!</f>
        <v>#REF!</v>
      </c>
      <c r="F20" s="86" t="e">
        <f>#REF!</f>
        <v>#REF!</v>
      </c>
      <c r="G20" s="86" t="e">
        <f>#REF!</f>
        <v>#REF!</v>
      </c>
      <c r="H20" s="86" t="e">
        <f>#REF!</f>
        <v>#REF!</v>
      </c>
      <c r="I20" s="86" t="e">
        <f>#REF!</f>
        <v>#REF!</v>
      </c>
      <c r="J20" s="85" t="e">
        <f>SUM(C20:I20)</f>
        <v>#REF!</v>
      </c>
      <c r="K20" s="104"/>
      <c r="L20" s="104"/>
    </row>
    <row r="21" spans="1:17" s="105" customFormat="1" ht="12.2" customHeight="1">
      <c r="A21" s="83"/>
      <c r="B21" s="84"/>
      <c r="C21" s="86"/>
      <c r="D21" s="86"/>
      <c r="E21" s="86"/>
      <c r="F21" s="86"/>
      <c r="G21" s="86"/>
      <c r="H21" s="86"/>
      <c r="I21" s="86"/>
      <c r="J21" s="85"/>
      <c r="K21" s="104"/>
      <c r="L21" s="104"/>
      <c r="P21" s="120"/>
    </row>
    <row r="22" spans="1:17" s="105" customFormat="1" ht="12.2" customHeight="1">
      <c r="A22" s="83" t="s">
        <v>34</v>
      </c>
      <c r="B22" s="84" t="e">
        <f>#REF!</f>
        <v>#REF!</v>
      </c>
      <c r="C22" s="86" t="e">
        <f>#REF!</f>
        <v>#REF!</v>
      </c>
      <c r="D22" s="86" t="e">
        <f>#REF!</f>
        <v>#REF!</v>
      </c>
      <c r="E22" s="86" t="e">
        <f>#REF!</f>
        <v>#REF!</v>
      </c>
      <c r="F22" s="86" t="e">
        <f>#REF!</f>
        <v>#REF!</v>
      </c>
      <c r="G22" s="86" t="e">
        <f>#REF!</f>
        <v>#REF!</v>
      </c>
      <c r="H22" s="86" t="e">
        <f>#REF!</f>
        <v>#REF!</v>
      </c>
      <c r="I22" s="86" t="e">
        <f>#REF!</f>
        <v>#REF!</v>
      </c>
      <c r="J22" s="85" t="e">
        <f>#REF!</f>
        <v>#REF!</v>
      </c>
      <c r="K22" s="104"/>
      <c r="L22" s="104"/>
      <c r="P22" s="120"/>
    </row>
    <row r="23" spans="1:17" s="105" customFormat="1" ht="12.2" customHeight="1">
      <c r="A23" s="83"/>
      <c r="B23" s="111"/>
      <c r="C23" s="86"/>
      <c r="D23" s="86"/>
      <c r="E23" s="86"/>
      <c r="F23" s="86"/>
      <c r="G23" s="86"/>
      <c r="H23" s="86"/>
      <c r="I23" s="86"/>
      <c r="J23" s="85"/>
      <c r="K23" s="104"/>
      <c r="L23" s="104"/>
      <c r="P23" s="120"/>
    </row>
    <row r="24" spans="1:17" s="105" customFormat="1" ht="12.2" customHeight="1">
      <c r="A24" s="108" t="s">
        <v>68</v>
      </c>
      <c r="B24" s="129" t="e">
        <f>#REF!</f>
        <v>#REF!</v>
      </c>
      <c r="C24" s="130" t="e">
        <f>#REF!</f>
        <v>#REF!</v>
      </c>
      <c r="D24" s="130" t="e">
        <f>#REF!</f>
        <v>#REF!</v>
      </c>
      <c r="E24" s="130" t="e">
        <f>#REF!</f>
        <v>#REF!</v>
      </c>
      <c r="F24" s="130" t="e">
        <f>#REF!</f>
        <v>#REF!</v>
      </c>
      <c r="G24" s="130" t="e">
        <f>#REF!</f>
        <v>#REF!</v>
      </c>
      <c r="H24" s="130" t="e">
        <f>#REF!</f>
        <v>#REF!</v>
      </c>
      <c r="I24" s="130" t="e">
        <f>#REF!</f>
        <v>#REF!</v>
      </c>
      <c r="J24" s="85" t="e">
        <f>SUM(C24:I24)</f>
        <v>#REF!</v>
      </c>
      <c r="K24" s="104"/>
      <c r="L24" s="104"/>
      <c r="P24" s="120"/>
      <c r="Q24" s="104"/>
    </row>
    <row r="25" spans="1:17" s="105" customFormat="1" ht="12.2" customHeight="1">
      <c r="A25" s="108"/>
      <c r="B25" s="123"/>
      <c r="C25" s="124"/>
      <c r="D25" s="109"/>
      <c r="E25" s="109"/>
      <c r="F25" s="109"/>
      <c r="G25" s="109"/>
      <c r="H25" s="109"/>
      <c r="I25" s="109"/>
      <c r="J25" s="85"/>
      <c r="K25" s="104"/>
      <c r="L25" s="104"/>
      <c r="P25" s="120"/>
      <c r="Q25" s="104"/>
    </row>
    <row r="26" spans="1:17" s="105" customFormat="1" ht="12.2" customHeight="1">
      <c r="A26" s="108"/>
      <c r="B26" s="123"/>
      <c r="C26" s="124"/>
      <c r="D26" s="109"/>
      <c r="E26" s="109"/>
      <c r="F26" s="109"/>
      <c r="G26" s="109"/>
      <c r="H26" s="109"/>
      <c r="I26" s="109"/>
      <c r="J26" s="85"/>
      <c r="K26" s="104"/>
      <c r="L26" s="104"/>
      <c r="P26" s="120"/>
      <c r="Q26" s="104"/>
    </row>
    <row r="27" spans="1:17" s="105" customFormat="1" ht="12.2" customHeight="1" thickBot="1">
      <c r="A27" s="87"/>
      <c r="B27" s="125"/>
      <c r="C27" s="89"/>
      <c r="D27" s="89"/>
      <c r="E27" s="89"/>
      <c r="F27" s="89"/>
      <c r="G27" s="89"/>
      <c r="H27" s="89"/>
      <c r="I27" s="89"/>
      <c r="J27" s="90"/>
      <c r="K27" s="104"/>
      <c r="L27" s="120"/>
      <c r="P27" s="126"/>
    </row>
    <row r="28" spans="1:17" s="105" customFormat="1" ht="12.2" customHeight="1" thickTop="1" thickBot="1">
      <c r="A28" s="77" t="s">
        <v>67</v>
      </c>
      <c r="B28" s="110" t="e">
        <f t="shared" ref="B28:H28" si="0">SUM(B5:B27)</f>
        <v>#REF!</v>
      </c>
      <c r="C28" s="79" t="e">
        <f t="shared" si="0"/>
        <v>#REF!</v>
      </c>
      <c r="D28" s="79" t="e">
        <f t="shared" si="0"/>
        <v>#REF!</v>
      </c>
      <c r="E28" s="79" t="e">
        <f t="shared" si="0"/>
        <v>#REF!</v>
      </c>
      <c r="F28" s="79" t="e">
        <f t="shared" si="0"/>
        <v>#REF!</v>
      </c>
      <c r="G28" s="79" t="e">
        <f t="shared" si="0"/>
        <v>#REF!</v>
      </c>
      <c r="H28" s="79" t="e">
        <f t="shared" si="0"/>
        <v>#REF!</v>
      </c>
      <c r="I28" s="79" t="e">
        <f>SUM(I5:I27)</f>
        <v>#REF!</v>
      </c>
      <c r="J28" s="127" t="e">
        <f>SUM(J5:J27)</f>
        <v>#REF!</v>
      </c>
      <c r="K28" s="104"/>
      <c r="L28" s="104"/>
    </row>
    <row r="29" spans="1:17" s="105" customFormat="1" ht="12.2" customHeight="1" thickTop="1">
      <c r="A29" s="171" t="str">
        <f>+A1</f>
        <v>PT. REBINMAS JAYA CASH DENOMINATION JUNI 2018</v>
      </c>
      <c r="B29" s="172"/>
      <c r="C29" s="172"/>
      <c r="D29" s="172"/>
      <c r="E29" s="172"/>
      <c r="F29" s="172"/>
      <c r="G29" s="172"/>
      <c r="H29" s="172"/>
      <c r="I29" s="172"/>
      <c r="J29" s="173"/>
      <c r="K29" s="104"/>
    </row>
    <row r="30" spans="1:17" ht="13.5" thickBot="1">
      <c r="A30" s="174"/>
      <c r="B30" s="175"/>
      <c r="C30" s="175"/>
      <c r="D30" s="175"/>
      <c r="E30" s="175"/>
      <c r="F30" s="175"/>
      <c r="G30" s="175"/>
      <c r="H30" s="175"/>
      <c r="I30" s="175"/>
      <c r="J30" s="176"/>
    </row>
    <row r="31" spans="1:17" ht="13.5" thickTop="1">
      <c r="A31" s="165"/>
      <c r="B31" s="166"/>
      <c r="C31" s="167"/>
      <c r="D31" s="167"/>
      <c r="E31" s="167"/>
      <c r="F31" s="167"/>
      <c r="G31" s="167"/>
      <c r="H31" s="167"/>
      <c r="I31" s="167"/>
      <c r="J31" s="196"/>
    </row>
    <row r="32" spans="1:17">
      <c r="A32" s="83" t="s">
        <v>216</v>
      </c>
      <c r="B32" s="84" t="e">
        <f>#REF!</f>
        <v>#REF!</v>
      </c>
      <c r="C32" s="86">
        <v>3600000</v>
      </c>
      <c r="D32" s="86" t="e">
        <f>#REF!</f>
        <v>#REF!</v>
      </c>
      <c r="E32" s="86">
        <v>260000</v>
      </c>
      <c r="F32" s="86">
        <v>100000</v>
      </c>
      <c r="G32" s="86" t="e">
        <f>#REF!</f>
        <v>#REF!</v>
      </c>
      <c r="H32" s="86" t="e">
        <f>#REF!</f>
        <v>#REF!</v>
      </c>
      <c r="I32" s="86">
        <v>7839</v>
      </c>
      <c r="J32" s="85" t="e">
        <f>#REF!</f>
        <v>#REF!</v>
      </c>
    </row>
    <row r="33" spans="1:10">
      <c r="A33" s="83"/>
      <c r="B33" s="84"/>
      <c r="C33" s="86"/>
      <c r="D33" s="86"/>
      <c r="E33" s="86"/>
      <c r="F33" s="86"/>
      <c r="G33" s="86"/>
      <c r="H33" s="86"/>
      <c r="I33" s="86"/>
      <c r="J33" s="85"/>
    </row>
    <row r="34" spans="1:10">
      <c r="A34" s="83" t="s">
        <v>52</v>
      </c>
      <c r="B34" s="84" t="e">
        <f>#REF!</f>
        <v>#REF!</v>
      </c>
      <c r="C34" s="86" t="e">
        <f>#REF!</f>
        <v>#REF!</v>
      </c>
      <c r="D34" s="86" t="e">
        <f>#REF!</f>
        <v>#REF!</v>
      </c>
      <c r="E34" s="86" t="e">
        <f>#REF!</f>
        <v>#REF!</v>
      </c>
      <c r="F34" s="86" t="e">
        <f>#REF!</f>
        <v>#REF!</v>
      </c>
      <c r="G34" s="86" t="e">
        <f>#REF!</f>
        <v>#REF!</v>
      </c>
      <c r="H34" s="86" t="e">
        <f>#REF!</f>
        <v>#REF!</v>
      </c>
      <c r="I34" s="86" t="e">
        <f>#REF!</f>
        <v>#REF!</v>
      </c>
      <c r="J34" s="85" t="e">
        <f>SUM(C34:I34)</f>
        <v>#REF!</v>
      </c>
    </row>
    <row r="35" spans="1:10">
      <c r="A35" s="83"/>
      <c r="B35" s="84"/>
      <c r="C35" s="86"/>
      <c r="D35" s="86"/>
      <c r="E35" s="86"/>
      <c r="F35" s="86"/>
      <c r="G35" s="86"/>
      <c r="H35" s="86"/>
      <c r="I35" s="86"/>
      <c r="J35" s="85"/>
    </row>
    <row r="36" spans="1:10">
      <c r="A36" s="83" t="s">
        <v>53</v>
      </c>
      <c r="B36" s="84" t="e">
        <f>#REF!</f>
        <v>#REF!</v>
      </c>
      <c r="C36" s="86" t="e">
        <f>#REF!</f>
        <v>#REF!</v>
      </c>
      <c r="D36" s="86" t="e">
        <f>#REF!</f>
        <v>#REF!</v>
      </c>
      <c r="E36" s="86" t="e">
        <f>#REF!</f>
        <v>#REF!</v>
      </c>
      <c r="F36" s="86" t="e">
        <f>#REF!</f>
        <v>#REF!</v>
      </c>
      <c r="G36" s="86" t="e">
        <f>#REF!</f>
        <v>#REF!</v>
      </c>
      <c r="H36" s="86" t="e">
        <f>#REF!</f>
        <v>#REF!</v>
      </c>
      <c r="I36" s="86" t="e">
        <f>#REF!</f>
        <v>#REF!</v>
      </c>
      <c r="J36" s="85" t="e">
        <f>SUM(C36:I36)</f>
        <v>#REF!</v>
      </c>
    </row>
    <row r="37" spans="1:10">
      <c r="A37" s="83"/>
      <c r="B37" s="84"/>
      <c r="C37" s="86"/>
      <c r="D37" s="86"/>
      <c r="E37" s="86"/>
      <c r="F37" s="86"/>
      <c r="G37" s="86"/>
      <c r="H37" s="86"/>
      <c r="I37" s="86"/>
      <c r="J37" s="85"/>
    </row>
    <row r="38" spans="1:10">
      <c r="A38" s="83" t="s">
        <v>217</v>
      </c>
      <c r="B38" s="84">
        <v>0</v>
      </c>
      <c r="C38" s="86">
        <v>0</v>
      </c>
      <c r="D38" s="86">
        <v>0</v>
      </c>
      <c r="E38" s="86">
        <v>0</v>
      </c>
      <c r="F38" s="86">
        <v>0</v>
      </c>
      <c r="G38" s="86">
        <v>0</v>
      </c>
      <c r="H38" s="86">
        <v>0</v>
      </c>
      <c r="I38" s="86">
        <v>0</v>
      </c>
      <c r="J38" s="85" t="e">
        <f>#REF!</f>
        <v>#REF!</v>
      </c>
    </row>
    <row r="39" spans="1:10">
      <c r="A39" s="83"/>
      <c r="B39" s="84"/>
      <c r="C39" s="86"/>
      <c r="D39" s="86"/>
      <c r="E39" s="86"/>
      <c r="F39" s="86"/>
      <c r="G39" s="86"/>
      <c r="H39" s="86"/>
      <c r="I39" s="86"/>
      <c r="J39" s="85"/>
    </row>
    <row r="40" spans="1:10">
      <c r="A40" s="83" t="s">
        <v>70</v>
      </c>
      <c r="B40" s="84" t="e">
        <f>#REF!</f>
        <v>#REF!</v>
      </c>
      <c r="C40" s="86" t="e">
        <f>#REF!</f>
        <v>#REF!</v>
      </c>
      <c r="D40" s="86" t="e">
        <f>#REF!</f>
        <v>#REF!</v>
      </c>
      <c r="E40" s="86" t="e">
        <f>#REF!</f>
        <v>#REF!</v>
      </c>
      <c r="F40" s="86" t="e">
        <f>#REF!</f>
        <v>#REF!</v>
      </c>
      <c r="G40" s="86" t="e">
        <f>#REF!</f>
        <v>#REF!</v>
      </c>
      <c r="H40" s="86" t="e">
        <f>#REF!</f>
        <v>#REF!</v>
      </c>
      <c r="I40" s="86" t="e">
        <f>#REF!</f>
        <v>#REF!</v>
      </c>
      <c r="J40" s="85" t="e">
        <f>SUM(C40:I40)</f>
        <v>#REF!</v>
      </c>
    </row>
    <row r="41" spans="1:10" ht="13.5" thickBot="1">
      <c r="A41" s="161"/>
      <c r="B41" s="162"/>
      <c r="C41" s="163"/>
      <c r="D41" s="163"/>
      <c r="E41" s="163"/>
      <c r="F41" s="163"/>
      <c r="G41" s="163"/>
      <c r="H41" s="163"/>
      <c r="I41" s="163"/>
      <c r="J41" s="164"/>
    </row>
    <row r="42" spans="1:10" ht="14.25" thickTop="1" thickBot="1">
      <c r="A42" s="178" t="s">
        <v>67</v>
      </c>
      <c r="B42" s="179" t="e">
        <f>SUM(B31:B41)</f>
        <v>#REF!</v>
      </c>
      <c r="C42" s="180" t="e">
        <f>SUM(C31:C41)</f>
        <v>#REF!</v>
      </c>
      <c r="D42" s="180" t="e">
        <f t="shared" ref="D42:I42" si="1">SUM(D31:D41)</f>
        <v>#REF!</v>
      </c>
      <c r="E42" s="180" t="e">
        <f t="shared" si="1"/>
        <v>#REF!</v>
      </c>
      <c r="F42" s="180" t="e">
        <f t="shared" si="1"/>
        <v>#REF!</v>
      </c>
      <c r="G42" s="180" t="e">
        <f t="shared" si="1"/>
        <v>#REF!</v>
      </c>
      <c r="H42" s="180" t="e">
        <f t="shared" si="1"/>
        <v>#REF!</v>
      </c>
      <c r="I42" s="180" t="e">
        <f t="shared" si="1"/>
        <v>#REF!</v>
      </c>
      <c r="J42" s="181" t="e">
        <f>SUM(J31:J41)</f>
        <v>#REF!</v>
      </c>
    </row>
    <row r="43" spans="1:10" ht="14.25" thickTop="1" thickBot="1">
      <c r="A43" s="1292"/>
      <c r="B43" s="1293"/>
      <c r="C43" s="1293"/>
      <c r="D43" s="1293"/>
      <c r="E43" s="1293"/>
      <c r="F43" s="1293"/>
      <c r="G43" s="1293"/>
      <c r="H43" s="1293"/>
      <c r="I43" s="1293"/>
      <c r="J43" s="1294"/>
    </row>
    <row r="44" spans="1:10" ht="14.25" thickTop="1" thickBot="1">
      <c r="A44" s="168" t="s">
        <v>62</v>
      </c>
      <c r="B44" s="182" t="e">
        <f t="shared" ref="B44:J44" si="2">B28+B42</f>
        <v>#REF!</v>
      </c>
      <c r="C44" s="183" t="e">
        <f t="shared" si="2"/>
        <v>#REF!</v>
      </c>
      <c r="D44" s="183" t="e">
        <f t="shared" si="2"/>
        <v>#REF!</v>
      </c>
      <c r="E44" s="183" t="e">
        <f t="shared" si="2"/>
        <v>#REF!</v>
      </c>
      <c r="F44" s="183" t="e">
        <f t="shared" si="2"/>
        <v>#REF!</v>
      </c>
      <c r="G44" s="183" t="e">
        <f t="shared" si="2"/>
        <v>#REF!</v>
      </c>
      <c r="H44" s="183" t="e">
        <f t="shared" si="2"/>
        <v>#REF!</v>
      </c>
      <c r="I44" s="183" t="e">
        <f t="shared" si="2"/>
        <v>#REF!</v>
      </c>
      <c r="J44" s="184" t="e">
        <f t="shared" si="2"/>
        <v>#REF!</v>
      </c>
    </row>
    <row r="45" spans="1:10" ht="13.5" thickTop="1"/>
    <row r="46" spans="1:10">
      <c r="J46" s="198"/>
    </row>
    <row r="49" spans="1:29"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</row>
    <row r="51" spans="1:29">
      <c r="A51" s="200" t="s">
        <v>80</v>
      </c>
      <c r="B51" s="409" t="s">
        <v>141</v>
      </c>
      <c r="C51" s="200"/>
      <c r="D51" s="200"/>
      <c r="E51" s="200"/>
      <c r="F51" s="416" t="s">
        <v>218</v>
      </c>
      <c r="G51" s="200"/>
      <c r="H51" s="200"/>
      <c r="I51" s="200"/>
      <c r="J51" s="200"/>
      <c r="K51" s="200"/>
      <c r="L51" s="200"/>
      <c r="M51" s="200"/>
      <c r="AA51" s="409"/>
      <c r="AB51" s="95"/>
    </row>
    <row r="52" spans="1:29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</row>
    <row r="53" spans="1:29" ht="18">
      <c r="A53" s="67"/>
      <c r="B53" s="68"/>
      <c r="C53" s="69"/>
      <c r="D53" s="71"/>
      <c r="E53" s="71"/>
      <c r="F53" s="69"/>
      <c r="G53" s="69"/>
      <c r="H53" s="69"/>
      <c r="I53" s="71"/>
      <c r="J53" s="71"/>
      <c r="K53" s="69"/>
    </row>
    <row r="54" spans="1:29" ht="18">
      <c r="A54" s="67"/>
      <c r="B54" s="68"/>
      <c r="C54" s="69"/>
      <c r="D54" s="71"/>
      <c r="E54" s="71"/>
      <c r="F54" s="69"/>
      <c r="G54" s="69"/>
      <c r="H54" s="69"/>
      <c r="I54" s="71"/>
      <c r="J54" s="71"/>
      <c r="K54" s="69"/>
    </row>
    <row r="55" spans="1:29" ht="13.5" thickBot="1"/>
    <row r="56" spans="1:29" ht="27" customHeight="1" thickBot="1">
      <c r="C56" s="618" t="s">
        <v>244</v>
      </c>
      <c r="D56" s="619" t="s">
        <v>415</v>
      </c>
      <c r="E56" s="620" t="s">
        <v>416</v>
      </c>
      <c r="G56" s="515" t="s">
        <v>244</v>
      </c>
      <c r="H56" s="626" t="s">
        <v>415</v>
      </c>
      <c r="I56" s="514" t="s">
        <v>416</v>
      </c>
    </row>
    <row r="57" spans="1:29" ht="17.25" customHeight="1">
      <c r="C57" s="615">
        <v>36</v>
      </c>
      <c r="D57" s="616">
        <v>100000</v>
      </c>
      <c r="E57" s="617">
        <f t="shared" ref="E57:E64" si="3">C57*D57</f>
        <v>3600000</v>
      </c>
      <c r="G57" s="627">
        <v>134</v>
      </c>
      <c r="H57" s="616">
        <v>100000</v>
      </c>
      <c r="I57" s="628">
        <v>13400000</v>
      </c>
    </row>
    <row r="58" spans="1:29" ht="17.25" customHeight="1">
      <c r="C58" s="613">
        <v>0</v>
      </c>
      <c r="D58" s="13">
        <v>50000</v>
      </c>
      <c r="E58" s="614">
        <f t="shared" si="3"/>
        <v>0</v>
      </c>
      <c r="G58" s="629">
        <v>0</v>
      </c>
      <c r="H58" s="616">
        <v>50000</v>
      </c>
      <c r="I58" s="499">
        <v>0</v>
      </c>
    </row>
    <row r="59" spans="1:29" ht="17.25" customHeight="1">
      <c r="C59" s="613">
        <v>13</v>
      </c>
      <c r="D59" s="13">
        <v>20000</v>
      </c>
      <c r="E59" s="614">
        <f t="shared" si="3"/>
        <v>260000</v>
      </c>
      <c r="G59" s="629">
        <v>42</v>
      </c>
      <c r="H59" s="616">
        <v>20000</v>
      </c>
      <c r="I59" s="499">
        <v>840000</v>
      </c>
    </row>
    <row r="60" spans="1:29" ht="17.25" customHeight="1">
      <c r="C60" s="613">
        <v>10</v>
      </c>
      <c r="D60" s="13">
        <v>10000</v>
      </c>
      <c r="E60" s="614">
        <f t="shared" si="3"/>
        <v>100000</v>
      </c>
      <c r="G60" s="630">
        <v>50</v>
      </c>
      <c r="H60" s="616">
        <v>10000</v>
      </c>
      <c r="I60" s="631">
        <v>500000</v>
      </c>
    </row>
    <row r="61" spans="1:29" ht="17.25" customHeight="1">
      <c r="C61" s="613">
        <v>0</v>
      </c>
      <c r="D61" s="13">
        <v>5000</v>
      </c>
      <c r="E61" s="614">
        <f t="shared" si="3"/>
        <v>0</v>
      </c>
      <c r="G61" s="630">
        <v>0</v>
      </c>
      <c r="H61" s="616">
        <v>5000</v>
      </c>
      <c r="I61" s="631">
        <v>0</v>
      </c>
    </row>
    <row r="62" spans="1:29" ht="17.25" customHeight="1">
      <c r="C62" s="613">
        <v>0</v>
      </c>
      <c r="D62" s="13">
        <v>1000</v>
      </c>
      <c r="E62" s="614">
        <f t="shared" si="3"/>
        <v>0</v>
      </c>
      <c r="G62" s="630">
        <v>0</v>
      </c>
      <c r="H62" s="616">
        <v>1000</v>
      </c>
      <c r="I62" s="631">
        <v>0</v>
      </c>
    </row>
    <row r="63" spans="1:29" ht="17.25" customHeight="1">
      <c r="C63" s="613">
        <v>10</v>
      </c>
      <c r="D63" s="13">
        <v>500</v>
      </c>
      <c r="E63" s="614">
        <f t="shared" si="3"/>
        <v>5000</v>
      </c>
      <c r="G63" s="629">
        <v>42</v>
      </c>
      <c r="H63" s="616">
        <v>500</v>
      </c>
      <c r="I63" s="632">
        <v>21000</v>
      </c>
    </row>
    <row r="64" spans="1:29" ht="17.25" customHeight="1">
      <c r="C64" s="613">
        <v>22</v>
      </c>
      <c r="D64" s="13">
        <v>100</v>
      </c>
      <c r="E64" s="614">
        <f t="shared" si="3"/>
        <v>2200</v>
      </c>
      <c r="G64" s="630">
        <v>58</v>
      </c>
      <c r="H64" s="616">
        <v>100</v>
      </c>
      <c r="I64" s="499">
        <v>5800</v>
      </c>
    </row>
    <row r="65" spans="3:10" ht="17.25" customHeight="1" thickBot="1">
      <c r="C65" s="635" t="s">
        <v>414</v>
      </c>
      <c r="D65" s="636"/>
      <c r="E65" s="637">
        <v>638</v>
      </c>
      <c r="G65" s="633" t="s">
        <v>414</v>
      </c>
      <c r="H65" s="623"/>
      <c r="I65" s="634">
        <v>2370</v>
      </c>
    </row>
    <row r="66" spans="3:10" s="622" customFormat="1" ht="22.5" customHeight="1" thickBot="1">
      <c r="C66" s="638"/>
      <c r="D66" s="639"/>
      <c r="E66" s="505">
        <f>SUM(E57:E65)</f>
        <v>3967838</v>
      </c>
      <c r="F66" s="621"/>
      <c r="G66" s="624"/>
      <c r="H66" s="625"/>
      <c r="I66" s="505">
        <v>14769170</v>
      </c>
      <c r="J66" s="621"/>
    </row>
  </sheetData>
  <mergeCells count="10">
    <mergeCell ref="A43:J4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4"/>
  <sheetViews>
    <sheetView showGridLines="0" view="pageBreakPreview" zoomScale="51" zoomScaleNormal="48" zoomScaleSheetLayoutView="51" workbookViewId="0">
      <selection activeCell="A59" sqref="A59"/>
    </sheetView>
  </sheetViews>
  <sheetFormatPr defaultRowHeight="20.25"/>
  <cols>
    <col min="1" max="1" width="112.28515625" style="215" customWidth="1"/>
    <col min="2" max="2" width="23.7109375" style="216" customWidth="1"/>
    <col min="3" max="3" width="19.85546875" style="217" hidden="1" customWidth="1"/>
    <col min="4" max="4" width="23" style="217" hidden="1" customWidth="1"/>
    <col min="5" max="5" width="21.5703125" style="217" hidden="1" customWidth="1"/>
    <col min="6" max="6" width="19.85546875" style="217" hidden="1" customWidth="1"/>
    <col min="7" max="7" width="14.7109375" style="217" hidden="1" customWidth="1"/>
    <col min="8" max="9" width="14.42578125" style="217" hidden="1" customWidth="1"/>
    <col min="10" max="10" width="14.7109375" style="217" hidden="1" customWidth="1"/>
    <col min="11" max="11" width="14.42578125" style="217" hidden="1" customWidth="1"/>
    <col min="12" max="12" width="15.85546875" style="217" hidden="1" customWidth="1"/>
    <col min="13" max="13" width="13.7109375" style="217" hidden="1" customWidth="1"/>
    <col min="14" max="14" width="36.42578125" style="217" customWidth="1"/>
    <col min="15" max="15" width="24.28515625" style="217" customWidth="1"/>
    <col min="16" max="17" width="31.42578125" style="217" customWidth="1"/>
    <col min="18" max="18" width="33.28515625" style="217" customWidth="1"/>
    <col min="19" max="19" width="12.85546875" style="215" hidden="1" customWidth="1"/>
    <col min="20" max="20" width="11.28515625" style="215" hidden="1" customWidth="1"/>
    <col min="21" max="22" width="0" style="215" hidden="1" customWidth="1"/>
    <col min="23" max="23" width="18.28515625" style="215" customWidth="1"/>
    <col min="24" max="24" width="29.7109375" style="339" customWidth="1"/>
    <col min="25" max="25" width="6.7109375" style="339" customWidth="1"/>
    <col min="26" max="26" width="23" style="215" bestFit="1" customWidth="1"/>
    <col min="27" max="27" width="29.28515625" style="215" customWidth="1"/>
    <col min="28" max="28" width="48.28515625" style="215" customWidth="1"/>
    <col min="29" max="16384" width="9.140625" style="215"/>
  </cols>
  <sheetData>
    <row r="1" spans="1:27" ht="17.25" customHeight="1"/>
    <row r="2" spans="1:27" ht="17.25" customHeight="1"/>
    <row r="3" spans="1:27" ht="17.25" customHeight="1">
      <c r="A3" s="215" t="s">
        <v>0</v>
      </c>
    </row>
    <row r="4" spans="1:27" ht="17.25" customHeight="1">
      <c r="A4" s="215" t="s">
        <v>418</v>
      </c>
    </row>
    <row r="5" spans="1:27" ht="63.75" customHeight="1" thickBot="1"/>
    <row r="6" spans="1:27" ht="24.75" customHeight="1" thickTop="1">
      <c r="A6" s="1176" t="s">
        <v>1</v>
      </c>
      <c r="B6" s="1183" t="s">
        <v>15</v>
      </c>
      <c r="C6" s="219"/>
      <c r="D6" s="220"/>
      <c r="E6" s="220"/>
      <c r="F6" s="220"/>
      <c r="G6" s="220"/>
      <c r="H6" s="220"/>
      <c r="I6" s="220"/>
      <c r="J6" s="220"/>
      <c r="K6" s="220"/>
      <c r="L6" s="220"/>
      <c r="M6" s="574" t="s">
        <v>65</v>
      </c>
      <c r="N6" s="568" t="s">
        <v>145</v>
      </c>
      <c r="O6" s="568" t="s">
        <v>253</v>
      </c>
      <c r="P6" s="1174" t="s">
        <v>189</v>
      </c>
      <c r="Q6" s="1174" t="s">
        <v>190</v>
      </c>
      <c r="R6" s="1171" t="s">
        <v>3</v>
      </c>
      <c r="S6" s="221" t="s">
        <v>16</v>
      </c>
      <c r="T6" s="222" t="s">
        <v>18</v>
      </c>
      <c r="U6" s="218"/>
      <c r="V6" s="218"/>
      <c r="W6" s="218"/>
      <c r="X6" s="1171" t="s">
        <v>259</v>
      </c>
      <c r="Y6" s="492"/>
      <c r="AA6" s="215" t="s">
        <v>189</v>
      </c>
    </row>
    <row r="7" spans="1:27" ht="24.75" customHeight="1" thickBot="1">
      <c r="A7" s="1177"/>
      <c r="B7" s="1184"/>
      <c r="C7" s="223">
        <v>100000</v>
      </c>
      <c r="D7" s="223">
        <v>50000</v>
      </c>
      <c r="E7" s="223">
        <v>20000</v>
      </c>
      <c r="F7" s="223">
        <v>10000</v>
      </c>
      <c r="G7" s="223">
        <v>5000</v>
      </c>
      <c r="H7" s="223">
        <v>1000</v>
      </c>
      <c r="I7" s="223">
        <v>500</v>
      </c>
      <c r="J7" s="223">
        <v>100</v>
      </c>
      <c r="K7" s="223">
        <v>50</v>
      </c>
      <c r="L7" s="223" t="s">
        <v>2</v>
      </c>
      <c r="M7" s="575" t="s">
        <v>66</v>
      </c>
      <c r="N7" s="569" t="s">
        <v>401</v>
      </c>
      <c r="O7" s="569" t="s">
        <v>254</v>
      </c>
      <c r="P7" s="1175"/>
      <c r="Q7" s="1175"/>
      <c r="R7" s="1172"/>
      <c r="S7" s="224"/>
      <c r="T7" s="225" t="s">
        <v>19</v>
      </c>
      <c r="U7" s="218"/>
      <c r="V7" s="218"/>
      <c r="W7" s="218"/>
      <c r="X7" s="1172"/>
      <c r="Y7" s="492"/>
    </row>
    <row r="8" spans="1:27" s="242" customFormat="1" ht="24.75" customHeight="1" thickTop="1">
      <c r="A8" s="234"/>
      <c r="B8" s="292"/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5"/>
      <c r="N8" s="346"/>
      <c r="O8" s="599"/>
      <c r="P8" s="346"/>
      <c r="Q8" s="346"/>
      <c r="R8" s="347"/>
      <c r="S8" s="398"/>
      <c r="T8" s="398"/>
      <c r="U8" s="398"/>
      <c r="V8" s="398"/>
      <c r="W8" s="239"/>
      <c r="X8" s="347"/>
      <c r="Y8" s="493"/>
    </row>
    <row r="9" spans="1:27" s="242" customFormat="1" ht="24.75" customHeight="1">
      <c r="A9" s="234" t="s">
        <v>116</v>
      </c>
      <c r="B9" s="292">
        <v>10</v>
      </c>
      <c r="C9" s="344"/>
      <c r="D9" s="344"/>
      <c r="E9" s="344"/>
      <c r="F9" s="344"/>
      <c r="G9" s="344"/>
      <c r="H9" s="344"/>
      <c r="I9" s="344"/>
      <c r="J9" s="344"/>
      <c r="K9" s="344"/>
      <c r="L9" s="344"/>
      <c r="M9" s="345"/>
      <c r="N9" s="329">
        <v>0</v>
      </c>
      <c r="O9" s="329"/>
      <c r="P9" s="349">
        <f>3240140+66990+464000</f>
        <v>3771130</v>
      </c>
      <c r="Q9" s="349">
        <v>0</v>
      </c>
      <c r="R9" s="347">
        <v>26387252</v>
      </c>
      <c r="S9" s="398"/>
      <c r="T9" s="398"/>
      <c r="U9" s="398"/>
      <c r="V9" s="398"/>
      <c r="W9" s="239"/>
      <c r="X9" s="347">
        <v>883500</v>
      </c>
      <c r="Y9" s="493"/>
      <c r="AA9" s="218">
        <f>P9+X9</f>
        <v>4654630</v>
      </c>
    </row>
    <row r="10" spans="1:27" s="242" customFormat="1" ht="24.75" customHeight="1">
      <c r="A10" s="234" t="s">
        <v>111</v>
      </c>
      <c r="B10" s="292">
        <v>41</v>
      </c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329">
        <v>0</v>
      </c>
      <c r="O10" s="329"/>
      <c r="P10" s="294">
        <v>1851220</v>
      </c>
      <c r="Q10" s="294">
        <v>2038710</v>
      </c>
      <c r="R10" s="295">
        <v>116157613</v>
      </c>
      <c r="S10" s="398"/>
      <c r="T10" s="398"/>
      <c r="U10" s="398"/>
      <c r="V10" s="398"/>
      <c r="W10" s="353"/>
      <c r="X10" s="295">
        <v>0</v>
      </c>
      <c r="Y10" s="353"/>
      <c r="AA10" s="218">
        <f t="shared" ref="AA10:AA20" si="0">P10+X10</f>
        <v>1851220</v>
      </c>
    </row>
    <row r="11" spans="1:27" s="242" customFormat="1" ht="24.75" customHeight="1">
      <c r="A11" s="234" t="s">
        <v>101</v>
      </c>
      <c r="B11" s="292">
        <v>6</v>
      </c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4"/>
      <c r="N11" s="329">
        <v>1304</v>
      </c>
      <c r="O11" s="329"/>
      <c r="P11" s="294">
        <v>7188000</v>
      </c>
      <c r="Q11" s="294">
        <v>4186834</v>
      </c>
      <c r="R11" s="247">
        <v>28463887</v>
      </c>
      <c r="S11" s="398"/>
      <c r="T11" s="398"/>
      <c r="U11" s="398"/>
      <c r="V11" s="398"/>
      <c r="W11" s="353"/>
      <c r="X11" s="295">
        <v>0</v>
      </c>
      <c r="Y11" s="353"/>
      <c r="AA11" s="218">
        <f t="shared" si="0"/>
        <v>7188000</v>
      </c>
    </row>
    <row r="12" spans="1:27" s="242" customFormat="1" ht="24.75" customHeight="1">
      <c r="A12" s="234" t="s">
        <v>140</v>
      </c>
      <c r="B12" s="235">
        <v>28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354"/>
      <c r="N12" s="310">
        <v>182777</v>
      </c>
      <c r="O12" s="329"/>
      <c r="P12" s="349">
        <f>20239160+2063530</f>
        <v>22302690</v>
      </c>
      <c r="Q12" s="349">
        <v>2667843</v>
      </c>
      <c r="R12" s="247">
        <v>106196357</v>
      </c>
      <c r="S12" s="398"/>
      <c r="T12" s="398"/>
      <c r="U12" s="398"/>
      <c r="V12" s="398"/>
      <c r="W12" s="239"/>
      <c r="X12" s="247">
        <v>7307500</v>
      </c>
      <c r="Y12" s="493"/>
      <c r="AA12" s="218">
        <f t="shared" si="0"/>
        <v>29610190</v>
      </c>
    </row>
    <row r="13" spans="1:27" s="242" customFormat="1" ht="24.75" customHeight="1">
      <c r="A13" s="234" t="s">
        <v>157</v>
      </c>
      <c r="B13" s="235">
        <v>25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60"/>
      <c r="N13" s="329">
        <v>0</v>
      </c>
      <c r="O13" s="329"/>
      <c r="P13" s="294">
        <f>6633310</f>
        <v>6633310</v>
      </c>
      <c r="Q13" s="294">
        <v>1855544</v>
      </c>
      <c r="R13" s="247">
        <v>76919231</v>
      </c>
      <c r="S13" s="398"/>
      <c r="T13" s="398"/>
      <c r="U13" s="398"/>
      <c r="V13" s="398"/>
      <c r="X13" s="247">
        <v>3806000</v>
      </c>
      <c r="Y13" s="353"/>
      <c r="AA13" s="218">
        <f t="shared" si="0"/>
        <v>10439310</v>
      </c>
    </row>
    <row r="14" spans="1:27" ht="24.75" customHeight="1">
      <c r="A14" s="234" t="s">
        <v>146</v>
      </c>
      <c r="B14" s="292">
        <v>33</v>
      </c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329">
        <v>0</v>
      </c>
      <c r="O14" s="329"/>
      <c r="P14" s="294">
        <v>746900</v>
      </c>
      <c r="Q14" s="294">
        <v>1242341</v>
      </c>
      <c r="R14" s="295">
        <v>89870308</v>
      </c>
      <c r="S14" s="399"/>
      <c r="T14" s="399"/>
      <c r="U14" s="399"/>
      <c r="V14" s="399"/>
      <c r="W14" s="218"/>
      <c r="X14" s="295">
        <v>0</v>
      </c>
      <c r="Y14" s="492" t="s">
        <v>144</v>
      </c>
      <c r="AA14" s="218">
        <f t="shared" si="0"/>
        <v>746900</v>
      </c>
    </row>
    <row r="15" spans="1:27" ht="24.75" customHeight="1">
      <c r="A15" s="234" t="s">
        <v>115</v>
      </c>
      <c r="B15" s="384">
        <v>4</v>
      </c>
      <c r="C15" s="385"/>
      <c r="D15" s="385"/>
      <c r="E15" s="385"/>
      <c r="F15" s="385"/>
      <c r="G15" s="385"/>
      <c r="H15" s="385"/>
      <c r="I15" s="385"/>
      <c r="J15" s="385"/>
      <c r="K15" s="385"/>
      <c r="L15" s="385"/>
      <c r="M15" s="302"/>
      <c r="N15" s="530">
        <v>0</v>
      </c>
      <c r="O15" s="530"/>
      <c r="P15" s="342">
        <v>2122245</v>
      </c>
      <c r="Q15" s="342">
        <v>2110359</v>
      </c>
      <c r="R15" s="386">
        <v>15540812</v>
      </c>
      <c r="S15" s="399"/>
      <c r="T15" s="399"/>
      <c r="U15" s="399"/>
      <c r="V15" s="399"/>
      <c r="W15" s="218"/>
      <c r="X15" s="386">
        <v>0</v>
      </c>
      <c r="Y15" s="492"/>
      <c r="AA15" s="218">
        <f t="shared" si="0"/>
        <v>2122245</v>
      </c>
    </row>
    <row r="16" spans="1:27" ht="24.75" customHeight="1">
      <c r="A16" s="234" t="s">
        <v>153</v>
      </c>
      <c r="B16" s="384">
        <v>6</v>
      </c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02"/>
      <c r="N16" s="530">
        <v>0</v>
      </c>
      <c r="O16" s="530"/>
      <c r="P16" s="342">
        <f>2984050</f>
        <v>2984050</v>
      </c>
      <c r="Q16" s="342">
        <v>0</v>
      </c>
      <c r="R16" s="386">
        <v>16995845</v>
      </c>
      <c r="S16" s="399"/>
      <c r="T16" s="399"/>
      <c r="U16" s="399"/>
      <c r="V16" s="399"/>
      <c r="W16" s="218"/>
      <c r="X16" s="386">
        <v>846000</v>
      </c>
      <c r="Y16" s="492"/>
      <c r="AA16" s="218">
        <f t="shared" si="0"/>
        <v>3830050</v>
      </c>
    </row>
    <row r="17" spans="1:27" ht="24.75" customHeight="1">
      <c r="A17" s="234" t="s">
        <v>110</v>
      </c>
      <c r="B17" s="384">
        <v>23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302"/>
      <c r="N17" s="530">
        <v>64502</v>
      </c>
      <c r="O17" s="530"/>
      <c r="P17" s="342">
        <f>13152550+3486700+330605</f>
        <v>16969855</v>
      </c>
      <c r="Q17" s="342">
        <v>2245766</v>
      </c>
      <c r="R17" s="386">
        <v>86968930</v>
      </c>
      <c r="S17" s="399"/>
      <c r="T17" s="399"/>
      <c r="U17" s="399"/>
      <c r="V17" s="399"/>
      <c r="W17" s="218"/>
      <c r="X17" s="386">
        <v>6816000</v>
      </c>
      <c r="Y17" s="492"/>
      <c r="AA17" s="218">
        <f t="shared" si="0"/>
        <v>23785855</v>
      </c>
    </row>
    <row r="18" spans="1:27" ht="24.75" customHeight="1">
      <c r="A18" s="234" t="s">
        <v>100</v>
      </c>
      <c r="B18" s="384">
        <v>30</v>
      </c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02"/>
      <c r="N18" s="524">
        <v>0</v>
      </c>
      <c r="O18" s="524"/>
      <c r="P18" s="302">
        <v>533889</v>
      </c>
      <c r="Q18" s="302">
        <v>2110383</v>
      </c>
      <c r="R18" s="386">
        <v>83286601</v>
      </c>
      <c r="S18" s="399"/>
      <c r="T18" s="399"/>
      <c r="U18" s="399"/>
      <c r="V18" s="399"/>
      <c r="W18" s="218"/>
      <c r="X18" s="386">
        <v>0</v>
      </c>
      <c r="Y18" s="492"/>
      <c r="AA18" s="218">
        <f t="shared" si="0"/>
        <v>533889</v>
      </c>
    </row>
    <row r="19" spans="1:27" ht="24.75" customHeight="1">
      <c r="A19" s="234" t="s">
        <v>338</v>
      </c>
      <c r="B19" s="384">
        <v>7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02"/>
      <c r="N19" s="524">
        <v>0</v>
      </c>
      <c r="O19" s="524"/>
      <c r="P19" s="302">
        <f>314710+1533000</f>
        <v>1847710</v>
      </c>
      <c r="Q19" s="302">
        <v>0</v>
      </c>
      <c r="R19" s="386">
        <v>15841552</v>
      </c>
      <c r="S19" s="399"/>
      <c r="T19" s="399"/>
      <c r="U19" s="399"/>
      <c r="V19" s="399"/>
      <c r="W19" s="218"/>
      <c r="X19" s="386">
        <v>192000</v>
      </c>
      <c r="Y19" s="492"/>
      <c r="AA19" s="218">
        <f t="shared" si="0"/>
        <v>2039710</v>
      </c>
    </row>
    <row r="20" spans="1:27" ht="24.75" customHeight="1">
      <c r="A20" s="234" t="s">
        <v>99</v>
      </c>
      <c r="B20" s="384">
        <v>4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02"/>
      <c r="N20" s="524">
        <v>0</v>
      </c>
      <c r="O20" s="524"/>
      <c r="P20" s="302">
        <v>1542382</v>
      </c>
      <c r="Q20" s="302">
        <v>2078528</v>
      </c>
      <c r="R20" s="386">
        <v>14218530</v>
      </c>
      <c r="S20" s="399"/>
      <c r="T20" s="399"/>
      <c r="U20" s="399"/>
      <c r="V20" s="399"/>
      <c r="W20" s="218"/>
      <c r="X20" s="386">
        <v>0</v>
      </c>
      <c r="Y20" s="492"/>
      <c r="AA20" s="218">
        <f t="shared" si="0"/>
        <v>1542382</v>
      </c>
    </row>
    <row r="21" spans="1:27" ht="24.75" customHeight="1" thickBot="1">
      <c r="A21" s="279"/>
      <c r="B21" s="384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02"/>
      <c r="N21" s="524"/>
      <c r="O21" s="524"/>
      <c r="P21" s="302"/>
      <c r="Q21" s="302"/>
      <c r="R21" s="386"/>
      <c r="S21" s="399"/>
      <c r="T21" s="399"/>
      <c r="U21" s="399"/>
      <c r="V21" s="399"/>
      <c r="W21" s="218"/>
      <c r="X21" s="386"/>
      <c r="Y21" s="492"/>
    </row>
    <row r="22" spans="1:27" ht="24.75" customHeight="1" thickTop="1" thickBot="1">
      <c r="A22" s="261" t="s">
        <v>3</v>
      </c>
      <c r="B22" s="262">
        <f>SUM(B8:B21)</f>
        <v>217</v>
      </c>
      <c r="C22" s="263">
        <f t="shared" ref="C22:R22" si="1">SUM(C8:C21)</f>
        <v>0</v>
      </c>
      <c r="D22" s="263">
        <f t="shared" si="1"/>
        <v>0</v>
      </c>
      <c r="E22" s="263">
        <f t="shared" si="1"/>
        <v>0</v>
      </c>
      <c r="F22" s="263">
        <f t="shared" si="1"/>
        <v>0</v>
      </c>
      <c r="G22" s="263">
        <f t="shared" si="1"/>
        <v>0</v>
      </c>
      <c r="H22" s="263">
        <f t="shared" si="1"/>
        <v>0</v>
      </c>
      <c r="I22" s="263">
        <f t="shared" si="1"/>
        <v>0</v>
      </c>
      <c r="J22" s="263">
        <f t="shared" si="1"/>
        <v>0</v>
      </c>
      <c r="K22" s="263">
        <f t="shared" si="1"/>
        <v>0</v>
      </c>
      <c r="L22" s="263">
        <f t="shared" si="1"/>
        <v>0</v>
      </c>
      <c r="M22" s="263">
        <f t="shared" si="1"/>
        <v>0</v>
      </c>
      <c r="N22" s="579">
        <f>SUM(N8:N21)</f>
        <v>248583</v>
      </c>
      <c r="O22" s="579">
        <f>SUM(O8:O21)</f>
        <v>0</v>
      </c>
      <c r="P22" s="265">
        <f t="shared" si="1"/>
        <v>68493381</v>
      </c>
      <c r="Q22" s="265">
        <f t="shared" si="1"/>
        <v>20536308</v>
      </c>
      <c r="R22" s="265">
        <f t="shared" si="1"/>
        <v>676846918</v>
      </c>
      <c r="S22" s="303"/>
      <c r="T22" s="355" t="e">
        <f>#REF!/#REF!</f>
        <v>#REF!</v>
      </c>
      <c r="U22" s="218" t="s">
        <v>17</v>
      </c>
      <c r="V22" s="218"/>
      <c r="W22" s="218"/>
      <c r="X22" s="265">
        <f>SUM(X8:X21)</f>
        <v>19851000</v>
      </c>
      <c r="Y22" s="492"/>
      <c r="AA22" s="218">
        <f>SUM(AA9:AA21)</f>
        <v>88344381</v>
      </c>
    </row>
    <row r="23" spans="1:27" ht="24.75" customHeight="1" thickTop="1">
      <c r="A23" s="336"/>
      <c r="B23" s="566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218"/>
      <c r="T23" s="218"/>
      <c r="U23" s="218"/>
      <c r="V23" s="218"/>
      <c r="W23" s="218"/>
      <c r="X23" s="492"/>
      <c r="Y23" s="492"/>
    </row>
    <row r="24" spans="1:27" ht="17.25" customHeight="1">
      <c r="S24" s="218"/>
      <c r="T24" s="218"/>
      <c r="U24" s="218"/>
      <c r="V24" s="218"/>
      <c r="W24" s="218"/>
      <c r="X24" s="492"/>
      <c r="Y24" s="492"/>
    </row>
    <row r="25" spans="1:27" ht="17.25" customHeight="1">
      <c r="S25" s="218"/>
      <c r="T25" s="218"/>
      <c r="U25" s="218"/>
      <c r="V25" s="218"/>
      <c r="W25" s="218"/>
      <c r="X25" s="492"/>
      <c r="Y25" s="492"/>
    </row>
    <row r="26" spans="1:27" ht="17.25" customHeight="1">
      <c r="S26" s="218"/>
      <c r="T26" s="218"/>
      <c r="U26" s="218"/>
      <c r="V26" s="218"/>
      <c r="W26" s="218"/>
      <c r="X26" s="492"/>
      <c r="Y26" s="492"/>
    </row>
    <row r="27" spans="1:27" ht="17.25" customHeight="1">
      <c r="A27" s="336"/>
      <c r="B27" s="566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218"/>
      <c r="T27" s="218"/>
      <c r="U27" s="218"/>
      <c r="V27" s="218"/>
      <c r="W27" s="218"/>
      <c r="X27" s="492"/>
      <c r="Y27" s="492"/>
    </row>
    <row r="28" spans="1:27" ht="17.25" customHeight="1">
      <c r="A28" s="336" t="s">
        <v>206</v>
      </c>
      <c r="B28" s="566"/>
      <c r="C28" s="337"/>
      <c r="D28" s="1173" t="s">
        <v>81</v>
      </c>
      <c r="E28" s="1173"/>
      <c r="F28" s="1173"/>
      <c r="G28" s="1173"/>
      <c r="H28" s="337"/>
      <c r="I28" s="337"/>
      <c r="J28" s="1173" t="s">
        <v>82</v>
      </c>
      <c r="K28" s="1173"/>
      <c r="L28" s="1173"/>
      <c r="M28" s="1173"/>
      <c r="N28" s="1173"/>
      <c r="O28" s="1173"/>
      <c r="P28" s="1173"/>
      <c r="Q28" s="1173"/>
      <c r="R28" s="1173"/>
      <c r="S28" s="218"/>
      <c r="T28" s="218"/>
      <c r="U28" s="218"/>
      <c r="V28" s="218"/>
      <c r="W28" s="218"/>
      <c r="X28" s="492"/>
      <c r="Y28" s="492"/>
    </row>
    <row r="29" spans="1:27" ht="17.25" customHeight="1">
      <c r="A29" s="336"/>
      <c r="B29" s="566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218"/>
      <c r="T29" s="218"/>
      <c r="U29" s="218"/>
      <c r="V29" s="218"/>
      <c r="W29" s="218"/>
      <c r="X29" s="492"/>
      <c r="Y29" s="492"/>
    </row>
    <row r="30" spans="1:27" ht="17.25" customHeight="1">
      <c r="S30" s="218"/>
      <c r="T30" s="218"/>
      <c r="U30" s="218"/>
      <c r="V30" s="218"/>
      <c r="W30" s="218"/>
      <c r="X30" s="492"/>
      <c r="Y30" s="492"/>
    </row>
    <row r="31" spans="1:27" ht="17.25" customHeight="1">
      <c r="S31" s="218"/>
      <c r="T31" s="218"/>
      <c r="U31" s="218"/>
      <c r="V31" s="218"/>
      <c r="W31" s="218"/>
      <c r="X31" s="492"/>
      <c r="Y31" s="492"/>
    </row>
    <row r="32" spans="1:27" ht="17.25" customHeight="1">
      <c r="S32" s="218"/>
      <c r="T32" s="218"/>
      <c r="U32" s="218"/>
      <c r="V32" s="218"/>
      <c r="W32" s="218"/>
      <c r="X32" s="492"/>
      <c r="Y32" s="492"/>
    </row>
    <row r="33" spans="1:27" ht="17.25" customHeight="1">
      <c r="A33" s="336"/>
      <c r="B33" s="566"/>
      <c r="C33" s="337"/>
      <c r="D33" s="566"/>
      <c r="E33" s="566"/>
      <c r="F33" s="566"/>
      <c r="G33" s="566"/>
      <c r="H33" s="337"/>
      <c r="I33" s="337"/>
      <c r="J33" s="566"/>
      <c r="K33" s="566"/>
      <c r="L33" s="566"/>
      <c r="M33" s="566"/>
      <c r="N33" s="566"/>
      <c r="O33" s="566"/>
      <c r="P33" s="566"/>
      <c r="Q33" s="566"/>
      <c r="R33" s="566"/>
      <c r="S33" s="218"/>
      <c r="T33" s="218"/>
      <c r="U33" s="218"/>
      <c r="V33" s="218"/>
      <c r="W33" s="218"/>
      <c r="X33" s="492"/>
      <c r="Y33" s="492"/>
    </row>
    <row r="34" spans="1:27" ht="17.25" customHeight="1">
      <c r="A34" s="216"/>
      <c r="B34" s="278"/>
      <c r="S34" s="218"/>
      <c r="T34" s="218"/>
      <c r="U34" s="218"/>
      <c r="V34" s="218"/>
      <c r="W34" s="218"/>
      <c r="X34" s="492"/>
      <c r="Y34" s="492"/>
    </row>
    <row r="35" spans="1:27" ht="17.25" customHeight="1">
      <c r="B35" s="278"/>
      <c r="S35" s="218"/>
      <c r="T35" s="218"/>
      <c r="U35" s="218"/>
      <c r="V35" s="218"/>
      <c r="W35" s="218"/>
      <c r="X35" s="492"/>
      <c r="Y35" s="492"/>
    </row>
    <row r="36" spans="1:27" ht="17.25" customHeight="1">
      <c r="B36" s="278"/>
      <c r="S36" s="218"/>
      <c r="T36" s="218"/>
      <c r="U36" s="218"/>
      <c r="V36" s="218"/>
      <c r="W36" s="218"/>
      <c r="X36" s="492"/>
      <c r="Y36" s="492"/>
    </row>
    <row r="37" spans="1:27" ht="17.25" customHeight="1">
      <c r="A37" s="215" t="s">
        <v>0</v>
      </c>
      <c r="B37" s="278"/>
      <c r="S37" s="218"/>
      <c r="T37" s="218"/>
      <c r="U37" s="218"/>
      <c r="V37" s="218"/>
      <c r="W37" s="218"/>
      <c r="X37" s="492"/>
      <c r="Y37" s="492"/>
    </row>
    <row r="38" spans="1:27" ht="17.25" customHeight="1">
      <c r="A38" s="215" t="str">
        <f>A4</f>
        <v>DENOMINATION FOR JULI 2018</v>
      </c>
      <c r="B38" s="278"/>
      <c r="S38" s="218"/>
      <c r="T38" s="218"/>
      <c r="U38" s="218"/>
      <c r="V38" s="218"/>
      <c r="W38" s="218"/>
      <c r="X38" s="492"/>
      <c r="Y38" s="492"/>
    </row>
    <row r="39" spans="1:27" ht="63.75" customHeight="1" thickBot="1">
      <c r="A39" s="216"/>
      <c r="B39" s="278"/>
      <c r="S39" s="218"/>
      <c r="T39" s="218"/>
      <c r="U39" s="218"/>
      <c r="V39" s="218"/>
      <c r="W39" s="218"/>
      <c r="X39" s="492"/>
      <c r="Y39" s="492"/>
    </row>
    <row r="40" spans="1:27" ht="24.75" customHeight="1" thickTop="1">
      <c r="A40" s="1176" t="s">
        <v>1</v>
      </c>
      <c r="B40" s="1183" t="s">
        <v>15</v>
      </c>
      <c r="C40" s="219"/>
      <c r="D40" s="219"/>
      <c r="E40" s="220"/>
      <c r="F40" s="220"/>
      <c r="G40" s="220"/>
      <c r="H40" s="220"/>
      <c r="I40" s="220"/>
      <c r="J40" s="220"/>
      <c r="K40" s="220"/>
      <c r="L40" s="220"/>
      <c r="M40" s="574" t="str">
        <f>M6</f>
        <v>Pot.</v>
      </c>
      <c r="N40" s="568" t="s">
        <v>145</v>
      </c>
      <c r="O40" s="568" t="s">
        <v>253</v>
      </c>
      <c r="P40" s="1174" t="str">
        <f>P6</f>
        <v>TOTAL PREMI</v>
      </c>
      <c r="Q40" s="1174" t="str">
        <f>Q6</f>
        <v>TOTAL LEMBUR</v>
      </c>
      <c r="R40" s="1171" t="s">
        <v>3</v>
      </c>
      <c r="S40" s="304" t="s">
        <v>16</v>
      </c>
      <c r="T40" s="222" t="s">
        <v>18</v>
      </c>
      <c r="U40" s="218"/>
      <c r="V40" s="218"/>
      <c r="W40" s="218"/>
      <c r="X40" s="1171" t="s">
        <v>259</v>
      </c>
      <c r="Y40" s="492"/>
    </row>
    <row r="41" spans="1:27" ht="24.75" customHeight="1" thickBot="1">
      <c r="A41" s="1177"/>
      <c r="B41" s="1184"/>
      <c r="C41" s="223">
        <v>100000</v>
      </c>
      <c r="D41" s="223">
        <v>50000</v>
      </c>
      <c r="E41" s="223">
        <v>20000</v>
      </c>
      <c r="F41" s="223">
        <v>10000</v>
      </c>
      <c r="G41" s="223">
        <v>5000</v>
      </c>
      <c r="H41" s="223">
        <v>1000</v>
      </c>
      <c r="I41" s="223">
        <v>500</v>
      </c>
      <c r="J41" s="223">
        <v>100</v>
      </c>
      <c r="K41" s="223">
        <v>50</v>
      </c>
      <c r="L41" s="223" t="s">
        <v>2</v>
      </c>
      <c r="M41" s="575" t="str">
        <f>M7</f>
        <v>Pinjaman</v>
      </c>
      <c r="N41" s="569" t="str">
        <f>N7</f>
        <v>(MASA JUNI  - 2018)</v>
      </c>
      <c r="O41" s="569" t="s">
        <v>254</v>
      </c>
      <c r="P41" s="1175"/>
      <c r="Q41" s="1175"/>
      <c r="R41" s="1172"/>
      <c r="S41" s="305"/>
      <c r="T41" s="225" t="s">
        <v>19</v>
      </c>
      <c r="U41" s="218"/>
      <c r="V41" s="218"/>
      <c r="W41" s="218"/>
      <c r="X41" s="1172"/>
      <c r="Y41" s="492"/>
    </row>
    <row r="42" spans="1:27" ht="24.75" customHeight="1" thickTop="1">
      <c r="A42" s="356"/>
      <c r="B42" s="357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9"/>
      <c r="O42" s="359"/>
      <c r="P42" s="359"/>
      <c r="Q42" s="359"/>
      <c r="R42" s="360"/>
      <c r="S42" s="487"/>
      <c r="T42" s="361"/>
      <c r="U42" s="218"/>
      <c r="V42" s="218"/>
      <c r="X42" s="360"/>
    </row>
    <row r="43" spans="1:27" ht="24.75" customHeight="1">
      <c r="A43" s="362" t="s">
        <v>95</v>
      </c>
      <c r="B43" s="533">
        <v>4</v>
      </c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521">
        <v>0</v>
      </c>
      <c r="O43" s="521"/>
      <c r="P43" s="260">
        <v>2861073</v>
      </c>
      <c r="Q43" s="289">
        <v>2094456</v>
      </c>
      <c r="R43" s="290">
        <v>15339652</v>
      </c>
      <c r="S43" s="488"/>
      <c r="T43" s="352"/>
      <c r="U43" s="218"/>
      <c r="V43" s="218"/>
      <c r="X43" s="290">
        <v>0</v>
      </c>
      <c r="AA43" s="218">
        <f>P43+X43</f>
        <v>2861073</v>
      </c>
    </row>
    <row r="44" spans="1:27" s="242" customFormat="1" ht="24.75" customHeight="1">
      <c r="A44" s="362" t="s">
        <v>102</v>
      </c>
      <c r="B44" s="310">
        <v>31</v>
      </c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29">
        <v>0</v>
      </c>
      <c r="O44" s="329"/>
      <c r="P44" s="260">
        <f>3925330+247100</f>
        <v>4172430</v>
      </c>
      <c r="Q44" s="349">
        <v>2548387</v>
      </c>
      <c r="R44" s="347">
        <v>101467542</v>
      </c>
      <c r="S44" s="489"/>
      <c r="T44" s="348"/>
      <c r="U44" s="239"/>
      <c r="V44" s="239"/>
      <c r="W44" s="439"/>
      <c r="X44" s="347">
        <v>12593000</v>
      </c>
      <c r="Y44" s="339"/>
      <c r="AA44" s="218">
        <f t="shared" ref="AA44:AA56" si="2">P44+X44</f>
        <v>16765430</v>
      </c>
    </row>
    <row r="45" spans="1:27" s="242" customFormat="1" ht="24.75" customHeight="1">
      <c r="A45" s="362" t="s">
        <v>174</v>
      </c>
      <c r="B45" s="277">
        <v>36</v>
      </c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365"/>
      <c r="N45" s="577">
        <v>0</v>
      </c>
      <c r="O45" s="577"/>
      <c r="P45" s="260">
        <f>26760+1814800</f>
        <v>1841560</v>
      </c>
      <c r="Q45" s="366">
        <v>1258266</v>
      </c>
      <c r="R45" s="367">
        <v>101352495</v>
      </c>
      <c r="S45" s="489"/>
      <c r="T45" s="348"/>
      <c r="U45" s="239"/>
      <c r="V45" s="239"/>
      <c r="W45" s="439"/>
      <c r="X45" s="367">
        <v>0</v>
      </c>
      <c r="Y45" s="339"/>
      <c r="AA45" s="218">
        <f t="shared" si="2"/>
        <v>1841560</v>
      </c>
    </row>
    <row r="46" spans="1:27" s="242" customFormat="1" ht="24.75" customHeight="1">
      <c r="A46" s="362" t="s">
        <v>151</v>
      </c>
      <c r="B46" s="235">
        <v>21</v>
      </c>
      <c r="C46" s="365"/>
      <c r="D46" s="365"/>
      <c r="E46" s="365"/>
      <c r="F46" s="365"/>
      <c r="G46" s="365"/>
      <c r="H46" s="365"/>
      <c r="I46" s="365"/>
      <c r="J46" s="365"/>
      <c r="K46" s="365"/>
      <c r="L46" s="365"/>
      <c r="M46" s="366"/>
      <c r="N46" s="577">
        <v>0</v>
      </c>
      <c r="O46" s="577"/>
      <c r="P46" s="260">
        <f>1281130+499100</f>
        <v>1780230</v>
      </c>
      <c r="Q46" s="366">
        <v>1847580</v>
      </c>
      <c r="R46" s="367">
        <v>62202310</v>
      </c>
      <c r="S46" s="489"/>
      <c r="T46" s="348"/>
      <c r="U46" s="239"/>
      <c r="V46" s="239"/>
      <c r="W46" s="439"/>
      <c r="X46" s="367">
        <v>3680500</v>
      </c>
      <c r="Y46" s="339"/>
      <c r="AA46" s="218">
        <f t="shared" si="2"/>
        <v>5460730</v>
      </c>
    </row>
    <row r="47" spans="1:27" s="242" customFormat="1" ht="24.75" customHeight="1">
      <c r="A47" s="362" t="s">
        <v>173</v>
      </c>
      <c r="B47" s="235">
        <v>32</v>
      </c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60"/>
      <c r="N47" s="577">
        <v>0</v>
      </c>
      <c r="O47" s="577"/>
      <c r="P47" s="260">
        <v>0</v>
      </c>
      <c r="Q47" s="260">
        <v>915827</v>
      </c>
      <c r="R47" s="247">
        <v>86660331</v>
      </c>
      <c r="S47" s="489"/>
      <c r="T47" s="348"/>
      <c r="U47" s="239"/>
      <c r="V47" s="239"/>
      <c r="W47" s="239"/>
      <c r="X47" s="247">
        <v>0</v>
      </c>
      <c r="Y47" s="493"/>
      <c r="AA47" s="218">
        <f t="shared" si="2"/>
        <v>0</v>
      </c>
    </row>
    <row r="48" spans="1:27" ht="24.75" customHeight="1">
      <c r="A48" s="362" t="s">
        <v>94</v>
      </c>
      <c r="B48" s="577">
        <v>5</v>
      </c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577">
        <v>0</v>
      </c>
      <c r="O48" s="577"/>
      <c r="P48" s="260">
        <v>3169027</v>
      </c>
      <c r="Q48" s="260">
        <v>3201412</v>
      </c>
      <c r="R48" s="247">
        <v>20687222</v>
      </c>
      <c r="S48" s="488"/>
      <c r="T48" s="352"/>
      <c r="U48" s="218"/>
      <c r="V48" s="218"/>
      <c r="W48" s="218"/>
      <c r="X48" s="247">
        <v>0</v>
      </c>
      <c r="Y48" s="492"/>
      <c r="AA48" s="218">
        <f t="shared" si="2"/>
        <v>3169027</v>
      </c>
    </row>
    <row r="49" spans="1:29" s="242" customFormat="1" ht="24.75" customHeight="1">
      <c r="A49" s="362" t="s">
        <v>152</v>
      </c>
      <c r="B49" s="292">
        <v>4</v>
      </c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4"/>
      <c r="N49" s="329">
        <v>0</v>
      </c>
      <c r="O49" s="329"/>
      <c r="P49" s="260">
        <f>90640+100100</f>
        <v>190740</v>
      </c>
      <c r="Q49" s="294">
        <v>0</v>
      </c>
      <c r="R49" s="295">
        <v>9055768</v>
      </c>
      <c r="S49" s="489"/>
      <c r="T49" s="348"/>
      <c r="U49" s="239"/>
      <c r="V49" s="239"/>
      <c r="W49" s="239"/>
      <c r="X49" s="295">
        <v>276000</v>
      </c>
      <c r="Y49" s="493"/>
      <c r="AA49" s="218">
        <f t="shared" si="2"/>
        <v>466740</v>
      </c>
      <c r="AC49" s="242">
        <f>37+31</f>
        <v>68</v>
      </c>
    </row>
    <row r="50" spans="1:29" s="242" customFormat="1" ht="24.75" customHeight="1">
      <c r="A50" s="362" t="s">
        <v>405</v>
      </c>
      <c r="B50" s="292">
        <v>24</v>
      </c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4"/>
      <c r="N50" s="329">
        <v>0</v>
      </c>
      <c r="O50" s="329"/>
      <c r="P50" s="260">
        <v>0</v>
      </c>
      <c r="Q50" s="294">
        <v>0</v>
      </c>
      <c r="R50" s="295">
        <v>5621105</v>
      </c>
      <c r="S50" s="489"/>
      <c r="T50" s="348"/>
      <c r="U50" s="239"/>
      <c r="V50" s="239"/>
      <c r="W50" s="239"/>
      <c r="X50" s="295">
        <v>0</v>
      </c>
      <c r="Y50" s="493"/>
      <c r="AA50" s="218">
        <f t="shared" si="2"/>
        <v>0</v>
      </c>
    </row>
    <row r="51" spans="1:29" ht="24.75" customHeight="1">
      <c r="A51" s="362" t="s">
        <v>176</v>
      </c>
      <c r="B51" s="292">
        <v>23</v>
      </c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4"/>
      <c r="N51" s="329">
        <v>25502</v>
      </c>
      <c r="O51" s="329"/>
      <c r="P51" s="260">
        <f>9595200</f>
        <v>9595200</v>
      </c>
      <c r="Q51" s="294">
        <v>2182057</v>
      </c>
      <c r="R51" s="295">
        <v>78686731</v>
      </c>
      <c r="S51" s="488"/>
      <c r="T51" s="352"/>
      <c r="U51" s="218"/>
      <c r="V51" s="218"/>
      <c r="W51" s="218"/>
      <c r="X51" s="295">
        <v>6705500</v>
      </c>
      <c r="Y51" s="492"/>
      <c r="AA51" s="218">
        <f t="shared" si="2"/>
        <v>16300700</v>
      </c>
    </row>
    <row r="52" spans="1:29" s="242" customFormat="1" ht="24.75" customHeight="1">
      <c r="A52" s="362" t="s">
        <v>175</v>
      </c>
      <c r="B52" s="235">
        <v>46</v>
      </c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60"/>
      <c r="N52" s="577">
        <v>0</v>
      </c>
      <c r="O52" s="577"/>
      <c r="P52" s="260">
        <v>1666800</v>
      </c>
      <c r="Q52" s="260">
        <v>1704227</v>
      </c>
      <c r="R52" s="247">
        <v>128548713</v>
      </c>
      <c r="S52" s="489"/>
      <c r="T52" s="348"/>
      <c r="U52" s="239"/>
      <c r="V52" s="239"/>
      <c r="W52" s="274"/>
      <c r="X52" s="247">
        <v>0</v>
      </c>
      <c r="Y52" s="353"/>
      <c r="AA52" s="218">
        <f t="shared" si="2"/>
        <v>1666800</v>
      </c>
    </row>
    <row r="53" spans="1:29" s="242" customFormat="1" ht="24.75" customHeight="1">
      <c r="A53" s="362" t="s">
        <v>161</v>
      </c>
      <c r="B53" s="235">
        <v>8</v>
      </c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60"/>
      <c r="N53" s="577">
        <v>0</v>
      </c>
      <c r="O53" s="577"/>
      <c r="P53" s="260">
        <f>739710+788200</f>
        <v>1527910</v>
      </c>
      <c r="Q53" s="260">
        <v>772480</v>
      </c>
      <c r="R53" s="247">
        <v>25254834</v>
      </c>
      <c r="S53" s="489"/>
      <c r="T53" s="348"/>
      <c r="U53" s="239"/>
      <c r="V53" s="239"/>
      <c r="W53" s="274"/>
      <c r="X53" s="247">
        <v>2473500</v>
      </c>
      <c r="Y53" s="353"/>
      <c r="AA53" s="218">
        <f t="shared" si="2"/>
        <v>4001410</v>
      </c>
    </row>
    <row r="54" spans="1:29" ht="24.75" customHeight="1">
      <c r="A54" s="362" t="s">
        <v>339</v>
      </c>
      <c r="B54" s="235">
        <v>21</v>
      </c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60"/>
      <c r="N54" s="577">
        <v>0</v>
      </c>
      <c r="O54" s="577"/>
      <c r="P54" s="260">
        <f>7561260+189000</f>
        <v>7750260</v>
      </c>
      <c r="Q54" s="260">
        <v>0</v>
      </c>
      <c r="R54" s="247">
        <v>50038491</v>
      </c>
      <c r="S54" s="488"/>
      <c r="T54" s="352"/>
      <c r="U54" s="218"/>
      <c r="V54" s="218"/>
      <c r="W54" s="216"/>
      <c r="X54" s="247">
        <v>0</v>
      </c>
      <c r="AA54" s="218">
        <f t="shared" si="2"/>
        <v>7750260</v>
      </c>
    </row>
    <row r="55" spans="1:29" s="242" customFormat="1" ht="24.75" customHeight="1">
      <c r="A55" s="362" t="s">
        <v>93</v>
      </c>
      <c r="B55" s="235">
        <v>6</v>
      </c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60"/>
      <c r="N55" s="577">
        <v>0</v>
      </c>
      <c r="O55" s="577"/>
      <c r="P55" s="260">
        <v>3232953</v>
      </c>
      <c r="Q55" s="260">
        <v>3550922</v>
      </c>
      <c r="R55" s="247">
        <v>23950232</v>
      </c>
      <c r="S55" s="489"/>
      <c r="T55" s="348"/>
      <c r="U55" s="239"/>
      <c r="V55" s="239"/>
      <c r="W55" s="239"/>
      <c r="X55" s="247"/>
      <c r="Y55" s="493"/>
      <c r="AA55" s="218">
        <f t="shared" si="2"/>
        <v>3232953</v>
      </c>
    </row>
    <row r="56" spans="1:29" s="242" customFormat="1" ht="24.75" customHeight="1" thickBot="1">
      <c r="A56" s="255"/>
      <c r="B56" s="369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370"/>
      <c r="N56" s="523"/>
      <c r="O56" s="523"/>
      <c r="P56" s="370"/>
      <c r="Q56" s="370"/>
      <c r="R56" s="247"/>
      <c r="S56" s="489"/>
      <c r="T56" s="348"/>
      <c r="U56" s="239"/>
      <c r="V56" s="239"/>
      <c r="W56" s="239"/>
      <c r="X56" s="247"/>
      <c r="Y56" s="493"/>
      <c r="AA56" s="218">
        <f t="shared" si="2"/>
        <v>0</v>
      </c>
    </row>
    <row r="57" spans="1:29" ht="31.5" customHeight="1" thickTop="1" thickBot="1">
      <c r="A57" s="261" t="s">
        <v>3</v>
      </c>
      <c r="B57" s="262">
        <f>SUM(B43:B56)</f>
        <v>261</v>
      </c>
      <c r="C57" s="262">
        <f t="shared" ref="C57:R57" si="3">SUM(C43:C56)</f>
        <v>0</v>
      </c>
      <c r="D57" s="262">
        <f t="shared" si="3"/>
        <v>0</v>
      </c>
      <c r="E57" s="262">
        <f t="shared" si="3"/>
        <v>0</v>
      </c>
      <c r="F57" s="262">
        <f t="shared" si="3"/>
        <v>0</v>
      </c>
      <c r="G57" s="262">
        <f t="shared" si="3"/>
        <v>0</v>
      </c>
      <c r="H57" s="262">
        <f t="shared" si="3"/>
        <v>0</v>
      </c>
      <c r="I57" s="262">
        <f t="shared" si="3"/>
        <v>0</v>
      </c>
      <c r="J57" s="262">
        <f t="shared" si="3"/>
        <v>0</v>
      </c>
      <c r="K57" s="262">
        <f t="shared" si="3"/>
        <v>0</v>
      </c>
      <c r="L57" s="262">
        <f t="shared" si="3"/>
        <v>0</v>
      </c>
      <c r="M57" s="262">
        <f t="shared" si="3"/>
        <v>0</v>
      </c>
      <c r="N57" s="262">
        <f t="shared" si="3"/>
        <v>25502</v>
      </c>
      <c r="O57" s="262">
        <f>SUM(O43:O56)</f>
        <v>0</v>
      </c>
      <c r="P57" s="263">
        <f t="shared" si="3"/>
        <v>37788183</v>
      </c>
      <c r="Q57" s="263">
        <f t="shared" si="3"/>
        <v>20075614</v>
      </c>
      <c r="R57" s="265">
        <f t="shared" si="3"/>
        <v>708865426</v>
      </c>
      <c r="S57" s="490"/>
      <c r="T57" s="355" t="e">
        <f>#REF!/#REF!</f>
        <v>#REF!</v>
      </c>
      <c r="U57" s="218" t="s">
        <v>20</v>
      </c>
      <c r="V57" s="218"/>
      <c r="W57" s="218"/>
      <c r="X57" s="265">
        <f>SUM(X42:X56)</f>
        <v>25728500</v>
      </c>
      <c r="Y57" s="492"/>
      <c r="AA57" s="218">
        <f>SUM(AA43:AA56)</f>
        <v>63516683</v>
      </c>
    </row>
    <row r="58" spans="1:29" ht="17.25" customHeight="1" thickTop="1">
      <c r="R58" s="440"/>
    </row>
    <row r="59" spans="1:29" ht="17.25" customHeight="1">
      <c r="B59" s="216" t="s">
        <v>144</v>
      </c>
    </row>
    <row r="60" spans="1:29" ht="17.25" customHeight="1">
      <c r="I60" s="1202"/>
      <c r="J60" s="1202"/>
      <c r="K60" s="1202"/>
    </row>
    <row r="61" spans="1:29" ht="17.25" customHeight="1"/>
    <row r="62" spans="1:29" ht="17.25" customHeight="1"/>
    <row r="63" spans="1:29" ht="17.25" customHeight="1">
      <c r="A63" s="336" t="s">
        <v>205</v>
      </c>
      <c r="B63" s="566"/>
      <c r="C63" s="337"/>
      <c r="D63" s="1173" t="s">
        <v>81</v>
      </c>
      <c r="E63" s="1173"/>
      <c r="F63" s="1173"/>
      <c r="G63" s="1173"/>
      <c r="H63" s="337"/>
      <c r="I63" s="337"/>
      <c r="J63" s="1173" t="s">
        <v>82</v>
      </c>
      <c r="K63" s="1173"/>
      <c r="L63" s="1173"/>
      <c r="M63" s="1173"/>
      <c r="N63" s="1173"/>
      <c r="O63" s="1173"/>
      <c r="P63" s="1173"/>
      <c r="Q63" s="1173"/>
      <c r="R63" s="1173"/>
    </row>
    <row r="64" spans="1:29" ht="17.25" customHeight="1">
      <c r="A64" s="336"/>
      <c r="B64" s="566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</row>
    <row r="65" spans="1:28" ht="17.25" customHeight="1">
      <c r="A65" s="336"/>
      <c r="B65" s="566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</row>
    <row r="66" spans="1:28" ht="17.25" customHeight="1">
      <c r="A66" s="336"/>
      <c r="B66" s="566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</row>
    <row r="67" spans="1:28" ht="17.25" customHeight="1">
      <c r="A67" s="336"/>
      <c r="B67" s="566"/>
      <c r="C67" s="337"/>
      <c r="D67" s="1173"/>
      <c r="E67" s="1173"/>
      <c r="F67" s="1173"/>
      <c r="G67" s="1173"/>
      <c r="H67" s="337"/>
      <c r="I67" s="337"/>
      <c r="J67" s="1173"/>
      <c r="K67" s="1173"/>
      <c r="L67" s="1173"/>
      <c r="M67" s="1173"/>
      <c r="N67" s="1173"/>
      <c r="O67" s="1173"/>
      <c r="P67" s="1173"/>
      <c r="Q67" s="1173"/>
      <c r="R67" s="1173"/>
    </row>
    <row r="68" spans="1:28" ht="17.25" customHeight="1"/>
    <row r="69" spans="1:28" ht="17.25" customHeight="1"/>
    <row r="70" spans="1:28" ht="18.75" customHeight="1"/>
    <row r="71" spans="1:28" ht="18.75" customHeight="1"/>
    <row r="72" spans="1:28" ht="18.75" customHeight="1">
      <c r="A72" s="215" t="s">
        <v>0</v>
      </c>
    </row>
    <row r="73" spans="1:28" ht="18.75" customHeight="1">
      <c r="A73" s="215" t="str">
        <f>A4</f>
        <v>DENOMINATION FOR JULI 2018</v>
      </c>
    </row>
    <row r="74" spans="1:28" ht="63.75" customHeight="1" thickBot="1">
      <c r="AB74" s="215">
        <f>993825+712740+83610+40000</f>
        <v>1830175</v>
      </c>
    </row>
    <row r="75" spans="1:28" ht="27" customHeight="1" thickTop="1">
      <c r="A75" s="1176" t="s">
        <v>1</v>
      </c>
      <c r="B75" s="1183" t="s">
        <v>15</v>
      </c>
      <c r="C75" s="219"/>
      <c r="D75" s="220"/>
      <c r="E75" s="220"/>
      <c r="F75" s="220"/>
      <c r="G75" s="220"/>
      <c r="H75" s="220"/>
      <c r="I75" s="220"/>
      <c r="J75" s="220"/>
      <c r="K75" s="220"/>
      <c r="L75" s="220"/>
      <c r="M75" s="574" t="str">
        <f>M6</f>
        <v>Pot.</v>
      </c>
      <c r="N75" s="568" t="s">
        <v>145</v>
      </c>
      <c r="O75" s="568" t="s">
        <v>253</v>
      </c>
      <c r="P75" s="1174" t="str">
        <f>P6</f>
        <v>TOTAL PREMI</v>
      </c>
      <c r="Q75" s="1174" t="str">
        <f>Q6</f>
        <v>TOTAL LEMBUR</v>
      </c>
      <c r="R75" s="1171" t="s">
        <v>3</v>
      </c>
      <c r="S75" s="221" t="s">
        <v>16</v>
      </c>
      <c r="T75" s="222" t="s">
        <v>18</v>
      </c>
      <c r="X75" s="1171" t="s">
        <v>259</v>
      </c>
    </row>
    <row r="76" spans="1:28" ht="27" customHeight="1" thickBot="1">
      <c r="A76" s="1177"/>
      <c r="B76" s="1184"/>
      <c r="C76" s="223">
        <v>100000</v>
      </c>
      <c r="D76" s="223">
        <v>50000</v>
      </c>
      <c r="E76" s="223">
        <v>20000</v>
      </c>
      <c r="F76" s="223">
        <v>10000</v>
      </c>
      <c r="G76" s="223">
        <v>5000</v>
      </c>
      <c r="H76" s="223">
        <v>1000</v>
      </c>
      <c r="I76" s="223">
        <v>500</v>
      </c>
      <c r="J76" s="223">
        <v>100</v>
      </c>
      <c r="K76" s="223">
        <v>50</v>
      </c>
      <c r="L76" s="223" t="s">
        <v>2</v>
      </c>
      <c r="M76" s="575" t="str">
        <f>M7</f>
        <v>Pinjaman</v>
      </c>
      <c r="N76" s="569" t="str">
        <f>N7</f>
        <v>(MASA JUNI  - 2018)</v>
      </c>
      <c r="O76" s="569" t="s">
        <v>254</v>
      </c>
      <c r="P76" s="1175"/>
      <c r="Q76" s="1175"/>
      <c r="R76" s="1172"/>
      <c r="S76" s="224"/>
      <c r="T76" s="225" t="s">
        <v>19</v>
      </c>
      <c r="X76" s="1172"/>
    </row>
    <row r="77" spans="1:28" ht="27" customHeight="1" thickTop="1">
      <c r="A77" s="226"/>
      <c r="B77" s="227"/>
      <c r="C77" s="228"/>
      <c r="D77" s="229"/>
      <c r="E77" s="229"/>
      <c r="F77" s="229"/>
      <c r="G77" s="229"/>
      <c r="H77" s="229"/>
      <c r="I77" s="229"/>
      <c r="J77" s="229"/>
      <c r="K77" s="229"/>
      <c r="L77" s="229"/>
      <c r="M77" s="230"/>
      <c r="N77" s="231"/>
      <c r="O77" s="231"/>
      <c r="P77" s="230"/>
      <c r="Q77" s="337"/>
      <c r="R77" s="564"/>
      <c r="S77" s="232"/>
      <c r="T77" s="233"/>
      <c r="X77" s="564"/>
    </row>
    <row r="78" spans="1:28" s="242" customFormat="1" ht="27" customHeight="1">
      <c r="A78" s="234" t="s">
        <v>169</v>
      </c>
      <c r="B78" s="235">
        <v>33</v>
      </c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578">
        <v>0</v>
      </c>
      <c r="O78" s="578"/>
      <c r="P78" s="236">
        <v>274445</v>
      </c>
      <c r="Q78" s="244">
        <v>2946573</v>
      </c>
      <c r="R78" s="550">
        <v>91999396</v>
      </c>
      <c r="S78" s="240"/>
      <c r="T78" s="241"/>
      <c r="X78" s="238">
        <v>0</v>
      </c>
      <c r="Y78" s="353"/>
      <c r="AA78" s="239">
        <f>P78+X78</f>
        <v>274445</v>
      </c>
    </row>
    <row r="79" spans="1:28" s="242" customFormat="1" ht="27" customHeight="1">
      <c r="A79" s="234" t="s">
        <v>159</v>
      </c>
      <c r="B79" s="243">
        <v>29</v>
      </c>
      <c r="C79" s="237"/>
      <c r="D79" s="237"/>
      <c r="E79" s="237"/>
      <c r="F79" s="237"/>
      <c r="G79" s="237"/>
      <c r="H79" s="237"/>
      <c r="I79" s="237"/>
      <c r="J79" s="244"/>
      <c r="K79" s="236"/>
      <c r="L79" s="237"/>
      <c r="M79" s="236"/>
      <c r="N79" s="578">
        <v>0</v>
      </c>
      <c r="O79" s="578"/>
      <c r="P79" s="236">
        <f>250000+7188390+2639700</f>
        <v>10078090</v>
      </c>
      <c r="Q79" s="244">
        <v>3169557</v>
      </c>
      <c r="R79" s="550">
        <v>88673698</v>
      </c>
      <c r="S79" s="245"/>
      <c r="T79" s="246"/>
      <c r="X79" s="238">
        <v>0</v>
      </c>
      <c r="Y79" s="353"/>
      <c r="AA79" s="239">
        <f t="shared" ref="AA79:AA90" si="4">P79+X79</f>
        <v>10078090</v>
      </c>
    </row>
    <row r="80" spans="1:28" s="242" customFormat="1" ht="27" customHeight="1">
      <c r="A80" s="234" t="s">
        <v>171</v>
      </c>
      <c r="B80" s="251">
        <v>5</v>
      </c>
      <c r="C80" s="252"/>
      <c r="D80" s="252"/>
      <c r="E80" s="252"/>
      <c r="F80" s="252"/>
      <c r="G80" s="252"/>
      <c r="H80" s="252"/>
      <c r="I80" s="252"/>
      <c r="J80" s="253"/>
      <c r="K80" s="254"/>
      <c r="L80" s="252"/>
      <c r="M80" s="254"/>
      <c r="N80" s="531">
        <v>0</v>
      </c>
      <c r="O80" s="531"/>
      <c r="P80" s="254">
        <f>182115+2130210+634900</f>
        <v>2947225</v>
      </c>
      <c r="Q80" s="253">
        <v>1059173</v>
      </c>
      <c r="R80" s="550">
        <v>13070887</v>
      </c>
      <c r="S80" s="245"/>
      <c r="T80" s="246"/>
      <c r="X80" s="238">
        <v>0</v>
      </c>
      <c r="Y80" s="353"/>
      <c r="AA80" s="239">
        <f t="shared" si="4"/>
        <v>2947225</v>
      </c>
    </row>
    <row r="81" spans="1:27" ht="27" customHeight="1">
      <c r="A81" s="234" t="s">
        <v>212</v>
      </c>
      <c r="B81" s="251">
        <v>31</v>
      </c>
      <c r="C81" s="252"/>
      <c r="D81" s="252"/>
      <c r="E81" s="252"/>
      <c r="F81" s="252"/>
      <c r="G81" s="252"/>
      <c r="H81" s="252"/>
      <c r="I81" s="252"/>
      <c r="J81" s="253"/>
      <c r="K81" s="254"/>
      <c r="L81" s="252"/>
      <c r="M81" s="254"/>
      <c r="N81" s="531">
        <v>252</v>
      </c>
      <c r="O81" s="531"/>
      <c r="P81" s="254">
        <f>7682010+168700</f>
        <v>7850710</v>
      </c>
      <c r="Q81" s="253">
        <v>5072883</v>
      </c>
      <c r="R81" s="295">
        <v>95956499</v>
      </c>
      <c r="S81" s="248"/>
      <c r="T81" s="249"/>
      <c r="W81" s="242"/>
      <c r="X81" s="247">
        <v>0</v>
      </c>
      <c r="AA81" s="239">
        <f t="shared" si="4"/>
        <v>7850710</v>
      </c>
    </row>
    <row r="82" spans="1:27" ht="27" customHeight="1">
      <c r="A82" s="234" t="s">
        <v>170</v>
      </c>
      <c r="B82" s="251">
        <v>31</v>
      </c>
      <c r="C82" s="252"/>
      <c r="D82" s="254"/>
      <c r="E82" s="254"/>
      <c r="F82" s="252"/>
      <c r="G82" s="254"/>
      <c r="H82" s="252"/>
      <c r="I82" s="254"/>
      <c r="J82" s="256"/>
      <c r="K82" s="254"/>
      <c r="L82" s="254"/>
      <c r="M82" s="236"/>
      <c r="N82" s="578">
        <v>0</v>
      </c>
      <c r="O82" s="578"/>
      <c r="P82" s="236">
        <v>0</v>
      </c>
      <c r="Q82" s="244">
        <v>904335</v>
      </c>
      <c r="R82" s="550">
        <v>86105258</v>
      </c>
      <c r="S82" s="258"/>
      <c r="T82" s="259"/>
      <c r="W82" s="242"/>
      <c r="X82" s="247">
        <v>0</v>
      </c>
      <c r="Y82" s="492"/>
      <c r="AA82" s="239">
        <f t="shared" si="4"/>
        <v>0</v>
      </c>
    </row>
    <row r="83" spans="1:27" ht="27" customHeight="1">
      <c r="A83" s="234" t="s">
        <v>374</v>
      </c>
      <c r="B83" s="251">
        <v>23</v>
      </c>
      <c r="C83" s="252"/>
      <c r="D83" s="252"/>
      <c r="E83" s="252"/>
      <c r="F83" s="252"/>
      <c r="G83" s="252"/>
      <c r="H83" s="252"/>
      <c r="I83" s="252"/>
      <c r="J83" s="253"/>
      <c r="K83" s="254"/>
      <c r="L83" s="252"/>
      <c r="M83" s="254"/>
      <c r="N83" s="531">
        <v>0</v>
      </c>
      <c r="O83" s="531"/>
      <c r="P83" s="254">
        <v>2576930</v>
      </c>
      <c r="Q83" s="253">
        <v>1465323</v>
      </c>
      <c r="R83" s="295">
        <v>12478614</v>
      </c>
      <c r="S83" s="258"/>
      <c r="T83" s="259"/>
      <c r="W83" s="242"/>
      <c r="X83" s="247">
        <v>0</v>
      </c>
      <c r="AA83" s="239">
        <f t="shared" si="4"/>
        <v>2576930</v>
      </c>
    </row>
    <row r="84" spans="1:27" ht="27" customHeight="1">
      <c r="A84" s="234" t="s">
        <v>408</v>
      </c>
      <c r="B84" s="251">
        <v>20</v>
      </c>
      <c r="C84" s="252"/>
      <c r="D84" s="252"/>
      <c r="E84" s="252"/>
      <c r="F84" s="252"/>
      <c r="G84" s="252"/>
      <c r="H84" s="252"/>
      <c r="I84" s="252"/>
      <c r="J84" s="253"/>
      <c r="K84" s="254"/>
      <c r="L84" s="252"/>
      <c r="M84" s="254"/>
      <c r="N84" s="531">
        <v>0</v>
      </c>
      <c r="O84" s="531"/>
      <c r="P84" s="254">
        <v>0</v>
      </c>
      <c r="Q84" s="253">
        <v>0</v>
      </c>
      <c r="R84" s="295">
        <v>2755444</v>
      </c>
      <c r="S84" s="258"/>
      <c r="T84" s="259"/>
      <c r="W84" s="242"/>
      <c r="X84" s="247"/>
      <c r="AA84" s="239">
        <f t="shared" si="4"/>
        <v>0</v>
      </c>
    </row>
    <row r="85" spans="1:27" ht="27" customHeight="1">
      <c r="A85" s="234" t="s">
        <v>248</v>
      </c>
      <c r="B85" s="243">
        <v>14</v>
      </c>
      <c r="C85" s="237"/>
      <c r="D85" s="237"/>
      <c r="E85" s="237"/>
      <c r="F85" s="237"/>
      <c r="G85" s="237"/>
      <c r="H85" s="237"/>
      <c r="I85" s="237"/>
      <c r="J85" s="244"/>
      <c r="K85" s="236"/>
      <c r="L85" s="237"/>
      <c r="M85" s="236"/>
      <c r="N85" s="578">
        <v>102275</v>
      </c>
      <c r="O85" s="578"/>
      <c r="P85" s="236">
        <v>13605394</v>
      </c>
      <c r="Q85" s="244">
        <v>14136577</v>
      </c>
      <c r="R85" s="550">
        <v>66513929</v>
      </c>
      <c r="S85" s="258"/>
      <c r="T85" s="259"/>
      <c r="W85" s="242"/>
      <c r="X85" s="238"/>
      <c r="AA85" s="239">
        <f t="shared" si="4"/>
        <v>13605394</v>
      </c>
    </row>
    <row r="86" spans="1:27" s="242" customFormat="1" ht="27" customHeight="1">
      <c r="A86" s="234" t="s">
        <v>172</v>
      </c>
      <c r="B86" s="257">
        <v>31</v>
      </c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531">
        <v>0</v>
      </c>
      <c r="O86" s="531"/>
      <c r="P86" s="254">
        <v>0</v>
      </c>
      <c r="Q86" s="253">
        <v>1632561</v>
      </c>
      <c r="R86" s="295">
        <v>85461455</v>
      </c>
      <c r="S86" s="240"/>
      <c r="T86" s="241"/>
      <c r="X86" s="238">
        <v>0</v>
      </c>
      <c r="Y86" s="353"/>
      <c r="AA86" s="239">
        <f t="shared" si="4"/>
        <v>0</v>
      </c>
    </row>
    <row r="87" spans="1:27" s="242" customFormat="1" ht="27" customHeight="1">
      <c r="A87" s="234" t="s">
        <v>160</v>
      </c>
      <c r="B87" s="251">
        <v>6</v>
      </c>
      <c r="C87" s="252"/>
      <c r="D87" s="254"/>
      <c r="E87" s="254"/>
      <c r="F87" s="252"/>
      <c r="G87" s="254"/>
      <c r="H87" s="252"/>
      <c r="I87" s="254"/>
      <c r="J87" s="256"/>
      <c r="K87" s="254"/>
      <c r="L87" s="254"/>
      <c r="M87" s="236"/>
      <c r="N87" s="578">
        <v>0</v>
      </c>
      <c r="O87" s="578"/>
      <c r="P87" s="236">
        <f>250000+4441300+690900</f>
        <v>5382200</v>
      </c>
      <c r="Q87" s="244">
        <v>254839</v>
      </c>
      <c r="R87" s="550">
        <v>16250886</v>
      </c>
      <c r="S87" s="240"/>
      <c r="T87" s="241"/>
      <c r="X87" s="238">
        <v>0</v>
      </c>
      <c r="Y87" s="353"/>
      <c r="AA87" s="239">
        <f t="shared" si="4"/>
        <v>5382200</v>
      </c>
    </row>
    <row r="88" spans="1:27" s="242" customFormat="1" ht="27" customHeight="1">
      <c r="A88" s="234" t="s">
        <v>90</v>
      </c>
      <c r="B88" s="251">
        <v>33</v>
      </c>
      <c r="C88" s="252"/>
      <c r="D88" s="254"/>
      <c r="E88" s="254"/>
      <c r="F88" s="252"/>
      <c r="G88" s="254"/>
      <c r="H88" s="252"/>
      <c r="I88" s="254"/>
      <c r="J88" s="256"/>
      <c r="K88" s="254"/>
      <c r="L88" s="254"/>
      <c r="M88" s="236"/>
      <c r="N88" s="578">
        <v>0</v>
      </c>
      <c r="O88" s="578"/>
      <c r="P88" s="236">
        <f>12790190+3829000+689130</f>
        <v>17308320</v>
      </c>
      <c r="Q88" s="244">
        <v>3997782</v>
      </c>
      <c r="R88" s="550">
        <v>108550853</v>
      </c>
      <c r="S88" s="240"/>
      <c r="T88" s="241"/>
      <c r="X88" s="238">
        <v>0</v>
      </c>
      <c r="Y88" s="353"/>
      <c r="AA88" s="239">
        <f t="shared" si="4"/>
        <v>17308320</v>
      </c>
    </row>
    <row r="89" spans="1:27" s="242" customFormat="1" ht="27" customHeight="1" thickBot="1">
      <c r="A89" s="234"/>
      <c r="B89" s="251"/>
      <c r="C89" s="252"/>
      <c r="D89" s="254"/>
      <c r="E89" s="254"/>
      <c r="F89" s="252"/>
      <c r="G89" s="254"/>
      <c r="H89" s="252"/>
      <c r="I89" s="254"/>
      <c r="J89" s="256"/>
      <c r="K89" s="254"/>
      <c r="L89" s="254"/>
      <c r="M89" s="260"/>
      <c r="N89" s="577"/>
      <c r="O89" s="524"/>
      <c r="P89" s="333"/>
      <c r="Q89" s="244"/>
      <c r="R89" s="238"/>
      <c r="S89" s="240"/>
      <c r="T89" s="241"/>
      <c r="X89" s="238"/>
      <c r="Y89" s="492"/>
      <c r="AA89" s="239">
        <f t="shared" si="4"/>
        <v>0</v>
      </c>
    </row>
    <row r="90" spans="1:27" ht="33.75" customHeight="1" thickTop="1" thickBot="1">
      <c r="A90" s="261" t="s">
        <v>3</v>
      </c>
      <c r="B90" s="262">
        <f t="shared" ref="B90:R90" si="5">SUM(B77:B89)</f>
        <v>256</v>
      </c>
      <c r="C90" s="262">
        <f t="shared" si="5"/>
        <v>0</v>
      </c>
      <c r="D90" s="262">
        <f t="shared" si="5"/>
        <v>0</v>
      </c>
      <c r="E90" s="262">
        <f t="shared" si="5"/>
        <v>0</v>
      </c>
      <c r="F90" s="262">
        <f t="shared" si="5"/>
        <v>0</v>
      </c>
      <c r="G90" s="262">
        <f t="shared" si="5"/>
        <v>0</v>
      </c>
      <c r="H90" s="262">
        <f t="shared" si="5"/>
        <v>0</v>
      </c>
      <c r="I90" s="262">
        <f t="shared" si="5"/>
        <v>0</v>
      </c>
      <c r="J90" s="262">
        <f t="shared" si="5"/>
        <v>0</v>
      </c>
      <c r="K90" s="262">
        <f t="shared" si="5"/>
        <v>0</v>
      </c>
      <c r="L90" s="262">
        <f t="shared" si="5"/>
        <v>0</v>
      </c>
      <c r="M90" s="262">
        <f t="shared" si="5"/>
        <v>0</v>
      </c>
      <c r="N90" s="262">
        <f t="shared" si="5"/>
        <v>102527</v>
      </c>
      <c r="O90" s="262">
        <f t="shared" si="5"/>
        <v>0</v>
      </c>
      <c r="P90" s="265">
        <f t="shared" si="5"/>
        <v>60023314</v>
      </c>
      <c r="Q90" s="265">
        <f t="shared" si="5"/>
        <v>34639603</v>
      </c>
      <c r="R90" s="265">
        <f t="shared" si="5"/>
        <v>667816919</v>
      </c>
      <c r="S90" s="266"/>
      <c r="T90" s="267" t="e">
        <f>#REF!/#REF!</f>
        <v>#REF!</v>
      </c>
      <c r="U90" s="215" t="s">
        <v>21</v>
      </c>
      <c r="W90" s="242"/>
      <c r="X90" s="265">
        <f>SUM(X78:X89)</f>
        <v>0</v>
      </c>
      <c r="AA90" s="239">
        <f t="shared" si="4"/>
        <v>60023314</v>
      </c>
    </row>
    <row r="91" spans="1:27" ht="17.25" customHeight="1" thickTop="1">
      <c r="A91" s="441"/>
      <c r="B91" s="566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T91" s="321"/>
    </row>
    <row r="92" spans="1:27" ht="17.25" customHeight="1">
      <c r="A92" s="336"/>
      <c r="B92" s="566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T92" s="321"/>
    </row>
    <row r="93" spans="1:27" ht="17.25" customHeight="1">
      <c r="A93" s="274"/>
      <c r="B93" s="442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T93" s="321"/>
    </row>
    <row r="94" spans="1:27" ht="17.25" customHeight="1">
      <c r="A94" s="274"/>
      <c r="B94" s="442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T94" s="321"/>
    </row>
    <row r="95" spans="1:27" ht="17.25" customHeight="1">
      <c r="A95" s="274"/>
      <c r="B95" s="442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 t="s">
        <v>144</v>
      </c>
      <c r="O95" s="275"/>
      <c r="P95" s="275"/>
      <c r="Q95" s="275"/>
      <c r="R95" s="275"/>
      <c r="T95" s="321"/>
    </row>
    <row r="96" spans="1:27" ht="17.25" customHeight="1">
      <c r="A96" s="336" t="s">
        <v>204</v>
      </c>
      <c r="B96" s="566"/>
      <c r="C96" s="337"/>
      <c r="D96" s="1173" t="s">
        <v>81</v>
      </c>
      <c r="E96" s="1173"/>
      <c r="F96" s="1173"/>
      <c r="G96" s="1173"/>
      <c r="H96" s="337"/>
      <c r="I96" s="337"/>
      <c r="J96" s="1173" t="s">
        <v>82</v>
      </c>
      <c r="K96" s="1173"/>
      <c r="L96" s="1173"/>
      <c r="M96" s="1173"/>
      <c r="N96" s="1173"/>
      <c r="O96" s="1173"/>
      <c r="P96" s="1173"/>
      <c r="Q96" s="1173"/>
      <c r="R96" s="1173"/>
      <c r="T96" s="321"/>
    </row>
    <row r="97" spans="1:27" ht="17.25" customHeight="1">
      <c r="A97" s="336"/>
      <c r="B97" s="566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T97" s="321"/>
    </row>
    <row r="98" spans="1:27" ht="17.25" customHeight="1">
      <c r="A98" s="336"/>
      <c r="B98" s="566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T98" s="321"/>
    </row>
    <row r="99" spans="1:27" ht="17.25" customHeight="1">
      <c r="A99" s="336"/>
      <c r="B99" s="566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T99" s="321"/>
    </row>
    <row r="100" spans="1:27" ht="17.25" customHeight="1">
      <c r="A100" s="336"/>
      <c r="B100" s="566"/>
      <c r="C100" s="337"/>
      <c r="D100" s="1173"/>
      <c r="E100" s="1173"/>
      <c r="F100" s="1173"/>
      <c r="G100" s="1173"/>
      <c r="H100" s="337"/>
      <c r="I100" s="337"/>
      <c r="J100" s="1173"/>
      <c r="K100" s="1173"/>
      <c r="L100" s="1173"/>
      <c r="M100" s="1173"/>
      <c r="N100" s="1173"/>
      <c r="O100" s="1173"/>
      <c r="P100" s="1173"/>
      <c r="Q100" s="1173"/>
      <c r="R100" s="1173"/>
      <c r="T100" s="321"/>
    </row>
    <row r="101" spans="1:27" ht="17.25" customHeight="1"/>
    <row r="102" spans="1:27" ht="17.25" customHeight="1"/>
    <row r="103" spans="1:27" ht="17.25" customHeight="1"/>
    <row r="104" spans="1:27" ht="17.25" customHeight="1">
      <c r="A104" s="215" t="s">
        <v>0</v>
      </c>
    </row>
    <row r="105" spans="1:27" ht="17.25" customHeight="1">
      <c r="A105" s="215" t="str">
        <f>A4</f>
        <v>DENOMINATION FOR JULI 2018</v>
      </c>
    </row>
    <row r="106" spans="1:27" ht="63.75" customHeight="1" thickBot="1"/>
    <row r="107" spans="1:27" ht="29.25" customHeight="1" thickTop="1">
      <c r="A107" s="1176" t="s">
        <v>1</v>
      </c>
      <c r="B107" s="1183" t="s">
        <v>15</v>
      </c>
      <c r="C107" s="219"/>
      <c r="D107" s="219"/>
      <c r="E107" s="220"/>
      <c r="F107" s="220"/>
      <c r="G107" s="220"/>
      <c r="H107" s="220"/>
      <c r="I107" s="220"/>
      <c r="J107" s="220"/>
      <c r="K107" s="220"/>
      <c r="L107" s="220"/>
      <c r="M107" s="574" t="str">
        <f>M6</f>
        <v>Pot.</v>
      </c>
      <c r="N107" s="568" t="s">
        <v>145</v>
      </c>
      <c r="O107" s="568" t="s">
        <v>253</v>
      </c>
      <c r="P107" s="1174" t="str">
        <f>P75</f>
        <v>TOTAL PREMI</v>
      </c>
      <c r="Q107" s="1174" t="str">
        <f>Q75</f>
        <v>TOTAL LEMBUR</v>
      </c>
      <c r="R107" s="1171" t="s">
        <v>3</v>
      </c>
      <c r="S107" s="221" t="s">
        <v>16</v>
      </c>
      <c r="T107" s="222" t="s">
        <v>18</v>
      </c>
      <c r="X107" s="1171" t="s">
        <v>259</v>
      </c>
    </row>
    <row r="108" spans="1:27" ht="29.25" customHeight="1" thickBot="1">
      <c r="A108" s="1177"/>
      <c r="B108" s="1184"/>
      <c r="C108" s="223">
        <v>100000</v>
      </c>
      <c r="D108" s="223">
        <v>50000</v>
      </c>
      <c r="E108" s="223">
        <v>20000</v>
      </c>
      <c r="F108" s="223">
        <v>10000</v>
      </c>
      <c r="G108" s="223">
        <v>5000</v>
      </c>
      <c r="H108" s="223">
        <v>1000</v>
      </c>
      <c r="I108" s="223">
        <v>500</v>
      </c>
      <c r="J108" s="223">
        <v>100</v>
      </c>
      <c r="K108" s="223">
        <v>50</v>
      </c>
      <c r="L108" s="223" t="s">
        <v>2</v>
      </c>
      <c r="M108" s="575" t="str">
        <f>M7</f>
        <v>Pinjaman</v>
      </c>
      <c r="N108" s="569" t="str">
        <f>N76</f>
        <v>(MASA JUNI  - 2018)</v>
      </c>
      <c r="O108" s="569" t="s">
        <v>254</v>
      </c>
      <c r="P108" s="1175"/>
      <c r="Q108" s="1175"/>
      <c r="R108" s="1172"/>
      <c r="S108" s="224"/>
      <c r="T108" s="225" t="s">
        <v>19</v>
      </c>
      <c r="X108" s="1172"/>
    </row>
    <row r="109" spans="1:27" ht="29.25" customHeight="1" thickTop="1">
      <c r="A109" s="268"/>
      <c r="B109" s="269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1"/>
      <c r="N109" s="271"/>
      <c r="O109" s="271"/>
      <c r="P109" s="271"/>
      <c r="Q109" s="271"/>
      <c r="R109" s="272"/>
      <c r="S109" s="232"/>
      <c r="T109" s="233"/>
      <c r="X109" s="272"/>
    </row>
    <row r="110" spans="1:27" s="242" customFormat="1" ht="29.25" customHeight="1">
      <c r="A110" s="234" t="s">
        <v>156</v>
      </c>
      <c r="B110" s="235">
        <v>38</v>
      </c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60"/>
      <c r="N110" s="577">
        <v>0</v>
      </c>
      <c r="O110" s="577"/>
      <c r="P110" s="260">
        <f>13448480+5676300+41420</f>
        <v>19166200</v>
      </c>
      <c r="Q110" s="260">
        <v>2285585</v>
      </c>
      <c r="R110" s="247">
        <v>121338196</v>
      </c>
      <c r="S110" s="273"/>
      <c r="T110" s="241"/>
      <c r="X110" s="247">
        <v>0</v>
      </c>
      <c r="Y110" s="353"/>
      <c r="AA110" s="239">
        <f t="shared" ref="AA110:AA121" si="6">P110+X110</f>
        <v>19166200</v>
      </c>
    </row>
    <row r="111" spans="1:27" s="242" customFormat="1" ht="29.25" customHeight="1">
      <c r="A111" s="234" t="s">
        <v>336</v>
      </c>
      <c r="B111" s="235">
        <v>4</v>
      </c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60"/>
      <c r="N111" s="577">
        <v>0</v>
      </c>
      <c r="O111" s="577"/>
      <c r="P111" s="260">
        <f>5449980+199500</f>
        <v>5649480</v>
      </c>
      <c r="Q111" s="260">
        <v>87604</v>
      </c>
      <c r="R111" s="247">
        <v>14058521</v>
      </c>
      <c r="S111" s="273"/>
      <c r="T111" s="241"/>
      <c r="X111" s="247">
        <v>0</v>
      </c>
      <c r="Y111" s="353"/>
      <c r="AA111" s="239">
        <f t="shared" si="6"/>
        <v>5649480</v>
      </c>
    </row>
    <row r="112" spans="1:27" s="242" customFormat="1" ht="29.25" customHeight="1">
      <c r="A112" s="234" t="s">
        <v>92</v>
      </c>
      <c r="B112" s="235">
        <v>37</v>
      </c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60"/>
      <c r="N112" s="577">
        <v>0</v>
      </c>
      <c r="O112" s="577"/>
      <c r="P112" s="260">
        <v>0</v>
      </c>
      <c r="Q112" s="260">
        <v>2827117</v>
      </c>
      <c r="R112" s="247">
        <v>101644093</v>
      </c>
      <c r="S112" s="240"/>
      <c r="T112" s="241"/>
      <c r="X112" s="247">
        <v>0</v>
      </c>
      <c r="Y112" s="353"/>
      <c r="AA112" s="239">
        <f t="shared" si="6"/>
        <v>0</v>
      </c>
    </row>
    <row r="113" spans="1:27" ht="29.25" customHeight="1">
      <c r="A113" s="234" t="s">
        <v>330</v>
      </c>
      <c r="B113" s="277">
        <v>6</v>
      </c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60"/>
      <c r="N113" s="577">
        <v>0</v>
      </c>
      <c r="O113" s="577"/>
      <c r="P113" s="260">
        <v>5068940</v>
      </c>
      <c r="Q113" s="260">
        <v>2755444</v>
      </c>
      <c r="R113" s="247">
        <v>24233404</v>
      </c>
      <c r="S113" s="258"/>
      <c r="T113" s="259"/>
      <c r="X113" s="247">
        <v>0</v>
      </c>
      <c r="AA113" s="239">
        <f t="shared" si="6"/>
        <v>5068940</v>
      </c>
    </row>
    <row r="114" spans="1:27" ht="29.25" customHeight="1">
      <c r="A114" s="234" t="s">
        <v>336</v>
      </c>
      <c r="B114" s="277">
        <v>8</v>
      </c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60"/>
      <c r="N114" s="577">
        <v>0</v>
      </c>
      <c r="O114" s="577"/>
      <c r="P114" s="260">
        <f>25120+308000</f>
        <v>333120</v>
      </c>
      <c r="Q114" s="260">
        <v>0</v>
      </c>
      <c r="R114" s="247">
        <v>1435297</v>
      </c>
      <c r="S114" s="258"/>
      <c r="T114" s="259"/>
      <c r="X114" s="247">
        <v>0</v>
      </c>
      <c r="AA114" s="239">
        <f t="shared" si="6"/>
        <v>333120</v>
      </c>
    </row>
    <row r="115" spans="1:27" s="242" customFormat="1" ht="29.25" customHeight="1">
      <c r="A115" s="234" t="s">
        <v>329</v>
      </c>
      <c r="B115" s="235">
        <v>5</v>
      </c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60"/>
      <c r="N115" s="577">
        <v>0</v>
      </c>
      <c r="O115" s="577"/>
      <c r="P115" s="260">
        <v>3572077</v>
      </c>
      <c r="Q115" s="260">
        <v>2190020</v>
      </c>
      <c r="R115" s="247">
        <v>19346291</v>
      </c>
      <c r="S115" s="240"/>
      <c r="T115" s="241"/>
      <c r="X115" s="247">
        <v>0</v>
      </c>
      <c r="Y115" s="353"/>
      <c r="AA115" s="239">
        <f t="shared" si="6"/>
        <v>3572077</v>
      </c>
    </row>
    <row r="116" spans="1:27" ht="29.25" customHeight="1">
      <c r="A116" s="234" t="s">
        <v>328</v>
      </c>
      <c r="B116" s="277">
        <v>23</v>
      </c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60"/>
      <c r="N116" s="577">
        <v>231826</v>
      </c>
      <c r="O116" s="577"/>
      <c r="P116" s="260">
        <f>13979590+3450200+345200+250000</f>
        <v>18024990</v>
      </c>
      <c r="Q116" s="260">
        <v>2078528</v>
      </c>
      <c r="R116" s="247">
        <v>79551516</v>
      </c>
      <c r="S116" s="258"/>
      <c r="T116" s="259"/>
      <c r="X116" s="247">
        <v>0</v>
      </c>
      <c r="AA116" s="239">
        <f t="shared" si="6"/>
        <v>18024990</v>
      </c>
    </row>
    <row r="117" spans="1:27" ht="29.25" customHeight="1">
      <c r="A117" s="234" t="s">
        <v>332</v>
      </c>
      <c r="B117" s="277">
        <v>10</v>
      </c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60"/>
      <c r="N117" s="577">
        <v>0</v>
      </c>
      <c r="O117" s="577"/>
      <c r="P117" s="260">
        <f>4540230+1295000</f>
        <v>5835230</v>
      </c>
      <c r="Q117" s="260">
        <v>3647379</v>
      </c>
      <c r="R117" s="247">
        <v>30561754</v>
      </c>
      <c r="S117" s="258"/>
      <c r="T117" s="259"/>
      <c r="X117" s="247">
        <v>0</v>
      </c>
      <c r="AA117" s="239">
        <f t="shared" si="6"/>
        <v>5835230</v>
      </c>
    </row>
    <row r="118" spans="1:27" ht="29.25" customHeight="1">
      <c r="A118" s="234" t="s">
        <v>407</v>
      </c>
      <c r="B118" s="277">
        <v>17</v>
      </c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60"/>
      <c r="N118" s="577">
        <v>0</v>
      </c>
      <c r="O118" s="577"/>
      <c r="P118" s="260">
        <v>0</v>
      </c>
      <c r="Q118" s="260">
        <v>0</v>
      </c>
      <c r="R118" s="247">
        <v>2342127</v>
      </c>
      <c r="S118" s="258"/>
      <c r="T118" s="259"/>
      <c r="X118" s="247">
        <v>0</v>
      </c>
      <c r="AA118" s="239">
        <f t="shared" si="6"/>
        <v>0</v>
      </c>
    </row>
    <row r="119" spans="1:27" s="242" customFormat="1" ht="29.25" customHeight="1">
      <c r="A119" s="234" t="s">
        <v>91</v>
      </c>
      <c r="B119" s="235">
        <v>33</v>
      </c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60"/>
      <c r="N119" s="577">
        <v>0</v>
      </c>
      <c r="O119" s="577"/>
      <c r="P119" s="260">
        <v>0</v>
      </c>
      <c r="Q119" s="260">
        <v>1393649</v>
      </c>
      <c r="R119" s="247">
        <v>90576848</v>
      </c>
      <c r="S119" s="240"/>
      <c r="T119" s="241"/>
      <c r="X119" s="247">
        <v>0</v>
      </c>
      <c r="Y119" s="353"/>
      <c r="AA119" s="239">
        <f t="shared" si="6"/>
        <v>0</v>
      </c>
    </row>
    <row r="120" spans="1:27" s="242" customFormat="1" ht="29.25" customHeight="1" thickBot="1">
      <c r="A120" s="279"/>
      <c r="B120" s="235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60"/>
      <c r="N120" s="577"/>
      <c r="O120" s="577"/>
      <c r="P120" s="260"/>
      <c r="Q120" s="260"/>
      <c r="R120" s="247"/>
      <c r="S120" s="240"/>
      <c r="T120" s="241"/>
      <c r="X120" s="247"/>
      <c r="Y120" s="353"/>
      <c r="AA120" s="239">
        <f t="shared" si="6"/>
        <v>0</v>
      </c>
    </row>
    <row r="121" spans="1:27" ht="29.25" customHeight="1" thickTop="1" thickBot="1">
      <c r="A121" s="261" t="s">
        <v>3</v>
      </c>
      <c r="B121" s="262">
        <f t="shared" ref="B121:R121" si="7">SUM(B109:B120)</f>
        <v>181</v>
      </c>
      <c r="C121" s="263">
        <f t="shared" si="7"/>
        <v>0</v>
      </c>
      <c r="D121" s="263">
        <f t="shared" si="7"/>
        <v>0</v>
      </c>
      <c r="E121" s="263">
        <f t="shared" si="7"/>
        <v>0</v>
      </c>
      <c r="F121" s="263">
        <f t="shared" si="7"/>
        <v>0</v>
      </c>
      <c r="G121" s="263">
        <f t="shared" si="7"/>
        <v>0</v>
      </c>
      <c r="H121" s="263">
        <f t="shared" si="7"/>
        <v>0</v>
      </c>
      <c r="I121" s="263">
        <f t="shared" si="7"/>
        <v>0</v>
      </c>
      <c r="J121" s="263">
        <f t="shared" si="7"/>
        <v>0</v>
      </c>
      <c r="K121" s="263">
        <f t="shared" si="7"/>
        <v>0</v>
      </c>
      <c r="L121" s="263">
        <f t="shared" si="7"/>
        <v>0</v>
      </c>
      <c r="M121" s="263">
        <f t="shared" si="7"/>
        <v>0</v>
      </c>
      <c r="N121" s="579">
        <f t="shared" si="7"/>
        <v>231826</v>
      </c>
      <c r="O121" s="264">
        <f t="shared" si="7"/>
        <v>0</v>
      </c>
      <c r="P121" s="265">
        <f t="shared" si="7"/>
        <v>57650037</v>
      </c>
      <c r="Q121" s="265">
        <f t="shared" si="7"/>
        <v>17265326</v>
      </c>
      <c r="R121" s="265">
        <f t="shared" si="7"/>
        <v>485088047</v>
      </c>
      <c r="S121" s="266"/>
      <c r="T121" s="280" t="e">
        <f>#REF!/#REF!</f>
        <v>#REF!</v>
      </c>
      <c r="U121" s="215" t="s">
        <v>21</v>
      </c>
      <c r="X121" s="265">
        <f>SUM(X110:X120)</f>
        <v>0</v>
      </c>
      <c r="AA121" s="239">
        <f t="shared" si="6"/>
        <v>57650037</v>
      </c>
    </row>
    <row r="122" spans="1:27" ht="17.25" customHeight="1" thickTop="1">
      <c r="A122" s="336"/>
      <c r="B122" s="566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T122" s="443"/>
    </row>
    <row r="123" spans="1:27" ht="17.25" customHeight="1">
      <c r="T123" s="443"/>
    </row>
    <row r="124" spans="1:27" ht="17.25" customHeight="1">
      <c r="B124" s="566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T124" s="443"/>
    </row>
    <row r="125" spans="1:27" ht="17.25" customHeight="1">
      <c r="A125" s="336"/>
      <c r="B125" s="566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T125" s="443"/>
    </row>
    <row r="126" spans="1:27" ht="17.25" customHeight="1">
      <c r="A126" s="336"/>
      <c r="B126" s="566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T126" s="443"/>
    </row>
    <row r="127" spans="1:27" ht="17.25" customHeight="1">
      <c r="A127" s="336"/>
      <c r="B127" s="566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T127" s="443"/>
    </row>
    <row r="128" spans="1:27" ht="17.25" customHeight="1">
      <c r="A128" s="336" t="s">
        <v>203</v>
      </c>
      <c r="B128" s="566"/>
      <c r="C128" s="337"/>
      <c r="D128" s="1173" t="s">
        <v>81</v>
      </c>
      <c r="E128" s="1173"/>
      <c r="F128" s="1173"/>
      <c r="G128" s="1173"/>
      <c r="H128" s="337"/>
      <c r="I128" s="337"/>
      <c r="J128" s="1173" t="s">
        <v>82</v>
      </c>
      <c r="K128" s="1173"/>
      <c r="L128" s="1173"/>
      <c r="M128" s="1173"/>
      <c r="N128" s="1173"/>
      <c r="O128" s="1173"/>
      <c r="P128" s="1173"/>
      <c r="Q128" s="1173"/>
      <c r="R128" s="1173"/>
      <c r="T128" s="443"/>
    </row>
    <row r="129" spans="1:27" ht="17.25" customHeight="1">
      <c r="A129" s="336"/>
      <c r="B129" s="566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T129" s="443"/>
    </row>
    <row r="130" spans="1:27" ht="17.25" customHeight="1">
      <c r="A130" s="336"/>
      <c r="B130" s="566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T130" s="443"/>
    </row>
    <row r="131" spans="1:27" ht="17.25" customHeight="1">
      <c r="A131" s="336"/>
      <c r="B131" s="566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T131" s="443"/>
    </row>
    <row r="132" spans="1:27" ht="17.25" customHeight="1">
      <c r="A132" s="336"/>
      <c r="B132" s="566"/>
      <c r="C132" s="337"/>
      <c r="D132" s="1173"/>
      <c r="E132" s="1173"/>
      <c r="F132" s="1173"/>
      <c r="G132" s="1173"/>
      <c r="H132" s="337"/>
      <c r="I132" s="337"/>
      <c r="J132" s="1173"/>
      <c r="K132" s="1173"/>
      <c r="L132" s="1173"/>
      <c r="M132" s="1173"/>
      <c r="N132" s="1173"/>
      <c r="O132" s="1173"/>
      <c r="P132" s="1173"/>
      <c r="Q132" s="1173"/>
      <c r="R132" s="1173"/>
      <c r="T132" s="443"/>
    </row>
    <row r="133" spans="1:27" ht="17.25" customHeight="1"/>
    <row r="134" spans="1:27" ht="24.75" customHeight="1"/>
    <row r="135" spans="1:27" ht="24.75" customHeight="1"/>
    <row r="136" spans="1:27" ht="24.75" customHeight="1">
      <c r="A136" s="215" t="s">
        <v>0</v>
      </c>
      <c r="N136" s="217" t="s">
        <v>144</v>
      </c>
    </row>
    <row r="137" spans="1:27" ht="24.75" customHeight="1">
      <c r="A137" s="215" t="str">
        <f>A4</f>
        <v>DENOMINATION FOR JULI 2018</v>
      </c>
    </row>
    <row r="138" spans="1:27" ht="63.75" customHeight="1" thickBot="1">
      <c r="A138" s="297"/>
      <c r="B138" s="298"/>
    </row>
    <row r="139" spans="1:27" ht="24.75" customHeight="1" thickTop="1">
      <c r="A139" s="1176" t="s">
        <v>1</v>
      </c>
      <c r="B139" s="1183" t="s">
        <v>15</v>
      </c>
      <c r="C139" s="219"/>
      <c r="D139" s="219"/>
      <c r="E139" s="220"/>
      <c r="F139" s="220"/>
      <c r="G139" s="220"/>
      <c r="H139" s="220"/>
      <c r="I139" s="220"/>
      <c r="J139" s="220"/>
      <c r="K139" s="220"/>
      <c r="L139" s="220"/>
      <c r="M139" s="574" t="str">
        <f>M6</f>
        <v>Pot.</v>
      </c>
      <c r="N139" s="568" t="s">
        <v>145</v>
      </c>
      <c r="O139" s="568" t="s">
        <v>253</v>
      </c>
      <c r="P139" s="1174" t="str">
        <f>P107</f>
        <v>TOTAL PREMI</v>
      </c>
      <c r="Q139" s="1174" t="str">
        <f>Q107</f>
        <v>TOTAL LEMBUR</v>
      </c>
      <c r="R139" s="1171" t="s">
        <v>3</v>
      </c>
      <c r="S139" s="221" t="s">
        <v>16</v>
      </c>
      <c r="T139" s="222" t="s">
        <v>18</v>
      </c>
      <c r="X139" s="1171" t="s">
        <v>259</v>
      </c>
    </row>
    <row r="140" spans="1:27" ht="24.75" customHeight="1" thickBot="1">
      <c r="A140" s="1177"/>
      <c r="B140" s="1184"/>
      <c r="C140" s="223">
        <v>100000</v>
      </c>
      <c r="D140" s="223">
        <v>50000</v>
      </c>
      <c r="E140" s="223">
        <v>20000</v>
      </c>
      <c r="F140" s="223">
        <v>10000</v>
      </c>
      <c r="G140" s="223">
        <v>5000</v>
      </c>
      <c r="H140" s="223">
        <v>1000</v>
      </c>
      <c r="I140" s="223">
        <v>500</v>
      </c>
      <c r="J140" s="223">
        <v>100</v>
      </c>
      <c r="K140" s="223">
        <v>50</v>
      </c>
      <c r="L140" s="223" t="s">
        <v>2</v>
      </c>
      <c r="M140" s="575" t="str">
        <f>M7</f>
        <v>Pinjaman</v>
      </c>
      <c r="N140" s="569" t="str">
        <f>N108</f>
        <v>(MASA JUNI  - 2018)</v>
      </c>
      <c r="O140" s="569" t="s">
        <v>254</v>
      </c>
      <c r="P140" s="1175"/>
      <c r="Q140" s="1175"/>
      <c r="R140" s="1172"/>
      <c r="S140" s="224"/>
      <c r="T140" s="225" t="s">
        <v>19</v>
      </c>
      <c r="W140" s="216"/>
      <c r="X140" s="1172"/>
    </row>
    <row r="141" spans="1:27" ht="24.75" customHeight="1" thickTop="1">
      <c r="A141" s="299" t="s">
        <v>144</v>
      </c>
      <c r="B141" s="572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1"/>
      <c r="N141" s="271"/>
      <c r="O141" s="271"/>
      <c r="P141" s="271"/>
      <c r="Q141" s="271"/>
      <c r="R141" s="272"/>
      <c r="S141" s="300"/>
      <c r="T141" s="301"/>
      <c r="X141" s="272"/>
    </row>
    <row r="142" spans="1:27" s="242" customFormat="1" ht="24.75" customHeight="1">
      <c r="A142" s="234" t="s">
        <v>178</v>
      </c>
      <c r="B142" s="235">
        <v>36</v>
      </c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60"/>
      <c r="N142" s="577">
        <v>98802</v>
      </c>
      <c r="O142" s="260"/>
      <c r="P142" s="260">
        <f>39081270</f>
        <v>39081270</v>
      </c>
      <c r="Q142" s="260">
        <v>2046673</v>
      </c>
      <c r="R142" s="247">
        <v>139630074</v>
      </c>
      <c r="S142" s="273"/>
      <c r="T142" s="241"/>
      <c r="X142" s="247">
        <v>0</v>
      </c>
      <c r="Y142" s="353"/>
      <c r="AA142" s="239">
        <f t="shared" ref="AA142:AA156" si="8">P142+X142</f>
        <v>39081270</v>
      </c>
    </row>
    <row r="143" spans="1:27" ht="24.75" customHeight="1">
      <c r="A143" s="234" t="s">
        <v>337</v>
      </c>
      <c r="B143" s="235">
        <v>2</v>
      </c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60"/>
      <c r="N143" s="577">
        <v>0</v>
      </c>
      <c r="O143" s="260"/>
      <c r="P143" s="260">
        <v>2770350</v>
      </c>
      <c r="Q143" s="260">
        <v>0</v>
      </c>
      <c r="R143" s="247">
        <v>7215799</v>
      </c>
      <c r="S143" s="258"/>
      <c r="T143" s="259"/>
      <c r="X143" s="247">
        <v>0</v>
      </c>
      <c r="AA143" s="239">
        <f t="shared" si="8"/>
        <v>2770350</v>
      </c>
    </row>
    <row r="144" spans="1:27" s="242" customFormat="1" ht="24.75" customHeight="1">
      <c r="A144" s="234" t="s">
        <v>104</v>
      </c>
      <c r="B144" s="235">
        <v>4</v>
      </c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60"/>
      <c r="N144" s="577">
        <v>55071</v>
      </c>
      <c r="O144" s="260"/>
      <c r="P144" s="260">
        <v>3890913</v>
      </c>
      <c r="Q144" s="260">
        <v>3050101</v>
      </c>
      <c r="R144" s="247">
        <v>17534063</v>
      </c>
      <c r="S144" s="240"/>
      <c r="T144" s="241"/>
      <c r="X144" s="247"/>
      <c r="Y144" s="353"/>
      <c r="AA144" s="239">
        <f t="shared" si="8"/>
        <v>3890913</v>
      </c>
    </row>
    <row r="145" spans="1:27" s="242" customFormat="1" ht="24.75" customHeight="1">
      <c r="A145" s="234" t="s">
        <v>179</v>
      </c>
      <c r="B145" s="235">
        <v>35</v>
      </c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93"/>
      <c r="N145" s="329">
        <v>0</v>
      </c>
      <c r="O145" s="294"/>
      <c r="P145" s="294">
        <v>617298</v>
      </c>
      <c r="Q145" s="294">
        <v>2413004</v>
      </c>
      <c r="R145" s="295">
        <v>97383160</v>
      </c>
      <c r="S145" s="240"/>
      <c r="T145" s="241"/>
      <c r="X145" s="295">
        <v>0</v>
      </c>
      <c r="Y145" s="353"/>
      <c r="AA145" s="239">
        <f t="shared" si="8"/>
        <v>617298</v>
      </c>
    </row>
    <row r="146" spans="1:27" ht="24.75" customHeight="1">
      <c r="A146" s="234" t="s">
        <v>183</v>
      </c>
      <c r="B146" s="235">
        <v>33</v>
      </c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60"/>
      <c r="N146" s="577">
        <v>0</v>
      </c>
      <c r="O146" s="260"/>
      <c r="P146" s="260">
        <v>2091038</v>
      </c>
      <c r="Q146" s="260">
        <v>2468749</v>
      </c>
      <c r="R146" s="247">
        <v>91257460</v>
      </c>
      <c r="S146" s="258"/>
      <c r="T146" s="259"/>
      <c r="X146" s="247">
        <v>0</v>
      </c>
      <c r="AA146" s="239">
        <f t="shared" si="8"/>
        <v>2091038</v>
      </c>
    </row>
    <row r="147" spans="1:27" s="242" customFormat="1" ht="24.75" customHeight="1">
      <c r="A147" s="234" t="s">
        <v>105</v>
      </c>
      <c r="B147" s="235">
        <v>4</v>
      </c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60"/>
      <c r="N147" s="577">
        <v>42506</v>
      </c>
      <c r="O147" s="260"/>
      <c r="P147" s="260">
        <v>4674225</v>
      </c>
      <c r="Q147" s="260">
        <v>2882862</v>
      </c>
      <c r="R147" s="247">
        <v>17970049</v>
      </c>
      <c r="S147" s="240"/>
      <c r="T147" s="241"/>
      <c r="X147" s="247">
        <v>0</v>
      </c>
      <c r="Y147" s="353"/>
      <c r="AA147" s="239">
        <f t="shared" si="8"/>
        <v>4674225</v>
      </c>
    </row>
    <row r="148" spans="1:27" s="242" customFormat="1" ht="24.75" customHeight="1">
      <c r="A148" s="234" t="s">
        <v>182</v>
      </c>
      <c r="B148" s="235">
        <v>28</v>
      </c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60"/>
      <c r="N148" s="577">
        <v>10789</v>
      </c>
      <c r="O148" s="260"/>
      <c r="P148" s="260">
        <v>16843470</v>
      </c>
      <c r="Q148" s="260">
        <v>1998889</v>
      </c>
      <c r="R148" s="247">
        <v>94919142</v>
      </c>
      <c r="S148" s="240"/>
      <c r="T148" s="241"/>
      <c r="X148" s="247">
        <v>0</v>
      </c>
      <c r="Y148" s="353"/>
      <c r="AA148" s="239">
        <f t="shared" si="8"/>
        <v>16843470</v>
      </c>
    </row>
    <row r="149" spans="1:27" s="242" customFormat="1" ht="24.75" customHeight="1">
      <c r="A149" s="234" t="s">
        <v>375</v>
      </c>
      <c r="B149" s="235">
        <v>23</v>
      </c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60"/>
      <c r="N149" s="577">
        <v>0</v>
      </c>
      <c r="O149" s="260"/>
      <c r="P149" s="260">
        <v>0</v>
      </c>
      <c r="Q149" s="260">
        <v>0</v>
      </c>
      <c r="R149" s="247">
        <v>3030988</v>
      </c>
      <c r="S149" s="240"/>
      <c r="T149" s="241"/>
      <c r="X149" s="247">
        <v>0</v>
      </c>
      <c r="Y149" s="353"/>
      <c r="AA149" s="239">
        <f t="shared" si="8"/>
        <v>0</v>
      </c>
    </row>
    <row r="150" spans="1:27" s="242" customFormat="1" ht="24.75" customHeight="1">
      <c r="A150" s="234" t="s">
        <v>375</v>
      </c>
      <c r="B150" s="235">
        <v>3</v>
      </c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60"/>
      <c r="N150" s="577">
        <v>0</v>
      </c>
      <c r="O150" s="260"/>
      <c r="P150" s="260">
        <v>903970</v>
      </c>
      <c r="Q150" s="260">
        <v>0</v>
      </c>
      <c r="R150" s="247">
        <v>7296599</v>
      </c>
      <c r="S150" s="240"/>
      <c r="T150" s="241"/>
      <c r="X150" s="247">
        <v>0</v>
      </c>
      <c r="Y150" s="353"/>
      <c r="AA150" s="239">
        <f t="shared" si="8"/>
        <v>903970</v>
      </c>
    </row>
    <row r="151" spans="1:27" s="242" customFormat="1" ht="24.75" customHeight="1">
      <c r="A151" s="234" t="s">
        <v>181</v>
      </c>
      <c r="B151" s="235">
        <v>29</v>
      </c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60"/>
      <c r="N151" s="577">
        <v>138595</v>
      </c>
      <c r="O151" s="260"/>
      <c r="P151" s="260">
        <f>28637300+459900</f>
        <v>29097200</v>
      </c>
      <c r="Q151" s="260">
        <v>1752017</v>
      </c>
      <c r="R151" s="247">
        <v>108392651</v>
      </c>
      <c r="S151" s="240"/>
      <c r="T151" s="241"/>
      <c r="X151" s="247">
        <v>0</v>
      </c>
      <c r="Y151" s="353"/>
      <c r="AA151" s="239">
        <f t="shared" si="8"/>
        <v>29097200</v>
      </c>
    </row>
    <row r="152" spans="1:27" s="242" customFormat="1" ht="24.75" customHeight="1">
      <c r="A152" s="234" t="s">
        <v>376</v>
      </c>
      <c r="B152" s="235">
        <v>17</v>
      </c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60"/>
      <c r="N152" s="577">
        <v>0</v>
      </c>
      <c r="O152" s="260"/>
      <c r="P152" s="260">
        <f>7891140+2047500</f>
        <v>9938640</v>
      </c>
      <c r="Q152" s="260">
        <v>0</v>
      </c>
      <c r="R152" s="247">
        <v>47109576</v>
      </c>
      <c r="S152" s="240"/>
      <c r="T152" s="241"/>
      <c r="X152" s="247">
        <v>0</v>
      </c>
      <c r="Y152" s="353"/>
      <c r="AA152" s="239">
        <f t="shared" si="8"/>
        <v>9938640</v>
      </c>
    </row>
    <row r="153" spans="1:27" s="242" customFormat="1" ht="24.75" customHeight="1">
      <c r="A153" s="234" t="s">
        <v>109</v>
      </c>
      <c r="B153" s="235">
        <v>4</v>
      </c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60"/>
      <c r="N153" s="577">
        <v>0</v>
      </c>
      <c r="O153" s="260"/>
      <c r="P153" s="260">
        <v>2206211</v>
      </c>
      <c r="Q153" s="260">
        <v>1672376</v>
      </c>
      <c r="R153" s="247">
        <v>13729122</v>
      </c>
      <c r="S153" s="240"/>
      <c r="T153" s="241"/>
      <c r="X153" s="247">
        <v>0</v>
      </c>
      <c r="Y153" s="353"/>
      <c r="AA153" s="239">
        <f t="shared" si="8"/>
        <v>2206211</v>
      </c>
    </row>
    <row r="154" spans="1:27" ht="24.75" customHeight="1">
      <c r="A154" s="234" t="s">
        <v>180</v>
      </c>
      <c r="B154" s="235">
        <v>35</v>
      </c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60"/>
      <c r="N154" s="577">
        <v>0</v>
      </c>
      <c r="O154" s="260"/>
      <c r="P154" s="260">
        <v>1058845</v>
      </c>
      <c r="Q154" s="260">
        <v>1767941</v>
      </c>
      <c r="R154" s="247">
        <v>98266924</v>
      </c>
      <c r="S154" s="258"/>
      <c r="T154" s="259"/>
      <c r="X154" s="247">
        <v>0</v>
      </c>
      <c r="AA154" s="239">
        <f t="shared" si="8"/>
        <v>1058845</v>
      </c>
    </row>
    <row r="155" spans="1:27" ht="24.75" customHeight="1" thickBot="1">
      <c r="A155" s="234"/>
      <c r="B155" s="235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302"/>
      <c r="N155" s="524"/>
      <c r="O155" s="302"/>
      <c r="P155" s="302"/>
      <c r="Q155" s="302"/>
      <c r="R155" s="247"/>
      <c r="S155" s="258"/>
      <c r="T155" s="259"/>
      <c r="X155" s="247"/>
      <c r="AA155" s="239">
        <f t="shared" si="8"/>
        <v>0</v>
      </c>
    </row>
    <row r="156" spans="1:27" ht="24.75" customHeight="1" thickTop="1" thickBot="1">
      <c r="A156" s="261" t="s">
        <v>3</v>
      </c>
      <c r="B156" s="262">
        <f>SUM(B141:B155)</f>
        <v>253</v>
      </c>
      <c r="C156" s="263">
        <f t="shared" ref="C156:Q156" si="9">SUM(C141:C155)</f>
        <v>0</v>
      </c>
      <c r="D156" s="263">
        <f t="shared" si="9"/>
        <v>0</v>
      </c>
      <c r="E156" s="263">
        <f t="shared" si="9"/>
        <v>0</v>
      </c>
      <c r="F156" s="263">
        <f t="shared" si="9"/>
        <v>0</v>
      </c>
      <c r="G156" s="263">
        <f t="shared" si="9"/>
        <v>0</v>
      </c>
      <c r="H156" s="263">
        <f t="shared" si="9"/>
        <v>0</v>
      </c>
      <c r="I156" s="263">
        <f t="shared" si="9"/>
        <v>0</v>
      </c>
      <c r="J156" s="263">
        <f t="shared" si="9"/>
        <v>0</v>
      </c>
      <c r="K156" s="263">
        <f t="shared" si="9"/>
        <v>0</v>
      </c>
      <c r="L156" s="263">
        <f t="shared" si="9"/>
        <v>0</v>
      </c>
      <c r="M156" s="263">
        <f t="shared" si="9"/>
        <v>0</v>
      </c>
      <c r="N156" s="262">
        <f>SUM(N141:N155)</f>
        <v>345763</v>
      </c>
      <c r="O156" s="263">
        <f>SUM(O141:O155)</f>
        <v>0</v>
      </c>
      <c r="P156" s="265">
        <f t="shared" si="9"/>
        <v>113173430</v>
      </c>
      <c r="Q156" s="265">
        <f t="shared" si="9"/>
        <v>20052612</v>
      </c>
      <c r="R156" s="265">
        <f>SUM(R141:R155)</f>
        <v>743735607</v>
      </c>
      <c r="S156" s="303"/>
      <c r="T156" s="280" t="e">
        <f>#REF!/#REF!</f>
        <v>#REF!</v>
      </c>
      <c r="U156" s="215" t="s">
        <v>21</v>
      </c>
      <c r="X156" s="265">
        <f>SUM(X142:X155)</f>
        <v>0</v>
      </c>
      <c r="AA156" s="239">
        <f t="shared" si="8"/>
        <v>113173430</v>
      </c>
    </row>
    <row r="157" spans="1:27" ht="17.25" customHeight="1" thickTop="1">
      <c r="S157" s="218"/>
      <c r="T157" s="443"/>
    </row>
    <row r="158" spans="1:27" ht="17.25" customHeight="1">
      <c r="S158" s="218"/>
      <c r="T158" s="443"/>
    </row>
    <row r="159" spans="1:27" ht="17.25" customHeight="1">
      <c r="S159" s="218"/>
      <c r="T159" s="443"/>
    </row>
    <row r="160" spans="1:27" ht="17.25" customHeight="1">
      <c r="S160" s="218"/>
      <c r="T160" s="443"/>
    </row>
    <row r="161" spans="1:27" ht="17.25" customHeight="1">
      <c r="S161" s="218"/>
      <c r="T161" s="443"/>
    </row>
    <row r="162" spans="1:27" ht="17.25" customHeight="1">
      <c r="A162" s="336" t="s">
        <v>202</v>
      </c>
      <c r="B162" s="566"/>
      <c r="C162" s="337"/>
      <c r="D162" s="1173" t="s">
        <v>81</v>
      </c>
      <c r="E162" s="1173"/>
      <c r="F162" s="1173"/>
      <c r="G162" s="1173"/>
      <c r="H162" s="337"/>
      <c r="I162" s="337"/>
      <c r="J162" s="1173" t="s">
        <v>82</v>
      </c>
      <c r="K162" s="1173"/>
      <c r="L162" s="1173"/>
      <c r="M162" s="1173"/>
      <c r="N162" s="1173"/>
      <c r="O162" s="1173"/>
      <c r="P162" s="1173"/>
      <c r="Q162" s="1173"/>
      <c r="R162" s="1173"/>
      <c r="S162" s="218"/>
      <c r="T162" s="443"/>
    </row>
    <row r="163" spans="1:27" ht="17.25" customHeight="1">
      <c r="A163" s="336"/>
      <c r="B163" s="566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218"/>
      <c r="T163" s="443"/>
    </row>
    <row r="164" spans="1:27" ht="17.25" customHeight="1">
      <c r="A164" s="336"/>
      <c r="B164" s="566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218"/>
      <c r="T164" s="443"/>
    </row>
    <row r="165" spans="1:27" ht="17.25" customHeight="1">
      <c r="A165" s="336"/>
      <c r="B165" s="566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218"/>
      <c r="T165" s="443"/>
    </row>
    <row r="166" spans="1:27" ht="17.25" customHeight="1">
      <c r="A166" s="336"/>
      <c r="B166" s="566"/>
      <c r="C166" s="337"/>
      <c r="D166" s="1173"/>
      <c r="E166" s="1173"/>
      <c r="F166" s="1173"/>
      <c r="G166" s="1173"/>
      <c r="H166" s="337"/>
      <c r="I166" s="337"/>
      <c r="J166" s="1173"/>
      <c r="K166" s="1173"/>
      <c r="L166" s="1173"/>
      <c r="M166" s="1173"/>
      <c r="N166" s="1173"/>
      <c r="O166" s="1173"/>
      <c r="P166" s="1173"/>
      <c r="Q166" s="1173"/>
      <c r="R166" s="1173"/>
    </row>
    <row r="167" spans="1:27" ht="24.75" customHeight="1"/>
    <row r="168" spans="1:27" ht="24.75" customHeight="1"/>
    <row r="169" spans="1:27" ht="24.75" customHeight="1">
      <c r="A169" s="215" t="s">
        <v>0</v>
      </c>
    </row>
    <row r="170" spans="1:27" ht="24.75" customHeight="1">
      <c r="A170" s="215" t="str">
        <f>A4</f>
        <v>DENOMINATION FOR JULI 2018</v>
      </c>
    </row>
    <row r="171" spans="1:27" ht="63.75" customHeight="1" thickBot="1">
      <c r="A171" s="297"/>
      <c r="B171" s="576"/>
    </row>
    <row r="172" spans="1:27" ht="24.75" customHeight="1" thickTop="1">
      <c r="A172" s="1176" t="s">
        <v>1</v>
      </c>
      <c r="B172" s="1183" t="s">
        <v>15</v>
      </c>
      <c r="C172" s="219"/>
      <c r="D172" s="219"/>
      <c r="E172" s="220"/>
      <c r="F172" s="220"/>
      <c r="G172" s="220"/>
      <c r="H172" s="220"/>
      <c r="I172" s="220"/>
      <c r="J172" s="220"/>
      <c r="K172" s="220"/>
      <c r="L172" s="220"/>
      <c r="M172" s="574" t="str">
        <f>M6</f>
        <v>Pot.</v>
      </c>
      <c r="N172" s="568" t="s">
        <v>145</v>
      </c>
      <c r="O172" s="568" t="s">
        <v>253</v>
      </c>
      <c r="P172" s="1174" t="str">
        <f>P139</f>
        <v>TOTAL PREMI</v>
      </c>
      <c r="Q172" s="1174" t="str">
        <f>Q139</f>
        <v>TOTAL LEMBUR</v>
      </c>
      <c r="R172" s="1171" t="s">
        <v>3</v>
      </c>
      <c r="S172" s="221" t="s">
        <v>16</v>
      </c>
      <c r="T172" s="222" t="s">
        <v>18</v>
      </c>
      <c r="X172" s="1171" t="s">
        <v>259</v>
      </c>
    </row>
    <row r="173" spans="1:27" ht="24.75" customHeight="1" thickBot="1">
      <c r="A173" s="1177"/>
      <c r="B173" s="1184"/>
      <c r="C173" s="223">
        <v>100000</v>
      </c>
      <c r="D173" s="223">
        <v>50000</v>
      </c>
      <c r="E173" s="223">
        <v>20000</v>
      </c>
      <c r="F173" s="223">
        <v>10000</v>
      </c>
      <c r="G173" s="223">
        <v>5000</v>
      </c>
      <c r="H173" s="223">
        <v>1000</v>
      </c>
      <c r="I173" s="223">
        <v>500</v>
      </c>
      <c r="J173" s="223">
        <v>100</v>
      </c>
      <c r="K173" s="223">
        <v>50</v>
      </c>
      <c r="L173" s="223" t="s">
        <v>2</v>
      </c>
      <c r="M173" s="575" t="str">
        <f>M7</f>
        <v>Pinjaman</v>
      </c>
      <c r="N173" s="569" t="str">
        <f>N140</f>
        <v>(MASA JUNI  - 2018)</v>
      </c>
      <c r="O173" s="569" t="s">
        <v>254</v>
      </c>
      <c r="P173" s="1175"/>
      <c r="Q173" s="1175"/>
      <c r="R173" s="1172"/>
      <c r="S173" s="224"/>
      <c r="T173" s="225" t="s">
        <v>19</v>
      </c>
      <c r="X173" s="1172"/>
    </row>
    <row r="174" spans="1:27" ht="24.75" customHeight="1" thickTop="1">
      <c r="A174" s="299"/>
      <c r="B174" s="269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7"/>
      <c r="N174" s="307"/>
      <c r="O174" s="307"/>
      <c r="P174" s="307"/>
      <c r="Q174" s="307"/>
      <c r="R174" s="308"/>
      <c r="S174" s="258"/>
      <c r="T174" s="259"/>
      <c r="X174" s="308"/>
    </row>
    <row r="175" spans="1:27" s="242" customFormat="1" ht="24.75" customHeight="1">
      <c r="A175" s="291" t="s">
        <v>113</v>
      </c>
      <c r="B175" s="292">
        <v>29</v>
      </c>
      <c r="C175" s="380"/>
      <c r="D175" s="293"/>
      <c r="E175" s="293"/>
      <c r="F175" s="293"/>
      <c r="G175" s="293"/>
      <c r="H175" s="293"/>
      <c r="I175" s="293"/>
      <c r="J175" s="293"/>
      <c r="K175" s="293"/>
      <c r="L175" s="293"/>
      <c r="M175" s="294"/>
      <c r="N175" s="329">
        <v>40465</v>
      </c>
      <c r="O175" s="329"/>
      <c r="P175" s="294">
        <f>19438595+9733500</f>
        <v>29172095</v>
      </c>
      <c r="Q175" s="294">
        <v>3965928</v>
      </c>
      <c r="R175" s="295">
        <v>110026128</v>
      </c>
      <c r="S175" s="240"/>
      <c r="T175" s="241"/>
      <c r="W175" s="353"/>
      <c r="X175" s="295">
        <v>0</v>
      </c>
      <c r="Y175" s="353"/>
      <c r="AA175" s="239">
        <f>P175+X175</f>
        <v>29172095</v>
      </c>
    </row>
    <row r="176" spans="1:27" s="242" customFormat="1" ht="24.75" customHeight="1">
      <c r="A176" s="309" t="s">
        <v>162</v>
      </c>
      <c r="B176" s="292">
        <v>38</v>
      </c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4"/>
      <c r="N176" s="329">
        <v>0</v>
      </c>
      <c r="O176" s="329"/>
      <c r="P176" s="294">
        <f>1362760+224000</f>
        <v>1586760</v>
      </c>
      <c r="Q176" s="294">
        <v>5502924</v>
      </c>
      <c r="R176" s="295">
        <v>110104070</v>
      </c>
      <c r="S176" s="240"/>
      <c r="T176" s="241"/>
      <c r="W176" s="353"/>
      <c r="X176" s="295">
        <v>0</v>
      </c>
      <c r="Y176" s="353"/>
      <c r="AA176" s="239">
        <f t="shared" ref="AA176:AA182" si="10">P176+X176</f>
        <v>1586760</v>
      </c>
    </row>
    <row r="177" spans="1:27" s="242" customFormat="1" ht="24.75" customHeight="1">
      <c r="A177" s="309" t="s">
        <v>266</v>
      </c>
      <c r="B177" s="292">
        <v>6</v>
      </c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4"/>
      <c r="N177" s="329">
        <v>29637</v>
      </c>
      <c r="O177" s="329"/>
      <c r="P177" s="294">
        <f>7390870+3173100</f>
        <v>10563970</v>
      </c>
      <c r="Q177" s="294">
        <v>1194557</v>
      </c>
      <c r="R177" s="295">
        <v>26663395</v>
      </c>
      <c r="S177" s="240"/>
      <c r="T177" s="241"/>
      <c r="W177" s="353"/>
      <c r="X177" s="295">
        <v>0</v>
      </c>
      <c r="Y177" s="353"/>
      <c r="AA177" s="239">
        <f t="shared" si="10"/>
        <v>10563970</v>
      </c>
    </row>
    <row r="178" spans="1:27" s="242" customFormat="1" ht="24.75" customHeight="1">
      <c r="A178" s="309" t="s">
        <v>224</v>
      </c>
      <c r="B178" s="292">
        <v>5</v>
      </c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4"/>
      <c r="N178" s="329">
        <v>0</v>
      </c>
      <c r="O178" s="329"/>
      <c r="P178" s="294">
        <v>5082945</v>
      </c>
      <c r="Q178" s="294">
        <v>2381149</v>
      </c>
      <c r="R178" s="295">
        <v>20929840</v>
      </c>
      <c r="S178" s="240"/>
      <c r="T178" s="241"/>
      <c r="W178" s="353"/>
      <c r="X178" s="295">
        <v>0</v>
      </c>
      <c r="Y178" s="353"/>
      <c r="AA178" s="239">
        <f t="shared" si="10"/>
        <v>5082945</v>
      </c>
    </row>
    <row r="179" spans="1:27" s="242" customFormat="1" ht="24.75" customHeight="1">
      <c r="A179" s="309" t="s">
        <v>112</v>
      </c>
      <c r="B179" s="292">
        <v>41</v>
      </c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4"/>
      <c r="N179" s="329">
        <v>165967</v>
      </c>
      <c r="O179" s="329"/>
      <c r="P179" s="294">
        <f>23896090+11253900+250000</f>
        <v>35399990</v>
      </c>
      <c r="Q179" s="294">
        <v>3312921</v>
      </c>
      <c r="R179" s="295">
        <v>155438228</v>
      </c>
      <c r="S179" s="240"/>
      <c r="T179" s="241"/>
      <c r="W179" s="353"/>
      <c r="X179" s="295">
        <v>11741500</v>
      </c>
      <c r="Y179" s="353"/>
      <c r="AA179" s="239">
        <f t="shared" si="10"/>
        <v>47141490</v>
      </c>
    </row>
    <row r="180" spans="1:27" s="242" customFormat="1" ht="24.75" customHeight="1">
      <c r="A180" s="291" t="s">
        <v>167</v>
      </c>
      <c r="B180" s="292">
        <v>29</v>
      </c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342"/>
      <c r="N180" s="530">
        <v>0</v>
      </c>
      <c r="O180" s="530"/>
      <c r="P180" s="342">
        <f>368865</f>
        <v>368865</v>
      </c>
      <c r="Q180" s="342">
        <v>1982964</v>
      </c>
      <c r="R180" s="318">
        <v>78635702</v>
      </c>
      <c r="S180" s="240"/>
      <c r="T180" s="241"/>
      <c r="W180" s="353"/>
      <c r="X180" s="318">
        <v>0</v>
      </c>
      <c r="Y180" s="353"/>
      <c r="AA180" s="239">
        <f t="shared" si="10"/>
        <v>368865</v>
      </c>
    </row>
    <row r="181" spans="1:27" s="242" customFormat="1" ht="24.75" customHeight="1">
      <c r="A181" s="309" t="s">
        <v>406</v>
      </c>
      <c r="B181" s="292">
        <v>1</v>
      </c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342"/>
      <c r="N181" s="530">
        <v>0</v>
      </c>
      <c r="O181" s="530"/>
      <c r="P181" s="342">
        <f>741300+138600</f>
        <v>879900</v>
      </c>
      <c r="Q181" s="342">
        <v>23891</v>
      </c>
      <c r="R181" s="318">
        <v>2033523</v>
      </c>
      <c r="S181" s="240"/>
      <c r="T181" s="241"/>
      <c r="W181" s="353"/>
      <c r="X181" s="318">
        <v>0</v>
      </c>
      <c r="Y181" s="353"/>
      <c r="AA181" s="239">
        <f t="shared" si="10"/>
        <v>879900</v>
      </c>
    </row>
    <row r="182" spans="1:27" s="242" customFormat="1" ht="24.75" customHeight="1">
      <c r="A182" s="291" t="s">
        <v>225</v>
      </c>
      <c r="B182" s="292">
        <v>6</v>
      </c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342"/>
      <c r="N182" s="530">
        <v>0</v>
      </c>
      <c r="O182" s="530"/>
      <c r="P182" s="342">
        <v>5577474</v>
      </c>
      <c r="Q182" s="342">
        <v>2580242</v>
      </c>
      <c r="R182" s="318">
        <v>24733238</v>
      </c>
      <c r="S182" s="240"/>
      <c r="T182" s="241"/>
      <c r="W182" s="353"/>
      <c r="X182" s="318">
        <v>0</v>
      </c>
      <c r="Y182" s="353"/>
      <c r="AA182" s="239">
        <f t="shared" si="10"/>
        <v>5577474</v>
      </c>
    </row>
    <row r="183" spans="1:27" s="242" customFormat="1" ht="24.75" customHeight="1" thickBot="1">
      <c r="A183" s="291"/>
      <c r="B183" s="292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342"/>
      <c r="N183" s="530"/>
      <c r="O183" s="530"/>
      <c r="P183" s="342"/>
      <c r="Q183" s="342"/>
      <c r="R183" s="318"/>
      <c r="S183" s="240"/>
      <c r="T183" s="241"/>
      <c r="W183" s="353"/>
      <c r="X183" s="318"/>
      <c r="Y183" s="353"/>
    </row>
    <row r="184" spans="1:27" ht="24.75" customHeight="1" thickTop="1" thickBot="1">
      <c r="A184" s="319" t="s">
        <v>3</v>
      </c>
      <c r="B184" s="414">
        <f>SUM(B174:B183)</f>
        <v>155</v>
      </c>
      <c r="C184" s="320">
        <f t="shared" ref="C184:M184" si="11">SUM(C174:C183)</f>
        <v>0</v>
      </c>
      <c r="D184" s="320">
        <f t="shared" si="11"/>
        <v>0</v>
      </c>
      <c r="E184" s="320">
        <f t="shared" si="11"/>
        <v>0</v>
      </c>
      <c r="F184" s="320">
        <f t="shared" si="11"/>
        <v>0</v>
      </c>
      <c r="G184" s="320">
        <f t="shared" si="11"/>
        <v>0</v>
      </c>
      <c r="H184" s="320">
        <f t="shared" si="11"/>
        <v>0</v>
      </c>
      <c r="I184" s="320">
        <f t="shared" si="11"/>
        <v>0</v>
      </c>
      <c r="J184" s="320">
        <f t="shared" si="11"/>
        <v>0</v>
      </c>
      <c r="K184" s="320">
        <f t="shared" si="11"/>
        <v>0</v>
      </c>
      <c r="L184" s="320">
        <f t="shared" si="11"/>
        <v>0</v>
      </c>
      <c r="M184" s="320">
        <f t="shared" si="11"/>
        <v>0</v>
      </c>
      <c r="N184" s="455">
        <f>SUM(N174:N183)</f>
        <v>236069</v>
      </c>
      <c r="O184" s="455">
        <f>SUM(O174:O183)</f>
        <v>0</v>
      </c>
      <c r="P184" s="413">
        <f>SUM(P174:P183)</f>
        <v>88631999</v>
      </c>
      <c r="Q184" s="413">
        <f>SUM(Q174:Q183)</f>
        <v>20944576</v>
      </c>
      <c r="R184" s="413">
        <f>SUM(R174:R183)</f>
        <v>528564124</v>
      </c>
      <c r="S184" s="266"/>
      <c r="T184" s="267" t="e">
        <f>#REF!/#REF!</f>
        <v>#REF!</v>
      </c>
      <c r="U184" s="215" t="s">
        <v>21</v>
      </c>
      <c r="X184" s="413">
        <f>SUM(X175:X183)</f>
        <v>11741500</v>
      </c>
      <c r="AA184" s="218">
        <f>SUM(AA175:AA183)</f>
        <v>100373499</v>
      </c>
    </row>
    <row r="185" spans="1:27" ht="17.25" customHeight="1" thickTop="1">
      <c r="A185" s="216"/>
      <c r="B185" s="278"/>
      <c r="T185" s="321"/>
    </row>
    <row r="186" spans="1:27" ht="17.25" customHeight="1">
      <c r="T186" s="321"/>
    </row>
    <row r="187" spans="1:27" ht="17.25" customHeight="1">
      <c r="A187" s="216" t="s">
        <v>144</v>
      </c>
      <c r="B187" s="278"/>
      <c r="T187" s="321"/>
    </row>
    <row r="188" spans="1:27" ht="17.25" customHeight="1">
      <c r="A188" s="216"/>
      <c r="B188" s="278"/>
      <c r="T188" s="321"/>
    </row>
    <row r="189" spans="1:27" ht="17.25" customHeight="1">
      <c r="A189" s="217"/>
      <c r="B189" s="278"/>
      <c r="T189" s="321"/>
    </row>
    <row r="190" spans="1:27" ht="17.25" customHeight="1">
      <c r="A190" s="336" t="s">
        <v>201</v>
      </c>
      <c r="B190" s="566"/>
      <c r="C190" s="337"/>
      <c r="D190" s="1173" t="s">
        <v>81</v>
      </c>
      <c r="E190" s="1173"/>
      <c r="F190" s="1173"/>
      <c r="G190" s="1173"/>
      <c r="H190" s="337"/>
      <c r="I190" s="337"/>
      <c r="J190" s="1173" t="s">
        <v>82</v>
      </c>
      <c r="K190" s="1173"/>
      <c r="L190" s="1173"/>
      <c r="M190" s="1173"/>
      <c r="N190" s="1173"/>
      <c r="O190" s="1173"/>
      <c r="P190" s="1173"/>
      <c r="Q190" s="1173"/>
      <c r="R190" s="1173"/>
      <c r="T190" s="321"/>
    </row>
    <row r="191" spans="1:27" ht="17.25" customHeight="1">
      <c r="A191" s="336"/>
      <c r="B191" s="566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T191" s="321"/>
    </row>
    <row r="192" spans="1:27" ht="17.25" customHeight="1">
      <c r="A192" s="336"/>
      <c r="B192" s="566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T192" s="321"/>
    </row>
    <row r="193" spans="1:27" ht="17.25" customHeight="1">
      <c r="A193" s="336"/>
      <c r="B193" s="566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T193" s="321"/>
    </row>
    <row r="194" spans="1:27" ht="17.25" customHeight="1">
      <c r="A194" s="336"/>
      <c r="B194" s="566"/>
      <c r="C194" s="337"/>
      <c r="D194" s="1173"/>
      <c r="E194" s="1173"/>
      <c r="F194" s="1173"/>
      <c r="G194" s="1173"/>
      <c r="H194" s="337"/>
      <c r="I194" s="337"/>
      <c r="J194" s="1173"/>
      <c r="K194" s="1173"/>
      <c r="L194" s="1173"/>
      <c r="M194" s="1173"/>
      <c r="N194" s="1173"/>
      <c r="O194" s="1173"/>
      <c r="P194" s="1173"/>
      <c r="Q194" s="1173"/>
      <c r="R194" s="1173"/>
      <c r="T194" s="321"/>
    </row>
    <row r="195" spans="1:27" ht="17.25" customHeight="1">
      <c r="A195" s="216"/>
      <c r="B195" s="278"/>
      <c r="T195" s="321"/>
    </row>
    <row r="196" spans="1:27" ht="17.25" customHeight="1">
      <c r="A196" s="216"/>
      <c r="B196" s="278"/>
      <c r="T196" s="321"/>
    </row>
    <row r="197" spans="1:27" ht="27.75" customHeight="1">
      <c r="A197" s="215" t="s">
        <v>0</v>
      </c>
      <c r="B197" s="278"/>
      <c r="T197" s="321"/>
    </row>
    <row r="198" spans="1:27" ht="27.75" customHeight="1">
      <c r="A198" s="215" t="str">
        <f>A4</f>
        <v>DENOMINATION FOR JULI 2018</v>
      </c>
      <c r="B198" s="278"/>
      <c r="T198" s="321"/>
    </row>
    <row r="199" spans="1:27" ht="63.75" customHeight="1" thickBot="1">
      <c r="A199" s="297"/>
    </row>
    <row r="200" spans="1:27" ht="27.75" customHeight="1" thickTop="1">
      <c r="A200" s="1176" t="s">
        <v>1</v>
      </c>
      <c r="B200" s="1183" t="s">
        <v>15</v>
      </c>
      <c r="C200" s="219"/>
      <c r="D200" s="219"/>
      <c r="E200" s="220"/>
      <c r="F200" s="220"/>
      <c r="G200" s="220"/>
      <c r="H200" s="220"/>
      <c r="I200" s="220"/>
      <c r="J200" s="220"/>
      <c r="K200" s="220"/>
      <c r="L200" s="220"/>
      <c r="M200" s="574" t="str">
        <f>M6</f>
        <v>Pot.</v>
      </c>
      <c r="N200" s="568" t="s">
        <v>145</v>
      </c>
      <c r="O200" s="568" t="s">
        <v>253</v>
      </c>
      <c r="P200" s="1174" t="str">
        <f>P172</f>
        <v>TOTAL PREMI</v>
      </c>
      <c r="Q200" s="1174" t="str">
        <f>Q172</f>
        <v>TOTAL LEMBUR</v>
      </c>
      <c r="R200" s="1171" t="s">
        <v>3</v>
      </c>
      <c r="X200" s="1171" t="s">
        <v>259</v>
      </c>
    </row>
    <row r="201" spans="1:27" ht="27.75" customHeight="1" thickBot="1">
      <c r="A201" s="1177"/>
      <c r="B201" s="1184"/>
      <c r="C201" s="223">
        <v>100000</v>
      </c>
      <c r="D201" s="223">
        <v>50000</v>
      </c>
      <c r="E201" s="223">
        <v>20000</v>
      </c>
      <c r="F201" s="223">
        <v>10000</v>
      </c>
      <c r="G201" s="223">
        <v>5000</v>
      </c>
      <c r="H201" s="223">
        <v>1000</v>
      </c>
      <c r="I201" s="223">
        <v>500</v>
      </c>
      <c r="J201" s="223">
        <v>100</v>
      </c>
      <c r="K201" s="223">
        <v>50</v>
      </c>
      <c r="L201" s="223" t="s">
        <v>2</v>
      </c>
      <c r="M201" s="575" t="str">
        <f>M7</f>
        <v>Pinjaman</v>
      </c>
      <c r="N201" s="569" t="str">
        <f>N173</f>
        <v>(MASA JUNI  - 2018)</v>
      </c>
      <c r="O201" s="569" t="s">
        <v>254</v>
      </c>
      <c r="P201" s="1175"/>
      <c r="Q201" s="1175"/>
      <c r="R201" s="1172"/>
      <c r="X201" s="1172"/>
    </row>
    <row r="202" spans="1:27" ht="27.75" customHeight="1" thickTop="1">
      <c r="A202" s="287"/>
      <c r="B202" s="269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7"/>
      <c r="N202" s="307"/>
      <c r="O202" s="307"/>
      <c r="P202" s="307"/>
      <c r="Q202" s="307"/>
      <c r="R202" s="308"/>
      <c r="X202" s="308"/>
    </row>
    <row r="203" spans="1:27" s="242" customFormat="1" ht="27.75" customHeight="1">
      <c r="A203" s="287" t="s">
        <v>108</v>
      </c>
      <c r="B203" s="292">
        <v>30</v>
      </c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89"/>
      <c r="N203" s="521">
        <v>26975</v>
      </c>
      <c r="O203" s="289"/>
      <c r="P203" s="289">
        <f>18293500+11662700</f>
        <v>29956200</v>
      </c>
      <c r="Q203" s="289">
        <v>1791835</v>
      </c>
      <c r="R203" s="290">
        <v>120183857</v>
      </c>
      <c r="X203" s="290">
        <v>10877000</v>
      </c>
      <c r="Y203" s="353"/>
      <c r="AA203" s="239">
        <f>P203+X203</f>
        <v>40833200</v>
      </c>
    </row>
    <row r="204" spans="1:27" s="242" customFormat="1" ht="27.75" customHeight="1">
      <c r="A204" s="291" t="s">
        <v>114</v>
      </c>
      <c r="B204" s="292">
        <v>49</v>
      </c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89"/>
      <c r="N204" s="521">
        <v>0</v>
      </c>
      <c r="O204" s="289"/>
      <c r="P204" s="289">
        <f>1062210+682500+289200+30910+160000</f>
        <v>2224820</v>
      </c>
      <c r="Q204" s="289">
        <v>5486996</v>
      </c>
      <c r="R204" s="290">
        <v>136922010</v>
      </c>
      <c r="X204" s="290">
        <v>98500</v>
      </c>
      <c r="Y204" s="353"/>
      <c r="AA204" s="239">
        <f t="shared" ref="AA204:AA211" si="12">P204+X204</f>
        <v>2323320</v>
      </c>
    </row>
    <row r="205" spans="1:27" s="242" customFormat="1" ht="27.75" customHeight="1">
      <c r="A205" s="291" t="s">
        <v>222</v>
      </c>
      <c r="B205" s="292">
        <v>5</v>
      </c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89"/>
      <c r="N205" s="521">
        <v>257541</v>
      </c>
      <c r="O205" s="289"/>
      <c r="P205" s="289">
        <f>122689+7418100+858000+626010</f>
        <v>9024799</v>
      </c>
      <c r="Q205" s="289">
        <v>3695161</v>
      </c>
      <c r="R205" s="290">
        <v>26180257</v>
      </c>
      <c r="X205" s="290">
        <v>0</v>
      </c>
      <c r="Y205" s="353"/>
      <c r="AA205" s="239">
        <f t="shared" si="12"/>
        <v>9024799</v>
      </c>
    </row>
    <row r="206" spans="1:27" ht="27.75" customHeight="1">
      <c r="A206" s="287" t="s">
        <v>333</v>
      </c>
      <c r="B206" s="292">
        <v>16</v>
      </c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89"/>
      <c r="N206" s="521">
        <v>0</v>
      </c>
      <c r="O206" s="289"/>
      <c r="P206" s="289">
        <f>8660200+5579700</f>
        <v>14239900</v>
      </c>
      <c r="Q206" s="289">
        <v>0</v>
      </c>
      <c r="R206" s="290">
        <v>47994888</v>
      </c>
      <c r="X206" s="290">
        <v>607000</v>
      </c>
      <c r="AA206" s="239">
        <f t="shared" si="12"/>
        <v>14846900</v>
      </c>
    </row>
    <row r="207" spans="1:27" s="242" customFormat="1" ht="27.75" customHeight="1">
      <c r="A207" s="291" t="s">
        <v>107</v>
      </c>
      <c r="B207" s="292">
        <v>34</v>
      </c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89"/>
      <c r="N207" s="521">
        <v>0</v>
      </c>
      <c r="O207" s="289"/>
      <c r="P207" s="289">
        <v>0</v>
      </c>
      <c r="Q207" s="289">
        <v>3691180</v>
      </c>
      <c r="R207" s="290">
        <v>92401264</v>
      </c>
      <c r="X207" s="290">
        <v>0</v>
      </c>
      <c r="Y207" s="353"/>
      <c r="AA207" s="239">
        <f t="shared" si="12"/>
        <v>0</v>
      </c>
    </row>
    <row r="208" spans="1:27" ht="27.75" customHeight="1">
      <c r="A208" s="287" t="s">
        <v>106</v>
      </c>
      <c r="B208" s="292">
        <v>34</v>
      </c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89"/>
      <c r="N208" s="521">
        <v>121799</v>
      </c>
      <c r="O208" s="289"/>
      <c r="P208" s="289">
        <f>13952310+4760000+250000</f>
        <v>18962310</v>
      </c>
      <c r="Q208" s="289">
        <v>1576815</v>
      </c>
      <c r="R208" s="290">
        <v>105126462</v>
      </c>
      <c r="X208" s="290">
        <v>0</v>
      </c>
      <c r="AA208" s="239">
        <f t="shared" si="12"/>
        <v>18962310</v>
      </c>
    </row>
    <row r="209" spans="1:27" ht="27.75" customHeight="1">
      <c r="A209" s="287" t="s">
        <v>331</v>
      </c>
      <c r="B209" s="292">
        <v>26</v>
      </c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89"/>
      <c r="N209" s="521">
        <v>1091</v>
      </c>
      <c r="O209" s="289"/>
      <c r="P209" s="289">
        <f>13626950+4404400+1206000</f>
        <v>19237350</v>
      </c>
      <c r="Q209" s="289">
        <v>700806</v>
      </c>
      <c r="R209" s="290">
        <v>63776175</v>
      </c>
      <c r="X209" s="290">
        <v>0</v>
      </c>
      <c r="AA209" s="239">
        <f t="shared" si="12"/>
        <v>19237350</v>
      </c>
    </row>
    <row r="210" spans="1:27" ht="27.75" customHeight="1">
      <c r="A210" s="291" t="s">
        <v>404</v>
      </c>
      <c r="B210" s="292">
        <v>7</v>
      </c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89"/>
      <c r="N210" s="521">
        <v>0</v>
      </c>
      <c r="O210" s="289"/>
      <c r="P210" s="289">
        <v>0</v>
      </c>
      <c r="Q210" s="289">
        <v>0</v>
      </c>
      <c r="R210" s="290">
        <v>2507454</v>
      </c>
      <c r="X210" s="290">
        <v>0</v>
      </c>
      <c r="AA210" s="239">
        <f t="shared" si="12"/>
        <v>0</v>
      </c>
    </row>
    <row r="211" spans="1:27" ht="27.75" customHeight="1">
      <c r="A211" s="291" t="s">
        <v>221</v>
      </c>
      <c r="B211" s="292">
        <v>7</v>
      </c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89"/>
      <c r="N211" s="521">
        <v>80570</v>
      </c>
      <c r="O211" s="289"/>
      <c r="P211" s="289">
        <f>46926+4435650+20000+181650+253660</f>
        <v>4937886</v>
      </c>
      <c r="Q211" s="289">
        <v>3113811</v>
      </c>
      <c r="R211" s="290">
        <v>26830628</v>
      </c>
      <c r="X211" s="290">
        <v>0</v>
      </c>
      <c r="AA211" s="239">
        <f t="shared" si="12"/>
        <v>4937886</v>
      </c>
    </row>
    <row r="212" spans="1:27" ht="27.75" customHeight="1" thickBot="1">
      <c r="A212" s="268"/>
      <c r="B212" s="547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1"/>
      <c r="N212" s="537"/>
      <c r="O212" s="271"/>
      <c r="P212" s="271"/>
      <c r="Q212" s="271"/>
      <c r="R212" s="272"/>
      <c r="X212" s="272"/>
    </row>
    <row r="213" spans="1:27" ht="27.75" customHeight="1" thickTop="1" thickBot="1">
      <c r="A213" s="319" t="s">
        <v>3</v>
      </c>
      <c r="B213" s="414">
        <f>SUM(B202:B212)</f>
        <v>208</v>
      </c>
      <c r="C213" s="320">
        <f t="shared" ref="C213:M213" si="13">SUM(C202:C207)</f>
        <v>0</v>
      </c>
      <c r="D213" s="320">
        <f t="shared" si="13"/>
        <v>0</v>
      </c>
      <c r="E213" s="320">
        <f t="shared" si="13"/>
        <v>0</v>
      </c>
      <c r="F213" s="320">
        <f t="shared" si="13"/>
        <v>0</v>
      </c>
      <c r="G213" s="320">
        <f t="shared" si="13"/>
        <v>0</v>
      </c>
      <c r="H213" s="320">
        <f t="shared" si="13"/>
        <v>0</v>
      </c>
      <c r="I213" s="320">
        <f t="shared" si="13"/>
        <v>0</v>
      </c>
      <c r="J213" s="320">
        <f t="shared" si="13"/>
        <v>0</v>
      </c>
      <c r="K213" s="320">
        <f t="shared" si="13"/>
        <v>0</v>
      </c>
      <c r="L213" s="320">
        <f t="shared" si="13"/>
        <v>0</v>
      </c>
      <c r="M213" s="320">
        <f t="shared" si="13"/>
        <v>0</v>
      </c>
      <c r="N213" s="414">
        <f>SUM(N202:N212)</f>
        <v>487976</v>
      </c>
      <c r="O213" s="320">
        <f>SUM(O202:O211)</f>
        <v>0</v>
      </c>
      <c r="P213" s="320">
        <f>SUM(P202:P212)</f>
        <v>98583265</v>
      </c>
      <c r="Q213" s="320">
        <f>SUM(Q202:Q212)</f>
        <v>20056604</v>
      </c>
      <c r="R213" s="413">
        <f>SUM(R202:R212)</f>
        <v>621922995</v>
      </c>
      <c r="S213" s="217" t="e">
        <f>#REF!+#REF!+#REF!+#REF!+#REF!+#REF!</f>
        <v>#REF!</v>
      </c>
      <c r="T213" s="217" t="e">
        <f>#REF!+#REF!+#REF!+#REF!+#REF!+#REF!</f>
        <v>#REF!</v>
      </c>
      <c r="U213" s="217" t="e">
        <f>#REF!+#REF!+#REF!+#REF!+#REF!+#REF!</f>
        <v>#REF!</v>
      </c>
      <c r="V213" s="217" t="e">
        <f>#REF!+#REF!+#REF!+#REF!+#REF!+#REF!</f>
        <v>#REF!</v>
      </c>
      <c r="W213" s="217"/>
      <c r="X213" s="413">
        <f>SUM(X203:X212)</f>
        <v>11582500</v>
      </c>
      <c r="Y213" s="492"/>
      <c r="AA213" s="218">
        <f>SUM(AA203:AA212)</f>
        <v>110165765</v>
      </c>
    </row>
    <row r="214" spans="1:27" ht="17.25" customHeight="1" thickTop="1">
      <c r="A214" s="216"/>
      <c r="B214" s="278"/>
      <c r="S214" s="217"/>
      <c r="T214" s="217"/>
      <c r="U214" s="217"/>
      <c r="V214" s="217"/>
      <c r="W214" s="217"/>
      <c r="X214" s="492"/>
      <c r="Y214" s="492"/>
    </row>
    <row r="215" spans="1:27" ht="17.25" customHeight="1">
      <c r="S215" s="217"/>
      <c r="T215" s="217"/>
      <c r="U215" s="217"/>
      <c r="V215" s="217"/>
      <c r="W215" s="217"/>
      <c r="X215" s="492"/>
      <c r="Y215" s="492"/>
    </row>
    <row r="216" spans="1:27" ht="17.25" customHeight="1">
      <c r="A216" s="216"/>
      <c r="B216" s="278"/>
      <c r="S216" s="217"/>
      <c r="T216" s="217"/>
      <c r="U216" s="217"/>
      <c r="V216" s="217"/>
      <c r="W216" s="217"/>
      <c r="X216" s="492"/>
      <c r="Y216" s="492"/>
    </row>
    <row r="217" spans="1:27" ht="17.25" customHeight="1">
      <c r="S217" s="217"/>
      <c r="T217" s="217"/>
      <c r="U217" s="217"/>
      <c r="V217" s="217"/>
      <c r="W217" s="217"/>
      <c r="X217" s="492"/>
      <c r="Y217" s="492"/>
    </row>
    <row r="218" spans="1:27" ht="17.25" customHeight="1">
      <c r="A218" s="216"/>
      <c r="B218" s="278"/>
      <c r="S218" s="217"/>
      <c r="T218" s="217"/>
      <c r="U218" s="217"/>
      <c r="V218" s="217"/>
      <c r="W218" s="217"/>
      <c r="X218" s="492"/>
      <c r="Y218" s="492"/>
    </row>
    <row r="219" spans="1:27" ht="17.25" customHeight="1">
      <c r="A219" s="336" t="s">
        <v>200</v>
      </c>
      <c r="B219" s="566"/>
      <c r="C219" s="337"/>
      <c r="D219" s="1173" t="s">
        <v>81</v>
      </c>
      <c r="E219" s="1173"/>
      <c r="F219" s="1173"/>
      <c r="G219" s="1173"/>
      <c r="H219" s="337"/>
      <c r="I219" s="337"/>
      <c r="J219" s="1173" t="s">
        <v>82</v>
      </c>
      <c r="K219" s="1173"/>
      <c r="L219" s="1173"/>
      <c r="M219" s="1173"/>
      <c r="N219" s="1173"/>
      <c r="O219" s="1173"/>
      <c r="P219" s="1173"/>
      <c r="Q219" s="1173"/>
      <c r="R219" s="1173"/>
      <c r="S219" s="217"/>
      <c r="T219" s="217"/>
      <c r="U219" s="217"/>
      <c r="V219" s="217"/>
      <c r="W219" s="217"/>
      <c r="X219" s="492"/>
      <c r="Y219" s="492"/>
    </row>
    <row r="220" spans="1:27" ht="17.25" customHeight="1">
      <c r="A220" s="336"/>
      <c r="B220" s="566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217"/>
      <c r="T220" s="217"/>
      <c r="U220" s="217"/>
      <c r="V220" s="217"/>
      <c r="W220" s="217"/>
      <c r="X220" s="492"/>
      <c r="Y220" s="492"/>
    </row>
    <row r="221" spans="1:27" ht="17.25" customHeight="1">
      <c r="A221" s="336"/>
      <c r="B221" s="566"/>
      <c r="C221" s="337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337"/>
      <c r="R221" s="337"/>
      <c r="S221" s="217"/>
      <c r="T221" s="217"/>
      <c r="U221" s="217"/>
      <c r="V221" s="217"/>
      <c r="W221" s="217"/>
      <c r="X221" s="492"/>
      <c r="Y221" s="492"/>
    </row>
    <row r="222" spans="1:27" ht="17.25" customHeight="1">
      <c r="A222" s="336"/>
      <c r="B222" s="566"/>
      <c r="C222" s="337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N222" s="337"/>
      <c r="O222" s="337"/>
      <c r="P222" s="337"/>
      <c r="Q222" s="337"/>
      <c r="R222" s="337"/>
      <c r="S222" s="217"/>
      <c r="T222" s="217"/>
      <c r="U222" s="217"/>
      <c r="V222" s="217"/>
      <c r="W222" s="217"/>
      <c r="X222" s="492"/>
      <c r="Y222" s="492"/>
    </row>
    <row r="223" spans="1:27" ht="17.25" customHeight="1">
      <c r="A223" s="336"/>
      <c r="B223" s="566"/>
      <c r="C223" s="337"/>
      <c r="D223" s="1173"/>
      <c r="E223" s="1173"/>
      <c r="F223" s="1173"/>
      <c r="G223" s="1173"/>
      <c r="H223" s="337"/>
      <c r="I223" s="337"/>
      <c r="J223" s="1173"/>
      <c r="K223" s="1173"/>
      <c r="L223" s="1173"/>
      <c r="M223" s="1173"/>
      <c r="N223" s="1173"/>
      <c r="O223" s="1173"/>
      <c r="P223" s="1173"/>
      <c r="Q223" s="1173"/>
      <c r="R223" s="1173"/>
      <c r="S223" s="217"/>
      <c r="T223" s="217"/>
      <c r="U223" s="217"/>
      <c r="V223" s="217"/>
      <c r="W223" s="217"/>
      <c r="X223" s="492"/>
      <c r="Y223" s="492"/>
    </row>
    <row r="224" spans="1:27" ht="17.25" customHeight="1">
      <c r="A224" s="216"/>
      <c r="B224" s="278"/>
    </row>
    <row r="225" spans="1:27" ht="23.25" customHeight="1"/>
    <row r="226" spans="1:27" ht="23.25" customHeight="1"/>
    <row r="227" spans="1:27" ht="23.25" customHeight="1">
      <c r="A227" s="215" t="s">
        <v>0</v>
      </c>
    </row>
    <row r="228" spans="1:27" ht="23.25" customHeight="1">
      <c r="A228" s="215" t="str">
        <f>A198</f>
        <v>DENOMINATION FOR JULI 2018</v>
      </c>
    </row>
    <row r="229" spans="1:27" ht="63.75" customHeight="1" thickBot="1">
      <c r="A229" s="297"/>
    </row>
    <row r="230" spans="1:27" ht="28.5" customHeight="1" thickTop="1">
      <c r="A230" s="1176" t="s">
        <v>1</v>
      </c>
      <c r="B230" s="1183" t="s">
        <v>15</v>
      </c>
      <c r="C230" s="219"/>
      <c r="D230" s="219"/>
      <c r="E230" s="220"/>
      <c r="F230" s="220"/>
      <c r="G230" s="220"/>
      <c r="H230" s="220"/>
      <c r="I230" s="220"/>
      <c r="J230" s="220"/>
      <c r="K230" s="220"/>
      <c r="L230" s="220"/>
      <c r="M230" s="574" t="str">
        <f>M6</f>
        <v>Pot.</v>
      </c>
      <c r="N230" s="568" t="s">
        <v>145</v>
      </c>
      <c r="O230" s="568" t="s">
        <v>253</v>
      </c>
      <c r="P230" s="1174" t="str">
        <f>P200</f>
        <v>TOTAL PREMI</v>
      </c>
      <c r="Q230" s="1174" t="str">
        <f>Q200</f>
        <v>TOTAL LEMBUR</v>
      </c>
      <c r="R230" s="1171" t="s">
        <v>3</v>
      </c>
      <c r="S230" s="304" t="s">
        <v>16</v>
      </c>
      <c r="T230" s="222" t="s">
        <v>18</v>
      </c>
      <c r="X230" s="1171" t="s">
        <v>259</v>
      </c>
    </row>
    <row r="231" spans="1:27" ht="28.5" customHeight="1" thickBot="1">
      <c r="A231" s="1177"/>
      <c r="B231" s="1184"/>
      <c r="C231" s="223">
        <v>100000</v>
      </c>
      <c r="D231" s="223">
        <v>50000</v>
      </c>
      <c r="E231" s="223">
        <v>20000</v>
      </c>
      <c r="F231" s="223">
        <v>10000</v>
      </c>
      <c r="G231" s="223">
        <v>5000</v>
      </c>
      <c r="H231" s="223">
        <v>1000</v>
      </c>
      <c r="I231" s="223">
        <v>500</v>
      </c>
      <c r="J231" s="223">
        <v>100</v>
      </c>
      <c r="K231" s="223">
        <v>50</v>
      </c>
      <c r="L231" s="223" t="s">
        <v>2</v>
      </c>
      <c r="M231" s="575" t="str">
        <f>M7</f>
        <v>Pinjaman</v>
      </c>
      <c r="N231" s="569" t="str">
        <f>N173</f>
        <v>(MASA JUNI  - 2018)</v>
      </c>
      <c r="O231" s="569" t="s">
        <v>254</v>
      </c>
      <c r="P231" s="1175"/>
      <c r="Q231" s="1175"/>
      <c r="R231" s="1172"/>
      <c r="S231" s="305"/>
      <c r="T231" s="225" t="s">
        <v>19</v>
      </c>
      <c r="X231" s="1172"/>
    </row>
    <row r="232" spans="1:27" ht="28.5" customHeight="1" thickTop="1">
      <c r="A232" s="268"/>
      <c r="B232" s="269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7"/>
      <c r="N232" s="307"/>
      <c r="O232" s="307"/>
      <c r="P232" s="307"/>
      <c r="Q232" s="307"/>
      <c r="R232" s="308"/>
      <c r="S232" s="218"/>
      <c r="T232" s="301"/>
      <c r="X232" s="308"/>
    </row>
    <row r="233" spans="1:27" s="242" customFormat="1" ht="28.5" customHeight="1">
      <c r="A233" s="309" t="s">
        <v>130</v>
      </c>
      <c r="B233" s="292">
        <v>43</v>
      </c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310">
        <v>0</v>
      </c>
      <c r="O233" s="521"/>
      <c r="P233" s="521">
        <f>251073</f>
        <v>251073</v>
      </c>
      <c r="Q233" s="521">
        <v>1377722</v>
      </c>
      <c r="R233" s="295">
        <v>119291636</v>
      </c>
      <c r="S233" s="245"/>
      <c r="T233" s="241"/>
      <c r="X233" s="295">
        <v>0</v>
      </c>
      <c r="Y233" s="353"/>
      <c r="AA233" s="239">
        <f t="shared" ref="AA233:AA245" si="14">P233+X233</f>
        <v>251073</v>
      </c>
    </row>
    <row r="234" spans="1:27" s="242" customFormat="1" ht="28.5" customHeight="1">
      <c r="A234" s="291" t="s">
        <v>129</v>
      </c>
      <c r="B234" s="292">
        <v>27</v>
      </c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4"/>
      <c r="N234" s="329">
        <v>0</v>
      </c>
      <c r="O234" s="521"/>
      <c r="P234" s="521">
        <f>6056650+2979900+121200</f>
        <v>9157750</v>
      </c>
      <c r="Q234" s="521">
        <v>2468750</v>
      </c>
      <c r="R234" s="295">
        <v>80799156</v>
      </c>
      <c r="S234" s="239"/>
      <c r="X234" s="295">
        <v>0</v>
      </c>
      <c r="Y234" s="353"/>
      <c r="AA234" s="239">
        <f t="shared" si="14"/>
        <v>9157750</v>
      </c>
    </row>
    <row r="235" spans="1:27" ht="28.5" customHeight="1">
      <c r="A235" s="291" t="s">
        <v>402</v>
      </c>
      <c r="B235" s="292">
        <v>3</v>
      </c>
      <c r="C235" s="313"/>
      <c r="D235" s="270"/>
      <c r="E235" s="270"/>
      <c r="F235" s="270"/>
      <c r="G235" s="270"/>
      <c r="H235" s="270"/>
      <c r="I235" s="270"/>
      <c r="J235" s="270"/>
      <c r="K235" s="270"/>
      <c r="L235" s="270"/>
      <c r="M235" s="293"/>
      <c r="N235" s="329">
        <v>0</v>
      </c>
      <c r="O235" s="329"/>
      <c r="P235" s="329">
        <f>169720+125300</f>
        <v>295020</v>
      </c>
      <c r="Q235" s="329">
        <v>0</v>
      </c>
      <c r="R235" s="295">
        <v>8683524</v>
      </c>
      <c r="S235" s="258"/>
      <c r="T235" s="311"/>
      <c r="X235" s="295">
        <v>0</v>
      </c>
      <c r="AA235" s="239">
        <f t="shared" si="14"/>
        <v>295020</v>
      </c>
    </row>
    <row r="236" spans="1:27" s="242" customFormat="1" ht="28.5" customHeight="1">
      <c r="A236" s="291" t="s">
        <v>131</v>
      </c>
      <c r="B236" s="312">
        <v>3</v>
      </c>
      <c r="C236" s="313"/>
      <c r="D236" s="270"/>
      <c r="E236" s="270"/>
      <c r="F236" s="270"/>
      <c r="G236" s="270"/>
      <c r="H236" s="270"/>
      <c r="I236" s="270"/>
      <c r="J236" s="270"/>
      <c r="K236" s="270"/>
      <c r="L236" s="270"/>
      <c r="M236" s="293"/>
      <c r="N236" s="310">
        <v>0</v>
      </c>
      <c r="O236" s="329"/>
      <c r="P236" s="329">
        <v>2322777</v>
      </c>
      <c r="Q236" s="329">
        <v>1847581</v>
      </c>
      <c r="R236" s="295">
        <v>11865003</v>
      </c>
      <c r="S236" s="240"/>
      <c r="T236" s="314"/>
      <c r="X236" s="295">
        <v>0</v>
      </c>
      <c r="Y236" s="353"/>
      <c r="AA236" s="239">
        <f t="shared" si="14"/>
        <v>2322777</v>
      </c>
    </row>
    <row r="237" spans="1:27" ht="28.5" customHeight="1">
      <c r="A237" s="291" t="s">
        <v>192</v>
      </c>
      <c r="B237" s="292">
        <v>19</v>
      </c>
      <c r="C237" s="313"/>
      <c r="D237" s="270"/>
      <c r="E237" s="270"/>
      <c r="F237" s="270"/>
      <c r="G237" s="270"/>
      <c r="H237" s="270"/>
      <c r="I237" s="270"/>
      <c r="J237" s="270"/>
      <c r="K237" s="270"/>
      <c r="L237" s="270"/>
      <c r="M237" s="293"/>
      <c r="N237" s="329">
        <v>0</v>
      </c>
      <c r="O237" s="329"/>
      <c r="P237" s="329">
        <f>2389134+1205400</f>
        <v>3594534</v>
      </c>
      <c r="Q237" s="329">
        <v>0</v>
      </c>
      <c r="R237" s="295">
        <v>39808207</v>
      </c>
      <c r="S237" s="258"/>
      <c r="T237" s="311"/>
      <c r="X237" s="295">
        <v>0</v>
      </c>
      <c r="AA237" s="239">
        <f t="shared" si="14"/>
        <v>3594534</v>
      </c>
    </row>
    <row r="238" spans="1:27" ht="28.5" customHeight="1">
      <c r="A238" s="291" t="s">
        <v>192</v>
      </c>
      <c r="B238" s="292">
        <v>7</v>
      </c>
      <c r="C238" s="313"/>
      <c r="D238" s="270"/>
      <c r="E238" s="270"/>
      <c r="F238" s="270"/>
      <c r="G238" s="270"/>
      <c r="H238" s="270"/>
      <c r="I238" s="270"/>
      <c r="J238" s="270"/>
      <c r="K238" s="270"/>
      <c r="L238" s="270"/>
      <c r="M238" s="293"/>
      <c r="N238" s="329">
        <v>0</v>
      </c>
      <c r="O238" s="329"/>
      <c r="P238" s="329">
        <v>0</v>
      </c>
      <c r="Q238" s="329">
        <v>0</v>
      </c>
      <c r="R238" s="295">
        <v>5483333</v>
      </c>
      <c r="S238" s="258"/>
      <c r="T238" s="311"/>
      <c r="X238" s="295"/>
      <c r="AA238" s="239">
        <f t="shared" si="14"/>
        <v>0</v>
      </c>
    </row>
    <row r="239" spans="1:27" s="242" customFormat="1" ht="28.5" customHeight="1">
      <c r="A239" s="309" t="s">
        <v>132</v>
      </c>
      <c r="B239" s="312">
        <v>6</v>
      </c>
      <c r="C239" s="313"/>
      <c r="D239" s="270"/>
      <c r="E239" s="270"/>
      <c r="F239" s="270"/>
      <c r="G239" s="270"/>
      <c r="H239" s="270"/>
      <c r="I239" s="270"/>
      <c r="J239" s="270"/>
      <c r="K239" s="270"/>
      <c r="L239" s="270"/>
      <c r="M239" s="293"/>
      <c r="N239" s="310">
        <v>1615</v>
      </c>
      <c r="O239" s="329"/>
      <c r="P239" s="329">
        <v>5349986</v>
      </c>
      <c r="Q239" s="329">
        <v>2643952</v>
      </c>
      <c r="R239" s="295">
        <v>24038709</v>
      </c>
      <c r="S239" s="240"/>
      <c r="T239" s="314"/>
      <c r="X239" s="295">
        <v>0</v>
      </c>
      <c r="Y239" s="353"/>
      <c r="AA239" s="239">
        <f t="shared" si="14"/>
        <v>5349986</v>
      </c>
    </row>
    <row r="240" spans="1:27" ht="28.5" customHeight="1">
      <c r="A240" s="309" t="s">
        <v>133</v>
      </c>
      <c r="B240" s="310">
        <v>36</v>
      </c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310">
        <v>0</v>
      </c>
      <c r="O240" s="329"/>
      <c r="P240" s="329">
        <f>806925</f>
        <v>806925</v>
      </c>
      <c r="Q240" s="329">
        <v>1242339</v>
      </c>
      <c r="R240" s="295">
        <v>96085165</v>
      </c>
      <c r="S240" s="258"/>
      <c r="T240" s="311"/>
      <c r="X240" s="295">
        <v>0</v>
      </c>
      <c r="AA240" s="239">
        <f t="shared" si="14"/>
        <v>806925</v>
      </c>
    </row>
    <row r="241" spans="1:27" ht="28.5" customHeight="1">
      <c r="A241" s="291" t="s">
        <v>134</v>
      </c>
      <c r="B241" s="316">
        <v>35</v>
      </c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293"/>
      <c r="N241" s="310">
        <v>367336</v>
      </c>
      <c r="O241" s="329"/>
      <c r="P241" s="329">
        <f>8222040+13498100</f>
        <v>21720140</v>
      </c>
      <c r="Q241" s="329">
        <v>1146774</v>
      </c>
      <c r="R241" s="295">
        <v>120151886</v>
      </c>
      <c r="S241" s="258"/>
      <c r="T241" s="311"/>
      <c r="X241" s="295">
        <v>2344500</v>
      </c>
      <c r="AA241" s="239">
        <f t="shared" si="14"/>
        <v>24064640</v>
      </c>
    </row>
    <row r="242" spans="1:27" ht="28.5" customHeight="1">
      <c r="A242" s="309" t="s">
        <v>403</v>
      </c>
      <c r="B242" s="316">
        <v>7</v>
      </c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6">
        <v>0</v>
      </c>
      <c r="O242" s="530"/>
      <c r="P242" s="530">
        <v>0</v>
      </c>
      <c r="Q242" s="530">
        <v>0</v>
      </c>
      <c r="R242" s="318">
        <v>4711809</v>
      </c>
      <c r="S242" s="258"/>
      <c r="T242" s="311"/>
      <c r="X242" s="318">
        <v>0</v>
      </c>
      <c r="AA242" s="239">
        <f t="shared" si="14"/>
        <v>0</v>
      </c>
    </row>
    <row r="243" spans="1:27" ht="28.5" customHeight="1">
      <c r="A243" s="291" t="s">
        <v>252</v>
      </c>
      <c r="B243" s="316">
        <v>13</v>
      </c>
      <c r="C243" s="315"/>
      <c r="D243" s="315"/>
      <c r="E243" s="315"/>
      <c r="F243" s="315"/>
      <c r="G243" s="315"/>
      <c r="H243" s="315"/>
      <c r="I243" s="315"/>
      <c r="J243" s="315"/>
      <c r="K243" s="315"/>
      <c r="L243" s="315"/>
      <c r="M243" s="315"/>
      <c r="N243" s="316">
        <v>253914</v>
      </c>
      <c r="O243" s="530"/>
      <c r="P243" s="530">
        <f>9159035+5264700</f>
        <v>14423735</v>
      </c>
      <c r="Q243" s="530">
        <v>215020</v>
      </c>
      <c r="R243" s="318">
        <v>42462813</v>
      </c>
      <c r="S243" s="258"/>
      <c r="T243" s="311"/>
      <c r="X243" s="318">
        <v>0</v>
      </c>
      <c r="AA243" s="239">
        <f t="shared" si="14"/>
        <v>14423735</v>
      </c>
    </row>
    <row r="244" spans="1:27" ht="28.5" customHeight="1" thickBot="1">
      <c r="A244" s="309"/>
      <c r="B244" s="316"/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6"/>
      <c r="O244" s="530"/>
      <c r="P244" s="530"/>
      <c r="Q244" s="530"/>
      <c r="R244" s="318"/>
      <c r="S244" s="258"/>
      <c r="T244" s="311"/>
      <c r="X244" s="318"/>
      <c r="AA244" s="239">
        <f t="shared" si="14"/>
        <v>0</v>
      </c>
    </row>
    <row r="245" spans="1:27" ht="28.5" customHeight="1" thickTop="1" thickBot="1">
      <c r="A245" s="319" t="s">
        <v>3</v>
      </c>
      <c r="B245" s="410">
        <f>SUM(B232:B244)</f>
        <v>199</v>
      </c>
      <c r="C245" s="411">
        <f t="shared" ref="C245:L245" si="15">SUM(C232:C241)</f>
        <v>0</v>
      </c>
      <c r="D245" s="411">
        <f t="shared" si="15"/>
        <v>0</v>
      </c>
      <c r="E245" s="411">
        <f t="shared" si="15"/>
        <v>0</v>
      </c>
      <c r="F245" s="411">
        <f t="shared" si="15"/>
        <v>0</v>
      </c>
      <c r="G245" s="411">
        <f t="shared" si="15"/>
        <v>0</v>
      </c>
      <c r="H245" s="411">
        <f t="shared" si="15"/>
        <v>0</v>
      </c>
      <c r="I245" s="411">
        <f t="shared" si="15"/>
        <v>0</v>
      </c>
      <c r="J245" s="411">
        <f t="shared" si="15"/>
        <v>0</v>
      </c>
      <c r="K245" s="411">
        <f t="shared" si="15"/>
        <v>0</v>
      </c>
      <c r="L245" s="411">
        <f t="shared" si="15"/>
        <v>0</v>
      </c>
      <c r="M245" s="412">
        <f>SUM(M233:M241)</f>
        <v>0</v>
      </c>
      <c r="N245" s="414">
        <f>SUM(N233:N244)</f>
        <v>622865</v>
      </c>
      <c r="O245" s="414">
        <f>SUM(O233:O244)</f>
        <v>0</v>
      </c>
      <c r="P245" s="456">
        <f>SUM(P233:P244)</f>
        <v>57921940</v>
      </c>
      <c r="Q245" s="456">
        <f>SUM(Q233:Q244)</f>
        <v>10942138</v>
      </c>
      <c r="R245" s="413">
        <f>SUM(R232:V244)</f>
        <v>553381241</v>
      </c>
      <c r="S245" s="258"/>
      <c r="T245" s="311"/>
      <c r="X245" s="413">
        <f>SUM(X233:X244)</f>
        <v>2344500</v>
      </c>
      <c r="AA245" s="239">
        <f t="shared" si="14"/>
        <v>60266440</v>
      </c>
    </row>
    <row r="246" spans="1:27" ht="28.5" customHeight="1" thickTop="1">
      <c r="A246" s="216"/>
      <c r="T246" s="443"/>
    </row>
    <row r="247" spans="1:27" ht="17.25" customHeight="1">
      <c r="A247" s="216"/>
      <c r="T247" s="443"/>
    </row>
    <row r="248" spans="1:27" ht="17.25" customHeight="1">
      <c r="A248" s="216"/>
      <c r="T248" s="443"/>
    </row>
    <row r="249" spans="1:27" ht="17.25" customHeight="1">
      <c r="A249" s="216"/>
      <c r="T249" s="443"/>
    </row>
    <row r="250" spans="1:27" ht="17.25" customHeight="1">
      <c r="A250" s="216"/>
      <c r="T250" s="443"/>
    </row>
    <row r="251" spans="1:27" ht="17.25" customHeight="1">
      <c r="A251" s="336" t="s">
        <v>199</v>
      </c>
      <c r="B251" s="566"/>
      <c r="C251" s="337"/>
      <c r="D251" s="1173" t="s">
        <v>81</v>
      </c>
      <c r="E251" s="1173"/>
      <c r="F251" s="1173"/>
      <c r="G251" s="1173"/>
      <c r="H251" s="337"/>
      <c r="I251" s="337"/>
      <c r="J251" s="1173" t="s">
        <v>82</v>
      </c>
      <c r="K251" s="1173"/>
      <c r="L251" s="1173"/>
      <c r="M251" s="1173"/>
      <c r="N251" s="1173"/>
      <c r="O251" s="1173"/>
      <c r="P251" s="1173"/>
      <c r="Q251" s="1173"/>
      <c r="R251" s="1173"/>
      <c r="T251" s="443"/>
    </row>
    <row r="252" spans="1:27" ht="17.25" customHeight="1">
      <c r="A252" s="336"/>
      <c r="B252" s="566"/>
      <c r="C252" s="337"/>
      <c r="D252" s="337"/>
      <c r="E252" s="337"/>
      <c r="F252" s="337"/>
      <c r="G252" s="337"/>
      <c r="H252" s="337"/>
      <c r="I252" s="337"/>
      <c r="J252" s="337"/>
      <c r="K252" s="337"/>
      <c r="L252" s="337"/>
      <c r="M252" s="337"/>
      <c r="N252" s="337"/>
      <c r="O252" s="337"/>
      <c r="P252" s="337"/>
      <c r="Q252" s="337"/>
      <c r="R252" s="337"/>
      <c r="T252" s="443"/>
    </row>
    <row r="253" spans="1:27" ht="17.25" customHeight="1">
      <c r="A253" s="336"/>
      <c r="B253" s="566"/>
      <c r="C253" s="337"/>
      <c r="D253" s="337"/>
      <c r="E253" s="337"/>
      <c r="F253" s="337"/>
      <c r="G253" s="337"/>
      <c r="H253" s="337"/>
      <c r="I253" s="337"/>
      <c r="J253" s="337"/>
      <c r="K253" s="337"/>
      <c r="L253" s="337"/>
      <c r="M253" s="337"/>
      <c r="N253" s="337"/>
      <c r="O253" s="337"/>
      <c r="P253" s="337"/>
      <c r="Q253" s="337"/>
      <c r="R253" s="337"/>
      <c r="T253" s="443"/>
    </row>
    <row r="254" spans="1:27" ht="17.25" customHeight="1">
      <c r="A254" s="336"/>
      <c r="B254" s="566"/>
      <c r="C254" s="337"/>
      <c r="D254" s="337"/>
      <c r="E254" s="337"/>
      <c r="F254" s="337"/>
      <c r="G254" s="337"/>
      <c r="H254" s="337"/>
      <c r="I254" s="337"/>
      <c r="J254" s="337"/>
      <c r="K254" s="337"/>
      <c r="L254" s="337"/>
      <c r="M254" s="337"/>
      <c r="N254" s="337"/>
      <c r="O254" s="337"/>
      <c r="P254" s="337"/>
      <c r="Q254" s="337"/>
      <c r="R254" s="337"/>
      <c r="T254" s="443"/>
    </row>
    <row r="255" spans="1:27" ht="17.25" customHeight="1">
      <c r="A255" s="336"/>
      <c r="B255" s="566"/>
      <c r="C255" s="337"/>
      <c r="D255" s="1173"/>
      <c r="E255" s="1173"/>
      <c r="F255" s="1173"/>
      <c r="G255" s="1173"/>
      <c r="H255" s="337"/>
      <c r="I255" s="337"/>
      <c r="J255" s="1173"/>
      <c r="K255" s="1173"/>
      <c r="L255" s="1173"/>
      <c r="M255" s="1173"/>
      <c r="N255" s="1173"/>
      <c r="O255" s="1173"/>
      <c r="P255" s="1173"/>
      <c r="Q255" s="1173"/>
      <c r="R255" s="1173"/>
      <c r="T255" s="443"/>
    </row>
    <row r="256" spans="1:27" ht="17.25" customHeight="1">
      <c r="A256" s="216"/>
      <c r="B256" s="278"/>
    </row>
    <row r="257" spans="1:27" ht="26.25" customHeight="1"/>
    <row r="258" spans="1:27" ht="26.25" customHeight="1"/>
    <row r="259" spans="1:27" ht="26.25" customHeight="1">
      <c r="A259" s="215" t="s">
        <v>0</v>
      </c>
      <c r="B259" s="216" t="s">
        <v>265</v>
      </c>
    </row>
    <row r="260" spans="1:27" ht="26.25" customHeight="1">
      <c r="A260" s="215" t="str">
        <f>A4</f>
        <v>DENOMINATION FOR JULI 2018</v>
      </c>
    </row>
    <row r="261" spans="1:27" ht="63.75" customHeight="1" thickBot="1">
      <c r="A261" s="297"/>
    </row>
    <row r="262" spans="1:27" ht="26.25" customHeight="1" thickTop="1">
      <c r="A262" s="1176" t="s">
        <v>1</v>
      </c>
      <c r="B262" s="1183" t="s">
        <v>15</v>
      </c>
      <c r="C262" s="219"/>
      <c r="D262" s="219"/>
      <c r="E262" s="220"/>
      <c r="F262" s="220"/>
      <c r="G262" s="220"/>
      <c r="H262" s="220"/>
      <c r="I262" s="220"/>
      <c r="J262" s="220"/>
      <c r="K262" s="220"/>
      <c r="L262" s="220"/>
      <c r="M262" s="574" t="str">
        <f>M6</f>
        <v>Pot.</v>
      </c>
      <c r="N262" s="568" t="s">
        <v>145</v>
      </c>
      <c r="O262" s="568" t="s">
        <v>253</v>
      </c>
      <c r="P262" s="1174" t="str">
        <f>P230</f>
        <v>TOTAL PREMI</v>
      </c>
      <c r="Q262" s="1174" t="str">
        <f>Q230</f>
        <v>TOTAL LEMBUR</v>
      </c>
      <c r="R262" s="1171" t="s">
        <v>3</v>
      </c>
      <c r="S262" s="304" t="s">
        <v>16</v>
      </c>
      <c r="T262" s="222" t="s">
        <v>18</v>
      </c>
      <c r="X262" s="1171" t="s">
        <v>259</v>
      </c>
    </row>
    <row r="263" spans="1:27" ht="26.25" customHeight="1" thickBot="1">
      <c r="A263" s="1177"/>
      <c r="B263" s="1184"/>
      <c r="C263" s="223">
        <v>100000</v>
      </c>
      <c r="D263" s="223">
        <v>50000</v>
      </c>
      <c r="E263" s="223">
        <v>20000</v>
      </c>
      <c r="F263" s="223">
        <v>10000</v>
      </c>
      <c r="G263" s="223">
        <v>5000</v>
      </c>
      <c r="H263" s="223">
        <v>1000</v>
      </c>
      <c r="I263" s="223">
        <v>500</v>
      </c>
      <c r="J263" s="223">
        <v>100</v>
      </c>
      <c r="K263" s="223">
        <v>50</v>
      </c>
      <c r="L263" s="223" t="s">
        <v>2</v>
      </c>
      <c r="M263" s="575" t="str">
        <f>M7</f>
        <v>Pinjaman</v>
      </c>
      <c r="N263" s="569" t="str">
        <f>N231</f>
        <v>(MASA JUNI  - 2018)</v>
      </c>
      <c r="O263" s="569" t="s">
        <v>254</v>
      </c>
      <c r="P263" s="1175"/>
      <c r="Q263" s="1175"/>
      <c r="R263" s="1172"/>
      <c r="S263" s="305"/>
      <c r="T263" s="225" t="s">
        <v>19</v>
      </c>
      <c r="X263" s="1172"/>
    </row>
    <row r="264" spans="1:27" ht="26.25" customHeight="1" thickTop="1">
      <c r="A264" s="291"/>
      <c r="B264" s="33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9"/>
      <c r="N264" s="289"/>
      <c r="O264" s="289"/>
      <c r="P264" s="289"/>
      <c r="Q264" s="289"/>
      <c r="R264" s="295"/>
      <c r="S264" s="218"/>
      <c r="T264" s="301"/>
      <c r="X264" s="295"/>
    </row>
    <row r="265" spans="1:27" ht="26.25" customHeight="1">
      <c r="A265" s="291" t="s">
        <v>122</v>
      </c>
      <c r="B265" s="338">
        <v>37</v>
      </c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9"/>
      <c r="N265" s="521">
        <v>0</v>
      </c>
      <c r="O265" s="521"/>
      <c r="P265" s="289">
        <v>0</v>
      </c>
      <c r="Q265" s="289">
        <v>2436895</v>
      </c>
      <c r="R265" s="295">
        <v>100790669</v>
      </c>
      <c r="S265" s="218"/>
      <c r="T265" s="301"/>
      <c r="X265" s="295">
        <v>0</v>
      </c>
      <c r="AA265" s="239">
        <f t="shared" ref="AA265:AA286" si="16">P265+X265</f>
        <v>0</v>
      </c>
    </row>
    <row r="266" spans="1:27" s="242" customFormat="1" ht="26.25" customHeight="1">
      <c r="A266" s="291" t="s">
        <v>120</v>
      </c>
      <c r="B266" s="292">
        <v>31</v>
      </c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4"/>
      <c r="N266" s="329">
        <v>16944</v>
      </c>
      <c r="O266" s="329"/>
      <c r="P266" s="294">
        <f>9917790+9890790+250000</f>
        <v>20058580</v>
      </c>
      <c r="Q266" s="294">
        <v>1600706</v>
      </c>
      <c r="R266" s="295">
        <v>104688634</v>
      </c>
      <c r="S266" s="245"/>
      <c r="T266" s="241"/>
      <c r="X266" s="295">
        <v>789500</v>
      </c>
      <c r="Y266" s="353"/>
      <c r="AA266" s="239">
        <f t="shared" si="16"/>
        <v>20848080</v>
      </c>
    </row>
    <row r="267" spans="1:27" s="242" customFormat="1" ht="26.25" customHeight="1">
      <c r="A267" s="291" t="s">
        <v>121</v>
      </c>
      <c r="B267" s="292">
        <v>5</v>
      </c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4"/>
      <c r="N267" s="329">
        <v>0</v>
      </c>
      <c r="O267" s="329"/>
      <c r="P267" s="294">
        <f>8031810+596020+288488+40000</f>
        <v>8956318</v>
      </c>
      <c r="Q267" s="294">
        <v>1875454</v>
      </c>
      <c r="R267" s="295">
        <v>24397812</v>
      </c>
      <c r="S267" s="245"/>
      <c r="T267" s="241"/>
      <c r="X267" s="295">
        <v>0</v>
      </c>
      <c r="Y267" s="353"/>
      <c r="AA267" s="239">
        <f t="shared" si="16"/>
        <v>8956318</v>
      </c>
    </row>
    <row r="268" spans="1:27" s="242" customFormat="1" ht="26.25" customHeight="1">
      <c r="A268" s="291" t="s">
        <v>334</v>
      </c>
      <c r="B268" s="292">
        <v>6</v>
      </c>
      <c r="C268" s="293"/>
      <c r="D268" s="293"/>
      <c r="E268" s="293"/>
      <c r="F268" s="293"/>
      <c r="G268" s="293"/>
      <c r="H268" s="293"/>
      <c r="I268" s="293"/>
      <c r="J268" s="293"/>
      <c r="K268" s="293"/>
      <c r="L268" s="293"/>
      <c r="M268" s="294"/>
      <c r="N268" s="329">
        <v>0</v>
      </c>
      <c r="O268" s="329"/>
      <c r="P268" s="294">
        <f>4298870+3045700</f>
        <v>7344570</v>
      </c>
      <c r="Q268" s="294">
        <v>0</v>
      </c>
      <c r="R268" s="295">
        <v>18145909</v>
      </c>
      <c r="X268" s="295">
        <v>0</v>
      </c>
      <c r="Y268" s="353"/>
      <c r="AA268" s="239">
        <f t="shared" si="16"/>
        <v>7344570</v>
      </c>
    </row>
    <row r="269" spans="1:27" s="242" customFormat="1" ht="26.25" customHeight="1">
      <c r="A269" s="291" t="s">
        <v>334</v>
      </c>
      <c r="B269" s="292">
        <v>11</v>
      </c>
      <c r="C269" s="293"/>
      <c r="D269" s="293"/>
      <c r="E269" s="293"/>
      <c r="F269" s="293"/>
      <c r="G269" s="293"/>
      <c r="H269" s="293"/>
      <c r="I269" s="293"/>
      <c r="J269" s="293"/>
      <c r="K269" s="293"/>
      <c r="L269" s="293"/>
      <c r="M269" s="294"/>
      <c r="N269" s="329">
        <v>0</v>
      </c>
      <c r="O269" s="329"/>
      <c r="P269" s="294">
        <v>0</v>
      </c>
      <c r="Q269" s="294">
        <v>0</v>
      </c>
      <c r="R269" s="295">
        <v>5703769</v>
      </c>
      <c r="X269" s="295">
        <v>0</v>
      </c>
      <c r="Y269" s="353"/>
      <c r="AA269" s="239">
        <f t="shared" si="16"/>
        <v>0</v>
      </c>
    </row>
    <row r="270" spans="1:27" s="242" customFormat="1" ht="26.25" customHeight="1">
      <c r="A270" s="291" t="s">
        <v>123</v>
      </c>
      <c r="B270" s="292">
        <v>39</v>
      </c>
      <c r="C270" s="293"/>
      <c r="D270" s="293"/>
      <c r="E270" s="293"/>
      <c r="F270" s="293"/>
      <c r="G270" s="293"/>
      <c r="H270" s="293"/>
      <c r="I270" s="293"/>
      <c r="J270" s="293"/>
      <c r="K270" s="293"/>
      <c r="L270" s="293"/>
      <c r="M270" s="294"/>
      <c r="N270" s="329">
        <v>0</v>
      </c>
      <c r="O270" s="329"/>
      <c r="P270" s="294">
        <v>0</v>
      </c>
      <c r="Q270" s="294">
        <v>1218448</v>
      </c>
      <c r="R270" s="295">
        <v>103638157</v>
      </c>
      <c r="X270" s="295">
        <v>0</v>
      </c>
      <c r="Y270" s="353"/>
      <c r="AA270" s="239">
        <f t="shared" si="16"/>
        <v>0</v>
      </c>
    </row>
    <row r="271" spans="1:27" s="242" customFormat="1" ht="26.25" customHeight="1">
      <c r="A271" s="309" t="s">
        <v>124</v>
      </c>
      <c r="B271" s="292">
        <v>6</v>
      </c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4"/>
      <c r="N271" s="329">
        <v>38983</v>
      </c>
      <c r="O271" s="329"/>
      <c r="P271" s="294">
        <f>88470+6752765+436880+40000+120000</f>
        <v>7438115</v>
      </c>
      <c r="Q271" s="294">
        <v>1130847</v>
      </c>
      <c r="R271" s="295">
        <v>24732899</v>
      </c>
      <c r="S271" s="239"/>
      <c r="X271" s="295">
        <v>0</v>
      </c>
      <c r="Y271" s="353"/>
      <c r="AA271" s="239">
        <f t="shared" si="16"/>
        <v>7438115</v>
      </c>
    </row>
    <row r="272" spans="1:27" s="242" customFormat="1" ht="26.25" customHeight="1">
      <c r="A272" s="309" t="s">
        <v>125</v>
      </c>
      <c r="B272" s="292">
        <v>31</v>
      </c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4"/>
      <c r="N272" s="329">
        <v>48922</v>
      </c>
      <c r="O272" s="329"/>
      <c r="P272" s="294">
        <f>15678350+14280000</f>
        <v>29958350</v>
      </c>
      <c r="Q272" s="294">
        <v>2309476</v>
      </c>
      <c r="R272" s="295">
        <v>113134760</v>
      </c>
      <c r="S272" s="239"/>
      <c r="X272" s="295">
        <v>490000</v>
      </c>
      <c r="Y272" s="353"/>
      <c r="AA272" s="239">
        <f t="shared" si="16"/>
        <v>30448350</v>
      </c>
    </row>
    <row r="273" spans="1:27" ht="26.25" customHeight="1">
      <c r="A273" s="309" t="s">
        <v>247</v>
      </c>
      <c r="B273" s="340">
        <v>9</v>
      </c>
      <c r="C273" s="341"/>
      <c r="D273" s="315"/>
      <c r="E273" s="315"/>
      <c r="F273" s="315"/>
      <c r="G273" s="315"/>
      <c r="H273" s="315"/>
      <c r="I273" s="315"/>
      <c r="J273" s="315"/>
      <c r="K273" s="315"/>
      <c r="L273" s="315"/>
      <c r="M273" s="342"/>
      <c r="N273" s="530">
        <v>0</v>
      </c>
      <c r="O273" s="530"/>
      <c r="P273" s="342">
        <f>41490+462700+640980</f>
        <v>1145170</v>
      </c>
      <c r="Q273" s="342">
        <v>1385686</v>
      </c>
      <c r="R273" s="295">
        <v>25718739</v>
      </c>
      <c r="S273" s="248"/>
      <c r="T273" s="311"/>
      <c r="X273" s="295">
        <v>0</v>
      </c>
      <c r="AA273" s="239">
        <f t="shared" si="16"/>
        <v>1145170</v>
      </c>
    </row>
    <row r="274" spans="1:27" ht="26.25" customHeight="1">
      <c r="A274" s="309" t="s">
        <v>247</v>
      </c>
      <c r="B274" s="340">
        <v>12</v>
      </c>
      <c r="C274" s="341"/>
      <c r="D274" s="315"/>
      <c r="E274" s="315"/>
      <c r="F274" s="315"/>
      <c r="G274" s="315"/>
      <c r="H274" s="315"/>
      <c r="I274" s="315"/>
      <c r="J274" s="315"/>
      <c r="K274" s="315"/>
      <c r="L274" s="315"/>
      <c r="M274" s="342"/>
      <c r="N274" s="530">
        <v>0</v>
      </c>
      <c r="O274" s="530"/>
      <c r="P274" s="342">
        <v>0</v>
      </c>
      <c r="Q274" s="342">
        <v>0</v>
      </c>
      <c r="R274" s="295">
        <v>5703769</v>
      </c>
      <c r="S274" s="248"/>
      <c r="T274" s="311"/>
      <c r="X274" s="295">
        <v>0</v>
      </c>
      <c r="AA274" s="239">
        <f t="shared" si="16"/>
        <v>0</v>
      </c>
    </row>
    <row r="275" spans="1:27" ht="26.25" customHeight="1">
      <c r="A275" s="309" t="s">
        <v>247</v>
      </c>
      <c r="B275" s="340">
        <v>6</v>
      </c>
      <c r="C275" s="341"/>
      <c r="D275" s="315"/>
      <c r="E275" s="315"/>
      <c r="F275" s="315"/>
      <c r="G275" s="315"/>
      <c r="H275" s="315"/>
      <c r="I275" s="315"/>
      <c r="J275" s="315"/>
      <c r="K275" s="315"/>
      <c r="L275" s="315"/>
      <c r="M275" s="342"/>
      <c r="N275" s="530">
        <v>0</v>
      </c>
      <c r="O275" s="530"/>
      <c r="P275" s="342">
        <f>1476330+2464700</f>
        <v>3941030</v>
      </c>
      <c r="Q275" s="342">
        <v>0</v>
      </c>
      <c r="R275" s="295">
        <v>14873463</v>
      </c>
      <c r="S275" s="248"/>
      <c r="T275" s="311"/>
      <c r="X275" s="295">
        <v>0</v>
      </c>
      <c r="AA275" s="239">
        <f t="shared" si="16"/>
        <v>3941030</v>
      </c>
    </row>
    <row r="276" spans="1:27" ht="26.25" customHeight="1">
      <c r="A276" s="309" t="s">
        <v>349</v>
      </c>
      <c r="B276" s="340">
        <v>17</v>
      </c>
      <c r="C276" s="341"/>
      <c r="D276" s="315"/>
      <c r="E276" s="315"/>
      <c r="F276" s="315"/>
      <c r="G276" s="315"/>
      <c r="H276" s="315"/>
      <c r="I276" s="315"/>
      <c r="J276" s="315"/>
      <c r="K276" s="315"/>
      <c r="L276" s="315"/>
      <c r="M276" s="342"/>
      <c r="N276" s="530">
        <v>0</v>
      </c>
      <c r="O276" s="530"/>
      <c r="P276" s="342">
        <v>0</v>
      </c>
      <c r="Q276" s="342">
        <v>23891</v>
      </c>
      <c r="R276" s="295">
        <v>42913807</v>
      </c>
      <c r="S276" s="248"/>
      <c r="T276" s="311"/>
      <c r="X276" s="295">
        <v>0</v>
      </c>
      <c r="AA276" s="239">
        <f t="shared" si="16"/>
        <v>0</v>
      </c>
    </row>
    <row r="277" spans="1:27" ht="26.25" customHeight="1">
      <c r="A277" s="309" t="s">
        <v>350</v>
      </c>
      <c r="B277" s="340">
        <v>9</v>
      </c>
      <c r="C277" s="341"/>
      <c r="D277" s="315"/>
      <c r="E277" s="315"/>
      <c r="F277" s="315"/>
      <c r="G277" s="315"/>
      <c r="H277" s="315"/>
      <c r="I277" s="315"/>
      <c r="J277" s="315"/>
      <c r="K277" s="315"/>
      <c r="L277" s="315"/>
      <c r="M277" s="342"/>
      <c r="N277" s="530">
        <v>0</v>
      </c>
      <c r="O277" s="530"/>
      <c r="P277" s="342">
        <f>49580+585900</f>
        <v>635480</v>
      </c>
      <c r="Q277" s="342">
        <v>127419</v>
      </c>
      <c r="R277" s="295">
        <v>21510276</v>
      </c>
      <c r="S277" s="248"/>
      <c r="T277" s="311"/>
      <c r="X277" s="295">
        <v>0</v>
      </c>
      <c r="AA277" s="239">
        <f t="shared" si="16"/>
        <v>635480</v>
      </c>
    </row>
    <row r="278" spans="1:27" ht="26.25" customHeight="1">
      <c r="A278" s="309" t="s">
        <v>349</v>
      </c>
      <c r="B278" s="340">
        <v>1</v>
      </c>
      <c r="C278" s="341"/>
      <c r="D278" s="315"/>
      <c r="E278" s="315"/>
      <c r="F278" s="315"/>
      <c r="G278" s="315"/>
      <c r="H278" s="315"/>
      <c r="I278" s="315"/>
      <c r="J278" s="315"/>
      <c r="K278" s="315"/>
      <c r="L278" s="315"/>
      <c r="M278" s="342"/>
      <c r="N278" s="530">
        <v>0</v>
      </c>
      <c r="O278" s="530"/>
      <c r="P278" s="342">
        <f>113400+81215</f>
        <v>194615</v>
      </c>
      <c r="Q278" s="342">
        <v>175816</v>
      </c>
      <c r="R278" s="295">
        <v>3113809</v>
      </c>
      <c r="S278" s="248"/>
      <c r="T278" s="311"/>
      <c r="X278" s="295">
        <v>0</v>
      </c>
      <c r="AA278" s="239">
        <f t="shared" si="16"/>
        <v>194615</v>
      </c>
    </row>
    <row r="279" spans="1:27" ht="26.25" customHeight="1">
      <c r="A279" s="309" t="s">
        <v>126</v>
      </c>
      <c r="B279" s="340">
        <v>25</v>
      </c>
      <c r="C279" s="341"/>
      <c r="D279" s="315"/>
      <c r="E279" s="315"/>
      <c r="F279" s="315"/>
      <c r="G279" s="315"/>
      <c r="H279" s="315"/>
      <c r="I279" s="315"/>
      <c r="J279" s="315"/>
      <c r="K279" s="315"/>
      <c r="L279" s="315"/>
      <c r="M279" s="342"/>
      <c r="N279" s="530">
        <v>0</v>
      </c>
      <c r="O279" s="530"/>
      <c r="P279" s="342">
        <v>0</v>
      </c>
      <c r="Q279" s="342">
        <v>1098992</v>
      </c>
      <c r="R279" s="295">
        <v>67420139</v>
      </c>
      <c r="S279" s="248"/>
      <c r="T279" s="311"/>
      <c r="X279" s="295">
        <v>0</v>
      </c>
      <c r="AA279" s="239">
        <f t="shared" si="16"/>
        <v>0</v>
      </c>
    </row>
    <row r="280" spans="1:27" ht="26.25" customHeight="1">
      <c r="A280" s="309" t="s">
        <v>335</v>
      </c>
      <c r="B280" s="340">
        <v>34</v>
      </c>
      <c r="C280" s="341"/>
      <c r="D280" s="315"/>
      <c r="E280" s="315"/>
      <c r="F280" s="315"/>
      <c r="G280" s="315"/>
      <c r="H280" s="315"/>
      <c r="I280" s="315"/>
      <c r="J280" s="315"/>
      <c r="K280" s="315"/>
      <c r="L280" s="315"/>
      <c r="M280" s="342"/>
      <c r="N280" s="530">
        <v>0</v>
      </c>
      <c r="O280" s="530"/>
      <c r="P280" s="342">
        <f>4212360+6314700</f>
        <v>10527060</v>
      </c>
      <c r="Q280" s="342">
        <v>1839617</v>
      </c>
      <c r="R280" s="295">
        <v>104314452</v>
      </c>
      <c r="S280" s="248"/>
      <c r="T280" s="311"/>
      <c r="X280" s="295">
        <v>3261000</v>
      </c>
      <c r="AA280" s="239">
        <f t="shared" si="16"/>
        <v>13788060</v>
      </c>
    </row>
    <row r="281" spans="1:27" s="242" customFormat="1" ht="26.25" customHeight="1">
      <c r="A281" s="309" t="s">
        <v>127</v>
      </c>
      <c r="B281" s="343">
        <v>4</v>
      </c>
      <c r="C281" s="341"/>
      <c r="D281" s="315"/>
      <c r="E281" s="315"/>
      <c r="F281" s="315"/>
      <c r="G281" s="315"/>
      <c r="H281" s="315"/>
      <c r="I281" s="315"/>
      <c r="J281" s="315"/>
      <c r="K281" s="315"/>
      <c r="L281" s="315"/>
      <c r="M281" s="342"/>
      <c r="N281" s="530">
        <v>107025</v>
      </c>
      <c r="O281" s="530"/>
      <c r="P281" s="342">
        <f>5525250+991270+441160</f>
        <v>6957680</v>
      </c>
      <c r="Q281" s="342">
        <v>3511996</v>
      </c>
      <c r="R281" s="295">
        <v>21511207</v>
      </c>
      <c r="S281" s="245"/>
      <c r="T281" s="314"/>
      <c r="X281" s="295">
        <v>0</v>
      </c>
      <c r="Y281" s="353"/>
      <c r="AA281" s="239">
        <f t="shared" si="16"/>
        <v>6957680</v>
      </c>
    </row>
    <row r="282" spans="1:27" s="242" customFormat="1" ht="26.25" customHeight="1">
      <c r="A282" s="291" t="s">
        <v>128</v>
      </c>
      <c r="B282" s="544">
        <v>10</v>
      </c>
      <c r="C282" s="545"/>
      <c r="D282" s="293"/>
      <c r="E282" s="293"/>
      <c r="F282" s="293"/>
      <c r="G282" s="293"/>
      <c r="H282" s="293"/>
      <c r="I282" s="293"/>
      <c r="J282" s="293"/>
      <c r="K282" s="293"/>
      <c r="L282" s="293"/>
      <c r="M282" s="294"/>
      <c r="N282" s="329">
        <v>0</v>
      </c>
      <c r="O282" s="329"/>
      <c r="P282" s="294">
        <f>3332240+954100</f>
        <v>4286340</v>
      </c>
      <c r="Q282" s="293">
        <v>0</v>
      </c>
      <c r="R282" s="295">
        <v>12170244</v>
      </c>
      <c r="S282" s="245"/>
      <c r="T282" s="314"/>
      <c r="X282" s="295">
        <v>0</v>
      </c>
      <c r="Y282" s="353"/>
      <c r="AA282" s="239">
        <f t="shared" si="16"/>
        <v>4286340</v>
      </c>
    </row>
    <row r="283" spans="1:27" s="242" customFormat="1" ht="26.25" customHeight="1">
      <c r="A283" s="291" t="s">
        <v>269</v>
      </c>
      <c r="B283" s="243">
        <v>1</v>
      </c>
      <c r="C283" s="237"/>
      <c r="D283" s="236"/>
      <c r="E283" s="236"/>
      <c r="F283" s="236"/>
      <c r="G283" s="236"/>
      <c r="H283" s="236"/>
      <c r="I283" s="236"/>
      <c r="J283" s="236"/>
      <c r="K283" s="236"/>
      <c r="L283" s="236"/>
      <c r="M283" s="260"/>
      <c r="N283" s="577">
        <v>0</v>
      </c>
      <c r="O283" s="260"/>
      <c r="P283" s="260">
        <v>0</v>
      </c>
      <c r="Q283" s="260">
        <v>207056</v>
      </c>
      <c r="R283" s="247">
        <v>3119283</v>
      </c>
      <c r="S283" s="245"/>
      <c r="T283" s="314"/>
      <c r="X283" s="295"/>
      <c r="Y283" s="353"/>
      <c r="AA283" s="239">
        <f t="shared" si="16"/>
        <v>0</v>
      </c>
    </row>
    <row r="284" spans="1:27" s="242" customFormat="1" ht="26.25" customHeight="1">
      <c r="A284" s="291" t="s">
        <v>242</v>
      </c>
      <c r="B284" s="544">
        <v>2</v>
      </c>
      <c r="C284" s="545"/>
      <c r="D284" s="293"/>
      <c r="E284" s="293"/>
      <c r="F284" s="293"/>
      <c r="G284" s="293"/>
      <c r="H284" s="293"/>
      <c r="I284" s="293"/>
      <c r="J284" s="293"/>
      <c r="K284" s="293"/>
      <c r="L284" s="293"/>
      <c r="M284" s="294"/>
      <c r="N284" s="577">
        <v>0</v>
      </c>
      <c r="O284" s="294"/>
      <c r="P284" s="294">
        <v>0</v>
      </c>
      <c r="Q284" s="294">
        <v>1529032</v>
      </c>
      <c r="R284" s="295">
        <v>7178985</v>
      </c>
      <c r="S284" s="245"/>
      <c r="T284" s="314"/>
      <c r="X284" s="295"/>
      <c r="Y284" s="353"/>
      <c r="AA284" s="239">
        <f t="shared" si="16"/>
        <v>0</v>
      </c>
    </row>
    <row r="285" spans="1:27" s="242" customFormat="1" ht="26.25" customHeight="1">
      <c r="A285" s="309" t="s">
        <v>243</v>
      </c>
      <c r="B285" s="343">
        <v>2</v>
      </c>
      <c r="C285" s="341"/>
      <c r="D285" s="315"/>
      <c r="E285" s="315"/>
      <c r="F285" s="315"/>
      <c r="G285" s="315"/>
      <c r="H285" s="315"/>
      <c r="I285" s="315"/>
      <c r="J285" s="315"/>
      <c r="K285" s="315"/>
      <c r="L285" s="315"/>
      <c r="M285" s="342"/>
      <c r="N285" s="530">
        <v>0</v>
      </c>
      <c r="O285" s="530"/>
      <c r="P285" s="342">
        <v>0</v>
      </c>
      <c r="Q285" s="342">
        <v>923790</v>
      </c>
      <c r="R285" s="318">
        <v>6393145</v>
      </c>
      <c r="S285" s="245"/>
      <c r="T285" s="314"/>
      <c r="X285" s="318"/>
      <c r="Y285" s="353"/>
      <c r="AA285" s="239">
        <f t="shared" si="16"/>
        <v>0</v>
      </c>
    </row>
    <row r="286" spans="1:27" ht="26.25" customHeight="1" thickBot="1">
      <c r="A286" s="309"/>
      <c r="B286" s="343"/>
      <c r="C286" s="341"/>
      <c r="D286" s="315"/>
      <c r="E286" s="315"/>
      <c r="F286" s="315"/>
      <c r="G286" s="315"/>
      <c r="H286" s="315"/>
      <c r="I286" s="315"/>
      <c r="J286" s="315"/>
      <c r="K286" s="315"/>
      <c r="L286" s="315"/>
      <c r="M286" s="342"/>
      <c r="N286" s="342"/>
      <c r="O286" s="342"/>
      <c r="P286" s="342"/>
      <c r="Q286" s="342"/>
      <c r="R286" s="296"/>
      <c r="S286" s="248"/>
      <c r="T286" s="311"/>
      <c r="X286" s="296"/>
      <c r="AA286" s="239">
        <f t="shared" si="16"/>
        <v>0</v>
      </c>
    </row>
    <row r="287" spans="1:27" ht="36" customHeight="1" thickTop="1" thickBot="1">
      <c r="A287" s="319" t="s">
        <v>62</v>
      </c>
      <c r="B287" s="414">
        <f>SUM(B265:B286)</f>
        <v>298</v>
      </c>
      <c r="C287" s="414">
        <f t="shared" ref="C287:R287" si="17">SUM(C265:C286)</f>
        <v>0</v>
      </c>
      <c r="D287" s="414">
        <f t="shared" si="17"/>
        <v>0</v>
      </c>
      <c r="E287" s="414">
        <f t="shared" si="17"/>
        <v>0</v>
      </c>
      <c r="F287" s="414">
        <f t="shared" si="17"/>
        <v>0</v>
      </c>
      <c r="G287" s="414">
        <f t="shared" si="17"/>
        <v>0</v>
      </c>
      <c r="H287" s="414">
        <f t="shared" si="17"/>
        <v>0</v>
      </c>
      <c r="I287" s="414">
        <f t="shared" si="17"/>
        <v>0</v>
      </c>
      <c r="J287" s="414">
        <f t="shared" si="17"/>
        <v>0</v>
      </c>
      <c r="K287" s="414">
        <f t="shared" si="17"/>
        <v>0</v>
      </c>
      <c r="L287" s="414">
        <f t="shared" si="17"/>
        <v>0</v>
      </c>
      <c r="M287" s="414">
        <f t="shared" si="17"/>
        <v>0</v>
      </c>
      <c r="N287" s="414">
        <f t="shared" si="17"/>
        <v>211874</v>
      </c>
      <c r="O287" s="414">
        <f t="shared" si="17"/>
        <v>0</v>
      </c>
      <c r="P287" s="414">
        <f t="shared" si="17"/>
        <v>101443308</v>
      </c>
      <c r="Q287" s="414">
        <f t="shared" si="17"/>
        <v>21395121</v>
      </c>
      <c r="R287" s="414">
        <f t="shared" si="17"/>
        <v>831173927</v>
      </c>
      <c r="X287" s="320" t="e">
        <f>#REF!+X283+X285</f>
        <v>#REF!</v>
      </c>
      <c r="AA287" s="218">
        <f>SUM(AA265:AA286)</f>
        <v>105983808</v>
      </c>
    </row>
    <row r="288" spans="1:27" ht="17.25" customHeight="1" thickTop="1">
      <c r="A288" s="216"/>
      <c r="B288" s="278"/>
    </row>
    <row r="289" spans="1:35" ht="17.25" customHeight="1">
      <c r="A289" s="216"/>
      <c r="B289" s="278"/>
    </row>
    <row r="290" spans="1:35" ht="17.25" customHeight="1">
      <c r="A290" s="216"/>
      <c r="B290" s="278"/>
    </row>
    <row r="291" spans="1:35" ht="17.25" customHeight="1">
      <c r="A291" s="216"/>
      <c r="B291" s="278"/>
    </row>
    <row r="292" spans="1:35" ht="17.25" customHeight="1">
      <c r="A292" s="216"/>
      <c r="B292" s="278"/>
    </row>
    <row r="293" spans="1:35" ht="17.25" customHeight="1">
      <c r="A293" s="336" t="s">
        <v>198</v>
      </c>
      <c r="B293" s="566"/>
      <c r="C293" s="337"/>
      <c r="D293" s="1173" t="s">
        <v>81</v>
      </c>
      <c r="E293" s="1173"/>
      <c r="F293" s="1173"/>
      <c r="G293" s="1173"/>
      <c r="H293" s="337"/>
      <c r="I293" s="337"/>
      <c r="J293" s="1173" t="s">
        <v>82</v>
      </c>
      <c r="K293" s="1173"/>
      <c r="L293" s="1173"/>
      <c r="M293" s="1173"/>
      <c r="N293" s="1173"/>
      <c r="O293" s="1173"/>
      <c r="P293" s="1173"/>
      <c r="Q293" s="1173"/>
      <c r="R293" s="1173"/>
    </row>
    <row r="294" spans="1:35" ht="17.25" customHeight="1">
      <c r="A294" s="336"/>
      <c r="B294" s="566"/>
      <c r="C294" s="337"/>
      <c r="D294" s="337"/>
      <c r="E294" s="337"/>
      <c r="F294" s="337"/>
      <c r="G294" s="337"/>
      <c r="H294" s="337"/>
      <c r="I294" s="337"/>
      <c r="J294" s="337"/>
      <c r="K294" s="337"/>
      <c r="L294" s="337"/>
      <c r="M294" s="337"/>
      <c r="N294" s="337"/>
      <c r="O294" s="337"/>
      <c r="P294" s="337"/>
      <c r="Q294" s="337"/>
      <c r="R294" s="337"/>
    </row>
    <row r="295" spans="1:35" ht="17.25" customHeight="1">
      <c r="A295" s="336"/>
      <c r="B295" s="566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N295" s="337"/>
      <c r="O295" s="337"/>
      <c r="P295" s="337"/>
      <c r="Q295" s="337"/>
      <c r="R295" s="337"/>
      <c r="X295" s="339">
        <f>2645226-55109-27554-27554</f>
        <v>2535009</v>
      </c>
    </row>
    <row r="296" spans="1:35" ht="17.25" customHeight="1">
      <c r="A296" s="336"/>
      <c r="B296" s="566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N296" s="337"/>
      <c r="O296" s="337"/>
      <c r="P296" s="337"/>
      <c r="Q296" s="337"/>
      <c r="R296" s="337"/>
    </row>
    <row r="297" spans="1:35" ht="17.25" customHeight="1">
      <c r="B297" s="566"/>
      <c r="C297" s="337"/>
      <c r="D297" s="1173"/>
      <c r="E297" s="1173"/>
      <c r="F297" s="1173"/>
      <c r="G297" s="1173"/>
      <c r="H297" s="337"/>
      <c r="I297" s="337"/>
      <c r="J297" s="1173"/>
      <c r="K297" s="1173"/>
      <c r="L297" s="1173"/>
      <c r="M297" s="1173"/>
      <c r="N297" s="1173"/>
      <c r="O297" s="1173"/>
      <c r="P297" s="1173"/>
      <c r="Q297" s="1173"/>
      <c r="R297" s="1173"/>
    </row>
    <row r="298" spans="1:35" ht="17.25" customHeight="1"/>
    <row r="299" spans="1:35" ht="17.25" customHeight="1">
      <c r="A299" s="336"/>
      <c r="J299" s="1202"/>
      <c r="K299" s="1202"/>
    </row>
    <row r="300" spans="1:35" s="339" customFormat="1" ht="17.25" customHeight="1">
      <c r="A300" s="215" t="str">
        <f>A259</f>
        <v>PT. REBINMAS JAYA</v>
      </c>
      <c r="B300" s="216"/>
      <c r="C300" s="217"/>
      <c r="D300" s="217"/>
      <c r="E300" s="217"/>
      <c r="F300" s="217"/>
      <c r="G300" s="217"/>
      <c r="H300" s="217"/>
      <c r="I300" s="217"/>
      <c r="J300" s="278"/>
      <c r="K300" s="278"/>
      <c r="L300" s="217"/>
      <c r="M300" s="217"/>
      <c r="N300" s="217"/>
      <c r="O300" s="217"/>
      <c r="P300" s="217"/>
      <c r="Q300" s="217"/>
      <c r="R300" s="217"/>
      <c r="S300" s="215"/>
      <c r="T300" s="215"/>
      <c r="U300" s="215"/>
      <c r="V300" s="215"/>
      <c r="W300" s="215"/>
      <c r="Z300" s="215"/>
      <c r="AA300" s="215"/>
      <c r="AB300" s="215"/>
      <c r="AC300" s="215"/>
      <c r="AD300" s="215"/>
      <c r="AE300" s="215"/>
      <c r="AF300" s="215"/>
      <c r="AG300" s="215"/>
      <c r="AH300" s="215"/>
      <c r="AI300" s="215"/>
    </row>
    <row r="301" spans="1:35" s="339" customFormat="1" ht="17.25" customHeight="1">
      <c r="A301" s="215" t="str">
        <f>A38</f>
        <v>DENOMINATION FOR JULI 2018</v>
      </c>
      <c r="B301" s="216"/>
      <c r="C301" s="217"/>
      <c r="D301" s="217"/>
      <c r="E301" s="217"/>
      <c r="F301" s="217"/>
      <c r="G301" s="217"/>
      <c r="H301" s="217"/>
      <c r="I301" s="217"/>
      <c r="J301" s="278"/>
      <c r="K301" s="278"/>
      <c r="L301" s="217"/>
      <c r="M301" s="217"/>
      <c r="N301" s="217"/>
      <c r="O301" s="217"/>
      <c r="P301" s="217"/>
      <c r="Q301" s="217"/>
      <c r="R301" s="217"/>
      <c r="S301" s="215"/>
      <c r="T301" s="215"/>
      <c r="U301" s="215"/>
      <c r="V301" s="215"/>
      <c r="W301" s="215"/>
      <c r="Z301" s="215"/>
      <c r="AA301" s="215"/>
      <c r="AB301" s="215"/>
      <c r="AC301" s="215"/>
      <c r="AD301" s="215"/>
      <c r="AE301" s="215"/>
      <c r="AF301" s="215"/>
      <c r="AG301" s="215"/>
      <c r="AH301" s="215"/>
      <c r="AI301" s="215"/>
    </row>
    <row r="302" spans="1:35" s="339" customFormat="1" ht="63.75" customHeight="1" thickBot="1">
      <c r="A302" s="215"/>
      <c r="B302" s="216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5"/>
      <c r="T302" s="215"/>
      <c r="U302" s="215"/>
      <c r="V302" s="215"/>
      <c r="W302" s="215"/>
      <c r="Z302" s="215"/>
      <c r="AA302" s="215"/>
      <c r="AB302" s="215"/>
      <c r="AC302" s="215"/>
      <c r="AD302" s="215"/>
      <c r="AE302" s="215"/>
      <c r="AF302" s="215"/>
      <c r="AG302" s="215"/>
      <c r="AH302" s="215"/>
      <c r="AI302" s="215"/>
    </row>
    <row r="303" spans="1:35" s="339" customFormat="1" ht="27" customHeight="1" thickTop="1">
      <c r="A303" s="1176" t="s">
        <v>1</v>
      </c>
      <c r="B303" s="1183" t="s">
        <v>15</v>
      </c>
      <c r="C303" s="219"/>
      <c r="D303" s="220"/>
      <c r="E303" s="220"/>
      <c r="F303" s="220"/>
      <c r="G303" s="220"/>
      <c r="H303" s="220"/>
      <c r="I303" s="220"/>
      <c r="J303" s="220"/>
      <c r="K303" s="220"/>
      <c r="L303" s="220"/>
      <c r="M303" s="574" t="str">
        <f>M6</f>
        <v>Pot.</v>
      </c>
      <c r="N303" s="568" t="s">
        <v>145</v>
      </c>
      <c r="O303" s="568" t="s">
        <v>253</v>
      </c>
      <c r="P303" s="1174" t="str">
        <f>P262</f>
        <v>TOTAL PREMI</v>
      </c>
      <c r="Q303" s="1174" t="str">
        <f>Q262</f>
        <v>TOTAL LEMBUR</v>
      </c>
      <c r="R303" s="1171" t="s">
        <v>3</v>
      </c>
      <c r="S303" s="215"/>
      <c r="T303" s="215"/>
      <c r="U303" s="215"/>
      <c r="V303" s="215"/>
      <c r="W303" s="215"/>
      <c r="X303" s="1171" t="s">
        <v>259</v>
      </c>
      <c r="Z303" s="215"/>
      <c r="AA303" s="215"/>
      <c r="AB303" s="215"/>
      <c r="AC303" s="215"/>
      <c r="AD303" s="215"/>
      <c r="AE303" s="215"/>
      <c r="AF303" s="215"/>
      <c r="AG303" s="215"/>
      <c r="AH303" s="215"/>
      <c r="AI303" s="215"/>
    </row>
    <row r="304" spans="1:35" s="339" customFormat="1" ht="27" customHeight="1" thickBot="1">
      <c r="A304" s="1177"/>
      <c r="B304" s="1184"/>
      <c r="C304" s="223">
        <v>100000</v>
      </c>
      <c r="D304" s="223">
        <v>50000</v>
      </c>
      <c r="E304" s="223">
        <v>20000</v>
      </c>
      <c r="F304" s="223">
        <v>10000</v>
      </c>
      <c r="G304" s="223">
        <v>5000</v>
      </c>
      <c r="H304" s="223">
        <v>1000</v>
      </c>
      <c r="I304" s="223">
        <v>500</v>
      </c>
      <c r="J304" s="223">
        <v>100</v>
      </c>
      <c r="K304" s="223">
        <v>50</v>
      </c>
      <c r="L304" s="223" t="s">
        <v>2</v>
      </c>
      <c r="M304" s="575" t="str">
        <f>M7</f>
        <v>Pinjaman</v>
      </c>
      <c r="N304" s="569" t="str">
        <f>N263</f>
        <v>(MASA JUNI  - 2018)</v>
      </c>
      <c r="O304" s="569" t="s">
        <v>254</v>
      </c>
      <c r="P304" s="1175"/>
      <c r="Q304" s="1175"/>
      <c r="R304" s="1172"/>
      <c r="S304" s="215"/>
      <c r="T304" s="215"/>
      <c r="U304" s="215"/>
      <c r="V304" s="215"/>
      <c r="W304" s="215"/>
      <c r="X304" s="1172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</row>
    <row r="305" spans="1:35" s="339" customFormat="1" ht="27" customHeight="1" thickTop="1">
      <c r="A305" s="387"/>
      <c r="B305" s="388"/>
      <c r="C305" s="389"/>
      <c r="D305" s="306"/>
      <c r="E305" s="306"/>
      <c r="F305" s="306"/>
      <c r="G305" s="306"/>
      <c r="H305" s="306"/>
      <c r="I305" s="306"/>
      <c r="J305" s="306"/>
      <c r="K305" s="306"/>
      <c r="L305" s="306"/>
      <c r="M305" s="307"/>
      <c r="N305" s="307"/>
      <c r="O305" s="307"/>
      <c r="P305" s="307"/>
      <c r="Q305" s="307"/>
      <c r="R305" s="308"/>
      <c r="S305" s="215"/>
      <c r="T305" s="215"/>
      <c r="U305" s="215"/>
      <c r="V305" s="215"/>
      <c r="W305" s="215"/>
      <c r="X305" s="308"/>
      <c r="Z305" s="215"/>
      <c r="AA305" s="215"/>
      <c r="AB305" s="215"/>
      <c r="AC305" s="215"/>
      <c r="AD305" s="215"/>
      <c r="AE305" s="215"/>
      <c r="AF305" s="215"/>
      <c r="AG305" s="215"/>
      <c r="AH305" s="215"/>
      <c r="AI305" s="215"/>
    </row>
    <row r="306" spans="1:35" s="339" customFormat="1" ht="27" customHeight="1">
      <c r="A306" s="234" t="s">
        <v>76</v>
      </c>
      <c r="B306" s="243">
        <v>9</v>
      </c>
      <c r="C306" s="237"/>
      <c r="D306" s="236"/>
      <c r="E306" s="236"/>
      <c r="F306" s="236"/>
      <c r="G306" s="236"/>
      <c r="H306" s="236"/>
      <c r="I306" s="236"/>
      <c r="J306" s="236"/>
      <c r="K306" s="236"/>
      <c r="L306" s="236"/>
      <c r="M306" s="260"/>
      <c r="N306" s="577">
        <v>0</v>
      </c>
      <c r="O306" s="577"/>
      <c r="P306" s="577">
        <v>0</v>
      </c>
      <c r="Q306" s="260">
        <v>7438103</v>
      </c>
      <c r="R306" s="247">
        <v>32319550</v>
      </c>
      <c r="S306" s="215"/>
      <c r="T306" s="215"/>
      <c r="U306" s="215"/>
      <c r="V306" s="215"/>
      <c r="W306" s="215"/>
      <c r="X306" s="247"/>
      <c r="Z306" s="215"/>
      <c r="AA306" s="215"/>
      <c r="AB306" s="215"/>
      <c r="AC306" s="215"/>
      <c r="AD306" s="215"/>
      <c r="AE306" s="215"/>
      <c r="AF306" s="215"/>
      <c r="AG306" s="215"/>
      <c r="AH306" s="215"/>
      <c r="AI306" s="215"/>
    </row>
    <row r="307" spans="1:35" s="339" customFormat="1" ht="27" customHeight="1">
      <c r="A307" s="276"/>
      <c r="B307" s="243"/>
      <c r="C307" s="237"/>
      <c r="D307" s="236"/>
      <c r="E307" s="236"/>
      <c r="F307" s="236"/>
      <c r="G307" s="236"/>
      <c r="H307" s="236"/>
      <c r="I307" s="236"/>
      <c r="J307" s="236"/>
      <c r="K307" s="236"/>
      <c r="L307" s="236"/>
      <c r="M307" s="260"/>
      <c r="N307" s="577"/>
      <c r="O307" s="577"/>
      <c r="P307" s="577"/>
      <c r="Q307" s="260"/>
      <c r="R307" s="247"/>
      <c r="S307" s="215"/>
      <c r="T307" s="215"/>
      <c r="U307" s="215"/>
      <c r="V307" s="215"/>
      <c r="W307" s="215"/>
      <c r="X307" s="247"/>
      <c r="Z307" s="215"/>
      <c r="AA307" s="215"/>
      <c r="AB307" s="215"/>
      <c r="AC307" s="215"/>
      <c r="AD307" s="215"/>
      <c r="AE307" s="215"/>
      <c r="AF307" s="215"/>
      <c r="AG307" s="215"/>
      <c r="AH307" s="215"/>
      <c r="AI307" s="215"/>
    </row>
    <row r="308" spans="1:35" s="339" customFormat="1" ht="27" customHeight="1">
      <c r="A308" s="234"/>
      <c r="B308" s="382"/>
      <c r="C308" s="390"/>
      <c r="D308" s="385"/>
      <c r="E308" s="385"/>
      <c r="F308" s="385"/>
      <c r="G308" s="385"/>
      <c r="H308" s="385"/>
      <c r="I308" s="385"/>
      <c r="J308" s="385"/>
      <c r="K308" s="385"/>
      <c r="L308" s="385"/>
      <c r="M308" s="302"/>
      <c r="N308" s="524"/>
      <c r="O308" s="524"/>
      <c r="P308" s="524"/>
      <c r="Q308" s="302"/>
      <c r="R308" s="247"/>
      <c r="S308" s="215"/>
      <c r="T308" s="215"/>
      <c r="U308" s="215"/>
      <c r="V308" s="215"/>
      <c r="W308" s="215"/>
      <c r="X308" s="247"/>
      <c r="Z308" s="215"/>
      <c r="AA308" s="215"/>
      <c r="AB308" s="215"/>
      <c r="AC308" s="215"/>
      <c r="AD308" s="215"/>
      <c r="AE308" s="215"/>
      <c r="AF308" s="215"/>
      <c r="AG308" s="215"/>
      <c r="AH308" s="215"/>
      <c r="AI308" s="215"/>
    </row>
    <row r="309" spans="1:35" s="339" customFormat="1" ht="27" customHeight="1" thickBot="1">
      <c r="A309" s="330"/>
      <c r="B309" s="331"/>
      <c r="C309" s="332"/>
      <c r="D309" s="333"/>
      <c r="E309" s="333"/>
      <c r="F309" s="333"/>
      <c r="G309" s="333"/>
      <c r="H309" s="333"/>
      <c r="I309" s="333"/>
      <c r="J309" s="333"/>
      <c r="K309" s="333"/>
      <c r="L309" s="333"/>
      <c r="M309" s="334"/>
      <c r="N309" s="534"/>
      <c r="O309" s="534"/>
      <c r="P309" s="534"/>
      <c r="Q309" s="334"/>
      <c r="R309" s="335"/>
      <c r="S309" s="215"/>
      <c r="T309" s="215"/>
      <c r="U309" s="215"/>
      <c r="V309" s="215"/>
      <c r="W309" s="215"/>
      <c r="X309" s="335"/>
      <c r="Z309" s="215"/>
      <c r="AA309" s="215"/>
      <c r="AB309" s="215"/>
      <c r="AC309" s="215"/>
      <c r="AD309" s="215"/>
      <c r="AE309" s="215"/>
      <c r="AF309" s="215"/>
      <c r="AG309" s="215"/>
      <c r="AH309" s="215"/>
      <c r="AI309" s="215"/>
    </row>
    <row r="310" spans="1:35" s="339" customFormat="1" ht="27" customHeight="1" thickTop="1" thickBot="1">
      <c r="A310" s="261" t="s">
        <v>3</v>
      </c>
      <c r="B310" s="567">
        <f t="shared" ref="B310:R310" si="18">SUM(B305:B309)</f>
        <v>9</v>
      </c>
      <c r="C310" s="567">
        <f t="shared" si="18"/>
        <v>0</v>
      </c>
      <c r="D310" s="567">
        <f t="shared" si="18"/>
        <v>0</v>
      </c>
      <c r="E310" s="567">
        <f t="shared" si="18"/>
        <v>0</v>
      </c>
      <c r="F310" s="567">
        <f t="shared" si="18"/>
        <v>0</v>
      </c>
      <c r="G310" s="567">
        <f t="shared" si="18"/>
        <v>0</v>
      </c>
      <c r="H310" s="567">
        <f t="shared" si="18"/>
        <v>0</v>
      </c>
      <c r="I310" s="567">
        <f t="shared" si="18"/>
        <v>0</v>
      </c>
      <c r="J310" s="567">
        <f t="shared" si="18"/>
        <v>0</v>
      </c>
      <c r="K310" s="567">
        <f t="shared" si="18"/>
        <v>0</v>
      </c>
      <c r="L310" s="567">
        <f t="shared" si="18"/>
        <v>0</v>
      </c>
      <c r="M310" s="567">
        <f t="shared" si="18"/>
        <v>0</v>
      </c>
      <c r="N310" s="567">
        <f t="shared" si="18"/>
        <v>0</v>
      </c>
      <c r="O310" s="567">
        <f t="shared" si="18"/>
        <v>0</v>
      </c>
      <c r="P310" s="567">
        <f t="shared" si="18"/>
        <v>0</v>
      </c>
      <c r="Q310" s="265">
        <f t="shared" si="18"/>
        <v>7438103</v>
      </c>
      <c r="R310" s="265">
        <f t="shared" si="18"/>
        <v>32319550</v>
      </c>
      <c r="S310" s="215"/>
      <c r="T310" s="215"/>
      <c r="U310" s="215"/>
      <c r="V310" s="215"/>
      <c r="W310" s="215"/>
      <c r="X310" s="265"/>
      <c r="Z310" s="215"/>
      <c r="AA310" s="215"/>
      <c r="AB310" s="215"/>
      <c r="AC310" s="215"/>
      <c r="AD310" s="215"/>
      <c r="AE310" s="215"/>
      <c r="AF310" s="215"/>
      <c r="AG310" s="215"/>
      <c r="AH310" s="215"/>
      <c r="AI310" s="215"/>
    </row>
    <row r="311" spans="1:35" s="339" customFormat="1" ht="17.25" customHeight="1" thickTop="1">
      <c r="A311" s="336"/>
      <c r="B311" s="566"/>
      <c r="C311" s="337"/>
      <c r="D311" s="337"/>
      <c r="E311" s="337"/>
      <c r="F311" s="337"/>
      <c r="G311" s="337"/>
      <c r="H311" s="337"/>
      <c r="I311" s="337"/>
      <c r="J311" s="337"/>
      <c r="K311" s="337"/>
      <c r="L311" s="337"/>
      <c r="M311" s="337"/>
      <c r="N311" s="337"/>
      <c r="O311" s="337"/>
      <c r="P311" s="337"/>
      <c r="Q311" s="337"/>
      <c r="R311" s="337"/>
      <c r="S311" s="215"/>
      <c r="T311" s="215"/>
      <c r="U311" s="215"/>
      <c r="V311" s="215"/>
      <c r="W311" s="215"/>
      <c r="Z311" s="215"/>
      <c r="AA311" s="215"/>
      <c r="AB311" s="215"/>
      <c r="AC311" s="215"/>
      <c r="AD311" s="215"/>
      <c r="AE311" s="215"/>
      <c r="AF311" s="215"/>
      <c r="AG311" s="215"/>
      <c r="AH311" s="215"/>
      <c r="AI311" s="215"/>
    </row>
    <row r="312" spans="1:35" s="339" customFormat="1" ht="17.25" customHeight="1">
      <c r="A312" s="336"/>
      <c r="B312" s="566"/>
      <c r="C312" s="337"/>
      <c r="D312" s="337"/>
      <c r="E312" s="337"/>
      <c r="F312" s="337"/>
      <c r="G312" s="337"/>
      <c r="H312" s="337"/>
      <c r="I312" s="337"/>
      <c r="J312" s="337"/>
      <c r="K312" s="337"/>
      <c r="L312" s="337"/>
      <c r="M312" s="337"/>
      <c r="N312" s="337"/>
      <c r="O312" s="337"/>
      <c r="P312" s="337"/>
      <c r="Q312" s="337"/>
      <c r="R312" s="337"/>
      <c r="S312" s="215"/>
      <c r="T312" s="215"/>
      <c r="U312" s="215"/>
      <c r="V312" s="215"/>
      <c r="W312" s="215"/>
      <c r="Z312" s="215"/>
      <c r="AA312" s="215"/>
      <c r="AB312" s="215"/>
      <c r="AC312" s="215"/>
      <c r="AD312" s="215"/>
      <c r="AE312" s="215"/>
      <c r="AF312" s="215"/>
      <c r="AG312" s="215"/>
      <c r="AH312" s="215"/>
      <c r="AI312" s="215"/>
    </row>
    <row r="313" spans="1:35" s="339" customFormat="1" ht="17.25" customHeight="1">
      <c r="A313" s="336"/>
      <c r="B313" s="566"/>
      <c r="C313" s="337"/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  <c r="N313" s="337"/>
      <c r="O313" s="337"/>
      <c r="P313" s="337"/>
      <c r="Q313" s="337"/>
      <c r="R313" s="337"/>
      <c r="S313" s="215"/>
      <c r="T313" s="215"/>
      <c r="U313" s="215"/>
      <c r="V313" s="215"/>
      <c r="W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</row>
    <row r="314" spans="1:35" s="339" customFormat="1" ht="17.25" customHeight="1">
      <c r="A314" s="336"/>
      <c r="B314" s="566"/>
      <c r="C314" s="337"/>
      <c r="D314" s="337"/>
      <c r="E314" s="337"/>
      <c r="F314" s="337"/>
      <c r="G314" s="337"/>
      <c r="H314" s="337"/>
      <c r="I314" s="337"/>
      <c r="J314" s="337"/>
      <c r="K314" s="337"/>
      <c r="L314" s="337"/>
      <c r="M314" s="337"/>
      <c r="N314" s="337"/>
      <c r="O314" s="337"/>
      <c r="P314" s="337"/>
      <c r="Q314" s="337"/>
      <c r="R314" s="337"/>
      <c r="S314" s="215"/>
      <c r="T314" s="215"/>
      <c r="U314" s="215"/>
      <c r="V314" s="215"/>
      <c r="W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</row>
    <row r="315" spans="1:35" s="339" customFormat="1" ht="17.25" customHeight="1">
      <c r="A315" s="336"/>
      <c r="B315" s="566"/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N315" s="337"/>
      <c r="O315" s="337"/>
      <c r="P315" s="337"/>
      <c r="Q315" s="337"/>
      <c r="R315" s="337"/>
      <c r="S315" s="215"/>
      <c r="T315" s="215"/>
      <c r="U315" s="215"/>
      <c r="V315" s="215"/>
      <c r="W315" s="215"/>
      <c r="Z315" s="215"/>
      <c r="AA315" s="215"/>
      <c r="AB315" s="215"/>
      <c r="AC315" s="215"/>
      <c r="AD315" s="215"/>
      <c r="AE315" s="215"/>
      <c r="AF315" s="215"/>
      <c r="AG315" s="215"/>
      <c r="AH315" s="215"/>
      <c r="AI315" s="215"/>
    </row>
    <row r="316" spans="1:35" ht="17.25" customHeight="1">
      <c r="A316" s="336" t="s">
        <v>207</v>
      </c>
      <c r="B316" s="566"/>
      <c r="C316" s="337"/>
      <c r="D316" s="1173" t="s">
        <v>81</v>
      </c>
      <c r="E316" s="1173"/>
      <c r="F316" s="1173"/>
      <c r="G316" s="1173"/>
      <c r="H316" s="337"/>
      <c r="I316" s="337"/>
      <c r="J316" s="1173" t="s">
        <v>82</v>
      </c>
      <c r="K316" s="1173"/>
      <c r="L316" s="1173"/>
      <c r="M316" s="1173"/>
      <c r="N316" s="1173"/>
      <c r="O316" s="1173"/>
      <c r="P316" s="1173"/>
      <c r="Q316" s="1173"/>
      <c r="R316" s="1173"/>
    </row>
    <row r="317" spans="1:35" ht="17.25" customHeight="1">
      <c r="A317" s="336"/>
      <c r="B317" s="566"/>
      <c r="C317" s="337"/>
      <c r="D317" s="337"/>
      <c r="E317" s="337"/>
      <c r="F317" s="337"/>
      <c r="G317" s="337"/>
      <c r="H317" s="337"/>
      <c r="I317" s="337"/>
      <c r="J317" s="337"/>
      <c r="K317" s="337"/>
      <c r="L317" s="337"/>
      <c r="M317" s="337"/>
      <c r="N317" s="337"/>
      <c r="O317" s="337"/>
      <c r="P317" s="337"/>
      <c r="Q317" s="337"/>
      <c r="R317" s="337"/>
    </row>
    <row r="318" spans="1:35" ht="17.25" customHeight="1">
      <c r="A318" s="336"/>
      <c r="B318" s="566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N318" s="337" t="s">
        <v>144</v>
      </c>
      <c r="O318" s="337"/>
      <c r="P318" s="337"/>
      <c r="Q318" s="337"/>
      <c r="R318" s="337"/>
    </row>
    <row r="319" spans="1:35" ht="17.25" customHeight="1">
      <c r="A319" s="336"/>
      <c r="B319" s="566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N319" s="337"/>
      <c r="O319" s="337"/>
      <c r="P319" s="337"/>
      <c r="Q319" s="337"/>
      <c r="R319" s="337"/>
    </row>
    <row r="320" spans="1:35" ht="17.25" customHeight="1">
      <c r="A320" s="336"/>
      <c r="B320" s="566"/>
      <c r="C320" s="337"/>
      <c r="D320" s="1173"/>
      <c r="E320" s="1173"/>
      <c r="F320" s="1173"/>
      <c r="G320" s="1173"/>
      <c r="H320" s="337"/>
      <c r="I320" s="337"/>
      <c r="J320" s="1173"/>
      <c r="K320" s="1173"/>
      <c r="L320" s="1173"/>
      <c r="M320" s="1173"/>
      <c r="N320" s="1173"/>
      <c r="O320" s="1173"/>
      <c r="P320" s="1173"/>
      <c r="Q320" s="1173"/>
      <c r="R320" s="1173"/>
    </row>
    <row r="321" spans="1:27" ht="17.25" customHeight="1">
      <c r="A321" s="336"/>
      <c r="B321" s="566"/>
      <c r="C321" s="337"/>
      <c r="D321" s="337"/>
      <c r="E321" s="337"/>
      <c r="F321" s="337"/>
      <c r="G321" s="337"/>
      <c r="H321" s="337"/>
      <c r="I321" s="337"/>
      <c r="J321" s="337"/>
      <c r="K321" s="337"/>
      <c r="L321" s="337"/>
      <c r="M321" s="337"/>
      <c r="N321" s="337"/>
      <c r="O321" s="337"/>
      <c r="P321" s="337"/>
      <c r="Q321" s="337"/>
      <c r="R321" s="337"/>
    </row>
    <row r="322" spans="1:27" ht="17.25" customHeight="1"/>
    <row r="323" spans="1:27" ht="23.25" customHeight="1"/>
    <row r="324" spans="1:27" ht="23.25" customHeight="1"/>
    <row r="325" spans="1:27" ht="23.25" customHeight="1">
      <c r="A325" s="215" t="str">
        <f>A37</f>
        <v>PT. REBINMAS JAYA</v>
      </c>
    </row>
    <row r="326" spans="1:27" ht="23.25" customHeight="1">
      <c r="A326" s="215" t="str">
        <f>A4</f>
        <v>DENOMINATION FOR JULI 2018</v>
      </c>
    </row>
    <row r="327" spans="1:27" ht="63.75" customHeight="1" thickBot="1"/>
    <row r="328" spans="1:27" ht="27" customHeight="1" thickTop="1">
      <c r="A328" s="1176" t="s">
        <v>1</v>
      </c>
      <c r="B328" s="1183" t="s">
        <v>15</v>
      </c>
      <c r="C328" s="219"/>
      <c r="D328" s="220"/>
      <c r="E328" s="220"/>
      <c r="F328" s="220"/>
      <c r="G328" s="220"/>
      <c r="H328" s="220"/>
      <c r="I328" s="220"/>
      <c r="J328" s="220"/>
      <c r="K328" s="220"/>
      <c r="L328" s="220"/>
      <c r="M328" s="574" t="str">
        <f>M6</f>
        <v>Pot.</v>
      </c>
      <c r="N328" s="568" t="s">
        <v>145</v>
      </c>
      <c r="O328" s="568" t="s">
        <v>253</v>
      </c>
      <c r="P328" s="1174" t="str">
        <f>P303</f>
        <v>TOTAL PREMI</v>
      </c>
      <c r="Q328" s="1174" t="str">
        <f>Q303</f>
        <v>TOTAL LEMBUR</v>
      </c>
      <c r="R328" s="1171" t="s">
        <v>3</v>
      </c>
      <c r="X328" s="1171" t="s">
        <v>259</v>
      </c>
    </row>
    <row r="329" spans="1:27" ht="27" customHeight="1" thickBot="1">
      <c r="A329" s="1177"/>
      <c r="B329" s="1184"/>
      <c r="C329" s="223">
        <v>100000</v>
      </c>
      <c r="D329" s="223">
        <v>50000</v>
      </c>
      <c r="E329" s="223">
        <v>20000</v>
      </c>
      <c r="F329" s="223">
        <v>10000</v>
      </c>
      <c r="G329" s="223">
        <v>5000</v>
      </c>
      <c r="H329" s="223">
        <v>1000</v>
      </c>
      <c r="I329" s="223">
        <v>500</v>
      </c>
      <c r="J329" s="223">
        <v>100</v>
      </c>
      <c r="K329" s="223">
        <v>50</v>
      </c>
      <c r="L329" s="223" t="s">
        <v>2</v>
      </c>
      <c r="M329" s="575" t="str">
        <f>M7</f>
        <v>Pinjaman</v>
      </c>
      <c r="N329" s="569" t="str">
        <f>N304</f>
        <v>(MASA JUNI  - 2018)</v>
      </c>
      <c r="O329" s="569" t="s">
        <v>254</v>
      </c>
      <c r="P329" s="1175"/>
      <c r="Q329" s="1175"/>
      <c r="R329" s="1172"/>
      <c r="X329" s="1172"/>
      <c r="AA329" s="215" t="s">
        <v>326</v>
      </c>
    </row>
    <row r="330" spans="1:27" ht="27" customHeight="1" thickTop="1">
      <c r="A330" s="323"/>
      <c r="B330" s="324"/>
      <c r="C330" s="325"/>
      <c r="D330" s="326"/>
      <c r="E330" s="326"/>
      <c r="F330" s="326"/>
      <c r="G330" s="326"/>
      <c r="H330" s="326"/>
      <c r="I330" s="326"/>
      <c r="J330" s="326"/>
      <c r="K330" s="326"/>
      <c r="L330" s="326"/>
      <c r="M330" s="327"/>
      <c r="N330" s="327"/>
      <c r="O330" s="327"/>
      <c r="P330" s="327"/>
      <c r="Q330" s="327"/>
      <c r="R330" s="328"/>
      <c r="X330" s="328"/>
    </row>
    <row r="331" spans="1:27" s="242" customFormat="1" ht="27" customHeight="1">
      <c r="A331" s="234" t="s">
        <v>31</v>
      </c>
      <c r="B331" s="292">
        <v>4</v>
      </c>
      <c r="C331" s="293"/>
      <c r="D331" s="293"/>
      <c r="E331" s="293"/>
      <c r="F331" s="293"/>
      <c r="G331" s="293"/>
      <c r="H331" s="293"/>
      <c r="I331" s="293"/>
      <c r="J331" s="293"/>
      <c r="K331" s="293"/>
      <c r="L331" s="293"/>
      <c r="M331" s="293"/>
      <c r="N331" s="329">
        <v>0</v>
      </c>
      <c r="O331" s="294"/>
      <c r="P331" s="294">
        <v>400000</v>
      </c>
      <c r="Q331" s="294">
        <v>724698</v>
      </c>
      <c r="R331" s="295">
        <v>12378906</v>
      </c>
      <c r="X331" s="295">
        <v>0</v>
      </c>
      <c r="Y331" s="353"/>
    </row>
    <row r="332" spans="1:27" ht="27" customHeight="1" thickBot="1">
      <c r="A332" s="330"/>
      <c r="B332" s="331"/>
      <c r="C332" s="332"/>
      <c r="D332" s="333"/>
      <c r="E332" s="333"/>
      <c r="F332" s="333"/>
      <c r="G332" s="333"/>
      <c r="H332" s="333"/>
      <c r="I332" s="333"/>
      <c r="J332" s="333"/>
      <c r="K332" s="333"/>
      <c r="L332" s="333"/>
      <c r="M332" s="334"/>
      <c r="N332" s="534"/>
      <c r="O332" s="334"/>
      <c r="P332" s="334"/>
      <c r="Q332" s="334"/>
      <c r="R332" s="335"/>
      <c r="X332" s="335"/>
    </row>
    <row r="333" spans="1:27" ht="27" customHeight="1" thickTop="1" thickBot="1">
      <c r="A333" s="261" t="s">
        <v>3</v>
      </c>
      <c r="B333" s="567">
        <f t="shared" ref="B333:R333" si="19">SUM(B330:B332)</f>
        <v>4</v>
      </c>
      <c r="C333" s="567">
        <f t="shared" si="19"/>
        <v>0</v>
      </c>
      <c r="D333" s="567">
        <f t="shared" si="19"/>
        <v>0</v>
      </c>
      <c r="E333" s="567">
        <f t="shared" si="19"/>
        <v>0</v>
      </c>
      <c r="F333" s="567">
        <f t="shared" si="19"/>
        <v>0</v>
      </c>
      <c r="G333" s="567">
        <f t="shared" si="19"/>
        <v>0</v>
      </c>
      <c r="H333" s="567">
        <f t="shared" si="19"/>
        <v>0</v>
      </c>
      <c r="I333" s="567">
        <f t="shared" si="19"/>
        <v>0</v>
      </c>
      <c r="J333" s="567">
        <f t="shared" si="19"/>
        <v>0</v>
      </c>
      <c r="K333" s="567">
        <f t="shared" si="19"/>
        <v>0</v>
      </c>
      <c r="L333" s="567">
        <f t="shared" si="19"/>
        <v>0</v>
      </c>
      <c r="M333" s="567">
        <f t="shared" si="19"/>
        <v>0</v>
      </c>
      <c r="N333" s="567">
        <f t="shared" si="19"/>
        <v>0</v>
      </c>
      <c r="O333" s="383">
        <f t="shared" si="19"/>
        <v>0</v>
      </c>
      <c r="P333" s="265">
        <f t="shared" si="19"/>
        <v>400000</v>
      </c>
      <c r="Q333" s="265">
        <f t="shared" si="19"/>
        <v>724698</v>
      </c>
      <c r="R333" s="265">
        <f t="shared" si="19"/>
        <v>12378906</v>
      </c>
      <c r="X333" s="265"/>
    </row>
    <row r="334" spans="1:27" ht="23.25" customHeight="1" thickTop="1">
      <c r="A334" s="336"/>
      <c r="B334" s="566"/>
      <c r="C334" s="337"/>
      <c r="D334" s="337"/>
      <c r="E334" s="337"/>
      <c r="F334" s="337"/>
      <c r="G334" s="337"/>
      <c r="H334" s="337"/>
      <c r="I334" s="337"/>
      <c r="J334" s="337"/>
      <c r="K334" s="337"/>
      <c r="L334" s="337"/>
      <c r="M334" s="337"/>
      <c r="N334" s="337"/>
      <c r="O334" s="337"/>
      <c r="P334" s="337"/>
      <c r="Q334" s="337"/>
      <c r="R334" s="337"/>
    </row>
    <row r="335" spans="1:27" ht="23.25" customHeight="1">
      <c r="A335" s="336"/>
      <c r="B335" s="566"/>
      <c r="C335" s="337"/>
      <c r="D335" s="337"/>
      <c r="E335" s="337"/>
      <c r="F335" s="337"/>
      <c r="G335" s="337"/>
      <c r="H335" s="337"/>
      <c r="I335" s="337"/>
      <c r="J335" s="337"/>
      <c r="K335" s="337"/>
      <c r="L335" s="337"/>
      <c r="M335" s="337"/>
      <c r="N335" s="337"/>
      <c r="O335" s="337"/>
      <c r="P335" s="337"/>
      <c r="Q335" s="337"/>
      <c r="R335" s="337"/>
    </row>
    <row r="336" spans="1:27" ht="23.25" customHeight="1">
      <c r="A336" s="336"/>
      <c r="B336" s="566"/>
      <c r="C336" s="337"/>
      <c r="D336" s="337"/>
      <c r="E336" s="337"/>
      <c r="F336" s="337"/>
      <c r="G336" s="337"/>
      <c r="H336" s="337"/>
      <c r="I336" s="337"/>
      <c r="J336" s="337"/>
      <c r="K336" s="337"/>
      <c r="L336" s="337"/>
      <c r="M336" s="337"/>
      <c r="N336" s="337"/>
      <c r="O336" s="337"/>
      <c r="P336" s="337"/>
      <c r="Q336" s="337"/>
      <c r="R336" s="337"/>
    </row>
    <row r="337" spans="1:27" ht="23.25" customHeight="1">
      <c r="A337" s="336" t="s">
        <v>208</v>
      </c>
      <c r="B337" s="566"/>
      <c r="C337" s="337"/>
      <c r="D337" s="1173" t="s">
        <v>81</v>
      </c>
      <c r="E337" s="1173"/>
      <c r="F337" s="1173"/>
      <c r="G337" s="1173"/>
      <c r="H337" s="337"/>
      <c r="I337" s="337"/>
      <c r="J337" s="1173" t="s">
        <v>82</v>
      </c>
      <c r="K337" s="1173"/>
      <c r="L337" s="1173"/>
      <c r="M337" s="1173"/>
      <c r="N337" s="1173"/>
      <c r="O337" s="1173"/>
      <c r="P337" s="1173"/>
      <c r="Q337" s="1173"/>
      <c r="R337" s="1173"/>
    </row>
    <row r="338" spans="1:27" ht="23.25" customHeight="1">
      <c r="A338" s="336"/>
      <c r="B338" s="566"/>
      <c r="C338" s="337"/>
      <c r="D338" s="337"/>
      <c r="E338" s="337"/>
      <c r="F338" s="337"/>
      <c r="G338" s="337"/>
      <c r="H338" s="337"/>
      <c r="I338" s="337"/>
      <c r="J338" s="337"/>
      <c r="K338" s="337"/>
      <c r="L338" s="337"/>
      <c r="M338" s="337"/>
      <c r="N338" s="337"/>
      <c r="O338" s="337"/>
      <c r="P338" s="337"/>
      <c r="Q338" s="337"/>
      <c r="R338" s="337"/>
    </row>
    <row r="339" spans="1:27" ht="17.25" customHeight="1">
      <c r="A339" s="336"/>
      <c r="B339" s="566"/>
      <c r="C339" s="337"/>
      <c r="D339" s="337"/>
      <c r="E339" s="337"/>
      <c r="F339" s="337"/>
      <c r="G339" s="337"/>
      <c r="H339" s="337"/>
      <c r="I339" s="337"/>
      <c r="J339" s="337"/>
      <c r="K339" s="337"/>
      <c r="L339" s="337"/>
      <c r="M339" s="337"/>
      <c r="N339" s="337"/>
      <c r="O339" s="337"/>
      <c r="P339" s="337"/>
      <c r="Q339" s="337"/>
      <c r="R339" s="337"/>
    </row>
    <row r="340" spans="1:27" ht="17.25" customHeight="1">
      <c r="A340" s="336"/>
      <c r="B340" s="566"/>
      <c r="C340" s="337"/>
      <c r="D340" s="337"/>
      <c r="E340" s="337"/>
      <c r="F340" s="337"/>
      <c r="G340" s="337"/>
      <c r="H340" s="337"/>
      <c r="I340" s="337"/>
      <c r="J340" s="337"/>
      <c r="K340" s="337"/>
      <c r="L340" s="337"/>
      <c r="M340" s="337"/>
      <c r="N340" s="337"/>
      <c r="O340" s="337"/>
      <c r="P340" s="337"/>
      <c r="Q340" s="337"/>
      <c r="R340" s="337"/>
    </row>
    <row r="341" spans="1:27" ht="17.25" customHeight="1">
      <c r="A341" s="336"/>
      <c r="B341" s="566"/>
      <c r="C341" s="337"/>
      <c r="D341" s="337"/>
      <c r="E341" s="337"/>
      <c r="F341" s="337"/>
      <c r="G341" s="337"/>
      <c r="H341" s="337"/>
      <c r="I341" s="337"/>
      <c r="J341" s="337"/>
      <c r="K341" s="337"/>
      <c r="L341" s="337"/>
      <c r="M341" s="337"/>
      <c r="N341" s="337"/>
      <c r="O341" s="337"/>
      <c r="P341" s="337"/>
      <c r="Q341" s="337"/>
      <c r="R341" s="337"/>
    </row>
    <row r="342" spans="1:27" ht="17.25" customHeight="1">
      <c r="A342" s="336"/>
      <c r="B342" s="566"/>
      <c r="C342" s="337"/>
      <c r="D342" s="337"/>
      <c r="E342" s="337"/>
      <c r="F342" s="337"/>
      <c r="G342" s="337"/>
      <c r="H342" s="337"/>
      <c r="I342" s="337"/>
      <c r="J342" s="337"/>
      <c r="K342" s="337"/>
      <c r="L342" s="337"/>
      <c r="M342" s="337"/>
      <c r="N342" s="337"/>
      <c r="O342" s="337"/>
      <c r="P342" s="337"/>
      <c r="Q342" s="337"/>
      <c r="R342" s="337"/>
    </row>
    <row r="343" spans="1:27" ht="17.25" customHeight="1">
      <c r="AA343" s="218"/>
    </row>
    <row r="344" spans="1:27" ht="24.75" customHeight="1"/>
    <row r="345" spans="1:27" ht="24.75" customHeight="1"/>
    <row r="346" spans="1:27" ht="24.75" customHeight="1">
      <c r="A346" s="215" t="s">
        <v>43</v>
      </c>
    </row>
    <row r="347" spans="1:27" ht="24.75" customHeight="1">
      <c r="A347" s="215" t="str">
        <f>A4</f>
        <v>DENOMINATION FOR JULI 2018</v>
      </c>
    </row>
    <row r="348" spans="1:27" ht="63.75" customHeight="1" thickBot="1">
      <c r="A348" s="297"/>
    </row>
    <row r="349" spans="1:27" ht="27" customHeight="1" thickTop="1">
      <c r="A349" s="1176" t="s">
        <v>1</v>
      </c>
      <c r="B349" s="1183" t="s">
        <v>15</v>
      </c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574" t="str">
        <f>M6</f>
        <v>Pot.</v>
      </c>
      <c r="N349" s="568" t="s">
        <v>145</v>
      </c>
      <c r="O349" s="568" t="s">
        <v>253</v>
      </c>
      <c r="P349" s="1174" t="str">
        <f>P303</f>
        <v>TOTAL PREMI</v>
      </c>
      <c r="Q349" s="1174" t="str">
        <f>Q303</f>
        <v>TOTAL LEMBUR</v>
      </c>
      <c r="R349" s="1171" t="s">
        <v>3</v>
      </c>
      <c r="X349" s="1171" t="s">
        <v>259</v>
      </c>
    </row>
    <row r="350" spans="1:27" ht="27" customHeight="1" thickBot="1">
      <c r="A350" s="1177"/>
      <c r="B350" s="1184"/>
      <c r="C350" s="223">
        <v>100000</v>
      </c>
      <c r="D350" s="223">
        <v>50000</v>
      </c>
      <c r="E350" s="223">
        <v>20000</v>
      </c>
      <c r="F350" s="223">
        <v>10000</v>
      </c>
      <c r="G350" s="223">
        <v>5000</v>
      </c>
      <c r="H350" s="223">
        <v>1000</v>
      </c>
      <c r="I350" s="223">
        <v>500</v>
      </c>
      <c r="J350" s="223">
        <v>100</v>
      </c>
      <c r="K350" s="223">
        <v>50</v>
      </c>
      <c r="L350" s="223" t="s">
        <v>2</v>
      </c>
      <c r="M350" s="575" t="str">
        <f>M7</f>
        <v>Pinjaman</v>
      </c>
      <c r="N350" s="569" t="str">
        <f>N329</f>
        <v>(MASA JUNI  - 2018)</v>
      </c>
      <c r="O350" s="569" t="s">
        <v>254</v>
      </c>
      <c r="P350" s="1175"/>
      <c r="Q350" s="1175"/>
      <c r="R350" s="1172"/>
      <c r="W350" s="216"/>
      <c r="X350" s="1172"/>
    </row>
    <row r="351" spans="1:27" ht="27" customHeight="1" thickTop="1">
      <c r="A351" s="371"/>
      <c r="B351" s="312"/>
      <c r="C351" s="313"/>
      <c r="D351" s="270"/>
      <c r="E351" s="270"/>
      <c r="F351" s="270"/>
      <c r="G351" s="270"/>
      <c r="H351" s="270"/>
      <c r="I351" s="270"/>
      <c r="J351" s="270"/>
      <c r="K351" s="270"/>
      <c r="L351" s="270"/>
      <c r="M351" s="271"/>
      <c r="N351" s="271"/>
      <c r="O351" s="271"/>
      <c r="P351" s="271"/>
      <c r="Q351" s="271"/>
      <c r="R351" s="272"/>
      <c r="X351" s="272"/>
    </row>
    <row r="352" spans="1:27" s="242" customFormat="1" ht="27" customHeight="1">
      <c r="A352" s="234" t="s">
        <v>327</v>
      </c>
      <c r="B352" s="277">
        <v>16</v>
      </c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60"/>
      <c r="N352" s="577">
        <v>506873</v>
      </c>
      <c r="O352" s="577"/>
      <c r="P352" s="260">
        <f>24325270+7546700+250000</f>
        <v>32121970</v>
      </c>
      <c r="Q352" s="260">
        <v>2201804</v>
      </c>
      <c r="R352" s="247">
        <v>76337306</v>
      </c>
      <c r="X352" s="247">
        <v>0</v>
      </c>
      <c r="Y352" s="353"/>
    </row>
    <row r="353" spans="1:27" ht="27" customHeight="1">
      <c r="A353" s="234"/>
      <c r="B353" s="277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60"/>
      <c r="N353" s="577"/>
      <c r="O353" s="577"/>
      <c r="P353" s="260"/>
      <c r="Q353" s="260"/>
      <c r="R353" s="247"/>
      <c r="X353" s="247"/>
    </row>
    <row r="354" spans="1:27" ht="27" customHeight="1">
      <c r="A354" s="234" t="s">
        <v>249</v>
      </c>
      <c r="B354" s="277">
        <v>10</v>
      </c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60"/>
      <c r="N354" s="577">
        <v>0</v>
      </c>
      <c r="O354" s="577"/>
      <c r="P354" s="260">
        <v>0</v>
      </c>
      <c r="Q354" s="260">
        <v>1258266</v>
      </c>
      <c r="R354" s="247">
        <v>28272241</v>
      </c>
      <c r="X354" s="247">
        <v>0</v>
      </c>
    </row>
    <row r="355" spans="1:27" ht="27" customHeight="1">
      <c r="A355" s="234"/>
      <c r="B355" s="277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60"/>
      <c r="N355" s="577"/>
      <c r="O355" s="577"/>
      <c r="P355" s="260"/>
      <c r="Q355" s="260"/>
      <c r="R355" s="247"/>
      <c r="X355" s="247"/>
      <c r="AA355" s="218"/>
    </row>
    <row r="356" spans="1:27" ht="27" customHeight="1">
      <c r="A356" s="234" t="s">
        <v>249</v>
      </c>
      <c r="B356" s="277">
        <v>12</v>
      </c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60"/>
      <c r="N356" s="577">
        <v>0</v>
      </c>
      <c r="O356" s="577"/>
      <c r="P356" s="260">
        <v>0</v>
      </c>
      <c r="Q356" s="260">
        <v>1343649</v>
      </c>
      <c r="R356" s="247">
        <v>34047265</v>
      </c>
      <c r="X356" s="247">
        <v>0</v>
      </c>
    </row>
    <row r="357" spans="1:27" ht="27" customHeight="1">
      <c r="A357" s="234"/>
      <c r="B357" s="277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60"/>
      <c r="N357" s="577"/>
      <c r="O357" s="577"/>
      <c r="P357" s="260"/>
      <c r="Q357" s="260"/>
      <c r="R357" s="247"/>
      <c r="X357" s="247"/>
    </row>
    <row r="358" spans="1:27" s="242" customFormat="1" ht="27" customHeight="1">
      <c r="A358" s="234" t="s">
        <v>84</v>
      </c>
      <c r="B358" s="235">
        <v>2</v>
      </c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60"/>
      <c r="N358" s="577">
        <v>0</v>
      </c>
      <c r="O358" s="577"/>
      <c r="P358" s="260">
        <v>1716340</v>
      </c>
      <c r="Q358" s="260">
        <v>1544960</v>
      </c>
      <c r="R358" s="247">
        <v>8749508</v>
      </c>
      <c r="X358" s="247">
        <v>0</v>
      </c>
      <c r="Y358" s="353"/>
    </row>
    <row r="359" spans="1:27" ht="27" customHeight="1">
      <c r="A359" s="403"/>
      <c r="B359" s="277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60"/>
      <c r="N359" s="577"/>
      <c r="O359" s="577"/>
      <c r="P359" s="260"/>
      <c r="Q359" s="260"/>
      <c r="R359" s="247"/>
      <c r="X359" s="247"/>
    </row>
    <row r="360" spans="1:27" s="242" customFormat="1" ht="27" customHeight="1">
      <c r="A360" s="234" t="s">
        <v>75</v>
      </c>
      <c r="B360" s="235">
        <v>2</v>
      </c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60"/>
      <c r="N360" s="577">
        <v>0</v>
      </c>
      <c r="O360" s="577"/>
      <c r="P360" s="260">
        <v>828224</v>
      </c>
      <c r="Q360" s="260">
        <v>2301512</v>
      </c>
      <c r="R360" s="247">
        <v>8282796</v>
      </c>
      <c r="X360" s="247">
        <v>0</v>
      </c>
      <c r="Y360" s="353"/>
    </row>
    <row r="361" spans="1:27" s="242" customFormat="1" ht="27" customHeight="1">
      <c r="A361" s="404"/>
      <c r="B361" s="373"/>
      <c r="C361" s="385"/>
      <c r="D361" s="385"/>
      <c r="E361" s="385"/>
      <c r="F361" s="385"/>
      <c r="G361" s="385"/>
      <c r="H361" s="385"/>
      <c r="I361" s="385"/>
      <c r="J361" s="385"/>
      <c r="K361" s="385"/>
      <c r="L361" s="385"/>
      <c r="M361" s="302"/>
      <c r="N361" s="524"/>
      <c r="O361" s="524"/>
      <c r="P361" s="302"/>
      <c r="Q361" s="302"/>
      <c r="R361" s="386"/>
      <c r="X361" s="386"/>
      <c r="Y361" s="353"/>
    </row>
    <row r="362" spans="1:27" s="242" customFormat="1" ht="27" customHeight="1">
      <c r="A362" s="279" t="s">
        <v>258</v>
      </c>
      <c r="B362" s="532">
        <v>6</v>
      </c>
      <c r="C362" s="385"/>
      <c r="D362" s="385"/>
      <c r="E362" s="385"/>
      <c r="F362" s="385"/>
      <c r="G362" s="385"/>
      <c r="H362" s="385"/>
      <c r="I362" s="385"/>
      <c r="J362" s="385"/>
      <c r="K362" s="385"/>
      <c r="L362" s="385"/>
      <c r="M362" s="302"/>
      <c r="N362" s="524">
        <v>405613</v>
      </c>
      <c r="O362" s="524"/>
      <c r="P362" s="302">
        <f>15021260+3964260</f>
        <v>18985520</v>
      </c>
      <c r="Q362" s="302">
        <v>573387</v>
      </c>
      <c r="R362" s="386">
        <v>31147416</v>
      </c>
      <c r="X362" s="386">
        <v>0</v>
      </c>
      <c r="Y362" s="353"/>
    </row>
    <row r="363" spans="1:27" s="242" customFormat="1" ht="27" customHeight="1">
      <c r="A363" s="234"/>
      <c r="B363" s="235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77"/>
      <c r="O363" s="524"/>
      <c r="P363" s="302"/>
      <c r="Q363" s="302"/>
      <c r="R363" s="386"/>
      <c r="X363" s="386"/>
      <c r="Y363" s="353"/>
    </row>
    <row r="364" spans="1:27" s="242" customFormat="1" ht="27" hidden="1" customHeight="1">
      <c r="A364" s="234"/>
      <c r="B364" s="235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77"/>
      <c r="O364" s="524"/>
      <c r="P364" s="302"/>
      <c r="Q364" s="302"/>
      <c r="R364" s="386"/>
      <c r="X364" s="386"/>
      <c r="Y364" s="353"/>
    </row>
    <row r="365" spans="1:27" s="242" customFormat="1" ht="27" hidden="1" customHeight="1">
      <c r="A365" s="234"/>
      <c r="B365" s="235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77"/>
      <c r="O365" s="524"/>
      <c r="P365" s="302"/>
      <c r="Q365" s="302"/>
      <c r="R365" s="386"/>
      <c r="X365" s="386"/>
      <c r="Y365" s="353"/>
    </row>
    <row r="366" spans="1:27" s="242" customFormat="1" ht="27" customHeight="1">
      <c r="A366" s="234" t="s">
        <v>325</v>
      </c>
      <c r="B366" s="235">
        <v>5</v>
      </c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77">
        <v>0</v>
      </c>
      <c r="O366" s="577"/>
      <c r="P366" s="260">
        <v>0</v>
      </c>
      <c r="Q366" s="260">
        <v>334476</v>
      </c>
      <c r="R366" s="247">
        <v>12562588</v>
      </c>
      <c r="X366" s="386">
        <v>0</v>
      </c>
      <c r="Y366" s="353"/>
    </row>
    <row r="367" spans="1:27" s="242" customFormat="1" ht="27" hidden="1" customHeight="1">
      <c r="A367" s="234"/>
      <c r="B367" s="235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77"/>
      <c r="O367" s="524"/>
      <c r="P367" s="302"/>
      <c r="Q367" s="302"/>
      <c r="R367" s="386"/>
      <c r="X367" s="386"/>
      <c r="Y367" s="353"/>
    </row>
    <row r="368" spans="1:27" s="242" customFormat="1" ht="27" hidden="1" customHeight="1">
      <c r="A368" s="234"/>
      <c r="B368" s="235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77"/>
      <c r="O368" s="524"/>
      <c r="P368" s="302"/>
      <c r="Q368" s="302"/>
      <c r="R368" s="386"/>
      <c r="X368" s="247"/>
      <c r="Y368" s="353"/>
    </row>
    <row r="369" spans="1:25" s="242" customFormat="1" ht="27" customHeight="1" thickBot="1">
      <c r="A369" s="405"/>
      <c r="B369" s="402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534"/>
      <c r="O369" s="534"/>
      <c r="P369" s="334"/>
      <c r="Q369" s="334"/>
      <c r="R369" s="335"/>
      <c r="X369" s="335"/>
      <c r="Y369" s="353"/>
    </row>
    <row r="370" spans="1:25" s="242" customFormat="1" ht="36.75" customHeight="1" thickTop="1" thickBot="1">
      <c r="A370" s="595" t="s">
        <v>3</v>
      </c>
      <c r="B370" s="262">
        <f>B352+B354+B356+B358+B360+B362+B366</f>
        <v>53</v>
      </c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597">
        <f>N352+N358+N360+N362+N368+N364+N356+N354</f>
        <v>912486</v>
      </c>
      <c r="O370" s="597">
        <f>O352+O358+O360+O362+O368+O364+O356+O354</f>
        <v>0</v>
      </c>
      <c r="P370" s="602">
        <f>P352+P358+P360+P362+P368+P364+P356+P354+P367+P366</f>
        <v>53652054</v>
      </c>
      <c r="Q370" s="602">
        <f>Q352+Q358+Q360+Q362+Q368+Q364+Q356+Q354+Q367+Q366</f>
        <v>9558054</v>
      </c>
      <c r="R370" s="602">
        <f>R352+R354+R356+R358+R360+R362+R366</f>
        <v>199399120</v>
      </c>
      <c r="X370" s="596">
        <f>X352+X356+X358+X360+X362+X364+X368+X366</f>
        <v>0</v>
      </c>
      <c r="Y370" s="353"/>
    </row>
    <row r="371" spans="1:25" ht="17.25" customHeight="1" thickTop="1">
      <c r="A371" s="336"/>
      <c r="B371" s="566"/>
      <c r="C371" s="337"/>
      <c r="D371" s="337"/>
      <c r="E371" s="337"/>
      <c r="F371" s="337"/>
      <c r="G371" s="337"/>
      <c r="H371" s="337"/>
      <c r="I371" s="337"/>
      <c r="J371" s="337"/>
      <c r="K371" s="337"/>
      <c r="L371" s="337"/>
      <c r="M371" s="337"/>
      <c r="N371" s="337"/>
      <c r="O371" s="337"/>
      <c r="P371" s="337"/>
      <c r="Q371" s="337"/>
      <c r="R371" s="337"/>
    </row>
    <row r="372" spans="1:25" ht="17.25" customHeight="1">
      <c r="A372" s="336"/>
      <c r="B372" s="566"/>
      <c r="C372" s="337"/>
      <c r="D372" s="337"/>
      <c r="E372" s="337"/>
      <c r="F372" s="337"/>
      <c r="G372" s="337"/>
      <c r="H372" s="337"/>
      <c r="I372" s="337"/>
      <c r="J372" s="337"/>
      <c r="K372" s="337"/>
      <c r="L372" s="337"/>
      <c r="M372" s="337"/>
      <c r="N372" s="337"/>
      <c r="O372" s="337"/>
      <c r="P372" s="337"/>
      <c r="Q372" s="337"/>
      <c r="R372" s="337"/>
      <c r="X372" s="492"/>
    </row>
    <row r="373" spans="1:25" ht="17.25" customHeight="1">
      <c r="A373" s="336"/>
      <c r="B373" s="566"/>
      <c r="C373" s="337"/>
      <c r="D373" s="337"/>
      <c r="E373" s="337"/>
      <c r="F373" s="1173"/>
      <c r="G373" s="1173"/>
      <c r="H373" s="1173"/>
      <c r="I373" s="1173"/>
      <c r="J373" s="337"/>
      <c r="K373" s="337"/>
      <c r="L373" s="337"/>
      <c r="M373" s="337"/>
      <c r="N373" s="337"/>
      <c r="O373" s="337"/>
      <c r="P373" s="337"/>
      <c r="Q373" s="337"/>
      <c r="R373" s="337"/>
    </row>
    <row r="374" spans="1:25" ht="17.25" customHeight="1">
      <c r="A374" s="336"/>
      <c r="B374" s="566"/>
      <c r="C374" s="337"/>
      <c r="D374" s="337"/>
      <c r="E374" s="337"/>
      <c r="F374" s="337"/>
      <c r="G374" s="337"/>
      <c r="H374" s="337"/>
      <c r="I374" s="337"/>
      <c r="J374" s="337"/>
      <c r="K374" s="337"/>
      <c r="L374" s="337"/>
      <c r="M374" s="337"/>
      <c r="N374" s="337"/>
      <c r="O374" s="337"/>
      <c r="P374" s="337"/>
      <c r="Q374" s="337"/>
      <c r="R374" s="337"/>
    </row>
    <row r="375" spans="1:25" ht="17.25" customHeight="1">
      <c r="A375" s="336" t="s">
        <v>209</v>
      </c>
      <c r="B375" s="566"/>
      <c r="C375" s="337"/>
      <c r="D375" s="337"/>
      <c r="E375" s="337"/>
      <c r="F375" s="337"/>
      <c r="G375" s="337"/>
      <c r="H375" s="337"/>
      <c r="I375" s="337"/>
      <c r="J375" s="1173" t="s">
        <v>82</v>
      </c>
      <c r="K375" s="1173"/>
      <c r="L375" s="1173"/>
      <c r="M375" s="1173"/>
      <c r="N375" s="1173"/>
      <c r="O375" s="1173"/>
      <c r="P375" s="1173"/>
      <c r="Q375" s="1173"/>
      <c r="R375" s="1173"/>
    </row>
    <row r="376" spans="1:25" ht="17.25" customHeight="1">
      <c r="A376" s="336"/>
      <c r="B376" s="566"/>
      <c r="C376" s="337"/>
      <c r="D376" s="1173" t="s">
        <v>81</v>
      </c>
      <c r="E376" s="1173"/>
      <c r="F376" s="1173"/>
      <c r="G376" s="1173"/>
      <c r="H376" s="337"/>
      <c r="I376" s="337"/>
      <c r="J376" s="215"/>
      <c r="K376" s="215"/>
      <c r="L376" s="215"/>
      <c r="M376" s="215"/>
      <c r="N376" s="215"/>
      <c r="O376" s="215"/>
      <c r="P376" s="215"/>
      <c r="Q376" s="215"/>
      <c r="R376" s="215"/>
    </row>
    <row r="377" spans="1:25" ht="17.25" customHeight="1">
      <c r="A377" s="336"/>
      <c r="B377" s="566"/>
      <c r="C377" s="337"/>
      <c r="D377" s="566"/>
      <c r="E377" s="566"/>
      <c r="F377" s="566"/>
      <c r="G377" s="566"/>
      <c r="H377" s="337"/>
      <c r="I377" s="337"/>
      <c r="J377" s="566"/>
      <c r="K377" s="566"/>
      <c r="L377" s="566"/>
      <c r="M377" s="566"/>
      <c r="N377" s="566"/>
      <c r="O377" s="566"/>
      <c r="P377" s="566"/>
      <c r="Q377" s="566"/>
      <c r="R377" s="566"/>
    </row>
    <row r="378" spans="1:25" ht="17.25" customHeight="1">
      <c r="B378" s="566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N378" s="337"/>
      <c r="O378" s="337"/>
      <c r="P378" s="337"/>
      <c r="Q378" s="337"/>
      <c r="R378" s="337"/>
    </row>
    <row r="379" spans="1:25" ht="17.25" customHeight="1">
      <c r="D379" s="281"/>
      <c r="E379" s="281"/>
      <c r="L379" s="281"/>
      <c r="M379" s="281"/>
      <c r="N379" s="281"/>
      <c r="O379" s="281"/>
      <c r="P379" s="281"/>
      <c r="Q379" s="281"/>
      <c r="W379" s="218"/>
      <c r="X379" s="492"/>
      <c r="Y379" s="492"/>
    </row>
    <row r="380" spans="1:25" ht="24.75" customHeight="1">
      <c r="A380" s="215" t="s">
        <v>0</v>
      </c>
      <c r="D380" s="281"/>
      <c r="E380" s="281"/>
      <c r="L380" s="281"/>
      <c r="M380" s="281"/>
      <c r="N380" s="281"/>
      <c r="O380" s="281"/>
      <c r="P380" s="281"/>
      <c r="Q380" s="281"/>
      <c r="W380" s="218"/>
      <c r="X380" s="492"/>
      <c r="Y380" s="492"/>
    </row>
    <row r="381" spans="1:25" ht="26.25" customHeight="1">
      <c r="A381" s="215" t="str">
        <f>A4</f>
        <v>DENOMINATION FOR JULI 2018</v>
      </c>
      <c r="D381" s="281"/>
      <c r="E381" s="281"/>
      <c r="L381" s="281"/>
      <c r="M381" s="281"/>
      <c r="N381" s="281"/>
      <c r="O381" s="281"/>
      <c r="P381" s="281"/>
      <c r="Q381" s="281"/>
      <c r="W381" s="218"/>
      <c r="X381" s="492"/>
      <c r="Y381" s="492"/>
    </row>
    <row r="382" spans="1:25" ht="63.75" customHeight="1" thickBot="1">
      <c r="D382" s="281"/>
      <c r="E382" s="281"/>
      <c r="L382" s="281"/>
      <c r="M382" s="281"/>
      <c r="N382" s="281"/>
      <c r="O382" s="281"/>
      <c r="P382" s="281"/>
      <c r="Q382" s="281"/>
    </row>
    <row r="383" spans="1:25" ht="27" customHeight="1" thickTop="1">
      <c r="A383" s="1176" t="s">
        <v>1</v>
      </c>
      <c r="B383" s="572" t="s">
        <v>15</v>
      </c>
      <c r="C383" s="219"/>
      <c r="D383" s="220"/>
      <c r="E383" s="220"/>
      <c r="F383" s="220"/>
      <c r="G383" s="220"/>
      <c r="H383" s="220"/>
      <c r="I383" s="220"/>
      <c r="J383" s="220"/>
      <c r="K383" s="220"/>
      <c r="L383" s="220"/>
      <c r="M383" s="574" t="str">
        <f>M6</f>
        <v>Pot.</v>
      </c>
      <c r="N383" s="568" t="str">
        <f>N6</f>
        <v>TOTAL PPH 21</v>
      </c>
      <c r="O383" s="568" t="s">
        <v>253</v>
      </c>
      <c r="P383" s="1174" t="str">
        <f>P349</f>
        <v>TOTAL PREMI</v>
      </c>
      <c r="Q383" s="1174" t="str">
        <f>Q349</f>
        <v>TOTAL LEMBUR</v>
      </c>
      <c r="R383" s="1171" t="s">
        <v>3</v>
      </c>
      <c r="X383" s="1171" t="s">
        <v>259</v>
      </c>
    </row>
    <row r="384" spans="1:25" ht="27" customHeight="1" thickBot="1">
      <c r="A384" s="1177"/>
      <c r="B384" s="573"/>
      <c r="C384" s="223">
        <v>100000</v>
      </c>
      <c r="D384" s="223">
        <v>50000</v>
      </c>
      <c r="E384" s="223">
        <v>20000</v>
      </c>
      <c r="F384" s="223">
        <v>10000</v>
      </c>
      <c r="G384" s="223">
        <v>5000</v>
      </c>
      <c r="H384" s="223">
        <v>1000</v>
      </c>
      <c r="I384" s="223">
        <v>500</v>
      </c>
      <c r="J384" s="223">
        <v>100</v>
      </c>
      <c r="K384" s="223">
        <v>50</v>
      </c>
      <c r="L384" s="223" t="s">
        <v>2</v>
      </c>
      <c r="M384" s="575" t="str">
        <f>M7</f>
        <v>Pinjaman</v>
      </c>
      <c r="N384" s="569" t="str">
        <f>N350</f>
        <v>(MASA JUNI  - 2018)</v>
      </c>
      <c r="O384" s="569" t="s">
        <v>254</v>
      </c>
      <c r="P384" s="1175"/>
      <c r="Q384" s="1175"/>
      <c r="R384" s="1172"/>
      <c r="X384" s="1172"/>
    </row>
    <row r="385" spans="1:27" ht="27" customHeight="1" thickTop="1">
      <c r="A385" s="391"/>
      <c r="B385" s="392"/>
      <c r="C385" s="393"/>
      <c r="D385" s="394"/>
      <c r="E385" s="394"/>
      <c r="F385" s="394"/>
      <c r="G385" s="394"/>
      <c r="H385" s="394"/>
      <c r="I385" s="394"/>
      <c r="J385" s="394"/>
      <c r="K385" s="394"/>
      <c r="L385" s="394"/>
      <c r="M385" s="395"/>
      <c r="N385" s="395"/>
      <c r="O385" s="395"/>
      <c r="P385" s="395"/>
      <c r="Q385" s="395"/>
      <c r="R385" s="396"/>
      <c r="W385" s="216"/>
      <c r="X385" s="396"/>
    </row>
    <row r="386" spans="1:27" ht="27" customHeight="1">
      <c r="A386" s="234" t="s">
        <v>83</v>
      </c>
      <c r="B386" s="235">
        <v>23</v>
      </c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60"/>
      <c r="N386" s="577">
        <v>0</v>
      </c>
      <c r="O386" s="577"/>
      <c r="P386" s="260">
        <v>0</v>
      </c>
      <c r="Q386" s="260">
        <v>5671976</v>
      </c>
      <c r="R386" s="247">
        <v>68910000</v>
      </c>
      <c r="X386" s="247">
        <v>0</v>
      </c>
    </row>
    <row r="387" spans="1:27" ht="27" customHeight="1">
      <c r="A387" s="234" t="s">
        <v>29</v>
      </c>
      <c r="B387" s="235">
        <v>6</v>
      </c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60"/>
      <c r="N387" s="577">
        <v>0</v>
      </c>
      <c r="O387" s="577"/>
      <c r="P387" s="260">
        <v>2092364</v>
      </c>
      <c r="Q387" s="260">
        <v>2455141</v>
      </c>
      <c r="R387" s="247">
        <v>24472818</v>
      </c>
      <c r="X387" s="247">
        <v>0</v>
      </c>
    </row>
    <row r="388" spans="1:27" s="242" customFormat="1" ht="27" customHeight="1">
      <c r="A388" s="279"/>
      <c r="B388" s="373"/>
      <c r="C388" s="385"/>
      <c r="D388" s="385"/>
      <c r="E388" s="385"/>
      <c r="F388" s="390"/>
      <c r="G388" s="385"/>
      <c r="H388" s="385"/>
      <c r="I388" s="385"/>
      <c r="J388" s="385"/>
      <c r="K388" s="385"/>
      <c r="L388" s="385"/>
      <c r="M388" s="302"/>
      <c r="N388" s="524"/>
      <c r="O388" s="524"/>
      <c r="P388" s="302"/>
      <c r="Q388" s="302"/>
      <c r="R388" s="247"/>
      <c r="X388" s="247"/>
      <c r="Y388" s="353"/>
    </row>
    <row r="389" spans="1:27" ht="27" customHeight="1" thickBot="1">
      <c r="A389" s="372"/>
      <c r="B389" s="384"/>
      <c r="C389" s="385"/>
      <c r="D389" s="385"/>
      <c r="E389" s="385"/>
      <c r="F389" s="390"/>
      <c r="G389" s="385"/>
      <c r="H389" s="385"/>
      <c r="I389" s="385"/>
      <c r="J389" s="385"/>
      <c r="K389" s="385"/>
      <c r="L389" s="385"/>
      <c r="M389" s="333"/>
      <c r="N389" s="447"/>
      <c r="O389" s="333"/>
      <c r="P389" s="333"/>
      <c r="Q389" s="333"/>
      <c r="R389" s="386"/>
      <c r="X389" s="386"/>
    </row>
    <row r="390" spans="1:27" ht="27" customHeight="1" thickTop="1" thickBot="1">
      <c r="A390" s="261" t="s">
        <v>3</v>
      </c>
      <c r="B390" s="262">
        <f t="shared" ref="B390:R390" si="20">SUM(B385:B389)</f>
        <v>29</v>
      </c>
      <c r="C390" s="262">
        <f t="shared" si="20"/>
        <v>0</v>
      </c>
      <c r="D390" s="262">
        <f t="shared" si="20"/>
        <v>0</v>
      </c>
      <c r="E390" s="262">
        <f t="shared" si="20"/>
        <v>0</v>
      </c>
      <c r="F390" s="262">
        <f t="shared" si="20"/>
        <v>0</v>
      </c>
      <c r="G390" s="262">
        <f t="shared" si="20"/>
        <v>0</v>
      </c>
      <c r="H390" s="262">
        <f t="shared" si="20"/>
        <v>0</v>
      </c>
      <c r="I390" s="262">
        <f t="shared" si="20"/>
        <v>0</v>
      </c>
      <c r="J390" s="262">
        <f t="shared" si="20"/>
        <v>0</v>
      </c>
      <c r="K390" s="262">
        <f t="shared" si="20"/>
        <v>0</v>
      </c>
      <c r="L390" s="262">
        <f t="shared" si="20"/>
        <v>0</v>
      </c>
      <c r="M390" s="262">
        <f t="shared" si="20"/>
        <v>0</v>
      </c>
      <c r="N390" s="262">
        <f t="shared" si="20"/>
        <v>0</v>
      </c>
      <c r="O390" s="262">
        <f t="shared" si="20"/>
        <v>0</v>
      </c>
      <c r="P390" s="265">
        <f t="shared" si="20"/>
        <v>2092364</v>
      </c>
      <c r="Q390" s="265">
        <f t="shared" si="20"/>
        <v>8127117</v>
      </c>
      <c r="R390" s="265">
        <f t="shared" si="20"/>
        <v>93382818</v>
      </c>
      <c r="X390" s="265">
        <f>SUM(X386:X389)</f>
        <v>0</v>
      </c>
      <c r="Y390" s="492"/>
    </row>
    <row r="391" spans="1:27" ht="23.25" customHeight="1" thickTop="1">
      <c r="A391" s="336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</row>
    <row r="392" spans="1:27" ht="17.25" customHeight="1">
      <c r="A392" s="336"/>
      <c r="B392" s="566"/>
      <c r="C392" s="337"/>
      <c r="D392" s="337"/>
      <c r="E392" s="337"/>
      <c r="F392" s="337"/>
      <c r="G392" s="337"/>
      <c r="H392" s="337"/>
      <c r="I392" s="337"/>
      <c r="J392" s="337"/>
      <c r="K392" s="337"/>
      <c r="L392" s="337"/>
      <c r="M392" s="337"/>
      <c r="N392" s="337"/>
      <c r="O392" s="337"/>
      <c r="P392" s="337"/>
      <c r="Q392" s="337"/>
      <c r="R392" s="337"/>
      <c r="AA392" s="218">
        <f>R22+R57+R90+R121+R156+R184+R213+R245+R287+R310+R333+R390</f>
        <v>5955476478</v>
      </c>
    </row>
    <row r="393" spans="1:27" ht="17.25" customHeight="1">
      <c r="A393" s="336"/>
      <c r="B393" s="566"/>
      <c r="C393" s="337"/>
      <c r="D393" s="337"/>
      <c r="E393" s="337"/>
      <c r="F393" s="337"/>
      <c r="G393" s="337"/>
      <c r="H393" s="337"/>
      <c r="I393" s="337"/>
      <c r="J393" s="337"/>
      <c r="K393" s="337"/>
      <c r="L393" s="337"/>
      <c r="M393" s="337"/>
      <c r="N393" s="337"/>
      <c r="O393" s="337"/>
      <c r="P393" s="337"/>
      <c r="Q393" s="337"/>
      <c r="R393" s="337"/>
    </row>
    <row r="394" spans="1:27" ht="17.25" customHeight="1">
      <c r="A394" s="336"/>
      <c r="B394" s="566"/>
      <c r="C394" s="337"/>
      <c r="D394" s="337"/>
      <c r="E394" s="337"/>
      <c r="F394" s="337"/>
      <c r="G394" s="337"/>
      <c r="H394" s="337"/>
      <c r="I394" s="337"/>
      <c r="J394" s="337"/>
      <c r="K394" s="337"/>
      <c r="L394" s="337"/>
      <c r="M394" s="337"/>
      <c r="N394" s="337"/>
      <c r="O394" s="337"/>
      <c r="P394" s="337"/>
      <c r="Q394" s="337"/>
      <c r="R394" s="337"/>
    </row>
    <row r="395" spans="1:27" ht="17.25" customHeight="1">
      <c r="A395" s="336"/>
      <c r="B395" s="566"/>
      <c r="C395" s="337"/>
      <c r="D395" s="337"/>
      <c r="E395" s="337"/>
      <c r="F395" s="337"/>
      <c r="G395" s="337"/>
      <c r="H395" s="337"/>
      <c r="I395" s="337"/>
      <c r="J395" s="337"/>
      <c r="K395" s="337"/>
      <c r="L395" s="337"/>
      <c r="M395" s="337"/>
      <c r="N395" s="337"/>
      <c r="O395" s="337"/>
      <c r="P395" s="337"/>
      <c r="Q395" s="337"/>
      <c r="R395" s="337"/>
    </row>
    <row r="396" spans="1:27" ht="17.25" customHeight="1">
      <c r="A396" s="336" t="s">
        <v>210</v>
      </c>
      <c r="B396" s="566"/>
      <c r="C396" s="337"/>
      <c r="D396" s="337"/>
      <c r="E396" s="337"/>
      <c r="F396" s="337"/>
      <c r="G396" s="337"/>
      <c r="H396" s="337"/>
      <c r="I396" s="337"/>
      <c r="J396" s="1173" t="s">
        <v>82</v>
      </c>
      <c r="K396" s="1173"/>
      <c r="L396" s="1173"/>
      <c r="M396" s="1173"/>
      <c r="N396" s="1173"/>
      <c r="O396" s="1173"/>
      <c r="P396" s="1173"/>
      <c r="Q396" s="1173"/>
      <c r="R396" s="1173"/>
    </row>
    <row r="397" spans="1:27" ht="17.25" customHeight="1">
      <c r="A397" s="336"/>
      <c r="B397" s="566"/>
      <c r="C397" s="337"/>
      <c r="D397" s="1173" t="s">
        <v>81</v>
      </c>
      <c r="E397" s="1173"/>
      <c r="F397" s="1173"/>
      <c r="G397" s="1173"/>
      <c r="H397" s="337"/>
      <c r="I397" s="337"/>
    </row>
    <row r="398" spans="1:27" ht="17.25" customHeight="1">
      <c r="A398" s="336"/>
      <c r="B398" s="566"/>
      <c r="C398" s="337"/>
      <c r="D398" s="337"/>
      <c r="E398" s="337"/>
      <c r="F398" s="337"/>
      <c r="G398" s="337"/>
      <c r="H398" s="337"/>
      <c r="I398" s="337"/>
      <c r="J398" s="337"/>
      <c r="K398" s="337"/>
      <c r="L398" s="337"/>
      <c r="M398" s="337"/>
      <c r="N398" s="337"/>
      <c r="O398" s="337"/>
      <c r="P398" s="337"/>
      <c r="Q398" s="337"/>
      <c r="R398" s="337"/>
    </row>
    <row r="399" spans="1:27" ht="17.25" customHeight="1">
      <c r="B399" s="566"/>
      <c r="C399" s="337"/>
      <c r="D399" s="337"/>
      <c r="E399" s="337"/>
      <c r="F399" s="337"/>
      <c r="G399" s="337"/>
      <c r="H399" s="337"/>
      <c r="I399" s="337"/>
      <c r="J399" s="337"/>
      <c r="K399" s="337"/>
      <c r="L399" s="337"/>
      <c r="M399" s="337"/>
      <c r="N399" s="1173"/>
      <c r="O399" s="1173"/>
      <c r="P399" s="1173"/>
      <c r="Q399" s="1173"/>
      <c r="R399" s="1173"/>
    </row>
    <row r="400" spans="1:27" ht="17.25" customHeight="1">
      <c r="D400" s="281"/>
      <c r="E400" s="281"/>
      <c r="L400" s="281"/>
      <c r="M400" s="281"/>
      <c r="N400" s="281"/>
      <c r="O400" s="281"/>
      <c r="P400" s="281"/>
      <c r="Q400" s="281"/>
    </row>
    <row r="401" spans="1:27" ht="17.25" customHeight="1">
      <c r="A401" s="215" t="s">
        <v>400</v>
      </c>
    </row>
    <row r="402" spans="1:27" ht="17.25" customHeight="1" thickBot="1"/>
    <row r="403" spans="1:27" ht="17.25" customHeight="1" thickTop="1" thickBot="1">
      <c r="A403" s="1218" t="s">
        <v>1</v>
      </c>
      <c r="B403" s="1183" t="s">
        <v>15</v>
      </c>
      <c r="C403" s="219"/>
      <c r="D403" s="220"/>
      <c r="E403" s="220"/>
      <c r="F403" s="220"/>
      <c r="G403" s="220"/>
      <c r="H403" s="220"/>
      <c r="I403" s="220"/>
      <c r="J403" s="220"/>
      <c r="K403" s="220"/>
      <c r="L403" s="220"/>
      <c r="M403" s="574" t="e">
        <f>#REF!</f>
        <v>#REF!</v>
      </c>
      <c r="N403" s="568" t="str">
        <f>N383</f>
        <v>TOTAL PPH 21</v>
      </c>
      <c r="O403" s="568" t="s">
        <v>253</v>
      </c>
      <c r="P403" s="1174" t="str">
        <f>P383</f>
        <v>TOTAL PREMI</v>
      </c>
      <c r="Q403" s="1174" t="str">
        <f>Q383</f>
        <v>TOTAL LEMBUR</v>
      </c>
      <c r="R403" s="1171" t="s">
        <v>3</v>
      </c>
      <c r="X403" s="1171" t="s">
        <v>259</v>
      </c>
    </row>
    <row r="404" spans="1:27" ht="17.25" customHeight="1" thickBot="1">
      <c r="A404" s="1219"/>
      <c r="B404" s="1184"/>
      <c r="C404" s="223">
        <v>100000</v>
      </c>
      <c r="D404" s="223">
        <v>50000</v>
      </c>
      <c r="E404" s="223">
        <v>20000</v>
      </c>
      <c r="F404" s="223">
        <v>10000</v>
      </c>
      <c r="G404" s="223">
        <v>5000</v>
      </c>
      <c r="H404" s="223">
        <v>1000</v>
      </c>
      <c r="I404" s="223">
        <v>500</v>
      </c>
      <c r="J404" s="223">
        <v>100</v>
      </c>
      <c r="K404" s="223">
        <v>50</v>
      </c>
      <c r="L404" s="223" t="s">
        <v>2</v>
      </c>
      <c r="M404" s="575">
        <f>M18</f>
        <v>0</v>
      </c>
      <c r="N404" s="569" t="str">
        <f>N384</f>
        <v>(MASA JUNI  - 2018)</v>
      </c>
      <c r="O404" s="569" t="s">
        <v>254</v>
      </c>
      <c r="P404" s="1175"/>
      <c r="Q404" s="1175"/>
      <c r="R404" s="1172"/>
      <c r="S404" s="221" t="s">
        <v>16</v>
      </c>
      <c r="T404" s="222" t="s">
        <v>18</v>
      </c>
      <c r="X404" s="1172"/>
    </row>
    <row r="405" spans="1:27" ht="17.25" customHeight="1" thickTop="1" thickBot="1">
      <c r="A405" s="387"/>
      <c r="B405" s="269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7"/>
      <c r="N405" s="307"/>
      <c r="O405" s="307"/>
      <c r="P405" s="307"/>
      <c r="Q405" s="307"/>
      <c r="R405" s="308"/>
      <c r="S405" s="224"/>
      <c r="T405" s="225" t="s">
        <v>19</v>
      </c>
      <c r="W405" s="448"/>
    </row>
    <row r="406" spans="1:27" ht="17.25" customHeight="1">
      <c r="A406" s="291" t="s">
        <v>7</v>
      </c>
      <c r="B406" s="310">
        <f>B22</f>
        <v>217</v>
      </c>
      <c r="C406" s="310">
        <f t="shared" ref="C406:R406" si="21">C22</f>
        <v>0</v>
      </c>
      <c r="D406" s="310">
        <f t="shared" si="21"/>
        <v>0</v>
      </c>
      <c r="E406" s="310">
        <f t="shared" si="21"/>
        <v>0</v>
      </c>
      <c r="F406" s="310">
        <f t="shared" si="21"/>
        <v>0</v>
      </c>
      <c r="G406" s="310">
        <f t="shared" si="21"/>
        <v>0</v>
      </c>
      <c r="H406" s="310">
        <f t="shared" si="21"/>
        <v>0</v>
      </c>
      <c r="I406" s="310">
        <f t="shared" si="21"/>
        <v>0</v>
      </c>
      <c r="J406" s="310">
        <f t="shared" si="21"/>
        <v>0</v>
      </c>
      <c r="K406" s="310">
        <f t="shared" si="21"/>
        <v>0</v>
      </c>
      <c r="L406" s="310">
        <f t="shared" si="21"/>
        <v>0</v>
      </c>
      <c r="M406" s="310">
        <f t="shared" si="21"/>
        <v>0</v>
      </c>
      <c r="N406" s="310">
        <f t="shared" si="21"/>
        <v>248583</v>
      </c>
      <c r="O406" s="310">
        <f t="shared" si="21"/>
        <v>0</v>
      </c>
      <c r="P406" s="310">
        <f t="shared" si="21"/>
        <v>68493381</v>
      </c>
      <c r="Q406" s="310">
        <f t="shared" si="21"/>
        <v>20536308</v>
      </c>
      <c r="R406" s="293">
        <f t="shared" si="21"/>
        <v>676846918</v>
      </c>
      <c r="S406" s="300"/>
      <c r="T406" s="301"/>
      <c r="W406" s="448"/>
      <c r="AA406" s="548">
        <f>R406/B406</f>
        <v>3119110.2211981565</v>
      </c>
    </row>
    <row r="407" spans="1:27" ht="17.25" customHeight="1">
      <c r="A407" s="291"/>
      <c r="B407" s="310"/>
      <c r="C407" s="293"/>
      <c r="D407" s="293"/>
      <c r="E407" s="293"/>
      <c r="F407" s="293"/>
      <c r="G407" s="293"/>
      <c r="H407" s="293"/>
      <c r="I407" s="293"/>
      <c r="J407" s="293"/>
      <c r="K407" s="293"/>
      <c r="L407" s="293"/>
      <c r="M407" s="294"/>
      <c r="N407" s="294"/>
      <c r="O407" s="294"/>
      <c r="P407" s="294"/>
      <c r="Q407" s="294"/>
      <c r="R407" s="295"/>
      <c r="S407" s="258"/>
      <c r="T407" s="259"/>
      <c r="W407" s="448"/>
      <c r="AA407" s="548"/>
    </row>
    <row r="408" spans="1:27" ht="17.25" customHeight="1">
      <c r="A408" s="291" t="s">
        <v>8</v>
      </c>
      <c r="B408" s="310">
        <f>B57</f>
        <v>261</v>
      </c>
      <c r="C408" s="310">
        <f t="shared" ref="C408:R408" si="22">C57</f>
        <v>0</v>
      </c>
      <c r="D408" s="310">
        <f t="shared" si="22"/>
        <v>0</v>
      </c>
      <c r="E408" s="310">
        <f t="shared" si="22"/>
        <v>0</v>
      </c>
      <c r="F408" s="310">
        <f t="shared" si="22"/>
        <v>0</v>
      </c>
      <c r="G408" s="310">
        <f t="shared" si="22"/>
        <v>0</v>
      </c>
      <c r="H408" s="310">
        <f t="shared" si="22"/>
        <v>0</v>
      </c>
      <c r="I408" s="310">
        <f t="shared" si="22"/>
        <v>0</v>
      </c>
      <c r="J408" s="310">
        <f t="shared" si="22"/>
        <v>0</v>
      </c>
      <c r="K408" s="310">
        <f t="shared" si="22"/>
        <v>0</v>
      </c>
      <c r="L408" s="310">
        <f t="shared" si="22"/>
        <v>0</v>
      </c>
      <c r="M408" s="310">
        <f t="shared" si="22"/>
        <v>0</v>
      </c>
      <c r="N408" s="310">
        <f t="shared" si="22"/>
        <v>25502</v>
      </c>
      <c r="O408" s="310">
        <f t="shared" si="22"/>
        <v>0</v>
      </c>
      <c r="P408" s="310">
        <f t="shared" si="22"/>
        <v>37788183</v>
      </c>
      <c r="Q408" s="310">
        <f t="shared" si="22"/>
        <v>20075614</v>
      </c>
      <c r="R408" s="293">
        <f t="shared" si="22"/>
        <v>708865426</v>
      </c>
      <c r="S408" s="258"/>
      <c r="T408" s="259"/>
      <c r="W408" s="448"/>
      <c r="AA408" s="548">
        <f t="shared" ref="AA408:AA437" si="23">R408/B408</f>
        <v>2715959.4865900385</v>
      </c>
    </row>
    <row r="409" spans="1:27" ht="17.25" customHeight="1">
      <c r="A409" s="291"/>
      <c r="B409" s="310"/>
      <c r="C409" s="293"/>
      <c r="D409" s="293"/>
      <c r="E409" s="293"/>
      <c r="F409" s="293"/>
      <c r="G409" s="293"/>
      <c r="H409" s="293"/>
      <c r="I409" s="293"/>
      <c r="J409" s="293"/>
      <c r="K409" s="293"/>
      <c r="L409" s="293"/>
      <c r="M409" s="294"/>
      <c r="N409" s="294"/>
      <c r="O409" s="294"/>
      <c r="P409" s="294"/>
      <c r="Q409" s="294"/>
      <c r="R409" s="295"/>
      <c r="S409" s="258"/>
      <c r="T409" s="259"/>
      <c r="W409" s="448"/>
      <c r="AA409" s="548"/>
    </row>
    <row r="410" spans="1:27" ht="17.25" customHeight="1">
      <c r="A410" s="291" t="s">
        <v>6</v>
      </c>
      <c r="B410" s="310">
        <f>B90</f>
        <v>256</v>
      </c>
      <c r="C410" s="310">
        <f t="shared" ref="C410:R410" si="24">C90</f>
        <v>0</v>
      </c>
      <c r="D410" s="310">
        <f t="shared" si="24"/>
        <v>0</v>
      </c>
      <c r="E410" s="310">
        <f t="shared" si="24"/>
        <v>0</v>
      </c>
      <c r="F410" s="310">
        <f t="shared" si="24"/>
        <v>0</v>
      </c>
      <c r="G410" s="310">
        <f t="shared" si="24"/>
        <v>0</v>
      </c>
      <c r="H410" s="310">
        <f t="shared" si="24"/>
        <v>0</v>
      </c>
      <c r="I410" s="310">
        <f t="shared" si="24"/>
        <v>0</v>
      </c>
      <c r="J410" s="310">
        <f t="shared" si="24"/>
        <v>0</v>
      </c>
      <c r="K410" s="310">
        <f t="shared" si="24"/>
        <v>0</v>
      </c>
      <c r="L410" s="310">
        <f t="shared" si="24"/>
        <v>0</v>
      </c>
      <c r="M410" s="310">
        <f t="shared" si="24"/>
        <v>0</v>
      </c>
      <c r="N410" s="310">
        <f t="shared" si="24"/>
        <v>102527</v>
      </c>
      <c r="O410" s="310">
        <f t="shared" si="24"/>
        <v>0</v>
      </c>
      <c r="P410" s="310">
        <f t="shared" si="24"/>
        <v>60023314</v>
      </c>
      <c r="Q410" s="310">
        <f t="shared" si="24"/>
        <v>34639603</v>
      </c>
      <c r="R410" s="293">
        <f t="shared" si="24"/>
        <v>667816919</v>
      </c>
      <c r="S410" s="258"/>
      <c r="T410" s="259"/>
      <c r="W410" s="448"/>
      <c r="AA410" s="548">
        <f t="shared" si="23"/>
        <v>2608659.83984375</v>
      </c>
    </row>
    <row r="411" spans="1:27" ht="17.25" customHeight="1">
      <c r="A411" s="291"/>
      <c r="B411" s="310"/>
      <c r="C411" s="293"/>
      <c r="D411" s="293"/>
      <c r="E411" s="293"/>
      <c r="F411" s="293"/>
      <c r="G411" s="293"/>
      <c r="H411" s="293"/>
      <c r="I411" s="293"/>
      <c r="J411" s="293"/>
      <c r="K411" s="293"/>
      <c r="L411" s="293"/>
      <c r="M411" s="294"/>
      <c r="N411" s="294"/>
      <c r="O411" s="294"/>
      <c r="P411" s="294"/>
      <c r="Q411" s="294"/>
      <c r="R411" s="295"/>
      <c r="S411" s="258"/>
      <c r="T411" s="259"/>
      <c r="W411" s="448"/>
      <c r="AA411" s="548"/>
    </row>
    <row r="412" spans="1:27" ht="17.25" customHeight="1">
      <c r="A412" s="291" t="s">
        <v>5</v>
      </c>
      <c r="B412" s="310">
        <f>B121</f>
        <v>181</v>
      </c>
      <c r="C412" s="310">
        <f t="shared" ref="C412:R412" si="25">C121</f>
        <v>0</v>
      </c>
      <c r="D412" s="310">
        <f t="shared" si="25"/>
        <v>0</v>
      </c>
      <c r="E412" s="310">
        <f t="shared" si="25"/>
        <v>0</v>
      </c>
      <c r="F412" s="310">
        <f t="shared" si="25"/>
        <v>0</v>
      </c>
      <c r="G412" s="310">
        <f t="shared" si="25"/>
        <v>0</v>
      </c>
      <c r="H412" s="310">
        <f t="shared" si="25"/>
        <v>0</v>
      </c>
      <c r="I412" s="310">
        <f t="shared" si="25"/>
        <v>0</v>
      </c>
      <c r="J412" s="310">
        <f t="shared" si="25"/>
        <v>0</v>
      </c>
      <c r="K412" s="310">
        <f t="shared" si="25"/>
        <v>0</v>
      </c>
      <c r="L412" s="310">
        <f t="shared" si="25"/>
        <v>0</v>
      </c>
      <c r="M412" s="310">
        <f t="shared" si="25"/>
        <v>0</v>
      </c>
      <c r="N412" s="310">
        <f t="shared" si="25"/>
        <v>231826</v>
      </c>
      <c r="O412" s="310">
        <f t="shared" si="25"/>
        <v>0</v>
      </c>
      <c r="P412" s="310">
        <f t="shared" si="25"/>
        <v>57650037</v>
      </c>
      <c r="Q412" s="310">
        <f t="shared" si="25"/>
        <v>17265326</v>
      </c>
      <c r="R412" s="293">
        <f t="shared" si="25"/>
        <v>485088047</v>
      </c>
      <c r="S412" s="258"/>
      <c r="T412" s="259"/>
      <c r="W412" s="448"/>
      <c r="AA412" s="548">
        <f t="shared" si="23"/>
        <v>2680044.4585635359</v>
      </c>
    </row>
    <row r="413" spans="1:27" ht="17.25" customHeight="1">
      <c r="A413" s="291"/>
      <c r="B413" s="310"/>
      <c r="C413" s="293"/>
      <c r="D413" s="293"/>
      <c r="E413" s="293"/>
      <c r="F413" s="293"/>
      <c r="G413" s="293"/>
      <c r="H413" s="293"/>
      <c r="I413" s="293"/>
      <c r="J413" s="293"/>
      <c r="K413" s="293"/>
      <c r="L413" s="293"/>
      <c r="M413" s="294"/>
      <c r="N413" s="294"/>
      <c r="O413" s="294"/>
      <c r="P413" s="294"/>
      <c r="Q413" s="294"/>
      <c r="R413" s="295"/>
      <c r="S413" s="258"/>
      <c r="T413" s="259"/>
      <c r="W413" s="448"/>
      <c r="AA413" s="548"/>
    </row>
    <row r="414" spans="1:27" ht="17.25" customHeight="1">
      <c r="A414" s="291" t="s">
        <v>9</v>
      </c>
      <c r="B414" s="310">
        <f>B156</f>
        <v>253</v>
      </c>
      <c r="C414" s="310">
        <f t="shared" ref="C414:V414" si="26">C156</f>
        <v>0</v>
      </c>
      <c r="D414" s="310">
        <f t="shared" si="26"/>
        <v>0</v>
      </c>
      <c r="E414" s="310">
        <f t="shared" si="26"/>
        <v>0</v>
      </c>
      <c r="F414" s="310">
        <f t="shared" si="26"/>
        <v>0</v>
      </c>
      <c r="G414" s="310">
        <f t="shared" si="26"/>
        <v>0</v>
      </c>
      <c r="H414" s="310">
        <f t="shared" si="26"/>
        <v>0</v>
      </c>
      <c r="I414" s="310">
        <f t="shared" si="26"/>
        <v>0</v>
      </c>
      <c r="J414" s="310">
        <f t="shared" si="26"/>
        <v>0</v>
      </c>
      <c r="K414" s="310">
        <f t="shared" si="26"/>
        <v>0</v>
      </c>
      <c r="L414" s="310">
        <f t="shared" si="26"/>
        <v>0</v>
      </c>
      <c r="M414" s="310">
        <f t="shared" si="26"/>
        <v>0</v>
      </c>
      <c r="N414" s="310">
        <f t="shared" si="26"/>
        <v>345763</v>
      </c>
      <c r="O414" s="310">
        <f t="shared" si="26"/>
        <v>0</v>
      </c>
      <c r="P414" s="310">
        <f t="shared" si="26"/>
        <v>113173430</v>
      </c>
      <c r="Q414" s="310">
        <f t="shared" si="26"/>
        <v>20052612</v>
      </c>
      <c r="R414" s="293">
        <f t="shared" si="26"/>
        <v>743735607</v>
      </c>
      <c r="S414" s="310">
        <f t="shared" si="26"/>
        <v>0</v>
      </c>
      <c r="T414" s="310" t="e">
        <f t="shared" si="26"/>
        <v>#REF!</v>
      </c>
      <c r="U414" s="310" t="str">
        <f t="shared" si="26"/>
        <v>Upah rata-rata / HK</v>
      </c>
      <c r="V414" s="329">
        <f t="shared" si="26"/>
        <v>0</v>
      </c>
      <c r="W414" s="448"/>
      <c r="AA414" s="548">
        <f t="shared" si="23"/>
        <v>2939666.4308300395</v>
      </c>
    </row>
    <row r="415" spans="1:27" ht="17.25" customHeight="1">
      <c r="A415" s="309"/>
      <c r="B415" s="316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42"/>
      <c r="N415" s="342"/>
      <c r="O415" s="342"/>
      <c r="P415" s="342"/>
      <c r="Q415" s="342"/>
      <c r="R415" s="295"/>
      <c r="S415" s="258"/>
      <c r="T415" s="259"/>
      <c r="W415" s="448"/>
      <c r="AA415" s="548"/>
    </row>
    <row r="416" spans="1:27" ht="17.25" customHeight="1">
      <c r="A416" s="291" t="s">
        <v>76</v>
      </c>
      <c r="B416" s="310">
        <f>B310</f>
        <v>9</v>
      </c>
      <c r="C416" s="310">
        <f t="shared" ref="C416:R416" si="27">C310</f>
        <v>0</v>
      </c>
      <c r="D416" s="310">
        <f t="shared" si="27"/>
        <v>0</v>
      </c>
      <c r="E416" s="310">
        <f t="shared" si="27"/>
        <v>0</v>
      </c>
      <c r="F416" s="310">
        <f t="shared" si="27"/>
        <v>0</v>
      </c>
      <c r="G416" s="310">
        <f t="shared" si="27"/>
        <v>0</v>
      </c>
      <c r="H416" s="310">
        <f t="shared" si="27"/>
        <v>0</v>
      </c>
      <c r="I416" s="310">
        <f t="shared" si="27"/>
        <v>0</v>
      </c>
      <c r="J416" s="310">
        <f t="shared" si="27"/>
        <v>0</v>
      </c>
      <c r="K416" s="310">
        <f t="shared" si="27"/>
        <v>0</v>
      </c>
      <c r="L416" s="310">
        <f t="shared" si="27"/>
        <v>0</v>
      </c>
      <c r="M416" s="310">
        <f t="shared" si="27"/>
        <v>0</v>
      </c>
      <c r="N416" s="310">
        <f t="shared" si="27"/>
        <v>0</v>
      </c>
      <c r="O416" s="310">
        <f t="shared" si="27"/>
        <v>0</v>
      </c>
      <c r="P416" s="310">
        <f t="shared" si="27"/>
        <v>0</v>
      </c>
      <c r="Q416" s="310">
        <f t="shared" si="27"/>
        <v>7438103</v>
      </c>
      <c r="R416" s="293">
        <f t="shared" si="27"/>
        <v>32319550</v>
      </c>
      <c r="S416" s="258"/>
      <c r="T416" s="259"/>
      <c r="W416" s="448"/>
      <c r="AA416" s="548">
        <f t="shared" si="23"/>
        <v>3591061.111111111</v>
      </c>
    </row>
    <row r="417" spans="1:27" ht="17.25" customHeight="1">
      <c r="A417" s="309"/>
      <c r="B417" s="316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42"/>
      <c r="N417" s="342"/>
      <c r="O417" s="342"/>
      <c r="P417" s="342"/>
      <c r="Q417" s="342"/>
      <c r="R417" s="295"/>
      <c r="S417" s="258"/>
      <c r="T417" s="259"/>
      <c r="W417" s="448"/>
      <c r="AA417" s="548"/>
    </row>
    <row r="418" spans="1:27" ht="17.25" customHeight="1">
      <c r="A418" s="309" t="s">
        <v>54</v>
      </c>
      <c r="B418" s="316">
        <f>B390</f>
        <v>29</v>
      </c>
      <c r="C418" s="316">
        <f t="shared" ref="C418:R418" si="28">C390</f>
        <v>0</v>
      </c>
      <c r="D418" s="316">
        <f t="shared" si="28"/>
        <v>0</v>
      </c>
      <c r="E418" s="316">
        <f t="shared" si="28"/>
        <v>0</v>
      </c>
      <c r="F418" s="316">
        <f t="shared" si="28"/>
        <v>0</v>
      </c>
      <c r="G418" s="316">
        <f t="shared" si="28"/>
        <v>0</v>
      </c>
      <c r="H418" s="316">
        <f t="shared" si="28"/>
        <v>0</v>
      </c>
      <c r="I418" s="316">
        <f t="shared" si="28"/>
        <v>0</v>
      </c>
      <c r="J418" s="316">
        <f t="shared" si="28"/>
        <v>0</v>
      </c>
      <c r="K418" s="316">
        <f t="shared" si="28"/>
        <v>0</v>
      </c>
      <c r="L418" s="316">
        <f t="shared" si="28"/>
        <v>0</v>
      </c>
      <c r="M418" s="316">
        <f t="shared" si="28"/>
        <v>0</v>
      </c>
      <c r="N418" s="316">
        <f t="shared" si="28"/>
        <v>0</v>
      </c>
      <c r="O418" s="316">
        <f t="shared" si="28"/>
        <v>0</v>
      </c>
      <c r="P418" s="316">
        <f t="shared" si="28"/>
        <v>2092364</v>
      </c>
      <c r="Q418" s="316">
        <f t="shared" si="28"/>
        <v>8127117</v>
      </c>
      <c r="R418" s="315">
        <f t="shared" si="28"/>
        <v>93382818</v>
      </c>
      <c r="S418" s="258"/>
      <c r="T418" s="259"/>
      <c r="W418" s="448"/>
      <c r="AA418" s="548">
        <f t="shared" si="23"/>
        <v>3220097.1724137929</v>
      </c>
    </row>
    <row r="419" spans="1:27" ht="17.25" customHeight="1">
      <c r="A419" s="309"/>
      <c r="B419" s="316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42"/>
      <c r="N419" s="342"/>
      <c r="O419" s="342"/>
      <c r="P419" s="342"/>
      <c r="Q419" s="342"/>
      <c r="R419" s="295"/>
      <c r="S419" s="258"/>
      <c r="T419" s="259"/>
      <c r="W419" s="448"/>
      <c r="AA419" s="548"/>
    </row>
    <row r="420" spans="1:27" ht="17.25" customHeight="1">
      <c r="A420" s="375" t="s">
        <v>89</v>
      </c>
      <c r="B420" s="449">
        <v>112</v>
      </c>
      <c r="C420" s="444">
        <v>300000000</v>
      </c>
      <c r="D420" s="444">
        <v>60000000</v>
      </c>
      <c r="E420" s="444">
        <v>400000</v>
      </c>
      <c r="F420" s="444">
        <v>80000</v>
      </c>
      <c r="G420" s="444">
        <v>0</v>
      </c>
      <c r="H420" s="444">
        <v>3000</v>
      </c>
      <c r="I420" s="444">
        <v>0</v>
      </c>
      <c r="J420" s="444">
        <v>0</v>
      </c>
      <c r="K420" s="444">
        <v>0</v>
      </c>
      <c r="L420" s="444">
        <v>886</v>
      </c>
      <c r="M420" s="445"/>
      <c r="N420" s="450">
        <v>883092</v>
      </c>
      <c r="O420" s="451">
        <v>0</v>
      </c>
      <c r="P420" s="451">
        <v>0</v>
      </c>
      <c r="Q420" s="449">
        <v>204622753</v>
      </c>
      <c r="R420" s="444">
        <v>502222878</v>
      </c>
      <c r="S420" s="258"/>
      <c r="T420" s="259"/>
      <c r="W420" s="448"/>
      <c r="AA420" s="548">
        <f t="shared" si="23"/>
        <v>4484132.8392857146</v>
      </c>
    </row>
    <row r="421" spans="1:27" s="242" customFormat="1" ht="17.25" customHeight="1">
      <c r="A421" s="309"/>
      <c r="B421" s="316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42"/>
      <c r="N421" s="342"/>
      <c r="O421" s="342"/>
      <c r="P421" s="342"/>
      <c r="Q421" s="342"/>
      <c r="R421" s="318"/>
      <c r="S421" s="240"/>
      <c r="T421" s="241"/>
      <c r="W421" s="452"/>
      <c r="X421" s="353"/>
      <c r="Y421" s="215"/>
      <c r="Z421" s="215"/>
      <c r="AA421" s="548"/>
    </row>
    <row r="422" spans="1:27" ht="17.25" customHeight="1" thickBot="1">
      <c r="A422" s="453"/>
      <c r="B422" s="454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406"/>
      <c r="N422" s="406"/>
      <c r="O422" s="406"/>
      <c r="P422" s="406"/>
      <c r="Q422" s="406"/>
      <c r="R422" s="296"/>
      <c r="S422" s="258"/>
      <c r="T422" s="259"/>
      <c r="W422" s="448"/>
      <c r="Y422" s="215"/>
      <c r="AA422" s="548"/>
    </row>
    <row r="423" spans="1:27" ht="17.25" customHeight="1" thickTop="1" thickBot="1">
      <c r="A423" s="319" t="s">
        <v>4</v>
      </c>
      <c r="B423" s="414">
        <f t="shared" ref="B423:I423" si="29">SUM(B405:B422)</f>
        <v>1318</v>
      </c>
      <c r="C423" s="320">
        <f t="shared" si="29"/>
        <v>300000000</v>
      </c>
      <c r="D423" s="320">
        <f t="shared" si="29"/>
        <v>60000000</v>
      </c>
      <c r="E423" s="320">
        <f t="shared" si="29"/>
        <v>400000</v>
      </c>
      <c r="F423" s="320">
        <f t="shared" si="29"/>
        <v>80000</v>
      </c>
      <c r="G423" s="320">
        <f t="shared" si="29"/>
        <v>0</v>
      </c>
      <c r="H423" s="320">
        <f t="shared" si="29"/>
        <v>3000</v>
      </c>
      <c r="I423" s="320">
        <f t="shared" si="29"/>
        <v>0</v>
      </c>
      <c r="J423" s="320">
        <f>SUM(J405:J422)</f>
        <v>0</v>
      </c>
      <c r="K423" s="320">
        <f>SUM(K405:K422)</f>
        <v>0</v>
      </c>
      <c r="L423" s="320">
        <f>SUM(L405:L422)</f>
        <v>886</v>
      </c>
      <c r="M423" s="320"/>
      <c r="N423" s="455">
        <f>SUM(N406:N422)</f>
        <v>1837293</v>
      </c>
      <c r="O423" s="455">
        <f>SUM(O406:O422)</f>
        <v>0</v>
      </c>
      <c r="P423" s="413">
        <f t="shared" ref="P423:Q423" si="30">SUM(P405:P422)</f>
        <v>339220709</v>
      </c>
      <c r="Q423" s="456">
        <f t="shared" si="30"/>
        <v>332757436</v>
      </c>
      <c r="R423" s="413">
        <f>SUM(R405:R422)</f>
        <v>3910278163</v>
      </c>
      <c r="S423" s="258"/>
      <c r="T423" s="259"/>
      <c r="Y423" s="215"/>
      <c r="AA423" s="549">
        <f t="shared" si="23"/>
        <v>2966827.1342943856</v>
      </c>
    </row>
    <row r="424" spans="1:27" ht="17.25" customHeight="1" thickTop="1">
      <c r="A424" s="291"/>
      <c r="B424" s="292"/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4"/>
      <c r="N424" s="294"/>
      <c r="O424" s="294"/>
      <c r="P424" s="294"/>
      <c r="Q424" s="294"/>
      <c r="R424" s="295"/>
      <c r="S424" s="258"/>
      <c r="T424" s="259"/>
      <c r="Y424" s="215"/>
      <c r="AA424" s="548"/>
    </row>
    <row r="425" spans="1:27" ht="17.25" customHeight="1">
      <c r="A425" s="291" t="s">
        <v>57</v>
      </c>
      <c r="B425" s="310">
        <f>B184</f>
        <v>155</v>
      </c>
      <c r="C425" s="310">
        <f t="shared" ref="C425:R425" si="31">C184</f>
        <v>0</v>
      </c>
      <c r="D425" s="310">
        <f t="shared" si="31"/>
        <v>0</v>
      </c>
      <c r="E425" s="310">
        <f t="shared" si="31"/>
        <v>0</v>
      </c>
      <c r="F425" s="310">
        <f t="shared" si="31"/>
        <v>0</v>
      </c>
      <c r="G425" s="310">
        <f t="shared" si="31"/>
        <v>0</v>
      </c>
      <c r="H425" s="310">
        <f t="shared" si="31"/>
        <v>0</v>
      </c>
      <c r="I425" s="310">
        <f t="shared" si="31"/>
        <v>0</v>
      </c>
      <c r="J425" s="310">
        <f t="shared" si="31"/>
        <v>0</v>
      </c>
      <c r="K425" s="310">
        <f t="shared" si="31"/>
        <v>0</v>
      </c>
      <c r="L425" s="310">
        <f t="shared" si="31"/>
        <v>0</v>
      </c>
      <c r="M425" s="310">
        <f t="shared" si="31"/>
        <v>0</v>
      </c>
      <c r="N425" s="310">
        <f t="shared" si="31"/>
        <v>236069</v>
      </c>
      <c r="O425" s="310">
        <f t="shared" si="31"/>
        <v>0</v>
      </c>
      <c r="P425" s="310">
        <f t="shared" si="31"/>
        <v>88631999</v>
      </c>
      <c r="Q425" s="310">
        <f t="shared" si="31"/>
        <v>20944576</v>
      </c>
      <c r="R425" s="293">
        <f t="shared" si="31"/>
        <v>528564124</v>
      </c>
      <c r="S425" s="258"/>
      <c r="T425" s="259"/>
      <c r="W425" s="448"/>
      <c r="Y425" s="215"/>
      <c r="AA425" s="548">
        <f t="shared" si="23"/>
        <v>3410091.1225806451</v>
      </c>
    </row>
    <row r="426" spans="1:27" ht="17.25" customHeight="1">
      <c r="A426" s="291"/>
      <c r="B426" s="310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4"/>
      <c r="N426" s="294"/>
      <c r="O426" s="294"/>
      <c r="P426" s="294"/>
      <c r="Q426" s="294"/>
      <c r="R426" s="295"/>
      <c r="S426" s="258"/>
      <c r="T426" s="259"/>
      <c r="W426" s="457"/>
      <c r="X426" s="492"/>
      <c r="Y426" s="215"/>
      <c r="AA426" s="548"/>
    </row>
    <row r="427" spans="1:27" ht="17.25" customHeight="1">
      <c r="A427" s="291" t="s">
        <v>58</v>
      </c>
      <c r="B427" s="310">
        <f>B213</f>
        <v>208</v>
      </c>
      <c r="C427" s="310">
        <f t="shared" ref="C427:R427" si="32">C213</f>
        <v>0</v>
      </c>
      <c r="D427" s="310">
        <f t="shared" si="32"/>
        <v>0</v>
      </c>
      <c r="E427" s="310">
        <f t="shared" si="32"/>
        <v>0</v>
      </c>
      <c r="F427" s="310">
        <f t="shared" si="32"/>
        <v>0</v>
      </c>
      <c r="G427" s="310">
        <f t="shared" si="32"/>
        <v>0</v>
      </c>
      <c r="H427" s="310">
        <f t="shared" si="32"/>
        <v>0</v>
      </c>
      <c r="I427" s="310">
        <f t="shared" si="32"/>
        <v>0</v>
      </c>
      <c r="J427" s="310">
        <f t="shared" si="32"/>
        <v>0</v>
      </c>
      <c r="K427" s="310">
        <f t="shared" si="32"/>
        <v>0</v>
      </c>
      <c r="L427" s="310">
        <f t="shared" si="32"/>
        <v>0</v>
      </c>
      <c r="M427" s="310">
        <f t="shared" si="32"/>
        <v>0</v>
      </c>
      <c r="N427" s="310">
        <f t="shared" si="32"/>
        <v>487976</v>
      </c>
      <c r="O427" s="310">
        <f t="shared" si="32"/>
        <v>0</v>
      </c>
      <c r="P427" s="310">
        <f t="shared" si="32"/>
        <v>98583265</v>
      </c>
      <c r="Q427" s="310">
        <f t="shared" si="32"/>
        <v>20056604</v>
      </c>
      <c r="R427" s="293">
        <f t="shared" si="32"/>
        <v>621922995</v>
      </c>
      <c r="S427" s="258"/>
      <c r="T427" s="259"/>
      <c r="W427" s="448"/>
      <c r="Y427" s="215"/>
      <c r="AA427" s="548">
        <f t="shared" si="23"/>
        <v>2990014.3990384615</v>
      </c>
    </row>
    <row r="428" spans="1:27" ht="17.25" customHeight="1">
      <c r="A428" s="291"/>
      <c r="B428" s="292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4"/>
      <c r="N428" s="294"/>
      <c r="O428" s="294"/>
      <c r="P428" s="294"/>
      <c r="Q428" s="294"/>
      <c r="R428" s="295"/>
      <c r="S428" s="258"/>
      <c r="T428" s="259"/>
      <c r="W428" s="448"/>
      <c r="Y428" s="215"/>
      <c r="AA428" s="548"/>
    </row>
    <row r="429" spans="1:27" ht="17.25" customHeight="1">
      <c r="A429" s="291" t="s">
        <v>59</v>
      </c>
      <c r="B429" s="292">
        <f>B245</f>
        <v>199</v>
      </c>
      <c r="C429" s="292">
        <f t="shared" ref="C429:R429" si="33">C245</f>
        <v>0</v>
      </c>
      <c r="D429" s="292">
        <f t="shared" si="33"/>
        <v>0</v>
      </c>
      <c r="E429" s="292">
        <f t="shared" si="33"/>
        <v>0</v>
      </c>
      <c r="F429" s="292">
        <f t="shared" si="33"/>
        <v>0</v>
      </c>
      <c r="G429" s="292">
        <f t="shared" si="33"/>
        <v>0</v>
      </c>
      <c r="H429" s="292">
        <f t="shared" si="33"/>
        <v>0</v>
      </c>
      <c r="I429" s="292">
        <f t="shared" si="33"/>
        <v>0</v>
      </c>
      <c r="J429" s="292">
        <f t="shared" si="33"/>
        <v>0</v>
      </c>
      <c r="K429" s="292">
        <f t="shared" si="33"/>
        <v>0</v>
      </c>
      <c r="L429" s="292">
        <f t="shared" si="33"/>
        <v>0</v>
      </c>
      <c r="M429" s="292">
        <f t="shared" si="33"/>
        <v>0</v>
      </c>
      <c r="N429" s="310">
        <f t="shared" si="33"/>
        <v>622865</v>
      </c>
      <c r="O429" s="310">
        <f t="shared" si="33"/>
        <v>0</v>
      </c>
      <c r="P429" s="310">
        <f t="shared" si="33"/>
        <v>57921940</v>
      </c>
      <c r="Q429" s="310">
        <f t="shared" si="33"/>
        <v>10942138</v>
      </c>
      <c r="R429" s="293">
        <f t="shared" si="33"/>
        <v>553381241</v>
      </c>
      <c r="S429" s="258"/>
      <c r="T429" s="259"/>
      <c r="W429" s="448"/>
      <c r="Y429" s="215"/>
      <c r="AA429" s="548">
        <f t="shared" si="23"/>
        <v>2780810.2562814071</v>
      </c>
    </row>
    <row r="430" spans="1:27" ht="17.25" customHeight="1">
      <c r="A430" s="291"/>
      <c r="B430" s="292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4"/>
      <c r="N430" s="294"/>
      <c r="O430" s="294"/>
      <c r="P430" s="294"/>
      <c r="Q430" s="294"/>
      <c r="R430" s="295"/>
      <c r="S430" s="258"/>
      <c r="T430" s="259"/>
      <c r="W430" s="448"/>
      <c r="Y430" s="215"/>
      <c r="AA430" s="548"/>
    </row>
    <row r="431" spans="1:27" ht="17.25" customHeight="1">
      <c r="A431" s="291" t="s">
        <v>60</v>
      </c>
      <c r="B431" s="310">
        <f>B287</f>
        <v>298</v>
      </c>
      <c r="C431" s="310">
        <f t="shared" ref="C431:R431" si="34">C287</f>
        <v>0</v>
      </c>
      <c r="D431" s="310">
        <f t="shared" si="34"/>
        <v>0</v>
      </c>
      <c r="E431" s="310">
        <f t="shared" si="34"/>
        <v>0</v>
      </c>
      <c r="F431" s="310">
        <f t="shared" si="34"/>
        <v>0</v>
      </c>
      <c r="G431" s="310">
        <f t="shared" si="34"/>
        <v>0</v>
      </c>
      <c r="H431" s="310">
        <f t="shared" si="34"/>
        <v>0</v>
      </c>
      <c r="I431" s="310">
        <f t="shared" si="34"/>
        <v>0</v>
      </c>
      <c r="J431" s="310">
        <f t="shared" si="34"/>
        <v>0</v>
      </c>
      <c r="K431" s="310">
        <f t="shared" si="34"/>
        <v>0</v>
      </c>
      <c r="L431" s="310">
        <f t="shared" si="34"/>
        <v>0</v>
      </c>
      <c r="M431" s="310">
        <f t="shared" si="34"/>
        <v>0</v>
      </c>
      <c r="N431" s="310">
        <f t="shared" si="34"/>
        <v>211874</v>
      </c>
      <c r="O431" s="310">
        <f t="shared" si="34"/>
        <v>0</v>
      </c>
      <c r="P431" s="310">
        <f t="shared" si="34"/>
        <v>101443308</v>
      </c>
      <c r="Q431" s="310">
        <f t="shared" si="34"/>
        <v>21395121</v>
      </c>
      <c r="R431" s="293">
        <f t="shared" si="34"/>
        <v>831173927</v>
      </c>
      <c r="S431" s="258"/>
      <c r="T431" s="259"/>
      <c r="W431" s="448"/>
      <c r="Y431" s="215"/>
      <c r="AA431" s="548">
        <f t="shared" si="23"/>
        <v>2789174.2516778521</v>
      </c>
    </row>
    <row r="432" spans="1:27" ht="17.25" customHeight="1">
      <c r="A432" s="291"/>
      <c r="B432" s="310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4"/>
      <c r="N432" s="294"/>
      <c r="O432" s="294"/>
      <c r="P432" s="294"/>
      <c r="Q432" s="294"/>
      <c r="R432" s="295"/>
      <c r="S432" s="258"/>
      <c r="T432" s="259"/>
      <c r="W432" s="448"/>
      <c r="Y432" s="215"/>
      <c r="AA432" s="548"/>
    </row>
    <row r="433" spans="1:27" ht="17.25" customHeight="1">
      <c r="A433" s="291" t="s">
        <v>31</v>
      </c>
      <c r="B433" s="310">
        <f>B333</f>
        <v>4</v>
      </c>
      <c r="C433" s="310">
        <f t="shared" ref="C433:R433" si="35">C333</f>
        <v>0</v>
      </c>
      <c r="D433" s="310">
        <f t="shared" si="35"/>
        <v>0</v>
      </c>
      <c r="E433" s="310">
        <f t="shared" si="35"/>
        <v>0</v>
      </c>
      <c r="F433" s="310">
        <f t="shared" si="35"/>
        <v>0</v>
      </c>
      <c r="G433" s="310">
        <f t="shared" si="35"/>
        <v>0</v>
      </c>
      <c r="H433" s="310">
        <f t="shared" si="35"/>
        <v>0</v>
      </c>
      <c r="I433" s="310">
        <f t="shared" si="35"/>
        <v>0</v>
      </c>
      <c r="J433" s="310">
        <f t="shared" si="35"/>
        <v>0</v>
      </c>
      <c r="K433" s="310">
        <f t="shared" si="35"/>
        <v>0</v>
      </c>
      <c r="L433" s="310">
        <f t="shared" si="35"/>
        <v>0</v>
      </c>
      <c r="M433" s="310">
        <f t="shared" si="35"/>
        <v>0</v>
      </c>
      <c r="N433" s="310">
        <f t="shared" si="35"/>
        <v>0</v>
      </c>
      <c r="O433" s="310">
        <f t="shared" si="35"/>
        <v>0</v>
      </c>
      <c r="P433" s="310">
        <f t="shared" si="35"/>
        <v>400000</v>
      </c>
      <c r="Q433" s="310">
        <f t="shared" si="35"/>
        <v>724698</v>
      </c>
      <c r="R433" s="293">
        <f t="shared" si="35"/>
        <v>12378906</v>
      </c>
      <c r="S433" s="258"/>
      <c r="T433" s="259"/>
      <c r="W433" s="448"/>
      <c r="Y433" s="215"/>
      <c r="AA433" s="548">
        <f t="shared" si="23"/>
        <v>3094726.5</v>
      </c>
    </row>
    <row r="434" spans="1:27" ht="17.25" customHeight="1" thickBot="1">
      <c r="A434" s="291"/>
      <c r="B434" s="310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4"/>
      <c r="N434" s="294"/>
      <c r="O434" s="294"/>
      <c r="P434" s="294"/>
      <c r="Q434" s="294"/>
      <c r="R434" s="295"/>
      <c r="S434" s="258"/>
      <c r="T434" s="259"/>
      <c r="W434" s="448"/>
      <c r="Y434" s="215"/>
      <c r="AA434" s="548"/>
    </row>
    <row r="435" spans="1:27" ht="17.25" customHeight="1" thickTop="1" thickBot="1">
      <c r="A435" s="319" t="s">
        <v>10</v>
      </c>
      <c r="B435" s="414">
        <f t="shared" ref="B435:R435" si="36">SUM(B423:B434)</f>
        <v>2182</v>
      </c>
      <c r="C435" s="320">
        <f t="shared" si="36"/>
        <v>300000000</v>
      </c>
      <c r="D435" s="320">
        <f t="shared" si="36"/>
        <v>60000000</v>
      </c>
      <c r="E435" s="320">
        <f t="shared" si="36"/>
        <v>400000</v>
      </c>
      <c r="F435" s="320">
        <f t="shared" si="36"/>
        <v>80000</v>
      </c>
      <c r="G435" s="320">
        <f t="shared" si="36"/>
        <v>0</v>
      </c>
      <c r="H435" s="320">
        <f t="shared" si="36"/>
        <v>3000</v>
      </c>
      <c r="I435" s="320">
        <f t="shared" si="36"/>
        <v>0</v>
      </c>
      <c r="J435" s="320">
        <f t="shared" si="36"/>
        <v>0</v>
      </c>
      <c r="K435" s="320">
        <f t="shared" si="36"/>
        <v>0</v>
      </c>
      <c r="L435" s="320">
        <f t="shared" si="36"/>
        <v>886</v>
      </c>
      <c r="M435" s="320"/>
      <c r="N435" s="455">
        <f>SUM(N425:N433)</f>
        <v>1558784</v>
      </c>
      <c r="O435" s="455">
        <f>SUM(O425:O433)</f>
        <v>0</v>
      </c>
      <c r="P435" s="456">
        <f t="shared" si="36"/>
        <v>686201221</v>
      </c>
      <c r="Q435" s="456">
        <f t="shared" si="36"/>
        <v>406820573</v>
      </c>
      <c r="R435" s="413">
        <f t="shared" si="36"/>
        <v>6457699356</v>
      </c>
      <c r="S435" s="258"/>
      <c r="T435" s="259"/>
      <c r="W435" s="448"/>
      <c r="Y435" s="215"/>
      <c r="AA435" s="548">
        <f t="shared" si="23"/>
        <v>2959532.2438130155</v>
      </c>
    </row>
    <row r="436" spans="1:27" ht="17.25" customHeight="1" thickTop="1">
      <c r="A436" s="287"/>
      <c r="B436" s="533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9"/>
      <c r="N436" s="289"/>
      <c r="O436" s="289"/>
      <c r="P436" s="289"/>
      <c r="Q436" s="289"/>
      <c r="R436" s="290"/>
      <c r="S436" s="258"/>
      <c r="T436" s="259"/>
      <c r="W436" s="448"/>
      <c r="Y436" s="215"/>
      <c r="AA436" s="548"/>
    </row>
    <row r="437" spans="1:27" ht="17.25" customHeight="1">
      <c r="A437" s="291" t="s">
        <v>61</v>
      </c>
      <c r="B437" s="310">
        <f>B370</f>
        <v>53</v>
      </c>
      <c r="C437" s="310">
        <f t="shared" ref="C437:R437" si="37">C370</f>
        <v>0</v>
      </c>
      <c r="D437" s="310">
        <f t="shared" si="37"/>
        <v>0</v>
      </c>
      <c r="E437" s="310">
        <f t="shared" si="37"/>
        <v>0</v>
      </c>
      <c r="F437" s="310">
        <f t="shared" si="37"/>
        <v>0</v>
      </c>
      <c r="G437" s="310">
        <f t="shared" si="37"/>
        <v>0</v>
      </c>
      <c r="H437" s="310">
        <f t="shared" si="37"/>
        <v>0</v>
      </c>
      <c r="I437" s="310">
        <f t="shared" si="37"/>
        <v>0</v>
      </c>
      <c r="J437" s="310">
        <f t="shared" si="37"/>
        <v>0</v>
      </c>
      <c r="K437" s="310">
        <f t="shared" si="37"/>
        <v>0</v>
      </c>
      <c r="L437" s="310">
        <f t="shared" si="37"/>
        <v>0</v>
      </c>
      <c r="M437" s="310">
        <f t="shared" si="37"/>
        <v>0</v>
      </c>
      <c r="N437" s="310">
        <f t="shared" si="37"/>
        <v>912486</v>
      </c>
      <c r="O437" s="310">
        <f t="shared" si="37"/>
        <v>0</v>
      </c>
      <c r="P437" s="310">
        <f t="shared" si="37"/>
        <v>53652054</v>
      </c>
      <c r="Q437" s="310">
        <f t="shared" si="37"/>
        <v>9558054</v>
      </c>
      <c r="R437" s="293">
        <f t="shared" si="37"/>
        <v>199399120</v>
      </c>
      <c r="S437" s="258"/>
      <c r="T437" s="259"/>
      <c r="W437" s="448"/>
      <c r="Y437" s="215"/>
      <c r="AA437" s="548">
        <f t="shared" si="23"/>
        <v>3762247.5471698111</v>
      </c>
    </row>
    <row r="438" spans="1:27" ht="17.25" customHeight="1">
      <c r="A438" s="287"/>
      <c r="B438" s="533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9"/>
      <c r="N438" s="289"/>
      <c r="O438" s="289"/>
      <c r="P438" s="289"/>
      <c r="Q438" s="289"/>
      <c r="R438" s="295"/>
      <c r="S438" s="258"/>
      <c r="T438" s="259"/>
      <c r="W438" s="448"/>
      <c r="Y438" s="215"/>
    </row>
    <row r="439" spans="1:27" ht="17.25" customHeight="1">
      <c r="A439" s="363" t="s">
        <v>32</v>
      </c>
      <c r="B439" s="357">
        <v>0</v>
      </c>
      <c r="C439" s="358">
        <v>0</v>
      </c>
      <c r="D439" s="358">
        <v>0</v>
      </c>
      <c r="E439" s="358">
        <v>0</v>
      </c>
      <c r="F439" s="358">
        <v>0</v>
      </c>
      <c r="G439" s="358">
        <v>0</v>
      </c>
      <c r="H439" s="358">
        <v>0</v>
      </c>
      <c r="I439" s="358">
        <v>0</v>
      </c>
      <c r="J439" s="358">
        <v>0</v>
      </c>
      <c r="K439" s="358">
        <v>0</v>
      </c>
      <c r="L439" s="358">
        <v>0</v>
      </c>
      <c r="M439" s="359"/>
      <c r="N439" s="359"/>
      <c r="O439" s="359"/>
      <c r="P439" s="359"/>
      <c r="Q439" s="359"/>
      <c r="R439" s="378">
        <f>SUM(C439:L439)</f>
        <v>0</v>
      </c>
      <c r="S439" s="258"/>
      <c r="T439" s="259"/>
      <c r="W439" s="448"/>
      <c r="Y439" s="215"/>
    </row>
    <row r="440" spans="1:27" s="242" customFormat="1" ht="17.25" customHeight="1">
      <c r="A440" s="287"/>
      <c r="B440" s="533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9"/>
      <c r="N440" s="289"/>
      <c r="O440" s="289"/>
      <c r="P440" s="289"/>
      <c r="Q440" s="289"/>
      <c r="R440" s="295"/>
      <c r="S440" s="240"/>
      <c r="T440" s="241"/>
      <c r="W440" s="452"/>
      <c r="X440" s="353"/>
      <c r="Y440" s="215"/>
      <c r="Z440" s="215"/>
    </row>
    <row r="441" spans="1:27" ht="17.25" customHeight="1">
      <c r="A441" s="291" t="s">
        <v>35</v>
      </c>
      <c r="B441" s="310">
        <f t="shared" ref="B441:L441" si="38">B492</f>
        <v>50</v>
      </c>
      <c r="C441" s="293">
        <f t="shared" si="38"/>
        <v>0</v>
      </c>
      <c r="D441" s="293">
        <f t="shared" si="38"/>
        <v>0</v>
      </c>
      <c r="E441" s="293">
        <f t="shared" si="38"/>
        <v>0</v>
      </c>
      <c r="F441" s="293">
        <f t="shared" si="38"/>
        <v>0</v>
      </c>
      <c r="G441" s="293">
        <f t="shared" si="38"/>
        <v>0</v>
      </c>
      <c r="H441" s="293">
        <f t="shared" si="38"/>
        <v>0</v>
      </c>
      <c r="I441" s="293">
        <f t="shared" si="38"/>
        <v>0</v>
      </c>
      <c r="J441" s="293">
        <f t="shared" si="38"/>
        <v>0</v>
      </c>
      <c r="K441" s="293">
        <f t="shared" si="38"/>
        <v>0</v>
      </c>
      <c r="L441" s="293">
        <f t="shared" si="38"/>
        <v>0</v>
      </c>
      <c r="M441" s="294"/>
      <c r="N441" s="294"/>
      <c r="O441" s="294"/>
      <c r="P441" s="294"/>
      <c r="Q441" s="294"/>
      <c r="R441" s="295">
        <f>SUM(C441:L441)</f>
        <v>0</v>
      </c>
      <c r="S441" s="258"/>
      <c r="T441" s="259"/>
      <c r="X441" s="339">
        <f>152-97</f>
        <v>55</v>
      </c>
      <c r="Y441" s="215"/>
    </row>
    <row r="442" spans="1:27" s="242" customFormat="1" ht="17.25" customHeight="1">
      <c r="A442" s="291"/>
      <c r="B442" s="292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4"/>
      <c r="N442" s="294"/>
      <c r="O442" s="294"/>
      <c r="P442" s="294"/>
      <c r="Q442" s="294"/>
      <c r="R442" s="295"/>
      <c r="S442" s="458"/>
      <c r="T442" s="348"/>
      <c r="X442" s="353"/>
      <c r="Y442" s="353"/>
    </row>
    <row r="443" spans="1:27" ht="17.25" customHeight="1">
      <c r="A443" s="291" t="s">
        <v>36</v>
      </c>
      <c r="B443" s="310">
        <f t="shared" ref="B443:L443" si="39">B517</f>
        <v>0</v>
      </c>
      <c r="C443" s="293">
        <f t="shared" si="39"/>
        <v>0</v>
      </c>
      <c r="D443" s="293">
        <f t="shared" si="39"/>
        <v>0</v>
      </c>
      <c r="E443" s="293">
        <f t="shared" si="39"/>
        <v>0</v>
      </c>
      <c r="F443" s="293">
        <f t="shared" si="39"/>
        <v>0</v>
      </c>
      <c r="G443" s="293">
        <f t="shared" si="39"/>
        <v>0</v>
      </c>
      <c r="H443" s="293">
        <f t="shared" si="39"/>
        <v>0</v>
      </c>
      <c r="I443" s="293">
        <f t="shared" si="39"/>
        <v>0</v>
      </c>
      <c r="J443" s="293">
        <f t="shared" si="39"/>
        <v>0</v>
      </c>
      <c r="K443" s="293">
        <f t="shared" si="39"/>
        <v>0</v>
      </c>
      <c r="L443" s="293">
        <f t="shared" si="39"/>
        <v>0</v>
      </c>
      <c r="M443" s="294"/>
      <c r="N443" s="294"/>
      <c r="O443" s="294"/>
      <c r="P443" s="294"/>
      <c r="Q443" s="294"/>
      <c r="R443" s="295">
        <f>SUM(C443:L443)</f>
        <v>0</v>
      </c>
      <c r="S443" s="459"/>
      <c r="T443" s="352"/>
    </row>
    <row r="444" spans="1:27" ht="17.25" customHeight="1">
      <c r="A444" s="291"/>
      <c r="B444" s="292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4"/>
      <c r="N444" s="294"/>
      <c r="O444" s="294"/>
      <c r="P444" s="294"/>
      <c r="Q444" s="294"/>
      <c r="R444" s="295"/>
      <c r="S444" s="258"/>
      <c r="T444" s="259"/>
    </row>
    <row r="445" spans="1:27" ht="17.25" customHeight="1">
      <c r="A445" s="291" t="s">
        <v>41</v>
      </c>
      <c r="B445" s="310">
        <f t="shared" ref="B445:L445" si="40">B538</f>
        <v>0</v>
      </c>
      <c r="C445" s="293">
        <f t="shared" si="40"/>
        <v>0</v>
      </c>
      <c r="D445" s="293">
        <f t="shared" si="40"/>
        <v>0</v>
      </c>
      <c r="E445" s="293">
        <f t="shared" si="40"/>
        <v>0</v>
      </c>
      <c r="F445" s="293">
        <f t="shared" si="40"/>
        <v>0</v>
      </c>
      <c r="G445" s="293">
        <f t="shared" si="40"/>
        <v>0</v>
      </c>
      <c r="H445" s="293">
        <f t="shared" si="40"/>
        <v>0</v>
      </c>
      <c r="I445" s="293">
        <f t="shared" si="40"/>
        <v>0</v>
      </c>
      <c r="J445" s="293">
        <f t="shared" si="40"/>
        <v>0</v>
      </c>
      <c r="K445" s="293">
        <f t="shared" si="40"/>
        <v>0</v>
      </c>
      <c r="L445" s="293">
        <f t="shared" si="40"/>
        <v>0</v>
      </c>
      <c r="M445" s="294"/>
      <c r="N445" s="294"/>
      <c r="O445" s="294"/>
      <c r="P445" s="294"/>
      <c r="Q445" s="294"/>
      <c r="R445" s="295">
        <f>SUM(C445:L445)</f>
        <v>0</v>
      </c>
      <c r="S445" s="258"/>
      <c r="T445" s="259"/>
      <c r="Z445" s="218">
        <f>R435-R420</f>
        <v>5955476478</v>
      </c>
    </row>
    <row r="446" spans="1:27" ht="17.25" customHeight="1">
      <c r="A446" s="291"/>
      <c r="B446" s="310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4"/>
      <c r="N446" s="294"/>
      <c r="O446" s="294"/>
      <c r="P446" s="294"/>
      <c r="Q446" s="294"/>
      <c r="R446" s="295"/>
      <c r="S446" s="459"/>
      <c r="T446" s="352"/>
    </row>
    <row r="447" spans="1:27" ht="17.25" customHeight="1">
      <c r="A447" s="291" t="s">
        <v>37</v>
      </c>
      <c r="B447" s="310">
        <f t="shared" ref="B447:L447" si="41">B561</f>
        <v>0</v>
      </c>
      <c r="C447" s="293">
        <f t="shared" si="41"/>
        <v>0</v>
      </c>
      <c r="D447" s="293">
        <f t="shared" si="41"/>
        <v>0</v>
      </c>
      <c r="E447" s="293">
        <f t="shared" si="41"/>
        <v>0</v>
      </c>
      <c r="F447" s="293">
        <f t="shared" si="41"/>
        <v>0</v>
      </c>
      <c r="G447" s="293">
        <f t="shared" si="41"/>
        <v>0</v>
      </c>
      <c r="H447" s="293">
        <f t="shared" si="41"/>
        <v>0</v>
      </c>
      <c r="I447" s="293">
        <f t="shared" si="41"/>
        <v>0</v>
      </c>
      <c r="J447" s="293">
        <f t="shared" si="41"/>
        <v>0</v>
      </c>
      <c r="K447" s="293">
        <f t="shared" si="41"/>
        <v>0</v>
      </c>
      <c r="L447" s="293">
        <f t="shared" si="41"/>
        <v>0</v>
      </c>
      <c r="M447" s="294"/>
      <c r="N447" s="294"/>
      <c r="O447" s="294"/>
      <c r="P447" s="294"/>
      <c r="Q447" s="294"/>
      <c r="R447" s="295">
        <f>SUM(C447:L447)</f>
        <v>0</v>
      </c>
      <c r="S447" s="459"/>
      <c r="T447" s="352"/>
    </row>
    <row r="448" spans="1:27" ht="17.25" customHeight="1">
      <c r="A448" s="291"/>
      <c r="B448" s="292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4"/>
      <c r="N448" s="294"/>
      <c r="O448" s="294"/>
      <c r="P448" s="294"/>
      <c r="Q448" s="294"/>
      <c r="R448" s="295"/>
      <c r="S448" s="459"/>
      <c r="T448" s="352"/>
    </row>
    <row r="449" spans="1:25" ht="17.25" customHeight="1">
      <c r="A449" s="291" t="s">
        <v>40</v>
      </c>
      <c r="B449" s="310">
        <f t="shared" ref="B449:L449" si="42">B584</f>
        <v>0</v>
      </c>
      <c r="C449" s="293">
        <f t="shared" si="42"/>
        <v>0</v>
      </c>
      <c r="D449" s="293">
        <f t="shared" si="42"/>
        <v>0</v>
      </c>
      <c r="E449" s="293">
        <f t="shared" si="42"/>
        <v>0</v>
      </c>
      <c r="F449" s="293">
        <f t="shared" si="42"/>
        <v>0</v>
      </c>
      <c r="G449" s="293">
        <f t="shared" si="42"/>
        <v>0</v>
      </c>
      <c r="H449" s="293">
        <f t="shared" si="42"/>
        <v>0</v>
      </c>
      <c r="I449" s="293">
        <f t="shared" si="42"/>
        <v>0</v>
      </c>
      <c r="J449" s="293">
        <f t="shared" si="42"/>
        <v>0</v>
      </c>
      <c r="K449" s="293">
        <f t="shared" si="42"/>
        <v>0</v>
      </c>
      <c r="L449" s="293">
        <f t="shared" si="42"/>
        <v>0</v>
      </c>
      <c r="M449" s="294"/>
      <c r="N449" s="294"/>
      <c r="O449" s="294"/>
      <c r="P449" s="294"/>
      <c r="Q449" s="294"/>
      <c r="R449" s="295">
        <f>SUM(C449:L449)</f>
        <v>0</v>
      </c>
      <c r="S449" s="459"/>
      <c r="T449" s="352"/>
    </row>
    <row r="450" spans="1:25" ht="17.25" customHeight="1">
      <c r="A450" s="291"/>
      <c r="B450" s="292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4"/>
      <c r="N450" s="294"/>
      <c r="O450" s="294"/>
      <c r="P450" s="294"/>
      <c r="Q450" s="294"/>
      <c r="R450" s="295"/>
      <c r="S450" s="459"/>
      <c r="T450" s="352"/>
    </row>
    <row r="451" spans="1:25" ht="17.25" customHeight="1">
      <c r="A451" s="291" t="s">
        <v>42</v>
      </c>
      <c r="B451" s="310">
        <f>B604</f>
        <v>0</v>
      </c>
      <c r="C451" s="293">
        <f t="shared" ref="C451:L451" si="43">C610</f>
        <v>0</v>
      </c>
      <c r="D451" s="293">
        <f t="shared" si="43"/>
        <v>0</v>
      </c>
      <c r="E451" s="293">
        <f t="shared" si="43"/>
        <v>0</v>
      </c>
      <c r="F451" s="293">
        <f t="shared" si="43"/>
        <v>0</v>
      </c>
      <c r="G451" s="293">
        <f t="shared" si="43"/>
        <v>0</v>
      </c>
      <c r="H451" s="293">
        <f t="shared" si="43"/>
        <v>0</v>
      </c>
      <c r="I451" s="293">
        <f t="shared" si="43"/>
        <v>0</v>
      </c>
      <c r="J451" s="293">
        <f t="shared" si="43"/>
        <v>0</v>
      </c>
      <c r="K451" s="293">
        <f t="shared" si="43"/>
        <v>0</v>
      </c>
      <c r="L451" s="293">
        <f t="shared" si="43"/>
        <v>0</v>
      </c>
      <c r="M451" s="294"/>
      <c r="N451" s="294"/>
      <c r="O451" s="294"/>
      <c r="P451" s="294"/>
      <c r="Q451" s="294"/>
      <c r="R451" s="295">
        <f>R604</f>
        <v>0</v>
      </c>
      <c r="S451" s="459"/>
      <c r="T451" s="352"/>
    </row>
    <row r="452" spans="1:25" ht="17.25" customHeight="1">
      <c r="A452" s="291"/>
      <c r="B452" s="292"/>
      <c r="C452" s="293"/>
      <c r="D452" s="293"/>
      <c r="E452" s="293"/>
      <c r="F452" s="293"/>
      <c r="G452" s="293"/>
      <c r="H452" s="293"/>
      <c r="I452" s="293"/>
      <c r="J452" s="293"/>
      <c r="K452" s="293"/>
      <c r="L452" s="293"/>
      <c r="M452" s="294"/>
      <c r="N452" s="294"/>
      <c r="O452" s="294"/>
      <c r="P452" s="294"/>
      <c r="Q452" s="294"/>
      <c r="R452" s="295"/>
      <c r="S452" s="459"/>
      <c r="T452" s="352"/>
    </row>
    <row r="453" spans="1:25" ht="17.25" customHeight="1">
      <c r="A453" s="291" t="s">
        <v>52</v>
      </c>
      <c r="B453" s="310">
        <f t="shared" ref="B453:L453" si="44">B636</f>
        <v>0</v>
      </c>
      <c r="C453" s="293">
        <f t="shared" si="44"/>
        <v>0</v>
      </c>
      <c r="D453" s="293">
        <f t="shared" si="44"/>
        <v>0</v>
      </c>
      <c r="E453" s="293">
        <f t="shared" si="44"/>
        <v>0</v>
      </c>
      <c r="F453" s="293">
        <f t="shared" si="44"/>
        <v>0</v>
      </c>
      <c r="G453" s="293">
        <f t="shared" si="44"/>
        <v>0</v>
      </c>
      <c r="H453" s="293">
        <f t="shared" si="44"/>
        <v>0</v>
      </c>
      <c r="I453" s="293">
        <f t="shared" si="44"/>
        <v>0</v>
      </c>
      <c r="J453" s="293">
        <f t="shared" si="44"/>
        <v>0</v>
      </c>
      <c r="K453" s="293">
        <f t="shared" si="44"/>
        <v>0</v>
      </c>
      <c r="L453" s="293">
        <f t="shared" si="44"/>
        <v>0</v>
      </c>
      <c r="M453" s="294"/>
      <c r="N453" s="294"/>
      <c r="O453" s="294"/>
      <c r="P453" s="294"/>
      <c r="Q453" s="294"/>
      <c r="R453" s="295">
        <f>SUM(C453:L453)</f>
        <v>0</v>
      </c>
      <c r="S453" s="459"/>
      <c r="T453" s="352"/>
    </row>
    <row r="454" spans="1:25" ht="17.25" customHeight="1">
      <c r="A454" s="291"/>
      <c r="B454" s="292"/>
      <c r="C454" s="293"/>
      <c r="D454" s="293"/>
      <c r="E454" s="293"/>
      <c r="F454" s="293"/>
      <c r="G454" s="293"/>
      <c r="H454" s="293"/>
      <c r="I454" s="293"/>
      <c r="J454" s="293"/>
      <c r="K454" s="293"/>
      <c r="L454" s="293"/>
      <c r="M454" s="294"/>
      <c r="N454" s="294"/>
      <c r="O454" s="294"/>
      <c r="P454" s="294"/>
      <c r="Q454" s="294"/>
      <c r="R454" s="295"/>
      <c r="S454" s="459"/>
      <c r="T454" s="352"/>
      <c r="W454" s="218"/>
      <c r="X454" s="492"/>
      <c r="Y454" s="492"/>
    </row>
    <row r="455" spans="1:25" ht="17.25" customHeight="1">
      <c r="A455" s="291" t="s">
        <v>53</v>
      </c>
      <c r="B455" s="292">
        <f t="shared" ref="B455:L455" si="45">B660</f>
        <v>0</v>
      </c>
      <c r="C455" s="293">
        <f t="shared" si="45"/>
        <v>0</v>
      </c>
      <c r="D455" s="293">
        <f t="shared" si="45"/>
        <v>0</v>
      </c>
      <c r="E455" s="293">
        <f t="shared" si="45"/>
        <v>0</v>
      </c>
      <c r="F455" s="293">
        <f t="shared" si="45"/>
        <v>0</v>
      </c>
      <c r="G455" s="293">
        <f t="shared" si="45"/>
        <v>0</v>
      </c>
      <c r="H455" s="293">
        <f t="shared" si="45"/>
        <v>0</v>
      </c>
      <c r="I455" s="293">
        <f t="shared" si="45"/>
        <v>0</v>
      </c>
      <c r="J455" s="293">
        <f t="shared" si="45"/>
        <v>0</v>
      </c>
      <c r="K455" s="293">
        <f t="shared" si="45"/>
        <v>0</v>
      </c>
      <c r="L455" s="293">
        <f t="shared" si="45"/>
        <v>0</v>
      </c>
      <c r="M455" s="294"/>
      <c r="N455" s="294"/>
      <c r="O455" s="294"/>
      <c r="P455" s="294"/>
      <c r="Q455" s="294"/>
      <c r="R455" s="295">
        <f>SUM(C455:L455)</f>
        <v>0</v>
      </c>
      <c r="S455" s="459"/>
      <c r="T455" s="352"/>
    </row>
    <row r="456" spans="1:25" ht="17.25" customHeight="1">
      <c r="A456" s="291"/>
      <c r="B456" s="292"/>
      <c r="C456" s="293"/>
      <c r="D456" s="293"/>
      <c r="E456" s="293"/>
      <c r="F456" s="293"/>
      <c r="G456" s="293"/>
      <c r="H456" s="293"/>
      <c r="I456" s="293"/>
      <c r="J456" s="293"/>
      <c r="K456" s="293"/>
      <c r="L456" s="293"/>
      <c r="M456" s="294"/>
      <c r="N456" s="294"/>
      <c r="O456" s="294"/>
      <c r="P456" s="294"/>
      <c r="Q456" s="294"/>
      <c r="R456" s="295"/>
      <c r="S456" s="459"/>
      <c r="T456" s="352"/>
    </row>
    <row r="457" spans="1:25" ht="17.25" customHeight="1">
      <c r="A457" s="291" t="s">
        <v>39</v>
      </c>
      <c r="B457" s="292">
        <v>0</v>
      </c>
      <c r="C457" s="293">
        <f t="shared" ref="C457:L457" si="46">C679</f>
        <v>0</v>
      </c>
      <c r="D457" s="293">
        <f t="shared" si="46"/>
        <v>0</v>
      </c>
      <c r="E457" s="293">
        <f t="shared" si="46"/>
        <v>0</v>
      </c>
      <c r="F457" s="293">
        <f t="shared" si="46"/>
        <v>0</v>
      </c>
      <c r="G457" s="293">
        <f t="shared" si="46"/>
        <v>0</v>
      </c>
      <c r="H457" s="293">
        <f t="shared" si="46"/>
        <v>0</v>
      </c>
      <c r="I457" s="293">
        <f t="shared" si="46"/>
        <v>0</v>
      </c>
      <c r="J457" s="293">
        <f t="shared" si="46"/>
        <v>0</v>
      </c>
      <c r="K457" s="293">
        <f t="shared" si="46"/>
        <v>0</v>
      </c>
      <c r="L457" s="293">
        <f t="shared" si="46"/>
        <v>0</v>
      </c>
      <c r="M457" s="294"/>
      <c r="N457" s="294"/>
      <c r="O457" s="294"/>
      <c r="P457" s="294"/>
      <c r="Q457" s="294"/>
      <c r="R457" s="295">
        <v>0</v>
      </c>
      <c r="S457" s="459"/>
      <c r="T457" s="352"/>
      <c r="Y457" s="492"/>
    </row>
    <row r="458" spans="1:25" ht="17.25" customHeight="1">
      <c r="A458" s="291"/>
      <c r="B458" s="292"/>
      <c r="C458" s="293"/>
      <c r="D458" s="293"/>
      <c r="E458" s="293"/>
      <c r="F458" s="293"/>
      <c r="G458" s="293"/>
      <c r="H458" s="293"/>
      <c r="I458" s="293"/>
      <c r="J458" s="293"/>
      <c r="K458" s="293"/>
      <c r="L458" s="293"/>
      <c r="M458" s="294"/>
      <c r="N458" s="294"/>
      <c r="O458" s="294"/>
      <c r="P458" s="294"/>
      <c r="Q458" s="294"/>
      <c r="R458" s="295"/>
      <c r="S458" s="459"/>
      <c r="T458" s="352"/>
    </row>
    <row r="459" spans="1:25" ht="17.25" hidden="1" customHeight="1">
      <c r="A459" s="460" t="s">
        <v>72</v>
      </c>
      <c r="B459" s="449"/>
      <c r="C459" s="444"/>
      <c r="D459" s="444"/>
      <c r="E459" s="444"/>
      <c r="F459" s="444"/>
      <c r="G459" s="444"/>
      <c r="H459" s="444"/>
      <c r="I459" s="444"/>
      <c r="J459" s="444"/>
      <c r="K459" s="444"/>
      <c r="L459" s="444"/>
      <c r="M459" s="445"/>
      <c r="N459" s="445"/>
      <c r="O459" s="445"/>
      <c r="P459" s="445"/>
      <c r="Q459" s="445"/>
      <c r="R459" s="446"/>
      <c r="S459" s="459"/>
      <c r="T459" s="352"/>
    </row>
    <row r="460" spans="1:25" ht="17.25" hidden="1" customHeight="1">
      <c r="A460" s="291"/>
      <c r="B460" s="292"/>
      <c r="C460" s="293"/>
      <c r="D460" s="293"/>
      <c r="E460" s="293"/>
      <c r="F460" s="293"/>
      <c r="G460" s="293"/>
      <c r="H460" s="293"/>
      <c r="I460" s="293"/>
      <c r="J460" s="293"/>
      <c r="K460" s="293"/>
      <c r="L460" s="293"/>
      <c r="M460" s="294"/>
      <c r="N460" s="294"/>
      <c r="O460" s="294"/>
      <c r="P460" s="294"/>
      <c r="Q460" s="294"/>
      <c r="R460" s="295"/>
      <c r="S460" s="459"/>
      <c r="T460" s="352"/>
    </row>
    <row r="461" spans="1:25" ht="17.25" customHeight="1">
      <c r="A461" s="291" t="s">
        <v>77</v>
      </c>
      <c r="B461" s="292">
        <f t="shared" ref="B461:L461" si="47">B702</f>
        <v>0</v>
      </c>
      <c r="C461" s="293">
        <f t="shared" si="47"/>
        <v>0</v>
      </c>
      <c r="D461" s="293">
        <f t="shared" si="47"/>
        <v>0</v>
      </c>
      <c r="E461" s="293">
        <f t="shared" si="47"/>
        <v>0</v>
      </c>
      <c r="F461" s="293">
        <f t="shared" si="47"/>
        <v>0</v>
      </c>
      <c r="G461" s="293">
        <f t="shared" si="47"/>
        <v>0</v>
      </c>
      <c r="H461" s="293">
        <f t="shared" si="47"/>
        <v>0</v>
      </c>
      <c r="I461" s="293">
        <f t="shared" si="47"/>
        <v>0</v>
      </c>
      <c r="J461" s="293">
        <f t="shared" si="47"/>
        <v>0</v>
      </c>
      <c r="K461" s="293">
        <f t="shared" si="47"/>
        <v>0</v>
      </c>
      <c r="L461" s="293">
        <f t="shared" si="47"/>
        <v>0</v>
      </c>
      <c r="M461" s="294"/>
      <c r="N461" s="294"/>
      <c r="O461" s="294"/>
      <c r="P461" s="294"/>
      <c r="Q461" s="294"/>
      <c r="R461" s="295">
        <f>SUM(C461:L461)</f>
        <v>0</v>
      </c>
      <c r="S461" s="459"/>
      <c r="T461" s="352"/>
    </row>
    <row r="462" spans="1:25" ht="17.25" customHeight="1">
      <c r="A462" s="291"/>
      <c r="B462" s="292"/>
      <c r="C462" s="293"/>
      <c r="D462" s="293"/>
      <c r="E462" s="293"/>
      <c r="F462" s="293"/>
      <c r="G462" s="293"/>
      <c r="H462" s="293"/>
      <c r="I462" s="293"/>
      <c r="J462" s="293"/>
      <c r="K462" s="293"/>
      <c r="L462" s="293"/>
      <c r="M462" s="294"/>
      <c r="N462" s="294"/>
      <c r="O462" s="294"/>
      <c r="P462" s="294"/>
      <c r="Q462" s="294"/>
      <c r="R462" s="295"/>
      <c r="S462" s="459"/>
      <c r="T462" s="352"/>
    </row>
    <row r="463" spans="1:25" ht="17.25" customHeight="1">
      <c r="A463" s="291" t="s">
        <v>70</v>
      </c>
      <c r="B463" s="292">
        <f t="shared" ref="B463:L463" si="48">B724</f>
        <v>0</v>
      </c>
      <c r="C463" s="293">
        <f t="shared" si="48"/>
        <v>0</v>
      </c>
      <c r="D463" s="293">
        <f t="shared" si="48"/>
        <v>0</v>
      </c>
      <c r="E463" s="293">
        <f t="shared" si="48"/>
        <v>0</v>
      </c>
      <c r="F463" s="293">
        <f t="shared" si="48"/>
        <v>0</v>
      </c>
      <c r="G463" s="293">
        <f t="shared" si="48"/>
        <v>0</v>
      </c>
      <c r="H463" s="293">
        <f t="shared" si="48"/>
        <v>0</v>
      </c>
      <c r="I463" s="293">
        <f t="shared" si="48"/>
        <v>0</v>
      </c>
      <c r="J463" s="293">
        <f t="shared" si="48"/>
        <v>0</v>
      </c>
      <c r="K463" s="293">
        <f t="shared" si="48"/>
        <v>0</v>
      </c>
      <c r="L463" s="293">
        <f t="shared" si="48"/>
        <v>0</v>
      </c>
      <c r="M463" s="293"/>
      <c r="N463" s="294"/>
      <c r="O463" s="294"/>
      <c r="P463" s="294"/>
      <c r="Q463" s="294"/>
      <c r="R463" s="295">
        <f>SUM(C463:L463)</f>
        <v>0</v>
      </c>
      <c r="S463" s="459"/>
      <c r="T463" s="352"/>
    </row>
    <row r="464" spans="1:25" ht="17.25" customHeight="1">
      <c r="A464" s="291"/>
      <c r="B464" s="292"/>
      <c r="C464" s="293"/>
      <c r="D464" s="293"/>
      <c r="E464" s="293"/>
      <c r="F464" s="293"/>
      <c r="G464" s="293"/>
      <c r="H464" s="293"/>
      <c r="I464" s="293"/>
      <c r="J464" s="293"/>
      <c r="K464" s="293"/>
      <c r="L464" s="293"/>
      <c r="M464" s="294"/>
      <c r="N464" s="294"/>
      <c r="O464" s="294"/>
      <c r="P464" s="294"/>
      <c r="Q464" s="294"/>
      <c r="R464" s="295"/>
      <c r="S464" s="459"/>
      <c r="T464" s="352"/>
    </row>
    <row r="465" spans="1:25" ht="17.25" customHeight="1">
      <c r="A465" s="291" t="s">
        <v>34</v>
      </c>
      <c r="B465" s="310">
        <v>0</v>
      </c>
      <c r="C465" s="293">
        <f t="shared" ref="C465:L465" si="49">C754</f>
        <v>0</v>
      </c>
      <c r="D465" s="293">
        <f t="shared" si="49"/>
        <v>0</v>
      </c>
      <c r="E465" s="293">
        <f t="shared" si="49"/>
        <v>0</v>
      </c>
      <c r="F465" s="293">
        <f t="shared" si="49"/>
        <v>0</v>
      </c>
      <c r="G465" s="293">
        <f t="shared" si="49"/>
        <v>0</v>
      </c>
      <c r="H465" s="293">
        <f t="shared" si="49"/>
        <v>0</v>
      </c>
      <c r="I465" s="293">
        <f t="shared" si="49"/>
        <v>0</v>
      </c>
      <c r="J465" s="293">
        <f t="shared" si="49"/>
        <v>0</v>
      </c>
      <c r="K465" s="293">
        <f t="shared" si="49"/>
        <v>0</v>
      </c>
      <c r="L465" s="293">
        <f t="shared" si="49"/>
        <v>0</v>
      </c>
      <c r="M465" s="294"/>
      <c r="N465" s="294"/>
      <c r="O465" s="294"/>
      <c r="P465" s="294"/>
      <c r="Q465" s="294"/>
      <c r="R465" s="295">
        <f>SUM(C465:L465)</f>
        <v>0</v>
      </c>
      <c r="S465" s="459"/>
      <c r="T465" s="352"/>
      <c r="W465" s="461"/>
      <c r="X465" s="540"/>
      <c r="Y465" s="540"/>
    </row>
    <row r="466" spans="1:25" ht="17.25" customHeight="1">
      <c r="A466" s="291"/>
      <c r="B466" s="292"/>
      <c r="C466" s="293"/>
      <c r="D466" s="293"/>
      <c r="E466" s="293"/>
      <c r="F466" s="293"/>
      <c r="G466" s="293"/>
      <c r="H466" s="293"/>
      <c r="I466" s="293"/>
      <c r="J466" s="293"/>
      <c r="K466" s="293"/>
      <c r="L466" s="293"/>
      <c r="M466" s="294"/>
      <c r="N466" s="294"/>
      <c r="O466" s="294"/>
      <c r="P466" s="294"/>
      <c r="Q466" s="294"/>
      <c r="R466" s="295"/>
      <c r="S466" s="459"/>
      <c r="T466" s="352"/>
      <c r="W466" s="461"/>
      <c r="X466" s="540"/>
      <c r="Y466" s="540"/>
    </row>
    <row r="467" spans="1:25" ht="17.25" customHeight="1">
      <c r="A467" s="309" t="s">
        <v>68</v>
      </c>
      <c r="B467" s="462">
        <v>0</v>
      </c>
      <c r="C467" s="463">
        <v>0</v>
      </c>
      <c r="D467" s="315">
        <v>0</v>
      </c>
      <c r="E467" s="315">
        <v>0</v>
      </c>
      <c r="F467" s="315">
        <v>0</v>
      </c>
      <c r="G467" s="315">
        <v>0</v>
      </c>
      <c r="H467" s="315">
        <v>0</v>
      </c>
      <c r="I467" s="315">
        <v>0</v>
      </c>
      <c r="J467" s="315">
        <v>0</v>
      </c>
      <c r="K467" s="315">
        <v>0</v>
      </c>
      <c r="L467" s="315">
        <v>0</v>
      </c>
      <c r="M467" s="342"/>
      <c r="N467" s="342"/>
      <c r="O467" s="342"/>
      <c r="P467" s="342"/>
      <c r="Q467" s="342"/>
      <c r="R467" s="295">
        <f>SUM(C467:L467)</f>
        <v>0</v>
      </c>
      <c r="S467" s="459"/>
      <c r="T467" s="352"/>
      <c r="W467" s="461"/>
      <c r="X467" s="540"/>
      <c r="Y467" s="540"/>
    </row>
    <row r="468" spans="1:25" ht="17.25" customHeight="1">
      <c r="A468" s="309"/>
      <c r="B468" s="464"/>
      <c r="C468" s="463"/>
      <c r="D468" s="315"/>
      <c r="E468" s="315"/>
      <c r="F468" s="315"/>
      <c r="G468" s="315"/>
      <c r="H468" s="315"/>
      <c r="I468" s="315"/>
      <c r="J468" s="315"/>
      <c r="K468" s="315"/>
      <c r="L468" s="315"/>
      <c r="M468" s="342"/>
      <c r="N468" s="342"/>
      <c r="O468" s="342"/>
      <c r="P468" s="342"/>
      <c r="Q468" s="342"/>
      <c r="R468" s="295"/>
      <c r="S468" s="459"/>
      <c r="T468" s="352"/>
      <c r="U468" s="218"/>
      <c r="V468" s="218"/>
      <c r="W468" s="461"/>
      <c r="X468" s="540"/>
      <c r="Y468" s="540"/>
    </row>
    <row r="469" spans="1:25" ht="17.25" customHeight="1" thickBot="1">
      <c r="A469" s="453"/>
      <c r="B469" s="465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406"/>
      <c r="N469" s="342"/>
      <c r="O469" s="342"/>
      <c r="P469" s="342"/>
      <c r="Q469" s="342"/>
      <c r="R469" s="318"/>
      <c r="S469" s="459"/>
      <c r="T469" s="352"/>
      <c r="U469" s="218"/>
      <c r="V469" s="218"/>
      <c r="W469" s="461"/>
      <c r="X469" s="540"/>
      <c r="Y469" s="540"/>
    </row>
    <row r="470" spans="1:25" ht="17.25" customHeight="1" thickTop="1" thickBot="1">
      <c r="A470" s="565" t="s">
        <v>3</v>
      </c>
      <c r="B470" s="569">
        <f t="shared" ref="B470:R470" si="50">SUM(B435:B469)</f>
        <v>2285</v>
      </c>
      <c r="C470" s="223">
        <f t="shared" si="50"/>
        <v>300000000</v>
      </c>
      <c r="D470" s="223">
        <f t="shared" si="50"/>
        <v>60000000</v>
      </c>
      <c r="E470" s="223">
        <f t="shared" si="50"/>
        <v>400000</v>
      </c>
      <c r="F470" s="223">
        <f t="shared" si="50"/>
        <v>80000</v>
      </c>
      <c r="G470" s="223">
        <f t="shared" si="50"/>
        <v>0</v>
      </c>
      <c r="H470" s="223">
        <f t="shared" si="50"/>
        <v>3000</v>
      </c>
      <c r="I470" s="223">
        <f t="shared" si="50"/>
        <v>0</v>
      </c>
      <c r="J470" s="223">
        <f t="shared" si="50"/>
        <v>0</v>
      </c>
      <c r="K470" s="223">
        <f t="shared" si="50"/>
        <v>0</v>
      </c>
      <c r="L470" s="223">
        <f t="shared" si="50"/>
        <v>886</v>
      </c>
      <c r="M470" s="223"/>
      <c r="N470" s="414">
        <f>N423+N435+N437</f>
        <v>4308563</v>
      </c>
      <c r="O470" s="414">
        <f>O423+O435+O437</f>
        <v>0</v>
      </c>
      <c r="P470" s="413">
        <f t="shared" si="50"/>
        <v>739853275</v>
      </c>
      <c r="Q470" s="413">
        <f t="shared" si="50"/>
        <v>416378627</v>
      </c>
      <c r="R470" s="413">
        <f t="shared" si="50"/>
        <v>6657098476</v>
      </c>
      <c r="S470" s="351"/>
      <c r="T470" s="466" t="e">
        <f>#REF!/#REF!</f>
        <v>#REF!</v>
      </c>
      <c r="U470" s="215" t="s">
        <v>21</v>
      </c>
      <c r="W470" s="443"/>
      <c r="X470" s="541"/>
      <c r="Y470" s="541"/>
    </row>
    <row r="471" spans="1:25" ht="17.25" customHeight="1" thickTop="1" thickBot="1">
      <c r="A471" s="216"/>
      <c r="B471" s="278"/>
      <c r="S471" s="303" t="e">
        <f>SUM(S8:S470)</f>
        <v>#REF!</v>
      </c>
      <c r="T471" s="467"/>
      <c r="W471" s="443"/>
      <c r="X471" s="541"/>
      <c r="Y471" s="541"/>
    </row>
    <row r="472" spans="1:25" ht="17.25" customHeight="1">
      <c r="A472" s="216"/>
      <c r="B472" s="278"/>
      <c r="S472" s="218"/>
      <c r="W472" s="443"/>
      <c r="X472" s="541"/>
      <c r="Y472" s="541"/>
    </row>
    <row r="473" spans="1:25" ht="17.25" customHeight="1">
      <c r="A473" s="216"/>
      <c r="B473" s="278"/>
      <c r="S473" s="218"/>
      <c r="W473" s="443"/>
      <c r="X473" s="541"/>
      <c r="Y473" s="541"/>
    </row>
    <row r="474" spans="1:25" ht="17.25" customHeight="1">
      <c r="A474" s="336" t="s">
        <v>204</v>
      </c>
      <c r="B474" s="566"/>
      <c r="C474" s="337"/>
      <c r="D474" s="337"/>
      <c r="E474" s="337"/>
      <c r="F474" s="337"/>
      <c r="G474" s="337"/>
      <c r="H474" s="337"/>
      <c r="I474" s="337"/>
      <c r="J474" s="1173" t="s">
        <v>82</v>
      </c>
      <c r="K474" s="1173"/>
      <c r="L474" s="1173"/>
      <c r="M474" s="1173"/>
      <c r="N474" s="1173"/>
      <c r="O474" s="1173"/>
      <c r="P474" s="1173"/>
      <c r="Q474" s="1173"/>
      <c r="R474" s="1173"/>
      <c r="S474" s="218"/>
      <c r="W474" s="443"/>
      <c r="X474" s="541"/>
      <c r="Y474" s="541"/>
    </row>
    <row r="475" spans="1:25" ht="17.25" customHeight="1">
      <c r="A475" s="216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8"/>
      <c r="W475" s="443"/>
      <c r="X475" s="541"/>
      <c r="Y475" s="541"/>
    </row>
    <row r="476" spans="1:25" ht="17.25" customHeight="1">
      <c r="A476" s="216"/>
      <c r="B476" s="278"/>
      <c r="S476" s="218"/>
      <c r="W476" s="443"/>
      <c r="X476" s="541"/>
      <c r="Y476" s="541"/>
    </row>
    <row r="477" spans="1:25" ht="17.25" customHeight="1">
      <c r="B477" s="278"/>
      <c r="S477" s="218"/>
      <c r="W477" s="443"/>
      <c r="X477" s="541"/>
      <c r="Y477" s="541"/>
    </row>
    <row r="478" spans="1:25" ht="17.25" customHeight="1">
      <c r="B478" s="278"/>
      <c r="S478" s="218"/>
      <c r="W478" s="443"/>
      <c r="X478" s="541"/>
      <c r="Y478" s="541"/>
    </row>
    <row r="479" spans="1:25" ht="17.25" customHeight="1">
      <c r="A479" s="215" t="s">
        <v>0</v>
      </c>
      <c r="B479" s="278"/>
      <c r="S479" s="218"/>
    </row>
    <row r="480" spans="1:25" ht="17.25" customHeight="1">
      <c r="A480" s="215" t="str">
        <f>A4</f>
        <v>DENOMINATION FOR JULI 2018</v>
      </c>
      <c r="D480" s="281"/>
      <c r="E480" s="281"/>
      <c r="L480" s="281"/>
      <c r="M480" s="281"/>
      <c r="N480" s="281"/>
      <c r="O480" s="281"/>
      <c r="P480" s="281"/>
      <c r="Q480" s="281"/>
    </row>
    <row r="481" spans="1:35" ht="17.25" customHeight="1">
      <c r="A481" s="215" t="s">
        <v>410</v>
      </c>
      <c r="D481" s="281"/>
      <c r="E481" s="281"/>
      <c r="L481" s="281"/>
      <c r="M481" s="281"/>
      <c r="N481" s="281"/>
      <c r="O481" s="281"/>
      <c r="P481" s="281"/>
      <c r="Q481" s="281"/>
    </row>
    <row r="482" spans="1:35" ht="17.25" customHeight="1" thickBot="1">
      <c r="D482" s="281"/>
      <c r="E482" s="281"/>
      <c r="L482" s="281"/>
      <c r="M482" s="281"/>
      <c r="N482" s="281"/>
      <c r="O482" s="281"/>
      <c r="P482" s="281"/>
      <c r="Q482" s="281"/>
    </row>
    <row r="483" spans="1:35" ht="30" customHeight="1" thickTop="1">
      <c r="A483" s="1176" t="s">
        <v>1</v>
      </c>
      <c r="B483" s="1183" t="s">
        <v>15</v>
      </c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82"/>
      <c r="N483" s="1206"/>
      <c r="O483" s="1207"/>
      <c r="P483" s="1207"/>
      <c r="Q483" s="1208"/>
      <c r="R483" s="1171" t="s">
        <v>3</v>
      </c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</row>
    <row r="484" spans="1:35" ht="30" customHeight="1" thickBot="1">
      <c r="A484" s="1177"/>
      <c r="B484" s="1184"/>
      <c r="C484" s="223">
        <v>100000</v>
      </c>
      <c r="D484" s="223">
        <v>50000</v>
      </c>
      <c r="E484" s="223">
        <v>20000</v>
      </c>
      <c r="F484" s="223">
        <v>10000</v>
      </c>
      <c r="G484" s="223">
        <v>5000</v>
      </c>
      <c r="H484" s="223">
        <v>1000</v>
      </c>
      <c r="I484" s="223">
        <v>500</v>
      </c>
      <c r="J484" s="223">
        <v>100</v>
      </c>
      <c r="K484" s="223">
        <v>50</v>
      </c>
      <c r="L484" s="223" t="s">
        <v>2</v>
      </c>
      <c r="M484" s="285"/>
      <c r="N484" s="1209"/>
      <c r="O484" s="1210"/>
      <c r="P484" s="1210"/>
      <c r="Q484" s="1211"/>
      <c r="R484" s="1172"/>
      <c r="Z484" s="223">
        <v>100000</v>
      </c>
      <c r="AA484" s="223">
        <v>50000</v>
      </c>
      <c r="AB484" s="223">
        <v>20000</v>
      </c>
      <c r="AC484" s="223">
        <v>10000</v>
      </c>
      <c r="AD484" s="223">
        <v>5000</v>
      </c>
      <c r="AE484" s="223">
        <v>1000</v>
      </c>
      <c r="AF484" s="223">
        <v>500</v>
      </c>
      <c r="AG484" s="223">
        <v>100</v>
      </c>
      <c r="AH484" s="223">
        <v>50</v>
      </c>
      <c r="AI484" s="223" t="s">
        <v>2</v>
      </c>
    </row>
    <row r="485" spans="1:35" ht="30" customHeight="1" thickTop="1">
      <c r="A485" s="287" t="s">
        <v>411</v>
      </c>
      <c r="B485" s="533">
        <v>22</v>
      </c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9"/>
      <c r="N485" s="289"/>
      <c r="O485" s="289"/>
      <c r="P485" s="289"/>
      <c r="Q485" s="289"/>
      <c r="R485" s="290">
        <v>5510888</v>
      </c>
    </row>
    <row r="486" spans="1:35" ht="30" customHeight="1">
      <c r="A486" s="291" t="s">
        <v>413</v>
      </c>
      <c r="B486" s="310">
        <v>14</v>
      </c>
      <c r="C486" s="293"/>
      <c r="D486" s="293"/>
      <c r="E486" s="293"/>
      <c r="F486" s="293"/>
      <c r="G486" s="293"/>
      <c r="H486" s="293"/>
      <c r="I486" s="293"/>
      <c r="J486" s="293"/>
      <c r="K486" s="293"/>
      <c r="L486" s="293"/>
      <c r="M486" s="294"/>
      <c r="N486" s="294"/>
      <c r="O486" s="294"/>
      <c r="P486" s="294"/>
      <c r="Q486" s="294"/>
      <c r="R486" s="295">
        <v>4629146</v>
      </c>
    </row>
    <row r="487" spans="1:35" s="242" customFormat="1" ht="30" customHeight="1">
      <c r="A487" s="291" t="s">
        <v>412</v>
      </c>
      <c r="B487" s="292">
        <v>14</v>
      </c>
      <c r="C487" s="293"/>
      <c r="D487" s="293"/>
      <c r="E487" s="293"/>
      <c r="F487" s="293"/>
      <c r="G487" s="293"/>
      <c r="H487" s="293"/>
      <c r="I487" s="293"/>
      <c r="J487" s="293"/>
      <c r="K487" s="293"/>
      <c r="L487" s="293"/>
      <c r="M487" s="294"/>
      <c r="N487" s="294"/>
      <c r="O487" s="294"/>
      <c r="P487" s="294"/>
      <c r="Q487" s="294"/>
      <c r="R487" s="295">
        <v>4629146</v>
      </c>
      <c r="X487" s="353"/>
      <c r="Y487" s="353"/>
    </row>
    <row r="488" spans="1:35" ht="30" customHeight="1">
      <c r="A488" s="291"/>
      <c r="B488" s="292"/>
      <c r="C488" s="293"/>
      <c r="D488" s="293"/>
      <c r="E488" s="293"/>
      <c r="F488" s="293"/>
      <c r="G488" s="293"/>
      <c r="H488" s="293"/>
      <c r="I488" s="293"/>
      <c r="J488" s="293"/>
      <c r="K488" s="293"/>
      <c r="L488" s="293"/>
      <c r="M488" s="294"/>
      <c r="N488" s="294"/>
      <c r="O488" s="294"/>
      <c r="P488" s="294"/>
      <c r="Q488" s="294"/>
      <c r="R488" s="295"/>
    </row>
    <row r="489" spans="1:35" ht="30" customHeight="1">
      <c r="A489" s="468"/>
      <c r="B489" s="292"/>
      <c r="C489" s="293"/>
      <c r="D489" s="293"/>
      <c r="E489" s="293"/>
      <c r="F489" s="293"/>
      <c r="G489" s="293"/>
      <c r="H489" s="293"/>
      <c r="I489" s="293"/>
      <c r="J489" s="293"/>
      <c r="K489" s="293"/>
      <c r="L489" s="293"/>
      <c r="M489" s="294"/>
      <c r="N489" s="294"/>
      <c r="O489" s="294"/>
      <c r="P489" s="294"/>
      <c r="Q489" s="294"/>
      <c r="R489" s="295"/>
    </row>
    <row r="490" spans="1:35" ht="30" customHeight="1">
      <c r="A490" s="469"/>
      <c r="B490" s="470"/>
      <c r="C490" s="471"/>
      <c r="D490" s="471"/>
      <c r="E490" s="471"/>
      <c r="F490" s="471"/>
      <c r="G490" s="471"/>
      <c r="H490" s="471"/>
      <c r="I490" s="471"/>
      <c r="J490" s="471"/>
      <c r="K490" s="471"/>
      <c r="L490" s="471"/>
      <c r="M490" s="472"/>
      <c r="N490" s="472"/>
      <c r="O490" s="472"/>
      <c r="P490" s="472"/>
      <c r="Q490" s="472"/>
      <c r="R490" s="473"/>
    </row>
    <row r="491" spans="1:35" ht="30" customHeight="1" thickBot="1">
      <c r="A491" s="375"/>
      <c r="B491" s="364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7"/>
      <c r="N491" s="377"/>
      <c r="O491" s="377"/>
      <c r="P491" s="377"/>
      <c r="Q491" s="377"/>
      <c r="R491" s="378"/>
    </row>
    <row r="492" spans="1:35" ht="30" customHeight="1" thickTop="1" thickBot="1">
      <c r="A492" s="319" t="s">
        <v>3</v>
      </c>
      <c r="B492" s="414">
        <f t="shared" ref="B492:R492" si="51">SUM(B485:B491)</f>
        <v>50</v>
      </c>
      <c r="C492" s="320">
        <f t="shared" si="51"/>
        <v>0</v>
      </c>
      <c r="D492" s="320">
        <f t="shared" si="51"/>
        <v>0</v>
      </c>
      <c r="E492" s="320">
        <f t="shared" si="51"/>
        <v>0</v>
      </c>
      <c r="F492" s="320">
        <f t="shared" si="51"/>
        <v>0</v>
      </c>
      <c r="G492" s="320">
        <f t="shared" si="51"/>
        <v>0</v>
      </c>
      <c r="H492" s="320">
        <f t="shared" si="51"/>
        <v>0</v>
      </c>
      <c r="I492" s="320">
        <f t="shared" si="51"/>
        <v>0</v>
      </c>
      <c r="J492" s="320">
        <f t="shared" si="51"/>
        <v>0</v>
      </c>
      <c r="K492" s="320">
        <f t="shared" si="51"/>
        <v>0</v>
      </c>
      <c r="L492" s="320">
        <f t="shared" si="51"/>
        <v>0</v>
      </c>
      <c r="M492" s="320">
        <f t="shared" si="51"/>
        <v>0</v>
      </c>
      <c r="N492" s="415"/>
      <c r="O492" s="415"/>
      <c r="P492" s="415"/>
      <c r="Q492" s="415"/>
      <c r="R492" s="413">
        <f t="shared" si="51"/>
        <v>14769180</v>
      </c>
    </row>
    <row r="493" spans="1:35" ht="17.25" customHeight="1" thickTop="1">
      <c r="A493" s="216"/>
    </row>
    <row r="494" spans="1:35" ht="17.25" customHeight="1">
      <c r="A494" s="216"/>
      <c r="B494" s="278"/>
    </row>
    <row r="495" spans="1:35" ht="17.25" customHeight="1">
      <c r="A495" s="216"/>
      <c r="B495" s="278"/>
    </row>
    <row r="496" spans="1:35" ht="17.25" customHeight="1"/>
    <row r="497" spans="1:25" ht="17.25" customHeight="1">
      <c r="A497" s="216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</row>
    <row r="498" spans="1:25" ht="17.25" customHeight="1">
      <c r="A498" s="336" t="s">
        <v>204</v>
      </c>
      <c r="B498" s="566"/>
      <c r="C498" s="337"/>
      <c r="D498" s="337"/>
      <c r="E498" s="337"/>
      <c r="F498" s="337"/>
      <c r="G498" s="337"/>
      <c r="H498" s="337"/>
      <c r="I498" s="337"/>
      <c r="J498" s="1173" t="s">
        <v>82</v>
      </c>
      <c r="K498" s="1173"/>
      <c r="L498" s="1173"/>
      <c r="M498" s="1173"/>
      <c r="N498" s="1173"/>
      <c r="O498" s="1173"/>
      <c r="P498" s="1173"/>
      <c r="Q498" s="1173"/>
      <c r="R498" s="1173"/>
    </row>
    <row r="499" spans="1:25" ht="17.25" customHeight="1">
      <c r="A499" s="216"/>
      <c r="B499" s="566"/>
      <c r="C499" s="337"/>
      <c r="D499" s="1173"/>
      <c r="E499" s="1173"/>
      <c r="F499" s="1173"/>
      <c r="G499" s="1173"/>
      <c r="H499" s="337"/>
      <c r="I499" s="337"/>
      <c r="J499" s="1173"/>
      <c r="K499" s="1173"/>
      <c r="L499" s="1173"/>
      <c r="M499" s="1173"/>
      <c r="N499" s="1173"/>
      <c r="O499" s="1173"/>
      <c r="P499" s="1173"/>
      <c r="Q499" s="1173"/>
      <c r="R499" s="1173"/>
    </row>
    <row r="500" spans="1:25" ht="17.25" customHeight="1">
      <c r="A500" s="216"/>
      <c r="B500" s="278"/>
    </row>
    <row r="501" spans="1:25" ht="17.25" customHeight="1">
      <c r="A501" s="216"/>
      <c r="B501" s="278"/>
    </row>
    <row r="502" spans="1:25" ht="17.25" customHeight="1">
      <c r="A502" s="216"/>
      <c r="B502" s="278"/>
    </row>
    <row r="503" spans="1:25" ht="17.25" customHeight="1">
      <c r="B503" s="278"/>
    </row>
    <row r="504" spans="1:25" ht="17.25" customHeight="1">
      <c r="A504" s="215" t="s">
        <v>0</v>
      </c>
      <c r="D504" s="281"/>
      <c r="E504" s="281"/>
      <c r="L504" s="281"/>
      <c r="M504" s="281"/>
      <c r="N504" s="281"/>
      <c r="O504" s="281"/>
      <c r="P504" s="281"/>
      <c r="Q504" s="281"/>
    </row>
    <row r="505" spans="1:25" ht="17.25" customHeight="1">
      <c r="A505" s="215" t="str">
        <f>A4</f>
        <v>DENOMINATION FOR JULI 2018</v>
      </c>
      <c r="D505" s="281"/>
      <c r="E505" s="281"/>
      <c r="L505" s="281"/>
      <c r="M505" s="281"/>
      <c r="N505" s="281"/>
      <c r="O505" s="281"/>
      <c r="P505" s="281"/>
      <c r="Q505" s="281"/>
    </row>
    <row r="506" spans="1:25" ht="17.25" customHeight="1">
      <c r="A506" s="215" t="s">
        <v>46</v>
      </c>
      <c r="D506" s="281"/>
      <c r="E506" s="281"/>
      <c r="L506" s="281"/>
      <c r="M506" s="281"/>
      <c r="N506" s="281"/>
      <c r="O506" s="281"/>
      <c r="P506" s="281"/>
      <c r="Q506" s="281"/>
    </row>
    <row r="507" spans="1:25" ht="17.25" customHeight="1" thickBot="1">
      <c r="D507" s="281"/>
      <c r="E507" s="281"/>
      <c r="L507" s="281"/>
      <c r="M507" s="281"/>
      <c r="N507" s="281"/>
      <c r="O507" s="281"/>
      <c r="P507" s="281"/>
      <c r="Q507" s="281"/>
    </row>
    <row r="508" spans="1:25" ht="17.25" customHeight="1" thickTop="1">
      <c r="A508" s="570" t="s">
        <v>1</v>
      </c>
      <c r="B508" s="572" t="s">
        <v>15</v>
      </c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82"/>
      <c r="N508" s="574"/>
      <c r="O508" s="574"/>
      <c r="P508" s="574"/>
      <c r="Q508" s="574"/>
      <c r="R508" s="283"/>
    </row>
    <row r="509" spans="1:25" ht="17.25" customHeight="1" thickBot="1">
      <c r="A509" s="571"/>
      <c r="B509" s="284"/>
      <c r="C509" s="223">
        <v>100000</v>
      </c>
      <c r="D509" s="223">
        <v>50000</v>
      </c>
      <c r="E509" s="223">
        <v>20000</v>
      </c>
      <c r="F509" s="223">
        <v>10000</v>
      </c>
      <c r="G509" s="223">
        <v>5000</v>
      </c>
      <c r="H509" s="223">
        <v>1000</v>
      </c>
      <c r="I509" s="223">
        <v>500</v>
      </c>
      <c r="J509" s="223">
        <v>100</v>
      </c>
      <c r="K509" s="223">
        <v>50</v>
      </c>
      <c r="L509" s="223" t="s">
        <v>2</v>
      </c>
      <c r="M509" s="285"/>
      <c r="N509" s="575"/>
      <c r="O509" s="575"/>
      <c r="P509" s="575"/>
      <c r="Q509" s="575"/>
      <c r="R509" s="286" t="s">
        <v>3</v>
      </c>
    </row>
    <row r="510" spans="1:25" ht="17.25" customHeight="1" thickTop="1">
      <c r="A510" s="287"/>
      <c r="B510" s="533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9"/>
      <c r="N510" s="289"/>
      <c r="O510" s="289"/>
      <c r="P510" s="289"/>
      <c r="Q510" s="289"/>
      <c r="R510" s="290"/>
    </row>
    <row r="511" spans="1:25" ht="17.25" customHeight="1">
      <c r="A511" s="234"/>
      <c r="B511" s="277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60"/>
      <c r="N511" s="260"/>
      <c r="O511" s="260"/>
      <c r="P511" s="260"/>
      <c r="Q511" s="260"/>
      <c r="R511" s="247">
        <f>SUM(C511:L511)</f>
        <v>0</v>
      </c>
    </row>
    <row r="512" spans="1:25" s="242" customFormat="1" ht="17.25" customHeight="1">
      <c r="A512" s="234"/>
      <c r="B512" s="235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60"/>
      <c r="N512" s="260"/>
      <c r="O512" s="260"/>
      <c r="P512" s="260"/>
      <c r="Q512" s="260"/>
      <c r="R512" s="247"/>
      <c r="X512" s="353"/>
      <c r="Y512" s="353"/>
    </row>
    <row r="513" spans="1:18" ht="17.25" customHeight="1">
      <c r="A513" s="234"/>
      <c r="B513" s="235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60"/>
      <c r="N513" s="260"/>
      <c r="O513" s="260"/>
      <c r="P513" s="260"/>
      <c r="Q513" s="260"/>
      <c r="R513" s="247"/>
    </row>
    <row r="514" spans="1:18" ht="17.25" customHeight="1">
      <c r="A514" s="234"/>
      <c r="B514" s="235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60"/>
      <c r="N514" s="260"/>
      <c r="O514" s="260"/>
      <c r="P514" s="260"/>
      <c r="Q514" s="260"/>
      <c r="R514" s="247"/>
    </row>
    <row r="515" spans="1:18" ht="17.25" customHeight="1">
      <c r="A515" s="234"/>
      <c r="B515" s="235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60"/>
      <c r="N515" s="260"/>
      <c r="O515" s="260"/>
      <c r="P515" s="260"/>
      <c r="Q515" s="260"/>
      <c r="R515" s="247"/>
    </row>
    <row r="516" spans="1:18" ht="17.25" customHeight="1" thickBot="1">
      <c r="A516" s="226"/>
      <c r="B516" s="474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370"/>
      <c r="N516" s="370"/>
      <c r="O516" s="370"/>
      <c r="P516" s="370"/>
      <c r="Q516" s="370"/>
      <c r="R516" s="564"/>
    </row>
    <row r="517" spans="1:18" ht="17.25" customHeight="1" thickTop="1" thickBot="1">
      <c r="A517" s="261" t="s">
        <v>3</v>
      </c>
      <c r="B517" s="262">
        <f>SUM(B510:B516)</f>
        <v>0</v>
      </c>
      <c r="C517" s="263">
        <f>SUM(C510:C516)</f>
        <v>0</v>
      </c>
      <c r="D517" s="263">
        <f t="shared" ref="D517:R517" si="52">SUM(D510:D516)</f>
        <v>0</v>
      </c>
      <c r="E517" s="263">
        <f t="shared" si="52"/>
        <v>0</v>
      </c>
      <c r="F517" s="263">
        <f t="shared" si="52"/>
        <v>0</v>
      </c>
      <c r="G517" s="263">
        <f t="shared" si="52"/>
        <v>0</v>
      </c>
      <c r="H517" s="263">
        <f t="shared" si="52"/>
        <v>0</v>
      </c>
      <c r="I517" s="263">
        <f t="shared" si="52"/>
        <v>0</v>
      </c>
      <c r="J517" s="263">
        <f t="shared" si="52"/>
        <v>0</v>
      </c>
      <c r="K517" s="263">
        <f t="shared" si="52"/>
        <v>0</v>
      </c>
      <c r="L517" s="263">
        <f t="shared" si="52"/>
        <v>0</v>
      </c>
      <c r="M517" s="263">
        <f t="shared" si="52"/>
        <v>0</v>
      </c>
      <c r="N517" s="264"/>
      <c r="O517" s="264"/>
      <c r="P517" s="264"/>
      <c r="Q517" s="264"/>
      <c r="R517" s="265">
        <f t="shared" si="52"/>
        <v>0</v>
      </c>
    </row>
    <row r="518" spans="1:18" ht="17.25" customHeight="1" thickTop="1">
      <c r="A518" s="336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</row>
    <row r="519" spans="1:18" ht="17.25" customHeight="1">
      <c r="A519" s="336"/>
      <c r="B519" s="566"/>
      <c r="C519" s="337"/>
      <c r="D519" s="337"/>
      <c r="E519" s="337"/>
      <c r="F519" s="337"/>
      <c r="G519" s="337"/>
      <c r="H519" s="337"/>
      <c r="I519" s="337"/>
      <c r="J519" s="337"/>
      <c r="K519" s="337"/>
      <c r="L519" s="337"/>
      <c r="M519" s="337"/>
      <c r="N519" s="337"/>
      <c r="O519" s="337"/>
      <c r="P519" s="337"/>
      <c r="Q519" s="337"/>
      <c r="R519" s="337"/>
    </row>
    <row r="520" spans="1:18" ht="17.25" customHeight="1">
      <c r="A520" s="336"/>
      <c r="B520" s="566"/>
      <c r="C520" s="337"/>
      <c r="D520" s="337"/>
      <c r="E520" s="337"/>
      <c r="F520" s="337"/>
      <c r="G520" s="337"/>
      <c r="H520" s="337"/>
      <c r="I520" s="337"/>
      <c r="J520" s="337"/>
      <c r="K520" s="337"/>
      <c r="L520" s="337"/>
      <c r="M520" s="337"/>
      <c r="N520" s="337"/>
      <c r="O520" s="337"/>
      <c r="P520" s="337"/>
      <c r="Q520" s="337"/>
      <c r="R520" s="337"/>
    </row>
    <row r="521" spans="1:18" ht="17.25" customHeight="1">
      <c r="A521" s="336"/>
      <c r="B521" s="566"/>
      <c r="C521" s="337"/>
      <c r="D521" s="337"/>
      <c r="E521" s="337"/>
      <c r="F521" s="337"/>
      <c r="G521" s="337"/>
      <c r="H521" s="337"/>
      <c r="I521" s="337"/>
      <c r="J521" s="337"/>
      <c r="K521" s="337"/>
      <c r="L521" s="337"/>
      <c r="M521" s="337"/>
      <c r="N521" s="337"/>
      <c r="O521" s="337"/>
      <c r="P521" s="337"/>
      <c r="Q521" s="337"/>
      <c r="R521" s="337"/>
    </row>
    <row r="522" spans="1:18" ht="17.25" customHeight="1">
      <c r="A522" s="336"/>
      <c r="B522" s="566"/>
      <c r="C522" s="337"/>
      <c r="D522" s="337"/>
      <c r="E522" s="337"/>
      <c r="F522" s="337"/>
      <c r="G522" s="337"/>
      <c r="H522" s="337"/>
      <c r="I522" s="337"/>
      <c r="J522" s="337"/>
      <c r="K522" s="337"/>
      <c r="L522" s="337"/>
      <c r="M522" s="337"/>
      <c r="N522" s="337"/>
      <c r="O522" s="337"/>
      <c r="P522" s="337"/>
      <c r="Q522" s="337"/>
      <c r="R522" s="337"/>
    </row>
    <row r="523" spans="1:18" ht="17.25" customHeight="1">
      <c r="A523" s="336" t="s">
        <v>80</v>
      </c>
      <c r="B523" s="566"/>
      <c r="C523" s="337"/>
      <c r="D523" s="337"/>
      <c r="E523" s="337"/>
      <c r="F523" s="337"/>
      <c r="G523" s="337"/>
      <c r="H523" s="337"/>
      <c r="I523" s="337"/>
      <c r="J523" s="337"/>
      <c r="K523" s="337"/>
      <c r="L523" s="337"/>
      <c r="M523" s="337"/>
      <c r="N523" s="337"/>
      <c r="O523" s="337"/>
      <c r="P523" s="337"/>
      <c r="Q523" s="337"/>
      <c r="R523" s="337"/>
    </row>
    <row r="524" spans="1:18" ht="17.25" customHeight="1">
      <c r="A524" s="216"/>
      <c r="B524" s="566"/>
      <c r="C524" s="337"/>
      <c r="D524" s="1173" t="s">
        <v>81</v>
      </c>
      <c r="E524" s="1173"/>
      <c r="F524" s="1173"/>
      <c r="G524" s="1173"/>
      <c r="H524" s="337"/>
      <c r="I524" s="337"/>
      <c r="J524" s="1173" t="s">
        <v>82</v>
      </c>
      <c r="K524" s="1173"/>
      <c r="L524" s="1173"/>
      <c r="M524" s="1173"/>
      <c r="N524" s="1173"/>
      <c r="O524" s="1173"/>
      <c r="P524" s="1173"/>
      <c r="Q524" s="1173"/>
      <c r="R524" s="1173"/>
    </row>
    <row r="525" spans="1:18" ht="17.25" customHeight="1">
      <c r="A525" s="216"/>
      <c r="B525" s="278"/>
    </row>
    <row r="526" spans="1:18" ht="17.25" customHeight="1">
      <c r="A526" s="215" t="str">
        <f>A4</f>
        <v>DENOMINATION FOR JULI 2018</v>
      </c>
      <c r="B526" s="278"/>
    </row>
    <row r="527" spans="1:18" ht="17.25" customHeight="1">
      <c r="A527" s="215" t="s">
        <v>48</v>
      </c>
      <c r="D527" s="281"/>
      <c r="E527" s="281"/>
      <c r="L527" s="281"/>
      <c r="M527" s="281"/>
      <c r="N527" s="281"/>
      <c r="O527" s="281"/>
      <c r="P527" s="281"/>
      <c r="Q527" s="281"/>
    </row>
    <row r="528" spans="1:18" ht="17.25" customHeight="1" thickBot="1">
      <c r="D528" s="281"/>
      <c r="E528" s="281"/>
      <c r="L528" s="281"/>
      <c r="M528" s="281"/>
      <c r="N528" s="281"/>
      <c r="O528" s="281"/>
      <c r="P528" s="281"/>
      <c r="Q528" s="281"/>
    </row>
    <row r="529" spans="1:25" ht="17.25" customHeight="1" thickTop="1">
      <c r="A529" s="570" t="s">
        <v>1</v>
      </c>
      <c r="B529" s="572" t="s">
        <v>15</v>
      </c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82"/>
      <c r="N529" s="282">
        <f>N508</f>
        <v>0</v>
      </c>
      <c r="O529" s="282"/>
      <c r="P529" s="282"/>
      <c r="Q529" s="282"/>
      <c r="R529" s="283"/>
    </row>
    <row r="530" spans="1:25" ht="17.25" customHeight="1" thickBot="1">
      <c r="A530" s="571"/>
      <c r="B530" s="284"/>
      <c r="C530" s="223">
        <v>100000</v>
      </c>
      <c r="D530" s="223">
        <v>50000</v>
      </c>
      <c r="E530" s="223">
        <v>20000</v>
      </c>
      <c r="F530" s="223">
        <v>10000</v>
      </c>
      <c r="G530" s="223">
        <v>5000</v>
      </c>
      <c r="H530" s="223">
        <v>1000</v>
      </c>
      <c r="I530" s="223">
        <v>500</v>
      </c>
      <c r="J530" s="223">
        <v>100</v>
      </c>
      <c r="K530" s="223">
        <v>50</v>
      </c>
      <c r="L530" s="223" t="s">
        <v>2</v>
      </c>
      <c r="M530" s="285"/>
      <c r="N530" s="285">
        <f>N509</f>
        <v>0</v>
      </c>
      <c r="O530" s="285"/>
      <c r="P530" s="285"/>
      <c r="Q530" s="285"/>
      <c r="R530" s="286" t="s">
        <v>3</v>
      </c>
    </row>
    <row r="531" spans="1:25" ht="17.25" customHeight="1" thickTop="1">
      <c r="A531" s="287"/>
      <c r="B531" s="533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9"/>
      <c r="N531" s="289"/>
      <c r="O531" s="289"/>
      <c r="P531" s="289"/>
      <c r="Q531" s="289"/>
      <c r="R531" s="290"/>
    </row>
    <row r="532" spans="1:25" ht="17.25" customHeight="1">
      <c r="A532" s="234"/>
      <c r="B532" s="277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60"/>
      <c r="N532" s="260"/>
      <c r="O532" s="260"/>
      <c r="P532" s="260"/>
      <c r="Q532" s="260"/>
      <c r="R532" s="247">
        <f>SUM(C532:L532)</f>
        <v>0</v>
      </c>
    </row>
    <row r="533" spans="1:25" s="242" customFormat="1" ht="17.25" customHeight="1">
      <c r="A533" s="234"/>
      <c r="B533" s="235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60"/>
      <c r="N533" s="260"/>
      <c r="O533" s="260"/>
      <c r="P533" s="260"/>
      <c r="Q533" s="260"/>
      <c r="R533" s="247"/>
      <c r="X533" s="353"/>
      <c r="Y533" s="353"/>
    </row>
    <row r="534" spans="1:25" ht="17.25" customHeight="1">
      <c r="A534" s="234"/>
      <c r="B534" s="235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60"/>
      <c r="N534" s="260"/>
      <c r="O534" s="260"/>
      <c r="P534" s="260"/>
      <c r="Q534" s="260"/>
      <c r="R534" s="247">
        <f>SUM(C534:L534)</f>
        <v>0</v>
      </c>
    </row>
    <row r="535" spans="1:25" ht="17.25" customHeight="1">
      <c r="A535" s="234"/>
      <c r="B535" s="235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60"/>
      <c r="N535" s="260"/>
      <c r="O535" s="260"/>
      <c r="P535" s="260"/>
      <c r="Q535" s="260"/>
      <c r="R535" s="247"/>
    </row>
    <row r="536" spans="1:25" ht="17.25" customHeight="1">
      <c r="A536" s="234"/>
      <c r="B536" s="235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60"/>
      <c r="N536" s="260"/>
      <c r="O536" s="260"/>
      <c r="P536" s="260"/>
      <c r="Q536" s="260"/>
      <c r="R536" s="247"/>
    </row>
    <row r="537" spans="1:25" ht="17.25" customHeight="1" thickBot="1">
      <c r="A537" s="234"/>
      <c r="B537" s="235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60"/>
      <c r="N537" s="260"/>
      <c r="O537" s="260"/>
      <c r="P537" s="260"/>
      <c r="Q537" s="260"/>
      <c r="R537" s="247"/>
    </row>
    <row r="538" spans="1:25" ht="17.25" customHeight="1" thickTop="1" thickBot="1">
      <c r="A538" s="261" t="s">
        <v>3</v>
      </c>
      <c r="B538" s="262">
        <f t="shared" ref="B538:R538" si="53">SUM(B531:B537)</f>
        <v>0</v>
      </c>
      <c r="C538" s="263">
        <f t="shared" si="53"/>
        <v>0</v>
      </c>
      <c r="D538" s="263">
        <f t="shared" si="53"/>
        <v>0</v>
      </c>
      <c r="E538" s="263">
        <f t="shared" si="53"/>
        <v>0</v>
      </c>
      <c r="F538" s="263">
        <f t="shared" si="53"/>
        <v>0</v>
      </c>
      <c r="G538" s="263">
        <f t="shared" si="53"/>
        <v>0</v>
      </c>
      <c r="H538" s="263">
        <f t="shared" si="53"/>
        <v>0</v>
      </c>
      <c r="I538" s="263">
        <f t="shared" si="53"/>
        <v>0</v>
      </c>
      <c r="J538" s="263">
        <f t="shared" si="53"/>
        <v>0</v>
      </c>
      <c r="K538" s="263">
        <f t="shared" si="53"/>
        <v>0</v>
      </c>
      <c r="L538" s="263">
        <f t="shared" si="53"/>
        <v>0</v>
      </c>
      <c r="M538" s="263">
        <f t="shared" si="53"/>
        <v>0</v>
      </c>
      <c r="N538" s="264"/>
      <c r="O538" s="264"/>
      <c r="P538" s="264"/>
      <c r="Q538" s="264"/>
      <c r="R538" s="265">
        <f t="shared" si="53"/>
        <v>0</v>
      </c>
    </row>
    <row r="539" spans="1:25" ht="17.25" customHeight="1" thickTop="1">
      <c r="A539" s="336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</row>
    <row r="540" spans="1:25" ht="17.25" customHeight="1">
      <c r="A540" s="336"/>
      <c r="B540" s="566"/>
      <c r="C540" s="337"/>
      <c r="D540" s="337"/>
      <c r="E540" s="337"/>
      <c r="F540" s="337"/>
      <c r="G540" s="337"/>
      <c r="H540" s="337"/>
      <c r="I540" s="337"/>
      <c r="J540" s="337"/>
      <c r="K540" s="337"/>
      <c r="L540" s="337"/>
      <c r="M540" s="337"/>
      <c r="N540" s="337"/>
      <c r="O540" s="337"/>
      <c r="P540" s="337"/>
      <c r="Q540" s="337"/>
      <c r="R540" s="337"/>
    </row>
    <row r="541" spans="1:25" ht="17.25" customHeight="1">
      <c r="A541" s="336"/>
      <c r="B541" s="566"/>
      <c r="C541" s="337"/>
      <c r="D541" s="337"/>
      <c r="E541" s="337"/>
      <c r="F541" s="337"/>
      <c r="G541" s="337"/>
      <c r="H541" s="337"/>
      <c r="I541" s="337"/>
      <c r="J541" s="337"/>
      <c r="K541" s="337"/>
      <c r="L541" s="337"/>
      <c r="M541" s="337"/>
      <c r="N541" s="337"/>
      <c r="O541" s="337"/>
      <c r="P541" s="337"/>
      <c r="Q541" s="337"/>
      <c r="R541" s="337"/>
    </row>
    <row r="542" spans="1:25" ht="17.25" customHeight="1">
      <c r="A542" s="336"/>
      <c r="B542" s="566"/>
      <c r="C542" s="337"/>
      <c r="D542" s="337"/>
      <c r="E542" s="337"/>
      <c r="F542" s="337"/>
      <c r="G542" s="337"/>
      <c r="H542" s="337"/>
      <c r="I542" s="337"/>
      <c r="J542" s="337"/>
      <c r="K542" s="337"/>
      <c r="L542" s="337"/>
      <c r="M542" s="337"/>
      <c r="N542" s="337"/>
      <c r="O542" s="337"/>
      <c r="P542" s="337"/>
      <c r="Q542" s="337"/>
      <c r="R542" s="337"/>
    </row>
    <row r="543" spans="1:25" ht="17.25" customHeight="1">
      <c r="A543" s="336"/>
      <c r="B543" s="566"/>
      <c r="C543" s="337"/>
      <c r="D543" s="337"/>
      <c r="E543" s="337"/>
      <c r="F543" s="337"/>
      <c r="G543" s="337"/>
      <c r="H543" s="337"/>
      <c r="I543" s="337"/>
      <c r="J543" s="337"/>
      <c r="K543" s="337"/>
      <c r="L543" s="337"/>
      <c r="M543" s="337"/>
      <c r="N543" s="337"/>
      <c r="O543" s="337"/>
      <c r="P543" s="337"/>
      <c r="Q543" s="337"/>
      <c r="R543" s="337"/>
    </row>
    <row r="544" spans="1:25" ht="17.25" customHeight="1">
      <c r="A544" s="336"/>
      <c r="B544" s="566"/>
      <c r="C544" s="337"/>
      <c r="D544" s="337"/>
      <c r="E544" s="337"/>
      <c r="F544" s="337"/>
      <c r="G544" s="337"/>
      <c r="H544" s="337"/>
      <c r="I544" s="337"/>
      <c r="J544" s="337"/>
      <c r="K544" s="337"/>
      <c r="L544" s="337"/>
      <c r="M544" s="337"/>
      <c r="N544" s="337"/>
      <c r="O544" s="337"/>
      <c r="P544" s="337"/>
      <c r="Q544" s="337"/>
      <c r="R544" s="337"/>
    </row>
    <row r="545" spans="1:25" ht="17.25" customHeight="1">
      <c r="A545" s="336" t="s">
        <v>80</v>
      </c>
      <c r="B545" s="566"/>
      <c r="C545" s="337"/>
      <c r="D545" s="337"/>
      <c r="E545" s="337"/>
      <c r="F545" s="337"/>
      <c r="G545" s="337"/>
      <c r="H545" s="337"/>
      <c r="I545" s="337"/>
      <c r="J545" s="337"/>
      <c r="K545" s="337"/>
      <c r="L545" s="337"/>
      <c r="M545" s="337"/>
      <c r="N545" s="337"/>
      <c r="O545" s="337"/>
      <c r="P545" s="337"/>
      <c r="Q545" s="337"/>
      <c r="R545" s="337"/>
    </row>
    <row r="546" spans="1:25" ht="17.25" customHeight="1">
      <c r="A546" s="336"/>
      <c r="B546" s="566"/>
      <c r="C546" s="337"/>
      <c r="D546" s="1173" t="s">
        <v>81</v>
      </c>
      <c r="E546" s="1173"/>
      <c r="F546" s="1173"/>
      <c r="G546" s="1173"/>
      <c r="H546" s="337"/>
      <c r="I546" s="337"/>
      <c r="J546" s="1173" t="s">
        <v>82</v>
      </c>
      <c r="K546" s="1173"/>
      <c r="L546" s="1173"/>
      <c r="M546" s="1173"/>
      <c r="N546" s="1173"/>
      <c r="O546" s="1173"/>
      <c r="P546" s="1173"/>
      <c r="Q546" s="1173"/>
      <c r="R546" s="1173"/>
    </row>
    <row r="547" spans="1:25" ht="17.25" customHeight="1">
      <c r="B547" s="566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N547" s="337"/>
      <c r="O547" s="337"/>
      <c r="P547" s="337"/>
      <c r="Q547" s="337"/>
      <c r="R547" s="337"/>
    </row>
    <row r="548" spans="1:25" ht="17.25" customHeight="1">
      <c r="A548" s="215" t="s">
        <v>0</v>
      </c>
      <c r="D548" s="281"/>
      <c r="E548" s="281"/>
      <c r="L548" s="281"/>
      <c r="M548" s="281"/>
      <c r="N548" s="281"/>
      <c r="O548" s="281"/>
      <c r="P548" s="281"/>
      <c r="Q548" s="281"/>
    </row>
    <row r="549" spans="1:25" ht="17.25" customHeight="1">
      <c r="A549" s="215" t="str">
        <f>A4</f>
        <v>DENOMINATION FOR JULI 2018</v>
      </c>
      <c r="D549" s="281"/>
      <c r="E549" s="281"/>
      <c r="L549" s="281"/>
      <c r="M549" s="281"/>
      <c r="N549" s="281"/>
      <c r="O549" s="281"/>
      <c r="P549" s="281"/>
      <c r="Q549" s="281"/>
    </row>
    <row r="550" spans="1:25" ht="17.25" customHeight="1">
      <c r="A550" s="215" t="s">
        <v>47</v>
      </c>
      <c r="D550" s="281"/>
      <c r="E550" s="281"/>
      <c r="L550" s="281"/>
      <c r="M550" s="281"/>
      <c r="N550" s="281"/>
      <c r="O550" s="281"/>
      <c r="P550" s="281"/>
      <c r="Q550" s="281"/>
    </row>
    <row r="551" spans="1:25" ht="17.25" customHeight="1" thickBot="1">
      <c r="D551" s="281"/>
      <c r="E551" s="281"/>
      <c r="L551" s="281"/>
      <c r="M551" s="281"/>
      <c r="N551" s="281"/>
      <c r="O551" s="281"/>
      <c r="P551" s="281"/>
      <c r="Q551" s="281"/>
    </row>
    <row r="552" spans="1:25" ht="17.25" customHeight="1" thickTop="1">
      <c r="A552" s="570" t="s">
        <v>1</v>
      </c>
      <c r="B552" s="572" t="s">
        <v>15</v>
      </c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82"/>
      <c r="N552" s="282"/>
      <c r="O552" s="282"/>
      <c r="P552" s="282"/>
      <c r="Q552" s="282"/>
      <c r="R552" s="283"/>
    </row>
    <row r="553" spans="1:25" ht="17.25" customHeight="1" thickBot="1">
      <c r="A553" s="571"/>
      <c r="B553" s="284"/>
      <c r="C553" s="223">
        <v>100000</v>
      </c>
      <c r="D553" s="223">
        <v>50000</v>
      </c>
      <c r="E553" s="223">
        <v>20000</v>
      </c>
      <c r="F553" s="223">
        <v>10000</v>
      </c>
      <c r="G553" s="223">
        <v>5000</v>
      </c>
      <c r="H553" s="223">
        <v>1000</v>
      </c>
      <c r="I553" s="223">
        <v>500</v>
      </c>
      <c r="J553" s="223">
        <v>100</v>
      </c>
      <c r="K553" s="223">
        <v>50</v>
      </c>
      <c r="L553" s="223" t="s">
        <v>2</v>
      </c>
      <c r="M553" s="285"/>
      <c r="N553" s="285"/>
      <c r="O553" s="285"/>
      <c r="P553" s="285"/>
      <c r="Q553" s="285"/>
      <c r="R553" s="286" t="s">
        <v>3</v>
      </c>
    </row>
    <row r="554" spans="1:25" ht="17.25" customHeight="1" thickTop="1">
      <c r="A554" s="287"/>
      <c r="B554" s="533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9"/>
      <c r="N554" s="289"/>
      <c r="O554" s="289"/>
      <c r="P554" s="289"/>
      <c r="Q554" s="289"/>
      <c r="R554" s="290"/>
    </row>
    <row r="555" spans="1:25" ht="17.25" customHeight="1">
      <c r="A555" s="234"/>
      <c r="B555" s="277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60"/>
      <c r="N555" s="260"/>
      <c r="O555" s="260"/>
      <c r="P555" s="260"/>
      <c r="Q555" s="260"/>
      <c r="R555" s="247">
        <f>SUM(C555:L555)</f>
        <v>0</v>
      </c>
    </row>
    <row r="556" spans="1:25" s="242" customFormat="1" ht="17.25" customHeight="1">
      <c r="A556" s="234"/>
      <c r="B556" s="235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60"/>
      <c r="N556" s="260"/>
      <c r="O556" s="260"/>
      <c r="P556" s="260"/>
      <c r="Q556" s="260"/>
      <c r="R556" s="247"/>
      <c r="X556" s="353"/>
      <c r="Y556" s="353"/>
    </row>
    <row r="557" spans="1:25" ht="17.25" customHeight="1">
      <c r="A557" s="234"/>
      <c r="B557" s="235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60"/>
      <c r="N557" s="260"/>
      <c r="O557" s="260"/>
      <c r="P557" s="260"/>
      <c r="Q557" s="260"/>
      <c r="R557" s="247"/>
    </row>
    <row r="558" spans="1:25" ht="17.25" customHeight="1">
      <c r="A558" s="234"/>
      <c r="B558" s="235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60"/>
      <c r="N558" s="260"/>
      <c r="O558" s="260"/>
      <c r="P558" s="260"/>
      <c r="Q558" s="260"/>
      <c r="R558" s="247"/>
    </row>
    <row r="559" spans="1:25" ht="17.25" customHeight="1">
      <c r="A559" s="375"/>
      <c r="B559" s="364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7"/>
      <c r="N559" s="377"/>
      <c r="O559" s="377"/>
      <c r="P559" s="377"/>
      <c r="Q559" s="377"/>
      <c r="R559" s="378"/>
    </row>
    <row r="560" spans="1:25" ht="17.25" customHeight="1" thickBot="1">
      <c r="A560" s="375"/>
      <c r="B560" s="364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7"/>
      <c r="N560" s="377"/>
      <c r="O560" s="377"/>
      <c r="P560" s="377"/>
      <c r="Q560" s="377"/>
      <c r="R560" s="378"/>
    </row>
    <row r="561" spans="1:18" ht="17.25" customHeight="1" thickTop="1" thickBot="1">
      <c r="A561" s="261" t="s">
        <v>3</v>
      </c>
      <c r="B561" s="262">
        <f t="shared" ref="B561:M561" si="54">SUM(B554:B560)</f>
        <v>0</v>
      </c>
      <c r="C561" s="263">
        <f t="shared" si="54"/>
        <v>0</v>
      </c>
      <c r="D561" s="263">
        <f t="shared" si="54"/>
        <v>0</v>
      </c>
      <c r="E561" s="263">
        <f t="shared" si="54"/>
        <v>0</v>
      </c>
      <c r="F561" s="263">
        <f t="shared" si="54"/>
        <v>0</v>
      </c>
      <c r="G561" s="263">
        <f t="shared" si="54"/>
        <v>0</v>
      </c>
      <c r="H561" s="263">
        <f t="shared" si="54"/>
        <v>0</v>
      </c>
      <c r="I561" s="263">
        <f t="shared" si="54"/>
        <v>0</v>
      </c>
      <c r="J561" s="263">
        <f t="shared" si="54"/>
        <v>0</v>
      </c>
      <c r="K561" s="263">
        <f t="shared" si="54"/>
        <v>0</v>
      </c>
      <c r="L561" s="263">
        <f t="shared" si="54"/>
        <v>0</v>
      </c>
      <c r="M561" s="263">
        <f t="shared" si="54"/>
        <v>0</v>
      </c>
      <c r="N561" s="264"/>
      <c r="O561" s="264"/>
      <c r="P561" s="264"/>
      <c r="Q561" s="264"/>
      <c r="R561" s="265">
        <f>SUM(R554:R560)</f>
        <v>0</v>
      </c>
    </row>
    <row r="562" spans="1:18" ht="17.25" customHeight="1" thickTop="1">
      <c r="A562" s="336"/>
    </row>
    <row r="563" spans="1:18" ht="17.25" customHeight="1">
      <c r="A563" s="336"/>
      <c r="B563" s="566"/>
      <c r="C563" s="337"/>
      <c r="D563" s="337"/>
      <c r="E563" s="337"/>
      <c r="F563" s="337"/>
      <c r="G563" s="337"/>
      <c r="H563" s="337"/>
      <c r="I563" s="337"/>
      <c r="J563" s="337"/>
      <c r="K563" s="337"/>
      <c r="L563" s="337"/>
      <c r="M563" s="337"/>
      <c r="N563" s="337"/>
      <c r="O563" s="337"/>
      <c r="P563" s="337"/>
      <c r="Q563" s="337"/>
      <c r="R563" s="337"/>
    </row>
    <row r="564" spans="1:18" ht="17.25" customHeight="1">
      <c r="A564" s="336"/>
      <c r="B564" s="566"/>
      <c r="C564" s="337"/>
      <c r="D564" s="337"/>
      <c r="E564" s="337"/>
      <c r="F564" s="337"/>
      <c r="G564" s="337"/>
      <c r="H564" s="337"/>
      <c r="I564" s="337"/>
      <c r="J564" s="337"/>
      <c r="K564" s="337"/>
      <c r="L564" s="337"/>
      <c r="M564" s="337"/>
      <c r="N564" s="337"/>
      <c r="O564" s="337"/>
      <c r="P564" s="337"/>
      <c r="Q564" s="337"/>
      <c r="R564" s="337"/>
    </row>
    <row r="565" spans="1:18" ht="17.25" customHeight="1">
      <c r="A565" s="336"/>
      <c r="B565" s="566"/>
      <c r="C565" s="337"/>
      <c r="D565" s="337"/>
      <c r="E565" s="337"/>
      <c r="F565" s="337"/>
      <c r="G565" s="337"/>
      <c r="H565" s="337"/>
      <c r="I565" s="337"/>
      <c r="J565" s="337"/>
      <c r="K565" s="337"/>
      <c r="L565" s="337"/>
      <c r="M565" s="337"/>
      <c r="N565" s="337"/>
      <c r="O565" s="337"/>
      <c r="P565" s="337"/>
      <c r="Q565" s="337"/>
      <c r="R565" s="337"/>
    </row>
    <row r="566" spans="1:18" ht="17.25" customHeight="1">
      <c r="A566" s="336"/>
      <c r="B566" s="566"/>
      <c r="C566" s="337"/>
      <c r="D566" s="337"/>
      <c r="E566" s="337"/>
      <c r="F566" s="337"/>
      <c r="G566" s="337"/>
      <c r="H566" s="337"/>
      <c r="I566" s="337"/>
      <c r="J566" s="337"/>
      <c r="K566" s="337"/>
      <c r="L566" s="337"/>
      <c r="M566" s="337"/>
      <c r="N566" s="337"/>
      <c r="O566" s="337"/>
      <c r="P566" s="337"/>
      <c r="Q566" s="337"/>
      <c r="R566" s="337"/>
    </row>
    <row r="567" spans="1:18" ht="17.25" customHeight="1">
      <c r="A567" s="336" t="s">
        <v>80</v>
      </c>
      <c r="B567" s="566"/>
      <c r="C567" s="337"/>
      <c r="D567" s="337"/>
      <c r="E567" s="337"/>
      <c r="F567" s="337"/>
      <c r="G567" s="337"/>
      <c r="H567" s="337"/>
      <c r="I567" s="337"/>
      <c r="J567" s="337"/>
      <c r="K567" s="337"/>
      <c r="L567" s="337"/>
      <c r="M567" s="337"/>
      <c r="N567" s="337"/>
      <c r="O567" s="337"/>
      <c r="P567" s="337"/>
      <c r="Q567" s="337"/>
      <c r="R567" s="337"/>
    </row>
    <row r="568" spans="1:18" ht="17.25" customHeight="1">
      <c r="A568" s="336"/>
      <c r="B568" s="566"/>
      <c r="C568" s="337"/>
      <c r="D568" s="1173" t="s">
        <v>81</v>
      </c>
      <c r="E568" s="1173"/>
      <c r="F568" s="1173"/>
      <c r="G568" s="1173"/>
      <c r="H568" s="337"/>
      <c r="I568" s="337"/>
      <c r="J568" s="1173" t="s">
        <v>82</v>
      </c>
      <c r="K568" s="1173"/>
      <c r="L568" s="1173"/>
      <c r="M568" s="1173"/>
      <c r="N568" s="1173"/>
      <c r="O568" s="1173"/>
      <c r="P568" s="1173"/>
      <c r="Q568" s="1173"/>
      <c r="R568" s="1173"/>
    </row>
    <row r="569" spans="1:18" ht="17.25" customHeight="1">
      <c r="B569" s="566"/>
      <c r="C569" s="337"/>
      <c r="D569" s="337"/>
      <c r="E569" s="337"/>
      <c r="F569" s="337"/>
      <c r="G569" s="337"/>
      <c r="H569" s="337"/>
      <c r="I569" s="337"/>
      <c r="J569" s="337"/>
      <c r="K569" s="337"/>
      <c r="L569" s="337"/>
      <c r="M569" s="337"/>
      <c r="N569" s="337"/>
      <c r="O569" s="337"/>
      <c r="P569" s="337"/>
      <c r="Q569" s="337"/>
      <c r="R569" s="337"/>
    </row>
    <row r="570" spans="1:18" ht="17.25" customHeight="1">
      <c r="A570" s="215" t="s">
        <v>0</v>
      </c>
      <c r="D570" s="281"/>
      <c r="E570" s="281"/>
      <c r="L570" s="281"/>
      <c r="M570" s="281"/>
      <c r="N570" s="281"/>
      <c r="O570" s="281"/>
      <c r="P570" s="281"/>
      <c r="Q570" s="281"/>
    </row>
    <row r="571" spans="1:18" ht="17.25" customHeight="1">
      <c r="A571" s="215" t="str">
        <f>A4</f>
        <v>DENOMINATION FOR JULI 2018</v>
      </c>
      <c r="D571" s="281"/>
      <c r="E571" s="281"/>
      <c r="L571" s="281"/>
      <c r="M571" s="281"/>
      <c r="N571" s="281"/>
      <c r="O571" s="281"/>
      <c r="P571" s="281"/>
      <c r="Q571" s="281"/>
    </row>
    <row r="572" spans="1:18" ht="17.25" customHeight="1">
      <c r="A572" s="215" t="s">
        <v>49</v>
      </c>
      <c r="D572" s="281"/>
      <c r="E572" s="281"/>
      <c r="L572" s="281"/>
      <c r="M572" s="281"/>
      <c r="N572" s="281"/>
      <c r="O572" s="281"/>
      <c r="P572" s="281"/>
      <c r="Q572" s="281"/>
    </row>
    <row r="573" spans="1:18" ht="17.25" customHeight="1" thickBot="1">
      <c r="D573" s="281"/>
      <c r="E573" s="281"/>
      <c r="L573" s="281"/>
      <c r="M573" s="281"/>
      <c r="N573" s="281"/>
      <c r="O573" s="281"/>
      <c r="P573" s="281"/>
      <c r="Q573" s="281"/>
    </row>
    <row r="574" spans="1:18" ht="17.25" customHeight="1" thickTop="1">
      <c r="A574" s="570" t="s">
        <v>1</v>
      </c>
      <c r="B574" s="572" t="s">
        <v>15</v>
      </c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82"/>
      <c r="N574" s="282"/>
      <c r="O574" s="282"/>
      <c r="P574" s="282"/>
      <c r="Q574" s="282"/>
      <c r="R574" s="283"/>
    </row>
    <row r="575" spans="1:18" ht="17.25" customHeight="1" thickBot="1">
      <c r="A575" s="571"/>
      <c r="B575" s="284"/>
      <c r="C575" s="223">
        <v>100000</v>
      </c>
      <c r="D575" s="223">
        <v>50000</v>
      </c>
      <c r="E575" s="223">
        <v>20000</v>
      </c>
      <c r="F575" s="223">
        <v>10000</v>
      </c>
      <c r="G575" s="223">
        <v>5000</v>
      </c>
      <c r="H575" s="223">
        <v>1000</v>
      </c>
      <c r="I575" s="223">
        <v>500</v>
      </c>
      <c r="J575" s="223">
        <v>100</v>
      </c>
      <c r="K575" s="223">
        <v>50</v>
      </c>
      <c r="L575" s="223" t="s">
        <v>2</v>
      </c>
      <c r="M575" s="285"/>
      <c r="N575" s="285"/>
      <c r="O575" s="285"/>
      <c r="P575" s="285"/>
      <c r="Q575" s="285"/>
      <c r="R575" s="286" t="s">
        <v>3</v>
      </c>
    </row>
    <row r="576" spans="1:18" ht="17.25" customHeight="1" thickTop="1">
      <c r="A576" s="287"/>
      <c r="B576" s="533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9"/>
      <c r="N576" s="289"/>
      <c r="O576" s="289"/>
      <c r="P576" s="289"/>
      <c r="Q576" s="289"/>
      <c r="R576" s="290"/>
    </row>
    <row r="577" spans="1:25" ht="17.25" customHeight="1">
      <c r="A577" s="234"/>
      <c r="B577" s="277"/>
      <c r="C577" s="236"/>
      <c r="D577" s="236"/>
      <c r="E577" s="254"/>
      <c r="F577" s="254"/>
      <c r="G577" s="236"/>
      <c r="H577" s="236"/>
      <c r="I577" s="236"/>
      <c r="J577" s="236"/>
      <c r="K577" s="236"/>
      <c r="L577" s="236"/>
      <c r="M577" s="260"/>
      <c r="N577" s="260"/>
      <c r="O577" s="260"/>
      <c r="P577" s="260"/>
      <c r="Q577" s="260"/>
      <c r="R577" s="247">
        <f>SUM(C577:L577)</f>
        <v>0</v>
      </c>
    </row>
    <row r="578" spans="1:25" s="242" customFormat="1" ht="17.25" customHeight="1">
      <c r="A578" s="234"/>
      <c r="B578" s="235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60"/>
      <c r="N578" s="260"/>
      <c r="O578" s="260"/>
      <c r="P578" s="260"/>
      <c r="Q578" s="260"/>
      <c r="R578" s="247"/>
      <c r="X578" s="353"/>
      <c r="Y578" s="353"/>
    </row>
    <row r="579" spans="1:25" ht="17.25" customHeight="1">
      <c r="A579" s="234"/>
      <c r="B579" s="235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60"/>
      <c r="N579" s="260"/>
      <c r="O579" s="260"/>
      <c r="P579" s="260"/>
      <c r="Q579" s="260"/>
      <c r="R579" s="247">
        <f>SUM(C579:L579)</f>
        <v>0</v>
      </c>
    </row>
    <row r="580" spans="1:25" s="242" customFormat="1" ht="17.25" customHeight="1">
      <c r="A580" s="234"/>
      <c r="B580" s="235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60"/>
      <c r="N580" s="260"/>
      <c r="O580" s="260"/>
      <c r="P580" s="260"/>
      <c r="Q580" s="260"/>
      <c r="R580" s="247"/>
      <c r="X580" s="353"/>
      <c r="Y580" s="353"/>
    </row>
    <row r="581" spans="1:25" ht="17.25" customHeight="1">
      <c r="A581" s="234"/>
      <c r="B581" s="235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60"/>
      <c r="N581" s="260"/>
      <c r="O581" s="260"/>
      <c r="P581" s="260"/>
      <c r="Q581" s="260"/>
      <c r="R581" s="247"/>
    </row>
    <row r="582" spans="1:25" ht="17.25" customHeight="1">
      <c r="A582" s="234"/>
      <c r="B582" s="235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60"/>
      <c r="N582" s="260"/>
      <c r="O582" s="260"/>
      <c r="P582" s="260"/>
      <c r="Q582" s="260"/>
      <c r="R582" s="247"/>
    </row>
    <row r="583" spans="1:25" ht="17.25" customHeight="1" thickBot="1">
      <c r="A583" s="234"/>
      <c r="B583" s="235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60"/>
      <c r="N583" s="260"/>
      <c r="O583" s="260"/>
      <c r="P583" s="260"/>
      <c r="Q583" s="260"/>
      <c r="R583" s="247"/>
    </row>
    <row r="584" spans="1:25" ht="17.25" customHeight="1" thickTop="1" thickBot="1">
      <c r="A584" s="261" t="s">
        <v>3</v>
      </c>
      <c r="B584" s="262">
        <f t="shared" ref="B584:M584" si="55">SUM(B576:B583)</f>
        <v>0</v>
      </c>
      <c r="C584" s="263">
        <f t="shared" si="55"/>
        <v>0</v>
      </c>
      <c r="D584" s="263">
        <f t="shared" si="55"/>
        <v>0</v>
      </c>
      <c r="E584" s="263">
        <f>SUM(E576:E583)</f>
        <v>0</v>
      </c>
      <c r="F584" s="263">
        <f t="shared" si="55"/>
        <v>0</v>
      </c>
      <c r="G584" s="263">
        <f t="shared" si="55"/>
        <v>0</v>
      </c>
      <c r="H584" s="263">
        <f t="shared" si="55"/>
        <v>0</v>
      </c>
      <c r="I584" s="263">
        <f t="shared" si="55"/>
        <v>0</v>
      </c>
      <c r="J584" s="263">
        <f t="shared" si="55"/>
        <v>0</v>
      </c>
      <c r="K584" s="263">
        <f t="shared" si="55"/>
        <v>0</v>
      </c>
      <c r="L584" s="263">
        <f t="shared" si="55"/>
        <v>0</v>
      </c>
      <c r="M584" s="263">
        <f t="shared" si="55"/>
        <v>0</v>
      </c>
      <c r="N584" s="264"/>
      <c r="O584" s="264"/>
      <c r="P584" s="264"/>
      <c r="Q584" s="264"/>
      <c r="R584" s="265">
        <f>SUM(R576:R583)</f>
        <v>0</v>
      </c>
    </row>
    <row r="585" spans="1:25" ht="17.25" customHeight="1" thickTop="1">
      <c r="A585" s="336"/>
    </row>
    <row r="586" spans="1:25" ht="17.25" customHeight="1">
      <c r="A586" s="336"/>
      <c r="B586" s="566"/>
      <c r="C586" s="337"/>
      <c r="D586" s="337"/>
      <c r="E586" s="337"/>
      <c r="F586" s="337"/>
      <c r="G586" s="337"/>
      <c r="H586" s="337"/>
      <c r="I586" s="337"/>
      <c r="J586" s="337"/>
      <c r="K586" s="337"/>
      <c r="L586" s="337"/>
      <c r="M586" s="337"/>
      <c r="N586" s="337"/>
      <c r="O586" s="337"/>
      <c r="P586" s="337"/>
      <c r="Q586" s="337"/>
      <c r="R586" s="337"/>
    </row>
    <row r="587" spans="1:25" ht="17.25" customHeight="1">
      <c r="A587" s="336"/>
      <c r="B587" s="566"/>
      <c r="C587" s="337"/>
      <c r="D587" s="337"/>
      <c r="E587" s="337"/>
      <c r="F587" s="337"/>
      <c r="G587" s="337"/>
      <c r="H587" s="337"/>
      <c r="I587" s="337"/>
      <c r="J587" s="337"/>
      <c r="K587" s="337"/>
      <c r="L587" s="337"/>
      <c r="M587" s="337"/>
      <c r="N587" s="337"/>
      <c r="O587" s="337"/>
      <c r="P587" s="337"/>
      <c r="Q587" s="337"/>
      <c r="R587" s="337"/>
    </row>
    <row r="588" spans="1:25" ht="17.25" customHeight="1">
      <c r="A588" s="336"/>
      <c r="B588" s="566"/>
      <c r="C588" s="337"/>
      <c r="D588" s="337"/>
      <c r="E588" s="337"/>
      <c r="F588" s="337"/>
      <c r="G588" s="337"/>
      <c r="H588" s="337"/>
      <c r="I588" s="337"/>
      <c r="J588" s="337"/>
      <c r="K588" s="337"/>
      <c r="L588" s="337"/>
      <c r="M588" s="337"/>
      <c r="N588" s="337"/>
      <c r="O588" s="337"/>
      <c r="P588" s="337"/>
      <c r="Q588" s="337"/>
      <c r="R588" s="337"/>
    </row>
    <row r="589" spans="1:25" ht="17.25" customHeight="1">
      <c r="A589" s="336"/>
      <c r="B589" s="566"/>
      <c r="C589" s="337"/>
      <c r="D589" s="337"/>
      <c r="E589" s="337"/>
      <c r="F589" s="337"/>
      <c r="G589" s="337"/>
      <c r="H589" s="337"/>
      <c r="I589" s="337"/>
      <c r="J589" s="337"/>
      <c r="K589" s="337"/>
      <c r="L589" s="337"/>
      <c r="M589" s="337"/>
      <c r="N589" s="337"/>
      <c r="O589" s="337"/>
      <c r="P589" s="337"/>
      <c r="Q589" s="337"/>
      <c r="R589" s="337"/>
    </row>
    <row r="590" spans="1:25" ht="17.25" customHeight="1">
      <c r="A590" s="336" t="s">
        <v>80</v>
      </c>
      <c r="B590" s="566"/>
      <c r="C590" s="337"/>
      <c r="D590" s="337"/>
      <c r="E590" s="337"/>
      <c r="F590" s="337"/>
      <c r="G590" s="337"/>
      <c r="H590" s="337"/>
      <c r="I590" s="337"/>
      <c r="J590" s="337"/>
      <c r="K590" s="337"/>
      <c r="L590" s="337"/>
      <c r="M590" s="337"/>
      <c r="N590" s="337"/>
      <c r="O590" s="337"/>
      <c r="P590" s="337"/>
      <c r="Q590" s="337"/>
      <c r="R590" s="337"/>
    </row>
    <row r="591" spans="1:25" ht="17.25" customHeight="1">
      <c r="A591" s="336"/>
      <c r="B591" s="566"/>
      <c r="C591" s="337"/>
      <c r="D591" s="1173" t="s">
        <v>81</v>
      </c>
      <c r="E591" s="1173"/>
      <c r="F591" s="1173"/>
      <c r="G591" s="1173"/>
      <c r="H591" s="337"/>
      <c r="I591" s="337"/>
      <c r="J591" s="1173" t="s">
        <v>82</v>
      </c>
      <c r="K591" s="1173"/>
      <c r="L591" s="1173"/>
      <c r="M591" s="1173"/>
      <c r="N591" s="1173"/>
      <c r="O591" s="1173"/>
      <c r="P591" s="1173"/>
      <c r="Q591" s="1173"/>
      <c r="R591" s="1173"/>
    </row>
    <row r="592" spans="1:25" ht="17.25" customHeight="1">
      <c r="A592" s="336"/>
      <c r="B592" s="566"/>
      <c r="C592" s="337"/>
      <c r="D592" s="337"/>
      <c r="E592" s="337"/>
      <c r="F592" s="337"/>
      <c r="G592" s="337"/>
      <c r="H592" s="337"/>
      <c r="I592" s="337"/>
      <c r="J592" s="337"/>
      <c r="K592" s="337"/>
      <c r="L592" s="337"/>
      <c r="M592" s="337"/>
      <c r="N592" s="337"/>
      <c r="O592" s="337"/>
      <c r="P592" s="337"/>
      <c r="Q592" s="337"/>
      <c r="R592" s="337"/>
    </row>
    <row r="593" spans="1:25" ht="17.25" customHeight="1">
      <c r="A593" s="336"/>
      <c r="B593" s="566"/>
      <c r="C593" s="337"/>
      <c r="D593" s="337"/>
      <c r="E593" s="337"/>
      <c r="F593" s="337"/>
      <c r="G593" s="337"/>
      <c r="H593" s="337"/>
      <c r="I593" s="337"/>
      <c r="J593" s="337"/>
      <c r="K593" s="337"/>
      <c r="L593" s="337"/>
      <c r="M593" s="337"/>
      <c r="N593" s="337"/>
      <c r="O593" s="337"/>
      <c r="P593" s="337"/>
      <c r="Q593" s="337"/>
      <c r="R593" s="337"/>
    </row>
    <row r="594" spans="1:25" ht="17.25" customHeight="1">
      <c r="A594" s="336"/>
      <c r="B594" s="566"/>
      <c r="C594" s="337"/>
      <c r="D594" s="337"/>
      <c r="E594" s="337"/>
      <c r="F594" s="337"/>
      <c r="G594" s="337"/>
      <c r="H594" s="337"/>
      <c r="I594" s="337"/>
      <c r="J594" s="337"/>
      <c r="K594" s="337"/>
      <c r="L594" s="337"/>
      <c r="M594" s="337"/>
      <c r="N594" s="337"/>
      <c r="O594" s="337"/>
      <c r="P594" s="337"/>
      <c r="Q594" s="337"/>
      <c r="R594" s="337"/>
    </row>
    <row r="595" spans="1:25" ht="17.25" customHeight="1">
      <c r="B595" s="566"/>
      <c r="C595" s="337"/>
      <c r="D595" s="337"/>
      <c r="E595" s="337"/>
      <c r="F595" s="337"/>
      <c r="G595" s="337"/>
      <c r="H595" s="337"/>
      <c r="I595" s="337"/>
      <c r="J595" s="337"/>
      <c r="K595" s="337"/>
      <c r="L595" s="337"/>
      <c r="M595" s="337"/>
      <c r="N595" s="337"/>
      <c r="O595" s="337"/>
      <c r="P595" s="337"/>
      <c r="Q595" s="337"/>
      <c r="R595" s="337"/>
    </row>
    <row r="596" spans="1:25" ht="17.25" customHeight="1">
      <c r="A596" s="215" t="s">
        <v>0</v>
      </c>
      <c r="D596" s="281"/>
      <c r="E596" s="281"/>
      <c r="L596" s="281"/>
      <c r="M596" s="281"/>
      <c r="N596" s="281"/>
      <c r="O596" s="281"/>
      <c r="P596" s="281"/>
      <c r="Q596" s="281"/>
    </row>
    <row r="597" spans="1:25" ht="17.25" customHeight="1">
      <c r="A597" s="215" t="str">
        <f>A4</f>
        <v>DENOMINATION FOR JULI 2018</v>
      </c>
      <c r="D597" s="281"/>
      <c r="E597" s="281"/>
      <c r="L597" s="281"/>
      <c r="M597" s="281"/>
      <c r="N597" s="281"/>
      <c r="O597" s="281"/>
      <c r="P597" s="281"/>
      <c r="Q597" s="281"/>
    </row>
    <row r="598" spans="1:25" ht="17.25" customHeight="1">
      <c r="A598" s="215" t="s">
        <v>215</v>
      </c>
      <c r="D598" s="281"/>
      <c r="E598" s="281"/>
      <c r="L598" s="281"/>
      <c r="M598" s="281"/>
      <c r="N598" s="281"/>
      <c r="O598" s="281"/>
      <c r="P598" s="281"/>
      <c r="Q598" s="281"/>
    </row>
    <row r="599" spans="1:25" ht="17.25" customHeight="1" thickBot="1">
      <c r="D599" s="281"/>
      <c r="E599" s="281"/>
      <c r="L599" s="281"/>
      <c r="M599" s="281"/>
      <c r="N599" s="281"/>
      <c r="O599" s="281"/>
      <c r="P599" s="281"/>
      <c r="Q599" s="281"/>
    </row>
    <row r="600" spans="1:25" ht="27" customHeight="1" thickTop="1">
      <c r="A600" s="570" t="s">
        <v>1</v>
      </c>
      <c r="B600" s="1183" t="s">
        <v>15</v>
      </c>
      <c r="C600" s="475"/>
      <c r="D600" s="475"/>
      <c r="E600" s="475"/>
      <c r="F600" s="475"/>
      <c r="G600" s="475"/>
      <c r="H600" s="475"/>
      <c r="I600" s="475"/>
      <c r="J600" s="475"/>
      <c r="K600" s="475"/>
      <c r="L600" s="475"/>
      <c r="M600" s="476"/>
      <c r="N600" s="476"/>
      <c r="O600" s="476"/>
      <c r="P600" s="476"/>
      <c r="Q600" s="476"/>
      <c r="R600" s="1171" t="s">
        <v>3</v>
      </c>
    </row>
    <row r="601" spans="1:25" ht="27" customHeight="1" thickBot="1">
      <c r="A601" s="571"/>
      <c r="B601" s="1184"/>
      <c r="C601" s="477">
        <v>100000</v>
      </c>
      <c r="D601" s="477">
        <v>50000</v>
      </c>
      <c r="E601" s="477">
        <v>20000</v>
      </c>
      <c r="F601" s="477">
        <v>10000</v>
      </c>
      <c r="G601" s="477">
        <v>5000</v>
      </c>
      <c r="H601" s="477">
        <v>1000</v>
      </c>
      <c r="I601" s="477">
        <v>500</v>
      </c>
      <c r="J601" s="477">
        <v>100</v>
      </c>
      <c r="K601" s="477">
        <v>50</v>
      </c>
      <c r="L601" s="477" t="s">
        <v>2</v>
      </c>
      <c r="M601" s="478"/>
      <c r="N601" s="478"/>
      <c r="O601" s="478"/>
      <c r="P601" s="478"/>
      <c r="Q601" s="478"/>
      <c r="R601" s="1172"/>
    </row>
    <row r="602" spans="1:25" ht="27" customHeight="1" thickTop="1">
      <c r="A602" s="479"/>
      <c r="B602" s="480"/>
      <c r="C602" s="481"/>
      <c r="D602" s="481"/>
      <c r="E602" s="481"/>
      <c r="F602" s="481"/>
      <c r="G602" s="481"/>
      <c r="H602" s="481"/>
      <c r="I602" s="481"/>
      <c r="J602" s="481"/>
      <c r="K602" s="481"/>
      <c r="L602" s="481"/>
      <c r="M602" s="482"/>
      <c r="N602" s="482"/>
      <c r="O602" s="482"/>
      <c r="P602" s="482"/>
      <c r="Q602" s="482"/>
      <c r="R602" s="483"/>
    </row>
    <row r="603" spans="1:25" ht="27" customHeight="1">
      <c r="A603" s="287" t="s">
        <v>409</v>
      </c>
      <c r="B603" s="292">
        <v>13</v>
      </c>
      <c r="C603" s="293"/>
      <c r="D603" s="293"/>
      <c r="E603" s="293"/>
      <c r="F603" s="293"/>
      <c r="G603" s="293"/>
      <c r="H603" s="293"/>
      <c r="I603" s="293"/>
      <c r="J603" s="293"/>
      <c r="K603" s="293"/>
      <c r="L603" s="293"/>
      <c r="M603" s="294"/>
      <c r="N603" s="294"/>
      <c r="O603" s="294"/>
      <c r="P603" s="294"/>
      <c r="Q603" s="294"/>
      <c r="R603" s="295">
        <v>3967839</v>
      </c>
    </row>
    <row r="604" spans="1:25" s="242" customFormat="1" ht="27" customHeight="1">
      <c r="A604" s="291"/>
      <c r="B604" s="292"/>
      <c r="C604" s="293"/>
      <c r="D604" s="293"/>
      <c r="E604" s="293"/>
      <c r="F604" s="293"/>
      <c r="G604" s="293"/>
      <c r="H604" s="293"/>
      <c r="I604" s="293"/>
      <c r="J604" s="293"/>
      <c r="K604" s="293"/>
      <c r="L604" s="293"/>
      <c r="M604" s="294"/>
      <c r="N604" s="294"/>
      <c r="O604" s="294"/>
      <c r="P604" s="294"/>
      <c r="Q604" s="294"/>
      <c r="R604" s="295"/>
      <c r="X604" s="353"/>
      <c r="Y604" s="353"/>
    </row>
    <row r="605" spans="1:25" s="242" customFormat="1" ht="27" customHeight="1">
      <c r="A605" s="291"/>
      <c r="B605" s="292"/>
      <c r="C605" s="293"/>
      <c r="D605" s="293"/>
      <c r="E605" s="293"/>
      <c r="F605" s="293"/>
      <c r="G605" s="293"/>
      <c r="H605" s="293"/>
      <c r="I605" s="293"/>
      <c r="J605" s="293"/>
      <c r="K605" s="293"/>
      <c r="L605" s="293"/>
      <c r="M605" s="294"/>
      <c r="N605" s="294"/>
      <c r="O605" s="294"/>
      <c r="P605" s="294"/>
      <c r="Q605" s="294"/>
      <c r="R605" s="295"/>
      <c r="X605" s="353"/>
      <c r="Y605" s="353"/>
    </row>
    <row r="606" spans="1:25" s="242" customFormat="1" ht="27" customHeight="1">
      <c r="A606" s="291"/>
      <c r="B606" s="292"/>
      <c r="C606" s="293"/>
      <c r="D606" s="293"/>
      <c r="E606" s="293"/>
      <c r="F606" s="293"/>
      <c r="G606" s="293"/>
      <c r="H606" s="293"/>
      <c r="I606" s="293"/>
      <c r="J606" s="293"/>
      <c r="K606" s="293"/>
      <c r="L606" s="293"/>
      <c r="M606" s="294"/>
      <c r="N606" s="294"/>
      <c r="O606" s="294"/>
      <c r="P606" s="294"/>
      <c r="Q606" s="294"/>
      <c r="R606" s="295"/>
      <c r="X606" s="353"/>
      <c r="Y606" s="353"/>
    </row>
    <row r="607" spans="1:25" s="242" customFormat="1" ht="27" customHeight="1">
      <c r="A607" s="291"/>
      <c r="B607" s="292"/>
      <c r="C607" s="293"/>
      <c r="D607" s="293"/>
      <c r="E607" s="293"/>
      <c r="F607" s="293"/>
      <c r="G607" s="293"/>
      <c r="H607" s="293"/>
      <c r="I607" s="293"/>
      <c r="J607" s="293"/>
      <c r="K607" s="293"/>
      <c r="L607" s="293"/>
      <c r="M607" s="294"/>
      <c r="N607" s="294"/>
      <c r="O607" s="294"/>
      <c r="P607" s="294"/>
      <c r="Q607" s="294"/>
      <c r="R607" s="295"/>
      <c r="X607" s="353"/>
      <c r="Y607" s="353"/>
    </row>
    <row r="608" spans="1:25" s="242" customFormat="1" ht="27" customHeight="1">
      <c r="A608" s="291"/>
      <c r="B608" s="292"/>
      <c r="C608" s="293"/>
      <c r="D608" s="293"/>
      <c r="E608" s="293"/>
      <c r="F608" s="293"/>
      <c r="G608" s="293"/>
      <c r="H608" s="293"/>
      <c r="I608" s="293"/>
      <c r="J608" s="293"/>
      <c r="K608" s="293"/>
      <c r="L608" s="293"/>
      <c r="M608" s="294"/>
      <c r="N608" s="294"/>
      <c r="O608" s="294"/>
      <c r="P608" s="294"/>
      <c r="Q608" s="294"/>
      <c r="R608" s="295"/>
      <c r="X608" s="353"/>
      <c r="Y608" s="353"/>
    </row>
    <row r="609" spans="1:25" s="242" customFormat="1" ht="27" customHeight="1" thickBot="1">
      <c r="A609" s="291"/>
      <c r="B609" s="292"/>
      <c r="C609" s="293"/>
      <c r="D609" s="293"/>
      <c r="E609" s="293"/>
      <c r="F609" s="293"/>
      <c r="G609" s="293"/>
      <c r="H609" s="293"/>
      <c r="I609" s="293"/>
      <c r="J609" s="293"/>
      <c r="K609" s="293"/>
      <c r="L609" s="293"/>
      <c r="M609" s="294"/>
      <c r="N609" s="294"/>
      <c r="O609" s="294"/>
      <c r="P609" s="294"/>
      <c r="Q609" s="294"/>
      <c r="R609" s="295"/>
      <c r="X609" s="353"/>
      <c r="Y609" s="353"/>
    </row>
    <row r="610" spans="1:25" ht="27" customHeight="1" thickTop="1" thickBot="1">
      <c r="A610" s="319" t="s">
        <v>3</v>
      </c>
      <c r="B610" s="414">
        <f t="shared" ref="B610:R610" si="56">SUM(B602:B609)</f>
        <v>13</v>
      </c>
      <c r="C610" s="320">
        <f t="shared" si="56"/>
        <v>0</v>
      </c>
      <c r="D610" s="320">
        <f t="shared" si="56"/>
        <v>0</v>
      </c>
      <c r="E610" s="320">
        <f t="shared" si="56"/>
        <v>0</v>
      </c>
      <c r="F610" s="320">
        <f t="shared" si="56"/>
        <v>0</v>
      </c>
      <c r="G610" s="320">
        <f t="shared" si="56"/>
        <v>0</v>
      </c>
      <c r="H610" s="320">
        <f t="shared" si="56"/>
        <v>0</v>
      </c>
      <c r="I610" s="320">
        <f t="shared" si="56"/>
        <v>0</v>
      </c>
      <c r="J610" s="320">
        <f t="shared" si="56"/>
        <v>0</v>
      </c>
      <c r="K610" s="320">
        <f t="shared" si="56"/>
        <v>0</v>
      </c>
      <c r="L610" s="320">
        <f t="shared" si="56"/>
        <v>0</v>
      </c>
      <c r="M610" s="320">
        <f t="shared" si="56"/>
        <v>0</v>
      </c>
      <c r="N610" s="415"/>
      <c r="O610" s="415"/>
      <c r="P610" s="415"/>
      <c r="Q610" s="415"/>
      <c r="R610" s="413">
        <f t="shared" si="56"/>
        <v>3967839</v>
      </c>
    </row>
    <row r="611" spans="1:25" ht="17.25" customHeight="1" thickTop="1">
      <c r="A611" s="216"/>
    </row>
    <row r="612" spans="1:25" ht="17.25" customHeight="1">
      <c r="A612" s="216"/>
      <c r="B612" s="278"/>
    </row>
    <row r="613" spans="1:25" ht="17.25" customHeight="1">
      <c r="A613" s="216"/>
      <c r="B613" s="278"/>
    </row>
    <row r="614" spans="1:25" ht="17.25" customHeight="1">
      <c r="A614" s="216"/>
      <c r="B614" s="278"/>
    </row>
    <row r="615" spans="1:25" ht="17.25" customHeight="1">
      <c r="A615" s="216"/>
      <c r="B615" s="278"/>
    </row>
    <row r="616" spans="1:25" ht="17.25" customHeight="1">
      <c r="A616" s="216"/>
      <c r="B616" s="278"/>
    </row>
    <row r="617" spans="1:25" ht="17.25" customHeight="1">
      <c r="A617" s="216"/>
      <c r="B617" s="278"/>
    </row>
    <row r="618" spans="1:25" ht="17.25" customHeight="1">
      <c r="A618" s="336" t="s">
        <v>204</v>
      </c>
      <c r="B618" s="566"/>
      <c r="C618" s="337"/>
      <c r="D618" s="337"/>
      <c r="E618" s="337"/>
      <c r="F618" s="337"/>
      <c r="G618" s="337"/>
      <c r="H618" s="337"/>
      <c r="I618" s="337"/>
      <c r="J618" s="1173" t="s">
        <v>82</v>
      </c>
      <c r="K618" s="1173"/>
      <c r="L618" s="1173"/>
      <c r="M618" s="1173"/>
      <c r="N618" s="1173"/>
      <c r="O618" s="1173"/>
      <c r="P618" s="1173"/>
      <c r="Q618" s="1173"/>
      <c r="R618" s="1173"/>
    </row>
    <row r="619" spans="1:25" ht="17.25" customHeight="1">
      <c r="A619" s="336"/>
      <c r="B619" s="566"/>
      <c r="C619" s="337"/>
      <c r="D619" s="1173" t="s">
        <v>81</v>
      </c>
      <c r="E619" s="1173"/>
      <c r="F619" s="1173"/>
      <c r="G619" s="1173"/>
      <c r="H619" s="337"/>
      <c r="I619" s="337"/>
      <c r="J619" s="1173"/>
      <c r="K619" s="1173"/>
      <c r="L619" s="1173"/>
      <c r="M619" s="1173"/>
      <c r="N619" s="1173"/>
      <c r="O619" s="1173"/>
      <c r="P619" s="1173"/>
      <c r="Q619" s="1173"/>
      <c r="R619" s="1173"/>
    </row>
    <row r="620" spans="1:25" ht="17.25" customHeight="1">
      <c r="B620" s="566"/>
      <c r="C620" s="337"/>
      <c r="D620" s="337"/>
      <c r="E620" s="337"/>
      <c r="F620" s="337"/>
      <c r="G620" s="337"/>
      <c r="H620" s="337"/>
      <c r="I620" s="337"/>
      <c r="J620" s="337"/>
      <c r="K620" s="337"/>
      <c r="L620" s="337"/>
      <c r="M620" s="337"/>
      <c r="N620" s="337"/>
      <c r="O620" s="337"/>
      <c r="P620" s="337"/>
      <c r="Q620" s="337"/>
      <c r="R620" s="337"/>
    </row>
    <row r="621" spans="1:25" ht="17.25" customHeight="1">
      <c r="A621" s="215" t="s">
        <v>0</v>
      </c>
      <c r="D621" s="281"/>
      <c r="E621" s="281"/>
      <c r="L621" s="281"/>
      <c r="M621" s="281"/>
      <c r="N621" s="281"/>
      <c r="O621" s="281"/>
      <c r="P621" s="281"/>
      <c r="Q621" s="281"/>
    </row>
    <row r="622" spans="1:25" ht="17.25" customHeight="1">
      <c r="A622" s="215" t="str">
        <f>A4</f>
        <v>DENOMINATION FOR JULI 2018</v>
      </c>
      <c r="D622" s="281"/>
      <c r="E622" s="281"/>
      <c r="L622" s="281"/>
      <c r="M622" s="281"/>
      <c r="N622" s="281"/>
      <c r="O622" s="281"/>
      <c r="P622" s="281"/>
      <c r="Q622" s="281"/>
    </row>
    <row r="623" spans="1:25" ht="17.25" customHeight="1">
      <c r="A623" s="215" t="s">
        <v>51</v>
      </c>
      <c r="D623" s="281"/>
      <c r="E623" s="281"/>
      <c r="L623" s="281"/>
      <c r="M623" s="281"/>
      <c r="N623" s="281"/>
      <c r="O623" s="281"/>
      <c r="P623" s="281"/>
      <c r="Q623" s="281"/>
    </row>
    <row r="624" spans="1:25" ht="17.25" customHeight="1" thickBot="1">
      <c r="D624" s="281"/>
      <c r="E624" s="281"/>
      <c r="L624" s="281"/>
      <c r="M624" s="281"/>
      <c r="N624" s="281"/>
      <c r="O624" s="281"/>
      <c r="P624" s="281"/>
      <c r="Q624" s="281"/>
    </row>
    <row r="625" spans="1:18" ht="17.25" customHeight="1" thickTop="1">
      <c r="A625" s="570" t="s">
        <v>1</v>
      </c>
      <c r="B625" s="572" t="s">
        <v>15</v>
      </c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82"/>
      <c r="N625" s="282"/>
      <c r="O625" s="282"/>
      <c r="P625" s="282"/>
      <c r="Q625" s="282"/>
      <c r="R625" s="283"/>
    </row>
    <row r="626" spans="1:18" ht="17.25" customHeight="1" thickBot="1">
      <c r="A626" s="571"/>
      <c r="B626" s="284"/>
      <c r="C626" s="223">
        <v>100000</v>
      </c>
      <c r="D626" s="223">
        <v>50000</v>
      </c>
      <c r="E626" s="223">
        <v>20000</v>
      </c>
      <c r="F626" s="223">
        <v>10000</v>
      </c>
      <c r="G626" s="223">
        <v>5000</v>
      </c>
      <c r="H626" s="223">
        <v>1000</v>
      </c>
      <c r="I626" s="223">
        <v>500</v>
      </c>
      <c r="J626" s="223">
        <v>100</v>
      </c>
      <c r="K626" s="223">
        <v>50</v>
      </c>
      <c r="L626" s="223" t="s">
        <v>2</v>
      </c>
      <c r="M626" s="285"/>
      <c r="N626" s="285"/>
      <c r="O626" s="285"/>
      <c r="P626" s="285"/>
      <c r="Q626" s="285"/>
      <c r="R626" s="286" t="s">
        <v>3</v>
      </c>
    </row>
    <row r="627" spans="1:18" ht="17.25" customHeight="1" thickTop="1">
      <c r="A627" s="287"/>
      <c r="B627" s="533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9"/>
      <c r="N627" s="289"/>
      <c r="O627" s="289"/>
      <c r="P627" s="289"/>
      <c r="Q627" s="289"/>
      <c r="R627" s="290"/>
    </row>
    <row r="628" spans="1:18" ht="17.25" customHeight="1">
      <c r="A628" s="291"/>
      <c r="B628" s="292"/>
      <c r="C628" s="293"/>
      <c r="D628" s="293"/>
      <c r="E628" s="293"/>
      <c r="F628" s="293"/>
      <c r="G628" s="293"/>
      <c r="H628" s="293"/>
      <c r="I628" s="293"/>
      <c r="J628" s="293"/>
      <c r="K628" s="293"/>
      <c r="L628" s="293"/>
      <c r="M628" s="294"/>
      <c r="N628" s="294"/>
      <c r="O628" s="294"/>
      <c r="P628" s="294"/>
      <c r="Q628" s="294"/>
      <c r="R628" s="295"/>
    </row>
    <row r="629" spans="1:18" ht="17.25" customHeight="1">
      <c r="A629" s="291"/>
      <c r="B629" s="292"/>
      <c r="C629" s="293"/>
      <c r="D629" s="293"/>
      <c r="E629" s="293"/>
      <c r="F629" s="293"/>
      <c r="G629" s="293"/>
      <c r="H629" s="293"/>
      <c r="I629" s="293"/>
      <c r="J629" s="293"/>
      <c r="K629" s="293"/>
      <c r="L629" s="293"/>
      <c r="M629" s="294"/>
      <c r="N629" s="294"/>
      <c r="O629" s="294"/>
      <c r="P629" s="294"/>
      <c r="Q629" s="294"/>
      <c r="R629" s="295"/>
    </row>
    <row r="630" spans="1:18" ht="17.25" customHeight="1">
      <c r="A630" s="291"/>
      <c r="B630" s="292"/>
      <c r="C630" s="293"/>
      <c r="D630" s="293"/>
      <c r="E630" s="293"/>
      <c r="F630" s="293"/>
      <c r="G630" s="293"/>
      <c r="H630" s="293"/>
      <c r="I630" s="293"/>
      <c r="J630" s="293"/>
      <c r="K630" s="293"/>
      <c r="L630" s="293"/>
      <c r="M630" s="294"/>
      <c r="N630" s="294"/>
      <c r="O630" s="294"/>
      <c r="P630" s="294"/>
      <c r="Q630" s="294"/>
      <c r="R630" s="295"/>
    </row>
    <row r="631" spans="1:18" ht="17.25" hidden="1" customHeight="1">
      <c r="A631" s="291"/>
      <c r="B631" s="292"/>
      <c r="C631" s="293"/>
      <c r="D631" s="293"/>
      <c r="E631" s="293"/>
      <c r="F631" s="293"/>
      <c r="G631" s="293"/>
      <c r="H631" s="293"/>
      <c r="I631" s="293"/>
      <c r="J631" s="293"/>
      <c r="K631" s="293"/>
      <c r="L631" s="293"/>
      <c r="M631" s="294"/>
      <c r="N631" s="294"/>
      <c r="O631" s="294"/>
      <c r="P631" s="294"/>
      <c r="Q631" s="294"/>
      <c r="R631" s="295"/>
    </row>
    <row r="632" spans="1:18" ht="17.25" hidden="1" customHeight="1">
      <c r="A632" s="291"/>
      <c r="B632" s="292"/>
      <c r="C632" s="293"/>
      <c r="D632" s="293"/>
      <c r="E632" s="293"/>
      <c r="F632" s="293"/>
      <c r="G632" s="293"/>
      <c r="H632" s="293"/>
      <c r="I632" s="293"/>
      <c r="J632" s="293"/>
      <c r="K632" s="293"/>
      <c r="L632" s="293"/>
      <c r="M632" s="294"/>
      <c r="N632" s="294"/>
      <c r="O632" s="294"/>
      <c r="P632" s="294"/>
      <c r="Q632" s="294"/>
      <c r="R632" s="295"/>
    </row>
    <row r="633" spans="1:18" ht="17.25" customHeight="1">
      <c r="A633" s="291"/>
      <c r="B633" s="292"/>
      <c r="C633" s="293"/>
      <c r="D633" s="293"/>
      <c r="E633" s="293"/>
      <c r="F633" s="293"/>
      <c r="G633" s="293"/>
      <c r="H633" s="293"/>
      <c r="I633" s="293"/>
      <c r="J633" s="293"/>
      <c r="K633" s="293"/>
      <c r="L633" s="293"/>
      <c r="M633" s="294"/>
      <c r="N633" s="294"/>
      <c r="O633" s="294"/>
      <c r="P633" s="294"/>
      <c r="Q633" s="294"/>
      <c r="R633" s="295"/>
    </row>
    <row r="634" spans="1:18" ht="17.25" customHeight="1">
      <c r="A634" s="291"/>
      <c r="B634" s="292"/>
      <c r="C634" s="293"/>
      <c r="D634" s="293"/>
      <c r="E634" s="293"/>
      <c r="F634" s="293"/>
      <c r="G634" s="293"/>
      <c r="H634" s="293"/>
      <c r="I634" s="293"/>
      <c r="J634" s="293"/>
      <c r="K634" s="293"/>
      <c r="L634" s="293"/>
      <c r="M634" s="294"/>
      <c r="N634" s="294"/>
      <c r="O634" s="294"/>
      <c r="P634" s="294"/>
      <c r="Q634" s="294"/>
      <c r="R634" s="295"/>
    </row>
    <row r="635" spans="1:18" ht="17.25" customHeight="1" thickBot="1">
      <c r="A635" s="291"/>
      <c r="B635" s="292"/>
      <c r="C635" s="293"/>
      <c r="D635" s="293"/>
      <c r="E635" s="293"/>
      <c r="F635" s="293"/>
      <c r="G635" s="293"/>
      <c r="H635" s="293"/>
      <c r="I635" s="293"/>
      <c r="J635" s="293"/>
      <c r="K635" s="293"/>
      <c r="L635" s="293"/>
      <c r="M635" s="294"/>
      <c r="N635" s="294"/>
      <c r="O635" s="294"/>
      <c r="P635" s="294"/>
      <c r="Q635" s="294"/>
      <c r="R635" s="295"/>
    </row>
    <row r="636" spans="1:18" ht="17.25" customHeight="1" thickTop="1" thickBot="1">
      <c r="A636" s="319" t="s">
        <v>3</v>
      </c>
      <c r="B636" s="414">
        <f t="shared" ref="B636:R636" si="57">SUM(B627:B635)</f>
        <v>0</v>
      </c>
      <c r="C636" s="320">
        <f t="shared" si="57"/>
        <v>0</v>
      </c>
      <c r="D636" s="320">
        <f t="shared" si="57"/>
        <v>0</v>
      </c>
      <c r="E636" s="320">
        <f t="shared" si="57"/>
        <v>0</v>
      </c>
      <c r="F636" s="320">
        <f t="shared" si="57"/>
        <v>0</v>
      </c>
      <c r="G636" s="320">
        <f t="shared" si="57"/>
        <v>0</v>
      </c>
      <c r="H636" s="320">
        <f t="shared" si="57"/>
        <v>0</v>
      </c>
      <c r="I636" s="320">
        <f t="shared" si="57"/>
        <v>0</v>
      </c>
      <c r="J636" s="320">
        <f t="shared" si="57"/>
        <v>0</v>
      </c>
      <c r="K636" s="320">
        <f t="shared" si="57"/>
        <v>0</v>
      </c>
      <c r="L636" s="320">
        <f t="shared" si="57"/>
        <v>0</v>
      </c>
      <c r="M636" s="320">
        <f t="shared" si="57"/>
        <v>0</v>
      </c>
      <c r="N636" s="415"/>
      <c r="O636" s="415"/>
      <c r="P636" s="415"/>
      <c r="Q636" s="415"/>
      <c r="R636" s="413">
        <f t="shared" si="57"/>
        <v>0</v>
      </c>
    </row>
    <row r="637" spans="1:18" ht="17.25" customHeight="1" thickTop="1">
      <c r="A637" s="216"/>
    </row>
    <row r="638" spans="1:18" ht="17.25" customHeight="1">
      <c r="A638" s="216"/>
      <c r="B638" s="278"/>
    </row>
    <row r="639" spans="1:18" ht="17.25" customHeight="1">
      <c r="A639" s="216"/>
      <c r="B639" s="278"/>
    </row>
    <row r="640" spans="1:18" ht="17.25" customHeight="1">
      <c r="A640" s="216"/>
      <c r="B640" s="278"/>
    </row>
    <row r="641" spans="1:25" ht="17.25" customHeight="1">
      <c r="A641" s="216"/>
      <c r="B641" s="278"/>
    </row>
    <row r="642" spans="1:25" ht="17.25" customHeight="1">
      <c r="A642" s="336" t="s">
        <v>80</v>
      </c>
      <c r="B642" s="278"/>
    </row>
    <row r="643" spans="1:25" ht="17.25" customHeight="1">
      <c r="A643" s="216"/>
      <c r="B643" s="566"/>
      <c r="C643" s="337"/>
      <c r="D643" s="1173" t="s">
        <v>81</v>
      </c>
      <c r="E643" s="1173"/>
      <c r="F643" s="1173"/>
      <c r="G643" s="1173"/>
      <c r="H643" s="337"/>
      <c r="I643" s="337"/>
      <c r="J643" s="1173" t="s">
        <v>82</v>
      </c>
      <c r="K643" s="1173"/>
      <c r="L643" s="1173"/>
      <c r="M643" s="1173"/>
      <c r="N643" s="1173"/>
      <c r="O643" s="1173"/>
      <c r="P643" s="1173"/>
      <c r="Q643" s="1173"/>
      <c r="R643" s="1173"/>
    </row>
    <row r="644" spans="1:25" ht="17.25" customHeight="1">
      <c r="A644" s="216"/>
      <c r="B644" s="278"/>
    </row>
    <row r="645" spans="1:25" ht="17.25" customHeight="1">
      <c r="B645" s="278"/>
    </row>
    <row r="646" spans="1:25" ht="17.25" customHeight="1">
      <c r="A646" s="215" t="s">
        <v>0</v>
      </c>
      <c r="D646" s="281"/>
      <c r="E646" s="281"/>
      <c r="L646" s="281"/>
      <c r="M646" s="281"/>
      <c r="N646" s="281"/>
      <c r="O646" s="281"/>
      <c r="P646" s="281"/>
      <c r="Q646" s="281"/>
    </row>
    <row r="647" spans="1:25" ht="17.25" customHeight="1">
      <c r="A647" s="215" t="str">
        <f>A4</f>
        <v>DENOMINATION FOR JULI 2018</v>
      </c>
      <c r="D647" s="281"/>
      <c r="E647" s="281"/>
      <c r="L647" s="281"/>
      <c r="M647" s="281"/>
      <c r="N647" s="281"/>
      <c r="O647" s="281"/>
      <c r="P647" s="281"/>
      <c r="Q647" s="281"/>
    </row>
    <row r="648" spans="1:25" ht="17.25" customHeight="1">
      <c r="A648" s="215" t="s">
        <v>50</v>
      </c>
      <c r="D648" s="281"/>
      <c r="E648" s="281"/>
      <c r="L648" s="281"/>
      <c r="M648" s="281"/>
      <c r="N648" s="281"/>
      <c r="O648" s="281"/>
      <c r="P648" s="281"/>
      <c r="Q648" s="281"/>
    </row>
    <row r="649" spans="1:25" ht="17.25" customHeight="1" thickBot="1">
      <c r="D649" s="281"/>
      <c r="E649" s="281"/>
      <c r="L649" s="281"/>
      <c r="M649" s="281"/>
      <c r="N649" s="281"/>
      <c r="O649" s="281"/>
      <c r="P649" s="281"/>
      <c r="Q649" s="281"/>
    </row>
    <row r="650" spans="1:25" ht="17.25" customHeight="1" thickTop="1">
      <c r="A650" s="570" t="s">
        <v>1</v>
      </c>
      <c r="B650" s="572" t="s">
        <v>15</v>
      </c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82"/>
      <c r="N650" s="282"/>
      <c r="O650" s="282"/>
      <c r="P650" s="282"/>
      <c r="Q650" s="282"/>
      <c r="R650" s="283"/>
    </row>
    <row r="651" spans="1:25" ht="17.25" customHeight="1" thickBot="1">
      <c r="A651" s="571"/>
      <c r="B651" s="284"/>
      <c r="C651" s="223">
        <v>100000</v>
      </c>
      <c r="D651" s="223">
        <v>50000</v>
      </c>
      <c r="E651" s="223">
        <v>20000</v>
      </c>
      <c r="F651" s="223">
        <v>10000</v>
      </c>
      <c r="G651" s="223">
        <v>5000</v>
      </c>
      <c r="H651" s="223">
        <v>1000</v>
      </c>
      <c r="I651" s="223">
        <v>500</v>
      </c>
      <c r="J651" s="223">
        <v>100</v>
      </c>
      <c r="K651" s="223">
        <v>50</v>
      </c>
      <c r="L651" s="223" t="s">
        <v>2</v>
      </c>
      <c r="M651" s="285"/>
      <c r="N651" s="285"/>
      <c r="O651" s="285"/>
      <c r="P651" s="285"/>
      <c r="Q651" s="285"/>
      <c r="R651" s="286" t="s">
        <v>3</v>
      </c>
    </row>
    <row r="652" spans="1:25" ht="17.25" customHeight="1" thickTop="1">
      <c r="A652" s="291"/>
      <c r="B652" s="292"/>
      <c r="C652" s="293"/>
      <c r="D652" s="293"/>
      <c r="E652" s="293"/>
      <c r="F652" s="293"/>
      <c r="G652" s="293"/>
      <c r="H652" s="293"/>
      <c r="I652" s="293"/>
      <c r="J652" s="293"/>
      <c r="K652" s="293"/>
      <c r="L652" s="293"/>
      <c r="M652" s="294"/>
      <c r="N652" s="294"/>
      <c r="O652" s="294"/>
      <c r="P652" s="294"/>
      <c r="Q652" s="294"/>
      <c r="R652" s="295"/>
    </row>
    <row r="653" spans="1:25" s="242" customFormat="1" ht="17.25" customHeight="1">
      <c r="A653" s="291"/>
      <c r="B653" s="292"/>
      <c r="C653" s="293"/>
      <c r="D653" s="293"/>
      <c r="E653" s="293"/>
      <c r="F653" s="293"/>
      <c r="G653" s="293"/>
      <c r="H653" s="293"/>
      <c r="I653" s="293"/>
      <c r="J653" s="293"/>
      <c r="K653" s="293"/>
      <c r="L653" s="293"/>
      <c r="M653" s="294"/>
      <c r="N653" s="294"/>
      <c r="O653" s="294"/>
      <c r="P653" s="294"/>
      <c r="Q653" s="294"/>
      <c r="R653" s="295"/>
      <c r="X653" s="353"/>
      <c r="Y653" s="353"/>
    </row>
    <row r="654" spans="1:25" s="242" customFormat="1" ht="17.25" customHeight="1">
      <c r="A654" s="291"/>
      <c r="B654" s="292"/>
      <c r="C654" s="293"/>
      <c r="D654" s="293"/>
      <c r="E654" s="293"/>
      <c r="F654" s="293"/>
      <c r="G654" s="293"/>
      <c r="H654" s="293"/>
      <c r="I654" s="293"/>
      <c r="J654" s="293"/>
      <c r="K654" s="293"/>
      <c r="L654" s="293"/>
      <c r="M654" s="294"/>
      <c r="N654" s="294"/>
      <c r="O654" s="294"/>
      <c r="P654" s="294"/>
      <c r="Q654" s="294"/>
      <c r="R654" s="295"/>
      <c r="X654" s="353"/>
      <c r="Y654" s="353"/>
    </row>
    <row r="655" spans="1:25" s="242" customFormat="1" ht="17.25" customHeight="1">
      <c r="A655" s="291"/>
      <c r="B655" s="292"/>
      <c r="C655" s="293"/>
      <c r="D655" s="293"/>
      <c r="E655" s="293"/>
      <c r="F655" s="293"/>
      <c r="G655" s="293"/>
      <c r="H655" s="293"/>
      <c r="I655" s="293"/>
      <c r="J655" s="293"/>
      <c r="K655" s="293"/>
      <c r="L655" s="293"/>
      <c r="M655" s="294"/>
      <c r="N655" s="294"/>
      <c r="O655" s="294"/>
      <c r="P655" s="294"/>
      <c r="Q655" s="294"/>
      <c r="R655" s="295"/>
      <c r="X655" s="353"/>
      <c r="Y655" s="353"/>
    </row>
    <row r="656" spans="1:25" s="242" customFormat="1" ht="17.25" customHeight="1">
      <c r="A656" s="291"/>
      <c r="B656" s="292"/>
      <c r="C656" s="293"/>
      <c r="D656" s="293"/>
      <c r="E656" s="293"/>
      <c r="F656" s="293"/>
      <c r="G656" s="293"/>
      <c r="H656" s="293"/>
      <c r="I656" s="293"/>
      <c r="J656" s="293"/>
      <c r="K656" s="293"/>
      <c r="L656" s="293"/>
      <c r="M656" s="294"/>
      <c r="N656" s="294"/>
      <c r="O656" s="294"/>
      <c r="P656" s="294"/>
      <c r="Q656" s="294"/>
      <c r="R656" s="295"/>
      <c r="X656" s="353"/>
      <c r="Y656" s="353"/>
    </row>
    <row r="657" spans="1:25" s="242" customFormat="1" ht="17.25" customHeight="1">
      <c r="A657" s="291"/>
      <c r="B657" s="292"/>
      <c r="C657" s="293"/>
      <c r="D657" s="293"/>
      <c r="E657" s="293"/>
      <c r="F657" s="293"/>
      <c r="G657" s="293"/>
      <c r="H657" s="293"/>
      <c r="I657" s="293"/>
      <c r="J657" s="293"/>
      <c r="K657" s="293"/>
      <c r="L657" s="293"/>
      <c r="M657" s="294"/>
      <c r="N657" s="294"/>
      <c r="O657" s="294"/>
      <c r="P657" s="294"/>
      <c r="Q657" s="294"/>
      <c r="R657" s="295"/>
      <c r="X657" s="353"/>
      <c r="Y657" s="353"/>
    </row>
    <row r="658" spans="1:25" s="242" customFormat="1" ht="17.25" customHeight="1">
      <c r="A658" s="291"/>
      <c r="B658" s="292"/>
      <c r="C658" s="293"/>
      <c r="D658" s="293"/>
      <c r="E658" s="293"/>
      <c r="F658" s="293"/>
      <c r="G658" s="293"/>
      <c r="H658" s="293"/>
      <c r="I658" s="293"/>
      <c r="J658" s="293"/>
      <c r="K658" s="293"/>
      <c r="L658" s="293"/>
      <c r="M658" s="294"/>
      <c r="N658" s="294"/>
      <c r="O658" s="294"/>
      <c r="P658" s="294"/>
      <c r="Q658" s="294"/>
      <c r="R658" s="295"/>
      <c r="X658" s="353"/>
      <c r="Y658" s="353"/>
    </row>
    <row r="659" spans="1:25" s="242" customFormat="1" ht="17.25" customHeight="1" thickBot="1">
      <c r="A659" s="291"/>
      <c r="B659" s="292"/>
      <c r="C659" s="293"/>
      <c r="D659" s="293"/>
      <c r="E659" s="293"/>
      <c r="F659" s="293"/>
      <c r="G659" s="293"/>
      <c r="H659" s="293"/>
      <c r="I659" s="293"/>
      <c r="J659" s="293"/>
      <c r="K659" s="293"/>
      <c r="L659" s="293"/>
      <c r="M659" s="294"/>
      <c r="N659" s="294"/>
      <c r="O659" s="294"/>
      <c r="P659" s="294"/>
      <c r="Q659" s="294"/>
      <c r="R659" s="295"/>
      <c r="X659" s="353"/>
      <c r="Y659" s="353"/>
    </row>
    <row r="660" spans="1:25" s="242" customFormat="1" ht="17.25" customHeight="1" thickTop="1" thickBot="1">
      <c r="A660" s="319" t="s">
        <v>3</v>
      </c>
      <c r="B660" s="379">
        <f t="shared" ref="B660:M660" si="58">SUM(B652:B659)</f>
        <v>0</v>
      </c>
      <c r="C660" s="320">
        <f t="shared" si="58"/>
        <v>0</v>
      </c>
      <c r="D660" s="320">
        <f t="shared" si="58"/>
        <v>0</v>
      </c>
      <c r="E660" s="320">
        <f t="shared" si="58"/>
        <v>0</v>
      </c>
      <c r="F660" s="320">
        <f t="shared" si="58"/>
        <v>0</v>
      </c>
      <c r="G660" s="320">
        <f t="shared" si="58"/>
        <v>0</v>
      </c>
      <c r="H660" s="320">
        <f t="shared" si="58"/>
        <v>0</v>
      </c>
      <c r="I660" s="320">
        <f t="shared" si="58"/>
        <v>0</v>
      </c>
      <c r="J660" s="320">
        <f t="shared" si="58"/>
        <v>0</v>
      </c>
      <c r="K660" s="320">
        <f t="shared" si="58"/>
        <v>0</v>
      </c>
      <c r="L660" s="320">
        <f t="shared" si="58"/>
        <v>0</v>
      </c>
      <c r="M660" s="320">
        <f t="shared" si="58"/>
        <v>0</v>
      </c>
      <c r="N660" s="415"/>
      <c r="O660" s="415"/>
      <c r="P660" s="415"/>
      <c r="Q660" s="415"/>
      <c r="R660" s="413">
        <f>SUM(R652:R659)</f>
        <v>0</v>
      </c>
      <c r="X660" s="353"/>
      <c r="Y660" s="353"/>
    </row>
    <row r="661" spans="1:25" ht="17.25" customHeight="1" thickTop="1">
      <c r="A661" s="216"/>
    </row>
    <row r="662" spans="1:25" ht="17.25" customHeight="1">
      <c r="A662" s="216"/>
    </row>
    <row r="663" spans="1:25" ht="17.25" customHeight="1">
      <c r="A663" s="216"/>
    </row>
    <row r="664" spans="1:25" ht="17.25" customHeight="1">
      <c r="A664" s="216"/>
    </row>
    <row r="665" spans="1:25" ht="17.25" customHeight="1">
      <c r="A665" s="216"/>
    </row>
    <row r="666" spans="1:25" ht="17.25" customHeight="1">
      <c r="A666" s="336" t="s">
        <v>80</v>
      </c>
    </row>
    <row r="667" spans="1:25" ht="17.25" customHeight="1">
      <c r="A667" s="339"/>
      <c r="B667" s="566"/>
      <c r="C667" s="337"/>
      <c r="D667" s="1173" t="s">
        <v>81</v>
      </c>
      <c r="E667" s="1173"/>
      <c r="F667" s="1173"/>
      <c r="G667" s="1173"/>
      <c r="H667" s="337"/>
      <c r="I667" s="337"/>
      <c r="J667" s="1173" t="s">
        <v>82</v>
      </c>
      <c r="K667" s="1173"/>
      <c r="L667" s="1173"/>
      <c r="M667" s="1173"/>
      <c r="N667" s="1173"/>
      <c r="O667" s="1173"/>
      <c r="P667" s="1173"/>
      <c r="Q667" s="1173"/>
      <c r="R667" s="1173"/>
    </row>
    <row r="668" spans="1:25" ht="17.25" customHeight="1">
      <c r="A668" s="215" t="s">
        <v>0</v>
      </c>
    </row>
    <row r="669" spans="1:25" ht="26.25" customHeight="1">
      <c r="A669" s="215" t="str">
        <f>A4</f>
        <v>DENOMINATION FOR JULI 2018</v>
      </c>
      <c r="D669" s="281"/>
      <c r="E669" s="281"/>
      <c r="L669" s="281"/>
      <c r="M669" s="281"/>
      <c r="N669" s="281"/>
      <c r="O669" s="281"/>
      <c r="P669" s="281"/>
      <c r="Q669" s="281"/>
    </row>
    <row r="670" spans="1:25" ht="26.25" customHeight="1">
      <c r="A670" s="215" t="s">
        <v>154</v>
      </c>
      <c r="D670" s="281"/>
      <c r="E670" s="281"/>
      <c r="L670" s="281"/>
      <c r="M670" s="281"/>
      <c r="N670" s="281"/>
      <c r="O670" s="281"/>
      <c r="P670" s="281"/>
      <c r="Q670" s="281"/>
    </row>
    <row r="671" spans="1:25" ht="26.25" customHeight="1" thickBot="1">
      <c r="D671" s="281"/>
      <c r="E671" s="281"/>
      <c r="L671" s="281"/>
      <c r="M671" s="281"/>
      <c r="N671" s="281"/>
      <c r="O671" s="281"/>
      <c r="P671" s="281"/>
      <c r="Q671" s="281"/>
    </row>
    <row r="672" spans="1:25" ht="26.25" customHeight="1" thickTop="1">
      <c r="A672" s="1176" t="s">
        <v>1</v>
      </c>
      <c r="B672" s="1183" t="s">
        <v>15</v>
      </c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82"/>
      <c r="N672" s="568"/>
      <c r="O672" s="568"/>
      <c r="P672" s="1174"/>
      <c r="Q672" s="1174"/>
      <c r="R672" s="1171" t="s">
        <v>3</v>
      </c>
    </row>
    <row r="673" spans="1:35" ht="26.25" customHeight="1" thickBot="1">
      <c r="A673" s="1177"/>
      <c r="B673" s="1184"/>
      <c r="C673" s="223">
        <v>100000</v>
      </c>
      <c r="D673" s="223">
        <v>50000</v>
      </c>
      <c r="E673" s="223">
        <v>20000</v>
      </c>
      <c r="F673" s="223">
        <v>10000</v>
      </c>
      <c r="G673" s="223">
        <v>5000</v>
      </c>
      <c r="H673" s="223">
        <v>1000</v>
      </c>
      <c r="I673" s="223">
        <v>500</v>
      </c>
      <c r="J673" s="223">
        <v>100</v>
      </c>
      <c r="K673" s="223">
        <v>50</v>
      </c>
      <c r="L673" s="223" t="s">
        <v>2</v>
      </c>
      <c r="M673" s="285"/>
      <c r="N673" s="569"/>
      <c r="O673" s="569"/>
      <c r="P673" s="1175"/>
      <c r="Q673" s="1175"/>
      <c r="R673" s="1172"/>
    </row>
    <row r="674" spans="1:35" ht="26.25" customHeight="1" thickTop="1">
      <c r="A674" s="287"/>
      <c r="B674" s="533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9"/>
      <c r="N674" s="289"/>
      <c r="O674" s="289"/>
      <c r="P674" s="289"/>
      <c r="Q674" s="289"/>
      <c r="R674" s="290"/>
    </row>
    <row r="675" spans="1:35" ht="26.25" customHeight="1">
      <c r="A675" s="291"/>
      <c r="B675" s="292"/>
      <c r="C675" s="293"/>
      <c r="D675" s="293"/>
      <c r="E675" s="293"/>
      <c r="F675" s="293"/>
      <c r="G675" s="293"/>
      <c r="H675" s="293"/>
      <c r="I675" s="293"/>
      <c r="J675" s="293"/>
      <c r="K675" s="293"/>
      <c r="L675" s="293"/>
      <c r="M675" s="294"/>
      <c r="N675" s="294"/>
      <c r="O675" s="294"/>
      <c r="P675" s="294"/>
      <c r="Q675" s="294"/>
      <c r="R675" s="295"/>
    </row>
    <row r="676" spans="1:35" s="242" customFormat="1" ht="26.25" customHeight="1">
      <c r="A676" s="291"/>
      <c r="B676" s="292"/>
      <c r="C676" s="293"/>
      <c r="D676" s="293"/>
      <c r="E676" s="293"/>
      <c r="F676" s="293"/>
      <c r="G676" s="293"/>
      <c r="H676" s="293"/>
      <c r="I676" s="293"/>
      <c r="J676" s="293"/>
      <c r="K676" s="293"/>
      <c r="L676" s="293"/>
      <c r="M676" s="294"/>
      <c r="N676" s="294"/>
      <c r="O676" s="294"/>
      <c r="P676" s="294"/>
      <c r="Q676" s="294"/>
      <c r="R676" s="295"/>
      <c r="X676" s="353"/>
      <c r="Y676" s="353"/>
    </row>
    <row r="677" spans="1:35" s="242" customFormat="1" ht="26.25" customHeight="1">
      <c r="A677" s="291"/>
      <c r="B677" s="292"/>
      <c r="C677" s="293"/>
      <c r="D677" s="293"/>
      <c r="E677" s="293"/>
      <c r="F677" s="293"/>
      <c r="G677" s="293"/>
      <c r="H677" s="293"/>
      <c r="I677" s="293"/>
      <c r="J677" s="293"/>
      <c r="K677" s="293"/>
      <c r="L677" s="293"/>
      <c r="M677" s="294"/>
      <c r="N677" s="294"/>
      <c r="O677" s="294"/>
      <c r="P677" s="294"/>
      <c r="Q677" s="294"/>
      <c r="R677" s="295"/>
      <c r="X677" s="353"/>
      <c r="Y677" s="353"/>
    </row>
    <row r="678" spans="1:35" s="242" customFormat="1" ht="26.25" customHeight="1" thickBot="1">
      <c r="A678" s="525"/>
      <c r="B678" s="526"/>
      <c r="C678" s="527"/>
      <c r="D678" s="527"/>
      <c r="E678" s="527"/>
      <c r="F678" s="527"/>
      <c r="G678" s="527"/>
      <c r="H678" s="527"/>
      <c r="I678" s="527"/>
      <c r="J678" s="527"/>
      <c r="K678" s="527"/>
      <c r="L678" s="527"/>
      <c r="M678" s="528"/>
      <c r="N678" s="528"/>
      <c r="O678" s="528"/>
      <c r="P678" s="528"/>
      <c r="Q678" s="528"/>
      <c r="R678" s="529"/>
      <c r="X678" s="353"/>
      <c r="Y678" s="353"/>
    </row>
    <row r="679" spans="1:35" ht="26.25" customHeight="1" thickBot="1">
      <c r="A679" s="565" t="s">
        <v>3</v>
      </c>
      <c r="B679" s="573">
        <f t="shared" ref="B679:M679" si="59">SUM(B674:B678)</f>
        <v>0</v>
      </c>
      <c r="C679" s="223">
        <f t="shared" si="59"/>
        <v>0</v>
      </c>
      <c r="D679" s="223">
        <f t="shared" si="59"/>
        <v>0</v>
      </c>
      <c r="E679" s="223">
        <f t="shared" si="59"/>
        <v>0</v>
      </c>
      <c r="F679" s="223">
        <f t="shared" si="59"/>
        <v>0</v>
      </c>
      <c r="G679" s="223">
        <f t="shared" si="59"/>
        <v>0</v>
      </c>
      <c r="H679" s="223">
        <f t="shared" si="59"/>
        <v>0</v>
      </c>
      <c r="I679" s="223">
        <f>SUM(I674:I678)</f>
        <v>0</v>
      </c>
      <c r="J679" s="223">
        <f t="shared" si="59"/>
        <v>0</v>
      </c>
      <c r="K679" s="223">
        <f t="shared" si="59"/>
        <v>0</v>
      </c>
      <c r="L679" s="223">
        <f>SUM(L674:L678)</f>
        <v>0</v>
      </c>
      <c r="M679" s="223">
        <f t="shared" si="59"/>
        <v>0</v>
      </c>
      <c r="N679" s="285"/>
      <c r="O679" s="285"/>
      <c r="P679" s="285"/>
      <c r="Q679" s="285"/>
      <c r="R679" s="286">
        <f>SUM(R674:R678)</f>
        <v>0</v>
      </c>
    </row>
    <row r="680" spans="1:35" ht="26.25" customHeight="1" thickTop="1">
      <c r="A680" s="216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</row>
    <row r="681" spans="1:35" ht="17.25" customHeight="1">
      <c r="A681" s="216"/>
    </row>
    <row r="682" spans="1:35" ht="17.25" customHeight="1">
      <c r="A682" s="216"/>
    </row>
    <row r="683" spans="1:35" s="339" customFormat="1" ht="17.25" customHeight="1">
      <c r="A683" s="216"/>
      <c r="B683" s="216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5"/>
      <c r="T683" s="215"/>
      <c r="U683" s="215"/>
      <c r="V683" s="215"/>
      <c r="W683" s="215"/>
      <c r="Z683" s="215"/>
      <c r="AA683" s="215"/>
      <c r="AB683" s="215"/>
      <c r="AC683" s="215"/>
      <c r="AD683" s="215"/>
      <c r="AE683" s="215"/>
      <c r="AF683" s="215"/>
      <c r="AG683" s="215"/>
      <c r="AH683" s="215"/>
      <c r="AI683" s="215"/>
    </row>
    <row r="684" spans="1:35" s="339" customFormat="1" ht="17.25" customHeight="1">
      <c r="A684" s="216"/>
      <c r="B684" s="216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5"/>
      <c r="T684" s="215"/>
      <c r="U684" s="215"/>
      <c r="V684" s="215"/>
      <c r="W684" s="215"/>
      <c r="Z684" s="215"/>
      <c r="AA684" s="215"/>
      <c r="AB684" s="215"/>
      <c r="AC684" s="215"/>
      <c r="AD684" s="215"/>
      <c r="AE684" s="215"/>
      <c r="AF684" s="215"/>
      <c r="AG684" s="215"/>
      <c r="AH684" s="215"/>
      <c r="AI684" s="215"/>
    </row>
    <row r="685" spans="1:35" s="339" customFormat="1" ht="17.25" customHeight="1">
      <c r="A685" s="336" t="s">
        <v>204</v>
      </c>
      <c r="B685" s="566"/>
      <c r="C685" s="337"/>
      <c r="D685" s="337"/>
      <c r="E685" s="337"/>
      <c r="F685" s="337"/>
      <c r="G685" s="337"/>
      <c r="H685" s="337"/>
      <c r="I685" s="337"/>
      <c r="J685" s="1173" t="s">
        <v>82</v>
      </c>
      <c r="K685" s="1173"/>
      <c r="L685" s="1173"/>
      <c r="M685" s="1173"/>
      <c r="N685" s="1173"/>
      <c r="O685" s="1173"/>
      <c r="P685" s="1173"/>
      <c r="Q685" s="1173"/>
      <c r="R685" s="1173"/>
      <c r="S685" s="215"/>
      <c r="T685" s="215"/>
      <c r="U685" s="215"/>
      <c r="V685" s="215"/>
      <c r="W685" s="215"/>
      <c r="Z685" s="215"/>
      <c r="AA685" s="215"/>
      <c r="AB685" s="215"/>
      <c r="AC685" s="215"/>
      <c r="AD685" s="215"/>
      <c r="AE685" s="215"/>
      <c r="AF685" s="215"/>
      <c r="AG685" s="215"/>
      <c r="AH685" s="215"/>
      <c r="AI685" s="215"/>
    </row>
    <row r="686" spans="1:35" s="339" customFormat="1" ht="17.25" customHeight="1">
      <c r="B686" s="566"/>
      <c r="C686" s="337"/>
      <c r="D686" s="1173" t="s">
        <v>81</v>
      </c>
      <c r="E686" s="1173"/>
      <c r="F686" s="1173"/>
      <c r="G686" s="1173"/>
      <c r="H686" s="337"/>
      <c r="I686" s="337"/>
      <c r="J686" s="1173"/>
      <c r="K686" s="1173"/>
      <c r="L686" s="1173"/>
      <c r="M686" s="1173"/>
      <c r="N686" s="1173"/>
      <c r="O686" s="1173"/>
      <c r="P686" s="1173"/>
      <c r="Q686" s="1173"/>
      <c r="R686" s="1173"/>
      <c r="S686" s="215"/>
      <c r="T686" s="215"/>
      <c r="U686" s="215"/>
      <c r="V686" s="215"/>
      <c r="W686" s="215"/>
      <c r="Z686" s="215"/>
      <c r="AA686" s="215"/>
      <c r="AB686" s="215"/>
      <c r="AC686" s="215"/>
      <c r="AD686" s="215"/>
      <c r="AE686" s="215"/>
      <c r="AF686" s="215"/>
      <c r="AG686" s="215"/>
      <c r="AH686" s="215"/>
      <c r="AI686" s="215"/>
    </row>
    <row r="687" spans="1:35" s="339" customFormat="1" ht="17.25" customHeight="1">
      <c r="B687" s="566"/>
      <c r="C687" s="337"/>
      <c r="D687" s="566"/>
      <c r="E687" s="566"/>
      <c r="F687" s="566"/>
      <c r="G687" s="566"/>
      <c r="H687" s="337"/>
      <c r="I687" s="337"/>
      <c r="J687" s="566"/>
      <c r="K687" s="566"/>
      <c r="L687" s="566"/>
      <c r="M687" s="566"/>
      <c r="N687" s="566"/>
      <c r="O687" s="566"/>
      <c r="P687" s="566"/>
      <c r="Q687" s="566"/>
      <c r="R687" s="566"/>
      <c r="S687" s="215"/>
      <c r="T687" s="215"/>
      <c r="U687" s="215"/>
      <c r="V687" s="215"/>
      <c r="W687" s="215"/>
      <c r="Z687" s="215"/>
      <c r="AA687" s="215"/>
      <c r="AB687" s="215"/>
      <c r="AC687" s="215"/>
      <c r="AD687" s="215"/>
      <c r="AE687" s="215"/>
      <c r="AF687" s="215"/>
      <c r="AG687" s="215"/>
      <c r="AH687" s="215"/>
      <c r="AI687" s="215"/>
    </row>
    <row r="688" spans="1:35" s="339" customFormat="1" ht="17.25" customHeight="1">
      <c r="A688" s="215"/>
      <c r="B688" s="216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5"/>
      <c r="T688" s="215"/>
      <c r="U688" s="215"/>
      <c r="V688" s="215"/>
      <c r="W688" s="215"/>
      <c r="Z688" s="215"/>
      <c r="AA688" s="215"/>
      <c r="AB688" s="215"/>
      <c r="AC688" s="215"/>
      <c r="AD688" s="215"/>
      <c r="AE688" s="215"/>
      <c r="AF688" s="215"/>
      <c r="AG688" s="215"/>
      <c r="AH688" s="215"/>
      <c r="AI688" s="215"/>
    </row>
    <row r="689" spans="1:35" s="339" customFormat="1" ht="17.25" customHeight="1">
      <c r="A689" s="215" t="s">
        <v>0</v>
      </c>
      <c r="B689" s="216"/>
      <c r="C689" s="217"/>
      <c r="D689" s="281"/>
      <c r="E689" s="281"/>
      <c r="F689" s="217"/>
      <c r="G689" s="217"/>
      <c r="H689" s="217"/>
      <c r="I689" s="217"/>
      <c r="J689" s="217"/>
      <c r="K689" s="217"/>
      <c r="L689" s="281"/>
      <c r="M689" s="281"/>
      <c r="N689" s="281"/>
      <c r="O689" s="281"/>
      <c r="P689" s="281"/>
      <c r="Q689" s="281"/>
      <c r="R689" s="217"/>
      <c r="S689" s="215"/>
      <c r="T689" s="215"/>
      <c r="U689" s="215"/>
      <c r="V689" s="215"/>
      <c r="W689" s="215"/>
      <c r="Z689" s="215"/>
      <c r="AA689" s="215"/>
      <c r="AB689" s="215"/>
      <c r="AC689" s="215"/>
      <c r="AD689" s="215"/>
      <c r="AE689" s="215"/>
      <c r="AF689" s="215"/>
      <c r="AG689" s="215"/>
      <c r="AH689" s="215"/>
      <c r="AI689" s="215"/>
    </row>
    <row r="690" spans="1:35" s="339" customFormat="1" ht="26.25" customHeight="1">
      <c r="A690" s="215" t="str">
        <f>A4</f>
        <v>DENOMINATION FOR JULI 2018</v>
      </c>
      <c r="B690" s="216"/>
      <c r="C690" s="217"/>
      <c r="D690" s="281"/>
      <c r="E690" s="281"/>
      <c r="F690" s="217"/>
      <c r="G690" s="217"/>
      <c r="H690" s="217"/>
      <c r="I690" s="217"/>
      <c r="J690" s="217"/>
      <c r="K690" s="217"/>
      <c r="L690" s="281"/>
      <c r="M690" s="281"/>
      <c r="N690" s="281"/>
      <c r="O690" s="281"/>
      <c r="P690" s="281"/>
      <c r="Q690" s="281"/>
      <c r="R690" s="217"/>
      <c r="S690" s="215"/>
      <c r="T690" s="215"/>
      <c r="U690" s="215"/>
      <c r="V690" s="215"/>
      <c r="W690" s="215"/>
      <c r="Z690" s="215"/>
      <c r="AA690" s="215"/>
      <c r="AB690" s="215"/>
      <c r="AC690" s="215"/>
      <c r="AD690" s="215"/>
      <c r="AE690" s="215"/>
      <c r="AF690" s="215"/>
      <c r="AG690" s="215"/>
      <c r="AH690" s="215"/>
      <c r="AI690" s="215"/>
    </row>
    <row r="691" spans="1:35" s="339" customFormat="1" ht="26.25" customHeight="1">
      <c r="A691" s="215"/>
      <c r="B691" s="216"/>
      <c r="C691" s="217"/>
      <c r="D691" s="281"/>
      <c r="E691" s="281"/>
      <c r="F691" s="217"/>
      <c r="G691" s="217"/>
      <c r="H691" s="217"/>
      <c r="I691" s="217"/>
      <c r="J691" s="217"/>
      <c r="K691" s="217"/>
      <c r="L691" s="281"/>
      <c r="M691" s="281"/>
      <c r="N691" s="281"/>
      <c r="O691" s="281"/>
      <c r="P691" s="281"/>
      <c r="Q691" s="281"/>
      <c r="R691" s="217"/>
      <c r="S691" s="215"/>
      <c r="T691" s="215"/>
      <c r="U691" s="215"/>
      <c r="V691" s="215"/>
      <c r="W691" s="215"/>
      <c r="Z691" s="215"/>
      <c r="AA691" s="215"/>
      <c r="AB691" s="215"/>
      <c r="AC691" s="215"/>
      <c r="AD691" s="215"/>
      <c r="AE691" s="215"/>
      <c r="AF691" s="215"/>
      <c r="AG691" s="215"/>
      <c r="AH691" s="215"/>
      <c r="AI691" s="215"/>
    </row>
    <row r="692" spans="1:35" s="339" customFormat="1" ht="26.25" customHeight="1" thickBot="1">
      <c r="A692" s="215"/>
      <c r="B692" s="216"/>
      <c r="C692" s="217"/>
      <c r="D692" s="281"/>
      <c r="E692" s="281"/>
      <c r="F692" s="217"/>
      <c r="G692" s="217"/>
      <c r="H692" s="217"/>
      <c r="I692" s="217"/>
      <c r="J692" s="217"/>
      <c r="K692" s="217"/>
      <c r="L692" s="281"/>
      <c r="M692" s="281"/>
      <c r="N692" s="281"/>
      <c r="O692" s="281"/>
      <c r="P692" s="281"/>
      <c r="Q692" s="281"/>
      <c r="R692" s="217"/>
      <c r="S692" s="215"/>
      <c r="T692" s="215"/>
      <c r="U692" s="215"/>
      <c r="V692" s="215"/>
      <c r="W692" s="215"/>
      <c r="Z692" s="215"/>
      <c r="AA692" s="215"/>
      <c r="AB692" s="215"/>
      <c r="AC692" s="215"/>
      <c r="AD692" s="215"/>
      <c r="AE692" s="215"/>
      <c r="AF692" s="215"/>
      <c r="AG692" s="215"/>
      <c r="AH692" s="215"/>
      <c r="AI692" s="215"/>
    </row>
    <row r="693" spans="1:35" s="339" customFormat="1" ht="26.25" customHeight="1" thickTop="1">
      <c r="A693" s="570" t="s">
        <v>1</v>
      </c>
      <c r="B693" s="572" t="s">
        <v>15</v>
      </c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82"/>
      <c r="N693" s="282"/>
      <c r="O693" s="282"/>
      <c r="P693" s="282"/>
      <c r="Q693" s="282"/>
      <c r="R693" s="283"/>
      <c r="S693" s="215"/>
      <c r="T693" s="215"/>
      <c r="U693" s="215"/>
      <c r="V693" s="215"/>
      <c r="W693" s="215"/>
      <c r="Z693" s="215"/>
      <c r="AA693" s="215"/>
      <c r="AB693" s="215"/>
      <c r="AC693" s="215"/>
      <c r="AD693" s="215"/>
      <c r="AE693" s="215"/>
      <c r="AF693" s="215"/>
      <c r="AG693" s="215"/>
      <c r="AH693" s="215"/>
      <c r="AI693" s="215"/>
    </row>
    <row r="694" spans="1:35" s="339" customFormat="1" ht="26.25" customHeight="1" thickBot="1">
      <c r="A694" s="571"/>
      <c r="B694" s="284"/>
      <c r="C694" s="223">
        <v>100000</v>
      </c>
      <c r="D694" s="223">
        <v>50000</v>
      </c>
      <c r="E694" s="223">
        <v>20000</v>
      </c>
      <c r="F694" s="223">
        <v>10000</v>
      </c>
      <c r="G694" s="223">
        <v>5000</v>
      </c>
      <c r="H694" s="223">
        <v>1000</v>
      </c>
      <c r="I694" s="223">
        <v>500</v>
      </c>
      <c r="J694" s="223">
        <v>100</v>
      </c>
      <c r="K694" s="223">
        <v>50</v>
      </c>
      <c r="L694" s="223" t="s">
        <v>2</v>
      </c>
      <c r="M694" s="285"/>
      <c r="N694" s="285"/>
      <c r="O694" s="285"/>
      <c r="P694" s="285"/>
      <c r="Q694" s="285"/>
      <c r="R694" s="286" t="s">
        <v>3</v>
      </c>
      <c r="S694" s="215"/>
      <c r="T694" s="215"/>
      <c r="U694" s="215"/>
      <c r="V694" s="215"/>
      <c r="W694" s="215"/>
      <c r="Z694" s="215"/>
      <c r="AA694" s="215"/>
      <c r="AB694" s="215"/>
      <c r="AC694" s="215"/>
      <c r="AD694" s="215"/>
      <c r="AE694" s="215"/>
      <c r="AF694" s="215"/>
      <c r="AG694" s="215"/>
      <c r="AH694" s="215"/>
      <c r="AI694" s="215"/>
    </row>
    <row r="695" spans="1:35" s="339" customFormat="1" ht="26.25" customHeight="1" thickTop="1">
      <c r="A695" s="287"/>
      <c r="B695" s="533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9"/>
      <c r="N695" s="289"/>
      <c r="O695" s="289"/>
      <c r="P695" s="289"/>
      <c r="Q695" s="289"/>
      <c r="R695" s="290"/>
      <c r="S695" s="215"/>
      <c r="T695" s="215"/>
      <c r="U695" s="215"/>
      <c r="V695" s="215"/>
      <c r="W695" s="215"/>
      <c r="Z695" s="215"/>
      <c r="AA695" s="215"/>
      <c r="AB695" s="215"/>
      <c r="AC695" s="215"/>
      <c r="AD695" s="215"/>
      <c r="AE695" s="215"/>
      <c r="AF695" s="215"/>
      <c r="AG695" s="215"/>
      <c r="AH695" s="215"/>
      <c r="AI695" s="215"/>
    </row>
    <row r="696" spans="1:35" s="339" customFormat="1" ht="26.25" customHeight="1">
      <c r="A696" s="291"/>
      <c r="B696" s="292"/>
      <c r="C696" s="293"/>
      <c r="D696" s="293"/>
      <c r="E696" s="293"/>
      <c r="F696" s="293"/>
      <c r="G696" s="293"/>
      <c r="H696" s="293"/>
      <c r="I696" s="293"/>
      <c r="J696" s="293"/>
      <c r="K696" s="293"/>
      <c r="L696" s="293"/>
      <c r="M696" s="294"/>
      <c r="N696" s="294"/>
      <c r="O696" s="294"/>
      <c r="P696" s="294"/>
      <c r="Q696" s="294"/>
      <c r="R696" s="295"/>
      <c r="S696" s="215"/>
      <c r="T696" s="215"/>
      <c r="U696" s="215"/>
      <c r="V696" s="215"/>
      <c r="W696" s="215"/>
      <c r="Z696" s="215"/>
      <c r="AA696" s="215"/>
      <c r="AB696" s="215"/>
      <c r="AC696" s="215"/>
      <c r="AD696" s="215"/>
      <c r="AE696" s="215"/>
      <c r="AF696" s="215"/>
      <c r="AG696" s="215"/>
      <c r="AH696" s="215"/>
      <c r="AI696" s="215"/>
    </row>
    <row r="697" spans="1:35" s="339" customFormat="1" ht="26.25" customHeight="1">
      <c r="A697" s="291"/>
      <c r="B697" s="292"/>
      <c r="C697" s="293"/>
      <c r="D697" s="293"/>
      <c r="E697" s="293"/>
      <c r="F697" s="293"/>
      <c r="G697" s="293"/>
      <c r="H697" s="293"/>
      <c r="I697" s="293"/>
      <c r="J697" s="293"/>
      <c r="K697" s="293"/>
      <c r="L697" s="293"/>
      <c r="M697" s="294"/>
      <c r="N697" s="294"/>
      <c r="O697" s="294"/>
      <c r="P697" s="294"/>
      <c r="Q697" s="294"/>
      <c r="R697" s="295"/>
      <c r="S697" s="215"/>
      <c r="T697" s="215"/>
      <c r="U697" s="215"/>
      <c r="V697" s="215"/>
      <c r="W697" s="215" t="s">
        <v>166</v>
      </c>
      <c r="Z697" s="215"/>
      <c r="AA697" s="215"/>
      <c r="AB697" s="215"/>
      <c r="AC697" s="215"/>
      <c r="AD697" s="215"/>
      <c r="AE697" s="215"/>
      <c r="AF697" s="215"/>
      <c r="AG697" s="215"/>
      <c r="AH697" s="215"/>
      <c r="AI697" s="215"/>
    </row>
    <row r="698" spans="1:35" s="339" customFormat="1" ht="26.25" customHeight="1">
      <c r="A698" s="291"/>
      <c r="B698" s="292"/>
      <c r="C698" s="293"/>
      <c r="D698" s="293"/>
      <c r="E698" s="293"/>
      <c r="F698" s="293"/>
      <c r="G698" s="293"/>
      <c r="H698" s="293"/>
      <c r="I698" s="293"/>
      <c r="J698" s="293"/>
      <c r="K698" s="293"/>
      <c r="L698" s="293"/>
      <c r="M698" s="294"/>
      <c r="N698" s="294"/>
      <c r="O698" s="294"/>
      <c r="P698" s="294"/>
      <c r="Q698" s="294"/>
      <c r="R698" s="295"/>
      <c r="S698" s="215"/>
      <c r="T698" s="215"/>
      <c r="U698" s="215"/>
      <c r="V698" s="215"/>
      <c r="W698" s="215"/>
      <c r="Z698" s="215"/>
      <c r="AA698" s="215"/>
      <c r="AB698" s="215"/>
      <c r="AC698" s="215"/>
      <c r="AD698" s="215"/>
      <c r="AE698" s="215"/>
      <c r="AF698" s="215"/>
      <c r="AG698" s="215"/>
      <c r="AH698" s="215"/>
      <c r="AI698" s="215"/>
    </row>
    <row r="699" spans="1:35" ht="26.25" customHeight="1">
      <c r="A699" s="291"/>
      <c r="B699" s="292"/>
      <c r="C699" s="293"/>
      <c r="D699" s="293"/>
      <c r="E699" s="293"/>
      <c r="F699" s="293"/>
      <c r="G699" s="293"/>
      <c r="H699" s="293"/>
      <c r="I699" s="293"/>
      <c r="J699" s="293"/>
      <c r="K699" s="293"/>
      <c r="L699" s="293"/>
      <c r="M699" s="294"/>
      <c r="N699" s="294"/>
      <c r="O699" s="294"/>
      <c r="P699" s="294"/>
      <c r="Q699" s="294"/>
      <c r="R699" s="295"/>
    </row>
    <row r="700" spans="1:35" ht="26.25" customHeight="1">
      <c r="A700" s="291"/>
      <c r="B700" s="292"/>
      <c r="C700" s="293"/>
      <c r="D700" s="293"/>
      <c r="E700" s="293"/>
      <c r="F700" s="293"/>
      <c r="G700" s="293"/>
      <c r="H700" s="293"/>
      <c r="I700" s="293"/>
      <c r="J700" s="293"/>
      <c r="K700" s="293"/>
      <c r="L700" s="293"/>
      <c r="M700" s="294"/>
      <c r="N700" s="294"/>
      <c r="O700" s="294"/>
      <c r="P700" s="294"/>
      <c r="Q700" s="294"/>
      <c r="R700" s="295"/>
    </row>
    <row r="701" spans="1:35" ht="26.25" customHeight="1" thickBot="1">
      <c r="A701" s="375"/>
      <c r="B701" s="364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7"/>
      <c r="N701" s="377"/>
      <c r="O701" s="377"/>
      <c r="P701" s="377"/>
      <c r="Q701" s="377"/>
      <c r="R701" s="378"/>
    </row>
    <row r="702" spans="1:35" ht="26.25" customHeight="1" thickTop="1" thickBot="1">
      <c r="A702" s="319" t="s">
        <v>3</v>
      </c>
      <c r="B702" s="379">
        <f>SUM(B695:B701)</f>
        <v>0</v>
      </c>
      <c r="C702" s="320">
        <f t="shared" ref="C702:R702" si="60">SUM(C695:C701)</f>
        <v>0</v>
      </c>
      <c r="D702" s="320">
        <f t="shared" si="60"/>
        <v>0</v>
      </c>
      <c r="E702" s="320">
        <f t="shared" si="60"/>
        <v>0</v>
      </c>
      <c r="F702" s="320">
        <f t="shared" si="60"/>
        <v>0</v>
      </c>
      <c r="G702" s="320">
        <f t="shared" si="60"/>
        <v>0</v>
      </c>
      <c r="H702" s="320">
        <f t="shared" si="60"/>
        <v>0</v>
      </c>
      <c r="I702" s="320">
        <f t="shared" si="60"/>
        <v>0</v>
      </c>
      <c r="J702" s="320">
        <f t="shared" si="60"/>
        <v>0</v>
      </c>
      <c r="K702" s="320">
        <f t="shared" si="60"/>
        <v>0</v>
      </c>
      <c r="L702" s="320">
        <f t="shared" si="60"/>
        <v>0</v>
      </c>
      <c r="M702" s="320">
        <f t="shared" si="60"/>
        <v>0</v>
      </c>
      <c r="N702" s="320"/>
      <c r="O702" s="320"/>
      <c r="P702" s="320"/>
      <c r="Q702" s="320"/>
      <c r="R702" s="320">
        <f t="shared" si="60"/>
        <v>0</v>
      </c>
    </row>
    <row r="703" spans="1:35" ht="26.25" customHeight="1" thickTop="1">
      <c r="A703" s="216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</row>
    <row r="704" spans="1:35" ht="17.25" customHeight="1">
      <c r="A704" s="216"/>
      <c r="C704" s="401"/>
      <c r="D704" s="401"/>
      <c r="E704" s="401"/>
      <c r="F704" s="401"/>
      <c r="G704" s="401"/>
      <c r="H704" s="401"/>
      <c r="I704" s="401"/>
      <c r="J704" s="401"/>
      <c r="K704" s="401"/>
      <c r="L704" s="401"/>
      <c r="M704" s="401"/>
      <c r="N704" s="401"/>
      <c r="O704" s="401"/>
      <c r="P704" s="401"/>
      <c r="Q704" s="401"/>
      <c r="R704" s="401"/>
    </row>
    <row r="705" spans="1:25" ht="17.25" customHeight="1">
      <c r="A705" s="216"/>
      <c r="C705" s="401"/>
      <c r="D705" s="401"/>
      <c r="E705" s="401"/>
      <c r="F705" s="401"/>
      <c r="G705" s="401"/>
      <c r="H705" s="401"/>
      <c r="I705" s="401"/>
      <c r="J705" s="401"/>
      <c r="K705" s="401"/>
      <c r="L705" s="401"/>
      <c r="M705" s="401"/>
      <c r="N705" s="401"/>
      <c r="O705" s="401"/>
      <c r="P705" s="401"/>
      <c r="Q705" s="401"/>
      <c r="R705" s="401"/>
    </row>
    <row r="706" spans="1:25" ht="17.25" customHeight="1">
      <c r="A706" s="216"/>
      <c r="C706" s="401"/>
      <c r="D706" s="401"/>
      <c r="E706" s="401"/>
      <c r="F706" s="401"/>
      <c r="G706" s="401"/>
      <c r="H706" s="401"/>
      <c r="I706" s="401"/>
      <c r="J706" s="401"/>
      <c r="K706" s="401"/>
      <c r="L706" s="401"/>
      <c r="M706" s="401"/>
      <c r="N706" s="401"/>
      <c r="O706" s="401"/>
      <c r="P706" s="401"/>
      <c r="Q706" s="401"/>
      <c r="R706" s="401"/>
    </row>
    <row r="707" spans="1:25" ht="17.25" customHeight="1">
      <c r="A707" s="216"/>
      <c r="C707" s="401"/>
      <c r="D707" s="401"/>
      <c r="E707" s="401"/>
      <c r="F707" s="401"/>
      <c r="G707" s="401"/>
      <c r="H707" s="401"/>
      <c r="I707" s="401"/>
      <c r="J707" s="401"/>
      <c r="K707" s="401"/>
      <c r="L707" s="401"/>
      <c r="M707" s="401"/>
      <c r="N707" s="401"/>
      <c r="O707" s="401"/>
      <c r="P707" s="401"/>
      <c r="Q707" s="401"/>
      <c r="R707" s="401"/>
    </row>
    <row r="708" spans="1:25" ht="17.25" customHeight="1">
      <c r="A708" s="336" t="s">
        <v>80</v>
      </c>
      <c r="C708" s="401"/>
      <c r="D708" s="401"/>
      <c r="E708" s="401"/>
      <c r="F708" s="401"/>
      <c r="G708" s="401"/>
      <c r="H708" s="401"/>
      <c r="I708" s="401"/>
      <c r="J708" s="401"/>
      <c r="K708" s="401"/>
      <c r="L708" s="401"/>
      <c r="M708" s="401"/>
      <c r="N708" s="401"/>
      <c r="O708" s="401"/>
      <c r="P708" s="401"/>
      <c r="Q708" s="401"/>
      <c r="R708" s="401"/>
    </row>
    <row r="709" spans="1:25" ht="17.25" customHeight="1">
      <c r="A709" s="339"/>
      <c r="B709" s="566"/>
      <c r="C709" s="337"/>
      <c r="D709" s="1173" t="s">
        <v>81</v>
      </c>
      <c r="E709" s="1173"/>
      <c r="F709" s="1173"/>
      <c r="G709" s="1173"/>
      <c r="H709" s="337"/>
      <c r="I709" s="337"/>
      <c r="J709" s="1173" t="s">
        <v>82</v>
      </c>
      <c r="K709" s="1173"/>
      <c r="L709" s="1173"/>
      <c r="M709" s="1173"/>
      <c r="N709" s="1173"/>
      <c r="O709" s="1173"/>
      <c r="P709" s="1173"/>
      <c r="Q709" s="1173"/>
      <c r="R709" s="1173"/>
    </row>
    <row r="710" spans="1:25" ht="17.25" customHeight="1"/>
    <row r="711" spans="1:25" ht="17.25" customHeight="1">
      <c r="D711" s="281"/>
      <c r="E711" s="281"/>
      <c r="L711" s="281"/>
      <c r="M711" s="281"/>
      <c r="N711" s="281"/>
      <c r="O711" s="281"/>
      <c r="P711" s="281"/>
      <c r="Q711" s="281"/>
    </row>
    <row r="712" spans="1:25" ht="17.25" customHeight="1">
      <c r="A712" s="215" t="s">
        <v>0</v>
      </c>
      <c r="D712" s="281"/>
      <c r="E712" s="281"/>
      <c r="L712" s="281"/>
      <c r="M712" s="281"/>
      <c r="N712" s="281"/>
      <c r="O712" s="281"/>
      <c r="P712" s="281"/>
      <c r="Q712" s="281"/>
    </row>
    <row r="713" spans="1:25" ht="17.25" customHeight="1">
      <c r="A713" s="215" t="str">
        <f>A690</f>
        <v>DENOMINATION FOR JULI 2018</v>
      </c>
      <c r="D713" s="281"/>
      <c r="E713" s="281"/>
      <c r="L713" s="281"/>
      <c r="M713" s="281"/>
      <c r="N713" s="281"/>
      <c r="O713" s="281"/>
      <c r="P713" s="281"/>
      <c r="Q713" s="281"/>
    </row>
    <row r="714" spans="1:25" ht="17.25" customHeight="1">
      <c r="A714" s="215" t="s">
        <v>69</v>
      </c>
      <c r="D714" s="281"/>
      <c r="E714" s="281"/>
      <c r="L714" s="281"/>
      <c r="M714" s="281"/>
      <c r="N714" s="281"/>
      <c r="O714" s="281"/>
      <c r="P714" s="281"/>
      <c r="Q714" s="281"/>
    </row>
    <row r="715" spans="1:25" ht="17.25" customHeight="1" thickBot="1">
      <c r="D715" s="281"/>
      <c r="E715" s="281"/>
      <c r="L715" s="281"/>
      <c r="M715" s="281"/>
      <c r="N715" s="281"/>
      <c r="O715" s="281"/>
      <c r="P715" s="281"/>
      <c r="Q715" s="281"/>
    </row>
    <row r="716" spans="1:25" ht="17.25" customHeight="1" thickTop="1">
      <c r="A716" s="570" t="s">
        <v>1</v>
      </c>
      <c r="B716" s="572" t="s">
        <v>15</v>
      </c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82"/>
      <c r="N716" s="282"/>
      <c r="O716" s="282"/>
      <c r="P716" s="282"/>
      <c r="Q716" s="282"/>
      <c r="R716" s="283"/>
    </row>
    <row r="717" spans="1:25" ht="17.25" customHeight="1" thickBot="1">
      <c r="A717" s="571"/>
      <c r="B717" s="284"/>
      <c r="C717" s="223">
        <v>100000</v>
      </c>
      <c r="D717" s="223">
        <v>50000</v>
      </c>
      <c r="E717" s="223">
        <v>20000</v>
      </c>
      <c r="F717" s="223">
        <v>10000</v>
      </c>
      <c r="G717" s="223">
        <v>5000</v>
      </c>
      <c r="H717" s="223">
        <v>1000</v>
      </c>
      <c r="I717" s="223">
        <v>500</v>
      </c>
      <c r="J717" s="223">
        <v>100</v>
      </c>
      <c r="K717" s="223">
        <v>50</v>
      </c>
      <c r="L717" s="223" t="s">
        <v>2</v>
      </c>
      <c r="M717" s="285"/>
      <c r="N717" s="285"/>
      <c r="O717" s="285"/>
      <c r="P717" s="285"/>
      <c r="Q717" s="285"/>
      <c r="R717" s="286" t="s">
        <v>3</v>
      </c>
    </row>
    <row r="718" spans="1:25" ht="17.25" customHeight="1" thickTop="1">
      <c r="A718" s="287"/>
      <c r="B718" s="533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9"/>
      <c r="N718" s="289"/>
      <c r="O718" s="289"/>
      <c r="P718" s="289"/>
      <c r="Q718" s="289"/>
      <c r="R718" s="290"/>
    </row>
    <row r="719" spans="1:25" ht="17.25" customHeight="1">
      <c r="A719" s="291"/>
      <c r="B719" s="292"/>
      <c r="C719" s="293"/>
      <c r="D719" s="293"/>
      <c r="E719" s="293"/>
      <c r="F719" s="293"/>
      <c r="G719" s="293"/>
      <c r="H719" s="293"/>
      <c r="I719" s="293"/>
      <c r="J719" s="293"/>
      <c r="K719" s="293"/>
      <c r="L719" s="293"/>
      <c r="M719" s="294"/>
      <c r="N719" s="294"/>
      <c r="O719" s="294"/>
      <c r="P719" s="294"/>
      <c r="Q719" s="294"/>
      <c r="R719" s="295"/>
    </row>
    <row r="720" spans="1:25" s="242" customFormat="1" ht="17.25" customHeight="1">
      <c r="A720" s="291"/>
      <c r="B720" s="292"/>
      <c r="C720" s="293"/>
      <c r="D720" s="293"/>
      <c r="E720" s="293"/>
      <c r="F720" s="293"/>
      <c r="G720" s="293"/>
      <c r="H720" s="293"/>
      <c r="I720" s="293"/>
      <c r="J720" s="293"/>
      <c r="K720" s="293"/>
      <c r="L720" s="293"/>
      <c r="M720" s="294"/>
      <c r="N720" s="294"/>
      <c r="O720" s="294"/>
      <c r="P720" s="294"/>
      <c r="Q720" s="294"/>
      <c r="R720" s="295"/>
      <c r="X720" s="353"/>
      <c r="Y720" s="353"/>
    </row>
    <row r="721" spans="1:18" ht="17.25" customHeight="1">
      <c r="A721" s="291"/>
      <c r="B721" s="292"/>
      <c r="C721" s="293"/>
      <c r="D721" s="293"/>
      <c r="E721" s="293"/>
      <c r="F721" s="293"/>
      <c r="G721" s="293"/>
      <c r="H721" s="293"/>
      <c r="I721" s="293"/>
      <c r="J721" s="293"/>
      <c r="K721" s="293"/>
      <c r="L721" s="293"/>
      <c r="M721" s="294"/>
      <c r="N721" s="294"/>
      <c r="O721" s="294"/>
      <c r="P721" s="294"/>
      <c r="Q721" s="294"/>
      <c r="R721" s="295"/>
    </row>
    <row r="722" spans="1:18" ht="17.25" customHeight="1">
      <c r="A722" s="469"/>
      <c r="B722" s="470"/>
      <c r="C722" s="471"/>
      <c r="D722" s="471"/>
      <c r="E722" s="471"/>
      <c r="F722" s="471"/>
      <c r="G722" s="471"/>
      <c r="H722" s="471"/>
      <c r="I722" s="471"/>
      <c r="J722" s="471"/>
      <c r="K722" s="471"/>
      <c r="L722" s="471"/>
      <c r="M722" s="472"/>
      <c r="N722" s="472"/>
      <c r="O722" s="472"/>
      <c r="P722" s="472"/>
      <c r="Q722" s="472"/>
      <c r="R722" s="473"/>
    </row>
    <row r="723" spans="1:18" ht="17.25" customHeight="1" thickBot="1">
      <c r="A723" s="375"/>
      <c r="B723" s="364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7"/>
      <c r="N723" s="377"/>
      <c r="O723" s="377"/>
      <c r="P723" s="377"/>
      <c r="Q723" s="377"/>
      <c r="R723" s="378"/>
    </row>
    <row r="724" spans="1:18" ht="17.25" customHeight="1" thickTop="1" thickBot="1">
      <c r="A724" s="319" t="s">
        <v>3</v>
      </c>
      <c r="B724" s="379">
        <f t="shared" ref="B724:R724" si="61">SUM(B718:B723)</f>
        <v>0</v>
      </c>
      <c r="C724" s="484">
        <f>SUM(C718:C723)</f>
        <v>0</v>
      </c>
      <c r="D724" s="484">
        <f t="shared" si="61"/>
        <v>0</v>
      </c>
      <c r="E724" s="484">
        <f>SUM(E718:E723)</f>
        <v>0</v>
      </c>
      <c r="F724" s="484">
        <f t="shared" si="61"/>
        <v>0</v>
      </c>
      <c r="G724" s="484">
        <f t="shared" si="61"/>
        <v>0</v>
      </c>
      <c r="H724" s="484">
        <f t="shared" si="61"/>
        <v>0</v>
      </c>
      <c r="I724" s="484">
        <f t="shared" si="61"/>
        <v>0</v>
      </c>
      <c r="J724" s="484">
        <f t="shared" si="61"/>
        <v>0</v>
      </c>
      <c r="K724" s="484">
        <f t="shared" si="61"/>
        <v>0</v>
      </c>
      <c r="L724" s="484">
        <f t="shared" si="61"/>
        <v>0</v>
      </c>
      <c r="M724" s="484">
        <f t="shared" si="61"/>
        <v>0</v>
      </c>
      <c r="N724" s="485"/>
      <c r="O724" s="485"/>
      <c r="P724" s="485"/>
      <c r="Q724" s="485"/>
      <c r="R724" s="486">
        <f t="shared" si="61"/>
        <v>0</v>
      </c>
    </row>
    <row r="725" spans="1:18" ht="17.25" customHeight="1" thickTop="1">
      <c r="A725" s="216"/>
    </row>
    <row r="726" spans="1:18" ht="17.25" customHeight="1">
      <c r="A726" s="216"/>
      <c r="C726" s="401"/>
      <c r="D726" s="401"/>
      <c r="E726" s="401"/>
      <c r="F726" s="401"/>
      <c r="G726" s="401"/>
      <c r="H726" s="401"/>
      <c r="I726" s="401"/>
      <c r="J726" s="401"/>
      <c r="K726" s="401"/>
      <c r="L726" s="401"/>
      <c r="M726" s="401"/>
      <c r="N726" s="401"/>
      <c r="O726" s="401"/>
      <c r="P726" s="401"/>
      <c r="Q726" s="401"/>
      <c r="R726" s="401"/>
    </row>
    <row r="727" spans="1:18" ht="17.25" customHeight="1">
      <c r="A727" s="216"/>
      <c r="C727" s="401"/>
      <c r="D727" s="401"/>
      <c r="E727" s="401"/>
      <c r="F727" s="401"/>
      <c r="G727" s="401"/>
      <c r="H727" s="401"/>
      <c r="I727" s="401"/>
      <c r="J727" s="401"/>
      <c r="K727" s="401"/>
      <c r="L727" s="401"/>
      <c r="M727" s="401"/>
      <c r="N727" s="401"/>
      <c r="O727" s="401"/>
      <c r="P727" s="401"/>
      <c r="Q727" s="401"/>
      <c r="R727" s="401"/>
    </row>
    <row r="728" spans="1:18" ht="17.25" customHeight="1">
      <c r="A728" s="216"/>
      <c r="C728" s="401"/>
      <c r="D728" s="401"/>
      <c r="E728" s="401"/>
      <c r="F728" s="401"/>
      <c r="G728" s="401"/>
      <c r="H728" s="401"/>
      <c r="I728" s="401"/>
      <c r="J728" s="401"/>
      <c r="K728" s="401"/>
      <c r="L728" s="401"/>
      <c r="M728" s="401"/>
      <c r="N728" s="401"/>
      <c r="O728" s="401"/>
      <c r="P728" s="401"/>
      <c r="Q728" s="401"/>
      <c r="R728" s="401"/>
    </row>
    <row r="729" spans="1:18" ht="17.25" customHeight="1">
      <c r="A729" s="216"/>
      <c r="C729" s="401"/>
      <c r="D729" s="401"/>
      <c r="E729" s="401"/>
      <c r="F729" s="401"/>
      <c r="G729" s="401"/>
      <c r="H729" s="401"/>
      <c r="I729" s="401"/>
      <c r="J729" s="401"/>
      <c r="K729" s="401"/>
      <c r="L729" s="401"/>
      <c r="M729" s="401"/>
      <c r="N729" s="401"/>
      <c r="O729" s="401"/>
      <c r="P729" s="401"/>
      <c r="Q729" s="401"/>
      <c r="R729" s="401"/>
    </row>
    <row r="730" spans="1:18" ht="17.25" customHeight="1">
      <c r="A730" s="336" t="s">
        <v>80</v>
      </c>
      <c r="C730" s="401"/>
      <c r="D730" s="401"/>
      <c r="E730" s="401"/>
      <c r="F730" s="401"/>
      <c r="G730" s="401"/>
      <c r="H730" s="401"/>
      <c r="I730" s="401"/>
      <c r="J730" s="401"/>
      <c r="K730" s="401"/>
      <c r="L730" s="401"/>
      <c r="M730" s="401"/>
      <c r="N730" s="401"/>
      <c r="O730" s="401"/>
      <c r="P730" s="401"/>
      <c r="Q730" s="401"/>
      <c r="R730" s="401"/>
    </row>
    <row r="731" spans="1:18" ht="17.25" customHeight="1">
      <c r="A731" s="216"/>
      <c r="B731" s="566"/>
      <c r="C731" s="337"/>
      <c r="D731" s="1173" t="s">
        <v>81</v>
      </c>
      <c r="E731" s="1173"/>
      <c r="F731" s="1173"/>
      <c r="G731" s="1173"/>
      <c r="H731" s="337"/>
      <c r="I731" s="337"/>
      <c r="J731" s="1173" t="s">
        <v>82</v>
      </c>
      <c r="K731" s="1173"/>
      <c r="L731" s="1173"/>
      <c r="M731" s="1173"/>
      <c r="N731" s="1173"/>
      <c r="O731" s="1173"/>
      <c r="P731" s="1173"/>
      <c r="Q731" s="1173"/>
      <c r="R731" s="1173"/>
    </row>
    <row r="732" spans="1:18" ht="17.25" customHeight="1">
      <c r="A732" s="216"/>
      <c r="B732" s="566"/>
      <c r="C732" s="337"/>
      <c r="D732" s="566"/>
      <c r="E732" s="566"/>
      <c r="F732" s="566"/>
      <c r="G732" s="566"/>
      <c r="H732" s="337"/>
      <c r="I732" s="337"/>
      <c r="J732" s="566"/>
      <c r="K732" s="566"/>
      <c r="L732" s="566"/>
      <c r="M732" s="566"/>
      <c r="N732" s="566"/>
      <c r="O732" s="566"/>
      <c r="P732" s="566"/>
      <c r="Q732" s="566"/>
      <c r="R732" s="566"/>
    </row>
    <row r="733" spans="1:18" ht="17.25" customHeight="1">
      <c r="A733" s="339"/>
      <c r="C733" s="401"/>
      <c r="D733" s="401"/>
      <c r="E733" s="401"/>
      <c r="F733" s="401"/>
      <c r="G733" s="401"/>
      <c r="H733" s="401"/>
      <c r="I733" s="401"/>
      <c r="J733" s="401"/>
      <c r="K733" s="401"/>
      <c r="L733" s="401"/>
      <c r="M733" s="401"/>
      <c r="N733" s="401"/>
      <c r="O733" s="401"/>
      <c r="P733" s="401"/>
      <c r="Q733" s="401"/>
      <c r="R733" s="401"/>
    </row>
    <row r="734" spans="1:18" ht="17.25" customHeight="1"/>
    <row r="735" spans="1:18" ht="17.25" customHeight="1"/>
    <row r="736" spans="1:18" ht="17.25" customHeight="1">
      <c r="A736" s="215" t="str">
        <f>A4</f>
        <v>DENOMINATION FOR JULI 2018</v>
      </c>
      <c r="D736" s="281"/>
      <c r="E736" s="281"/>
      <c r="L736" s="281"/>
      <c r="M736" s="281"/>
      <c r="N736" s="281"/>
      <c r="O736" s="281"/>
      <c r="P736" s="281"/>
      <c r="Q736" s="281"/>
    </row>
    <row r="737" spans="1:25" ht="17.25" customHeight="1">
      <c r="A737" s="215" t="s">
        <v>191</v>
      </c>
      <c r="D737" s="281"/>
      <c r="E737" s="281"/>
      <c r="L737" s="281"/>
      <c r="M737" s="281"/>
      <c r="N737" s="281"/>
      <c r="O737" s="281"/>
      <c r="P737" s="281"/>
      <c r="Q737" s="281"/>
    </row>
    <row r="738" spans="1:25" ht="44.25" customHeight="1" thickBot="1">
      <c r="D738" s="281"/>
      <c r="E738" s="281"/>
      <c r="L738" s="281"/>
      <c r="M738" s="281"/>
      <c r="N738" s="281"/>
      <c r="O738" s="281"/>
      <c r="P738" s="281"/>
      <c r="Q738" s="281"/>
    </row>
    <row r="739" spans="1:25" ht="27" customHeight="1" thickTop="1">
      <c r="A739" s="1176" t="s">
        <v>1</v>
      </c>
      <c r="B739" s="1183" t="s">
        <v>15</v>
      </c>
      <c r="C739" s="1174">
        <v>100000</v>
      </c>
      <c r="D739" s="1174">
        <v>50000</v>
      </c>
      <c r="E739" s="1174">
        <v>20000</v>
      </c>
      <c r="F739" s="1174">
        <v>10000</v>
      </c>
      <c r="G739" s="1174">
        <v>5000</v>
      </c>
      <c r="H739" s="1174">
        <v>1000</v>
      </c>
      <c r="I739" s="1174">
        <v>500</v>
      </c>
      <c r="J739" s="1174">
        <v>100</v>
      </c>
      <c r="K739" s="1174">
        <v>50</v>
      </c>
      <c r="L739" s="1174" t="s">
        <v>2</v>
      </c>
      <c r="M739" s="282"/>
      <c r="N739" s="1206"/>
      <c r="O739" s="1207"/>
      <c r="P739" s="1207"/>
      <c r="Q739" s="1208"/>
      <c r="R739" s="1171" t="s">
        <v>3</v>
      </c>
    </row>
    <row r="740" spans="1:25" ht="27" customHeight="1" thickBot="1">
      <c r="A740" s="1177"/>
      <c r="B740" s="1184"/>
      <c r="C740" s="1175"/>
      <c r="D740" s="1175"/>
      <c r="E740" s="1175"/>
      <c r="F740" s="1175"/>
      <c r="G740" s="1175"/>
      <c r="H740" s="1175"/>
      <c r="I740" s="1175"/>
      <c r="J740" s="1175"/>
      <c r="K740" s="1175"/>
      <c r="L740" s="1175"/>
      <c r="M740" s="285"/>
      <c r="N740" s="1209"/>
      <c r="O740" s="1210"/>
      <c r="P740" s="1210"/>
      <c r="Q740" s="1211"/>
      <c r="R740" s="1172"/>
    </row>
    <row r="741" spans="1:25" ht="27" hidden="1" customHeight="1" thickTop="1">
      <c r="A741" s="287"/>
      <c r="B741" s="533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9"/>
      <c r="N741" s="1212"/>
      <c r="O741" s="1213"/>
      <c r="P741" s="1213"/>
      <c r="Q741" s="1214"/>
      <c r="R741" s="290"/>
    </row>
    <row r="742" spans="1:25" ht="27" hidden="1" customHeight="1">
      <c r="A742" s="234" t="s">
        <v>38</v>
      </c>
      <c r="B742" s="235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60"/>
      <c r="N742" s="1203"/>
      <c r="O742" s="1204"/>
      <c r="P742" s="1204"/>
      <c r="Q742" s="1205"/>
      <c r="R742" s="247"/>
    </row>
    <row r="743" spans="1:25" s="242" customFormat="1" ht="27" hidden="1" customHeight="1">
      <c r="A743" s="234"/>
      <c r="B743" s="235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60"/>
      <c r="N743" s="1203"/>
      <c r="O743" s="1204"/>
      <c r="P743" s="1204"/>
      <c r="Q743" s="1205"/>
      <c r="R743" s="247"/>
      <c r="X743" s="353"/>
      <c r="Y743" s="353"/>
    </row>
    <row r="744" spans="1:25" ht="27" hidden="1" customHeight="1">
      <c r="A744" s="234" t="s">
        <v>196</v>
      </c>
      <c r="B744" s="235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60"/>
      <c r="N744" s="1203"/>
      <c r="O744" s="1204"/>
      <c r="P744" s="1204"/>
      <c r="Q744" s="1205"/>
      <c r="R744" s="247"/>
    </row>
    <row r="745" spans="1:25" s="242" customFormat="1" ht="27" hidden="1" customHeight="1">
      <c r="A745" s="234"/>
      <c r="B745" s="235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60"/>
      <c r="N745" s="1203"/>
      <c r="O745" s="1204"/>
      <c r="P745" s="1204"/>
      <c r="Q745" s="1205"/>
      <c r="R745" s="247"/>
      <c r="X745" s="353"/>
      <c r="Y745" s="353"/>
    </row>
    <row r="746" spans="1:25" ht="27" hidden="1" customHeight="1">
      <c r="A746" s="234" t="s">
        <v>197</v>
      </c>
      <c r="B746" s="235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60"/>
      <c r="N746" s="1203"/>
      <c r="O746" s="1204"/>
      <c r="P746" s="1204"/>
      <c r="Q746" s="1205"/>
      <c r="R746" s="247"/>
    </row>
    <row r="747" spans="1:25" s="242" customFormat="1" ht="27" hidden="1" customHeight="1">
      <c r="A747" s="234"/>
      <c r="B747" s="235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60"/>
      <c r="N747" s="1203"/>
      <c r="O747" s="1204"/>
      <c r="P747" s="1204"/>
      <c r="Q747" s="1205"/>
      <c r="R747" s="247"/>
      <c r="X747" s="353"/>
      <c r="Y747" s="353"/>
    </row>
    <row r="748" spans="1:25" ht="27" hidden="1" customHeight="1">
      <c r="A748" s="234" t="s">
        <v>63</v>
      </c>
      <c r="B748" s="235"/>
      <c r="C748" s="236"/>
      <c r="D748" s="236"/>
      <c r="E748" s="236"/>
      <c r="F748" s="236"/>
      <c r="G748" s="236"/>
      <c r="H748" s="380"/>
      <c r="I748" s="236"/>
      <c r="J748" s="236"/>
      <c r="K748" s="236"/>
      <c r="L748" s="236"/>
      <c r="M748" s="260"/>
      <c r="N748" s="1203"/>
      <c r="O748" s="1204"/>
      <c r="P748" s="1204"/>
      <c r="Q748" s="1205"/>
      <c r="R748" s="247"/>
    </row>
    <row r="749" spans="1:25" s="242" customFormat="1" ht="27" customHeight="1" thickTop="1">
      <c r="A749" s="234"/>
      <c r="B749" s="235"/>
      <c r="C749" s="236"/>
      <c r="D749" s="236"/>
      <c r="E749" s="236"/>
      <c r="F749" s="236"/>
      <c r="G749" s="236"/>
      <c r="H749" s="354"/>
      <c r="I749" s="236"/>
      <c r="J749" s="236"/>
      <c r="K749" s="236"/>
      <c r="L749" s="236"/>
      <c r="M749" s="260"/>
      <c r="N749" s="1203"/>
      <c r="O749" s="1204"/>
      <c r="P749" s="1204"/>
      <c r="Q749" s="1205"/>
      <c r="R749" s="247"/>
      <c r="X749" s="353"/>
      <c r="Y749" s="353"/>
    </row>
    <row r="750" spans="1:25" ht="27" customHeight="1">
      <c r="A750" s="234" t="s">
        <v>97</v>
      </c>
      <c r="B750" s="235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60"/>
      <c r="N750" s="1203"/>
      <c r="O750" s="1204"/>
      <c r="P750" s="1204"/>
      <c r="Q750" s="1205"/>
      <c r="R750" s="247"/>
    </row>
    <row r="751" spans="1:25" ht="27" customHeight="1" thickBot="1">
      <c r="A751" s="234"/>
      <c r="B751" s="235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60"/>
      <c r="N751" s="1203"/>
      <c r="O751" s="1204"/>
      <c r="P751" s="1204"/>
      <c r="Q751" s="1205"/>
      <c r="R751" s="247"/>
    </row>
    <row r="752" spans="1:25" ht="27" hidden="1" customHeight="1">
      <c r="A752" s="234" t="s">
        <v>186</v>
      </c>
      <c r="B752" s="235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60"/>
      <c r="N752" s="1203"/>
      <c r="O752" s="1204"/>
      <c r="P752" s="1204"/>
      <c r="Q752" s="1205"/>
      <c r="R752" s="247"/>
    </row>
    <row r="753" spans="1:22" ht="27" hidden="1" customHeight="1" thickBot="1">
      <c r="A753" s="234"/>
      <c r="B753" s="235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60"/>
      <c r="N753" s="1203"/>
      <c r="O753" s="1204"/>
      <c r="P753" s="1204"/>
      <c r="Q753" s="1205"/>
      <c r="R753" s="247"/>
    </row>
    <row r="754" spans="1:22" ht="27" customHeight="1" thickTop="1" thickBot="1">
      <c r="A754" s="261" t="s">
        <v>3</v>
      </c>
      <c r="B754" s="262">
        <f>SUM(B741:B753)</f>
        <v>0</v>
      </c>
      <c r="C754" s="263">
        <f t="shared" ref="C754:M754" si="62">SUM(C741:C753)</f>
        <v>0</v>
      </c>
      <c r="D754" s="263">
        <f t="shared" si="62"/>
        <v>0</v>
      </c>
      <c r="E754" s="263">
        <f t="shared" si="62"/>
        <v>0</v>
      </c>
      <c r="F754" s="263">
        <f t="shared" si="62"/>
        <v>0</v>
      </c>
      <c r="G754" s="263">
        <f t="shared" si="62"/>
        <v>0</v>
      </c>
      <c r="H754" s="263">
        <f t="shared" si="62"/>
        <v>0</v>
      </c>
      <c r="I754" s="263">
        <f t="shared" si="62"/>
        <v>0</v>
      </c>
      <c r="J754" s="263">
        <f t="shared" si="62"/>
        <v>0</v>
      </c>
      <c r="K754" s="263">
        <f t="shared" si="62"/>
        <v>0</v>
      </c>
      <c r="L754" s="263">
        <f t="shared" si="62"/>
        <v>0</v>
      </c>
      <c r="M754" s="263">
        <f t="shared" si="62"/>
        <v>0</v>
      </c>
      <c r="N754" s="1215"/>
      <c r="O754" s="1216"/>
      <c r="P754" s="1216"/>
      <c r="Q754" s="1217"/>
      <c r="R754" s="265">
        <f>SUM(R741:R753)</f>
        <v>0</v>
      </c>
    </row>
    <row r="755" spans="1:22" ht="17.25" customHeight="1" thickTop="1">
      <c r="A755" s="336"/>
    </row>
    <row r="756" spans="1:22" ht="17.25" customHeight="1">
      <c r="A756" s="336"/>
      <c r="B756" s="566"/>
      <c r="C756" s="337"/>
      <c r="D756" s="337"/>
      <c r="E756" s="337"/>
      <c r="F756" s="337"/>
      <c r="G756" s="337"/>
      <c r="H756" s="337"/>
      <c r="I756" s="337"/>
      <c r="J756" s="337"/>
      <c r="K756" s="337"/>
      <c r="L756" s="337"/>
      <c r="M756" s="337"/>
      <c r="N756" s="337"/>
      <c r="O756" s="337"/>
      <c r="P756" s="337"/>
      <c r="Q756" s="337"/>
      <c r="R756" s="337"/>
    </row>
    <row r="757" spans="1:22" ht="17.25" customHeight="1">
      <c r="A757" s="336"/>
      <c r="B757" s="566"/>
      <c r="C757" s="337"/>
      <c r="D757" s="337"/>
      <c r="E757" s="337"/>
      <c r="F757" s="337"/>
      <c r="G757" s="337"/>
      <c r="H757" s="337"/>
      <c r="I757" s="337"/>
      <c r="J757" s="337"/>
      <c r="K757" s="337"/>
      <c r="L757" s="337"/>
      <c r="M757" s="337"/>
      <c r="N757" s="337"/>
      <c r="O757" s="337"/>
      <c r="P757" s="337"/>
      <c r="Q757" s="337"/>
      <c r="R757" s="337"/>
    </row>
    <row r="758" spans="1:22" ht="17.25" customHeight="1">
      <c r="A758" s="336"/>
      <c r="B758" s="566"/>
      <c r="C758" s="337"/>
      <c r="D758" s="337"/>
      <c r="E758" s="337"/>
      <c r="F758" s="337"/>
      <c r="G758" s="337"/>
      <c r="H758" s="337"/>
      <c r="I758" s="337"/>
      <c r="J758" s="337"/>
      <c r="K758" s="337"/>
      <c r="L758" s="337"/>
      <c r="M758" s="337"/>
      <c r="N758" s="337"/>
      <c r="O758" s="337"/>
      <c r="P758" s="337"/>
      <c r="Q758" s="337"/>
      <c r="R758" s="337"/>
    </row>
    <row r="759" spans="1:22" ht="17.25" customHeight="1">
      <c r="A759" s="336"/>
      <c r="B759" s="566"/>
      <c r="C759" s="337"/>
      <c r="D759" s="337"/>
      <c r="E759" s="337"/>
      <c r="F759" s="337"/>
      <c r="G759" s="337"/>
      <c r="H759" s="337"/>
      <c r="I759" s="337"/>
      <c r="J759" s="337"/>
      <c r="K759" s="337"/>
      <c r="L759" s="337"/>
      <c r="M759" s="337"/>
      <c r="N759" s="337"/>
      <c r="O759" s="337"/>
      <c r="P759" s="337"/>
      <c r="Q759" s="337"/>
      <c r="R759" s="337"/>
    </row>
    <row r="760" spans="1:22" ht="17.25" customHeight="1">
      <c r="A760" s="336" t="s">
        <v>135</v>
      </c>
      <c r="B760" s="566"/>
      <c r="C760" s="337"/>
      <c r="D760" s="337"/>
      <c r="E760" s="337"/>
      <c r="F760" s="337"/>
      <c r="G760" s="337"/>
      <c r="H760" s="337"/>
      <c r="I760" s="337"/>
      <c r="J760" s="1173" t="s">
        <v>82</v>
      </c>
      <c r="K760" s="1173"/>
      <c r="L760" s="1173"/>
      <c r="M760" s="1173"/>
      <c r="N760" s="1173"/>
      <c r="O760" s="1173"/>
      <c r="P760" s="1173"/>
      <c r="Q760" s="1173"/>
      <c r="R760" s="1173"/>
    </row>
    <row r="761" spans="1:22" ht="17.25" customHeight="1">
      <c r="A761" s="216"/>
      <c r="B761" s="566"/>
      <c r="C761" s="337"/>
      <c r="D761" s="337"/>
      <c r="E761" s="337"/>
      <c r="F761" s="337"/>
      <c r="G761" s="337"/>
      <c r="H761" s="337"/>
      <c r="I761" s="337"/>
      <c r="J761" s="337"/>
      <c r="K761" s="337"/>
      <c r="L761" s="337"/>
      <c r="M761" s="337"/>
      <c r="N761" s="337"/>
      <c r="O761" s="337"/>
      <c r="P761" s="337"/>
      <c r="Q761" s="337"/>
      <c r="R761" s="337"/>
    </row>
    <row r="762" spans="1:22" ht="17.25" customHeight="1">
      <c r="A762" s="216"/>
      <c r="C762" s="401"/>
      <c r="D762" s="401"/>
      <c r="E762" s="401"/>
      <c r="F762" s="401"/>
      <c r="G762" s="401"/>
      <c r="H762" s="401"/>
      <c r="I762" s="401"/>
      <c r="J762" s="401"/>
      <c r="K762" s="401"/>
      <c r="L762" s="401"/>
      <c r="M762" s="401"/>
      <c r="N762" s="401"/>
      <c r="O762" s="401"/>
      <c r="P762" s="401"/>
      <c r="Q762" s="401"/>
      <c r="R762" s="401"/>
    </row>
    <row r="763" spans="1:22" ht="17.25" customHeight="1">
      <c r="A763" s="336"/>
      <c r="C763" s="401"/>
      <c r="D763" s="401"/>
      <c r="E763" s="401"/>
      <c r="F763" s="401"/>
      <c r="G763" s="401"/>
      <c r="H763" s="401"/>
      <c r="I763" s="401"/>
      <c r="J763" s="401"/>
      <c r="K763" s="401"/>
      <c r="L763" s="401"/>
      <c r="M763" s="401"/>
      <c r="N763" s="1173"/>
      <c r="O763" s="1173"/>
      <c r="P763" s="1173"/>
      <c r="Q763" s="1173"/>
      <c r="R763" s="1173"/>
      <c r="S763" s="1173"/>
      <c r="T763" s="1173"/>
      <c r="U763" s="1173"/>
      <c r="V763" s="1173"/>
    </row>
    <row r="764" spans="1:22" ht="17.25" customHeight="1">
      <c r="A764" s="336"/>
      <c r="B764" s="566"/>
      <c r="C764" s="337"/>
      <c r="D764" s="1173" t="s">
        <v>81</v>
      </c>
      <c r="E764" s="1173"/>
      <c r="F764" s="1173"/>
      <c r="G764" s="1173"/>
      <c r="H764" s="337"/>
      <c r="I764" s="337"/>
    </row>
    <row r="765" spans="1:22" ht="17.25" customHeight="1">
      <c r="B765" s="566"/>
      <c r="C765" s="337"/>
      <c r="D765" s="337"/>
      <c r="E765" s="337"/>
      <c r="F765" s="337"/>
      <c r="G765" s="337"/>
      <c r="H765" s="337"/>
      <c r="I765" s="337"/>
      <c r="J765" s="337"/>
      <c r="K765" s="337"/>
      <c r="L765" s="337"/>
      <c r="M765" s="337"/>
      <c r="N765" s="337"/>
      <c r="O765" s="337"/>
      <c r="P765" s="337"/>
      <c r="Q765" s="337"/>
      <c r="R765" s="337"/>
    </row>
    <row r="766" spans="1:22" ht="17.25" customHeight="1">
      <c r="B766" s="215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</row>
    <row r="767" spans="1:22">
      <c r="A767" s="215" t="str">
        <f>A736</f>
        <v>DENOMINATION FOR JULI 2018</v>
      </c>
    </row>
    <row r="768" spans="1:22">
      <c r="A768" s="215" t="s">
        <v>191</v>
      </c>
      <c r="D768" s="281"/>
      <c r="E768" s="281"/>
      <c r="L768" s="281"/>
      <c r="M768" s="281"/>
      <c r="N768" s="281"/>
      <c r="O768" s="281"/>
      <c r="P768" s="281"/>
      <c r="Q768" s="281"/>
    </row>
    <row r="769" spans="1:18">
      <c r="D769" s="281"/>
      <c r="E769" s="281"/>
      <c r="L769" s="281"/>
      <c r="M769" s="281"/>
      <c r="N769" s="281"/>
      <c r="O769" s="281"/>
      <c r="P769" s="281"/>
      <c r="Q769" s="281"/>
    </row>
    <row r="770" spans="1:18" ht="21" thickBot="1">
      <c r="D770" s="281"/>
      <c r="E770" s="281"/>
      <c r="L770" s="281"/>
      <c r="M770" s="281"/>
      <c r="N770" s="281"/>
      <c r="O770" s="281"/>
      <c r="P770" s="281"/>
      <c r="Q770" s="281"/>
    </row>
    <row r="771" spans="1:18" ht="21" thickTop="1">
      <c r="A771" s="1176" t="s">
        <v>1</v>
      </c>
      <c r="B771" s="1183" t="s">
        <v>15</v>
      </c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82"/>
      <c r="N771" s="1206"/>
      <c r="O771" s="1207"/>
      <c r="P771" s="1207"/>
      <c r="Q771" s="1208"/>
      <c r="R771" s="1171" t="s">
        <v>3</v>
      </c>
    </row>
    <row r="772" spans="1:18" ht="21" thickBot="1">
      <c r="A772" s="1177"/>
      <c r="B772" s="1184"/>
      <c r="C772" s="223">
        <v>100000</v>
      </c>
      <c r="D772" s="223">
        <v>50000</v>
      </c>
      <c r="E772" s="223">
        <v>20000</v>
      </c>
      <c r="F772" s="223">
        <v>10000</v>
      </c>
      <c r="G772" s="223">
        <v>5000</v>
      </c>
      <c r="H772" s="223">
        <v>1000</v>
      </c>
      <c r="I772" s="223">
        <v>500</v>
      </c>
      <c r="J772" s="223">
        <v>100</v>
      </c>
      <c r="K772" s="223">
        <v>50</v>
      </c>
      <c r="L772" s="223" t="s">
        <v>2</v>
      </c>
      <c r="M772" s="285"/>
      <c r="N772" s="1209"/>
      <c r="O772" s="1210"/>
      <c r="P772" s="1210"/>
      <c r="Q772" s="1211"/>
      <c r="R772" s="1172"/>
    </row>
    <row r="773" spans="1:18" ht="30.75" customHeight="1" thickTop="1">
      <c r="A773" s="287"/>
      <c r="B773" s="533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9"/>
      <c r="N773" s="289"/>
      <c r="O773" s="289"/>
      <c r="P773" s="289"/>
      <c r="Q773" s="289"/>
      <c r="R773" s="290"/>
    </row>
    <row r="774" spans="1:18" ht="30.75" customHeight="1">
      <c r="A774" s="234" t="s">
        <v>261</v>
      </c>
      <c r="B774" s="251"/>
      <c r="C774" s="252"/>
      <c r="D774" s="254"/>
      <c r="E774" s="254"/>
      <c r="F774" s="252"/>
      <c r="G774" s="254"/>
      <c r="H774" s="252"/>
      <c r="I774" s="254"/>
      <c r="J774" s="256"/>
      <c r="K774" s="254"/>
      <c r="L774" s="254"/>
      <c r="M774" s="260"/>
      <c r="N774" s="260"/>
      <c r="O774" s="260"/>
      <c r="P774" s="260"/>
      <c r="Q774" s="260"/>
      <c r="R774" s="238">
        <f>SUM(D774:L774)</f>
        <v>0</v>
      </c>
    </row>
    <row r="775" spans="1:18" ht="30.75" customHeight="1">
      <c r="A775" s="234"/>
      <c r="B775" s="251"/>
      <c r="C775" s="252"/>
      <c r="D775" s="254"/>
      <c r="E775" s="254"/>
      <c r="F775" s="252"/>
      <c r="G775" s="254"/>
      <c r="H775" s="252"/>
      <c r="I775" s="254"/>
      <c r="J775" s="256"/>
      <c r="K775" s="254"/>
      <c r="L775" s="254"/>
      <c r="M775" s="260"/>
      <c r="N775" s="260"/>
      <c r="O775" s="260"/>
      <c r="P775" s="260"/>
      <c r="Q775" s="260"/>
      <c r="R775" s="238"/>
    </row>
    <row r="776" spans="1:18" ht="30.75" customHeight="1" thickBot="1">
      <c r="A776" s="234"/>
      <c r="B776" s="235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60"/>
      <c r="N776" s="260"/>
      <c r="O776" s="260"/>
      <c r="P776" s="260"/>
      <c r="Q776" s="260"/>
      <c r="R776" s="247"/>
    </row>
    <row r="777" spans="1:18" ht="30.75" customHeight="1" thickTop="1" thickBot="1">
      <c r="A777" s="261" t="s">
        <v>3</v>
      </c>
      <c r="B777" s="262">
        <f t="shared" ref="B777:R777" si="63">SUM(B773:B776)</f>
        <v>0</v>
      </c>
      <c r="C777" s="263">
        <f t="shared" si="63"/>
        <v>0</v>
      </c>
      <c r="D777" s="263">
        <f t="shared" si="63"/>
        <v>0</v>
      </c>
      <c r="E777" s="263">
        <f t="shared" si="63"/>
        <v>0</v>
      </c>
      <c r="F777" s="263">
        <f t="shared" si="63"/>
        <v>0</v>
      </c>
      <c r="G777" s="263">
        <f t="shared" si="63"/>
        <v>0</v>
      </c>
      <c r="H777" s="263">
        <f t="shared" si="63"/>
        <v>0</v>
      </c>
      <c r="I777" s="263">
        <f t="shared" si="63"/>
        <v>0</v>
      </c>
      <c r="J777" s="263">
        <f t="shared" si="63"/>
        <v>0</v>
      </c>
      <c r="K777" s="263">
        <f t="shared" si="63"/>
        <v>0</v>
      </c>
      <c r="L777" s="263">
        <f t="shared" si="63"/>
        <v>0</v>
      </c>
      <c r="M777" s="263">
        <f t="shared" si="63"/>
        <v>0</v>
      </c>
      <c r="N777" s="264"/>
      <c r="O777" s="264"/>
      <c r="P777" s="264"/>
      <c r="Q777" s="264"/>
      <c r="R777" s="265">
        <f t="shared" si="63"/>
        <v>0</v>
      </c>
    </row>
    <row r="778" spans="1:18" ht="21" thickTop="1"/>
    <row r="783" spans="1:18">
      <c r="A783" s="336" t="s">
        <v>80</v>
      </c>
    </row>
    <row r="784" spans="1:18">
      <c r="B784" s="566"/>
      <c r="C784" s="337"/>
      <c r="D784" s="1173" t="s">
        <v>81</v>
      </c>
      <c r="E784" s="1173"/>
      <c r="F784" s="1173"/>
      <c r="G784" s="1173"/>
      <c r="H784" s="337"/>
      <c r="I784" s="337"/>
      <c r="J784" s="1173" t="s">
        <v>82</v>
      </c>
      <c r="K784" s="1173"/>
      <c r="L784" s="1173"/>
      <c r="M784" s="1173"/>
      <c r="N784" s="1173"/>
      <c r="O784" s="1173"/>
      <c r="P784" s="1173"/>
      <c r="Q784" s="1173"/>
      <c r="R784" s="1173"/>
    </row>
    <row r="790" spans="1:18">
      <c r="A790" s="215" t="s">
        <v>0</v>
      </c>
    </row>
    <row r="791" spans="1:18">
      <c r="A791" s="215" t="str">
        <f>A4</f>
        <v>DENOMINATION FOR JULI 2018</v>
      </c>
      <c r="D791" s="281"/>
      <c r="E791" s="281"/>
      <c r="L791" s="281"/>
      <c r="M791" s="281"/>
      <c r="N791" s="281"/>
      <c r="O791" s="281"/>
      <c r="P791" s="281"/>
      <c r="Q791" s="281"/>
    </row>
    <row r="792" spans="1:18">
      <c r="D792" s="281"/>
      <c r="E792" s="281"/>
      <c r="L792" s="281"/>
      <c r="M792" s="281"/>
      <c r="N792" s="281"/>
      <c r="O792" s="281"/>
      <c r="P792" s="281"/>
      <c r="Q792" s="281"/>
    </row>
    <row r="793" spans="1:18" ht="21" thickBot="1">
      <c r="D793" s="281"/>
      <c r="E793" s="281"/>
      <c r="L793" s="281"/>
      <c r="M793" s="281"/>
      <c r="N793" s="281"/>
      <c r="O793" s="281"/>
      <c r="P793" s="281"/>
      <c r="Q793" s="281"/>
    </row>
    <row r="794" spans="1:18" ht="21" thickTop="1">
      <c r="A794" s="570" t="s">
        <v>1</v>
      </c>
      <c r="B794" s="572" t="s">
        <v>15</v>
      </c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82"/>
      <c r="N794" s="282"/>
      <c r="O794" s="282"/>
      <c r="P794" s="282"/>
      <c r="Q794" s="282"/>
      <c r="R794" s="283"/>
    </row>
    <row r="795" spans="1:18" ht="21" thickBot="1">
      <c r="A795" s="571"/>
      <c r="B795" s="284"/>
      <c r="C795" s="223">
        <v>100000</v>
      </c>
      <c r="D795" s="223">
        <v>50000</v>
      </c>
      <c r="E795" s="223">
        <v>20000</v>
      </c>
      <c r="F795" s="223">
        <v>10000</v>
      </c>
      <c r="G795" s="223">
        <v>5000</v>
      </c>
      <c r="H795" s="223">
        <v>1000</v>
      </c>
      <c r="I795" s="223">
        <v>500</v>
      </c>
      <c r="J795" s="223">
        <v>100</v>
      </c>
      <c r="K795" s="223">
        <v>50</v>
      </c>
      <c r="L795" s="223" t="s">
        <v>2</v>
      </c>
      <c r="M795" s="285"/>
      <c r="N795" s="285"/>
      <c r="O795" s="285"/>
      <c r="P795" s="285"/>
      <c r="Q795" s="285"/>
      <c r="R795" s="286" t="s">
        <v>3</v>
      </c>
    </row>
    <row r="796" spans="1:18" ht="21" thickTop="1">
      <c r="A796" s="287"/>
      <c r="B796" s="533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9"/>
      <c r="N796" s="289"/>
      <c r="O796" s="289"/>
      <c r="P796" s="289"/>
      <c r="Q796" s="289"/>
      <c r="R796" s="290"/>
    </row>
    <row r="797" spans="1:18">
      <c r="A797" s="234" t="s">
        <v>72</v>
      </c>
      <c r="B797" s="251"/>
      <c r="C797" s="252"/>
      <c r="D797" s="254"/>
      <c r="E797" s="254"/>
      <c r="F797" s="252"/>
      <c r="G797" s="254"/>
      <c r="H797" s="252"/>
      <c r="I797" s="254"/>
      <c r="J797" s="256"/>
      <c r="K797" s="254"/>
      <c r="L797" s="254"/>
      <c r="M797" s="260"/>
      <c r="N797" s="260"/>
      <c r="O797" s="260"/>
      <c r="P797" s="260"/>
      <c r="Q797" s="260"/>
      <c r="R797" s="238">
        <f>SUM(C797:L797)</f>
        <v>0</v>
      </c>
    </row>
    <row r="798" spans="1:18">
      <c r="A798" s="234"/>
      <c r="B798" s="251"/>
      <c r="C798" s="252"/>
      <c r="D798" s="254"/>
      <c r="E798" s="254"/>
      <c r="F798" s="252"/>
      <c r="G798" s="254"/>
      <c r="H798" s="252"/>
      <c r="I798" s="254"/>
      <c r="J798" s="256"/>
      <c r="K798" s="254"/>
      <c r="L798" s="254"/>
      <c r="M798" s="260"/>
      <c r="N798" s="260"/>
      <c r="O798" s="260"/>
      <c r="P798" s="260"/>
      <c r="Q798" s="260"/>
      <c r="R798" s="238"/>
    </row>
    <row r="799" spans="1:18" ht="21" thickBot="1">
      <c r="A799" s="234"/>
      <c r="B799" s="235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60"/>
      <c r="N799" s="260"/>
      <c r="O799" s="260"/>
      <c r="P799" s="260"/>
      <c r="Q799" s="260"/>
      <c r="R799" s="247"/>
    </row>
    <row r="800" spans="1:18" ht="21.75" thickTop="1" thickBot="1">
      <c r="A800" s="261" t="s">
        <v>3</v>
      </c>
      <c r="B800" s="262">
        <f t="shared" ref="B800:R800" si="64">SUM(B796:B799)</f>
        <v>0</v>
      </c>
      <c r="C800" s="263">
        <f t="shared" si="64"/>
        <v>0</v>
      </c>
      <c r="D800" s="263">
        <f t="shared" si="64"/>
        <v>0</v>
      </c>
      <c r="E800" s="263">
        <f t="shared" si="64"/>
        <v>0</v>
      </c>
      <c r="F800" s="263">
        <f t="shared" si="64"/>
        <v>0</v>
      </c>
      <c r="G800" s="263">
        <f t="shared" si="64"/>
        <v>0</v>
      </c>
      <c r="H800" s="263">
        <f t="shared" si="64"/>
        <v>0</v>
      </c>
      <c r="I800" s="263">
        <f t="shared" si="64"/>
        <v>0</v>
      </c>
      <c r="J800" s="263">
        <f t="shared" si="64"/>
        <v>0</v>
      </c>
      <c r="K800" s="263">
        <f t="shared" si="64"/>
        <v>0</v>
      </c>
      <c r="L800" s="263">
        <f t="shared" si="64"/>
        <v>0</v>
      </c>
      <c r="M800" s="263">
        <f t="shared" si="64"/>
        <v>0</v>
      </c>
      <c r="N800" s="264"/>
      <c r="O800" s="264"/>
      <c r="P800" s="264"/>
      <c r="Q800" s="264"/>
      <c r="R800" s="265">
        <f t="shared" si="64"/>
        <v>0</v>
      </c>
    </row>
    <row r="801" spans="1:18" ht="21" thickTop="1"/>
    <row r="806" spans="1:18">
      <c r="A806" s="336" t="s">
        <v>80</v>
      </c>
    </row>
    <row r="807" spans="1:18">
      <c r="A807" s="336"/>
      <c r="B807" s="566"/>
      <c r="C807" s="337"/>
      <c r="D807" s="1173" t="s">
        <v>81</v>
      </c>
      <c r="E807" s="1173"/>
      <c r="F807" s="1173"/>
      <c r="G807" s="1173"/>
      <c r="H807" s="337"/>
      <c r="I807" s="337"/>
      <c r="J807" s="1173" t="s">
        <v>82</v>
      </c>
      <c r="K807" s="1173"/>
      <c r="L807" s="1173"/>
      <c r="M807" s="1173"/>
      <c r="N807" s="1173"/>
      <c r="O807" s="1173"/>
      <c r="P807" s="1173"/>
      <c r="Q807" s="1173"/>
      <c r="R807" s="1173"/>
    </row>
    <row r="808" spans="1:18">
      <c r="A808" s="336"/>
      <c r="B808" s="566"/>
      <c r="C808" s="337"/>
      <c r="D808" s="566"/>
      <c r="E808" s="566"/>
      <c r="F808" s="566"/>
      <c r="G808" s="566"/>
      <c r="H808" s="337"/>
      <c r="I808" s="337"/>
      <c r="J808" s="566"/>
      <c r="K808" s="566"/>
      <c r="L808" s="566"/>
      <c r="M808" s="566"/>
      <c r="N808" s="566"/>
      <c r="O808" s="566"/>
      <c r="P808" s="566"/>
      <c r="Q808" s="566"/>
      <c r="R808" s="566"/>
    </row>
    <row r="809" spans="1:18">
      <c r="A809" s="336"/>
      <c r="B809" s="566"/>
      <c r="C809" s="337"/>
      <c r="D809" s="566"/>
      <c r="E809" s="566"/>
      <c r="F809" s="566"/>
      <c r="G809" s="566"/>
      <c r="H809" s="337"/>
      <c r="I809" s="337"/>
      <c r="J809" s="566"/>
      <c r="K809" s="566"/>
      <c r="L809" s="566"/>
      <c r="M809" s="566"/>
      <c r="N809" s="566"/>
      <c r="O809" s="566"/>
      <c r="P809" s="566"/>
      <c r="Q809" s="566"/>
      <c r="R809" s="566"/>
    </row>
    <row r="810" spans="1:18">
      <c r="A810" s="336"/>
      <c r="B810" s="566"/>
      <c r="C810" s="337"/>
      <c r="D810" s="566"/>
      <c r="E810" s="566"/>
      <c r="F810" s="566"/>
      <c r="G810" s="566"/>
      <c r="H810" s="337"/>
      <c r="I810" s="337"/>
      <c r="J810" s="566"/>
      <c r="K810" s="566"/>
      <c r="L810" s="566"/>
      <c r="M810" s="566"/>
      <c r="N810" s="566"/>
      <c r="O810" s="566"/>
      <c r="P810" s="566"/>
      <c r="Q810" s="566"/>
      <c r="R810" s="566"/>
    </row>
    <row r="811" spans="1:18">
      <c r="A811" s="215" t="s">
        <v>43</v>
      </c>
    </row>
    <row r="812" spans="1:18">
      <c r="A812" s="215" t="str">
        <f>A347</f>
        <v>DENOMINATION FOR JULI 2018</v>
      </c>
    </row>
    <row r="813" spans="1:18" ht="21" thickBot="1">
      <c r="A813" s="297"/>
    </row>
    <row r="814" spans="1:18" ht="21" thickTop="1">
      <c r="A814" s="1176" t="s">
        <v>1</v>
      </c>
      <c r="B814" s="1183" t="s">
        <v>15</v>
      </c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574">
        <f>M396</f>
        <v>0</v>
      </c>
      <c r="N814" s="568" t="s">
        <v>145</v>
      </c>
      <c r="O814" s="568" t="s">
        <v>253</v>
      </c>
      <c r="P814" s="1174" t="str">
        <f>P303</f>
        <v>TOTAL PREMI</v>
      </c>
      <c r="Q814" s="1174" t="str">
        <f>Q107</f>
        <v>TOTAL LEMBUR</v>
      </c>
      <c r="R814" s="1171" t="s">
        <v>3</v>
      </c>
    </row>
    <row r="815" spans="1:18" ht="21" thickBot="1">
      <c r="A815" s="1177"/>
      <c r="B815" s="1184"/>
      <c r="C815" s="223">
        <v>100000</v>
      </c>
      <c r="D815" s="223">
        <v>50000</v>
      </c>
      <c r="E815" s="223">
        <v>20000</v>
      </c>
      <c r="F815" s="223">
        <v>10000</v>
      </c>
      <c r="G815" s="223">
        <v>5000</v>
      </c>
      <c r="H815" s="223">
        <v>1000</v>
      </c>
      <c r="I815" s="223">
        <v>500</v>
      </c>
      <c r="J815" s="223">
        <v>100</v>
      </c>
      <c r="K815" s="223">
        <v>50</v>
      </c>
      <c r="L815" s="223" t="s">
        <v>2</v>
      </c>
      <c r="M815" s="575">
        <f>M397</f>
        <v>0</v>
      </c>
      <c r="N815" s="569" t="str">
        <f>N201</f>
        <v>(MASA JUNI  - 2018)</v>
      </c>
      <c r="O815" s="569" t="s">
        <v>254</v>
      </c>
      <c r="P815" s="1175"/>
      <c r="Q815" s="1175"/>
      <c r="R815" s="1172"/>
    </row>
    <row r="816" spans="1:18" ht="31.5" customHeight="1" thickTop="1">
      <c r="A816" s="404"/>
      <c r="B816" s="373"/>
      <c r="C816" s="385"/>
      <c r="D816" s="385"/>
      <c r="E816" s="385"/>
      <c r="F816" s="385"/>
      <c r="G816" s="385"/>
      <c r="H816" s="385"/>
      <c r="I816" s="385"/>
      <c r="J816" s="385"/>
      <c r="K816" s="385"/>
      <c r="L816" s="385"/>
      <c r="M816" s="302"/>
      <c r="N816" s="524"/>
      <c r="O816" s="302"/>
      <c r="P816" s="302"/>
      <c r="Q816" s="302"/>
      <c r="R816" s="386"/>
    </row>
    <row r="817" spans="1:18" ht="31.5" customHeight="1">
      <c r="A817" s="279" t="s">
        <v>258</v>
      </c>
      <c r="B817" s="532">
        <v>1</v>
      </c>
      <c r="C817" s="385"/>
      <c r="D817" s="385"/>
      <c r="E817" s="385"/>
      <c r="F817" s="385"/>
      <c r="G817" s="385"/>
      <c r="H817" s="385"/>
      <c r="I817" s="385"/>
      <c r="J817" s="385"/>
      <c r="K817" s="385"/>
      <c r="L817" s="385"/>
      <c r="M817" s="302"/>
      <c r="N817" s="524">
        <v>0</v>
      </c>
      <c r="O817" s="302"/>
      <c r="P817" s="524">
        <f>240650+119700</f>
        <v>360350</v>
      </c>
      <c r="Q817" s="524">
        <v>0</v>
      </c>
      <c r="R817" s="598">
        <v>1159429</v>
      </c>
    </row>
    <row r="818" spans="1:18" ht="31.5" customHeight="1" thickBot="1">
      <c r="A818" s="405"/>
      <c r="B818" s="402"/>
      <c r="C818" s="333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534"/>
      <c r="O818" s="334"/>
      <c r="P818" s="334"/>
      <c r="Q818" s="334"/>
      <c r="R818" s="335"/>
    </row>
    <row r="819" spans="1:18" ht="31.5" customHeight="1" thickTop="1" thickBot="1">
      <c r="A819" s="595" t="s">
        <v>3</v>
      </c>
      <c r="B819" s="262">
        <f t="shared" ref="B819:R819" si="65">SUM(B816:B818)</f>
        <v>1</v>
      </c>
      <c r="C819" s="262">
        <f t="shared" si="65"/>
        <v>0</v>
      </c>
      <c r="D819" s="262">
        <f t="shared" si="65"/>
        <v>0</v>
      </c>
      <c r="E819" s="262">
        <f t="shared" si="65"/>
        <v>0</v>
      </c>
      <c r="F819" s="262">
        <f t="shared" si="65"/>
        <v>0</v>
      </c>
      <c r="G819" s="262">
        <f t="shared" si="65"/>
        <v>0</v>
      </c>
      <c r="H819" s="262">
        <f t="shared" si="65"/>
        <v>0</v>
      </c>
      <c r="I819" s="262">
        <f t="shared" si="65"/>
        <v>0</v>
      </c>
      <c r="J819" s="262">
        <f t="shared" si="65"/>
        <v>0</v>
      </c>
      <c r="K819" s="262">
        <f t="shared" si="65"/>
        <v>0</v>
      </c>
      <c r="L819" s="262">
        <f t="shared" si="65"/>
        <v>0</v>
      </c>
      <c r="M819" s="262">
        <f t="shared" si="65"/>
        <v>0</v>
      </c>
      <c r="N819" s="262">
        <f t="shared" si="65"/>
        <v>0</v>
      </c>
      <c r="O819" s="262">
        <f t="shared" si="65"/>
        <v>0</v>
      </c>
      <c r="P819" s="262">
        <f t="shared" si="65"/>
        <v>360350</v>
      </c>
      <c r="Q819" s="262">
        <f t="shared" si="65"/>
        <v>0</v>
      </c>
      <c r="R819" s="262">
        <f t="shared" si="65"/>
        <v>1159429</v>
      </c>
    </row>
    <row r="820" spans="1:18" ht="21" thickTop="1">
      <c r="A820" s="336"/>
      <c r="B820" s="566"/>
      <c r="C820" s="337"/>
      <c r="D820" s="337"/>
      <c r="E820" s="337"/>
      <c r="F820" s="337"/>
      <c r="G820" s="337"/>
      <c r="H820" s="337"/>
      <c r="I820" s="337"/>
      <c r="J820" s="337"/>
      <c r="K820" s="337"/>
      <c r="L820" s="337"/>
      <c r="M820" s="337"/>
      <c r="N820" s="337"/>
      <c r="O820" s="337"/>
      <c r="P820" s="337"/>
      <c r="Q820" s="337"/>
      <c r="R820" s="337"/>
    </row>
    <row r="821" spans="1:18">
      <c r="A821" s="336"/>
      <c r="B821" s="566"/>
      <c r="C821" s="337"/>
      <c r="D821" s="337"/>
      <c r="E821" s="337"/>
      <c r="F821" s="337"/>
      <c r="G821" s="337"/>
      <c r="H821" s="337"/>
      <c r="I821" s="337"/>
      <c r="J821" s="337"/>
      <c r="K821" s="337"/>
      <c r="L821" s="337"/>
      <c r="M821" s="337"/>
      <c r="N821" s="337"/>
      <c r="O821" s="337"/>
      <c r="P821" s="337"/>
      <c r="Q821" s="337"/>
      <c r="R821" s="337"/>
    </row>
    <row r="822" spans="1:18">
      <c r="A822" s="336"/>
      <c r="B822" s="566"/>
      <c r="C822" s="337"/>
      <c r="D822" s="337"/>
      <c r="E822" s="337"/>
      <c r="F822" s="1173"/>
      <c r="G822" s="1173"/>
      <c r="H822" s="1173"/>
      <c r="I822" s="1173"/>
      <c r="J822" s="337"/>
      <c r="K822" s="337"/>
      <c r="L822" s="337"/>
      <c r="M822" s="337"/>
      <c r="N822" s="337"/>
      <c r="O822" s="337"/>
      <c r="P822" s="337"/>
      <c r="Q822" s="337"/>
      <c r="R822" s="337"/>
    </row>
    <row r="823" spans="1:18">
      <c r="A823" s="336"/>
      <c r="B823" s="566"/>
      <c r="C823" s="337"/>
      <c r="D823" s="337"/>
      <c r="E823" s="337"/>
      <c r="F823" s="337"/>
      <c r="G823" s="337"/>
      <c r="H823" s="337"/>
      <c r="I823" s="337"/>
      <c r="J823" s="337"/>
      <c r="K823" s="337"/>
      <c r="L823" s="337"/>
      <c r="M823" s="337"/>
      <c r="N823" s="337"/>
      <c r="O823" s="337"/>
      <c r="P823" s="337"/>
      <c r="Q823" s="337"/>
      <c r="R823" s="337"/>
    </row>
    <row r="824" spans="1:18">
      <c r="A824" s="336" t="s">
        <v>209</v>
      </c>
      <c r="B824" s="566"/>
      <c r="C824" s="337"/>
      <c r="D824" s="337"/>
      <c r="E824" s="337"/>
      <c r="F824" s="337"/>
      <c r="G824" s="337"/>
      <c r="H824" s="337"/>
      <c r="I824" s="337"/>
      <c r="J824" s="1173" t="s">
        <v>82</v>
      </c>
      <c r="K824" s="1173"/>
      <c r="L824" s="1173"/>
      <c r="M824" s="1173"/>
      <c r="N824" s="1173"/>
      <c r="O824" s="1173"/>
      <c r="P824" s="1173"/>
      <c r="Q824" s="1173"/>
      <c r="R824" s="1173"/>
    </row>
    <row r="825" spans="1:18">
      <c r="A825" s="336"/>
      <c r="B825" s="566"/>
      <c r="C825" s="337"/>
      <c r="D825" s="1173" t="s">
        <v>81</v>
      </c>
      <c r="E825" s="1173"/>
      <c r="F825" s="1173"/>
      <c r="G825" s="1173"/>
      <c r="H825" s="337"/>
      <c r="I825" s="337"/>
      <c r="J825" s="215"/>
      <c r="K825" s="215"/>
      <c r="L825" s="215"/>
      <c r="M825" s="215"/>
      <c r="N825" s="215"/>
      <c r="O825" s="215"/>
      <c r="P825" s="215"/>
      <c r="Q825" s="215"/>
      <c r="R825" s="215"/>
    </row>
    <row r="826" spans="1:18">
      <c r="A826" s="336"/>
      <c r="B826" s="566"/>
      <c r="C826" s="337"/>
      <c r="D826" s="566"/>
      <c r="E826" s="566"/>
      <c r="F826" s="566"/>
      <c r="G826" s="566"/>
      <c r="H826" s="337"/>
      <c r="I826" s="337"/>
      <c r="J826" s="566"/>
      <c r="K826" s="566"/>
      <c r="L826" s="566"/>
      <c r="M826" s="566"/>
      <c r="N826" s="566"/>
      <c r="O826" s="566"/>
      <c r="P826" s="566"/>
      <c r="Q826" s="566"/>
      <c r="R826" s="566"/>
    </row>
    <row r="827" spans="1:18">
      <c r="A827" s="336"/>
      <c r="B827" s="566"/>
      <c r="C827" s="337"/>
      <c r="D827" s="566"/>
      <c r="E827" s="566"/>
      <c r="F827" s="566"/>
      <c r="G827" s="566"/>
      <c r="H827" s="337"/>
      <c r="I827" s="337"/>
      <c r="J827" s="566"/>
      <c r="K827" s="566"/>
      <c r="L827" s="566"/>
      <c r="M827" s="566"/>
      <c r="N827" s="566"/>
      <c r="O827" s="566"/>
      <c r="P827" s="566"/>
      <c r="Q827" s="566"/>
      <c r="R827" s="566"/>
    </row>
    <row r="828" spans="1:18">
      <c r="A828" s="336"/>
      <c r="B828" s="566"/>
      <c r="C828" s="337"/>
      <c r="D828" s="566"/>
      <c r="E828" s="566"/>
      <c r="F828" s="566"/>
      <c r="G828" s="566"/>
      <c r="H828" s="337"/>
      <c r="I828" s="337"/>
      <c r="J828" s="566"/>
      <c r="K828" s="566"/>
      <c r="L828" s="566"/>
      <c r="M828" s="566"/>
      <c r="N828" s="566"/>
      <c r="O828" s="566"/>
      <c r="P828" s="566"/>
      <c r="Q828" s="566"/>
      <c r="R828" s="566"/>
    </row>
    <row r="829" spans="1:18">
      <c r="A829" s="336"/>
      <c r="B829" s="566"/>
      <c r="C829" s="337"/>
      <c r="D829" s="566"/>
      <c r="E829" s="566"/>
      <c r="F829" s="566"/>
      <c r="G829" s="566"/>
      <c r="H829" s="337"/>
      <c r="I829" s="337"/>
      <c r="J829" s="566"/>
      <c r="K829" s="566"/>
      <c r="L829" s="566"/>
      <c r="M829" s="566"/>
      <c r="N829" s="566"/>
      <c r="O829" s="566"/>
      <c r="P829" s="566"/>
      <c r="Q829" s="566"/>
      <c r="R829" s="566"/>
    </row>
    <row r="830" spans="1:18">
      <c r="A830" s="336"/>
      <c r="B830" s="566"/>
      <c r="C830" s="337"/>
      <c r="D830" s="566"/>
      <c r="E830" s="566"/>
      <c r="F830" s="566"/>
      <c r="G830" s="566"/>
      <c r="H830" s="337"/>
      <c r="I830" s="337"/>
      <c r="J830" s="566"/>
      <c r="K830" s="566"/>
      <c r="L830" s="566"/>
      <c r="M830" s="566"/>
      <c r="N830" s="566"/>
      <c r="O830" s="566"/>
      <c r="P830" s="566"/>
      <c r="Q830" s="566"/>
      <c r="R830" s="566"/>
    </row>
    <row r="831" spans="1:18">
      <c r="A831" s="336"/>
      <c r="B831" s="566"/>
      <c r="C831" s="337"/>
      <c r="D831" s="566"/>
      <c r="E831" s="566"/>
      <c r="F831" s="566"/>
      <c r="G831" s="566"/>
      <c r="H831" s="337"/>
      <c r="I831" s="337"/>
      <c r="J831" s="566"/>
      <c r="K831" s="566"/>
      <c r="L831" s="566"/>
      <c r="M831" s="566"/>
      <c r="N831" s="566"/>
      <c r="O831" s="566"/>
      <c r="P831" s="566"/>
      <c r="Q831" s="566"/>
      <c r="R831" s="566"/>
    </row>
    <row r="832" spans="1:18">
      <c r="A832" s="336"/>
      <c r="B832" s="566"/>
      <c r="C832" s="337"/>
      <c r="D832" s="566"/>
      <c r="E832" s="566"/>
      <c r="F832" s="566"/>
      <c r="G832" s="566"/>
      <c r="H832" s="337"/>
      <c r="I832" s="337"/>
      <c r="J832" s="566"/>
      <c r="K832" s="566"/>
      <c r="L832" s="566"/>
      <c r="M832" s="566"/>
      <c r="N832" s="566"/>
      <c r="O832" s="566"/>
      <c r="P832" s="566"/>
      <c r="Q832" s="566"/>
      <c r="R832" s="566"/>
    </row>
    <row r="833" spans="1:18">
      <c r="A833" s="336"/>
      <c r="B833" s="566"/>
      <c r="C833" s="337"/>
      <c r="D833" s="566"/>
      <c r="E833" s="566"/>
      <c r="F833" s="566"/>
      <c r="G833" s="566"/>
      <c r="H833" s="337"/>
      <c r="I833" s="337"/>
      <c r="J833" s="566"/>
      <c r="K833" s="566"/>
      <c r="L833" s="566"/>
      <c r="M833" s="566"/>
      <c r="N833" s="566"/>
      <c r="O833" s="566"/>
      <c r="P833" s="566"/>
      <c r="Q833" s="566"/>
      <c r="R833" s="566"/>
    </row>
    <row r="834" spans="1:18">
      <c r="A834" s="336"/>
      <c r="B834" s="566"/>
      <c r="C834" s="337"/>
      <c r="D834" s="566"/>
      <c r="E834" s="566"/>
      <c r="F834" s="566"/>
      <c r="G834" s="566"/>
      <c r="H834" s="337"/>
      <c r="I834" s="337"/>
      <c r="J834" s="566"/>
      <c r="K834" s="566"/>
      <c r="L834" s="566"/>
      <c r="M834" s="566"/>
      <c r="N834" s="566"/>
      <c r="O834" s="566"/>
      <c r="P834" s="566"/>
      <c r="Q834" s="566"/>
      <c r="R834" s="566"/>
    </row>
    <row r="835" spans="1:18">
      <c r="A835" s="336"/>
      <c r="B835" s="566"/>
      <c r="C835" s="337"/>
      <c r="D835" s="566"/>
      <c r="E835" s="566"/>
      <c r="F835" s="566"/>
      <c r="G835" s="566"/>
      <c r="H835" s="337"/>
      <c r="I835" s="337"/>
      <c r="J835" s="566"/>
      <c r="K835" s="566"/>
      <c r="L835" s="566"/>
      <c r="M835" s="566"/>
      <c r="N835" s="566"/>
      <c r="O835" s="566"/>
      <c r="P835" s="566"/>
      <c r="Q835" s="566"/>
      <c r="R835" s="566"/>
    </row>
    <row r="836" spans="1:18">
      <c r="A836" s="336"/>
      <c r="B836" s="566"/>
      <c r="C836" s="337"/>
      <c r="D836" s="566"/>
      <c r="E836" s="566"/>
      <c r="F836" s="566"/>
      <c r="G836" s="566"/>
      <c r="H836" s="337"/>
      <c r="I836" s="337"/>
      <c r="J836" s="566"/>
      <c r="K836" s="566"/>
      <c r="L836" s="566"/>
      <c r="M836" s="566"/>
      <c r="N836" s="566"/>
      <c r="O836" s="566"/>
      <c r="P836" s="566"/>
      <c r="Q836" s="566"/>
      <c r="R836" s="566"/>
    </row>
    <row r="837" spans="1:18">
      <c r="A837" s="336"/>
      <c r="B837" s="566"/>
      <c r="C837" s="337"/>
      <c r="D837" s="566"/>
      <c r="E837" s="566"/>
      <c r="F837" s="566"/>
      <c r="G837" s="566"/>
      <c r="H837" s="337"/>
      <c r="I837" s="337"/>
      <c r="J837" s="566"/>
      <c r="K837" s="566"/>
      <c r="L837" s="566"/>
      <c r="M837" s="566"/>
      <c r="N837" s="566"/>
      <c r="O837" s="566"/>
      <c r="P837" s="566"/>
      <c r="Q837" s="566"/>
      <c r="R837" s="566"/>
    </row>
    <row r="838" spans="1:18">
      <c r="A838" s="336"/>
      <c r="B838" s="566"/>
      <c r="C838" s="337"/>
      <c r="D838" s="566"/>
      <c r="E838" s="566"/>
      <c r="F838" s="566"/>
      <c r="G838" s="566"/>
      <c r="H838" s="337"/>
      <c r="I838" s="337"/>
      <c r="J838" s="566"/>
      <c r="K838" s="566"/>
      <c r="L838" s="566"/>
      <c r="M838" s="566"/>
      <c r="N838" s="566"/>
      <c r="O838" s="566"/>
      <c r="P838" s="566"/>
      <c r="Q838" s="566"/>
      <c r="R838" s="566"/>
    </row>
    <row r="839" spans="1:18">
      <c r="A839" s="336"/>
      <c r="B839" s="566"/>
      <c r="C839" s="337"/>
      <c r="D839" s="566"/>
      <c r="E839" s="566"/>
      <c r="F839" s="566"/>
      <c r="G839" s="566"/>
      <c r="H839" s="337"/>
      <c r="I839" s="337"/>
      <c r="J839" s="566"/>
      <c r="K839" s="566"/>
      <c r="L839" s="566"/>
      <c r="M839" s="566"/>
      <c r="N839" s="566"/>
      <c r="O839" s="566"/>
      <c r="P839" s="566"/>
      <c r="Q839" s="566"/>
      <c r="R839" s="566"/>
    </row>
    <row r="840" spans="1:18">
      <c r="A840" s="336"/>
      <c r="B840" s="566"/>
      <c r="C840" s="337"/>
      <c r="D840" s="566"/>
      <c r="E840" s="566"/>
      <c r="F840" s="566"/>
      <c r="G840" s="566"/>
      <c r="H840" s="337"/>
      <c r="I840" s="337"/>
      <c r="J840" s="566"/>
      <c r="K840" s="566"/>
      <c r="L840" s="566"/>
      <c r="M840" s="566"/>
      <c r="N840" s="566"/>
      <c r="O840" s="566"/>
      <c r="P840" s="566"/>
      <c r="Q840" s="566"/>
      <c r="R840" s="566"/>
    </row>
    <row r="841" spans="1:18">
      <c r="A841" s="336"/>
      <c r="B841" s="566"/>
      <c r="C841" s="337"/>
      <c r="D841" s="566"/>
      <c r="E841" s="566"/>
      <c r="F841" s="566"/>
      <c r="G841" s="566"/>
      <c r="H841" s="337"/>
      <c r="I841" s="337"/>
      <c r="J841" s="566"/>
      <c r="K841" s="566"/>
      <c r="L841" s="566"/>
      <c r="M841" s="566"/>
      <c r="N841" s="566"/>
      <c r="O841" s="566"/>
      <c r="P841" s="566"/>
      <c r="Q841" s="566"/>
      <c r="R841" s="566"/>
    </row>
    <row r="842" spans="1:18">
      <c r="A842" s="336"/>
      <c r="B842" s="566"/>
      <c r="C842" s="337"/>
      <c r="D842" s="566"/>
      <c r="E842" s="566"/>
      <c r="F842" s="566"/>
      <c r="G842" s="566"/>
      <c r="H842" s="337"/>
      <c r="I842" s="337"/>
      <c r="J842" s="566"/>
      <c r="K842" s="566"/>
      <c r="L842" s="566"/>
      <c r="M842" s="566"/>
      <c r="N842" s="566"/>
      <c r="O842" s="566"/>
      <c r="P842" s="566"/>
      <c r="Q842" s="566"/>
      <c r="R842" s="566"/>
    </row>
    <row r="843" spans="1:18">
      <c r="A843" s="336"/>
      <c r="B843" s="566"/>
      <c r="C843" s="337"/>
      <c r="D843" s="566"/>
      <c r="E843" s="566"/>
      <c r="F843" s="566"/>
      <c r="G843" s="566"/>
      <c r="H843" s="337"/>
      <c r="I843" s="337"/>
      <c r="J843" s="566"/>
      <c r="K843" s="566"/>
      <c r="L843" s="566"/>
      <c r="M843" s="566"/>
      <c r="N843" s="566"/>
      <c r="O843" s="566"/>
      <c r="P843" s="566"/>
      <c r="Q843" s="566"/>
      <c r="R843" s="566"/>
    </row>
    <row r="844" spans="1:18">
      <c r="B844" s="566"/>
      <c r="C844" s="337"/>
      <c r="D844" s="566"/>
      <c r="E844" s="566"/>
      <c r="F844" s="566"/>
      <c r="G844" s="566"/>
      <c r="H844" s="337"/>
      <c r="I844" s="337"/>
      <c r="J844" s="566"/>
      <c r="K844" s="566"/>
      <c r="L844" s="566"/>
      <c r="M844" s="566"/>
      <c r="N844" s="566"/>
      <c r="O844" s="566"/>
      <c r="P844" s="566"/>
      <c r="Q844" s="566"/>
      <c r="R844" s="566"/>
    </row>
  </sheetData>
  <mergeCells count="215">
    <mergeCell ref="F822:I822"/>
    <mergeCell ref="J824:R824"/>
    <mergeCell ref="D825:G825"/>
    <mergeCell ref="D807:G807"/>
    <mergeCell ref="J807:R807"/>
    <mergeCell ref="A814:A815"/>
    <mergeCell ref="B814:B815"/>
    <mergeCell ref="P814:P815"/>
    <mergeCell ref="Q814:Q815"/>
    <mergeCell ref="R814:R815"/>
    <mergeCell ref="D764:G764"/>
    <mergeCell ref="A771:A772"/>
    <mergeCell ref="B771:B772"/>
    <mergeCell ref="N771:Q772"/>
    <mergeCell ref="R771:R772"/>
    <mergeCell ref="D784:G784"/>
    <mergeCell ref="J784:R784"/>
    <mergeCell ref="N751:Q751"/>
    <mergeCell ref="N752:Q752"/>
    <mergeCell ref="N753:Q753"/>
    <mergeCell ref="N754:Q754"/>
    <mergeCell ref="J760:R760"/>
    <mergeCell ref="N763:V763"/>
    <mergeCell ref="N745:Q745"/>
    <mergeCell ref="N746:Q746"/>
    <mergeCell ref="N747:Q747"/>
    <mergeCell ref="N748:Q748"/>
    <mergeCell ref="N749:Q749"/>
    <mergeCell ref="N750:Q750"/>
    <mergeCell ref="N739:Q740"/>
    <mergeCell ref="R739:R740"/>
    <mergeCell ref="N741:Q741"/>
    <mergeCell ref="N742:Q742"/>
    <mergeCell ref="N743:Q743"/>
    <mergeCell ref="N744:Q744"/>
    <mergeCell ref="G739:G740"/>
    <mergeCell ref="H739:H740"/>
    <mergeCell ref="I739:I740"/>
    <mergeCell ref="J739:J740"/>
    <mergeCell ref="K739:K740"/>
    <mergeCell ref="L739:L740"/>
    <mergeCell ref="A739:A740"/>
    <mergeCell ref="B739:B740"/>
    <mergeCell ref="C739:C740"/>
    <mergeCell ref="D739:D740"/>
    <mergeCell ref="E739:E740"/>
    <mergeCell ref="F739:F740"/>
    <mergeCell ref="D686:G686"/>
    <mergeCell ref="J686:R686"/>
    <mergeCell ref="D709:G709"/>
    <mergeCell ref="J709:R709"/>
    <mergeCell ref="D731:G731"/>
    <mergeCell ref="J731:R731"/>
    <mergeCell ref="A672:A673"/>
    <mergeCell ref="B672:B673"/>
    <mergeCell ref="P672:P673"/>
    <mergeCell ref="Q672:Q673"/>
    <mergeCell ref="R672:R673"/>
    <mergeCell ref="J685:R685"/>
    <mergeCell ref="J618:R618"/>
    <mergeCell ref="D619:G619"/>
    <mergeCell ref="J619:R619"/>
    <mergeCell ref="D643:G643"/>
    <mergeCell ref="J643:R643"/>
    <mergeCell ref="D667:G667"/>
    <mergeCell ref="J667:R667"/>
    <mergeCell ref="D568:G568"/>
    <mergeCell ref="J568:R568"/>
    <mergeCell ref="D591:G591"/>
    <mergeCell ref="J591:R591"/>
    <mergeCell ref="B600:B601"/>
    <mergeCell ref="R600:R601"/>
    <mergeCell ref="D499:G499"/>
    <mergeCell ref="J499:R499"/>
    <mergeCell ref="D524:G524"/>
    <mergeCell ref="J524:R524"/>
    <mergeCell ref="D546:G546"/>
    <mergeCell ref="J546:R546"/>
    <mergeCell ref="J474:R474"/>
    <mergeCell ref="A483:A484"/>
    <mergeCell ref="B483:B484"/>
    <mergeCell ref="N483:Q484"/>
    <mergeCell ref="R483:R484"/>
    <mergeCell ref="J498:R498"/>
    <mergeCell ref="X383:X384"/>
    <mergeCell ref="J396:R396"/>
    <mergeCell ref="D397:G397"/>
    <mergeCell ref="N399:R399"/>
    <mergeCell ref="A403:A404"/>
    <mergeCell ref="B403:B404"/>
    <mergeCell ref="P403:P404"/>
    <mergeCell ref="Q403:Q404"/>
    <mergeCell ref="R403:R404"/>
    <mergeCell ref="X403:X404"/>
    <mergeCell ref="F373:I373"/>
    <mergeCell ref="J375:R375"/>
    <mergeCell ref="D376:G376"/>
    <mergeCell ref="A383:A384"/>
    <mergeCell ref="P383:P384"/>
    <mergeCell ref="Q383:Q384"/>
    <mergeCell ref="R383:R384"/>
    <mergeCell ref="X328:X329"/>
    <mergeCell ref="D337:G337"/>
    <mergeCell ref="J337:R337"/>
    <mergeCell ref="A349:A350"/>
    <mergeCell ref="B349:B350"/>
    <mergeCell ref="P349:P350"/>
    <mergeCell ref="Q349:Q350"/>
    <mergeCell ref="R349:R350"/>
    <mergeCell ref="X349:X350"/>
    <mergeCell ref="D316:G316"/>
    <mergeCell ref="J316:R316"/>
    <mergeCell ref="D320:G320"/>
    <mergeCell ref="J320:R320"/>
    <mergeCell ref="A328:A329"/>
    <mergeCell ref="B328:B329"/>
    <mergeCell ref="P328:P329"/>
    <mergeCell ref="Q328:Q329"/>
    <mergeCell ref="R328:R329"/>
    <mergeCell ref="A303:A304"/>
    <mergeCell ref="B303:B304"/>
    <mergeCell ref="P303:P304"/>
    <mergeCell ref="Q303:Q304"/>
    <mergeCell ref="R303:R304"/>
    <mergeCell ref="X303:X304"/>
    <mergeCell ref="X262:X263"/>
    <mergeCell ref="D293:G293"/>
    <mergeCell ref="J293:R293"/>
    <mergeCell ref="D297:G297"/>
    <mergeCell ref="J297:R297"/>
    <mergeCell ref="J299:K299"/>
    <mergeCell ref="X230:X231"/>
    <mergeCell ref="D251:G251"/>
    <mergeCell ref="J251:R251"/>
    <mergeCell ref="D255:G255"/>
    <mergeCell ref="J255:R255"/>
    <mergeCell ref="A262:A263"/>
    <mergeCell ref="B262:B263"/>
    <mergeCell ref="P262:P263"/>
    <mergeCell ref="Q262:Q263"/>
    <mergeCell ref="R262:R263"/>
    <mergeCell ref="D219:G219"/>
    <mergeCell ref="J219:R219"/>
    <mergeCell ref="D223:G223"/>
    <mergeCell ref="J223:R223"/>
    <mergeCell ref="A230:A231"/>
    <mergeCell ref="B230:B231"/>
    <mergeCell ref="P230:P231"/>
    <mergeCell ref="Q230:Q231"/>
    <mergeCell ref="R230:R231"/>
    <mergeCell ref="X172:X173"/>
    <mergeCell ref="D190:G190"/>
    <mergeCell ref="J190:R190"/>
    <mergeCell ref="D194:G194"/>
    <mergeCell ref="J194:R194"/>
    <mergeCell ref="A200:A201"/>
    <mergeCell ref="B200:B201"/>
    <mergeCell ref="P200:P201"/>
    <mergeCell ref="Q200:Q201"/>
    <mergeCell ref="R200:R201"/>
    <mergeCell ref="X200:X201"/>
    <mergeCell ref="D162:G162"/>
    <mergeCell ref="J162:R162"/>
    <mergeCell ref="D166:G166"/>
    <mergeCell ref="J166:R166"/>
    <mergeCell ref="A172:A173"/>
    <mergeCell ref="B172:B173"/>
    <mergeCell ref="P172:P173"/>
    <mergeCell ref="Q172:Q173"/>
    <mergeCell ref="R172:R173"/>
    <mergeCell ref="X107:X108"/>
    <mergeCell ref="D128:G128"/>
    <mergeCell ref="J128:R128"/>
    <mergeCell ref="D132:G132"/>
    <mergeCell ref="J132:R132"/>
    <mergeCell ref="A139:A140"/>
    <mergeCell ref="B139:B140"/>
    <mergeCell ref="P139:P140"/>
    <mergeCell ref="Q139:Q140"/>
    <mergeCell ref="R139:R140"/>
    <mergeCell ref="X139:X140"/>
    <mergeCell ref="D96:G96"/>
    <mergeCell ref="J96:R96"/>
    <mergeCell ref="D100:G100"/>
    <mergeCell ref="J100:R100"/>
    <mergeCell ref="A107:A108"/>
    <mergeCell ref="B107:B108"/>
    <mergeCell ref="P107:P108"/>
    <mergeCell ref="Q107:Q108"/>
    <mergeCell ref="R107:R108"/>
    <mergeCell ref="A75:A76"/>
    <mergeCell ref="B75:B76"/>
    <mergeCell ref="P75:P76"/>
    <mergeCell ref="Q75:Q76"/>
    <mergeCell ref="R75:R76"/>
    <mergeCell ref="X75:X76"/>
    <mergeCell ref="X40:X41"/>
    <mergeCell ref="I60:K60"/>
    <mergeCell ref="D63:G63"/>
    <mergeCell ref="J63:R63"/>
    <mergeCell ref="D67:G67"/>
    <mergeCell ref="J67:R67"/>
    <mergeCell ref="X6:X7"/>
    <mergeCell ref="D28:G28"/>
    <mergeCell ref="J28:R28"/>
    <mergeCell ref="A40:A41"/>
    <mergeCell ref="B40:B41"/>
    <mergeCell ref="P40:P41"/>
    <mergeCell ref="Q40:Q41"/>
    <mergeCell ref="R40:R41"/>
    <mergeCell ref="A6:A7"/>
    <mergeCell ref="B6:B7"/>
    <mergeCell ref="P6:P7"/>
    <mergeCell ref="Q6:Q7"/>
    <mergeCell ref="R6:R7"/>
  </mergeCells>
  <printOptions horizontalCentered="1"/>
  <pageMargins left="0.15748031496062992" right="0.11811023622047245" top="0.19685039370078741" bottom="0.23622047244094491" header="0.11811023622047245" footer="3.937007874015748E-2"/>
  <pageSetup paperSize="9" scale="35" orientation="landscape" horizontalDpi="4294967293" r:id="rId1"/>
  <headerFooter alignWithMargins="0"/>
  <rowBreaks count="27" manualBreakCount="27">
    <brk id="34" max="22" man="1"/>
    <brk id="69" max="22" man="1"/>
    <brk id="101" max="16383" man="1"/>
    <brk id="133" max="16383" man="1"/>
    <brk id="166" max="16383" man="1"/>
    <brk id="194" max="22" man="1"/>
    <brk id="224" max="22" man="1"/>
    <brk id="256" max="16383" man="1"/>
    <brk id="297" max="16383" man="1"/>
    <brk id="322" max="22" man="1"/>
    <brk id="343" max="22" man="1"/>
    <brk id="377" max="22" man="1"/>
    <brk id="400" max="22" man="1"/>
    <brk id="478" max="22" man="1"/>
    <brk id="503" max="22" man="1"/>
    <brk id="525" max="22" man="1"/>
    <brk id="548" max="22" man="1"/>
    <brk id="570" max="22" man="1"/>
    <brk id="595" max="22" man="1"/>
    <brk id="620" max="22" man="1"/>
    <brk id="645" max="22" man="1"/>
    <brk id="667" max="22" man="1"/>
    <brk id="688" max="22" man="1"/>
    <brk id="712" max="22" man="1"/>
    <brk id="735" max="22" man="1"/>
    <brk id="766" max="22" man="1"/>
    <brk id="808" max="2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91"/>
  <sheetViews>
    <sheetView topLeftCell="C34" workbookViewId="0">
      <selection activeCell="Q31" sqref="Q31"/>
    </sheetView>
  </sheetViews>
  <sheetFormatPr defaultRowHeight="12.75"/>
  <cols>
    <col min="1" max="1" width="8.140625" style="26" customWidth="1"/>
    <col min="2" max="2" width="18.28515625" customWidth="1"/>
    <col min="3" max="3" width="36" customWidth="1"/>
    <col min="5" max="5" width="9.85546875" bestFit="1" customWidth="1"/>
    <col min="6" max="6" width="11.5703125" customWidth="1"/>
    <col min="7" max="7" width="12.42578125" customWidth="1"/>
    <col min="13" max="13" width="11" bestFit="1" customWidth="1"/>
    <col min="14" max="14" width="11.28515625" bestFit="1" customWidth="1"/>
    <col min="15" max="15" width="11.140625" customWidth="1"/>
  </cols>
  <sheetData>
    <row r="5" spans="1:3" s="418" customFormat="1" ht="30" customHeight="1">
      <c r="A5" s="111" t="s">
        <v>345</v>
      </c>
      <c r="B5" s="111" t="s">
        <v>98</v>
      </c>
      <c r="C5" s="111" t="s">
        <v>344</v>
      </c>
    </row>
    <row r="6" spans="1:3" s="419" customFormat="1" ht="30" customHeight="1">
      <c r="A6" s="552">
        <v>1</v>
      </c>
      <c r="B6" s="553" t="s">
        <v>340</v>
      </c>
      <c r="C6" s="600" t="s">
        <v>347</v>
      </c>
    </row>
    <row r="7" spans="1:3" s="419" customFormat="1" ht="30" customHeight="1">
      <c r="A7" s="552">
        <v>2</v>
      </c>
      <c r="B7" s="553" t="s">
        <v>341</v>
      </c>
      <c r="C7" s="600" t="s">
        <v>346</v>
      </c>
    </row>
    <row r="8" spans="1:3" s="419" customFormat="1" ht="30" customHeight="1">
      <c r="A8" s="552">
        <v>3</v>
      </c>
      <c r="B8" s="553" t="s">
        <v>342</v>
      </c>
      <c r="C8" s="600" t="s">
        <v>346</v>
      </c>
    </row>
    <row r="9" spans="1:3" s="419" customFormat="1" ht="30" customHeight="1">
      <c r="A9" s="552">
        <v>4</v>
      </c>
      <c r="B9" s="553" t="s">
        <v>343</v>
      </c>
      <c r="C9" s="600" t="s">
        <v>346</v>
      </c>
    </row>
    <row r="10" spans="1:3" s="419" customFormat="1" ht="30" customHeight="1">
      <c r="A10" s="552">
        <v>5</v>
      </c>
      <c r="B10" s="553" t="s">
        <v>233</v>
      </c>
      <c r="C10" s="600" t="s">
        <v>346</v>
      </c>
    </row>
    <row r="11" spans="1:3" s="419" customFormat="1" ht="30" customHeight="1">
      <c r="A11" s="552">
        <v>6</v>
      </c>
      <c r="B11" s="553" t="s">
        <v>235</v>
      </c>
      <c r="C11" s="600" t="s">
        <v>347</v>
      </c>
    </row>
    <row r="12" spans="1:3" s="419" customFormat="1" ht="30" customHeight="1">
      <c r="A12" s="552">
        <v>7</v>
      </c>
      <c r="B12" s="553" t="s">
        <v>236</v>
      </c>
      <c r="C12" s="600" t="s">
        <v>346</v>
      </c>
    </row>
    <row r="13" spans="1:3" s="419" customFormat="1" ht="30" customHeight="1">
      <c r="A13" s="552">
        <v>8</v>
      </c>
      <c r="B13" s="553" t="s">
        <v>237</v>
      </c>
      <c r="C13" s="600" t="s">
        <v>346</v>
      </c>
    </row>
    <row r="14" spans="1:3" s="419" customFormat="1" ht="30" customHeight="1">
      <c r="A14" s="552">
        <v>9</v>
      </c>
      <c r="B14" s="553" t="s">
        <v>281</v>
      </c>
      <c r="C14" s="600" t="s">
        <v>346</v>
      </c>
    </row>
    <row r="15" spans="1:3" s="419" customFormat="1" ht="30" customHeight="1">
      <c r="A15" s="552">
        <v>10</v>
      </c>
      <c r="B15" s="553" t="s">
        <v>30</v>
      </c>
      <c r="C15" s="600" t="s">
        <v>347</v>
      </c>
    </row>
    <row r="16" spans="1:3" s="419" customFormat="1" ht="30" customHeight="1">
      <c r="A16" s="552">
        <v>11</v>
      </c>
      <c r="B16" s="553" t="s">
        <v>44</v>
      </c>
      <c r="C16" s="600" t="s">
        <v>347</v>
      </c>
    </row>
    <row r="17" spans="1:15" s="419" customFormat="1" ht="30" customHeight="1">
      <c r="A17" s="552">
        <v>12</v>
      </c>
      <c r="B17" s="553" t="s">
        <v>31</v>
      </c>
      <c r="C17" s="600" t="s">
        <v>346</v>
      </c>
    </row>
    <row r="18" spans="1:15" s="419" customFormat="1" ht="30" customHeight="1">
      <c r="A18" s="552">
        <v>13</v>
      </c>
      <c r="B18" s="553" t="s">
        <v>238</v>
      </c>
      <c r="C18" s="600" t="s">
        <v>348</v>
      </c>
    </row>
    <row r="27" spans="1:15" ht="15">
      <c r="E27" s="603">
        <v>100000</v>
      </c>
      <c r="F27" s="603">
        <v>50000</v>
      </c>
      <c r="G27" s="603">
        <v>20000</v>
      </c>
      <c r="H27" s="603">
        <v>10000</v>
      </c>
      <c r="I27" s="603">
        <v>5000</v>
      </c>
      <c r="J27" s="603">
        <v>1000</v>
      </c>
      <c r="K27" s="603">
        <v>500</v>
      </c>
      <c r="L27" s="603">
        <v>100</v>
      </c>
      <c r="M27" s="604" t="s">
        <v>414</v>
      </c>
    </row>
    <row r="28" spans="1:15" ht="15">
      <c r="B28">
        <v>1</v>
      </c>
      <c r="C28">
        <v>330653</v>
      </c>
      <c r="E28" s="605">
        <f>ROUNDDOWN(C28/100000,0)</f>
        <v>3</v>
      </c>
      <c r="F28" s="605">
        <f>ROUNDDOWN((C28-E28*100000)/50000,0)</f>
        <v>0</v>
      </c>
      <c r="G28" s="605">
        <f>ROUNDDOWN((C28-E28*100000-F28*50000)/20000,0)</f>
        <v>1</v>
      </c>
      <c r="H28" s="605">
        <f>ROUNDDOWN((C28-E28*100000-F28*50000-G28*20000)/10000,0)</f>
        <v>1</v>
      </c>
      <c r="I28" s="605">
        <f>ROUNDDOWN((C28-E28*100000-F28*50000-G28*20000-H28*10000)/5000,0)</f>
        <v>0</v>
      </c>
      <c r="J28" s="605">
        <f>ROUNDDOWN((C28-E28*100000-F28*50000-G28*20000-H28*10000-I28*5000)/1000,0)</f>
        <v>0</v>
      </c>
      <c r="K28" s="605">
        <f>ROUNDDOWN((C28-E28*100000-F28*50000-G28*20000-H28*10000-I28*5000-J28*1000)/500,0)</f>
        <v>1</v>
      </c>
      <c r="L28" s="605">
        <f>ROUNDDOWN((C28-E28*100000-F28*50000-G28*20000-H28*10000-I28*5000-J28*1000-K28*500)/100,0)</f>
        <v>1</v>
      </c>
      <c r="M28" s="605">
        <f>C28-N28</f>
        <v>53</v>
      </c>
      <c r="N28" s="606">
        <f>E28*100000+F28*50000+G28*20000+H28*10000+I28*5000+J28*1000+K28*500+L28*100</f>
        <v>330600</v>
      </c>
      <c r="O28" s="608">
        <f>N28+M28</f>
        <v>330653</v>
      </c>
    </row>
    <row r="29" spans="1:15" ht="15">
      <c r="B29">
        <v>2</v>
      </c>
      <c r="C29">
        <v>330653</v>
      </c>
      <c r="E29" s="605">
        <f t="shared" ref="E29:E40" si="0">ROUNDDOWN(C29/100000,0)</f>
        <v>3</v>
      </c>
      <c r="F29" s="605">
        <f t="shared" ref="F29:F40" si="1">ROUNDDOWN((C29-E29*100000)/50000,0)</f>
        <v>0</v>
      </c>
      <c r="G29" s="605">
        <f t="shared" ref="G29:G40" si="2">ROUNDDOWN((C29-E29*100000-F29*50000)/20000,0)</f>
        <v>1</v>
      </c>
      <c r="H29" s="605">
        <f t="shared" ref="H29:H40" si="3">ROUNDDOWN((C29-E29*100000-F29*50000-G29*20000)/10000,0)</f>
        <v>1</v>
      </c>
      <c r="I29" s="605">
        <f t="shared" ref="I29:I40" si="4">ROUNDDOWN((C29-E29*100000-F29*50000-G29*20000-H29*10000)/5000,0)</f>
        <v>0</v>
      </c>
      <c r="J29" s="605">
        <f t="shared" ref="J29:J40" si="5">ROUNDDOWN((C29-E29*100000-F29*50000-G29*20000-H29*10000-I29*5000)/1000,0)</f>
        <v>0</v>
      </c>
      <c r="K29" s="605">
        <f t="shared" ref="K29:K40" si="6">ROUNDDOWN((C29-E29*100000-F29*50000-G29*20000-H29*10000-I29*5000-J29*1000)/500,0)</f>
        <v>1</v>
      </c>
      <c r="L29" s="605">
        <f t="shared" ref="L29:L40" si="7">ROUNDDOWN((C29-E29*100000-F29*50000-G29*20000-H29*10000-I29*5000-J29*1000-K29*500)/100,0)</f>
        <v>1</v>
      </c>
      <c r="M29" s="605">
        <f t="shared" ref="M29:M40" si="8">C29-N29</f>
        <v>53</v>
      </c>
      <c r="N29" s="606">
        <f t="shared" ref="N29:N61" si="9">E29*100000+F29*50000+G29*20000+H29*10000+I29*5000+J29*1000+K29*500+L29*100</f>
        <v>330600</v>
      </c>
      <c r="O29" s="608">
        <f t="shared" ref="O29:O77" si="10">N29+M29</f>
        <v>330653</v>
      </c>
    </row>
    <row r="30" spans="1:15" ht="15">
      <c r="B30">
        <v>3</v>
      </c>
      <c r="C30">
        <v>330653</v>
      </c>
      <c r="E30" s="605">
        <f t="shared" si="0"/>
        <v>3</v>
      </c>
      <c r="F30" s="605">
        <f t="shared" si="1"/>
        <v>0</v>
      </c>
      <c r="G30" s="605">
        <f t="shared" si="2"/>
        <v>1</v>
      </c>
      <c r="H30" s="605">
        <f t="shared" si="3"/>
        <v>1</v>
      </c>
      <c r="I30" s="605">
        <f t="shared" si="4"/>
        <v>0</v>
      </c>
      <c r="J30" s="605">
        <f t="shared" si="5"/>
        <v>0</v>
      </c>
      <c r="K30" s="605">
        <f t="shared" si="6"/>
        <v>1</v>
      </c>
      <c r="L30" s="605">
        <f t="shared" si="7"/>
        <v>1</v>
      </c>
      <c r="M30" s="605">
        <f t="shared" si="8"/>
        <v>53</v>
      </c>
      <c r="N30" s="606">
        <f t="shared" si="9"/>
        <v>330600</v>
      </c>
      <c r="O30" s="608">
        <f t="shared" si="10"/>
        <v>330653</v>
      </c>
    </row>
    <row r="31" spans="1:15" ht="15">
      <c r="B31">
        <v>4</v>
      </c>
      <c r="C31">
        <v>330653</v>
      </c>
      <c r="E31" s="605">
        <f t="shared" si="0"/>
        <v>3</v>
      </c>
      <c r="F31" s="605">
        <f t="shared" si="1"/>
        <v>0</v>
      </c>
      <c r="G31" s="605">
        <f t="shared" si="2"/>
        <v>1</v>
      </c>
      <c r="H31" s="605">
        <f t="shared" si="3"/>
        <v>1</v>
      </c>
      <c r="I31" s="605">
        <f t="shared" si="4"/>
        <v>0</v>
      </c>
      <c r="J31" s="605">
        <f t="shared" si="5"/>
        <v>0</v>
      </c>
      <c r="K31" s="605">
        <f t="shared" si="6"/>
        <v>1</v>
      </c>
      <c r="L31" s="605">
        <f t="shared" si="7"/>
        <v>1</v>
      </c>
      <c r="M31" s="605">
        <f t="shared" si="8"/>
        <v>53</v>
      </c>
      <c r="N31" s="606">
        <f t="shared" si="9"/>
        <v>330600</v>
      </c>
      <c r="O31" s="608">
        <f t="shared" si="10"/>
        <v>330653</v>
      </c>
    </row>
    <row r="32" spans="1:15" ht="15">
      <c r="B32">
        <v>5</v>
      </c>
      <c r="C32">
        <v>330653</v>
      </c>
      <c r="E32" s="605">
        <f t="shared" si="0"/>
        <v>3</v>
      </c>
      <c r="F32" s="605">
        <f t="shared" si="1"/>
        <v>0</v>
      </c>
      <c r="G32" s="605">
        <f t="shared" si="2"/>
        <v>1</v>
      </c>
      <c r="H32" s="605">
        <f t="shared" si="3"/>
        <v>1</v>
      </c>
      <c r="I32" s="605">
        <f t="shared" si="4"/>
        <v>0</v>
      </c>
      <c r="J32" s="605">
        <f t="shared" si="5"/>
        <v>0</v>
      </c>
      <c r="K32" s="605">
        <f t="shared" si="6"/>
        <v>1</v>
      </c>
      <c r="L32" s="605">
        <f t="shared" si="7"/>
        <v>1</v>
      </c>
      <c r="M32" s="605">
        <f t="shared" si="8"/>
        <v>53</v>
      </c>
      <c r="N32" s="606">
        <f t="shared" si="9"/>
        <v>330600</v>
      </c>
      <c r="O32" s="608">
        <f t="shared" si="10"/>
        <v>330653</v>
      </c>
    </row>
    <row r="33" spans="2:15" ht="15">
      <c r="B33">
        <v>6</v>
      </c>
      <c r="C33">
        <v>330653</v>
      </c>
      <c r="E33" s="605">
        <f t="shared" si="0"/>
        <v>3</v>
      </c>
      <c r="F33" s="605">
        <f t="shared" si="1"/>
        <v>0</v>
      </c>
      <c r="G33" s="605">
        <f t="shared" si="2"/>
        <v>1</v>
      </c>
      <c r="H33" s="605">
        <f t="shared" si="3"/>
        <v>1</v>
      </c>
      <c r="I33" s="605">
        <f t="shared" si="4"/>
        <v>0</v>
      </c>
      <c r="J33" s="605">
        <f t="shared" si="5"/>
        <v>0</v>
      </c>
      <c r="K33" s="605">
        <f t="shared" si="6"/>
        <v>1</v>
      </c>
      <c r="L33" s="605">
        <f t="shared" si="7"/>
        <v>1</v>
      </c>
      <c r="M33" s="605">
        <f t="shared" si="8"/>
        <v>53</v>
      </c>
      <c r="N33" s="606">
        <f t="shared" si="9"/>
        <v>330600</v>
      </c>
      <c r="O33" s="608">
        <f t="shared" si="10"/>
        <v>330653</v>
      </c>
    </row>
    <row r="34" spans="2:15" ht="15">
      <c r="B34">
        <v>7</v>
      </c>
      <c r="C34">
        <v>330653</v>
      </c>
      <c r="E34" s="605">
        <f t="shared" si="0"/>
        <v>3</v>
      </c>
      <c r="F34" s="605">
        <f t="shared" si="1"/>
        <v>0</v>
      </c>
      <c r="G34" s="605">
        <f t="shared" si="2"/>
        <v>1</v>
      </c>
      <c r="H34" s="605">
        <f t="shared" si="3"/>
        <v>1</v>
      </c>
      <c r="I34" s="605">
        <f t="shared" si="4"/>
        <v>0</v>
      </c>
      <c r="J34" s="605">
        <f t="shared" si="5"/>
        <v>0</v>
      </c>
      <c r="K34" s="605">
        <f t="shared" si="6"/>
        <v>1</v>
      </c>
      <c r="L34" s="605">
        <f t="shared" si="7"/>
        <v>1</v>
      </c>
      <c r="M34" s="605">
        <f t="shared" si="8"/>
        <v>53</v>
      </c>
      <c r="N34" s="606">
        <f t="shared" si="9"/>
        <v>330600</v>
      </c>
      <c r="O34" s="608">
        <f t="shared" si="10"/>
        <v>330653</v>
      </c>
    </row>
    <row r="35" spans="2:15" ht="15">
      <c r="B35">
        <v>8</v>
      </c>
      <c r="C35">
        <v>330653</v>
      </c>
      <c r="E35" s="605">
        <f t="shared" si="0"/>
        <v>3</v>
      </c>
      <c r="F35" s="605">
        <f t="shared" si="1"/>
        <v>0</v>
      </c>
      <c r="G35" s="605">
        <f t="shared" si="2"/>
        <v>1</v>
      </c>
      <c r="H35" s="605">
        <f t="shared" si="3"/>
        <v>1</v>
      </c>
      <c r="I35" s="605">
        <f t="shared" si="4"/>
        <v>0</v>
      </c>
      <c r="J35" s="605">
        <f t="shared" si="5"/>
        <v>0</v>
      </c>
      <c r="K35" s="605">
        <f t="shared" si="6"/>
        <v>1</v>
      </c>
      <c r="L35" s="605">
        <f t="shared" si="7"/>
        <v>1</v>
      </c>
      <c r="M35" s="605">
        <f t="shared" si="8"/>
        <v>53</v>
      </c>
      <c r="N35" s="606">
        <f t="shared" si="9"/>
        <v>330600</v>
      </c>
      <c r="O35" s="608">
        <f t="shared" si="10"/>
        <v>330653</v>
      </c>
    </row>
    <row r="36" spans="2:15" ht="15">
      <c r="B36">
        <v>9</v>
      </c>
      <c r="C36">
        <v>330653</v>
      </c>
      <c r="E36" s="605">
        <f t="shared" si="0"/>
        <v>3</v>
      </c>
      <c r="F36" s="605">
        <f t="shared" si="1"/>
        <v>0</v>
      </c>
      <c r="G36" s="605">
        <f t="shared" si="2"/>
        <v>1</v>
      </c>
      <c r="H36" s="605">
        <f t="shared" si="3"/>
        <v>1</v>
      </c>
      <c r="I36" s="605">
        <f t="shared" si="4"/>
        <v>0</v>
      </c>
      <c r="J36" s="605">
        <f t="shared" si="5"/>
        <v>0</v>
      </c>
      <c r="K36" s="605">
        <f t="shared" si="6"/>
        <v>1</v>
      </c>
      <c r="L36" s="605">
        <f t="shared" si="7"/>
        <v>1</v>
      </c>
      <c r="M36" s="605">
        <f t="shared" si="8"/>
        <v>53</v>
      </c>
      <c r="N36" s="606">
        <f t="shared" si="9"/>
        <v>330600</v>
      </c>
      <c r="O36" s="608">
        <f t="shared" si="10"/>
        <v>330653</v>
      </c>
    </row>
    <row r="37" spans="2:15" ht="15">
      <c r="B37">
        <v>10</v>
      </c>
      <c r="C37">
        <v>330653</v>
      </c>
      <c r="E37" s="605">
        <f t="shared" si="0"/>
        <v>3</v>
      </c>
      <c r="F37" s="605">
        <f t="shared" si="1"/>
        <v>0</v>
      </c>
      <c r="G37" s="605">
        <f t="shared" si="2"/>
        <v>1</v>
      </c>
      <c r="H37" s="605">
        <f t="shared" si="3"/>
        <v>1</v>
      </c>
      <c r="I37" s="605">
        <f t="shared" si="4"/>
        <v>0</v>
      </c>
      <c r="J37" s="605">
        <f t="shared" si="5"/>
        <v>0</v>
      </c>
      <c r="K37" s="605">
        <f t="shared" si="6"/>
        <v>1</v>
      </c>
      <c r="L37" s="605">
        <f t="shared" si="7"/>
        <v>1</v>
      </c>
      <c r="M37" s="605">
        <f t="shared" si="8"/>
        <v>53</v>
      </c>
      <c r="N37" s="606">
        <f t="shared" si="9"/>
        <v>330600</v>
      </c>
      <c r="O37" s="608">
        <f t="shared" si="10"/>
        <v>330653</v>
      </c>
    </row>
    <row r="38" spans="2:15" ht="15">
      <c r="B38">
        <v>11</v>
      </c>
      <c r="C38">
        <v>330653</v>
      </c>
      <c r="E38" s="605">
        <f t="shared" si="0"/>
        <v>3</v>
      </c>
      <c r="F38" s="605">
        <f t="shared" si="1"/>
        <v>0</v>
      </c>
      <c r="G38" s="605">
        <f t="shared" si="2"/>
        <v>1</v>
      </c>
      <c r="H38" s="605">
        <f t="shared" si="3"/>
        <v>1</v>
      </c>
      <c r="I38" s="605">
        <f t="shared" si="4"/>
        <v>0</v>
      </c>
      <c r="J38" s="605">
        <f t="shared" si="5"/>
        <v>0</v>
      </c>
      <c r="K38" s="605">
        <f t="shared" si="6"/>
        <v>1</v>
      </c>
      <c r="L38" s="605">
        <f t="shared" si="7"/>
        <v>1</v>
      </c>
      <c r="M38" s="605">
        <f t="shared" si="8"/>
        <v>53</v>
      </c>
      <c r="N38" s="606">
        <f t="shared" si="9"/>
        <v>330600</v>
      </c>
      <c r="O38" s="608">
        <f t="shared" si="10"/>
        <v>330653</v>
      </c>
    </row>
    <row r="39" spans="2:15" ht="15">
      <c r="B39">
        <v>12</v>
      </c>
      <c r="C39">
        <v>330653</v>
      </c>
      <c r="E39" s="605">
        <f t="shared" si="0"/>
        <v>3</v>
      </c>
      <c r="F39" s="605">
        <f t="shared" si="1"/>
        <v>0</v>
      </c>
      <c r="G39" s="605">
        <f t="shared" si="2"/>
        <v>1</v>
      </c>
      <c r="H39" s="605">
        <f t="shared" si="3"/>
        <v>1</v>
      </c>
      <c r="I39" s="605">
        <f t="shared" si="4"/>
        <v>0</v>
      </c>
      <c r="J39" s="605">
        <f t="shared" si="5"/>
        <v>0</v>
      </c>
      <c r="K39" s="605">
        <f t="shared" si="6"/>
        <v>1</v>
      </c>
      <c r="L39" s="605">
        <f t="shared" si="7"/>
        <v>1</v>
      </c>
      <c r="M39" s="605">
        <f t="shared" si="8"/>
        <v>53</v>
      </c>
      <c r="N39" s="606">
        <f t="shared" si="9"/>
        <v>330600</v>
      </c>
      <c r="O39" s="608">
        <f t="shared" si="10"/>
        <v>330653</v>
      </c>
    </row>
    <row r="40" spans="2:15" ht="15">
      <c r="B40">
        <v>13</v>
      </c>
      <c r="C40">
        <v>330653</v>
      </c>
      <c r="E40" s="605">
        <f t="shared" si="0"/>
        <v>3</v>
      </c>
      <c r="F40" s="605">
        <f t="shared" si="1"/>
        <v>0</v>
      </c>
      <c r="G40" s="605">
        <f t="shared" si="2"/>
        <v>1</v>
      </c>
      <c r="H40" s="605">
        <f t="shared" si="3"/>
        <v>1</v>
      </c>
      <c r="I40" s="605">
        <f t="shared" si="4"/>
        <v>0</v>
      </c>
      <c r="J40" s="605">
        <f t="shared" si="5"/>
        <v>0</v>
      </c>
      <c r="K40" s="605">
        <f t="shared" si="6"/>
        <v>1</v>
      </c>
      <c r="L40" s="605">
        <f t="shared" si="7"/>
        <v>1</v>
      </c>
      <c r="M40" s="605">
        <f t="shared" si="8"/>
        <v>53</v>
      </c>
      <c r="N40" s="606">
        <f t="shared" si="9"/>
        <v>330600</v>
      </c>
      <c r="O40" s="608">
        <f t="shared" si="10"/>
        <v>330653</v>
      </c>
    </row>
    <row r="41" spans="2:15" ht="15">
      <c r="B41">
        <v>14</v>
      </c>
      <c r="C41">
        <v>330653</v>
      </c>
      <c r="E41" s="605">
        <f t="shared" ref="E41:E61" si="11">ROUNDDOWN(C41/100000,0)</f>
        <v>3</v>
      </c>
      <c r="F41" s="605">
        <f t="shared" ref="F41:F61" si="12">ROUNDDOWN((C41-E41*100000)/50000,0)</f>
        <v>0</v>
      </c>
      <c r="G41" s="605">
        <f t="shared" ref="G41:G61" si="13">ROUNDDOWN((C41-E41*100000-F41*50000)/20000,0)</f>
        <v>1</v>
      </c>
      <c r="H41" s="605">
        <f t="shared" ref="H41:H61" si="14">ROUNDDOWN((C41-E41*100000-F41*50000-G41*20000)/10000,0)</f>
        <v>1</v>
      </c>
      <c r="I41" s="605">
        <f t="shared" ref="I41:I61" si="15">ROUNDDOWN((C41-E41*100000-F41*50000-G41*20000-H41*10000)/5000,0)</f>
        <v>0</v>
      </c>
      <c r="J41" s="605">
        <f t="shared" ref="J41:J61" si="16">ROUNDDOWN((C41-E41*100000-F41*50000-G41*20000-H41*10000-I41*5000)/1000,0)</f>
        <v>0</v>
      </c>
      <c r="K41" s="605">
        <f t="shared" ref="K41:K61" si="17">ROUNDDOWN((C41-E41*100000-F41*50000-G41*20000-H41*10000-I41*5000-J41*1000)/500,0)</f>
        <v>1</v>
      </c>
      <c r="L41" s="605">
        <f t="shared" ref="L41:L61" si="18">ROUNDDOWN((C41-E41*100000-F41*50000-G41*20000-H41*10000-I41*5000-J41*1000-K41*500)/100,0)</f>
        <v>1</v>
      </c>
      <c r="M41" s="605">
        <f t="shared" ref="M41:M61" si="19">C41-N41</f>
        <v>53</v>
      </c>
      <c r="N41" s="606">
        <f t="shared" si="9"/>
        <v>330600</v>
      </c>
      <c r="O41" s="608">
        <f t="shared" si="10"/>
        <v>330653</v>
      </c>
    </row>
    <row r="42" spans="2:15" ht="15">
      <c r="B42">
        <v>15</v>
      </c>
      <c r="C42">
        <v>110218</v>
      </c>
      <c r="E42" s="605">
        <f t="shared" si="11"/>
        <v>1</v>
      </c>
      <c r="F42" s="605">
        <f t="shared" si="12"/>
        <v>0</v>
      </c>
      <c r="G42" s="605">
        <f t="shared" si="13"/>
        <v>0</v>
      </c>
      <c r="H42" s="605">
        <f t="shared" si="14"/>
        <v>1</v>
      </c>
      <c r="I42" s="605">
        <f t="shared" si="15"/>
        <v>0</v>
      </c>
      <c r="J42" s="605">
        <f t="shared" si="16"/>
        <v>0</v>
      </c>
      <c r="K42" s="605">
        <f t="shared" si="17"/>
        <v>0</v>
      </c>
      <c r="L42" s="605">
        <f t="shared" si="18"/>
        <v>2</v>
      </c>
      <c r="M42" s="605">
        <f t="shared" si="19"/>
        <v>18</v>
      </c>
      <c r="N42" s="606">
        <f t="shared" si="9"/>
        <v>110200</v>
      </c>
      <c r="O42" s="608">
        <f t="shared" si="10"/>
        <v>110218</v>
      </c>
    </row>
    <row r="43" spans="2:15" ht="15">
      <c r="B43">
        <v>16</v>
      </c>
      <c r="C43">
        <v>110218</v>
      </c>
      <c r="E43" s="605">
        <f t="shared" si="11"/>
        <v>1</v>
      </c>
      <c r="F43" s="605">
        <f t="shared" si="12"/>
        <v>0</v>
      </c>
      <c r="G43" s="605">
        <f t="shared" si="13"/>
        <v>0</v>
      </c>
      <c r="H43" s="605">
        <f t="shared" si="14"/>
        <v>1</v>
      </c>
      <c r="I43" s="605">
        <f t="shared" si="15"/>
        <v>0</v>
      </c>
      <c r="J43" s="605">
        <f t="shared" si="16"/>
        <v>0</v>
      </c>
      <c r="K43" s="605">
        <f t="shared" si="17"/>
        <v>0</v>
      </c>
      <c r="L43" s="605">
        <f t="shared" si="18"/>
        <v>2</v>
      </c>
      <c r="M43" s="605">
        <f t="shared" si="19"/>
        <v>18</v>
      </c>
      <c r="N43" s="606">
        <f t="shared" si="9"/>
        <v>110200</v>
      </c>
      <c r="O43" s="608">
        <f t="shared" si="10"/>
        <v>110218</v>
      </c>
    </row>
    <row r="44" spans="2:15" ht="15">
      <c r="B44">
        <v>17</v>
      </c>
      <c r="C44">
        <v>110218</v>
      </c>
      <c r="E44" s="605">
        <f t="shared" si="11"/>
        <v>1</v>
      </c>
      <c r="F44" s="605">
        <f t="shared" si="12"/>
        <v>0</v>
      </c>
      <c r="G44" s="605">
        <f t="shared" si="13"/>
        <v>0</v>
      </c>
      <c r="H44" s="605">
        <f t="shared" si="14"/>
        <v>1</v>
      </c>
      <c r="I44" s="605">
        <f t="shared" si="15"/>
        <v>0</v>
      </c>
      <c r="J44" s="605">
        <f t="shared" si="16"/>
        <v>0</v>
      </c>
      <c r="K44" s="605">
        <f t="shared" si="17"/>
        <v>0</v>
      </c>
      <c r="L44" s="605">
        <f t="shared" si="18"/>
        <v>2</v>
      </c>
      <c r="M44" s="605">
        <f t="shared" si="19"/>
        <v>18</v>
      </c>
      <c r="N44" s="606">
        <f t="shared" si="9"/>
        <v>110200</v>
      </c>
      <c r="O44" s="608">
        <f t="shared" si="10"/>
        <v>110218</v>
      </c>
    </row>
    <row r="45" spans="2:15" ht="15">
      <c r="B45">
        <v>18</v>
      </c>
      <c r="C45">
        <v>110218</v>
      </c>
      <c r="E45" s="605">
        <f t="shared" si="11"/>
        <v>1</v>
      </c>
      <c r="F45" s="605">
        <f t="shared" si="12"/>
        <v>0</v>
      </c>
      <c r="G45" s="605">
        <f t="shared" si="13"/>
        <v>0</v>
      </c>
      <c r="H45" s="605">
        <f t="shared" si="14"/>
        <v>1</v>
      </c>
      <c r="I45" s="605">
        <f t="shared" si="15"/>
        <v>0</v>
      </c>
      <c r="J45" s="605">
        <f t="shared" si="16"/>
        <v>0</v>
      </c>
      <c r="K45" s="605">
        <f t="shared" si="17"/>
        <v>0</v>
      </c>
      <c r="L45" s="605">
        <f t="shared" si="18"/>
        <v>2</v>
      </c>
      <c r="M45" s="605">
        <f t="shared" si="19"/>
        <v>18</v>
      </c>
      <c r="N45" s="606">
        <f t="shared" si="9"/>
        <v>110200</v>
      </c>
      <c r="O45" s="608">
        <f t="shared" si="10"/>
        <v>110218</v>
      </c>
    </row>
    <row r="46" spans="2:15" ht="15">
      <c r="B46">
        <v>19</v>
      </c>
      <c r="C46">
        <v>110218</v>
      </c>
      <c r="E46" s="605">
        <f t="shared" si="11"/>
        <v>1</v>
      </c>
      <c r="F46" s="605">
        <f t="shared" si="12"/>
        <v>0</v>
      </c>
      <c r="G46" s="605">
        <f t="shared" si="13"/>
        <v>0</v>
      </c>
      <c r="H46" s="605">
        <f t="shared" si="14"/>
        <v>1</v>
      </c>
      <c r="I46" s="605">
        <f t="shared" si="15"/>
        <v>0</v>
      </c>
      <c r="J46" s="605">
        <f t="shared" si="16"/>
        <v>0</v>
      </c>
      <c r="K46" s="605">
        <f t="shared" si="17"/>
        <v>0</v>
      </c>
      <c r="L46" s="605">
        <f t="shared" si="18"/>
        <v>2</v>
      </c>
      <c r="M46" s="605">
        <f t="shared" si="19"/>
        <v>18</v>
      </c>
      <c r="N46" s="606">
        <f t="shared" si="9"/>
        <v>110200</v>
      </c>
      <c r="O46" s="608">
        <f t="shared" si="10"/>
        <v>110218</v>
      </c>
    </row>
    <row r="47" spans="2:15" ht="15">
      <c r="B47">
        <v>20</v>
      </c>
      <c r="C47">
        <v>110218</v>
      </c>
      <c r="E47" s="605">
        <f t="shared" si="11"/>
        <v>1</v>
      </c>
      <c r="F47" s="605">
        <f t="shared" si="12"/>
        <v>0</v>
      </c>
      <c r="G47" s="605">
        <f t="shared" si="13"/>
        <v>0</v>
      </c>
      <c r="H47" s="605">
        <f t="shared" si="14"/>
        <v>1</v>
      </c>
      <c r="I47" s="605">
        <f t="shared" si="15"/>
        <v>0</v>
      </c>
      <c r="J47" s="605">
        <f t="shared" si="16"/>
        <v>0</v>
      </c>
      <c r="K47" s="605">
        <f t="shared" si="17"/>
        <v>0</v>
      </c>
      <c r="L47" s="605">
        <f t="shared" si="18"/>
        <v>2</v>
      </c>
      <c r="M47" s="605">
        <f t="shared" si="19"/>
        <v>18</v>
      </c>
      <c r="N47" s="606">
        <f t="shared" si="9"/>
        <v>110200</v>
      </c>
      <c r="O47" s="608">
        <f t="shared" si="10"/>
        <v>110218</v>
      </c>
    </row>
    <row r="48" spans="2:15" ht="15">
      <c r="B48">
        <v>21</v>
      </c>
      <c r="C48">
        <v>110218</v>
      </c>
      <c r="E48" s="605">
        <f t="shared" si="11"/>
        <v>1</v>
      </c>
      <c r="F48" s="605">
        <f t="shared" si="12"/>
        <v>0</v>
      </c>
      <c r="G48" s="605">
        <f t="shared" si="13"/>
        <v>0</v>
      </c>
      <c r="H48" s="605">
        <f t="shared" si="14"/>
        <v>1</v>
      </c>
      <c r="I48" s="605">
        <f t="shared" si="15"/>
        <v>0</v>
      </c>
      <c r="J48" s="605">
        <f t="shared" si="16"/>
        <v>0</v>
      </c>
      <c r="K48" s="605">
        <f t="shared" si="17"/>
        <v>0</v>
      </c>
      <c r="L48" s="605">
        <f t="shared" si="18"/>
        <v>2</v>
      </c>
      <c r="M48" s="605">
        <f t="shared" si="19"/>
        <v>18</v>
      </c>
      <c r="N48" s="606">
        <f t="shared" si="9"/>
        <v>110200</v>
      </c>
      <c r="O48" s="608">
        <f t="shared" si="10"/>
        <v>110218</v>
      </c>
    </row>
    <row r="49" spans="2:15" ht="15">
      <c r="B49">
        <v>22</v>
      </c>
      <c r="C49">
        <v>110218</v>
      </c>
      <c r="E49" s="605">
        <f t="shared" si="11"/>
        <v>1</v>
      </c>
      <c r="F49" s="605">
        <f t="shared" si="12"/>
        <v>0</v>
      </c>
      <c r="G49" s="605">
        <f t="shared" si="13"/>
        <v>0</v>
      </c>
      <c r="H49" s="605">
        <f t="shared" si="14"/>
        <v>1</v>
      </c>
      <c r="I49" s="605">
        <f t="shared" si="15"/>
        <v>0</v>
      </c>
      <c r="J49" s="605">
        <f t="shared" si="16"/>
        <v>0</v>
      </c>
      <c r="K49" s="605">
        <f t="shared" si="17"/>
        <v>0</v>
      </c>
      <c r="L49" s="605">
        <f t="shared" si="18"/>
        <v>2</v>
      </c>
      <c r="M49" s="605">
        <f t="shared" si="19"/>
        <v>18</v>
      </c>
      <c r="N49" s="606">
        <f t="shared" si="9"/>
        <v>110200</v>
      </c>
      <c r="O49" s="608">
        <f t="shared" si="10"/>
        <v>110218</v>
      </c>
    </row>
    <row r="50" spans="2:15" ht="15">
      <c r="B50">
        <v>23</v>
      </c>
      <c r="C50">
        <v>330653</v>
      </c>
      <c r="E50" s="605">
        <f t="shared" si="11"/>
        <v>3</v>
      </c>
      <c r="F50" s="605">
        <f t="shared" si="12"/>
        <v>0</v>
      </c>
      <c r="G50" s="605">
        <f t="shared" si="13"/>
        <v>1</v>
      </c>
      <c r="H50" s="605">
        <f t="shared" si="14"/>
        <v>1</v>
      </c>
      <c r="I50" s="605">
        <f t="shared" si="15"/>
        <v>0</v>
      </c>
      <c r="J50" s="605">
        <f t="shared" si="16"/>
        <v>0</v>
      </c>
      <c r="K50" s="605">
        <f t="shared" si="17"/>
        <v>1</v>
      </c>
      <c r="L50" s="605">
        <f t="shared" si="18"/>
        <v>1</v>
      </c>
      <c r="M50" s="605">
        <f t="shared" si="19"/>
        <v>53</v>
      </c>
      <c r="N50" s="606">
        <f t="shared" si="9"/>
        <v>330600</v>
      </c>
      <c r="O50" s="608">
        <f t="shared" si="10"/>
        <v>330653</v>
      </c>
    </row>
    <row r="51" spans="2:15" ht="15">
      <c r="B51">
        <v>24</v>
      </c>
      <c r="C51">
        <v>330653</v>
      </c>
      <c r="E51" s="605">
        <f t="shared" si="11"/>
        <v>3</v>
      </c>
      <c r="F51" s="605">
        <f t="shared" si="12"/>
        <v>0</v>
      </c>
      <c r="G51" s="605">
        <f t="shared" si="13"/>
        <v>1</v>
      </c>
      <c r="H51" s="605">
        <f t="shared" si="14"/>
        <v>1</v>
      </c>
      <c r="I51" s="605">
        <f t="shared" si="15"/>
        <v>0</v>
      </c>
      <c r="J51" s="605">
        <f t="shared" si="16"/>
        <v>0</v>
      </c>
      <c r="K51" s="605">
        <f t="shared" si="17"/>
        <v>1</v>
      </c>
      <c r="L51" s="605">
        <f t="shared" si="18"/>
        <v>1</v>
      </c>
      <c r="M51" s="605">
        <f t="shared" si="19"/>
        <v>53</v>
      </c>
      <c r="N51" s="606">
        <f t="shared" si="9"/>
        <v>330600</v>
      </c>
      <c r="O51" s="608">
        <f t="shared" si="10"/>
        <v>330653</v>
      </c>
    </row>
    <row r="52" spans="2:15" ht="15">
      <c r="B52">
        <v>25</v>
      </c>
      <c r="C52">
        <v>330653</v>
      </c>
      <c r="E52" s="605">
        <f t="shared" si="11"/>
        <v>3</v>
      </c>
      <c r="F52" s="605">
        <f t="shared" si="12"/>
        <v>0</v>
      </c>
      <c r="G52" s="605">
        <f t="shared" si="13"/>
        <v>1</v>
      </c>
      <c r="H52" s="605">
        <f t="shared" si="14"/>
        <v>1</v>
      </c>
      <c r="I52" s="605">
        <f t="shared" si="15"/>
        <v>0</v>
      </c>
      <c r="J52" s="605">
        <f t="shared" si="16"/>
        <v>0</v>
      </c>
      <c r="K52" s="605">
        <f t="shared" si="17"/>
        <v>1</v>
      </c>
      <c r="L52" s="605">
        <f t="shared" si="18"/>
        <v>1</v>
      </c>
      <c r="M52" s="605">
        <f t="shared" si="19"/>
        <v>53</v>
      </c>
      <c r="N52" s="606">
        <f t="shared" si="9"/>
        <v>330600</v>
      </c>
      <c r="O52" s="608">
        <f t="shared" si="10"/>
        <v>330653</v>
      </c>
    </row>
    <row r="53" spans="2:15" ht="15">
      <c r="B53">
        <v>26</v>
      </c>
      <c r="C53">
        <v>330653</v>
      </c>
      <c r="E53" s="605">
        <f t="shared" si="11"/>
        <v>3</v>
      </c>
      <c r="F53" s="605">
        <f t="shared" si="12"/>
        <v>0</v>
      </c>
      <c r="G53" s="605">
        <f t="shared" si="13"/>
        <v>1</v>
      </c>
      <c r="H53" s="605">
        <f t="shared" si="14"/>
        <v>1</v>
      </c>
      <c r="I53" s="605">
        <f t="shared" si="15"/>
        <v>0</v>
      </c>
      <c r="J53" s="605">
        <f t="shared" si="16"/>
        <v>0</v>
      </c>
      <c r="K53" s="605">
        <f t="shared" si="17"/>
        <v>1</v>
      </c>
      <c r="L53" s="605">
        <f t="shared" si="18"/>
        <v>1</v>
      </c>
      <c r="M53" s="605">
        <f t="shared" si="19"/>
        <v>53</v>
      </c>
      <c r="N53" s="606">
        <f t="shared" si="9"/>
        <v>330600</v>
      </c>
      <c r="O53" s="608">
        <f t="shared" si="10"/>
        <v>330653</v>
      </c>
    </row>
    <row r="54" spans="2:15" ht="15">
      <c r="B54">
        <v>27</v>
      </c>
      <c r="C54">
        <v>330653</v>
      </c>
      <c r="E54" s="605">
        <f t="shared" si="11"/>
        <v>3</v>
      </c>
      <c r="F54" s="605">
        <f t="shared" si="12"/>
        <v>0</v>
      </c>
      <c r="G54" s="605">
        <f t="shared" si="13"/>
        <v>1</v>
      </c>
      <c r="H54" s="605">
        <f t="shared" si="14"/>
        <v>1</v>
      </c>
      <c r="I54" s="605">
        <f t="shared" si="15"/>
        <v>0</v>
      </c>
      <c r="J54" s="605">
        <f t="shared" si="16"/>
        <v>0</v>
      </c>
      <c r="K54" s="605">
        <f t="shared" si="17"/>
        <v>1</v>
      </c>
      <c r="L54" s="605">
        <f t="shared" si="18"/>
        <v>1</v>
      </c>
      <c r="M54" s="605">
        <f t="shared" si="19"/>
        <v>53</v>
      </c>
      <c r="N54" s="606">
        <f t="shared" si="9"/>
        <v>330600</v>
      </c>
      <c r="O54" s="608">
        <f t="shared" si="10"/>
        <v>330653</v>
      </c>
    </row>
    <row r="55" spans="2:15" ht="15">
      <c r="B55">
        <v>28</v>
      </c>
      <c r="C55">
        <v>330653</v>
      </c>
      <c r="E55" s="605">
        <f t="shared" si="11"/>
        <v>3</v>
      </c>
      <c r="F55" s="605">
        <f t="shared" si="12"/>
        <v>0</v>
      </c>
      <c r="G55" s="605">
        <f t="shared" si="13"/>
        <v>1</v>
      </c>
      <c r="H55" s="605">
        <f t="shared" si="14"/>
        <v>1</v>
      </c>
      <c r="I55" s="605">
        <f t="shared" si="15"/>
        <v>0</v>
      </c>
      <c r="J55" s="605">
        <f t="shared" si="16"/>
        <v>0</v>
      </c>
      <c r="K55" s="605">
        <f t="shared" si="17"/>
        <v>1</v>
      </c>
      <c r="L55" s="605">
        <f t="shared" si="18"/>
        <v>1</v>
      </c>
      <c r="M55" s="605">
        <f t="shared" si="19"/>
        <v>53</v>
      </c>
      <c r="N55" s="606">
        <f t="shared" si="9"/>
        <v>330600</v>
      </c>
      <c r="O55" s="608">
        <f t="shared" si="10"/>
        <v>330653</v>
      </c>
    </row>
    <row r="56" spans="2:15" ht="15">
      <c r="B56">
        <v>29</v>
      </c>
      <c r="C56">
        <v>330653</v>
      </c>
      <c r="E56" s="605">
        <f t="shared" si="11"/>
        <v>3</v>
      </c>
      <c r="F56" s="605">
        <f t="shared" si="12"/>
        <v>0</v>
      </c>
      <c r="G56" s="605">
        <f t="shared" si="13"/>
        <v>1</v>
      </c>
      <c r="H56" s="605">
        <f t="shared" si="14"/>
        <v>1</v>
      </c>
      <c r="I56" s="605">
        <f t="shared" si="15"/>
        <v>0</v>
      </c>
      <c r="J56" s="605">
        <f t="shared" si="16"/>
        <v>0</v>
      </c>
      <c r="K56" s="605">
        <f t="shared" si="17"/>
        <v>1</v>
      </c>
      <c r="L56" s="605">
        <f t="shared" si="18"/>
        <v>1</v>
      </c>
      <c r="M56" s="605">
        <f t="shared" si="19"/>
        <v>53</v>
      </c>
      <c r="N56" s="606">
        <f t="shared" si="9"/>
        <v>330600</v>
      </c>
      <c r="O56" s="608">
        <f t="shared" si="10"/>
        <v>330653</v>
      </c>
    </row>
    <row r="57" spans="2:15" ht="15">
      <c r="B57">
        <v>30</v>
      </c>
      <c r="C57">
        <v>330653</v>
      </c>
      <c r="E57" s="605">
        <f t="shared" si="11"/>
        <v>3</v>
      </c>
      <c r="F57" s="605">
        <f t="shared" si="12"/>
        <v>0</v>
      </c>
      <c r="G57" s="605">
        <f t="shared" si="13"/>
        <v>1</v>
      </c>
      <c r="H57" s="605">
        <f t="shared" si="14"/>
        <v>1</v>
      </c>
      <c r="I57" s="605">
        <f t="shared" si="15"/>
        <v>0</v>
      </c>
      <c r="J57" s="605">
        <f t="shared" si="16"/>
        <v>0</v>
      </c>
      <c r="K57" s="605">
        <f t="shared" si="17"/>
        <v>1</v>
      </c>
      <c r="L57" s="605">
        <f t="shared" si="18"/>
        <v>1</v>
      </c>
      <c r="M57" s="605">
        <f t="shared" si="19"/>
        <v>53</v>
      </c>
      <c r="N57" s="606">
        <f t="shared" si="9"/>
        <v>330600</v>
      </c>
      <c r="O57" s="608">
        <f t="shared" si="10"/>
        <v>330653</v>
      </c>
    </row>
    <row r="58" spans="2:15" ht="15">
      <c r="B58">
        <v>31</v>
      </c>
      <c r="C58">
        <v>330653</v>
      </c>
      <c r="E58" s="605">
        <f t="shared" si="11"/>
        <v>3</v>
      </c>
      <c r="F58" s="605">
        <f t="shared" si="12"/>
        <v>0</v>
      </c>
      <c r="G58" s="605">
        <f t="shared" si="13"/>
        <v>1</v>
      </c>
      <c r="H58" s="605">
        <f t="shared" si="14"/>
        <v>1</v>
      </c>
      <c r="I58" s="605">
        <f t="shared" si="15"/>
        <v>0</v>
      </c>
      <c r="J58" s="605">
        <f t="shared" si="16"/>
        <v>0</v>
      </c>
      <c r="K58" s="605">
        <f t="shared" si="17"/>
        <v>1</v>
      </c>
      <c r="L58" s="605">
        <f t="shared" si="18"/>
        <v>1</v>
      </c>
      <c r="M58" s="605">
        <f t="shared" si="19"/>
        <v>53</v>
      </c>
      <c r="N58" s="606">
        <f t="shared" si="9"/>
        <v>330600</v>
      </c>
      <c r="O58" s="608">
        <f t="shared" si="10"/>
        <v>330653</v>
      </c>
    </row>
    <row r="59" spans="2:15" ht="15">
      <c r="B59">
        <v>32</v>
      </c>
      <c r="C59">
        <v>330653</v>
      </c>
      <c r="E59" s="605">
        <f t="shared" si="11"/>
        <v>3</v>
      </c>
      <c r="F59" s="605">
        <f t="shared" si="12"/>
        <v>0</v>
      </c>
      <c r="G59" s="605">
        <f t="shared" si="13"/>
        <v>1</v>
      </c>
      <c r="H59" s="605">
        <f t="shared" si="14"/>
        <v>1</v>
      </c>
      <c r="I59" s="605">
        <f t="shared" si="15"/>
        <v>0</v>
      </c>
      <c r="J59" s="605">
        <f t="shared" si="16"/>
        <v>0</v>
      </c>
      <c r="K59" s="605">
        <f t="shared" si="17"/>
        <v>1</v>
      </c>
      <c r="L59" s="605">
        <f t="shared" si="18"/>
        <v>1</v>
      </c>
      <c r="M59" s="605">
        <f t="shared" si="19"/>
        <v>53</v>
      </c>
      <c r="N59" s="606">
        <f t="shared" si="9"/>
        <v>330600</v>
      </c>
      <c r="O59" s="608">
        <f t="shared" si="10"/>
        <v>330653</v>
      </c>
    </row>
    <row r="60" spans="2:15" ht="15">
      <c r="B60">
        <v>33</v>
      </c>
      <c r="C60">
        <v>330653</v>
      </c>
      <c r="E60" s="605">
        <f t="shared" si="11"/>
        <v>3</v>
      </c>
      <c r="F60" s="605">
        <f t="shared" si="12"/>
        <v>0</v>
      </c>
      <c r="G60" s="605">
        <f t="shared" si="13"/>
        <v>1</v>
      </c>
      <c r="H60" s="605">
        <f t="shared" si="14"/>
        <v>1</v>
      </c>
      <c r="I60" s="605">
        <f t="shared" si="15"/>
        <v>0</v>
      </c>
      <c r="J60" s="605">
        <f t="shared" si="16"/>
        <v>0</v>
      </c>
      <c r="K60" s="605">
        <f t="shared" si="17"/>
        <v>1</v>
      </c>
      <c r="L60" s="605">
        <f t="shared" si="18"/>
        <v>1</v>
      </c>
      <c r="M60" s="605">
        <f t="shared" si="19"/>
        <v>53</v>
      </c>
      <c r="N60" s="606">
        <f t="shared" si="9"/>
        <v>330600</v>
      </c>
      <c r="O60" s="608">
        <f t="shared" si="10"/>
        <v>330653</v>
      </c>
    </row>
    <row r="61" spans="2:15" ht="15">
      <c r="B61">
        <v>34</v>
      </c>
      <c r="C61">
        <v>330653</v>
      </c>
      <c r="E61" s="605">
        <f t="shared" si="11"/>
        <v>3</v>
      </c>
      <c r="F61" s="605">
        <f t="shared" si="12"/>
        <v>0</v>
      </c>
      <c r="G61" s="605">
        <f t="shared" si="13"/>
        <v>1</v>
      </c>
      <c r="H61" s="605">
        <f t="shared" si="14"/>
        <v>1</v>
      </c>
      <c r="I61" s="605">
        <f t="shared" si="15"/>
        <v>0</v>
      </c>
      <c r="J61" s="605">
        <f t="shared" si="16"/>
        <v>0</v>
      </c>
      <c r="K61" s="605">
        <f t="shared" si="17"/>
        <v>1</v>
      </c>
      <c r="L61" s="605">
        <f t="shared" si="18"/>
        <v>1</v>
      </c>
      <c r="M61" s="605">
        <f t="shared" si="19"/>
        <v>53</v>
      </c>
      <c r="N61" s="606">
        <f t="shared" si="9"/>
        <v>330600</v>
      </c>
      <c r="O61" s="608">
        <f t="shared" si="10"/>
        <v>330653</v>
      </c>
    </row>
    <row r="62" spans="2:15" ht="15">
      <c r="B62">
        <v>35</v>
      </c>
      <c r="C62">
        <v>330653</v>
      </c>
      <c r="E62" s="605">
        <f t="shared" ref="E62:E77" si="20">ROUNDDOWN(C62/100000,0)</f>
        <v>3</v>
      </c>
      <c r="F62" s="605">
        <f t="shared" ref="F62:F77" si="21">ROUNDDOWN((C62-E62*100000)/50000,0)</f>
        <v>0</v>
      </c>
      <c r="G62" s="605">
        <f t="shared" ref="G62:G77" si="22">ROUNDDOWN((C62-E62*100000-F62*50000)/20000,0)</f>
        <v>1</v>
      </c>
      <c r="H62" s="605">
        <f t="shared" ref="H62:H77" si="23">ROUNDDOWN((C62-E62*100000-F62*50000-G62*20000)/10000,0)</f>
        <v>1</v>
      </c>
      <c r="I62" s="605">
        <f t="shared" ref="I62:I77" si="24">ROUNDDOWN((C62-E62*100000-F62*50000-G62*20000-H62*10000)/5000,0)</f>
        <v>0</v>
      </c>
      <c r="J62" s="605">
        <f t="shared" ref="J62:J77" si="25">ROUNDDOWN((C62-E62*100000-F62*50000-G62*20000-H62*10000-I62*5000)/1000,0)</f>
        <v>0</v>
      </c>
      <c r="K62" s="605">
        <f t="shared" ref="K62:K77" si="26">ROUNDDOWN((C62-E62*100000-F62*50000-G62*20000-H62*10000-I62*5000-J62*1000)/500,0)</f>
        <v>1</v>
      </c>
      <c r="L62" s="605">
        <f t="shared" ref="L62:L77" si="27">ROUNDDOWN((C62-E62*100000-F62*50000-G62*20000-H62*10000-I62*5000-J62*1000-K62*500)/100,0)</f>
        <v>1</v>
      </c>
      <c r="M62" s="605">
        <f t="shared" ref="M62:M77" si="28">C62-N62</f>
        <v>53</v>
      </c>
      <c r="N62" s="606">
        <f t="shared" ref="N62:N77" si="29">E62*100000+F62*50000+G62*20000+H62*10000+I62*5000+J62*1000+K62*500+L62*100</f>
        <v>330600</v>
      </c>
      <c r="O62" s="608">
        <f t="shared" si="10"/>
        <v>330653</v>
      </c>
    </row>
    <row r="63" spans="2:15" ht="15">
      <c r="B63">
        <v>36</v>
      </c>
      <c r="C63">
        <v>330653</v>
      </c>
      <c r="E63" s="605">
        <f t="shared" si="20"/>
        <v>3</v>
      </c>
      <c r="F63" s="605">
        <f t="shared" si="21"/>
        <v>0</v>
      </c>
      <c r="G63" s="605">
        <f t="shared" si="22"/>
        <v>1</v>
      </c>
      <c r="H63" s="605">
        <f t="shared" si="23"/>
        <v>1</v>
      </c>
      <c r="I63" s="605">
        <f t="shared" si="24"/>
        <v>0</v>
      </c>
      <c r="J63" s="605">
        <f t="shared" si="25"/>
        <v>0</v>
      </c>
      <c r="K63" s="605">
        <f t="shared" si="26"/>
        <v>1</v>
      </c>
      <c r="L63" s="605">
        <f t="shared" si="27"/>
        <v>1</v>
      </c>
      <c r="M63" s="605">
        <f t="shared" si="28"/>
        <v>53</v>
      </c>
      <c r="N63" s="606">
        <f t="shared" si="29"/>
        <v>330600</v>
      </c>
      <c r="O63" s="608">
        <f t="shared" si="10"/>
        <v>330653</v>
      </c>
    </row>
    <row r="64" spans="2:15" ht="15">
      <c r="B64">
        <v>37</v>
      </c>
      <c r="C64">
        <v>330653</v>
      </c>
      <c r="E64" s="605">
        <f t="shared" si="20"/>
        <v>3</v>
      </c>
      <c r="F64" s="605">
        <f t="shared" si="21"/>
        <v>0</v>
      </c>
      <c r="G64" s="605">
        <f t="shared" si="22"/>
        <v>1</v>
      </c>
      <c r="H64" s="605">
        <f t="shared" si="23"/>
        <v>1</v>
      </c>
      <c r="I64" s="605">
        <f t="shared" si="24"/>
        <v>0</v>
      </c>
      <c r="J64" s="605">
        <f t="shared" si="25"/>
        <v>0</v>
      </c>
      <c r="K64" s="605">
        <f t="shared" si="26"/>
        <v>1</v>
      </c>
      <c r="L64" s="605">
        <f t="shared" si="27"/>
        <v>1</v>
      </c>
      <c r="M64" s="605">
        <f t="shared" si="28"/>
        <v>53</v>
      </c>
      <c r="N64" s="606">
        <f t="shared" si="29"/>
        <v>330600</v>
      </c>
      <c r="O64" s="608">
        <f t="shared" si="10"/>
        <v>330653</v>
      </c>
    </row>
    <row r="65" spans="2:15" ht="15">
      <c r="B65">
        <v>38</v>
      </c>
      <c r="C65">
        <v>330653</v>
      </c>
      <c r="E65" s="605">
        <f t="shared" si="20"/>
        <v>3</v>
      </c>
      <c r="F65" s="605">
        <f t="shared" si="21"/>
        <v>0</v>
      </c>
      <c r="G65" s="605">
        <f t="shared" si="22"/>
        <v>1</v>
      </c>
      <c r="H65" s="605">
        <f t="shared" si="23"/>
        <v>1</v>
      </c>
      <c r="I65" s="605">
        <f t="shared" si="24"/>
        <v>0</v>
      </c>
      <c r="J65" s="605">
        <f t="shared" si="25"/>
        <v>0</v>
      </c>
      <c r="K65" s="605">
        <f t="shared" si="26"/>
        <v>1</v>
      </c>
      <c r="L65" s="605">
        <f t="shared" si="27"/>
        <v>1</v>
      </c>
      <c r="M65" s="605">
        <f t="shared" si="28"/>
        <v>53</v>
      </c>
      <c r="N65" s="606">
        <f t="shared" si="29"/>
        <v>330600</v>
      </c>
      <c r="O65" s="608">
        <f t="shared" si="10"/>
        <v>330653</v>
      </c>
    </row>
    <row r="66" spans="2:15" ht="15">
      <c r="B66">
        <v>39</v>
      </c>
      <c r="C66">
        <v>330653</v>
      </c>
      <c r="E66" s="605">
        <f t="shared" si="20"/>
        <v>3</v>
      </c>
      <c r="F66" s="605">
        <f t="shared" si="21"/>
        <v>0</v>
      </c>
      <c r="G66" s="605">
        <f t="shared" si="22"/>
        <v>1</v>
      </c>
      <c r="H66" s="605">
        <f t="shared" si="23"/>
        <v>1</v>
      </c>
      <c r="I66" s="605">
        <f t="shared" si="24"/>
        <v>0</v>
      </c>
      <c r="J66" s="605">
        <f t="shared" si="25"/>
        <v>0</v>
      </c>
      <c r="K66" s="605">
        <f t="shared" si="26"/>
        <v>1</v>
      </c>
      <c r="L66" s="605">
        <f t="shared" si="27"/>
        <v>1</v>
      </c>
      <c r="M66" s="605">
        <f t="shared" si="28"/>
        <v>53</v>
      </c>
      <c r="N66" s="606">
        <f t="shared" si="29"/>
        <v>330600</v>
      </c>
      <c r="O66" s="608">
        <f t="shared" si="10"/>
        <v>330653</v>
      </c>
    </row>
    <row r="67" spans="2:15" ht="15">
      <c r="B67">
        <v>40</v>
      </c>
      <c r="C67">
        <v>330653</v>
      </c>
      <c r="E67" s="605">
        <f t="shared" si="20"/>
        <v>3</v>
      </c>
      <c r="F67" s="605">
        <f t="shared" si="21"/>
        <v>0</v>
      </c>
      <c r="G67" s="605">
        <f t="shared" si="22"/>
        <v>1</v>
      </c>
      <c r="H67" s="605">
        <f t="shared" si="23"/>
        <v>1</v>
      </c>
      <c r="I67" s="605">
        <f t="shared" si="24"/>
        <v>0</v>
      </c>
      <c r="J67" s="605">
        <f t="shared" si="25"/>
        <v>0</v>
      </c>
      <c r="K67" s="605">
        <f t="shared" si="26"/>
        <v>1</v>
      </c>
      <c r="L67" s="605">
        <f t="shared" si="27"/>
        <v>1</v>
      </c>
      <c r="M67" s="605">
        <f t="shared" si="28"/>
        <v>53</v>
      </c>
      <c r="N67" s="606">
        <f t="shared" si="29"/>
        <v>330600</v>
      </c>
      <c r="O67" s="608">
        <f t="shared" si="10"/>
        <v>330653</v>
      </c>
    </row>
    <row r="68" spans="2:15" ht="15">
      <c r="B68">
        <v>41</v>
      </c>
      <c r="C68">
        <v>330653</v>
      </c>
      <c r="E68" s="605">
        <f t="shared" si="20"/>
        <v>3</v>
      </c>
      <c r="F68" s="605">
        <f t="shared" si="21"/>
        <v>0</v>
      </c>
      <c r="G68" s="605">
        <f t="shared" si="22"/>
        <v>1</v>
      </c>
      <c r="H68" s="605">
        <f t="shared" si="23"/>
        <v>1</v>
      </c>
      <c r="I68" s="605">
        <f t="shared" si="24"/>
        <v>0</v>
      </c>
      <c r="J68" s="605">
        <f t="shared" si="25"/>
        <v>0</v>
      </c>
      <c r="K68" s="605">
        <f t="shared" si="26"/>
        <v>1</v>
      </c>
      <c r="L68" s="605">
        <f t="shared" si="27"/>
        <v>1</v>
      </c>
      <c r="M68" s="605">
        <f t="shared" si="28"/>
        <v>53</v>
      </c>
      <c r="N68" s="606">
        <f t="shared" si="29"/>
        <v>330600</v>
      </c>
      <c r="O68" s="608">
        <f t="shared" si="10"/>
        <v>330653</v>
      </c>
    </row>
    <row r="69" spans="2:15" ht="15">
      <c r="B69">
        <v>42</v>
      </c>
      <c r="C69">
        <v>330653</v>
      </c>
      <c r="E69" s="605">
        <f t="shared" si="20"/>
        <v>3</v>
      </c>
      <c r="F69" s="605">
        <f t="shared" si="21"/>
        <v>0</v>
      </c>
      <c r="G69" s="605">
        <f t="shared" si="22"/>
        <v>1</v>
      </c>
      <c r="H69" s="605">
        <f t="shared" si="23"/>
        <v>1</v>
      </c>
      <c r="I69" s="605">
        <f t="shared" si="24"/>
        <v>0</v>
      </c>
      <c r="J69" s="605">
        <f t="shared" si="25"/>
        <v>0</v>
      </c>
      <c r="K69" s="605">
        <f t="shared" si="26"/>
        <v>1</v>
      </c>
      <c r="L69" s="605">
        <f t="shared" si="27"/>
        <v>1</v>
      </c>
      <c r="M69" s="605">
        <f t="shared" si="28"/>
        <v>53</v>
      </c>
      <c r="N69" s="606">
        <f t="shared" si="29"/>
        <v>330600</v>
      </c>
      <c r="O69" s="608">
        <f t="shared" si="10"/>
        <v>330653</v>
      </c>
    </row>
    <row r="70" spans="2:15" ht="15">
      <c r="B70">
        <v>43</v>
      </c>
      <c r="C70">
        <v>330653</v>
      </c>
      <c r="E70" s="605">
        <f t="shared" si="20"/>
        <v>3</v>
      </c>
      <c r="F70" s="605">
        <f t="shared" si="21"/>
        <v>0</v>
      </c>
      <c r="G70" s="605">
        <f t="shared" si="22"/>
        <v>1</v>
      </c>
      <c r="H70" s="605">
        <f t="shared" si="23"/>
        <v>1</v>
      </c>
      <c r="I70" s="605">
        <f t="shared" si="24"/>
        <v>0</v>
      </c>
      <c r="J70" s="605">
        <f t="shared" si="25"/>
        <v>0</v>
      </c>
      <c r="K70" s="605">
        <f t="shared" si="26"/>
        <v>1</v>
      </c>
      <c r="L70" s="605">
        <f t="shared" si="27"/>
        <v>1</v>
      </c>
      <c r="M70" s="605">
        <f t="shared" si="28"/>
        <v>53</v>
      </c>
      <c r="N70" s="606">
        <f t="shared" si="29"/>
        <v>330600</v>
      </c>
      <c r="O70" s="608">
        <f t="shared" si="10"/>
        <v>330653</v>
      </c>
    </row>
    <row r="71" spans="2:15" ht="15">
      <c r="B71">
        <v>44</v>
      </c>
      <c r="C71">
        <v>330653</v>
      </c>
      <c r="E71" s="605">
        <f t="shared" si="20"/>
        <v>3</v>
      </c>
      <c r="F71" s="605">
        <f t="shared" si="21"/>
        <v>0</v>
      </c>
      <c r="G71" s="605">
        <f t="shared" si="22"/>
        <v>1</v>
      </c>
      <c r="H71" s="605">
        <f t="shared" si="23"/>
        <v>1</v>
      </c>
      <c r="I71" s="605">
        <f t="shared" si="24"/>
        <v>0</v>
      </c>
      <c r="J71" s="605">
        <f t="shared" si="25"/>
        <v>0</v>
      </c>
      <c r="K71" s="605">
        <f t="shared" si="26"/>
        <v>1</v>
      </c>
      <c r="L71" s="605">
        <f t="shared" si="27"/>
        <v>1</v>
      </c>
      <c r="M71" s="605">
        <f t="shared" si="28"/>
        <v>53</v>
      </c>
      <c r="N71" s="606">
        <f t="shared" si="29"/>
        <v>330600</v>
      </c>
      <c r="O71" s="608">
        <f t="shared" si="10"/>
        <v>330653</v>
      </c>
    </row>
    <row r="72" spans="2:15" ht="15">
      <c r="B72">
        <v>45</v>
      </c>
      <c r="C72">
        <v>330653</v>
      </c>
      <c r="E72" s="605">
        <f t="shared" si="20"/>
        <v>3</v>
      </c>
      <c r="F72" s="605">
        <f t="shared" si="21"/>
        <v>0</v>
      </c>
      <c r="G72" s="605">
        <f t="shared" si="22"/>
        <v>1</v>
      </c>
      <c r="H72" s="605">
        <f t="shared" si="23"/>
        <v>1</v>
      </c>
      <c r="I72" s="605">
        <f t="shared" si="24"/>
        <v>0</v>
      </c>
      <c r="J72" s="605">
        <f t="shared" si="25"/>
        <v>0</v>
      </c>
      <c r="K72" s="605">
        <f t="shared" si="26"/>
        <v>1</v>
      </c>
      <c r="L72" s="605">
        <f t="shared" si="27"/>
        <v>1</v>
      </c>
      <c r="M72" s="605">
        <f t="shared" si="28"/>
        <v>53</v>
      </c>
      <c r="N72" s="606">
        <f t="shared" si="29"/>
        <v>330600</v>
      </c>
      <c r="O72" s="608">
        <f t="shared" si="10"/>
        <v>330653</v>
      </c>
    </row>
    <row r="73" spans="2:15" ht="15">
      <c r="B73">
        <v>46</v>
      </c>
      <c r="C73">
        <v>330653</v>
      </c>
      <c r="E73" s="605">
        <f t="shared" si="20"/>
        <v>3</v>
      </c>
      <c r="F73" s="605">
        <f t="shared" si="21"/>
        <v>0</v>
      </c>
      <c r="G73" s="605">
        <f t="shared" si="22"/>
        <v>1</v>
      </c>
      <c r="H73" s="605">
        <f t="shared" si="23"/>
        <v>1</v>
      </c>
      <c r="I73" s="605">
        <f t="shared" si="24"/>
        <v>0</v>
      </c>
      <c r="J73" s="605">
        <f t="shared" si="25"/>
        <v>0</v>
      </c>
      <c r="K73" s="605">
        <f t="shared" si="26"/>
        <v>1</v>
      </c>
      <c r="L73" s="605">
        <f t="shared" si="27"/>
        <v>1</v>
      </c>
      <c r="M73" s="605">
        <f t="shared" si="28"/>
        <v>53</v>
      </c>
      <c r="N73" s="606">
        <f t="shared" si="29"/>
        <v>330600</v>
      </c>
      <c r="O73" s="608">
        <f t="shared" si="10"/>
        <v>330653</v>
      </c>
    </row>
    <row r="74" spans="2:15" ht="15">
      <c r="B74">
        <v>47</v>
      </c>
      <c r="C74">
        <v>330653</v>
      </c>
      <c r="E74" s="605">
        <f t="shared" si="20"/>
        <v>3</v>
      </c>
      <c r="F74" s="605">
        <f t="shared" si="21"/>
        <v>0</v>
      </c>
      <c r="G74" s="605">
        <f t="shared" si="22"/>
        <v>1</v>
      </c>
      <c r="H74" s="605">
        <f t="shared" si="23"/>
        <v>1</v>
      </c>
      <c r="I74" s="605">
        <f t="shared" si="24"/>
        <v>0</v>
      </c>
      <c r="J74" s="605">
        <f t="shared" si="25"/>
        <v>0</v>
      </c>
      <c r="K74" s="605">
        <f t="shared" si="26"/>
        <v>1</v>
      </c>
      <c r="L74" s="605">
        <f t="shared" si="27"/>
        <v>1</v>
      </c>
      <c r="M74" s="605">
        <f t="shared" si="28"/>
        <v>53</v>
      </c>
      <c r="N74" s="606">
        <f t="shared" si="29"/>
        <v>330600</v>
      </c>
      <c r="O74" s="608">
        <f t="shared" si="10"/>
        <v>330653</v>
      </c>
    </row>
    <row r="75" spans="2:15" ht="15">
      <c r="B75">
        <v>48</v>
      </c>
      <c r="C75">
        <v>330653</v>
      </c>
      <c r="E75" s="605">
        <f t="shared" si="20"/>
        <v>3</v>
      </c>
      <c r="F75" s="605">
        <f t="shared" si="21"/>
        <v>0</v>
      </c>
      <c r="G75" s="605">
        <f t="shared" si="22"/>
        <v>1</v>
      </c>
      <c r="H75" s="605">
        <f t="shared" si="23"/>
        <v>1</v>
      </c>
      <c r="I75" s="605">
        <f t="shared" si="24"/>
        <v>0</v>
      </c>
      <c r="J75" s="605">
        <f t="shared" si="25"/>
        <v>0</v>
      </c>
      <c r="K75" s="605">
        <f t="shared" si="26"/>
        <v>1</v>
      </c>
      <c r="L75" s="605">
        <f t="shared" si="27"/>
        <v>1</v>
      </c>
      <c r="M75" s="605">
        <f t="shared" si="28"/>
        <v>53</v>
      </c>
      <c r="N75" s="606">
        <f t="shared" si="29"/>
        <v>330600</v>
      </c>
      <c r="O75" s="608">
        <f t="shared" si="10"/>
        <v>330653</v>
      </c>
    </row>
    <row r="76" spans="2:15" ht="15">
      <c r="B76">
        <v>49</v>
      </c>
      <c r="C76">
        <v>330653</v>
      </c>
      <c r="E76" s="605">
        <f t="shared" si="20"/>
        <v>3</v>
      </c>
      <c r="F76" s="605">
        <f t="shared" si="21"/>
        <v>0</v>
      </c>
      <c r="G76" s="605">
        <f t="shared" si="22"/>
        <v>1</v>
      </c>
      <c r="H76" s="605">
        <f t="shared" si="23"/>
        <v>1</v>
      </c>
      <c r="I76" s="605">
        <f t="shared" si="24"/>
        <v>0</v>
      </c>
      <c r="J76" s="605">
        <f t="shared" si="25"/>
        <v>0</v>
      </c>
      <c r="K76" s="605">
        <f t="shared" si="26"/>
        <v>1</v>
      </c>
      <c r="L76" s="605">
        <f t="shared" si="27"/>
        <v>1</v>
      </c>
      <c r="M76" s="605">
        <f t="shared" si="28"/>
        <v>53</v>
      </c>
      <c r="N76" s="606">
        <f t="shared" si="29"/>
        <v>330600</v>
      </c>
      <c r="O76" s="608">
        <f t="shared" si="10"/>
        <v>330653</v>
      </c>
    </row>
    <row r="77" spans="2:15" ht="15">
      <c r="B77">
        <v>50</v>
      </c>
      <c r="C77">
        <v>330653</v>
      </c>
      <c r="E77" s="605">
        <f t="shared" si="20"/>
        <v>3</v>
      </c>
      <c r="F77" s="605">
        <f t="shared" si="21"/>
        <v>0</v>
      </c>
      <c r="G77" s="605">
        <f t="shared" si="22"/>
        <v>1</v>
      </c>
      <c r="H77" s="605">
        <f t="shared" si="23"/>
        <v>1</v>
      </c>
      <c r="I77" s="605">
        <f t="shared" si="24"/>
        <v>0</v>
      </c>
      <c r="J77" s="605">
        <f t="shared" si="25"/>
        <v>0</v>
      </c>
      <c r="K77" s="605">
        <f t="shared" si="26"/>
        <v>1</v>
      </c>
      <c r="L77" s="605">
        <f t="shared" si="27"/>
        <v>1</v>
      </c>
      <c r="M77" s="605">
        <f t="shared" si="28"/>
        <v>53</v>
      </c>
      <c r="N77" s="606">
        <f t="shared" si="29"/>
        <v>330600</v>
      </c>
      <c r="O77" s="608">
        <f t="shared" si="10"/>
        <v>330653</v>
      </c>
    </row>
    <row r="78" spans="2:15">
      <c r="C78">
        <f>SUM(C28:C77)</f>
        <v>14769170</v>
      </c>
      <c r="E78" s="607">
        <f>SUM(E28:E77)</f>
        <v>134</v>
      </c>
      <c r="F78" s="607">
        <f t="shared" ref="F78:M78" si="30">SUM(F28:F77)</f>
        <v>0</v>
      </c>
      <c r="G78" s="607">
        <f t="shared" si="30"/>
        <v>42</v>
      </c>
      <c r="H78" s="607">
        <f t="shared" si="30"/>
        <v>50</v>
      </c>
      <c r="I78" s="607">
        <f t="shared" si="30"/>
        <v>0</v>
      </c>
      <c r="J78" s="607">
        <f t="shared" si="30"/>
        <v>0</v>
      </c>
      <c r="K78" s="607">
        <f t="shared" si="30"/>
        <v>42</v>
      </c>
      <c r="L78" s="607">
        <f t="shared" si="30"/>
        <v>58</v>
      </c>
      <c r="M78" s="607">
        <f t="shared" si="30"/>
        <v>2370</v>
      </c>
      <c r="N78" s="608">
        <f>SUM(N28:N77)</f>
        <v>14766800</v>
      </c>
      <c r="O78" s="608">
        <f>N78+M78</f>
        <v>14769170</v>
      </c>
    </row>
    <row r="81" spans="1:7" s="419" customFormat="1" ht="20.25" customHeight="1">
      <c r="A81" s="609"/>
      <c r="E81" s="552" t="s">
        <v>244</v>
      </c>
      <c r="F81" s="552" t="s">
        <v>415</v>
      </c>
      <c r="G81" s="552" t="s">
        <v>416</v>
      </c>
    </row>
    <row r="82" spans="1:7" ht="16.5" customHeight="1">
      <c r="E82" s="612">
        <f>E78</f>
        <v>134</v>
      </c>
      <c r="F82" s="13">
        <v>100000</v>
      </c>
      <c r="G82" s="13">
        <f t="shared" ref="G82:G89" si="31">E82*F82</f>
        <v>13400000</v>
      </c>
    </row>
    <row r="83" spans="1:7" ht="16.5" customHeight="1">
      <c r="E83" s="612">
        <f>F78</f>
        <v>0</v>
      </c>
      <c r="F83" s="13">
        <v>50000</v>
      </c>
      <c r="G83" s="13">
        <f t="shared" si="31"/>
        <v>0</v>
      </c>
    </row>
    <row r="84" spans="1:7" ht="16.5" customHeight="1">
      <c r="E84" s="612">
        <f>G78</f>
        <v>42</v>
      </c>
      <c r="F84" s="13">
        <v>20000</v>
      </c>
      <c r="G84" s="13">
        <f t="shared" si="31"/>
        <v>840000</v>
      </c>
    </row>
    <row r="85" spans="1:7" ht="16.5" customHeight="1">
      <c r="E85" s="612">
        <f>H78</f>
        <v>50</v>
      </c>
      <c r="F85" s="13">
        <v>10000</v>
      </c>
      <c r="G85" s="13">
        <f t="shared" si="31"/>
        <v>500000</v>
      </c>
    </row>
    <row r="86" spans="1:7" ht="16.5" customHeight="1">
      <c r="E86" s="612">
        <f>I78</f>
        <v>0</v>
      </c>
      <c r="F86" s="13">
        <v>5000</v>
      </c>
      <c r="G86" s="13">
        <f t="shared" si="31"/>
        <v>0</v>
      </c>
    </row>
    <row r="87" spans="1:7" ht="16.5" customHeight="1">
      <c r="E87" s="612">
        <f>J78</f>
        <v>0</v>
      </c>
      <c r="F87" s="13">
        <v>1000</v>
      </c>
      <c r="G87" s="13">
        <f t="shared" si="31"/>
        <v>0</v>
      </c>
    </row>
    <row r="88" spans="1:7" ht="16.5" customHeight="1">
      <c r="E88" s="612">
        <f>K78</f>
        <v>42</v>
      </c>
      <c r="F88" s="13">
        <v>500</v>
      </c>
      <c r="G88" s="13">
        <f t="shared" si="31"/>
        <v>21000</v>
      </c>
    </row>
    <row r="89" spans="1:7" ht="16.5" customHeight="1">
      <c r="E89" s="612">
        <f>L78</f>
        <v>58</v>
      </c>
      <c r="F89" s="13">
        <v>100</v>
      </c>
      <c r="G89" s="13">
        <f t="shared" si="31"/>
        <v>5800</v>
      </c>
    </row>
    <row r="90" spans="1:7" ht="16.5" customHeight="1">
      <c r="E90" s="41" t="s">
        <v>414</v>
      </c>
      <c r="F90" s="601"/>
      <c r="G90" s="13">
        <v>2380</v>
      </c>
    </row>
    <row r="91" spans="1:7" ht="16.5" customHeight="1">
      <c r="E91" s="610"/>
      <c r="F91" s="610"/>
      <c r="G91" s="611">
        <f>SUM(G82:G90)</f>
        <v>14769180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7"/>
  <sheetViews>
    <sheetView workbookViewId="0">
      <selection activeCell="F28" sqref="F28"/>
    </sheetView>
  </sheetViews>
  <sheetFormatPr defaultRowHeight="12.75"/>
  <cols>
    <col min="2" max="2" width="18.42578125" customWidth="1"/>
    <col min="3" max="3" width="19.28515625" customWidth="1"/>
    <col min="4" max="4" width="15.140625" customWidth="1"/>
  </cols>
  <sheetData>
    <row r="4" spans="2:4">
      <c r="B4" s="601" t="s">
        <v>351</v>
      </c>
      <c r="C4" s="41" t="s">
        <v>377</v>
      </c>
      <c r="D4" s="13"/>
    </row>
    <row r="5" spans="2:4">
      <c r="B5" s="601" t="s">
        <v>352</v>
      </c>
      <c r="C5" s="41" t="s">
        <v>378</v>
      </c>
      <c r="D5" s="13"/>
    </row>
    <row r="6" spans="2:4">
      <c r="B6" s="601" t="s">
        <v>353</v>
      </c>
      <c r="C6" s="41" t="s">
        <v>379</v>
      </c>
      <c r="D6" s="13"/>
    </row>
    <row r="7" spans="2:4">
      <c r="B7" s="601" t="s">
        <v>354</v>
      </c>
      <c r="C7" s="41" t="s">
        <v>380</v>
      </c>
      <c r="D7" s="13"/>
    </row>
    <row r="8" spans="2:4">
      <c r="B8" s="601" t="s">
        <v>355</v>
      </c>
      <c r="C8" s="41" t="s">
        <v>381</v>
      </c>
      <c r="D8" s="13"/>
    </row>
    <row r="9" spans="2:4">
      <c r="B9" s="601" t="s">
        <v>356</v>
      </c>
      <c r="C9" s="41" t="s">
        <v>382</v>
      </c>
      <c r="D9" s="13"/>
    </row>
    <row r="10" spans="2:4">
      <c r="B10" s="601" t="s">
        <v>357</v>
      </c>
      <c r="C10" s="41" t="s">
        <v>383</v>
      </c>
      <c r="D10" s="13">
        <v>4279901</v>
      </c>
    </row>
    <row r="11" spans="2:4">
      <c r="B11" s="601" t="s">
        <v>358</v>
      </c>
      <c r="C11" s="41" t="s">
        <v>384</v>
      </c>
      <c r="D11" s="13"/>
    </row>
    <row r="12" spans="2:4">
      <c r="B12" s="601" t="s">
        <v>359</v>
      </c>
      <c r="C12" s="41" t="s">
        <v>385</v>
      </c>
      <c r="D12" s="13"/>
    </row>
    <row r="13" spans="2:4">
      <c r="B13" s="601" t="s">
        <v>360</v>
      </c>
      <c r="C13" s="41" t="s">
        <v>386</v>
      </c>
      <c r="D13" s="13"/>
    </row>
    <row r="14" spans="2:4">
      <c r="B14" s="601" t="s">
        <v>361</v>
      </c>
      <c r="C14" s="41" t="s">
        <v>387</v>
      </c>
      <c r="D14" s="13"/>
    </row>
    <row r="15" spans="2:4">
      <c r="B15" s="601" t="s">
        <v>362</v>
      </c>
      <c r="C15" s="41" t="s">
        <v>388</v>
      </c>
      <c r="D15" s="13"/>
    </row>
    <row r="16" spans="2:4">
      <c r="B16" s="601" t="s">
        <v>363</v>
      </c>
      <c r="C16" s="41" t="s">
        <v>389</v>
      </c>
      <c r="D16" s="13"/>
    </row>
    <row r="17" spans="2:4">
      <c r="B17" s="601" t="s">
        <v>364</v>
      </c>
      <c r="C17" s="41" t="s">
        <v>390</v>
      </c>
      <c r="D17" s="13"/>
    </row>
    <row r="18" spans="2:4">
      <c r="B18" s="601" t="s">
        <v>365</v>
      </c>
      <c r="C18" s="41" t="s">
        <v>391</v>
      </c>
      <c r="D18" s="13"/>
    </row>
    <row r="19" spans="2:4">
      <c r="B19" s="601" t="s">
        <v>366</v>
      </c>
      <c r="C19" s="41" t="s">
        <v>392</v>
      </c>
      <c r="D19" s="13"/>
    </row>
    <row r="20" spans="2:4">
      <c r="B20" s="601" t="s">
        <v>367</v>
      </c>
      <c r="C20" s="41" t="s">
        <v>393</v>
      </c>
      <c r="D20" s="13"/>
    </row>
    <row r="21" spans="2:4">
      <c r="B21" s="601" t="s">
        <v>368</v>
      </c>
      <c r="C21" s="41" t="s">
        <v>394</v>
      </c>
      <c r="D21" s="13"/>
    </row>
    <row r="22" spans="2:4">
      <c r="B22" s="601" t="s">
        <v>369</v>
      </c>
      <c r="C22" s="41" t="s">
        <v>395</v>
      </c>
      <c r="D22" s="13"/>
    </row>
    <row r="23" spans="2:4">
      <c r="B23" s="601" t="s">
        <v>370</v>
      </c>
      <c r="C23" s="41" t="s">
        <v>396</v>
      </c>
      <c r="D23" s="13"/>
    </row>
    <row r="24" spans="2:4">
      <c r="B24" s="601" t="s">
        <v>371</v>
      </c>
      <c r="C24" s="41" t="s">
        <v>397</v>
      </c>
      <c r="D24" s="13"/>
    </row>
    <row r="25" spans="2:4">
      <c r="B25" s="601" t="s">
        <v>372</v>
      </c>
      <c r="C25" s="41" t="s">
        <v>398</v>
      </c>
      <c r="D25" s="13"/>
    </row>
    <row r="26" spans="2:4">
      <c r="B26" s="601" t="s">
        <v>373</v>
      </c>
      <c r="C26" s="41" t="s">
        <v>399</v>
      </c>
      <c r="D26" s="13"/>
    </row>
    <row r="27" spans="2:4">
      <c r="B27" s="601"/>
      <c r="C27" s="41"/>
      <c r="D27" s="1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3"/>
  <sheetViews>
    <sheetView workbookViewId="0">
      <selection activeCell="C31" sqref="C31"/>
    </sheetView>
  </sheetViews>
  <sheetFormatPr defaultRowHeight="12.75"/>
  <cols>
    <col min="1" max="1" width="19.42578125" customWidth="1"/>
    <col min="2" max="2" width="17.140625" customWidth="1"/>
    <col min="3" max="3" width="19.28515625" customWidth="1"/>
    <col min="4" max="4" width="15.7109375" customWidth="1"/>
    <col min="7" max="7" width="14.28515625" customWidth="1"/>
  </cols>
  <sheetData>
    <row r="3" spans="1:7" ht="13.5" thickBot="1"/>
    <row r="4" spans="1:7" s="418" customFormat="1" ht="23.25" customHeight="1" thickBot="1">
      <c r="A4" s="420" t="s">
        <v>98</v>
      </c>
      <c r="B4" s="420" t="s">
        <v>227</v>
      </c>
      <c r="C4" s="425" t="s">
        <v>228</v>
      </c>
      <c r="D4" s="420" t="s">
        <v>226</v>
      </c>
    </row>
    <row r="5" spans="1:7" s="419" customFormat="1" ht="17.25" customHeight="1">
      <c r="A5" s="430" t="s">
        <v>229</v>
      </c>
      <c r="B5" s="421"/>
      <c r="C5" s="426"/>
      <c r="D5" s="421">
        <f t="shared" ref="D5:D11" si="0">B5-C5</f>
        <v>0</v>
      </c>
      <c r="G5" s="419" t="s">
        <v>235</v>
      </c>
    </row>
    <row r="6" spans="1:7" s="419" customFormat="1" ht="17.25" customHeight="1">
      <c r="A6" s="431" t="s">
        <v>230</v>
      </c>
      <c r="B6" s="422"/>
      <c r="C6" s="427"/>
      <c r="D6" s="422">
        <f t="shared" si="0"/>
        <v>0</v>
      </c>
      <c r="G6" s="419" t="s">
        <v>236</v>
      </c>
    </row>
    <row r="7" spans="1:7" s="419" customFormat="1" ht="17.25" customHeight="1">
      <c r="A7" s="431" t="s">
        <v>231</v>
      </c>
      <c r="B7" s="422"/>
      <c r="C7" s="427"/>
      <c r="D7" s="422">
        <f t="shared" si="0"/>
        <v>0</v>
      </c>
      <c r="G7" s="419" t="s">
        <v>250</v>
      </c>
    </row>
    <row r="8" spans="1:7" s="419" customFormat="1" ht="17.25" customHeight="1">
      <c r="A8" s="431" t="s">
        <v>232</v>
      </c>
      <c r="B8" s="422"/>
      <c r="C8" s="427"/>
      <c r="D8" s="422">
        <f t="shared" si="0"/>
        <v>0</v>
      </c>
      <c r="G8" s="419" t="s">
        <v>234</v>
      </c>
    </row>
    <row r="9" spans="1:7" s="419" customFormat="1" ht="17.25" customHeight="1">
      <c r="A9" s="431" t="s">
        <v>233</v>
      </c>
      <c r="B9" s="422"/>
      <c r="C9" s="427"/>
      <c r="D9" s="422">
        <f t="shared" si="0"/>
        <v>0</v>
      </c>
      <c r="G9" s="419" t="s">
        <v>233</v>
      </c>
    </row>
    <row r="10" spans="1:7" s="419" customFormat="1" ht="17.25" customHeight="1">
      <c r="A10" s="431" t="s">
        <v>234</v>
      </c>
      <c r="B10" s="422"/>
      <c r="C10" s="427"/>
      <c r="D10" s="422">
        <f t="shared" si="0"/>
        <v>0</v>
      </c>
      <c r="G10" s="419" t="s">
        <v>251</v>
      </c>
    </row>
    <row r="11" spans="1:7" s="419" customFormat="1" ht="17.25" customHeight="1">
      <c r="A11" s="431" t="s">
        <v>44</v>
      </c>
      <c r="B11" s="422"/>
      <c r="C11" s="427"/>
      <c r="D11" s="422">
        <f t="shared" si="0"/>
        <v>0</v>
      </c>
    </row>
    <row r="12" spans="1:7" s="419" customFormat="1" ht="17.25" customHeight="1">
      <c r="A12" s="431" t="s">
        <v>235</v>
      </c>
      <c r="B12" s="422"/>
      <c r="C12" s="427"/>
      <c r="D12" s="422">
        <f>B12-C12</f>
        <v>0</v>
      </c>
    </row>
    <row r="13" spans="1:7" s="419" customFormat="1" ht="17.25" customHeight="1">
      <c r="A13" s="431" t="s">
        <v>236</v>
      </c>
      <c r="B13" s="422"/>
      <c r="C13" s="427"/>
      <c r="D13" s="422">
        <f t="shared" ref="D13:D18" si="1">B13-C13</f>
        <v>0</v>
      </c>
    </row>
    <row r="14" spans="1:7" s="419" customFormat="1" ht="17.25" customHeight="1">
      <c r="A14" s="431" t="s">
        <v>237</v>
      </c>
      <c r="B14" s="422"/>
      <c r="C14" s="427"/>
      <c r="D14" s="422">
        <f t="shared" si="1"/>
        <v>0</v>
      </c>
    </row>
    <row r="15" spans="1:7" s="419" customFormat="1" ht="17.25" customHeight="1">
      <c r="A15" s="432" t="s">
        <v>239</v>
      </c>
      <c r="B15" s="422"/>
      <c r="C15" s="427"/>
      <c r="D15" s="422">
        <f t="shared" si="1"/>
        <v>0</v>
      </c>
    </row>
    <row r="16" spans="1:7" s="419" customFormat="1" ht="17.25" customHeight="1">
      <c r="A16" s="431" t="s">
        <v>31</v>
      </c>
      <c r="B16" s="422"/>
      <c r="C16" s="427"/>
      <c r="D16" s="422">
        <f t="shared" si="1"/>
        <v>0</v>
      </c>
    </row>
    <row r="17" spans="1:4" s="419" customFormat="1" ht="17.25" customHeight="1" thickBot="1">
      <c r="A17" s="433" t="s">
        <v>238</v>
      </c>
      <c r="B17" s="423"/>
      <c r="C17" s="428"/>
      <c r="D17" s="423">
        <f t="shared" si="1"/>
        <v>0</v>
      </c>
    </row>
    <row r="18" spans="1:4" s="105" customFormat="1" ht="24" customHeight="1" thickBot="1">
      <c r="A18" s="434"/>
      <c r="B18" s="424">
        <f>SUM(B5:B17)</f>
        <v>0</v>
      </c>
      <c r="C18" s="429">
        <f>SUM(C5:C17)</f>
        <v>0</v>
      </c>
      <c r="D18" s="424">
        <f t="shared" si="1"/>
        <v>0</v>
      </c>
    </row>
    <row r="20" spans="1:4">
      <c r="B20" s="408">
        <v>432058589</v>
      </c>
      <c r="C20" s="408">
        <v>432058589</v>
      </c>
    </row>
    <row r="23" spans="1:4">
      <c r="B23" s="1">
        <f>SUM(B18:B22)</f>
        <v>432058589</v>
      </c>
      <c r="C23" s="1">
        <f>SUM(C18:C22)</f>
        <v>432058589</v>
      </c>
      <c r="D23" s="1">
        <f>C23-B23</f>
        <v>0</v>
      </c>
    </row>
    <row r="31" spans="1:4">
      <c r="B31" s="430" t="s">
        <v>229</v>
      </c>
    </row>
    <row r="32" spans="1:4">
      <c r="B32" s="431" t="s">
        <v>230</v>
      </c>
    </row>
    <row r="33" spans="2:2">
      <c r="B33" s="431" t="s">
        <v>231</v>
      </c>
    </row>
    <row r="34" spans="2:2">
      <c r="B34" s="431" t="s">
        <v>232</v>
      </c>
    </row>
    <row r="35" spans="2:2">
      <c r="B35" s="431" t="s">
        <v>233</v>
      </c>
    </row>
    <row r="36" spans="2:2">
      <c r="B36" s="431" t="s">
        <v>234</v>
      </c>
    </row>
    <row r="37" spans="2:2">
      <c r="B37" s="431" t="s">
        <v>44</v>
      </c>
    </row>
    <row r="38" spans="2:2">
      <c r="B38" s="431" t="s">
        <v>235</v>
      </c>
    </row>
    <row r="39" spans="2:2">
      <c r="B39" s="431" t="s">
        <v>236</v>
      </c>
    </row>
    <row r="40" spans="2:2">
      <c r="B40" s="431" t="s">
        <v>237</v>
      </c>
    </row>
    <row r="41" spans="2:2">
      <c r="B41" s="432" t="s">
        <v>239</v>
      </c>
    </row>
    <row r="42" spans="2:2">
      <c r="B42" s="431" t="s">
        <v>31</v>
      </c>
    </row>
    <row r="43" spans="2:2">
      <c r="B43" s="433" t="s">
        <v>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topLeftCell="A7" workbookViewId="0">
      <selection activeCell="L22" sqref="L22"/>
    </sheetView>
  </sheetViews>
  <sheetFormatPr defaultRowHeight="12.75"/>
  <cols>
    <col min="1" max="1" width="5" style="419" customWidth="1"/>
    <col min="2" max="2" width="18.140625" bestFit="1" customWidth="1"/>
    <col min="4" max="5" width="11" style="105" customWidth="1"/>
    <col min="6" max="9" width="10" customWidth="1"/>
  </cols>
  <sheetData>
    <row r="1" spans="1:10">
      <c r="A1" s="1297" t="s">
        <v>277</v>
      </c>
      <c r="B1" s="1297"/>
      <c r="C1" s="1297"/>
      <c r="D1" s="1297"/>
      <c r="E1" s="1297"/>
      <c r="F1" s="1297"/>
      <c r="G1" s="1297"/>
      <c r="H1" s="1297"/>
      <c r="I1" s="1297"/>
    </row>
    <row r="3" spans="1:10">
      <c r="A3" s="1298" t="s">
        <v>278</v>
      </c>
      <c r="B3" s="1298" t="s">
        <v>279</v>
      </c>
      <c r="C3" s="1298" t="s">
        <v>280</v>
      </c>
      <c r="D3" s="1252" t="s">
        <v>66</v>
      </c>
      <c r="E3" s="1300" t="s">
        <v>317</v>
      </c>
      <c r="F3" s="1301"/>
      <c r="G3" s="1301"/>
      <c r="H3" s="1301"/>
      <c r="I3" s="1302"/>
    </row>
    <row r="4" spans="1:10">
      <c r="A4" s="1299"/>
      <c r="B4" s="1299"/>
      <c r="C4" s="1299"/>
      <c r="D4" s="1253"/>
      <c r="E4" s="111" t="s">
        <v>316</v>
      </c>
      <c r="F4" s="41" t="s">
        <v>288</v>
      </c>
      <c r="G4" s="41" t="s">
        <v>289</v>
      </c>
      <c r="H4" s="41" t="s">
        <v>303</v>
      </c>
      <c r="I4" s="41" t="s">
        <v>290</v>
      </c>
    </row>
    <row r="5" spans="1:10" s="419" customFormat="1" ht="18.75" customHeight="1">
      <c r="A5" s="552">
        <v>1</v>
      </c>
      <c r="B5" s="556" t="s">
        <v>302</v>
      </c>
      <c r="C5" s="552" t="s">
        <v>281</v>
      </c>
      <c r="D5" s="146">
        <v>7958800</v>
      </c>
      <c r="E5" s="146"/>
      <c r="F5" s="554"/>
      <c r="G5" s="554">
        <v>750000</v>
      </c>
      <c r="H5" s="554">
        <v>750000</v>
      </c>
      <c r="I5" s="592">
        <v>750000</v>
      </c>
      <c r="J5" s="555"/>
    </row>
    <row r="6" spans="1:10" s="419" customFormat="1" ht="18.75" customHeight="1">
      <c r="A6" s="552">
        <v>2</v>
      </c>
      <c r="B6" s="556" t="s">
        <v>299</v>
      </c>
      <c r="C6" s="557" t="s">
        <v>300</v>
      </c>
      <c r="D6" s="146">
        <v>663000</v>
      </c>
      <c r="E6" s="146"/>
      <c r="F6" s="554">
        <v>250000</v>
      </c>
      <c r="G6" s="554">
        <v>250000</v>
      </c>
      <c r="H6" s="554">
        <v>163000</v>
      </c>
      <c r="I6" s="558"/>
      <c r="J6" s="555"/>
    </row>
    <row r="7" spans="1:10" s="419" customFormat="1" ht="18.75" customHeight="1">
      <c r="A7" s="552">
        <v>3</v>
      </c>
      <c r="B7" s="553" t="s">
        <v>282</v>
      </c>
      <c r="C7" s="552" t="s">
        <v>287</v>
      </c>
      <c r="D7" s="146">
        <v>300000</v>
      </c>
      <c r="E7" s="146"/>
      <c r="F7" s="554"/>
      <c r="G7" s="554">
        <v>150000</v>
      </c>
      <c r="H7" s="554">
        <v>150000</v>
      </c>
      <c r="I7" s="558"/>
      <c r="J7" s="555"/>
    </row>
    <row r="8" spans="1:10" s="419" customFormat="1" ht="18.75" customHeight="1">
      <c r="A8" s="552">
        <v>4</v>
      </c>
      <c r="B8" s="553" t="s">
        <v>283</v>
      </c>
      <c r="C8" s="552" t="s">
        <v>287</v>
      </c>
      <c r="D8" s="146">
        <v>300000</v>
      </c>
      <c r="E8" s="146"/>
      <c r="F8" s="554"/>
      <c r="G8" s="554">
        <v>150000</v>
      </c>
      <c r="H8" s="554">
        <v>150000</v>
      </c>
      <c r="I8" s="558"/>
      <c r="J8" s="555"/>
    </row>
    <row r="9" spans="1:10" s="419" customFormat="1" ht="18.75" customHeight="1">
      <c r="A9" s="552">
        <v>5</v>
      </c>
      <c r="B9" s="553" t="s">
        <v>284</v>
      </c>
      <c r="C9" s="552" t="s">
        <v>287</v>
      </c>
      <c r="D9" s="146">
        <v>300000</v>
      </c>
      <c r="E9" s="146"/>
      <c r="F9" s="554"/>
      <c r="G9" s="554">
        <v>748209</v>
      </c>
      <c r="H9" s="558"/>
      <c r="I9" s="558"/>
      <c r="J9" s="555"/>
    </row>
    <row r="10" spans="1:10" s="419" customFormat="1" ht="18.75" customHeight="1">
      <c r="A10" s="552">
        <v>6</v>
      </c>
      <c r="B10" s="553" t="s">
        <v>285</v>
      </c>
      <c r="C10" s="552" t="s">
        <v>287</v>
      </c>
      <c r="D10" s="146">
        <v>300000</v>
      </c>
      <c r="E10" s="146"/>
      <c r="F10" s="554"/>
      <c r="G10" s="554">
        <v>150000</v>
      </c>
      <c r="H10" s="554">
        <v>150000</v>
      </c>
      <c r="I10" s="558"/>
      <c r="J10" s="555"/>
    </row>
    <row r="11" spans="1:10" s="419" customFormat="1" ht="18.75" customHeight="1">
      <c r="A11" s="552">
        <v>7</v>
      </c>
      <c r="B11" s="553" t="s">
        <v>286</v>
      </c>
      <c r="C11" s="552" t="s">
        <v>287</v>
      </c>
      <c r="D11" s="146">
        <v>300000</v>
      </c>
      <c r="E11" s="146"/>
      <c r="F11" s="554"/>
      <c r="G11" s="554">
        <v>150000</v>
      </c>
      <c r="H11" s="554">
        <v>150000</v>
      </c>
      <c r="I11" s="558"/>
      <c r="J11" s="555"/>
    </row>
    <row r="12" spans="1:10" s="419" customFormat="1" ht="18.75" customHeight="1">
      <c r="A12" s="552">
        <v>8</v>
      </c>
      <c r="B12" s="556" t="s">
        <v>291</v>
      </c>
      <c r="C12" s="552" t="s">
        <v>287</v>
      </c>
      <c r="D12" s="146">
        <v>300000</v>
      </c>
      <c r="E12" s="146"/>
      <c r="F12" s="554"/>
      <c r="G12" s="554">
        <v>150000</v>
      </c>
      <c r="H12" s="554">
        <v>150000</v>
      </c>
      <c r="I12" s="558"/>
      <c r="J12" s="555"/>
    </row>
    <row r="13" spans="1:10" s="419" customFormat="1" ht="18.75" customHeight="1">
      <c r="A13" s="552">
        <v>9</v>
      </c>
      <c r="B13" s="556" t="s">
        <v>292</v>
      </c>
      <c r="C13" s="552" t="s">
        <v>287</v>
      </c>
      <c r="D13" s="146">
        <v>300000</v>
      </c>
      <c r="E13" s="146"/>
      <c r="F13" s="554"/>
      <c r="G13" s="554">
        <v>150000</v>
      </c>
      <c r="H13" s="554">
        <v>150000</v>
      </c>
      <c r="I13" s="558"/>
      <c r="J13" s="555"/>
    </row>
    <row r="14" spans="1:10" s="419" customFormat="1" ht="18.75" customHeight="1">
      <c r="A14" s="552">
        <v>10</v>
      </c>
      <c r="B14" s="556" t="s">
        <v>293</v>
      </c>
      <c r="C14" s="552" t="s">
        <v>287</v>
      </c>
      <c r="D14" s="146">
        <v>300000</v>
      </c>
      <c r="E14" s="146"/>
      <c r="F14" s="554"/>
      <c r="G14" s="554">
        <v>150000</v>
      </c>
      <c r="H14" s="554">
        <v>150000</v>
      </c>
      <c r="I14" s="558"/>
      <c r="J14" s="555"/>
    </row>
    <row r="15" spans="1:10" s="419" customFormat="1" ht="18.75" customHeight="1">
      <c r="A15" s="552">
        <v>11</v>
      </c>
      <c r="B15" s="556" t="s">
        <v>294</v>
      </c>
      <c r="C15" s="552" t="s">
        <v>287</v>
      </c>
      <c r="D15" s="146">
        <v>300000</v>
      </c>
      <c r="E15" s="146"/>
      <c r="F15" s="554"/>
      <c r="G15" s="554">
        <v>150000</v>
      </c>
      <c r="H15" s="554">
        <v>150000</v>
      </c>
      <c r="I15" s="558"/>
      <c r="J15" s="555"/>
    </row>
    <row r="16" spans="1:10" s="419" customFormat="1" ht="18.75" customHeight="1">
      <c r="A16" s="552">
        <v>12</v>
      </c>
      <c r="B16" s="556" t="s">
        <v>295</v>
      </c>
      <c r="C16" s="552" t="s">
        <v>287</v>
      </c>
      <c r="D16" s="146">
        <v>300000</v>
      </c>
      <c r="E16" s="146"/>
      <c r="F16" s="554"/>
      <c r="G16" s="554">
        <v>150000</v>
      </c>
      <c r="H16" s="554">
        <v>150000</v>
      </c>
      <c r="I16" s="558"/>
      <c r="J16" s="555"/>
    </row>
    <row r="17" spans="1:10" s="419" customFormat="1" ht="18.75" customHeight="1">
      <c r="A17" s="552">
        <v>13</v>
      </c>
      <c r="B17" s="556" t="s">
        <v>296</v>
      </c>
      <c r="C17" s="552" t="s">
        <v>287</v>
      </c>
      <c r="D17" s="146">
        <v>300000</v>
      </c>
      <c r="E17" s="146"/>
      <c r="F17" s="554"/>
      <c r="G17" s="554">
        <v>150000</v>
      </c>
      <c r="H17" s="554">
        <v>150000</v>
      </c>
      <c r="I17" s="558"/>
      <c r="J17" s="555"/>
    </row>
    <row r="18" spans="1:10" s="419" customFormat="1" ht="18.75" customHeight="1">
      <c r="A18" s="552">
        <v>14</v>
      </c>
      <c r="B18" s="556" t="s">
        <v>297</v>
      </c>
      <c r="C18" s="552" t="s">
        <v>287</v>
      </c>
      <c r="D18" s="146">
        <v>300000</v>
      </c>
      <c r="E18" s="146"/>
      <c r="F18" s="554"/>
      <c r="G18" s="554">
        <v>150000</v>
      </c>
      <c r="H18" s="554">
        <v>150000</v>
      </c>
      <c r="I18" s="558"/>
      <c r="J18" s="555"/>
    </row>
    <row r="19" spans="1:10" s="419" customFormat="1" ht="18.75" customHeight="1">
      <c r="A19" s="552">
        <v>15</v>
      </c>
      <c r="B19" s="556" t="s">
        <v>298</v>
      </c>
      <c r="C19" s="552" t="s">
        <v>287</v>
      </c>
      <c r="D19" s="146">
        <v>300000</v>
      </c>
      <c r="E19" s="146"/>
      <c r="F19" s="554"/>
      <c r="G19" s="554">
        <v>150000</v>
      </c>
      <c r="H19" s="554">
        <v>150000</v>
      </c>
      <c r="I19" s="558"/>
      <c r="J19" s="555"/>
    </row>
    <row r="20" spans="1:10" s="419" customFormat="1" ht="18.75" customHeight="1">
      <c r="A20" s="552">
        <v>16</v>
      </c>
      <c r="B20" s="556" t="s">
        <v>301</v>
      </c>
      <c r="C20" s="557" t="s">
        <v>287</v>
      </c>
      <c r="D20" s="146">
        <v>2000000</v>
      </c>
      <c r="E20" s="146"/>
      <c r="F20" s="554"/>
      <c r="G20" s="554"/>
      <c r="H20" s="554">
        <v>500000</v>
      </c>
      <c r="I20" s="592">
        <v>500000</v>
      </c>
      <c r="J20" s="555"/>
    </row>
    <row r="21" spans="1:10" s="419" customFormat="1" ht="18.75" customHeight="1">
      <c r="A21" s="552">
        <v>17</v>
      </c>
      <c r="B21" s="556" t="s">
        <v>311</v>
      </c>
      <c r="C21" s="557" t="s">
        <v>281</v>
      </c>
      <c r="D21" s="146">
        <v>994000</v>
      </c>
      <c r="E21" s="146"/>
      <c r="F21" s="554"/>
      <c r="G21" s="554"/>
      <c r="H21" s="554">
        <v>500000</v>
      </c>
      <c r="I21" s="558">
        <v>494500</v>
      </c>
      <c r="J21" s="555"/>
    </row>
    <row r="22" spans="1:10" ht="17.25" customHeight="1">
      <c r="A22" s="552">
        <v>18</v>
      </c>
      <c r="B22" s="556" t="s">
        <v>312</v>
      </c>
      <c r="C22" s="557" t="s">
        <v>281</v>
      </c>
      <c r="D22" s="146">
        <v>1348942</v>
      </c>
      <c r="E22" s="146"/>
      <c r="F22" s="13"/>
      <c r="G22" s="13">
        <v>500000</v>
      </c>
      <c r="H22" s="13">
        <v>500000</v>
      </c>
      <c r="I22" s="593">
        <v>348942</v>
      </c>
      <c r="J22" s="1"/>
    </row>
    <row r="23" spans="1:10" ht="17.25" customHeight="1">
      <c r="A23" s="552">
        <v>19</v>
      </c>
      <c r="B23" s="556" t="s">
        <v>313</v>
      </c>
      <c r="C23" s="557" t="s">
        <v>281</v>
      </c>
      <c r="D23" s="146">
        <v>1326000</v>
      </c>
      <c r="E23" s="146"/>
      <c r="F23" s="13"/>
      <c r="G23" s="13">
        <v>500000</v>
      </c>
      <c r="H23" s="13">
        <v>500000</v>
      </c>
      <c r="I23" s="593">
        <v>326000</v>
      </c>
      <c r="J23" s="1"/>
    </row>
    <row r="24" spans="1:10" s="419" customFormat="1" ht="15.75" customHeight="1">
      <c r="A24" s="552">
        <v>20</v>
      </c>
      <c r="B24" s="556" t="s">
        <v>314</v>
      </c>
      <c r="C24" s="557" t="s">
        <v>315</v>
      </c>
      <c r="D24" s="146">
        <v>5421000</v>
      </c>
      <c r="E24" s="563">
        <v>542100</v>
      </c>
      <c r="F24" s="563">
        <v>542100</v>
      </c>
      <c r="G24" s="563">
        <v>542100</v>
      </c>
      <c r="H24" s="563">
        <v>542100</v>
      </c>
      <c r="I24" s="554"/>
      <c r="J24" s="555"/>
    </row>
  </sheetData>
  <mergeCells count="6">
    <mergeCell ref="A1:I1"/>
    <mergeCell ref="A3:A4"/>
    <mergeCell ref="B3:B4"/>
    <mergeCell ref="C3:C4"/>
    <mergeCell ref="D3:D4"/>
    <mergeCell ref="E3:I3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846"/>
  <sheetViews>
    <sheetView showGridLines="0" topLeftCell="A278" zoomScale="40" zoomScaleNormal="40" zoomScaleSheetLayoutView="50" workbookViewId="0">
      <selection activeCell="AA248" sqref="AA248:AA267"/>
    </sheetView>
  </sheetViews>
  <sheetFormatPr defaultRowHeight="20.25"/>
  <cols>
    <col min="1" max="1" width="112.28515625" style="215" customWidth="1"/>
    <col min="2" max="2" width="23.7109375" style="216" customWidth="1"/>
    <col min="3" max="3" width="19.85546875" style="217" hidden="1" customWidth="1"/>
    <col min="4" max="4" width="23" style="217" hidden="1" customWidth="1"/>
    <col min="5" max="5" width="21.5703125" style="217" hidden="1" customWidth="1"/>
    <col min="6" max="6" width="19.85546875" style="217" hidden="1" customWidth="1"/>
    <col min="7" max="7" width="14.7109375" style="217" hidden="1" customWidth="1"/>
    <col min="8" max="9" width="14.42578125" style="217" hidden="1" customWidth="1"/>
    <col min="10" max="10" width="14.7109375" style="217" hidden="1" customWidth="1"/>
    <col min="11" max="11" width="14.42578125" style="217" hidden="1" customWidth="1"/>
    <col min="12" max="12" width="15.85546875" style="217" hidden="1" customWidth="1"/>
    <col min="13" max="13" width="13.7109375" style="217" hidden="1" customWidth="1"/>
    <col min="14" max="14" width="37.28515625" style="217" customWidth="1"/>
    <col min="15" max="15" width="24.28515625" style="217" hidden="1" customWidth="1"/>
    <col min="16" max="17" width="31.42578125" style="217" customWidth="1"/>
    <col min="18" max="18" width="33.28515625" style="217" customWidth="1"/>
    <col min="19" max="19" width="12.85546875" style="215" hidden="1" customWidth="1"/>
    <col min="20" max="20" width="11.28515625" style="215" hidden="1" customWidth="1"/>
    <col min="21" max="22" width="0" style="215" hidden="1" customWidth="1"/>
    <col min="23" max="23" width="18.28515625" style="215" customWidth="1"/>
    <col min="24" max="24" width="29.7109375" style="339" customWidth="1"/>
    <col min="25" max="25" width="6.7109375" style="339" customWidth="1"/>
    <col min="26" max="26" width="9.140625" style="215"/>
    <col min="27" max="27" width="29.28515625" style="215" customWidth="1"/>
    <col min="28" max="28" width="48.28515625" style="215" customWidth="1"/>
    <col min="29" max="16384" width="9.140625" style="215"/>
  </cols>
  <sheetData>
    <row r="1" spans="1:28" ht="17.25" customHeight="1"/>
    <row r="2" spans="1:28" ht="17.25" customHeight="1"/>
    <row r="3" spans="1:28" ht="17.25" customHeight="1">
      <c r="A3" s="559" t="s">
        <v>0</v>
      </c>
    </row>
    <row r="4" spans="1:28" ht="17.25" customHeight="1">
      <c r="A4" s="559" t="s">
        <v>274</v>
      </c>
    </row>
    <row r="5" spans="1:28" ht="63.75" customHeight="1" thickBot="1"/>
    <row r="6" spans="1:28" ht="24.75" customHeight="1" thickTop="1">
      <c r="A6" s="1176" t="s">
        <v>1</v>
      </c>
      <c r="B6" s="1183" t="s">
        <v>15</v>
      </c>
      <c r="C6" s="219"/>
      <c r="D6" s="220"/>
      <c r="E6" s="220"/>
      <c r="F6" s="220"/>
      <c r="G6" s="220"/>
      <c r="H6" s="220"/>
      <c r="I6" s="220"/>
      <c r="J6" s="220"/>
      <c r="K6" s="220"/>
      <c r="L6" s="220"/>
      <c r="M6" s="574" t="s">
        <v>65</v>
      </c>
      <c r="N6" s="568" t="s">
        <v>145</v>
      </c>
      <c r="O6" s="568" t="s">
        <v>253</v>
      </c>
      <c r="P6" s="1174" t="s">
        <v>189</v>
      </c>
      <c r="Q6" s="1174" t="s">
        <v>190</v>
      </c>
      <c r="R6" s="1171" t="s">
        <v>3</v>
      </c>
      <c r="S6" s="221" t="s">
        <v>16</v>
      </c>
      <c r="T6" s="222" t="s">
        <v>18</v>
      </c>
      <c r="U6" s="218"/>
      <c r="V6" s="218"/>
      <c r="W6" s="218"/>
      <c r="X6" s="1171" t="s">
        <v>259</v>
      </c>
      <c r="Y6" s="492"/>
    </row>
    <row r="7" spans="1:28" ht="24.75" customHeight="1" thickBot="1">
      <c r="A7" s="1177"/>
      <c r="B7" s="1184"/>
      <c r="C7" s="223">
        <v>100000</v>
      </c>
      <c r="D7" s="223">
        <v>50000</v>
      </c>
      <c r="E7" s="223">
        <v>20000</v>
      </c>
      <c r="F7" s="223">
        <v>10000</v>
      </c>
      <c r="G7" s="223">
        <v>5000</v>
      </c>
      <c r="H7" s="223">
        <v>1000</v>
      </c>
      <c r="I7" s="223">
        <v>500</v>
      </c>
      <c r="J7" s="223">
        <v>100</v>
      </c>
      <c r="K7" s="223">
        <v>50</v>
      </c>
      <c r="L7" s="223" t="s">
        <v>2</v>
      </c>
      <c r="M7" s="575" t="s">
        <v>66</v>
      </c>
      <c r="N7" s="569" t="s">
        <v>276</v>
      </c>
      <c r="O7" s="569" t="s">
        <v>254</v>
      </c>
      <c r="P7" s="1175"/>
      <c r="Q7" s="1175"/>
      <c r="R7" s="1172"/>
      <c r="S7" s="224"/>
      <c r="T7" s="225" t="s">
        <v>19</v>
      </c>
      <c r="U7" s="218"/>
      <c r="V7" s="218"/>
      <c r="W7" s="218"/>
      <c r="X7" s="1172"/>
      <c r="Y7" s="492"/>
    </row>
    <row r="8" spans="1:28" s="242" customFormat="1" ht="24.75" customHeight="1" thickTop="1">
      <c r="A8" s="234"/>
      <c r="B8" s="292"/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5"/>
      <c r="N8" s="346"/>
      <c r="O8" s="346"/>
      <c r="P8" s="346"/>
      <c r="Q8" s="346"/>
      <c r="R8" s="347"/>
      <c r="S8" s="398"/>
      <c r="T8" s="398"/>
      <c r="U8" s="398"/>
      <c r="V8" s="398"/>
      <c r="W8" s="239"/>
      <c r="X8" s="347"/>
      <c r="Y8" s="493"/>
    </row>
    <row r="9" spans="1:28" s="242" customFormat="1" ht="24.75" customHeight="1">
      <c r="A9" s="234" t="s">
        <v>116</v>
      </c>
      <c r="B9" s="292">
        <v>10</v>
      </c>
      <c r="C9" s="344"/>
      <c r="D9" s="344"/>
      <c r="E9" s="344"/>
      <c r="F9" s="344"/>
      <c r="G9" s="344"/>
      <c r="H9" s="344"/>
      <c r="I9" s="344"/>
      <c r="J9" s="344"/>
      <c r="K9" s="344"/>
      <c r="L9" s="344"/>
      <c r="M9" s="345"/>
      <c r="N9" s="349">
        <v>0</v>
      </c>
      <c r="O9" s="349"/>
      <c r="P9" s="349">
        <f>612510+1275400</f>
        <v>1887910</v>
      </c>
      <c r="Q9" s="349">
        <v>0</v>
      </c>
      <c r="R9" s="347">
        <v>20245609</v>
      </c>
      <c r="S9" s="398"/>
      <c r="T9" s="398"/>
      <c r="U9" s="398"/>
      <c r="V9" s="398"/>
      <c r="W9" s="239"/>
      <c r="X9" s="347">
        <v>633000</v>
      </c>
      <c r="Y9" s="493"/>
      <c r="AA9" s="218">
        <f>P9+X9</f>
        <v>2520910</v>
      </c>
    </row>
    <row r="10" spans="1:28" s="242" customFormat="1" ht="24.75" customHeight="1">
      <c r="A10" s="234" t="s">
        <v>111</v>
      </c>
      <c r="B10" s="292">
        <v>37</v>
      </c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4">
        <v>0</v>
      </c>
      <c r="O10" s="294"/>
      <c r="P10" s="294">
        <v>758880</v>
      </c>
      <c r="Q10" s="294">
        <v>952334</v>
      </c>
      <c r="R10" s="295">
        <v>96935464</v>
      </c>
      <c r="S10" s="398"/>
      <c r="T10" s="398"/>
      <c r="U10" s="398"/>
      <c r="V10" s="398"/>
      <c r="W10" s="353"/>
      <c r="X10" s="295">
        <v>3389500</v>
      </c>
      <c r="Y10" s="353"/>
      <c r="AA10" s="218">
        <f t="shared" ref="AA10:AA22" si="0">P10+X10</f>
        <v>4148380</v>
      </c>
    </row>
    <row r="11" spans="1:28" s="242" customFormat="1" ht="24.75" customHeight="1">
      <c r="A11" s="234" t="s">
        <v>101</v>
      </c>
      <c r="B11" s="292">
        <v>6</v>
      </c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4"/>
      <c r="N11" s="294">
        <v>0</v>
      </c>
      <c r="O11" s="294"/>
      <c r="P11" s="294">
        <v>6170820</v>
      </c>
      <c r="Q11" s="294">
        <v>4512142</v>
      </c>
      <c r="R11" s="247">
        <v>26611684</v>
      </c>
      <c r="S11" s="398"/>
      <c r="T11" s="398"/>
      <c r="U11" s="398"/>
      <c r="V11" s="398"/>
      <c r="W11" s="353"/>
      <c r="X11" s="295">
        <v>0</v>
      </c>
      <c r="Y11" s="353"/>
      <c r="AA11" s="218">
        <f t="shared" si="0"/>
        <v>6170820</v>
      </c>
    </row>
    <row r="12" spans="1:28" s="242" customFormat="1" ht="24.75" customHeight="1">
      <c r="A12" s="234" t="s">
        <v>140</v>
      </c>
      <c r="B12" s="235">
        <v>24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354"/>
      <c r="N12" s="344">
        <v>0</v>
      </c>
      <c r="O12" s="349"/>
      <c r="P12" s="349">
        <f>883600+3140200+141650</f>
        <v>4165450</v>
      </c>
      <c r="Q12" s="349">
        <v>2139089</v>
      </c>
      <c r="R12" s="247">
        <v>77890103</v>
      </c>
      <c r="S12" s="398"/>
      <c r="T12" s="398"/>
      <c r="U12" s="398"/>
      <c r="V12" s="398"/>
      <c r="W12" s="239"/>
      <c r="X12" s="247">
        <v>12266500</v>
      </c>
      <c r="Y12" s="493"/>
      <c r="AA12" s="218">
        <f t="shared" si="0"/>
        <v>16431950</v>
      </c>
    </row>
    <row r="13" spans="1:28" ht="24.75" customHeight="1">
      <c r="A13" s="234" t="s">
        <v>111</v>
      </c>
      <c r="B13" s="277">
        <v>6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60"/>
      <c r="N13" s="294">
        <v>0</v>
      </c>
      <c r="O13" s="294"/>
      <c r="P13" s="294">
        <v>0</v>
      </c>
      <c r="Q13" s="294">
        <v>0</v>
      </c>
      <c r="R13" s="247">
        <v>14641265</v>
      </c>
      <c r="S13" s="399"/>
      <c r="T13" s="399"/>
      <c r="U13" s="399"/>
      <c r="V13" s="399"/>
      <c r="W13" s="218"/>
      <c r="X13" s="247">
        <v>0</v>
      </c>
      <c r="Y13" s="492"/>
      <c r="AA13" s="218">
        <f t="shared" si="0"/>
        <v>0</v>
      </c>
      <c r="AB13" s="215" t="s">
        <v>272</v>
      </c>
    </row>
    <row r="14" spans="1:28" s="242" customFormat="1" ht="24.75" customHeight="1">
      <c r="A14" s="234" t="s">
        <v>157</v>
      </c>
      <c r="B14" s="235">
        <v>24</v>
      </c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60"/>
      <c r="N14" s="294">
        <v>0</v>
      </c>
      <c r="O14" s="294"/>
      <c r="P14" s="294">
        <f>429030+1269800</f>
        <v>1698830</v>
      </c>
      <c r="Q14" s="294">
        <v>1692224</v>
      </c>
      <c r="R14" s="247">
        <v>63080259</v>
      </c>
      <c r="S14" s="398"/>
      <c r="T14" s="398"/>
      <c r="U14" s="398"/>
      <c r="V14" s="398"/>
      <c r="X14" s="247">
        <v>1704500</v>
      </c>
      <c r="Y14" s="353"/>
      <c r="AA14" s="218">
        <f t="shared" si="0"/>
        <v>3403330</v>
      </c>
      <c r="AB14" s="242" t="s">
        <v>273</v>
      </c>
    </row>
    <row r="15" spans="1:28" s="242" customFormat="1" ht="24.75" customHeight="1">
      <c r="A15" s="234" t="s">
        <v>153</v>
      </c>
      <c r="B15" s="235">
        <v>9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60"/>
      <c r="N15" s="294">
        <v>0</v>
      </c>
      <c r="O15" s="294"/>
      <c r="P15" s="294">
        <f>271850+537600+133190</f>
        <v>942640</v>
      </c>
      <c r="Q15" s="294">
        <v>0</v>
      </c>
      <c r="R15" s="247">
        <v>22278677</v>
      </c>
      <c r="S15" s="398"/>
      <c r="T15" s="398"/>
      <c r="U15" s="398"/>
      <c r="V15" s="398"/>
      <c r="X15" s="247">
        <v>1346000</v>
      </c>
      <c r="Y15" s="493"/>
      <c r="AA15" s="218">
        <f t="shared" si="0"/>
        <v>2288640</v>
      </c>
    </row>
    <row r="16" spans="1:28" ht="24.75" customHeight="1">
      <c r="A16" s="234" t="s">
        <v>146</v>
      </c>
      <c r="B16" s="292">
        <v>32</v>
      </c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4">
        <v>0</v>
      </c>
      <c r="O16" s="294"/>
      <c r="P16" s="294">
        <v>252395</v>
      </c>
      <c r="Q16" s="294">
        <v>945008</v>
      </c>
      <c r="R16" s="295">
        <v>79913879</v>
      </c>
      <c r="S16" s="399"/>
      <c r="T16" s="399"/>
      <c r="U16" s="399"/>
      <c r="V16" s="399"/>
      <c r="W16" s="218"/>
      <c r="X16" s="295">
        <v>0</v>
      </c>
      <c r="Y16" s="492"/>
      <c r="AA16" s="218">
        <f t="shared" si="0"/>
        <v>252395</v>
      </c>
    </row>
    <row r="17" spans="1:27" ht="24.75" customHeight="1">
      <c r="A17" s="234" t="s">
        <v>115</v>
      </c>
      <c r="B17" s="384">
        <v>4</v>
      </c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302"/>
      <c r="N17" s="342">
        <v>0</v>
      </c>
      <c r="O17" s="342"/>
      <c r="P17" s="342">
        <v>2671080</v>
      </c>
      <c r="Q17" s="342">
        <v>2922828</v>
      </c>
      <c r="R17" s="386">
        <v>16012188</v>
      </c>
      <c r="S17" s="399"/>
      <c r="T17" s="399"/>
      <c r="U17" s="399"/>
      <c r="V17" s="399"/>
      <c r="W17" s="218"/>
      <c r="X17" s="386">
        <v>0</v>
      </c>
      <c r="Y17" s="492"/>
      <c r="AA17" s="218">
        <f t="shared" si="0"/>
        <v>2671080</v>
      </c>
    </row>
    <row r="18" spans="1:27" ht="24.75" customHeight="1">
      <c r="A18" s="234" t="s">
        <v>110</v>
      </c>
      <c r="B18" s="384">
        <v>28</v>
      </c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02"/>
      <c r="N18" s="342">
        <v>0</v>
      </c>
      <c r="O18" s="342"/>
      <c r="P18" s="342">
        <f>1497940+6398700+1105220</f>
        <v>9001860</v>
      </c>
      <c r="Q18" s="342">
        <v>2710489</v>
      </c>
      <c r="R18" s="386">
        <v>89643819</v>
      </c>
      <c r="S18" s="399"/>
      <c r="T18" s="399"/>
      <c r="U18" s="399"/>
      <c r="V18" s="399"/>
      <c r="W18" s="218"/>
      <c r="X18" s="386">
        <v>10758000</v>
      </c>
      <c r="Y18" s="492"/>
      <c r="AA18" s="218">
        <f t="shared" si="0"/>
        <v>19759860</v>
      </c>
    </row>
    <row r="19" spans="1:27" ht="24.75" customHeight="1">
      <c r="A19" s="234" t="s">
        <v>139</v>
      </c>
      <c r="B19" s="384">
        <v>2</v>
      </c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02"/>
      <c r="N19" s="342">
        <v>0</v>
      </c>
      <c r="O19" s="342"/>
      <c r="P19" s="342">
        <f>21210+255500</f>
        <v>276710</v>
      </c>
      <c r="Q19" s="342">
        <v>0</v>
      </c>
      <c r="R19" s="386">
        <v>2677258</v>
      </c>
      <c r="S19" s="399"/>
      <c r="T19" s="399"/>
      <c r="U19" s="399"/>
      <c r="V19" s="399"/>
      <c r="W19" s="218"/>
      <c r="X19" s="386">
        <v>285500</v>
      </c>
      <c r="Y19" s="492"/>
      <c r="AA19" s="218">
        <f t="shared" si="0"/>
        <v>562210</v>
      </c>
    </row>
    <row r="20" spans="1:27" ht="24.75" customHeight="1">
      <c r="A20" s="234" t="s">
        <v>100</v>
      </c>
      <c r="B20" s="384">
        <v>30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02"/>
      <c r="N20" s="302">
        <v>0</v>
      </c>
      <c r="O20" s="302"/>
      <c r="P20" s="302">
        <v>78830</v>
      </c>
      <c r="Q20" s="302">
        <v>981637</v>
      </c>
      <c r="R20" s="386">
        <v>73924867</v>
      </c>
      <c r="S20" s="399"/>
      <c r="T20" s="399"/>
      <c r="U20" s="399"/>
      <c r="V20" s="399"/>
      <c r="W20" s="218"/>
      <c r="X20" s="386">
        <v>0</v>
      </c>
      <c r="Y20" s="492"/>
      <c r="AA20" s="218">
        <f t="shared" si="0"/>
        <v>78830</v>
      </c>
    </row>
    <row r="21" spans="1:27" ht="24.75" customHeight="1">
      <c r="A21" s="234" t="s">
        <v>270</v>
      </c>
      <c r="B21" s="384">
        <v>7</v>
      </c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02"/>
      <c r="N21" s="302">
        <v>0</v>
      </c>
      <c r="O21" s="302"/>
      <c r="P21" s="302">
        <f>52160+666400+52305</f>
        <v>770865</v>
      </c>
      <c r="Q21" s="302">
        <v>820472</v>
      </c>
      <c r="R21" s="386">
        <v>15475973</v>
      </c>
      <c r="S21" s="399"/>
      <c r="T21" s="399"/>
      <c r="U21" s="399"/>
      <c r="V21" s="399"/>
      <c r="W21" s="218"/>
      <c r="X21" s="386">
        <v>1338000</v>
      </c>
      <c r="Y21" s="492"/>
      <c r="AA21" s="218">
        <f t="shared" si="0"/>
        <v>2108865</v>
      </c>
    </row>
    <row r="22" spans="1:27" ht="24.75" customHeight="1" thickBot="1">
      <c r="A22" s="234" t="s">
        <v>99</v>
      </c>
      <c r="B22" s="384">
        <v>4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02"/>
      <c r="N22" s="302">
        <v>0</v>
      </c>
      <c r="O22" s="302"/>
      <c r="P22" s="302">
        <v>2310700</v>
      </c>
      <c r="Q22" s="302">
        <v>2100120</v>
      </c>
      <c r="R22" s="386">
        <v>14279666</v>
      </c>
      <c r="S22" s="399"/>
      <c r="T22" s="399"/>
      <c r="U22" s="399"/>
      <c r="V22" s="399"/>
      <c r="W22" s="218"/>
      <c r="X22" s="386">
        <v>0</v>
      </c>
      <c r="Y22" s="492"/>
      <c r="AA22" s="218">
        <f t="shared" si="0"/>
        <v>2310700</v>
      </c>
    </row>
    <row r="23" spans="1:27" ht="24.75" customHeight="1" thickTop="1" thickBot="1">
      <c r="A23" s="261" t="s">
        <v>3</v>
      </c>
      <c r="B23" s="262">
        <f t="shared" ref="B23:R23" si="1">SUM(B8:B22)</f>
        <v>223</v>
      </c>
      <c r="C23" s="263">
        <f t="shared" si="1"/>
        <v>0</v>
      </c>
      <c r="D23" s="263">
        <f t="shared" si="1"/>
        <v>0</v>
      </c>
      <c r="E23" s="263">
        <f t="shared" si="1"/>
        <v>0</v>
      </c>
      <c r="F23" s="263">
        <f t="shared" si="1"/>
        <v>0</v>
      </c>
      <c r="G23" s="263">
        <f t="shared" si="1"/>
        <v>0</v>
      </c>
      <c r="H23" s="263">
        <f t="shared" si="1"/>
        <v>0</v>
      </c>
      <c r="I23" s="263">
        <f t="shared" si="1"/>
        <v>0</v>
      </c>
      <c r="J23" s="263">
        <f t="shared" si="1"/>
        <v>0</v>
      </c>
      <c r="K23" s="263">
        <f t="shared" si="1"/>
        <v>0</v>
      </c>
      <c r="L23" s="263">
        <f t="shared" si="1"/>
        <v>0</v>
      </c>
      <c r="M23" s="263">
        <f t="shared" si="1"/>
        <v>0</v>
      </c>
      <c r="N23" s="264">
        <f t="shared" si="1"/>
        <v>0</v>
      </c>
      <c r="O23" s="264">
        <f t="shared" si="1"/>
        <v>0</v>
      </c>
      <c r="P23" s="265">
        <f t="shared" si="1"/>
        <v>30986970</v>
      </c>
      <c r="Q23" s="265">
        <f t="shared" si="1"/>
        <v>19776343</v>
      </c>
      <c r="R23" s="560">
        <f t="shared" si="1"/>
        <v>613610711</v>
      </c>
      <c r="S23" s="303"/>
      <c r="T23" s="355" t="e">
        <f>#REF!/#REF!</f>
        <v>#REF!</v>
      </c>
      <c r="U23" s="218" t="s">
        <v>17</v>
      </c>
      <c r="V23" s="218"/>
      <c r="W23" s="218"/>
      <c r="X23" s="265">
        <f>SUM(X8:X22)</f>
        <v>31721000</v>
      </c>
      <c r="Y23" s="492"/>
      <c r="AA23" s="218">
        <f>SUM(AA9:AA22)</f>
        <v>62707970</v>
      </c>
    </row>
    <row r="24" spans="1:27" ht="24.75" customHeight="1" thickTop="1">
      <c r="A24" s="336"/>
      <c r="B24" s="56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218"/>
      <c r="T24" s="218"/>
      <c r="U24" s="218"/>
      <c r="V24" s="218"/>
      <c r="W24" s="218"/>
      <c r="X24" s="492"/>
      <c r="Y24" s="492"/>
    </row>
    <row r="25" spans="1:27" ht="17.25" customHeight="1">
      <c r="S25" s="218"/>
      <c r="T25" s="218"/>
      <c r="U25" s="218"/>
      <c r="V25" s="218"/>
      <c r="W25" s="218"/>
      <c r="X25" s="492"/>
      <c r="Y25" s="492"/>
    </row>
    <row r="26" spans="1:27" ht="17.25" customHeight="1">
      <c r="S26" s="218"/>
      <c r="T26" s="218"/>
      <c r="U26" s="218"/>
      <c r="V26" s="218"/>
      <c r="W26" s="218"/>
      <c r="X26" s="492"/>
      <c r="Y26" s="492"/>
    </row>
    <row r="27" spans="1:27" ht="17.25" customHeight="1">
      <c r="S27" s="218"/>
      <c r="T27" s="218"/>
      <c r="U27" s="218"/>
      <c r="V27" s="218"/>
      <c r="W27" s="218"/>
      <c r="X27" s="492"/>
      <c r="Y27" s="492"/>
    </row>
    <row r="28" spans="1:27" ht="17.25" customHeight="1">
      <c r="A28" s="336"/>
      <c r="B28" s="566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218"/>
      <c r="T28" s="218"/>
      <c r="U28" s="218"/>
      <c r="V28" s="218"/>
      <c r="W28" s="218"/>
      <c r="X28" s="492"/>
      <c r="Y28" s="492"/>
    </row>
    <row r="29" spans="1:27" ht="17.25" customHeight="1">
      <c r="A29" s="336" t="s">
        <v>206</v>
      </c>
      <c r="B29" s="566"/>
      <c r="C29" s="337"/>
      <c r="D29" s="1173" t="s">
        <v>81</v>
      </c>
      <c r="E29" s="1173"/>
      <c r="F29" s="1173"/>
      <c r="G29" s="1173"/>
      <c r="H29" s="337"/>
      <c r="I29" s="337"/>
      <c r="J29" s="1173" t="s">
        <v>82</v>
      </c>
      <c r="K29" s="1173"/>
      <c r="L29" s="1173"/>
      <c r="M29" s="1173"/>
      <c r="N29" s="1173"/>
      <c r="O29" s="1173"/>
      <c r="P29" s="1173"/>
      <c r="Q29" s="1173"/>
      <c r="R29" s="1173"/>
      <c r="S29" s="218"/>
      <c r="T29" s="218"/>
      <c r="U29" s="218"/>
      <c r="V29" s="218"/>
      <c r="W29" s="218"/>
      <c r="X29" s="492"/>
      <c r="Y29" s="492"/>
    </row>
    <row r="30" spans="1:27" ht="17.25" customHeight="1">
      <c r="A30" s="336"/>
      <c r="B30" s="566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218"/>
      <c r="T30" s="218"/>
      <c r="U30" s="218"/>
      <c r="V30" s="218"/>
      <c r="W30" s="218"/>
      <c r="X30" s="492"/>
      <c r="Y30" s="492"/>
    </row>
    <row r="31" spans="1:27" ht="17.25" customHeight="1">
      <c r="S31" s="218"/>
      <c r="T31" s="218"/>
      <c r="U31" s="218"/>
      <c r="V31" s="218"/>
      <c r="W31" s="218"/>
      <c r="X31" s="492"/>
      <c r="Y31" s="492"/>
    </row>
    <row r="32" spans="1:27" ht="17.25" customHeight="1">
      <c r="S32" s="218"/>
      <c r="T32" s="218"/>
      <c r="U32" s="218"/>
      <c r="V32" s="218"/>
      <c r="W32" s="218"/>
      <c r="X32" s="492"/>
      <c r="Y32" s="492"/>
    </row>
    <row r="33" spans="1:27" ht="17.25" customHeight="1">
      <c r="S33" s="218"/>
      <c r="T33" s="218"/>
      <c r="U33" s="218"/>
      <c r="V33" s="218"/>
      <c r="W33" s="218"/>
      <c r="X33" s="492"/>
      <c r="Y33" s="492"/>
    </row>
    <row r="34" spans="1:27" ht="17.25" customHeight="1">
      <c r="A34" s="336"/>
      <c r="B34" s="566"/>
      <c r="C34" s="337"/>
      <c r="D34" s="566"/>
      <c r="E34" s="566"/>
      <c r="F34" s="566"/>
      <c r="G34" s="566"/>
      <c r="H34" s="337"/>
      <c r="I34" s="337"/>
      <c r="J34" s="566"/>
      <c r="K34" s="566"/>
      <c r="L34" s="566"/>
      <c r="M34" s="566"/>
      <c r="N34" s="566"/>
      <c r="O34" s="566"/>
      <c r="P34" s="566"/>
      <c r="Q34" s="566"/>
      <c r="R34" s="566"/>
      <c r="S34" s="218"/>
      <c r="T34" s="218"/>
      <c r="U34" s="218"/>
      <c r="V34" s="218"/>
      <c r="W34" s="218"/>
      <c r="X34" s="492"/>
      <c r="Y34" s="492"/>
    </row>
    <row r="35" spans="1:27" ht="17.25" customHeight="1">
      <c r="A35" s="216"/>
      <c r="B35" s="278"/>
      <c r="S35" s="218"/>
      <c r="T35" s="218"/>
      <c r="U35" s="218"/>
      <c r="V35" s="218"/>
      <c r="W35" s="218"/>
      <c r="X35" s="492"/>
      <c r="Y35" s="492"/>
    </row>
    <row r="36" spans="1:27" ht="17.25" customHeight="1">
      <c r="B36" s="278"/>
      <c r="S36" s="218"/>
      <c r="T36" s="218"/>
      <c r="U36" s="218"/>
      <c r="V36" s="218"/>
      <c r="W36" s="218"/>
      <c r="X36" s="492"/>
      <c r="Y36" s="492"/>
    </row>
    <row r="37" spans="1:27" ht="17.25" customHeight="1">
      <c r="B37" s="278"/>
      <c r="S37" s="218"/>
      <c r="T37" s="218"/>
      <c r="U37" s="218"/>
      <c r="V37" s="218"/>
      <c r="W37" s="218"/>
      <c r="X37" s="492"/>
      <c r="Y37" s="492"/>
    </row>
    <row r="38" spans="1:27" ht="17.25" customHeight="1">
      <c r="A38" s="559" t="s">
        <v>0</v>
      </c>
      <c r="B38" s="278"/>
      <c r="S38" s="218"/>
      <c r="T38" s="218"/>
      <c r="U38" s="218"/>
      <c r="V38" s="218"/>
      <c r="W38" s="218"/>
      <c r="X38" s="492"/>
      <c r="Y38" s="492"/>
    </row>
    <row r="39" spans="1:27" ht="17.25" customHeight="1">
      <c r="A39" s="559" t="str">
        <f>A4</f>
        <v>DENOMINATION FOR NOVEMBER 2017</v>
      </c>
      <c r="B39" s="278"/>
      <c r="S39" s="218"/>
      <c r="T39" s="218"/>
      <c r="U39" s="218"/>
      <c r="V39" s="218"/>
      <c r="W39" s="218"/>
      <c r="X39" s="492"/>
      <c r="Y39" s="492"/>
    </row>
    <row r="40" spans="1:27" ht="63.75" customHeight="1" thickBot="1">
      <c r="A40" s="216"/>
      <c r="B40" s="278"/>
      <c r="S40" s="218"/>
      <c r="T40" s="218"/>
      <c r="U40" s="218"/>
      <c r="V40" s="218"/>
      <c r="W40" s="218"/>
      <c r="X40" s="492"/>
      <c r="Y40" s="492"/>
    </row>
    <row r="41" spans="1:27" ht="24.75" customHeight="1" thickTop="1">
      <c r="A41" s="1176" t="s">
        <v>1</v>
      </c>
      <c r="B41" s="1183" t="s">
        <v>15</v>
      </c>
      <c r="C41" s="219"/>
      <c r="D41" s="219"/>
      <c r="E41" s="220"/>
      <c r="F41" s="220"/>
      <c r="G41" s="220"/>
      <c r="H41" s="220"/>
      <c r="I41" s="220"/>
      <c r="J41" s="220"/>
      <c r="K41" s="220"/>
      <c r="L41" s="220"/>
      <c r="M41" s="574" t="str">
        <f>M6</f>
        <v>Pot.</v>
      </c>
      <c r="N41" s="568" t="s">
        <v>145</v>
      </c>
      <c r="O41" s="568" t="s">
        <v>253</v>
      </c>
      <c r="P41" s="1174" t="str">
        <f>P6</f>
        <v>TOTAL PREMI</v>
      </c>
      <c r="Q41" s="1174" t="str">
        <f>Q6</f>
        <v>TOTAL LEMBUR</v>
      </c>
      <c r="R41" s="1171" t="s">
        <v>3</v>
      </c>
      <c r="S41" s="304" t="s">
        <v>16</v>
      </c>
      <c r="T41" s="222" t="s">
        <v>18</v>
      </c>
      <c r="U41" s="218"/>
      <c r="V41" s="218"/>
      <c r="W41" s="218"/>
      <c r="X41" s="1171" t="s">
        <v>259</v>
      </c>
      <c r="Y41" s="492"/>
    </row>
    <row r="42" spans="1:27" ht="24.75" customHeight="1" thickBot="1">
      <c r="A42" s="1177"/>
      <c r="B42" s="1184"/>
      <c r="C42" s="223">
        <v>100000</v>
      </c>
      <c r="D42" s="223">
        <v>50000</v>
      </c>
      <c r="E42" s="223">
        <v>20000</v>
      </c>
      <c r="F42" s="223">
        <v>10000</v>
      </c>
      <c r="G42" s="223">
        <v>5000</v>
      </c>
      <c r="H42" s="223">
        <v>1000</v>
      </c>
      <c r="I42" s="223">
        <v>500</v>
      </c>
      <c r="J42" s="223">
        <v>100</v>
      </c>
      <c r="K42" s="223">
        <v>50</v>
      </c>
      <c r="L42" s="223" t="s">
        <v>2</v>
      </c>
      <c r="M42" s="575" t="str">
        <f>M7</f>
        <v>Pinjaman</v>
      </c>
      <c r="N42" s="569" t="str">
        <f>N7</f>
        <v>(MASA NOV - 2017)</v>
      </c>
      <c r="O42" s="569" t="s">
        <v>254</v>
      </c>
      <c r="P42" s="1175"/>
      <c r="Q42" s="1175"/>
      <c r="R42" s="1172"/>
      <c r="S42" s="305"/>
      <c r="T42" s="225" t="s">
        <v>19</v>
      </c>
      <c r="U42" s="218"/>
      <c r="V42" s="218"/>
      <c r="W42" s="218"/>
      <c r="X42" s="1172"/>
      <c r="Y42" s="492"/>
    </row>
    <row r="43" spans="1:27" ht="24.75" customHeight="1" thickTop="1">
      <c r="A43" s="356"/>
      <c r="B43" s="357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9"/>
      <c r="O43" s="359"/>
      <c r="P43" s="359"/>
      <c r="Q43" s="359"/>
      <c r="R43" s="360"/>
      <c r="S43" s="487"/>
      <c r="T43" s="361"/>
      <c r="U43" s="218"/>
      <c r="V43" s="218"/>
      <c r="X43" s="360"/>
    </row>
    <row r="44" spans="1:27" ht="24.75" customHeight="1">
      <c r="A44" s="362" t="s">
        <v>95</v>
      </c>
      <c r="B44" s="533">
        <v>4</v>
      </c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521">
        <v>0</v>
      </c>
      <c r="O44" s="521"/>
      <c r="P44" s="260">
        <v>3956498</v>
      </c>
      <c r="Q44" s="289">
        <v>2864320</v>
      </c>
      <c r="R44" s="290">
        <v>16715553</v>
      </c>
      <c r="S44" s="488"/>
      <c r="T44" s="352"/>
      <c r="U44" s="218"/>
      <c r="V44" s="218"/>
      <c r="X44" s="290"/>
      <c r="AA44" s="218">
        <f>P44+X44</f>
        <v>3956498</v>
      </c>
    </row>
    <row r="45" spans="1:27" s="242" customFormat="1" ht="24.75" customHeight="1">
      <c r="A45" s="362" t="s">
        <v>102</v>
      </c>
      <c r="B45" s="310">
        <v>32</v>
      </c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29">
        <v>76763</v>
      </c>
      <c r="O45" s="329"/>
      <c r="P45" s="260">
        <f>396870+893870+5586000</f>
        <v>6876740</v>
      </c>
      <c r="Q45" s="349">
        <v>2424789</v>
      </c>
      <c r="R45" s="347">
        <v>104786109</v>
      </c>
      <c r="S45" s="489">
        <f>20846315+948633</f>
        <v>21794948</v>
      </c>
      <c r="T45" s="348"/>
      <c r="U45" s="239"/>
      <c r="V45" s="239"/>
      <c r="W45" s="439"/>
      <c r="X45" s="347">
        <v>14674500</v>
      </c>
      <c r="Y45" s="339"/>
      <c r="AA45" s="218">
        <f t="shared" ref="AA45:AA53" si="2">P45+X45</f>
        <v>21551240</v>
      </c>
    </row>
    <row r="46" spans="1:27" s="242" customFormat="1" ht="24.75" customHeight="1">
      <c r="A46" s="362" t="s">
        <v>174</v>
      </c>
      <c r="B46" s="277">
        <v>32</v>
      </c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365"/>
      <c r="N46" s="577">
        <v>0</v>
      </c>
      <c r="O46" s="577"/>
      <c r="P46" s="260">
        <f>1050588</f>
        <v>1050588</v>
      </c>
      <c r="Q46" s="366">
        <v>1219720</v>
      </c>
      <c r="R46" s="367">
        <v>79135153</v>
      </c>
      <c r="S46" s="489"/>
      <c r="T46" s="348"/>
      <c r="U46" s="239"/>
      <c r="V46" s="239"/>
      <c r="W46" s="439"/>
      <c r="X46" s="367">
        <v>0</v>
      </c>
      <c r="Y46" s="339"/>
      <c r="AA46" s="218">
        <f t="shared" si="2"/>
        <v>1050588</v>
      </c>
    </row>
    <row r="47" spans="1:27" s="242" customFormat="1" ht="24.75" customHeight="1">
      <c r="A47" s="362" t="s">
        <v>151</v>
      </c>
      <c r="B47" s="235">
        <v>32</v>
      </c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6"/>
      <c r="N47" s="577">
        <v>0</v>
      </c>
      <c r="O47" s="577"/>
      <c r="P47" s="260">
        <f>203160+2163700</f>
        <v>2366860</v>
      </c>
      <c r="Q47" s="366">
        <v>2131764</v>
      </c>
      <c r="R47" s="367">
        <v>97138812</v>
      </c>
      <c r="S47" s="489"/>
      <c r="T47" s="348"/>
      <c r="U47" s="239"/>
      <c r="V47" s="239"/>
      <c r="W47" s="439"/>
      <c r="X47" s="367">
        <v>14651000</v>
      </c>
      <c r="Y47" s="339"/>
      <c r="AA47" s="218">
        <f t="shared" si="2"/>
        <v>17017860</v>
      </c>
    </row>
    <row r="48" spans="1:27" s="242" customFormat="1" ht="24.75" customHeight="1">
      <c r="A48" s="362" t="s">
        <v>173</v>
      </c>
      <c r="B48" s="235">
        <v>33</v>
      </c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60"/>
      <c r="N48" s="577">
        <v>0</v>
      </c>
      <c r="O48" s="577"/>
      <c r="P48" s="260">
        <f>12060+116900</f>
        <v>128960</v>
      </c>
      <c r="Q48" s="260">
        <v>1090522</v>
      </c>
      <c r="R48" s="247">
        <v>83501305</v>
      </c>
      <c r="S48" s="489"/>
      <c r="T48" s="348"/>
      <c r="U48" s="239"/>
      <c r="V48" s="239"/>
      <c r="W48" s="239"/>
      <c r="X48" s="247">
        <v>936000</v>
      </c>
      <c r="Y48" s="493"/>
      <c r="AA48" s="218">
        <f t="shared" si="2"/>
        <v>1064960</v>
      </c>
    </row>
    <row r="49" spans="1:28" ht="24.75" customHeight="1">
      <c r="A49" s="362" t="s">
        <v>94</v>
      </c>
      <c r="B49" s="577">
        <v>6</v>
      </c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577">
        <v>0</v>
      </c>
      <c r="O49" s="577"/>
      <c r="P49" s="260">
        <v>3172356</v>
      </c>
      <c r="Q49" s="260">
        <v>4014454</v>
      </c>
      <c r="R49" s="247">
        <v>23053400</v>
      </c>
      <c r="S49" s="488"/>
      <c r="T49" s="352"/>
      <c r="U49" s="218"/>
      <c r="V49" s="218"/>
      <c r="W49" s="218"/>
      <c r="X49" s="247"/>
      <c r="Y49" s="492"/>
      <c r="AA49" s="218">
        <f t="shared" si="2"/>
        <v>3172356</v>
      </c>
    </row>
    <row r="50" spans="1:28" ht="24.75" customHeight="1">
      <c r="A50" s="362" t="s">
        <v>176</v>
      </c>
      <c r="B50" s="292">
        <v>25</v>
      </c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4"/>
      <c r="N50" s="329">
        <v>0</v>
      </c>
      <c r="O50" s="329"/>
      <c r="P50" s="260">
        <f>246330+2908500</f>
        <v>3154830</v>
      </c>
      <c r="Q50" s="294">
        <v>1838737</v>
      </c>
      <c r="R50" s="295">
        <v>73568728</v>
      </c>
      <c r="S50" s="488"/>
      <c r="T50" s="352"/>
      <c r="U50" s="218"/>
      <c r="V50" s="218"/>
      <c r="W50" s="218"/>
      <c r="X50" s="295">
        <v>9755500</v>
      </c>
      <c r="Y50" s="492"/>
      <c r="AA50" s="218">
        <f t="shared" si="2"/>
        <v>12910330</v>
      </c>
    </row>
    <row r="51" spans="1:28" s="242" customFormat="1" ht="24.75" customHeight="1">
      <c r="A51" s="362" t="s">
        <v>175</v>
      </c>
      <c r="B51" s="235">
        <v>50</v>
      </c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60"/>
      <c r="N51" s="577">
        <v>0</v>
      </c>
      <c r="O51" s="577"/>
      <c r="P51" s="260">
        <v>1892960</v>
      </c>
      <c r="Q51" s="260">
        <v>1472452</v>
      </c>
      <c r="R51" s="247">
        <v>127757915</v>
      </c>
      <c r="S51" s="489"/>
      <c r="T51" s="348"/>
      <c r="U51" s="239"/>
      <c r="V51" s="239"/>
      <c r="W51" s="274"/>
      <c r="X51" s="247">
        <v>0</v>
      </c>
      <c r="Y51" s="353"/>
      <c r="AA51" s="218">
        <f t="shared" si="2"/>
        <v>1892960</v>
      </c>
    </row>
    <row r="52" spans="1:28" s="242" customFormat="1" ht="24.75" customHeight="1">
      <c r="A52" s="362" t="s">
        <v>161</v>
      </c>
      <c r="B52" s="235">
        <v>8</v>
      </c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60"/>
      <c r="N52" s="577">
        <v>0</v>
      </c>
      <c r="O52" s="577"/>
      <c r="P52" s="260">
        <f>240650+466900</f>
        <v>707550</v>
      </c>
      <c r="Q52" s="260">
        <v>461516</v>
      </c>
      <c r="R52" s="247">
        <v>22847827</v>
      </c>
      <c r="S52" s="489"/>
      <c r="T52" s="348"/>
      <c r="U52" s="239"/>
      <c r="V52" s="239"/>
      <c r="W52" s="274"/>
      <c r="X52" s="247">
        <v>1484000</v>
      </c>
      <c r="Y52" s="353"/>
      <c r="AA52" s="218">
        <f t="shared" si="2"/>
        <v>2191550</v>
      </c>
    </row>
    <row r="53" spans="1:28" s="242" customFormat="1" ht="24.75" customHeight="1">
      <c r="A53" s="362" t="s">
        <v>93</v>
      </c>
      <c r="B53" s="235">
        <v>8</v>
      </c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60"/>
      <c r="N53" s="577">
        <v>0</v>
      </c>
      <c r="O53" s="577"/>
      <c r="P53" s="260">
        <v>2660257</v>
      </c>
      <c r="Q53" s="260">
        <v>5215739</v>
      </c>
      <c r="R53" s="247">
        <v>29218292</v>
      </c>
      <c r="S53" s="489"/>
      <c r="T53" s="348"/>
      <c r="U53" s="239"/>
      <c r="V53" s="239"/>
      <c r="W53" s="239"/>
      <c r="X53" s="247">
        <v>0</v>
      </c>
      <c r="Y53" s="493"/>
      <c r="AA53" s="218">
        <f t="shared" si="2"/>
        <v>2660257</v>
      </c>
    </row>
    <row r="54" spans="1:28" s="242" customFormat="1" ht="24.75" customHeight="1" thickBot="1">
      <c r="A54" s="255"/>
      <c r="B54" s="369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370"/>
      <c r="N54" s="523"/>
      <c r="O54" s="523"/>
      <c r="P54" s="370"/>
      <c r="Q54" s="370"/>
      <c r="R54" s="247"/>
      <c r="S54" s="489"/>
      <c r="T54" s="348"/>
      <c r="U54" s="239"/>
      <c r="V54" s="239"/>
      <c r="W54" s="239"/>
      <c r="X54" s="247"/>
      <c r="Y54" s="493"/>
    </row>
    <row r="55" spans="1:28" ht="24.75" customHeight="1" thickTop="1" thickBot="1">
      <c r="A55" s="261" t="s">
        <v>3</v>
      </c>
      <c r="B55" s="262">
        <f>SUM(B44:B54)</f>
        <v>230</v>
      </c>
      <c r="C55" s="262">
        <f t="shared" ref="C55:R55" si="3">SUM(C44:C54)</f>
        <v>0</v>
      </c>
      <c r="D55" s="262">
        <f t="shared" si="3"/>
        <v>0</v>
      </c>
      <c r="E55" s="262">
        <f t="shared" si="3"/>
        <v>0</v>
      </c>
      <c r="F55" s="262">
        <f t="shared" si="3"/>
        <v>0</v>
      </c>
      <c r="G55" s="262">
        <f t="shared" si="3"/>
        <v>0</v>
      </c>
      <c r="H55" s="262">
        <f t="shared" si="3"/>
        <v>0</v>
      </c>
      <c r="I55" s="262">
        <f t="shared" si="3"/>
        <v>0</v>
      </c>
      <c r="J55" s="262">
        <f t="shared" si="3"/>
        <v>0</v>
      </c>
      <c r="K55" s="262">
        <f t="shared" si="3"/>
        <v>0</v>
      </c>
      <c r="L55" s="262">
        <f t="shared" si="3"/>
        <v>0</v>
      </c>
      <c r="M55" s="262">
        <f t="shared" si="3"/>
        <v>0</v>
      </c>
      <c r="N55" s="262">
        <f t="shared" si="3"/>
        <v>76763</v>
      </c>
      <c r="O55" s="262">
        <f>SUM(O44:O54)</f>
        <v>0</v>
      </c>
      <c r="P55" s="263">
        <f t="shared" si="3"/>
        <v>25967599</v>
      </c>
      <c r="Q55" s="263">
        <f t="shared" si="3"/>
        <v>22734013</v>
      </c>
      <c r="R55" s="560">
        <f t="shared" si="3"/>
        <v>657723094</v>
      </c>
      <c r="S55" s="490"/>
      <c r="T55" s="355" t="e">
        <f>#REF!/#REF!</f>
        <v>#REF!</v>
      </c>
      <c r="U55" s="218" t="s">
        <v>20</v>
      </c>
      <c r="V55" s="218"/>
      <c r="W55" s="218"/>
      <c r="X55" s="265">
        <f>SUM(X43:X54)</f>
        <v>41501000</v>
      </c>
      <c r="Y55" s="492"/>
      <c r="AA55" s="218">
        <f>SUM(AA44:AA54)</f>
        <v>67468599</v>
      </c>
    </row>
    <row r="56" spans="1:28" ht="17.25" customHeight="1" thickTop="1">
      <c r="R56" s="440"/>
    </row>
    <row r="57" spans="1:28" ht="17.25" customHeight="1">
      <c r="B57" s="216" t="s">
        <v>144</v>
      </c>
    </row>
    <row r="58" spans="1:28" s="339" customFormat="1" ht="17.25" customHeight="1">
      <c r="A58" s="215"/>
      <c r="B58" s="216"/>
      <c r="C58" s="217"/>
      <c r="D58" s="217"/>
      <c r="E58" s="217"/>
      <c r="F58" s="217"/>
      <c r="G58" s="217"/>
      <c r="H58" s="217"/>
      <c r="I58" s="1202"/>
      <c r="J58" s="1202"/>
      <c r="K58" s="1202"/>
      <c r="L58" s="217"/>
      <c r="M58" s="217"/>
      <c r="N58" s="217"/>
      <c r="O58" s="217"/>
      <c r="P58" s="217"/>
      <c r="Q58" s="217"/>
      <c r="R58" s="217"/>
      <c r="S58" s="215"/>
      <c r="T58" s="215"/>
      <c r="U58" s="215"/>
      <c r="V58" s="215"/>
      <c r="W58" s="215"/>
      <c r="Z58" s="215"/>
      <c r="AA58" s="215"/>
      <c r="AB58" s="215"/>
    </row>
    <row r="59" spans="1:28" s="339" customFormat="1" ht="17.25" customHeight="1">
      <c r="A59" s="215"/>
      <c r="B59" s="216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5"/>
      <c r="T59" s="215"/>
      <c r="U59" s="215"/>
      <c r="V59" s="215"/>
      <c r="W59" s="215"/>
      <c r="Z59" s="215"/>
      <c r="AA59" s="215"/>
      <c r="AB59" s="215"/>
    </row>
    <row r="60" spans="1:28" s="339" customFormat="1" ht="17.25" customHeight="1">
      <c r="A60" s="215"/>
      <c r="B60" s="216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5"/>
      <c r="T60" s="215"/>
      <c r="U60" s="215"/>
      <c r="V60" s="215"/>
      <c r="W60" s="215"/>
      <c r="Z60" s="215"/>
      <c r="AA60" s="215"/>
      <c r="AB60" s="215"/>
    </row>
    <row r="61" spans="1:28" s="339" customFormat="1" ht="17.25" customHeight="1">
      <c r="A61" s="336" t="s">
        <v>205</v>
      </c>
      <c r="B61" s="566"/>
      <c r="C61" s="337"/>
      <c r="D61" s="1173" t="s">
        <v>81</v>
      </c>
      <c r="E61" s="1173"/>
      <c r="F61" s="1173"/>
      <c r="G61" s="1173"/>
      <c r="H61" s="337"/>
      <c r="I61" s="337"/>
      <c r="J61" s="1173" t="s">
        <v>82</v>
      </c>
      <c r="K61" s="1173"/>
      <c r="L61" s="1173"/>
      <c r="M61" s="1173"/>
      <c r="N61" s="1173"/>
      <c r="O61" s="1173"/>
      <c r="P61" s="1173"/>
      <c r="Q61" s="1173"/>
      <c r="R61" s="1173"/>
      <c r="S61" s="215"/>
      <c r="T61" s="215"/>
      <c r="U61" s="215"/>
      <c r="V61" s="215"/>
      <c r="W61" s="215"/>
      <c r="Z61" s="215"/>
      <c r="AA61" s="215"/>
      <c r="AB61" s="215"/>
    </row>
    <row r="62" spans="1:28" s="339" customFormat="1" ht="17.25" customHeight="1">
      <c r="A62" s="336"/>
      <c r="B62" s="566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215"/>
      <c r="T62" s="215"/>
      <c r="U62" s="215"/>
      <c r="V62" s="215"/>
      <c r="W62" s="215"/>
      <c r="Z62" s="215"/>
      <c r="AA62" s="215"/>
      <c r="AB62" s="215"/>
    </row>
    <row r="63" spans="1:28" s="339" customFormat="1" ht="17.25" customHeight="1">
      <c r="A63" s="336"/>
      <c r="B63" s="566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215"/>
      <c r="T63" s="215"/>
      <c r="U63" s="215"/>
      <c r="V63" s="215"/>
      <c r="W63" s="215"/>
      <c r="Z63" s="215"/>
      <c r="AA63" s="215"/>
      <c r="AB63" s="215"/>
    </row>
    <row r="64" spans="1:28" s="339" customFormat="1" ht="17.25" customHeight="1">
      <c r="A64" s="336"/>
      <c r="B64" s="566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215"/>
      <c r="T64" s="215"/>
      <c r="U64" s="215"/>
      <c r="V64" s="215"/>
      <c r="W64" s="215"/>
      <c r="Z64" s="215"/>
      <c r="AA64" s="215"/>
      <c r="AB64" s="215"/>
    </row>
    <row r="65" spans="1:28" s="339" customFormat="1" ht="17.25" customHeight="1">
      <c r="A65" s="336"/>
      <c r="B65" s="566"/>
      <c r="C65" s="337"/>
      <c r="D65" s="1173"/>
      <c r="E65" s="1173"/>
      <c r="F65" s="1173"/>
      <c r="G65" s="1173"/>
      <c r="H65" s="337"/>
      <c r="I65" s="337"/>
      <c r="J65" s="1173"/>
      <c r="K65" s="1173"/>
      <c r="L65" s="1173"/>
      <c r="M65" s="1173"/>
      <c r="N65" s="1173"/>
      <c r="O65" s="1173"/>
      <c r="P65" s="1173"/>
      <c r="Q65" s="1173"/>
      <c r="R65" s="1173"/>
      <c r="S65" s="215"/>
      <c r="T65" s="215"/>
      <c r="U65" s="215"/>
      <c r="V65" s="215"/>
      <c r="W65" s="215"/>
      <c r="Z65" s="215"/>
      <c r="AA65" s="215"/>
      <c r="AB65" s="215"/>
    </row>
    <row r="66" spans="1:28" s="339" customFormat="1" ht="17.25" customHeight="1">
      <c r="A66" s="215"/>
      <c r="B66" s="216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5"/>
      <c r="T66" s="215"/>
      <c r="U66" s="215"/>
      <c r="V66" s="215"/>
      <c r="W66" s="215"/>
      <c r="Z66" s="215"/>
      <c r="AA66" s="215"/>
      <c r="AB66" s="215"/>
    </row>
    <row r="67" spans="1:28" s="339" customFormat="1" ht="17.25" customHeight="1">
      <c r="A67" s="215"/>
      <c r="B67" s="216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5"/>
      <c r="T67" s="215"/>
      <c r="U67" s="215"/>
      <c r="V67" s="215"/>
      <c r="W67" s="215"/>
      <c r="Z67" s="215"/>
      <c r="AA67" s="215"/>
      <c r="AB67" s="215"/>
    </row>
    <row r="68" spans="1:28" s="339" customFormat="1" ht="18.75" customHeight="1">
      <c r="A68" s="215"/>
      <c r="B68" s="216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5"/>
      <c r="T68" s="215"/>
      <c r="U68" s="215"/>
      <c r="V68" s="215"/>
      <c r="W68" s="215"/>
      <c r="Z68" s="215"/>
      <c r="AA68" s="215"/>
      <c r="AB68" s="215"/>
    </row>
    <row r="69" spans="1:28" s="339" customFormat="1" ht="18.75" customHeight="1">
      <c r="A69" s="215"/>
      <c r="B69" s="216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5"/>
      <c r="T69" s="215"/>
      <c r="U69" s="215"/>
      <c r="V69" s="215"/>
      <c r="W69" s="215"/>
      <c r="Z69" s="215"/>
      <c r="AA69" s="215"/>
      <c r="AB69" s="215"/>
    </row>
    <row r="70" spans="1:28" s="339" customFormat="1" ht="18.75" customHeight="1">
      <c r="A70" s="215" t="s">
        <v>0</v>
      </c>
      <c r="B70" s="216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5"/>
      <c r="T70" s="215"/>
      <c r="U70" s="215"/>
      <c r="V70" s="215"/>
      <c r="W70" s="215"/>
      <c r="Z70" s="215"/>
      <c r="AA70" s="215"/>
      <c r="AB70" s="215"/>
    </row>
    <row r="71" spans="1:28" s="339" customFormat="1" ht="18.75" customHeight="1">
      <c r="A71" s="215" t="str">
        <f>A4</f>
        <v>DENOMINATION FOR NOVEMBER 2017</v>
      </c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5"/>
      <c r="T71" s="215"/>
      <c r="U71" s="215"/>
      <c r="V71" s="215"/>
      <c r="W71" s="215"/>
      <c r="Z71" s="215"/>
      <c r="AA71" s="215"/>
      <c r="AB71" s="215"/>
    </row>
    <row r="72" spans="1:28" s="339" customFormat="1" ht="63.75" customHeight="1" thickBot="1">
      <c r="A72" s="215"/>
      <c r="B72" s="216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5"/>
      <c r="T72" s="215"/>
      <c r="U72" s="215"/>
      <c r="V72" s="215"/>
      <c r="W72" s="215"/>
      <c r="Z72" s="215"/>
      <c r="AA72" s="215"/>
      <c r="AB72" s="215"/>
    </row>
    <row r="73" spans="1:28" s="339" customFormat="1" ht="21.75" customHeight="1" thickTop="1">
      <c r="A73" s="1176" t="s">
        <v>1</v>
      </c>
      <c r="B73" s="1183" t="s">
        <v>15</v>
      </c>
      <c r="C73" s="219"/>
      <c r="D73" s="220"/>
      <c r="E73" s="220"/>
      <c r="F73" s="220"/>
      <c r="G73" s="220"/>
      <c r="H73" s="220"/>
      <c r="I73" s="220"/>
      <c r="J73" s="220"/>
      <c r="K73" s="220"/>
      <c r="L73" s="220"/>
      <c r="M73" s="574" t="str">
        <f>M6</f>
        <v>Pot.</v>
      </c>
      <c r="N73" s="568" t="s">
        <v>145</v>
      </c>
      <c r="O73" s="568" t="s">
        <v>253</v>
      </c>
      <c r="P73" s="1174" t="str">
        <f>P6</f>
        <v>TOTAL PREMI</v>
      </c>
      <c r="Q73" s="1174" t="str">
        <f>Q6</f>
        <v>TOTAL LEMBUR</v>
      </c>
      <c r="R73" s="1171" t="s">
        <v>3</v>
      </c>
      <c r="S73" s="221" t="s">
        <v>16</v>
      </c>
      <c r="T73" s="222" t="s">
        <v>18</v>
      </c>
      <c r="U73" s="215"/>
      <c r="V73" s="215"/>
      <c r="W73" s="215"/>
      <c r="X73" s="1171" t="s">
        <v>259</v>
      </c>
      <c r="Z73" s="215"/>
      <c r="AA73" s="215"/>
      <c r="AB73" s="215"/>
    </row>
    <row r="74" spans="1:28" ht="30.75" customHeight="1" thickBot="1">
      <c r="A74" s="1177"/>
      <c r="B74" s="1184"/>
      <c r="C74" s="223">
        <v>100000</v>
      </c>
      <c r="D74" s="223">
        <v>50000</v>
      </c>
      <c r="E74" s="223">
        <v>20000</v>
      </c>
      <c r="F74" s="223">
        <v>10000</v>
      </c>
      <c r="G74" s="223">
        <v>5000</v>
      </c>
      <c r="H74" s="223">
        <v>1000</v>
      </c>
      <c r="I74" s="223">
        <v>500</v>
      </c>
      <c r="J74" s="223">
        <v>100</v>
      </c>
      <c r="K74" s="223">
        <v>50</v>
      </c>
      <c r="L74" s="223" t="s">
        <v>2</v>
      </c>
      <c r="M74" s="575" t="str">
        <f>M7</f>
        <v>Pinjaman</v>
      </c>
      <c r="N74" s="569" t="str">
        <f>N7</f>
        <v>(MASA NOV - 2017)</v>
      </c>
      <c r="O74" s="569" t="s">
        <v>254</v>
      </c>
      <c r="P74" s="1175"/>
      <c r="Q74" s="1175"/>
      <c r="R74" s="1172"/>
      <c r="S74" s="224"/>
      <c r="T74" s="225" t="s">
        <v>19</v>
      </c>
      <c r="X74" s="1172"/>
    </row>
    <row r="75" spans="1:28" ht="21.75" customHeight="1" thickTop="1">
      <c r="A75" s="226"/>
      <c r="B75" s="227"/>
      <c r="C75" s="228"/>
      <c r="D75" s="229"/>
      <c r="E75" s="229"/>
      <c r="F75" s="229"/>
      <c r="G75" s="229"/>
      <c r="H75" s="229"/>
      <c r="I75" s="229"/>
      <c r="J75" s="229"/>
      <c r="K75" s="229"/>
      <c r="L75" s="229"/>
      <c r="M75" s="230"/>
      <c r="N75" s="231"/>
      <c r="O75" s="231"/>
      <c r="P75" s="230"/>
      <c r="Q75" s="337"/>
      <c r="R75" s="564"/>
      <c r="S75" s="232"/>
      <c r="T75" s="233"/>
      <c r="X75" s="564"/>
    </row>
    <row r="76" spans="1:28" s="242" customFormat="1" ht="21.75" customHeight="1">
      <c r="A76" s="234" t="s">
        <v>169</v>
      </c>
      <c r="B76" s="235">
        <v>33</v>
      </c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578">
        <v>0</v>
      </c>
      <c r="O76" s="578"/>
      <c r="P76" s="236">
        <v>185820</v>
      </c>
      <c r="Q76" s="244">
        <v>1450458.33</v>
      </c>
      <c r="R76" s="550">
        <v>84827612.980000034</v>
      </c>
      <c r="S76" s="240"/>
      <c r="T76" s="241"/>
      <c r="X76" s="238"/>
      <c r="Y76" s="353"/>
      <c r="AA76" s="239">
        <f>P76+X76</f>
        <v>185820</v>
      </c>
    </row>
    <row r="77" spans="1:28" s="242" customFormat="1" ht="21.75" customHeight="1">
      <c r="A77" s="234" t="s">
        <v>171</v>
      </c>
      <c r="B77" s="243">
        <v>2</v>
      </c>
      <c r="C77" s="237"/>
      <c r="D77" s="237"/>
      <c r="E77" s="237"/>
      <c r="F77" s="237"/>
      <c r="G77" s="237"/>
      <c r="H77" s="237"/>
      <c r="I77" s="237"/>
      <c r="J77" s="244"/>
      <c r="K77" s="236"/>
      <c r="L77" s="237"/>
      <c r="M77" s="236"/>
      <c r="N77" s="578">
        <v>0</v>
      </c>
      <c r="O77" s="578"/>
      <c r="P77" s="236">
        <v>636000</v>
      </c>
      <c r="Q77" s="244">
        <v>0</v>
      </c>
      <c r="R77" s="550">
        <v>8141924.3999999985</v>
      </c>
      <c r="S77" s="245"/>
      <c r="T77" s="246"/>
      <c r="X77" s="238">
        <v>2508000</v>
      </c>
      <c r="Y77" s="353"/>
      <c r="AA77" s="239">
        <f t="shared" ref="AA77:AA86" si="4">P77+X77</f>
        <v>3144000</v>
      </c>
    </row>
    <row r="78" spans="1:28" s="242" customFormat="1" ht="21.75" customHeight="1">
      <c r="A78" s="234" t="s">
        <v>159</v>
      </c>
      <c r="B78" s="243">
        <v>28</v>
      </c>
      <c r="C78" s="237"/>
      <c r="D78" s="237"/>
      <c r="E78" s="237"/>
      <c r="F78" s="237"/>
      <c r="G78" s="237"/>
      <c r="H78" s="237"/>
      <c r="I78" s="237"/>
      <c r="J78" s="244"/>
      <c r="K78" s="236"/>
      <c r="L78" s="237"/>
      <c r="M78" s="236"/>
      <c r="N78" s="578">
        <v>0</v>
      </c>
      <c r="O78" s="578"/>
      <c r="P78" s="236">
        <v>5588250</v>
      </c>
      <c r="Q78" s="244">
        <v>739890.35</v>
      </c>
      <c r="R78" s="550">
        <v>101976646.8075</v>
      </c>
      <c r="S78" s="245"/>
      <c r="T78" s="246"/>
      <c r="X78" s="238">
        <v>25767000</v>
      </c>
      <c r="Y78" s="353"/>
      <c r="AA78" s="239">
        <f t="shared" si="4"/>
        <v>31355250</v>
      </c>
    </row>
    <row r="79" spans="1:28" ht="21.75" customHeight="1">
      <c r="A79" s="234" t="s">
        <v>212</v>
      </c>
      <c r="B79" s="251">
        <v>31</v>
      </c>
      <c r="C79" s="252"/>
      <c r="D79" s="252"/>
      <c r="E79" s="252"/>
      <c r="F79" s="252"/>
      <c r="G79" s="252"/>
      <c r="H79" s="252"/>
      <c r="I79" s="252"/>
      <c r="J79" s="253"/>
      <c r="K79" s="254"/>
      <c r="L79" s="252"/>
      <c r="M79" s="254"/>
      <c r="N79" s="531">
        <v>0</v>
      </c>
      <c r="O79" s="531"/>
      <c r="P79" s="254">
        <f>26190+4162200+59470</f>
        <v>4247860</v>
      </c>
      <c r="Q79" s="253">
        <v>901055</v>
      </c>
      <c r="R79" s="295">
        <v>112391516</v>
      </c>
      <c r="S79" s="248"/>
      <c r="T79" s="249"/>
      <c r="W79" s="242"/>
      <c r="X79" s="247">
        <v>29528500</v>
      </c>
      <c r="AA79" s="239">
        <f t="shared" si="4"/>
        <v>33776360</v>
      </c>
    </row>
    <row r="80" spans="1:28" ht="21.75" customHeight="1">
      <c r="A80" s="234" t="s">
        <v>170</v>
      </c>
      <c r="B80" s="251">
        <v>33</v>
      </c>
      <c r="C80" s="252"/>
      <c r="D80" s="254"/>
      <c r="E80" s="254"/>
      <c r="F80" s="252"/>
      <c r="G80" s="254"/>
      <c r="H80" s="252"/>
      <c r="I80" s="254"/>
      <c r="J80" s="256"/>
      <c r="K80" s="254"/>
      <c r="L80" s="254"/>
      <c r="M80" s="236"/>
      <c r="N80" s="578">
        <v>0</v>
      </c>
      <c r="O80" s="578"/>
      <c r="P80" s="236">
        <v>0</v>
      </c>
      <c r="Q80" s="244">
        <v>1025591</v>
      </c>
      <c r="R80" s="550">
        <v>83277889</v>
      </c>
      <c r="S80" s="258"/>
      <c r="T80" s="259"/>
      <c r="W80" s="242"/>
      <c r="X80" s="247">
        <v>0</v>
      </c>
      <c r="Y80" s="492"/>
      <c r="AA80" s="239">
        <f t="shared" si="4"/>
        <v>0</v>
      </c>
    </row>
    <row r="81" spans="1:27" ht="21.75" customHeight="1">
      <c r="A81" s="234" t="s">
        <v>248</v>
      </c>
      <c r="B81" s="243">
        <v>14</v>
      </c>
      <c r="C81" s="237"/>
      <c r="D81" s="237"/>
      <c r="E81" s="237"/>
      <c r="F81" s="237"/>
      <c r="G81" s="237"/>
      <c r="H81" s="237"/>
      <c r="I81" s="237"/>
      <c r="J81" s="244"/>
      <c r="K81" s="236"/>
      <c r="L81" s="237"/>
      <c r="M81" s="236"/>
      <c r="N81" s="578">
        <v>19442</v>
      </c>
      <c r="O81" s="578"/>
      <c r="P81" s="236">
        <v>9825561</v>
      </c>
      <c r="Q81" s="244">
        <v>9779739</v>
      </c>
      <c r="R81" s="550">
        <v>55752311</v>
      </c>
      <c r="S81" s="258"/>
      <c r="T81" s="259"/>
      <c r="W81" s="242"/>
      <c r="X81" s="238">
        <v>0</v>
      </c>
      <c r="AA81" s="239">
        <f t="shared" si="4"/>
        <v>9825561</v>
      </c>
    </row>
    <row r="82" spans="1:27" s="242" customFormat="1" ht="21.75" customHeight="1">
      <c r="A82" s="234" t="s">
        <v>172</v>
      </c>
      <c r="B82" s="257">
        <v>32</v>
      </c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531">
        <v>0</v>
      </c>
      <c r="O82" s="531"/>
      <c r="P82" s="254">
        <v>58188</v>
      </c>
      <c r="Q82" s="253">
        <v>754542</v>
      </c>
      <c r="R82" s="295">
        <v>80234570</v>
      </c>
      <c r="S82" s="240"/>
      <c r="T82" s="241"/>
      <c r="X82" s="238">
        <v>0</v>
      </c>
      <c r="Y82" s="353"/>
      <c r="AA82" s="239">
        <f t="shared" si="4"/>
        <v>58188</v>
      </c>
    </row>
    <row r="83" spans="1:27" s="242" customFormat="1" ht="21.75" customHeight="1">
      <c r="A83" s="234" t="s">
        <v>90</v>
      </c>
      <c r="B83" s="251">
        <v>33</v>
      </c>
      <c r="C83" s="252"/>
      <c r="D83" s="254"/>
      <c r="E83" s="254"/>
      <c r="F83" s="252"/>
      <c r="G83" s="254"/>
      <c r="H83" s="252"/>
      <c r="I83" s="254"/>
      <c r="J83" s="256"/>
      <c r="K83" s="254"/>
      <c r="L83" s="254"/>
      <c r="M83" s="236"/>
      <c r="N83" s="578">
        <v>0</v>
      </c>
      <c r="O83" s="578"/>
      <c r="P83" s="236">
        <f>250000+241290+5095650</f>
        <v>5586940</v>
      </c>
      <c r="Q83" s="244">
        <v>1721527</v>
      </c>
      <c r="R83" s="550">
        <v>127899888</v>
      </c>
      <c r="S83" s="240"/>
      <c r="T83" s="241"/>
      <c r="X83" s="238">
        <v>36680500</v>
      </c>
      <c r="Y83" s="353"/>
      <c r="AA83" s="239">
        <f t="shared" si="4"/>
        <v>42267440</v>
      </c>
    </row>
    <row r="84" spans="1:27" s="242" customFormat="1" ht="21.75" customHeight="1">
      <c r="A84" s="234" t="s">
        <v>160</v>
      </c>
      <c r="B84" s="251">
        <v>1</v>
      </c>
      <c r="C84" s="252"/>
      <c r="D84" s="254"/>
      <c r="E84" s="254"/>
      <c r="F84" s="252"/>
      <c r="G84" s="254"/>
      <c r="H84" s="252"/>
      <c r="I84" s="254"/>
      <c r="J84" s="256"/>
      <c r="K84" s="254"/>
      <c r="L84" s="254"/>
      <c r="M84" s="236"/>
      <c r="N84" s="578">
        <v>0</v>
      </c>
      <c r="O84" s="578"/>
      <c r="P84" s="236">
        <f>6220+163100</f>
        <v>169320</v>
      </c>
      <c r="Q84" s="244">
        <v>0</v>
      </c>
      <c r="R84" s="238">
        <v>3988494</v>
      </c>
      <c r="S84" s="240"/>
      <c r="T84" s="241"/>
      <c r="X84" s="238">
        <v>1284500</v>
      </c>
      <c r="Y84" s="353"/>
      <c r="AA84" s="239">
        <f t="shared" si="4"/>
        <v>1453820</v>
      </c>
    </row>
    <row r="85" spans="1:27" s="242" customFormat="1" ht="21.75" customHeight="1" thickBot="1">
      <c r="A85" s="234"/>
      <c r="B85" s="251"/>
      <c r="C85" s="252"/>
      <c r="D85" s="254"/>
      <c r="E85" s="254"/>
      <c r="F85" s="252"/>
      <c r="G85" s="254"/>
      <c r="H85" s="252"/>
      <c r="I85" s="254"/>
      <c r="J85" s="256"/>
      <c r="K85" s="254"/>
      <c r="L85" s="254"/>
      <c r="M85" s="260"/>
      <c r="N85" s="577"/>
      <c r="O85" s="524"/>
      <c r="P85" s="333"/>
      <c r="Q85" s="244"/>
      <c r="R85" s="238"/>
      <c r="S85" s="240"/>
      <c r="T85" s="241"/>
      <c r="X85" s="238"/>
      <c r="Y85" s="492"/>
      <c r="AA85" s="239">
        <f t="shared" si="4"/>
        <v>0</v>
      </c>
    </row>
    <row r="86" spans="1:27" ht="30.75" customHeight="1" thickTop="1" thickBot="1">
      <c r="A86" s="261" t="s">
        <v>3</v>
      </c>
      <c r="B86" s="262">
        <f>SUM(B75:B85)</f>
        <v>207</v>
      </c>
      <c r="C86" s="262">
        <f t="shared" ref="C86:Q86" si="5">SUM(C75:C85)</f>
        <v>0</v>
      </c>
      <c r="D86" s="262">
        <f t="shared" si="5"/>
        <v>0</v>
      </c>
      <c r="E86" s="262">
        <f t="shared" si="5"/>
        <v>0</v>
      </c>
      <c r="F86" s="262">
        <f t="shared" si="5"/>
        <v>0</v>
      </c>
      <c r="G86" s="262">
        <f t="shared" si="5"/>
        <v>0</v>
      </c>
      <c r="H86" s="262">
        <f t="shared" si="5"/>
        <v>0</v>
      </c>
      <c r="I86" s="262">
        <f t="shared" si="5"/>
        <v>0</v>
      </c>
      <c r="J86" s="262">
        <f t="shared" si="5"/>
        <v>0</v>
      </c>
      <c r="K86" s="262">
        <f t="shared" si="5"/>
        <v>0</v>
      </c>
      <c r="L86" s="262">
        <f t="shared" si="5"/>
        <v>0</v>
      </c>
      <c r="M86" s="262">
        <f t="shared" si="5"/>
        <v>0</v>
      </c>
      <c r="N86" s="262">
        <f t="shared" si="5"/>
        <v>19442</v>
      </c>
      <c r="O86" s="262">
        <f t="shared" si="5"/>
        <v>0</v>
      </c>
      <c r="P86" s="265">
        <f t="shared" si="5"/>
        <v>26297939</v>
      </c>
      <c r="Q86" s="265">
        <f t="shared" si="5"/>
        <v>16372802.68</v>
      </c>
      <c r="R86" s="265">
        <f>SUM(R75:R85)</f>
        <v>658490852.1875</v>
      </c>
      <c r="S86" s="266"/>
      <c r="T86" s="267" t="e">
        <f>#REF!/#REF!</f>
        <v>#REF!</v>
      </c>
      <c r="U86" s="215" t="s">
        <v>21</v>
      </c>
      <c r="W86" s="242"/>
      <c r="X86" s="265">
        <f>SUM(X76:X85)</f>
        <v>95768500</v>
      </c>
      <c r="AA86" s="239">
        <f t="shared" si="4"/>
        <v>122066439</v>
      </c>
    </row>
    <row r="87" spans="1:27" ht="17.25" customHeight="1" thickTop="1">
      <c r="A87" s="441"/>
      <c r="B87" s="566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T87" s="321"/>
    </row>
    <row r="88" spans="1:27" ht="17.25" customHeight="1">
      <c r="A88" s="336"/>
      <c r="B88" s="566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T88" s="321"/>
    </row>
    <row r="89" spans="1:27" ht="17.25" customHeight="1">
      <c r="A89" s="274"/>
      <c r="B89" s="442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T89" s="321"/>
    </row>
    <row r="90" spans="1:27" ht="17.25" customHeight="1">
      <c r="A90" s="274"/>
      <c r="B90" s="442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T90" s="321"/>
    </row>
    <row r="91" spans="1:27" ht="17.25" customHeight="1">
      <c r="A91" s="274"/>
      <c r="B91" s="442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 t="s">
        <v>144</v>
      </c>
      <c r="O91" s="275"/>
      <c r="P91" s="275"/>
      <c r="Q91" s="275"/>
      <c r="R91" s="275"/>
      <c r="T91" s="321"/>
    </row>
    <row r="92" spans="1:27" ht="17.25" customHeight="1">
      <c r="A92" s="336" t="s">
        <v>204</v>
      </c>
      <c r="B92" s="566"/>
      <c r="C92" s="337"/>
      <c r="D92" s="1173" t="s">
        <v>81</v>
      </c>
      <c r="E92" s="1173"/>
      <c r="F92" s="1173"/>
      <c r="G92" s="1173"/>
      <c r="H92" s="337"/>
      <c r="I92" s="337"/>
      <c r="J92" s="1173" t="s">
        <v>82</v>
      </c>
      <c r="K92" s="1173"/>
      <c r="L92" s="1173"/>
      <c r="M92" s="1173"/>
      <c r="N92" s="1173"/>
      <c r="O92" s="1173"/>
      <c r="P92" s="1173"/>
      <c r="Q92" s="1173"/>
      <c r="R92" s="1173"/>
      <c r="T92" s="321"/>
    </row>
    <row r="93" spans="1:27" ht="17.25" customHeight="1">
      <c r="A93" s="336"/>
      <c r="B93" s="566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T93" s="321"/>
    </row>
    <row r="94" spans="1:27" ht="17.25" customHeight="1">
      <c r="A94" s="336"/>
      <c r="B94" s="566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T94" s="321"/>
    </row>
    <row r="95" spans="1:27" ht="17.25" customHeight="1">
      <c r="A95" s="336"/>
      <c r="B95" s="566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T95" s="321"/>
    </row>
    <row r="96" spans="1:27" ht="17.25" customHeight="1">
      <c r="A96" s="336"/>
      <c r="B96" s="566"/>
      <c r="C96" s="337"/>
      <c r="D96" s="1173"/>
      <c r="E96" s="1173"/>
      <c r="F96" s="1173"/>
      <c r="G96" s="1173"/>
      <c r="H96" s="337"/>
      <c r="I96" s="337"/>
      <c r="J96" s="1173"/>
      <c r="K96" s="1173"/>
      <c r="L96" s="1173"/>
      <c r="M96" s="1173"/>
      <c r="N96" s="1173"/>
      <c r="O96" s="1173"/>
      <c r="P96" s="1173"/>
      <c r="Q96" s="1173"/>
      <c r="R96" s="1173"/>
      <c r="T96" s="321"/>
    </row>
    <row r="97" spans="1:27" ht="17.25" customHeight="1"/>
    <row r="98" spans="1:27" ht="17.25" customHeight="1"/>
    <row r="99" spans="1:27" ht="17.25" customHeight="1"/>
    <row r="100" spans="1:27" ht="17.25" customHeight="1">
      <c r="A100" s="215" t="s">
        <v>0</v>
      </c>
    </row>
    <row r="101" spans="1:27" ht="17.25" customHeight="1">
      <c r="A101" s="215" t="str">
        <f>A4</f>
        <v>DENOMINATION FOR NOVEMBER 2017</v>
      </c>
    </row>
    <row r="102" spans="1:27" ht="63.75" customHeight="1" thickBot="1"/>
    <row r="103" spans="1:27" ht="29.25" customHeight="1" thickTop="1">
      <c r="A103" s="1176" t="s">
        <v>1</v>
      </c>
      <c r="B103" s="1183" t="s">
        <v>15</v>
      </c>
      <c r="C103" s="219"/>
      <c r="D103" s="219"/>
      <c r="E103" s="220"/>
      <c r="F103" s="220"/>
      <c r="G103" s="220"/>
      <c r="H103" s="220"/>
      <c r="I103" s="220"/>
      <c r="J103" s="220"/>
      <c r="K103" s="220"/>
      <c r="L103" s="220"/>
      <c r="M103" s="574" t="str">
        <f>M6</f>
        <v>Pot.</v>
      </c>
      <c r="N103" s="568" t="s">
        <v>145</v>
      </c>
      <c r="O103" s="568" t="s">
        <v>253</v>
      </c>
      <c r="P103" s="1174" t="str">
        <f>P73</f>
        <v>TOTAL PREMI</v>
      </c>
      <c r="Q103" s="1174" t="str">
        <f>Q73</f>
        <v>TOTAL LEMBUR</v>
      </c>
      <c r="R103" s="1171" t="s">
        <v>3</v>
      </c>
      <c r="S103" s="221" t="s">
        <v>16</v>
      </c>
      <c r="T103" s="222" t="s">
        <v>18</v>
      </c>
      <c r="X103" s="1171" t="s">
        <v>259</v>
      </c>
    </row>
    <row r="104" spans="1:27" ht="29.25" customHeight="1" thickBot="1">
      <c r="A104" s="1177"/>
      <c r="B104" s="1184"/>
      <c r="C104" s="223">
        <v>100000</v>
      </c>
      <c r="D104" s="223">
        <v>50000</v>
      </c>
      <c r="E104" s="223">
        <v>20000</v>
      </c>
      <c r="F104" s="223">
        <v>10000</v>
      </c>
      <c r="G104" s="223">
        <v>5000</v>
      </c>
      <c r="H104" s="223">
        <v>1000</v>
      </c>
      <c r="I104" s="223">
        <v>500</v>
      </c>
      <c r="J104" s="223">
        <v>100</v>
      </c>
      <c r="K104" s="223">
        <v>50</v>
      </c>
      <c r="L104" s="223" t="s">
        <v>2</v>
      </c>
      <c r="M104" s="575" t="str">
        <f>M7</f>
        <v>Pinjaman</v>
      </c>
      <c r="N104" s="569" t="str">
        <f>N74</f>
        <v>(MASA NOV - 2017)</v>
      </c>
      <c r="O104" s="569" t="s">
        <v>254</v>
      </c>
      <c r="P104" s="1175"/>
      <c r="Q104" s="1175"/>
      <c r="R104" s="1172"/>
      <c r="S104" s="224"/>
      <c r="T104" s="225" t="s">
        <v>19</v>
      </c>
      <c r="X104" s="1172"/>
    </row>
    <row r="105" spans="1:27" ht="29.25" customHeight="1" thickTop="1">
      <c r="A105" s="268"/>
      <c r="B105" s="269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1"/>
      <c r="N105" s="271"/>
      <c r="O105" s="271"/>
      <c r="P105" s="271"/>
      <c r="Q105" s="271"/>
      <c r="R105" s="272"/>
      <c r="S105" s="232"/>
      <c r="T105" s="233"/>
      <c r="X105" s="272"/>
    </row>
    <row r="106" spans="1:27" s="242" customFormat="1" ht="29.25" customHeight="1">
      <c r="A106" s="234" t="s">
        <v>156</v>
      </c>
      <c r="B106" s="235">
        <v>37</v>
      </c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60"/>
      <c r="N106" s="577">
        <v>0</v>
      </c>
      <c r="O106" s="577"/>
      <c r="P106" s="260">
        <f>294350+1988700</f>
        <v>2283050</v>
      </c>
      <c r="Q106" s="260">
        <v>1692225</v>
      </c>
      <c r="R106" s="247">
        <v>133693088</v>
      </c>
      <c r="S106" s="273">
        <f>22974544+948633</f>
        <v>23923177</v>
      </c>
      <c r="T106" s="241"/>
      <c r="X106" s="247">
        <v>35258500</v>
      </c>
      <c r="Y106" s="353"/>
      <c r="AA106" s="239">
        <f t="shared" ref="AA106:AA112" si="6">P106+X106</f>
        <v>37541550</v>
      </c>
    </row>
    <row r="107" spans="1:27" s="242" customFormat="1" ht="29.25" customHeight="1">
      <c r="A107" s="234" t="s">
        <v>92</v>
      </c>
      <c r="B107" s="235">
        <v>37</v>
      </c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60"/>
      <c r="N107" s="577">
        <v>0</v>
      </c>
      <c r="O107" s="577"/>
      <c r="P107" s="260">
        <v>0</v>
      </c>
      <c r="Q107" s="260">
        <v>615349</v>
      </c>
      <c r="R107" s="247">
        <v>93041726</v>
      </c>
      <c r="S107" s="240"/>
      <c r="T107" s="241"/>
      <c r="X107" s="247">
        <v>0</v>
      </c>
      <c r="Y107" s="353"/>
      <c r="AA107" s="239">
        <f t="shared" si="6"/>
        <v>0</v>
      </c>
    </row>
    <row r="108" spans="1:27" s="242" customFormat="1" ht="29.25" customHeight="1">
      <c r="A108" s="234" t="s">
        <v>260</v>
      </c>
      <c r="B108" s="235">
        <v>8</v>
      </c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60"/>
      <c r="N108" s="577">
        <v>0</v>
      </c>
      <c r="O108" s="577"/>
      <c r="P108" s="260">
        <v>4962891</v>
      </c>
      <c r="Q108" s="260">
        <v>5230512</v>
      </c>
      <c r="R108" s="247">
        <v>30959264</v>
      </c>
      <c r="S108" s="240"/>
      <c r="T108" s="241"/>
      <c r="X108" s="247">
        <v>0</v>
      </c>
      <c r="Y108" s="353"/>
      <c r="AA108" s="239">
        <f t="shared" si="6"/>
        <v>4962891</v>
      </c>
    </row>
    <row r="109" spans="1:27" ht="29.25" customHeight="1">
      <c r="A109" s="234" t="s">
        <v>150</v>
      </c>
      <c r="B109" s="277">
        <v>30</v>
      </c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60"/>
      <c r="N109" s="577">
        <v>0</v>
      </c>
      <c r="O109" s="577"/>
      <c r="P109" s="260">
        <f>1958510+1416100+250000</f>
        <v>3624610</v>
      </c>
      <c r="Q109" s="260">
        <v>1340593</v>
      </c>
      <c r="R109" s="247">
        <v>110995538</v>
      </c>
      <c r="S109" s="258"/>
      <c r="T109" s="259"/>
      <c r="X109" s="247">
        <v>30538000</v>
      </c>
      <c r="AA109" s="239">
        <f t="shared" si="6"/>
        <v>34162610</v>
      </c>
    </row>
    <row r="110" spans="1:27" s="242" customFormat="1" ht="29.25" customHeight="1">
      <c r="A110" s="234" t="s">
        <v>91</v>
      </c>
      <c r="B110" s="235">
        <v>33</v>
      </c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60"/>
      <c r="N110" s="577">
        <v>0</v>
      </c>
      <c r="O110" s="577"/>
      <c r="P110" s="260">
        <v>0</v>
      </c>
      <c r="Q110" s="260">
        <v>1413850</v>
      </c>
      <c r="R110" s="247">
        <v>84346150</v>
      </c>
      <c r="S110" s="240"/>
      <c r="T110" s="241"/>
      <c r="X110" s="247">
        <v>0</v>
      </c>
      <c r="Y110" s="353"/>
      <c r="AA110" s="239">
        <f t="shared" si="6"/>
        <v>0</v>
      </c>
    </row>
    <row r="111" spans="1:27" s="242" customFormat="1" ht="29.25" customHeight="1" thickBot="1">
      <c r="A111" s="279"/>
      <c r="B111" s="235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60"/>
      <c r="N111" s="577"/>
      <c r="O111" s="577"/>
      <c r="P111" s="260"/>
      <c r="Q111" s="260"/>
      <c r="R111" s="247"/>
      <c r="S111" s="240"/>
      <c r="T111" s="241"/>
      <c r="X111" s="247"/>
      <c r="Y111" s="353"/>
      <c r="AA111" s="239">
        <f t="shared" si="6"/>
        <v>0</v>
      </c>
    </row>
    <row r="112" spans="1:27" ht="29.25" customHeight="1" thickTop="1" thickBot="1">
      <c r="A112" s="261" t="s">
        <v>3</v>
      </c>
      <c r="B112" s="262">
        <f t="shared" ref="B112:R112" si="7">SUM(B105:B111)</f>
        <v>145</v>
      </c>
      <c r="C112" s="263">
        <f t="shared" si="7"/>
        <v>0</v>
      </c>
      <c r="D112" s="263">
        <f t="shared" si="7"/>
        <v>0</v>
      </c>
      <c r="E112" s="263">
        <f t="shared" si="7"/>
        <v>0</v>
      </c>
      <c r="F112" s="263">
        <f t="shared" si="7"/>
        <v>0</v>
      </c>
      <c r="G112" s="263">
        <f t="shared" si="7"/>
        <v>0</v>
      </c>
      <c r="H112" s="263">
        <f t="shared" si="7"/>
        <v>0</v>
      </c>
      <c r="I112" s="263">
        <f t="shared" si="7"/>
        <v>0</v>
      </c>
      <c r="J112" s="263">
        <f t="shared" si="7"/>
        <v>0</v>
      </c>
      <c r="K112" s="263">
        <f t="shared" si="7"/>
        <v>0</v>
      </c>
      <c r="L112" s="263">
        <f t="shared" si="7"/>
        <v>0</v>
      </c>
      <c r="M112" s="263">
        <f t="shared" si="7"/>
        <v>0</v>
      </c>
      <c r="N112" s="579">
        <f t="shared" si="7"/>
        <v>0</v>
      </c>
      <c r="O112" s="264">
        <f t="shared" si="7"/>
        <v>0</v>
      </c>
      <c r="P112" s="265">
        <f t="shared" si="7"/>
        <v>10870551</v>
      </c>
      <c r="Q112" s="265">
        <f t="shared" si="7"/>
        <v>10292529</v>
      </c>
      <c r="R112" s="265">
        <f t="shared" si="7"/>
        <v>453035766</v>
      </c>
      <c r="S112" s="266"/>
      <c r="T112" s="280" t="e">
        <f>#REF!/#REF!</f>
        <v>#REF!</v>
      </c>
      <c r="U112" s="215" t="s">
        <v>21</v>
      </c>
      <c r="X112" s="265">
        <f>SUM(X106:X111)</f>
        <v>65796500</v>
      </c>
      <c r="AA112" s="239">
        <f t="shared" si="6"/>
        <v>76667051</v>
      </c>
    </row>
    <row r="113" spans="1:20" ht="17.25" customHeight="1" thickTop="1">
      <c r="A113" s="336"/>
      <c r="B113" s="566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T113" s="443"/>
    </row>
    <row r="114" spans="1:20" ht="17.25" customHeight="1">
      <c r="T114" s="443"/>
    </row>
    <row r="115" spans="1:20" ht="17.25" customHeight="1">
      <c r="B115" s="566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T115" s="443"/>
    </row>
    <row r="116" spans="1:20" ht="17.25" customHeight="1">
      <c r="A116" s="336"/>
      <c r="B116" s="566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T116" s="443"/>
    </row>
    <row r="117" spans="1:20" ht="17.25" customHeight="1">
      <c r="A117" s="336"/>
      <c r="B117" s="566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T117" s="443"/>
    </row>
    <row r="118" spans="1:20" ht="17.25" customHeight="1">
      <c r="A118" s="336"/>
      <c r="B118" s="566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T118" s="443"/>
    </row>
    <row r="119" spans="1:20" ht="17.25" customHeight="1">
      <c r="A119" s="336" t="s">
        <v>203</v>
      </c>
      <c r="B119" s="566"/>
      <c r="C119" s="337"/>
      <c r="D119" s="1173" t="s">
        <v>81</v>
      </c>
      <c r="E119" s="1173"/>
      <c r="F119" s="1173"/>
      <c r="G119" s="1173"/>
      <c r="H119" s="337"/>
      <c r="I119" s="337"/>
      <c r="J119" s="1173" t="s">
        <v>82</v>
      </c>
      <c r="K119" s="1173"/>
      <c r="L119" s="1173"/>
      <c r="M119" s="1173"/>
      <c r="N119" s="1173"/>
      <c r="O119" s="1173"/>
      <c r="P119" s="1173"/>
      <c r="Q119" s="1173"/>
      <c r="R119" s="1173"/>
      <c r="T119" s="443"/>
    </row>
    <row r="120" spans="1:20" ht="17.25" customHeight="1">
      <c r="A120" s="336"/>
      <c r="B120" s="566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T120" s="443"/>
    </row>
    <row r="121" spans="1:20" ht="17.25" customHeight="1">
      <c r="A121" s="336"/>
      <c r="B121" s="566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T121" s="443"/>
    </row>
    <row r="122" spans="1:20" ht="17.25" customHeight="1">
      <c r="A122" s="336"/>
      <c r="B122" s="566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T122" s="443"/>
    </row>
    <row r="123" spans="1:20" ht="17.25" customHeight="1">
      <c r="A123" s="336"/>
      <c r="B123" s="566"/>
      <c r="C123" s="337"/>
      <c r="D123" s="1173"/>
      <c r="E123" s="1173"/>
      <c r="F123" s="1173"/>
      <c r="G123" s="1173"/>
      <c r="H123" s="337"/>
      <c r="I123" s="337"/>
      <c r="J123" s="1173"/>
      <c r="K123" s="1173"/>
      <c r="L123" s="1173"/>
      <c r="M123" s="1173"/>
      <c r="N123" s="1173"/>
      <c r="O123" s="1173"/>
      <c r="P123" s="1173"/>
      <c r="Q123" s="1173"/>
      <c r="R123" s="1173"/>
      <c r="T123" s="443"/>
    </row>
    <row r="124" spans="1:20" ht="17.25" customHeight="1"/>
    <row r="125" spans="1:20" ht="24.75" customHeight="1"/>
    <row r="126" spans="1:20" ht="24.75" customHeight="1"/>
    <row r="127" spans="1:20" ht="24.75" customHeight="1">
      <c r="A127" s="559" t="s">
        <v>0</v>
      </c>
      <c r="N127" s="217" t="s">
        <v>144</v>
      </c>
    </row>
    <row r="128" spans="1:20" ht="24.75" customHeight="1">
      <c r="A128" s="559" t="str">
        <f>A4</f>
        <v>DENOMINATION FOR NOVEMBER 2017</v>
      </c>
    </row>
    <row r="129" spans="1:27" ht="63.75" customHeight="1" thickBot="1">
      <c r="A129" s="297"/>
      <c r="B129" s="298"/>
    </row>
    <row r="130" spans="1:27" ht="24.75" customHeight="1" thickTop="1">
      <c r="A130" s="1176" t="s">
        <v>1</v>
      </c>
      <c r="B130" s="1183" t="s">
        <v>15</v>
      </c>
      <c r="C130" s="219"/>
      <c r="D130" s="219"/>
      <c r="E130" s="220"/>
      <c r="F130" s="220"/>
      <c r="G130" s="220"/>
      <c r="H130" s="220"/>
      <c r="I130" s="220"/>
      <c r="J130" s="220"/>
      <c r="K130" s="220"/>
      <c r="L130" s="220"/>
      <c r="M130" s="574" t="str">
        <f>M6</f>
        <v>Pot.</v>
      </c>
      <c r="N130" s="568" t="s">
        <v>145</v>
      </c>
      <c r="O130" s="568" t="s">
        <v>253</v>
      </c>
      <c r="P130" s="1174" t="str">
        <f>P103</f>
        <v>TOTAL PREMI</v>
      </c>
      <c r="Q130" s="1174" t="str">
        <f>Q103</f>
        <v>TOTAL LEMBUR</v>
      </c>
      <c r="R130" s="1171" t="s">
        <v>3</v>
      </c>
      <c r="S130" s="221" t="s">
        <v>16</v>
      </c>
      <c r="T130" s="222" t="s">
        <v>18</v>
      </c>
      <c r="X130" s="1171" t="s">
        <v>259</v>
      </c>
    </row>
    <row r="131" spans="1:27" ht="24.75" customHeight="1" thickBot="1">
      <c r="A131" s="1177"/>
      <c r="B131" s="1184"/>
      <c r="C131" s="223">
        <v>100000</v>
      </c>
      <c r="D131" s="223">
        <v>50000</v>
      </c>
      <c r="E131" s="223">
        <v>20000</v>
      </c>
      <c r="F131" s="223">
        <v>10000</v>
      </c>
      <c r="G131" s="223">
        <v>5000</v>
      </c>
      <c r="H131" s="223">
        <v>1000</v>
      </c>
      <c r="I131" s="223">
        <v>500</v>
      </c>
      <c r="J131" s="223">
        <v>100</v>
      </c>
      <c r="K131" s="223">
        <v>50</v>
      </c>
      <c r="L131" s="223" t="s">
        <v>2</v>
      </c>
      <c r="M131" s="575" t="str">
        <f>M7</f>
        <v>Pinjaman</v>
      </c>
      <c r="N131" s="569" t="str">
        <f>N104</f>
        <v>(MASA NOV - 2017)</v>
      </c>
      <c r="O131" s="569" t="s">
        <v>254</v>
      </c>
      <c r="P131" s="1175"/>
      <c r="Q131" s="1175"/>
      <c r="R131" s="1172"/>
      <c r="S131" s="224"/>
      <c r="T131" s="225" t="s">
        <v>19</v>
      </c>
      <c r="W131" s="216"/>
      <c r="X131" s="1172"/>
    </row>
    <row r="132" spans="1:27" ht="24.75" customHeight="1" thickTop="1">
      <c r="A132" s="299" t="s">
        <v>144</v>
      </c>
      <c r="B132" s="572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1"/>
      <c r="N132" s="271"/>
      <c r="O132" s="271"/>
      <c r="P132" s="271"/>
      <c r="Q132" s="271"/>
      <c r="R132" s="272"/>
      <c r="S132" s="300"/>
      <c r="T132" s="301"/>
      <c r="X132" s="272"/>
    </row>
    <row r="133" spans="1:27" s="242" customFormat="1" ht="24.75" customHeight="1">
      <c r="A133" s="234" t="s">
        <v>178</v>
      </c>
      <c r="B133" s="235">
        <v>36</v>
      </c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60"/>
      <c r="N133" s="260">
        <v>0</v>
      </c>
      <c r="O133" s="260"/>
      <c r="P133" s="260">
        <f>799921+6769000</f>
        <v>7568921</v>
      </c>
      <c r="Q133" s="260">
        <v>1106172</v>
      </c>
      <c r="R133" s="247">
        <v>133573541</v>
      </c>
      <c r="S133" s="273"/>
      <c r="T133" s="241"/>
      <c r="X133" s="247">
        <v>33718500</v>
      </c>
      <c r="Y133" s="353"/>
      <c r="AA133" s="239">
        <f t="shared" ref="AA133:AA144" si="8">P133+X133</f>
        <v>41287421</v>
      </c>
    </row>
    <row r="134" spans="1:27" s="242" customFormat="1" ht="24.75" customHeight="1">
      <c r="A134" s="234" t="s">
        <v>104</v>
      </c>
      <c r="B134" s="235">
        <v>6</v>
      </c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60"/>
      <c r="N134" s="260">
        <v>0</v>
      </c>
      <c r="O134" s="260"/>
      <c r="P134" s="260">
        <v>4883532</v>
      </c>
      <c r="Q134" s="260">
        <v>5315859</v>
      </c>
      <c r="R134" s="247">
        <v>25506428</v>
      </c>
      <c r="S134" s="240"/>
      <c r="T134" s="241"/>
      <c r="X134" s="247">
        <v>0</v>
      </c>
      <c r="Y134" s="353"/>
      <c r="AA134" s="239">
        <f t="shared" si="8"/>
        <v>4883532</v>
      </c>
    </row>
    <row r="135" spans="1:27" s="242" customFormat="1" ht="24.75" customHeight="1">
      <c r="A135" s="234" t="s">
        <v>179</v>
      </c>
      <c r="B135" s="235">
        <v>32</v>
      </c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93"/>
      <c r="N135" s="294">
        <v>0</v>
      </c>
      <c r="O135" s="294"/>
      <c r="P135" s="294">
        <v>0</v>
      </c>
      <c r="Q135" s="294">
        <v>1230708</v>
      </c>
      <c r="R135" s="295">
        <v>79785049</v>
      </c>
      <c r="S135" s="240"/>
      <c r="T135" s="241"/>
      <c r="X135" s="295">
        <v>0</v>
      </c>
      <c r="Y135" s="353"/>
      <c r="AA135" s="239">
        <f t="shared" si="8"/>
        <v>0</v>
      </c>
    </row>
    <row r="136" spans="1:27" ht="24.75" customHeight="1">
      <c r="A136" s="234" t="s">
        <v>183</v>
      </c>
      <c r="B136" s="235">
        <v>32</v>
      </c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60"/>
      <c r="N136" s="260">
        <v>0</v>
      </c>
      <c r="O136" s="260"/>
      <c r="P136" s="260">
        <v>751332</v>
      </c>
      <c r="Q136" s="260">
        <v>2219670</v>
      </c>
      <c r="R136" s="247">
        <v>83018497</v>
      </c>
      <c r="S136" s="258"/>
      <c r="T136" s="259"/>
      <c r="X136" s="247">
        <v>0</v>
      </c>
      <c r="AA136" s="239">
        <f t="shared" si="8"/>
        <v>751332</v>
      </c>
    </row>
    <row r="137" spans="1:27" s="242" customFormat="1" ht="24.75" customHeight="1">
      <c r="A137" s="234" t="s">
        <v>105</v>
      </c>
      <c r="B137" s="235">
        <v>4</v>
      </c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60"/>
      <c r="N137" s="260">
        <v>4037</v>
      </c>
      <c r="O137" s="260"/>
      <c r="P137" s="260">
        <v>3781632</v>
      </c>
      <c r="Q137" s="260">
        <v>2644557</v>
      </c>
      <c r="R137" s="247">
        <v>15673192</v>
      </c>
      <c r="S137" s="240"/>
      <c r="T137" s="241"/>
      <c r="X137" s="247">
        <v>0</v>
      </c>
      <c r="Y137" s="353"/>
      <c r="AA137" s="239">
        <f t="shared" si="8"/>
        <v>3781632</v>
      </c>
    </row>
    <row r="138" spans="1:27" s="242" customFormat="1" ht="24.75" customHeight="1">
      <c r="A138" s="234" t="s">
        <v>182</v>
      </c>
      <c r="B138" s="235">
        <v>31</v>
      </c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60"/>
      <c r="N138" s="260">
        <v>0</v>
      </c>
      <c r="O138" s="260"/>
      <c r="P138" s="260">
        <f>993240+7227500</f>
        <v>8220740</v>
      </c>
      <c r="Q138" s="260">
        <v>1662921</v>
      </c>
      <c r="R138" s="247">
        <v>121763505</v>
      </c>
      <c r="S138" s="240"/>
      <c r="T138" s="241"/>
      <c r="X138" s="247">
        <v>35412500</v>
      </c>
      <c r="Y138" s="353"/>
      <c r="AA138" s="239">
        <f t="shared" si="8"/>
        <v>43633240</v>
      </c>
    </row>
    <row r="139" spans="1:27" s="242" customFormat="1" ht="24.75" customHeight="1">
      <c r="A139" s="234" t="s">
        <v>310</v>
      </c>
      <c r="B139" s="235">
        <v>1</v>
      </c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60"/>
      <c r="N139" s="260">
        <v>0</v>
      </c>
      <c r="O139" s="260"/>
      <c r="P139" s="260">
        <v>35880</v>
      </c>
      <c r="Q139" s="260">
        <v>183140</v>
      </c>
      <c r="R139" s="247">
        <v>2779040</v>
      </c>
      <c r="S139" s="240"/>
      <c r="T139" s="241"/>
      <c r="X139" s="247"/>
      <c r="Y139" s="353"/>
      <c r="AA139" s="239"/>
    </row>
    <row r="140" spans="1:27" s="242" customFormat="1" ht="24.75" customHeight="1">
      <c r="A140" s="234" t="s">
        <v>181</v>
      </c>
      <c r="B140" s="235">
        <v>31</v>
      </c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60"/>
      <c r="N140" s="260">
        <v>0</v>
      </c>
      <c r="O140" s="260"/>
      <c r="P140" s="260">
        <f>1292120+6379100</f>
        <v>7671220</v>
      </c>
      <c r="Q140" s="260">
        <v>1113498</v>
      </c>
      <c r="R140" s="247">
        <v>119231720</v>
      </c>
      <c r="S140" s="240"/>
      <c r="T140" s="241"/>
      <c r="X140" s="247">
        <v>32900500</v>
      </c>
      <c r="Y140" s="353"/>
      <c r="AA140" s="239">
        <f t="shared" si="8"/>
        <v>40571720</v>
      </c>
    </row>
    <row r="141" spans="1:27" s="242" customFormat="1" ht="24.75" customHeight="1">
      <c r="A141" s="234" t="s">
        <v>109</v>
      </c>
      <c r="B141" s="235">
        <v>4</v>
      </c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60"/>
      <c r="N141" s="260">
        <v>0</v>
      </c>
      <c r="O141" s="260"/>
      <c r="P141" s="260">
        <v>3019612</v>
      </c>
      <c r="Q141" s="260">
        <v>3428396</v>
      </c>
      <c r="R141" s="247">
        <v>16766190</v>
      </c>
      <c r="S141" s="240"/>
      <c r="T141" s="241"/>
      <c r="X141" s="247">
        <v>0</v>
      </c>
      <c r="Y141" s="353"/>
      <c r="AA141" s="239">
        <f t="shared" si="8"/>
        <v>3019612</v>
      </c>
    </row>
    <row r="142" spans="1:27" ht="24.75" customHeight="1">
      <c r="A142" s="234" t="s">
        <v>180</v>
      </c>
      <c r="B142" s="235">
        <v>41</v>
      </c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60"/>
      <c r="N142" s="260">
        <v>0</v>
      </c>
      <c r="O142" s="260"/>
      <c r="P142" s="260">
        <v>380432</v>
      </c>
      <c r="Q142" s="260">
        <v>1238032</v>
      </c>
      <c r="R142" s="247">
        <v>99556488</v>
      </c>
      <c r="S142" s="258"/>
      <c r="T142" s="259"/>
      <c r="X142" s="247">
        <v>0</v>
      </c>
      <c r="AA142" s="239">
        <f t="shared" si="8"/>
        <v>380432</v>
      </c>
    </row>
    <row r="143" spans="1:27" ht="24.75" customHeight="1" thickBot="1">
      <c r="A143" s="234"/>
      <c r="B143" s="235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302"/>
      <c r="N143" s="302"/>
      <c r="O143" s="302"/>
      <c r="P143" s="302"/>
      <c r="Q143" s="302"/>
      <c r="R143" s="247"/>
      <c r="S143" s="258"/>
      <c r="T143" s="259"/>
      <c r="X143" s="247"/>
      <c r="AA143" s="239">
        <f t="shared" si="8"/>
        <v>0</v>
      </c>
    </row>
    <row r="144" spans="1:27" ht="24.75" customHeight="1" thickTop="1" thickBot="1">
      <c r="A144" s="261" t="s">
        <v>3</v>
      </c>
      <c r="B144" s="262">
        <f>SUM(B132:B143)</f>
        <v>218</v>
      </c>
      <c r="C144" s="263">
        <f t="shared" ref="C144:Q144" si="9">SUM(C132:C143)</f>
        <v>0</v>
      </c>
      <c r="D144" s="263">
        <f t="shared" si="9"/>
        <v>0</v>
      </c>
      <c r="E144" s="263">
        <f t="shared" si="9"/>
        <v>0</v>
      </c>
      <c r="F144" s="263">
        <f t="shared" si="9"/>
        <v>0</v>
      </c>
      <c r="G144" s="263">
        <f t="shared" si="9"/>
        <v>0</v>
      </c>
      <c r="H144" s="263">
        <f t="shared" si="9"/>
        <v>0</v>
      </c>
      <c r="I144" s="263">
        <f t="shared" si="9"/>
        <v>0</v>
      </c>
      <c r="J144" s="263">
        <f t="shared" si="9"/>
        <v>0</v>
      </c>
      <c r="K144" s="263">
        <f t="shared" si="9"/>
        <v>0</v>
      </c>
      <c r="L144" s="263">
        <f t="shared" si="9"/>
        <v>0</v>
      </c>
      <c r="M144" s="263">
        <f t="shared" si="9"/>
        <v>0</v>
      </c>
      <c r="N144" s="263">
        <f>SUM(N132:N143)</f>
        <v>4037</v>
      </c>
      <c r="O144" s="263">
        <f>SUM(O132:O143)</f>
        <v>0</v>
      </c>
      <c r="P144" s="265">
        <f t="shared" si="9"/>
        <v>36313301</v>
      </c>
      <c r="Q144" s="265">
        <f t="shared" si="9"/>
        <v>20142953</v>
      </c>
      <c r="R144" s="560">
        <f>SUM(R132:R143)</f>
        <v>697653650</v>
      </c>
      <c r="S144" s="303"/>
      <c r="T144" s="280" t="e">
        <f>#REF!/#REF!</f>
        <v>#REF!</v>
      </c>
      <c r="U144" s="215" t="s">
        <v>21</v>
      </c>
      <c r="X144" s="265">
        <f>SUM(X133:X143)</f>
        <v>102031500</v>
      </c>
      <c r="AA144" s="239">
        <f t="shared" si="8"/>
        <v>138344801</v>
      </c>
    </row>
    <row r="145" spans="1:24" ht="17.25" customHeight="1" thickTop="1">
      <c r="S145" s="218"/>
      <c r="T145" s="443"/>
    </row>
    <row r="146" spans="1:24" ht="17.25" customHeight="1">
      <c r="S146" s="218"/>
      <c r="T146" s="443"/>
    </row>
    <row r="147" spans="1:24" ht="17.25" customHeight="1">
      <c r="S147" s="218"/>
      <c r="T147" s="443"/>
    </row>
    <row r="148" spans="1:24" ht="17.25" customHeight="1">
      <c r="S148" s="218"/>
      <c r="T148" s="443"/>
    </row>
    <row r="149" spans="1:24" ht="17.25" customHeight="1">
      <c r="S149" s="218"/>
      <c r="T149" s="443"/>
    </row>
    <row r="150" spans="1:24" ht="17.25" customHeight="1">
      <c r="A150" s="336" t="s">
        <v>202</v>
      </c>
      <c r="B150" s="566"/>
      <c r="C150" s="337"/>
      <c r="D150" s="1173" t="s">
        <v>81</v>
      </c>
      <c r="E150" s="1173"/>
      <c r="F150" s="1173"/>
      <c r="G150" s="1173"/>
      <c r="H150" s="337"/>
      <c r="I150" s="337"/>
      <c r="J150" s="1173" t="s">
        <v>82</v>
      </c>
      <c r="K150" s="1173"/>
      <c r="L150" s="1173"/>
      <c r="M150" s="1173"/>
      <c r="N150" s="1173"/>
      <c r="O150" s="1173"/>
      <c r="P150" s="1173"/>
      <c r="Q150" s="1173"/>
      <c r="R150" s="1173"/>
      <c r="S150" s="218"/>
      <c r="T150" s="443"/>
    </row>
    <row r="151" spans="1:24" ht="17.25" customHeight="1">
      <c r="A151" s="336"/>
      <c r="B151" s="566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218"/>
      <c r="T151" s="443"/>
    </row>
    <row r="152" spans="1:24" ht="17.25" customHeight="1">
      <c r="A152" s="336"/>
      <c r="B152" s="566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218"/>
      <c r="T152" s="443"/>
    </row>
    <row r="153" spans="1:24" ht="17.25" customHeight="1">
      <c r="A153" s="336"/>
      <c r="B153" s="566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218"/>
      <c r="T153" s="443"/>
    </row>
    <row r="154" spans="1:24" ht="17.25" customHeight="1">
      <c r="A154" s="336"/>
      <c r="B154" s="566"/>
      <c r="C154" s="337"/>
      <c r="D154" s="1173"/>
      <c r="E154" s="1173"/>
      <c r="F154" s="1173"/>
      <c r="G154" s="1173"/>
      <c r="H154" s="337"/>
      <c r="I154" s="337"/>
      <c r="J154" s="1173"/>
      <c r="K154" s="1173"/>
      <c r="L154" s="1173"/>
      <c r="M154" s="1173"/>
      <c r="N154" s="1173"/>
      <c r="O154" s="1173"/>
      <c r="P154" s="1173"/>
      <c r="Q154" s="1173"/>
      <c r="R154" s="1173"/>
    </row>
    <row r="155" spans="1:24" ht="24.75" customHeight="1"/>
    <row r="156" spans="1:24" ht="24.75" customHeight="1"/>
    <row r="157" spans="1:24" ht="24.75" customHeight="1">
      <c r="A157" s="559" t="s">
        <v>0</v>
      </c>
    </row>
    <row r="158" spans="1:24" ht="24.75" customHeight="1">
      <c r="A158" s="559" t="str">
        <f>A4</f>
        <v>DENOMINATION FOR NOVEMBER 2017</v>
      </c>
    </row>
    <row r="159" spans="1:24" ht="63.75" customHeight="1" thickBot="1">
      <c r="A159" s="297"/>
      <c r="B159" s="576"/>
    </row>
    <row r="160" spans="1:24" ht="24.75" customHeight="1" thickTop="1">
      <c r="A160" s="1176" t="s">
        <v>1</v>
      </c>
      <c r="B160" s="1183" t="s">
        <v>15</v>
      </c>
      <c r="C160" s="219"/>
      <c r="D160" s="219"/>
      <c r="E160" s="220"/>
      <c r="F160" s="220"/>
      <c r="G160" s="220"/>
      <c r="H160" s="220"/>
      <c r="I160" s="220"/>
      <c r="J160" s="220"/>
      <c r="K160" s="220"/>
      <c r="L160" s="220"/>
      <c r="M160" s="574" t="str">
        <f>M6</f>
        <v>Pot.</v>
      </c>
      <c r="N160" s="568" t="s">
        <v>145</v>
      </c>
      <c r="O160" s="568" t="s">
        <v>253</v>
      </c>
      <c r="P160" s="1174" t="str">
        <f>P130</f>
        <v>TOTAL PREMI</v>
      </c>
      <c r="Q160" s="1174" t="str">
        <f>Q130</f>
        <v>TOTAL LEMBUR</v>
      </c>
      <c r="R160" s="1171" t="s">
        <v>3</v>
      </c>
      <c r="S160" s="221" t="s">
        <v>16</v>
      </c>
      <c r="T160" s="222" t="s">
        <v>18</v>
      </c>
      <c r="X160" s="1171" t="s">
        <v>259</v>
      </c>
    </row>
    <row r="161" spans="1:27" ht="24.75" customHeight="1" thickBot="1">
      <c r="A161" s="1177"/>
      <c r="B161" s="1184"/>
      <c r="C161" s="223">
        <v>100000</v>
      </c>
      <c r="D161" s="223">
        <v>50000</v>
      </c>
      <c r="E161" s="223">
        <v>20000</v>
      </c>
      <c r="F161" s="223">
        <v>10000</v>
      </c>
      <c r="G161" s="223">
        <v>5000</v>
      </c>
      <c r="H161" s="223">
        <v>1000</v>
      </c>
      <c r="I161" s="223">
        <v>500</v>
      </c>
      <c r="J161" s="223">
        <v>100</v>
      </c>
      <c r="K161" s="223">
        <v>50</v>
      </c>
      <c r="L161" s="223" t="s">
        <v>2</v>
      </c>
      <c r="M161" s="575" t="str">
        <f>M7</f>
        <v>Pinjaman</v>
      </c>
      <c r="N161" s="569" t="str">
        <f>N131</f>
        <v>(MASA NOV - 2017)</v>
      </c>
      <c r="O161" s="569" t="s">
        <v>254</v>
      </c>
      <c r="P161" s="1175"/>
      <c r="Q161" s="1175"/>
      <c r="R161" s="1172"/>
      <c r="S161" s="224"/>
      <c r="T161" s="225" t="s">
        <v>19</v>
      </c>
      <c r="X161" s="1172"/>
    </row>
    <row r="162" spans="1:27" ht="24.75" customHeight="1" thickTop="1">
      <c r="A162" s="299"/>
      <c r="B162" s="269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7"/>
      <c r="N162" s="307"/>
      <c r="O162" s="307"/>
      <c r="P162" s="307"/>
      <c r="Q162" s="307"/>
      <c r="R162" s="308"/>
      <c r="S162" s="258"/>
      <c r="T162" s="259"/>
      <c r="X162" s="308"/>
    </row>
    <row r="163" spans="1:27" s="242" customFormat="1" ht="24.75" customHeight="1">
      <c r="A163" s="291" t="s">
        <v>113</v>
      </c>
      <c r="B163" s="292">
        <v>27</v>
      </c>
      <c r="C163" s="380"/>
      <c r="D163" s="293"/>
      <c r="E163" s="293"/>
      <c r="F163" s="293"/>
      <c r="G163" s="293"/>
      <c r="H163" s="293"/>
      <c r="I163" s="293"/>
      <c r="J163" s="293"/>
      <c r="K163" s="293"/>
      <c r="L163" s="293"/>
      <c r="M163" s="294"/>
      <c r="N163" s="294">
        <v>43778</v>
      </c>
      <c r="O163" s="294"/>
      <c r="P163" s="294">
        <f>7079925+6979700</f>
        <v>14059625</v>
      </c>
      <c r="Q163" s="294">
        <v>703262</v>
      </c>
      <c r="R163" s="295">
        <v>91345331</v>
      </c>
      <c r="S163" s="240"/>
      <c r="T163" s="241"/>
      <c r="W163" s="353"/>
      <c r="X163" s="295">
        <v>14909500</v>
      </c>
      <c r="Y163" s="353"/>
      <c r="AA163" s="239">
        <f>P163+X163</f>
        <v>28969125</v>
      </c>
    </row>
    <row r="164" spans="1:27" s="242" customFormat="1" ht="24.75" customHeight="1">
      <c r="A164" s="309" t="s">
        <v>162</v>
      </c>
      <c r="B164" s="292">
        <v>37</v>
      </c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4"/>
      <c r="N164" s="294">
        <v>0</v>
      </c>
      <c r="O164" s="294"/>
      <c r="P164" s="294">
        <f>76720+171500</f>
        <v>248220</v>
      </c>
      <c r="Q164" s="294">
        <v>4996091</v>
      </c>
      <c r="R164" s="295">
        <v>97664215</v>
      </c>
      <c r="S164" s="240"/>
      <c r="T164" s="241"/>
      <c r="W164" s="353"/>
      <c r="X164" s="295">
        <v>387500</v>
      </c>
      <c r="Y164" s="353"/>
      <c r="AA164" s="239">
        <f t="shared" ref="AA164:AA171" si="10">P164+X164</f>
        <v>635720</v>
      </c>
    </row>
    <row r="165" spans="1:27" s="242" customFormat="1" ht="24.75" customHeight="1">
      <c r="A165" s="309" t="s">
        <v>266</v>
      </c>
      <c r="B165" s="292">
        <v>3</v>
      </c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4"/>
      <c r="N165" s="294">
        <v>0</v>
      </c>
      <c r="O165" s="294"/>
      <c r="P165" s="294">
        <f>1127140+553700</f>
        <v>1680840</v>
      </c>
      <c r="Q165" s="294">
        <v>549424</v>
      </c>
      <c r="R165" s="295">
        <v>11464365</v>
      </c>
      <c r="S165" s="240"/>
      <c r="T165" s="241"/>
      <c r="W165" s="353"/>
      <c r="X165" s="295">
        <v>1403000</v>
      </c>
      <c r="Y165" s="353"/>
      <c r="AA165" s="239">
        <f t="shared" si="10"/>
        <v>3083840</v>
      </c>
    </row>
    <row r="166" spans="1:27" s="242" customFormat="1" ht="24.75" customHeight="1">
      <c r="A166" s="309" t="s">
        <v>224</v>
      </c>
      <c r="B166" s="292">
        <v>6</v>
      </c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4"/>
      <c r="N166" s="294">
        <v>0</v>
      </c>
      <c r="O166" s="294"/>
      <c r="P166" s="294">
        <v>6750505</v>
      </c>
      <c r="Q166" s="294">
        <v>4146316</v>
      </c>
      <c r="R166" s="295">
        <v>26618465</v>
      </c>
      <c r="S166" s="240"/>
      <c r="T166" s="241"/>
      <c r="W166" s="353"/>
      <c r="X166" s="295">
        <v>0</v>
      </c>
      <c r="Y166" s="353"/>
      <c r="AA166" s="239">
        <f t="shared" si="10"/>
        <v>6750505</v>
      </c>
    </row>
    <row r="167" spans="1:27" s="242" customFormat="1" ht="24.75" customHeight="1">
      <c r="A167" s="309" t="s">
        <v>256</v>
      </c>
      <c r="B167" s="310">
        <v>1</v>
      </c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4"/>
      <c r="N167" s="294">
        <v>0</v>
      </c>
      <c r="O167" s="294"/>
      <c r="P167" s="294">
        <v>0</v>
      </c>
      <c r="Q167" s="294">
        <v>0</v>
      </c>
      <c r="R167" s="295">
        <v>2560020</v>
      </c>
      <c r="S167" s="240"/>
      <c r="T167" s="241"/>
      <c r="W167" s="353"/>
      <c r="X167" s="295">
        <v>0</v>
      </c>
      <c r="Y167" s="353"/>
      <c r="AA167" s="239">
        <f t="shared" si="10"/>
        <v>0</v>
      </c>
    </row>
    <row r="168" spans="1:27" s="242" customFormat="1" ht="24.75" customHeight="1">
      <c r="A168" s="309" t="s">
        <v>267</v>
      </c>
      <c r="B168" s="310">
        <v>2</v>
      </c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4"/>
      <c r="N168" s="294">
        <v>0</v>
      </c>
      <c r="O168" s="294"/>
      <c r="P168" s="294">
        <f>443630+500500</f>
        <v>944130</v>
      </c>
      <c r="Q168" s="294">
        <v>80582</v>
      </c>
      <c r="R168" s="295">
        <v>6174341</v>
      </c>
      <c r="S168" s="240"/>
      <c r="T168" s="241"/>
      <c r="W168" s="353"/>
      <c r="X168" s="295">
        <v>217000</v>
      </c>
      <c r="Y168" s="353"/>
      <c r="AA168" s="239">
        <f t="shared" si="10"/>
        <v>1161130</v>
      </c>
    </row>
    <row r="169" spans="1:27" s="242" customFormat="1" ht="24.75" customHeight="1">
      <c r="A169" s="309" t="s">
        <v>112</v>
      </c>
      <c r="B169" s="292">
        <v>37</v>
      </c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4"/>
      <c r="N169" s="294">
        <v>0</v>
      </c>
      <c r="O169" s="294"/>
      <c r="P169" s="294">
        <f>4391920+7275100+250000</f>
        <v>11917020</v>
      </c>
      <c r="Q169" s="294">
        <v>1824086</v>
      </c>
      <c r="R169" s="295">
        <v>112321962</v>
      </c>
      <c r="S169" s="240"/>
      <c r="T169" s="241"/>
      <c r="W169" s="353"/>
      <c r="X169" s="295">
        <v>6016500</v>
      </c>
      <c r="Y169" s="353"/>
      <c r="AA169" s="239">
        <f t="shared" si="10"/>
        <v>17933520</v>
      </c>
    </row>
    <row r="170" spans="1:27" s="242" customFormat="1" ht="24.75" customHeight="1">
      <c r="A170" s="291" t="s">
        <v>167</v>
      </c>
      <c r="B170" s="292">
        <v>28</v>
      </c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342"/>
      <c r="N170" s="342">
        <v>0</v>
      </c>
      <c r="O170" s="342"/>
      <c r="P170" s="342">
        <f>411410+129500</f>
        <v>540910</v>
      </c>
      <c r="Q170" s="342">
        <v>2025541</v>
      </c>
      <c r="R170" s="318">
        <v>71165090</v>
      </c>
      <c r="S170" s="240"/>
      <c r="T170" s="241"/>
      <c r="W170" s="353"/>
      <c r="X170" s="318">
        <v>0</v>
      </c>
      <c r="Y170" s="353"/>
      <c r="AA170" s="239">
        <f t="shared" si="10"/>
        <v>540910</v>
      </c>
    </row>
    <row r="171" spans="1:27" s="242" customFormat="1" ht="24.75" customHeight="1">
      <c r="A171" s="291" t="s">
        <v>225</v>
      </c>
      <c r="B171" s="292">
        <v>6</v>
      </c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342"/>
      <c r="N171" s="342">
        <v>0</v>
      </c>
      <c r="O171" s="342"/>
      <c r="P171" s="342">
        <v>6700975</v>
      </c>
      <c r="Q171" s="342">
        <v>3853290</v>
      </c>
      <c r="R171" s="318">
        <v>26459845</v>
      </c>
      <c r="S171" s="240"/>
      <c r="T171" s="241"/>
      <c r="W171" s="353"/>
      <c r="X171" s="318">
        <v>0</v>
      </c>
      <c r="Y171" s="353"/>
      <c r="AA171" s="239">
        <f t="shared" si="10"/>
        <v>6700975</v>
      </c>
    </row>
    <row r="172" spans="1:27" s="242" customFormat="1" ht="24.75" customHeight="1" thickBot="1">
      <c r="A172" s="291"/>
      <c r="B172" s="292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342"/>
      <c r="N172" s="342"/>
      <c r="O172" s="342"/>
      <c r="P172" s="342"/>
      <c r="Q172" s="342"/>
      <c r="R172" s="318"/>
      <c r="S172" s="240"/>
      <c r="T172" s="241"/>
      <c r="W172" s="353"/>
      <c r="X172" s="318"/>
      <c r="Y172" s="353"/>
    </row>
    <row r="173" spans="1:27" ht="24.75" customHeight="1" thickTop="1" thickBot="1">
      <c r="A173" s="319" t="s">
        <v>3</v>
      </c>
      <c r="B173" s="414">
        <f>SUM(B162:B172)</f>
        <v>147</v>
      </c>
      <c r="C173" s="320">
        <f t="shared" ref="C173:M173" si="11">SUM(C162:C172)</f>
        <v>0</v>
      </c>
      <c r="D173" s="320">
        <f t="shared" si="11"/>
        <v>0</v>
      </c>
      <c r="E173" s="320">
        <f t="shared" si="11"/>
        <v>0</v>
      </c>
      <c r="F173" s="320">
        <f t="shared" si="11"/>
        <v>0</v>
      </c>
      <c r="G173" s="320">
        <f t="shared" si="11"/>
        <v>0</v>
      </c>
      <c r="H173" s="320">
        <f t="shared" si="11"/>
        <v>0</v>
      </c>
      <c r="I173" s="320">
        <f t="shared" si="11"/>
        <v>0</v>
      </c>
      <c r="J173" s="320">
        <f t="shared" si="11"/>
        <v>0</v>
      </c>
      <c r="K173" s="320">
        <f t="shared" si="11"/>
        <v>0</v>
      </c>
      <c r="L173" s="320">
        <f t="shared" si="11"/>
        <v>0</v>
      </c>
      <c r="M173" s="320">
        <f t="shared" si="11"/>
        <v>0</v>
      </c>
      <c r="N173" s="415">
        <f>SUM(N162:N172)</f>
        <v>43778</v>
      </c>
      <c r="O173" s="415">
        <f>SUM(O162:O172)</f>
        <v>0</v>
      </c>
      <c r="P173" s="413">
        <f>SUM(P162:P172)</f>
        <v>42842225</v>
      </c>
      <c r="Q173" s="413">
        <f>SUM(Q162:Q172)</f>
        <v>18178592</v>
      </c>
      <c r="R173" s="561">
        <f>SUM(R162:R172)</f>
        <v>445773634</v>
      </c>
      <c r="S173" s="266"/>
      <c r="T173" s="267" t="e">
        <f>#REF!/#REF!</f>
        <v>#REF!</v>
      </c>
      <c r="U173" s="215" t="s">
        <v>21</v>
      </c>
      <c r="X173" s="413">
        <f>SUM(X163:X172)</f>
        <v>22933500</v>
      </c>
      <c r="AA173" s="218">
        <f>SUM(AA163:AA172)</f>
        <v>65775725</v>
      </c>
    </row>
    <row r="174" spans="1:27" ht="17.25" customHeight="1" thickTop="1">
      <c r="A174" s="216"/>
      <c r="B174" s="278"/>
      <c r="T174" s="321"/>
    </row>
    <row r="175" spans="1:27" ht="17.25" customHeight="1">
      <c r="T175" s="321"/>
    </row>
    <row r="176" spans="1:27" ht="17.25" customHeight="1">
      <c r="A176" s="216" t="s">
        <v>144</v>
      </c>
      <c r="B176" s="278"/>
      <c r="T176" s="321"/>
    </row>
    <row r="177" spans="1:27" ht="17.25" customHeight="1">
      <c r="A177" s="216"/>
      <c r="B177" s="278"/>
      <c r="T177" s="321"/>
    </row>
    <row r="178" spans="1:27" ht="17.25" customHeight="1">
      <c r="A178" s="217"/>
      <c r="B178" s="278"/>
      <c r="T178" s="321"/>
    </row>
    <row r="179" spans="1:27" ht="17.25" customHeight="1">
      <c r="A179" s="336" t="s">
        <v>201</v>
      </c>
      <c r="B179" s="566"/>
      <c r="C179" s="337"/>
      <c r="D179" s="1173" t="s">
        <v>81</v>
      </c>
      <c r="E179" s="1173"/>
      <c r="F179" s="1173"/>
      <c r="G179" s="1173"/>
      <c r="H179" s="337"/>
      <c r="I179" s="337"/>
      <c r="J179" s="1173" t="s">
        <v>82</v>
      </c>
      <c r="K179" s="1173"/>
      <c r="L179" s="1173"/>
      <c r="M179" s="1173"/>
      <c r="N179" s="1173"/>
      <c r="O179" s="1173"/>
      <c r="P179" s="1173"/>
      <c r="Q179" s="1173"/>
      <c r="R179" s="1173"/>
      <c r="T179" s="321"/>
    </row>
    <row r="180" spans="1:27" ht="17.25" customHeight="1">
      <c r="A180" s="336"/>
      <c r="B180" s="566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T180" s="321"/>
    </row>
    <row r="181" spans="1:27" ht="17.25" customHeight="1">
      <c r="A181" s="336"/>
      <c r="B181" s="566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T181" s="321"/>
    </row>
    <row r="182" spans="1:27" ht="17.25" customHeight="1">
      <c r="A182" s="336"/>
      <c r="B182" s="566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T182" s="321"/>
    </row>
    <row r="183" spans="1:27" ht="17.25" customHeight="1">
      <c r="A183" s="336"/>
      <c r="B183" s="566"/>
      <c r="C183" s="337"/>
      <c r="D183" s="1173"/>
      <c r="E183" s="1173"/>
      <c r="F183" s="1173"/>
      <c r="G183" s="1173"/>
      <c r="H183" s="337"/>
      <c r="I183" s="337"/>
      <c r="J183" s="1173"/>
      <c r="K183" s="1173"/>
      <c r="L183" s="1173"/>
      <c r="M183" s="1173"/>
      <c r="N183" s="1173"/>
      <c r="O183" s="1173"/>
      <c r="P183" s="1173"/>
      <c r="Q183" s="1173"/>
      <c r="R183" s="1173"/>
      <c r="T183" s="321"/>
    </row>
    <row r="184" spans="1:27" ht="17.25" customHeight="1">
      <c r="A184" s="216"/>
      <c r="B184" s="278"/>
      <c r="T184" s="321"/>
    </row>
    <row r="185" spans="1:27" ht="17.25" customHeight="1">
      <c r="A185" s="216"/>
      <c r="B185" s="278"/>
      <c r="T185" s="321"/>
    </row>
    <row r="186" spans="1:27" ht="27.75" customHeight="1">
      <c r="A186" s="559" t="s">
        <v>0</v>
      </c>
      <c r="B186" s="278"/>
      <c r="T186" s="321"/>
    </row>
    <row r="187" spans="1:27" ht="27.75" customHeight="1">
      <c r="A187" s="559" t="str">
        <f>A4</f>
        <v>DENOMINATION FOR NOVEMBER 2017</v>
      </c>
      <c r="B187" s="278"/>
      <c r="T187" s="321"/>
    </row>
    <row r="188" spans="1:27" ht="63.75" customHeight="1" thickBot="1">
      <c r="A188" s="297"/>
    </row>
    <row r="189" spans="1:27" ht="27.75" customHeight="1" thickTop="1">
      <c r="A189" s="1176" t="s">
        <v>1</v>
      </c>
      <c r="B189" s="1183" t="s">
        <v>15</v>
      </c>
      <c r="C189" s="219"/>
      <c r="D189" s="219"/>
      <c r="E189" s="220"/>
      <c r="F189" s="220"/>
      <c r="G189" s="220"/>
      <c r="H189" s="220"/>
      <c r="I189" s="220"/>
      <c r="J189" s="220"/>
      <c r="K189" s="220"/>
      <c r="L189" s="220"/>
      <c r="M189" s="574" t="str">
        <f>M6</f>
        <v>Pot.</v>
      </c>
      <c r="N189" s="568" t="s">
        <v>145</v>
      </c>
      <c r="O189" s="568" t="s">
        <v>253</v>
      </c>
      <c r="P189" s="1174" t="str">
        <f>P160</f>
        <v>TOTAL PREMI</v>
      </c>
      <c r="Q189" s="1174" t="str">
        <f>Q160</f>
        <v>TOTAL LEMBUR</v>
      </c>
      <c r="R189" s="1171" t="s">
        <v>3</v>
      </c>
      <c r="X189" s="1171" t="s">
        <v>259</v>
      </c>
    </row>
    <row r="190" spans="1:27" ht="27.75" customHeight="1" thickBot="1">
      <c r="A190" s="1177"/>
      <c r="B190" s="1184"/>
      <c r="C190" s="223">
        <v>100000</v>
      </c>
      <c r="D190" s="223">
        <v>50000</v>
      </c>
      <c r="E190" s="223">
        <v>20000</v>
      </c>
      <c r="F190" s="223">
        <v>10000</v>
      </c>
      <c r="G190" s="223">
        <v>5000</v>
      </c>
      <c r="H190" s="223">
        <v>1000</v>
      </c>
      <c r="I190" s="223">
        <v>500</v>
      </c>
      <c r="J190" s="223">
        <v>100</v>
      </c>
      <c r="K190" s="223">
        <v>50</v>
      </c>
      <c r="L190" s="223" t="s">
        <v>2</v>
      </c>
      <c r="M190" s="575" t="str">
        <f>M7</f>
        <v>Pinjaman</v>
      </c>
      <c r="N190" s="569" t="str">
        <f>N161</f>
        <v>(MASA NOV - 2017)</v>
      </c>
      <c r="O190" s="569" t="s">
        <v>254</v>
      </c>
      <c r="P190" s="1175"/>
      <c r="Q190" s="1175"/>
      <c r="R190" s="1172"/>
      <c r="X190" s="1172"/>
    </row>
    <row r="191" spans="1:27" ht="27.75" customHeight="1" thickTop="1">
      <c r="A191" s="287"/>
      <c r="B191" s="269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7"/>
      <c r="N191" s="307"/>
      <c r="O191" s="307"/>
      <c r="P191" s="307"/>
      <c r="Q191" s="307"/>
      <c r="R191" s="308"/>
      <c r="X191" s="308"/>
    </row>
    <row r="192" spans="1:27" s="242" customFormat="1" ht="27.75" customHeight="1">
      <c r="A192" s="287" t="s">
        <v>108</v>
      </c>
      <c r="B192" s="292">
        <v>35</v>
      </c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89"/>
      <c r="N192" s="289">
        <v>0</v>
      </c>
      <c r="O192" s="289"/>
      <c r="P192" s="289">
        <f>8297220+6573700</f>
        <v>14870920</v>
      </c>
      <c r="Q192" s="289">
        <v>2300253</v>
      </c>
      <c r="R192" s="290">
        <v>117766546</v>
      </c>
      <c r="X192" s="290">
        <v>12681500</v>
      </c>
      <c r="Y192" s="353"/>
      <c r="AA192" s="239">
        <f>P192+X192</f>
        <v>27552420</v>
      </c>
    </row>
    <row r="193" spans="1:27" s="242" customFormat="1" ht="27.75" customHeight="1">
      <c r="A193" s="291" t="s">
        <v>114</v>
      </c>
      <c r="B193" s="292">
        <v>50</v>
      </c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89"/>
      <c r="N193" s="289">
        <v>29179</v>
      </c>
      <c r="O193" s="289"/>
      <c r="P193" s="289">
        <f>62550+2346870+178125+46500+173470+60000</f>
        <v>2867515</v>
      </c>
      <c r="Q193" s="289">
        <v>4026108</v>
      </c>
      <c r="R193" s="290">
        <v>130866138</v>
      </c>
      <c r="X193" s="290">
        <v>0</v>
      </c>
      <c r="Y193" s="353"/>
      <c r="AA193" s="239">
        <f t="shared" ref="AA193:AA197" si="12">P193+X193</f>
        <v>2867515</v>
      </c>
    </row>
    <row r="194" spans="1:27" s="242" customFormat="1" ht="27.75" customHeight="1">
      <c r="A194" s="291" t="s">
        <v>222</v>
      </c>
      <c r="B194" s="292">
        <v>5</v>
      </c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89"/>
      <c r="N194" s="289">
        <v>56022</v>
      </c>
      <c r="O194" s="289"/>
      <c r="P194" s="289">
        <f>397352+2916630+214125+181000+20000+173470</f>
        <v>3902577</v>
      </c>
      <c r="Q194" s="289">
        <v>3574916</v>
      </c>
      <c r="R194" s="290">
        <v>20475816</v>
      </c>
      <c r="X194" s="290">
        <v>0</v>
      </c>
      <c r="Y194" s="353"/>
      <c r="AA194" s="239">
        <f t="shared" si="12"/>
        <v>3902577</v>
      </c>
    </row>
    <row r="195" spans="1:27" s="242" customFormat="1" ht="27.75" customHeight="1">
      <c r="A195" s="291" t="s">
        <v>107</v>
      </c>
      <c r="B195" s="292">
        <v>44</v>
      </c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89"/>
      <c r="N195" s="289">
        <v>0</v>
      </c>
      <c r="O195" s="289"/>
      <c r="P195" s="289">
        <f>350820+60000</f>
        <v>410820</v>
      </c>
      <c r="Q195" s="289">
        <v>2846014</v>
      </c>
      <c r="R195" s="290">
        <v>110111976</v>
      </c>
      <c r="X195" s="290"/>
      <c r="Y195" s="353"/>
      <c r="AA195" s="239">
        <f t="shared" si="12"/>
        <v>410820</v>
      </c>
    </row>
    <row r="196" spans="1:27" ht="27.75" customHeight="1">
      <c r="A196" s="287" t="s">
        <v>106</v>
      </c>
      <c r="B196" s="292">
        <v>34</v>
      </c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89"/>
      <c r="N196" s="289">
        <v>0</v>
      </c>
      <c r="O196" s="289"/>
      <c r="P196" s="289">
        <f>8650620+8445500+250000</f>
        <v>17346120</v>
      </c>
      <c r="Q196" s="289">
        <v>1531060</v>
      </c>
      <c r="R196" s="290">
        <v>104928728</v>
      </c>
      <c r="X196" s="290"/>
      <c r="AA196" s="239">
        <f t="shared" si="12"/>
        <v>17346120</v>
      </c>
    </row>
    <row r="197" spans="1:27" ht="27.75" customHeight="1">
      <c r="A197" s="291" t="s">
        <v>221</v>
      </c>
      <c r="B197" s="292">
        <v>7</v>
      </c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89"/>
      <c r="N197" s="289">
        <v>13165</v>
      </c>
      <c r="O197" s="289"/>
      <c r="P197" s="289">
        <f>431425+4213365+480000+157960</f>
        <v>5282750</v>
      </c>
      <c r="Q197" s="289">
        <v>4717717</v>
      </c>
      <c r="R197" s="290">
        <v>28113154</v>
      </c>
      <c r="X197" s="290"/>
      <c r="AA197" s="239">
        <f t="shared" si="12"/>
        <v>5282750</v>
      </c>
    </row>
    <row r="198" spans="1:27" ht="27.75" customHeight="1" thickBot="1">
      <c r="A198" s="268"/>
      <c r="B198" s="547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1"/>
      <c r="N198" s="271"/>
      <c r="O198" s="271"/>
      <c r="P198" s="271"/>
      <c r="Q198" s="271"/>
      <c r="R198" s="272"/>
      <c r="X198" s="272"/>
    </row>
    <row r="199" spans="1:27" ht="27.75" customHeight="1" thickTop="1" thickBot="1">
      <c r="A199" s="319" t="s">
        <v>3</v>
      </c>
      <c r="B199" s="414">
        <f>SUM(B191:B198)</f>
        <v>175</v>
      </c>
      <c r="C199" s="320">
        <f t="shared" ref="C199:M199" si="13">SUM(C191:C195)</f>
        <v>0</v>
      </c>
      <c r="D199" s="320">
        <f t="shared" si="13"/>
        <v>0</v>
      </c>
      <c r="E199" s="320">
        <f t="shared" si="13"/>
        <v>0</v>
      </c>
      <c r="F199" s="320">
        <f t="shared" si="13"/>
        <v>0</v>
      </c>
      <c r="G199" s="320">
        <f t="shared" si="13"/>
        <v>0</v>
      </c>
      <c r="H199" s="320">
        <f t="shared" si="13"/>
        <v>0</v>
      </c>
      <c r="I199" s="320">
        <f t="shared" si="13"/>
        <v>0</v>
      </c>
      <c r="J199" s="320">
        <f t="shared" si="13"/>
        <v>0</v>
      </c>
      <c r="K199" s="320">
        <f t="shared" si="13"/>
        <v>0</v>
      </c>
      <c r="L199" s="320">
        <f t="shared" si="13"/>
        <v>0</v>
      </c>
      <c r="M199" s="320">
        <f t="shared" si="13"/>
        <v>0</v>
      </c>
      <c r="N199" s="320">
        <f>SUM(N191:N198)</f>
        <v>98366</v>
      </c>
      <c r="O199" s="320">
        <f>SUM(O191:O197)</f>
        <v>0</v>
      </c>
      <c r="P199" s="320">
        <f>SUM(P191:P198)</f>
        <v>44680702</v>
      </c>
      <c r="Q199" s="320">
        <f>SUM(Q191:Q198)</f>
        <v>18996068</v>
      </c>
      <c r="R199" s="561">
        <f>SUM(R191:R198)</f>
        <v>512262358</v>
      </c>
      <c r="S199" s="217" t="e">
        <f>#REF!+#REF!+#REF!+#REF!+#REF!+#REF!</f>
        <v>#REF!</v>
      </c>
      <c r="T199" s="217" t="e">
        <f>#REF!+#REF!+#REF!+#REF!+#REF!+#REF!</f>
        <v>#REF!</v>
      </c>
      <c r="U199" s="217" t="e">
        <f>#REF!+#REF!+#REF!+#REF!+#REF!+#REF!</f>
        <v>#REF!</v>
      </c>
      <c r="V199" s="217" t="e">
        <f>#REF!+#REF!+#REF!+#REF!+#REF!+#REF!</f>
        <v>#REF!</v>
      </c>
      <c r="W199" s="217"/>
      <c r="X199" s="413">
        <f>SUM(X192:X198)</f>
        <v>12681500</v>
      </c>
      <c r="Y199" s="492"/>
      <c r="AA199" s="218">
        <f>SUM(AA192:AA198)</f>
        <v>57362202</v>
      </c>
    </row>
    <row r="200" spans="1:27" ht="17.25" customHeight="1" thickTop="1">
      <c r="A200" s="216"/>
      <c r="B200" s="278"/>
      <c r="S200" s="217"/>
      <c r="T200" s="217"/>
      <c r="U200" s="217"/>
      <c r="V200" s="217"/>
      <c r="W200" s="217"/>
      <c r="X200" s="492"/>
      <c r="Y200" s="492"/>
    </row>
    <row r="201" spans="1:27" ht="17.25" customHeight="1">
      <c r="S201" s="217"/>
      <c r="T201" s="217"/>
      <c r="U201" s="217"/>
      <c r="V201" s="217"/>
      <c r="W201" s="217"/>
      <c r="X201" s="492"/>
      <c r="Y201" s="492"/>
    </row>
    <row r="202" spans="1:27" ht="17.25" customHeight="1">
      <c r="A202" s="216"/>
      <c r="B202" s="278"/>
      <c r="S202" s="217"/>
      <c r="T202" s="217"/>
      <c r="U202" s="217"/>
      <c r="V202" s="217"/>
      <c r="W202" s="217"/>
      <c r="X202" s="492"/>
      <c r="Y202" s="492"/>
    </row>
    <row r="203" spans="1:27" ht="17.25" customHeight="1">
      <c r="S203" s="217"/>
      <c r="T203" s="217"/>
      <c r="U203" s="217"/>
      <c r="V203" s="217"/>
      <c r="W203" s="217"/>
      <c r="X203" s="492"/>
      <c r="Y203" s="492"/>
    </row>
    <row r="204" spans="1:27" ht="17.25" customHeight="1">
      <c r="A204" s="216"/>
      <c r="B204" s="278"/>
      <c r="S204" s="217"/>
      <c r="T204" s="217"/>
      <c r="U204" s="217"/>
      <c r="V204" s="217"/>
      <c r="W204" s="217"/>
      <c r="X204" s="492"/>
      <c r="Y204" s="492"/>
    </row>
    <row r="205" spans="1:27" ht="17.25" customHeight="1">
      <c r="A205" s="336" t="s">
        <v>200</v>
      </c>
      <c r="B205" s="566"/>
      <c r="C205" s="337"/>
      <c r="D205" s="1173" t="s">
        <v>81</v>
      </c>
      <c r="E205" s="1173"/>
      <c r="F205" s="1173"/>
      <c r="G205" s="1173"/>
      <c r="H205" s="337"/>
      <c r="I205" s="337"/>
      <c r="J205" s="1173" t="s">
        <v>82</v>
      </c>
      <c r="K205" s="1173"/>
      <c r="L205" s="1173"/>
      <c r="M205" s="1173"/>
      <c r="N205" s="1173"/>
      <c r="O205" s="1173"/>
      <c r="P205" s="1173"/>
      <c r="Q205" s="1173"/>
      <c r="R205" s="1173"/>
      <c r="S205" s="217"/>
      <c r="T205" s="217"/>
      <c r="U205" s="217"/>
      <c r="V205" s="217"/>
      <c r="W205" s="217"/>
      <c r="X205" s="492"/>
      <c r="Y205" s="492"/>
    </row>
    <row r="206" spans="1:27" ht="17.25" customHeight="1">
      <c r="A206" s="336"/>
      <c r="B206" s="566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217"/>
      <c r="T206" s="217"/>
      <c r="U206" s="217"/>
      <c r="V206" s="217"/>
      <c r="W206" s="217"/>
      <c r="X206" s="492"/>
      <c r="Y206" s="492"/>
    </row>
    <row r="207" spans="1:27" ht="17.25" customHeight="1">
      <c r="A207" s="336"/>
      <c r="B207" s="566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217"/>
      <c r="T207" s="217"/>
      <c r="U207" s="217"/>
      <c r="V207" s="217"/>
      <c r="W207" s="217"/>
      <c r="X207" s="492"/>
      <c r="Y207" s="492"/>
    </row>
    <row r="208" spans="1:27" ht="17.25" customHeight="1">
      <c r="A208" s="336"/>
      <c r="B208" s="566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217"/>
      <c r="T208" s="217"/>
      <c r="U208" s="217"/>
      <c r="V208" s="217"/>
      <c r="W208" s="217"/>
      <c r="X208" s="492"/>
      <c r="Y208" s="492"/>
    </row>
    <row r="209" spans="1:27" ht="17.25" customHeight="1">
      <c r="A209" s="336"/>
      <c r="B209" s="566"/>
      <c r="C209" s="337"/>
      <c r="D209" s="1173"/>
      <c r="E209" s="1173"/>
      <c r="F209" s="1173"/>
      <c r="G209" s="1173"/>
      <c r="H209" s="337"/>
      <c r="I209" s="337"/>
      <c r="J209" s="1173"/>
      <c r="K209" s="1173"/>
      <c r="L209" s="1173"/>
      <c r="M209" s="1173"/>
      <c r="N209" s="1173"/>
      <c r="O209" s="1173"/>
      <c r="P209" s="1173"/>
      <c r="Q209" s="1173"/>
      <c r="R209" s="1173"/>
      <c r="S209" s="217"/>
      <c r="T209" s="217"/>
      <c r="U209" s="217"/>
      <c r="V209" s="217"/>
      <c r="W209" s="217"/>
      <c r="X209" s="492"/>
      <c r="Y209" s="492"/>
    </row>
    <row r="210" spans="1:27" ht="17.25" customHeight="1">
      <c r="A210" s="216"/>
      <c r="B210" s="278"/>
    </row>
    <row r="211" spans="1:27" ht="23.25" customHeight="1"/>
    <row r="212" spans="1:27" ht="23.25" customHeight="1"/>
    <row r="213" spans="1:27" ht="23.25" customHeight="1">
      <c r="A213" s="559" t="s">
        <v>0</v>
      </c>
    </row>
    <row r="214" spans="1:27" ht="23.25" customHeight="1">
      <c r="A214" s="559" t="str">
        <f>A187</f>
        <v>DENOMINATION FOR NOVEMBER 2017</v>
      </c>
    </row>
    <row r="215" spans="1:27" ht="63.75" customHeight="1" thickBot="1">
      <c r="A215" s="297"/>
    </row>
    <row r="216" spans="1:27" ht="28.5" customHeight="1" thickTop="1">
      <c r="A216" s="1176" t="s">
        <v>1</v>
      </c>
      <c r="B216" s="1183" t="s">
        <v>15</v>
      </c>
      <c r="C216" s="219"/>
      <c r="D216" s="219"/>
      <c r="E216" s="220"/>
      <c r="F216" s="220"/>
      <c r="G216" s="220"/>
      <c r="H216" s="220"/>
      <c r="I216" s="220"/>
      <c r="J216" s="220"/>
      <c r="K216" s="220"/>
      <c r="L216" s="220"/>
      <c r="M216" s="574" t="str">
        <f>M6</f>
        <v>Pot.</v>
      </c>
      <c r="N216" s="568" t="s">
        <v>145</v>
      </c>
      <c r="O216" s="568" t="s">
        <v>253</v>
      </c>
      <c r="P216" s="1174" t="str">
        <f>P189</f>
        <v>TOTAL PREMI</v>
      </c>
      <c r="Q216" s="1174" t="str">
        <f>Q189</f>
        <v>TOTAL LEMBUR</v>
      </c>
      <c r="R216" s="1171" t="s">
        <v>3</v>
      </c>
      <c r="S216" s="304" t="s">
        <v>16</v>
      </c>
      <c r="T216" s="222" t="s">
        <v>18</v>
      </c>
      <c r="X216" s="1171" t="s">
        <v>259</v>
      </c>
    </row>
    <row r="217" spans="1:27" ht="28.5" customHeight="1" thickBot="1">
      <c r="A217" s="1177"/>
      <c r="B217" s="1184"/>
      <c r="C217" s="223">
        <v>100000</v>
      </c>
      <c r="D217" s="223">
        <v>50000</v>
      </c>
      <c r="E217" s="223">
        <v>20000</v>
      </c>
      <c r="F217" s="223">
        <v>10000</v>
      </c>
      <c r="G217" s="223">
        <v>5000</v>
      </c>
      <c r="H217" s="223">
        <v>1000</v>
      </c>
      <c r="I217" s="223">
        <v>500</v>
      </c>
      <c r="J217" s="223">
        <v>100</v>
      </c>
      <c r="K217" s="223">
        <v>50</v>
      </c>
      <c r="L217" s="223" t="s">
        <v>2</v>
      </c>
      <c r="M217" s="575" t="str">
        <f>M7</f>
        <v>Pinjaman</v>
      </c>
      <c r="N217" s="569" t="str">
        <f>N161</f>
        <v>(MASA NOV - 2017)</v>
      </c>
      <c r="O217" s="569" t="s">
        <v>254</v>
      </c>
      <c r="P217" s="1175"/>
      <c r="Q217" s="1175"/>
      <c r="R217" s="1172"/>
      <c r="S217" s="305"/>
      <c r="T217" s="225" t="s">
        <v>19</v>
      </c>
      <c r="X217" s="1172"/>
    </row>
    <row r="218" spans="1:27" ht="28.5" customHeight="1" thickTop="1">
      <c r="A218" s="268"/>
      <c r="B218" s="269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7"/>
      <c r="N218" s="307"/>
      <c r="O218" s="307"/>
      <c r="P218" s="307"/>
      <c r="Q218" s="307"/>
      <c r="R218" s="308"/>
      <c r="S218" s="218"/>
      <c r="T218" s="301"/>
      <c r="X218" s="308"/>
    </row>
    <row r="219" spans="1:27" s="242" customFormat="1" ht="28.5" customHeight="1">
      <c r="A219" s="309" t="s">
        <v>130</v>
      </c>
      <c r="B219" s="292">
        <v>43</v>
      </c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310">
        <v>0</v>
      </c>
      <c r="O219" s="521"/>
      <c r="P219" s="289">
        <v>32535</v>
      </c>
      <c r="Q219" s="289">
        <v>2494383</v>
      </c>
      <c r="R219" s="295">
        <v>109049394</v>
      </c>
      <c r="S219" s="245"/>
      <c r="T219" s="241"/>
      <c r="X219" s="295"/>
      <c r="Y219" s="353"/>
      <c r="AA219" s="239">
        <f t="shared" ref="AA219:AA228" si="14">P219+X219</f>
        <v>32535</v>
      </c>
    </row>
    <row r="220" spans="1:27" s="242" customFormat="1" ht="28.5" customHeight="1">
      <c r="A220" s="291" t="s">
        <v>129</v>
      </c>
      <c r="B220" s="292">
        <v>29</v>
      </c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4"/>
      <c r="N220" s="329">
        <v>90005</v>
      </c>
      <c r="O220" s="521"/>
      <c r="P220" s="289">
        <f>2077940+2109100</f>
        <v>4187040</v>
      </c>
      <c r="Q220" s="289">
        <v>1699550</v>
      </c>
      <c r="R220" s="295">
        <v>98478059</v>
      </c>
      <c r="S220" s="239"/>
      <c r="X220" s="295">
        <v>20030500</v>
      </c>
      <c r="Y220" s="353"/>
      <c r="AA220" s="239">
        <f t="shared" si="14"/>
        <v>24217540</v>
      </c>
    </row>
    <row r="221" spans="1:27" ht="28.5" customHeight="1">
      <c r="A221" s="291" t="s">
        <v>129</v>
      </c>
      <c r="B221" s="292">
        <v>4</v>
      </c>
      <c r="C221" s="313"/>
      <c r="D221" s="270"/>
      <c r="E221" s="270"/>
      <c r="F221" s="270"/>
      <c r="G221" s="270"/>
      <c r="H221" s="270"/>
      <c r="I221" s="270"/>
      <c r="J221" s="270"/>
      <c r="K221" s="270"/>
      <c r="L221" s="270"/>
      <c r="M221" s="293"/>
      <c r="N221" s="329">
        <v>0</v>
      </c>
      <c r="O221" s="329"/>
      <c r="P221" s="294">
        <v>48300</v>
      </c>
      <c r="Q221" s="294">
        <v>205118</v>
      </c>
      <c r="R221" s="295">
        <v>10105759</v>
      </c>
      <c r="S221" s="258"/>
      <c r="T221" s="311"/>
      <c r="X221" s="295"/>
      <c r="AA221" s="239">
        <f t="shared" si="14"/>
        <v>48300</v>
      </c>
    </row>
    <row r="222" spans="1:27" s="242" customFormat="1" ht="28.5" customHeight="1">
      <c r="A222" s="291" t="s">
        <v>131</v>
      </c>
      <c r="B222" s="312">
        <v>4</v>
      </c>
      <c r="C222" s="313"/>
      <c r="D222" s="270"/>
      <c r="E222" s="270"/>
      <c r="F222" s="270"/>
      <c r="G222" s="270"/>
      <c r="H222" s="270"/>
      <c r="I222" s="270"/>
      <c r="J222" s="270"/>
      <c r="K222" s="270"/>
      <c r="L222" s="270"/>
      <c r="M222" s="293"/>
      <c r="N222" s="310">
        <v>14136</v>
      </c>
      <c r="O222" s="329"/>
      <c r="P222" s="294">
        <v>5834965</v>
      </c>
      <c r="Q222" s="294">
        <v>5952236</v>
      </c>
      <c r="R222" s="295">
        <v>18816878</v>
      </c>
      <c r="S222" s="240"/>
      <c r="T222" s="314"/>
      <c r="X222" s="295"/>
      <c r="Y222" s="353"/>
      <c r="AA222" s="239">
        <f t="shared" si="14"/>
        <v>5834965</v>
      </c>
    </row>
    <row r="223" spans="1:27" s="242" customFormat="1" ht="28.5" customHeight="1">
      <c r="A223" s="309" t="s">
        <v>132</v>
      </c>
      <c r="B223" s="312">
        <v>6</v>
      </c>
      <c r="C223" s="313"/>
      <c r="D223" s="270"/>
      <c r="E223" s="270"/>
      <c r="F223" s="270"/>
      <c r="G223" s="270"/>
      <c r="H223" s="270"/>
      <c r="I223" s="270"/>
      <c r="J223" s="270"/>
      <c r="K223" s="270"/>
      <c r="L223" s="270"/>
      <c r="M223" s="293"/>
      <c r="N223" s="310">
        <v>22942</v>
      </c>
      <c r="O223" s="329"/>
      <c r="P223" s="294">
        <v>6728399</v>
      </c>
      <c r="Q223" s="294">
        <v>4937486</v>
      </c>
      <c r="R223" s="295">
        <v>26934130</v>
      </c>
      <c r="S223" s="240"/>
      <c r="T223" s="314"/>
      <c r="X223" s="295"/>
      <c r="Y223" s="353"/>
      <c r="AA223" s="239">
        <f t="shared" si="14"/>
        <v>6728399</v>
      </c>
    </row>
    <row r="224" spans="1:27" ht="28.5" customHeight="1">
      <c r="A224" s="309" t="s">
        <v>133</v>
      </c>
      <c r="B224" s="310">
        <v>36</v>
      </c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310">
        <v>0</v>
      </c>
      <c r="O224" s="329"/>
      <c r="P224" s="294">
        <f>286640+50693</f>
        <v>337333</v>
      </c>
      <c r="Q224" s="294">
        <v>1186755</v>
      </c>
      <c r="R224" s="295">
        <v>90125605</v>
      </c>
      <c r="S224" s="258"/>
      <c r="T224" s="311"/>
      <c r="X224" s="295">
        <v>0</v>
      </c>
      <c r="AA224" s="239">
        <f t="shared" si="14"/>
        <v>337333</v>
      </c>
    </row>
    <row r="225" spans="1:27" ht="28.5" customHeight="1">
      <c r="A225" s="291" t="s">
        <v>134</v>
      </c>
      <c r="B225" s="316">
        <v>29</v>
      </c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293"/>
      <c r="N225" s="310">
        <v>34686</v>
      </c>
      <c r="O225" s="329"/>
      <c r="P225" s="294">
        <f>5307825+6259400</f>
        <v>11567225</v>
      </c>
      <c r="Q225" s="294">
        <v>1523735</v>
      </c>
      <c r="R225" s="295">
        <v>89998651</v>
      </c>
      <c r="S225" s="258"/>
      <c r="T225" s="311"/>
      <c r="X225" s="295">
        <v>4770000</v>
      </c>
      <c r="AA225" s="239">
        <f t="shared" si="14"/>
        <v>16337225</v>
      </c>
    </row>
    <row r="226" spans="1:27" ht="28.5" customHeight="1">
      <c r="A226" s="291" t="s">
        <v>252</v>
      </c>
      <c r="B226" s="316">
        <v>8</v>
      </c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6">
        <v>0</v>
      </c>
      <c r="O226" s="530"/>
      <c r="P226" s="342">
        <v>0</v>
      </c>
      <c r="Q226" s="342">
        <v>0</v>
      </c>
      <c r="R226" s="318">
        <v>21874028</v>
      </c>
      <c r="S226" s="258"/>
      <c r="T226" s="311"/>
      <c r="X226" s="318">
        <v>1628500</v>
      </c>
      <c r="AA226" s="239">
        <f t="shared" si="14"/>
        <v>1628500</v>
      </c>
    </row>
    <row r="227" spans="1:27" ht="28.5" customHeight="1" thickBot="1">
      <c r="A227" s="309"/>
      <c r="B227" s="316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6"/>
      <c r="O227" s="530"/>
      <c r="P227" s="342"/>
      <c r="Q227" s="342"/>
      <c r="R227" s="318"/>
      <c r="S227" s="258"/>
      <c r="T227" s="311"/>
      <c r="X227" s="318"/>
      <c r="AA227" s="239">
        <f t="shared" si="14"/>
        <v>0</v>
      </c>
    </row>
    <row r="228" spans="1:27" ht="28.5" customHeight="1" thickTop="1" thickBot="1">
      <c r="A228" s="319" t="s">
        <v>3</v>
      </c>
      <c r="B228" s="410">
        <f>SUM(B218:B227)</f>
        <v>159</v>
      </c>
      <c r="C228" s="411">
        <f t="shared" ref="C228:L228" si="15">SUM(C218:C225)</f>
        <v>0</v>
      </c>
      <c r="D228" s="411">
        <f t="shared" si="15"/>
        <v>0</v>
      </c>
      <c r="E228" s="411">
        <f t="shared" si="15"/>
        <v>0</v>
      </c>
      <c r="F228" s="411">
        <f t="shared" si="15"/>
        <v>0</v>
      </c>
      <c r="G228" s="411">
        <f t="shared" si="15"/>
        <v>0</v>
      </c>
      <c r="H228" s="411">
        <f t="shared" si="15"/>
        <v>0</v>
      </c>
      <c r="I228" s="411">
        <f t="shared" si="15"/>
        <v>0</v>
      </c>
      <c r="J228" s="411">
        <f t="shared" si="15"/>
        <v>0</v>
      </c>
      <c r="K228" s="411">
        <f t="shared" si="15"/>
        <v>0</v>
      </c>
      <c r="L228" s="411">
        <f t="shared" si="15"/>
        <v>0</v>
      </c>
      <c r="M228" s="412">
        <f>SUM(M219:M225)</f>
        <v>0</v>
      </c>
      <c r="N228" s="414">
        <f>SUM(N219:N227)</f>
        <v>161769</v>
      </c>
      <c r="O228" s="414">
        <f>SUM(O219:O227)</f>
        <v>0</v>
      </c>
      <c r="P228" s="413">
        <f>SUM(P219:P227)</f>
        <v>28735797</v>
      </c>
      <c r="Q228" s="413">
        <f>SUM(Q219:Q227)</f>
        <v>17999263</v>
      </c>
      <c r="R228" s="561">
        <f>SUM(R218:V227)</f>
        <v>465382504</v>
      </c>
      <c r="S228" s="258"/>
      <c r="T228" s="311"/>
      <c r="X228" s="413">
        <f>SUM(X219:X227)</f>
        <v>26429000</v>
      </c>
      <c r="AA228" s="239">
        <f t="shared" si="14"/>
        <v>55164797</v>
      </c>
    </row>
    <row r="229" spans="1:27" ht="28.5" customHeight="1" thickTop="1">
      <c r="A229" s="216"/>
      <c r="T229" s="443"/>
    </row>
    <row r="230" spans="1:27" ht="17.25" customHeight="1">
      <c r="A230" s="216"/>
      <c r="T230" s="443"/>
    </row>
    <row r="231" spans="1:27" ht="17.25" customHeight="1">
      <c r="A231" s="216"/>
      <c r="T231" s="443"/>
    </row>
    <row r="232" spans="1:27" ht="17.25" customHeight="1">
      <c r="A232" s="216"/>
      <c r="T232" s="443"/>
    </row>
    <row r="233" spans="1:27" ht="17.25" customHeight="1">
      <c r="A233" s="216"/>
      <c r="T233" s="443"/>
    </row>
    <row r="234" spans="1:27" ht="17.25" customHeight="1">
      <c r="A234" s="336" t="s">
        <v>199</v>
      </c>
      <c r="B234" s="566"/>
      <c r="C234" s="337"/>
      <c r="D234" s="1173" t="s">
        <v>81</v>
      </c>
      <c r="E234" s="1173"/>
      <c r="F234" s="1173"/>
      <c r="G234" s="1173"/>
      <c r="H234" s="337"/>
      <c r="I234" s="337"/>
      <c r="J234" s="1173" t="s">
        <v>82</v>
      </c>
      <c r="K234" s="1173"/>
      <c r="L234" s="1173"/>
      <c r="M234" s="1173"/>
      <c r="N234" s="1173"/>
      <c r="O234" s="1173"/>
      <c r="P234" s="1173"/>
      <c r="Q234" s="1173"/>
      <c r="R234" s="1173"/>
      <c r="T234" s="443"/>
    </row>
    <row r="235" spans="1:27" ht="17.25" customHeight="1">
      <c r="A235" s="336"/>
      <c r="B235" s="566"/>
      <c r="C235" s="337"/>
      <c r="D235" s="337"/>
      <c r="E235" s="337"/>
      <c r="F235" s="337"/>
      <c r="G235" s="337"/>
      <c r="H235" s="337"/>
      <c r="I235" s="337"/>
      <c r="J235" s="337"/>
      <c r="K235" s="337"/>
      <c r="L235" s="337"/>
      <c r="M235" s="337"/>
      <c r="N235" s="337"/>
      <c r="O235" s="337"/>
      <c r="P235" s="337"/>
      <c r="Q235" s="337"/>
      <c r="R235" s="337"/>
      <c r="T235" s="443"/>
    </row>
    <row r="236" spans="1:27" ht="17.25" customHeight="1">
      <c r="A236" s="336"/>
      <c r="B236" s="566"/>
      <c r="C236" s="337"/>
      <c r="D236" s="337"/>
      <c r="E236" s="337"/>
      <c r="F236" s="337"/>
      <c r="G236" s="337"/>
      <c r="H236" s="337"/>
      <c r="I236" s="337"/>
      <c r="J236" s="337"/>
      <c r="K236" s="337"/>
      <c r="L236" s="337"/>
      <c r="M236" s="337"/>
      <c r="N236" s="337"/>
      <c r="O236" s="337"/>
      <c r="P236" s="337"/>
      <c r="Q236" s="337"/>
      <c r="R236" s="337"/>
      <c r="T236" s="443"/>
    </row>
    <row r="237" spans="1:27" ht="17.25" customHeight="1">
      <c r="A237" s="336"/>
      <c r="B237" s="566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7"/>
      <c r="Q237" s="337"/>
      <c r="R237" s="337"/>
      <c r="T237" s="443"/>
    </row>
    <row r="238" spans="1:27" ht="17.25" customHeight="1">
      <c r="A238" s="336"/>
      <c r="B238" s="566"/>
      <c r="C238" s="337"/>
      <c r="D238" s="1173"/>
      <c r="E238" s="1173"/>
      <c r="F238" s="1173"/>
      <c r="G238" s="1173"/>
      <c r="H238" s="337"/>
      <c r="I238" s="337"/>
      <c r="J238" s="1173"/>
      <c r="K238" s="1173"/>
      <c r="L238" s="1173"/>
      <c r="M238" s="1173"/>
      <c r="N238" s="1173"/>
      <c r="O238" s="1173"/>
      <c r="P238" s="1173"/>
      <c r="Q238" s="1173"/>
      <c r="R238" s="1173"/>
      <c r="T238" s="443"/>
    </row>
    <row r="239" spans="1:27" ht="17.25" customHeight="1">
      <c r="A239" s="216"/>
      <c r="B239" s="278"/>
    </row>
    <row r="240" spans="1:27" ht="26.25" customHeight="1"/>
    <row r="241" spans="1:27" ht="26.25" customHeight="1"/>
    <row r="242" spans="1:27" ht="26.25" customHeight="1">
      <c r="A242" s="559" t="s">
        <v>0</v>
      </c>
      <c r="B242" s="216" t="s">
        <v>265</v>
      </c>
    </row>
    <row r="243" spans="1:27" ht="26.25" customHeight="1">
      <c r="A243" s="559" t="str">
        <f>A4</f>
        <v>DENOMINATION FOR NOVEMBER 2017</v>
      </c>
    </row>
    <row r="244" spans="1:27" ht="63.75" customHeight="1" thickBot="1">
      <c r="A244" s="297"/>
    </row>
    <row r="245" spans="1:27" ht="26.25" customHeight="1" thickTop="1">
      <c r="A245" s="1176" t="s">
        <v>1</v>
      </c>
      <c r="B245" s="1183" t="s">
        <v>15</v>
      </c>
      <c r="C245" s="219"/>
      <c r="D245" s="219"/>
      <c r="E245" s="220"/>
      <c r="F245" s="220"/>
      <c r="G245" s="220"/>
      <c r="H245" s="220"/>
      <c r="I245" s="220"/>
      <c r="J245" s="220"/>
      <c r="K245" s="220"/>
      <c r="L245" s="220"/>
      <c r="M245" s="574" t="str">
        <f>M6</f>
        <v>Pot.</v>
      </c>
      <c r="N245" s="568" t="s">
        <v>145</v>
      </c>
      <c r="O245" s="568" t="s">
        <v>253</v>
      </c>
      <c r="P245" s="1174" t="str">
        <f>P216</f>
        <v>TOTAL PREMI</v>
      </c>
      <c r="Q245" s="1174" t="str">
        <f>Q216</f>
        <v>TOTAL LEMBUR</v>
      </c>
      <c r="R245" s="1171" t="s">
        <v>3</v>
      </c>
      <c r="S245" s="304" t="s">
        <v>16</v>
      </c>
      <c r="T245" s="222" t="s">
        <v>18</v>
      </c>
      <c r="X245" s="1171" t="s">
        <v>259</v>
      </c>
    </row>
    <row r="246" spans="1:27" ht="26.25" customHeight="1" thickBot="1">
      <c r="A246" s="1177"/>
      <c r="B246" s="1184"/>
      <c r="C246" s="223">
        <v>100000</v>
      </c>
      <c r="D246" s="223">
        <v>50000</v>
      </c>
      <c r="E246" s="223">
        <v>20000</v>
      </c>
      <c r="F246" s="223">
        <v>10000</v>
      </c>
      <c r="G246" s="223">
        <v>5000</v>
      </c>
      <c r="H246" s="223">
        <v>1000</v>
      </c>
      <c r="I246" s="223">
        <v>500</v>
      </c>
      <c r="J246" s="223">
        <v>100</v>
      </c>
      <c r="K246" s="223">
        <v>50</v>
      </c>
      <c r="L246" s="223" t="s">
        <v>2</v>
      </c>
      <c r="M246" s="575" t="str">
        <f>M7</f>
        <v>Pinjaman</v>
      </c>
      <c r="N246" s="569" t="str">
        <f>N217</f>
        <v>(MASA NOV - 2017)</v>
      </c>
      <c r="O246" s="569" t="s">
        <v>254</v>
      </c>
      <c r="P246" s="1175"/>
      <c r="Q246" s="1175"/>
      <c r="R246" s="1172"/>
      <c r="S246" s="305"/>
      <c r="T246" s="225" t="s">
        <v>19</v>
      </c>
      <c r="X246" s="1172"/>
    </row>
    <row r="247" spans="1:27" ht="26.25" customHeight="1" thickTop="1">
      <c r="A247" s="291"/>
      <c r="B247" s="33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9"/>
      <c r="N247" s="289"/>
      <c r="O247" s="289"/>
      <c r="P247" s="289"/>
      <c r="Q247" s="289"/>
      <c r="R247" s="295"/>
      <c r="S247" s="218"/>
      <c r="T247" s="301"/>
      <c r="X247" s="295"/>
    </row>
    <row r="248" spans="1:27" ht="26.25" customHeight="1">
      <c r="A248" s="291" t="s">
        <v>122</v>
      </c>
      <c r="B248" s="338">
        <v>25</v>
      </c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9"/>
      <c r="N248" s="521">
        <v>0</v>
      </c>
      <c r="O248" s="521"/>
      <c r="P248" s="289">
        <v>0</v>
      </c>
      <c r="Q248" s="289">
        <v>1018265</v>
      </c>
      <c r="R248" s="295">
        <v>62380278</v>
      </c>
      <c r="S248" s="218"/>
      <c r="T248" s="301"/>
      <c r="X248" s="295"/>
      <c r="AA248" s="239">
        <f t="shared" ref="AA248:AA268" si="16">P248+X248</f>
        <v>0</v>
      </c>
    </row>
    <row r="249" spans="1:27" s="242" customFormat="1" ht="26.25" customHeight="1">
      <c r="A249" s="291" t="s">
        <v>120</v>
      </c>
      <c r="B249" s="292">
        <v>29</v>
      </c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4"/>
      <c r="N249" s="329">
        <v>0</v>
      </c>
      <c r="O249" s="329"/>
      <c r="P249" s="294">
        <f>1551820+4435200+250000+658800+181040</f>
        <v>7076860</v>
      </c>
      <c r="Q249" s="294">
        <v>1677573</v>
      </c>
      <c r="R249" s="295">
        <v>85339213</v>
      </c>
      <c r="S249" s="245"/>
      <c r="T249" s="241"/>
      <c r="X249" s="295">
        <v>8063500</v>
      </c>
      <c r="Y249" s="353"/>
      <c r="AA249" s="239">
        <f t="shared" si="16"/>
        <v>15140360</v>
      </c>
    </row>
    <row r="250" spans="1:27" s="242" customFormat="1" ht="26.25" customHeight="1">
      <c r="A250" s="291" t="s">
        <v>121</v>
      </c>
      <c r="B250" s="292">
        <v>5</v>
      </c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4"/>
      <c r="N250" s="329">
        <v>6108</v>
      </c>
      <c r="O250" s="329"/>
      <c r="P250" s="294">
        <f>6477600+1196600+223725+41060+41300</f>
        <v>7980285</v>
      </c>
      <c r="Q250" s="294">
        <v>2043855</v>
      </c>
      <c r="R250" s="295">
        <v>22590183</v>
      </c>
      <c r="S250" s="245"/>
      <c r="T250" s="241"/>
      <c r="X250" s="295"/>
      <c r="Y250" s="353"/>
      <c r="AA250" s="239">
        <f t="shared" si="16"/>
        <v>7980285</v>
      </c>
    </row>
    <row r="251" spans="1:27" s="242" customFormat="1" ht="26.25" customHeight="1">
      <c r="A251" s="291" t="s">
        <v>305</v>
      </c>
      <c r="B251" s="292">
        <v>5</v>
      </c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4"/>
      <c r="N251" s="329">
        <v>0</v>
      </c>
      <c r="O251" s="329"/>
      <c r="P251" s="294">
        <v>0</v>
      </c>
      <c r="Q251" s="294">
        <v>0</v>
      </c>
      <c r="R251" s="295">
        <v>12180106</v>
      </c>
      <c r="X251" s="295">
        <v>266500</v>
      </c>
      <c r="Y251" s="353"/>
      <c r="AA251" s="239">
        <f t="shared" si="16"/>
        <v>266500</v>
      </c>
    </row>
    <row r="252" spans="1:27" s="242" customFormat="1" ht="26.25" customHeight="1">
      <c r="A252" s="291" t="s">
        <v>268</v>
      </c>
      <c r="B252" s="292">
        <v>9</v>
      </c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4"/>
      <c r="N252" s="329">
        <v>0</v>
      </c>
      <c r="O252" s="329"/>
      <c r="P252" s="294">
        <v>0</v>
      </c>
      <c r="Q252" s="294">
        <v>468841</v>
      </c>
      <c r="R252" s="295">
        <v>23280905</v>
      </c>
      <c r="X252" s="295"/>
      <c r="Y252" s="353"/>
      <c r="AA252" s="239">
        <f t="shared" si="16"/>
        <v>0</v>
      </c>
    </row>
    <row r="253" spans="1:27" s="242" customFormat="1" ht="26.25" customHeight="1">
      <c r="A253" s="291" t="s">
        <v>306</v>
      </c>
      <c r="B253" s="292">
        <v>1</v>
      </c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4"/>
      <c r="N253" s="329">
        <v>0</v>
      </c>
      <c r="O253" s="329"/>
      <c r="P253" s="294">
        <v>0</v>
      </c>
      <c r="Q253" s="294">
        <v>0</v>
      </c>
      <c r="R253" s="295">
        <v>2560020</v>
      </c>
      <c r="X253" s="295"/>
      <c r="Y253" s="353"/>
      <c r="AA253" s="239"/>
    </row>
    <row r="254" spans="1:27" s="242" customFormat="1" ht="26.25" customHeight="1">
      <c r="A254" s="291" t="s">
        <v>123</v>
      </c>
      <c r="B254" s="292">
        <v>46</v>
      </c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4"/>
      <c r="N254" s="329">
        <v>0</v>
      </c>
      <c r="O254" s="329"/>
      <c r="P254" s="294">
        <v>160000</v>
      </c>
      <c r="Q254" s="294">
        <v>1421176</v>
      </c>
      <c r="R254" s="295">
        <v>113328720</v>
      </c>
      <c r="X254" s="295"/>
      <c r="Y254" s="353"/>
      <c r="AA254" s="239">
        <f t="shared" si="16"/>
        <v>160000</v>
      </c>
    </row>
    <row r="255" spans="1:27" s="242" customFormat="1" ht="26.25" customHeight="1">
      <c r="A255" s="309" t="s">
        <v>124</v>
      </c>
      <c r="B255" s="292">
        <v>6</v>
      </c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4"/>
      <c r="N255" s="329">
        <v>23684</v>
      </c>
      <c r="O255" s="329"/>
      <c r="P255" s="294">
        <f>150234+6822170+252810+458000</f>
        <v>7683214</v>
      </c>
      <c r="Q255" s="294">
        <v>2673861</v>
      </c>
      <c r="R255" s="295">
        <v>25296950</v>
      </c>
      <c r="S255" s="239"/>
      <c r="X255" s="295"/>
      <c r="Y255" s="353"/>
      <c r="AA255" s="239">
        <f t="shared" si="16"/>
        <v>7683214</v>
      </c>
    </row>
    <row r="256" spans="1:27" s="242" customFormat="1" ht="26.25" customHeight="1">
      <c r="A256" s="309" t="s">
        <v>125</v>
      </c>
      <c r="B256" s="292">
        <v>24</v>
      </c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4"/>
      <c r="N256" s="329">
        <v>0</v>
      </c>
      <c r="O256" s="329"/>
      <c r="P256" s="294">
        <f>1660920+4068400+5323500</f>
        <v>11052820</v>
      </c>
      <c r="Q256" s="294">
        <v>1714201</v>
      </c>
      <c r="R256" s="295">
        <v>84056763</v>
      </c>
      <c r="S256" s="239"/>
      <c r="X256" s="295">
        <v>13763500</v>
      </c>
      <c r="Y256" s="353"/>
      <c r="AA256" s="239">
        <f t="shared" si="16"/>
        <v>24816320</v>
      </c>
    </row>
    <row r="257" spans="1:27" ht="26.25" customHeight="1">
      <c r="A257" s="309" t="s">
        <v>307</v>
      </c>
      <c r="B257" s="292">
        <v>11</v>
      </c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4"/>
      <c r="N257" s="329">
        <v>0</v>
      </c>
      <c r="O257" s="329"/>
      <c r="P257" s="294">
        <v>0</v>
      </c>
      <c r="Q257" s="294">
        <v>0</v>
      </c>
      <c r="R257" s="295">
        <v>18984706</v>
      </c>
      <c r="S257" s="248"/>
      <c r="T257" s="311"/>
      <c r="X257" s="295"/>
      <c r="AA257" s="239">
        <f t="shared" si="16"/>
        <v>0</v>
      </c>
    </row>
    <row r="258" spans="1:27" ht="26.25" customHeight="1">
      <c r="A258" s="309" t="s">
        <v>125</v>
      </c>
      <c r="B258" s="340">
        <v>6</v>
      </c>
      <c r="C258" s="341"/>
      <c r="D258" s="315"/>
      <c r="E258" s="315"/>
      <c r="F258" s="315"/>
      <c r="G258" s="315"/>
      <c r="H258" s="315"/>
      <c r="I258" s="315"/>
      <c r="J258" s="315"/>
      <c r="K258" s="315"/>
      <c r="L258" s="315"/>
      <c r="M258" s="342"/>
      <c r="N258" s="530">
        <v>0</v>
      </c>
      <c r="O258" s="530"/>
      <c r="P258" s="342">
        <v>495000</v>
      </c>
      <c r="Q258" s="342">
        <v>0</v>
      </c>
      <c r="R258" s="295">
        <v>17309627</v>
      </c>
      <c r="S258" s="248"/>
      <c r="T258" s="311"/>
      <c r="X258" s="295">
        <v>4150000</v>
      </c>
      <c r="AA258" s="239">
        <f t="shared" si="16"/>
        <v>4645000</v>
      </c>
    </row>
    <row r="259" spans="1:27" ht="26.25" customHeight="1">
      <c r="A259" s="309" t="s">
        <v>247</v>
      </c>
      <c r="B259" s="340">
        <v>3</v>
      </c>
      <c r="C259" s="341"/>
      <c r="D259" s="315"/>
      <c r="E259" s="315"/>
      <c r="F259" s="315"/>
      <c r="G259" s="315"/>
      <c r="H259" s="315"/>
      <c r="I259" s="315"/>
      <c r="J259" s="315"/>
      <c r="K259" s="315"/>
      <c r="L259" s="315"/>
      <c r="M259" s="342"/>
      <c r="N259" s="530">
        <v>0</v>
      </c>
      <c r="O259" s="530"/>
      <c r="P259" s="342">
        <f>106640+493500+231000</f>
        <v>831140</v>
      </c>
      <c r="Q259" s="342">
        <v>0</v>
      </c>
      <c r="R259" s="295">
        <v>7822369</v>
      </c>
      <c r="S259" s="248"/>
      <c r="T259" s="311"/>
      <c r="X259" s="295">
        <v>446500</v>
      </c>
      <c r="AA259" s="239">
        <f t="shared" si="16"/>
        <v>1277640</v>
      </c>
    </row>
    <row r="260" spans="1:27" ht="26.25" customHeight="1">
      <c r="A260" s="309" t="s">
        <v>308</v>
      </c>
      <c r="B260" s="340">
        <v>9</v>
      </c>
      <c r="C260" s="341"/>
      <c r="D260" s="315"/>
      <c r="E260" s="315"/>
      <c r="F260" s="315"/>
      <c r="G260" s="315"/>
      <c r="H260" s="315"/>
      <c r="I260" s="315"/>
      <c r="J260" s="315"/>
      <c r="K260" s="315"/>
      <c r="L260" s="315"/>
      <c r="M260" s="342"/>
      <c r="N260" s="530">
        <v>0</v>
      </c>
      <c r="O260" s="530"/>
      <c r="P260" s="342">
        <v>0</v>
      </c>
      <c r="Q260" s="342">
        <v>0</v>
      </c>
      <c r="R260" s="295">
        <v>21522713</v>
      </c>
      <c r="S260" s="248"/>
      <c r="T260" s="311"/>
      <c r="X260" s="295">
        <v>0</v>
      </c>
      <c r="AA260" s="239">
        <f t="shared" si="16"/>
        <v>0</v>
      </c>
    </row>
    <row r="261" spans="1:27" ht="26.25" customHeight="1">
      <c r="A261" s="309" t="s">
        <v>309</v>
      </c>
      <c r="B261" s="340">
        <v>9</v>
      </c>
      <c r="C261" s="341"/>
      <c r="D261" s="315"/>
      <c r="E261" s="315"/>
      <c r="F261" s="315"/>
      <c r="G261" s="315"/>
      <c r="H261" s="315"/>
      <c r="I261" s="315"/>
      <c r="J261" s="315"/>
      <c r="K261" s="315"/>
      <c r="L261" s="315"/>
      <c r="M261" s="342"/>
      <c r="N261" s="530">
        <v>0</v>
      </c>
      <c r="O261" s="530"/>
      <c r="P261" s="342">
        <v>0</v>
      </c>
      <c r="Q261" s="342">
        <v>0</v>
      </c>
      <c r="R261" s="295">
        <v>21766038</v>
      </c>
      <c r="S261" s="248"/>
      <c r="T261" s="311"/>
      <c r="X261" s="295"/>
      <c r="AA261" s="239">
        <f t="shared" si="16"/>
        <v>0</v>
      </c>
    </row>
    <row r="262" spans="1:27" ht="26.25" customHeight="1">
      <c r="A262" s="309" t="s">
        <v>126</v>
      </c>
      <c r="B262" s="340">
        <v>24</v>
      </c>
      <c r="C262" s="341"/>
      <c r="D262" s="315"/>
      <c r="E262" s="315"/>
      <c r="F262" s="315"/>
      <c r="G262" s="315"/>
      <c r="H262" s="315"/>
      <c r="I262" s="315"/>
      <c r="J262" s="315"/>
      <c r="K262" s="315"/>
      <c r="L262" s="315"/>
      <c r="M262" s="342"/>
      <c r="N262" s="530">
        <v>0</v>
      </c>
      <c r="O262" s="530"/>
      <c r="P262" s="342">
        <f>843660+51750+66130+36116</f>
        <v>997656</v>
      </c>
      <c r="Q262" s="342">
        <v>1102510</v>
      </c>
      <c r="R262" s="295">
        <v>60878131</v>
      </c>
      <c r="S262" s="248"/>
      <c r="T262" s="311"/>
      <c r="X262" s="295"/>
      <c r="AA262" s="239">
        <f t="shared" si="16"/>
        <v>997656</v>
      </c>
    </row>
    <row r="263" spans="1:27" ht="26.25" customHeight="1">
      <c r="A263" s="309" t="s">
        <v>126</v>
      </c>
      <c r="B263" s="340">
        <v>12</v>
      </c>
      <c r="C263" s="341"/>
      <c r="D263" s="315"/>
      <c r="E263" s="315"/>
      <c r="F263" s="315"/>
      <c r="G263" s="315"/>
      <c r="H263" s="315"/>
      <c r="I263" s="315"/>
      <c r="J263" s="315"/>
      <c r="K263" s="315"/>
      <c r="L263" s="315"/>
      <c r="M263" s="342"/>
      <c r="N263" s="530">
        <v>0</v>
      </c>
      <c r="O263" s="530"/>
      <c r="P263" s="342">
        <v>0</v>
      </c>
      <c r="Q263" s="342">
        <v>87908</v>
      </c>
      <c r="R263" s="295">
        <v>29145886</v>
      </c>
      <c r="S263" s="248"/>
      <c r="T263" s="311"/>
      <c r="X263" s="295"/>
      <c r="AA263" s="239">
        <f t="shared" si="16"/>
        <v>0</v>
      </c>
    </row>
    <row r="264" spans="1:27" s="242" customFormat="1" ht="26.25" customHeight="1">
      <c r="A264" s="309" t="s">
        <v>127</v>
      </c>
      <c r="B264" s="343">
        <v>4</v>
      </c>
      <c r="C264" s="341"/>
      <c r="D264" s="315"/>
      <c r="E264" s="315"/>
      <c r="F264" s="315"/>
      <c r="G264" s="315"/>
      <c r="H264" s="315"/>
      <c r="I264" s="315"/>
      <c r="J264" s="315"/>
      <c r="K264" s="315"/>
      <c r="L264" s="315"/>
      <c r="M264" s="342"/>
      <c r="N264" s="530">
        <v>1456</v>
      </c>
      <c r="O264" s="530"/>
      <c r="P264" s="342">
        <f>3926520+51750+301920+118000+668146</f>
        <v>5066336</v>
      </c>
      <c r="Q264" s="342">
        <v>3069446</v>
      </c>
      <c r="R264" s="295">
        <v>18143040</v>
      </c>
      <c r="S264" s="245"/>
      <c r="T264" s="314"/>
      <c r="X264" s="295"/>
      <c r="Y264" s="353"/>
      <c r="AA264" s="239">
        <f t="shared" si="16"/>
        <v>5066336</v>
      </c>
    </row>
    <row r="265" spans="1:27" s="242" customFormat="1" ht="26.25" customHeight="1">
      <c r="A265" s="291" t="s">
        <v>128</v>
      </c>
      <c r="B265" s="544">
        <v>23</v>
      </c>
      <c r="C265" s="545"/>
      <c r="D265" s="293"/>
      <c r="E265" s="293"/>
      <c r="F265" s="293"/>
      <c r="G265" s="293"/>
      <c r="H265" s="293"/>
      <c r="I265" s="293"/>
      <c r="J265" s="293"/>
      <c r="K265" s="293"/>
      <c r="L265" s="293"/>
      <c r="M265" s="294"/>
      <c r="N265" s="329">
        <v>0</v>
      </c>
      <c r="O265" s="329"/>
      <c r="P265" s="294">
        <f>2780230+4455500</f>
        <v>7235730</v>
      </c>
      <c r="Q265" s="293">
        <v>1714201</v>
      </c>
      <c r="R265" s="295">
        <v>69104315</v>
      </c>
      <c r="S265" s="245"/>
      <c r="T265" s="314"/>
      <c r="X265" s="295">
        <v>2737500</v>
      </c>
      <c r="Y265" s="353"/>
      <c r="AA265" s="239">
        <f t="shared" si="16"/>
        <v>9973230</v>
      </c>
    </row>
    <row r="266" spans="1:27" s="242" customFormat="1" ht="26.25" customHeight="1">
      <c r="A266" s="291" t="s">
        <v>269</v>
      </c>
      <c r="B266" s="243">
        <v>1</v>
      </c>
      <c r="C266" s="237"/>
      <c r="D266" s="236"/>
      <c r="E266" s="236"/>
      <c r="F266" s="236"/>
      <c r="G266" s="236"/>
      <c r="H266" s="236"/>
      <c r="I266" s="236"/>
      <c r="J266" s="236"/>
      <c r="K266" s="236"/>
      <c r="L266" s="236"/>
      <c r="M266" s="260"/>
      <c r="N266" s="577">
        <v>0</v>
      </c>
      <c r="O266" s="260"/>
      <c r="P266" s="260">
        <v>349956</v>
      </c>
      <c r="Q266" s="260">
        <v>1662922</v>
      </c>
      <c r="R266" s="247">
        <v>4737165</v>
      </c>
      <c r="S266" s="245"/>
      <c r="T266" s="314"/>
      <c r="X266" s="295"/>
      <c r="Y266" s="353"/>
      <c r="AA266" s="239">
        <f t="shared" si="16"/>
        <v>349956</v>
      </c>
    </row>
    <row r="267" spans="1:27" s="242" customFormat="1" ht="26.25" customHeight="1">
      <c r="A267" s="309" t="s">
        <v>243</v>
      </c>
      <c r="B267" s="343">
        <v>2</v>
      </c>
      <c r="C267" s="341"/>
      <c r="D267" s="315"/>
      <c r="E267" s="315"/>
      <c r="F267" s="315"/>
      <c r="G267" s="315"/>
      <c r="H267" s="315"/>
      <c r="I267" s="315"/>
      <c r="J267" s="315"/>
      <c r="K267" s="315"/>
      <c r="L267" s="315"/>
      <c r="M267" s="342"/>
      <c r="N267" s="530">
        <v>0</v>
      </c>
      <c r="O267" s="530"/>
      <c r="P267" s="342">
        <v>0</v>
      </c>
      <c r="Q267" s="342">
        <v>2021879</v>
      </c>
      <c r="R267" s="318">
        <v>7017624</v>
      </c>
      <c r="S267" s="245"/>
      <c r="T267" s="314"/>
      <c r="X267" s="318"/>
      <c r="Y267" s="353"/>
      <c r="AA267" s="239">
        <f t="shared" si="16"/>
        <v>0</v>
      </c>
    </row>
    <row r="268" spans="1:27" ht="26.25" customHeight="1" thickBot="1">
      <c r="A268" s="309"/>
      <c r="B268" s="343"/>
      <c r="C268" s="341"/>
      <c r="D268" s="315"/>
      <c r="E268" s="315"/>
      <c r="F268" s="315"/>
      <c r="G268" s="315"/>
      <c r="H268" s="315"/>
      <c r="I268" s="315"/>
      <c r="J268" s="315"/>
      <c r="K268" s="315"/>
      <c r="L268" s="315"/>
      <c r="M268" s="342"/>
      <c r="N268" s="342"/>
      <c r="O268" s="342"/>
      <c r="P268" s="342"/>
      <c r="Q268" s="342"/>
      <c r="R268" s="296"/>
      <c r="S268" s="248"/>
      <c r="T268" s="311"/>
      <c r="X268" s="296"/>
      <c r="AA268" s="239">
        <f t="shared" si="16"/>
        <v>0</v>
      </c>
    </row>
    <row r="269" spans="1:27" ht="26.25" customHeight="1" thickTop="1" thickBot="1">
      <c r="A269" s="319" t="s">
        <v>62</v>
      </c>
      <c r="B269" s="414">
        <f>SUM(B248:B268)</f>
        <v>254</v>
      </c>
      <c r="C269" s="414">
        <f t="shared" ref="C269:Q269" si="17">SUM(C248:C268)</f>
        <v>0</v>
      </c>
      <c r="D269" s="414">
        <f t="shared" si="17"/>
        <v>0</v>
      </c>
      <c r="E269" s="414">
        <f t="shared" si="17"/>
        <v>0</v>
      </c>
      <c r="F269" s="414">
        <f t="shared" si="17"/>
        <v>0</v>
      </c>
      <c r="G269" s="414">
        <f t="shared" si="17"/>
        <v>0</v>
      </c>
      <c r="H269" s="414">
        <f t="shared" si="17"/>
        <v>0</v>
      </c>
      <c r="I269" s="414">
        <f t="shared" si="17"/>
        <v>0</v>
      </c>
      <c r="J269" s="414">
        <f t="shared" si="17"/>
        <v>0</v>
      </c>
      <c r="K269" s="414">
        <f t="shared" si="17"/>
        <v>0</v>
      </c>
      <c r="L269" s="414">
        <f t="shared" si="17"/>
        <v>0</v>
      </c>
      <c r="M269" s="414">
        <f t="shared" si="17"/>
        <v>0</v>
      </c>
      <c r="N269" s="414">
        <f t="shared" si="17"/>
        <v>31248</v>
      </c>
      <c r="O269" s="414">
        <f t="shared" si="17"/>
        <v>0</v>
      </c>
      <c r="P269" s="320">
        <f t="shared" si="17"/>
        <v>48928997</v>
      </c>
      <c r="Q269" s="320">
        <f t="shared" si="17"/>
        <v>20676638</v>
      </c>
      <c r="R269" s="562">
        <f>SUM(R248:V268)</f>
        <v>707444752</v>
      </c>
      <c r="X269" s="320">
        <f>SUM(X248:X268)</f>
        <v>29427500</v>
      </c>
      <c r="AA269" s="218">
        <f>SUM(AA248:AA268)</f>
        <v>78356497</v>
      </c>
    </row>
    <row r="270" spans="1:27" ht="17.25" customHeight="1" thickTop="1">
      <c r="A270" s="216"/>
      <c r="B270" s="278"/>
    </row>
    <row r="271" spans="1:27" ht="17.25" customHeight="1">
      <c r="A271" s="216"/>
      <c r="B271" s="278"/>
    </row>
    <row r="272" spans="1:27" ht="17.25" customHeight="1">
      <c r="A272" s="216"/>
      <c r="B272" s="278"/>
    </row>
    <row r="273" spans="1:28" ht="17.25" customHeight="1">
      <c r="A273" s="216"/>
      <c r="B273" s="278"/>
    </row>
    <row r="274" spans="1:28" ht="17.25" customHeight="1">
      <c r="A274" s="216"/>
      <c r="B274" s="278"/>
    </row>
    <row r="275" spans="1:28" ht="17.25" customHeight="1">
      <c r="A275" s="336" t="s">
        <v>198</v>
      </c>
      <c r="B275" s="566"/>
      <c r="C275" s="337"/>
      <c r="D275" s="1173" t="s">
        <v>81</v>
      </c>
      <c r="E275" s="1173"/>
      <c r="F275" s="1173"/>
      <c r="G275" s="1173"/>
      <c r="H275" s="337"/>
      <c r="I275" s="337"/>
      <c r="J275" s="1173" t="s">
        <v>82</v>
      </c>
      <c r="K275" s="1173"/>
      <c r="L275" s="1173"/>
      <c r="M275" s="1173"/>
      <c r="N275" s="1173"/>
      <c r="O275" s="1173"/>
      <c r="P275" s="1173"/>
      <c r="Q275" s="1173"/>
      <c r="R275" s="1173"/>
    </row>
    <row r="276" spans="1:28" ht="17.25" customHeight="1">
      <c r="A276" s="336"/>
      <c r="B276" s="566"/>
      <c r="C276" s="337"/>
      <c r="D276" s="337"/>
      <c r="E276" s="337"/>
      <c r="F276" s="337"/>
      <c r="G276" s="337"/>
      <c r="H276" s="337"/>
      <c r="I276" s="337"/>
      <c r="J276" s="337"/>
      <c r="K276" s="337"/>
      <c r="L276" s="337"/>
      <c r="M276" s="337"/>
      <c r="N276" s="337"/>
      <c r="O276" s="337"/>
      <c r="P276" s="337"/>
      <c r="Q276" s="337"/>
      <c r="R276" s="337"/>
    </row>
    <row r="277" spans="1:28" ht="17.25" customHeight="1">
      <c r="A277" s="336"/>
      <c r="B277" s="566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</row>
    <row r="278" spans="1:28" ht="17.25" customHeight="1">
      <c r="A278" s="336"/>
      <c r="B278" s="566"/>
      <c r="C278" s="337"/>
      <c r="D278" s="337"/>
      <c r="E278" s="337"/>
      <c r="F278" s="337"/>
      <c r="G278" s="337"/>
      <c r="H278" s="337"/>
      <c r="I278" s="337"/>
      <c r="J278" s="337"/>
      <c r="K278" s="337"/>
      <c r="L278" s="337"/>
      <c r="M278" s="337"/>
      <c r="N278" s="337"/>
      <c r="O278" s="337"/>
      <c r="P278" s="337"/>
      <c r="Q278" s="337"/>
      <c r="R278" s="337"/>
    </row>
    <row r="279" spans="1:28" ht="17.25" customHeight="1">
      <c r="B279" s="566"/>
      <c r="C279" s="337"/>
      <c r="D279" s="1173"/>
      <c r="E279" s="1173"/>
      <c r="F279" s="1173"/>
      <c r="G279" s="1173"/>
      <c r="H279" s="337"/>
      <c r="I279" s="337"/>
      <c r="J279" s="1173"/>
      <c r="K279" s="1173"/>
      <c r="L279" s="1173"/>
      <c r="M279" s="1173"/>
      <c r="N279" s="1173"/>
      <c r="O279" s="1173"/>
      <c r="P279" s="1173"/>
      <c r="Q279" s="1173"/>
      <c r="R279" s="1173"/>
    </row>
    <row r="280" spans="1:28" ht="17.25" customHeight="1"/>
    <row r="281" spans="1:28" ht="17.25" customHeight="1">
      <c r="A281" s="336"/>
      <c r="J281" s="1202"/>
      <c r="K281" s="1202"/>
    </row>
    <row r="282" spans="1:28" ht="17.25" customHeight="1">
      <c r="A282" s="559" t="s">
        <v>0</v>
      </c>
      <c r="J282" s="278"/>
      <c r="K282" s="278"/>
    </row>
    <row r="283" spans="1:28" ht="17.25" customHeight="1">
      <c r="A283" s="559" t="str">
        <f>A39</f>
        <v>DENOMINATION FOR NOVEMBER 2017</v>
      </c>
      <c r="J283" s="278"/>
      <c r="K283" s="278"/>
    </row>
    <row r="284" spans="1:28" s="339" customFormat="1" ht="63.75" customHeight="1" thickBot="1">
      <c r="A284" s="215"/>
      <c r="B284" s="216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5"/>
      <c r="T284" s="215"/>
      <c r="U284" s="215"/>
      <c r="V284" s="215"/>
      <c r="W284" s="215"/>
      <c r="Z284" s="215"/>
      <c r="AA284" s="215"/>
      <c r="AB284" s="215"/>
    </row>
    <row r="285" spans="1:28" s="339" customFormat="1" ht="27" customHeight="1" thickTop="1">
      <c r="A285" s="1176" t="s">
        <v>1</v>
      </c>
      <c r="B285" s="1183" t="s">
        <v>15</v>
      </c>
      <c r="C285" s="219"/>
      <c r="D285" s="220"/>
      <c r="E285" s="220"/>
      <c r="F285" s="220"/>
      <c r="G285" s="220"/>
      <c r="H285" s="220"/>
      <c r="I285" s="220"/>
      <c r="J285" s="220"/>
      <c r="K285" s="220"/>
      <c r="L285" s="220"/>
      <c r="M285" s="574" t="str">
        <f>M6</f>
        <v>Pot.</v>
      </c>
      <c r="N285" s="568" t="s">
        <v>145</v>
      </c>
      <c r="O285" s="568" t="s">
        <v>253</v>
      </c>
      <c r="P285" s="1174" t="str">
        <f>P245</f>
        <v>TOTAL PREMI</v>
      </c>
      <c r="Q285" s="1174" t="str">
        <f>Q245</f>
        <v>TOTAL LEMBUR</v>
      </c>
      <c r="R285" s="1171" t="s">
        <v>3</v>
      </c>
      <c r="S285" s="215"/>
      <c r="T285" s="215"/>
      <c r="U285" s="215"/>
      <c r="V285" s="215"/>
      <c r="W285" s="215"/>
      <c r="X285" s="1171" t="s">
        <v>259</v>
      </c>
      <c r="Z285" s="215"/>
      <c r="AA285" s="215"/>
      <c r="AB285" s="215"/>
    </row>
    <row r="286" spans="1:28" s="339" customFormat="1" ht="27" customHeight="1" thickBot="1">
      <c r="A286" s="1177"/>
      <c r="B286" s="1184"/>
      <c r="C286" s="223">
        <v>100000</v>
      </c>
      <c r="D286" s="223">
        <v>50000</v>
      </c>
      <c r="E286" s="223">
        <v>20000</v>
      </c>
      <c r="F286" s="223">
        <v>10000</v>
      </c>
      <c r="G286" s="223">
        <v>5000</v>
      </c>
      <c r="H286" s="223">
        <v>1000</v>
      </c>
      <c r="I286" s="223">
        <v>500</v>
      </c>
      <c r="J286" s="223">
        <v>100</v>
      </c>
      <c r="K286" s="223">
        <v>50</v>
      </c>
      <c r="L286" s="223" t="s">
        <v>2</v>
      </c>
      <c r="M286" s="575" t="str">
        <f>M7</f>
        <v>Pinjaman</v>
      </c>
      <c r="N286" s="569" t="str">
        <f>N246</f>
        <v>(MASA NOV - 2017)</v>
      </c>
      <c r="O286" s="569" t="s">
        <v>254</v>
      </c>
      <c r="P286" s="1175"/>
      <c r="Q286" s="1175"/>
      <c r="R286" s="1172"/>
      <c r="S286" s="215"/>
      <c r="T286" s="215"/>
      <c r="U286" s="215"/>
      <c r="V286" s="215"/>
      <c r="W286" s="215"/>
      <c r="X286" s="1172"/>
      <c r="Z286" s="215"/>
      <c r="AA286" s="215"/>
      <c r="AB286" s="215"/>
    </row>
    <row r="287" spans="1:28" s="339" customFormat="1" ht="27" customHeight="1" thickTop="1">
      <c r="A287" s="387"/>
      <c r="B287" s="388"/>
      <c r="C287" s="389"/>
      <c r="D287" s="306"/>
      <c r="E287" s="306"/>
      <c r="F287" s="306"/>
      <c r="G287" s="306"/>
      <c r="H287" s="306"/>
      <c r="I287" s="306"/>
      <c r="J287" s="306"/>
      <c r="K287" s="306"/>
      <c r="L287" s="306"/>
      <c r="M287" s="307"/>
      <c r="N287" s="307"/>
      <c r="O287" s="307"/>
      <c r="P287" s="307"/>
      <c r="Q287" s="307"/>
      <c r="R287" s="308"/>
      <c r="S287" s="215"/>
      <c r="T287" s="215"/>
      <c r="U287" s="215"/>
      <c r="V287" s="215"/>
      <c r="W287" s="215"/>
      <c r="X287" s="308"/>
      <c r="Z287" s="215"/>
      <c r="AA287" s="215"/>
      <c r="AB287" s="215"/>
    </row>
    <row r="288" spans="1:28" s="339" customFormat="1" ht="27" customHeight="1">
      <c r="A288" s="234" t="s">
        <v>76</v>
      </c>
      <c r="B288" s="243">
        <v>8</v>
      </c>
      <c r="C288" s="237"/>
      <c r="D288" s="236"/>
      <c r="E288" s="236"/>
      <c r="F288" s="236"/>
      <c r="G288" s="236"/>
      <c r="H288" s="236"/>
      <c r="I288" s="236"/>
      <c r="J288" s="236"/>
      <c r="K288" s="236"/>
      <c r="L288" s="236"/>
      <c r="M288" s="260"/>
      <c r="N288" s="577">
        <v>0</v>
      </c>
      <c r="O288" s="577"/>
      <c r="P288" s="577">
        <v>0</v>
      </c>
      <c r="Q288" s="260">
        <v>6930062</v>
      </c>
      <c r="R288" s="247">
        <v>27744680</v>
      </c>
      <c r="S288" s="215"/>
      <c r="T288" s="215"/>
      <c r="U288" s="215"/>
      <c r="V288" s="215"/>
      <c r="W288" s="215"/>
      <c r="X288" s="247"/>
      <c r="Z288" s="215"/>
      <c r="AA288" s="215"/>
      <c r="AB288" s="215"/>
    </row>
    <row r="289" spans="1:28" s="339" customFormat="1" ht="27" customHeight="1">
      <c r="A289" s="276"/>
      <c r="B289" s="243"/>
      <c r="C289" s="237"/>
      <c r="D289" s="236"/>
      <c r="E289" s="236"/>
      <c r="F289" s="236"/>
      <c r="G289" s="236"/>
      <c r="H289" s="236"/>
      <c r="I289" s="236"/>
      <c r="J289" s="236"/>
      <c r="K289" s="236"/>
      <c r="L289" s="236"/>
      <c r="M289" s="260"/>
      <c r="N289" s="577"/>
      <c r="O289" s="577"/>
      <c r="P289" s="577"/>
      <c r="Q289" s="260"/>
      <c r="R289" s="247"/>
      <c r="S289" s="215"/>
      <c r="T289" s="215"/>
      <c r="U289" s="215"/>
      <c r="V289" s="215"/>
      <c r="W289" s="215"/>
      <c r="X289" s="247"/>
      <c r="Z289" s="215"/>
      <c r="AA289" s="215"/>
      <c r="AB289" s="215"/>
    </row>
    <row r="290" spans="1:28" s="339" customFormat="1" ht="27" customHeight="1">
      <c r="A290" s="234" t="s">
        <v>304</v>
      </c>
      <c r="B290" s="382">
        <v>1</v>
      </c>
      <c r="C290" s="390"/>
      <c r="D290" s="385"/>
      <c r="E290" s="385"/>
      <c r="F290" s="385"/>
      <c r="G290" s="385"/>
      <c r="H290" s="385"/>
      <c r="I290" s="385"/>
      <c r="J290" s="385"/>
      <c r="K290" s="385"/>
      <c r="L290" s="385"/>
      <c r="M290" s="302"/>
      <c r="N290" s="524">
        <v>0</v>
      </c>
      <c r="O290" s="524"/>
      <c r="P290" s="524">
        <v>0</v>
      </c>
      <c r="Q290" s="302">
        <v>168490</v>
      </c>
      <c r="R290" s="247">
        <v>1613254</v>
      </c>
      <c r="S290" s="215"/>
      <c r="T290" s="215"/>
      <c r="U290" s="215"/>
      <c r="V290" s="215"/>
      <c r="W290" s="215"/>
      <c r="X290" s="247"/>
      <c r="Z290" s="215"/>
      <c r="AA290" s="215"/>
      <c r="AB290" s="215"/>
    </row>
    <row r="291" spans="1:28" s="339" customFormat="1" ht="27" customHeight="1">
      <c r="A291" s="276"/>
      <c r="B291" s="382"/>
      <c r="C291" s="390"/>
      <c r="D291" s="385"/>
      <c r="E291" s="385"/>
      <c r="F291" s="385"/>
      <c r="G291" s="385"/>
      <c r="H291" s="385"/>
      <c r="I291" s="385"/>
      <c r="J291" s="385"/>
      <c r="K291" s="385"/>
      <c r="L291" s="385"/>
      <c r="M291" s="302"/>
      <c r="N291" s="524"/>
      <c r="O291" s="524"/>
      <c r="P291" s="524"/>
      <c r="Q291" s="302"/>
      <c r="R291" s="247"/>
      <c r="S291" s="215"/>
      <c r="T291" s="215"/>
      <c r="U291" s="215"/>
      <c r="V291" s="215"/>
      <c r="W291" s="215"/>
      <c r="X291" s="247"/>
      <c r="Z291" s="215"/>
      <c r="AA291" s="215"/>
      <c r="AB291" s="215"/>
    </row>
    <row r="292" spans="1:28" s="339" customFormat="1" ht="27" customHeight="1">
      <c r="A292" s="234" t="s">
        <v>103</v>
      </c>
      <c r="B292" s="382">
        <v>1</v>
      </c>
      <c r="C292" s="390"/>
      <c r="D292" s="385"/>
      <c r="E292" s="385"/>
      <c r="F292" s="385"/>
      <c r="G292" s="385"/>
      <c r="H292" s="385"/>
      <c r="I292" s="385"/>
      <c r="J292" s="385"/>
      <c r="K292" s="385"/>
      <c r="L292" s="385"/>
      <c r="M292" s="302"/>
      <c r="N292" s="524">
        <v>0</v>
      </c>
      <c r="O292" s="524"/>
      <c r="P292" s="524">
        <v>0</v>
      </c>
      <c r="Q292" s="302">
        <v>688611</v>
      </c>
      <c r="R292" s="247">
        <v>3317398</v>
      </c>
      <c r="S292" s="215"/>
      <c r="T292" s="215"/>
      <c r="U292" s="215"/>
      <c r="V292" s="215"/>
      <c r="W292" s="215"/>
      <c r="X292" s="247"/>
      <c r="Z292" s="215"/>
      <c r="AA292" s="215"/>
      <c r="AB292" s="215"/>
    </row>
    <row r="293" spans="1:28" s="339" customFormat="1" ht="27" customHeight="1" thickBot="1">
      <c r="A293" s="330"/>
      <c r="B293" s="331"/>
      <c r="C293" s="332"/>
      <c r="D293" s="333"/>
      <c r="E293" s="333"/>
      <c r="F293" s="333"/>
      <c r="G293" s="333"/>
      <c r="H293" s="333"/>
      <c r="I293" s="333"/>
      <c r="J293" s="333"/>
      <c r="K293" s="333"/>
      <c r="L293" s="333"/>
      <c r="M293" s="334"/>
      <c r="N293" s="534"/>
      <c r="O293" s="534"/>
      <c r="P293" s="534"/>
      <c r="Q293" s="334"/>
      <c r="R293" s="335"/>
      <c r="S293" s="215"/>
      <c r="T293" s="215"/>
      <c r="U293" s="215"/>
      <c r="V293" s="215"/>
      <c r="W293" s="215"/>
      <c r="X293" s="335"/>
      <c r="Z293" s="215"/>
      <c r="AA293" s="215"/>
      <c r="AB293" s="215"/>
    </row>
    <row r="294" spans="1:28" s="339" customFormat="1" ht="27" customHeight="1" thickTop="1" thickBot="1">
      <c r="A294" s="261" t="s">
        <v>3</v>
      </c>
      <c r="B294" s="567">
        <f t="shared" ref="B294:R294" si="18">SUM(B287:B293)</f>
        <v>10</v>
      </c>
      <c r="C294" s="567">
        <f t="shared" si="18"/>
        <v>0</v>
      </c>
      <c r="D294" s="567">
        <f t="shared" si="18"/>
        <v>0</v>
      </c>
      <c r="E294" s="567">
        <f t="shared" si="18"/>
        <v>0</v>
      </c>
      <c r="F294" s="567">
        <f t="shared" si="18"/>
        <v>0</v>
      </c>
      <c r="G294" s="567">
        <f t="shared" si="18"/>
        <v>0</v>
      </c>
      <c r="H294" s="567">
        <f t="shared" si="18"/>
        <v>0</v>
      </c>
      <c r="I294" s="567">
        <f t="shared" si="18"/>
        <v>0</v>
      </c>
      <c r="J294" s="567">
        <f t="shared" si="18"/>
        <v>0</v>
      </c>
      <c r="K294" s="567">
        <f t="shared" si="18"/>
        <v>0</v>
      </c>
      <c r="L294" s="567">
        <f t="shared" si="18"/>
        <v>0</v>
      </c>
      <c r="M294" s="567">
        <f t="shared" si="18"/>
        <v>0</v>
      </c>
      <c r="N294" s="567">
        <f t="shared" si="18"/>
        <v>0</v>
      </c>
      <c r="O294" s="567">
        <f t="shared" si="18"/>
        <v>0</v>
      </c>
      <c r="P294" s="567">
        <f t="shared" si="18"/>
        <v>0</v>
      </c>
      <c r="Q294" s="265">
        <f t="shared" si="18"/>
        <v>7787163</v>
      </c>
      <c r="R294" s="560">
        <f t="shared" si="18"/>
        <v>32675332</v>
      </c>
      <c r="S294" s="215"/>
      <c r="T294" s="215"/>
      <c r="U294" s="215"/>
      <c r="V294" s="215"/>
      <c r="W294" s="215"/>
      <c r="X294" s="265"/>
      <c r="Z294" s="215"/>
      <c r="AA294" s="215"/>
      <c r="AB294" s="215"/>
    </row>
    <row r="295" spans="1:28" s="339" customFormat="1" ht="17.25" customHeight="1" thickTop="1">
      <c r="A295" s="336"/>
      <c r="B295" s="566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N295" s="337"/>
      <c r="O295" s="337"/>
      <c r="P295" s="337"/>
      <c r="Q295" s="337"/>
      <c r="R295" s="337"/>
      <c r="S295" s="215"/>
      <c r="T295" s="215"/>
      <c r="U295" s="215"/>
      <c r="V295" s="215"/>
      <c r="W295" s="215"/>
      <c r="Z295" s="215"/>
      <c r="AA295" s="215"/>
      <c r="AB295" s="215"/>
    </row>
    <row r="296" spans="1:28" s="339" customFormat="1" ht="17.25" customHeight="1">
      <c r="A296" s="336"/>
      <c r="B296" s="566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N296" s="337"/>
      <c r="O296" s="337"/>
      <c r="P296" s="337"/>
      <c r="Q296" s="337"/>
      <c r="R296" s="337"/>
      <c r="S296" s="215"/>
      <c r="T296" s="215"/>
      <c r="U296" s="215"/>
      <c r="V296" s="215"/>
      <c r="W296" s="215"/>
      <c r="Z296" s="215"/>
      <c r="AA296" s="215"/>
      <c r="AB296" s="215"/>
    </row>
    <row r="297" spans="1:28" s="339" customFormat="1" ht="17.25" customHeight="1">
      <c r="A297" s="336"/>
      <c r="B297" s="566"/>
      <c r="C297" s="337"/>
      <c r="D297" s="337"/>
      <c r="E297" s="337"/>
      <c r="F297" s="337"/>
      <c r="G297" s="337"/>
      <c r="H297" s="337"/>
      <c r="I297" s="337"/>
      <c r="J297" s="337"/>
      <c r="K297" s="337"/>
      <c r="L297" s="337"/>
      <c r="M297" s="337"/>
      <c r="N297" s="337"/>
      <c r="O297" s="337"/>
      <c r="P297" s="337"/>
      <c r="Q297" s="337"/>
      <c r="R297" s="337"/>
      <c r="S297" s="215"/>
      <c r="T297" s="215"/>
      <c r="U297" s="215"/>
      <c r="V297" s="215"/>
      <c r="W297" s="215"/>
      <c r="Z297" s="215"/>
      <c r="AA297" s="215"/>
      <c r="AB297" s="215"/>
    </row>
    <row r="298" spans="1:28" s="339" customFormat="1" ht="17.25" customHeight="1">
      <c r="A298" s="336"/>
      <c r="B298" s="566"/>
      <c r="C298" s="337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N298" s="337"/>
      <c r="O298" s="337"/>
      <c r="P298" s="337"/>
      <c r="Q298" s="337"/>
      <c r="R298" s="337"/>
      <c r="S298" s="215"/>
      <c r="T298" s="215"/>
      <c r="U298" s="215"/>
      <c r="V298" s="215"/>
      <c r="W298" s="215"/>
      <c r="Z298" s="215"/>
      <c r="AA298" s="215"/>
      <c r="AB298" s="215"/>
    </row>
    <row r="299" spans="1:28" s="339" customFormat="1" ht="17.25" customHeight="1">
      <c r="A299" s="336"/>
      <c r="B299" s="566"/>
      <c r="C299" s="337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N299" s="337"/>
      <c r="O299" s="337"/>
      <c r="P299" s="337"/>
      <c r="Q299" s="337"/>
      <c r="R299" s="337"/>
      <c r="S299" s="215"/>
      <c r="T299" s="215"/>
      <c r="U299" s="215"/>
      <c r="V299" s="215"/>
      <c r="W299" s="215"/>
      <c r="Z299" s="215"/>
      <c r="AA299" s="215"/>
      <c r="AB299" s="215"/>
    </row>
    <row r="300" spans="1:28" ht="17.25" customHeight="1">
      <c r="A300" s="336" t="s">
        <v>207</v>
      </c>
      <c r="B300" s="566"/>
      <c r="C300" s="337"/>
      <c r="D300" s="1173" t="s">
        <v>81</v>
      </c>
      <c r="E300" s="1173"/>
      <c r="F300" s="1173"/>
      <c r="G300" s="1173"/>
      <c r="H300" s="337"/>
      <c r="I300" s="337"/>
      <c r="J300" s="1173" t="s">
        <v>82</v>
      </c>
      <c r="K300" s="1173"/>
      <c r="L300" s="1173"/>
      <c r="M300" s="1173"/>
      <c r="N300" s="1173"/>
      <c r="O300" s="1173"/>
      <c r="P300" s="1173"/>
      <c r="Q300" s="1173"/>
      <c r="R300" s="1173"/>
    </row>
    <row r="301" spans="1:28" ht="17.25" customHeight="1">
      <c r="A301" s="336"/>
      <c r="B301" s="566"/>
      <c r="C301" s="337"/>
      <c r="D301" s="337"/>
      <c r="E301" s="337"/>
      <c r="F301" s="337"/>
      <c r="G301" s="337"/>
      <c r="H301" s="337"/>
      <c r="I301" s="337"/>
      <c r="J301" s="337"/>
      <c r="K301" s="337"/>
      <c r="L301" s="337"/>
      <c r="M301" s="337"/>
      <c r="N301" s="337"/>
      <c r="O301" s="337"/>
      <c r="P301" s="337"/>
      <c r="Q301" s="337"/>
      <c r="R301" s="337"/>
    </row>
    <row r="302" spans="1:28" ht="17.25" customHeight="1">
      <c r="A302" s="336"/>
      <c r="B302" s="566"/>
      <c r="C302" s="337"/>
      <c r="D302" s="337"/>
      <c r="E302" s="337"/>
      <c r="F302" s="337"/>
      <c r="G302" s="337"/>
      <c r="H302" s="337"/>
      <c r="I302" s="337"/>
      <c r="J302" s="337"/>
      <c r="K302" s="337"/>
      <c r="L302" s="337"/>
      <c r="M302" s="337"/>
      <c r="N302" s="337" t="s">
        <v>144</v>
      </c>
      <c r="O302" s="337"/>
      <c r="P302" s="337"/>
      <c r="Q302" s="337"/>
      <c r="R302" s="337"/>
    </row>
    <row r="303" spans="1:28" ht="17.25" customHeight="1">
      <c r="A303" s="336"/>
      <c r="B303" s="566"/>
      <c r="C303" s="337"/>
      <c r="D303" s="337"/>
      <c r="E303" s="337"/>
      <c r="F303" s="337"/>
      <c r="G303" s="337"/>
      <c r="H303" s="337"/>
      <c r="I303" s="337"/>
      <c r="J303" s="337"/>
      <c r="K303" s="337"/>
      <c r="L303" s="337"/>
      <c r="M303" s="337"/>
      <c r="N303" s="337"/>
      <c r="O303" s="337"/>
      <c r="P303" s="337"/>
      <c r="Q303" s="337"/>
      <c r="R303" s="337"/>
    </row>
    <row r="304" spans="1:28" ht="17.25" customHeight="1">
      <c r="A304" s="336"/>
      <c r="B304" s="566"/>
      <c r="C304" s="337"/>
      <c r="D304" s="1173"/>
      <c r="E304" s="1173"/>
      <c r="F304" s="1173"/>
      <c r="G304" s="1173"/>
      <c r="H304" s="337"/>
      <c r="I304" s="337"/>
      <c r="J304" s="1173"/>
      <c r="K304" s="1173"/>
      <c r="L304" s="1173"/>
      <c r="M304" s="1173"/>
      <c r="N304" s="1173"/>
      <c r="O304" s="1173"/>
      <c r="P304" s="1173"/>
      <c r="Q304" s="1173"/>
      <c r="R304" s="1173"/>
    </row>
    <row r="305" spans="1:28" ht="17.25" customHeight="1">
      <c r="A305" s="336"/>
      <c r="B305" s="566"/>
      <c r="C305" s="337"/>
      <c r="D305" s="337"/>
      <c r="E305" s="337"/>
      <c r="F305" s="337"/>
      <c r="G305" s="337"/>
      <c r="H305" s="337"/>
      <c r="I305" s="337"/>
      <c r="J305" s="337"/>
      <c r="K305" s="337"/>
      <c r="L305" s="337"/>
      <c r="M305" s="337"/>
      <c r="N305" s="337"/>
      <c r="O305" s="337"/>
      <c r="P305" s="337"/>
      <c r="Q305" s="337"/>
      <c r="R305" s="337"/>
    </row>
    <row r="306" spans="1:28" ht="17.25" customHeight="1"/>
    <row r="307" spans="1:28" ht="23.25" customHeight="1"/>
    <row r="308" spans="1:28" ht="23.25" customHeight="1"/>
    <row r="309" spans="1:28" ht="23.25" customHeight="1">
      <c r="A309" s="559" t="str">
        <f>A38</f>
        <v>PT. REBINMAS JAYA</v>
      </c>
    </row>
    <row r="310" spans="1:28" ht="23.25" customHeight="1">
      <c r="A310" s="559" t="str">
        <f>A4</f>
        <v>DENOMINATION FOR NOVEMBER 2017</v>
      </c>
    </row>
    <row r="311" spans="1:28" ht="63.75" customHeight="1" thickBot="1">
      <c r="A311" s="559"/>
    </row>
    <row r="312" spans="1:28" ht="27" customHeight="1" thickTop="1">
      <c r="A312" s="1176" t="s">
        <v>1</v>
      </c>
      <c r="B312" s="1183" t="s">
        <v>15</v>
      </c>
      <c r="C312" s="219"/>
      <c r="D312" s="220"/>
      <c r="E312" s="220"/>
      <c r="F312" s="220"/>
      <c r="G312" s="220"/>
      <c r="H312" s="220"/>
      <c r="I312" s="220"/>
      <c r="J312" s="220"/>
      <c r="K312" s="220"/>
      <c r="L312" s="220"/>
      <c r="M312" s="574" t="str">
        <f>M6</f>
        <v>Pot.</v>
      </c>
      <c r="N312" s="568" t="s">
        <v>145</v>
      </c>
      <c r="O312" s="568" t="s">
        <v>253</v>
      </c>
      <c r="P312" s="1174" t="str">
        <f>P285</f>
        <v>TOTAL PREMI</v>
      </c>
      <c r="Q312" s="1174" t="str">
        <f>Q285</f>
        <v>TOTAL LEMBUR</v>
      </c>
      <c r="R312" s="1171" t="s">
        <v>3</v>
      </c>
      <c r="X312" s="1171" t="s">
        <v>259</v>
      </c>
    </row>
    <row r="313" spans="1:28" ht="27" customHeight="1" thickBot="1">
      <c r="A313" s="1177"/>
      <c r="B313" s="1184"/>
      <c r="C313" s="223">
        <v>100000</v>
      </c>
      <c r="D313" s="223">
        <v>50000</v>
      </c>
      <c r="E313" s="223">
        <v>20000</v>
      </c>
      <c r="F313" s="223">
        <v>10000</v>
      </c>
      <c r="G313" s="223">
        <v>5000</v>
      </c>
      <c r="H313" s="223">
        <v>1000</v>
      </c>
      <c r="I313" s="223">
        <v>500</v>
      </c>
      <c r="J313" s="223">
        <v>100</v>
      </c>
      <c r="K313" s="223">
        <v>50</v>
      </c>
      <c r="L313" s="223" t="s">
        <v>2</v>
      </c>
      <c r="M313" s="575" t="str">
        <f>M7</f>
        <v>Pinjaman</v>
      </c>
      <c r="N313" s="569" t="str">
        <f>N286</f>
        <v>(MASA NOV - 2017)</v>
      </c>
      <c r="O313" s="569" t="s">
        <v>254</v>
      </c>
      <c r="P313" s="1175"/>
      <c r="Q313" s="1175"/>
      <c r="R313" s="1172"/>
      <c r="X313" s="1172"/>
    </row>
    <row r="314" spans="1:28" ht="27" customHeight="1" thickTop="1">
      <c r="A314" s="323"/>
      <c r="B314" s="324"/>
      <c r="C314" s="325"/>
      <c r="D314" s="326"/>
      <c r="E314" s="326"/>
      <c r="F314" s="326"/>
      <c r="G314" s="326"/>
      <c r="H314" s="326"/>
      <c r="I314" s="326"/>
      <c r="J314" s="326"/>
      <c r="K314" s="326"/>
      <c r="L314" s="326"/>
      <c r="M314" s="327"/>
      <c r="N314" s="327"/>
      <c r="O314" s="327"/>
      <c r="P314" s="327"/>
      <c r="Q314" s="327"/>
      <c r="R314" s="328"/>
      <c r="X314" s="328"/>
    </row>
    <row r="315" spans="1:28" s="242" customFormat="1" ht="27" customHeight="1">
      <c r="A315" s="234" t="s">
        <v>31</v>
      </c>
      <c r="B315" s="292">
        <v>4</v>
      </c>
      <c r="C315" s="293"/>
      <c r="D315" s="293"/>
      <c r="E315" s="293"/>
      <c r="F315" s="293"/>
      <c r="G315" s="293"/>
      <c r="H315" s="293"/>
      <c r="I315" s="293"/>
      <c r="J315" s="293"/>
      <c r="K315" s="293"/>
      <c r="L315" s="293"/>
      <c r="M315" s="293"/>
      <c r="N315" s="294">
        <v>0</v>
      </c>
      <c r="O315" s="294"/>
      <c r="P315" s="294">
        <v>420000</v>
      </c>
      <c r="Q315" s="294">
        <v>879060</v>
      </c>
      <c r="R315" s="295">
        <v>11747230</v>
      </c>
      <c r="X315" s="295"/>
      <c r="Y315" s="353"/>
    </row>
    <row r="316" spans="1:28" s="339" customFormat="1" ht="27" customHeight="1" thickBot="1">
      <c r="A316" s="330"/>
      <c r="B316" s="331"/>
      <c r="C316" s="332"/>
      <c r="D316" s="333"/>
      <c r="E316" s="333"/>
      <c r="F316" s="333"/>
      <c r="G316" s="333"/>
      <c r="H316" s="333"/>
      <c r="I316" s="333"/>
      <c r="J316" s="333"/>
      <c r="K316" s="333"/>
      <c r="L316" s="333"/>
      <c r="M316" s="334"/>
      <c r="N316" s="334"/>
      <c r="O316" s="334"/>
      <c r="P316" s="334"/>
      <c r="Q316" s="334"/>
      <c r="R316" s="335"/>
      <c r="S316" s="215"/>
      <c r="T316" s="215"/>
      <c r="U316" s="215"/>
      <c r="V316" s="215"/>
      <c r="W316" s="215"/>
      <c r="X316" s="335"/>
      <c r="Z316" s="215"/>
      <c r="AA316" s="215"/>
      <c r="AB316" s="215"/>
    </row>
    <row r="317" spans="1:28" s="339" customFormat="1" ht="27" customHeight="1" thickTop="1" thickBot="1">
      <c r="A317" s="261" t="s">
        <v>3</v>
      </c>
      <c r="B317" s="567">
        <f t="shared" ref="B317:R317" si="19">SUM(B314:B316)</f>
        <v>4</v>
      </c>
      <c r="C317" s="567">
        <f t="shared" si="19"/>
        <v>0</v>
      </c>
      <c r="D317" s="567">
        <f t="shared" si="19"/>
        <v>0</v>
      </c>
      <c r="E317" s="567">
        <f t="shared" si="19"/>
        <v>0</v>
      </c>
      <c r="F317" s="567">
        <f t="shared" si="19"/>
        <v>0</v>
      </c>
      <c r="G317" s="567">
        <f t="shared" si="19"/>
        <v>0</v>
      </c>
      <c r="H317" s="567">
        <f t="shared" si="19"/>
        <v>0</v>
      </c>
      <c r="I317" s="567">
        <f t="shared" si="19"/>
        <v>0</v>
      </c>
      <c r="J317" s="567">
        <f t="shared" si="19"/>
        <v>0</v>
      </c>
      <c r="K317" s="567">
        <f t="shared" si="19"/>
        <v>0</v>
      </c>
      <c r="L317" s="567">
        <f t="shared" si="19"/>
        <v>0</v>
      </c>
      <c r="M317" s="567">
        <f t="shared" si="19"/>
        <v>0</v>
      </c>
      <c r="N317" s="383">
        <f t="shared" si="19"/>
        <v>0</v>
      </c>
      <c r="O317" s="383">
        <f t="shared" si="19"/>
        <v>0</v>
      </c>
      <c r="P317" s="265">
        <f t="shared" si="19"/>
        <v>420000</v>
      </c>
      <c r="Q317" s="265">
        <f t="shared" si="19"/>
        <v>879060</v>
      </c>
      <c r="R317" s="560">
        <f t="shared" si="19"/>
        <v>11747230</v>
      </c>
      <c r="S317" s="215"/>
      <c r="T317" s="215"/>
      <c r="U317" s="215"/>
      <c r="V317" s="215"/>
      <c r="W317" s="215"/>
      <c r="X317" s="265"/>
      <c r="Z317" s="215"/>
      <c r="AA317" s="215"/>
      <c r="AB317" s="215"/>
    </row>
    <row r="318" spans="1:28" s="339" customFormat="1" ht="23.25" customHeight="1" thickTop="1">
      <c r="A318" s="336"/>
      <c r="B318" s="566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N318" s="337"/>
      <c r="O318" s="337"/>
      <c r="P318" s="337"/>
      <c r="Q318" s="337"/>
      <c r="R318" s="337"/>
      <c r="S318" s="215"/>
      <c r="T318" s="215"/>
      <c r="U318" s="215"/>
      <c r="V318" s="215"/>
      <c r="W318" s="215"/>
      <c r="Z318" s="215"/>
      <c r="AA318" s="215"/>
      <c r="AB318" s="215"/>
    </row>
    <row r="319" spans="1:28" s="339" customFormat="1" ht="23.25" customHeight="1">
      <c r="A319" s="336"/>
      <c r="B319" s="566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N319" s="337"/>
      <c r="O319" s="337"/>
      <c r="P319" s="337"/>
      <c r="Q319" s="337"/>
      <c r="R319" s="337"/>
      <c r="S319" s="215"/>
      <c r="T319" s="215"/>
      <c r="U319" s="215"/>
      <c r="V319" s="215"/>
      <c r="W319" s="215"/>
      <c r="Z319" s="215"/>
      <c r="AA319" s="215"/>
      <c r="AB319" s="215"/>
    </row>
    <row r="320" spans="1:28" s="339" customFormat="1" ht="23.25" customHeight="1">
      <c r="A320" s="336"/>
      <c r="B320" s="566"/>
      <c r="C320" s="337"/>
      <c r="D320" s="337"/>
      <c r="E320" s="337"/>
      <c r="F320" s="337"/>
      <c r="G320" s="337"/>
      <c r="H320" s="337"/>
      <c r="I320" s="337"/>
      <c r="J320" s="337"/>
      <c r="K320" s="337"/>
      <c r="L320" s="337"/>
      <c r="M320" s="337"/>
      <c r="N320" s="337"/>
      <c r="O320" s="337"/>
      <c r="P320" s="337"/>
      <c r="Q320" s="337"/>
      <c r="R320" s="337"/>
      <c r="S320" s="215"/>
      <c r="T320" s="215"/>
      <c r="U320" s="215"/>
      <c r="V320" s="215"/>
      <c r="W320" s="215"/>
      <c r="Z320" s="215"/>
      <c r="AA320" s="215"/>
      <c r="AB320" s="215"/>
    </row>
    <row r="321" spans="1:28" s="339" customFormat="1" ht="23.25" customHeight="1">
      <c r="A321" s="336" t="s">
        <v>208</v>
      </c>
      <c r="B321" s="566"/>
      <c r="C321" s="337"/>
      <c r="D321" s="1173" t="s">
        <v>81</v>
      </c>
      <c r="E321" s="1173"/>
      <c r="F321" s="1173"/>
      <c r="G321" s="1173"/>
      <c r="H321" s="337"/>
      <c r="I321" s="337"/>
      <c r="J321" s="1173" t="s">
        <v>82</v>
      </c>
      <c r="K321" s="1173"/>
      <c r="L321" s="1173"/>
      <c r="M321" s="1173"/>
      <c r="N321" s="1173"/>
      <c r="O321" s="1173"/>
      <c r="P321" s="1173"/>
      <c r="Q321" s="1173"/>
      <c r="R321" s="1173"/>
      <c r="S321" s="215"/>
      <c r="T321" s="215"/>
      <c r="U321" s="215"/>
      <c r="V321" s="215"/>
      <c r="W321" s="215"/>
      <c r="Z321" s="215"/>
      <c r="AA321" s="215"/>
      <c r="AB321" s="215"/>
    </row>
    <row r="322" spans="1:28" s="339" customFormat="1" ht="23.25" customHeight="1">
      <c r="A322" s="336"/>
      <c r="B322" s="566"/>
      <c r="C322" s="337"/>
      <c r="D322" s="337"/>
      <c r="E322" s="337"/>
      <c r="F322" s="337"/>
      <c r="G322" s="337"/>
      <c r="H322" s="337"/>
      <c r="I322" s="337"/>
      <c r="J322" s="337"/>
      <c r="K322" s="337"/>
      <c r="L322" s="337"/>
      <c r="M322" s="337"/>
      <c r="N322" s="337"/>
      <c r="O322" s="337"/>
      <c r="P322" s="337"/>
      <c r="Q322" s="337"/>
      <c r="R322" s="337"/>
      <c r="S322" s="215"/>
      <c r="T322" s="215"/>
      <c r="U322" s="215"/>
      <c r="V322" s="215"/>
      <c r="W322" s="215"/>
      <c r="Z322" s="215"/>
      <c r="AA322" s="215"/>
      <c r="AB322" s="215"/>
    </row>
    <row r="323" spans="1:28" s="339" customFormat="1" ht="17.25" customHeight="1">
      <c r="A323" s="336"/>
      <c r="B323" s="566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215"/>
      <c r="T323" s="215"/>
      <c r="U323" s="215"/>
      <c r="V323" s="215"/>
      <c r="W323" s="215"/>
      <c r="Z323" s="215"/>
      <c r="AA323" s="215"/>
      <c r="AB323" s="215"/>
    </row>
    <row r="324" spans="1:28" s="339" customFormat="1" ht="17.25" customHeight="1">
      <c r="A324" s="336"/>
      <c r="B324" s="566"/>
      <c r="C324" s="337"/>
      <c r="D324" s="337"/>
      <c r="E324" s="337"/>
      <c r="F324" s="337"/>
      <c r="G324" s="337"/>
      <c r="H324" s="337"/>
      <c r="I324" s="337"/>
      <c r="J324" s="337"/>
      <c r="K324" s="337"/>
      <c r="L324" s="337"/>
      <c r="M324" s="337"/>
      <c r="N324" s="337"/>
      <c r="O324" s="337"/>
      <c r="P324" s="337"/>
      <c r="Q324" s="337"/>
      <c r="R324" s="337"/>
      <c r="S324" s="215"/>
      <c r="T324" s="215"/>
      <c r="U324" s="215"/>
      <c r="V324" s="215"/>
      <c r="W324" s="215"/>
      <c r="Z324" s="215"/>
      <c r="AA324" s="215"/>
      <c r="AB324" s="215"/>
    </row>
    <row r="325" spans="1:28" s="339" customFormat="1" ht="17.25" customHeight="1">
      <c r="A325" s="336"/>
      <c r="B325" s="566"/>
      <c r="C325" s="337"/>
      <c r="D325" s="337"/>
      <c r="E325" s="337"/>
      <c r="F325" s="337"/>
      <c r="G325" s="337"/>
      <c r="H325" s="337"/>
      <c r="I325" s="337"/>
      <c r="J325" s="337"/>
      <c r="K325" s="337"/>
      <c r="L325" s="337"/>
      <c r="M325" s="337"/>
      <c r="N325" s="337"/>
      <c r="O325" s="337"/>
      <c r="P325" s="337"/>
      <c r="Q325" s="337"/>
      <c r="R325" s="337"/>
      <c r="S325" s="215"/>
      <c r="T325" s="215"/>
      <c r="U325" s="215"/>
      <c r="V325" s="215"/>
      <c r="W325" s="215"/>
      <c r="Z325" s="215"/>
      <c r="AA325" s="215"/>
      <c r="AB325" s="215"/>
    </row>
    <row r="326" spans="1:28" s="339" customFormat="1" ht="17.25" customHeight="1">
      <c r="A326" s="336"/>
      <c r="B326" s="566"/>
      <c r="C326" s="337"/>
      <c r="D326" s="337"/>
      <c r="E326" s="337"/>
      <c r="F326" s="337"/>
      <c r="G326" s="337"/>
      <c r="H326" s="337"/>
      <c r="I326" s="337"/>
      <c r="J326" s="337"/>
      <c r="K326" s="337"/>
      <c r="L326" s="337"/>
      <c r="M326" s="337"/>
      <c r="N326" s="337"/>
      <c r="O326" s="337"/>
      <c r="P326" s="337"/>
      <c r="Q326" s="337"/>
      <c r="R326" s="337"/>
      <c r="S326" s="215"/>
      <c r="T326" s="215"/>
      <c r="U326" s="215"/>
      <c r="V326" s="215"/>
      <c r="W326" s="215"/>
      <c r="Z326" s="215"/>
      <c r="AA326" s="215"/>
      <c r="AB326" s="215"/>
    </row>
    <row r="327" spans="1:28" s="339" customFormat="1" ht="17.25" customHeight="1">
      <c r="A327" s="215"/>
      <c r="B327" s="216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5"/>
      <c r="T327" s="215"/>
      <c r="U327" s="215"/>
      <c r="V327" s="215"/>
      <c r="W327" s="215"/>
      <c r="Z327" s="215"/>
      <c r="AA327" s="215"/>
      <c r="AB327" s="215"/>
    </row>
    <row r="328" spans="1:28" s="339" customFormat="1" ht="24.75" customHeight="1">
      <c r="A328" s="215"/>
      <c r="B328" s="216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5"/>
      <c r="T328" s="215"/>
      <c r="U328" s="215"/>
      <c r="V328" s="215"/>
      <c r="W328" s="215"/>
      <c r="Z328" s="215"/>
      <c r="AA328" s="215"/>
      <c r="AB328" s="215"/>
    </row>
    <row r="329" spans="1:28" s="339" customFormat="1" ht="24.75" customHeight="1">
      <c r="A329" s="215"/>
      <c r="B329" s="216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5"/>
      <c r="T329" s="215"/>
      <c r="U329" s="215"/>
      <c r="V329" s="215"/>
      <c r="W329" s="215"/>
      <c r="Z329" s="215"/>
      <c r="AA329" s="215"/>
      <c r="AB329" s="215"/>
    </row>
    <row r="330" spans="1:28" s="339" customFormat="1" ht="24.75" customHeight="1">
      <c r="A330" s="559" t="s">
        <v>43</v>
      </c>
      <c r="B330" s="216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5"/>
      <c r="T330" s="215"/>
      <c r="U330" s="215"/>
      <c r="V330" s="215"/>
      <c r="W330" s="215"/>
      <c r="Z330" s="215"/>
      <c r="AA330" s="215"/>
      <c r="AB330" s="215"/>
    </row>
    <row r="331" spans="1:28" s="339" customFormat="1" ht="24.75" customHeight="1">
      <c r="A331" s="559" t="str">
        <f>A4</f>
        <v>DENOMINATION FOR NOVEMBER 2017</v>
      </c>
      <c r="B331" s="216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5"/>
      <c r="T331" s="215"/>
      <c r="U331" s="215"/>
      <c r="V331" s="215"/>
      <c r="W331" s="215"/>
      <c r="Z331" s="215"/>
      <c r="AA331" s="215"/>
      <c r="AB331" s="215"/>
    </row>
    <row r="332" spans="1:28" ht="63.75" customHeight="1" thickBot="1">
      <c r="A332" s="297"/>
    </row>
    <row r="333" spans="1:28" ht="27" customHeight="1" thickTop="1">
      <c r="A333" s="1176" t="s">
        <v>1</v>
      </c>
      <c r="B333" s="1183" t="s">
        <v>15</v>
      </c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574" t="str">
        <f>M6</f>
        <v>Pot.</v>
      </c>
      <c r="N333" s="568" t="s">
        <v>145</v>
      </c>
      <c r="O333" s="568" t="s">
        <v>253</v>
      </c>
      <c r="P333" s="1174" t="str">
        <f>P285</f>
        <v>TOTAL PREMI</v>
      </c>
      <c r="Q333" s="1174" t="str">
        <f>Q285</f>
        <v>TOTAL LEMBUR</v>
      </c>
      <c r="R333" s="1171" t="s">
        <v>3</v>
      </c>
      <c r="X333" s="1171" t="s">
        <v>259</v>
      </c>
    </row>
    <row r="334" spans="1:28" ht="27" customHeight="1" thickBot="1">
      <c r="A334" s="1177"/>
      <c r="B334" s="1184"/>
      <c r="C334" s="223">
        <v>100000</v>
      </c>
      <c r="D334" s="223">
        <v>50000</v>
      </c>
      <c r="E334" s="223">
        <v>20000</v>
      </c>
      <c r="F334" s="223">
        <v>10000</v>
      </c>
      <c r="G334" s="223">
        <v>5000</v>
      </c>
      <c r="H334" s="223">
        <v>1000</v>
      </c>
      <c r="I334" s="223">
        <v>500</v>
      </c>
      <c r="J334" s="223">
        <v>100</v>
      </c>
      <c r="K334" s="223">
        <v>50</v>
      </c>
      <c r="L334" s="223" t="s">
        <v>2</v>
      </c>
      <c r="M334" s="575" t="str">
        <f>M7</f>
        <v>Pinjaman</v>
      </c>
      <c r="N334" s="569" t="str">
        <f>N313</f>
        <v>(MASA NOV - 2017)</v>
      </c>
      <c r="O334" s="569" t="s">
        <v>254</v>
      </c>
      <c r="P334" s="1175"/>
      <c r="Q334" s="1175"/>
      <c r="R334" s="1172"/>
      <c r="W334" s="216"/>
      <c r="X334" s="1172"/>
    </row>
    <row r="335" spans="1:28" ht="27" customHeight="1" thickTop="1">
      <c r="A335" s="371"/>
      <c r="B335" s="312"/>
      <c r="C335" s="313"/>
      <c r="D335" s="270"/>
      <c r="E335" s="270"/>
      <c r="F335" s="270"/>
      <c r="G335" s="270"/>
      <c r="H335" s="270"/>
      <c r="I335" s="270"/>
      <c r="J335" s="270"/>
      <c r="K335" s="270"/>
      <c r="L335" s="270"/>
      <c r="M335" s="271"/>
      <c r="N335" s="271"/>
      <c r="O335" s="271"/>
      <c r="P335" s="271"/>
      <c r="Q335" s="271"/>
      <c r="R335" s="272"/>
      <c r="X335" s="272"/>
    </row>
    <row r="336" spans="1:28" s="242" customFormat="1" ht="27" customHeight="1">
      <c r="A336" s="234" t="s">
        <v>249</v>
      </c>
      <c r="B336" s="277">
        <v>18</v>
      </c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60"/>
      <c r="N336" s="260">
        <v>0</v>
      </c>
      <c r="O336" s="260"/>
      <c r="P336" s="260">
        <f>3508170+3725400</f>
        <v>7233570</v>
      </c>
      <c r="Q336" s="260">
        <v>1516409</v>
      </c>
      <c r="R336" s="247">
        <v>52081321</v>
      </c>
      <c r="X336" s="247"/>
      <c r="Y336" s="353"/>
    </row>
    <row r="337" spans="1:25" ht="27" customHeight="1">
      <c r="A337" s="234"/>
      <c r="B337" s="277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60"/>
      <c r="N337" s="260"/>
      <c r="O337" s="260"/>
      <c r="P337" s="260"/>
      <c r="Q337" s="260"/>
      <c r="R337" s="247"/>
      <c r="X337" s="247"/>
    </row>
    <row r="338" spans="1:25" ht="27" customHeight="1">
      <c r="A338" s="234" t="s">
        <v>249</v>
      </c>
      <c r="B338" s="277">
        <v>17</v>
      </c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60"/>
      <c r="N338" s="260">
        <v>0</v>
      </c>
      <c r="O338" s="260"/>
      <c r="P338" s="260">
        <v>0</v>
      </c>
      <c r="Q338" s="260">
        <v>923032</v>
      </c>
      <c r="R338" s="247">
        <v>43656192</v>
      </c>
      <c r="X338" s="247"/>
    </row>
    <row r="339" spans="1:25" ht="27" customHeight="1">
      <c r="A339" s="234"/>
      <c r="B339" s="277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60"/>
      <c r="N339" s="260"/>
      <c r="O339" s="260"/>
      <c r="P339" s="260"/>
      <c r="Q339" s="260"/>
      <c r="R339" s="247"/>
      <c r="X339" s="247"/>
    </row>
    <row r="340" spans="1:25" s="242" customFormat="1" ht="27" customHeight="1">
      <c r="A340" s="234" t="s">
        <v>84</v>
      </c>
      <c r="B340" s="235">
        <v>2</v>
      </c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60"/>
      <c r="N340" s="260">
        <v>0</v>
      </c>
      <c r="O340" s="260"/>
      <c r="P340" s="260">
        <v>2810310</v>
      </c>
      <c r="Q340" s="260">
        <v>1926645</v>
      </c>
      <c r="R340" s="247">
        <v>10119029</v>
      </c>
      <c r="X340" s="247"/>
      <c r="Y340" s="353"/>
    </row>
    <row r="341" spans="1:25" ht="27" customHeight="1">
      <c r="A341" s="403"/>
      <c r="B341" s="277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60"/>
      <c r="N341" s="260"/>
      <c r="O341" s="260"/>
      <c r="P341" s="260"/>
      <c r="Q341" s="260"/>
      <c r="R341" s="247"/>
      <c r="X341" s="247"/>
    </row>
    <row r="342" spans="1:25" s="242" customFormat="1" ht="27" customHeight="1">
      <c r="A342" s="234" t="s">
        <v>75</v>
      </c>
      <c r="B342" s="235">
        <v>2</v>
      </c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60"/>
      <c r="N342" s="260">
        <v>0</v>
      </c>
      <c r="O342" s="260"/>
      <c r="P342" s="260">
        <v>674030</v>
      </c>
      <c r="Q342" s="260">
        <v>1450478</v>
      </c>
      <c r="R342" s="247">
        <v>7281104</v>
      </c>
      <c r="X342" s="247"/>
      <c r="Y342" s="353"/>
    </row>
    <row r="343" spans="1:25" s="242" customFormat="1" ht="27" customHeight="1">
      <c r="A343" s="404"/>
      <c r="B343" s="373"/>
      <c r="C343" s="385"/>
      <c r="D343" s="385"/>
      <c r="E343" s="385"/>
      <c r="F343" s="385"/>
      <c r="G343" s="385"/>
      <c r="H343" s="385"/>
      <c r="I343" s="385"/>
      <c r="J343" s="385"/>
      <c r="K343" s="385"/>
      <c r="L343" s="385"/>
      <c r="M343" s="302"/>
      <c r="N343" s="302"/>
      <c r="O343" s="302"/>
      <c r="P343" s="302"/>
      <c r="Q343" s="302"/>
      <c r="R343" s="386"/>
      <c r="X343" s="386"/>
      <c r="Y343" s="353"/>
    </row>
    <row r="344" spans="1:25" s="242" customFormat="1" ht="27" customHeight="1">
      <c r="A344" s="279" t="s">
        <v>258</v>
      </c>
      <c r="B344" s="532">
        <v>2</v>
      </c>
      <c r="C344" s="385"/>
      <c r="D344" s="385"/>
      <c r="E344" s="385"/>
      <c r="F344" s="385"/>
      <c r="G344" s="385"/>
      <c r="H344" s="385"/>
      <c r="I344" s="385"/>
      <c r="J344" s="385"/>
      <c r="K344" s="385"/>
      <c r="L344" s="385"/>
      <c r="M344" s="302"/>
      <c r="N344" s="302">
        <v>0</v>
      </c>
      <c r="O344" s="302"/>
      <c r="P344" s="302">
        <v>0</v>
      </c>
      <c r="Q344" s="302">
        <v>571400</v>
      </c>
      <c r="R344" s="386">
        <v>3488235</v>
      </c>
      <c r="X344" s="386"/>
      <c r="Y344" s="353"/>
    </row>
    <row r="345" spans="1:25" s="242" customFormat="1" ht="27" customHeight="1">
      <c r="A345" s="279"/>
      <c r="B345" s="373"/>
      <c r="C345" s="385"/>
      <c r="D345" s="385"/>
      <c r="E345" s="385"/>
      <c r="F345" s="385"/>
      <c r="G345" s="385"/>
      <c r="H345" s="385"/>
      <c r="I345" s="385"/>
      <c r="J345" s="385"/>
      <c r="K345" s="385"/>
      <c r="L345" s="385"/>
      <c r="M345" s="302"/>
      <c r="N345" s="302"/>
      <c r="O345" s="302"/>
      <c r="P345" s="302"/>
      <c r="Q345" s="302"/>
      <c r="R345" s="386"/>
      <c r="X345" s="386"/>
      <c r="Y345" s="353"/>
    </row>
    <row r="346" spans="1:25" s="242" customFormat="1" ht="27" customHeight="1">
      <c r="A346" s="234" t="s">
        <v>271</v>
      </c>
      <c r="B346" s="235">
        <v>9</v>
      </c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>
        <v>0</v>
      </c>
      <c r="O346" s="260"/>
      <c r="P346" s="260">
        <v>0</v>
      </c>
      <c r="Q346" s="260">
        <v>263723</v>
      </c>
      <c r="R346" s="247">
        <v>22734010</v>
      </c>
      <c r="X346" s="247"/>
      <c r="Y346" s="353"/>
    </row>
    <row r="347" spans="1:25" s="242" customFormat="1" ht="27" customHeight="1">
      <c r="A347" s="234"/>
      <c r="B347" s="235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302"/>
      <c r="P347" s="302"/>
      <c r="Q347" s="302"/>
      <c r="R347" s="386"/>
      <c r="X347" s="386"/>
      <c r="Y347" s="353"/>
    </row>
    <row r="348" spans="1:25" s="242" customFormat="1" ht="27" customHeight="1">
      <c r="A348" s="234" t="s">
        <v>255</v>
      </c>
      <c r="B348" s="235">
        <v>1</v>
      </c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>
        <v>0</v>
      </c>
      <c r="O348" s="302"/>
      <c r="P348" s="302">
        <v>414047</v>
      </c>
      <c r="Q348" s="302">
        <v>651983</v>
      </c>
      <c r="R348" s="386">
        <v>3635327</v>
      </c>
      <c r="X348" s="386"/>
      <c r="Y348" s="353"/>
    </row>
    <row r="349" spans="1:25" s="242" customFormat="1" ht="27" customHeight="1">
      <c r="A349" s="234"/>
      <c r="B349" s="235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302"/>
      <c r="P349" s="302"/>
      <c r="Q349" s="302"/>
      <c r="R349" s="386"/>
      <c r="X349" s="386"/>
      <c r="Y349" s="353"/>
    </row>
    <row r="350" spans="1:25" s="242" customFormat="1" ht="27" customHeight="1">
      <c r="A350" s="234" t="s">
        <v>165</v>
      </c>
      <c r="B350" s="235">
        <v>5</v>
      </c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>
        <v>0</v>
      </c>
      <c r="O350" s="260"/>
      <c r="P350" s="260">
        <v>250000</v>
      </c>
      <c r="Q350" s="260">
        <v>974311</v>
      </c>
      <c r="R350" s="247">
        <v>13946201</v>
      </c>
      <c r="X350" s="247"/>
      <c r="Y350" s="353"/>
    </row>
    <row r="351" spans="1:25" s="242" customFormat="1" ht="27" customHeight="1" thickBot="1">
      <c r="A351" s="405"/>
      <c r="B351" s="402"/>
      <c r="C351" s="333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4"/>
      <c r="O351" s="334"/>
      <c r="P351" s="334"/>
      <c r="Q351" s="334"/>
      <c r="R351" s="335"/>
      <c r="X351" s="335"/>
      <c r="Y351" s="353"/>
    </row>
    <row r="352" spans="1:25" s="242" customFormat="1" ht="27" customHeight="1" thickTop="1">
      <c r="A352" s="1307" t="s">
        <v>3</v>
      </c>
      <c r="B352" s="1309">
        <f>B336+B340+B342+B344+B346+B348+B350+B338</f>
        <v>56</v>
      </c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1305">
        <f>N336+N340+N342+N344+N346+N350+N348+N338</f>
        <v>0</v>
      </c>
      <c r="O352" s="1305">
        <f>O336+O340+O342+O344+O346+O350+O348+O338</f>
        <v>0</v>
      </c>
      <c r="P352" s="1305">
        <f>P336+P340+P342+P344+P346+P350+P348+P338</f>
        <v>11381957</v>
      </c>
      <c r="Q352" s="1305">
        <f>Q336+Q340+Q342+Q344+Q346+Q350+Q348+Q338</f>
        <v>8277981</v>
      </c>
      <c r="R352" s="1303">
        <f>R336+R340+R342+R344+R346+R350+R348+R338</f>
        <v>156941419</v>
      </c>
      <c r="X352" s="1305">
        <f>X336+X338+X340+X342+X344+X346+X348+X350</f>
        <v>0</v>
      </c>
      <c r="Y352" s="353"/>
    </row>
    <row r="353" spans="1:25" ht="27" customHeight="1" thickBot="1">
      <c r="A353" s="1308"/>
      <c r="B353" s="1310"/>
      <c r="C353" s="374"/>
      <c r="D353" s="383"/>
      <c r="E353" s="383"/>
      <c r="F353" s="383"/>
      <c r="G353" s="383"/>
      <c r="H353" s="383"/>
      <c r="I353" s="383"/>
      <c r="J353" s="383"/>
      <c r="K353" s="383"/>
      <c r="L353" s="383"/>
      <c r="M353" s="383"/>
      <c r="N353" s="1306"/>
      <c r="O353" s="1306"/>
      <c r="P353" s="1306"/>
      <c r="Q353" s="1306"/>
      <c r="R353" s="1304"/>
      <c r="X353" s="1306"/>
    </row>
    <row r="354" spans="1:25" ht="17.25" customHeight="1" thickTop="1">
      <c r="A354" s="336"/>
      <c r="B354" s="566"/>
      <c r="C354" s="337"/>
      <c r="D354" s="337"/>
      <c r="E354" s="337"/>
      <c r="F354" s="337"/>
      <c r="G354" s="337"/>
      <c r="H354" s="337"/>
      <c r="I354" s="337"/>
      <c r="J354" s="337"/>
      <c r="K354" s="337"/>
      <c r="L354" s="337"/>
      <c r="M354" s="337"/>
      <c r="N354" s="337"/>
      <c r="O354" s="337"/>
      <c r="P354" s="337"/>
      <c r="Q354" s="337"/>
      <c r="R354" s="337"/>
    </row>
    <row r="355" spans="1:25" ht="17.25" customHeight="1">
      <c r="A355" s="336"/>
      <c r="B355" s="566"/>
      <c r="C355" s="337"/>
      <c r="D355" s="337"/>
      <c r="E355" s="337"/>
      <c r="F355" s="337"/>
      <c r="G355" s="337"/>
      <c r="H355" s="337"/>
      <c r="I355" s="337"/>
      <c r="J355" s="337"/>
      <c r="K355" s="337"/>
      <c r="L355" s="337"/>
      <c r="M355" s="337"/>
      <c r="N355" s="337"/>
      <c r="O355" s="337"/>
      <c r="P355" s="337"/>
      <c r="Q355" s="337"/>
      <c r="R355" s="337"/>
      <c r="X355" s="492"/>
    </row>
    <row r="356" spans="1:25" ht="17.25" customHeight="1">
      <c r="A356" s="336"/>
      <c r="B356" s="566"/>
      <c r="C356" s="337"/>
      <c r="D356" s="337"/>
      <c r="E356" s="337"/>
      <c r="F356" s="1173"/>
      <c r="G356" s="1173"/>
      <c r="H356" s="1173"/>
      <c r="I356" s="1173"/>
      <c r="J356" s="337"/>
      <c r="K356" s="337"/>
      <c r="L356" s="337"/>
      <c r="M356" s="337"/>
      <c r="N356" s="337"/>
      <c r="O356" s="337"/>
      <c r="P356" s="337"/>
      <c r="Q356" s="337"/>
      <c r="R356" s="337"/>
    </row>
    <row r="357" spans="1:25" ht="17.25" customHeight="1">
      <c r="A357" s="336"/>
      <c r="B357" s="566"/>
      <c r="C357" s="337"/>
      <c r="D357" s="337"/>
      <c r="E357" s="337"/>
      <c r="F357" s="337"/>
      <c r="G357" s="337"/>
      <c r="H357" s="337"/>
      <c r="I357" s="337"/>
      <c r="J357" s="337"/>
      <c r="K357" s="337"/>
      <c r="L357" s="337"/>
      <c r="M357" s="337"/>
      <c r="N357" s="337"/>
      <c r="O357" s="337"/>
      <c r="P357" s="337"/>
      <c r="Q357" s="337"/>
      <c r="R357" s="337"/>
    </row>
    <row r="358" spans="1:25" ht="17.25" customHeight="1">
      <c r="A358" s="336" t="s">
        <v>209</v>
      </c>
      <c r="B358" s="566"/>
      <c r="C358" s="337"/>
      <c r="D358" s="337"/>
      <c r="E358" s="337"/>
      <c r="F358" s="337"/>
      <c r="G358" s="337"/>
      <c r="H358" s="337"/>
      <c r="I358" s="337"/>
      <c r="J358" s="1173" t="s">
        <v>82</v>
      </c>
      <c r="K358" s="1173"/>
      <c r="L358" s="1173"/>
      <c r="M358" s="1173"/>
      <c r="N358" s="1173"/>
      <c r="O358" s="1173"/>
      <c r="P358" s="1173"/>
      <c r="Q358" s="1173"/>
      <c r="R358" s="1173"/>
    </row>
    <row r="359" spans="1:25" ht="17.25" customHeight="1">
      <c r="A359" s="336"/>
      <c r="B359" s="566"/>
      <c r="C359" s="337"/>
      <c r="D359" s="1173" t="s">
        <v>81</v>
      </c>
      <c r="E359" s="1173"/>
      <c r="F359" s="1173"/>
      <c r="G359" s="1173"/>
      <c r="H359" s="337"/>
      <c r="I359" s="337"/>
      <c r="J359" s="215"/>
      <c r="K359" s="215"/>
      <c r="L359" s="215"/>
      <c r="M359" s="215"/>
      <c r="N359" s="215"/>
      <c r="O359" s="215"/>
      <c r="P359" s="215"/>
      <c r="Q359" s="215"/>
      <c r="R359" s="215"/>
    </row>
    <row r="360" spans="1:25" ht="17.25" customHeight="1">
      <c r="A360" s="336"/>
      <c r="B360" s="566"/>
      <c r="C360" s="337"/>
      <c r="D360" s="566"/>
      <c r="E360" s="566"/>
      <c r="F360" s="566"/>
      <c r="G360" s="566"/>
      <c r="H360" s="337"/>
      <c r="I360" s="337"/>
      <c r="J360" s="566"/>
      <c r="K360" s="566"/>
      <c r="L360" s="566"/>
      <c r="M360" s="566"/>
      <c r="N360" s="566"/>
      <c r="O360" s="566"/>
      <c r="P360" s="566"/>
      <c r="Q360" s="566"/>
      <c r="R360" s="566"/>
    </row>
    <row r="361" spans="1:25" ht="17.25" customHeight="1">
      <c r="B361" s="566"/>
      <c r="C361" s="337"/>
      <c r="D361" s="337"/>
      <c r="E361" s="337"/>
      <c r="F361" s="337"/>
      <c r="G361" s="337"/>
      <c r="H361" s="337"/>
      <c r="I361" s="337"/>
      <c r="J361" s="337"/>
      <c r="K361" s="337"/>
      <c r="L361" s="337"/>
      <c r="M361" s="337"/>
      <c r="N361" s="337"/>
      <c r="O361" s="337"/>
      <c r="P361" s="337"/>
      <c r="Q361" s="337"/>
      <c r="R361" s="337"/>
    </row>
    <row r="362" spans="1:25" ht="17.25" customHeight="1">
      <c r="D362" s="281"/>
      <c r="E362" s="281"/>
      <c r="L362" s="281"/>
      <c r="M362" s="281"/>
      <c r="N362" s="281"/>
      <c r="O362" s="281"/>
      <c r="P362" s="281"/>
      <c r="Q362" s="281"/>
      <c r="W362" s="218"/>
      <c r="X362" s="492"/>
      <c r="Y362" s="492"/>
    </row>
    <row r="363" spans="1:25" ht="24.75" customHeight="1">
      <c r="A363" s="559" t="s">
        <v>0</v>
      </c>
      <c r="D363" s="281"/>
      <c r="E363" s="281"/>
      <c r="L363" s="281"/>
      <c r="M363" s="281"/>
      <c r="N363" s="281"/>
      <c r="O363" s="281"/>
      <c r="P363" s="281"/>
      <c r="Q363" s="281"/>
      <c r="W363" s="218"/>
      <c r="X363" s="492"/>
      <c r="Y363" s="492"/>
    </row>
    <row r="364" spans="1:25" ht="26.25" customHeight="1">
      <c r="A364" s="559" t="str">
        <f>A4</f>
        <v>DENOMINATION FOR NOVEMBER 2017</v>
      </c>
      <c r="D364" s="281"/>
      <c r="E364" s="281"/>
      <c r="L364" s="281"/>
      <c r="M364" s="281"/>
      <c r="N364" s="281"/>
      <c r="O364" s="281"/>
      <c r="P364" s="281"/>
      <c r="Q364" s="281"/>
      <c r="W364" s="218"/>
      <c r="X364" s="492"/>
      <c r="Y364" s="492"/>
    </row>
    <row r="365" spans="1:25" ht="63.75" customHeight="1" thickBot="1">
      <c r="D365" s="281"/>
      <c r="E365" s="281"/>
      <c r="L365" s="281"/>
      <c r="M365" s="281"/>
      <c r="N365" s="281"/>
      <c r="O365" s="281"/>
      <c r="P365" s="281"/>
      <c r="Q365" s="281"/>
    </row>
    <row r="366" spans="1:25" ht="27" customHeight="1" thickTop="1">
      <c r="A366" s="1176" t="s">
        <v>1</v>
      </c>
      <c r="B366" s="572" t="s">
        <v>15</v>
      </c>
      <c r="C366" s="219"/>
      <c r="D366" s="220"/>
      <c r="E366" s="220"/>
      <c r="F366" s="220"/>
      <c r="G366" s="220"/>
      <c r="H366" s="220"/>
      <c r="I366" s="220"/>
      <c r="J366" s="220"/>
      <c r="K366" s="220"/>
      <c r="L366" s="220"/>
      <c r="M366" s="574" t="str">
        <f>M6</f>
        <v>Pot.</v>
      </c>
      <c r="N366" s="568" t="str">
        <f>N6</f>
        <v>TOTAL PPH 21</v>
      </c>
      <c r="O366" s="568" t="s">
        <v>253</v>
      </c>
      <c r="P366" s="1174" t="str">
        <f>P333</f>
        <v>TOTAL PREMI</v>
      </c>
      <c r="Q366" s="1174" t="str">
        <f>Q333</f>
        <v>TOTAL LEMBUR</v>
      </c>
      <c r="R366" s="1171" t="s">
        <v>3</v>
      </c>
      <c r="X366" s="1171" t="s">
        <v>259</v>
      </c>
    </row>
    <row r="367" spans="1:25" ht="27" customHeight="1" thickBot="1">
      <c r="A367" s="1177"/>
      <c r="B367" s="573"/>
      <c r="C367" s="223">
        <v>100000</v>
      </c>
      <c r="D367" s="223">
        <v>50000</v>
      </c>
      <c r="E367" s="223">
        <v>20000</v>
      </c>
      <c r="F367" s="223">
        <v>10000</v>
      </c>
      <c r="G367" s="223">
        <v>5000</v>
      </c>
      <c r="H367" s="223">
        <v>1000</v>
      </c>
      <c r="I367" s="223">
        <v>500</v>
      </c>
      <c r="J367" s="223">
        <v>100</v>
      </c>
      <c r="K367" s="223">
        <v>50</v>
      </c>
      <c r="L367" s="223" t="s">
        <v>2</v>
      </c>
      <c r="M367" s="575" t="str">
        <f>M7</f>
        <v>Pinjaman</v>
      </c>
      <c r="N367" s="569" t="str">
        <f>N334</f>
        <v>(MASA NOV - 2017)</v>
      </c>
      <c r="O367" s="569" t="s">
        <v>254</v>
      </c>
      <c r="P367" s="1175"/>
      <c r="Q367" s="1175"/>
      <c r="R367" s="1172"/>
      <c r="X367" s="1172"/>
    </row>
    <row r="368" spans="1:25" ht="27" customHeight="1" thickTop="1">
      <c r="A368" s="391"/>
      <c r="B368" s="392"/>
      <c r="C368" s="393"/>
      <c r="D368" s="394"/>
      <c r="E368" s="394"/>
      <c r="F368" s="394"/>
      <c r="G368" s="394"/>
      <c r="H368" s="394"/>
      <c r="I368" s="394"/>
      <c r="J368" s="394"/>
      <c r="K368" s="394"/>
      <c r="L368" s="394"/>
      <c r="M368" s="395"/>
      <c r="N368" s="395"/>
      <c r="O368" s="395"/>
      <c r="P368" s="395"/>
      <c r="Q368" s="395"/>
      <c r="R368" s="396"/>
      <c r="W368" s="216"/>
      <c r="X368" s="396"/>
    </row>
    <row r="369" spans="1:25" ht="27" customHeight="1">
      <c r="A369" s="234" t="s">
        <v>83</v>
      </c>
      <c r="B369" s="235">
        <v>26</v>
      </c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60"/>
      <c r="N369" s="577">
        <v>0</v>
      </c>
      <c r="O369" s="577"/>
      <c r="P369" s="260">
        <v>0</v>
      </c>
      <c r="Q369" s="260">
        <v>8683209</v>
      </c>
      <c r="R369" s="247">
        <v>75183557</v>
      </c>
      <c r="X369" s="247">
        <v>0</v>
      </c>
    </row>
    <row r="370" spans="1:25" s="242" customFormat="1" ht="27" customHeight="1">
      <c r="A370" s="362"/>
      <c r="B370" s="235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60"/>
      <c r="N370" s="577"/>
      <c r="O370" s="577"/>
      <c r="P370" s="260"/>
      <c r="Q370" s="260"/>
      <c r="R370" s="247"/>
      <c r="X370" s="247"/>
      <c r="Y370" s="353"/>
    </row>
    <row r="371" spans="1:25" ht="27" customHeight="1">
      <c r="A371" s="234" t="s">
        <v>29</v>
      </c>
      <c r="B371" s="235">
        <v>6</v>
      </c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60"/>
      <c r="N371" s="577">
        <v>0</v>
      </c>
      <c r="O371" s="577"/>
      <c r="P371" s="260">
        <v>659624</v>
      </c>
      <c r="Q371" s="260">
        <v>4175619</v>
      </c>
      <c r="R371" s="247">
        <v>20888965</v>
      </c>
      <c r="X371" s="247">
        <v>0</v>
      </c>
    </row>
    <row r="372" spans="1:25" s="242" customFormat="1" ht="27" customHeight="1">
      <c r="A372" s="279"/>
      <c r="B372" s="373"/>
      <c r="C372" s="385"/>
      <c r="D372" s="385"/>
      <c r="E372" s="385"/>
      <c r="F372" s="390"/>
      <c r="G372" s="385"/>
      <c r="H372" s="385"/>
      <c r="I372" s="385"/>
      <c r="J372" s="385"/>
      <c r="K372" s="385"/>
      <c r="L372" s="385"/>
      <c r="M372" s="302"/>
      <c r="N372" s="524"/>
      <c r="O372" s="524"/>
      <c r="P372" s="302"/>
      <c r="Q372" s="302"/>
      <c r="R372" s="247"/>
      <c r="X372" s="247"/>
      <c r="Y372" s="353"/>
    </row>
    <row r="373" spans="1:25" ht="27" customHeight="1" thickBot="1">
      <c r="A373" s="372"/>
      <c r="B373" s="384"/>
      <c r="C373" s="385"/>
      <c r="D373" s="385"/>
      <c r="E373" s="385"/>
      <c r="F373" s="390"/>
      <c r="G373" s="385"/>
      <c r="H373" s="385"/>
      <c r="I373" s="385"/>
      <c r="J373" s="385"/>
      <c r="K373" s="385"/>
      <c r="L373" s="385"/>
      <c r="M373" s="333"/>
      <c r="N373" s="447"/>
      <c r="O373" s="333"/>
      <c r="P373" s="333"/>
      <c r="Q373" s="333"/>
      <c r="R373" s="386"/>
      <c r="X373" s="386"/>
    </row>
    <row r="374" spans="1:25" ht="27" customHeight="1" thickTop="1" thickBot="1">
      <c r="A374" s="261" t="s">
        <v>3</v>
      </c>
      <c r="B374" s="262">
        <f t="shared" ref="B374:R374" si="20">SUM(B368:B373)</f>
        <v>32</v>
      </c>
      <c r="C374" s="262">
        <f t="shared" si="20"/>
        <v>0</v>
      </c>
      <c r="D374" s="262">
        <f t="shared" si="20"/>
        <v>0</v>
      </c>
      <c r="E374" s="262">
        <f t="shared" si="20"/>
        <v>0</v>
      </c>
      <c r="F374" s="262">
        <f t="shared" si="20"/>
        <v>0</v>
      </c>
      <c r="G374" s="262">
        <f t="shared" si="20"/>
        <v>0</v>
      </c>
      <c r="H374" s="262">
        <f t="shared" si="20"/>
        <v>0</v>
      </c>
      <c r="I374" s="262">
        <f t="shared" si="20"/>
        <v>0</v>
      </c>
      <c r="J374" s="262">
        <f t="shared" si="20"/>
        <v>0</v>
      </c>
      <c r="K374" s="262">
        <f t="shared" si="20"/>
        <v>0</v>
      </c>
      <c r="L374" s="262">
        <f t="shared" si="20"/>
        <v>0</v>
      </c>
      <c r="M374" s="262">
        <f t="shared" si="20"/>
        <v>0</v>
      </c>
      <c r="N374" s="262">
        <f t="shared" si="20"/>
        <v>0</v>
      </c>
      <c r="O374" s="262">
        <f t="shared" si="20"/>
        <v>0</v>
      </c>
      <c r="P374" s="265">
        <f t="shared" si="20"/>
        <v>659624</v>
      </c>
      <c r="Q374" s="265">
        <f t="shared" si="20"/>
        <v>12858828</v>
      </c>
      <c r="R374" s="560">
        <f t="shared" si="20"/>
        <v>96072522</v>
      </c>
      <c r="X374" s="265">
        <f>SUM(X369:X373)</f>
        <v>0</v>
      </c>
      <c r="Y374" s="492"/>
    </row>
    <row r="375" spans="1:25" ht="23.25" customHeight="1" thickTop="1">
      <c r="A375" s="336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</row>
    <row r="376" spans="1:25" ht="17.25" customHeight="1">
      <c r="A376" s="336"/>
      <c r="B376" s="566"/>
      <c r="C376" s="337"/>
      <c r="D376" s="337"/>
      <c r="E376" s="337"/>
      <c r="F376" s="337"/>
      <c r="G376" s="337"/>
      <c r="H376" s="337"/>
      <c r="I376" s="337"/>
      <c r="J376" s="337"/>
      <c r="K376" s="337"/>
      <c r="L376" s="337"/>
      <c r="M376" s="337"/>
      <c r="N376" s="337"/>
      <c r="O376" s="337"/>
      <c r="P376" s="337"/>
      <c r="Q376" s="337"/>
      <c r="R376" s="337"/>
    </row>
    <row r="377" spans="1:25" ht="17.25" customHeight="1">
      <c r="A377" s="336"/>
      <c r="B377" s="566"/>
      <c r="C377" s="337"/>
      <c r="D377" s="337"/>
      <c r="E377" s="337"/>
      <c r="F377" s="337"/>
      <c r="G377" s="337"/>
      <c r="H377" s="337"/>
      <c r="I377" s="337"/>
      <c r="J377" s="337"/>
      <c r="K377" s="337"/>
      <c r="L377" s="337"/>
      <c r="M377" s="337"/>
      <c r="N377" s="337"/>
      <c r="O377" s="337"/>
      <c r="P377" s="337"/>
      <c r="Q377" s="337"/>
      <c r="R377" s="337"/>
    </row>
    <row r="378" spans="1:25" ht="17.25" customHeight="1">
      <c r="A378" s="336"/>
      <c r="B378" s="566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N378" s="337"/>
      <c r="O378" s="337"/>
      <c r="P378" s="337"/>
      <c r="Q378" s="337"/>
      <c r="R378" s="337"/>
    </row>
    <row r="379" spans="1:25" ht="17.25" customHeight="1">
      <c r="A379" s="336"/>
      <c r="B379" s="566"/>
      <c r="C379" s="337"/>
      <c r="D379" s="337"/>
      <c r="E379" s="337"/>
      <c r="F379" s="337"/>
      <c r="G379" s="337"/>
      <c r="H379" s="337"/>
      <c r="I379" s="337"/>
      <c r="J379" s="337"/>
      <c r="K379" s="337"/>
      <c r="L379" s="337"/>
      <c r="M379" s="337"/>
      <c r="N379" s="337"/>
      <c r="O379" s="337"/>
      <c r="P379" s="337"/>
      <c r="Q379" s="337"/>
      <c r="R379" s="337"/>
    </row>
    <row r="380" spans="1:25" ht="17.25" customHeight="1">
      <c r="A380" s="336" t="s">
        <v>210</v>
      </c>
      <c r="B380" s="566"/>
      <c r="C380" s="337"/>
      <c r="D380" s="337"/>
      <c r="E380" s="337"/>
      <c r="F380" s="337"/>
      <c r="G380" s="337"/>
      <c r="H380" s="337"/>
      <c r="I380" s="337"/>
      <c r="J380" s="1173" t="s">
        <v>82</v>
      </c>
      <c r="K380" s="1173"/>
      <c r="L380" s="1173"/>
      <c r="M380" s="1173"/>
      <c r="N380" s="1173"/>
      <c r="O380" s="1173"/>
      <c r="P380" s="1173"/>
      <c r="Q380" s="1173"/>
      <c r="R380" s="1173"/>
    </row>
    <row r="381" spans="1:25" ht="17.25" customHeight="1">
      <c r="A381" s="336"/>
      <c r="B381" s="566"/>
      <c r="C381" s="337"/>
      <c r="D381" s="1173" t="s">
        <v>81</v>
      </c>
      <c r="E381" s="1173"/>
      <c r="F381" s="1173"/>
      <c r="G381" s="1173"/>
      <c r="H381" s="337"/>
      <c r="I381" s="337"/>
    </row>
    <row r="382" spans="1:25" ht="17.25" customHeight="1">
      <c r="A382" s="336"/>
      <c r="B382" s="566"/>
      <c r="C382" s="337"/>
      <c r="D382" s="337"/>
      <c r="E382" s="337"/>
      <c r="F382" s="337"/>
      <c r="G382" s="337"/>
      <c r="H382" s="337"/>
      <c r="I382" s="337"/>
      <c r="J382" s="337"/>
      <c r="K382" s="337"/>
      <c r="L382" s="337"/>
      <c r="M382" s="337"/>
      <c r="N382" s="337"/>
      <c r="O382" s="337"/>
      <c r="P382" s="337"/>
      <c r="Q382" s="337"/>
      <c r="R382" s="337"/>
    </row>
    <row r="383" spans="1:25" ht="17.25" customHeight="1">
      <c r="B383" s="566"/>
      <c r="C383" s="337"/>
      <c r="D383" s="337"/>
      <c r="E383" s="337"/>
      <c r="F383" s="337"/>
      <c r="G383" s="337"/>
      <c r="H383" s="337"/>
      <c r="I383" s="337"/>
      <c r="J383" s="337"/>
      <c r="K383" s="337"/>
      <c r="L383" s="337"/>
      <c r="M383" s="337"/>
      <c r="N383" s="1173"/>
      <c r="O383" s="1173"/>
      <c r="P383" s="1173"/>
      <c r="Q383" s="1173"/>
      <c r="R383" s="1173"/>
    </row>
    <row r="384" spans="1:25" ht="17.25" customHeight="1">
      <c r="D384" s="281"/>
      <c r="E384" s="281"/>
      <c r="L384" s="281"/>
      <c r="M384" s="281"/>
      <c r="N384" s="281"/>
      <c r="O384" s="281"/>
      <c r="P384" s="281"/>
      <c r="Q384" s="281"/>
    </row>
    <row r="385" spans="1:27" ht="17.25" customHeight="1">
      <c r="A385" s="215" t="s">
        <v>275</v>
      </c>
    </row>
    <row r="386" spans="1:27" ht="17.25" customHeight="1" thickBot="1"/>
    <row r="387" spans="1:27" ht="17.25" customHeight="1" thickTop="1" thickBot="1">
      <c r="A387" s="1218" t="s">
        <v>1</v>
      </c>
      <c r="B387" s="1183" t="s">
        <v>15</v>
      </c>
      <c r="C387" s="219"/>
      <c r="D387" s="220"/>
      <c r="E387" s="220"/>
      <c r="F387" s="220"/>
      <c r="G387" s="220"/>
      <c r="H387" s="220"/>
      <c r="I387" s="220"/>
      <c r="J387" s="220"/>
      <c r="K387" s="220"/>
      <c r="L387" s="220"/>
      <c r="M387" s="574" t="e">
        <f>#REF!</f>
        <v>#REF!</v>
      </c>
      <c r="N387" s="568" t="str">
        <f>N366</f>
        <v>TOTAL PPH 21</v>
      </c>
      <c r="O387" s="568" t="s">
        <v>253</v>
      </c>
      <c r="P387" s="1174" t="str">
        <f>P366</f>
        <v>TOTAL PREMI</v>
      </c>
      <c r="Q387" s="1174" t="str">
        <f>Q366</f>
        <v>TOTAL LEMBUR</v>
      </c>
      <c r="R387" s="1171" t="s">
        <v>3</v>
      </c>
      <c r="X387" s="1171" t="s">
        <v>259</v>
      </c>
    </row>
    <row r="388" spans="1:27" ht="17.25" customHeight="1" thickBot="1">
      <c r="A388" s="1219"/>
      <c r="B388" s="1184"/>
      <c r="C388" s="223">
        <v>100000</v>
      </c>
      <c r="D388" s="223">
        <v>50000</v>
      </c>
      <c r="E388" s="223">
        <v>20000</v>
      </c>
      <c r="F388" s="223">
        <v>10000</v>
      </c>
      <c r="G388" s="223">
        <v>5000</v>
      </c>
      <c r="H388" s="223">
        <v>1000</v>
      </c>
      <c r="I388" s="223">
        <v>500</v>
      </c>
      <c r="J388" s="223">
        <v>100</v>
      </c>
      <c r="K388" s="223">
        <v>50</v>
      </c>
      <c r="L388" s="223" t="s">
        <v>2</v>
      </c>
      <c r="M388" s="575">
        <f>M20</f>
        <v>0</v>
      </c>
      <c r="N388" s="569" t="str">
        <f>N367</f>
        <v>(MASA NOV - 2017)</v>
      </c>
      <c r="O388" s="569" t="s">
        <v>254</v>
      </c>
      <c r="P388" s="1175"/>
      <c r="Q388" s="1175"/>
      <c r="R388" s="1172"/>
      <c r="S388" s="221" t="s">
        <v>16</v>
      </c>
      <c r="T388" s="222" t="s">
        <v>18</v>
      </c>
      <c r="X388" s="1172"/>
    </row>
    <row r="389" spans="1:27" ht="17.25" customHeight="1" thickTop="1" thickBot="1">
      <c r="A389" s="387"/>
      <c r="B389" s="269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7"/>
      <c r="N389" s="307"/>
      <c r="O389" s="307"/>
      <c r="P389" s="307"/>
      <c r="Q389" s="307"/>
      <c r="R389" s="308"/>
      <c r="S389" s="224"/>
      <c r="T389" s="225" t="s">
        <v>19</v>
      </c>
      <c r="W389" s="448"/>
    </row>
    <row r="390" spans="1:27" ht="17.25" customHeight="1">
      <c r="A390" s="291" t="s">
        <v>7</v>
      </c>
      <c r="B390" s="310">
        <f>B23</f>
        <v>223</v>
      </c>
      <c r="C390" s="310">
        <f t="shared" ref="C390:R390" si="21">C23</f>
        <v>0</v>
      </c>
      <c r="D390" s="310">
        <f t="shared" si="21"/>
        <v>0</v>
      </c>
      <c r="E390" s="310">
        <f t="shared" si="21"/>
        <v>0</v>
      </c>
      <c r="F390" s="310">
        <f t="shared" si="21"/>
        <v>0</v>
      </c>
      <c r="G390" s="310">
        <f t="shared" si="21"/>
        <v>0</v>
      </c>
      <c r="H390" s="310">
        <f t="shared" si="21"/>
        <v>0</v>
      </c>
      <c r="I390" s="310">
        <f t="shared" si="21"/>
        <v>0</v>
      </c>
      <c r="J390" s="310">
        <f t="shared" si="21"/>
        <v>0</v>
      </c>
      <c r="K390" s="310">
        <f t="shared" si="21"/>
        <v>0</v>
      </c>
      <c r="L390" s="310">
        <f t="shared" si="21"/>
        <v>0</v>
      </c>
      <c r="M390" s="310">
        <f t="shared" si="21"/>
        <v>0</v>
      </c>
      <c r="N390" s="310">
        <f t="shared" si="21"/>
        <v>0</v>
      </c>
      <c r="O390" s="310">
        <f t="shared" si="21"/>
        <v>0</v>
      </c>
      <c r="P390" s="310">
        <f t="shared" si="21"/>
        <v>30986970</v>
      </c>
      <c r="Q390" s="310">
        <f t="shared" si="21"/>
        <v>19776343</v>
      </c>
      <c r="R390" s="293">
        <f t="shared" si="21"/>
        <v>613610711</v>
      </c>
      <c r="S390" s="300"/>
      <c r="T390" s="301"/>
      <c r="W390" s="448"/>
      <c r="AA390" s="548">
        <f>R390/B390</f>
        <v>2751617.538116592</v>
      </c>
    </row>
    <row r="391" spans="1:27" ht="17.25" customHeight="1">
      <c r="A391" s="291"/>
      <c r="B391" s="310"/>
      <c r="C391" s="293"/>
      <c r="D391" s="293"/>
      <c r="E391" s="293"/>
      <c r="F391" s="293"/>
      <c r="G391" s="293"/>
      <c r="H391" s="293"/>
      <c r="I391" s="293"/>
      <c r="J391" s="293"/>
      <c r="K391" s="293"/>
      <c r="L391" s="293"/>
      <c r="M391" s="294"/>
      <c r="N391" s="294"/>
      <c r="O391" s="294"/>
      <c r="P391" s="294"/>
      <c r="Q391" s="294"/>
      <c r="R391" s="295"/>
      <c r="S391" s="258"/>
      <c r="T391" s="259"/>
      <c r="W391" s="448"/>
      <c r="AA391" s="548"/>
    </row>
    <row r="392" spans="1:27" ht="17.25" customHeight="1">
      <c r="A392" s="291" t="s">
        <v>8</v>
      </c>
      <c r="B392" s="310">
        <f>B55</f>
        <v>230</v>
      </c>
      <c r="C392" s="310">
        <f t="shared" ref="C392:R392" si="22">C55</f>
        <v>0</v>
      </c>
      <c r="D392" s="310">
        <f t="shared" si="22"/>
        <v>0</v>
      </c>
      <c r="E392" s="310">
        <f t="shared" si="22"/>
        <v>0</v>
      </c>
      <c r="F392" s="310">
        <f t="shared" si="22"/>
        <v>0</v>
      </c>
      <c r="G392" s="310">
        <f t="shared" si="22"/>
        <v>0</v>
      </c>
      <c r="H392" s="310">
        <f t="shared" si="22"/>
        <v>0</v>
      </c>
      <c r="I392" s="310">
        <f t="shared" si="22"/>
        <v>0</v>
      </c>
      <c r="J392" s="310">
        <f t="shared" si="22"/>
        <v>0</v>
      </c>
      <c r="K392" s="310">
        <f t="shared" si="22"/>
        <v>0</v>
      </c>
      <c r="L392" s="310">
        <f t="shared" si="22"/>
        <v>0</v>
      </c>
      <c r="M392" s="310">
        <f t="shared" si="22"/>
        <v>0</v>
      </c>
      <c r="N392" s="310">
        <f t="shared" si="22"/>
        <v>76763</v>
      </c>
      <c r="O392" s="310">
        <f t="shared" si="22"/>
        <v>0</v>
      </c>
      <c r="P392" s="310">
        <f t="shared" si="22"/>
        <v>25967599</v>
      </c>
      <c r="Q392" s="310">
        <f t="shared" si="22"/>
        <v>22734013</v>
      </c>
      <c r="R392" s="293">
        <f t="shared" si="22"/>
        <v>657723094</v>
      </c>
      <c r="S392" s="258"/>
      <c r="T392" s="259"/>
      <c r="W392" s="448"/>
      <c r="AA392" s="548">
        <f t="shared" ref="AA392:AA421" si="23">R392/B392</f>
        <v>2859665.6260869564</v>
      </c>
    </row>
    <row r="393" spans="1:27" ht="17.25" customHeight="1">
      <c r="A393" s="291"/>
      <c r="B393" s="310"/>
      <c r="C393" s="293"/>
      <c r="D393" s="293"/>
      <c r="E393" s="293"/>
      <c r="F393" s="293"/>
      <c r="G393" s="293"/>
      <c r="H393" s="293"/>
      <c r="I393" s="293"/>
      <c r="J393" s="293"/>
      <c r="K393" s="293"/>
      <c r="L393" s="293"/>
      <c r="M393" s="294"/>
      <c r="N393" s="294"/>
      <c r="O393" s="294"/>
      <c r="P393" s="294"/>
      <c r="Q393" s="294"/>
      <c r="R393" s="295"/>
      <c r="S393" s="258"/>
      <c r="T393" s="259"/>
      <c r="W393" s="448"/>
      <c r="AA393" s="548"/>
    </row>
    <row r="394" spans="1:27" ht="17.25" customHeight="1">
      <c r="A394" s="291" t="s">
        <v>6</v>
      </c>
      <c r="B394" s="310">
        <f>B86</f>
        <v>207</v>
      </c>
      <c r="C394" s="310">
        <f t="shared" ref="C394:R394" si="24">C86</f>
        <v>0</v>
      </c>
      <c r="D394" s="310">
        <f t="shared" si="24"/>
        <v>0</v>
      </c>
      <c r="E394" s="310">
        <f t="shared" si="24"/>
        <v>0</v>
      </c>
      <c r="F394" s="310">
        <f t="shared" si="24"/>
        <v>0</v>
      </c>
      <c r="G394" s="310">
        <f t="shared" si="24"/>
        <v>0</v>
      </c>
      <c r="H394" s="310">
        <f t="shared" si="24"/>
        <v>0</v>
      </c>
      <c r="I394" s="310">
        <f t="shared" si="24"/>
        <v>0</v>
      </c>
      <c r="J394" s="310">
        <f t="shared" si="24"/>
        <v>0</v>
      </c>
      <c r="K394" s="310">
        <f t="shared" si="24"/>
        <v>0</v>
      </c>
      <c r="L394" s="310">
        <f t="shared" si="24"/>
        <v>0</v>
      </c>
      <c r="M394" s="310">
        <f t="shared" si="24"/>
        <v>0</v>
      </c>
      <c r="N394" s="310">
        <f t="shared" si="24"/>
        <v>19442</v>
      </c>
      <c r="O394" s="310">
        <f t="shared" si="24"/>
        <v>0</v>
      </c>
      <c r="P394" s="310">
        <f t="shared" si="24"/>
        <v>26297939</v>
      </c>
      <c r="Q394" s="310">
        <f t="shared" si="24"/>
        <v>16372802.68</v>
      </c>
      <c r="R394" s="293">
        <f t="shared" si="24"/>
        <v>658490852.1875</v>
      </c>
      <c r="S394" s="258"/>
      <c r="T394" s="259"/>
      <c r="W394" s="448"/>
      <c r="AA394" s="548">
        <f t="shared" si="23"/>
        <v>3181115.2279589372</v>
      </c>
    </row>
    <row r="395" spans="1:27" ht="17.25" customHeight="1">
      <c r="A395" s="291"/>
      <c r="B395" s="310"/>
      <c r="C395" s="293"/>
      <c r="D395" s="293"/>
      <c r="E395" s="293"/>
      <c r="F395" s="293"/>
      <c r="G395" s="293"/>
      <c r="H395" s="293"/>
      <c r="I395" s="293"/>
      <c r="J395" s="293"/>
      <c r="K395" s="293"/>
      <c r="L395" s="293"/>
      <c r="M395" s="294"/>
      <c r="N395" s="294"/>
      <c r="O395" s="294"/>
      <c r="P395" s="294"/>
      <c r="Q395" s="294"/>
      <c r="R395" s="295"/>
      <c r="S395" s="258"/>
      <c r="T395" s="259"/>
      <c r="W395" s="448"/>
      <c r="AA395" s="548"/>
    </row>
    <row r="396" spans="1:27" ht="17.25" customHeight="1">
      <c r="A396" s="291" t="s">
        <v>5</v>
      </c>
      <c r="B396" s="310">
        <f>B112</f>
        <v>145</v>
      </c>
      <c r="C396" s="310">
        <f t="shared" ref="C396:R396" si="25">C112</f>
        <v>0</v>
      </c>
      <c r="D396" s="310">
        <f t="shared" si="25"/>
        <v>0</v>
      </c>
      <c r="E396" s="310">
        <f t="shared" si="25"/>
        <v>0</v>
      </c>
      <c r="F396" s="310">
        <f t="shared" si="25"/>
        <v>0</v>
      </c>
      <c r="G396" s="310">
        <f t="shared" si="25"/>
        <v>0</v>
      </c>
      <c r="H396" s="310">
        <f t="shared" si="25"/>
        <v>0</v>
      </c>
      <c r="I396" s="310">
        <f t="shared" si="25"/>
        <v>0</v>
      </c>
      <c r="J396" s="310">
        <f t="shared" si="25"/>
        <v>0</v>
      </c>
      <c r="K396" s="310">
        <f t="shared" si="25"/>
        <v>0</v>
      </c>
      <c r="L396" s="310">
        <f t="shared" si="25"/>
        <v>0</v>
      </c>
      <c r="M396" s="310">
        <f t="shared" si="25"/>
        <v>0</v>
      </c>
      <c r="N396" s="310">
        <f t="shared" si="25"/>
        <v>0</v>
      </c>
      <c r="O396" s="310">
        <f t="shared" si="25"/>
        <v>0</v>
      </c>
      <c r="P396" s="310">
        <f t="shared" si="25"/>
        <v>10870551</v>
      </c>
      <c r="Q396" s="310">
        <f t="shared" si="25"/>
        <v>10292529</v>
      </c>
      <c r="R396" s="293">
        <f t="shared" si="25"/>
        <v>453035766</v>
      </c>
      <c r="S396" s="258"/>
      <c r="T396" s="259"/>
      <c r="W396" s="448"/>
      <c r="AA396" s="548">
        <f t="shared" si="23"/>
        <v>3124384.5931034484</v>
      </c>
    </row>
    <row r="397" spans="1:27" ht="17.25" customHeight="1">
      <c r="A397" s="291"/>
      <c r="B397" s="310"/>
      <c r="C397" s="293"/>
      <c r="D397" s="293"/>
      <c r="E397" s="293"/>
      <c r="F397" s="293"/>
      <c r="G397" s="293"/>
      <c r="H397" s="293"/>
      <c r="I397" s="293"/>
      <c r="J397" s="293"/>
      <c r="K397" s="293"/>
      <c r="L397" s="293"/>
      <c r="M397" s="294"/>
      <c r="N397" s="294"/>
      <c r="O397" s="294"/>
      <c r="P397" s="294"/>
      <c r="Q397" s="294"/>
      <c r="R397" s="295"/>
      <c r="S397" s="258"/>
      <c r="T397" s="259"/>
      <c r="W397" s="448"/>
      <c r="AA397" s="548"/>
    </row>
    <row r="398" spans="1:27" ht="17.25" customHeight="1">
      <c r="A398" s="291" t="s">
        <v>9</v>
      </c>
      <c r="B398" s="310">
        <f>B144</f>
        <v>218</v>
      </c>
      <c r="C398" s="310">
        <f t="shared" ref="C398:V398" si="26">C144</f>
        <v>0</v>
      </c>
      <c r="D398" s="310">
        <f t="shared" si="26"/>
        <v>0</v>
      </c>
      <c r="E398" s="310">
        <f t="shared" si="26"/>
        <v>0</v>
      </c>
      <c r="F398" s="310">
        <f t="shared" si="26"/>
        <v>0</v>
      </c>
      <c r="G398" s="310">
        <f t="shared" si="26"/>
        <v>0</v>
      </c>
      <c r="H398" s="310">
        <f t="shared" si="26"/>
        <v>0</v>
      </c>
      <c r="I398" s="310">
        <f t="shared" si="26"/>
        <v>0</v>
      </c>
      <c r="J398" s="310">
        <f t="shared" si="26"/>
        <v>0</v>
      </c>
      <c r="K398" s="310">
        <f t="shared" si="26"/>
        <v>0</v>
      </c>
      <c r="L398" s="310">
        <f t="shared" si="26"/>
        <v>0</v>
      </c>
      <c r="M398" s="310">
        <f t="shared" si="26"/>
        <v>0</v>
      </c>
      <c r="N398" s="310">
        <f t="shared" si="26"/>
        <v>4037</v>
      </c>
      <c r="O398" s="310">
        <f t="shared" si="26"/>
        <v>0</v>
      </c>
      <c r="P398" s="310">
        <f t="shared" si="26"/>
        <v>36313301</v>
      </c>
      <c r="Q398" s="310">
        <f t="shared" si="26"/>
        <v>20142953</v>
      </c>
      <c r="R398" s="293">
        <f t="shared" si="26"/>
        <v>697653650</v>
      </c>
      <c r="S398" s="310">
        <f t="shared" si="26"/>
        <v>0</v>
      </c>
      <c r="T398" s="310" t="e">
        <f t="shared" si="26"/>
        <v>#REF!</v>
      </c>
      <c r="U398" s="310" t="str">
        <f t="shared" si="26"/>
        <v>Upah rata-rata / HK</v>
      </c>
      <c r="V398" s="329">
        <f t="shared" si="26"/>
        <v>0</v>
      </c>
      <c r="W398" s="448"/>
      <c r="AA398" s="548">
        <f t="shared" si="23"/>
        <v>3200246.1009174311</v>
      </c>
    </row>
    <row r="399" spans="1:27" ht="17.25" customHeight="1">
      <c r="A399" s="309"/>
      <c r="B399" s="316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42"/>
      <c r="N399" s="342"/>
      <c r="O399" s="342"/>
      <c r="P399" s="342"/>
      <c r="Q399" s="342"/>
      <c r="R399" s="295"/>
      <c r="S399" s="258"/>
      <c r="T399" s="259"/>
      <c r="W399" s="448"/>
      <c r="AA399" s="548"/>
    </row>
    <row r="400" spans="1:27" ht="17.25" customHeight="1">
      <c r="A400" s="291" t="s">
        <v>76</v>
      </c>
      <c r="B400" s="310">
        <f>B294</f>
        <v>10</v>
      </c>
      <c r="C400" s="310">
        <f t="shared" ref="C400:R400" si="27">C294</f>
        <v>0</v>
      </c>
      <c r="D400" s="310">
        <f t="shared" si="27"/>
        <v>0</v>
      </c>
      <c r="E400" s="310">
        <f t="shared" si="27"/>
        <v>0</v>
      </c>
      <c r="F400" s="310">
        <f t="shared" si="27"/>
        <v>0</v>
      </c>
      <c r="G400" s="310">
        <f t="shared" si="27"/>
        <v>0</v>
      </c>
      <c r="H400" s="310">
        <f t="shared" si="27"/>
        <v>0</v>
      </c>
      <c r="I400" s="310">
        <f t="shared" si="27"/>
        <v>0</v>
      </c>
      <c r="J400" s="310">
        <f t="shared" si="27"/>
        <v>0</v>
      </c>
      <c r="K400" s="310">
        <f t="shared" si="27"/>
        <v>0</v>
      </c>
      <c r="L400" s="310">
        <f t="shared" si="27"/>
        <v>0</v>
      </c>
      <c r="M400" s="310">
        <f t="shared" si="27"/>
        <v>0</v>
      </c>
      <c r="N400" s="310">
        <f t="shared" si="27"/>
        <v>0</v>
      </c>
      <c r="O400" s="310">
        <f t="shared" si="27"/>
        <v>0</v>
      </c>
      <c r="P400" s="310">
        <f t="shared" si="27"/>
        <v>0</v>
      </c>
      <c r="Q400" s="310">
        <f t="shared" si="27"/>
        <v>7787163</v>
      </c>
      <c r="R400" s="293">
        <f t="shared" si="27"/>
        <v>32675332</v>
      </c>
      <c r="S400" s="258"/>
      <c r="T400" s="259"/>
      <c r="W400" s="448"/>
      <c r="AA400" s="548">
        <f t="shared" si="23"/>
        <v>3267533.2</v>
      </c>
    </row>
    <row r="401" spans="1:27" ht="17.25" customHeight="1">
      <c r="A401" s="309"/>
      <c r="B401" s="316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42"/>
      <c r="N401" s="342"/>
      <c r="O401" s="342"/>
      <c r="P401" s="342"/>
      <c r="Q401" s="342"/>
      <c r="R401" s="295"/>
      <c r="S401" s="258"/>
      <c r="T401" s="259"/>
      <c r="W401" s="448"/>
      <c r="AA401" s="548"/>
    </row>
    <row r="402" spans="1:27" ht="17.25" customHeight="1">
      <c r="A402" s="309" t="s">
        <v>54</v>
      </c>
      <c r="B402" s="316">
        <f>B374</f>
        <v>32</v>
      </c>
      <c r="C402" s="316">
        <f t="shared" ref="C402:R402" si="28">C374</f>
        <v>0</v>
      </c>
      <c r="D402" s="316">
        <f t="shared" si="28"/>
        <v>0</v>
      </c>
      <c r="E402" s="316">
        <f t="shared" si="28"/>
        <v>0</v>
      </c>
      <c r="F402" s="316">
        <f t="shared" si="28"/>
        <v>0</v>
      </c>
      <c r="G402" s="316">
        <f t="shared" si="28"/>
        <v>0</v>
      </c>
      <c r="H402" s="316">
        <f t="shared" si="28"/>
        <v>0</v>
      </c>
      <c r="I402" s="316">
        <f t="shared" si="28"/>
        <v>0</v>
      </c>
      <c r="J402" s="316">
        <f t="shared" si="28"/>
        <v>0</v>
      </c>
      <c r="K402" s="316">
        <f t="shared" si="28"/>
        <v>0</v>
      </c>
      <c r="L402" s="316">
        <f t="shared" si="28"/>
        <v>0</v>
      </c>
      <c r="M402" s="316">
        <f t="shared" si="28"/>
        <v>0</v>
      </c>
      <c r="N402" s="316">
        <f t="shared" si="28"/>
        <v>0</v>
      </c>
      <c r="O402" s="316">
        <f t="shared" si="28"/>
        <v>0</v>
      </c>
      <c r="P402" s="316">
        <f t="shared" si="28"/>
        <v>659624</v>
      </c>
      <c r="Q402" s="316">
        <f t="shared" si="28"/>
        <v>12858828</v>
      </c>
      <c r="R402" s="315">
        <f t="shared" si="28"/>
        <v>96072522</v>
      </c>
      <c r="S402" s="258"/>
      <c r="T402" s="259"/>
      <c r="W402" s="448"/>
      <c r="AA402" s="548">
        <f t="shared" si="23"/>
        <v>3002266.3125</v>
      </c>
    </row>
    <row r="403" spans="1:27" ht="17.25" customHeight="1">
      <c r="A403" s="309"/>
      <c r="B403" s="316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42"/>
      <c r="N403" s="342"/>
      <c r="O403" s="342"/>
      <c r="P403" s="342"/>
      <c r="Q403" s="342"/>
      <c r="R403" s="295"/>
      <c r="S403" s="258"/>
      <c r="T403" s="259"/>
      <c r="W403" s="448"/>
      <c r="AA403" s="548"/>
    </row>
    <row r="404" spans="1:27" ht="17.25" customHeight="1">
      <c r="A404" s="375" t="s">
        <v>89</v>
      </c>
      <c r="B404" s="449">
        <v>115</v>
      </c>
      <c r="C404" s="444">
        <v>300000000</v>
      </c>
      <c r="D404" s="444">
        <v>60000000</v>
      </c>
      <c r="E404" s="444">
        <v>400000</v>
      </c>
      <c r="F404" s="444">
        <v>80000</v>
      </c>
      <c r="G404" s="444">
        <v>0</v>
      </c>
      <c r="H404" s="444">
        <v>3000</v>
      </c>
      <c r="I404" s="444">
        <v>0</v>
      </c>
      <c r="J404" s="444">
        <v>0</v>
      </c>
      <c r="K404" s="444">
        <v>0</v>
      </c>
      <c r="L404" s="444">
        <v>886</v>
      </c>
      <c r="M404" s="445"/>
      <c r="N404" s="450">
        <v>22799</v>
      </c>
      <c r="O404" s="451">
        <v>0</v>
      </c>
      <c r="P404" s="451">
        <v>0</v>
      </c>
      <c r="Q404" s="449">
        <v>103020832</v>
      </c>
      <c r="R404" s="444">
        <v>389657088</v>
      </c>
      <c r="S404" s="258"/>
      <c r="T404" s="259"/>
      <c r="W404" s="448"/>
      <c r="AA404" s="548">
        <f t="shared" si="23"/>
        <v>3388322.5043478259</v>
      </c>
    </row>
    <row r="405" spans="1:27" s="242" customFormat="1" ht="17.25" customHeight="1">
      <c r="A405" s="309"/>
      <c r="B405" s="316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42"/>
      <c r="N405" s="342"/>
      <c r="O405" s="342"/>
      <c r="P405" s="342"/>
      <c r="Q405" s="342"/>
      <c r="R405" s="318"/>
      <c r="S405" s="240"/>
      <c r="T405" s="241"/>
      <c r="W405" s="452"/>
      <c r="X405" s="353"/>
      <c r="Y405" s="215"/>
      <c r="Z405" s="215"/>
      <c r="AA405" s="548"/>
    </row>
    <row r="406" spans="1:27" ht="17.25" customHeight="1" thickBot="1">
      <c r="A406" s="453"/>
      <c r="B406" s="454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406"/>
      <c r="N406" s="406"/>
      <c r="O406" s="406"/>
      <c r="P406" s="406"/>
      <c r="Q406" s="406"/>
      <c r="R406" s="296"/>
      <c r="S406" s="258"/>
      <c r="T406" s="259"/>
      <c r="W406" s="448"/>
      <c r="Y406" s="215"/>
      <c r="AA406" s="548"/>
    </row>
    <row r="407" spans="1:27" ht="17.25" customHeight="1" thickTop="1" thickBot="1">
      <c r="A407" s="319" t="s">
        <v>4</v>
      </c>
      <c r="B407" s="414">
        <f t="shared" ref="B407:I407" si="29">SUM(B389:B406)</f>
        <v>1180</v>
      </c>
      <c r="C407" s="320">
        <f t="shared" si="29"/>
        <v>300000000</v>
      </c>
      <c r="D407" s="320">
        <f t="shared" si="29"/>
        <v>60000000</v>
      </c>
      <c r="E407" s="320">
        <f t="shared" si="29"/>
        <v>400000</v>
      </c>
      <c r="F407" s="320">
        <f t="shared" si="29"/>
        <v>80000</v>
      </c>
      <c r="G407" s="320">
        <f t="shared" si="29"/>
        <v>0</v>
      </c>
      <c r="H407" s="320">
        <f t="shared" si="29"/>
        <v>3000</v>
      </c>
      <c r="I407" s="320">
        <f t="shared" si="29"/>
        <v>0</v>
      </c>
      <c r="J407" s="320">
        <f>SUM(J389:J406)</f>
        <v>0</v>
      </c>
      <c r="K407" s="320">
        <f>SUM(K389:K406)</f>
        <v>0</v>
      </c>
      <c r="L407" s="320">
        <f>SUM(L389:L406)</f>
        <v>886</v>
      </c>
      <c r="M407" s="320"/>
      <c r="N407" s="455">
        <f>SUM(N390:N406)</f>
        <v>123041</v>
      </c>
      <c r="O407" s="455">
        <f>SUM(O390:O406)</f>
        <v>0</v>
      </c>
      <c r="P407" s="413">
        <f t="shared" ref="P407:Q407" si="30">SUM(P389:P406)</f>
        <v>131095984</v>
      </c>
      <c r="Q407" s="456">
        <f t="shared" si="30"/>
        <v>212985463.68000001</v>
      </c>
      <c r="R407" s="413">
        <f>SUM(R389:R406)</f>
        <v>3598919015.1875</v>
      </c>
      <c r="S407" s="258"/>
      <c r="T407" s="259"/>
      <c r="Y407" s="215"/>
      <c r="AA407" s="549">
        <f t="shared" si="23"/>
        <v>3049931.3688029661</v>
      </c>
    </row>
    <row r="408" spans="1:27" ht="17.25" customHeight="1" thickTop="1">
      <c r="A408" s="291"/>
      <c r="B408" s="292"/>
      <c r="C408" s="293"/>
      <c r="D408" s="293"/>
      <c r="E408" s="293"/>
      <c r="F408" s="293"/>
      <c r="G408" s="293"/>
      <c r="H408" s="293"/>
      <c r="I408" s="293"/>
      <c r="J408" s="293"/>
      <c r="K408" s="293"/>
      <c r="L408" s="293"/>
      <c r="M408" s="294"/>
      <c r="N408" s="294"/>
      <c r="O408" s="294"/>
      <c r="P408" s="294"/>
      <c r="Q408" s="294"/>
      <c r="R408" s="295"/>
      <c r="S408" s="258"/>
      <c r="T408" s="259"/>
      <c r="Y408" s="215"/>
      <c r="AA408" s="548"/>
    </row>
    <row r="409" spans="1:27" ht="17.25" customHeight="1">
      <c r="A409" s="291" t="s">
        <v>57</v>
      </c>
      <c r="B409" s="310">
        <f>B173</f>
        <v>147</v>
      </c>
      <c r="C409" s="310">
        <f t="shared" ref="C409:R409" si="31">C173</f>
        <v>0</v>
      </c>
      <c r="D409" s="310">
        <f t="shared" si="31"/>
        <v>0</v>
      </c>
      <c r="E409" s="310">
        <f t="shared" si="31"/>
        <v>0</v>
      </c>
      <c r="F409" s="310">
        <f t="shared" si="31"/>
        <v>0</v>
      </c>
      <c r="G409" s="310">
        <f t="shared" si="31"/>
        <v>0</v>
      </c>
      <c r="H409" s="310">
        <f t="shared" si="31"/>
        <v>0</v>
      </c>
      <c r="I409" s="310">
        <f t="shared" si="31"/>
        <v>0</v>
      </c>
      <c r="J409" s="310">
        <f t="shared" si="31"/>
        <v>0</v>
      </c>
      <c r="K409" s="310">
        <f t="shared" si="31"/>
        <v>0</v>
      </c>
      <c r="L409" s="310">
        <f t="shared" si="31"/>
        <v>0</v>
      </c>
      <c r="M409" s="310">
        <f t="shared" si="31"/>
        <v>0</v>
      </c>
      <c r="N409" s="310">
        <f t="shared" si="31"/>
        <v>43778</v>
      </c>
      <c r="O409" s="310">
        <f t="shared" si="31"/>
        <v>0</v>
      </c>
      <c r="P409" s="310">
        <f t="shared" si="31"/>
        <v>42842225</v>
      </c>
      <c r="Q409" s="310">
        <f t="shared" si="31"/>
        <v>18178592</v>
      </c>
      <c r="R409" s="293">
        <f t="shared" si="31"/>
        <v>445773634</v>
      </c>
      <c r="S409" s="258"/>
      <c r="T409" s="259"/>
      <c r="W409" s="448"/>
      <c r="Y409" s="215"/>
      <c r="AA409" s="548">
        <f t="shared" si="23"/>
        <v>3032473.7006802722</v>
      </c>
    </row>
    <row r="410" spans="1:27" ht="17.25" customHeight="1">
      <c r="A410" s="291"/>
      <c r="B410" s="310"/>
      <c r="C410" s="293"/>
      <c r="D410" s="293"/>
      <c r="E410" s="293"/>
      <c r="F410" s="293"/>
      <c r="G410" s="293"/>
      <c r="H410" s="293"/>
      <c r="I410" s="293"/>
      <c r="J410" s="293"/>
      <c r="K410" s="293"/>
      <c r="L410" s="293"/>
      <c r="M410" s="294"/>
      <c r="N410" s="294"/>
      <c r="O410" s="294"/>
      <c r="P410" s="294"/>
      <c r="Q410" s="294"/>
      <c r="R410" s="295"/>
      <c r="S410" s="258"/>
      <c r="T410" s="259"/>
      <c r="W410" s="457"/>
      <c r="X410" s="492"/>
      <c r="Y410" s="215"/>
      <c r="AA410" s="548"/>
    </row>
    <row r="411" spans="1:27" ht="17.25" customHeight="1">
      <c r="A411" s="291" t="s">
        <v>58</v>
      </c>
      <c r="B411" s="310">
        <f>B199</f>
        <v>175</v>
      </c>
      <c r="C411" s="310">
        <f t="shared" ref="C411:R411" si="32">C199</f>
        <v>0</v>
      </c>
      <c r="D411" s="310">
        <f t="shared" si="32"/>
        <v>0</v>
      </c>
      <c r="E411" s="310">
        <f t="shared" si="32"/>
        <v>0</v>
      </c>
      <c r="F411" s="310">
        <f t="shared" si="32"/>
        <v>0</v>
      </c>
      <c r="G411" s="310">
        <f t="shared" si="32"/>
        <v>0</v>
      </c>
      <c r="H411" s="310">
        <f t="shared" si="32"/>
        <v>0</v>
      </c>
      <c r="I411" s="310">
        <f t="shared" si="32"/>
        <v>0</v>
      </c>
      <c r="J411" s="310">
        <f t="shared" si="32"/>
        <v>0</v>
      </c>
      <c r="K411" s="310">
        <f t="shared" si="32"/>
        <v>0</v>
      </c>
      <c r="L411" s="310">
        <f t="shared" si="32"/>
        <v>0</v>
      </c>
      <c r="M411" s="310">
        <f t="shared" si="32"/>
        <v>0</v>
      </c>
      <c r="N411" s="310">
        <f t="shared" si="32"/>
        <v>98366</v>
      </c>
      <c r="O411" s="310">
        <f t="shared" si="32"/>
        <v>0</v>
      </c>
      <c r="P411" s="310">
        <f t="shared" si="32"/>
        <v>44680702</v>
      </c>
      <c r="Q411" s="310">
        <f t="shared" si="32"/>
        <v>18996068</v>
      </c>
      <c r="R411" s="293">
        <f t="shared" si="32"/>
        <v>512262358</v>
      </c>
      <c r="S411" s="258"/>
      <c r="T411" s="259"/>
      <c r="W411" s="448"/>
      <c r="Y411" s="215"/>
      <c r="AA411" s="548">
        <f t="shared" si="23"/>
        <v>2927213.4742857143</v>
      </c>
    </row>
    <row r="412" spans="1:27" ht="17.25" customHeight="1">
      <c r="A412" s="291"/>
      <c r="B412" s="292"/>
      <c r="C412" s="293"/>
      <c r="D412" s="293"/>
      <c r="E412" s="293"/>
      <c r="F412" s="293"/>
      <c r="G412" s="293"/>
      <c r="H412" s="293"/>
      <c r="I412" s="293"/>
      <c r="J412" s="293"/>
      <c r="K412" s="293"/>
      <c r="L412" s="293"/>
      <c r="M412" s="294"/>
      <c r="N412" s="294"/>
      <c r="O412" s="294"/>
      <c r="P412" s="294"/>
      <c r="Q412" s="294"/>
      <c r="R412" s="295"/>
      <c r="S412" s="258"/>
      <c r="T412" s="259"/>
      <c r="W412" s="448"/>
      <c r="Y412" s="215"/>
      <c r="AA412" s="548"/>
    </row>
    <row r="413" spans="1:27" ht="17.25" customHeight="1">
      <c r="A413" s="291" t="s">
        <v>59</v>
      </c>
      <c r="B413" s="292">
        <f>B228</f>
        <v>159</v>
      </c>
      <c r="C413" s="292">
        <f t="shared" ref="C413:R413" si="33">C228</f>
        <v>0</v>
      </c>
      <c r="D413" s="292">
        <f t="shared" si="33"/>
        <v>0</v>
      </c>
      <c r="E413" s="292">
        <f t="shared" si="33"/>
        <v>0</v>
      </c>
      <c r="F413" s="292">
        <f t="shared" si="33"/>
        <v>0</v>
      </c>
      <c r="G413" s="292">
        <f t="shared" si="33"/>
        <v>0</v>
      </c>
      <c r="H413" s="292">
        <f t="shared" si="33"/>
        <v>0</v>
      </c>
      <c r="I413" s="292">
        <f t="shared" si="33"/>
        <v>0</v>
      </c>
      <c r="J413" s="292">
        <f t="shared" si="33"/>
        <v>0</v>
      </c>
      <c r="K413" s="292">
        <f t="shared" si="33"/>
        <v>0</v>
      </c>
      <c r="L413" s="292">
        <f t="shared" si="33"/>
        <v>0</v>
      </c>
      <c r="M413" s="292">
        <f t="shared" si="33"/>
        <v>0</v>
      </c>
      <c r="N413" s="310">
        <f t="shared" si="33"/>
        <v>161769</v>
      </c>
      <c r="O413" s="310">
        <f t="shared" si="33"/>
        <v>0</v>
      </c>
      <c r="P413" s="310">
        <f t="shared" si="33"/>
        <v>28735797</v>
      </c>
      <c r="Q413" s="310">
        <f t="shared" si="33"/>
        <v>17999263</v>
      </c>
      <c r="R413" s="293">
        <f t="shared" si="33"/>
        <v>465382504</v>
      </c>
      <c r="S413" s="258"/>
      <c r="T413" s="259"/>
      <c r="W413" s="448"/>
      <c r="Y413" s="215"/>
      <c r="AA413" s="548">
        <f t="shared" si="23"/>
        <v>2926933.9874213836</v>
      </c>
    </row>
    <row r="414" spans="1:27" ht="17.25" customHeight="1">
      <c r="A414" s="291"/>
      <c r="B414" s="292"/>
      <c r="C414" s="293"/>
      <c r="D414" s="293"/>
      <c r="E414" s="293"/>
      <c r="F414" s="293"/>
      <c r="G414" s="293"/>
      <c r="H414" s="293"/>
      <c r="I414" s="293"/>
      <c r="J414" s="293"/>
      <c r="K414" s="293"/>
      <c r="L414" s="293"/>
      <c r="M414" s="294"/>
      <c r="N414" s="294"/>
      <c r="O414" s="294"/>
      <c r="P414" s="294"/>
      <c r="Q414" s="294"/>
      <c r="R414" s="295"/>
      <c r="S414" s="258"/>
      <c r="T414" s="259"/>
      <c r="W414" s="448"/>
      <c r="Y414" s="215"/>
      <c r="AA414" s="548"/>
    </row>
    <row r="415" spans="1:27" ht="17.25" customHeight="1">
      <c r="A415" s="291" t="s">
        <v>60</v>
      </c>
      <c r="B415" s="310">
        <f>B269</f>
        <v>254</v>
      </c>
      <c r="C415" s="310">
        <f t="shared" ref="C415:R415" si="34">C269</f>
        <v>0</v>
      </c>
      <c r="D415" s="310">
        <f t="shared" si="34"/>
        <v>0</v>
      </c>
      <c r="E415" s="310">
        <f t="shared" si="34"/>
        <v>0</v>
      </c>
      <c r="F415" s="310">
        <f t="shared" si="34"/>
        <v>0</v>
      </c>
      <c r="G415" s="310">
        <f t="shared" si="34"/>
        <v>0</v>
      </c>
      <c r="H415" s="310">
        <f t="shared" si="34"/>
        <v>0</v>
      </c>
      <c r="I415" s="310">
        <f t="shared" si="34"/>
        <v>0</v>
      </c>
      <c r="J415" s="310">
        <f t="shared" si="34"/>
        <v>0</v>
      </c>
      <c r="K415" s="310">
        <f t="shared" si="34"/>
        <v>0</v>
      </c>
      <c r="L415" s="310">
        <f t="shared" si="34"/>
        <v>0</v>
      </c>
      <c r="M415" s="310">
        <f t="shared" si="34"/>
        <v>0</v>
      </c>
      <c r="N415" s="310">
        <f t="shared" si="34"/>
        <v>31248</v>
      </c>
      <c r="O415" s="310">
        <f t="shared" si="34"/>
        <v>0</v>
      </c>
      <c r="P415" s="310">
        <f t="shared" si="34"/>
        <v>48928997</v>
      </c>
      <c r="Q415" s="310">
        <f t="shared" si="34"/>
        <v>20676638</v>
      </c>
      <c r="R415" s="293">
        <f t="shared" si="34"/>
        <v>707444752</v>
      </c>
      <c r="S415" s="258"/>
      <c r="T415" s="259"/>
      <c r="W415" s="448"/>
      <c r="Y415" s="215"/>
      <c r="AA415" s="548">
        <f t="shared" si="23"/>
        <v>2785215.5590551179</v>
      </c>
    </row>
    <row r="416" spans="1:27" ht="17.25" customHeight="1">
      <c r="A416" s="291"/>
      <c r="B416" s="310"/>
      <c r="C416" s="293"/>
      <c r="D416" s="293"/>
      <c r="E416" s="293"/>
      <c r="F416" s="293"/>
      <c r="G416" s="293"/>
      <c r="H416" s="293"/>
      <c r="I416" s="293"/>
      <c r="J416" s="293"/>
      <c r="K416" s="293"/>
      <c r="L416" s="293"/>
      <c r="M416" s="294"/>
      <c r="N416" s="294"/>
      <c r="O416" s="294"/>
      <c r="P416" s="294"/>
      <c r="Q416" s="294"/>
      <c r="R416" s="295"/>
      <c r="S416" s="258"/>
      <c r="T416" s="259"/>
      <c r="W416" s="448"/>
      <c r="Y416" s="215"/>
      <c r="AA416" s="548"/>
    </row>
    <row r="417" spans="1:27" ht="17.25" customHeight="1">
      <c r="A417" s="291" t="s">
        <v>31</v>
      </c>
      <c r="B417" s="310">
        <f>B317</f>
        <v>4</v>
      </c>
      <c r="C417" s="310">
        <f t="shared" ref="C417:R417" si="35">C317</f>
        <v>0</v>
      </c>
      <c r="D417" s="310">
        <f t="shared" si="35"/>
        <v>0</v>
      </c>
      <c r="E417" s="310">
        <f t="shared" si="35"/>
        <v>0</v>
      </c>
      <c r="F417" s="310">
        <f t="shared" si="35"/>
        <v>0</v>
      </c>
      <c r="G417" s="310">
        <f t="shared" si="35"/>
        <v>0</v>
      </c>
      <c r="H417" s="310">
        <f t="shared" si="35"/>
        <v>0</v>
      </c>
      <c r="I417" s="310">
        <f t="shared" si="35"/>
        <v>0</v>
      </c>
      <c r="J417" s="310">
        <f t="shared" si="35"/>
        <v>0</v>
      </c>
      <c r="K417" s="310">
        <f t="shared" si="35"/>
        <v>0</v>
      </c>
      <c r="L417" s="310">
        <f t="shared" si="35"/>
        <v>0</v>
      </c>
      <c r="M417" s="310">
        <f t="shared" si="35"/>
        <v>0</v>
      </c>
      <c r="N417" s="310">
        <f t="shared" si="35"/>
        <v>0</v>
      </c>
      <c r="O417" s="310">
        <f t="shared" si="35"/>
        <v>0</v>
      </c>
      <c r="P417" s="310">
        <f t="shared" si="35"/>
        <v>420000</v>
      </c>
      <c r="Q417" s="310">
        <f t="shared" si="35"/>
        <v>879060</v>
      </c>
      <c r="R417" s="293">
        <f t="shared" si="35"/>
        <v>11747230</v>
      </c>
      <c r="S417" s="258"/>
      <c r="T417" s="259"/>
      <c r="W417" s="448"/>
      <c r="Y417" s="215"/>
      <c r="AA417" s="548">
        <f t="shared" si="23"/>
        <v>2936807.5</v>
      </c>
    </row>
    <row r="418" spans="1:27" ht="17.25" customHeight="1" thickBot="1">
      <c r="A418" s="291"/>
      <c r="B418" s="310"/>
      <c r="C418" s="293"/>
      <c r="D418" s="293"/>
      <c r="E418" s="293"/>
      <c r="F418" s="293"/>
      <c r="G418" s="293"/>
      <c r="H418" s="293"/>
      <c r="I418" s="293"/>
      <c r="J418" s="293"/>
      <c r="K418" s="293"/>
      <c r="L418" s="293"/>
      <c r="M418" s="294"/>
      <c r="N418" s="294"/>
      <c r="O418" s="294"/>
      <c r="P418" s="294"/>
      <c r="Q418" s="294"/>
      <c r="R418" s="295"/>
      <c r="S418" s="258"/>
      <c r="T418" s="259"/>
      <c r="W418" s="448"/>
      <c r="Y418" s="215"/>
      <c r="AA418" s="548"/>
    </row>
    <row r="419" spans="1:27" ht="17.25" customHeight="1" thickTop="1" thickBot="1">
      <c r="A419" s="319" t="s">
        <v>10</v>
      </c>
      <c r="B419" s="414">
        <f t="shared" ref="B419:R419" si="36">SUM(B407:B418)</f>
        <v>1919</v>
      </c>
      <c r="C419" s="320">
        <f t="shared" si="36"/>
        <v>300000000</v>
      </c>
      <c r="D419" s="320">
        <f t="shared" si="36"/>
        <v>60000000</v>
      </c>
      <c r="E419" s="320">
        <f t="shared" si="36"/>
        <v>400000</v>
      </c>
      <c r="F419" s="320">
        <f t="shared" si="36"/>
        <v>80000</v>
      </c>
      <c r="G419" s="320">
        <f t="shared" si="36"/>
        <v>0</v>
      </c>
      <c r="H419" s="320">
        <f t="shared" si="36"/>
        <v>3000</v>
      </c>
      <c r="I419" s="320">
        <f t="shared" si="36"/>
        <v>0</v>
      </c>
      <c r="J419" s="320">
        <f t="shared" si="36"/>
        <v>0</v>
      </c>
      <c r="K419" s="320">
        <f t="shared" si="36"/>
        <v>0</v>
      </c>
      <c r="L419" s="320">
        <f t="shared" si="36"/>
        <v>886</v>
      </c>
      <c r="M419" s="320"/>
      <c r="N419" s="455">
        <f>SUM(N409:N417)</f>
        <v>335161</v>
      </c>
      <c r="O419" s="455">
        <f>SUM(O409:O417)</f>
        <v>0</v>
      </c>
      <c r="P419" s="456">
        <f t="shared" si="36"/>
        <v>296703705</v>
      </c>
      <c r="Q419" s="456">
        <f t="shared" si="36"/>
        <v>289715084.68000001</v>
      </c>
      <c r="R419" s="413">
        <f t="shared" si="36"/>
        <v>5741529493.1875</v>
      </c>
      <c r="S419" s="258"/>
      <c r="T419" s="259"/>
      <c r="W419" s="448"/>
      <c r="Y419" s="215"/>
      <c r="AA419" s="548">
        <f t="shared" si="23"/>
        <v>2991938.2455380405</v>
      </c>
    </row>
    <row r="420" spans="1:27" ht="17.25" customHeight="1" thickTop="1">
      <c r="A420" s="287"/>
      <c r="B420" s="533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9"/>
      <c r="N420" s="289"/>
      <c r="O420" s="289"/>
      <c r="P420" s="289"/>
      <c r="Q420" s="289"/>
      <c r="R420" s="290"/>
      <c r="S420" s="258"/>
      <c r="T420" s="259"/>
      <c r="W420" s="448"/>
      <c r="Y420" s="215"/>
      <c r="AA420" s="548"/>
    </row>
    <row r="421" spans="1:27" ht="17.25" customHeight="1">
      <c r="A421" s="291" t="s">
        <v>61</v>
      </c>
      <c r="B421" s="310">
        <f>B352</f>
        <v>56</v>
      </c>
      <c r="C421" s="310">
        <f t="shared" ref="C421:R421" si="37">C352</f>
        <v>0</v>
      </c>
      <c r="D421" s="310">
        <f t="shared" si="37"/>
        <v>0</v>
      </c>
      <c r="E421" s="310">
        <f t="shared" si="37"/>
        <v>0</v>
      </c>
      <c r="F421" s="310">
        <f t="shared" si="37"/>
        <v>0</v>
      </c>
      <c r="G421" s="310">
        <f t="shared" si="37"/>
        <v>0</v>
      </c>
      <c r="H421" s="310">
        <f t="shared" si="37"/>
        <v>0</v>
      </c>
      <c r="I421" s="310">
        <f t="shared" si="37"/>
        <v>0</v>
      </c>
      <c r="J421" s="310">
        <f t="shared" si="37"/>
        <v>0</v>
      </c>
      <c r="K421" s="310">
        <f t="shared" si="37"/>
        <v>0</v>
      </c>
      <c r="L421" s="310">
        <f t="shared" si="37"/>
        <v>0</v>
      </c>
      <c r="M421" s="310">
        <f t="shared" si="37"/>
        <v>0</v>
      </c>
      <c r="N421" s="310">
        <f t="shared" si="37"/>
        <v>0</v>
      </c>
      <c r="O421" s="310">
        <f t="shared" si="37"/>
        <v>0</v>
      </c>
      <c r="P421" s="310">
        <f t="shared" si="37"/>
        <v>11381957</v>
      </c>
      <c r="Q421" s="310">
        <f t="shared" si="37"/>
        <v>8277981</v>
      </c>
      <c r="R421" s="293">
        <f t="shared" si="37"/>
        <v>156941419</v>
      </c>
      <c r="S421" s="258"/>
      <c r="T421" s="259"/>
      <c r="W421" s="448"/>
      <c r="Y421" s="215"/>
      <c r="AA421" s="548">
        <f t="shared" si="23"/>
        <v>2802525.3392857141</v>
      </c>
    </row>
    <row r="422" spans="1:27" ht="17.25" customHeight="1">
      <c r="A422" s="287"/>
      <c r="B422" s="533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9"/>
      <c r="N422" s="289"/>
      <c r="O422" s="289"/>
      <c r="P422" s="289"/>
      <c r="Q422" s="289"/>
      <c r="R422" s="295"/>
      <c r="S422" s="258"/>
      <c r="T422" s="259"/>
      <c r="W422" s="448"/>
      <c r="Y422" s="215"/>
    </row>
    <row r="423" spans="1:27" ht="17.25" customHeight="1">
      <c r="A423" s="363" t="s">
        <v>32</v>
      </c>
      <c r="B423" s="357">
        <v>0</v>
      </c>
      <c r="C423" s="358">
        <v>0</v>
      </c>
      <c r="D423" s="358">
        <v>0</v>
      </c>
      <c r="E423" s="358">
        <v>0</v>
      </c>
      <c r="F423" s="358">
        <v>0</v>
      </c>
      <c r="G423" s="358">
        <v>0</v>
      </c>
      <c r="H423" s="358">
        <v>0</v>
      </c>
      <c r="I423" s="358">
        <v>0</v>
      </c>
      <c r="J423" s="358">
        <v>0</v>
      </c>
      <c r="K423" s="358">
        <v>0</v>
      </c>
      <c r="L423" s="358">
        <v>0</v>
      </c>
      <c r="M423" s="359"/>
      <c r="N423" s="359"/>
      <c r="O423" s="359"/>
      <c r="P423" s="359"/>
      <c r="Q423" s="359"/>
      <c r="R423" s="378">
        <f>SUM(C423:L423)</f>
        <v>0</v>
      </c>
      <c r="S423" s="258"/>
      <c r="T423" s="259"/>
      <c r="W423" s="448"/>
      <c r="Y423" s="215"/>
    </row>
    <row r="424" spans="1:27" s="242" customFormat="1" ht="17.25" customHeight="1">
      <c r="A424" s="287"/>
      <c r="B424" s="533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9"/>
      <c r="N424" s="289"/>
      <c r="O424" s="289"/>
      <c r="P424" s="289"/>
      <c r="Q424" s="289"/>
      <c r="R424" s="295"/>
      <c r="S424" s="240"/>
      <c r="T424" s="241"/>
      <c r="W424" s="452"/>
      <c r="X424" s="353"/>
      <c r="Y424" s="215"/>
      <c r="Z424" s="215"/>
    </row>
    <row r="425" spans="1:27" ht="17.25" customHeight="1">
      <c r="A425" s="291" t="s">
        <v>35</v>
      </c>
      <c r="B425" s="310">
        <f t="shared" ref="B425:L425" si="38">B476</f>
        <v>0</v>
      </c>
      <c r="C425" s="293">
        <f t="shared" si="38"/>
        <v>0</v>
      </c>
      <c r="D425" s="293">
        <f t="shared" si="38"/>
        <v>0</v>
      </c>
      <c r="E425" s="293">
        <f t="shared" si="38"/>
        <v>0</v>
      </c>
      <c r="F425" s="293">
        <f t="shared" si="38"/>
        <v>0</v>
      </c>
      <c r="G425" s="293">
        <f t="shared" si="38"/>
        <v>0</v>
      </c>
      <c r="H425" s="293">
        <f t="shared" si="38"/>
        <v>0</v>
      </c>
      <c r="I425" s="293">
        <f t="shared" si="38"/>
        <v>0</v>
      </c>
      <c r="J425" s="293">
        <f t="shared" si="38"/>
        <v>0</v>
      </c>
      <c r="K425" s="293">
        <f t="shared" si="38"/>
        <v>0</v>
      </c>
      <c r="L425" s="293">
        <f t="shared" si="38"/>
        <v>0</v>
      </c>
      <c r="M425" s="294"/>
      <c r="N425" s="294"/>
      <c r="O425" s="294"/>
      <c r="P425" s="294"/>
      <c r="Q425" s="294"/>
      <c r="R425" s="295">
        <f>SUM(C425:L425)</f>
        <v>0</v>
      </c>
      <c r="S425" s="258"/>
      <c r="T425" s="259"/>
      <c r="Y425" s="215"/>
    </row>
    <row r="426" spans="1:27" s="242" customFormat="1" ht="17.25" customHeight="1">
      <c r="A426" s="291"/>
      <c r="B426" s="292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4"/>
      <c r="N426" s="294"/>
      <c r="O426" s="294"/>
      <c r="P426" s="294"/>
      <c r="Q426" s="294"/>
      <c r="R426" s="295"/>
      <c r="S426" s="458"/>
      <c r="T426" s="348"/>
      <c r="X426" s="353"/>
      <c r="Y426" s="353"/>
    </row>
    <row r="427" spans="1:27" ht="17.25" customHeight="1">
      <c r="A427" s="291" t="s">
        <v>36</v>
      </c>
      <c r="B427" s="310">
        <f t="shared" ref="B427:L427" si="39">B501</f>
        <v>0</v>
      </c>
      <c r="C427" s="293">
        <f t="shared" si="39"/>
        <v>0</v>
      </c>
      <c r="D427" s="293">
        <f t="shared" si="39"/>
        <v>0</v>
      </c>
      <c r="E427" s="293">
        <f t="shared" si="39"/>
        <v>0</v>
      </c>
      <c r="F427" s="293">
        <f t="shared" si="39"/>
        <v>0</v>
      </c>
      <c r="G427" s="293">
        <f t="shared" si="39"/>
        <v>0</v>
      </c>
      <c r="H427" s="293">
        <f t="shared" si="39"/>
        <v>0</v>
      </c>
      <c r="I427" s="293">
        <f t="shared" si="39"/>
        <v>0</v>
      </c>
      <c r="J427" s="293">
        <f t="shared" si="39"/>
        <v>0</v>
      </c>
      <c r="K427" s="293">
        <f t="shared" si="39"/>
        <v>0</v>
      </c>
      <c r="L427" s="293">
        <f t="shared" si="39"/>
        <v>0</v>
      </c>
      <c r="M427" s="294"/>
      <c r="N427" s="294"/>
      <c r="O427" s="294"/>
      <c r="P427" s="294"/>
      <c r="Q427" s="294"/>
      <c r="R427" s="295">
        <f>SUM(C427:L427)</f>
        <v>0</v>
      </c>
      <c r="S427" s="459"/>
      <c r="T427" s="352"/>
    </row>
    <row r="428" spans="1:27" ht="17.25" customHeight="1">
      <c r="A428" s="291"/>
      <c r="B428" s="292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4"/>
      <c r="N428" s="294"/>
      <c r="O428" s="294"/>
      <c r="P428" s="294"/>
      <c r="Q428" s="294"/>
      <c r="R428" s="295"/>
      <c r="S428" s="258"/>
      <c r="T428" s="259"/>
    </row>
    <row r="429" spans="1:27" ht="17.25" customHeight="1">
      <c r="A429" s="291" t="s">
        <v>41</v>
      </c>
      <c r="B429" s="310">
        <f t="shared" ref="B429:L429" si="40">B522</f>
        <v>0</v>
      </c>
      <c r="C429" s="293">
        <f t="shared" si="40"/>
        <v>0</v>
      </c>
      <c r="D429" s="293">
        <f t="shared" si="40"/>
        <v>0</v>
      </c>
      <c r="E429" s="293">
        <f t="shared" si="40"/>
        <v>0</v>
      </c>
      <c r="F429" s="293">
        <f t="shared" si="40"/>
        <v>0</v>
      </c>
      <c r="G429" s="293">
        <f t="shared" si="40"/>
        <v>0</v>
      </c>
      <c r="H429" s="293">
        <f t="shared" si="40"/>
        <v>0</v>
      </c>
      <c r="I429" s="293">
        <f t="shared" si="40"/>
        <v>0</v>
      </c>
      <c r="J429" s="293">
        <f t="shared" si="40"/>
        <v>0</v>
      </c>
      <c r="K429" s="293">
        <f t="shared" si="40"/>
        <v>0</v>
      </c>
      <c r="L429" s="293">
        <f t="shared" si="40"/>
        <v>0</v>
      </c>
      <c r="M429" s="294"/>
      <c r="N429" s="294"/>
      <c r="O429" s="294"/>
      <c r="P429" s="294"/>
      <c r="Q429" s="294"/>
      <c r="R429" s="295">
        <f>SUM(C429:L429)</f>
        <v>0</v>
      </c>
      <c r="S429" s="258"/>
      <c r="T429" s="259"/>
    </row>
    <row r="430" spans="1:27" ht="17.25" customHeight="1">
      <c r="A430" s="291"/>
      <c r="B430" s="310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4"/>
      <c r="N430" s="294"/>
      <c r="O430" s="294"/>
      <c r="P430" s="294"/>
      <c r="Q430" s="294"/>
      <c r="R430" s="295"/>
      <c r="S430" s="459"/>
      <c r="T430" s="352"/>
    </row>
    <row r="431" spans="1:27" ht="17.25" customHeight="1">
      <c r="A431" s="291" t="s">
        <v>37</v>
      </c>
      <c r="B431" s="310">
        <f t="shared" ref="B431:L431" si="41">B545</f>
        <v>0</v>
      </c>
      <c r="C431" s="293">
        <f t="shared" si="41"/>
        <v>0</v>
      </c>
      <c r="D431" s="293">
        <f t="shared" si="41"/>
        <v>0</v>
      </c>
      <c r="E431" s="293">
        <f t="shared" si="41"/>
        <v>0</v>
      </c>
      <c r="F431" s="293">
        <f t="shared" si="41"/>
        <v>0</v>
      </c>
      <c r="G431" s="293">
        <f t="shared" si="41"/>
        <v>0</v>
      </c>
      <c r="H431" s="293">
        <f t="shared" si="41"/>
        <v>0</v>
      </c>
      <c r="I431" s="293">
        <f t="shared" si="41"/>
        <v>0</v>
      </c>
      <c r="J431" s="293">
        <f t="shared" si="41"/>
        <v>0</v>
      </c>
      <c r="K431" s="293">
        <f t="shared" si="41"/>
        <v>0</v>
      </c>
      <c r="L431" s="293">
        <f t="shared" si="41"/>
        <v>0</v>
      </c>
      <c r="M431" s="294"/>
      <c r="N431" s="294"/>
      <c r="O431" s="294"/>
      <c r="P431" s="294"/>
      <c r="Q431" s="294"/>
      <c r="R431" s="295">
        <f>SUM(C431:L431)</f>
        <v>0</v>
      </c>
      <c r="S431" s="459"/>
      <c r="T431" s="352"/>
    </row>
    <row r="432" spans="1:27" ht="17.25" customHeight="1">
      <c r="A432" s="291"/>
      <c r="B432" s="292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4"/>
      <c r="N432" s="294"/>
      <c r="O432" s="294"/>
      <c r="P432" s="294"/>
      <c r="Q432" s="294"/>
      <c r="R432" s="295"/>
      <c r="S432" s="459"/>
      <c r="T432" s="352"/>
    </row>
    <row r="433" spans="1:25" ht="17.25" customHeight="1">
      <c r="A433" s="291" t="s">
        <v>40</v>
      </c>
      <c r="B433" s="310">
        <f t="shared" ref="B433:L433" si="42">B568</f>
        <v>0</v>
      </c>
      <c r="C433" s="293">
        <f t="shared" si="42"/>
        <v>0</v>
      </c>
      <c r="D433" s="293">
        <f t="shared" si="42"/>
        <v>0</v>
      </c>
      <c r="E433" s="293">
        <f t="shared" si="42"/>
        <v>0</v>
      </c>
      <c r="F433" s="293">
        <f t="shared" si="42"/>
        <v>0</v>
      </c>
      <c r="G433" s="293">
        <f t="shared" si="42"/>
        <v>0</v>
      </c>
      <c r="H433" s="293">
        <f t="shared" si="42"/>
        <v>0</v>
      </c>
      <c r="I433" s="293">
        <f t="shared" si="42"/>
        <v>0</v>
      </c>
      <c r="J433" s="293">
        <f t="shared" si="42"/>
        <v>0</v>
      </c>
      <c r="K433" s="293">
        <f t="shared" si="42"/>
        <v>0</v>
      </c>
      <c r="L433" s="293">
        <f t="shared" si="42"/>
        <v>0</v>
      </c>
      <c r="M433" s="294"/>
      <c r="N433" s="294"/>
      <c r="O433" s="294"/>
      <c r="P433" s="294"/>
      <c r="Q433" s="294"/>
      <c r="R433" s="295">
        <f>SUM(C433:L433)</f>
        <v>0</v>
      </c>
      <c r="S433" s="459"/>
      <c r="T433" s="352"/>
    </row>
    <row r="434" spans="1:25" ht="17.25" customHeight="1">
      <c r="A434" s="291"/>
      <c r="B434" s="292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4"/>
      <c r="N434" s="294"/>
      <c r="O434" s="294"/>
      <c r="P434" s="294"/>
      <c r="Q434" s="294"/>
      <c r="R434" s="295"/>
      <c r="S434" s="459"/>
      <c r="T434" s="352"/>
    </row>
    <row r="435" spans="1:25" ht="17.25" customHeight="1">
      <c r="A435" s="291" t="s">
        <v>42</v>
      </c>
      <c r="B435" s="310">
        <f>B588</f>
        <v>0</v>
      </c>
      <c r="C435" s="293">
        <f t="shared" ref="C435:L435" si="43">C598</f>
        <v>0</v>
      </c>
      <c r="D435" s="293">
        <f t="shared" si="43"/>
        <v>0</v>
      </c>
      <c r="E435" s="293">
        <f t="shared" si="43"/>
        <v>0</v>
      </c>
      <c r="F435" s="293">
        <f t="shared" si="43"/>
        <v>0</v>
      </c>
      <c r="G435" s="293">
        <f t="shared" si="43"/>
        <v>0</v>
      </c>
      <c r="H435" s="293">
        <f t="shared" si="43"/>
        <v>0</v>
      </c>
      <c r="I435" s="293">
        <f t="shared" si="43"/>
        <v>0</v>
      </c>
      <c r="J435" s="293">
        <f t="shared" si="43"/>
        <v>0</v>
      </c>
      <c r="K435" s="293">
        <f t="shared" si="43"/>
        <v>0</v>
      </c>
      <c r="L435" s="293">
        <f t="shared" si="43"/>
        <v>0</v>
      </c>
      <c r="M435" s="294"/>
      <c r="N435" s="294"/>
      <c r="O435" s="294"/>
      <c r="P435" s="294"/>
      <c r="Q435" s="294"/>
      <c r="R435" s="295">
        <f>R588</f>
        <v>0</v>
      </c>
      <c r="S435" s="459"/>
      <c r="T435" s="352"/>
    </row>
    <row r="436" spans="1:25" ht="17.25" customHeight="1">
      <c r="A436" s="291"/>
      <c r="B436" s="292"/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4"/>
      <c r="N436" s="294"/>
      <c r="O436" s="294"/>
      <c r="P436" s="294"/>
      <c r="Q436" s="294"/>
      <c r="R436" s="295"/>
      <c r="S436" s="459"/>
      <c r="T436" s="352"/>
    </row>
    <row r="437" spans="1:25" ht="17.25" customHeight="1">
      <c r="A437" s="291" t="s">
        <v>52</v>
      </c>
      <c r="B437" s="310">
        <f t="shared" ref="B437:L437" si="44">B622</f>
        <v>0</v>
      </c>
      <c r="C437" s="293">
        <f t="shared" si="44"/>
        <v>0</v>
      </c>
      <c r="D437" s="293">
        <f t="shared" si="44"/>
        <v>0</v>
      </c>
      <c r="E437" s="293">
        <f t="shared" si="44"/>
        <v>0</v>
      </c>
      <c r="F437" s="293">
        <f t="shared" si="44"/>
        <v>0</v>
      </c>
      <c r="G437" s="293">
        <f t="shared" si="44"/>
        <v>0</v>
      </c>
      <c r="H437" s="293">
        <f t="shared" si="44"/>
        <v>0</v>
      </c>
      <c r="I437" s="293">
        <f t="shared" si="44"/>
        <v>0</v>
      </c>
      <c r="J437" s="293">
        <f t="shared" si="44"/>
        <v>0</v>
      </c>
      <c r="K437" s="293">
        <f t="shared" si="44"/>
        <v>0</v>
      </c>
      <c r="L437" s="293">
        <f t="shared" si="44"/>
        <v>0</v>
      </c>
      <c r="M437" s="294"/>
      <c r="N437" s="294"/>
      <c r="O437" s="294"/>
      <c r="P437" s="294"/>
      <c r="Q437" s="294"/>
      <c r="R437" s="295">
        <f>SUM(C437:L437)</f>
        <v>0</v>
      </c>
      <c r="S437" s="459"/>
      <c r="T437" s="352"/>
    </row>
    <row r="438" spans="1:25" ht="17.25" customHeight="1">
      <c r="A438" s="291"/>
      <c r="B438" s="292"/>
      <c r="C438" s="293"/>
      <c r="D438" s="293"/>
      <c r="E438" s="293"/>
      <c r="F438" s="293"/>
      <c r="G438" s="293"/>
      <c r="H438" s="293"/>
      <c r="I438" s="293"/>
      <c r="J438" s="293"/>
      <c r="K438" s="293"/>
      <c r="L438" s="293"/>
      <c r="M438" s="294"/>
      <c r="N438" s="294"/>
      <c r="O438" s="294"/>
      <c r="P438" s="294"/>
      <c r="Q438" s="294"/>
      <c r="R438" s="295"/>
      <c r="S438" s="459"/>
      <c r="T438" s="352"/>
      <c r="W438" s="218"/>
      <c r="X438" s="492"/>
      <c r="Y438" s="492"/>
    </row>
    <row r="439" spans="1:25" ht="17.25" customHeight="1">
      <c r="A439" s="291" t="s">
        <v>53</v>
      </c>
      <c r="B439" s="292">
        <f t="shared" ref="B439:L439" si="45">B646</f>
        <v>0</v>
      </c>
      <c r="C439" s="293">
        <f t="shared" si="45"/>
        <v>0</v>
      </c>
      <c r="D439" s="293">
        <f t="shared" si="45"/>
        <v>0</v>
      </c>
      <c r="E439" s="293">
        <f t="shared" si="45"/>
        <v>0</v>
      </c>
      <c r="F439" s="293">
        <f t="shared" si="45"/>
        <v>0</v>
      </c>
      <c r="G439" s="293">
        <f t="shared" si="45"/>
        <v>0</v>
      </c>
      <c r="H439" s="293">
        <f t="shared" si="45"/>
        <v>0</v>
      </c>
      <c r="I439" s="293">
        <f t="shared" si="45"/>
        <v>0</v>
      </c>
      <c r="J439" s="293">
        <f t="shared" si="45"/>
        <v>0</v>
      </c>
      <c r="K439" s="293">
        <f t="shared" si="45"/>
        <v>0</v>
      </c>
      <c r="L439" s="293">
        <f t="shared" si="45"/>
        <v>0</v>
      </c>
      <c r="M439" s="294"/>
      <c r="N439" s="294"/>
      <c r="O439" s="294"/>
      <c r="P439" s="294"/>
      <c r="Q439" s="294"/>
      <c r="R439" s="295">
        <f>SUM(C439:L439)</f>
        <v>0</v>
      </c>
      <c r="S439" s="459"/>
      <c r="T439" s="352"/>
    </row>
    <row r="440" spans="1:25" ht="17.25" customHeight="1">
      <c r="A440" s="291"/>
      <c r="B440" s="292"/>
      <c r="C440" s="293"/>
      <c r="D440" s="293"/>
      <c r="E440" s="293"/>
      <c r="F440" s="293"/>
      <c r="G440" s="293"/>
      <c r="H440" s="293"/>
      <c r="I440" s="293"/>
      <c r="J440" s="293"/>
      <c r="K440" s="293"/>
      <c r="L440" s="293"/>
      <c r="M440" s="294"/>
      <c r="N440" s="294"/>
      <c r="O440" s="294"/>
      <c r="P440" s="294"/>
      <c r="Q440" s="294"/>
      <c r="R440" s="295"/>
      <c r="S440" s="459"/>
      <c r="T440" s="352"/>
    </row>
    <row r="441" spans="1:25" ht="17.25" customHeight="1">
      <c r="A441" s="291" t="s">
        <v>39</v>
      </c>
      <c r="B441" s="292">
        <v>0</v>
      </c>
      <c r="C441" s="293">
        <f t="shared" ref="C441:L441" si="46">C665</f>
        <v>0</v>
      </c>
      <c r="D441" s="293">
        <f t="shared" si="46"/>
        <v>0</v>
      </c>
      <c r="E441" s="293">
        <f t="shared" si="46"/>
        <v>0</v>
      </c>
      <c r="F441" s="293">
        <f t="shared" si="46"/>
        <v>0</v>
      </c>
      <c r="G441" s="293">
        <f t="shared" si="46"/>
        <v>0</v>
      </c>
      <c r="H441" s="293">
        <f t="shared" si="46"/>
        <v>0</v>
      </c>
      <c r="I441" s="293">
        <f t="shared" si="46"/>
        <v>0</v>
      </c>
      <c r="J441" s="293">
        <f t="shared" si="46"/>
        <v>0</v>
      </c>
      <c r="K441" s="293">
        <f t="shared" si="46"/>
        <v>0</v>
      </c>
      <c r="L441" s="293">
        <f t="shared" si="46"/>
        <v>0</v>
      </c>
      <c r="M441" s="294"/>
      <c r="N441" s="294"/>
      <c r="O441" s="294"/>
      <c r="P441" s="294"/>
      <c r="Q441" s="294"/>
      <c r="R441" s="295">
        <v>0</v>
      </c>
      <c r="S441" s="459"/>
      <c r="T441" s="352"/>
      <c r="Y441" s="492"/>
    </row>
    <row r="442" spans="1:25" ht="17.25" customHeight="1">
      <c r="A442" s="291"/>
      <c r="B442" s="292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4"/>
      <c r="N442" s="294"/>
      <c r="O442" s="294"/>
      <c r="P442" s="294"/>
      <c r="Q442" s="294"/>
      <c r="R442" s="295"/>
      <c r="S442" s="459"/>
      <c r="T442" s="352"/>
    </row>
    <row r="443" spans="1:25" ht="17.25" hidden="1" customHeight="1">
      <c r="A443" s="460" t="s">
        <v>72</v>
      </c>
      <c r="B443" s="449"/>
      <c r="C443" s="444"/>
      <c r="D443" s="444"/>
      <c r="E443" s="444"/>
      <c r="F443" s="444"/>
      <c r="G443" s="444"/>
      <c r="H443" s="444"/>
      <c r="I443" s="444"/>
      <c r="J443" s="444"/>
      <c r="K443" s="444"/>
      <c r="L443" s="444"/>
      <c r="M443" s="445"/>
      <c r="N443" s="445"/>
      <c r="O443" s="445"/>
      <c r="P443" s="445"/>
      <c r="Q443" s="445"/>
      <c r="R443" s="446"/>
      <c r="S443" s="459"/>
      <c r="T443" s="352"/>
    </row>
    <row r="444" spans="1:25" ht="17.25" hidden="1" customHeight="1">
      <c r="A444" s="291"/>
      <c r="B444" s="292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4"/>
      <c r="N444" s="294"/>
      <c r="O444" s="294"/>
      <c r="P444" s="294"/>
      <c r="Q444" s="294"/>
      <c r="R444" s="295"/>
      <c r="S444" s="459"/>
      <c r="T444" s="352"/>
    </row>
    <row r="445" spans="1:25" ht="17.25" customHeight="1">
      <c r="A445" s="291" t="s">
        <v>77</v>
      </c>
      <c r="B445" s="292">
        <f t="shared" ref="B445:L445" si="47">B688</f>
        <v>0</v>
      </c>
      <c r="C445" s="293">
        <f t="shared" si="47"/>
        <v>0</v>
      </c>
      <c r="D445" s="293">
        <f t="shared" si="47"/>
        <v>0</v>
      </c>
      <c r="E445" s="293">
        <f t="shared" si="47"/>
        <v>0</v>
      </c>
      <c r="F445" s="293">
        <f t="shared" si="47"/>
        <v>0</v>
      </c>
      <c r="G445" s="293">
        <f t="shared" si="47"/>
        <v>0</v>
      </c>
      <c r="H445" s="293">
        <f t="shared" si="47"/>
        <v>0</v>
      </c>
      <c r="I445" s="293">
        <f t="shared" si="47"/>
        <v>0</v>
      </c>
      <c r="J445" s="293">
        <f t="shared" si="47"/>
        <v>0</v>
      </c>
      <c r="K445" s="293">
        <f t="shared" si="47"/>
        <v>0</v>
      </c>
      <c r="L445" s="293">
        <f t="shared" si="47"/>
        <v>0</v>
      </c>
      <c r="M445" s="294"/>
      <c r="N445" s="294"/>
      <c r="O445" s="294"/>
      <c r="P445" s="294"/>
      <c r="Q445" s="294"/>
      <c r="R445" s="295">
        <f>SUM(C445:L445)</f>
        <v>0</v>
      </c>
      <c r="S445" s="459"/>
      <c r="T445" s="352"/>
    </row>
    <row r="446" spans="1:25" ht="17.25" customHeight="1">
      <c r="A446" s="291"/>
      <c r="B446" s="292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4"/>
      <c r="N446" s="294"/>
      <c r="O446" s="294"/>
      <c r="P446" s="294"/>
      <c r="Q446" s="294"/>
      <c r="R446" s="295"/>
      <c r="S446" s="459"/>
      <c r="T446" s="352"/>
    </row>
    <row r="447" spans="1:25" ht="17.25" customHeight="1">
      <c r="A447" s="291" t="s">
        <v>70</v>
      </c>
      <c r="B447" s="292">
        <f t="shared" ref="B447:L447" si="48">B710</f>
        <v>0</v>
      </c>
      <c r="C447" s="293">
        <f t="shared" si="48"/>
        <v>0</v>
      </c>
      <c r="D447" s="293">
        <f t="shared" si="48"/>
        <v>0</v>
      </c>
      <c r="E447" s="293">
        <f t="shared" si="48"/>
        <v>0</v>
      </c>
      <c r="F447" s="293">
        <f t="shared" si="48"/>
        <v>0</v>
      </c>
      <c r="G447" s="293">
        <f t="shared" si="48"/>
        <v>0</v>
      </c>
      <c r="H447" s="293">
        <f t="shared" si="48"/>
        <v>0</v>
      </c>
      <c r="I447" s="293">
        <f t="shared" si="48"/>
        <v>0</v>
      </c>
      <c r="J447" s="293">
        <f t="shared" si="48"/>
        <v>0</v>
      </c>
      <c r="K447" s="293">
        <f t="shared" si="48"/>
        <v>0</v>
      </c>
      <c r="L447" s="293">
        <f t="shared" si="48"/>
        <v>0</v>
      </c>
      <c r="M447" s="293"/>
      <c r="N447" s="294"/>
      <c r="O447" s="294"/>
      <c r="P447" s="294"/>
      <c r="Q447" s="294"/>
      <c r="R447" s="295">
        <f>SUM(C447:L447)</f>
        <v>0</v>
      </c>
      <c r="S447" s="459"/>
      <c r="T447" s="352"/>
    </row>
    <row r="448" spans="1:25" ht="17.25" customHeight="1">
      <c r="A448" s="291"/>
      <c r="B448" s="292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4"/>
      <c r="N448" s="294"/>
      <c r="O448" s="294"/>
      <c r="P448" s="294"/>
      <c r="Q448" s="294"/>
      <c r="R448" s="295"/>
      <c r="S448" s="459"/>
      <c r="T448" s="352"/>
    </row>
    <row r="449" spans="1:25" ht="17.25" customHeight="1">
      <c r="A449" s="291" t="s">
        <v>34</v>
      </c>
      <c r="B449" s="310">
        <v>0</v>
      </c>
      <c r="C449" s="293">
        <f t="shared" ref="C449:L449" si="49">C740</f>
        <v>0</v>
      </c>
      <c r="D449" s="293">
        <f t="shared" si="49"/>
        <v>0</v>
      </c>
      <c r="E449" s="293">
        <f t="shared" si="49"/>
        <v>0</v>
      </c>
      <c r="F449" s="293">
        <f t="shared" si="49"/>
        <v>0</v>
      </c>
      <c r="G449" s="293">
        <f t="shared" si="49"/>
        <v>0</v>
      </c>
      <c r="H449" s="293">
        <f t="shared" si="49"/>
        <v>0</v>
      </c>
      <c r="I449" s="293">
        <f t="shared" si="49"/>
        <v>0</v>
      </c>
      <c r="J449" s="293">
        <f t="shared" si="49"/>
        <v>0</v>
      </c>
      <c r="K449" s="293">
        <f t="shared" si="49"/>
        <v>0</v>
      </c>
      <c r="L449" s="293">
        <f t="shared" si="49"/>
        <v>0</v>
      </c>
      <c r="M449" s="294"/>
      <c r="N449" s="294"/>
      <c r="O449" s="294"/>
      <c r="P449" s="294"/>
      <c r="Q449" s="294"/>
      <c r="R449" s="295">
        <f>SUM(C449:L449)</f>
        <v>0</v>
      </c>
      <c r="S449" s="459"/>
      <c r="T449" s="352"/>
      <c r="W449" s="461"/>
      <c r="X449" s="540"/>
      <c r="Y449" s="540"/>
    </row>
    <row r="450" spans="1:25" ht="17.25" customHeight="1">
      <c r="A450" s="291"/>
      <c r="B450" s="292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4"/>
      <c r="N450" s="294"/>
      <c r="O450" s="294"/>
      <c r="P450" s="294"/>
      <c r="Q450" s="294"/>
      <c r="R450" s="295"/>
      <c r="S450" s="459"/>
      <c r="T450" s="352"/>
      <c r="W450" s="461"/>
      <c r="X450" s="540"/>
      <c r="Y450" s="540"/>
    </row>
    <row r="451" spans="1:25" ht="17.25" customHeight="1">
      <c r="A451" s="309" t="s">
        <v>68</v>
      </c>
      <c r="B451" s="462">
        <v>0</v>
      </c>
      <c r="C451" s="463">
        <v>0</v>
      </c>
      <c r="D451" s="315">
        <v>0</v>
      </c>
      <c r="E451" s="315">
        <v>0</v>
      </c>
      <c r="F451" s="315">
        <v>0</v>
      </c>
      <c r="G451" s="315">
        <v>0</v>
      </c>
      <c r="H451" s="315">
        <v>0</v>
      </c>
      <c r="I451" s="315">
        <v>0</v>
      </c>
      <c r="J451" s="315">
        <v>0</v>
      </c>
      <c r="K451" s="315">
        <v>0</v>
      </c>
      <c r="L451" s="315">
        <v>0</v>
      </c>
      <c r="M451" s="342"/>
      <c r="N451" s="342"/>
      <c r="O451" s="342"/>
      <c r="P451" s="342"/>
      <c r="Q451" s="342"/>
      <c r="R451" s="295">
        <f>SUM(C451:L451)</f>
        <v>0</v>
      </c>
      <c r="S451" s="459"/>
      <c r="T451" s="352"/>
      <c r="W451" s="461"/>
      <c r="X451" s="540"/>
      <c r="Y451" s="540"/>
    </row>
    <row r="452" spans="1:25" ht="17.25" customHeight="1">
      <c r="A452" s="309"/>
      <c r="B452" s="464"/>
      <c r="C452" s="463"/>
      <c r="D452" s="315"/>
      <c r="E452" s="315"/>
      <c r="F452" s="315"/>
      <c r="G452" s="315"/>
      <c r="H452" s="315"/>
      <c r="I452" s="315"/>
      <c r="J452" s="315"/>
      <c r="K452" s="315"/>
      <c r="L452" s="315"/>
      <c r="M452" s="342"/>
      <c r="N452" s="342"/>
      <c r="O452" s="342"/>
      <c r="P452" s="342"/>
      <c r="Q452" s="342"/>
      <c r="R452" s="295"/>
      <c r="S452" s="459"/>
      <c r="T452" s="352"/>
      <c r="U452" s="218"/>
      <c r="V452" s="218"/>
      <c r="W452" s="461"/>
      <c r="X452" s="540"/>
      <c r="Y452" s="540"/>
    </row>
    <row r="453" spans="1:25" ht="17.25" customHeight="1" thickBot="1">
      <c r="A453" s="453"/>
      <c r="B453" s="465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406"/>
      <c r="N453" s="342"/>
      <c r="O453" s="342"/>
      <c r="P453" s="342"/>
      <c r="Q453" s="342"/>
      <c r="R453" s="318"/>
      <c r="S453" s="459"/>
      <c r="T453" s="352"/>
      <c r="U453" s="218"/>
      <c r="V453" s="218"/>
      <c r="W453" s="461"/>
      <c r="X453" s="540"/>
      <c r="Y453" s="540"/>
    </row>
    <row r="454" spans="1:25" ht="17.25" customHeight="1" thickTop="1" thickBot="1">
      <c r="A454" s="565" t="s">
        <v>3</v>
      </c>
      <c r="B454" s="569">
        <f t="shared" ref="B454:R454" si="50">SUM(B419:B453)</f>
        <v>1975</v>
      </c>
      <c r="C454" s="223">
        <f t="shared" si="50"/>
        <v>300000000</v>
      </c>
      <c r="D454" s="223">
        <f t="shared" si="50"/>
        <v>60000000</v>
      </c>
      <c r="E454" s="223">
        <f t="shared" si="50"/>
        <v>400000</v>
      </c>
      <c r="F454" s="223">
        <f t="shared" si="50"/>
        <v>80000</v>
      </c>
      <c r="G454" s="223">
        <f t="shared" si="50"/>
        <v>0</v>
      </c>
      <c r="H454" s="223">
        <f t="shared" si="50"/>
        <v>3000</v>
      </c>
      <c r="I454" s="223">
        <f t="shared" si="50"/>
        <v>0</v>
      </c>
      <c r="J454" s="223">
        <f t="shared" si="50"/>
        <v>0</v>
      </c>
      <c r="K454" s="223">
        <f t="shared" si="50"/>
        <v>0</v>
      </c>
      <c r="L454" s="223">
        <f t="shared" si="50"/>
        <v>886</v>
      </c>
      <c r="M454" s="223"/>
      <c r="N454" s="414">
        <f>N407+N419+N421</f>
        <v>458202</v>
      </c>
      <c r="O454" s="414">
        <f>O407+O419+O421</f>
        <v>0</v>
      </c>
      <c r="P454" s="413">
        <f t="shared" si="50"/>
        <v>308085662</v>
      </c>
      <c r="Q454" s="413">
        <f t="shared" si="50"/>
        <v>297993065.68000001</v>
      </c>
      <c r="R454" s="413">
        <f t="shared" si="50"/>
        <v>5898470912.1875</v>
      </c>
      <c r="S454" s="351"/>
      <c r="T454" s="466" t="e">
        <f>#REF!/#REF!</f>
        <v>#REF!</v>
      </c>
      <c r="U454" s="215" t="s">
        <v>21</v>
      </c>
      <c r="W454" s="443"/>
      <c r="X454" s="541"/>
      <c r="Y454" s="541"/>
    </row>
    <row r="455" spans="1:25" ht="17.25" customHeight="1" thickTop="1" thickBot="1">
      <c r="A455" s="216"/>
      <c r="B455" s="278"/>
      <c r="S455" s="303" t="e">
        <f>SUM(S8:S454)</f>
        <v>#REF!</v>
      </c>
      <c r="T455" s="467"/>
      <c r="W455" s="443"/>
      <c r="X455" s="541"/>
      <c r="Y455" s="541"/>
    </row>
    <row r="456" spans="1:25" ht="17.25" customHeight="1">
      <c r="A456" s="216"/>
      <c r="B456" s="278"/>
      <c r="S456" s="218"/>
      <c r="W456" s="443"/>
      <c r="X456" s="541"/>
      <c r="Y456" s="541"/>
    </row>
    <row r="457" spans="1:25" ht="17.25" customHeight="1">
      <c r="A457" s="216"/>
      <c r="B457" s="278"/>
      <c r="S457" s="218"/>
      <c r="W457" s="443"/>
      <c r="X457" s="541"/>
      <c r="Y457" s="541"/>
    </row>
    <row r="458" spans="1:25" ht="17.25" customHeight="1">
      <c r="A458" s="336" t="s">
        <v>204</v>
      </c>
      <c r="B458" s="566"/>
      <c r="C458" s="337"/>
      <c r="D458" s="337"/>
      <c r="E458" s="337"/>
      <c r="F458" s="337"/>
      <c r="G458" s="337"/>
      <c r="H458" s="337"/>
      <c r="I458" s="337"/>
      <c r="J458" s="1173" t="s">
        <v>82</v>
      </c>
      <c r="K458" s="1173"/>
      <c r="L458" s="1173"/>
      <c r="M458" s="1173"/>
      <c r="N458" s="1173"/>
      <c r="O458" s="1173"/>
      <c r="P458" s="1173"/>
      <c r="Q458" s="1173"/>
      <c r="R458" s="1173"/>
      <c r="S458" s="218"/>
      <c r="W458" s="443"/>
      <c r="X458" s="541"/>
      <c r="Y458" s="541"/>
    </row>
    <row r="459" spans="1:25" ht="17.25" customHeight="1">
      <c r="A459" s="216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8"/>
      <c r="W459" s="443"/>
      <c r="X459" s="541"/>
      <c r="Y459" s="541"/>
    </row>
    <row r="460" spans="1:25" ht="17.25" customHeight="1">
      <c r="A460" s="216"/>
      <c r="B460" s="278"/>
      <c r="S460" s="218"/>
      <c r="W460" s="443"/>
      <c r="X460" s="541"/>
      <c r="Y460" s="541"/>
    </row>
    <row r="461" spans="1:25" ht="17.25" customHeight="1">
      <c r="B461" s="278"/>
      <c r="S461" s="218"/>
      <c r="W461" s="443"/>
      <c r="X461" s="541"/>
      <c r="Y461" s="541"/>
    </row>
    <row r="462" spans="1:25" ht="17.25" customHeight="1">
      <c r="B462" s="278"/>
      <c r="S462" s="218"/>
      <c r="W462" s="443"/>
      <c r="X462" s="541"/>
      <c r="Y462" s="541"/>
    </row>
    <row r="463" spans="1:25" ht="17.25" customHeight="1">
      <c r="A463" s="215" t="s">
        <v>0</v>
      </c>
      <c r="B463" s="278"/>
      <c r="S463" s="218"/>
    </row>
    <row r="464" spans="1:25" ht="17.25" customHeight="1">
      <c r="A464" s="215" t="str">
        <f>A4</f>
        <v>DENOMINATION FOR NOVEMBER 2017</v>
      </c>
      <c r="D464" s="281"/>
      <c r="E464" s="281"/>
      <c r="L464" s="281"/>
      <c r="M464" s="281"/>
      <c r="N464" s="281"/>
      <c r="O464" s="281"/>
      <c r="P464" s="281"/>
      <c r="Q464" s="281"/>
    </row>
    <row r="465" spans="1:25" ht="17.25" customHeight="1">
      <c r="A465" s="215" t="s">
        <v>45</v>
      </c>
      <c r="D465" s="281"/>
      <c r="E465" s="281"/>
      <c r="L465" s="281"/>
      <c r="M465" s="281"/>
      <c r="N465" s="281"/>
      <c r="O465" s="281"/>
      <c r="P465" s="281"/>
      <c r="Q465" s="281"/>
    </row>
    <row r="466" spans="1:25" ht="17.25" customHeight="1" thickBot="1">
      <c r="D466" s="281"/>
      <c r="E466" s="281"/>
      <c r="L466" s="281"/>
      <c r="M466" s="281"/>
      <c r="N466" s="281"/>
      <c r="O466" s="281"/>
      <c r="P466" s="281"/>
      <c r="Q466" s="281"/>
    </row>
    <row r="467" spans="1:25" ht="17.25" customHeight="1" thickTop="1">
      <c r="A467" s="570" t="s">
        <v>1</v>
      </c>
      <c r="B467" s="572" t="s">
        <v>15</v>
      </c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82"/>
      <c r="N467" s="282"/>
      <c r="O467" s="282"/>
      <c r="P467" s="282"/>
      <c r="Q467" s="282"/>
      <c r="R467" s="283"/>
    </row>
    <row r="468" spans="1:25" ht="17.25" customHeight="1" thickBot="1">
      <c r="A468" s="571"/>
      <c r="B468" s="284"/>
      <c r="C468" s="223">
        <v>100000</v>
      </c>
      <c r="D468" s="223">
        <v>50000</v>
      </c>
      <c r="E468" s="223">
        <v>20000</v>
      </c>
      <c r="F468" s="223">
        <v>10000</v>
      </c>
      <c r="G468" s="223">
        <v>5000</v>
      </c>
      <c r="H468" s="223">
        <v>1000</v>
      </c>
      <c r="I468" s="223">
        <v>500</v>
      </c>
      <c r="J468" s="223">
        <v>100</v>
      </c>
      <c r="K468" s="223">
        <v>50</v>
      </c>
      <c r="L468" s="223" t="s">
        <v>2</v>
      </c>
      <c r="M468" s="285"/>
      <c r="N468" s="285"/>
      <c r="O468" s="285"/>
      <c r="P468" s="285"/>
      <c r="Q468" s="285"/>
      <c r="R468" s="286" t="s">
        <v>3</v>
      </c>
    </row>
    <row r="469" spans="1:25" ht="17.25" customHeight="1" thickTop="1">
      <c r="A469" s="287"/>
      <c r="B469" s="533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9"/>
      <c r="N469" s="289"/>
      <c r="O469" s="289"/>
      <c r="P469" s="289"/>
      <c r="Q469" s="289"/>
      <c r="R469" s="290"/>
    </row>
    <row r="470" spans="1:25" ht="17.25" customHeight="1">
      <c r="A470" s="291"/>
      <c r="B470" s="310"/>
      <c r="C470" s="293"/>
      <c r="D470" s="293"/>
      <c r="E470" s="293"/>
      <c r="F470" s="293"/>
      <c r="G470" s="293"/>
      <c r="H470" s="293"/>
      <c r="I470" s="293"/>
      <c r="J470" s="293"/>
      <c r="K470" s="293"/>
      <c r="L470" s="293"/>
      <c r="M470" s="294"/>
      <c r="N470" s="294"/>
      <c r="O470" s="294"/>
      <c r="P470" s="294"/>
      <c r="Q470" s="294"/>
      <c r="R470" s="295">
        <f>SUM(C470:L470)</f>
        <v>0</v>
      </c>
    </row>
    <row r="471" spans="1:25" s="242" customFormat="1" ht="17.25" customHeight="1">
      <c r="A471" s="291"/>
      <c r="B471" s="292"/>
      <c r="C471" s="293"/>
      <c r="D471" s="293"/>
      <c r="E471" s="293"/>
      <c r="F471" s="293"/>
      <c r="G471" s="293"/>
      <c r="H471" s="293"/>
      <c r="I471" s="293"/>
      <c r="J471" s="293"/>
      <c r="K471" s="293"/>
      <c r="L471" s="293"/>
      <c r="M471" s="294"/>
      <c r="N471" s="294"/>
      <c r="O471" s="294"/>
      <c r="P471" s="294"/>
      <c r="Q471" s="294"/>
      <c r="R471" s="295"/>
      <c r="X471" s="353"/>
      <c r="Y471" s="353"/>
    </row>
    <row r="472" spans="1:25" ht="17.25" customHeight="1">
      <c r="A472" s="291"/>
      <c r="B472" s="292"/>
      <c r="C472" s="293"/>
      <c r="D472" s="293"/>
      <c r="E472" s="293"/>
      <c r="F472" s="293"/>
      <c r="G472" s="293"/>
      <c r="H472" s="293"/>
      <c r="I472" s="293"/>
      <c r="J472" s="293"/>
      <c r="K472" s="293"/>
      <c r="L472" s="293"/>
      <c r="M472" s="294"/>
      <c r="N472" s="294"/>
      <c r="O472" s="294"/>
      <c r="P472" s="294"/>
      <c r="Q472" s="294"/>
      <c r="R472" s="295"/>
    </row>
    <row r="473" spans="1:25" ht="17.25" customHeight="1">
      <c r="A473" s="468"/>
      <c r="B473" s="292"/>
      <c r="C473" s="293"/>
      <c r="D473" s="293"/>
      <c r="E473" s="293"/>
      <c r="F473" s="293"/>
      <c r="G473" s="293"/>
      <c r="H473" s="293"/>
      <c r="I473" s="293"/>
      <c r="J473" s="293"/>
      <c r="K473" s="293"/>
      <c r="L473" s="293"/>
      <c r="M473" s="294"/>
      <c r="N473" s="294"/>
      <c r="O473" s="294"/>
      <c r="P473" s="294"/>
      <c r="Q473" s="294"/>
      <c r="R473" s="295"/>
    </row>
    <row r="474" spans="1:25" ht="17.25" customHeight="1">
      <c r="A474" s="469"/>
      <c r="B474" s="470"/>
      <c r="C474" s="471"/>
      <c r="D474" s="471"/>
      <c r="E474" s="471"/>
      <c r="F474" s="471"/>
      <c r="G474" s="471"/>
      <c r="H474" s="471"/>
      <c r="I474" s="471"/>
      <c r="J474" s="471"/>
      <c r="K474" s="471"/>
      <c r="L474" s="471"/>
      <c r="M474" s="472"/>
      <c r="N474" s="472"/>
      <c r="O474" s="472"/>
      <c r="P474" s="472"/>
      <c r="Q474" s="472"/>
      <c r="R474" s="473"/>
    </row>
    <row r="475" spans="1:25" ht="17.25" customHeight="1" thickBot="1">
      <c r="A475" s="375"/>
      <c r="B475" s="364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7"/>
      <c r="N475" s="377"/>
      <c r="O475" s="377"/>
      <c r="P475" s="377"/>
      <c r="Q475" s="377"/>
      <c r="R475" s="378"/>
    </row>
    <row r="476" spans="1:25" ht="17.25" customHeight="1" thickTop="1" thickBot="1">
      <c r="A476" s="319" t="s">
        <v>3</v>
      </c>
      <c r="B476" s="414">
        <f t="shared" ref="B476:R476" si="51">SUM(B469:B475)</f>
        <v>0</v>
      </c>
      <c r="C476" s="320">
        <f t="shared" si="51"/>
        <v>0</v>
      </c>
      <c r="D476" s="320">
        <f t="shared" si="51"/>
        <v>0</v>
      </c>
      <c r="E476" s="320">
        <f t="shared" si="51"/>
        <v>0</v>
      </c>
      <c r="F476" s="320">
        <f t="shared" si="51"/>
        <v>0</v>
      </c>
      <c r="G476" s="320">
        <f t="shared" si="51"/>
        <v>0</v>
      </c>
      <c r="H476" s="320">
        <f t="shared" si="51"/>
        <v>0</v>
      </c>
      <c r="I476" s="320">
        <f t="shared" si="51"/>
        <v>0</v>
      </c>
      <c r="J476" s="320">
        <f t="shared" si="51"/>
        <v>0</v>
      </c>
      <c r="K476" s="320">
        <f t="shared" si="51"/>
        <v>0</v>
      </c>
      <c r="L476" s="320">
        <f t="shared" si="51"/>
        <v>0</v>
      </c>
      <c r="M476" s="320">
        <f t="shared" si="51"/>
        <v>0</v>
      </c>
      <c r="N476" s="415"/>
      <c r="O476" s="415"/>
      <c r="P476" s="415"/>
      <c r="Q476" s="415"/>
      <c r="R476" s="413">
        <f t="shared" si="51"/>
        <v>0</v>
      </c>
    </row>
    <row r="477" spans="1:25" ht="17.25" customHeight="1" thickTop="1">
      <c r="A477" s="216"/>
    </row>
    <row r="478" spans="1:25" ht="17.25" customHeight="1">
      <c r="A478" s="216"/>
      <c r="B478" s="278"/>
    </row>
    <row r="479" spans="1:25" ht="17.25" customHeight="1">
      <c r="A479" s="216"/>
      <c r="B479" s="278"/>
    </row>
    <row r="480" spans="1:25" ht="17.25" customHeight="1">
      <c r="A480" s="216"/>
      <c r="B480" s="278"/>
    </row>
    <row r="481" spans="1:25" ht="17.25" customHeight="1">
      <c r="A481" s="216"/>
      <c r="B481" s="278"/>
    </row>
    <row r="482" spans="1:25" ht="17.25" customHeight="1">
      <c r="A482" s="336" t="s">
        <v>80</v>
      </c>
      <c r="B482" s="278"/>
    </row>
    <row r="483" spans="1:25" ht="17.25" customHeight="1">
      <c r="A483" s="216"/>
      <c r="B483" s="566"/>
      <c r="C483" s="337"/>
      <c r="D483" s="1173" t="s">
        <v>81</v>
      </c>
      <c r="E483" s="1173"/>
      <c r="F483" s="1173"/>
      <c r="G483" s="1173"/>
      <c r="H483" s="337"/>
      <c r="I483" s="337"/>
      <c r="J483" s="1173" t="s">
        <v>82</v>
      </c>
      <c r="K483" s="1173"/>
      <c r="L483" s="1173"/>
      <c r="M483" s="1173"/>
      <c r="N483" s="1173"/>
      <c r="O483" s="1173"/>
      <c r="P483" s="1173"/>
      <c r="Q483" s="1173"/>
      <c r="R483" s="1173"/>
    </row>
    <row r="484" spans="1:25" ht="17.25" customHeight="1">
      <c r="A484" s="216"/>
      <c r="B484" s="278"/>
    </row>
    <row r="485" spans="1:25" ht="17.25" customHeight="1">
      <c r="A485" s="216"/>
      <c r="B485" s="278"/>
    </row>
    <row r="486" spans="1:25" ht="17.25" customHeight="1">
      <c r="A486" s="216"/>
      <c r="B486" s="278"/>
    </row>
    <row r="487" spans="1:25" ht="17.25" customHeight="1">
      <c r="B487" s="278"/>
    </row>
    <row r="488" spans="1:25" ht="17.25" customHeight="1">
      <c r="A488" s="215" t="s">
        <v>0</v>
      </c>
      <c r="D488" s="281"/>
      <c r="E488" s="281"/>
      <c r="L488" s="281"/>
      <c r="M488" s="281"/>
      <c r="N488" s="281"/>
      <c r="O488" s="281"/>
      <c r="P488" s="281"/>
      <c r="Q488" s="281"/>
    </row>
    <row r="489" spans="1:25" ht="17.25" customHeight="1">
      <c r="A489" s="215" t="str">
        <f>A4</f>
        <v>DENOMINATION FOR NOVEMBER 2017</v>
      </c>
      <c r="D489" s="281"/>
      <c r="E489" s="281"/>
      <c r="L489" s="281"/>
      <c r="M489" s="281"/>
      <c r="N489" s="281"/>
      <c r="O489" s="281"/>
      <c r="P489" s="281"/>
      <c r="Q489" s="281"/>
    </row>
    <row r="490" spans="1:25" ht="17.25" customHeight="1">
      <c r="A490" s="215" t="s">
        <v>46</v>
      </c>
      <c r="D490" s="281"/>
      <c r="E490" s="281"/>
      <c r="L490" s="281"/>
      <c r="M490" s="281"/>
      <c r="N490" s="281"/>
      <c r="O490" s="281"/>
      <c r="P490" s="281"/>
      <c r="Q490" s="281"/>
    </row>
    <row r="491" spans="1:25" ht="17.25" customHeight="1" thickBot="1">
      <c r="D491" s="281"/>
      <c r="E491" s="281"/>
      <c r="L491" s="281"/>
      <c r="M491" s="281"/>
      <c r="N491" s="281"/>
      <c r="O491" s="281"/>
      <c r="P491" s="281"/>
      <c r="Q491" s="281"/>
    </row>
    <row r="492" spans="1:25" ht="17.25" customHeight="1" thickTop="1">
      <c r="A492" s="570" t="s">
        <v>1</v>
      </c>
      <c r="B492" s="572" t="s">
        <v>15</v>
      </c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82"/>
      <c r="N492" s="574"/>
      <c r="O492" s="574"/>
      <c r="P492" s="574"/>
      <c r="Q492" s="574"/>
      <c r="R492" s="283"/>
    </row>
    <row r="493" spans="1:25" ht="17.25" customHeight="1" thickBot="1">
      <c r="A493" s="571"/>
      <c r="B493" s="284"/>
      <c r="C493" s="223">
        <v>100000</v>
      </c>
      <c r="D493" s="223">
        <v>50000</v>
      </c>
      <c r="E493" s="223">
        <v>20000</v>
      </c>
      <c r="F493" s="223">
        <v>10000</v>
      </c>
      <c r="G493" s="223">
        <v>5000</v>
      </c>
      <c r="H493" s="223">
        <v>1000</v>
      </c>
      <c r="I493" s="223">
        <v>500</v>
      </c>
      <c r="J493" s="223">
        <v>100</v>
      </c>
      <c r="K493" s="223">
        <v>50</v>
      </c>
      <c r="L493" s="223" t="s">
        <v>2</v>
      </c>
      <c r="M493" s="285"/>
      <c r="N493" s="575"/>
      <c r="O493" s="575"/>
      <c r="P493" s="575"/>
      <c r="Q493" s="575"/>
      <c r="R493" s="286" t="s">
        <v>3</v>
      </c>
    </row>
    <row r="494" spans="1:25" ht="17.25" customHeight="1" thickTop="1">
      <c r="A494" s="287"/>
      <c r="B494" s="533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9"/>
      <c r="N494" s="289"/>
      <c r="O494" s="289"/>
      <c r="P494" s="289"/>
      <c r="Q494" s="289"/>
      <c r="R494" s="290"/>
    </row>
    <row r="495" spans="1:25" ht="17.25" customHeight="1">
      <c r="A495" s="234"/>
      <c r="B495" s="277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60"/>
      <c r="N495" s="260"/>
      <c r="O495" s="260"/>
      <c r="P495" s="260"/>
      <c r="Q495" s="260"/>
      <c r="R495" s="247">
        <f>SUM(C495:L495)</f>
        <v>0</v>
      </c>
    </row>
    <row r="496" spans="1:25" s="242" customFormat="1" ht="17.25" customHeight="1">
      <c r="A496" s="234"/>
      <c r="B496" s="235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60"/>
      <c r="N496" s="260"/>
      <c r="O496" s="260"/>
      <c r="P496" s="260"/>
      <c r="Q496" s="260"/>
      <c r="R496" s="247"/>
      <c r="X496" s="353"/>
      <c r="Y496" s="353"/>
    </row>
    <row r="497" spans="1:18" ht="17.25" customHeight="1">
      <c r="A497" s="234"/>
      <c r="B497" s="235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60"/>
      <c r="N497" s="260"/>
      <c r="O497" s="260"/>
      <c r="P497" s="260"/>
      <c r="Q497" s="260"/>
      <c r="R497" s="247"/>
    </row>
    <row r="498" spans="1:18" ht="17.25" customHeight="1">
      <c r="A498" s="234"/>
      <c r="B498" s="235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60"/>
      <c r="N498" s="260"/>
      <c r="O498" s="260"/>
      <c r="P498" s="260"/>
      <c r="Q498" s="260"/>
      <c r="R498" s="247"/>
    </row>
    <row r="499" spans="1:18" ht="17.25" customHeight="1">
      <c r="A499" s="234"/>
      <c r="B499" s="235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60"/>
      <c r="N499" s="260"/>
      <c r="O499" s="260"/>
      <c r="P499" s="260"/>
      <c r="Q499" s="260"/>
      <c r="R499" s="247"/>
    </row>
    <row r="500" spans="1:18" ht="17.25" customHeight="1" thickBot="1">
      <c r="A500" s="226"/>
      <c r="B500" s="474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370"/>
      <c r="N500" s="370"/>
      <c r="O500" s="370"/>
      <c r="P500" s="370"/>
      <c r="Q500" s="370"/>
      <c r="R500" s="564"/>
    </row>
    <row r="501" spans="1:18" ht="17.25" customHeight="1" thickTop="1" thickBot="1">
      <c r="A501" s="261" t="s">
        <v>3</v>
      </c>
      <c r="B501" s="262">
        <f>SUM(B494:B500)</f>
        <v>0</v>
      </c>
      <c r="C501" s="263">
        <f>SUM(C494:C500)</f>
        <v>0</v>
      </c>
      <c r="D501" s="263">
        <f t="shared" ref="D501:R501" si="52">SUM(D494:D500)</f>
        <v>0</v>
      </c>
      <c r="E501" s="263">
        <f t="shared" si="52"/>
        <v>0</v>
      </c>
      <c r="F501" s="263">
        <f t="shared" si="52"/>
        <v>0</v>
      </c>
      <c r="G501" s="263">
        <f t="shared" si="52"/>
        <v>0</v>
      </c>
      <c r="H501" s="263">
        <f t="shared" si="52"/>
        <v>0</v>
      </c>
      <c r="I501" s="263">
        <f t="shared" si="52"/>
        <v>0</v>
      </c>
      <c r="J501" s="263">
        <f t="shared" si="52"/>
        <v>0</v>
      </c>
      <c r="K501" s="263">
        <f t="shared" si="52"/>
        <v>0</v>
      </c>
      <c r="L501" s="263">
        <f t="shared" si="52"/>
        <v>0</v>
      </c>
      <c r="M501" s="263">
        <f t="shared" si="52"/>
        <v>0</v>
      </c>
      <c r="N501" s="264"/>
      <c r="O501" s="264"/>
      <c r="P501" s="264"/>
      <c r="Q501" s="264"/>
      <c r="R501" s="265">
        <f t="shared" si="52"/>
        <v>0</v>
      </c>
    </row>
    <row r="502" spans="1:18" ht="17.25" customHeight="1" thickTop="1">
      <c r="A502" s="336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</row>
    <row r="503" spans="1:18" ht="17.25" customHeight="1">
      <c r="A503" s="336"/>
      <c r="B503" s="566"/>
      <c r="C503" s="337"/>
      <c r="D503" s="337"/>
      <c r="E503" s="337"/>
      <c r="F503" s="337"/>
      <c r="G503" s="337"/>
      <c r="H503" s="337"/>
      <c r="I503" s="337"/>
      <c r="J503" s="337"/>
      <c r="K503" s="337"/>
      <c r="L503" s="337"/>
      <c r="M503" s="337"/>
      <c r="N503" s="337"/>
      <c r="O503" s="337"/>
      <c r="P503" s="337"/>
      <c r="Q503" s="337"/>
      <c r="R503" s="337"/>
    </row>
    <row r="504" spans="1:18" ht="17.25" customHeight="1">
      <c r="A504" s="336"/>
      <c r="B504" s="566"/>
      <c r="C504" s="337"/>
      <c r="D504" s="337"/>
      <c r="E504" s="337"/>
      <c r="F504" s="337"/>
      <c r="G504" s="337"/>
      <c r="H504" s="337"/>
      <c r="I504" s="337"/>
      <c r="J504" s="337"/>
      <c r="K504" s="337"/>
      <c r="L504" s="337"/>
      <c r="M504" s="337"/>
      <c r="N504" s="337"/>
      <c r="O504" s="337"/>
      <c r="P504" s="337"/>
      <c r="Q504" s="337"/>
      <c r="R504" s="337"/>
    </row>
    <row r="505" spans="1:18" ht="17.25" customHeight="1">
      <c r="A505" s="336"/>
      <c r="B505" s="566"/>
      <c r="C505" s="337"/>
      <c r="D505" s="337"/>
      <c r="E505" s="337"/>
      <c r="F505" s="337"/>
      <c r="G505" s="337"/>
      <c r="H505" s="337"/>
      <c r="I505" s="337"/>
      <c r="J505" s="337"/>
      <c r="K505" s="337"/>
      <c r="L505" s="337"/>
      <c r="M505" s="337"/>
      <c r="N505" s="337"/>
      <c r="O505" s="337"/>
      <c r="P505" s="337"/>
      <c r="Q505" s="337"/>
      <c r="R505" s="337"/>
    </row>
    <row r="506" spans="1:18" ht="17.25" customHeight="1">
      <c r="A506" s="336"/>
      <c r="B506" s="566"/>
      <c r="C506" s="337"/>
      <c r="D506" s="337"/>
      <c r="E506" s="337"/>
      <c r="F506" s="337"/>
      <c r="G506" s="337"/>
      <c r="H506" s="337"/>
      <c r="I506" s="337"/>
      <c r="J506" s="337"/>
      <c r="K506" s="337"/>
      <c r="L506" s="337"/>
      <c r="M506" s="337"/>
      <c r="N506" s="337"/>
      <c r="O506" s="337"/>
      <c r="P506" s="337"/>
      <c r="Q506" s="337"/>
      <c r="R506" s="337"/>
    </row>
    <row r="507" spans="1:18" ht="17.25" customHeight="1">
      <c r="A507" s="336" t="s">
        <v>80</v>
      </c>
      <c r="B507" s="566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</row>
    <row r="508" spans="1:18" ht="17.25" customHeight="1">
      <c r="A508" s="216"/>
      <c r="B508" s="566"/>
      <c r="C508" s="337"/>
      <c r="D508" s="1173" t="s">
        <v>81</v>
      </c>
      <c r="E508" s="1173"/>
      <c r="F508" s="1173"/>
      <c r="G508" s="1173"/>
      <c r="H508" s="337"/>
      <c r="I508" s="337"/>
      <c r="J508" s="1173" t="s">
        <v>82</v>
      </c>
      <c r="K508" s="1173"/>
      <c r="L508" s="1173"/>
      <c r="M508" s="1173"/>
      <c r="N508" s="1173"/>
      <c r="O508" s="1173"/>
      <c r="P508" s="1173"/>
      <c r="Q508" s="1173"/>
      <c r="R508" s="1173"/>
    </row>
    <row r="509" spans="1:18" ht="17.25" customHeight="1">
      <c r="A509" s="216"/>
      <c r="B509" s="278"/>
    </row>
    <row r="510" spans="1:18" ht="17.25" customHeight="1">
      <c r="A510" s="215" t="str">
        <f>A4</f>
        <v>DENOMINATION FOR NOVEMBER 2017</v>
      </c>
      <c r="B510" s="278"/>
    </row>
    <row r="511" spans="1:18" ht="17.25" customHeight="1">
      <c r="A511" s="215" t="s">
        <v>48</v>
      </c>
      <c r="D511" s="281"/>
      <c r="E511" s="281"/>
      <c r="L511" s="281"/>
      <c r="M511" s="281"/>
      <c r="N511" s="281"/>
      <c r="O511" s="281"/>
      <c r="P511" s="281"/>
      <c r="Q511" s="281"/>
    </row>
    <row r="512" spans="1:18" ht="17.25" customHeight="1" thickBot="1">
      <c r="D512" s="281"/>
      <c r="E512" s="281"/>
      <c r="L512" s="281"/>
      <c r="M512" s="281"/>
      <c r="N512" s="281"/>
      <c r="O512" s="281"/>
      <c r="P512" s="281"/>
      <c r="Q512" s="281"/>
    </row>
    <row r="513" spans="1:25" ht="17.25" customHeight="1" thickTop="1">
      <c r="A513" s="570" t="s">
        <v>1</v>
      </c>
      <c r="B513" s="572" t="s">
        <v>15</v>
      </c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82"/>
      <c r="N513" s="282">
        <f>N492</f>
        <v>0</v>
      </c>
      <c r="O513" s="282"/>
      <c r="P513" s="282"/>
      <c r="Q513" s="282"/>
      <c r="R513" s="283"/>
    </row>
    <row r="514" spans="1:25" ht="17.25" customHeight="1" thickBot="1">
      <c r="A514" s="571"/>
      <c r="B514" s="284"/>
      <c r="C514" s="223">
        <v>100000</v>
      </c>
      <c r="D514" s="223">
        <v>50000</v>
      </c>
      <c r="E514" s="223">
        <v>20000</v>
      </c>
      <c r="F514" s="223">
        <v>10000</v>
      </c>
      <c r="G514" s="223">
        <v>5000</v>
      </c>
      <c r="H514" s="223">
        <v>1000</v>
      </c>
      <c r="I514" s="223">
        <v>500</v>
      </c>
      <c r="J514" s="223">
        <v>100</v>
      </c>
      <c r="K514" s="223">
        <v>50</v>
      </c>
      <c r="L514" s="223" t="s">
        <v>2</v>
      </c>
      <c r="M514" s="285"/>
      <c r="N514" s="285">
        <f>N493</f>
        <v>0</v>
      </c>
      <c r="O514" s="285"/>
      <c r="P514" s="285"/>
      <c r="Q514" s="285"/>
      <c r="R514" s="286" t="s">
        <v>3</v>
      </c>
    </row>
    <row r="515" spans="1:25" ht="17.25" customHeight="1" thickTop="1">
      <c r="A515" s="287"/>
      <c r="B515" s="533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9"/>
      <c r="N515" s="289"/>
      <c r="O515" s="289"/>
      <c r="P515" s="289"/>
      <c r="Q515" s="289"/>
      <c r="R515" s="290"/>
    </row>
    <row r="516" spans="1:25" ht="17.25" customHeight="1">
      <c r="A516" s="234"/>
      <c r="B516" s="277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60"/>
      <c r="N516" s="260"/>
      <c r="O516" s="260"/>
      <c r="P516" s="260"/>
      <c r="Q516" s="260"/>
      <c r="R516" s="247">
        <f>SUM(C516:L516)</f>
        <v>0</v>
      </c>
    </row>
    <row r="517" spans="1:25" s="242" customFormat="1" ht="17.25" customHeight="1">
      <c r="A517" s="234"/>
      <c r="B517" s="235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60"/>
      <c r="N517" s="260"/>
      <c r="O517" s="260"/>
      <c r="P517" s="260"/>
      <c r="Q517" s="260"/>
      <c r="R517" s="247"/>
      <c r="X517" s="353"/>
      <c r="Y517" s="353"/>
    </row>
    <row r="518" spans="1:25" ht="17.25" customHeight="1">
      <c r="A518" s="234"/>
      <c r="B518" s="235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60"/>
      <c r="N518" s="260"/>
      <c r="O518" s="260"/>
      <c r="P518" s="260"/>
      <c r="Q518" s="260"/>
      <c r="R518" s="247">
        <f>SUM(C518:L518)</f>
        <v>0</v>
      </c>
    </row>
    <row r="519" spans="1:25" ht="17.25" customHeight="1">
      <c r="A519" s="234"/>
      <c r="B519" s="235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60"/>
      <c r="N519" s="260"/>
      <c r="O519" s="260"/>
      <c r="P519" s="260"/>
      <c r="Q519" s="260"/>
      <c r="R519" s="247"/>
    </row>
    <row r="520" spans="1:25" ht="17.25" customHeight="1">
      <c r="A520" s="234"/>
      <c r="B520" s="235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60"/>
      <c r="N520" s="260"/>
      <c r="O520" s="260"/>
      <c r="P520" s="260"/>
      <c r="Q520" s="260"/>
      <c r="R520" s="247"/>
    </row>
    <row r="521" spans="1:25" ht="17.25" customHeight="1" thickBot="1">
      <c r="A521" s="234"/>
      <c r="B521" s="235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60"/>
      <c r="N521" s="260"/>
      <c r="O521" s="260"/>
      <c r="P521" s="260"/>
      <c r="Q521" s="260"/>
      <c r="R521" s="247"/>
    </row>
    <row r="522" spans="1:25" ht="17.25" customHeight="1" thickTop="1" thickBot="1">
      <c r="A522" s="261" t="s">
        <v>3</v>
      </c>
      <c r="B522" s="262">
        <f t="shared" ref="B522:R522" si="53">SUM(B515:B521)</f>
        <v>0</v>
      </c>
      <c r="C522" s="263">
        <f t="shared" si="53"/>
        <v>0</v>
      </c>
      <c r="D522" s="263">
        <f t="shared" si="53"/>
        <v>0</v>
      </c>
      <c r="E522" s="263">
        <f t="shared" si="53"/>
        <v>0</v>
      </c>
      <c r="F522" s="263">
        <f t="shared" si="53"/>
        <v>0</v>
      </c>
      <c r="G522" s="263">
        <f t="shared" si="53"/>
        <v>0</v>
      </c>
      <c r="H522" s="263">
        <f t="shared" si="53"/>
        <v>0</v>
      </c>
      <c r="I522" s="263">
        <f t="shared" si="53"/>
        <v>0</v>
      </c>
      <c r="J522" s="263">
        <f t="shared" si="53"/>
        <v>0</v>
      </c>
      <c r="K522" s="263">
        <f t="shared" si="53"/>
        <v>0</v>
      </c>
      <c r="L522" s="263">
        <f t="shared" si="53"/>
        <v>0</v>
      </c>
      <c r="M522" s="263">
        <f t="shared" si="53"/>
        <v>0</v>
      </c>
      <c r="N522" s="264"/>
      <c r="O522" s="264"/>
      <c r="P522" s="264"/>
      <c r="Q522" s="264"/>
      <c r="R522" s="265">
        <f t="shared" si="53"/>
        <v>0</v>
      </c>
    </row>
    <row r="523" spans="1:25" ht="17.25" customHeight="1" thickTop="1">
      <c r="A523" s="336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</row>
    <row r="524" spans="1:25" ht="17.25" customHeight="1">
      <c r="A524" s="336"/>
      <c r="B524" s="566"/>
      <c r="C524" s="337"/>
      <c r="D524" s="337"/>
      <c r="E524" s="337"/>
      <c r="F524" s="337"/>
      <c r="G524" s="337"/>
      <c r="H524" s="337"/>
      <c r="I524" s="337"/>
      <c r="J524" s="337"/>
      <c r="K524" s="337"/>
      <c r="L524" s="337"/>
      <c r="M524" s="337"/>
      <c r="N524" s="337"/>
      <c r="O524" s="337"/>
      <c r="P524" s="337"/>
      <c r="Q524" s="337"/>
      <c r="R524" s="337"/>
    </row>
    <row r="525" spans="1:25" ht="17.25" customHeight="1">
      <c r="A525" s="336"/>
      <c r="B525" s="566"/>
      <c r="C525" s="337"/>
      <c r="D525" s="337"/>
      <c r="E525" s="337"/>
      <c r="F525" s="337"/>
      <c r="G525" s="337"/>
      <c r="H525" s="337"/>
      <c r="I525" s="337"/>
      <c r="J525" s="337"/>
      <c r="K525" s="337"/>
      <c r="L525" s="337"/>
      <c r="M525" s="337"/>
      <c r="N525" s="337"/>
      <c r="O525" s="337"/>
      <c r="P525" s="337"/>
      <c r="Q525" s="337"/>
      <c r="R525" s="337"/>
    </row>
    <row r="526" spans="1:25" ht="17.25" customHeight="1">
      <c r="A526" s="336"/>
      <c r="B526" s="566"/>
      <c r="C526" s="337"/>
      <c r="D526" s="337"/>
      <c r="E526" s="337"/>
      <c r="F526" s="337"/>
      <c r="G526" s="337"/>
      <c r="H526" s="337"/>
      <c r="I526" s="337"/>
      <c r="J526" s="337"/>
      <c r="K526" s="337"/>
      <c r="L526" s="337"/>
      <c r="M526" s="337"/>
      <c r="N526" s="337"/>
      <c r="O526" s="337"/>
      <c r="P526" s="337"/>
      <c r="Q526" s="337"/>
      <c r="R526" s="337"/>
    </row>
    <row r="527" spans="1:25" ht="17.25" customHeight="1">
      <c r="A527" s="336"/>
      <c r="B527" s="566"/>
      <c r="C527" s="337"/>
      <c r="D527" s="337"/>
      <c r="E527" s="337"/>
      <c r="F527" s="337"/>
      <c r="G527" s="337"/>
      <c r="H527" s="337"/>
      <c r="I527" s="337"/>
      <c r="J527" s="337"/>
      <c r="K527" s="337"/>
      <c r="L527" s="337"/>
      <c r="M527" s="337"/>
      <c r="N527" s="337"/>
      <c r="O527" s="337"/>
      <c r="P527" s="337"/>
      <c r="Q527" s="337"/>
      <c r="R527" s="337"/>
    </row>
    <row r="528" spans="1:25" ht="17.25" customHeight="1">
      <c r="A528" s="336"/>
      <c r="B528" s="566"/>
      <c r="C528" s="337"/>
      <c r="D528" s="337"/>
      <c r="E528" s="337"/>
      <c r="F528" s="337"/>
      <c r="G528" s="337"/>
      <c r="H528" s="337"/>
      <c r="I528" s="337"/>
      <c r="J528" s="337"/>
      <c r="K528" s="337"/>
      <c r="L528" s="337"/>
      <c r="M528" s="337"/>
      <c r="N528" s="337"/>
      <c r="O528" s="337"/>
      <c r="P528" s="337"/>
      <c r="Q528" s="337"/>
      <c r="R528" s="337"/>
    </row>
    <row r="529" spans="1:25" ht="17.25" customHeight="1">
      <c r="A529" s="336" t="s">
        <v>80</v>
      </c>
      <c r="B529" s="566"/>
      <c r="C529" s="337"/>
      <c r="D529" s="337"/>
      <c r="E529" s="337"/>
      <c r="F529" s="337"/>
      <c r="G529" s="337"/>
      <c r="H529" s="337"/>
      <c r="I529" s="337"/>
      <c r="J529" s="337"/>
      <c r="K529" s="337"/>
      <c r="L529" s="337"/>
      <c r="M529" s="337"/>
      <c r="N529" s="337"/>
      <c r="O529" s="337"/>
      <c r="P529" s="337"/>
      <c r="Q529" s="337"/>
      <c r="R529" s="337"/>
    </row>
    <row r="530" spans="1:25" ht="17.25" customHeight="1">
      <c r="A530" s="336"/>
      <c r="B530" s="566"/>
      <c r="C530" s="337"/>
      <c r="D530" s="1173" t="s">
        <v>81</v>
      </c>
      <c r="E530" s="1173"/>
      <c r="F530" s="1173"/>
      <c r="G530" s="1173"/>
      <c r="H530" s="337"/>
      <c r="I530" s="337"/>
      <c r="J530" s="1173" t="s">
        <v>82</v>
      </c>
      <c r="K530" s="1173"/>
      <c r="L530" s="1173"/>
      <c r="M530" s="1173"/>
      <c r="N530" s="1173"/>
      <c r="O530" s="1173"/>
      <c r="P530" s="1173"/>
      <c r="Q530" s="1173"/>
      <c r="R530" s="1173"/>
    </row>
    <row r="531" spans="1:25" ht="17.25" customHeight="1">
      <c r="B531" s="566"/>
      <c r="C531" s="337"/>
      <c r="D531" s="337"/>
      <c r="E531" s="337"/>
      <c r="F531" s="337"/>
      <c r="G531" s="337"/>
      <c r="H531" s="337"/>
      <c r="I531" s="337"/>
      <c r="J531" s="337"/>
      <c r="K531" s="337"/>
      <c r="L531" s="337"/>
      <c r="M531" s="337"/>
      <c r="N531" s="337"/>
      <c r="O531" s="337"/>
      <c r="P531" s="337"/>
      <c r="Q531" s="337"/>
      <c r="R531" s="337"/>
    </row>
    <row r="532" spans="1:25" ht="17.25" customHeight="1">
      <c r="A532" s="215" t="s">
        <v>0</v>
      </c>
      <c r="D532" s="281"/>
      <c r="E532" s="281"/>
      <c r="L532" s="281"/>
      <c r="M532" s="281"/>
      <c r="N532" s="281"/>
      <c r="O532" s="281"/>
      <c r="P532" s="281"/>
      <c r="Q532" s="281"/>
    </row>
    <row r="533" spans="1:25" ht="17.25" customHeight="1">
      <c r="A533" s="215" t="str">
        <f>A4</f>
        <v>DENOMINATION FOR NOVEMBER 2017</v>
      </c>
      <c r="D533" s="281"/>
      <c r="E533" s="281"/>
      <c r="L533" s="281"/>
      <c r="M533" s="281"/>
      <c r="N533" s="281"/>
      <c r="O533" s="281"/>
      <c r="P533" s="281"/>
      <c r="Q533" s="281"/>
    </row>
    <row r="534" spans="1:25" ht="17.25" customHeight="1">
      <c r="A534" s="215" t="s">
        <v>47</v>
      </c>
      <c r="D534" s="281"/>
      <c r="E534" s="281"/>
      <c r="L534" s="281"/>
      <c r="M534" s="281"/>
      <c r="N534" s="281"/>
      <c r="O534" s="281"/>
      <c r="P534" s="281"/>
      <c r="Q534" s="281"/>
    </row>
    <row r="535" spans="1:25" ht="17.25" customHeight="1" thickBot="1">
      <c r="D535" s="281"/>
      <c r="E535" s="281"/>
      <c r="L535" s="281"/>
      <c r="M535" s="281"/>
      <c r="N535" s="281"/>
      <c r="O535" s="281"/>
      <c r="P535" s="281"/>
      <c r="Q535" s="281"/>
    </row>
    <row r="536" spans="1:25" ht="17.25" customHeight="1" thickTop="1">
      <c r="A536" s="570" t="s">
        <v>1</v>
      </c>
      <c r="B536" s="572" t="s">
        <v>15</v>
      </c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82"/>
      <c r="N536" s="282"/>
      <c r="O536" s="282"/>
      <c r="P536" s="282"/>
      <c r="Q536" s="282"/>
      <c r="R536" s="283"/>
    </row>
    <row r="537" spans="1:25" ht="17.25" customHeight="1" thickBot="1">
      <c r="A537" s="571"/>
      <c r="B537" s="284"/>
      <c r="C537" s="223">
        <v>100000</v>
      </c>
      <c r="D537" s="223">
        <v>50000</v>
      </c>
      <c r="E537" s="223">
        <v>20000</v>
      </c>
      <c r="F537" s="223">
        <v>10000</v>
      </c>
      <c r="G537" s="223">
        <v>5000</v>
      </c>
      <c r="H537" s="223">
        <v>1000</v>
      </c>
      <c r="I537" s="223">
        <v>500</v>
      </c>
      <c r="J537" s="223">
        <v>100</v>
      </c>
      <c r="K537" s="223">
        <v>50</v>
      </c>
      <c r="L537" s="223" t="s">
        <v>2</v>
      </c>
      <c r="M537" s="285"/>
      <c r="N537" s="285"/>
      <c r="O537" s="285"/>
      <c r="P537" s="285"/>
      <c r="Q537" s="285"/>
      <c r="R537" s="286" t="s">
        <v>3</v>
      </c>
    </row>
    <row r="538" spans="1:25" ht="17.25" customHeight="1" thickTop="1">
      <c r="A538" s="287"/>
      <c r="B538" s="533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9"/>
      <c r="N538" s="289"/>
      <c r="O538" s="289"/>
      <c r="P538" s="289"/>
      <c r="Q538" s="289"/>
      <c r="R538" s="290"/>
    </row>
    <row r="539" spans="1:25" ht="17.25" customHeight="1">
      <c r="A539" s="234"/>
      <c r="B539" s="277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60"/>
      <c r="N539" s="260"/>
      <c r="O539" s="260"/>
      <c r="P539" s="260"/>
      <c r="Q539" s="260"/>
      <c r="R539" s="247">
        <f>SUM(C539:L539)</f>
        <v>0</v>
      </c>
    </row>
    <row r="540" spans="1:25" s="242" customFormat="1" ht="17.25" customHeight="1">
      <c r="A540" s="234"/>
      <c r="B540" s="235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60"/>
      <c r="N540" s="260"/>
      <c r="O540" s="260"/>
      <c r="P540" s="260"/>
      <c r="Q540" s="260"/>
      <c r="R540" s="247"/>
      <c r="X540" s="353"/>
      <c r="Y540" s="353"/>
    </row>
    <row r="541" spans="1:25" ht="17.25" customHeight="1">
      <c r="A541" s="234"/>
      <c r="B541" s="235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60"/>
      <c r="N541" s="260"/>
      <c r="O541" s="260"/>
      <c r="P541" s="260"/>
      <c r="Q541" s="260"/>
      <c r="R541" s="247"/>
    </row>
    <row r="542" spans="1:25" ht="17.25" customHeight="1">
      <c r="A542" s="234"/>
      <c r="B542" s="235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60"/>
      <c r="N542" s="260"/>
      <c r="O542" s="260"/>
      <c r="P542" s="260"/>
      <c r="Q542" s="260"/>
      <c r="R542" s="247"/>
    </row>
    <row r="543" spans="1:25" ht="17.25" customHeight="1">
      <c r="A543" s="375"/>
      <c r="B543" s="364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7"/>
      <c r="N543" s="377"/>
      <c r="O543" s="377"/>
      <c r="P543" s="377"/>
      <c r="Q543" s="377"/>
      <c r="R543" s="378"/>
    </row>
    <row r="544" spans="1:25" ht="17.25" customHeight="1" thickBot="1">
      <c r="A544" s="375"/>
      <c r="B544" s="364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7"/>
      <c r="N544" s="377"/>
      <c r="O544" s="377"/>
      <c r="P544" s="377"/>
      <c r="Q544" s="377"/>
      <c r="R544" s="378"/>
    </row>
    <row r="545" spans="1:18" ht="17.25" customHeight="1" thickTop="1" thickBot="1">
      <c r="A545" s="261" t="s">
        <v>3</v>
      </c>
      <c r="B545" s="262">
        <f t="shared" ref="B545:M545" si="54">SUM(B538:B544)</f>
        <v>0</v>
      </c>
      <c r="C545" s="263">
        <f t="shared" si="54"/>
        <v>0</v>
      </c>
      <c r="D545" s="263">
        <f t="shared" si="54"/>
        <v>0</v>
      </c>
      <c r="E545" s="263">
        <f t="shared" si="54"/>
        <v>0</v>
      </c>
      <c r="F545" s="263">
        <f t="shared" si="54"/>
        <v>0</v>
      </c>
      <c r="G545" s="263">
        <f t="shared" si="54"/>
        <v>0</v>
      </c>
      <c r="H545" s="263">
        <f t="shared" si="54"/>
        <v>0</v>
      </c>
      <c r="I545" s="263">
        <f t="shared" si="54"/>
        <v>0</v>
      </c>
      <c r="J545" s="263">
        <f t="shared" si="54"/>
        <v>0</v>
      </c>
      <c r="K545" s="263">
        <f t="shared" si="54"/>
        <v>0</v>
      </c>
      <c r="L545" s="263">
        <f t="shared" si="54"/>
        <v>0</v>
      </c>
      <c r="M545" s="263">
        <f t="shared" si="54"/>
        <v>0</v>
      </c>
      <c r="N545" s="264"/>
      <c r="O545" s="264"/>
      <c r="P545" s="264"/>
      <c r="Q545" s="264"/>
      <c r="R545" s="265">
        <f>SUM(R538:R544)</f>
        <v>0</v>
      </c>
    </row>
    <row r="546" spans="1:18" ht="17.25" customHeight="1" thickTop="1">
      <c r="A546" s="336"/>
    </row>
    <row r="547" spans="1:18" ht="17.25" customHeight="1">
      <c r="A547" s="336"/>
      <c r="B547" s="566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N547" s="337"/>
      <c r="O547" s="337"/>
      <c r="P547" s="337"/>
      <c r="Q547" s="337"/>
      <c r="R547" s="337"/>
    </row>
    <row r="548" spans="1:18" ht="17.25" customHeight="1">
      <c r="A548" s="336"/>
      <c r="B548" s="566"/>
      <c r="C548" s="337"/>
      <c r="D548" s="337"/>
      <c r="E548" s="337"/>
      <c r="F548" s="337"/>
      <c r="G548" s="337"/>
      <c r="H548" s="337"/>
      <c r="I548" s="337"/>
      <c r="J548" s="337"/>
      <c r="K548" s="337"/>
      <c r="L548" s="337"/>
      <c r="M548" s="337"/>
      <c r="N548" s="337"/>
      <c r="O548" s="337"/>
      <c r="P548" s="337"/>
      <c r="Q548" s="337"/>
      <c r="R548" s="337"/>
    </row>
    <row r="549" spans="1:18" ht="17.25" customHeight="1">
      <c r="A549" s="336"/>
      <c r="B549" s="566"/>
      <c r="C549" s="337"/>
      <c r="D549" s="337"/>
      <c r="E549" s="337"/>
      <c r="F549" s="337"/>
      <c r="G549" s="337"/>
      <c r="H549" s="337"/>
      <c r="I549" s="337"/>
      <c r="J549" s="337"/>
      <c r="K549" s="337"/>
      <c r="L549" s="337"/>
      <c r="M549" s="337"/>
      <c r="N549" s="337"/>
      <c r="O549" s="337"/>
      <c r="P549" s="337"/>
      <c r="Q549" s="337"/>
      <c r="R549" s="337"/>
    </row>
    <row r="550" spans="1:18" ht="17.25" customHeight="1">
      <c r="A550" s="336"/>
      <c r="B550" s="566"/>
      <c r="C550" s="337"/>
      <c r="D550" s="337"/>
      <c r="E550" s="337"/>
      <c r="F550" s="337"/>
      <c r="G550" s="337"/>
      <c r="H550" s="337"/>
      <c r="I550" s="337"/>
      <c r="J550" s="337"/>
      <c r="K550" s="337"/>
      <c r="L550" s="337"/>
      <c r="M550" s="337"/>
      <c r="N550" s="337"/>
      <c r="O550" s="337"/>
      <c r="P550" s="337"/>
      <c r="Q550" s="337"/>
      <c r="R550" s="337"/>
    </row>
    <row r="551" spans="1:18" ht="17.25" customHeight="1">
      <c r="A551" s="336" t="s">
        <v>80</v>
      </c>
      <c r="B551" s="566"/>
      <c r="C551" s="337"/>
      <c r="D551" s="337"/>
      <c r="E551" s="337"/>
      <c r="F551" s="337"/>
      <c r="G551" s="337"/>
      <c r="H551" s="337"/>
      <c r="I551" s="337"/>
      <c r="J551" s="337"/>
      <c r="K551" s="337"/>
      <c r="L551" s="337"/>
      <c r="M551" s="337"/>
      <c r="N551" s="337"/>
      <c r="O551" s="337"/>
      <c r="P551" s="337"/>
      <c r="Q551" s="337"/>
      <c r="R551" s="337"/>
    </row>
    <row r="552" spans="1:18" ht="17.25" customHeight="1">
      <c r="A552" s="336"/>
      <c r="B552" s="566"/>
      <c r="C552" s="337"/>
      <c r="D552" s="1173" t="s">
        <v>81</v>
      </c>
      <c r="E552" s="1173"/>
      <c r="F552" s="1173"/>
      <c r="G552" s="1173"/>
      <c r="H552" s="337"/>
      <c r="I552" s="337"/>
      <c r="J552" s="1173" t="s">
        <v>82</v>
      </c>
      <c r="K552" s="1173"/>
      <c r="L552" s="1173"/>
      <c r="M552" s="1173"/>
      <c r="N552" s="1173"/>
      <c r="O552" s="1173"/>
      <c r="P552" s="1173"/>
      <c r="Q552" s="1173"/>
      <c r="R552" s="1173"/>
    </row>
    <row r="553" spans="1:18" ht="17.25" customHeight="1">
      <c r="B553" s="566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</row>
    <row r="554" spans="1:18" ht="17.25" customHeight="1">
      <c r="A554" s="215" t="s">
        <v>0</v>
      </c>
      <c r="D554" s="281"/>
      <c r="E554" s="281"/>
      <c r="L554" s="281"/>
      <c r="M554" s="281"/>
      <c r="N554" s="281"/>
      <c r="O554" s="281"/>
      <c r="P554" s="281"/>
      <c r="Q554" s="281"/>
    </row>
    <row r="555" spans="1:18" ht="17.25" customHeight="1">
      <c r="A555" s="215" t="str">
        <f>A4</f>
        <v>DENOMINATION FOR NOVEMBER 2017</v>
      </c>
      <c r="D555" s="281"/>
      <c r="E555" s="281"/>
      <c r="L555" s="281"/>
      <c r="M555" s="281"/>
      <c r="N555" s="281"/>
      <c r="O555" s="281"/>
      <c r="P555" s="281"/>
      <c r="Q555" s="281"/>
    </row>
    <row r="556" spans="1:18" ht="17.25" customHeight="1">
      <c r="A556" s="215" t="s">
        <v>49</v>
      </c>
      <c r="D556" s="281"/>
      <c r="E556" s="281"/>
      <c r="L556" s="281"/>
      <c r="M556" s="281"/>
      <c r="N556" s="281"/>
      <c r="O556" s="281"/>
      <c r="P556" s="281"/>
      <c r="Q556" s="281"/>
    </row>
    <row r="557" spans="1:18" ht="17.25" customHeight="1" thickBot="1">
      <c r="D557" s="281"/>
      <c r="E557" s="281"/>
      <c r="L557" s="281"/>
      <c r="M557" s="281"/>
      <c r="N557" s="281"/>
      <c r="O557" s="281"/>
      <c r="P557" s="281"/>
      <c r="Q557" s="281"/>
    </row>
    <row r="558" spans="1:18" ht="17.25" customHeight="1" thickTop="1">
      <c r="A558" s="570" t="s">
        <v>1</v>
      </c>
      <c r="B558" s="572" t="s">
        <v>15</v>
      </c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82"/>
      <c r="N558" s="282"/>
      <c r="O558" s="282"/>
      <c r="P558" s="282"/>
      <c r="Q558" s="282"/>
      <c r="R558" s="283"/>
    </row>
    <row r="559" spans="1:18" ht="17.25" customHeight="1" thickBot="1">
      <c r="A559" s="571"/>
      <c r="B559" s="284"/>
      <c r="C559" s="223">
        <v>100000</v>
      </c>
      <c r="D559" s="223">
        <v>50000</v>
      </c>
      <c r="E559" s="223">
        <v>20000</v>
      </c>
      <c r="F559" s="223">
        <v>10000</v>
      </c>
      <c r="G559" s="223">
        <v>5000</v>
      </c>
      <c r="H559" s="223">
        <v>1000</v>
      </c>
      <c r="I559" s="223">
        <v>500</v>
      </c>
      <c r="J559" s="223">
        <v>100</v>
      </c>
      <c r="K559" s="223">
        <v>50</v>
      </c>
      <c r="L559" s="223" t="s">
        <v>2</v>
      </c>
      <c r="M559" s="285"/>
      <c r="N559" s="285"/>
      <c r="O559" s="285"/>
      <c r="P559" s="285"/>
      <c r="Q559" s="285"/>
      <c r="R559" s="286" t="s">
        <v>3</v>
      </c>
    </row>
    <row r="560" spans="1:18" ht="17.25" customHeight="1" thickTop="1">
      <c r="A560" s="287"/>
      <c r="B560" s="533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9"/>
      <c r="N560" s="289"/>
      <c r="O560" s="289"/>
      <c r="P560" s="289"/>
      <c r="Q560" s="289"/>
      <c r="R560" s="290"/>
    </row>
    <row r="561" spans="1:25" ht="17.25" customHeight="1">
      <c r="A561" s="234"/>
      <c r="B561" s="277"/>
      <c r="C561" s="236"/>
      <c r="D561" s="236"/>
      <c r="E561" s="254"/>
      <c r="F561" s="254"/>
      <c r="G561" s="236"/>
      <c r="H561" s="236"/>
      <c r="I561" s="236"/>
      <c r="J561" s="236"/>
      <c r="K561" s="236"/>
      <c r="L561" s="236"/>
      <c r="M561" s="260"/>
      <c r="N561" s="260"/>
      <c r="O561" s="260"/>
      <c r="P561" s="260"/>
      <c r="Q561" s="260"/>
      <c r="R561" s="247">
        <f>SUM(C561:L561)</f>
        <v>0</v>
      </c>
    </row>
    <row r="562" spans="1:25" s="242" customFormat="1" ht="17.25" customHeight="1">
      <c r="A562" s="234"/>
      <c r="B562" s="235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60"/>
      <c r="N562" s="260"/>
      <c r="O562" s="260"/>
      <c r="P562" s="260"/>
      <c r="Q562" s="260"/>
      <c r="R562" s="247"/>
      <c r="X562" s="353"/>
      <c r="Y562" s="353"/>
    </row>
    <row r="563" spans="1:25" ht="17.25" customHeight="1">
      <c r="A563" s="234"/>
      <c r="B563" s="235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60"/>
      <c r="N563" s="260"/>
      <c r="O563" s="260"/>
      <c r="P563" s="260"/>
      <c r="Q563" s="260"/>
      <c r="R563" s="247">
        <f>SUM(C563:L563)</f>
        <v>0</v>
      </c>
    </row>
    <row r="564" spans="1:25" s="242" customFormat="1" ht="17.25" customHeight="1">
      <c r="A564" s="234"/>
      <c r="B564" s="235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60"/>
      <c r="N564" s="260"/>
      <c r="O564" s="260"/>
      <c r="P564" s="260"/>
      <c r="Q564" s="260"/>
      <c r="R564" s="247"/>
      <c r="X564" s="353"/>
      <c r="Y564" s="353"/>
    </row>
    <row r="565" spans="1:25" ht="17.25" customHeight="1">
      <c r="A565" s="234"/>
      <c r="B565" s="235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60"/>
      <c r="N565" s="260"/>
      <c r="O565" s="260"/>
      <c r="P565" s="260"/>
      <c r="Q565" s="260"/>
      <c r="R565" s="247"/>
    </row>
    <row r="566" spans="1:25" ht="17.25" customHeight="1">
      <c r="A566" s="234"/>
      <c r="B566" s="235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60"/>
      <c r="N566" s="260"/>
      <c r="O566" s="260"/>
      <c r="P566" s="260"/>
      <c r="Q566" s="260"/>
      <c r="R566" s="247"/>
    </row>
    <row r="567" spans="1:25" ht="17.25" customHeight="1" thickBot="1">
      <c r="A567" s="234"/>
      <c r="B567" s="235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60"/>
      <c r="N567" s="260"/>
      <c r="O567" s="260"/>
      <c r="P567" s="260"/>
      <c r="Q567" s="260"/>
      <c r="R567" s="247"/>
    </row>
    <row r="568" spans="1:25" ht="17.25" customHeight="1" thickTop="1" thickBot="1">
      <c r="A568" s="261" t="s">
        <v>3</v>
      </c>
      <c r="B568" s="262">
        <f t="shared" ref="B568:M568" si="55">SUM(B560:B567)</f>
        <v>0</v>
      </c>
      <c r="C568" s="263">
        <f t="shared" si="55"/>
        <v>0</v>
      </c>
      <c r="D568" s="263">
        <f t="shared" si="55"/>
        <v>0</v>
      </c>
      <c r="E568" s="263">
        <f>SUM(E560:E567)</f>
        <v>0</v>
      </c>
      <c r="F568" s="263">
        <f t="shared" si="55"/>
        <v>0</v>
      </c>
      <c r="G568" s="263">
        <f t="shared" si="55"/>
        <v>0</v>
      </c>
      <c r="H568" s="263">
        <f t="shared" si="55"/>
        <v>0</v>
      </c>
      <c r="I568" s="263">
        <f t="shared" si="55"/>
        <v>0</v>
      </c>
      <c r="J568" s="263">
        <f t="shared" si="55"/>
        <v>0</v>
      </c>
      <c r="K568" s="263">
        <f t="shared" si="55"/>
        <v>0</v>
      </c>
      <c r="L568" s="263">
        <f t="shared" si="55"/>
        <v>0</v>
      </c>
      <c r="M568" s="263">
        <f t="shared" si="55"/>
        <v>0</v>
      </c>
      <c r="N568" s="264"/>
      <c r="O568" s="264"/>
      <c r="P568" s="264"/>
      <c r="Q568" s="264"/>
      <c r="R568" s="265">
        <f>SUM(R560:R567)</f>
        <v>0</v>
      </c>
    </row>
    <row r="569" spans="1:25" ht="17.25" customHeight="1" thickTop="1">
      <c r="A569" s="336"/>
    </row>
    <row r="570" spans="1:25" ht="17.25" customHeight="1">
      <c r="A570" s="336"/>
      <c r="B570" s="566"/>
      <c r="C570" s="337"/>
      <c r="D570" s="337"/>
      <c r="E570" s="337"/>
      <c r="F570" s="337"/>
      <c r="G570" s="337"/>
      <c r="H570" s="337"/>
      <c r="I570" s="337"/>
      <c r="J570" s="337"/>
      <c r="K570" s="337"/>
      <c r="L570" s="337"/>
      <c r="M570" s="337"/>
      <c r="N570" s="337"/>
      <c r="O570" s="337"/>
      <c r="P570" s="337"/>
      <c r="Q570" s="337"/>
      <c r="R570" s="337"/>
    </row>
    <row r="571" spans="1:25" ht="17.25" customHeight="1">
      <c r="A571" s="336"/>
      <c r="B571" s="566"/>
      <c r="C571" s="337"/>
      <c r="D571" s="337"/>
      <c r="E571" s="337"/>
      <c r="F571" s="337"/>
      <c r="G571" s="337"/>
      <c r="H571" s="337"/>
      <c r="I571" s="337"/>
      <c r="J571" s="337"/>
      <c r="K571" s="337"/>
      <c r="L571" s="337"/>
      <c r="M571" s="337"/>
      <c r="N571" s="337"/>
      <c r="O571" s="337"/>
      <c r="P571" s="337"/>
      <c r="Q571" s="337"/>
      <c r="R571" s="337"/>
    </row>
    <row r="572" spans="1:25" ht="17.25" customHeight="1">
      <c r="A572" s="336"/>
      <c r="B572" s="566"/>
      <c r="C572" s="337"/>
      <c r="D572" s="337"/>
      <c r="E572" s="337"/>
      <c r="F572" s="337"/>
      <c r="G572" s="337"/>
      <c r="H572" s="337"/>
      <c r="I572" s="337"/>
      <c r="J572" s="337"/>
      <c r="K572" s="337"/>
      <c r="L572" s="337"/>
      <c r="M572" s="337"/>
      <c r="N572" s="337"/>
      <c r="O572" s="337"/>
      <c r="P572" s="337"/>
      <c r="Q572" s="337"/>
      <c r="R572" s="337"/>
    </row>
    <row r="573" spans="1:25" ht="17.25" customHeight="1">
      <c r="A573" s="336"/>
      <c r="B573" s="566"/>
      <c r="C573" s="337"/>
      <c r="D573" s="337"/>
      <c r="E573" s="337"/>
      <c r="F573" s="337"/>
      <c r="G573" s="337"/>
      <c r="H573" s="337"/>
      <c r="I573" s="337"/>
      <c r="J573" s="337"/>
      <c r="K573" s="337"/>
      <c r="L573" s="337"/>
      <c r="M573" s="337"/>
      <c r="N573" s="337"/>
      <c r="O573" s="337"/>
      <c r="P573" s="337"/>
      <c r="Q573" s="337"/>
      <c r="R573" s="337"/>
    </row>
    <row r="574" spans="1:25" ht="17.25" customHeight="1">
      <c r="A574" s="336" t="s">
        <v>80</v>
      </c>
      <c r="B574" s="566"/>
      <c r="C574" s="337"/>
      <c r="D574" s="337"/>
      <c r="E574" s="337"/>
      <c r="F574" s="337"/>
      <c r="G574" s="337"/>
      <c r="H574" s="337"/>
      <c r="I574" s="337"/>
      <c r="J574" s="337"/>
      <c r="K574" s="337"/>
      <c r="L574" s="337"/>
      <c r="M574" s="337"/>
      <c r="N574" s="337"/>
      <c r="O574" s="337"/>
      <c r="P574" s="337"/>
      <c r="Q574" s="337"/>
      <c r="R574" s="337"/>
    </row>
    <row r="575" spans="1:25" ht="17.25" customHeight="1">
      <c r="A575" s="336"/>
      <c r="B575" s="566"/>
      <c r="C575" s="337"/>
      <c r="D575" s="1173" t="s">
        <v>81</v>
      </c>
      <c r="E575" s="1173"/>
      <c r="F575" s="1173"/>
      <c r="G575" s="1173"/>
      <c r="H575" s="337"/>
      <c r="I575" s="337"/>
      <c r="J575" s="1173" t="s">
        <v>82</v>
      </c>
      <c r="K575" s="1173"/>
      <c r="L575" s="1173"/>
      <c r="M575" s="1173"/>
      <c r="N575" s="1173"/>
      <c r="O575" s="1173"/>
      <c r="P575" s="1173"/>
      <c r="Q575" s="1173"/>
      <c r="R575" s="1173"/>
    </row>
    <row r="576" spans="1:25" ht="17.25" customHeight="1">
      <c r="A576" s="336"/>
      <c r="B576" s="566"/>
      <c r="C576" s="337"/>
      <c r="D576" s="337"/>
      <c r="E576" s="337"/>
      <c r="F576" s="337"/>
      <c r="G576" s="337"/>
      <c r="H576" s="337"/>
      <c r="I576" s="337"/>
      <c r="J576" s="337"/>
      <c r="K576" s="337"/>
      <c r="L576" s="337"/>
      <c r="M576" s="337"/>
      <c r="N576" s="337"/>
      <c r="O576" s="337"/>
      <c r="P576" s="337"/>
      <c r="Q576" s="337"/>
      <c r="R576" s="337"/>
    </row>
    <row r="577" spans="1:25" ht="17.25" customHeight="1">
      <c r="A577" s="336"/>
      <c r="B577" s="566"/>
      <c r="C577" s="337"/>
      <c r="D577" s="337"/>
      <c r="E577" s="337"/>
      <c r="F577" s="337"/>
      <c r="G577" s="337"/>
      <c r="H577" s="337"/>
      <c r="I577" s="337"/>
      <c r="J577" s="337"/>
      <c r="K577" s="337"/>
      <c r="L577" s="337"/>
      <c r="M577" s="337"/>
      <c r="N577" s="337"/>
      <c r="O577" s="337"/>
      <c r="P577" s="337"/>
      <c r="Q577" s="337"/>
      <c r="R577" s="337"/>
    </row>
    <row r="578" spans="1:25" ht="17.25" customHeight="1">
      <c r="A578" s="336"/>
      <c r="B578" s="566"/>
      <c r="C578" s="337"/>
      <c r="D578" s="337"/>
      <c r="E578" s="337"/>
      <c r="F578" s="337"/>
      <c r="G578" s="337"/>
      <c r="H578" s="337"/>
      <c r="I578" s="337"/>
      <c r="J578" s="337"/>
      <c r="K578" s="337"/>
      <c r="L578" s="337"/>
      <c r="M578" s="337"/>
      <c r="N578" s="337"/>
      <c r="O578" s="337"/>
      <c r="P578" s="337"/>
      <c r="Q578" s="337"/>
      <c r="R578" s="337"/>
    </row>
    <row r="579" spans="1:25" ht="17.25" customHeight="1">
      <c r="B579" s="566"/>
      <c r="C579" s="337"/>
      <c r="D579" s="337"/>
      <c r="E579" s="337"/>
      <c r="F579" s="337"/>
      <c r="G579" s="337"/>
      <c r="H579" s="337"/>
      <c r="I579" s="337"/>
      <c r="J579" s="337"/>
      <c r="K579" s="337"/>
      <c r="L579" s="337"/>
      <c r="M579" s="337"/>
      <c r="N579" s="337"/>
      <c r="O579" s="337"/>
      <c r="P579" s="337"/>
      <c r="Q579" s="337"/>
      <c r="R579" s="337"/>
    </row>
    <row r="580" spans="1:25" ht="17.25" customHeight="1">
      <c r="A580" s="215" t="s">
        <v>0</v>
      </c>
      <c r="D580" s="281"/>
      <c r="E580" s="281"/>
      <c r="L580" s="281"/>
      <c r="M580" s="281"/>
      <c r="N580" s="281"/>
      <c r="O580" s="281"/>
      <c r="P580" s="281"/>
      <c r="Q580" s="281"/>
    </row>
    <row r="581" spans="1:25" ht="17.25" customHeight="1">
      <c r="A581" s="215" t="str">
        <f>A4</f>
        <v>DENOMINATION FOR NOVEMBER 2017</v>
      </c>
      <c r="D581" s="281"/>
      <c r="E581" s="281"/>
      <c r="L581" s="281"/>
      <c r="M581" s="281"/>
      <c r="N581" s="281"/>
      <c r="O581" s="281"/>
      <c r="P581" s="281"/>
      <c r="Q581" s="281"/>
    </row>
    <row r="582" spans="1:25" ht="17.25" customHeight="1">
      <c r="A582" s="215" t="s">
        <v>215</v>
      </c>
      <c r="D582" s="281"/>
      <c r="E582" s="281"/>
      <c r="L582" s="281"/>
      <c r="M582" s="281"/>
      <c r="N582" s="281"/>
      <c r="O582" s="281"/>
      <c r="P582" s="281"/>
      <c r="Q582" s="281"/>
    </row>
    <row r="583" spans="1:25" ht="17.25" customHeight="1" thickBot="1">
      <c r="D583" s="281"/>
      <c r="E583" s="281"/>
      <c r="L583" s="281"/>
      <c r="M583" s="281"/>
      <c r="N583" s="281"/>
      <c r="O583" s="281"/>
      <c r="P583" s="281"/>
      <c r="Q583" s="281"/>
    </row>
    <row r="584" spans="1:25" ht="17.25" customHeight="1" thickTop="1">
      <c r="A584" s="570" t="s">
        <v>1</v>
      </c>
      <c r="B584" s="1183" t="s">
        <v>15</v>
      </c>
      <c r="C584" s="475"/>
      <c r="D584" s="475"/>
      <c r="E584" s="475"/>
      <c r="F584" s="475"/>
      <c r="G584" s="475"/>
      <c r="H584" s="475"/>
      <c r="I584" s="475"/>
      <c r="J584" s="475"/>
      <c r="K584" s="475"/>
      <c r="L584" s="475"/>
      <c r="M584" s="476"/>
      <c r="N584" s="476"/>
      <c r="O584" s="476"/>
      <c r="P584" s="476"/>
      <c r="Q584" s="476"/>
      <c r="R584" s="1171" t="s">
        <v>3</v>
      </c>
    </row>
    <row r="585" spans="1:25" ht="17.25" customHeight="1" thickBot="1">
      <c r="A585" s="571"/>
      <c r="B585" s="1184"/>
      <c r="C585" s="477">
        <v>100000</v>
      </c>
      <c r="D585" s="477">
        <v>50000</v>
      </c>
      <c r="E585" s="477">
        <v>20000</v>
      </c>
      <c r="F585" s="477">
        <v>10000</v>
      </c>
      <c r="G585" s="477">
        <v>5000</v>
      </c>
      <c r="H585" s="477">
        <v>1000</v>
      </c>
      <c r="I585" s="477">
        <v>500</v>
      </c>
      <c r="J585" s="477">
        <v>100</v>
      </c>
      <c r="K585" s="477">
        <v>50</v>
      </c>
      <c r="L585" s="477" t="s">
        <v>2</v>
      </c>
      <c r="M585" s="478"/>
      <c r="N585" s="478"/>
      <c r="O585" s="478"/>
      <c r="P585" s="478"/>
      <c r="Q585" s="478"/>
      <c r="R585" s="1172"/>
    </row>
    <row r="586" spans="1:25" ht="17.25" customHeight="1" thickTop="1">
      <c r="A586" s="479"/>
      <c r="B586" s="480"/>
      <c r="C586" s="481"/>
      <c r="D586" s="481"/>
      <c r="E586" s="481"/>
      <c r="F586" s="481"/>
      <c r="G586" s="481"/>
      <c r="H586" s="481"/>
      <c r="I586" s="481"/>
      <c r="J586" s="481"/>
      <c r="K586" s="481"/>
      <c r="L586" s="481"/>
      <c r="M586" s="482"/>
      <c r="N586" s="482"/>
      <c r="O586" s="482"/>
      <c r="P586" s="482"/>
      <c r="Q586" s="482"/>
      <c r="R586" s="483"/>
    </row>
    <row r="587" spans="1:25" ht="17.25" customHeight="1">
      <c r="A587" s="291"/>
      <c r="B587" s="292"/>
      <c r="C587" s="293"/>
      <c r="D587" s="293"/>
      <c r="E587" s="293"/>
      <c r="F587" s="293"/>
      <c r="G587" s="293"/>
      <c r="H587" s="293"/>
      <c r="I587" s="293"/>
      <c r="J587" s="293"/>
      <c r="K587" s="293"/>
      <c r="L587" s="293"/>
      <c r="M587" s="294"/>
      <c r="N587" s="294"/>
      <c r="O587" s="294"/>
      <c r="P587" s="294"/>
      <c r="Q587" s="294"/>
      <c r="R587" s="295"/>
    </row>
    <row r="588" spans="1:25" s="242" customFormat="1" ht="17.25" customHeight="1">
      <c r="A588" s="291"/>
      <c r="B588" s="292"/>
      <c r="C588" s="293"/>
      <c r="D588" s="293"/>
      <c r="E588" s="293"/>
      <c r="F588" s="293"/>
      <c r="G588" s="293"/>
      <c r="H588" s="293"/>
      <c r="I588" s="293"/>
      <c r="J588" s="293"/>
      <c r="K588" s="293"/>
      <c r="L588" s="293"/>
      <c r="M588" s="294"/>
      <c r="N588" s="294"/>
      <c r="O588" s="294"/>
      <c r="P588" s="294"/>
      <c r="Q588" s="294"/>
      <c r="R588" s="295"/>
      <c r="X588" s="353"/>
      <c r="Y588" s="353"/>
    </row>
    <row r="589" spans="1:25" s="242" customFormat="1" ht="17.25" customHeight="1">
      <c r="A589" s="291"/>
      <c r="B589" s="292"/>
      <c r="C589" s="293"/>
      <c r="D589" s="293"/>
      <c r="E589" s="293"/>
      <c r="F589" s="293"/>
      <c r="G589" s="293"/>
      <c r="H589" s="293"/>
      <c r="I589" s="293"/>
      <c r="J589" s="293"/>
      <c r="K589" s="293"/>
      <c r="L589" s="293"/>
      <c r="M589" s="294"/>
      <c r="N589" s="294"/>
      <c r="O589" s="294"/>
      <c r="P589" s="294"/>
      <c r="Q589" s="294"/>
      <c r="R589" s="295"/>
      <c r="X589" s="353"/>
      <c r="Y589" s="353"/>
    </row>
    <row r="590" spans="1:25" s="242" customFormat="1" ht="17.25" customHeight="1" thickBot="1">
      <c r="A590" s="291"/>
      <c r="B590" s="292"/>
      <c r="C590" s="293"/>
      <c r="D590" s="293"/>
      <c r="E590" s="293"/>
      <c r="F590" s="293"/>
      <c r="G590" s="293"/>
      <c r="H590" s="293"/>
      <c r="I590" s="293"/>
      <c r="J590" s="293"/>
      <c r="K590" s="293"/>
      <c r="L590" s="293"/>
      <c r="M590" s="294"/>
      <c r="N590" s="294"/>
      <c r="O590" s="294"/>
      <c r="P590" s="294"/>
      <c r="Q590" s="294"/>
      <c r="R590" s="295"/>
      <c r="X590" s="353"/>
      <c r="Y590" s="353"/>
    </row>
    <row r="591" spans="1:25" s="242" customFormat="1" ht="17.25" hidden="1" customHeight="1">
      <c r="A591" s="291"/>
      <c r="B591" s="292"/>
      <c r="C591" s="293"/>
      <c r="D591" s="293"/>
      <c r="E591" s="293"/>
      <c r="F591" s="293"/>
      <c r="G591" s="293"/>
      <c r="H591" s="293"/>
      <c r="I591" s="293"/>
      <c r="J591" s="293"/>
      <c r="K591" s="293"/>
      <c r="L591" s="293"/>
      <c r="M591" s="294"/>
      <c r="N591" s="294"/>
      <c r="O591" s="294"/>
      <c r="P591" s="294"/>
      <c r="Q591" s="294"/>
      <c r="R591" s="295"/>
      <c r="X591" s="353"/>
      <c r="Y591" s="353"/>
    </row>
    <row r="592" spans="1:25" s="242" customFormat="1" ht="17.25" hidden="1" customHeight="1">
      <c r="A592" s="291" t="s">
        <v>86</v>
      </c>
      <c r="B592" s="292"/>
      <c r="C592" s="293"/>
      <c r="D592" s="293"/>
      <c r="E592" s="293"/>
      <c r="F592" s="293"/>
      <c r="G592" s="293"/>
      <c r="H592" s="293"/>
      <c r="I592" s="293"/>
      <c r="J592" s="293"/>
      <c r="K592" s="293"/>
      <c r="L592" s="293"/>
      <c r="M592" s="294"/>
      <c r="N592" s="294"/>
      <c r="O592" s="294"/>
      <c r="P592" s="294"/>
      <c r="Q592" s="294"/>
      <c r="R592" s="295">
        <f>SUM(C592:L592)</f>
        <v>0</v>
      </c>
      <c r="X592" s="353"/>
      <c r="Y592" s="353"/>
    </row>
    <row r="593" spans="1:25" s="242" customFormat="1" ht="17.25" hidden="1" customHeight="1">
      <c r="A593" s="291"/>
      <c r="B593" s="292"/>
      <c r="C593" s="293"/>
      <c r="D593" s="293"/>
      <c r="E593" s="293"/>
      <c r="F593" s="293"/>
      <c r="G593" s="293"/>
      <c r="H593" s="293"/>
      <c r="I593" s="293"/>
      <c r="J593" s="293"/>
      <c r="K593" s="293"/>
      <c r="L593" s="293"/>
      <c r="M593" s="294"/>
      <c r="N593" s="294"/>
      <c r="O593" s="294"/>
      <c r="P593" s="294"/>
      <c r="Q593" s="294"/>
      <c r="R593" s="295"/>
      <c r="X593" s="353"/>
      <c r="Y593" s="353"/>
    </row>
    <row r="594" spans="1:25" s="242" customFormat="1" ht="17.25" hidden="1" customHeight="1">
      <c r="A594" s="291" t="s">
        <v>88</v>
      </c>
      <c r="B594" s="292"/>
      <c r="C594" s="293"/>
      <c r="D594" s="293"/>
      <c r="E594" s="293"/>
      <c r="F594" s="293"/>
      <c r="G594" s="293"/>
      <c r="H594" s="293"/>
      <c r="I594" s="293"/>
      <c r="J594" s="293"/>
      <c r="K594" s="293"/>
      <c r="L594" s="293"/>
      <c r="M594" s="294"/>
      <c r="N594" s="294"/>
      <c r="O594" s="294"/>
      <c r="P594" s="294"/>
      <c r="Q594" s="294"/>
      <c r="R594" s="295">
        <f>SUM(C594:L594)</f>
        <v>0</v>
      </c>
      <c r="X594" s="353"/>
      <c r="Y594" s="353"/>
    </row>
    <row r="595" spans="1:25" s="242" customFormat="1" ht="17.25" hidden="1" customHeight="1">
      <c r="A595" s="291"/>
      <c r="B595" s="292"/>
      <c r="C595" s="293"/>
      <c r="D595" s="293"/>
      <c r="E595" s="293"/>
      <c r="F595" s="293"/>
      <c r="G595" s="293"/>
      <c r="H595" s="293"/>
      <c r="I595" s="293"/>
      <c r="J595" s="293"/>
      <c r="K595" s="293"/>
      <c r="L595" s="293"/>
      <c r="M595" s="294"/>
      <c r="N595" s="294"/>
      <c r="O595" s="294"/>
      <c r="P595" s="294"/>
      <c r="Q595" s="294"/>
      <c r="R595" s="295"/>
      <c r="X595" s="353"/>
      <c r="Y595" s="353"/>
    </row>
    <row r="596" spans="1:25" s="242" customFormat="1" ht="17.25" hidden="1" customHeight="1">
      <c r="A596" s="291" t="s">
        <v>85</v>
      </c>
      <c r="B596" s="292"/>
      <c r="C596" s="293"/>
      <c r="D596" s="293"/>
      <c r="E596" s="293"/>
      <c r="F596" s="293"/>
      <c r="G596" s="293"/>
      <c r="H596" s="293"/>
      <c r="I596" s="293"/>
      <c r="J596" s="293"/>
      <c r="K596" s="293"/>
      <c r="L596" s="293"/>
      <c r="M596" s="294"/>
      <c r="N596" s="294"/>
      <c r="O596" s="294"/>
      <c r="P596" s="294"/>
      <c r="Q596" s="294"/>
      <c r="R596" s="295">
        <f>SUM(C596:L596)</f>
        <v>0</v>
      </c>
      <c r="X596" s="353"/>
      <c r="Y596" s="353"/>
    </row>
    <row r="597" spans="1:25" s="242" customFormat="1" ht="17.25" hidden="1" customHeight="1">
      <c r="A597" s="291"/>
      <c r="B597" s="292"/>
      <c r="C597" s="293"/>
      <c r="D597" s="293"/>
      <c r="E597" s="293"/>
      <c r="F597" s="293"/>
      <c r="G597" s="293"/>
      <c r="H597" s="293"/>
      <c r="I597" s="293"/>
      <c r="J597" s="293"/>
      <c r="K597" s="293"/>
      <c r="L597" s="293"/>
      <c r="M597" s="294"/>
      <c r="N597" s="294"/>
      <c r="O597" s="294"/>
      <c r="P597" s="294"/>
      <c r="Q597" s="294"/>
      <c r="R597" s="295"/>
      <c r="X597" s="353"/>
      <c r="Y597" s="353"/>
    </row>
    <row r="598" spans="1:25" ht="29.25" customHeight="1" thickTop="1" thickBot="1">
      <c r="A598" s="319" t="s">
        <v>3</v>
      </c>
      <c r="B598" s="414">
        <f t="shared" ref="B598:R598" si="56">SUM(B586:B597)</f>
        <v>0</v>
      </c>
      <c r="C598" s="320">
        <f t="shared" si="56"/>
        <v>0</v>
      </c>
      <c r="D598" s="320">
        <f t="shared" si="56"/>
        <v>0</v>
      </c>
      <c r="E598" s="320">
        <f t="shared" si="56"/>
        <v>0</v>
      </c>
      <c r="F598" s="320">
        <f t="shared" si="56"/>
        <v>0</v>
      </c>
      <c r="G598" s="320">
        <f t="shared" si="56"/>
        <v>0</v>
      </c>
      <c r="H598" s="320">
        <f t="shared" si="56"/>
        <v>0</v>
      </c>
      <c r="I598" s="320">
        <f t="shared" si="56"/>
        <v>0</v>
      </c>
      <c r="J598" s="320">
        <f t="shared" si="56"/>
        <v>0</v>
      </c>
      <c r="K598" s="320">
        <f t="shared" si="56"/>
        <v>0</v>
      </c>
      <c r="L598" s="320">
        <f t="shared" si="56"/>
        <v>0</v>
      </c>
      <c r="M598" s="320">
        <f t="shared" si="56"/>
        <v>0</v>
      </c>
      <c r="N598" s="415"/>
      <c r="O598" s="415"/>
      <c r="P598" s="415"/>
      <c r="Q598" s="415"/>
      <c r="R598" s="413">
        <f t="shared" si="56"/>
        <v>0</v>
      </c>
    </row>
    <row r="599" spans="1:25" ht="17.25" customHeight="1" thickTop="1">
      <c r="A599" s="216"/>
    </row>
    <row r="600" spans="1:25" ht="17.25" customHeight="1">
      <c r="A600" s="216"/>
      <c r="B600" s="278"/>
    </row>
    <row r="601" spans="1:25" ht="17.25" customHeight="1">
      <c r="A601" s="216"/>
      <c r="B601" s="278"/>
    </row>
    <row r="602" spans="1:25" ht="17.25" customHeight="1">
      <c r="A602" s="216"/>
      <c r="B602" s="278"/>
    </row>
    <row r="603" spans="1:25" ht="17.25" customHeight="1">
      <c r="A603" s="216"/>
      <c r="B603" s="278"/>
    </row>
    <row r="604" spans="1:25" ht="17.25" customHeight="1">
      <c r="A604" s="336" t="s">
        <v>204</v>
      </c>
      <c r="B604" s="566"/>
      <c r="C604" s="337"/>
      <c r="D604" s="337"/>
      <c r="E604" s="337"/>
      <c r="F604" s="337"/>
      <c r="G604" s="337"/>
      <c r="H604" s="337"/>
      <c r="I604" s="337"/>
      <c r="J604" s="1173" t="s">
        <v>82</v>
      </c>
      <c r="K604" s="1173"/>
      <c r="L604" s="1173"/>
      <c r="M604" s="1173"/>
      <c r="N604" s="1173"/>
      <c r="O604" s="1173"/>
      <c r="P604" s="1173"/>
      <c r="Q604" s="1173"/>
      <c r="R604" s="1173"/>
    </row>
    <row r="605" spans="1:25" ht="17.25" customHeight="1">
      <c r="A605" s="336"/>
      <c r="B605" s="566"/>
      <c r="C605" s="337"/>
      <c r="D605" s="1173" t="s">
        <v>81</v>
      </c>
      <c r="E605" s="1173"/>
      <c r="F605" s="1173"/>
      <c r="G605" s="1173"/>
      <c r="H605" s="337"/>
      <c r="I605" s="337"/>
      <c r="J605" s="1173"/>
      <c r="K605" s="1173"/>
      <c r="L605" s="1173"/>
      <c r="M605" s="1173"/>
      <c r="N605" s="1173"/>
      <c r="O605" s="1173"/>
      <c r="P605" s="1173"/>
      <c r="Q605" s="1173"/>
      <c r="R605" s="1173"/>
    </row>
    <row r="606" spans="1:25" ht="17.25" customHeight="1">
      <c r="B606" s="566"/>
      <c r="C606" s="337"/>
      <c r="D606" s="337"/>
      <c r="E606" s="337"/>
      <c r="F606" s="337"/>
      <c r="G606" s="337"/>
      <c r="H606" s="337"/>
      <c r="I606" s="337"/>
      <c r="J606" s="337"/>
      <c r="K606" s="337"/>
      <c r="L606" s="337"/>
      <c r="M606" s="337"/>
      <c r="N606" s="337"/>
      <c r="O606" s="337"/>
      <c r="P606" s="337"/>
      <c r="Q606" s="337"/>
      <c r="R606" s="337"/>
    </row>
    <row r="607" spans="1:25" ht="17.25" customHeight="1">
      <c r="A607" s="215" t="s">
        <v>0</v>
      </c>
      <c r="D607" s="281"/>
      <c r="E607" s="281"/>
      <c r="L607" s="281"/>
      <c r="M607" s="281"/>
      <c r="N607" s="281"/>
      <c r="O607" s="281"/>
      <c r="P607" s="281"/>
      <c r="Q607" s="281"/>
    </row>
    <row r="608" spans="1:25" ht="17.25" customHeight="1">
      <c r="A608" s="215" t="str">
        <f>A4</f>
        <v>DENOMINATION FOR NOVEMBER 2017</v>
      </c>
      <c r="D608" s="281"/>
      <c r="E608" s="281"/>
      <c r="L608" s="281"/>
      <c r="M608" s="281"/>
      <c r="N608" s="281"/>
      <c r="O608" s="281"/>
      <c r="P608" s="281"/>
      <c r="Q608" s="281"/>
    </row>
    <row r="609" spans="1:18" ht="17.25" customHeight="1">
      <c r="A609" s="215" t="s">
        <v>51</v>
      </c>
      <c r="D609" s="281"/>
      <c r="E609" s="281"/>
      <c r="L609" s="281"/>
      <c r="M609" s="281"/>
      <c r="N609" s="281"/>
      <c r="O609" s="281"/>
      <c r="P609" s="281"/>
      <c r="Q609" s="281"/>
    </row>
    <row r="610" spans="1:18" ht="17.25" customHeight="1" thickBot="1">
      <c r="D610" s="281"/>
      <c r="E610" s="281"/>
      <c r="L610" s="281"/>
      <c r="M610" s="281"/>
      <c r="N610" s="281"/>
      <c r="O610" s="281"/>
      <c r="P610" s="281"/>
      <c r="Q610" s="281"/>
    </row>
    <row r="611" spans="1:18" ht="17.25" customHeight="1" thickTop="1">
      <c r="A611" s="570" t="s">
        <v>1</v>
      </c>
      <c r="B611" s="572" t="s">
        <v>15</v>
      </c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82"/>
      <c r="N611" s="282"/>
      <c r="O611" s="282"/>
      <c r="P611" s="282"/>
      <c r="Q611" s="282"/>
      <c r="R611" s="283"/>
    </row>
    <row r="612" spans="1:18" ht="17.25" customHeight="1" thickBot="1">
      <c r="A612" s="571"/>
      <c r="B612" s="284"/>
      <c r="C612" s="223">
        <v>100000</v>
      </c>
      <c r="D612" s="223">
        <v>50000</v>
      </c>
      <c r="E612" s="223">
        <v>20000</v>
      </c>
      <c r="F612" s="223">
        <v>10000</v>
      </c>
      <c r="G612" s="223">
        <v>5000</v>
      </c>
      <c r="H612" s="223">
        <v>1000</v>
      </c>
      <c r="I612" s="223">
        <v>500</v>
      </c>
      <c r="J612" s="223">
        <v>100</v>
      </c>
      <c r="K612" s="223">
        <v>50</v>
      </c>
      <c r="L612" s="223" t="s">
        <v>2</v>
      </c>
      <c r="M612" s="285"/>
      <c r="N612" s="285"/>
      <c r="O612" s="285"/>
      <c r="P612" s="285"/>
      <c r="Q612" s="285"/>
      <c r="R612" s="286" t="s">
        <v>3</v>
      </c>
    </row>
    <row r="613" spans="1:18" ht="17.25" customHeight="1" thickTop="1">
      <c r="A613" s="287"/>
      <c r="B613" s="533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9"/>
      <c r="N613" s="289"/>
      <c r="O613" s="289"/>
      <c r="P613" s="289"/>
      <c r="Q613" s="289"/>
      <c r="R613" s="290"/>
    </row>
    <row r="614" spans="1:18" ht="17.25" customHeight="1">
      <c r="A614" s="291"/>
      <c r="B614" s="292"/>
      <c r="C614" s="293"/>
      <c r="D614" s="293"/>
      <c r="E614" s="293"/>
      <c r="F614" s="293"/>
      <c r="G614" s="293"/>
      <c r="H614" s="293"/>
      <c r="I614" s="293"/>
      <c r="J614" s="293"/>
      <c r="K614" s="293"/>
      <c r="L614" s="293"/>
      <c r="M614" s="294"/>
      <c r="N614" s="294"/>
      <c r="O614" s="294"/>
      <c r="P614" s="294"/>
      <c r="Q614" s="294"/>
      <c r="R614" s="295"/>
    </row>
    <row r="615" spans="1:18" ht="17.25" customHeight="1">
      <c r="A615" s="291"/>
      <c r="B615" s="292"/>
      <c r="C615" s="293"/>
      <c r="D615" s="293"/>
      <c r="E615" s="293"/>
      <c r="F615" s="293"/>
      <c r="G615" s="293"/>
      <c r="H615" s="293"/>
      <c r="I615" s="293"/>
      <c r="J615" s="293"/>
      <c r="K615" s="293"/>
      <c r="L615" s="293"/>
      <c r="M615" s="294"/>
      <c r="N615" s="294"/>
      <c r="O615" s="294"/>
      <c r="P615" s="294"/>
      <c r="Q615" s="294"/>
      <c r="R615" s="295"/>
    </row>
    <row r="616" spans="1:18" ht="17.25" customHeight="1">
      <c r="A616" s="291"/>
      <c r="B616" s="292"/>
      <c r="C616" s="293"/>
      <c r="D616" s="293"/>
      <c r="E616" s="293"/>
      <c r="F616" s="293"/>
      <c r="G616" s="293"/>
      <c r="H616" s="293"/>
      <c r="I616" s="293"/>
      <c r="J616" s="293"/>
      <c r="K616" s="293"/>
      <c r="L616" s="293"/>
      <c r="M616" s="294"/>
      <c r="N616" s="294"/>
      <c r="O616" s="294"/>
      <c r="P616" s="294"/>
      <c r="Q616" s="294"/>
      <c r="R616" s="295"/>
    </row>
    <row r="617" spans="1:18" ht="17.25" hidden="1" customHeight="1">
      <c r="A617" s="291"/>
      <c r="B617" s="292"/>
      <c r="C617" s="293"/>
      <c r="D617" s="293"/>
      <c r="E617" s="293"/>
      <c r="F617" s="293"/>
      <c r="G617" s="293"/>
      <c r="H617" s="293"/>
      <c r="I617" s="293"/>
      <c r="J617" s="293"/>
      <c r="K617" s="293"/>
      <c r="L617" s="293"/>
      <c r="M617" s="294"/>
      <c r="N617" s="294"/>
      <c r="O617" s="294"/>
      <c r="P617" s="294"/>
      <c r="Q617" s="294"/>
      <c r="R617" s="295"/>
    </row>
    <row r="618" spans="1:18" ht="17.25" hidden="1" customHeight="1">
      <c r="A618" s="291"/>
      <c r="B618" s="292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4"/>
      <c r="N618" s="294"/>
      <c r="O618" s="294"/>
      <c r="P618" s="294"/>
      <c r="Q618" s="294"/>
      <c r="R618" s="295"/>
    </row>
    <row r="619" spans="1:18" ht="17.25" customHeight="1">
      <c r="A619" s="291"/>
      <c r="B619" s="292"/>
      <c r="C619" s="293"/>
      <c r="D619" s="293"/>
      <c r="E619" s="293"/>
      <c r="F619" s="293"/>
      <c r="G619" s="293"/>
      <c r="H619" s="293"/>
      <c r="I619" s="293"/>
      <c r="J619" s="293"/>
      <c r="K619" s="293"/>
      <c r="L619" s="293"/>
      <c r="M619" s="294"/>
      <c r="N619" s="294"/>
      <c r="O619" s="294"/>
      <c r="P619" s="294"/>
      <c r="Q619" s="294"/>
      <c r="R619" s="295"/>
    </row>
    <row r="620" spans="1:18" ht="17.25" customHeight="1">
      <c r="A620" s="291"/>
      <c r="B620" s="292"/>
      <c r="C620" s="293"/>
      <c r="D620" s="293"/>
      <c r="E620" s="293"/>
      <c r="F620" s="293"/>
      <c r="G620" s="293"/>
      <c r="H620" s="293"/>
      <c r="I620" s="293"/>
      <c r="J620" s="293"/>
      <c r="K620" s="293"/>
      <c r="L620" s="293"/>
      <c r="M620" s="294"/>
      <c r="N620" s="294"/>
      <c r="O620" s="294"/>
      <c r="P620" s="294"/>
      <c r="Q620" s="294"/>
      <c r="R620" s="295"/>
    </row>
    <row r="621" spans="1:18" ht="17.25" customHeight="1" thickBot="1">
      <c r="A621" s="291"/>
      <c r="B621" s="292"/>
      <c r="C621" s="293"/>
      <c r="D621" s="293"/>
      <c r="E621" s="293"/>
      <c r="F621" s="293"/>
      <c r="G621" s="293"/>
      <c r="H621" s="293"/>
      <c r="I621" s="293"/>
      <c r="J621" s="293"/>
      <c r="K621" s="293"/>
      <c r="L621" s="293"/>
      <c r="M621" s="294"/>
      <c r="N621" s="294"/>
      <c r="O621" s="294"/>
      <c r="P621" s="294"/>
      <c r="Q621" s="294"/>
      <c r="R621" s="295"/>
    </row>
    <row r="622" spans="1:18" ht="17.25" customHeight="1" thickTop="1" thickBot="1">
      <c r="A622" s="319" t="s">
        <v>3</v>
      </c>
      <c r="B622" s="414">
        <f t="shared" ref="B622:R622" si="57">SUM(B613:B621)</f>
        <v>0</v>
      </c>
      <c r="C622" s="320">
        <f t="shared" si="57"/>
        <v>0</v>
      </c>
      <c r="D622" s="320">
        <f t="shared" si="57"/>
        <v>0</v>
      </c>
      <c r="E622" s="320">
        <f t="shared" si="57"/>
        <v>0</v>
      </c>
      <c r="F622" s="320">
        <f t="shared" si="57"/>
        <v>0</v>
      </c>
      <c r="G622" s="320">
        <f t="shared" si="57"/>
        <v>0</v>
      </c>
      <c r="H622" s="320">
        <f t="shared" si="57"/>
        <v>0</v>
      </c>
      <c r="I622" s="320">
        <f t="shared" si="57"/>
        <v>0</v>
      </c>
      <c r="J622" s="320">
        <f t="shared" si="57"/>
        <v>0</v>
      </c>
      <c r="K622" s="320">
        <f t="shared" si="57"/>
        <v>0</v>
      </c>
      <c r="L622" s="320">
        <f t="shared" si="57"/>
        <v>0</v>
      </c>
      <c r="M622" s="320">
        <f t="shared" si="57"/>
        <v>0</v>
      </c>
      <c r="N622" s="415"/>
      <c r="O622" s="415"/>
      <c r="P622" s="415"/>
      <c r="Q622" s="415"/>
      <c r="R622" s="413">
        <f t="shared" si="57"/>
        <v>0</v>
      </c>
    </row>
    <row r="623" spans="1:18" ht="17.25" customHeight="1" thickTop="1">
      <c r="A623" s="216"/>
    </row>
    <row r="624" spans="1:18" ht="17.25" customHeight="1">
      <c r="A624" s="216"/>
      <c r="B624" s="278"/>
    </row>
    <row r="625" spans="1:25" ht="17.25" customHeight="1">
      <c r="A625" s="216"/>
      <c r="B625" s="278"/>
    </row>
    <row r="626" spans="1:25" ht="17.25" customHeight="1">
      <c r="A626" s="216"/>
      <c r="B626" s="278"/>
    </row>
    <row r="627" spans="1:25" ht="17.25" customHeight="1">
      <c r="A627" s="216"/>
      <c r="B627" s="278"/>
    </row>
    <row r="628" spans="1:25" ht="17.25" customHeight="1">
      <c r="A628" s="336" t="s">
        <v>80</v>
      </c>
      <c r="B628" s="278"/>
    </row>
    <row r="629" spans="1:25" ht="17.25" customHeight="1">
      <c r="A629" s="216"/>
      <c r="B629" s="566"/>
      <c r="C629" s="337"/>
      <c r="D629" s="1173" t="s">
        <v>81</v>
      </c>
      <c r="E629" s="1173"/>
      <c r="F629" s="1173"/>
      <c r="G629" s="1173"/>
      <c r="H629" s="337"/>
      <c r="I629" s="337"/>
      <c r="J629" s="1173" t="s">
        <v>82</v>
      </c>
      <c r="K629" s="1173"/>
      <c r="L629" s="1173"/>
      <c r="M629" s="1173"/>
      <c r="N629" s="1173"/>
      <c r="O629" s="1173"/>
      <c r="P629" s="1173"/>
      <c r="Q629" s="1173"/>
      <c r="R629" s="1173"/>
    </row>
    <row r="630" spans="1:25" ht="17.25" customHeight="1">
      <c r="A630" s="216"/>
      <c r="B630" s="278"/>
    </row>
    <row r="631" spans="1:25" ht="17.25" customHeight="1">
      <c r="B631" s="278"/>
    </row>
    <row r="632" spans="1:25" ht="17.25" customHeight="1">
      <c r="A632" s="215" t="s">
        <v>0</v>
      </c>
      <c r="D632" s="281"/>
      <c r="E632" s="281"/>
      <c r="L632" s="281"/>
      <c r="M632" s="281"/>
      <c r="N632" s="281"/>
      <c r="O632" s="281"/>
      <c r="P632" s="281"/>
      <c r="Q632" s="281"/>
    </row>
    <row r="633" spans="1:25" ht="17.25" customHeight="1">
      <c r="A633" s="215" t="str">
        <f>A4</f>
        <v>DENOMINATION FOR NOVEMBER 2017</v>
      </c>
      <c r="D633" s="281"/>
      <c r="E633" s="281"/>
      <c r="L633" s="281"/>
      <c r="M633" s="281"/>
      <c r="N633" s="281"/>
      <c r="O633" s="281"/>
      <c r="P633" s="281"/>
      <c r="Q633" s="281"/>
    </row>
    <row r="634" spans="1:25" ht="17.25" customHeight="1">
      <c r="A634" s="215" t="s">
        <v>50</v>
      </c>
      <c r="D634" s="281"/>
      <c r="E634" s="281"/>
      <c r="L634" s="281"/>
      <c r="M634" s="281"/>
      <c r="N634" s="281"/>
      <c r="O634" s="281"/>
      <c r="P634" s="281"/>
      <c r="Q634" s="281"/>
    </row>
    <row r="635" spans="1:25" ht="17.25" customHeight="1" thickBot="1">
      <c r="D635" s="281"/>
      <c r="E635" s="281"/>
      <c r="L635" s="281"/>
      <c r="M635" s="281"/>
      <c r="N635" s="281"/>
      <c r="O635" s="281"/>
      <c r="P635" s="281"/>
      <c r="Q635" s="281"/>
    </row>
    <row r="636" spans="1:25" ht="17.25" customHeight="1" thickTop="1">
      <c r="A636" s="570" t="s">
        <v>1</v>
      </c>
      <c r="B636" s="572" t="s">
        <v>15</v>
      </c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82"/>
      <c r="N636" s="282"/>
      <c r="O636" s="282"/>
      <c r="P636" s="282"/>
      <c r="Q636" s="282"/>
      <c r="R636" s="283"/>
    </row>
    <row r="637" spans="1:25" ht="17.25" customHeight="1" thickBot="1">
      <c r="A637" s="571"/>
      <c r="B637" s="284"/>
      <c r="C637" s="223">
        <v>100000</v>
      </c>
      <c r="D637" s="223">
        <v>50000</v>
      </c>
      <c r="E637" s="223">
        <v>20000</v>
      </c>
      <c r="F637" s="223">
        <v>10000</v>
      </c>
      <c r="G637" s="223">
        <v>5000</v>
      </c>
      <c r="H637" s="223">
        <v>1000</v>
      </c>
      <c r="I637" s="223">
        <v>500</v>
      </c>
      <c r="J637" s="223">
        <v>100</v>
      </c>
      <c r="K637" s="223">
        <v>50</v>
      </c>
      <c r="L637" s="223" t="s">
        <v>2</v>
      </c>
      <c r="M637" s="285"/>
      <c r="N637" s="285"/>
      <c r="O637" s="285"/>
      <c r="P637" s="285"/>
      <c r="Q637" s="285"/>
      <c r="R637" s="286" t="s">
        <v>3</v>
      </c>
    </row>
    <row r="638" spans="1:25" ht="17.25" customHeight="1" thickTop="1">
      <c r="A638" s="291"/>
      <c r="B638" s="292"/>
      <c r="C638" s="293"/>
      <c r="D638" s="293"/>
      <c r="E638" s="293"/>
      <c r="F638" s="293"/>
      <c r="G638" s="293"/>
      <c r="H638" s="293"/>
      <c r="I638" s="293"/>
      <c r="J638" s="293"/>
      <c r="K638" s="293"/>
      <c r="L638" s="293"/>
      <c r="M638" s="294"/>
      <c r="N638" s="294"/>
      <c r="O638" s="294"/>
      <c r="P638" s="294"/>
      <c r="Q638" s="294"/>
      <c r="R638" s="295"/>
    </row>
    <row r="639" spans="1:25" s="242" customFormat="1" ht="17.25" customHeight="1">
      <c r="A639" s="291"/>
      <c r="B639" s="292"/>
      <c r="C639" s="293"/>
      <c r="D639" s="293"/>
      <c r="E639" s="293"/>
      <c r="F639" s="293"/>
      <c r="G639" s="293"/>
      <c r="H639" s="293"/>
      <c r="I639" s="293"/>
      <c r="J639" s="293"/>
      <c r="K639" s="293"/>
      <c r="L639" s="293"/>
      <c r="M639" s="294"/>
      <c r="N639" s="294"/>
      <c r="O639" s="294"/>
      <c r="P639" s="294"/>
      <c r="Q639" s="294"/>
      <c r="R639" s="295"/>
      <c r="X639" s="353"/>
      <c r="Y639" s="353"/>
    </row>
    <row r="640" spans="1:25" s="242" customFormat="1" ht="17.25" customHeight="1">
      <c r="A640" s="291"/>
      <c r="B640" s="292"/>
      <c r="C640" s="293"/>
      <c r="D640" s="293"/>
      <c r="E640" s="293"/>
      <c r="F640" s="293"/>
      <c r="G640" s="293"/>
      <c r="H640" s="293"/>
      <c r="I640" s="293"/>
      <c r="J640" s="293"/>
      <c r="K640" s="293"/>
      <c r="L640" s="293"/>
      <c r="M640" s="294"/>
      <c r="N640" s="294"/>
      <c r="O640" s="294"/>
      <c r="P640" s="294"/>
      <c r="Q640" s="294"/>
      <c r="R640" s="295"/>
      <c r="X640" s="353"/>
      <c r="Y640" s="353"/>
    </row>
    <row r="641" spans="1:25" s="242" customFormat="1" ht="17.25" customHeight="1">
      <c r="A641" s="291"/>
      <c r="B641" s="292"/>
      <c r="C641" s="293"/>
      <c r="D641" s="293"/>
      <c r="E641" s="293"/>
      <c r="F641" s="293"/>
      <c r="G641" s="293"/>
      <c r="H641" s="293"/>
      <c r="I641" s="293"/>
      <c r="J641" s="293"/>
      <c r="K641" s="293"/>
      <c r="L641" s="293"/>
      <c r="M641" s="294"/>
      <c r="N641" s="294"/>
      <c r="O641" s="294"/>
      <c r="P641" s="294"/>
      <c r="Q641" s="294"/>
      <c r="R641" s="295"/>
      <c r="X641" s="353"/>
      <c r="Y641" s="353"/>
    </row>
    <row r="642" spans="1:25" s="242" customFormat="1" ht="17.25" customHeight="1">
      <c r="A642" s="291"/>
      <c r="B642" s="292"/>
      <c r="C642" s="293"/>
      <c r="D642" s="293"/>
      <c r="E642" s="293"/>
      <c r="F642" s="293"/>
      <c r="G642" s="293"/>
      <c r="H642" s="293"/>
      <c r="I642" s="293"/>
      <c r="J642" s="293"/>
      <c r="K642" s="293"/>
      <c r="L642" s="293"/>
      <c r="M642" s="294"/>
      <c r="N642" s="294"/>
      <c r="O642" s="294"/>
      <c r="P642" s="294"/>
      <c r="Q642" s="294"/>
      <c r="R642" s="295"/>
      <c r="X642" s="353"/>
      <c r="Y642" s="353"/>
    </row>
    <row r="643" spans="1:25" s="242" customFormat="1" ht="17.25" customHeight="1">
      <c r="A643" s="291"/>
      <c r="B643" s="292"/>
      <c r="C643" s="293"/>
      <c r="D643" s="293"/>
      <c r="E643" s="293"/>
      <c r="F643" s="293"/>
      <c r="G643" s="293"/>
      <c r="H643" s="293"/>
      <c r="I643" s="293"/>
      <c r="J643" s="293"/>
      <c r="K643" s="293"/>
      <c r="L643" s="293"/>
      <c r="M643" s="294"/>
      <c r="N643" s="294"/>
      <c r="O643" s="294"/>
      <c r="P643" s="294"/>
      <c r="Q643" s="294"/>
      <c r="R643" s="295"/>
      <c r="X643" s="353"/>
      <c r="Y643" s="353"/>
    </row>
    <row r="644" spans="1:25" s="242" customFormat="1" ht="17.25" customHeight="1">
      <c r="A644" s="291"/>
      <c r="B644" s="292"/>
      <c r="C644" s="293"/>
      <c r="D644" s="293"/>
      <c r="E644" s="293"/>
      <c r="F644" s="293"/>
      <c r="G644" s="293"/>
      <c r="H644" s="293"/>
      <c r="I644" s="293"/>
      <c r="J644" s="293"/>
      <c r="K644" s="293"/>
      <c r="L644" s="293"/>
      <c r="M644" s="294"/>
      <c r="N644" s="294"/>
      <c r="O644" s="294"/>
      <c r="P644" s="294"/>
      <c r="Q644" s="294"/>
      <c r="R644" s="295"/>
      <c r="X644" s="353"/>
      <c r="Y644" s="353"/>
    </row>
    <row r="645" spans="1:25" s="242" customFormat="1" ht="17.25" customHeight="1" thickBot="1">
      <c r="A645" s="291"/>
      <c r="B645" s="292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4"/>
      <c r="N645" s="294"/>
      <c r="O645" s="294"/>
      <c r="P645" s="294"/>
      <c r="Q645" s="294"/>
      <c r="R645" s="295"/>
      <c r="X645" s="353"/>
      <c r="Y645" s="353"/>
    </row>
    <row r="646" spans="1:25" s="242" customFormat="1" ht="17.25" customHeight="1" thickTop="1" thickBot="1">
      <c r="A646" s="319" t="s">
        <v>3</v>
      </c>
      <c r="B646" s="379">
        <f t="shared" ref="B646:M646" si="58">SUM(B638:B645)</f>
        <v>0</v>
      </c>
      <c r="C646" s="320">
        <f t="shared" si="58"/>
        <v>0</v>
      </c>
      <c r="D646" s="320">
        <f t="shared" si="58"/>
        <v>0</v>
      </c>
      <c r="E646" s="320">
        <f t="shared" si="58"/>
        <v>0</v>
      </c>
      <c r="F646" s="320">
        <f t="shared" si="58"/>
        <v>0</v>
      </c>
      <c r="G646" s="320">
        <f t="shared" si="58"/>
        <v>0</v>
      </c>
      <c r="H646" s="320">
        <f t="shared" si="58"/>
        <v>0</v>
      </c>
      <c r="I646" s="320">
        <f t="shared" si="58"/>
        <v>0</v>
      </c>
      <c r="J646" s="320">
        <f t="shared" si="58"/>
        <v>0</v>
      </c>
      <c r="K646" s="320">
        <f t="shared" si="58"/>
        <v>0</v>
      </c>
      <c r="L646" s="320">
        <f t="shared" si="58"/>
        <v>0</v>
      </c>
      <c r="M646" s="320">
        <f t="shared" si="58"/>
        <v>0</v>
      </c>
      <c r="N646" s="415"/>
      <c r="O646" s="415"/>
      <c r="P646" s="415"/>
      <c r="Q646" s="415"/>
      <c r="R646" s="413">
        <f>SUM(R638:R645)</f>
        <v>0</v>
      </c>
      <c r="X646" s="353"/>
      <c r="Y646" s="353"/>
    </row>
    <row r="647" spans="1:25" ht="17.25" customHeight="1" thickTop="1">
      <c r="A647" s="216"/>
    </row>
    <row r="648" spans="1:25" ht="17.25" customHeight="1">
      <c r="A648" s="216"/>
    </row>
    <row r="649" spans="1:25" ht="17.25" customHeight="1">
      <c r="A649" s="216"/>
    </row>
    <row r="650" spans="1:25" ht="17.25" customHeight="1">
      <c r="A650" s="216"/>
    </row>
    <row r="651" spans="1:25" ht="17.25" customHeight="1">
      <c r="A651" s="216"/>
    </row>
    <row r="652" spans="1:25" ht="17.25" customHeight="1">
      <c r="A652" s="336" t="s">
        <v>80</v>
      </c>
    </row>
    <row r="653" spans="1:25" ht="17.25" customHeight="1">
      <c r="A653" s="339"/>
      <c r="B653" s="566"/>
      <c r="C653" s="337"/>
      <c r="D653" s="1173" t="s">
        <v>81</v>
      </c>
      <c r="E653" s="1173"/>
      <c r="F653" s="1173"/>
      <c r="G653" s="1173"/>
      <c r="H653" s="337"/>
      <c r="I653" s="337"/>
      <c r="J653" s="1173" t="s">
        <v>82</v>
      </c>
      <c r="K653" s="1173"/>
      <c r="L653" s="1173"/>
      <c r="M653" s="1173"/>
      <c r="N653" s="1173"/>
      <c r="O653" s="1173"/>
      <c r="P653" s="1173"/>
      <c r="Q653" s="1173"/>
      <c r="R653" s="1173"/>
    </row>
    <row r="654" spans="1:25" ht="17.25" customHeight="1">
      <c r="A654" s="215" t="s">
        <v>0</v>
      </c>
    </row>
    <row r="655" spans="1:25" ht="26.25" customHeight="1">
      <c r="A655" s="215" t="str">
        <f>A4</f>
        <v>DENOMINATION FOR NOVEMBER 2017</v>
      </c>
      <c r="D655" s="281"/>
      <c r="E655" s="281"/>
      <c r="L655" s="281"/>
      <c r="M655" s="281"/>
      <c r="N655" s="281"/>
      <c r="O655" s="281"/>
      <c r="P655" s="281"/>
      <c r="Q655" s="281"/>
    </row>
    <row r="656" spans="1:25" ht="26.25" customHeight="1">
      <c r="A656" s="215" t="s">
        <v>154</v>
      </c>
      <c r="D656" s="281"/>
      <c r="E656" s="281"/>
      <c r="L656" s="281"/>
      <c r="M656" s="281"/>
      <c r="N656" s="281"/>
      <c r="O656" s="281"/>
      <c r="P656" s="281"/>
      <c r="Q656" s="281"/>
    </row>
    <row r="657" spans="1:28" ht="26.25" customHeight="1" thickBot="1">
      <c r="D657" s="281"/>
      <c r="E657" s="281"/>
      <c r="L657" s="281"/>
      <c r="M657" s="281"/>
      <c r="N657" s="281"/>
      <c r="O657" s="281"/>
      <c r="P657" s="281"/>
      <c r="Q657" s="281"/>
    </row>
    <row r="658" spans="1:28" ht="26.25" customHeight="1" thickTop="1">
      <c r="A658" s="1176" t="s">
        <v>1</v>
      </c>
      <c r="B658" s="1183" t="s">
        <v>15</v>
      </c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82"/>
      <c r="N658" s="568"/>
      <c r="O658" s="568"/>
      <c r="P658" s="1174"/>
      <c r="Q658" s="1174"/>
      <c r="R658" s="1171" t="s">
        <v>3</v>
      </c>
    </row>
    <row r="659" spans="1:28" ht="26.25" customHeight="1" thickBot="1">
      <c r="A659" s="1177"/>
      <c r="B659" s="1184"/>
      <c r="C659" s="223">
        <v>100000</v>
      </c>
      <c r="D659" s="223">
        <v>50000</v>
      </c>
      <c r="E659" s="223">
        <v>20000</v>
      </c>
      <c r="F659" s="223">
        <v>10000</v>
      </c>
      <c r="G659" s="223">
        <v>5000</v>
      </c>
      <c r="H659" s="223">
        <v>1000</v>
      </c>
      <c r="I659" s="223">
        <v>500</v>
      </c>
      <c r="J659" s="223">
        <v>100</v>
      </c>
      <c r="K659" s="223">
        <v>50</v>
      </c>
      <c r="L659" s="223" t="s">
        <v>2</v>
      </c>
      <c r="M659" s="285"/>
      <c r="N659" s="569"/>
      <c r="O659" s="569"/>
      <c r="P659" s="1175"/>
      <c r="Q659" s="1175"/>
      <c r="R659" s="1172"/>
    </row>
    <row r="660" spans="1:28" ht="26.25" customHeight="1" thickTop="1">
      <c r="A660" s="287"/>
      <c r="B660" s="533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9"/>
      <c r="N660" s="289"/>
      <c r="O660" s="289"/>
      <c r="P660" s="289"/>
      <c r="Q660" s="289"/>
      <c r="R660" s="290"/>
    </row>
    <row r="661" spans="1:28" ht="26.25" customHeight="1">
      <c r="A661" s="291"/>
      <c r="B661" s="292"/>
      <c r="C661" s="293"/>
      <c r="D661" s="293"/>
      <c r="E661" s="293"/>
      <c r="F661" s="293"/>
      <c r="G661" s="293"/>
      <c r="H661" s="293"/>
      <c r="I661" s="293"/>
      <c r="J661" s="293"/>
      <c r="K661" s="293"/>
      <c r="L661" s="293"/>
      <c r="M661" s="294"/>
      <c r="N661" s="294"/>
      <c r="O661" s="294"/>
      <c r="P661" s="294"/>
      <c r="Q661" s="294"/>
      <c r="R661" s="295"/>
    </row>
    <row r="662" spans="1:28" s="242" customFormat="1" ht="26.25" customHeight="1">
      <c r="A662" s="291"/>
      <c r="B662" s="292"/>
      <c r="C662" s="293"/>
      <c r="D662" s="293"/>
      <c r="E662" s="293"/>
      <c r="F662" s="293"/>
      <c r="G662" s="293"/>
      <c r="H662" s="293"/>
      <c r="I662" s="293"/>
      <c r="J662" s="293"/>
      <c r="K662" s="293"/>
      <c r="L662" s="293"/>
      <c r="M662" s="294"/>
      <c r="N662" s="294"/>
      <c r="O662" s="294"/>
      <c r="P662" s="294"/>
      <c r="Q662" s="294"/>
      <c r="R662" s="295"/>
      <c r="X662" s="353"/>
      <c r="Y662" s="353"/>
    </row>
    <row r="663" spans="1:28" s="242" customFormat="1" ht="26.25" customHeight="1">
      <c r="A663" s="291"/>
      <c r="B663" s="292"/>
      <c r="C663" s="293"/>
      <c r="D663" s="293"/>
      <c r="E663" s="293"/>
      <c r="F663" s="293"/>
      <c r="G663" s="293"/>
      <c r="H663" s="293"/>
      <c r="I663" s="293"/>
      <c r="J663" s="293"/>
      <c r="K663" s="293"/>
      <c r="L663" s="293"/>
      <c r="M663" s="294"/>
      <c r="N663" s="294"/>
      <c r="O663" s="294"/>
      <c r="P663" s="294"/>
      <c r="Q663" s="294"/>
      <c r="R663" s="295"/>
      <c r="X663" s="353"/>
      <c r="Y663" s="353"/>
    </row>
    <row r="664" spans="1:28" s="242" customFormat="1" ht="26.25" customHeight="1" thickBot="1">
      <c r="A664" s="525"/>
      <c r="B664" s="526"/>
      <c r="C664" s="527"/>
      <c r="D664" s="527"/>
      <c r="E664" s="527"/>
      <c r="F664" s="527"/>
      <c r="G664" s="527"/>
      <c r="H664" s="527"/>
      <c r="I664" s="527"/>
      <c r="J664" s="527"/>
      <c r="K664" s="527"/>
      <c r="L664" s="527"/>
      <c r="M664" s="528"/>
      <c r="N664" s="528"/>
      <c r="O664" s="528"/>
      <c r="P664" s="528"/>
      <c r="Q664" s="528"/>
      <c r="R664" s="529"/>
      <c r="X664" s="353"/>
      <c r="Y664" s="353"/>
    </row>
    <row r="665" spans="1:28" ht="26.25" customHeight="1" thickBot="1">
      <c r="A665" s="565" t="s">
        <v>3</v>
      </c>
      <c r="B665" s="573">
        <f t="shared" ref="B665:M665" si="59">SUM(B660:B664)</f>
        <v>0</v>
      </c>
      <c r="C665" s="223">
        <f t="shared" si="59"/>
        <v>0</v>
      </c>
      <c r="D665" s="223">
        <f t="shared" si="59"/>
        <v>0</v>
      </c>
      <c r="E665" s="223">
        <f t="shared" si="59"/>
        <v>0</v>
      </c>
      <c r="F665" s="223">
        <f t="shared" si="59"/>
        <v>0</v>
      </c>
      <c r="G665" s="223">
        <f t="shared" si="59"/>
        <v>0</v>
      </c>
      <c r="H665" s="223">
        <f t="shared" si="59"/>
        <v>0</v>
      </c>
      <c r="I665" s="223">
        <f>SUM(I660:I664)</f>
        <v>0</v>
      </c>
      <c r="J665" s="223">
        <f t="shared" si="59"/>
        <v>0</v>
      </c>
      <c r="K665" s="223">
        <f t="shared" si="59"/>
        <v>0</v>
      </c>
      <c r="L665" s="223">
        <f>SUM(L660:L664)</f>
        <v>0</v>
      </c>
      <c r="M665" s="223">
        <f t="shared" si="59"/>
        <v>0</v>
      </c>
      <c r="N665" s="285"/>
      <c r="O665" s="285"/>
      <c r="P665" s="285"/>
      <c r="Q665" s="285"/>
      <c r="R665" s="286">
        <f>SUM(R660:R664)</f>
        <v>0</v>
      </c>
    </row>
    <row r="666" spans="1:28" ht="26.25" customHeight="1" thickTop="1">
      <c r="A666" s="216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</row>
    <row r="667" spans="1:28" ht="17.25" customHeight="1">
      <c r="A667" s="216"/>
    </row>
    <row r="668" spans="1:28" s="339" customFormat="1" ht="17.25" customHeight="1">
      <c r="A668" s="216"/>
      <c r="B668" s="216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5"/>
      <c r="T668" s="215"/>
      <c r="U668" s="215"/>
      <c r="V668" s="215"/>
      <c r="W668" s="215"/>
      <c r="Z668" s="215"/>
      <c r="AA668" s="215"/>
      <c r="AB668" s="215"/>
    </row>
    <row r="669" spans="1:28" s="339" customFormat="1" ht="17.25" customHeight="1">
      <c r="A669" s="216"/>
      <c r="B669" s="216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5"/>
      <c r="T669" s="215"/>
      <c r="U669" s="215"/>
      <c r="V669" s="215"/>
      <c r="W669" s="215"/>
      <c r="Z669" s="215"/>
      <c r="AA669" s="215"/>
      <c r="AB669" s="215"/>
    </row>
    <row r="670" spans="1:28" s="339" customFormat="1" ht="17.25" customHeight="1">
      <c r="A670" s="216"/>
      <c r="B670" s="216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5"/>
      <c r="T670" s="215"/>
      <c r="U670" s="215"/>
      <c r="V670" s="215"/>
      <c r="W670" s="215"/>
      <c r="Z670" s="215"/>
      <c r="AA670" s="215"/>
      <c r="AB670" s="215"/>
    </row>
    <row r="671" spans="1:28" s="339" customFormat="1" ht="17.25" customHeight="1">
      <c r="A671" s="336" t="s">
        <v>204</v>
      </c>
      <c r="B671" s="566"/>
      <c r="C671" s="337"/>
      <c r="D671" s="337"/>
      <c r="E671" s="337"/>
      <c r="F671" s="337"/>
      <c r="G671" s="337"/>
      <c r="H671" s="337"/>
      <c r="I671" s="337"/>
      <c r="J671" s="1173" t="s">
        <v>82</v>
      </c>
      <c r="K671" s="1173"/>
      <c r="L671" s="1173"/>
      <c r="M671" s="1173"/>
      <c r="N671" s="1173"/>
      <c r="O671" s="1173"/>
      <c r="P671" s="1173"/>
      <c r="Q671" s="1173"/>
      <c r="R671" s="1173"/>
      <c r="S671" s="215"/>
      <c r="T671" s="215"/>
      <c r="U671" s="215"/>
      <c r="V671" s="215"/>
      <c r="W671" s="215"/>
      <c r="Z671" s="215"/>
      <c r="AA671" s="215"/>
      <c r="AB671" s="215"/>
    </row>
    <row r="672" spans="1:28" s="339" customFormat="1" ht="17.25" customHeight="1">
      <c r="B672" s="566"/>
      <c r="C672" s="337"/>
      <c r="D672" s="1173" t="s">
        <v>81</v>
      </c>
      <c r="E672" s="1173"/>
      <c r="F672" s="1173"/>
      <c r="G672" s="1173"/>
      <c r="H672" s="337"/>
      <c r="I672" s="337"/>
      <c r="J672" s="1173"/>
      <c r="K672" s="1173"/>
      <c r="L672" s="1173"/>
      <c r="M672" s="1173"/>
      <c r="N672" s="1173"/>
      <c r="O672" s="1173"/>
      <c r="P672" s="1173"/>
      <c r="Q672" s="1173"/>
      <c r="R672" s="1173"/>
      <c r="S672" s="215"/>
      <c r="T672" s="215"/>
      <c r="U672" s="215"/>
      <c r="V672" s="215"/>
      <c r="W672" s="215"/>
      <c r="Z672" s="215"/>
      <c r="AA672" s="215"/>
      <c r="AB672" s="215"/>
    </row>
    <row r="673" spans="1:28" s="339" customFormat="1" ht="17.25" customHeight="1">
      <c r="B673" s="566"/>
      <c r="C673" s="337"/>
      <c r="D673" s="566"/>
      <c r="E673" s="566"/>
      <c r="F673" s="566"/>
      <c r="G673" s="566"/>
      <c r="H673" s="337"/>
      <c r="I673" s="337"/>
      <c r="J673" s="566"/>
      <c r="K673" s="566"/>
      <c r="L673" s="566"/>
      <c r="M673" s="566"/>
      <c r="N673" s="566"/>
      <c r="O673" s="566"/>
      <c r="P673" s="566"/>
      <c r="Q673" s="566"/>
      <c r="R673" s="566"/>
      <c r="S673" s="215"/>
      <c r="T673" s="215"/>
      <c r="U673" s="215"/>
      <c r="V673" s="215"/>
      <c r="W673" s="215"/>
      <c r="Z673" s="215"/>
      <c r="AA673" s="215"/>
      <c r="AB673" s="215"/>
    </row>
    <row r="674" spans="1:28" s="339" customFormat="1" ht="17.25" customHeight="1">
      <c r="A674" s="215"/>
      <c r="B674" s="216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5"/>
      <c r="T674" s="215"/>
      <c r="U674" s="215"/>
      <c r="V674" s="215"/>
      <c r="W674" s="215"/>
      <c r="Z674" s="215"/>
      <c r="AA674" s="215"/>
      <c r="AB674" s="215"/>
    </row>
    <row r="675" spans="1:28" s="339" customFormat="1" ht="17.25" customHeight="1">
      <c r="A675" s="215" t="s">
        <v>0</v>
      </c>
      <c r="B675" s="216"/>
      <c r="C675" s="217"/>
      <c r="D675" s="281"/>
      <c r="E675" s="281"/>
      <c r="F675" s="217"/>
      <c r="G675" s="217"/>
      <c r="H675" s="217"/>
      <c r="I675" s="217"/>
      <c r="J675" s="217"/>
      <c r="K675" s="217"/>
      <c r="L675" s="281"/>
      <c r="M675" s="281"/>
      <c r="N675" s="281"/>
      <c r="O675" s="281"/>
      <c r="P675" s="281"/>
      <c r="Q675" s="281"/>
      <c r="R675" s="217"/>
      <c r="S675" s="215"/>
      <c r="T675" s="215"/>
      <c r="U675" s="215"/>
      <c r="V675" s="215"/>
      <c r="W675" s="215"/>
      <c r="Z675" s="215"/>
      <c r="AA675" s="215"/>
      <c r="AB675" s="215"/>
    </row>
    <row r="676" spans="1:28" s="339" customFormat="1" ht="26.25" customHeight="1">
      <c r="A676" s="215" t="str">
        <f>A4</f>
        <v>DENOMINATION FOR NOVEMBER 2017</v>
      </c>
      <c r="B676" s="216"/>
      <c r="C676" s="217"/>
      <c r="D676" s="281"/>
      <c r="E676" s="281"/>
      <c r="F676" s="217"/>
      <c r="G676" s="217"/>
      <c r="H676" s="217"/>
      <c r="I676" s="217"/>
      <c r="J676" s="217"/>
      <c r="K676" s="217"/>
      <c r="L676" s="281"/>
      <c r="M676" s="281"/>
      <c r="N676" s="281"/>
      <c r="O676" s="281"/>
      <c r="P676" s="281"/>
      <c r="Q676" s="281"/>
      <c r="R676" s="217"/>
      <c r="S676" s="215"/>
      <c r="T676" s="215"/>
      <c r="U676" s="215"/>
      <c r="V676" s="215"/>
      <c r="W676" s="215"/>
      <c r="Z676" s="215"/>
      <c r="AA676" s="215"/>
      <c r="AB676" s="215"/>
    </row>
    <row r="677" spans="1:28" s="339" customFormat="1" ht="26.25" customHeight="1">
      <c r="A677" s="215"/>
      <c r="B677" s="216"/>
      <c r="C677" s="217"/>
      <c r="D677" s="281"/>
      <c r="E677" s="281"/>
      <c r="F677" s="217"/>
      <c r="G677" s="217"/>
      <c r="H677" s="217"/>
      <c r="I677" s="217"/>
      <c r="J677" s="217"/>
      <c r="K677" s="217"/>
      <c r="L677" s="281"/>
      <c r="M677" s="281"/>
      <c r="N677" s="281"/>
      <c r="O677" s="281"/>
      <c r="P677" s="281"/>
      <c r="Q677" s="281"/>
      <c r="R677" s="217"/>
      <c r="S677" s="215"/>
      <c r="T677" s="215"/>
      <c r="U677" s="215"/>
      <c r="V677" s="215"/>
      <c r="W677" s="215"/>
      <c r="Z677" s="215"/>
      <c r="AA677" s="215"/>
      <c r="AB677" s="215"/>
    </row>
    <row r="678" spans="1:28" s="339" customFormat="1" ht="26.25" customHeight="1" thickBot="1">
      <c r="A678" s="215"/>
      <c r="B678" s="216"/>
      <c r="C678" s="217"/>
      <c r="D678" s="281"/>
      <c r="E678" s="281"/>
      <c r="F678" s="217"/>
      <c r="G678" s="217"/>
      <c r="H678" s="217"/>
      <c r="I678" s="217"/>
      <c r="J678" s="217"/>
      <c r="K678" s="217"/>
      <c r="L678" s="281"/>
      <c r="M678" s="281"/>
      <c r="N678" s="281"/>
      <c r="O678" s="281"/>
      <c r="P678" s="281"/>
      <c r="Q678" s="281"/>
      <c r="R678" s="217"/>
      <c r="S678" s="215"/>
      <c r="T678" s="215"/>
      <c r="U678" s="215"/>
      <c r="V678" s="215"/>
      <c r="W678" s="215"/>
      <c r="Z678" s="215"/>
      <c r="AA678" s="215"/>
      <c r="AB678" s="215"/>
    </row>
    <row r="679" spans="1:28" s="339" customFormat="1" ht="26.25" customHeight="1" thickTop="1">
      <c r="A679" s="570" t="s">
        <v>1</v>
      </c>
      <c r="B679" s="572" t="s">
        <v>15</v>
      </c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82"/>
      <c r="N679" s="282"/>
      <c r="O679" s="282"/>
      <c r="P679" s="282"/>
      <c r="Q679" s="282"/>
      <c r="R679" s="283"/>
      <c r="S679" s="215"/>
      <c r="T679" s="215"/>
      <c r="U679" s="215"/>
      <c r="V679" s="215"/>
      <c r="W679" s="215"/>
      <c r="Z679" s="215"/>
      <c r="AA679" s="215"/>
      <c r="AB679" s="215"/>
    </row>
    <row r="680" spans="1:28" s="339" customFormat="1" ht="26.25" customHeight="1" thickBot="1">
      <c r="A680" s="571"/>
      <c r="B680" s="284"/>
      <c r="C680" s="223">
        <v>100000</v>
      </c>
      <c r="D680" s="223">
        <v>50000</v>
      </c>
      <c r="E680" s="223">
        <v>20000</v>
      </c>
      <c r="F680" s="223">
        <v>10000</v>
      </c>
      <c r="G680" s="223">
        <v>5000</v>
      </c>
      <c r="H680" s="223">
        <v>1000</v>
      </c>
      <c r="I680" s="223">
        <v>500</v>
      </c>
      <c r="J680" s="223">
        <v>100</v>
      </c>
      <c r="K680" s="223">
        <v>50</v>
      </c>
      <c r="L680" s="223" t="s">
        <v>2</v>
      </c>
      <c r="M680" s="285"/>
      <c r="N680" s="285"/>
      <c r="O680" s="285"/>
      <c r="P680" s="285"/>
      <c r="Q680" s="285"/>
      <c r="R680" s="286" t="s">
        <v>3</v>
      </c>
      <c r="S680" s="215"/>
      <c r="T680" s="215"/>
      <c r="U680" s="215"/>
      <c r="V680" s="215"/>
      <c r="W680" s="215"/>
      <c r="Z680" s="215"/>
      <c r="AA680" s="215"/>
      <c r="AB680" s="215"/>
    </row>
    <row r="681" spans="1:28" s="339" customFormat="1" ht="26.25" customHeight="1" thickTop="1">
      <c r="A681" s="287"/>
      <c r="B681" s="533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9"/>
      <c r="N681" s="289"/>
      <c r="O681" s="289"/>
      <c r="P681" s="289"/>
      <c r="Q681" s="289"/>
      <c r="R681" s="290"/>
      <c r="S681" s="215"/>
      <c r="T681" s="215"/>
      <c r="U681" s="215"/>
      <c r="V681" s="215"/>
      <c r="W681" s="215"/>
      <c r="Z681" s="215"/>
      <c r="AA681" s="215"/>
      <c r="AB681" s="215"/>
    </row>
    <row r="682" spans="1:28" s="339" customFormat="1" ht="26.25" customHeight="1">
      <c r="A682" s="291"/>
      <c r="B682" s="292"/>
      <c r="C682" s="293"/>
      <c r="D682" s="293"/>
      <c r="E682" s="293"/>
      <c r="F682" s="293"/>
      <c r="G682" s="293"/>
      <c r="H682" s="293"/>
      <c r="I682" s="293"/>
      <c r="J682" s="293"/>
      <c r="K682" s="293"/>
      <c r="L682" s="293"/>
      <c r="M682" s="294"/>
      <c r="N682" s="294"/>
      <c r="O682" s="294"/>
      <c r="P682" s="294"/>
      <c r="Q682" s="294"/>
      <c r="R682" s="295"/>
      <c r="S682" s="215"/>
      <c r="T682" s="215"/>
      <c r="U682" s="215"/>
      <c r="V682" s="215"/>
      <c r="W682" s="215"/>
      <c r="Z682" s="215"/>
      <c r="AA682" s="215"/>
      <c r="AB682" s="215"/>
    </row>
    <row r="683" spans="1:28" s="339" customFormat="1" ht="26.25" customHeight="1">
      <c r="A683" s="291"/>
      <c r="B683" s="292"/>
      <c r="C683" s="293"/>
      <c r="D683" s="293"/>
      <c r="E683" s="293"/>
      <c r="F683" s="293"/>
      <c r="G683" s="293"/>
      <c r="H683" s="293"/>
      <c r="I683" s="293"/>
      <c r="J683" s="293"/>
      <c r="K683" s="293"/>
      <c r="L683" s="293"/>
      <c r="M683" s="294"/>
      <c r="N683" s="294"/>
      <c r="O683" s="294"/>
      <c r="P683" s="294"/>
      <c r="Q683" s="294"/>
      <c r="R683" s="295"/>
      <c r="S683" s="215"/>
      <c r="T683" s="215"/>
      <c r="U683" s="215"/>
      <c r="V683" s="215"/>
      <c r="W683" s="215" t="s">
        <v>166</v>
      </c>
      <c r="Z683" s="215"/>
      <c r="AA683" s="215"/>
      <c r="AB683" s="215"/>
    </row>
    <row r="684" spans="1:28" ht="26.25" customHeight="1">
      <c r="A684" s="291"/>
      <c r="B684" s="292"/>
      <c r="C684" s="293"/>
      <c r="D684" s="293"/>
      <c r="E684" s="293"/>
      <c r="F684" s="293"/>
      <c r="G684" s="293"/>
      <c r="H684" s="293"/>
      <c r="I684" s="293"/>
      <c r="J684" s="293"/>
      <c r="K684" s="293"/>
      <c r="L684" s="293"/>
      <c r="M684" s="294"/>
      <c r="N684" s="294"/>
      <c r="O684" s="294"/>
      <c r="P684" s="294"/>
      <c r="Q684" s="294"/>
      <c r="R684" s="295"/>
    </row>
    <row r="685" spans="1:28" ht="26.25" customHeight="1">
      <c r="A685" s="291"/>
      <c r="B685" s="292"/>
      <c r="C685" s="293"/>
      <c r="D685" s="293"/>
      <c r="E685" s="293"/>
      <c r="F685" s="293"/>
      <c r="G685" s="293"/>
      <c r="H685" s="293"/>
      <c r="I685" s="293"/>
      <c r="J685" s="293"/>
      <c r="K685" s="293"/>
      <c r="L685" s="293"/>
      <c r="M685" s="294"/>
      <c r="N685" s="294"/>
      <c r="O685" s="294"/>
      <c r="P685" s="294"/>
      <c r="Q685" s="294"/>
      <c r="R685" s="295"/>
    </row>
    <row r="686" spans="1:28" ht="26.25" customHeight="1">
      <c r="A686" s="291"/>
      <c r="B686" s="292"/>
      <c r="C686" s="293"/>
      <c r="D686" s="293"/>
      <c r="E686" s="293"/>
      <c r="F686" s="293"/>
      <c r="G686" s="293"/>
      <c r="H686" s="293"/>
      <c r="I686" s="293"/>
      <c r="J686" s="293"/>
      <c r="K686" s="293"/>
      <c r="L686" s="293"/>
      <c r="M686" s="294"/>
      <c r="N686" s="294"/>
      <c r="O686" s="294"/>
      <c r="P686" s="294"/>
      <c r="Q686" s="294"/>
      <c r="R686" s="295"/>
    </row>
    <row r="687" spans="1:28" ht="26.25" customHeight="1" thickBot="1">
      <c r="A687" s="375"/>
      <c r="B687" s="364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7"/>
      <c r="N687" s="377"/>
      <c r="O687" s="377"/>
      <c r="P687" s="377"/>
      <c r="Q687" s="377"/>
      <c r="R687" s="378"/>
    </row>
    <row r="688" spans="1:28" ht="26.25" customHeight="1" thickTop="1" thickBot="1">
      <c r="A688" s="319" t="s">
        <v>3</v>
      </c>
      <c r="B688" s="379">
        <f>SUM(B681:B687)</f>
        <v>0</v>
      </c>
      <c r="C688" s="320">
        <f t="shared" ref="C688:R688" si="60">SUM(C681:C687)</f>
        <v>0</v>
      </c>
      <c r="D688" s="320">
        <f t="shared" si="60"/>
        <v>0</v>
      </c>
      <c r="E688" s="320">
        <f t="shared" si="60"/>
        <v>0</v>
      </c>
      <c r="F688" s="320">
        <f t="shared" si="60"/>
        <v>0</v>
      </c>
      <c r="G688" s="320">
        <f t="shared" si="60"/>
        <v>0</v>
      </c>
      <c r="H688" s="320">
        <f t="shared" si="60"/>
        <v>0</v>
      </c>
      <c r="I688" s="320">
        <f t="shared" si="60"/>
        <v>0</v>
      </c>
      <c r="J688" s="320">
        <f t="shared" si="60"/>
        <v>0</v>
      </c>
      <c r="K688" s="320">
        <f t="shared" si="60"/>
        <v>0</v>
      </c>
      <c r="L688" s="320">
        <f t="shared" si="60"/>
        <v>0</v>
      </c>
      <c r="M688" s="320">
        <f t="shared" si="60"/>
        <v>0</v>
      </c>
      <c r="N688" s="320"/>
      <c r="O688" s="320"/>
      <c r="P688" s="320"/>
      <c r="Q688" s="320"/>
      <c r="R688" s="320">
        <f t="shared" si="60"/>
        <v>0</v>
      </c>
    </row>
    <row r="689" spans="1:18" ht="26.25" customHeight="1" thickTop="1">
      <c r="A689" s="216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</row>
    <row r="690" spans="1:18" ht="17.25" customHeight="1">
      <c r="A690" s="216"/>
      <c r="C690" s="401"/>
      <c r="D690" s="401"/>
      <c r="E690" s="401"/>
      <c r="F690" s="401"/>
      <c r="G690" s="401"/>
      <c r="H690" s="401"/>
      <c r="I690" s="401"/>
      <c r="J690" s="401"/>
      <c r="K690" s="401"/>
      <c r="L690" s="401"/>
      <c r="M690" s="401"/>
      <c r="N690" s="401"/>
      <c r="O690" s="401"/>
      <c r="P690" s="401"/>
      <c r="Q690" s="401"/>
      <c r="R690" s="401"/>
    </row>
    <row r="691" spans="1:18" ht="17.25" customHeight="1">
      <c r="A691" s="216"/>
      <c r="C691" s="401"/>
      <c r="D691" s="401"/>
      <c r="E691" s="401"/>
      <c r="F691" s="401"/>
      <c r="G691" s="401"/>
      <c r="H691" s="401"/>
      <c r="I691" s="401"/>
      <c r="J691" s="401"/>
      <c r="K691" s="401"/>
      <c r="L691" s="401"/>
      <c r="M691" s="401"/>
      <c r="N691" s="401"/>
      <c r="O691" s="401"/>
      <c r="P691" s="401"/>
      <c r="Q691" s="401"/>
      <c r="R691" s="401"/>
    </row>
    <row r="692" spans="1:18" ht="17.25" customHeight="1">
      <c r="A692" s="216"/>
      <c r="C692" s="401"/>
      <c r="D692" s="401"/>
      <c r="E692" s="401"/>
      <c r="F692" s="401"/>
      <c r="G692" s="401"/>
      <c r="H692" s="401"/>
      <c r="I692" s="401"/>
      <c r="J692" s="401"/>
      <c r="K692" s="401"/>
      <c r="L692" s="401"/>
      <c r="M692" s="401"/>
      <c r="N692" s="401"/>
      <c r="O692" s="401"/>
      <c r="P692" s="401"/>
      <c r="Q692" s="401"/>
      <c r="R692" s="401"/>
    </row>
    <row r="693" spans="1:18" ht="17.25" customHeight="1">
      <c r="A693" s="216"/>
      <c r="C693" s="401"/>
      <c r="D693" s="401"/>
      <c r="E693" s="401"/>
      <c r="F693" s="401"/>
      <c r="G693" s="401"/>
      <c r="H693" s="401"/>
      <c r="I693" s="401"/>
      <c r="J693" s="401"/>
      <c r="K693" s="401"/>
      <c r="L693" s="401"/>
      <c r="M693" s="401"/>
      <c r="N693" s="401"/>
      <c r="O693" s="401"/>
      <c r="P693" s="401"/>
      <c r="Q693" s="401"/>
      <c r="R693" s="401"/>
    </row>
    <row r="694" spans="1:18" ht="17.25" customHeight="1">
      <c r="A694" s="336" t="s">
        <v>80</v>
      </c>
      <c r="C694" s="401"/>
      <c r="D694" s="401"/>
      <c r="E694" s="401"/>
      <c r="F694" s="401"/>
      <c r="G694" s="401"/>
      <c r="H694" s="401"/>
      <c r="I694" s="401"/>
      <c r="J694" s="401"/>
      <c r="K694" s="401"/>
      <c r="L694" s="401"/>
      <c r="M694" s="401"/>
      <c r="N694" s="401"/>
      <c r="O694" s="401"/>
      <c r="P694" s="401"/>
      <c r="Q694" s="401"/>
      <c r="R694" s="401"/>
    </row>
    <row r="695" spans="1:18" ht="17.25" customHeight="1">
      <c r="A695" s="339"/>
      <c r="B695" s="566"/>
      <c r="C695" s="337"/>
      <c r="D695" s="1173" t="s">
        <v>81</v>
      </c>
      <c r="E695" s="1173"/>
      <c r="F695" s="1173"/>
      <c r="G695" s="1173"/>
      <c r="H695" s="337"/>
      <c r="I695" s="337"/>
      <c r="J695" s="1173" t="s">
        <v>82</v>
      </c>
      <c r="K695" s="1173"/>
      <c r="L695" s="1173"/>
      <c r="M695" s="1173"/>
      <c r="N695" s="1173"/>
      <c r="O695" s="1173"/>
      <c r="P695" s="1173"/>
      <c r="Q695" s="1173"/>
      <c r="R695" s="1173"/>
    </row>
    <row r="696" spans="1:18" ht="17.25" customHeight="1"/>
    <row r="697" spans="1:18" ht="17.25" customHeight="1">
      <c r="D697" s="281"/>
      <c r="E697" s="281"/>
      <c r="L697" s="281"/>
      <c r="M697" s="281"/>
      <c r="N697" s="281"/>
      <c r="O697" s="281"/>
      <c r="P697" s="281"/>
      <c r="Q697" s="281"/>
    </row>
    <row r="698" spans="1:18" ht="17.25" customHeight="1">
      <c r="A698" s="215" t="s">
        <v>0</v>
      </c>
      <c r="D698" s="281"/>
      <c r="E698" s="281"/>
      <c r="L698" s="281"/>
      <c r="M698" s="281"/>
      <c r="N698" s="281"/>
      <c r="O698" s="281"/>
      <c r="P698" s="281"/>
      <c r="Q698" s="281"/>
    </row>
    <row r="699" spans="1:18" ht="17.25" customHeight="1">
      <c r="A699" s="215" t="str">
        <f>A676</f>
        <v>DENOMINATION FOR NOVEMBER 2017</v>
      </c>
      <c r="D699" s="281"/>
      <c r="E699" s="281"/>
      <c r="L699" s="281"/>
      <c r="M699" s="281"/>
      <c r="N699" s="281"/>
      <c r="O699" s="281"/>
      <c r="P699" s="281"/>
      <c r="Q699" s="281"/>
    </row>
    <row r="700" spans="1:18" ht="17.25" customHeight="1">
      <c r="A700" s="215" t="s">
        <v>69</v>
      </c>
      <c r="D700" s="281"/>
      <c r="E700" s="281"/>
      <c r="L700" s="281"/>
      <c r="M700" s="281"/>
      <c r="N700" s="281"/>
      <c r="O700" s="281"/>
      <c r="P700" s="281"/>
      <c r="Q700" s="281"/>
    </row>
    <row r="701" spans="1:18" ht="17.25" customHeight="1" thickBot="1">
      <c r="D701" s="281"/>
      <c r="E701" s="281"/>
      <c r="L701" s="281"/>
      <c r="M701" s="281"/>
      <c r="N701" s="281"/>
      <c r="O701" s="281"/>
      <c r="P701" s="281"/>
      <c r="Q701" s="281"/>
    </row>
    <row r="702" spans="1:18" ht="17.25" customHeight="1" thickTop="1">
      <c r="A702" s="570" t="s">
        <v>1</v>
      </c>
      <c r="B702" s="572" t="s">
        <v>15</v>
      </c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82"/>
      <c r="N702" s="282"/>
      <c r="O702" s="282"/>
      <c r="P702" s="282"/>
      <c r="Q702" s="282"/>
      <c r="R702" s="283"/>
    </row>
    <row r="703" spans="1:18" ht="17.25" customHeight="1" thickBot="1">
      <c r="A703" s="571"/>
      <c r="B703" s="284"/>
      <c r="C703" s="223">
        <v>100000</v>
      </c>
      <c r="D703" s="223">
        <v>50000</v>
      </c>
      <c r="E703" s="223">
        <v>20000</v>
      </c>
      <c r="F703" s="223">
        <v>10000</v>
      </c>
      <c r="G703" s="223">
        <v>5000</v>
      </c>
      <c r="H703" s="223">
        <v>1000</v>
      </c>
      <c r="I703" s="223">
        <v>500</v>
      </c>
      <c r="J703" s="223">
        <v>100</v>
      </c>
      <c r="K703" s="223">
        <v>50</v>
      </c>
      <c r="L703" s="223" t="s">
        <v>2</v>
      </c>
      <c r="M703" s="285"/>
      <c r="N703" s="285"/>
      <c r="O703" s="285"/>
      <c r="P703" s="285"/>
      <c r="Q703" s="285"/>
      <c r="R703" s="286" t="s">
        <v>3</v>
      </c>
    </row>
    <row r="704" spans="1:18" ht="17.25" customHeight="1" thickTop="1">
      <c r="A704" s="287"/>
      <c r="B704" s="533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9"/>
      <c r="N704" s="289"/>
      <c r="O704" s="289"/>
      <c r="P704" s="289"/>
      <c r="Q704" s="289"/>
      <c r="R704" s="290"/>
    </row>
    <row r="705" spans="1:25" ht="17.25" customHeight="1">
      <c r="A705" s="291"/>
      <c r="B705" s="292"/>
      <c r="C705" s="293"/>
      <c r="D705" s="293"/>
      <c r="E705" s="293"/>
      <c r="F705" s="293"/>
      <c r="G705" s="293"/>
      <c r="H705" s="293"/>
      <c r="I705" s="293"/>
      <c r="J705" s="293"/>
      <c r="K705" s="293"/>
      <c r="L705" s="293"/>
      <c r="M705" s="294"/>
      <c r="N705" s="294"/>
      <c r="O705" s="294"/>
      <c r="P705" s="294"/>
      <c r="Q705" s="294"/>
      <c r="R705" s="295"/>
    </row>
    <row r="706" spans="1:25" s="242" customFormat="1" ht="17.25" customHeight="1">
      <c r="A706" s="291"/>
      <c r="B706" s="292"/>
      <c r="C706" s="293"/>
      <c r="D706" s="293"/>
      <c r="E706" s="293"/>
      <c r="F706" s="293"/>
      <c r="G706" s="293"/>
      <c r="H706" s="293"/>
      <c r="I706" s="293"/>
      <c r="J706" s="293"/>
      <c r="K706" s="293"/>
      <c r="L706" s="293"/>
      <c r="M706" s="294"/>
      <c r="N706" s="294"/>
      <c r="O706" s="294"/>
      <c r="P706" s="294"/>
      <c r="Q706" s="294"/>
      <c r="R706" s="295"/>
      <c r="X706" s="353"/>
      <c r="Y706" s="353"/>
    </row>
    <row r="707" spans="1:25" ht="17.25" customHeight="1">
      <c r="A707" s="291"/>
      <c r="B707" s="292"/>
      <c r="C707" s="293"/>
      <c r="D707" s="293"/>
      <c r="E707" s="293"/>
      <c r="F707" s="293"/>
      <c r="G707" s="293"/>
      <c r="H707" s="293"/>
      <c r="I707" s="293"/>
      <c r="J707" s="293"/>
      <c r="K707" s="293"/>
      <c r="L707" s="293"/>
      <c r="M707" s="294"/>
      <c r="N707" s="294"/>
      <c r="O707" s="294"/>
      <c r="P707" s="294"/>
      <c r="Q707" s="294"/>
      <c r="R707" s="295"/>
    </row>
    <row r="708" spans="1:25" ht="17.25" customHeight="1">
      <c r="A708" s="469"/>
      <c r="B708" s="470"/>
      <c r="C708" s="471"/>
      <c r="D708" s="471"/>
      <c r="E708" s="471"/>
      <c r="F708" s="471"/>
      <c r="G708" s="471"/>
      <c r="H708" s="471"/>
      <c r="I708" s="471"/>
      <c r="J708" s="471"/>
      <c r="K708" s="471"/>
      <c r="L708" s="471"/>
      <c r="M708" s="472"/>
      <c r="N708" s="472"/>
      <c r="O708" s="472"/>
      <c r="P708" s="472"/>
      <c r="Q708" s="472"/>
      <c r="R708" s="473"/>
    </row>
    <row r="709" spans="1:25" ht="17.25" customHeight="1" thickBot="1">
      <c r="A709" s="375"/>
      <c r="B709" s="364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7"/>
      <c r="N709" s="377"/>
      <c r="O709" s="377"/>
      <c r="P709" s="377"/>
      <c r="Q709" s="377"/>
      <c r="R709" s="378"/>
    </row>
    <row r="710" spans="1:25" ht="17.25" customHeight="1" thickTop="1" thickBot="1">
      <c r="A710" s="319" t="s">
        <v>3</v>
      </c>
      <c r="B710" s="379">
        <f t="shared" ref="B710:R710" si="61">SUM(B704:B709)</f>
        <v>0</v>
      </c>
      <c r="C710" s="484">
        <f>SUM(C704:C709)</f>
        <v>0</v>
      </c>
      <c r="D710" s="484">
        <f t="shared" si="61"/>
        <v>0</v>
      </c>
      <c r="E710" s="484">
        <f>SUM(E704:E709)</f>
        <v>0</v>
      </c>
      <c r="F710" s="484">
        <f t="shared" si="61"/>
        <v>0</v>
      </c>
      <c r="G710" s="484">
        <f t="shared" si="61"/>
        <v>0</v>
      </c>
      <c r="H710" s="484">
        <f t="shared" si="61"/>
        <v>0</v>
      </c>
      <c r="I710" s="484">
        <f t="shared" si="61"/>
        <v>0</v>
      </c>
      <c r="J710" s="484">
        <f t="shared" si="61"/>
        <v>0</v>
      </c>
      <c r="K710" s="484">
        <f t="shared" si="61"/>
        <v>0</v>
      </c>
      <c r="L710" s="484">
        <f t="shared" si="61"/>
        <v>0</v>
      </c>
      <c r="M710" s="484">
        <f t="shared" si="61"/>
        <v>0</v>
      </c>
      <c r="N710" s="485"/>
      <c r="O710" s="485"/>
      <c r="P710" s="485"/>
      <c r="Q710" s="485"/>
      <c r="R710" s="486">
        <f t="shared" si="61"/>
        <v>0</v>
      </c>
    </row>
    <row r="711" spans="1:25" ht="17.25" customHeight="1" thickTop="1">
      <c r="A711" s="216"/>
    </row>
    <row r="712" spans="1:25" ht="17.25" customHeight="1">
      <c r="A712" s="216"/>
      <c r="C712" s="401"/>
      <c r="D712" s="401"/>
      <c r="E712" s="401"/>
      <c r="F712" s="401"/>
      <c r="G712" s="401"/>
      <c r="H712" s="401"/>
      <c r="I712" s="401"/>
      <c r="J712" s="401"/>
      <c r="K712" s="401"/>
      <c r="L712" s="401"/>
      <c r="M712" s="401"/>
      <c r="N712" s="401"/>
      <c r="O712" s="401"/>
      <c r="P712" s="401"/>
      <c r="Q712" s="401"/>
      <c r="R712" s="401"/>
    </row>
    <row r="713" spans="1:25" ht="17.25" customHeight="1">
      <c r="A713" s="216"/>
      <c r="C713" s="401"/>
      <c r="D713" s="401"/>
      <c r="E713" s="401"/>
      <c r="F713" s="401"/>
      <c r="G713" s="401"/>
      <c r="H713" s="401"/>
      <c r="I713" s="401"/>
      <c r="J713" s="401"/>
      <c r="K713" s="401"/>
      <c r="L713" s="401"/>
      <c r="M713" s="401"/>
      <c r="N713" s="401"/>
      <c r="O713" s="401"/>
      <c r="P713" s="401"/>
      <c r="Q713" s="401"/>
      <c r="R713" s="401"/>
    </row>
    <row r="714" spans="1:25" ht="17.25" customHeight="1">
      <c r="A714" s="216"/>
      <c r="C714" s="401"/>
      <c r="D714" s="401"/>
      <c r="E714" s="401"/>
      <c r="F714" s="401"/>
      <c r="G714" s="401"/>
      <c r="H714" s="401"/>
      <c r="I714" s="401"/>
      <c r="J714" s="401"/>
      <c r="K714" s="401"/>
      <c r="L714" s="401"/>
      <c r="M714" s="401"/>
      <c r="N714" s="401"/>
      <c r="O714" s="401"/>
      <c r="P714" s="401"/>
      <c r="Q714" s="401"/>
      <c r="R714" s="401"/>
    </row>
    <row r="715" spans="1:25" ht="17.25" customHeight="1">
      <c r="A715" s="216"/>
      <c r="C715" s="401"/>
      <c r="D715" s="401"/>
      <c r="E715" s="401"/>
      <c r="F715" s="401"/>
      <c r="G715" s="401"/>
      <c r="H715" s="401"/>
      <c r="I715" s="401"/>
      <c r="J715" s="401"/>
      <c r="K715" s="401"/>
      <c r="L715" s="401"/>
      <c r="M715" s="401"/>
      <c r="N715" s="401"/>
      <c r="O715" s="401"/>
      <c r="P715" s="401"/>
      <c r="Q715" s="401"/>
      <c r="R715" s="401"/>
    </row>
    <row r="716" spans="1:25" ht="17.25" customHeight="1">
      <c r="A716" s="336" t="s">
        <v>80</v>
      </c>
      <c r="C716" s="401"/>
      <c r="D716" s="401"/>
      <c r="E716" s="401"/>
      <c r="F716" s="401"/>
      <c r="G716" s="401"/>
      <c r="H716" s="401"/>
      <c r="I716" s="401"/>
      <c r="J716" s="401"/>
      <c r="K716" s="401"/>
      <c r="L716" s="401"/>
      <c r="M716" s="401"/>
      <c r="N716" s="401"/>
      <c r="O716" s="401"/>
      <c r="P716" s="401"/>
      <c r="Q716" s="401"/>
      <c r="R716" s="401"/>
    </row>
    <row r="717" spans="1:25" ht="17.25" customHeight="1">
      <c r="A717" s="216"/>
      <c r="B717" s="566"/>
      <c r="C717" s="337"/>
      <c r="D717" s="1173" t="s">
        <v>81</v>
      </c>
      <c r="E717" s="1173"/>
      <c r="F717" s="1173"/>
      <c r="G717" s="1173"/>
      <c r="H717" s="337"/>
      <c r="I717" s="337"/>
      <c r="J717" s="1173" t="s">
        <v>82</v>
      </c>
      <c r="K717" s="1173"/>
      <c r="L717" s="1173"/>
      <c r="M717" s="1173"/>
      <c r="N717" s="1173"/>
      <c r="O717" s="1173"/>
      <c r="P717" s="1173"/>
      <c r="Q717" s="1173"/>
      <c r="R717" s="1173"/>
    </row>
    <row r="718" spans="1:25" ht="17.25" customHeight="1">
      <c r="A718" s="216"/>
      <c r="B718" s="566"/>
      <c r="C718" s="337"/>
      <c r="D718" s="566"/>
      <c r="E718" s="566"/>
      <c r="F718" s="566"/>
      <c r="G718" s="566"/>
      <c r="H718" s="337"/>
      <c r="I718" s="337"/>
      <c r="J718" s="566"/>
      <c r="K718" s="566"/>
      <c r="L718" s="566"/>
      <c r="M718" s="566"/>
      <c r="N718" s="566"/>
      <c r="O718" s="566"/>
      <c r="P718" s="566"/>
      <c r="Q718" s="566"/>
      <c r="R718" s="566"/>
    </row>
    <row r="719" spans="1:25" ht="17.25" customHeight="1">
      <c r="A719" s="339"/>
      <c r="C719" s="401"/>
      <c r="D719" s="401"/>
      <c r="E719" s="401"/>
      <c r="F719" s="401"/>
      <c r="G719" s="401"/>
      <c r="H719" s="401"/>
      <c r="I719" s="401"/>
      <c r="J719" s="401"/>
      <c r="K719" s="401"/>
      <c r="L719" s="401"/>
      <c r="M719" s="401"/>
      <c r="N719" s="401"/>
      <c r="O719" s="401"/>
      <c r="P719" s="401"/>
      <c r="Q719" s="401"/>
      <c r="R719" s="401"/>
    </row>
    <row r="720" spans="1:25" ht="17.25" customHeight="1"/>
    <row r="721" spans="1:25" ht="17.25" customHeight="1"/>
    <row r="722" spans="1:25" ht="17.25" customHeight="1">
      <c r="A722" s="215" t="str">
        <f>A4</f>
        <v>DENOMINATION FOR NOVEMBER 2017</v>
      </c>
      <c r="D722" s="281"/>
      <c r="E722" s="281"/>
      <c r="L722" s="281"/>
      <c r="M722" s="281"/>
      <c r="N722" s="281"/>
      <c r="O722" s="281"/>
      <c r="P722" s="281"/>
      <c r="Q722" s="281"/>
    </row>
    <row r="723" spans="1:25" ht="17.25" customHeight="1">
      <c r="A723" s="215" t="s">
        <v>191</v>
      </c>
      <c r="D723" s="281"/>
      <c r="E723" s="281"/>
      <c r="L723" s="281"/>
      <c r="M723" s="281"/>
      <c r="N723" s="281"/>
      <c r="O723" s="281"/>
      <c r="P723" s="281"/>
      <c r="Q723" s="281"/>
    </row>
    <row r="724" spans="1:25" ht="44.25" customHeight="1" thickBot="1">
      <c r="D724" s="281"/>
      <c r="E724" s="281"/>
      <c r="L724" s="281"/>
      <c r="M724" s="281"/>
      <c r="N724" s="281"/>
      <c r="O724" s="281"/>
      <c r="P724" s="281"/>
      <c r="Q724" s="281"/>
    </row>
    <row r="725" spans="1:25" ht="27" customHeight="1" thickTop="1">
      <c r="A725" s="1176" t="s">
        <v>1</v>
      </c>
      <c r="B725" s="1183" t="s">
        <v>15</v>
      </c>
      <c r="C725" s="1174">
        <v>100000</v>
      </c>
      <c r="D725" s="1174">
        <v>50000</v>
      </c>
      <c r="E725" s="1174">
        <v>20000</v>
      </c>
      <c r="F725" s="1174">
        <v>10000</v>
      </c>
      <c r="G725" s="1174">
        <v>5000</v>
      </c>
      <c r="H725" s="1174">
        <v>1000</v>
      </c>
      <c r="I725" s="1174">
        <v>500</v>
      </c>
      <c r="J725" s="1174">
        <v>100</v>
      </c>
      <c r="K725" s="1174">
        <v>50</v>
      </c>
      <c r="L725" s="1174" t="s">
        <v>2</v>
      </c>
      <c r="M725" s="282"/>
      <c r="N725" s="1206"/>
      <c r="O725" s="1207"/>
      <c r="P725" s="1207"/>
      <c r="Q725" s="1208"/>
      <c r="R725" s="1171" t="s">
        <v>3</v>
      </c>
    </row>
    <row r="726" spans="1:25" ht="27" customHeight="1" thickBot="1">
      <c r="A726" s="1177"/>
      <c r="B726" s="1184"/>
      <c r="C726" s="1175"/>
      <c r="D726" s="1175"/>
      <c r="E726" s="1175"/>
      <c r="F726" s="1175"/>
      <c r="G726" s="1175"/>
      <c r="H726" s="1175"/>
      <c r="I726" s="1175"/>
      <c r="J726" s="1175"/>
      <c r="K726" s="1175"/>
      <c r="L726" s="1175"/>
      <c r="M726" s="285"/>
      <c r="N726" s="1209"/>
      <c r="O726" s="1210"/>
      <c r="P726" s="1210"/>
      <c r="Q726" s="1211"/>
      <c r="R726" s="1172"/>
    </row>
    <row r="727" spans="1:25" ht="27" customHeight="1" thickTop="1">
      <c r="A727" s="287"/>
      <c r="B727" s="533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9"/>
      <c r="N727" s="1212"/>
      <c r="O727" s="1213"/>
      <c r="P727" s="1213"/>
      <c r="Q727" s="1214"/>
      <c r="R727" s="290"/>
    </row>
    <row r="728" spans="1:25" ht="27" customHeight="1">
      <c r="A728" s="234" t="s">
        <v>38</v>
      </c>
      <c r="B728" s="235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60"/>
      <c r="N728" s="1203"/>
      <c r="O728" s="1204"/>
      <c r="P728" s="1204"/>
      <c r="Q728" s="1205"/>
      <c r="R728" s="247"/>
    </row>
    <row r="729" spans="1:25" s="242" customFormat="1" ht="27" customHeight="1">
      <c r="A729" s="234"/>
      <c r="B729" s="235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60"/>
      <c r="N729" s="1203"/>
      <c r="O729" s="1204"/>
      <c r="P729" s="1204"/>
      <c r="Q729" s="1205"/>
      <c r="R729" s="247"/>
      <c r="X729" s="353"/>
      <c r="Y729" s="353"/>
    </row>
    <row r="730" spans="1:25" ht="27" customHeight="1">
      <c r="A730" s="234" t="s">
        <v>196</v>
      </c>
      <c r="B730" s="235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60"/>
      <c r="N730" s="1203"/>
      <c r="O730" s="1204"/>
      <c r="P730" s="1204"/>
      <c r="Q730" s="1205"/>
      <c r="R730" s="247"/>
    </row>
    <row r="731" spans="1:25" s="242" customFormat="1" ht="27" customHeight="1">
      <c r="A731" s="234"/>
      <c r="B731" s="235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60"/>
      <c r="N731" s="1203"/>
      <c r="O731" s="1204"/>
      <c r="P731" s="1204"/>
      <c r="Q731" s="1205"/>
      <c r="R731" s="247"/>
      <c r="X731" s="353"/>
      <c r="Y731" s="353"/>
    </row>
    <row r="732" spans="1:25" ht="27" customHeight="1">
      <c r="A732" s="234" t="s">
        <v>197</v>
      </c>
      <c r="B732" s="235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60"/>
      <c r="N732" s="1203"/>
      <c r="O732" s="1204"/>
      <c r="P732" s="1204"/>
      <c r="Q732" s="1205"/>
      <c r="R732" s="247"/>
    </row>
    <row r="733" spans="1:25" s="242" customFormat="1" ht="27" customHeight="1">
      <c r="A733" s="234"/>
      <c r="B733" s="235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60"/>
      <c r="N733" s="1203"/>
      <c r="O733" s="1204"/>
      <c r="P733" s="1204"/>
      <c r="Q733" s="1205"/>
      <c r="R733" s="247"/>
      <c r="X733" s="353"/>
      <c r="Y733" s="353"/>
    </row>
    <row r="734" spans="1:25" ht="27" customHeight="1">
      <c r="A734" s="234" t="s">
        <v>63</v>
      </c>
      <c r="B734" s="235"/>
      <c r="C734" s="236"/>
      <c r="D734" s="236"/>
      <c r="E734" s="236"/>
      <c r="F734" s="236"/>
      <c r="G734" s="236"/>
      <c r="H734" s="380"/>
      <c r="I734" s="236"/>
      <c r="J734" s="236"/>
      <c r="K734" s="236"/>
      <c r="L734" s="236"/>
      <c r="M734" s="260"/>
      <c r="N734" s="1203"/>
      <c r="O734" s="1204"/>
      <c r="P734" s="1204"/>
      <c r="Q734" s="1205"/>
      <c r="R734" s="247"/>
    </row>
    <row r="735" spans="1:25" s="242" customFormat="1" ht="27" customHeight="1">
      <c r="A735" s="234"/>
      <c r="B735" s="235"/>
      <c r="C735" s="236"/>
      <c r="D735" s="236"/>
      <c r="E735" s="236"/>
      <c r="F735" s="236"/>
      <c r="G735" s="236"/>
      <c r="H735" s="354"/>
      <c r="I735" s="236"/>
      <c r="J735" s="236"/>
      <c r="K735" s="236"/>
      <c r="L735" s="236"/>
      <c r="M735" s="260"/>
      <c r="N735" s="1203"/>
      <c r="O735" s="1204"/>
      <c r="P735" s="1204"/>
      <c r="Q735" s="1205"/>
      <c r="R735" s="247"/>
      <c r="X735" s="353"/>
      <c r="Y735" s="353"/>
    </row>
    <row r="736" spans="1:25" ht="27" customHeight="1">
      <c r="A736" s="234" t="s">
        <v>97</v>
      </c>
      <c r="B736" s="235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60"/>
      <c r="N736" s="1203"/>
      <c r="O736" s="1204"/>
      <c r="P736" s="1204"/>
      <c r="Q736" s="1205"/>
      <c r="R736" s="247"/>
    </row>
    <row r="737" spans="1:22" ht="27" customHeight="1">
      <c r="A737" s="234"/>
      <c r="B737" s="235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60"/>
      <c r="N737" s="1203"/>
      <c r="O737" s="1204"/>
      <c r="P737" s="1204"/>
      <c r="Q737" s="1205"/>
      <c r="R737" s="247"/>
    </row>
    <row r="738" spans="1:22" ht="27" customHeight="1">
      <c r="A738" s="234" t="s">
        <v>186</v>
      </c>
      <c r="B738" s="235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60"/>
      <c r="N738" s="1203"/>
      <c r="O738" s="1204"/>
      <c r="P738" s="1204"/>
      <c r="Q738" s="1205"/>
      <c r="R738" s="247"/>
    </row>
    <row r="739" spans="1:22" ht="27" customHeight="1" thickBot="1">
      <c r="A739" s="234"/>
      <c r="B739" s="235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60"/>
      <c r="N739" s="1203"/>
      <c r="O739" s="1204"/>
      <c r="P739" s="1204"/>
      <c r="Q739" s="1205"/>
      <c r="R739" s="247"/>
    </row>
    <row r="740" spans="1:22" ht="27" customHeight="1" thickTop="1" thickBot="1">
      <c r="A740" s="261" t="s">
        <v>3</v>
      </c>
      <c r="B740" s="262">
        <f>SUM(B727:B739)</f>
        <v>0</v>
      </c>
      <c r="C740" s="263">
        <f t="shared" ref="C740:M740" si="62">SUM(C727:C739)</f>
        <v>0</v>
      </c>
      <c r="D740" s="263">
        <f t="shared" si="62"/>
        <v>0</v>
      </c>
      <c r="E740" s="263">
        <f t="shared" si="62"/>
        <v>0</v>
      </c>
      <c r="F740" s="263">
        <f t="shared" si="62"/>
        <v>0</v>
      </c>
      <c r="G740" s="263">
        <f t="shared" si="62"/>
        <v>0</v>
      </c>
      <c r="H740" s="263">
        <f t="shared" si="62"/>
        <v>0</v>
      </c>
      <c r="I740" s="263">
        <f t="shared" si="62"/>
        <v>0</v>
      </c>
      <c r="J740" s="263">
        <f t="shared" si="62"/>
        <v>0</v>
      </c>
      <c r="K740" s="263">
        <f t="shared" si="62"/>
        <v>0</v>
      </c>
      <c r="L740" s="263">
        <f t="shared" si="62"/>
        <v>0</v>
      </c>
      <c r="M740" s="263">
        <f t="shared" si="62"/>
        <v>0</v>
      </c>
      <c r="N740" s="1215"/>
      <c r="O740" s="1216"/>
      <c r="P740" s="1216"/>
      <c r="Q740" s="1217"/>
      <c r="R740" s="265">
        <f>SUM(R727:R739)</f>
        <v>0</v>
      </c>
    </row>
    <row r="741" spans="1:22" ht="17.25" customHeight="1" thickTop="1">
      <c r="A741" s="336"/>
    </row>
    <row r="742" spans="1:22" ht="17.25" customHeight="1">
      <c r="A742" s="336"/>
      <c r="B742" s="566"/>
      <c r="C742" s="337"/>
      <c r="D742" s="337"/>
      <c r="E742" s="337"/>
      <c r="F742" s="337"/>
      <c r="G742" s="337"/>
      <c r="H742" s="337"/>
      <c r="I742" s="337"/>
      <c r="J742" s="337"/>
      <c r="K742" s="337"/>
      <c r="L742" s="337"/>
      <c r="M742" s="337"/>
      <c r="N742" s="337"/>
      <c r="O742" s="337"/>
      <c r="P742" s="337"/>
      <c r="Q742" s="337"/>
      <c r="R742" s="337"/>
    </row>
    <row r="743" spans="1:22" ht="17.25" customHeight="1">
      <c r="A743" s="336"/>
      <c r="B743" s="566"/>
      <c r="C743" s="337"/>
      <c r="D743" s="337"/>
      <c r="E743" s="337"/>
      <c r="F743" s="337"/>
      <c r="G743" s="337"/>
      <c r="H743" s="337"/>
      <c r="I743" s="337"/>
      <c r="J743" s="337"/>
      <c r="K743" s="337"/>
      <c r="L743" s="337"/>
      <c r="M743" s="337"/>
      <c r="N743" s="337"/>
      <c r="O743" s="337"/>
      <c r="P743" s="337"/>
      <c r="Q743" s="337"/>
      <c r="R743" s="337"/>
    </row>
    <row r="744" spans="1:22" ht="17.25" customHeight="1">
      <c r="A744" s="336"/>
      <c r="B744" s="566"/>
      <c r="C744" s="337"/>
      <c r="D744" s="337"/>
      <c r="E744" s="337"/>
      <c r="F744" s="337"/>
      <c r="G744" s="337"/>
      <c r="H744" s="337"/>
      <c r="I744" s="337"/>
      <c r="J744" s="337"/>
      <c r="K744" s="337"/>
      <c r="L744" s="337"/>
      <c r="M744" s="337"/>
      <c r="N744" s="337"/>
      <c r="O744" s="337"/>
      <c r="P744" s="337"/>
      <c r="Q744" s="337"/>
      <c r="R744" s="337"/>
    </row>
    <row r="745" spans="1:22" ht="17.25" customHeight="1">
      <c r="A745" s="336"/>
      <c r="B745" s="566"/>
      <c r="C745" s="337"/>
      <c r="D745" s="337"/>
      <c r="E745" s="337"/>
      <c r="F745" s="337"/>
      <c r="G745" s="337"/>
      <c r="H745" s="337"/>
      <c r="I745" s="337"/>
      <c r="J745" s="337"/>
      <c r="K745" s="337"/>
      <c r="L745" s="337"/>
      <c r="M745" s="337"/>
      <c r="N745" s="337"/>
      <c r="O745" s="337"/>
      <c r="P745" s="337"/>
      <c r="Q745" s="337"/>
      <c r="R745" s="337"/>
    </row>
    <row r="746" spans="1:22" ht="17.25" customHeight="1">
      <c r="A746" s="336" t="s">
        <v>135</v>
      </c>
      <c r="B746" s="566"/>
      <c r="C746" s="337"/>
      <c r="D746" s="337"/>
      <c r="E746" s="337"/>
      <c r="F746" s="337"/>
      <c r="G746" s="337"/>
      <c r="H746" s="337"/>
      <c r="I746" s="337"/>
      <c r="J746" s="1173" t="s">
        <v>82</v>
      </c>
      <c r="K746" s="1173"/>
      <c r="L746" s="1173"/>
      <c r="M746" s="1173"/>
      <c r="N746" s="1173"/>
      <c r="O746" s="1173"/>
      <c r="P746" s="1173"/>
      <c r="Q746" s="1173"/>
      <c r="R746" s="1173"/>
    </row>
    <row r="747" spans="1:22" ht="17.25" customHeight="1">
      <c r="A747" s="216"/>
      <c r="B747" s="566"/>
      <c r="C747" s="337"/>
      <c r="D747" s="337"/>
      <c r="E747" s="337"/>
      <c r="F747" s="337"/>
      <c r="G747" s="337"/>
      <c r="H747" s="337"/>
      <c r="I747" s="337"/>
      <c r="J747" s="337"/>
      <c r="K747" s="337"/>
      <c r="L747" s="337"/>
      <c r="M747" s="337"/>
      <c r="N747" s="337"/>
      <c r="O747" s="337"/>
      <c r="P747" s="337"/>
      <c r="Q747" s="337"/>
      <c r="R747" s="337"/>
    </row>
    <row r="748" spans="1:22" ht="17.25" customHeight="1">
      <c r="A748" s="216"/>
      <c r="C748" s="401"/>
      <c r="D748" s="401"/>
      <c r="E748" s="401"/>
      <c r="F748" s="401"/>
      <c r="G748" s="401"/>
      <c r="H748" s="401"/>
      <c r="I748" s="401"/>
      <c r="J748" s="401"/>
      <c r="K748" s="401"/>
      <c r="L748" s="401"/>
      <c r="M748" s="401"/>
      <c r="N748" s="401"/>
      <c r="O748" s="401"/>
      <c r="P748" s="401"/>
      <c r="Q748" s="401"/>
      <c r="R748" s="401"/>
    </row>
    <row r="749" spans="1:22" ht="17.25" customHeight="1">
      <c r="A749" s="336"/>
      <c r="C749" s="401"/>
      <c r="D749" s="401"/>
      <c r="E749" s="401"/>
      <c r="F749" s="401"/>
      <c r="G749" s="401"/>
      <c r="H749" s="401"/>
      <c r="I749" s="401"/>
      <c r="J749" s="401"/>
      <c r="K749" s="401"/>
      <c r="L749" s="401"/>
      <c r="M749" s="401"/>
      <c r="N749" s="1173"/>
      <c r="O749" s="1173"/>
      <c r="P749" s="1173"/>
      <c r="Q749" s="1173"/>
      <c r="R749" s="1173"/>
      <c r="S749" s="1173"/>
      <c r="T749" s="1173"/>
      <c r="U749" s="1173"/>
      <c r="V749" s="1173"/>
    </row>
    <row r="750" spans="1:22" ht="17.25" customHeight="1">
      <c r="A750" s="336"/>
      <c r="B750" s="566"/>
      <c r="C750" s="337"/>
      <c r="D750" s="1173" t="s">
        <v>81</v>
      </c>
      <c r="E750" s="1173"/>
      <c r="F750" s="1173"/>
      <c r="G750" s="1173"/>
      <c r="H750" s="337"/>
      <c r="I750" s="337"/>
    </row>
    <row r="751" spans="1:22" ht="17.25" customHeight="1">
      <c r="B751" s="566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N751" s="337"/>
      <c r="O751" s="337"/>
      <c r="P751" s="337"/>
      <c r="Q751" s="337"/>
      <c r="R751" s="337"/>
    </row>
    <row r="752" spans="1:22" ht="17.25" customHeight="1">
      <c r="B752" s="215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</row>
    <row r="753" spans="1:18">
      <c r="A753" s="215" t="str">
        <f>A722</f>
        <v>DENOMINATION FOR NOVEMBER 2017</v>
      </c>
    </row>
    <row r="754" spans="1:18">
      <c r="A754" s="215" t="s">
        <v>191</v>
      </c>
      <c r="D754" s="281"/>
      <c r="E754" s="281"/>
      <c r="L754" s="281"/>
      <c r="M754" s="281"/>
      <c r="N754" s="281"/>
      <c r="O754" s="281"/>
      <c r="P754" s="281"/>
      <c r="Q754" s="281"/>
    </row>
    <row r="755" spans="1:18">
      <c r="D755" s="281"/>
      <c r="E755" s="281"/>
      <c r="L755" s="281"/>
      <c r="M755" s="281"/>
      <c r="N755" s="281"/>
      <c r="O755" s="281"/>
      <c r="P755" s="281"/>
      <c r="Q755" s="281"/>
    </row>
    <row r="756" spans="1:18" ht="21" thickBot="1">
      <c r="D756" s="281"/>
      <c r="E756" s="281"/>
      <c r="L756" s="281"/>
      <c r="M756" s="281"/>
      <c r="N756" s="281"/>
      <c r="O756" s="281"/>
      <c r="P756" s="281"/>
      <c r="Q756" s="281"/>
    </row>
    <row r="757" spans="1:18" ht="21" thickTop="1">
      <c r="A757" s="1176" t="s">
        <v>1</v>
      </c>
      <c r="B757" s="1183" t="s">
        <v>15</v>
      </c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82"/>
      <c r="N757" s="1206"/>
      <c r="O757" s="1207"/>
      <c r="P757" s="1207"/>
      <c r="Q757" s="1208"/>
      <c r="R757" s="1171" t="s">
        <v>3</v>
      </c>
    </row>
    <row r="758" spans="1:18" ht="21" thickBot="1">
      <c r="A758" s="1177"/>
      <c r="B758" s="1184"/>
      <c r="C758" s="223">
        <v>100000</v>
      </c>
      <c r="D758" s="223">
        <v>50000</v>
      </c>
      <c r="E758" s="223">
        <v>20000</v>
      </c>
      <c r="F758" s="223">
        <v>10000</v>
      </c>
      <c r="G758" s="223">
        <v>5000</v>
      </c>
      <c r="H758" s="223">
        <v>1000</v>
      </c>
      <c r="I758" s="223">
        <v>500</v>
      </c>
      <c r="J758" s="223">
        <v>100</v>
      </c>
      <c r="K758" s="223">
        <v>50</v>
      </c>
      <c r="L758" s="223" t="s">
        <v>2</v>
      </c>
      <c r="M758" s="285"/>
      <c r="N758" s="1209"/>
      <c r="O758" s="1210"/>
      <c r="P758" s="1210"/>
      <c r="Q758" s="1211"/>
      <c r="R758" s="1172"/>
    </row>
    <row r="759" spans="1:18" ht="30.75" customHeight="1" thickTop="1">
      <c r="A759" s="287"/>
      <c r="B759" s="533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9"/>
      <c r="N759" s="289"/>
      <c r="O759" s="289"/>
      <c r="P759" s="289"/>
      <c r="Q759" s="289"/>
      <c r="R759" s="290"/>
    </row>
    <row r="760" spans="1:18" ht="30.75" customHeight="1">
      <c r="A760" s="234" t="s">
        <v>261</v>
      </c>
      <c r="B760" s="251"/>
      <c r="C760" s="252"/>
      <c r="D760" s="254"/>
      <c r="E760" s="254"/>
      <c r="F760" s="252"/>
      <c r="G760" s="254"/>
      <c r="H760" s="252"/>
      <c r="I760" s="254"/>
      <c r="J760" s="256"/>
      <c r="K760" s="254"/>
      <c r="L760" s="254"/>
      <c r="M760" s="260"/>
      <c r="N760" s="260"/>
      <c r="O760" s="260"/>
      <c r="P760" s="260"/>
      <c r="Q760" s="260"/>
      <c r="R760" s="238">
        <f>SUM(D760:L760)</f>
        <v>0</v>
      </c>
    </row>
    <row r="761" spans="1:18" ht="30.75" customHeight="1">
      <c r="A761" s="234"/>
      <c r="B761" s="251"/>
      <c r="C761" s="252"/>
      <c r="D761" s="254"/>
      <c r="E761" s="254"/>
      <c r="F761" s="252"/>
      <c r="G761" s="254"/>
      <c r="H761" s="252"/>
      <c r="I761" s="254"/>
      <c r="J761" s="256"/>
      <c r="K761" s="254"/>
      <c r="L761" s="254"/>
      <c r="M761" s="260"/>
      <c r="N761" s="260"/>
      <c r="O761" s="260"/>
      <c r="P761" s="260"/>
      <c r="Q761" s="260"/>
      <c r="R761" s="238"/>
    </row>
    <row r="762" spans="1:18" ht="30.75" customHeight="1" thickBot="1">
      <c r="A762" s="234"/>
      <c r="B762" s="235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60"/>
      <c r="N762" s="260"/>
      <c r="O762" s="260"/>
      <c r="P762" s="260"/>
      <c r="Q762" s="260"/>
      <c r="R762" s="247"/>
    </row>
    <row r="763" spans="1:18" ht="30.75" customHeight="1" thickTop="1" thickBot="1">
      <c r="A763" s="261" t="s">
        <v>3</v>
      </c>
      <c r="B763" s="262">
        <f t="shared" ref="B763:R763" si="63">SUM(B759:B762)</f>
        <v>0</v>
      </c>
      <c r="C763" s="263">
        <f t="shared" si="63"/>
        <v>0</v>
      </c>
      <c r="D763" s="263">
        <f t="shared" si="63"/>
        <v>0</v>
      </c>
      <c r="E763" s="263">
        <f t="shared" si="63"/>
        <v>0</v>
      </c>
      <c r="F763" s="263">
        <f t="shared" si="63"/>
        <v>0</v>
      </c>
      <c r="G763" s="263">
        <f t="shared" si="63"/>
        <v>0</v>
      </c>
      <c r="H763" s="263">
        <f t="shared" si="63"/>
        <v>0</v>
      </c>
      <c r="I763" s="263">
        <f t="shared" si="63"/>
        <v>0</v>
      </c>
      <c r="J763" s="263">
        <f t="shared" si="63"/>
        <v>0</v>
      </c>
      <c r="K763" s="263">
        <f t="shared" si="63"/>
        <v>0</v>
      </c>
      <c r="L763" s="263">
        <f t="shared" si="63"/>
        <v>0</v>
      </c>
      <c r="M763" s="263">
        <f t="shared" si="63"/>
        <v>0</v>
      </c>
      <c r="N763" s="264"/>
      <c r="O763" s="264"/>
      <c r="P763" s="264"/>
      <c r="Q763" s="264"/>
      <c r="R763" s="265">
        <f t="shared" si="63"/>
        <v>0</v>
      </c>
    </row>
    <row r="764" spans="1:18" ht="21" thickTop="1"/>
    <row r="769" spans="1:18">
      <c r="A769" s="336" t="s">
        <v>80</v>
      </c>
    </row>
    <row r="770" spans="1:18">
      <c r="B770" s="566"/>
      <c r="C770" s="337"/>
      <c r="D770" s="1173" t="s">
        <v>81</v>
      </c>
      <c r="E770" s="1173"/>
      <c r="F770" s="1173"/>
      <c r="G770" s="1173"/>
      <c r="H770" s="337"/>
      <c r="I770" s="337"/>
      <c r="J770" s="1173" t="s">
        <v>82</v>
      </c>
      <c r="K770" s="1173"/>
      <c r="L770" s="1173"/>
      <c r="M770" s="1173"/>
      <c r="N770" s="1173"/>
      <c r="O770" s="1173"/>
      <c r="P770" s="1173"/>
      <c r="Q770" s="1173"/>
      <c r="R770" s="1173"/>
    </row>
    <row r="776" spans="1:18">
      <c r="A776" s="215" t="s">
        <v>0</v>
      </c>
    </row>
    <row r="777" spans="1:18">
      <c r="A777" s="215" t="str">
        <f>A4</f>
        <v>DENOMINATION FOR NOVEMBER 2017</v>
      </c>
      <c r="D777" s="281"/>
      <c r="E777" s="281"/>
      <c r="L777" s="281"/>
      <c r="M777" s="281"/>
      <c r="N777" s="281"/>
      <c r="O777" s="281"/>
      <c r="P777" s="281"/>
      <c r="Q777" s="281"/>
    </row>
    <row r="778" spans="1:18">
      <c r="D778" s="281"/>
      <c r="E778" s="281"/>
      <c r="L778" s="281"/>
      <c r="M778" s="281"/>
      <c r="N778" s="281"/>
      <c r="O778" s="281"/>
      <c r="P778" s="281"/>
      <c r="Q778" s="281"/>
    </row>
    <row r="779" spans="1:18" ht="21" thickBot="1">
      <c r="D779" s="281"/>
      <c r="E779" s="281"/>
      <c r="L779" s="281"/>
      <c r="M779" s="281"/>
      <c r="N779" s="281"/>
      <c r="O779" s="281"/>
      <c r="P779" s="281"/>
      <c r="Q779" s="281"/>
    </row>
    <row r="780" spans="1:18" ht="21" thickTop="1">
      <c r="A780" s="570" t="s">
        <v>1</v>
      </c>
      <c r="B780" s="572" t="s">
        <v>15</v>
      </c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82"/>
      <c r="N780" s="282"/>
      <c r="O780" s="282"/>
      <c r="P780" s="282"/>
      <c r="Q780" s="282"/>
      <c r="R780" s="283"/>
    </row>
    <row r="781" spans="1:18" ht="21" thickBot="1">
      <c r="A781" s="571"/>
      <c r="B781" s="284"/>
      <c r="C781" s="223">
        <v>100000</v>
      </c>
      <c r="D781" s="223">
        <v>50000</v>
      </c>
      <c r="E781" s="223">
        <v>20000</v>
      </c>
      <c r="F781" s="223">
        <v>10000</v>
      </c>
      <c r="G781" s="223">
        <v>5000</v>
      </c>
      <c r="H781" s="223">
        <v>1000</v>
      </c>
      <c r="I781" s="223">
        <v>500</v>
      </c>
      <c r="J781" s="223">
        <v>100</v>
      </c>
      <c r="K781" s="223">
        <v>50</v>
      </c>
      <c r="L781" s="223" t="s">
        <v>2</v>
      </c>
      <c r="M781" s="285"/>
      <c r="N781" s="285"/>
      <c r="O781" s="285"/>
      <c r="P781" s="285"/>
      <c r="Q781" s="285"/>
      <c r="R781" s="286" t="s">
        <v>3</v>
      </c>
    </row>
    <row r="782" spans="1:18" ht="21" thickTop="1">
      <c r="A782" s="287"/>
      <c r="B782" s="533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9"/>
      <c r="N782" s="289"/>
      <c r="O782" s="289"/>
      <c r="P782" s="289"/>
      <c r="Q782" s="289"/>
      <c r="R782" s="290"/>
    </row>
    <row r="783" spans="1:18">
      <c r="A783" s="234" t="s">
        <v>72</v>
      </c>
      <c r="B783" s="251"/>
      <c r="C783" s="252"/>
      <c r="D783" s="254"/>
      <c r="E783" s="254"/>
      <c r="F783" s="252"/>
      <c r="G783" s="254"/>
      <c r="H783" s="252"/>
      <c r="I783" s="254"/>
      <c r="J783" s="256"/>
      <c r="K783" s="254"/>
      <c r="L783" s="254"/>
      <c r="M783" s="260"/>
      <c r="N783" s="260"/>
      <c r="O783" s="260"/>
      <c r="P783" s="260"/>
      <c r="Q783" s="260"/>
      <c r="R783" s="238">
        <f>SUM(C783:L783)</f>
        <v>0</v>
      </c>
    </row>
    <row r="784" spans="1:18">
      <c r="A784" s="234"/>
      <c r="B784" s="251"/>
      <c r="C784" s="252"/>
      <c r="D784" s="254"/>
      <c r="E784" s="254"/>
      <c r="F784" s="252"/>
      <c r="G784" s="254"/>
      <c r="H784" s="252"/>
      <c r="I784" s="254"/>
      <c r="J784" s="256"/>
      <c r="K784" s="254"/>
      <c r="L784" s="254"/>
      <c r="M784" s="260"/>
      <c r="N784" s="260"/>
      <c r="O784" s="260"/>
      <c r="P784" s="260"/>
      <c r="Q784" s="260"/>
      <c r="R784" s="238"/>
    </row>
    <row r="785" spans="1:18" ht="21" thickBot="1">
      <c r="A785" s="234"/>
      <c r="B785" s="235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60"/>
      <c r="N785" s="260"/>
      <c r="O785" s="260"/>
      <c r="P785" s="260"/>
      <c r="Q785" s="260"/>
      <c r="R785" s="247"/>
    </row>
    <row r="786" spans="1:18" ht="21.75" thickTop="1" thickBot="1">
      <c r="A786" s="261" t="s">
        <v>3</v>
      </c>
      <c r="B786" s="262">
        <f t="shared" ref="B786:R786" si="64">SUM(B782:B785)</f>
        <v>0</v>
      </c>
      <c r="C786" s="263">
        <f t="shared" si="64"/>
        <v>0</v>
      </c>
      <c r="D786" s="263">
        <f t="shared" si="64"/>
        <v>0</v>
      </c>
      <c r="E786" s="263">
        <f t="shared" si="64"/>
        <v>0</v>
      </c>
      <c r="F786" s="263">
        <f t="shared" si="64"/>
        <v>0</v>
      </c>
      <c r="G786" s="263">
        <f t="shared" si="64"/>
        <v>0</v>
      </c>
      <c r="H786" s="263">
        <f t="shared" si="64"/>
        <v>0</v>
      </c>
      <c r="I786" s="263">
        <f t="shared" si="64"/>
        <v>0</v>
      </c>
      <c r="J786" s="263">
        <f t="shared" si="64"/>
        <v>0</v>
      </c>
      <c r="K786" s="263">
        <f t="shared" si="64"/>
        <v>0</v>
      </c>
      <c r="L786" s="263">
        <f t="shared" si="64"/>
        <v>0</v>
      </c>
      <c r="M786" s="263">
        <f t="shared" si="64"/>
        <v>0</v>
      </c>
      <c r="N786" s="264"/>
      <c r="O786" s="264"/>
      <c r="P786" s="264"/>
      <c r="Q786" s="264"/>
      <c r="R786" s="265">
        <f t="shared" si="64"/>
        <v>0</v>
      </c>
    </row>
    <row r="787" spans="1:18" ht="21" thickTop="1"/>
    <row r="792" spans="1:18">
      <c r="A792" s="336" t="s">
        <v>80</v>
      </c>
    </row>
    <row r="793" spans="1:18">
      <c r="A793" s="336"/>
      <c r="B793" s="566"/>
      <c r="C793" s="337"/>
      <c r="D793" s="1173" t="s">
        <v>81</v>
      </c>
      <c r="E793" s="1173"/>
      <c r="F793" s="1173"/>
      <c r="G793" s="1173"/>
      <c r="H793" s="337"/>
      <c r="I793" s="337"/>
      <c r="J793" s="1173" t="s">
        <v>82</v>
      </c>
      <c r="K793" s="1173"/>
      <c r="L793" s="1173"/>
      <c r="M793" s="1173"/>
      <c r="N793" s="1173"/>
      <c r="O793" s="1173"/>
      <c r="P793" s="1173"/>
      <c r="Q793" s="1173"/>
      <c r="R793" s="1173"/>
    </row>
    <row r="794" spans="1:18">
      <c r="A794" s="336"/>
      <c r="B794" s="566"/>
      <c r="C794" s="337"/>
      <c r="D794" s="566"/>
      <c r="E794" s="566"/>
      <c r="F794" s="566"/>
      <c r="G794" s="566"/>
      <c r="H794" s="337"/>
      <c r="I794" s="337"/>
      <c r="J794" s="566"/>
      <c r="K794" s="566"/>
      <c r="L794" s="566"/>
      <c r="M794" s="566"/>
      <c r="N794" s="566"/>
      <c r="O794" s="566"/>
      <c r="P794" s="566"/>
      <c r="Q794" s="566"/>
      <c r="R794" s="566"/>
    </row>
    <row r="795" spans="1:18">
      <c r="A795" s="336"/>
      <c r="B795" s="566"/>
      <c r="C795" s="337"/>
      <c r="D795" s="566"/>
      <c r="E795" s="566"/>
      <c r="F795" s="566"/>
      <c r="G795" s="566"/>
      <c r="H795" s="337"/>
      <c r="I795" s="337"/>
      <c r="J795" s="566"/>
      <c r="K795" s="566"/>
      <c r="L795" s="566"/>
      <c r="M795" s="566"/>
      <c r="N795" s="566"/>
      <c r="O795" s="566"/>
      <c r="P795" s="566"/>
      <c r="Q795" s="566"/>
      <c r="R795" s="566"/>
    </row>
    <row r="796" spans="1:18">
      <c r="A796" s="336"/>
      <c r="B796" s="566"/>
      <c r="C796" s="337"/>
      <c r="D796" s="566"/>
      <c r="E796" s="566"/>
      <c r="F796" s="566"/>
      <c r="G796" s="566"/>
      <c r="H796" s="337"/>
      <c r="I796" s="337"/>
      <c r="J796" s="566"/>
      <c r="K796" s="566"/>
      <c r="L796" s="566"/>
      <c r="M796" s="566"/>
      <c r="N796" s="566"/>
      <c r="O796" s="566"/>
      <c r="P796" s="566"/>
      <c r="Q796" s="566"/>
      <c r="R796" s="566"/>
    </row>
    <row r="797" spans="1:18">
      <c r="A797" s="336"/>
      <c r="B797" s="566"/>
      <c r="C797" s="337"/>
      <c r="D797" s="566"/>
      <c r="E797" s="566"/>
      <c r="F797" s="566"/>
      <c r="G797" s="566"/>
      <c r="H797" s="337"/>
      <c r="I797" s="337"/>
      <c r="J797" s="566"/>
      <c r="K797" s="566"/>
      <c r="L797" s="566"/>
      <c r="M797" s="566"/>
      <c r="N797" s="566"/>
      <c r="O797" s="566"/>
      <c r="P797" s="566"/>
      <c r="Q797" s="566"/>
      <c r="R797" s="566"/>
    </row>
    <row r="798" spans="1:18">
      <c r="A798" s="336"/>
      <c r="B798" s="566"/>
      <c r="C798" s="337"/>
      <c r="D798" s="566"/>
      <c r="E798" s="566"/>
      <c r="F798" s="566"/>
      <c r="G798" s="566"/>
      <c r="H798" s="337"/>
      <c r="I798" s="337"/>
      <c r="J798" s="566"/>
      <c r="K798" s="566"/>
      <c r="L798" s="566"/>
      <c r="M798" s="566"/>
      <c r="N798" s="566"/>
      <c r="O798" s="566"/>
      <c r="P798" s="566"/>
      <c r="Q798" s="566"/>
      <c r="R798" s="566"/>
    </row>
    <row r="799" spans="1:18">
      <c r="A799" s="336"/>
      <c r="B799" s="566"/>
      <c r="C799" s="337"/>
      <c r="D799" s="566"/>
      <c r="E799" s="566"/>
      <c r="F799" s="566"/>
      <c r="G799" s="566"/>
      <c r="H799" s="337"/>
      <c r="I799" s="337"/>
      <c r="J799" s="566"/>
      <c r="K799" s="566"/>
      <c r="L799" s="566"/>
      <c r="M799" s="566"/>
      <c r="N799" s="566"/>
      <c r="O799" s="566"/>
      <c r="P799" s="566"/>
      <c r="Q799" s="566"/>
      <c r="R799" s="566"/>
    </row>
    <row r="800" spans="1:18">
      <c r="A800" s="336"/>
      <c r="B800" s="566"/>
      <c r="C800" s="337"/>
      <c r="D800" s="566"/>
      <c r="E800" s="566"/>
      <c r="F800" s="566"/>
      <c r="G800" s="566"/>
      <c r="H800" s="337"/>
      <c r="I800" s="337"/>
      <c r="J800" s="566"/>
      <c r="K800" s="566"/>
      <c r="L800" s="566"/>
      <c r="M800" s="566"/>
      <c r="N800" s="566"/>
      <c r="O800" s="566"/>
      <c r="P800" s="566"/>
      <c r="Q800" s="566"/>
      <c r="R800" s="566"/>
    </row>
    <row r="801" spans="1:18">
      <c r="A801" s="336"/>
      <c r="B801" s="566"/>
      <c r="C801" s="337"/>
      <c r="D801" s="566"/>
      <c r="E801" s="566"/>
      <c r="F801" s="566"/>
      <c r="G801" s="566"/>
      <c r="H801" s="337"/>
      <c r="I801" s="337"/>
      <c r="J801" s="566"/>
      <c r="K801" s="566"/>
      <c r="L801" s="566"/>
      <c r="M801" s="566"/>
      <c r="N801" s="566"/>
      <c r="O801" s="566"/>
      <c r="P801" s="566"/>
      <c r="Q801" s="566"/>
      <c r="R801" s="566"/>
    </row>
    <row r="802" spans="1:18">
      <c r="A802" s="336"/>
      <c r="B802" s="566"/>
      <c r="C802" s="337"/>
      <c r="D802" s="566"/>
      <c r="E802" s="566"/>
      <c r="F802" s="566"/>
      <c r="G802" s="566"/>
      <c r="H802" s="337"/>
      <c r="I802" s="337"/>
      <c r="J802" s="566"/>
      <c r="K802" s="566"/>
      <c r="L802" s="566"/>
      <c r="M802" s="566"/>
      <c r="N802" s="566"/>
      <c r="O802" s="566"/>
      <c r="P802" s="566"/>
      <c r="Q802" s="566"/>
      <c r="R802" s="566"/>
    </row>
    <row r="803" spans="1:18">
      <c r="A803" s="336"/>
      <c r="B803" s="566"/>
      <c r="C803" s="337"/>
      <c r="D803" s="566"/>
      <c r="E803" s="566"/>
      <c r="F803" s="566"/>
      <c r="G803" s="566"/>
      <c r="H803" s="337"/>
      <c r="I803" s="337"/>
      <c r="J803" s="566"/>
      <c r="K803" s="566"/>
      <c r="L803" s="566"/>
      <c r="M803" s="566"/>
      <c r="N803" s="566"/>
      <c r="O803" s="566"/>
      <c r="P803" s="566"/>
      <c r="Q803" s="566"/>
      <c r="R803" s="566"/>
    </row>
    <row r="804" spans="1:18">
      <c r="A804" s="336"/>
      <c r="B804" s="566"/>
      <c r="C804" s="337"/>
      <c r="D804" s="566"/>
      <c r="E804" s="566"/>
      <c r="F804" s="566"/>
      <c r="G804" s="566"/>
      <c r="H804" s="337"/>
      <c r="I804" s="337"/>
      <c r="J804" s="566"/>
      <c r="K804" s="566"/>
      <c r="L804" s="566"/>
      <c r="M804" s="566"/>
      <c r="N804" s="566"/>
      <c r="O804" s="566"/>
      <c r="P804" s="566"/>
      <c r="Q804" s="566"/>
      <c r="R804" s="566"/>
    </row>
    <row r="805" spans="1:18">
      <c r="A805" s="336"/>
      <c r="B805" s="566"/>
      <c r="C805" s="337"/>
      <c r="D805" s="566"/>
      <c r="E805" s="566"/>
      <c r="F805" s="566"/>
      <c r="G805" s="566"/>
      <c r="H805" s="337"/>
      <c r="I805" s="337"/>
      <c r="J805" s="566"/>
      <c r="K805" s="566"/>
      <c r="L805" s="566"/>
      <c r="M805" s="566"/>
      <c r="N805" s="566"/>
      <c r="O805" s="566"/>
      <c r="P805" s="566"/>
      <c r="Q805" s="566"/>
      <c r="R805" s="566"/>
    </row>
    <row r="806" spans="1:18">
      <c r="A806" s="336"/>
      <c r="B806" s="566"/>
      <c r="C806" s="337"/>
      <c r="D806" s="566"/>
      <c r="E806" s="566"/>
      <c r="F806" s="566"/>
      <c r="G806" s="566"/>
      <c r="H806" s="337"/>
      <c r="I806" s="337"/>
      <c r="J806" s="566"/>
      <c r="K806" s="566"/>
      <c r="L806" s="566"/>
      <c r="M806" s="566"/>
      <c r="N806" s="566"/>
      <c r="O806" s="566"/>
      <c r="P806" s="566"/>
      <c r="Q806" s="566"/>
      <c r="R806" s="566"/>
    </row>
    <row r="807" spans="1:18">
      <c r="A807" s="336"/>
      <c r="B807" s="566"/>
      <c r="C807" s="337"/>
      <c r="D807" s="566"/>
      <c r="E807" s="566"/>
      <c r="F807" s="566"/>
      <c r="G807" s="566"/>
      <c r="H807" s="337"/>
      <c r="I807" s="337"/>
      <c r="J807" s="566"/>
      <c r="K807" s="566"/>
      <c r="L807" s="566"/>
      <c r="M807" s="566"/>
      <c r="N807" s="566"/>
      <c r="O807" s="566"/>
      <c r="P807" s="566"/>
      <c r="Q807" s="566"/>
      <c r="R807" s="566"/>
    </row>
    <row r="808" spans="1:18">
      <c r="A808" s="336"/>
      <c r="B808" s="566"/>
      <c r="C808" s="337"/>
      <c r="D808" s="566"/>
      <c r="E808" s="566"/>
      <c r="F808" s="566"/>
      <c r="G808" s="566"/>
      <c r="H808" s="337"/>
      <c r="I808" s="337"/>
      <c r="J808" s="566"/>
      <c r="K808" s="566"/>
      <c r="L808" s="566"/>
      <c r="M808" s="566"/>
      <c r="N808" s="566"/>
      <c r="O808" s="566"/>
      <c r="P808" s="566"/>
      <c r="Q808" s="566"/>
      <c r="R808" s="566"/>
    </row>
    <row r="809" spans="1:18">
      <c r="A809" s="336"/>
      <c r="B809" s="566"/>
      <c r="C809" s="337"/>
      <c r="D809" s="566"/>
      <c r="E809" s="566"/>
      <c r="F809" s="566"/>
      <c r="G809" s="566"/>
      <c r="H809" s="337"/>
      <c r="I809" s="337"/>
      <c r="J809" s="566"/>
      <c r="K809" s="566"/>
      <c r="L809" s="566"/>
      <c r="M809" s="566"/>
      <c r="N809" s="566"/>
      <c r="O809" s="566"/>
      <c r="P809" s="566"/>
      <c r="Q809" s="566"/>
      <c r="R809" s="566"/>
    </row>
    <row r="810" spans="1:18">
      <c r="A810" s="336"/>
      <c r="B810" s="566"/>
      <c r="C810" s="337"/>
      <c r="D810" s="566"/>
      <c r="E810" s="566"/>
      <c r="F810" s="566"/>
      <c r="G810" s="566"/>
      <c r="H810" s="337"/>
      <c r="I810" s="337"/>
      <c r="J810" s="566"/>
      <c r="K810" s="566"/>
      <c r="L810" s="566"/>
      <c r="M810" s="566"/>
      <c r="N810" s="566"/>
      <c r="O810" s="566"/>
      <c r="P810" s="566"/>
      <c r="Q810" s="566"/>
      <c r="R810" s="566"/>
    </row>
    <row r="811" spans="1:18">
      <c r="A811" s="336"/>
      <c r="B811" s="566"/>
      <c r="C811" s="337"/>
      <c r="D811" s="566"/>
      <c r="E811" s="566"/>
      <c r="F811" s="566"/>
      <c r="G811" s="566"/>
      <c r="H811" s="337"/>
      <c r="I811" s="337"/>
      <c r="J811" s="566"/>
      <c r="K811" s="566"/>
      <c r="L811" s="566"/>
      <c r="M811" s="566"/>
      <c r="N811" s="566"/>
      <c r="O811" s="566"/>
      <c r="P811" s="566"/>
      <c r="Q811" s="566"/>
      <c r="R811" s="566"/>
    </row>
    <row r="812" spans="1:18">
      <c r="A812" s="336"/>
      <c r="B812" s="566"/>
      <c r="C812" s="337"/>
      <c r="D812" s="566"/>
      <c r="E812" s="566"/>
      <c r="F812" s="566"/>
      <c r="G812" s="566"/>
      <c r="H812" s="337"/>
      <c r="I812" s="337"/>
      <c r="J812" s="566"/>
      <c r="K812" s="566"/>
      <c r="L812" s="566"/>
      <c r="M812" s="566"/>
      <c r="N812" s="566"/>
      <c r="O812" s="566"/>
      <c r="P812" s="566"/>
      <c r="Q812" s="566"/>
      <c r="R812" s="566"/>
    </row>
    <row r="813" spans="1:18">
      <c r="A813" s="336"/>
      <c r="B813" s="566"/>
      <c r="C813" s="337"/>
      <c r="D813" s="566"/>
      <c r="E813" s="566"/>
      <c r="F813" s="566"/>
      <c r="G813" s="566"/>
      <c r="H813" s="337"/>
      <c r="I813" s="337"/>
      <c r="J813" s="566"/>
      <c r="K813" s="566"/>
      <c r="L813" s="566"/>
      <c r="M813" s="566"/>
      <c r="N813" s="566"/>
      <c r="O813" s="566"/>
      <c r="P813" s="566"/>
      <c r="Q813" s="566"/>
      <c r="R813" s="566"/>
    </row>
    <row r="814" spans="1:18">
      <c r="A814" s="336"/>
      <c r="B814" s="566"/>
      <c r="C814" s="337"/>
      <c r="D814" s="566"/>
      <c r="E814" s="566"/>
      <c r="F814" s="566"/>
      <c r="G814" s="566"/>
      <c r="H814" s="337"/>
      <c r="I814" s="337"/>
      <c r="J814" s="566"/>
      <c r="K814" s="566"/>
      <c r="L814" s="566"/>
      <c r="M814" s="566"/>
      <c r="N814" s="566"/>
      <c r="O814" s="566"/>
      <c r="P814" s="566"/>
      <c r="Q814" s="566"/>
      <c r="R814" s="566"/>
    </row>
    <row r="815" spans="1:18">
      <c r="A815" s="336"/>
      <c r="B815" s="566"/>
      <c r="C815" s="337"/>
      <c r="D815" s="566"/>
      <c r="E815" s="566"/>
      <c r="F815" s="566"/>
      <c r="G815" s="566"/>
      <c r="H815" s="337"/>
      <c r="I815" s="337"/>
      <c r="J815" s="566"/>
      <c r="K815" s="566"/>
      <c r="L815" s="566"/>
      <c r="M815" s="566"/>
      <c r="N815" s="566"/>
      <c r="O815" s="566"/>
      <c r="P815" s="566"/>
      <c r="Q815" s="566"/>
      <c r="R815" s="566"/>
    </row>
    <row r="816" spans="1:18">
      <c r="A816" s="336"/>
      <c r="B816" s="566"/>
      <c r="C816" s="337"/>
      <c r="D816" s="566"/>
      <c r="E816" s="566"/>
      <c r="F816" s="566"/>
      <c r="G816" s="566"/>
      <c r="H816" s="337"/>
      <c r="I816" s="337"/>
      <c r="J816" s="566"/>
      <c r="K816" s="566"/>
      <c r="L816" s="566"/>
      <c r="M816" s="566"/>
      <c r="N816" s="566"/>
      <c r="O816" s="566"/>
      <c r="P816" s="566"/>
      <c r="Q816" s="566"/>
      <c r="R816" s="566"/>
    </row>
    <row r="817" spans="1:18">
      <c r="A817" s="336"/>
      <c r="B817" s="566"/>
      <c r="C817" s="337"/>
      <c r="D817" s="566"/>
      <c r="E817" s="566"/>
      <c r="F817" s="566"/>
      <c r="G817" s="566"/>
      <c r="H817" s="337"/>
      <c r="I817" s="337"/>
      <c r="J817" s="566"/>
      <c r="K817" s="566"/>
      <c r="L817" s="566"/>
      <c r="M817" s="566"/>
      <c r="N817" s="566"/>
      <c r="O817" s="566"/>
      <c r="P817" s="566"/>
      <c r="Q817" s="566"/>
      <c r="R817" s="566"/>
    </row>
    <row r="818" spans="1:18">
      <c r="A818" s="336"/>
      <c r="B818" s="566"/>
      <c r="C818" s="337"/>
      <c r="D818" s="566"/>
      <c r="E818" s="566"/>
      <c r="F818" s="566"/>
      <c r="G818" s="566"/>
      <c r="H818" s="337"/>
      <c r="I818" s="337"/>
      <c r="J818" s="566"/>
      <c r="K818" s="566"/>
      <c r="L818" s="566"/>
      <c r="M818" s="566"/>
      <c r="N818" s="566"/>
      <c r="O818" s="566"/>
      <c r="P818" s="566"/>
      <c r="Q818" s="566"/>
      <c r="R818" s="566"/>
    </row>
    <row r="819" spans="1:18">
      <c r="A819" s="336"/>
      <c r="B819" s="566"/>
      <c r="C819" s="337"/>
      <c r="D819" s="566"/>
      <c r="E819" s="566"/>
      <c r="F819" s="566"/>
      <c r="G819" s="566"/>
      <c r="H819" s="337"/>
      <c r="I819" s="337"/>
      <c r="J819" s="566"/>
      <c r="K819" s="566"/>
      <c r="L819" s="566"/>
      <c r="M819" s="566"/>
      <c r="N819" s="566"/>
      <c r="O819" s="566"/>
      <c r="P819" s="566"/>
      <c r="Q819" s="566"/>
      <c r="R819" s="566"/>
    </row>
    <row r="820" spans="1:18">
      <c r="A820" s="336"/>
      <c r="B820" s="566"/>
      <c r="C820" s="337"/>
      <c r="D820" s="566"/>
      <c r="E820" s="566"/>
      <c r="F820" s="566"/>
      <c r="G820" s="566"/>
      <c r="H820" s="337"/>
      <c r="I820" s="337"/>
      <c r="J820" s="566"/>
      <c r="K820" s="566"/>
      <c r="L820" s="566"/>
      <c r="M820" s="566"/>
      <c r="N820" s="566"/>
      <c r="O820" s="566"/>
      <c r="P820" s="566"/>
      <c r="Q820" s="566"/>
      <c r="R820" s="566"/>
    </row>
    <row r="821" spans="1:18">
      <c r="A821" s="336"/>
      <c r="B821" s="566"/>
      <c r="C821" s="337"/>
      <c r="D821" s="566"/>
      <c r="E821" s="566"/>
      <c r="F821" s="566"/>
      <c r="G821" s="566"/>
      <c r="H821" s="337"/>
      <c r="I821" s="337"/>
      <c r="J821" s="566"/>
      <c r="K821" s="566"/>
      <c r="L821" s="566"/>
      <c r="M821" s="566"/>
      <c r="N821" s="566"/>
      <c r="O821" s="566"/>
      <c r="P821" s="566"/>
      <c r="Q821" s="566"/>
      <c r="R821" s="566"/>
    </row>
    <row r="822" spans="1:18">
      <c r="A822" s="336"/>
      <c r="B822" s="566"/>
      <c r="C822" s="337"/>
      <c r="D822" s="566"/>
      <c r="E822" s="566"/>
      <c r="F822" s="566"/>
      <c r="G822" s="566"/>
      <c r="H822" s="337"/>
      <c r="I822" s="337"/>
      <c r="J822" s="566"/>
      <c r="K822" s="566"/>
      <c r="L822" s="566"/>
      <c r="M822" s="566"/>
      <c r="N822" s="566"/>
      <c r="O822" s="566"/>
      <c r="P822" s="566"/>
      <c r="Q822" s="566"/>
      <c r="R822" s="566"/>
    </row>
    <row r="823" spans="1:18">
      <c r="A823" s="336"/>
      <c r="B823" s="566"/>
      <c r="C823" s="337"/>
      <c r="D823" s="566"/>
      <c r="E823" s="566"/>
      <c r="F823" s="566"/>
      <c r="G823" s="566"/>
      <c r="H823" s="337"/>
      <c r="I823" s="337"/>
      <c r="J823" s="566"/>
      <c r="K823" s="566"/>
      <c r="L823" s="566"/>
      <c r="M823" s="566"/>
      <c r="N823" s="566"/>
      <c r="O823" s="566"/>
      <c r="P823" s="566"/>
      <c r="Q823" s="566"/>
      <c r="R823" s="566"/>
    </row>
    <row r="824" spans="1:18">
      <c r="A824" s="336"/>
      <c r="B824" s="566"/>
      <c r="C824" s="337"/>
      <c r="D824" s="566"/>
      <c r="E824" s="566"/>
      <c r="F824" s="566"/>
      <c r="G824" s="566"/>
      <c r="H824" s="337"/>
      <c r="I824" s="337"/>
      <c r="J824" s="566"/>
      <c r="K824" s="566"/>
      <c r="L824" s="566"/>
      <c r="M824" s="566"/>
      <c r="N824" s="566"/>
      <c r="O824" s="566"/>
      <c r="P824" s="566"/>
      <c r="Q824" s="566"/>
      <c r="R824" s="566"/>
    </row>
    <row r="825" spans="1:18">
      <c r="A825" s="336"/>
      <c r="B825" s="566"/>
      <c r="C825" s="337"/>
      <c r="D825" s="566"/>
      <c r="E825" s="566"/>
      <c r="F825" s="566"/>
      <c r="G825" s="566"/>
      <c r="H825" s="337"/>
      <c r="I825" s="337"/>
      <c r="J825" s="566"/>
      <c r="K825" s="566"/>
      <c r="L825" s="566"/>
      <c r="M825" s="566"/>
      <c r="N825" s="566"/>
      <c r="O825" s="566"/>
      <c r="P825" s="566"/>
      <c r="Q825" s="566"/>
      <c r="R825" s="566"/>
    </row>
    <row r="826" spans="1:18">
      <c r="A826" s="336"/>
      <c r="B826" s="566"/>
      <c r="C826" s="337"/>
      <c r="D826" s="566"/>
      <c r="E826" s="566"/>
      <c r="F826" s="566"/>
      <c r="G826" s="566"/>
      <c r="H826" s="337"/>
      <c r="I826" s="337"/>
      <c r="J826" s="566"/>
      <c r="K826" s="566"/>
      <c r="L826" s="566"/>
      <c r="M826" s="566"/>
      <c r="N826" s="566"/>
      <c r="O826" s="566"/>
      <c r="P826" s="566"/>
      <c r="Q826" s="566"/>
      <c r="R826" s="566"/>
    </row>
    <row r="827" spans="1:18">
      <c r="A827" s="336"/>
      <c r="B827" s="566"/>
      <c r="C827" s="337"/>
      <c r="D827" s="566"/>
      <c r="E827" s="566"/>
      <c r="F827" s="566"/>
      <c r="G827" s="566"/>
      <c r="H827" s="337"/>
      <c r="I827" s="337"/>
      <c r="J827" s="566"/>
      <c r="K827" s="566"/>
      <c r="L827" s="566"/>
      <c r="M827" s="566"/>
      <c r="N827" s="566"/>
      <c r="O827" s="566"/>
      <c r="P827" s="566"/>
      <c r="Q827" s="566"/>
      <c r="R827" s="566"/>
    </row>
    <row r="828" spans="1:18">
      <c r="A828" s="336"/>
      <c r="B828" s="566"/>
      <c r="C828" s="337"/>
      <c r="D828" s="566"/>
      <c r="E828" s="566"/>
      <c r="F828" s="566"/>
      <c r="G828" s="566"/>
      <c r="H828" s="337"/>
      <c r="I828" s="337"/>
      <c r="J828" s="566"/>
      <c r="K828" s="566"/>
      <c r="L828" s="566"/>
      <c r="M828" s="566"/>
      <c r="N828" s="566"/>
      <c r="O828" s="566"/>
      <c r="P828" s="566"/>
      <c r="Q828" s="566"/>
      <c r="R828" s="566"/>
    </row>
    <row r="829" spans="1:18">
      <c r="A829" s="336"/>
      <c r="B829" s="566"/>
      <c r="C829" s="337"/>
      <c r="D829" s="566"/>
      <c r="E829" s="566"/>
      <c r="F829" s="566"/>
      <c r="G829" s="566"/>
      <c r="H829" s="337"/>
      <c r="I829" s="337"/>
      <c r="J829" s="566"/>
      <c r="K829" s="566"/>
      <c r="L829" s="566"/>
      <c r="M829" s="566"/>
      <c r="N829" s="566"/>
      <c r="O829" s="566"/>
      <c r="P829" s="566"/>
      <c r="Q829" s="566"/>
      <c r="R829" s="566"/>
    </row>
    <row r="830" spans="1:18">
      <c r="A830" s="336"/>
      <c r="B830" s="566"/>
      <c r="C830" s="337"/>
      <c r="D830" s="566"/>
      <c r="E830" s="566"/>
      <c r="F830" s="566"/>
      <c r="G830" s="566"/>
      <c r="H830" s="337"/>
      <c r="I830" s="337"/>
      <c r="J830" s="566"/>
      <c r="K830" s="566"/>
      <c r="L830" s="566"/>
      <c r="M830" s="566"/>
      <c r="N830" s="566"/>
      <c r="O830" s="566"/>
      <c r="P830" s="566"/>
      <c r="Q830" s="566"/>
      <c r="R830" s="566"/>
    </row>
    <row r="831" spans="1:18">
      <c r="A831" s="336"/>
      <c r="B831" s="566"/>
      <c r="C831" s="337"/>
      <c r="D831" s="566"/>
      <c r="E831" s="566"/>
      <c r="F831" s="566"/>
      <c r="G831" s="566"/>
      <c r="H831" s="337"/>
      <c r="I831" s="337"/>
      <c r="J831" s="566"/>
      <c r="K831" s="566"/>
      <c r="L831" s="566"/>
      <c r="M831" s="566"/>
      <c r="N831" s="566"/>
      <c r="O831" s="566"/>
      <c r="P831" s="566"/>
      <c r="Q831" s="566"/>
      <c r="R831" s="566"/>
    </row>
    <row r="832" spans="1:18">
      <c r="A832" s="336"/>
      <c r="B832" s="566"/>
      <c r="C832" s="337"/>
      <c r="D832" s="566"/>
      <c r="E832" s="566"/>
      <c r="F832" s="566"/>
      <c r="G832" s="566"/>
      <c r="H832" s="337"/>
      <c r="I832" s="337"/>
      <c r="J832" s="566"/>
      <c r="K832" s="566"/>
      <c r="L832" s="566"/>
      <c r="M832" s="566"/>
      <c r="N832" s="566"/>
      <c r="O832" s="566"/>
      <c r="P832" s="566"/>
      <c r="Q832" s="566"/>
      <c r="R832" s="566"/>
    </row>
    <row r="833" spans="1:18">
      <c r="A833" s="336"/>
      <c r="B833" s="566"/>
      <c r="C833" s="337"/>
      <c r="D833" s="566"/>
      <c r="E833" s="566"/>
      <c r="F833" s="566"/>
      <c r="G833" s="566"/>
      <c r="H833" s="337"/>
      <c r="I833" s="337"/>
      <c r="J833" s="566"/>
      <c r="K833" s="566"/>
      <c r="L833" s="566"/>
      <c r="M833" s="566"/>
      <c r="N833" s="566"/>
      <c r="O833" s="566"/>
      <c r="P833" s="566"/>
      <c r="Q833" s="566"/>
      <c r="R833" s="566"/>
    </row>
    <row r="834" spans="1:18">
      <c r="A834" s="336"/>
      <c r="B834" s="566"/>
      <c r="C834" s="337"/>
      <c r="D834" s="566"/>
      <c r="E834" s="566"/>
      <c r="F834" s="566"/>
      <c r="G834" s="566"/>
      <c r="H834" s="337"/>
      <c r="I834" s="337"/>
      <c r="J834" s="566"/>
      <c r="K834" s="566"/>
      <c r="L834" s="566"/>
      <c r="M834" s="566"/>
      <c r="N834" s="566"/>
      <c r="O834" s="566"/>
      <c r="P834" s="566"/>
      <c r="Q834" s="566"/>
      <c r="R834" s="566"/>
    </row>
    <row r="835" spans="1:18">
      <c r="A835" s="336"/>
      <c r="B835" s="566"/>
      <c r="C835" s="337"/>
      <c r="D835" s="566"/>
      <c r="E835" s="566"/>
      <c r="F835" s="566"/>
      <c r="G835" s="566"/>
      <c r="H835" s="337"/>
      <c r="I835" s="337"/>
      <c r="J835" s="566"/>
      <c r="K835" s="566"/>
      <c r="L835" s="566"/>
      <c r="M835" s="566"/>
      <c r="N835" s="566"/>
      <c r="O835" s="566"/>
      <c r="P835" s="566"/>
      <c r="Q835" s="566"/>
      <c r="R835" s="566"/>
    </row>
    <row r="836" spans="1:18">
      <c r="A836" s="336"/>
      <c r="B836" s="566"/>
      <c r="C836" s="337"/>
      <c r="D836" s="566"/>
      <c r="E836" s="566"/>
      <c r="F836" s="566"/>
      <c r="G836" s="566"/>
      <c r="H836" s="337"/>
      <c r="I836" s="337"/>
      <c r="J836" s="566"/>
      <c r="K836" s="566"/>
      <c r="L836" s="566"/>
      <c r="M836" s="566"/>
      <c r="N836" s="566"/>
      <c r="O836" s="566"/>
      <c r="P836" s="566"/>
      <c r="Q836" s="566"/>
      <c r="R836" s="566"/>
    </row>
    <row r="837" spans="1:18">
      <c r="A837" s="336"/>
      <c r="B837" s="566"/>
      <c r="C837" s="337"/>
      <c r="D837" s="566"/>
      <c r="E837" s="566"/>
      <c r="F837" s="566"/>
      <c r="G837" s="566"/>
      <c r="H837" s="337"/>
      <c r="I837" s="337"/>
      <c r="J837" s="566"/>
      <c r="K837" s="566"/>
      <c r="L837" s="566"/>
      <c r="M837" s="566"/>
      <c r="N837" s="566"/>
      <c r="O837" s="566"/>
      <c r="P837" s="566"/>
      <c r="Q837" s="566"/>
      <c r="R837" s="566"/>
    </row>
    <row r="838" spans="1:18">
      <c r="A838" s="336"/>
      <c r="B838" s="566"/>
      <c r="C838" s="337"/>
      <c r="D838" s="566"/>
      <c r="E838" s="566"/>
      <c r="F838" s="566"/>
      <c r="G838" s="566"/>
      <c r="H838" s="337"/>
      <c r="I838" s="337"/>
      <c r="J838" s="566"/>
      <c r="K838" s="566"/>
      <c r="L838" s="566"/>
      <c r="M838" s="566"/>
      <c r="N838" s="566"/>
      <c r="O838" s="566"/>
      <c r="P838" s="566"/>
      <c r="Q838" s="566"/>
      <c r="R838" s="566"/>
    </row>
    <row r="839" spans="1:18">
      <c r="A839" s="336"/>
      <c r="B839" s="566"/>
      <c r="C839" s="337"/>
      <c r="D839" s="566"/>
      <c r="E839" s="566"/>
      <c r="F839" s="566"/>
      <c r="G839" s="566"/>
      <c r="H839" s="337"/>
      <c r="I839" s="337"/>
      <c r="J839" s="566"/>
      <c r="K839" s="566"/>
      <c r="L839" s="566"/>
      <c r="M839" s="566"/>
      <c r="N839" s="566"/>
      <c r="O839" s="566"/>
      <c r="P839" s="566"/>
      <c r="Q839" s="566"/>
      <c r="R839" s="566"/>
    </row>
    <row r="840" spans="1:18">
      <c r="A840" s="336"/>
      <c r="B840" s="566"/>
      <c r="C840" s="337"/>
      <c r="D840" s="566"/>
      <c r="E840" s="566"/>
      <c r="F840" s="566"/>
      <c r="G840" s="566"/>
      <c r="H840" s="337"/>
      <c r="I840" s="337"/>
      <c r="J840" s="566"/>
      <c r="K840" s="566"/>
      <c r="L840" s="566"/>
      <c r="M840" s="566"/>
      <c r="N840" s="566"/>
      <c r="O840" s="566"/>
      <c r="P840" s="566"/>
      <c r="Q840" s="566"/>
      <c r="R840" s="566"/>
    </row>
    <row r="841" spans="1:18">
      <c r="A841" s="336"/>
      <c r="B841" s="566"/>
      <c r="C841" s="337"/>
      <c r="D841" s="566"/>
      <c r="E841" s="566"/>
      <c r="F841" s="566"/>
      <c r="G841" s="566"/>
      <c r="H841" s="337"/>
      <c r="I841" s="337"/>
      <c r="J841" s="566"/>
      <c r="K841" s="566"/>
      <c r="L841" s="566"/>
      <c r="M841" s="566"/>
      <c r="N841" s="566"/>
      <c r="O841" s="566"/>
      <c r="P841" s="566"/>
      <c r="Q841" s="566"/>
      <c r="R841" s="566"/>
    </row>
    <row r="842" spans="1:18">
      <c r="A842" s="336"/>
      <c r="B842" s="566"/>
      <c r="C842" s="337"/>
      <c r="D842" s="566"/>
      <c r="E842" s="566"/>
      <c r="F842" s="566"/>
      <c r="G842" s="566"/>
      <c r="H842" s="337"/>
      <c r="I842" s="337"/>
      <c r="J842" s="566"/>
      <c r="K842" s="566"/>
      <c r="L842" s="566"/>
      <c r="M842" s="566"/>
      <c r="N842" s="566"/>
      <c r="O842" s="566"/>
      <c r="P842" s="566"/>
      <c r="Q842" s="566"/>
      <c r="R842" s="566"/>
    </row>
    <row r="843" spans="1:18">
      <c r="A843" s="336"/>
      <c r="B843" s="566"/>
      <c r="C843" s="337"/>
      <c r="D843" s="566"/>
      <c r="E843" s="566"/>
      <c r="F843" s="566"/>
      <c r="G843" s="566"/>
      <c r="H843" s="337"/>
      <c r="I843" s="337"/>
      <c r="J843" s="566"/>
      <c r="K843" s="566"/>
      <c r="L843" s="566"/>
      <c r="M843" s="566"/>
      <c r="N843" s="566"/>
      <c r="O843" s="566"/>
      <c r="P843" s="566"/>
      <c r="Q843" s="566"/>
      <c r="R843" s="566"/>
    </row>
    <row r="844" spans="1:18">
      <c r="A844" s="336"/>
      <c r="B844" s="566"/>
      <c r="C844" s="337"/>
      <c r="D844" s="566"/>
      <c r="E844" s="566"/>
      <c r="F844" s="566"/>
      <c r="G844" s="566"/>
      <c r="H844" s="337"/>
      <c r="I844" s="337"/>
      <c r="J844" s="566"/>
      <c r="K844" s="566"/>
      <c r="L844" s="566"/>
      <c r="M844" s="566"/>
      <c r="N844" s="566"/>
      <c r="O844" s="566"/>
      <c r="P844" s="566"/>
      <c r="Q844" s="566"/>
      <c r="R844" s="566"/>
    </row>
    <row r="845" spans="1:18">
      <c r="A845" s="336"/>
      <c r="B845" s="566"/>
      <c r="C845" s="337"/>
      <c r="D845" s="566"/>
      <c r="E845" s="566"/>
      <c r="F845" s="566"/>
      <c r="G845" s="566"/>
      <c r="H845" s="337"/>
      <c r="I845" s="337"/>
      <c r="J845" s="566"/>
      <c r="K845" s="566"/>
      <c r="L845" s="566"/>
      <c r="M845" s="566"/>
      <c r="N845" s="566"/>
      <c r="O845" s="566"/>
      <c r="P845" s="566"/>
      <c r="Q845" s="566"/>
      <c r="R845" s="566"/>
    </row>
    <row r="846" spans="1:18">
      <c r="B846" s="566"/>
      <c r="C846" s="337"/>
      <c r="D846" s="566"/>
      <c r="E846" s="566"/>
      <c r="F846" s="566"/>
      <c r="G846" s="566"/>
      <c r="H846" s="337"/>
      <c r="I846" s="337"/>
      <c r="J846" s="566"/>
      <c r="K846" s="566"/>
      <c r="L846" s="566"/>
      <c r="M846" s="566"/>
      <c r="N846" s="566"/>
      <c r="O846" s="566"/>
      <c r="P846" s="566"/>
      <c r="Q846" s="566"/>
      <c r="R846" s="566"/>
    </row>
  </sheetData>
  <mergeCells count="210">
    <mergeCell ref="X6:X7"/>
    <mergeCell ref="D29:G29"/>
    <mergeCell ref="J29:R29"/>
    <mergeCell ref="A41:A42"/>
    <mergeCell ref="B41:B42"/>
    <mergeCell ref="P41:P42"/>
    <mergeCell ref="Q41:Q42"/>
    <mergeCell ref="R41:R42"/>
    <mergeCell ref="A6:A7"/>
    <mergeCell ref="B6:B7"/>
    <mergeCell ref="P6:P7"/>
    <mergeCell ref="Q6:Q7"/>
    <mergeCell ref="R6:R7"/>
    <mergeCell ref="A73:A74"/>
    <mergeCell ref="B73:B74"/>
    <mergeCell ref="P73:P74"/>
    <mergeCell ref="Q73:Q74"/>
    <mergeCell ref="R73:R74"/>
    <mergeCell ref="X73:X74"/>
    <mergeCell ref="X41:X42"/>
    <mergeCell ref="I58:K58"/>
    <mergeCell ref="D61:G61"/>
    <mergeCell ref="J61:R61"/>
    <mergeCell ref="D65:G65"/>
    <mergeCell ref="J65:R65"/>
    <mergeCell ref="D92:G92"/>
    <mergeCell ref="J92:R92"/>
    <mergeCell ref="D96:G96"/>
    <mergeCell ref="J96:R96"/>
    <mergeCell ref="A103:A104"/>
    <mergeCell ref="B103:B104"/>
    <mergeCell ref="P103:P104"/>
    <mergeCell ref="Q103:Q104"/>
    <mergeCell ref="R103:R104"/>
    <mergeCell ref="X103:X104"/>
    <mergeCell ref="D119:G119"/>
    <mergeCell ref="J119:R119"/>
    <mergeCell ref="D123:G123"/>
    <mergeCell ref="J123:R123"/>
    <mergeCell ref="A130:A131"/>
    <mergeCell ref="B130:B131"/>
    <mergeCell ref="P130:P131"/>
    <mergeCell ref="Q130:Q131"/>
    <mergeCell ref="R130:R131"/>
    <mergeCell ref="X130:X131"/>
    <mergeCell ref="D150:G150"/>
    <mergeCell ref="J150:R150"/>
    <mergeCell ref="D154:G154"/>
    <mergeCell ref="J154:R154"/>
    <mergeCell ref="A160:A161"/>
    <mergeCell ref="B160:B161"/>
    <mergeCell ref="P160:P161"/>
    <mergeCell ref="Q160:Q161"/>
    <mergeCell ref="R160:R161"/>
    <mergeCell ref="X160:X161"/>
    <mergeCell ref="D179:G179"/>
    <mergeCell ref="J179:R179"/>
    <mergeCell ref="D183:G183"/>
    <mergeCell ref="J183:R183"/>
    <mergeCell ref="A189:A190"/>
    <mergeCell ref="B189:B190"/>
    <mergeCell ref="P189:P190"/>
    <mergeCell ref="Q189:Q190"/>
    <mergeCell ref="R189:R190"/>
    <mergeCell ref="X189:X190"/>
    <mergeCell ref="D205:G205"/>
    <mergeCell ref="J205:R205"/>
    <mergeCell ref="D209:G209"/>
    <mergeCell ref="J209:R209"/>
    <mergeCell ref="A216:A217"/>
    <mergeCell ref="B216:B217"/>
    <mergeCell ref="P216:P217"/>
    <mergeCell ref="Q216:Q217"/>
    <mergeCell ref="R216:R217"/>
    <mergeCell ref="X216:X217"/>
    <mergeCell ref="D234:G234"/>
    <mergeCell ref="J234:R234"/>
    <mergeCell ref="D238:G238"/>
    <mergeCell ref="J238:R238"/>
    <mergeCell ref="A245:A246"/>
    <mergeCell ref="B245:B246"/>
    <mergeCell ref="P245:P246"/>
    <mergeCell ref="Q245:Q246"/>
    <mergeCell ref="R245:R246"/>
    <mergeCell ref="A285:A286"/>
    <mergeCell ref="B285:B286"/>
    <mergeCell ref="P285:P286"/>
    <mergeCell ref="Q285:Q286"/>
    <mergeCell ref="R285:R286"/>
    <mergeCell ref="X285:X286"/>
    <mergeCell ref="X245:X246"/>
    <mergeCell ref="D275:G275"/>
    <mergeCell ref="J275:R275"/>
    <mergeCell ref="D279:G279"/>
    <mergeCell ref="J279:R279"/>
    <mergeCell ref="J281:K281"/>
    <mergeCell ref="D300:G300"/>
    <mergeCell ref="J300:R300"/>
    <mergeCell ref="D304:G304"/>
    <mergeCell ref="J304:R304"/>
    <mergeCell ref="A312:A313"/>
    <mergeCell ref="B312:B313"/>
    <mergeCell ref="P312:P313"/>
    <mergeCell ref="Q312:Q313"/>
    <mergeCell ref="R312:R313"/>
    <mergeCell ref="X312:X313"/>
    <mergeCell ref="D321:G321"/>
    <mergeCell ref="J321:R321"/>
    <mergeCell ref="A333:A334"/>
    <mergeCell ref="B333:B334"/>
    <mergeCell ref="P333:P334"/>
    <mergeCell ref="Q333:Q334"/>
    <mergeCell ref="R333:R334"/>
    <mergeCell ref="X333:X334"/>
    <mergeCell ref="X352:X353"/>
    <mergeCell ref="F356:I356"/>
    <mergeCell ref="J358:R358"/>
    <mergeCell ref="D359:G359"/>
    <mergeCell ref="A366:A367"/>
    <mergeCell ref="P366:P367"/>
    <mergeCell ref="Q366:Q367"/>
    <mergeCell ref="R366:R367"/>
    <mergeCell ref="X366:X367"/>
    <mergeCell ref="A352:A353"/>
    <mergeCell ref="B352:B353"/>
    <mergeCell ref="N352:N353"/>
    <mergeCell ref="O352:O353"/>
    <mergeCell ref="P352:P353"/>
    <mergeCell ref="Q352:Q353"/>
    <mergeCell ref="J380:R380"/>
    <mergeCell ref="D381:G381"/>
    <mergeCell ref="N383:R383"/>
    <mergeCell ref="A387:A388"/>
    <mergeCell ref="B387:B388"/>
    <mergeCell ref="P387:P388"/>
    <mergeCell ref="Q387:Q388"/>
    <mergeCell ref="R387:R388"/>
    <mergeCell ref="R352:R353"/>
    <mergeCell ref="D530:G530"/>
    <mergeCell ref="J530:R530"/>
    <mergeCell ref="D552:G552"/>
    <mergeCell ref="J552:R552"/>
    <mergeCell ref="D575:G575"/>
    <mergeCell ref="J575:R575"/>
    <mergeCell ref="X387:X388"/>
    <mergeCell ref="J458:R458"/>
    <mergeCell ref="D483:G483"/>
    <mergeCell ref="J483:R483"/>
    <mergeCell ref="D508:G508"/>
    <mergeCell ref="J508:R508"/>
    <mergeCell ref="D653:G653"/>
    <mergeCell ref="J653:R653"/>
    <mergeCell ref="A658:A659"/>
    <mergeCell ref="B658:B659"/>
    <mergeCell ref="P658:P659"/>
    <mergeCell ref="Q658:Q659"/>
    <mergeCell ref="R658:R659"/>
    <mergeCell ref="B584:B585"/>
    <mergeCell ref="R584:R585"/>
    <mergeCell ref="J604:R604"/>
    <mergeCell ref="D605:G605"/>
    <mergeCell ref="J605:R605"/>
    <mergeCell ref="D629:G629"/>
    <mergeCell ref="J629:R629"/>
    <mergeCell ref="A725:A726"/>
    <mergeCell ref="B725:B726"/>
    <mergeCell ref="C725:C726"/>
    <mergeCell ref="D725:D726"/>
    <mergeCell ref="E725:E726"/>
    <mergeCell ref="F725:F726"/>
    <mergeCell ref="J671:R671"/>
    <mergeCell ref="D672:G672"/>
    <mergeCell ref="J672:R672"/>
    <mergeCell ref="D695:G695"/>
    <mergeCell ref="J695:R695"/>
    <mergeCell ref="D717:G717"/>
    <mergeCell ref="J717:R717"/>
    <mergeCell ref="N725:Q726"/>
    <mergeCell ref="R725:R726"/>
    <mergeCell ref="N727:Q727"/>
    <mergeCell ref="N728:Q728"/>
    <mergeCell ref="N729:Q729"/>
    <mergeCell ref="N730:Q730"/>
    <mergeCell ref="G725:G726"/>
    <mergeCell ref="H725:H726"/>
    <mergeCell ref="I725:I726"/>
    <mergeCell ref="J725:J726"/>
    <mergeCell ref="K725:K726"/>
    <mergeCell ref="L725:L726"/>
    <mergeCell ref="N737:Q737"/>
    <mergeCell ref="N738:Q738"/>
    <mergeCell ref="N739:Q739"/>
    <mergeCell ref="N740:Q740"/>
    <mergeCell ref="J746:R746"/>
    <mergeCell ref="N749:V749"/>
    <mergeCell ref="N731:Q731"/>
    <mergeCell ref="N732:Q732"/>
    <mergeCell ref="N733:Q733"/>
    <mergeCell ref="N734:Q734"/>
    <mergeCell ref="N735:Q735"/>
    <mergeCell ref="N736:Q736"/>
    <mergeCell ref="D793:G793"/>
    <mergeCell ref="J793:R793"/>
    <mergeCell ref="D750:G750"/>
    <mergeCell ref="A757:A758"/>
    <mergeCell ref="B757:B758"/>
    <mergeCell ref="N757:Q758"/>
    <mergeCell ref="R757:R758"/>
    <mergeCell ref="D770:G770"/>
    <mergeCell ref="J770:R770"/>
  </mergeCells>
  <printOptions horizontalCentered="1"/>
  <pageMargins left="0.15748031496062992" right="0.11811023622047245" top="0.19685039370078741" bottom="0.23622047244094491" header="0.11811023622047245" footer="3.937007874015748E-2"/>
  <pageSetup paperSize="9" scale="35" orientation="landscape" horizontalDpi="4294967293" r:id="rId1"/>
  <headerFooter alignWithMargins="0"/>
  <rowBreaks count="27" manualBreakCount="27">
    <brk id="35" max="21" man="1"/>
    <brk id="67" max="21" man="1"/>
    <brk id="97" max="16383" man="1"/>
    <brk id="124" max="16383" man="1"/>
    <brk id="154" max="16383" man="1"/>
    <brk id="183" max="21" man="1"/>
    <brk id="210" max="21" man="1"/>
    <brk id="239" max="16383" man="1"/>
    <brk id="279" max="16383" man="1"/>
    <brk id="306" max="21" man="1"/>
    <brk id="327" max="21" man="1"/>
    <brk id="360" max="21" man="1"/>
    <brk id="384" max="21" man="1"/>
    <brk id="462" max="21" man="1"/>
    <brk id="487" max="21" man="1"/>
    <brk id="509" max="21" man="1"/>
    <brk id="532" max="21" man="1"/>
    <brk id="554" max="21" man="1"/>
    <brk id="579" max="21" man="1"/>
    <brk id="606" max="21" man="1"/>
    <brk id="631" max="21" man="1"/>
    <brk id="653" max="21" man="1"/>
    <brk id="674" max="21" man="1"/>
    <brk id="698" max="21" man="1"/>
    <brk id="721" max="21" man="1"/>
    <brk id="752" max="21" man="1"/>
    <brk id="774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5"/>
  <sheetViews>
    <sheetView view="pageBreakPreview" zoomScale="87" zoomScaleSheetLayoutView="87" workbookViewId="0">
      <selection activeCell="B122" sqref="B122"/>
    </sheetView>
  </sheetViews>
  <sheetFormatPr defaultRowHeight="12.75"/>
  <cols>
    <col min="1" max="1" width="3.140625" customWidth="1"/>
    <col min="2" max="2" width="64.28515625" customWidth="1"/>
    <col min="3" max="3" width="19.42578125" style="160" customWidth="1"/>
  </cols>
  <sheetData>
    <row r="1" spans="2:3">
      <c r="B1" s="1311" t="s">
        <v>245</v>
      </c>
      <c r="C1" s="1311"/>
    </row>
    <row r="2" spans="2:3" ht="7.5" customHeight="1" thickBot="1"/>
    <row r="3" spans="2:3" ht="21.75" customHeight="1" thickBot="1">
      <c r="B3" s="515" t="s">
        <v>246</v>
      </c>
      <c r="C3" s="516" t="s">
        <v>244</v>
      </c>
    </row>
    <row r="4" spans="2:3">
      <c r="B4" s="507" t="s">
        <v>116</v>
      </c>
      <c r="C4" s="508">
        <v>0</v>
      </c>
    </row>
    <row r="5" spans="2:3">
      <c r="B5" s="497" t="s">
        <v>111</v>
      </c>
      <c r="C5" s="498">
        <v>3193</v>
      </c>
    </row>
    <row r="6" spans="2:3">
      <c r="B6" s="497" t="s">
        <v>101</v>
      </c>
      <c r="C6" s="498">
        <v>1322580</v>
      </c>
    </row>
    <row r="7" spans="2:3">
      <c r="B7" s="497" t="s">
        <v>140</v>
      </c>
      <c r="C7" s="498">
        <v>1170370</v>
      </c>
    </row>
    <row r="8" spans="2:3">
      <c r="B8" s="497" t="s">
        <v>157</v>
      </c>
      <c r="C8" s="498">
        <v>715164</v>
      </c>
    </row>
    <row r="9" spans="2:3">
      <c r="B9" s="497" t="s">
        <v>153</v>
      </c>
      <c r="C9" s="498">
        <v>0</v>
      </c>
    </row>
    <row r="10" spans="2:3">
      <c r="B10" s="497" t="s">
        <v>146</v>
      </c>
      <c r="C10" s="499">
        <v>533325</v>
      </c>
    </row>
    <row r="11" spans="2:3">
      <c r="B11" s="497" t="s">
        <v>115</v>
      </c>
      <c r="C11" s="498">
        <v>398667</v>
      </c>
    </row>
    <row r="12" spans="2:3">
      <c r="B12" s="497" t="s">
        <v>219</v>
      </c>
      <c r="C12" s="498">
        <v>0</v>
      </c>
    </row>
    <row r="13" spans="2:3">
      <c r="B13" s="497" t="s">
        <v>110</v>
      </c>
      <c r="C13" s="498">
        <v>898790</v>
      </c>
    </row>
    <row r="14" spans="2:3">
      <c r="B14" s="497" t="s">
        <v>139</v>
      </c>
      <c r="C14" s="498">
        <v>0</v>
      </c>
    </row>
    <row r="15" spans="2:3">
      <c r="B15" s="497" t="s">
        <v>100</v>
      </c>
      <c r="C15" s="498">
        <v>11792</v>
      </c>
    </row>
    <row r="16" spans="2:3" ht="13.5" thickBot="1">
      <c r="B16" s="502" t="s">
        <v>99</v>
      </c>
      <c r="C16" s="503">
        <v>230488</v>
      </c>
    </row>
    <row r="17" spans="2:3" ht="13.5" thickBot="1">
      <c r="B17" s="504"/>
      <c r="C17" s="505">
        <f>SUM(C4:C16)</f>
        <v>5284369</v>
      </c>
    </row>
    <row r="18" spans="2:3">
      <c r="B18" s="495" t="s">
        <v>95</v>
      </c>
      <c r="C18" s="496">
        <v>245259</v>
      </c>
    </row>
    <row r="19" spans="2:3">
      <c r="B19" s="497" t="s">
        <v>102</v>
      </c>
      <c r="C19" s="498">
        <v>381616</v>
      </c>
    </row>
    <row r="20" spans="2:3">
      <c r="B20" s="497" t="s">
        <v>213</v>
      </c>
      <c r="C20" s="498">
        <v>0</v>
      </c>
    </row>
    <row r="21" spans="2:3">
      <c r="B21" s="497" t="s">
        <v>174</v>
      </c>
      <c r="C21" s="498">
        <v>44890</v>
      </c>
    </row>
    <row r="22" spans="2:3">
      <c r="B22" s="497" t="s">
        <v>151</v>
      </c>
      <c r="C22" s="498">
        <v>68938</v>
      </c>
    </row>
    <row r="23" spans="2:3">
      <c r="B23" s="497" t="s">
        <v>152</v>
      </c>
      <c r="C23" s="498">
        <v>0</v>
      </c>
    </row>
    <row r="24" spans="2:3">
      <c r="B24" s="497" t="s">
        <v>173</v>
      </c>
      <c r="C24" s="498">
        <v>73664</v>
      </c>
    </row>
    <row r="25" spans="2:3">
      <c r="B25" s="497" t="s">
        <v>94</v>
      </c>
      <c r="C25" s="498">
        <v>616966</v>
      </c>
    </row>
    <row r="26" spans="2:3">
      <c r="B26" s="497" t="s">
        <v>176</v>
      </c>
      <c r="C26" s="498">
        <v>3095919</v>
      </c>
    </row>
    <row r="27" spans="2:3">
      <c r="B27" s="497" t="s">
        <v>175</v>
      </c>
      <c r="C27" s="498">
        <v>789316</v>
      </c>
    </row>
    <row r="28" spans="2:3">
      <c r="B28" s="497" t="s">
        <v>161</v>
      </c>
      <c r="C28" s="498">
        <v>0</v>
      </c>
    </row>
    <row r="29" spans="2:3" ht="13.5" thickBot="1">
      <c r="B29" s="502" t="s">
        <v>93</v>
      </c>
      <c r="C29" s="503">
        <v>857904</v>
      </c>
    </row>
    <row r="30" spans="2:3" ht="13.5" thickBot="1">
      <c r="B30" s="506"/>
      <c r="C30" s="505">
        <f>SUM(C18:C29)</f>
        <v>6174472</v>
      </c>
    </row>
    <row r="31" spans="2:3">
      <c r="B31" s="495" t="s">
        <v>169</v>
      </c>
      <c r="C31" s="496">
        <v>1104</v>
      </c>
    </row>
    <row r="32" spans="2:3">
      <c r="B32" s="497" t="s">
        <v>171</v>
      </c>
      <c r="C32" s="498">
        <v>0</v>
      </c>
    </row>
    <row r="33" spans="2:3">
      <c r="B33" s="497" t="s">
        <v>159</v>
      </c>
      <c r="C33" s="498">
        <v>526560</v>
      </c>
    </row>
    <row r="34" spans="2:3">
      <c r="B34" s="497" t="s">
        <v>195</v>
      </c>
      <c r="C34" s="498">
        <v>0</v>
      </c>
    </row>
    <row r="35" spans="2:3">
      <c r="B35" s="497" t="s">
        <v>137</v>
      </c>
      <c r="C35" s="498">
        <v>62893</v>
      </c>
    </row>
    <row r="36" spans="2:3">
      <c r="B36" s="497" t="s">
        <v>118</v>
      </c>
      <c r="C36" s="498">
        <v>733992</v>
      </c>
    </row>
    <row r="37" spans="2:3">
      <c r="B37" s="497" t="s">
        <v>117</v>
      </c>
      <c r="C37" s="498">
        <v>785892</v>
      </c>
    </row>
    <row r="38" spans="2:3">
      <c r="B38" s="497" t="s">
        <v>136</v>
      </c>
      <c r="C38" s="498">
        <v>82575</v>
      </c>
    </row>
    <row r="39" spans="2:3">
      <c r="B39" s="497" t="s">
        <v>212</v>
      </c>
      <c r="C39" s="498">
        <v>743350</v>
      </c>
    </row>
    <row r="40" spans="2:3">
      <c r="B40" s="497" t="s">
        <v>147</v>
      </c>
      <c r="C40" s="498">
        <v>0</v>
      </c>
    </row>
    <row r="41" spans="2:3">
      <c r="B41" s="497" t="s">
        <v>170</v>
      </c>
      <c r="C41" s="498">
        <v>0</v>
      </c>
    </row>
    <row r="42" spans="2:3">
      <c r="B42" s="497" t="s">
        <v>119</v>
      </c>
      <c r="C42" s="498">
        <v>470993</v>
      </c>
    </row>
    <row r="43" spans="2:3">
      <c r="B43" s="497" t="s">
        <v>138</v>
      </c>
      <c r="C43" s="498">
        <v>109043</v>
      </c>
    </row>
    <row r="44" spans="2:3">
      <c r="B44" s="497" t="s">
        <v>172</v>
      </c>
      <c r="C44" s="498">
        <v>193912</v>
      </c>
    </row>
    <row r="45" spans="2:3">
      <c r="B45" s="497" t="s">
        <v>90</v>
      </c>
      <c r="C45" s="498">
        <v>382429</v>
      </c>
    </row>
    <row r="46" spans="2:3" ht="13.5" thickBot="1">
      <c r="B46" s="502" t="s">
        <v>160</v>
      </c>
      <c r="C46" s="503">
        <v>0</v>
      </c>
    </row>
    <row r="47" spans="2:3" ht="13.5" thickBot="1">
      <c r="B47" s="506"/>
      <c r="C47" s="505">
        <f>SUM(C31:C46)</f>
        <v>4092743</v>
      </c>
    </row>
    <row r="48" spans="2:3">
      <c r="B48" s="495" t="s">
        <v>150</v>
      </c>
      <c r="C48" s="496">
        <v>3648048</v>
      </c>
    </row>
    <row r="49" spans="2:3">
      <c r="B49" s="497" t="s">
        <v>91</v>
      </c>
      <c r="C49" s="498">
        <v>330293</v>
      </c>
    </row>
    <row r="50" spans="2:3">
      <c r="B50" s="497" t="s">
        <v>155</v>
      </c>
      <c r="C50" s="498">
        <v>230663</v>
      </c>
    </row>
    <row r="51" spans="2:3">
      <c r="B51" s="497" t="s">
        <v>156</v>
      </c>
      <c r="C51" s="498">
        <v>591035</v>
      </c>
    </row>
    <row r="52" spans="2:3">
      <c r="B52" s="497" t="s">
        <v>92</v>
      </c>
      <c r="C52" s="498">
        <v>68955</v>
      </c>
    </row>
    <row r="53" spans="2:3" ht="13.5" thickBot="1">
      <c r="B53" s="502" t="s">
        <v>149</v>
      </c>
      <c r="C53" s="503">
        <v>204266</v>
      </c>
    </row>
    <row r="54" spans="2:3" ht="13.5" thickBot="1">
      <c r="B54" s="506"/>
      <c r="C54" s="505">
        <f>SUM(C48:C53)</f>
        <v>5073260</v>
      </c>
    </row>
    <row r="55" spans="2:3">
      <c r="B55" s="495" t="s">
        <v>178</v>
      </c>
      <c r="C55" s="496">
        <v>860158</v>
      </c>
    </row>
    <row r="56" spans="2:3">
      <c r="B56" s="497" t="s">
        <v>104</v>
      </c>
      <c r="C56" s="498">
        <v>862065</v>
      </c>
    </row>
    <row r="57" spans="2:3">
      <c r="B57" s="497" t="s">
        <v>179</v>
      </c>
      <c r="C57" s="498">
        <v>139916</v>
      </c>
    </row>
    <row r="58" spans="2:3">
      <c r="B58" s="497" t="s">
        <v>183</v>
      </c>
      <c r="C58" s="498">
        <v>179138</v>
      </c>
    </row>
    <row r="59" spans="2:3">
      <c r="B59" s="497" t="s">
        <v>105</v>
      </c>
      <c r="C59" s="498">
        <v>859060</v>
      </c>
    </row>
    <row r="60" spans="2:3">
      <c r="B60" s="497" t="s">
        <v>182</v>
      </c>
      <c r="C60" s="498">
        <v>287233</v>
      </c>
    </row>
    <row r="61" spans="2:3">
      <c r="B61" s="497" t="s">
        <v>181</v>
      </c>
      <c r="C61" s="498">
        <v>1433640</v>
      </c>
    </row>
    <row r="62" spans="2:3">
      <c r="B62" s="497" t="s">
        <v>109</v>
      </c>
      <c r="C62" s="498">
        <v>729785</v>
      </c>
    </row>
    <row r="63" spans="2:3" ht="13.5" thickBot="1">
      <c r="B63" s="500" t="s">
        <v>180</v>
      </c>
      <c r="C63" s="501">
        <v>70200</v>
      </c>
    </row>
    <row r="64" spans="2:3" ht="13.5" thickBot="1">
      <c r="B64" s="506"/>
      <c r="C64" s="505">
        <f>SUM(C55:C63)</f>
        <v>5421195</v>
      </c>
    </row>
    <row r="65" spans="2:3">
      <c r="B65" s="495" t="s">
        <v>113</v>
      </c>
      <c r="C65" s="496">
        <v>133030</v>
      </c>
    </row>
    <row r="66" spans="2:3">
      <c r="B66" s="497" t="s">
        <v>162</v>
      </c>
      <c r="C66" s="498">
        <v>461713</v>
      </c>
    </row>
    <row r="67" spans="2:3">
      <c r="B67" s="497" t="s">
        <v>241</v>
      </c>
      <c r="C67" s="498">
        <v>0</v>
      </c>
    </row>
    <row r="68" spans="2:3">
      <c r="B68" s="497" t="s">
        <v>224</v>
      </c>
      <c r="C68" s="498">
        <v>1072153</v>
      </c>
    </row>
    <row r="69" spans="2:3">
      <c r="B69" s="497" t="s">
        <v>214</v>
      </c>
      <c r="C69" s="498">
        <v>0</v>
      </c>
    </row>
    <row r="70" spans="2:3">
      <c r="B70" s="497" t="s">
        <v>112</v>
      </c>
      <c r="C70" s="498">
        <v>364182</v>
      </c>
    </row>
    <row r="71" spans="2:3">
      <c r="B71" s="497" t="s">
        <v>167</v>
      </c>
      <c r="C71" s="498">
        <v>0</v>
      </c>
    </row>
    <row r="72" spans="2:3" ht="13.5" thickBot="1">
      <c r="B72" s="502" t="s">
        <v>225</v>
      </c>
      <c r="C72" s="503">
        <v>798873</v>
      </c>
    </row>
    <row r="73" spans="2:3" ht="13.5" thickBot="1">
      <c r="B73" s="506"/>
      <c r="C73" s="505">
        <f>SUM(C65:C72)</f>
        <v>2829951</v>
      </c>
    </row>
    <row r="74" spans="2:3">
      <c r="B74" s="495" t="s">
        <v>108</v>
      </c>
      <c r="C74" s="496">
        <v>470693</v>
      </c>
    </row>
    <row r="75" spans="2:3">
      <c r="B75" s="497" t="s">
        <v>114</v>
      </c>
      <c r="C75" s="498">
        <v>181866</v>
      </c>
    </row>
    <row r="76" spans="2:3">
      <c r="B76" s="497" t="s">
        <v>222</v>
      </c>
      <c r="C76" s="498">
        <v>413611</v>
      </c>
    </row>
    <row r="77" spans="2:3">
      <c r="B77" s="497" t="s">
        <v>106</v>
      </c>
      <c r="C77" s="498">
        <v>468541</v>
      </c>
    </row>
    <row r="78" spans="2:3">
      <c r="B78" s="497" t="s">
        <v>107</v>
      </c>
      <c r="C78" s="498">
        <v>15456</v>
      </c>
    </row>
    <row r="79" spans="2:3">
      <c r="B79" s="497" t="s">
        <v>163</v>
      </c>
      <c r="C79" s="498"/>
    </row>
    <row r="80" spans="2:3">
      <c r="B80" s="497" t="s">
        <v>221</v>
      </c>
      <c r="C80" s="498">
        <v>271067</v>
      </c>
    </row>
    <row r="81" spans="2:3" ht="13.5" thickBot="1">
      <c r="B81" s="502" t="s">
        <v>223</v>
      </c>
      <c r="C81" s="503"/>
    </row>
    <row r="82" spans="2:3" ht="13.5" thickBot="1">
      <c r="B82" s="506"/>
      <c r="C82" s="505">
        <f>SUM(C74:C81)</f>
        <v>1821234</v>
      </c>
    </row>
    <row r="83" spans="2:3">
      <c r="B83" s="495" t="s">
        <v>130</v>
      </c>
      <c r="C83" s="496">
        <v>223450</v>
      </c>
    </row>
    <row r="84" spans="2:3">
      <c r="B84" s="497" t="s">
        <v>129</v>
      </c>
      <c r="C84" s="498">
        <v>2023128</v>
      </c>
    </row>
    <row r="85" spans="2:3">
      <c r="B85" s="497" t="s">
        <v>192</v>
      </c>
      <c r="C85" s="498">
        <v>0</v>
      </c>
    </row>
    <row r="86" spans="2:3">
      <c r="B86" s="497" t="s">
        <v>131</v>
      </c>
      <c r="C86" s="498">
        <v>605589</v>
      </c>
    </row>
    <row r="87" spans="2:3">
      <c r="B87" s="497" t="s">
        <v>220</v>
      </c>
      <c r="C87" s="498">
        <v>0</v>
      </c>
    </row>
    <row r="88" spans="2:3">
      <c r="B88" s="497" t="s">
        <v>132</v>
      </c>
      <c r="C88" s="498">
        <v>330380</v>
      </c>
    </row>
    <row r="89" spans="2:3">
      <c r="B89" s="497" t="s">
        <v>133</v>
      </c>
      <c r="C89" s="498">
        <v>138688</v>
      </c>
    </row>
    <row r="90" spans="2:3">
      <c r="B90" s="497" t="s">
        <v>134</v>
      </c>
      <c r="C90" s="498">
        <v>1567507</v>
      </c>
    </row>
    <row r="91" spans="2:3" ht="13.5" thickBot="1">
      <c r="B91" s="502" t="s">
        <v>211</v>
      </c>
      <c r="C91" s="503">
        <v>0</v>
      </c>
    </row>
    <row r="92" spans="2:3" ht="13.5" thickBot="1">
      <c r="B92" s="506"/>
      <c r="C92" s="505">
        <f>SUM(C83:C91)</f>
        <v>4888742</v>
      </c>
    </row>
    <row r="93" spans="2:3">
      <c r="B93" s="495" t="s">
        <v>122</v>
      </c>
      <c r="C93" s="496">
        <v>33591</v>
      </c>
    </row>
    <row r="94" spans="2:3">
      <c r="B94" s="497" t="s">
        <v>120</v>
      </c>
      <c r="C94" s="498">
        <v>436042</v>
      </c>
    </row>
    <row r="95" spans="2:3">
      <c r="B95" s="497" t="s">
        <v>121</v>
      </c>
      <c r="C95" s="498">
        <v>873866</v>
      </c>
    </row>
    <row r="96" spans="2:3">
      <c r="B96" s="497" t="s">
        <v>168</v>
      </c>
      <c r="C96" s="498">
        <v>0</v>
      </c>
    </row>
    <row r="97" spans="2:8">
      <c r="B97" s="497" t="s">
        <v>123</v>
      </c>
      <c r="C97" s="498">
        <v>2689</v>
      </c>
    </row>
    <row r="98" spans="2:8">
      <c r="B98" s="497" t="s">
        <v>124</v>
      </c>
      <c r="C98" s="498">
        <v>1001353</v>
      </c>
    </row>
    <row r="99" spans="2:8">
      <c r="B99" s="497" t="s">
        <v>125</v>
      </c>
      <c r="C99" s="498">
        <v>582353</v>
      </c>
    </row>
    <row r="100" spans="2:8">
      <c r="B100" s="497" t="s">
        <v>126</v>
      </c>
      <c r="C100" s="498">
        <v>231304</v>
      </c>
    </row>
    <row r="101" spans="2:8">
      <c r="B101" s="497" t="s">
        <v>193</v>
      </c>
      <c r="C101" s="498">
        <v>0</v>
      </c>
    </row>
    <row r="102" spans="2:8">
      <c r="B102" s="497" t="s">
        <v>127</v>
      </c>
      <c r="C102" s="498">
        <v>16526</v>
      </c>
    </row>
    <row r="103" spans="2:8">
      <c r="B103" s="497" t="s">
        <v>128</v>
      </c>
      <c r="C103" s="498">
        <v>8190</v>
      </c>
    </row>
    <row r="104" spans="2:8">
      <c r="B104" s="497" t="s">
        <v>242</v>
      </c>
      <c r="C104" s="498">
        <v>47537</v>
      </c>
    </row>
    <row r="105" spans="2:8">
      <c r="B105" s="497" t="s">
        <v>243</v>
      </c>
      <c r="C105" s="498">
        <v>0</v>
      </c>
    </row>
    <row r="106" spans="2:8" ht="13.5" thickBot="1">
      <c r="B106" s="502" t="s">
        <v>87</v>
      </c>
      <c r="C106" s="503">
        <v>73658</v>
      </c>
    </row>
    <row r="107" spans="2:8" ht="13.5" thickBot="1">
      <c r="B107" s="506"/>
      <c r="C107" s="505">
        <f>SUM(C93:C106)</f>
        <v>3307109</v>
      </c>
      <c r="G107">
        <f>15456+271067</f>
        <v>286523</v>
      </c>
    </row>
    <row r="108" spans="2:8">
      <c r="B108" s="495" t="s">
        <v>76</v>
      </c>
      <c r="C108" s="496">
        <f>418281+165436</f>
        <v>583717</v>
      </c>
    </row>
    <row r="109" spans="2:8">
      <c r="B109" s="497" t="s">
        <v>103</v>
      </c>
      <c r="C109" s="498">
        <v>0</v>
      </c>
    </row>
    <row r="110" spans="2:8" ht="13.5" thickBot="1">
      <c r="B110" s="502" t="s">
        <v>240</v>
      </c>
      <c r="C110" s="503">
        <v>0</v>
      </c>
      <c r="H110">
        <f>271067+12638</f>
        <v>283705</v>
      </c>
    </row>
    <row r="111" spans="2:8" ht="13.5" thickBot="1">
      <c r="B111" s="506"/>
      <c r="C111" s="505">
        <f>SUM(C108:C110)</f>
        <v>583717</v>
      </c>
    </row>
    <row r="112" spans="2:8" ht="13.5" thickBot="1">
      <c r="B112" s="510" t="s">
        <v>31</v>
      </c>
      <c r="C112" s="509">
        <v>0</v>
      </c>
    </row>
    <row r="113" spans="2:3" ht="13.5" thickBot="1">
      <c r="B113" s="506"/>
      <c r="C113" s="513">
        <v>0</v>
      </c>
    </row>
    <row r="114" spans="2:3">
      <c r="B114" s="495" t="s">
        <v>83</v>
      </c>
      <c r="C114" s="496">
        <v>740488</v>
      </c>
    </row>
    <row r="115" spans="2:3" ht="13.5" thickBot="1">
      <c r="B115" s="502" t="s">
        <v>29</v>
      </c>
      <c r="C115" s="511">
        <v>976660</v>
      </c>
    </row>
    <row r="116" spans="2:3" ht="13.5" thickBot="1">
      <c r="B116" s="506"/>
      <c r="C116" s="512">
        <f>SUM(C114:C115)</f>
        <v>1717148</v>
      </c>
    </row>
    <row r="117" spans="2:3">
      <c r="B117" s="495" t="s">
        <v>142</v>
      </c>
      <c r="C117" s="496">
        <v>241203</v>
      </c>
    </row>
    <row r="118" spans="2:3">
      <c r="B118" s="497" t="s">
        <v>84</v>
      </c>
      <c r="C118" s="498">
        <v>587859</v>
      </c>
    </row>
    <row r="119" spans="2:3">
      <c r="B119" s="497" t="s">
        <v>75</v>
      </c>
      <c r="C119" s="498">
        <v>0</v>
      </c>
    </row>
    <row r="120" spans="2:3">
      <c r="B120" s="497" t="s">
        <v>164</v>
      </c>
      <c r="C120" s="498">
        <v>0</v>
      </c>
    </row>
    <row r="121" spans="2:3">
      <c r="B121" s="497" t="s">
        <v>143</v>
      </c>
      <c r="C121" s="498">
        <v>543</v>
      </c>
    </row>
    <row r="122" spans="2:3" ht="13.5" thickBot="1">
      <c r="B122" s="502" t="s">
        <v>165</v>
      </c>
      <c r="C122" s="503"/>
    </row>
    <row r="123" spans="2:3" ht="13.5" thickBot="1">
      <c r="B123" s="506"/>
      <c r="C123" s="505">
        <f>SUM(C117:C122)</f>
        <v>829605</v>
      </c>
    </row>
    <row r="124" spans="2:3" ht="6.75" customHeight="1" thickBot="1"/>
    <row r="125" spans="2:3" ht="22.5" customHeight="1" thickBot="1">
      <c r="B125" s="515" t="s">
        <v>244</v>
      </c>
      <c r="C125" s="514">
        <f>C123+C116+C113+C111+C107+C92+C82+C73+C64+C54+C47+C30+C17</f>
        <v>42023545</v>
      </c>
    </row>
  </sheetData>
  <mergeCells count="1">
    <mergeCell ref="B1:C1"/>
  </mergeCells>
  <pageMargins left="0.51181102362204722" right="0.70866141732283472" top="0.35433070866141736" bottom="0.31496062992125984" header="0.31496062992125984" footer="0.31496062992125984"/>
  <pageSetup paperSize="9" scale="95" orientation="portrait" horizontalDpi="4294967293" verticalDpi="300" r:id="rId1"/>
  <rowBreaks count="1" manualBreakCount="1">
    <brk id="63" max="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7"/>
  <sheetViews>
    <sheetView view="pageBreakPreview" zoomScale="80" zoomScaleSheetLayoutView="80" workbookViewId="0">
      <selection activeCell="E17" sqref="E17"/>
    </sheetView>
  </sheetViews>
  <sheetFormatPr defaultRowHeight="12.75"/>
  <cols>
    <col min="1" max="1" width="11.7109375" customWidth="1"/>
    <col min="2" max="2" width="19.42578125" customWidth="1"/>
    <col min="4" max="4" width="10" customWidth="1"/>
    <col min="6" max="6" width="14.140625" customWidth="1"/>
    <col min="7" max="7" width="11.7109375" customWidth="1"/>
    <col min="8" max="8" width="21.7109375" customWidth="1"/>
    <col min="12" max="12" width="10.140625" bestFit="1" customWidth="1"/>
  </cols>
  <sheetData>
    <row r="3" spans="1:12">
      <c r="A3" t="s">
        <v>14</v>
      </c>
      <c r="F3" t="s">
        <v>14</v>
      </c>
    </row>
    <row r="4" spans="1:12">
      <c r="A4" s="160" t="s">
        <v>187</v>
      </c>
      <c r="F4" t="str">
        <f>A4</f>
        <v xml:space="preserve">     DENOMINATION TO BANK - OKTOBER 2016</v>
      </c>
    </row>
    <row r="5" spans="1:12" ht="13.5" thickBot="1"/>
    <row r="6" spans="1:12" ht="13.5" thickTop="1">
      <c r="A6" s="17" t="s">
        <v>11</v>
      </c>
      <c r="B6" s="19" t="s">
        <v>13</v>
      </c>
      <c r="F6" s="17" t="s">
        <v>11</v>
      </c>
      <c r="G6" s="18" t="s">
        <v>12</v>
      </c>
      <c r="H6" s="19" t="s">
        <v>13</v>
      </c>
    </row>
    <row r="7" spans="1:12" ht="13.5" thickBot="1">
      <c r="A7" s="14"/>
      <c r="B7" s="16"/>
      <c r="F7" s="14"/>
      <c r="G7" s="15"/>
      <c r="H7" s="16"/>
    </row>
    <row r="8" spans="1:12" ht="13.5" thickTop="1">
      <c r="A8" s="21">
        <v>100000</v>
      </c>
      <c r="B8" s="5" t="e">
        <f>#REF!</f>
        <v>#REF!</v>
      </c>
      <c r="F8" s="21">
        <v>100000</v>
      </c>
      <c r="G8" s="4" t="e">
        <f t="shared" ref="G8:G13" si="0">H8/F8</f>
        <v>#REF!</v>
      </c>
      <c r="H8" s="5" t="e">
        <f t="shared" ref="H8:H14" si="1">B8</f>
        <v>#REF!</v>
      </c>
    </row>
    <row r="9" spans="1:12">
      <c r="A9" s="21">
        <v>50000</v>
      </c>
      <c r="B9" s="5" t="e">
        <f>#REF!</f>
        <v>#REF!</v>
      </c>
      <c r="F9" s="21">
        <v>50000</v>
      </c>
      <c r="G9" s="4" t="e">
        <f t="shared" si="0"/>
        <v>#REF!</v>
      </c>
      <c r="H9" s="5" t="e">
        <f t="shared" si="1"/>
        <v>#REF!</v>
      </c>
    </row>
    <row r="10" spans="1:12">
      <c r="A10" s="21">
        <v>20000</v>
      </c>
      <c r="B10" s="5" t="e">
        <f>#REF!</f>
        <v>#REF!</v>
      </c>
      <c r="F10" s="21">
        <v>20000</v>
      </c>
      <c r="G10" s="4" t="e">
        <f t="shared" si="0"/>
        <v>#REF!</v>
      </c>
      <c r="H10" s="5" t="e">
        <f t="shared" si="1"/>
        <v>#REF!</v>
      </c>
    </row>
    <row r="11" spans="1:12">
      <c r="A11" s="21">
        <v>10000</v>
      </c>
      <c r="B11" s="5" t="e">
        <f>#REF!</f>
        <v>#REF!</v>
      </c>
      <c r="F11" s="21">
        <v>10000</v>
      </c>
      <c r="G11" s="4" t="e">
        <f t="shared" si="0"/>
        <v>#REF!</v>
      </c>
      <c r="H11" s="5" t="e">
        <f t="shared" si="1"/>
        <v>#REF!</v>
      </c>
      <c r="L11" s="1">
        <v>1779176</v>
      </c>
    </row>
    <row r="12" spans="1:12">
      <c r="A12" s="21">
        <v>5000</v>
      </c>
      <c r="B12" s="5" t="e">
        <f>#REF!</f>
        <v>#REF!</v>
      </c>
      <c r="F12" s="21">
        <v>5000</v>
      </c>
      <c r="G12" s="4" t="e">
        <f t="shared" si="0"/>
        <v>#REF!</v>
      </c>
      <c r="H12" s="5" t="e">
        <f t="shared" si="1"/>
        <v>#REF!</v>
      </c>
      <c r="L12" s="1">
        <v>817106</v>
      </c>
    </row>
    <row r="13" spans="1:12">
      <c r="A13" s="21">
        <v>1000</v>
      </c>
      <c r="B13" s="5" t="e">
        <f>#REF!</f>
        <v>#REF!</v>
      </c>
      <c r="F13" s="21">
        <v>1000</v>
      </c>
      <c r="G13" s="4" t="e">
        <f t="shared" si="0"/>
        <v>#REF!</v>
      </c>
      <c r="H13" s="5" t="e">
        <f t="shared" si="1"/>
        <v>#REF!</v>
      </c>
      <c r="L13" s="1">
        <v>1588081</v>
      </c>
    </row>
    <row r="14" spans="1:12">
      <c r="A14" s="21"/>
      <c r="B14" s="5"/>
      <c r="F14" s="21"/>
      <c r="G14" s="4"/>
      <c r="H14" s="5">
        <f t="shared" si="1"/>
        <v>0</v>
      </c>
      <c r="L14" s="1">
        <v>2754422</v>
      </c>
    </row>
    <row r="15" spans="1:12">
      <c r="A15" s="21" t="s">
        <v>96</v>
      </c>
      <c r="B15" s="5"/>
      <c r="F15" s="21"/>
      <c r="G15" s="4"/>
      <c r="H15" s="5"/>
      <c r="L15" s="1">
        <v>1818714</v>
      </c>
    </row>
    <row r="16" spans="1:12">
      <c r="A16" s="21"/>
      <c r="B16" s="5"/>
      <c r="F16" s="21"/>
      <c r="G16" s="4"/>
      <c r="H16" s="5"/>
      <c r="L16" s="1">
        <v>1871430</v>
      </c>
    </row>
    <row r="17" spans="1:12" ht="13.5" thickBot="1">
      <c r="A17" s="65"/>
      <c r="B17" s="5"/>
      <c r="F17" s="65"/>
      <c r="G17" s="23"/>
      <c r="H17" s="5"/>
      <c r="L17" s="1">
        <v>1884608</v>
      </c>
    </row>
    <row r="18" spans="1:12" ht="14.25" thickTop="1" thickBot="1">
      <c r="A18" s="66" t="s">
        <v>3</v>
      </c>
      <c r="B18" s="12" t="e">
        <f>SUM(B8:B17)</f>
        <v>#REF!</v>
      </c>
      <c r="D18" s="25"/>
      <c r="F18" s="66" t="s">
        <v>3</v>
      </c>
      <c r="G18" s="23"/>
      <c r="H18" s="12" t="e">
        <f>SUM(H8:H17)</f>
        <v>#REF!</v>
      </c>
      <c r="L18" s="1">
        <v>2576507</v>
      </c>
    </row>
    <row r="19" spans="1:12" ht="14.25" thickTop="1" thickBot="1">
      <c r="A19" s="22"/>
      <c r="B19" s="24"/>
      <c r="F19" s="22"/>
      <c r="G19" s="23"/>
      <c r="H19" s="24"/>
      <c r="L19" s="1">
        <v>1113635</v>
      </c>
    </row>
    <row r="20" spans="1:12" ht="13.5" thickTop="1">
      <c r="A20" s="1"/>
      <c r="B20" s="1"/>
      <c r="F20" s="1"/>
      <c r="G20" s="1"/>
      <c r="H20" s="1"/>
      <c r="L20" s="1">
        <v>2648990</v>
      </c>
    </row>
    <row r="21" spans="1:12">
      <c r="A21" s="1"/>
      <c r="B21" s="1"/>
      <c r="F21" s="1"/>
      <c r="G21" s="1"/>
      <c r="H21" s="1"/>
      <c r="L21" s="1">
        <v>1047741</v>
      </c>
    </row>
    <row r="22" spans="1:12">
      <c r="A22" s="28" t="s">
        <v>158</v>
      </c>
      <c r="B22" s="1"/>
      <c r="F22" s="28" t="str">
        <f>A22</f>
        <v xml:space="preserve">DIUANGKAN HARI : </v>
      </c>
      <c r="G22" s="1"/>
      <c r="H22" s="1"/>
      <c r="L22" s="1">
        <v>1166353</v>
      </c>
    </row>
    <row r="23" spans="1:12">
      <c r="A23" s="1"/>
      <c r="B23" s="1"/>
      <c r="L23" s="1">
        <v>612831</v>
      </c>
    </row>
    <row r="24" spans="1:12">
      <c r="L24" s="1">
        <v>2372232</v>
      </c>
    </row>
    <row r="25" spans="1:12">
      <c r="L25" s="1">
        <v>1298142</v>
      </c>
    </row>
    <row r="26" spans="1:12">
      <c r="L26" s="1">
        <v>1594670</v>
      </c>
    </row>
    <row r="27" spans="1:12">
      <c r="A27" s="26"/>
      <c r="B27" s="26"/>
      <c r="L27" s="1">
        <v>1298143</v>
      </c>
    </row>
    <row r="28" spans="1:12">
      <c r="L28" s="1">
        <v>1607850</v>
      </c>
    </row>
    <row r="29" spans="1:12">
      <c r="A29" s="1"/>
      <c r="B29" s="1"/>
      <c r="L29" s="1">
        <v>1970271</v>
      </c>
    </row>
    <row r="30" spans="1:12">
      <c r="A30" s="27"/>
      <c r="B30" s="1"/>
      <c r="L30" s="1">
        <v>2200904</v>
      </c>
    </row>
    <row r="31" spans="1:12">
      <c r="A31" s="27"/>
      <c r="B31" s="1"/>
      <c r="L31" s="1">
        <v>1647386</v>
      </c>
    </row>
    <row r="32" spans="1:12">
      <c r="A32" s="27"/>
      <c r="B32" s="1"/>
      <c r="L32" s="1">
        <v>1930735</v>
      </c>
    </row>
    <row r="33" spans="1:12">
      <c r="A33" s="27"/>
      <c r="B33" s="1"/>
      <c r="L33" s="1">
        <v>1792356</v>
      </c>
    </row>
    <row r="34" spans="1:12">
      <c r="A34" s="27"/>
      <c r="B34" s="1"/>
      <c r="L34" s="1">
        <v>2102061</v>
      </c>
    </row>
    <row r="35" spans="1:12">
      <c r="A35" s="27"/>
      <c r="B35" s="1"/>
      <c r="L35" s="1">
        <v>1331091</v>
      </c>
    </row>
    <row r="36" spans="1:12">
      <c r="A36" s="27"/>
      <c r="B36" s="1"/>
      <c r="L36" s="1">
        <v>1594670</v>
      </c>
    </row>
    <row r="37" spans="1:12">
      <c r="A37" s="27"/>
      <c r="B37" s="1"/>
      <c r="L37" s="1">
        <v>856644</v>
      </c>
    </row>
    <row r="38" spans="1:12">
      <c r="A38" s="27"/>
      <c r="B38" s="1"/>
      <c r="L38" s="1">
        <v>1350858</v>
      </c>
    </row>
    <row r="39" spans="1:12">
      <c r="A39" s="27"/>
      <c r="B39" s="1"/>
      <c r="L39" s="1">
        <v>2556738</v>
      </c>
    </row>
    <row r="40" spans="1:12">
      <c r="A40" s="27"/>
      <c r="B40" s="1"/>
      <c r="L40" s="1">
        <v>1588081</v>
      </c>
    </row>
    <row r="41" spans="1:12">
      <c r="A41" s="27"/>
      <c r="B41" s="1"/>
      <c r="L41" s="1">
        <v>2602865</v>
      </c>
    </row>
    <row r="42" spans="1:12">
      <c r="A42" s="27"/>
      <c r="B42" s="1"/>
      <c r="L42" s="1">
        <v>1502418</v>
      </c>
    </row>
    <row r="43" spans="1:12">
      <c r="A43" s="27"/>
      <c r="B43" s="1"/>
      <c r="L43" s="1">
        <v>2642403</v>
      </c>
    </row>
    <row r="44" spans="1:12">
      <c r="A44" s="27"/>
      <c r="B44" s="1"/>
      <c r="L44" s="1">
        <v>1818714</v>
      </c>
    </row>
    <row r="45" spans="1:12">
      <c r="A45" s="27"/>
      <c r="B45" s="1"/>
      <c r="L45" s="1">
        <v>1377217</v>
      </c>
    </row>
    <row r="46" spans="1:12">
      <c r="A46" s="27"/>
      <c r="B46" s="28"/>
      <c r="L46" s="1">
        <v>843464</v>
      </c>
    </row>
    <row r="47" spans="1:12">
      <c r="A47" s="1"/>
      <c r="B47" s="1"/>
      <c r="L47" s="1">
        <v>981845</v>
      </c>
    </row>
    <row r="48" spans="1:12">
      <c r="A48" s="1"/>
      <c r="B48" s="1"/>
      <c r="L48" s="1">
        <v>1324499</v>
      </c>
    </row>
    <row r="49" spans="12:12">
      <c r="L49" s="1">
        <v>1798945</v>
      </c>
    </row>
    <row r="50" spans="12:12">
      <c r="L50" s="1">
        <v>1107048</v>
      </c>
    </row>
    <row r="51" spans="12:12">
      <c r="L51" s="1">
        <v>1924146</v>
      </c>
    </row>
    <row r="52" spans="12:12">
      <c r="L52" s="1">
        <v>2728064</v>
      </c>
    </row>
    <row r="53" spans="12:12">
      <c r="L53" s="1">
        <v>1568312</v>
      </c>
    </row>
    <row r="54" spans="12:12">
      <c r="L54" s="1">
        <v>1298143</v>
      </c>
    </row>
    <row r="55" spans="12:12">
      <c r="L55" s="1">
        <v>2892803</v>
      </c>
    </row>
    <row r="56" spans="12:12">
      <c r="L56" s="1">
        <v>1785767</v>
      </c>
    </row>
    <row r="57" spans="12:12">
      <c r="L57" s="1">
        <f>SUM(L11:L56)</f>
        <v>78969079</v>
      </c>
    </row>
  </sheetData>
  <phoneticPr fontId="0" type="noConversion"/>
  <pageMargins left="0.67" right="0.32" top="1" bottom="1" header="0.5" footer="0.5"/>
  <pageSetup paperSize="9" orientation="landscape" horizontalDpi="180" verticalDpi="18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5"/>
  <sheetViews>
    <sheetView workbookViewId="0">
      <selection activeCell="A4" sqref="A4"/>
    </sheetView>
  </sheetViews>
  <sheetFormatPr defaultRowHeight="12.75"/>
  <cols>
    <col min="1" max="1" width="11.7109375" customWidth="1"/>
    <col min="2" max="2" width="14.28515625" customWidth="1"/>
    <col min="3" max="3" width="19.42578125" customWidth="1"/>
    <col min="5" max="5" width="10" customWidth="1"/>
    <col min="7" max="7" width="14.140625" customWidth="1"/>
    <col min="8" max="8" width="11.7109375" customWidth="1"/>
    <col min="9" max="9" width="21.7109375" customWidth="1"/>
    <col min="10" max="10" width="9.140625" customWidth="1"/>
  </cols>
  <sheetData>
    <row r="3" spans="1:9">
      <c r="A3" t="s">
        <v>14</v>
      </c>
      <c r="G3" t="s">
        <v>14</v>
      </c>
    </row>
    <row r="4" spans="1:9">
      <c r="A4" s="64" t="str">
        <f>'DENO TO BANK'!A4</f>
        <v xml:space="preserve">     DENOMINATION TO BANK - OKTOBER 2016</v>
      </c>
      <c r="G4" t="str">
        <f>A4</f>
        <v xml:space="preserve">     DENOMINATION TO BANK - OKTOBER 2016</v>
      </c>
    </row>
    <row r="5" spans="1:9" ht="13.5" thickBot="1"/>
    <row r="6" spans="1:9" ht="13.5" thickTop="1">
      <c r="A6" s="17" t="s">
        <v>11</v>
      </c>
      <c r="B6" s="18" t="s">
        <v>12</v>
      </c>
      <c r="C6" s="19" t="s">
        <v>13</v>
      </c>
      <c r="G6" s="17" t="s">
        <v>11</v>
      </c>
      <c r="H6" s="18" t="s">
        <v>12</v>
      </c>
      <c r="I6" s="19" t="s">
        <v>13</v>
      </c>
    </row>
    <row r="7" spans="1:9" ht="13.5" thickBot="1">
      <c r="A7" s="14"/>
      <c r="B7" s="15"/>
      <c r="C7" s="16"/>
      <c r="G7" s="14"/>
      <c r="H7" s="15"/>
      <c r="I7" s="16"/>
    </row>
    <row r="8" spans="1:9" ht="13.5" thickTop="1">
      <c r="A8" s="20"/>
      <c r="B8" s="2"/>
      <c r="C8" s="3"/>
      <c r="G8" s="20"/>
      <c r="H8" s="2"/>
      <c r="I8" s="3"/>
    </row>
    <row r="9" spans="1:9">
      <c r="A9" s="21">
        <v>100000</v>
      </c>
      <c r="B9" s="4">
        <f>C9/A9</f>
        <v>0</v>
      </c>
      <c r="C9" s="5">
        <f>'SUMMARY - WAGES PT.RJ'!O41</f>
        <v>0</v>
      </c>
      <c r="G9" s="21">
        <v>100000</v>
      </c>
      <c r="H9" s="4">
        <f>I9/G9</f>
        <v>0</v>
      </c>
      <c r="I9" s="5">
        <f>C9</f>
        <v>0</v>
      </c>
    </row>
    <row r="10" spans="1:9">
      <c r="A10" s="70"/>
      <c r="B10" s="4"/>
      <c r="C10" s="5"/>
      <c r="G10" s="70"/>
      <c r="H10" s="4"/>
      <c r="I10" s="5"/>
    </row>
    <row r="11" spans="1:9">
      <c r="A11" s="21">
        <v>50000</v>
      </c>
      <c r="B11" s="4">
        <f>C11/A11</f>
        <v>0</v>
      </c>
      <c r="C11" s="5">
        <f>'SUMMARY - WAGES PT.RJ'!P41</f>
        <v>0</v>
      </c>
      <c r="G11" s="21">
        <v>50000</v>
      </c>
      <c r="H11" s="4">
        <f>I11/G11</f>
        <v>0</v>
      </c>
      <c r="I11" s="5">
        <f>C11</f>
        <v>0</v>
      </c>
    </row>
    <row r="12" spans="1:9">
      <c r="A12" s="21"/>
      <c r="B12" s="4"/>
      <c r="C12" s="5"/>
      <c r="G12" s="21"/>
      <c r="H12" s="4"/>
      <c r="I12" s="5"/>
    </row>
    <row r="13" spans="1:9">
      <c r="A13" s="21">
        <v>20000</v>
      </c>
      <c r="B13" s="4">
        <f>C13/A13</f>
        <v>0</v>
      </c>
      <c r="C13" s="5">
        <f>'SUMMARY - WAGES PT.RJ'!Q41</f>
        <v>0</v>
      </c>
      <c r="G13" s="21">
        <v>20000</v>
      </c>
      <c r="H13" s="4">
        <f>I13/G13</f>
        <v>0</v>
      </c>
      <c r="I13" s="5">
        <f>C13</f>
        <v>0</v>
      </c>
    </row>
    <row r="14" spans="1:9">
      <c r="A14" s="21"/>
      <c r="B14" s="4"/>
      <c r="C14" s="5"/>
      <c r="G14" s="21"/>
      <c r="H14" s="4"/>
      <c r="I14" s="5"/>
    </row>
    <row r="15" spans="1:9">
      <c r="A15" s="21">
        <v>10000</v>
      </c>
      <c r="B15" s="4">
        <f>C15/A15</f>
        <v>0</v>
      </c>
      <c r="C15" s="5">
        <f>'SUMMARY - WAGES PT.RJ'!R41</f>
        <v>0</v>
      </c>
      <c r="G15" s="21">
        <v>10000</v>
      </c>
      <c r="H15" s="4">
        <f>I15/G15</f>
        <v>0</v>
      </c>
      <c r="I15" s="5">
        <f>C15</f>
        <v>0</v>
      </c>
    </row>
    <row r="16" spans="1:9">
      <c r="A16" s="21"/>
      <c r="B16" s="4"/>
      <c r="C16" s="5"/>
      <c r="G16" s="21"/>
      <c r="H16" s="4"/>
      <c r="I16" s="5"/>
    </row>
    <row r="17" spans="1:9">
      <c r="A17" s="21">
        <v>5000</v>
      </c>
      <c r="B17" s="4">
        <f>C17/A17</f>
        <v>0</v>
      </c>
      <c r="C17" s="5">
        <f>'SUMMARY - WAGES PT.RJ'!S41</f>
        <v>0</v>
      </c>
      <c r="G17" s="21">
        <v>5000</v>
      </c>
      <c r="H17" s="4">
        <f>I17/G17</f>
        <v>0</v>
      </c>
      <c r="I17" s="5">
        <f>C17</f>
        <v>0</v>
      </c>
    </row>
    <row r="18" spans="1:9">
      <c r="A18" s="21"/>
      <c r="B18" s="4"/>
      <c r="C18" s="5"/>
      <c r="G18" s="21"/>
      <c r="H18" s="4"/>
      <c r="I18" s="5"/>
    </row>
    <row r="19" spans="1:9">
      <c r="A19" s="21">
        <v>1000</v>
      </c>
      <c r="B19" s="4">
        <f>C19/A19</f>
        <v>0</v>
      </c>
      <c r="C19" s="5">
        <f>'SUMMARY - WAGES PT.RJ'!T41</f>
        <v>0</v>
      </c>
      <c r="G19" s="21">
        <v>1000</v>
      </c>
      <c r="H19" s="4">
        <f>I19/G19</f>
        <v>0</v>
      </c>
      <c r="I19" s="5">
        <f>C19</f>
        <v>0</v>
      </c>
    </row>
    <row r="20" spans="1:9">
      <c r="A20" s="21"/>
      <c r="B20" s="4"/>
      <c r="C20" s="5"/>
      <c r="G20" s="21"/>
      <c r="H20" s="4"/>
      <c r="I20" s="5"/>
    </row>
    <row r="21" spans="1:9" ht="12" customHeight="1">
      <c r="A21" s="21">
        <v>100</v>
      </c>
      <c r="B21" s="4">
        <f>C21/A21</f>
        <v>0</v>
      </c>
      <c r="C21" s="5">
        <f>'SUMMARY - WAGES PT.RJ'!U41+'SUMMARY - WAGES PT.RJ'!V41+'SUMMARY - WAGES PT.RJ'!W41+'SUMMARY - WAGES PT.RJ'!X41</f>
        <v>0</v>
      </c>
      <c r="G21" s="21">
        <v>100</v>
      </c>
      <c r="H21" s="4">
        <f>B21</f>
        <v>0</v>
      </c>
      <c r="I21" s="5">
        <f>C21</f>
        <v>0</v>
      </c>
    </row>
    <row r="22" spans="1:9">
      <c r="A22" s="21"/>
      <c r="B22" s="4"/>
      <c r="C22" s="5"/>
      <c r="G22" s="21"/>
      <c r="H22" s="4"/>
      <c r="I22" s="5"/>
    </row>
    <row r="23" spans="1:9">
      <c r="A23" s="21"/>
      <c r="B23" s="4"/>
      <c r="C23" s="5"/>
      <c r="G23" s="21"/>
      <c r="H23" s="4"/>
      <c r="I23" s="5"/>
    </row>
    <row r="24" spans="1:9" ht="13.5" thickBot="1">
      <c r="A24" s="65"/>
      <c r="B24" s="23"/>
      <c r="C24" s="5"/>
      <c r="G24" s="65"/>
      <c r="H24" s="23"/>
      <c r="I24" s="5"/>
    </row>
    <row r="25" spans="1:9" ht="14.25" thickTop="1" thickBot="1">
      <c r="A25" s="66" t="s">
        <v>3</v>
      </c>
      <c r="B25" s="6"/>
      <c r="C25" s="12">
        <f>SUM(C8:C24)</f>
        <v>0</v>
      </c>
      <c r="E25" s="25"/>
      <c r="G25" s="66" t="s">
        <v>3</v>
      </c>
      <c r="H25" s="23"/>
      <c r="I25" s="12">
        <f>SUM(I9:I24)</f>
        <v>0</v>
      </c>
    </row>
    <row r="26" spans="1:9" ht="14.25" thickTop="1" thickBot="1">
      <c r="A26" s="22"/>
      <c r="B26" s="23"/>
      <c r="C26" s="24"/>
      <c r="G26" s="22"/>
      <c r="H26" s="23"/>
      <c r="I26" s="24"/>
    </row>
    <row r="27" spans="1:9" ht="13.5" thickTop="1">
      <c r="A27" s="1"/>
      <c r="B27" s="1"/>
      <c r="C27" s="1"/>
      <c r="G27" s="1"/>
      <c r="H27" s="1"/>
      <c r="I27" s="1"/>
    </row>
    <row r="28" spans="1:9">
      <c r="A28" s="1"/>
      <c r="B28" s="1"/>
      <c r="C28" s="1"/>
      <c r="G28" s="1"/>
      <c r="H28" s="1"/>
      <c r="I28" s="1"/>
    </row>
    <row r="29" spans="1:9">
      <c r="A29" s="28" t="str">
        <f>'DENO TO BANK'!A22</f>
        <v xml:space="preserve">DIUANGKAN HARI : </v>
      </c>
      <c r="B29" s="1"/>
      <c r="C29" s="1"/>
      <c r="G29" s="28" t="str">
        <f>A29</f>
        <v xml:space="preserve">DIUANGKAN HARI : </v>
      </c>
      <c r="H29" s="1"/>
      <c r="I29" s="1"/>
    </row>
    <row r="30" spans="1:9">
      <c r="A30" s="1"/>
      <c r="B30" s="1"/>
      <c r="C30" s="1"/>
    </row>
    <row r="34" spans="1:3">
      <c r="A34" s="26"/>
      <c r="B34" s="26"/>
      <c r="C34" s="26"/>
    </row>
    <row r="36" spans="1:3">
      <c r="A36" s="1"/>
      <c r="B36" s="1"/>
      <c r="C36" s="1"/>
    </row>
    <row r="37" spans="1:3">
      <c r="A37" s="27"/>
      <c r="B37" s="1"/>
      <c r="C37" s="1"/>
    </row>
    <row r="38" spans="1:3">
      <c r="A38" s="27"/>
      <c r="B38" s="1"/>
      <c r="C38" s="1"/>
    </row>
    <row r="39" spans="1:3">
      <c r="A39" s="27"/>
      <c r="B39" s="1"/>
      <c r="C39" s="1"/>
    </row>
    <row r="40" spans="1:3">
      <c r="A40" s="27"/>
      <c r="B40" s="1"/>
      <c r="C40" s="1"/>
    </row>
    <row r="41" spans="1:3">
      <c r="A41" s="27"/>
      <c r="B41" s="1"/>
      <c r="C41" s="1"/>
    </row>
    <row r="42" spans="1:3">
      <c r="A42" s="27"/>
      <c r="B42" s="1"/>
      <c r="C42" s="1"/>
    </row>
    <row r="43" spans="1:3">
      <c r="A43" s="27"/>
      <c r="B43" s="1"/>
      <c r="C43" s="1"/>
    </row>
    <row r="44" spans="1:3">
      <c r="A44" s="27"/>
      <c r="B44" s="1"/>
      <c r="C44" s="1"/>
    </row>
    <row r="45" spans="1:3">
      <c r="A45" s="27"/>
      <c r="B45" s="1"/>
      <c r="C45" s="1"/>
    </row>
    <row r="46" spans="1:3">
      <c r="A46" s="27"/>
      <c r="B46" s="1"/>
      <c r="C46" s="1"/>
    </row>
    <row r="47" spans="1:3">
      <c r="A47" s="27"/>
      <c r="B47" s="1"/>
      <c r="C47" s="1"/>
    </row>
    <row r="48" spans="1:3">
      <c r="A48" s="27"/>
      <c r="B48" s="1"/>
      <c r="C48" s="1"/>
    </row>
    <row r="49" spans="1:3">
      <c r="A49" s="27"/>
      <c r="B49" s="1"/>
      <c r="C49" s="1"/>
    </row>
    <row r="50" spans="1:3">
      <c r="A50" s="27"/>
      <c r="B50" s="1"/>
      <c r="C50" s="1"/>
    </row>
    <row r="51" spans="1:3">
      <c r="A51" s="27"/>
      <c r="B51" s="1"/>
      <c r="C51" s="1"/>
    </row>
    <row r="52" spans="1:3">
      <c r="A52" s="27"/>
      <c r="B52" s="1"/>
      <c r="C52" s="1"/>
    </row>
    <row r="53" spans="1:3">
      <c r="A53" s="27"/>
      <c r="B53" s="1"/>
      <c r="C53" s="28"/>
    </row>
    <row r="54" spans="1:3">
      <c r="A54" s="1"/>
      <c r="B54" s="1"/>
      <c r="C54" s="1"/>
    </row>
    <row r="55" spans="1:3">
      <c r="A55" s="1"/>
      <c r="B55" s="1"/>
      <c r="C55" s="1"/>
    </row>
  </sheetData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5"/>
  <sheetViews>
    <sheetView view="pageBreakPreview" zoomScaleSheetLayoutView="100" workbookViewId="0">
      <selection activeCell="C16" sqref="C16"/>
    </sheetView>
  </sheetViews>
  <sheetFormatPr defaultRowHeight="12.75"/>
  <cols>
    <col min="1" max="1" width="11.7109375" customWidth="1"/>
    <col min="2" max="2" width="14.28515625" customWidth="1"/>
    <col min="3" max="3" width="19.42578125" customWidth="1"/>
    <col min="5" max="5" width="6.7109375" customWidth="1"/>
    <col min="6" max="6" width="14.140625" customWidth="1"/>
    <col min="7" max="7" width="11.7109375" customWidth="1"/>
    <col min="8" max="8" width="21.7109375" customWidth="1"/>
    <col min="9" max="9" width="2.140625" customWidth="1"/>
  </cols>
  <sheetData>
    <row r="3" spans="1:8">
      <c r="A3" t="s">
        <v>14</v>
      </c>
      <c r="F3" t="s">
        <v>14</v>
      </c>
    </row>
    <row r="4" spans="1:8">
      <c r="A4" s="160" t="s">
        <v>177</v>
      </c>
      <c r="F4" t="str">
        <f>A4</f>
        <v>DENOMINATION TO BANK - SEPTEMBER 2016</v>
      </c>
    </row>
    <row r="5" spans="1:8" ht="13.5" thickBot="1">
      <c r="A5" s="1312"/>
      <c r="B5" s="1312"/>
      <c r="C5" s="1312"/>
      <c r="D5" s="1312"/>
    </row>
    <row r="6" spans="1:8" ht="13.5" thickTop="1">
      <c r="A6" s="17" t="s">
        <v>11</v>
      </c>
      <c r="B6" s="18" t="s">
        <v>12</v>
      </c>
      <c r="C6" s="19" t="s">
        <v>13</v>
      </c>
      <c r="F6" s="17" t="s">
        <v>11</v>
      </c>
      <c r="G6" s="18" t="s">
        <v>12</v>
      </c>
      <c r="H6" s="19" t="s">
        <v>13</v>
      </c>
    </row>
    <row r="7" spans="1:8" ht="13.5" thickBot="1">
      <c r="A7" s="14"/>
      <c r="B7" s="15"/>
      <c r="C7" s="16"/>
      <c r="F7" s="14"/>
      <c r="G7" s="15"/>
      <c r="H7" s="16"/>
    </row>
    <row r="8" spans="1:8" ht="13.5" thickTop="1">
      <c r="A8" s="20"/>
      <c r="B8" s="2"/>
      <c r="C8" s="3"/>
      <c r="F8" s="20"/>
      <c r="G8" s="2"/>
      <c r="H8" s="3"/>
    </row>
    <row r="9" spans="1:8">
      <c r="A9" s="21">
        <v>100000</v>
      </c>
      <c r="B9" s="4" t="e">
        <f>C9/A9</f>
        <v>#REF!</v>
      </c>
      <c r="C9" s="5" t="e">
        <f>'SUMMARY - CASH PG &amp; ARE'!C44</f>
        <v>#REF!</v>
      </c>
      <c r="F9" s="21">
        <v>100000</v>
      </c>
      <c r="G9" s="4" t="e">
        <f>H9/F9</f>
        <v>#REF!</v>
      </c>
      <c r="H9" s="5" t="e">
        <f>C9</f>
        <v>#REF!</v>
      </c>
    </row>
    <row r="10" spans="1:8">
      <c r="A10" s="70"/>
      <c r="B10" s="4"/>
      <c r="C10" s="5"/>
      <c r="F10" s="70"/>
      <c r="G10" s="4"/>
      <c r="H10" s="5"/>
    </row>
    <row r="11" spans="1:8">
      <c r="A11" s="21">
        <v>50000</v>
      </c>
      <c r="B11" s="4" t="e">
        <f>C11/A11</f>
        <v>#REF!</v>
      </c>
      <c r="C11" s="5" t="e">
        <f>'SUMMARY - CASH PG &amp; ARE'!D44</f>
        <v>#REF!</v>
      </c>
      <c r="F11" s="21">
        <v>50000</v>
      </c>
      <c r="G11" s="4" t="e">
        <f>H11/F11</f>
        <v>#REF!</v>
      </c>
      <c r="H11" s="5" t="e">
        <f>C11</f>
        <v>#REF!</v>
      </c>
    </row>
    <row r="12" spans="1:8">
      <c r="A12" s="21"/>
      <c r="B12" s="4"/>
      <c r="C12" s="5"/>
      <c r="F12" s="21"/>
      <c r="G12" s="4"/>
      <c r="H12" s="5"/>
    </row>
    <row r="13" spans="1:8">
      <c r="A13" s="21">
        <v>20000</v>
      </c>
      <c r="B13" s="4" t="e">
        <f>C13/A13</f>
        <v>#REF!</v>
      </c>
      <c r="C13" s="5" t="e">
        <f>'SUMMARY - CASH PG &amp; ARE'!E44</f>
        <v>#REF!</v>
      </c>
      <c r="F13" s="21">
        <v>20000</v>
      </c>
      <c r="G13" s="4" t="e">
        <f>H13/F13</f>
        <v>#REF!</v>
      </c>
      <c r="H13" s="5" t="e">
        <f>C13</f>
        <v>#REF!</v>
      </c>
    </row>
    <row r="14" spans="1:8">
      <c r="A14" s="21"/>
      <c r="B14" s="4"/>
      <c r="C14" s="5"/>
      <c r="F14" s="21"/>
      <c r="G14" s="4"/>
      <c r="H14" s="5"/>
    </row>
    <row r="15" spans="1:8">
      <c r="A15" s="21">
        <v>10000</v>
      </c>
      <c r="B15" s="4" t="e">
        <f>C15/A15</f>
        <v>#REF!</v>
      </c>
      <c r="C15" s="5" t="e">
        <f>'SUMMARY - CASH PG &amp; ARE'!F44</f>
        <v>#REF!</v>
      </c>
      <c r="F15" s="21">
        <v>10000</v>
      </c>
      <c r="G15" s="4" t="e">
        <f>H15/F15</f>
        <v>#REF!</v>
      </c>
      <c r="H15" s="5" t="e">
        <f>C15</f>
        <v>#REF!</v>
      </c>
    </row>
    <row r="16" spans="1:8">
      <c r="A16" s="21"/>
      <c r="B16" s="4"/>
      <c r="C16" s="5"/>
      <c r="F16" s="21"/>
      <c r="G16" s="4"/>
      <c r="H16" s="5"/>
    </row>
    <row r="17" spans="1:8">
      <c r="A17" s="21">
        <v>5000</v>
      </c>
      <c r="B17" s="4" t="e">
        <f>C17/A17</f>
        <v>#REF!</v>
      </c>
      <c r="C17" s="5" t="e">
        <f>'SUMMARY - CASH PG &amp; ARE'!G44</f>
        <v>#REF!</v>
      </c>
      <c r="F17" s="21">
        <v>5000</v>
      </c>
      <c r="G17" s="4" t="e">
        <f>H17/F17</f>
        <v>#REF!</v>
      </c>
      <c r="H17" s="5" t="e">
        <f>C17</f>
        <v>#REF!</v>
      </c>
    </row>
    <row r="18" spans="1:8">
      <c r="A18" s="21"/>
      <c r="B18" s="4"/>
      <c r="C18" s="5"/>
      <c r="F18" s="21"/>
      <c r="G18" s="4"/>
      <c r="H18" s="5"/>
    </row>
    <row r="19" spans="1:8">
      <c r="A19" s="21">
        <v>1000</v>
      </c>
      <c r="B19" s="4" t="e">
        <f>C19/A19</f>
        <v>#REF!</v>
      </c>
      <c r="C19" s="5" t="e">
        <f>'SUMMARY - CASH PG &amp; ARE'!H44</f>
        <v>#REF!</v>
      </c>
      <c r="F19" s="21">
        <v>1000</v>
      </c>
      <c r="G19" s="4" t="e">
        <f>H19/F19</f>
        <v>#REF!</v>
      </c>
      <c r="H19" s="5" t="e">
        <f>C19</f>
        <v>#REF!</v>
      </c>
    </row>
    <row r="20" spans="1:8">
      <c r="A20" s="21"/>
      <c r="B20" s="4"/>
      <c r="C20" s="5"/>
      <c r="F20" s="21"/>
      <c r="G20" s="4"/>
      <c r="H20" s="5"/>
    </row>
    <row r="21" spans="1:8">
      <c r="A21" s="21">
        <v>100</v>
      </c>
      <c r="B21" s="4" t="e">
        <f>C21/A21</f>
        <v>#REF!</v>
      </c>
      <c r="C21" s="5" t="e">
        <f>'SUMMARY - CASH PG &amp; ARE'!I44+'SUMMARY - CASH PG &amp; ARE'!#REF!</f>
        <v>#REF!</v>
      </c>
      <c r="F21" s="21">
        <v>100</v>
      </c>
      <c r="G21" s="4" t="e">
        <f>B21</f>
        <v>#REF!</v>
      </c>
      <c r="H21" s="5" t="e">
        <f>C21</f>
        <v>#REF!</v>
      </c>
    </row>
    <row r="22" spans="1:8">
      <c r="A22" s="21"/>
      <c r="B22" s="4"/>
      <c r="C22" s="5"/>
      <c r="F22" s="21"/>
      <c r="G22" s="4"/>
      <c r="H22" s="5"/>
    </row>
    <row r="23" spans="1:8">
      <c r="A23" s="21"/>
      <c r="B23" s="4"/>
      <c r="C23" s="5"/>
      <c r="F23" s="21"/>
      <c r="G23" s="4"/>
      <c r="H23" s="5"/>
    </row>
    <row r="24" spans="1:8" ht="13.5" thickBot="1">
      <c r="A24" s="65"/>
      <c r="B24" s="23"/>
      <c r="C24" s="5"/>
      <c r="F24" s="65"/>
      <c r="G24" s="23"/>
      <c r="H24" s="5"/>
    </row>
    <row r="25" spans="1:8" ht="14.25" thickTop="1" thickBot="1">
      <c r="A25" s="66" t="s">
        <v>3</v>
      </c>
      <c r="B25" s="6"/>
      <c r="C25" s="12" t="e">
        <f>SUM(C8:C24)</f>
        <v>#REF!</v>
      </c>
      <c r="E25" s="25"/>
      <c r="F25" s="66" t="s">
        <v>3</v>
      </c>
      <c r="G25" s="23"/>
      <c r="H25" s="12" t="e">
        <f>SUM(H9:H24)</f>
        <v>#REF!</v>
      </c>
    </row>
    <row r="26" spans="1:8" ht="14.25" thickTop="1" thickBot="1">
      <c r="A26" s="22"/>
      <c r="B26" s="23"/>
      <c r="C26" s="24"/>
      <c r="F26" s="22"/>
      <c r="G26" s="23"/>
      <c r="H26" s="24"/>
    </row>
    <row r="27" spans="1:8" ht="13.5" thickTop="1">
      <c r="A27" s="1"/>
      <c r="B27" s="1"/>
      <c r="C27" s="1"/>
      <c r="F27" s="1"/>
      <c r="G27" s="1"/>
      <c r="H27" s="1"/>
    </row>
    <row r="28" spans="1:8">
      <c r="A28" s="1"/>
      <c r="B28" s="1"/>
      <c r="C28" s="1"/>
      <c r="F28" s="1"/>
      <c r="G28" s="1"/>
      <c r="H28" s="1"/>
    </row>
    <row r="29" spans="1:8">
      <c r="A29" s="28" t="str">
        <f>'DENO TO BANK'!A22</f>
        <v xml:space="preserve">DIUANGKAN HARI : </v>
      </c>
      <c r="B29" s="1"/>
      <c r="C29" s="1"/>
      <c r="F29" s="28" t="str">
        <f>A29</f>
        <v xml:space="preserve">DIUANGKAN HARI : </v>
      </c>
      <c r="G29" s="1"/>
      <c r="H29" s="1"/>
    </row>
    <row r="30" spans="1:8">
      <c r="A30" s="1"/>
      <c r="B30" s="1"/>
      <c r="C30" s="1"/>
    </row>
    <row r="34" spans="1:3">
      <c r="A34" s="26"/>
      <c r="B34" s="26"/>
      <c r="C34" s="26"/>
    </row>
    <row r="36" spans="1:3">
      <c r="A36" s="1"/>
      <c r="B36" s="1"/>
      <c r="C36" s="1"/>
    </row>
    <row r="37" spans="1:3">
      <c r="A37" s="27"/>
      <c r="B37" s="1"/>
      <c r="C37" s="1"/>
    </row>
    <row r="38" spans="1:3">
      <c r="A38" s="27"/>
      <c r="B38" s="1"/>
      <c r="C38" s="1"/>
    </row>
    <row r="39" spans="1:3">
      <c r="A39" s="27"/>
      <c r="B39" s="1"/>
      <c r="C39" s="1"/>
    </row>
    <row r="40" spans="1:3">
      <c r="A40" s="27"/>
      <c r="B40" s="1"/>
      <c r="C40" s="1"/>
    </row>
    <row r="41" spans="1:3">
      <c r="A41" s="27"/>
      <c r="B41" s="1"/>
      <c r="C41" s="1"/>
    </row>
    <row r="42" spans="1:3">
      <c r="A42" s="27"/>
      <c r="B42" s="1"/>
      <c r="C42" s="1"/>
    </row>
    <row r="43" spans="1:3">
      <c r="A43" s="27"/>
      <c r="B43" s="1"/>
      <c r="C43" s="1"/>
    </row>
    <row r="44" spans="1:3">
      <c r="A44" s="27"/>
      <c r="B44" s="1"/>
      <c r="C44" s="1"/>
    </row>
    <row r="45" spans="1:3">
      <c r="A45" s="27"/>
      <c r="B45" s="1"/>
      <c r="C45" s="1"/>
    </row>
    <row r="46" spans="1:3">
      <c r="A46" s="27"/>
      <c r="B46" s="1"/>
      <c r="C46" s="1"/>
    </row>
    <row r="47" spans="1:3">
      <c r="A47" s="27"/>
      <c r="B47" s="1"/>
      <c r="C47" s="1"/>
    </row>
    <row r="48" spans="1:3">
      <c r="A48" s="27"/>
      <c r="B48" s="1"/>
      <c r="C48" s="1"/>
    </row>
    <row r="49" spans="1:3">
      <c r="A49" s="27"/>
      <c r="B49" s="1"/>
      <c r="C49" s="1"/>
    </row>
    <row r="50" spans="1:3">
      <c r="A50" s="27"/>
      <c r="B50" s="1"/>
      <c r="C50" s="1"/>
    </row>
    <row r="51" spans="1:3">
      <c r="A51" s="27"/>
      <c r="B51" s="1"/>
      <c r="C51" s="1"/>
    </row>
    <row r="52" spans="1:3">
      <c r="A52" s="27"/>
      <c r="B52" s="1"/>
      <c r="C52" s="1"/>
    </row>
    <row r="53" spans="1:3">
      <c r="A53" s="27"/>
      <c r="B53" s="1"/>
      <c r="C53" s="28"/>
    </row>
    <row r="54" spans="1:3">
      <c r="A54" s="1"/>
      <c r="B54" s="1"/>
      <c r="C54" s="1"/>
    </row>
    <row r="55" spans="1:3">
      <c r="A55" s="1"/>
      <c r="B55" s="1"/>
      <c r="C55" s="1"/>
    </row>
  </sheetData>
  <mergeCells count="1">
    <mergeCell ref="A5:D5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"/>
  <sheetViews>
    <sheetView view="pageBreakPreview" topLeftCell="A22" zoomScale="80" zoomScaleSheetLayoutView="80" workbookViewId="0">
      <selection activeCell="A11" sqref="A11"/>
    </sheetView>
  </sheetViews>
  <sheetFormatPr defaultRowHeight="12.75"/>
  <cols>
    <col min="1" max="1" width="50" style="64" bestFit="1" customWidth="1"/>
    <col min="2" max="2" width="15.85546875" style="72" bestFit="1" customWidth="1"/>
    <col min="3" max="3" width="17.42578125" style="99" bestFit="1" customWidth="1"/>
    <col min="4" max="4" width="19.85546875" style="99" bestFit="1" customWidth="1"/>
    <col min="5" max="5" width="15.85546875" style="99" bestFit="1" customWidth="1"/>
    <col min="6" max="8" width="14.140625" style="99" bestFit="1" customWidth="1"/>
    <col min="9" max="9" width="11.7109375" style="99" bestFit="1" customWidth="1"/>
    <col min="10" max="11" width="9.140625" style="99" bestFit="1" customWidth="1"/>
    <col min="12" max="12" width="13.140625" style="99" bestFit="1" customWidth="1"/>
    <col min="13" max="13" width="19.85546875" style="99" bestFit="1" customWidth="1"/>
    <col min="14" max="14" width="2.5703125" style="64" customWidth="1"/>
    <col min="15" max="15" width="17.140625" style="64" customWidth="1"/>
    <col min="16" max="16384" width="9.140625" style="64"/>
  </cols>
  <sheetData>
    <row r="1" spans="1:20" ht="18.75" thickBot="1">
      <c r="A1" s="1313" t="s">
        <v>64</v>
      </c>
      <c r="B1" s="1313"/>
      <c r="C1" s="1313"/>
      <c r="D1" s="1313"/>
      <c r="E1" s="1313"/>
      <c r="F1" s="1313"/>
      <c r="G1" s="1313"/>
      <c r="H1" s="1313"/>
      <c r="I1" s="1313"/>
      <c r="J1" s="1313"/>
      <c r="K1" s="1313"/>
      <c r="L1" s="1313"/>
      <c r="M1" s="1313"/>
    </row>
    <row r="2" spans="1:20" s="105" customFormat="1" ht="12.2" customHeight="1" thickTop="1" thickBot="1">
      <c r="A2" s="100" t="s">
        <v>188</v>
      </c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1:20" s="105" customFormat="1" ht="12.2" customHeight="1" thickTop="1">
      <c r="A3" s="73"/>
      <c r="B3" s="74"/>
      <c r="C3" s="75"/>
      <c r="D3" s="75"/>
      <c r="E3" s="76"/>
      <c r="F3" s="76"/>
      <c r="G3" s="76"/>
      <c r="H3" s="76"/>
      <c r="I3" s="76"/>
      <c r="J3" s="76"/>
      <c r="K3" s="76"/>
      <c r="L3" s="76"/>
      <c r="M3" s="96"/>
      <c r="N3" s="104"/>
      <c r="O3" s="106"/>
    </row>
    <row r="4" spans="1:20" s="105" customFormat="1" ht="12.2" customHeight="1" thickBot="1">
      <c r="A4" s="107" t="s">
        <v>1</v>
      </c>
      <c r="B4" s="78" t="s">
        <v>15</v>
      </c>
      <c r="C4" s="79">
        <v>100000</v>
      </c>
      <c r="D4" s="79">
        <v>50000</v>
      </c>
      <c r="E4" s="79">
        <v>20000</v>
      </c>
      <c r="F4" s="79">
        <v>10000</v>
      </c>
      <c r="G4" s="79">
        <v>5000</v>
      </c>
      <c r="H4" s="79">
        <v>1000</v>
      </c>
      <c r="I4" s="79">
        <v>500</v>
      </c>
      <c r="J4" s="79">
        <v>100</v>
      </c>
      <c r="K4" s="79">
        <v>50</v>
      </c>
      <c r="L4" s="79" t="s">
        <v>2</v>
      </c>
      <c r="M4" s="97" t="s">
        <v>3</v>
      </c>
      <c r="N4" s="104"/>
      <c r="O4" s="106"/>
    </row>
    <row r="5" spans="1:20" s="105" customFormat="1" ht="12.2" customHeight="1" thickTop="1">
      <c r="A5" s="80"/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98"/>
      <c r="N5" s="104"/>
      <c r="O5" s="106"/>
    </row>
    <row r="6" spans="1:20" s="105" customFormat="1" ht="12.2" customHeight="1">
      <c r="A6" s="154" t="s">
        <v>7</v>
      </c>
      <c r="B6" s="84">
        <f>'SUMMARY - WAGES PT.RJ'!Y7</f>
        <v>193</v>
      </c>
      <c r="C6" s="86">
        <f>'SUMMARY - WAGES PT.RJ'!O7</f>
        <v>0</v>
      </c>
      <c r="D6" s="86">
        <f>'SUMMARY - WAGES PT.RJ'!P7</f>
        <v>0</v>
      </c>
      <c r="E6" s="86">
        <f>'SUMMARY - WAGES PT.RJ'!Q7</f>
        <v>0</v>
      </c>
      <c r="F6" s="86">
        <f>'SUMMARY - WAGES PT.RJ'!R7</f>
        <v>0</v>
      </c>
      <c r="G6" s="86">
        <f>'SUMMARY - WAGES PT.RJ'!S7</f>
        <v>0</v>
      </c>
      <c r="H6" s="86">
        <f>'SUMMARY - WAGES PT.RJ'!T7</f>
        <v>0</v>
      </c>
      <c r="I6" s="86">
        <f>'SUMMARY - WAGES PT.RJ'!U7</f>
        <v>0</v>
      </c>
      <c r="J6" s="86">
        <f>'SUMMARY - WAGES PT.RJ'!V7</f>
        <v>0</v>
      </c>
      <c r="K6" s="86">
        <f>'SUMMARY - WAGES PT.RJ'!W7</f>
        <v>0</v>
      </c>
      <c r="L6" s="86">
        <f>'SUMMARY - WAGES PT.RJ'!X7</f>
        <v>0</v>
      </c>
      <c r="M6" s="85">
        <f>'SUMMARY - WAGES PT.RJ'!AF7</f>
        <v>901997144.41999996</v>
      </c>
      <c r="R6" s="104"/>
    </row>
    <row r="7" spans="1:20" s="105" customFormat="1" ht="12.2" customHeight="1">
      <c r="A7" s="154"/>
      <c r="B7" s="84"/>
      <c r="C7" s="86"/>
      <c r="D7" s="86"/>
      <c r="E7" s="86"/>
      <c r="F7" s="86"/>
      <c r="G7" s="86"/>
      <c r="H7" s="86"/>
      <c r="I7" s="86"/>
      <c r="J7" s="86"/>
      <c r="K7" s="86"/>
      <c r="L7" s="86"/>
      <c r="M7" s="85"/>
      <c r="R7" s="104"/>
    </row>
    <row r="8" spans="1:20" s="105" customFormat="1" ht="12.2" customHeight="1">
      <c r="A8" s="154" t="s">
        <v>8</v>
      </c>
      <c r="B8" s="84">
        <f>'SUMMARY - WAGES PT.RJ'!Y9</f>
        <v>172</v>
      </c>
      <c r="C8" s="86">
        <f>'SUMMARY - WAGES PT.RJ'!O9</f>
        <v>0</v>
      </c>
      <c r="D8" s="86">
        <f>'SUMMARY - WAGES PT.RJ'!P9</f>
        <v>0</v>
      </c>
      <c r="E8" s="86">
        <f>'SUMMARY - WAGES PT.RJ'!Q9</f>
        <v>0</v>
      </c>
      <c r="F8" s="86">
        <f>'SUMMARY - WAGES PT.RJ'!R9</f>
        <v>0</v>
      </c>
      <c r="G8" s="86">
        <f>'SUMMARY - WAGES PT.RJ'!S9</f>
        <v>0</v>
      </c>
      <c r="H8" s="86">
        <f>'SUMMARY - WAGES PT.RJ'!T9</f>
        <v>0</v>
      </c>
      <c r="I8" s="86">
        <f>'SUMMARY - WAGES PT.RJ'!U9</f>
        <v>0</v>
      </c>
      <c r="J8" s="86">
        <f>'SUMMARY - WAGES PT.RJ'!V9</f>
        <v>0</v>
      </c>
      <c r="K8" s="86">
        <f>'SUMMARY - WAGES PT.RJ'!W9</f>
        <v>0</v>
      </c>
      <c r="L8" s="86">
        <f>'SUMMARY - WAGES PT.RJ'!X9</f>
        <v>0</v>
      </c>
      <c r="M8" s="85">
        <f>'SUMMARY - WAGES PT.RJ'!AF9</f>
        <v>672210895.74000001</v>
      </c>
      <c r="R8" s="104"/>
    </row>
    <row r="9" spans="1:20" s="105" customFormat="1" ht="12.2" customHeight="1">
      <c r="A9" s="154"/>
      <c r="B9" s="84"/>
      <c r="C9" s="86"/>
      <c r="D9" s="86"/>
      <c r="E9" s="86"/>
      <c r="F9" s="86"/>
      <c r="G9" s="86"/>
      <c r="H9" s="86"/>
      <c r="I9" s="86"/>
      <c r="J9" s="86"/>
      <c r="K9" s="86"/>
      <c r="L9" s="86"/>
      <c r="M9" s="85"/>
      <c r="R9" s="104"/>
      <c r="T9" s="104"/>
    </row>
    <row r="10" spans="1:20" s="105" customFormat="1" ht="12.2" customHeight="1">
      <c r="A10" s="154" t="s">
        <v>6</v>
      </c>
      <c r="B10" s="84">
        <f>'SUMMARY - WAGES PT.RJ'!Y11</f>
        <v>176</v>
      </c>
      <c r="C10" s="86">
        <f>'SUMMARY - WAGES PT.RJ'!O11</f>
        <v>0</v>
      </c>
      <c r="D10" s="86">
        <f>'SUMMARY - WAGES PT.RJ'!P11</f>
        <v>0</v>
      </c>
      <c r="E10" s="86">
        <f>'SUMMARY - WAGES PT.RJ'!Q11</f>
        <v>0</v>
      </c>
      <c r="F10" s="86">
        <f>'SUMMARY - WAGES PT.RJ'!R11</f>
        <v>0</v>
      </c>
      <c r="G10" s="86">
        <f>'SUMMARY - WAGES PT.RJ'!S11</f>
        <v>0</v>
      </c>
      <c r="H10" s="86">
        <f>'SUMMARY - WAGES PT.RJ'!T11</f>
        <v>0</v>
      </c>
      <c r="I10" s="86">
        <f>'SUMMARY - WAGES PT.RJ'!U11</f>
        <v>0</v>
      </c>
      <c r="J10" s="86">
        <f>'SUMMARY - WAGES PT.RJ'!V11</f>
        <v>0</v>
      </c>
      <c r="K10" s="86">
        <f>'SUMMARY - WAGES PT.RJ'!W11</f>
        <v>0</v>
      </c>
      <c r="L10" s="86">
        <f>'SUMMARY - WAGES PT.RJ'!X11</f>
        <v>0</v>
      </c>
      <c r="M10" s="85">
        <f>'SUMMARY - WAGES PT.RJ'!AF11</f>
        <v>800455317.25999999</v>
      </c>
      <c r="R10" s="104"/>
    </row>
    <row r="11" spans="1:20" s="105" customFormat="1" ht="12.2" customHeight="1">
      <c r="A11" s="154"/>
      <c r="B11" s="84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5"/>
      <c r="R11" s="104"/>
    </row>
    <row r="12" spans="1:20" s="105" customFormat="1" ht="12.2" customHeight="1">
      <c r="A12" s="154" t="s">
        <v>5</v>
      </c>
      <c r="B12" s="84">
        <f>'SUMMARY - WAGES PT.RJ'!Y13</f>
        <v>125</v>
      </c>
      <c r="C12" s="86">
        <f>'SUMMARY - WAGES PT.RJ'!O13</f>
        <v>0</v>
      </c>
      <c r="D12" s="86">
        <f>'SUMMARY - WAGES PT.RJ'!P13</f>
        <v>0</v>
      </c>
      <c r="E12" s="86">
        <f>'SUMMARY - WAGES PT.RJ'!Q13</f>
        <v>0</v>
      </c>
      <c r="F12" s="86">
        <f>'SUMMARY - WAGES PT.RJ'!R13</f>
        <v>0</v>
      </c>
      <c r="G12" s="86">
        <f>'SUMMARY - WAGES PT.RJ'!S13</f>
        <v>0</v>
      </c>
      <c r="H12" s="86">
        <f>'SUMMARY - WAGES PT.RJ'!T13</f>
        <v>0</v>
      </c>
      <c r="I12" s="86">
        <f>'SUMMARY - WAGES PT.RJ'!U13</f>
        <v>0</v>
      </c>
      <c r="J12" s="86">
        <f>'SUMMARY - WAGES PT.RJ'!V13</f>
        <v>0</v>
      </c>
      <c r="K12" s="86">
        <f>'SUMMARY - WAGES PT.RJ'!W13</f>
        <v>0</v>
      </c>
      <c r="L12" s="86">
        <f>'SUMMARY - WAGES PT.RJ'!X13</f>
        <v>0</v>
      </c>
      <c r="M12" s="85">
        <f>'SUMMARY - WAGES PT.RJ'!AF13</f>
        <v>638901820.58958459</v>
      </c>
      <c r="R12" s="104"/>
    </row>
    <row r="13" spans="1:20" s="105" customFormat="1" ht="12.2" customHeight="1">
      <c r="A13" s="154"/>
      <c r="B13" s="84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5"/>
      <c r="R13" s="104"/>
    </row>
    <row r="14" spans="1:20" s="105" customFormat="1" ht="12.2" customHeight="1">
      <c r="A14" s="154" t="str">
        <f>'SUMMARY - WAGES PT.RJ'!A15</f>
        <v>DARUL MAKMUR</v>
      </c>
      <c r="B14" s="111">
        <f>'SUMMARY - WAGES PT.RJ'!Y15</f>
        <v>205</v>
      </c>
      <c r="C14" s="159">
        <f>'SUMMARY - WAGES PT.RJ'!O15</f>
        <v>0</v>
      </c>
      <c r="D14" s="159">
        <f>'SUMMARY - WAGES PT.RJ'!P15</f>
        <v>0</v>
      </c>
      <c r="E14" s="159">
        <f>'SUMMARY - WAGES PT.RJ'!Q15</f>
        <v>0</v>
      </c>
      <c r="F14" s="159">
        <f>'SUMMARY - WAGES PT.RJ'!R15</f>
        <v>0</v>
      </c>
      <c r="G14" s="159">
        <f>'SUMMARY - WAGES PT.RJ'!S15</f>
        <v>0</v>
      </c>
      <c r="H14" s="159">
        <f>'SUMMARY - WAGES PT.RJ'!T15</f>
        <v>0</v>
      </c>
      <c r="I14" s="159">
        <f>'SUMMARY - WAGES PT.RJ'!U15</f>
        <v>0</v>
      </c>
      <c r="J14" s="159">
        <f>'SUMMARY - WAGES PT.RJ'!V15</f>
        <v>0</v>
      </c>
      <c r="K14" s="159">
        <f>'SUMMARY - WAGES PT.RJ'!W15</f>
        <v>0</v>
      </c>
      <c r="L14" s="146">
        <f>'SUMMARY - WAGES PT.RJ'!X15</f>
        <v>0</v>
      </c>
      <c r="M14" s="85">
        <f>'SUMMARY - WAGES PT.RJ'!AF15</f>
        <v>948183177.39999998</v>
      </c>
      <c r="R14" s="104"/>
    </row>
    <row r="15" spans="1:20" s="105" customFormat="1" ht="12.2" customHeight="1">
      <c r="A15" s="154"/>
      <c r="B15" s="84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5"/>
      <c r="R15" s="104"/>
    </row>
    <row r="16" spans="1:20" s="105" customFormat="1" ht="12.2" customHeight="1">
      <c r="A16" s="154" t="s">
        <v>44</v>
      </c>
      <c r="B16" s="84">
        <f>'SUMMARY - WAGES PT.RJ'!Y17</f>
        <v>14</v>
      </c>
      <c r="C16" s="86">
        <f>'SUMMARY - WAGES PT.RJ'!O17</f>
        <v>0</v>
      </c>
      <c r="D16" s="86">
        <f>'SUMMARY - WAGES PT.RJ'!P17</f>
        <v>0</v>
      </c>
      <c r="E16" s="86">
        <f>'SUMMARY - WAGES PT.RJ'!Q17</f>
        <v>0</v>
      </c>
      <c r="F16" s="86">
        <f>'SUMMARY - WAGES PT.RJ'!R17</f>
        <v>0</v>
      </c>
      <c r="G16" s="86">
        <f>'SUMMARY - WAGES PT.RJ'!S17</f>
        <v>0</v>
      </c>
      <c r="H16" s="86">
        <f>'SUMMARY - WAGES PT.RJ'!T17</f>
        <v>0</v>
      </c>
      <c r="I16" s="86">
        <f>'SUMMARY - WAGES PT.RJ'!U17</f>
        <v>0</v>
      </c>
      <c r="J16" s="86">
        <f>'SUMMARY - WAGES PT.RJ'!V17</f>
        <v>0</v>
      </c>
      <c r="K16" s="86">
        <f>'SUMMARY - WAGES PT.RJ'!W17</f>
        <v>0</v>
      </c>
      <c r="L16" s="86">
        <f>'SUMMARY - WAGES PT.RJ'!X17</f>
        <v>0</v>
      </c>
      <c r="M16" s="85">
        <f>'SUMMARY - WAGES PT.RJ'!AF17</f>
        <v>80279506</v>
      </c>
      <c r="R16" s="104"/>
    </row>
    <row r="17" spans="1:18" s="105" customFormat="1" ht="12.2" customHeight="1">
      <c r="A17" s="154"/>
      <c r="B17" s="84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5"/>
      <c r="R17" s="104"/>
    </row>
    <row r="18" spans="1:18" s="105" customFormat="1" ht="12.2" customHeight="1">
      <c r="A18" s="154" t="s">
        <v>30</v>
      </c>
      <c r="B18" s="84">
        <f>'SUMMARY - WAGES PT.RJ'!Y19</f>
        <v>29</v>
      </c>
      <c r="C18" s="86">
        <f>'SUMMARY - WAGES PT.RJ'!O19</f>
        <v>0</v>
      </c>
      <c r="D18" s="86">
        <f>'SUMMARY - WAGES PT.RJ'!P19</f>
        <v>0</v>
      </c>
      <c r="E18" s="86">
        <f>'SUMMARY - WAGES PT.RJ'!Q19</f>
        <v>0</v>
      </c>
      <c r="F18" s="86">
        <f>'SUMMARY - WAGES PT.RJ'!R19</f>
        <v>0</v>
      </c>
      <c r="G18" s="86">
        <f>'SUMMARY - WAGES PT.RJ'!S19</f>
        <v>0</v>
      </c>
      <c r="H18" s="86">
        <f>'SUMMARY - WAGES PT.RJ'!T19</f>
        <v>0</v>
      </c>
      <c r="I18" s="86">
        <f>'SUMMARY - WAGES PT.RJ'!U19</f>
        <v>0</v>
      </c>
      <c r="J18" s="86">
        <f>'SUMMARY - WAGES PT.RJ'!V19</f>
        <v>0</v>
      </c>
      <c r="K18" s="86">
        <f>'SUMMARY - WAGES PT.RJ'!W19</f>
        <v>0</v>
      </c>
      <c r="L18" s="86">
        <f>'SUMMARY - WAGES PT.RJ'!X19</f>
        <v>0</v>
      </c>
      <c r="M18" s="85">
        <f>'SUMMARY - WAGES PT.RJ'!AF19</f>
        <v>163108145</v>
      </c>
      <c r="R18" s="104"/>
    </row>
    <row r="19" spans="1:18" s="105" customFormat="1" ht="12.2" customHeight="1">
      <c r="A19" s="155"/>
      <c r="B19" s="84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85"/>
      <c r="R19" s="104"/>
    </row>
    <row r="20" spans="1:18" s="105" customFormat="1" ht="12.2" customHeight="1">
      <c r="A20" s="154" t="s">
        <v>55</v>
      </c>
      <c r="B20" s="84">
        <f>'SUMMARY - WAGES PT.RJ'!Y23</f>
        <v>167</v>
      </c>
      <c r="C20" s="86">
        <v>0</v>
      </c>
      <c r="D20" s="86">
        <v>0</v>
      </c>
      <c r="E20" s="86">
        <v>0</v>
      </c>
      <c r="F20" s="86">
        <v>0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5" t="e">
        <f>#REF!</f>
        <v>#REF!</v>
      </c>
      <c r="R20" s="104"/>
    </row>
    <row r="21" spans="1:18" s="105" customFormat="1" ht="12.2" customHeight="1" thickBot="1">
      <c r="A21" s="156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3"/>
      <c r="R21" s="104"/>
    </row>
    <row r="22" spans="1:18" s="105" customFormat="1" ht="12.2" customHeight="1" thickTop="1" thickBot="1">
      <c r="A22" s="188" t="s">
        <v>4</v>
      </c>
      <c r="B22" s="92">
        <f>SUM(B5:B21)</f>
        <v>1081</v>
      </c>
      <c r="C22" s="150">
        <f t="shared" ref="C22:M22" si="0">SUM(C5:C21)</f>
        <v>0</v>
      </c>
      <c r="D22" s="150">
        <f t="shared" si="0"/>
        <v>0</v>
      </c>
      <c r="E22" s="150">
        <f t="shared" si="0"/>
        <v>0</v>
      </c>
      <c r="F22" s="150">
        <f t="shared" si="0"/>
        <v>0</v>
      </c>
      <c r="G22" s="150">
        <f t="shared" si="0"/>
        <v>0</v>
      </c>
      <c r="H22" s="150">
        <f t="shared" si="0"/>
        <v>0</v>
      </c>
      <c r="I22" s="150">
        <f t="shared" si="0"/>
        <v>0</v>
      </c>
      <c r="J22" s="150">
        <f t="shared" si="0"/>
        <v>0</v>
      </c>
      <c r="K22" s="150">
        <f t="shared" si="0"/>
        <v>0</v>
      </c>
      <c r="L22" s="150">
        <f t="shared" si="0"/>
        <v>0</v>
      </c>
      <c r="M22" s="145" t="e">
        <f t="shared" si="0"/>
        <v>#REF!</v>
      </c>
      <c r="R22" s="104"/>
    </row>
    <row r="23" spans="1:18" s="105" customFormat="1" ht="12.2" customHeight="1" thickTop="1">
      <c r="A23" s="157"/>
      <c r="B23" s="134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17"/>
      <c r="R23" s="104"/>
    </row>
    <row r="24" spans="1:18" s="105" customFormat="1" ht="12.2" customHeight="1">
      <c r="A24" s="154" t="str">
        <f>'SUMMARY - WAGES PT.RJ'!A29</f>
        <v>ARE - A</v>
      </c>
      <c r="B24" s="111">
        <f>'SUMMARY - WAGES PT.RJ'!Y29</f>
        <v>140</v>
      </c>
      <c r="C24" s="159">
        <f>'SUMMARY - WAGES PT.RJ'!O29</f>
        <v>0</v>
      </c>
      <c r="D24" s="159">
        <f>'SUMMARY - WAGES PT.RJ'!P29</f>
        <v>0</v>
      </c>
      <c r="E24" s="159">
        <f>'SUMMARY - WAGES PT.RJ'!Q29</f>
        <v>0</v>
      </c>
      <c r="F24" s="159">
        <f>'SUMMARY - WAGES PT.RJ'!R29</f>
        <v>0</v>
      </c>
      <c r="G24" s="159">
        <f>'SUMMARY - WAGES PT.RJ'!S29</f>
        <v>0</v>
      </c>
      <c r="H24" s="159">
        <f>'SUMMARY - WAGES PT.RJ'!T29</f>
        <v>0</v>
      </c>
      <c r="I24" s="159">
        <f>'SUMMARY - WAGES PT.RJ'!U29</f>
        <v>0</v>
      </c>
      <c r="J24" s="159">
        <f>'SUMMARY - WAGES PT.RJ'!V29</f>
        <v>0</v>
      </c>
      <c r="K24" s="159">
        <f>'SUMMARY - WAGES PT.RJ'!W29</f>
        <v>0</v>
      </c>
      <c r="L24" s="159">
        <f>'SUMMARY - WAGES PT.RJ'!X29</f>
        <v>0</v>
      </c>
      <c r="M24" s="85">
        <f>'SUMMARY - WAGES PT.RJ'!AF29</f>
        <v>666076416.74713492</v>
      </c>
      <c r="R24" s="104"/>
    </row>
    <row r="25" spans="1:18" s="105" customFormat="1" ht="12.2" customHeight="1">
      <c r="A25" s="154"/>
      <c r="B25" s="84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85"/>
      <c r="R25" s="104"/>
    </row>
    <row r="26" spans="1:18" s="105" customFormat="1" ht="12.2" customHeight="1">
      <c r="A26" s="154" t="str">
        <f>'SUMMARY - WAGES PT.RJ'!A31</f>
        <v>ARE - B1</v>
      </c>
      <c r="B26" s="111">
        <f>'SUMMARY - WAGES PT.RJ'!Y31</f>
        <v>139</v>
      </c>
      <c r="C26" s="159">
        <f>'SUMMARY - WAGES PT.RJ'!O31</f>
        <v>0</v>
      </c>
      <c r="D26" s="159">
        <f>'SUMMARY - WAGES PT.RJ'!P31</f>
        <v>0</v>
      </c>
      <c r="E26" s="159">
        <f>'SUMMARY - WAGES PT.RJ'!Q31</f>
        <v>0</v>
      </c>
      <c r="F26" s="159">
        <f>'SUMMARY - WAGES PT.RJ'!R31</f>
        <v>0</v>
      </c>
      <c r="G26" s="159">
        <f>'SUMMARY - WAGES PT.RJ'!S31</f>
        <v>0</v>
      </c>
      <c r="H26" s="159">
        <f>'SUMMARY - WAGES PT.RJ'!T31</f>
        <v>0</v>
      </c>
      <c r="I26" s="159">
        <f>'SUMMARY - WAGES PT.RJ'!U31</f>
        <v>0</v>
      </c>
      <c r="J26" s="159">
        <f>'SUMMARY - WAGES PT.RJ'!V31</f>
        <v>0</v>
      </c>
      <c r="K26" s="159">
        <f>'SUMMARY - WAGES PT.RJ'!W31</f>
        <v>0</v>
      </c>
      <c r="L26" s="159">
        <f>'SUMMARY - WAGES PT.RJ'!X31</f>
        <v>0</v>
      </c>
      <c r="M26" s="85">
        <f>'SUMMARY - WAGES PT.RJ'!AF31</f>
        <v>668699821</v>
      </c>
      <c r="R26" s="104"/>
    </row>
    <row r="27" spans="1:18" s="105" customFormat="1" ht="12.2" customHeight="1">
      <c r="A27" s="154"/>
      <c r="B27" s="84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85"/>
      <c r="R27" s="104"/>
    </row>
    <row r="28" spans="1:18" s="105" customFormat="1" ht="12.2" customHeight="1">
      <c r="A28" s="154" t="str">
        <f>'SUMMARY - WAGES PT.RJ'!A33</f>
        <v>ARE - B2</v>
      </c>
      <c r="B28" s="111">
        <f>'SUMMARY - WAGES PT.RJ'!Y33</f>
        <v>124</v>
      </c>
      <c r="C28" s="159">
        <f>'SUMMARY - WAGES PT.RJ'!O33</f>
        <v>0</v>
      </c>
      <c r="D28" s="159">
        <f>'SUMMARY - WAGES PT.RJ'!P33</f>
        <v>0</v>
      </c>
      <c r="E28" s="159">
        <f>'SUMMARY - WAGES PT.RJ'!Q33</f>
        <v>0</v>
      </c>
      <c r="F28" s="159">
        <f>'SUMMARY - WAGES PT.RJ'!R33</f>
        <v>0</v>
      </c>
      <c r="G28" s="159">
        <f>'SUMMARY - WAGES PT.RJ'!S33</f>
        <v>0</v>
      </c>
      <c r="H28" s="159">
        <f>'SUMMARY - WAGES PT.RJ'!T33</f>
        <v>0</v>
      </c>
      <c r="I28" s="159">
        <f>'SUMMARY - WAGES PT.RJ'!U33</f>
        <v>0</v>
      </c>
      <c r="J28" s="159">
        <f>'SUMMARY - WAGES PT.RJ'!V33</f>
        <v>0</v>
      </c>
      <c r="K28" s="159">
        <f>'SUMMARY - WAGES PT.RJ'!W33</f>
        <v>0</v>
      </c>
      <c r="L28" s="159">
        <f>'SUMMARY - WAGES PT.RJ'!X33</f>
        <v>0</v>
      </c>
      <c r="M28" s="85">
        <f>'SUMMARY - WAGES PT.RJ'!AF33</f>
        <v>622111088</v>
      </c>
      <c r="R28" s="104"/>
    </row>
    <row r="29" spans="1:18" s="105" customFormat="1" ht="12.2" customHeight="1">
      <c r="A29" s="154"/>
      <c r="B29" s="84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85"/>
      <c r="R29" s="104"/>
    </row>
    <row r="30" spans="1:18" s="105" customFormat="1" ht="12.2" customHeight="1">
      <c r="A30" s="154" t="str">
        <f>'SUMMARY - WAGES PT.RJ'!A35</f>
        <v>ARE - C</v>
      </c>
      <c r="B30" s="111">
        <f>'SUMMARY - WAGES PT.RJ'!Y35</f>
        <v>260</v>
      </c>
      <c r="C30" s="159">
        <f>'SUMMARY - WAGES PT.RJ'!O35</f>
        <v>0</v>
      </c>
      <c r="D30" s="159">
        <f>'SUMMARY - WAGES PT.RJ'!P35</f>
        <v>0</v>
      </c>
      <c r="E30" s="159">
        <f>'SUMMARY - WAGES PT.RJ'!Q35</f>
        <v>0</v>
      </c>
      <c r="F30" s="159">
        <f>'SUMMARY - WAGES PT.RJ'!R35</f>
        <v>0</v>
      </c>
      <c r="G30" s="159">
        <f>'SUMMARY - WAGES PT.RJ'!S35</f>
        <v>0</v>
      </c>
      <c r="H30" s="159">
        <f>'SUMMARY - WAGES PT.RJ'!T35</f>
        <v>0</v>
      </c>
      <c r="I30" s="159">
        <f>'SUMMARY - WAGES PT.RJ'!U35</f>
        <v>0</v>
      </c>
      <c r="J30" s="159">
        <f>'SUMMARY - WAGES PT.RJ'!V35</f>
        <v>0</v>
      </c>
      <c r="K30" s="159">
        <f>'SUMMARY - WAGES PT.RJ'!W35</f>
        <v>0</v>
      </c>
      <c r="L30" s="159">
        <f>'SUMMARY - WAGES PT.RJ'!X35</f>
        <v>0</v>
      </c>
      <c r="M30" s="85">
        <f>'SUMMARY - WAGES PT.RJ'!AF35</f>
        <v>1292709179.0800002</v>
      </c>
      <c r="R30" s="104"/>
    </row>
    <row r="31" spans="1:18" s="105" customFormat="1" ht="12.2" customHeight="1">
      <c r="A31" s="154"/>
      <c r="B31" s="84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85"/>
      <c r="R31" s="104"/>
    </row>
    <row r="32" spans="1:18" s="105" customFormat="1" ht="12.2" customHeight="1">
      <c r="A32" s="154" t="str">
        <f>'SUMMARY - WAGES PT.RJ'!A37</f>
        <v>WORKSHOP ARE</v>
      </c>
      <c r="B32" s="111">
        <f>'SUMMARY - WAGES PT.RJ'!Y37</f>
        <v>5</v>
      </c>
      <c r="C32" s="159">
        <f>'SUMMARY - WAGES PT.RJ'!O37</f>
        <v>0</v>
      </c>
      <c r="D32" s="159">
        <f>'SUMMARY - WAGES PT.RJ'!P37</f>
        <v>0</v>
      </c>
      <c r="E32" s="159">
        <f>'SUMMARY - WAGES PT.RJ'!Q37</f>
        <v>0</v>
      </c>
      <c r="F32" s="159">
        <f>'SUMMARY - WAGES PT.RJ'!R37</f>
        <v>0</v>
      </c>
      <c r="G32" s="159">
        <f>'SUMMARY - WAGES PT.RJ'!S37</f>
        <v>0</v>
      </c>
      <c r="H32" s="159">
        <f>'SUMMARY - WAGES PT.RJ'!T37</f>
        <v>0</v>
      </c>
      <c r="I32" s="159">
        <f>'SUMMARY - WAGES PT.RJ'!U37</f>
        <v>0</v>
      </c>
      <c r="J32" s="159">
        <f>'SUMMARY - WAGES PT.RJ'!V37</f>
        <v>0</v>
      </c>
      <c r="K32" s="159">
        <f>'SUMMARY - WAGES PT.RJ'!W37</f>
        <v>0</v>
      </c>
      <c r="L32" s="159">
        <f>'SUMMARY - WAGES PT.RJ'!X37</f>
        <v>0</v>
      </c>
      <c r="M32" s="85">
        <f>'SUMMARY - WAGES PT.RJ'!AF37</f>
        <v>26805912</v>
      </c>
      <c r="R32" s="104"/>
    </row>
    <row r="33" spans="1:18" s="105" customFormat="1" ht="12.2" customHeight="1">
      <c r="A33" s="154"/>
      <c r="B33" s="84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85"/>
      <c r="R33" s="104"/>
    </row>
    <row r="34" spans="1:18" s="105" customFormat="1" ht="12.2" customHeight="1" thickBot="1">
      <c r="A34" s="158"/>
      <c r="B34" s="110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97"/>
      <c r="R34" s="104"/>
    </row>
    <row r="35" spans="1:18" s="105" customFormat="1" ht="12.2" customHeight="1" thickTop="1" thickBot="1">
      <c r="A35" s="91" t="s">
        <v>4</v>
      </c>
      <c r="B35" s="92">
        <f>SUM(B22:B34)</f>
        <v>1749</v>
      </c>
      <c r="C35" s="150">
        <f t="shared" ref="C35:L35" si="1">SUM(C22:C34)</f>
        <v>0</v>
      </c>
      <c r="D35" s="150">
        <f t="shared" si="1"/>
        <v>0</v>
      </c>
      <c r="E35" s="150">
        <f t="shared" si="1"/>
        <v>0</v>
      </c>
      <c r="F35" s="150">
        <f t="shared" si="1"/>
        <v>0</v>
      </c>
      <c r="G35" s="150">
        <f t="shared" si="1"/>
        <v>0</v>
      </c>
      <c r="H35" s="150">
        <f t="shared" si="1"/>
        <v>0</v>
      </c>
      <c r="I35" s="150">
        <f t="shared" si="1"/>
        <v>0</v>
      </c>
      <c r="J35" s="150">
        <f t="shared" si="1"/>
        <v>0</v>
      </c>
      <c r="K35" s="150">
        <f t="shared" si="1"/>
        <v>0</v>
      </c>
      <c r="L35" s="150">
        <f t="shared" si="1"/>
        <v>0</v>
      </c>
      <c r="M35" s="145" t="e">
        <f>SUM(M22:M34)</f>
        <v>#REF!</v>
      </c>
      <c r="R35" s="104"/>
    </row>
    <row r="36" spans="1:18" s="105" customFormat="1" ht="12.2" customHeight="1" thickTop="1">
      <c r="A36" s="190"/>
      <c r="B36" s="191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96"/>
      <c r="R36" s="104"/>
    </row>
    <row r="37" spans="1:18" s="105" customFormat="1" ht="12.2" customHeight="1">
      <c r="A37" s="83" t="s">
        <v>56</v>
      </c>
      <c r="B37" s="84" t="e">
        <f>+'SUMMARY - WAGES PT.RJ'!#REF!</f>
        <v>#REF!</v>
      </c>
      <c r="C37" s="86" t="e">
        <f>#REF!</f>
        <v>#REF!</v>
      </c>
      <c r="D37" s="86" t="e">
        <f>+'SUMMARY - WAGES PT.RJ'!#REF!</f>
        <v>#REF!</v>
      </c>
      <c r="E37" s="86" t="e">
        <f>+'SUMMARY - WAGES PT.RJ'!#REF!</f>
        <v>#REF!</v>
      </c>
      <c r="F37" s="86" t="e">
        <f>+'SUMMARY - WAGES PT.RJ'!#REF!</f>
        <v>#REF!</v>
      </c>
      <c r="G37" s="86" t="e">
        <f>+'SUMMARY - WAGES PT.RJ'!#REF!</f>
        <v>#REF!</v>
      </c>
      <c r="H37" s="86" t="e">
        <f>+'SUMMARY - WAGES PT.RJ'!#REF!</f>
        <v>#REF!</v>
      </c>
      <c r="I37" s="86" t="e">
        <f>+'SUMMARY - WAGES PT.RJ'!#REF!</f>
        <v>#REF!</v>
      </c>
      <c r="J37" s="86" t="e">
        <f>+'SUMMARY - WAGES PT.RJ'!#REF!</f>
        <v>#REF!</v>
      </c>
      <c r="K37" s="86" t="e">
        <f>+'SUMMARY - WAGES PT.RJ'!#REF!</f>
        <v>#REF!</v>
      </c>
      <c r="L37" s="86" t="e">
        <f>+'SUMMARY - WAGES PT.RJ'!#REF!</f>
        <v>#REF!</v>
      </c>
      <c r="M37" s="85" t="e">
        <f>'SUMMARY - WAGES PT.RJ'!#REF!</f>
        <v>#REF!</v>
      </c>
      <c r="R37" s="104"/>
    </row>
    <row r="38" spans="1:18" s="105" customFormat="1" ht="12.2" customHeight="1" thickBot="1">
      <c r="A38" s="108"/>
      <c r="B38" s="112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13"/>
      <c r="R38" s="104"/>
    </row>
    <row r="39" spans="1:18" s="105" customFormat="1" ht="12.2" customHeight="1" thickBot="1">
      <c r="A39" s="135" t="s">
        <v>10</v>
      </c>
      <c r="B39" s="136" t="e">
        <f>+B35+B37</f>
        <v>#REF!</v>
      </c>
      <c r="C39" s="199" t="e">
        <f t="shared" ref="C39:L39" si="2">+C35+C37</f>
        <v>#REF!</v>
      </c>
      <c r="D39" s="199" t="e">
        <f t="shared" si="2"/>
        <v>#REF!</v>
      </c>
      <c r="E39" s="199" t="e">
        <f t="shared" si="2"/>
        <v>#REF!</v>
      </c>
      <c r="F39" s="199" t="e">
        <f t="shared" si="2"/>
        <v>#REF!</v>
      </c>
      <c r="G39" s="199" t="e">
        <f t="shared" si="2"/>
        <v>#REF!</v>
      </c>
      <c r="H39" s="199" t="e">
        <f t="shared" si="2"/>
        <v>#REF!</v>
      </c>
      <c r="I39" s="199" t="e">
        <f t="shared" si="2"/>
        <v>#REF!</v>
      </c>
      <c r="J39" s="199" t="e">
        <f t="shared" si="2"/>
        <v>#REF!</v>
      </c>
      <c r="K39" s="199" t="e">
        <f t="shared" si="2"/>
        <v>#REF!</v>
      </c>
      <c r="L39" s="199" t="e">
        <f t="shared" si="2"/>
        <v>#REF!</v>
      </c>
      <c r="M39" s="137" t="e">
        <f>+M35+M37</f>
        <v>#REF!</v>
      </c>
      <c r="R39" s="104"/>
    </row>
    <row r="40" spans="1:18" s="105" customFormat="1" ht="12.2" customHeight="1" thickBot="1">
      <c r="A40" s="143"/>
      <c r="B40" s="131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R40" s="104"/>
    </row>
    <row r="41" spans="1:18" s="105" customFormat="1" ht="12.2" customHeight="1" thickTop="1" thickBot="1">
      <c r="A41" s="100" t="str">
        <f>'SUMMARY - CASH PG &amp; ARE'!A1</f>
        <v>PT. REBINMAS JAYA CASH DENOMINATION JUNI 2018</v>
      </c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70"/>
      <c r="R41" s="104"/>
    </row>
    <row r="42" spans="1:18" s="105" customFormat="1" ht="12.2" customHeight="1" thickTop="1">
      <c r="A42" s="83"/>
      <c r="B42" s="111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85"/>
      <c r="R42" s="104"/>
    </row>
    <row r="43" spans="1:18" s="105" customFormat="1" ht="12.2" customHeight="1">
      <c r="A43" s="114" t="s">
        <v>32</v>
      </c>
      <c r="B43" s="115" t="e">
        <f>'SUMMARY - CASH PG &amp; ARE'!B6</f>
        <v>#REF!</v>
      </c>
      <c r="C43" s="118" t="e">
        <f>'SUMMARY - CASH PG &amp; ARE'!C6</f>
        <v>#REF!</v>
      </c>
      <c r="D43" s="116" t="e">
        <f>'SUMMARY - CASH PG &amp; ARE'!D6</f>
        <v>#REF!</v>
      </c>
      <c r="E43" s="116" t="e">
        <f>'SUMMARY - CASH PG &amp; ARE'!E6</f>
        <v>#REF!</v>
      </c>
      <c r="F43" s="118" t="e">
        <f>'SUMMARY - CASH PG &amp; ARE'!F6</f>
        <v>#REF!</v>
      </c>
      <c r="G43" s="118" t="e">
        <f>'SUMMARY - CASH PG &amp; ARE'!G6</f>
        <v>#REF!</v>
      </c>
      <c r="H43" s="118" t="e">
        <f>'SUMMARY - CASH PG &amp; ARE'!H6</f>
        <v>#REF!</v>
      </c>
      <c r="I43" s="118" t="e">
        <f>'SUMMARY - CASH PG &amp; ARE'!#REF!</f>
        <v>#REF!</v>
      </c>
      <c r="J43" s="118" t="e">
        <f>'SUMMARY - CASH PG &amp; ARE'!#REF!</f>
        <v>#REF!</v>
      </c>
      <c r="K43" s="118" t="e">
        <f>'SUMMARY - CASH PG &amp; ARE'!#REF!</f>
        <v>#REF!</v>
      </c>
      <c r="L43" s="118" t="e">
        <f>'SUMMARY - CASH PG &amp; ARE'!I6</f>
        <v>#REF!</v>
      </c>
      <c r="M43" s="85" t="e">
        <f>SUM(C43:L43)</f>
        <v>#REF!</v>
      </c>
      <c r="R43" s="104"/>
    </row>
    <row r="44" spans="1:18" s="105" customFormat="1" ht="12.2" customHeight="1">
      <c r="A44" s="114"/>
      <c r="B44" s="115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85"/>
      <c r="R44" s="104"/>
    </row>
    <row r="45" spans="1:18" s="105" customFormat="1" ht="12.2" customHeight="1">
      <c r="A45" s="83" t="s">
        <v>35</v>
      </c>
      <c r="B45" s="84" t="e">
        <f>'SUMMARY - CASH PG &amp; ARE'!B8</f>
        <v>#REF!</v>
      </c>
      <c r="C45" s="86">
        <f>'SUMMARY - CASH PG &amp; ARE'!C8</f>
        <v>13400000</v>
      </c>
      <c r="D45" s="86" t="e">
        <f>'SUMMARY - CASH PG &amp; ARE'!D8</f>
        <v>#REF!</v>
      </c>
      <c r="E45" s="86">
        <f>'SUMMARY - CASH PG &amp; ARE'!E8</f>
        <v>840000</v>
      </c>
      <c r="F45" s="86">
        <f>'SUMMARY - CASH PG &amp; ARE'!F8</f>
        <v>500000</v>
      </c>
      <c r="G45" s="86" t="e">
        <f>'SUMMARY - CASH PG &amp; ARE'!G8</f>
        <v>#REF!</v>
      </c>
      <c r="H45" s="86" t="e">
        <f>'SUMMARY - CASH PG &amp; ARE'!H8</f>
        <v>#REF!</v>
      </c>
      <c r="I45" s="86" t="e">
        <f>'SUMMARY - CASH PG &amp; ARE'!#REF!</f>
        <v>#REF!</v>
      </c>
      <c r="J45" s="86" t="e">
        <f>'SUMMARY - CASH PG &amp; ARE'!#REF!</f>
        <v>#REF!</v>
      </c>
      <c r="K45" s="86" t="e">
        <f>'SUMMARY - CASH PG &amp; ARE'!#REF!</f>
        <v>#REF!</v>
      </c>
      <c r="L45" s="86">
        <f>'SUMMARY - CASH PG &amp; ARE'!I8</f>
        <v>29180</v>
      </c>
      <c r="M45" s="85" t="e">
        <f t="shared" ref="M45:M55" si="3">SUM(C45:L45)</f>
        <v>#REF!</v>
      </c>
      <c r="N45" s="119"/>
      <c r="O45" s="104"/>
      <c r="R45" s="104"/>
    </row>
    <row r="46" spans="1:18" s="105" customFormat="1" ht="12.2" customHeight="1">
      <c r="A46" s="83"/>
      <c r="B46" s="84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5"/>
      <c r="N46" s="119"/>
      <c r="O46" s="104"/>
      <c r="R46" s="104"/>
    </row>
    <row r="47" spans="1:18" s="105" customFormat="1" ht="12.2" customHeight="1">
      <c r="A47" s="83" t="s">
        <v>36</v>
      </c>
      <c r="B47" s="84" t="e">
        <f>'SUMMARY - CASH PG &amp; ARE'!B10</f>
        <v>#REF!</v>
      </c>
      <c r="C47" s="86" t="e">
        <f>'SUMMARY - CASH PG &amp; ARE'!C10</f>
        <v>#REF!</v>
      </c>
      <c r="D47" s="86" t="e">
        <f>'SUMMARY - CASH PG &amp; ARE'!D10</f>
        <v>#REF!</v>
      </c>
      <c r="E47" s="86" t="e">
        <f>'SUMMARY - CASH PG &amp; ARE'!E10</f>
        <v>#REF!</v>
      </c>
      <c r="F47" s="86" t="e">
        <f>'SUMMARY - CASH PG &amp; ARE'!F10</f>
        <v>#REF!</v>
      </c>
      <c r="G47" s="86" t="e">
        <f>'SUMMARY - CASH PG &amp; ARE'!G10</f>
        <v>#REF!</v>
      </c>
      <c r="H47" s="86" t="e">
        <f>'SUMMARY - CASH PG &amp; ARE'!H10</f>
        <v>#REF!</v>
      </c>
      <c r="I47" s="86" t="e">
        <f>'SUMMARY - CASH PG &amp; ARE'!#REF!</f>
        <v>#REF!</v>
      </c>
      <c r="J47" s="86" t="e">
        <f>'SUMMARY - CASH PG &amp; ARE'!#REF!</f>
        <v>#REF!</v>
      </c>
      <c r="K47" s="86" t="e">
        <f>'SUMMARY - CASH PG &amp; ARE'!#REF!</f>
        <v>#REF!</v>
      </c>
      <c r="L47" s="86" t="e">
        <f>'SUMMARY - CASH PG &amp; ARE'!I10</f>
        <v>#REF!</v>
      </c>
      <c r="M47" s="85" t="e">
        <f t="shared" si="3"/>
        <v>#REF!</v>
      </c>
    </row>
    <row r="48" spans="1:18" s="105" customFormat="1" ht="12.2" customHeight="1">
      <c r="A48" s="83"/>
      <c r="B48" s="84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5"/>
      <c r="R48" s="104"/>
    </row>
    <row r="49" spans="1:20" s="105" customFormat="1" ht="12.2" customHeight="1">
      <c r="A49" s="83" t="s">
        <v>41</v>
      </c>
      <c r="B49" s="84" t="e">
        <f>'SUMMARY - CASH PG &amp; ARE'!B12</f>
        <v>#REF!</v>
      </c>
      <c r="C49" s="86" t="e">
        <f>'SUMMARY - CASH PG &amp; ARE'!C12</f>
        <v>#REF!</v>
      </c>
      <c r="D49" s="86" t="e">
        <f>'SUMMARY - CASH PG &amp; ARE'!D12</f>
        <v>#REF!</v>
      </c>
      <c r="E49" s="86" t="e">
        <f>'SUMMARY - CASH PG &amp; ARE'!E12</f>
        <v>#REF!</v>
      </c>
      <c r="F49" s="86" t="e">
        <f>'SUMMARY - CASH PG &amp; ARE'!F12</f>
        <v>#REF!</v>
      </c>
      <c r="G49" s="86" t="e">
        <f>'SUMMARY - CASH PG &amp; ARE'!G12</f>
        <v>#REF!</v>
      </c>
      <c r="H49" s="86" t="e">
        <f>'SUMMARY - CASH PG &amp; ARE'!H12</f>
        <v>#REF!</v>
      </c>
      <c r="I49" s="86" t="e">
        <f>'SUMMARY - CASH PG &amp; ARE'!#REF!</f>
        <v>#REF!</v>
      </c>
      <c r="J49" s="86" t="e">
        <f>'SUMMARY - CASH PG &amp; ARE'!#REF!</f>
        <v>#REF!</v>
      </c>
      <c r="K49" s="86" t="e">
        <f>'SUMMARY - CASH PG &amp; ARE'!#REF!</f>
        <v>#REF!</v>
      </c>
      <c r="L49" s="86" t="e">
        <f>'SUMMARY - CASH PG &amp; ARE'!I12</f>
        <v>#REF!</v>
      </c>
      <c r="M49" s="85" t="e">
        <f t="shared" si="3"/>
        <v>#REF!</v>
      </c>
      <c r="N49" s="119"/>
      <c r="O49" s="104"/>
      <c r="R49" s="104"/>
    </row>
    <row r="50" spans="1:20" s="105" customFormat="1" ht="12.2" customHeight="1">
      <c r="A50" s="83"/>
      <c r="B50" s="84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5"/>
      <c r="N50" s="119"/>
      <c r="O50" s="104"/>
      <c r="R50" s="104"/>
    </row>
    <row r="51" spans="1:20" s="105" customFormat="1" ht="12.2" hidden="1" customHeight="1">
      <c r="A51" s="192" t="s">
        <v>78</v>
      </c>
      <c r="B51" s="193" t="e">
        <f>#REF!</f>
        <v>#REF!</v>
      </c>
      <c r="C51" s="194" t="e">
        <f>#REF!</f>
        <v>#REF!</v>
      </c>
      <c r="D51" s="194" t="e">
        <f>#REF!</f>
        <v>#REF!</v>
      </c>
      <c r="E51" s="194" t="e">
        <f>#REF!</f>
        <v>#REF!</v>
      </c>
      <c r="F51" s="194" t="e">
        <f>#REF!</f>
        <v>#REF!</v>
      </c>
      <c r="G51" s="194" t="e">
        <f>#REF!</f>
        <v>#REF!</v>
      </c>
      <c r="H51" s="194" t="e">
        <f>#REF!</f>
        <v>#REF!</v>
      </c>
      <c r="I51" s="194" t="e">
        <f>#REF!</f>
        <v>#REF!</v>
      </c>
      <c r="J51" s="194" t="e">
        <f>#REF!</f>
        <v>#REF!</v>
      </c>
      <c r="K51" s="194" t="e">
        <f>#REF!</f>
        <v>#REF!</v>
      </c>
      <c r="L51" s="194" t="e">
        <f>#REF!</f>
        <v>#REF!</v>
      </c>
      <c r="M51" s="195" t="e">
        <f>SUM(C51:L51)</f>
        <v>#REF!</v>
      </c>
      <c r="N51" s="119"/>
      <c r="O51" s="104"/>
      <c r="R51" s="104"/>
    </row>
    <row r="52" spans="1:20" s="105" customFormat="1" ht="12.2" customHeight="1">
      <c r="A52" s="83"/>
      <c r="B52" s="84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5"/>
      <c r="N52" s="119"/>
      <c r="O52" s="104"/>
      <c r="R52" s="104"/>
    </row>
    <row r="53" spans="1:20" s="105" customFormat="1" ht="12.2" customHeight="1">
      <c r="A53" s="83" t="s">
        <v>37</v>
      </c>
      <c r="B53" s="84" t="e">
        <f>'SUMMARY - CASH PG &amp; ARE'!B14</f>
        <v>#REF!</v>
      </c>
      <c r="C53" s="86" t="e">
        <f>'SUMMARY - CASH PG &amp; ARE'!C14</f>
        <v>#REF!</v>
      </c>
      <c r="D53" s="86" t="e">
        <f>'SUMMARY - CASH PG &amp; ARE'!D14</f>
        <v>#REF!</v>
      </c>
      <c r="E53" s="86" t="e">
        <f>'SUMMARY - CASH PG &amp; ARE'!E14</f>
        <v>#REF!</v>
      </c>
      <c r="F53" s="86" t="e">
        <f>'SUMMARY - CASH PG &amp; ARE'!F14</f>
        <v>#REF!</v>
      </c>
      <c r="G53" s="86" t="e">
        <f>'SUMMARY - CASH PG &amp; ARE'!G14</f>
        <v>#REF!</v>
      </c>
      <c r="H53" s="86" t="e">
        <f>'SUMMARY - CASH PG &amp; ARE'!H14</f>
        <v>#REF!</v>
      </c>
      <c r="I53" s="86" t="e">
        <f>'SUMMARY - CASH PG &amp; ARE'!#REF!</f>
        <v>#REF!</v>
      </c>
      <c r="J53" s="86" t="e">
        <f>'SUMMARY - CASH PG &amp; ARE'!#REF!</f>
        <v>#REF!</v>
      </c>
      <c r="K53" s="86" t="e">
        <f>'SUMMARY - CASH PG &amp; ARE'!#REF!</f>
        <v>#REF!</v>
      </c>
      <c r="L53" s="86" t="e">
        <f>'SUMMARY - CASH PG &amp; ARE'!I14</f>
        <v>#REF!</v>
      </c>
      <c r="M53" s="85" t="e">
        <f t="shared" si="3"/>
        <v>#REF!</v>
      </c>
      <c r="N53" s="119"/>
      <c r="O53" s="104"/>
      <c r="R53" s="104"/>
    </row>
    <row r="54" spans="1:20" s="105" customFormat="1" ht="12.2" customHeight="1">
      <c r="A54" s="83"/>
      <c r="B54" s="84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5"/>
      <c r="N54" s="119"/>
      <c r="O54" s="104"/>
      <c r="R54" s="104"/>
    </row>
    <row r="55" spans="1:20" s="105" customFormat="1" ht="12.2" customHeight="1">
      <c r="A55" s="83" t="s">
        <v>74</v>
      </c>
      <c r="B55" s="84" t="e">
        <f>'SUMMARY - CASH PG &amp; ARE'!B16</f>
        <v>#REF!</v>
      </c>
      <c r="C55" s="86" t="e">
        <f>'SUMMARY - CASH PG &amp; ARE'!C18</f>
        <v>#REF!</v>
      </c>
      <c r="D55" s="86" t="e">
        <f>'SUMMARY - CASH PG &amp; ARE'!D18</f>
        <v>#REF!</v>
      </c>
      <c r="E55" s="86" t="e">
        <f>'SUMMARY - CASH PG &amp; ARE'!E16</f>
        <v>#REF!</v>
      </c>
      <c r="F55" s="86" t="e">
        <f>'SUMMARY - CASH PG &amp; ARE'!F16</f>
        <v>#REF!</v>
      </c>
      <c r="G55" s="86" t="e">
        <f>'SUMMARY - CASH PG &amp; ARE'!G18</f>
        <v>#REF!</v>
      </c>
      <c r="H55" s="86" t="e">
        <f>'SUMMARY - CASH PG &amp; ARE'!H18</f>
        <v>#REF!</v>
      </c>
      <c r="I55" s="86" t="e">
        <f>'SUMMARY - CASH PG &amp; ARE'!#REF!</f>
        <v>#REF!</v>
      </c>
      <c r="J55" s="86" t="e">
        <f>'SUMMARY - CASH PG &amp; ARE'!#REF!</f>
        <v>#REF!</v>
      </c>
      <c r="K55" s="86" t="e">
        <f>'SUMMARY - CASH PG &amp; ARE'!#REF!</f>
        <v>#REF!</v>
      </c>
      <c r="L55" s="86" t="e">
        <f>'SUMMARY - CASH PG &amp; ARE'!I18</f>
        <v>#REF!</v>
      </c>
      <c r="M55" s="85" t="e">
        <f t="shared" si="3"/>
        <v>#REF!</v>
      </c>
      <c r="N55" s="119"/>
      <c r="O55" s="104"/>
      <c r="R55" s="104"/>
    </row>
    <row r="56" spans="1:20" s="105" customFormat="1" ht="12.2" customHeight="1">
      <c r="A56" s="83"/>
      <c r="B56" s="84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5"/>
      <c r="N56" s="119"/>
      <c r="O56" s="104"/>
      <c r="R56" s="104"/>
    </row>
    <row r="57" spans="1:20" s="105" customFormat="1" ht="12.2" customHeight="1">
      <c r="A57" s="83" t="s">
        <v>73</v>
      </c>
      <c r="B57" s="84" t="e">
        <f>'SUMMARY - CASH PG &amp; ARE'!B18</f>
        <v>#REF!</v>
      </c>
      <c r="C57" s="86" t="e">
        <f>'SUMMARY - CASH PG &amp; ARE'!C18</f>
        <v>#REF!</v>
      </c>
      <c r="D57" s="86" t="e">
        <f>'SUMMARY - CASH PG &amp; ARE'!D18</f>
        <v>#REF!</v>
      </c>
      <c r="E57" s="86" t="e">
        <f>'SUMMARY - CASH PG &amp; ARE'!E18</f>
        <v>#REF!</v>
      </c>
      <c r="F57" s="86" t="e">
        <f>'SUMMARY - CASH PG &amp; ARE'!F18</f>
        <v>#REF!</v>
      </c>
      <c r="G57" s="86" t="e">
        <f>'SUMMARY - CASH PG &amp; ARE'!G18</f>
        <v>#REF!</v>
      </c>
      <c r="H57" s="86" t="e">
        <f>'SUMMARY - CASH PG &amp; ARE'!H18</f>
        <v>#REF!</v>
      </c>
      <c r="I57" s="86" t="e">
        <f>'SUMMARY - CASH PG &amp; ARE'!#REF!</f>
        <v>#REF!</v>
      </c>
      <c r="J57" s="86" t="e">
        <f>'SUMMARY - CASH PG &amp; ARE'!#REF!</f>
        <v>#REF!</v>
      </c>
      <c r="K57" s="86" t="e">
        <f>'SUMMARY - CASH PG &amp; ARE'!#REF!</f>
        <v>#REF!</v>
      </c>
      <c r="L57" s="86" t="e">
        <f>'SUMMARY - CASH PG &amp; ARE'!I18</f>
        <v>#REF!</v>
      </c>
      <c r="M57" s="85" t="e">
        <f>SUM(C57:L57)</f>
        <v>#REF!</v>
      </c>
      <c r="N57" s="119"/>
      <c r="O57" s="104"/>
      <c r="R57" s="104"/>
    </row>
    <row r="58" spans="1:20" s="105" customFormat="1" ht="12.2" customHeight="1">
      <c r="A58" s="83"/>
      <c r="B58" s="84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5"/>
      <c r="N58" s="119"/>
      <c r="O58" s="104"/>
      <c r="R58" s="104"/>
    </row>
    <row r="59" spans="1:20" s="105" customFormat="1" ht="12.2" customHeight="1">
      <c r="A59" s="192" t="s">
        <v>79</v>
      </c>
      <c r="B59" s="193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5"/>
      <c r="N59" s="119"/>
      <c r="O59" s="104"/>
      <c r="R59" s="104"/>
    </row>
    <row r="60" spans="1:20" s="105" customFormat="1" ht="12.2" customHeight="1">
      <c r="A60" s="83"/>
      <c r="B60" s="84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5"/>
      <c r="N60" s="119"/>
      <c r="O60" s="104"/>
      <c r="R60" s="104"/>
    </row>
    <row r="61" spans="1:20" s="105" customFormat="1" ht="12.2" customHeight="1">
      <c r="A61" s="83" t="s">
        <v>33</v>
      </c>
      <c r="B61" s="84" t="e">
        <f>'SUMMARY - CASH PG &amp; ARE'!B20</f>
        <v>#REF!</v>
      </c>
      <c r="C61" s="86" t="e">
        <f>'SUMMARY - CASH PG &amp; ARE'!C20</f>
        <v>#REF!</v>
      </c>
      <c r="D61" s="86" t="e">
        <f>'SUMMARY - CASH PG &amp; ARE'!D20</f>
        <v>#REF!</v>
      </c>
      <c r="E61" s="86" t="e">
        <f>'SUMMARY - CASH PG &amp; ARE'!E20</f>
        <v>#REF!</v>
      </c>
      <c r="F61" s="86" t="e">
        <f>'SUMMARY - CASH PG &amp; ARE'!F20</f>
        <v>#REF!</v>
      </c>
      <c r="G61" s="86" t="e">
        <f>'SUMMARY - CASH PG &amp; ARE'!G20</f>
        <v>#REF!</v>
      </c>
      <c r="H61" s="86" t="e">
        <f>'SUMMARY - CASH PG &amp; ARE'!H20</f>
        <v>#REF!</v>
      </c>
      <c r="I61" s="86" t="e">
        <f>'SUMMARY - CASH PG &amp; ARE'!#REF!</f>
        <v>#REF!</v>
      </c>
      <c r="J61" s="86" t="e">
        <f>'SUMMARY - CASH PG &amp; ARE'!#REF!</f>
        <v>#REF!</v>
      </c>
      <c r="K61" s="86" t="e">
        <f>'SUMMARY - CASH PG &amp; ARE'!#REF!</f>
        <v>#REF!</v>
      </c>
      <c r="L61" s="86" t="e">
        <f>'SUMMARY - CASH PG &amp; ARE'!I20</f>
        <v>#REF!</v>
      </c>
      <c r="M61" s="85" t="e">
        <f>SUM(C61:L61)</f>
        <v>#REF!</v>
      </c>
      <c r="N61" s="119"/>
      <c r="O61" s="104"/>
      <c r="R61" s="104"/>
    </row>
    <row r="62" spans="1:20" s="105" customFormat="1" ht="12.2" customHeight="1">
      <c r="A62" s="83"/>
      <c r="B62" s="84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5"/>
      <c r="N62" s="119"/>
      <c r="O62" s="104"/>
      <c r="R62" s="104"/>
      <c r="S62" s="120"/>
    </row>
    <row r="63" spans="1:20" s="105" customFormat="1" ht="12.2" customHeight="1">
      <c r="A63" s="83" t="s">
        <v>34</v>
      </c>
      <c r="B63" s="84">
        <v>0</v>
      </c>
      <c r="C63" s="86" t="e">
        <f>#REF!</f>
        <v>#REF!</v>
      </c>
      <c r="D63" s="86" t="e">
        <f>#REF!</f>
        <v>#REF!</v>
      </c>
      <c r="E63" s="86" t="e">
        <f>#REF!</f>
        <v>#REF!</v>
      </c>
      <c r="F63" s="86" t="e">
        <f>#REF!</f>
        <v>#REF!</v>
      </c>
      <c r="G63" s="86" t="e">
        <f>#REF!</f>
        <v>#REF!</v>
      </c>
      <c r="H63" s="86" t="e">
        <f>#REF!</f>
        <v>#REF!</v>
      </c>
      <c r="I63" s="86" t="e">
        <f>#REF!</f>
        <v>#REF!</v>
      </c>
      <c r="J63" s="86" t="e">
        <f>#REF!</f>
        <v>#REF!</v>
      </c>
      <c r="K63" s="86" t="e">
        <f>#REF!</f>
        <v>#REF!</v>
      </c>
      <c r="L63" s="86" t="e">
        <f>#REF!</f>
        <v>#REF!</v>
      </c>
      <c r="M63" s="85" t="e">
        <f>SUM(C63:L63)</f>
        <v>#REF!</v>
      </c>
      <c r="N63" s="119">
        <v>103125424</v>
      </c>
      <c r="O63" s="104"/>
      <c r="R63" s="104"/>
      <c r="S63" s="120"/>
    </row>
    <row r="64" spans="1:20" s="105" customFormat="1" ht="12.2" customHeight="1">
      <c r="A64" s="83"/>
      <c r="B64" s="121"/>
      <c r="C64" s="122"/>
      <c r="D64" s="86"/>
      <c r="E64" s="86"/>
      <c r="F64" s="86"/>
      <c r="G64" s="86"/>
      <c r="H64" s="86"/>
      <c r="I64" s="86"/>
      <c r="J64" s="86"/>
      <c r="K64" s="86"/>
      <c r="L64" s="86"/>
      <c r="M64" s="85"/>
      <c r="N64" s="119"/>
      <c r="O64" s="104"/>
      <c r="P64" s="104"/>
      <c r="Q64" s="104"/>
      <c r="R64" s="120"/>
      <c r="S64" s="120"/>
      <c r="T64" s="104"/>
    </row>
    <row r="65" spans="1:23" s="105" customFormat="1" ht="12.2" customHeight="1">
      <c r="A65" s="108" t="s">
        <v>68</v>
      </c>
      <c r="B65" s="129" t="e">
        <f>'SUMMARY - CASH PG &amp; ARE'!B24</f>
        <v>#REF!</v>
      </c>
      <c r="C65" s="130" t="e">
        <f>'SUMMARY - CASH PG &amp; ARE'!C24</f>
        <v>#REF!</v>
      </c>
      <c r="D65" s="130" t="e">
        <f>'SUMMARY - CASH PG &amp; ARE'!D24</f>
        <v>#REF!</v>
      </c>
      <c r="E65" s="130" t="e">
        <f>'SUMMARY - CASH PG &amp; ARE'!E24</f>
        <v>#REF!</v>
      </c>
      <c r="F65" s="130" t="e">
        <f>'SUMMARY - CASH PG &amp; ARE'!F24</f>
        <v>#REF!</v>
      </c>
      <c r="G65" s="130" t="e">
        <f>'SUMMARY - CASH PG &amp; ARE'!G24</f>
        <v>#REF!</v>
      </c>
      <c r="H65" s="130" t="e">
        <f>'SUMMARY - CASH PG &amp; ARE'!H24</f>
        <v>#REF!</v>
      </c>
      <c r="I65" s="130" t="e">
        <f>#REF!</f>
        <v>#REF!</v>
      </c>
      <c r="J65" s="130" t="e">
        <f>'SUMMARY - CASH PG &amp; ARE'!#REF!</f>
        <v>#REF!</v>
      </c>
      <c r="K65" s="130" t="e">
        <f>'SUMMARY - CASH PG &amp; ARE'!#REF!</f>
        <v>#REF!</v>
      </c>
      <c r="L65" s="130" t="e">
        <f>'SUMMARY - CASH PG &amp; ARE'!I24</f>
        <v>#REF!</v>
      </c>
      <c r="M65" s="85" t="e">
        <f>SUM(C65:L65)</f>
        <v>#REF!</v>
      </c>
      <c r="N65" s="119"/>
      <c r="O65" s="104"/>
      <c r="P65" s="104"/>
      <c r="Q65" s="104"/>
      <c r="R65" s="120"/>
      <c r="S65" s="120"/>
      <c r="T65" s="104"/>
    </row>
    <row r="66" spans="1:23" s="105" customFormat="1" ht="12.2" customHeight="1">
      <c r="A66" s="108"/>
      <c r="B66" s="123"/>
      <c r="C66" s="124"/>
      <c r="D66" s="109"/>
      <c r="E66" s="109"/>
      <c r="F66" s="109"/>
      <c r="G66" s="109"/>
      <c r="H66" s="109"/>
      <c r="I66" s="109"/>
      <c r="J66" s="109"/>
      <c r="K66" s="109"/>
      <c r="L66" s="109"/>
      <c r="M66" s="85"/>
      <c r="N66" s="119"/>
      <c r="O66" s="104"/>
      <c r="P66" s="104"/>
      <c r="Q66" s="104"/>
      <c r="R66" s="120"/>
      <c r="S66" s="120"/>
      <c r="T66" s="104"/>
    </row>
    <row r="67" spans="1:23" s="105" customFormat="1" ht="12.2" customHeight="1">
      <c r="A67" s="108"/>
      <c r="B67" s="123"/>
      <c r="C67" s="124"/>
      <c r="D67" s="109"/>
      <c r="E67" s="109"/>
      <c r="F67" s="109"/>
      <c r="G67" s="109"/>
      <c r="H67" s="109"/>
      <c r="I67" s="109"/>
      <c r="J67" s="109"/>
      <c r="K67" s="109"/>
      <c r="L67" s="109"/>
      <c r="M67" s="85"/>
      <c r="N67" s="119"/>
      <c r="O67" s="104"/>
      <c r="P67" s="104"/>
      <c r="Q67" s="104"/>
      <c r="R67" s="120"/>
      <c r="S67" s="120"/>
      <c r="T67" s="104"/>
    </row>
    <row r="68" spans="1:23" s="105" customFormat="1" ht="12.2" customHeight="1" thickBot="1">
      <c r="A68" s="87"/>
      <c r="B68" s="125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90"/>
      <c r="N68" s="104"/>
      <c r="O68" s="120"/>
      <c r="R68" s="126"/>
      <c r="S68" s="126"/>
    </row>
    <row r="69" spans="1:23" s="105" customFormat="1" ht="12.2" customHeight="1" thickTop="1" thickBot="1">
      <c r="A69" s="77" t="s">
        <v>4</v>
      </c>
      <c r="B69" s="110" t="e">
        <f>SUM(B42:B68)</f>
        <v>#REF!</v>
      </c>
      <c r="C69" s="110" t="e">
        <f t="shared" ref="C69:L69" si="4">SUM(C42:C68)</f>
        <v>#REF!</v>
      </c>
      <c r="D69" s="110" t="e">
        <f t="shared" si="4"/>
        <v>#REF!</v>
      </c>
      <c r="E69" s="110" t="e">
        <f t="shared" si="4"/>
        <v>#REF!</v>
      </c>
      <c r="F69" s="110" t="e">
        <f t="shared" si="4"/>
        <v>#REF!</v>
      </c>
      <c r="G69" s="110" t="e">
        <f t="shared" si="4"/>
        <v>#REF!</v>
      </c>
      <c r="H69" s="110" t="e">
        <f>SUM(H42:H68)</f>
        <v>#REF!</v>
      </c>
      <c r="I69" s="110" t="e">
        <f t="shared" si="4"/>
        <v>#REF!</v>
      </c>
      <c r="J69" s="110" t="e">
        <f t="shared" si="4"/>
        <v>#REF!</v>
      </c>
      <c r="K69" s="110" t="e">
        <f t="shared" si="4"/>
        <v>#REF!</v>
      </c>
      <c r="L69" s="110" t="e">
        <f t="shared" si="4"/>
        <v>#REF!</v>
      </c>
      <c r="M69" s="152" t="e">
        <f>SUM(M43:M68)</f>
        <v>#REF!</v>
      </c>
      <c r="N69" s="152">
        <f>SUM(N43:N68)</f>
        <v>103125424</v>
      </c>
      <c r="O69" s="152">
        <f t="shared" ref="O69:W69" si="5">SUM(O43:O68)</f>
        <v>0</v>
      </c>
      <c r="P69" s="152">
        <f t="shared" si="5"/>
        <v>0</v>
      </c>
      <c r="Q69" s="152">
        <f t="shared" si="5"/>
        <v>0</v>
      </c>
      <c r="R69" s="152">
        <f t="shared" si="5"/>
        <v>0</v>
      </c>
      <c r="S69" s="152">
        <f t="shared" si="5"/>
        <v>0</v>
      </c>
      <c r="T69" s="152">
        <f t="shared" si="5"/>
        <v>0</v>
      </c>
      <c r="U69" s="152">
        <f t="shared" si="5"/>
        <v>0</v>
      </c>
      <c r="V69" s="152">
        <f t="shared" si="5"/>
        <v>0</v>
      </c>
      <c r="W69" s="152">
        <f t="shared" si="5"/>
        <v>0</v>
      </c>
    </row>
    <row r="70" spans="1:23" s="105" customFormat="1" ht="12.2" customHeight="1" thickTop="1" thickBot="1">
      <c r="A70" s="138"/>
      <c r="B70" s="92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4"/>
      <c r="N70" s="104"/>
      <c r="R70" s="104"/>
    </row>
    <row r="71" spans="1:23" s="72" customFormat="1" ht="14.25" thickTop="1" thickBot="1">
      <c r="A71" s="140" t="str">
        <f>'SUMMARY - CASH PG &amp; ARE'!A29</f>
        <v>PT. REBINMAS JAYA CASH DENOMINATION JUNI 2018</v>
      </c>
      <c r="B71" s="139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2"/>
    </row>
    <row r="72" spans="1:23" ht="13.5" thickTop="1">
      <c r="A72" s="80"/>
      <c r="B72" s="81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98"/>
    </row>
    <row r="73" spans="1:23">
      <c r="A73" s="83" t="s">
        <v>42</v>
      </c>
      <c r="B73" s="84" t="e">
        <f>'SUMMARY - CASH PG &amp; ARE'!B32</f>
        <v>#REF!</v>
      </c>
      <c r="C73" s="86">
        <f>'SUMMARY - CASH PG &amp; ARE'!C32</f>
        <v>3600000</v>
      </c>
      <c r="D73" s="86" t="e">
        <f>'SUMMARY - CASH PG &amp; ARE'!D32</f>
        <v>#REF!</v>
      </c>
      <c r="E73" s="86">
        <f>'SUMMARY - CASH PG &amp; ARE'!E32</f>
        <v>260000</v>
      </c>
      <c r="F73" s="86">
        <f>'SUMMARY - CASH PG &amp; ARE'!F32</f>
        <v>100000</v>
      </c>
      <c r="G73" s="86" t="e">
        <f>'SUMMARY - CASH PG &amp; ARE'!G32</f>
        <v>#REF!</v>
      </c>
      <c r="H73" s="86" t="e">
        <f>'SUMMARY - CASH PG &amp; ARE'!H32</f>
        <v>#REF!</v>
      </c>
      <c r="I73" s="86" t="e">
        <f>'SUMMARY - CASH PG &amp; ARE'!#REF!</f>
        <v>#REF!</v>
      </c>
      <c r="J73" s="86" t="e">
        <f>'SUMMARY - CASH PG &amp; ARE'!#REF!</f>
        <v>#REF!</v>
      </c>
      <c r="K73" s="86" t="e">
        <f>'SUMMARY - CASH PG &amp; ARE'!#REF!</f>
        <v>#REF!</v>
      </c>
      <c r="L73" s="86">
        <f>'SUMMARY - CASH PG &amp; ARE'!I32</f>
        <v>7839</v>
      </c>
      <c r="M73" s="85" t="e">
        <f>SUM(C73:L73)</f>
        <v>#REF!</v>
      </c>
    </row>
    <row r="74" spans="1:23">
      <c r="A74" s="83"/>
      <c r="B74" s="84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5"/>
    </row>
    <row r="75" spans="1:23">
      <c r="A75" s="83" t="s">
        <v>52</v>
      </c>
      <c r="B75" s="84" t="e">
        <f>'SUMMARY - CASH PG &amp; ARE'!B34</f>
        <v>#REF!</v>
      </c>
      <c r="C75" s="86" t="e">
        <f>'SUMMARY - CASH PG &amp; ARE'!C34</f>
        <v>#REF!</v>
      </c>
      <c r="D75" s="86" t="e">
        <f>'SUMMARY - CASH PG &amp; ARE'!D34</f>
        <v>#REF!</v>
      </c>
      <c r="E75" s="86" t="e">
        <f>'SUMMARY - CASH PG &amp; ARE'!E34</f>
        <v>#REF!</v>
      </c>
      <c r="F75" s="86" t="e">
        <f>'SUMMARY - CASH PG &amp; ARE'!F34</f>
        <v>#REF!</v>
      </c>
      <c r="G75" s="86" t="e">
        <f>'SUMMARY - CASH PG &amp; ARE'!G34</f>
        <v>#REF!</v>
      </c>
      <c r="H75" s="86" t="e">
        <f>'SUMMARY - CASH PG &amp; ARE'!H34</f>
        <v>#REF!</v>
      </c>
      <c r="I75" s="86" t="e">
        <f>'SUMMARY - CASH PG &amp; ARE'!#REF!</f>
        <v>#REF!</v>
      </c>
      <c r="J75" s="86" t="e">
        <f>'SUMMARY - CASH PG &amp; ARE'!#REF!</f>
        <v>#REF!</v>
      </c>
      <c r="K75" s="86" t="e">
        <f>'SUMMARY - CASH PG &amp; ARE'!#REF!</f>
        <v>#REF!</v>
      </c>
      <c r="L75" s="86" t="e">
        <f>'SUMMARY - CASH PG &amp; ARE'!I34</f>
        <v>#REF!</v>
      </c>
      <c r="M75" s="85" t="e">
        <f>SUM(C75:L75)</f>
        <v>#REF!</v>
      </c>
    </row>
    <row r="76" spans="1:23">
      <c r="A76" s="83"/>
      <c r="B76" s="84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5"/>
    </row>
    <row r="77" spans="1:23">
      <c r="A77" s="83" t="s">
        <v>53</v>
      </c>
      <c r="B77" s="84" t="e">
        <f>'SUMMARY - CASH PG &amp; ARE'!B36</f>
        <v>#REF!</v>
      </c>
      <c r="C77" s="86" t="e">
        <f>'SUMMARY - CASH PG &amp; ARE'!C36</f>
        <v>#REF!</v>
      </c>
      <c r="D77" s="86" t="e">
        <f>'SUMMARY - CASH PG &amp; ARE'!D36</f>
        <v>#REF!</v>
      </c>
      <c r="E77" s="86" t="e">
        <f>'SUMMARY - CASH PG &amp; ARE'!E36</f>
        <v>#REF!</v>
      </c>
      <c r="F77" s="86" t="e">
        <f>'SUMMARY - CASH PG &amp; ARE'!F36</f>
        <v>#REF!</v>
      </c>
      <c r="G77" s="86" t="e">
        <f>'SUMMARY - CASH PG &amp; ARE'!G36</f>
        <v>#REF!</v>
      </c>
      <c r="H77" s="86" t="e">
        <f>'SUMMARY - CASH PG &amp; ARE'!H36</f>
        <v>#REF!</v>
      </c>
      <c r="I77" s="86" t="e">
        <f>'SUMMARY - CASH PG &amp; ARE'!#REF!</f>
        <v>#REF!</v>
      </c>
      <c r="J77" s="86" t="e">
        <f>'SUMMARY - CASH PG &amp; ARE'!#REF!</f>
        <v>#REF!</v>
      </c>
      <c r="K77" s="86" t="e">
        <f>'SUMMARY - CASH PG &amp; ARE'!#REF!</f>
        <v>#REF!</v>
      </c>
      <c r="L77" s="86" t="e">
        <f>'SUMMARY - CASH PG &amp; ARE'!I36</f>
        <v>#REF!</v>
      </c>
      <c r="M77" s="85" t="e">
        <f>SUM(C77:L77)</f>
        <v>#REF!</v>
      </c>
    </row>
    <row r="78" spans="1:23">
      <c r="A78" s="83"/>
      <c r="B78" s="84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5"/>
    </row>
    <row r="79" spans="1:23">
      <c r="A79" s="83" t="s">
        <v>39</v>
      </c>
      <c r="B79" s="84">
        <f>'SUMMARY - CASH PG &amp; ARE'!B38</f>
        <v>0</v>
      </c>
      <c r="C79" s="86">
        <f>'SUMMARY - CASH PG &amp; ARE'!C38</f>
        <v>0</v>
      </c>
      <c r="D79" s="86">
        <f>'SUMMARY - CASH PG &amp; ARE'!D38</f>
        <v>0</v>
      </c>
      <c r="E79" s="86">
        <f>'SUMMARY - CASH PG &amp; ARE'!E38</f>
        <v>0</v>
      </c>
      <c r="F79" s="86">
        <f>'SUMMARY - CASH PG &amp; ARE'!F38</f>
        <v>0</v>
      </c>
      <c r="G79" s="86">
        <f>'SUMMARY - CASH PG &amp; ARE'!G38</f>
        <v>0</v>
      </c>
      <c r="H79" s="86">
        <f>'SUMMARY - CASH PG &amp; ARE'!H38</f>
        <v>0</v>
      </c>
      <c r="I79" s="86" t="e">
        <f>'SUMMARY - CASH PG &amp; ARE'!#REF!</f>
        <v>#REF!</v>
      </c>
      <c r="J79" s="86" t="e">
        <f>'SUMMARY - CASH PG &amp; ARE'!#REF!</f>
        <v>#REF!</v>
      </c>
      <c r="K79" s="86" t="e">
        <f>'SUMMARY - CASH PG &amp; ARE'!#REF!</f>
        <v>#REF!</v>
      </c>
      <c r="L79" s="86">
        <f>'SUMMARY - CASH PG &amp; ARE'!I38</f>
        <v>0</v>
      </c>
      <c r="M79" s="85" t="e">
        <f>SUM(C79:L79)</f>
        <v>#REF!</v>
      </c>
    </row>
    <row r="80" spans="1:23">
      <c r="A80" s="108"/>
      <c r="B80" s="123"/>
      <c r="C80" s="124"/>
      <c r="D80" s="109"/>
      <c r="E80" s="109"/>
      <c r="F80" s="109"/>
      <c r="G80" s="109"/>
      <c r="H80" s="109"/>
      <c r="I80" s="109"/>
      <c r="J80" s="109"/>
      <c r="K80" s="109"/>
      <c r="L80" s="109"/>
      <c r="M80" s="85"/>
    </row>
    <row r="81" spans="1:15">
      <c r="A81" s="83" t="s">
        <v>70</v>
      </c>
      <c r="B81" s="186" t="e">
        <f>'SUMMARY - CASH PG &amp; ARE'!B40</f>
        <v>#REF!</v>
      </c>
      <c r="C81" s="197" t="e">
        <f>'SUMMARY - CASH PG &amp; ARE'!C40</f>
        <v>#REF!</v>
      </c>
      <c r="D81" s="187" t="e">
        <f>'SUMMARY - CASH PG &amp; ARE'!D40</f>
        <v>#REF!</v>
      </c>
      <c r="E81" s="187" t="e">
        <f>'SUMMARY - CASH PG &amp; ARE'!E40</f>
        <v>#REF!</v>
      </c>
      <c r="F81" s="187" t="e">
        <f>'SUMMARY - CASH PG &amp; ARE'!F40</f>
        <v>#REF!</v>
      </c>
      <c r="G81" s="187" t="e">
        <f>'SUMMARY - CASH PG &amp; ARE'!G40</f>
        <v>#REF!</v>
      </c>
      <c r="H81" s="187" t="e">
        <f>'SUMMARY - CASH PG &amp; ARE'!H40</f>
        <v>#REF!</v>
      </c>
      <c r="I81" s="187" t="e">
        <f>'SUMMARY - CASH PG &amp; ARE'!#REF!</f>
        <v>#REF!</v>
      </c>
      <c r="J81" s="187" t="e">
        <f>'SUMMARY - CASH PG &amp; ARE'!#REF!</f>
        <v>#REF!</v>
      </c>
      <c r="K81" s="187" t="e">
        <f>'SUMMARY - CASH PG &amp; ARE'!#REF!</f>
        <v>#REF!</v>
      </c>
      <c r="L81" s="187" t="e">
        <f>'SUMMARY - CASH PG &amp; ARE'!I40</f>
        <v>#REF!</v>
      </c>
      <c r="M81" s="85" t="e">
        <f>SUM(C81:L81)</f>
        <v>#REF!</v>
      </c>
    </row>
    <row r="82" spans="1:15" ht="13.5" thickBot="1">
      <c r="A82" s="87"/>
      <c r="B82" s="125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0"/>
    </row>
    <row r="83" spans="1:15" ht="14.25" thickTop="1" thickBot="1">
      <c r="A83" s="143" t="s">
        <v>4</v>
      </c>
      <c r="B83" s="131" t="e">
        <f>SUM(B72:B82)</f>
        <v>#REF!</v>
      </c>
      <c r="C83" s="148" t="e">
        <f t="shared" ref="C83:L83" si="6">SUM(C72:C82)</f>
        <v>#REF!</v>
      </c>
      <c r="D83" s="148" t="e">
        <f t="shared" si="6"/>
        <v>#REF!</v>
      </c>
      <c r="E83" s="148" t="e">
        <f t="shared" si="6"/>
        <v>#REF!</v>
      </c>
      <c r="F83" s="148" t="e">
        <f t="shared" si="6"/>
        <v>#REF!</v>
      </c>
      <c r="G83" s="148" t="e">
        <f t="shared" si="6"/>
        <v>#REF!</v>
      </c>
      <c r="H83" s="148" t="e">
        <f t="shared" si="6"/>
        <v>#REF!</v>
      </c>
      <c r="I83" s="148" t="e">
        <f t="shared" si="6"/>
        <v>#REF!</v>
      </c>
      <c r="J83" s="148" t="e">
        <f t="shared" si="6"/>
        <v>#REF!</v>
      </c>
      <c r="K83" s="148" t="e">
        <f t="shared" si="6"/>
        <v>#REF!</v>
      </c>
      <c r="L83" s="148" t="e">
        <f t="shared" si="6"/>
        <v>#REF!</v>
      </c>
      <c r="M83" s="153" t="e">
        <f>SUM(M72:M82)</f>
        <v>#REF!</v>
      </c>
    </row>
    <row r="84" spans="1:15" ht="14.25" thickTop="1" thickBot="1">
      <c r="A84" s="168" t="s">
        <v>62</v>
      </c>
      <c r="B84" s="40" t="e">
        <f>B39+B69+B83</f>
        <v>#REF!</v>
      </c>
      <c r="C84" s="40" t="e">
        <f t="shared" ref="C84:L84" si="7">C39+C69+C83</f>
        <v>#REF!</v>
      </c>
      <c r="D84" s="40" t="e">
        <f t="shared" si="7"/>
        <v>#REF!</v>
      </c>
      <c r="E84" s="40" t="e">
        <f t="shared" si="7"/>
        <v>#REF!</v>
      </c>
      <c r="F84" s="40" t="e">
        <f t="shared" si="7"/>
        <v>#REF!</v>
      </c>
      <c r="G84" s="40" t="e">
        <f t="shared" si="7"/>
        <v>#REF!</v>
      </c>
      <c r="H84" s="40" t="e">
        <f t="shared" si="7"/>
        <v>#REF!</v>
      </c>
      <c r="I84" s="40" t="e">
        <f t="shared" si="7"/>
        <v>#REF!</v>
      </c>
      <c r="J84" s="40" t="e">
        <f t="shared" si="7"/>
        <v>#REF!</v>
      </c>
      <c r="K84" s="40" t="e">
        <f t="shared" si="7"/>
        <v>#REF!</v>
      </c>
      <c r="L84" s="40" t="e">
        <f t="shared" si="7"/>
        <v>#REF!</v>
      </c>
      <c r="M84" s="12" t="e">
        <f>SUM(C84:L84)</f>
        <v>#REF!</v>
      </c>
      <c r="N84" s="144"/>
      <c r="O84" s="144" t="e">
        <f>SUM(M83,M69,M35)</f>
        <v>#REF!</v>
      </c>
    </row>
    <row r="85" spans="1:15" ht="13.5" thickTop="1"/>
  </sheetData>
  <mergeCells count="1">
    <mergeCell ref="A1:M1"/>
  </mergeCells>
  <printOptions horizontalCentered="1"/>
  <pageMargins left="0.35433070866141703" right="0.118110236220472" top="0.27559055118110198" bottom="0.23622047244094499" header="0.23622047244094499" footer="0.27559055118110198"/>
  <pageSetup paperSize="9" scale="55" orientation="landscape" r:id="rId1"/>
  <rowBreaks count="1" manualBreakCount="1">
    <brk id="85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88"/>
  <sheetViews>
    <sheetView view="pageBreakPreview" zoomScale="60" zoomScaleNormal="100" workbookViewId="0">
      <selection activeCell="J28" sqref="J28"/>
    </sheetView>
  </sheetViews>
  <sheetFormatPr defaultRowHeight="14.25"/>
  <cols>
    <col min="1" max="1" width="14.140625" style="874" customWidth="1"/>
    <col min="2" max="2" width="9.28515625" style="874" customWidth="1"/>
    <col min="3" max="3" width="8.5703125" style="874" customWidth="1"/>
    <col min="4" max="4" width="13.28515625" style="874" bestFit="1" customWidth="1"/>
    <col min="5" max="5" width="9.85546875" style="874" customWidth="1"/>
    <col min="6" max="6" width="16.5703125" style="874" bestFit="1" customWidth="1"/>
    <col min="7" max="7" width="15.7109375" style="874" customWidth="1"/>
    <col min="8" max="8" width="16.7109375" style="874" customWidth="1"/>
    <col min="9" max="9" width="11.5703125" style="874" customWidth="1"/>
    <col min="10" max="10" width="12.85546875" style="874" customWidth="1"/>
    <col min="11" max="11" width="13.28515625" style="874" customWidth="1"/>
    <col min="12" max="12" width="20" style="874" customWidth="1"/>
    <col min="13" max="13" width="22.5703125" style="874" customWidth="1"/>
    <col min="14" max="14" width="12" style="874" bestFit="1" customWidth="1"/>
    <col min="15" max="15" width="16.5703125" style="874" customWidth="1"/>
    <col min="16" max="16" width="13.5703125" style="874" customWidth="1"/>
    <col min="17" max="17" width="9.140625" style="874"/>
    <col min="18" max="18" width="9.85546875" style="874" bestFit="1" customWidth="1"/>
    <col min="19" max="16384" width="9.140625" style="874"/>
  </cols>
  <sheetData>
    <row r="1" spans="1:18" s="877" customFormat="1" ht="22.5" customHeight="1">
      <c r="A1" s="917" t="str">
        <f>'IMPACT RMJ'!A1</f>
        <v>MONTH OF OKTOBER 2025</v>
      </c>
    </row>
    <row r="2" spans="1:18" ht="6.75" customHeight="1">
      <c r="A2" s="771"/>
    </row>
    <row r="3" spans="1:18" ht="15.75" thickBot="1">
      <c r="A3" s="771"/>
      <c r="F3" s="875"/>
      <c r="G3" s="875"/>
      <c r="H3" s="875"/>
    </row>
    <row r="4" spans="1:18" s="877" customFormat="1" ht="21" customHeight="1">
      <c r="A4" s="1274" t="s">
        <v>422</v>
      </c>
      <c r="B4" s="1276" t="s">
        <v>438</v>
      </c>
      <c r="C4" s="1281" t="s">
        <v>423</v>
      </c>
      <c r="D4" s="1281"/>
      <c r="E4" s="1281"/>
      <c r="F4" s="1282" t="s">
        <v>425</v>
      </c>
      <c r="G4" s="1283"/>
      <c r="H4" s="1284"/>
      <c r="I4" s="1281" t="s">
        <v>426</v>
      </c>
      <c r="J4" s="1281"/>
      <c r="K4" s="1281"/>
      <c r="L4" s="876" t="s">
        <v>427</v>
      </c>
      <c r="M4" s="938" t="s">
        <v>428</v>
      </c>
    </row>
    <row r="5" spans="1:18" s="881" customFormat="1" ht="21" customHeight="1" thickBot="1">
      <c r="A5" s="1275"/>
      <c r="B5" s="1277"/>
      <c r="C5" s="878">
        <v>45901</v>
      </c>
      <c r="D5" s="878">
        <v>45931</v>
      </c>
      <c r="E5" s="879" t="s">
        <v>424</v>
      </c>
      <c r="F5" s="878">
        <v>45901</v>
      </c>
      <c r="G5" s="878">
        <v>45931</v>
      </c>
      <c r="H5" s="879" t="s">
        <v>424</v>
      </c>
      <c r="I5" s="878">
        <v>45901</v>
      </c>
      <c r="J5" s="878">
        <v>45931</v>
      </c>
      <c r="K5" s="879" t="s">
        <v>424</v>
      </c>
      <c r="L5" s="880" t="str">
        <f>'IMPACT RMJ'!L4</f>
        <v>(Okt`25 - Sept`25 )</v>
      </c>
      <c r="M5" s="939"/>
    </row>
    <row r="6" spans="1:18" s="877" customFormat="1" ht="21" customHeight="1" thickTop="1">
      <c r="A6" s="943" t="s">
        <v>61</v>
      </c>
      <c r="B6" s="883">
        <v>326.26</v>
      </c>
      <c r="C6" s="884">
        <v>43</v>
      </c>
      <c r="D6" s="884">
        <f>'SEPTEMBER DIBAYAR OKT 2025 '!C456</f>
        <v>43</v>
      </c>
      <c r="E6" s="884">
        <f>D6-C6</f>
        <v>0</v>
      </c>
      <c r="F6" s="886">
        <v>236957607</v>
      </c>
      <c r="G6" s="886">
        <f>'SEPTEMBER DIBAYAR OKT 2025 '!V556</f>
        <v>222679964.83999997</v>
      </c>
      <c r="H6" s="886">
        <f>G6-F6</f>
        <v>-14277642.160000026</v>
      </c>
      <c r="I6" s="887">
        <v>480.87</v>
      </c>
      <c r="J6" s="887">
        <f>'SUMMARY - WAGES IJL'!AF14</f>
        <v>587.88</v>
      </c>
      <c r="K6" s="887">
        <f>J6-I6</f>
        <v>107.00999999999999</v>
      </c>
      <c r="L6" s="888">
        <f>K6/J6*100</f>
        <v>18.202694427434167</v>
      </c>
      <c r="M6" s="889">
        <f>H6/G6*100</f>
        <v>-6.4117318189172519</v>
      </c>
      <c r="N6" s="890" t="e">
        <f>F6-#REF!</f>
        <v>#REF!</v>
      </c>
    </row>
    <row r="7" spans="1:18" s="877" customFormat="1" ht="21" customHeight="1" thickBot="1">
      <c r="A7" s="898"/>
      <c r="B7" s="899"/>
      <c r="C7" s="900"/>
      <c r="D7" s="901"/>
      <c r="E7" s="900"/>
      <c r="F7" s="902"/>
      <c r="G7" s="902"/>
      <c r="H7" s="903"/>
      <c r="I7" s="904"/>
      <c r="J7" s="904"/>
      <c r="K7" s="904"/>
      <c r="L7" s="944"/>
      <c r="M7" s="905"/>
      <c r="R7" s="877">
        <f>2976705.97</f>
        <v>2976705.97</v>
      </c>
    </row>
    <row r="8" spans="1:18" s="877" customFormat="1" ht="21" customHeight="1" thickBot="1">
      <c r="A8" s="906"/>
      <c r="B8" s="907">
        <f t="shared" ref="B8:K8" si="0">SUM(B6:B7)</f>
        <v>326.26</v>
      </c>
      <c r="C8" s="909">
        <v>43</v>
      </c>
      <c r="D8" s="909">
        <f t="shared" si="0"/>
        <v>43</v>
      </c>
      <c r="E8" s="909">
        <f t="shared" si="0"/>
        <v>0</v>
      </c>
      <c r="F8" s="911">
        <f>F6</f>
        <v>236957607</v>
      </c>
      <c r="G8" s="911">
        <f>+G6</f>
        <v>222679964.83999997</v>
      </c>
      <c r="H8" s="911">
        <f>SUM(H6:H7)</f>
        <v>-14277642.160000026</v>
      </c>
      <c r="I8" s="913">
        <f>I6</f>
        <v>480.87</v>
      </c>
      <c r="J8" s="913">
        <f>SUM(J6:J7)</f>
        <v>587.88</v>
      </c>
      <c r="K8" s="913">
        <f t="shared" si="0"/>
        <v>107.00999999999999</v>
      </c>
      <c r="L8" s="914">
        <f>K8/J8*100</f>
        <v>18.202694427434167</v>
      </c>
      <c r="M8" s="915">
        <f>H8/G8*100</f>
        <v>-6.4117318189172519</v>
      </c>
      <c r="R8" s="877">
        <f>91848.13*30</f>
        <v>2755443.9000000004</v>
      </c>
    </row>
    <row r="9" spans="1:18">
      <c r="C9" s="916"/>
      <c r="D9" s="916"/>
      <c r="E9" s="916"/>
      <c r="R9" s="874">
        <f>R7-R8</f>
        <v>221262.06999999983</v>
      </c>
    </row>
    <row r="10" spans="1:18" ht="15">
      <c r="A10" s="917"/>
      <c r="F10" s="918"/>
      <c r="G10" s="918"/>
      <c r="R10" s="874">
        <f>R9/R8*100</f>
        <v>8.0299972719459038</v>
      </c>
    </row>
    <row r="11" spans="1:18" ht="15">
      <c r="A11" s="917"/>
    </row>
    <row r="12" spans="1:18" s="919" customFormat="1" ht="17.25" customHeight="1">
      <c r="A12" s="1314" t="s">
        <v>679</v>
      </c>
      <c r="B12" s="1315"/>
      <c r="C12" s="1316"/>
      <c r="D12" s="895">
        <f>F6</f>
        <v>236957607</v>
      </c>
      <c r="E12" s="874"/>
      <c r="F12" s="874"/>
      <c r="G12" s="874"/>
      <c r="M12" s="920"/>
    </row>
    <row r="13" spans="1:18" s="919" customFormat="1" ht="17.25" customHeight="1">
      <c r="A13" s="1314" t="s">
        <v>693</v>
      </c>
      <c r="B13" s="1315"/>
      <c r="C13" s="1316"/>
      <c r="D13" s="999">
        <f>G6</f>
        <v>222679964.83999997</v>
      </c>
      <c r="E13" s="874"/>
      <c r="F13" s="874"/>
      <c r="G13" s="874"/>
      <c r="I13" s="1271" t="s">
        <v>713</v>
      </c>
      <c r="J13" s="1272"/>
      <c r="K13" s="1272"/>
      <c r="L13" s="1273"/>
      <c r="M13" s="922">
        <f>K26</f>
        <v>258440</v>
      </c>
      <c r="O13" s="923"/>
    </row>
    <row r="14" spans="1:18" s="877" customFormat="1" ht="17.25" customHeight="1">
      <c r="A14" s="1317" t="s">
        <v>464</v>
      </c>
      <c r="B14" s="1315"/>
      <c r="C14" s="1316"/>
      <c r="D14" s="895">
        <f>D12-D13</f>
        <v>14277642.160000026</v>
      </c>
      <c r="E14" s="874"/>
      <c r="F14" s="874"/>
      <c r="G14" s="874"/>
      <c r="I14" s="924" t="s">
        <v>643</v>
      </c>
      <c r="J14" s="925"/>
      <c r="K14" s="925"/>
      <c r="L14" s="926" t="s">
        <v>480</v>
      </c>
      <c r="M14" s="922">
        <f>Rekapitulasi!F344</f>
        <v>7969043</v>
      </c>
    </row>
    <row r="15" spans="1:18" s="877" customFormat="1" ht="17.25" customHeight="1">
      <c r="A15" s="874"/>
      <c r="B15" s="874"/>
      <c r="C15" s="874"/>
      <c r="D15" s="874"/>
      <c r="E15" s="874"/>
      <c r="F15" s="874"/>
      <c r="G15" s="874"/>
      <c r="I15" s="934" t="s">
        <v>641</v>
      </c>
      <c r="J15" s="935"/>
      <c r="K15" s="935"/>
      <c r="L15" s="926" t="s">
        <v>480</v>
      </c>
      <c r="M15" s="922">
        <f>Rekapitulasi!G344</f>
        <v>-1008363.8200000003</v>
      </c>
    </row>
    <row r="16" spans="1:18" s="877" customFormat="1" ht="17.25" customHeight="1">
      <c r="A16" s="874"/>
      <c r="B16" s="874"/>
      <c r="C16" s="874"/>
      <c r="D16" s="874"/>
      <c r="E16" s="874"/>
      <c r="F16" s="874"/>
      <c r="G16" s="874"/>
      <c r="I16" s="934" t="s">
        <v>712</v>
      </c>
      <c r="J16" s="935"/>
      <c r="K16" s="935"/>
      <c r="L16" s="926" t="s">
        <v>481</v>
      </c>
      <c r="M16" s="922">
        <f>Prunning!G25</f>
        <v>-22557200</v>
      </c>
    </row>
    <row r="17" spans="1:16" s="877" customFormat="1" ht="17.25" customHeight="1">
      <c r="A17" s="874"/>
      <c r="B17" s="874"/>
      <c r="C17" s="874"/>
      <c r="D17" s="874"/>
      <c r="E17" s="874"/>
      <c r="F17" s="874"/>
      <c r="G17" s="874"/>
      <c r="I17" s="924" t="s">
        <v>668</v>
      </c>
      <c r="J17" s="925"/>
      <c r="K17" s="925"/>
      <c r="L17" s="926"/>
      <c r="M17" s="922">
        <f>M26</f>
        <v>2700000</v>
      </c>
      <c r="P17" s="945"/>
    </row>
    <row r="18" spans="1:16" s="877" customFormat="1" ht="17.25" customHeight="1">
      <c r="A18" s="874"/>
      <c r="B18" s="874"/>
      <c r="C18" s="874"/>
      <c r="D18" s="874"/>
      <c r="E18" s="874"/>
      <c r="F18" s="874"/>
      <c r="G18" s="874"/>
      <c r="I18" s="1287" t="s">
        <v>3</v>
      </c>
      <c r="J18" s="1288"/>
      <c r="K18" s="1288"/>
      <c r="L18" s="1289"/>
      <c r="M18" s="946">
        <f>SUM(M13:M17)</f>
        <v>-12638080.82</v>
      </c>
      <c r="P18" s="947"/>
    </row>
    <row r="19" spans="1:16" s="877" customFormat="1" ht="17.25" customHeight="1">
      <c r="A19" s="874"/>
      <c r="B19" s="874"/>
      <c r="C19" s="874"/>
      <c r="D19" s="874"/>
      <c r="E19" s="874"/>
      <c r="F19" s="874"/>
      <c r="G19" s="874"/>
      <c r="P19" s="922">
        <f>H8-M18</f>
        <v>-1639561.3400000259</v>
      </c>
    </row>
    <row r="20" spans="1:16" s="877" customFormat="1" ht="17.25" customHeight="1">
      <c r="A20" s="874"/>
      <c r="B20" s="874"/>
      <c r="C20" s="874"/>
      <c r="D20" s="874"/>
      <c r="E20" s="874"/>
      <c r="F20" s="874"/>
      <c r="G20" s="874"/>
      <c r="I20" s="1271" t="s">
        <v>688</v>
      </c>
      <c r="J20" s="1272"/>
      <c r="K20" s="1272"/>
      <c r="L20" s="1273"/>
      <c r="M20" s="948">
        <f>K8</f>
        <v>107.00999999999999</v>
      </c>
      <c r="N20" s="877" t="s">
        <v>320</v>
      </c>
    </row>
    <row r="21" spans="1:16" s="877" customFormat="1" ht="17.25" customHeight="1">
      <c r="A21" s="874"/>
      <c r="B21" s="874"/>
      <c r="C21" s="874"/>
      <c r="D21" s="874"/>
      <c r="E21" s="874"/>
      <c r="F21" s="874"/>
      <c r="G21" s="874"/>
      <c r="P21" s="945">
        <f>P19/J25</f>
        <v>-1287.9507776905152</v>
      </c>
    </row>
    <row r="22" spans="1:16" s="877" customFormat="1">
      <c r="A22" s="874"/>
      <c r="B22" s="874"/>
      <c r="C22" s="874"/>
      <c r="D22" s="874"/>
      <c r="E22" s="874"/>
      <c r="F22" s="874"/>
      <c r="G22" s="874"/>
      <c r="M22" s="890"/>
      <c r="P22" s="945"/>
    </row>
    <row r="23" spans="1:16">
      <c r="M23" s="918"/>
    </row>
    <row r="24" spans="1:16" ht="15">
      <c r="I24" s="932" t="s">
        <v>677</v>
      </c>
      <c r="J24" s="949">
        <v>1271</v>
      </c>
      <c r="K24" s="895">
        <f>J24*129220</f>
        <v>164238620</v>
      </c>
      <c r="L24" s="1113" t="s">
        <v>678</v>
      </c>
      <c r="M24" s="922">
        <v>3800000</v>
      </c>
    </row>
    <row r="25" spans="1:16" ht="15">
      <c r="I25" s="932" t="s">
        <v>694</v>
      </c>
      <c r="J25" s="949">
        <f>'SEPTEMBER DIBAYAR OKT 2025 '!E456</f>
        <v>1273</v>
      </c>
      <c r="K25" s="895">
        <f>J25*129220</f>
        <v>164497060</v>
      </c>
      <c r="L25" s="1113" t="s">
        <v>695</v>
      </c>
      <c r="M25" s="922">
        <f>'SEPTEMBER DIBAYAR OKT 2025 '!AG556</f>
        <v>6500000</v>
      </c>
    </row>
    <row r="26" spans="1:16" ht="15">
      <c r="I26" s="932"/>
      <c r="J26" s="949">
        <f>J25-J24</f>
        <v>2</v>
      </c>
      <c r="K26" s="895">
        <f>K25-K24</f>
        <v>258440</v>
      </c>
      <c r="L26" s="1053"/>
      <c r="M26" s="922">
        <f>M25-M24</f>
        <v>2700000</v>
      </c>
    </row>
    <row r="48" spans="1:1" ht="20.25" customHeight="1">
      <c r="A48" s="771" t="str">
        <f>A1</f>
        <v>MONTH OF OKTOBER 2025</v>
      </c>
    </row>
    <row r="49" spans="1:14" ht="20.25" customHeight="1">
      <c r="A49" s="872" t="str">
        <f>'SUMMARY - WAGES IJL'!A64:AI64</f>
        <v>01-31 MEI 2022 &amp; 26-30 APRIL 2022</v>
      </c>
      <c r="B49" s="872"/>
      <c r="C49" s="872"/>
      <c r="D49" s="872"/>
      <c r="E49" s="872"/>
      <c r="F49" s="872"/>
      <c r="G49" s="872"/>
      <c r="H49" s="872"/>
      <c r="I49" s="872"/>
      <c r="J49" s="872"/>
      <c r="K49" s="872"/>
      <c r="L49" s="872"/>
      <c r="M49" s="872"/>
    </row>
    <row r="50" spans="1:14" ht="20.25" customHeight="1" thickBot="1">
      <c r="A50" s="771"/>
      <c r="F50" s="875"/>
      <c r="G50" s="875"/>
      <c r="H50" s="875"/>
    </row>
    <row r="51" spans="1:14" ht="20.25" customHeight="1">
      <c r="A51" s="1274" t="s">
        <v>422</v>
      </c>
      <c r="B51" s="1276" t="s">
        <v>438</v>
      </c>
      <c r="C51" s="955" t="s">
        <v>423</v>
      </c>
      <c r="D51" s="955"/>
      <c r="E51" s="955"/>
      <c r="F51" s="1282" t="s">
        <v>425</v>
      </c>
      <c r="G51" s="1283"/>
      <c r="H51" s="1284"/>
      <c r="I51" s="1281" t="s">
        <v>426</v>
      </c>
      <c r="J51" s="1281"/>
      <c r="K51" s="1281"/>
      <c r="L51" s="876" t="s">
        <v>427</v>
      </c>
      <c r="M51" s="1290" t="s">
        <v>428</v>
      </c>
    </row>
    <row r="52" spans="1:14" ht="20.25" customHeight="1" thickBot="1">
      <c r="A52" s="1275"/>
      <c r="B52" s="1277"/>
      <c r="C52" s="878">
        <v>44682</v>
      </c>
      <c r="D52" s="878">
        <v>44652</v>
      </c>
      <c r="E52" s="879" t="s">
        <v>424</v>
      </c>
      <c r="F52" s="878">
        <v>44682</v>
      </c>
      <c r="G52" s="878">
        <v>44652</v>
      </c>
      <c r="H52" s="879" t="s">
        <v>424</v>
      </c>
      <c r="I52" s="878">
        <v>44682</v>
      </c>
      <c r="J52" s="878">
        <v>44652</v>
      </c>
      <c r="K52" s="879" t="s">
        <v>424</v>
      </c>
      <c r="L52" s="880" t="str">
        <f>'IMPACT RMJ'!L49</f>
        <v>(Mei `22 - Apr`22 )</v>
      </c>
      <c r="M52" s="1291"/>
      <c r="N52" s="877"/>
    </row>
    <row r="53" spans="1:14" ht="20.25" customHeight="1" thickTop="1">
      <c r="A53" s="943" t="s">
        <v>61</v>
      </c>
      <c r="B53" s="883">
        <v>312.26</v>
      </c>
      <c r="C53" s="884">
        <f>'SEPTEMBER DIBAYAR OKT 2025 '!C532</f>
        <v>14</v>
      </c>
      <c r="D53" s="884">
        <v>44</v>
      </c>
      <c r="E53" s="884">
        <f>C53-D53</f>
        <v>-30</v>
      </c>
      <c r="F53" s="886">
        <f>'SUMMARY - WAGES IJL'!AF71</f>
        <v>253106783.83999997</v>
      </c>
      <c r="G53" s="886">
        <v>145808894.39143321</v>
      </c>
      <c r="H53" s="886">
        <f>F53-G53</f>
        <v>107297889.44856676</v>
      </c>
      <c r="I53" s="887">
        <v>572.82000000000005</v>
      </c>
      <c r="J53" s="887">
        <v>675.69</v>
      </c>
      <c r="K53" s="887">
        <f>I53-J53</f>
        <v>-102.87</v>
      </c>
      <c r="L53" s="888">
        <f>K53/J53*100</f>
        <v>-15.224437241930472</v>
      </c>
      <c r="M53" s="889">
        <f>H53/G53*100</f>
        <v>73.588027600373124</v>
      </c>
      <c r="N53" s="881"/>
    </row>
    <row r="54" spans="1:14" ht="20.25" customHeight="1" thickBot="1">
      <c r="A54" s="898"/>
      <c r="B54" s="899"/>
      <c r="C54" s="900"/>
      <c r="D54" s="901"/>
      <c r="E54" s="900"/>
      <c r="F54" s="902"/>
      <c r="G54" s="902"/>
      <c r="H54" s="903"/>
      <c r="I54" s="904"/>
      <c r="J54" s="904"/>
      <c r="K54" s="904"/>
      <c r="L54" s="944"/>
      <c r="M54" s="905"/>
      <c r="N54" s="877"/>
    </row>
    <row r="55" spans="1:14" ht="20.25" customHeight="1" thickBot="1">
      <c r="A55" s="906"/>
      <c r="B55" s="907">
        <f t="shared" ref="B55:E55" si="1">SUM(B53:B54)</f>
        <v>312.26</v>
      </c>
      <c r="C55" s="909">
        <f t="shared" si="1"/>
        <v>14</v>
      </c>
      <c r="D55" s="909">
        <f t="shared" si="1"/>
        <v>44</v>
      </c>
      <c r="E55" s="909">
        <f t="shared" si="1"/>
        <v>-30</v>
      </c>
      <c r="F55" s="911">
        <f>SUM(F53:F54)</f>
        <v>253106783.83999997</v>
      </c>
      <c r="G55" s="911">
        <f t="shared" ref="G55:H55" si="2">SUM(G53:G54)</f>
        <v>145808894.39143321</v>
      </c>
      <c r="H55" s="911">
        <f t="shared" si="2"/>
        <v>107297889.44856676</v>
      </c>
      <c r="I55" s="913">
        <f>SUM(I53:I54)</f>
        <v>572.82000000000005</v>
      </c>
      <c r="J55" s="913">
        <f t="shared" ref="J55:K55" si="3">SUM(J53:J54)</f>
        <v>675.69</v>
      </c>
      <c r="K55" s="913">
        <f t="shared" si="3"/>
        <v>-102.87</v>
      </c>
      <c r="L55" s="914">
        <f t="shared" ref="L55" si="4">K55/J55*100</f>
        <v>-15.224437241930472</v>
      </c>
      <c r="M55" s="915">
        <f t="shared" ref="M55" si="5">H55/G55*100</f>
        <v>73.588027600373124</v>
      </c>
      <c r="N55" s="877"/>
    </row>
    <row r="56" spans="1:14" ht="20.25" customHeight="1">
      <c r="C56" s="916"/>
      <c r="D56" s="916"/>
      <c r="E56" s="916"/>
      <c r="N56" s="877"/>
    </row>
    <row r="57" spans="1:14" ht="20.25" customHeight="1">
      <c r="A57" s="917"/>
      <c r="F57" s="918"/>
      <c r="G57" s="918"/>
      <c r="N57" s="877"/>
    </row>
    <row r="58" spans="1:14" ht="20.25" customHeight="1">
      <c r="A58" s="917"/>
      <c r="N58" s="877"/>
    </row>
    <row r="59" spans="1:14" ht="20.25" customHeight="1">
      <c r="A59" s="1317" t="s">
        <v>583</v>
      </c>
      <c r="B59" s="1315"/>
      <c r="C59" s="1316"/>
      <c r="D59" s="895">
        <f>F53</f>
        <v>253106783.83999997</v>
      </c>
      <c r="H59" s="919"/>
      <c r="I59" s="919"/>
      <c r="J59" s="919"/>
      <c r="K59" s="919"/>
      <c r="L59" s="919"/>
      <c r="M59" s="920"/>
      <c r="N59" s="877"/>
    </row>
    <row r="60" spans="1:14" ht="20.25" customHeight="1">
      <c r="A60" s="1317">
        <v>44682</v>
      </c>
      <c r="B60" s="1315"/>
      <c r="C60" s="1316"/>
      <c r="D60" s="895">
        <f>G53</f>
        <v>145808894.39143321</v>
      </c>
      <c r="H60" s="919"/>
      <c r="I60" s="1271" t="s">
        <v>600</v>
      </c>
      <c r="J60" s="1272"/>
      <c r="K60" s="1272"/>
      <c r="L60" s="1273"/>
      <c r="M60" s="922">
        <f>K73</f>
        <v>43967105.879999995</v>
      </c>
      <c r="N60" s="877"/>
    </row>
    <row r="61" spans="1:14" ht="20.25" customHeight="1">
      <c r="A61" s="1317" t="s">
        <v>464</v>
      </c>
      <c r="B61" s="1315"/>
      <c r="C61" s="1316"/>
      <c r="D61" s="895">
        <f>D59-D60</f>
        <v>107297889.44856676</v>
      </c>
      <c r="H61" s="877"/>
      <c r="I61" s="924" t="s">
        <v>643</v>
      </c>
      <c r="J61" s="925"/>
      <c r="K61" s="925"/>
      <c r="L61" s="926" t="s">
        <v>480</v>
      </c>
      <c r="M61" s="922">
        <f>M14</f>
        <v>7969043</v>
      </c>
      <c r="N61" s="877"/>
    </row>
    <row r="62" spans="1:14" ht="20.25" customHeight="1">
      <c r="H62" s="877"/>
      <c r="I62" s="934" t="s">
        <v>641</v>
      </c>
      <c r="J62" s="935"/>
      <c r="K62" s="935"/>
      <c r="L62" s="926" t="s">
        <v>480</v>
      </c>
      <c r="M62" s="922">
        <f>M15</f>
        <v>-1008363.8200000003</v>
      </c>
      <c r="N62" s="877"/>
    </row>
    <row r="63" spans="1:14" ht="20.25" customHeight="1">
      <c r="H63" s="877"/>
      <c r="I63" s="934" t="s">
        <v>644</v>
      </c>
      <c r="J63" s="935"/>
      <c r="K63" s="935"/>
      <c r="L63" s="926" t="s">
        <v>481</v>
      </c>
      <c r="M63" s="922">
        <f>Prunning!G72</f>
        <v>0</v>
      </c>
      <c r="N63" s="877"/>
    </row>
    <row r="64" spans="1:14" ht="20.25" customHeight="1">
      <c r="H64" s="877"/>
      <c r="I64" s="924"/>
      <c r="J64" s="925"/>
      <c r="K64" s="925"/>
      <c r="L64" s="926"/>
      <c r="M64" s="922"/>
      <c r="N64" s="877"/>
    </row>
    <row r="65" spans="1:15" ht="20.25" customHeight="1">
      <c r="H65" s="877"/>
      <c r="I65" s="1287" t="s">
        <v>3</v>
      </c>
      <c r="J65" s="1288"/>
      <c r="K65" s="1288"/>
      <c r="L65" s="1289"/>
      <c r="M65" s="946">
        <f>SUM(M60:M64)</f>
        <v>50927785.059999995</v>
      </c>
      <c r="N65" s="877"/>
    </row>
    <row r="66" spans="1:15" ht="20.25" customHeight="1">
      <c r="H66" s="877"/>
      <c r="I66" s="877"/>
      <c r="J66" s="877"/>
      <c r="K66" s="877"/>
      <c r="L66" s="877"/>
      <c r="M66" s="877"/>
      <c r="N66" s="877"/>
    </row>
    <row r="67" spans="1:15" ht="20.25" customHeight="1">
      <c r="H67" s="877"/>
      <c r="I67" s="1271" t="s">
        <v>642</v>
      </c>
      <c r="J67" s="1272"/>
      <c r="K67" s="1272"/>
      <c r="L67" s="1273"/>
      <c r="M67" s="950">
        <f>K55</f>
        <v>-102.87</v>
      </c>
      <c r="N67" s="877"/>
    </row>
    <row r="68" spans="1:15">
      <c r="H68" s="877"/>
      <c r="I68" s="877"/>
      <c r="J68" s="877"/>
      <c r="K68" s="877"/>
      <c r="L68" s="877"/>
      <c r="M68" s="877"/>
    </row>
    <row r="69" spans="1:15">
      <c r="H69" s="877"/>
      <c r="I69" s="877"/>
      <c r="J69" s="877"/>
      <c r="K69" s="877"/>
      <c r="L69" s="877"/>
      <c r="M69" s="890"/>
    </row>
    <row r="70" spans="1:15">
      <c r="M70" s="918"/>
    </row>
    <row r="71" spans="1:15" ht="15">
      <c r="I71" s="932" t="s">
        <v>584</v>
      </c>
      <c r="J71" s="949">
        <v>1073</v>
      </c>
      <c r="K71" s="895">
        <f>J71*108829.47</f>
        <v>116774021.31</v>
      </c>
      <c r="L71" s="874" t="s">
        <v>582</v>
      </c>
      <c r="N71" s="919"/>
    </row>
    <row r="72" spans="1:15" ht="15">
      <c r="I72" s="932" t="s">
        <v>596</v>
      </c>
      <c r="J72" s="949">
        <f>J25+204</f>
        <v>1477</v>
      </c>
      <c r="K72" s="895">
        <f>J72*108829.47</f>
        <v>160741127.19</v>
      </c>
      <c r="N72" s="919"/>
      <c r="O72" s="918"/>
    </row>
    <row r="73" spans="1:15" ht="15">
      <c r="I73" s="932"/>
      <c r="J73" s="949"/>
      <c r="K73" s="895">
        <f>K72-K71</f>
        <v>43967105.879999995</v>
      </c>
      <c r="N73" s="877"/>
    </row>
    <row r="74" spans="1:15">
      <c r="N74" s="877"/>
    </row>
    <row r="75" spans="1:15">
      <c r="N75" s="877"/>
    </row>
    <row r="76" spans="1:15">
      <c r="N76" s="877"/>
    </row>
    <row r="77" spans="1:15">
      <c r="A77" s="877"/>
      <c r="B77" s="890"/>
      <c r="C77" s="890"/>
      <c r="D77" s="890"/>
      <c r="E77" s="890"/>
      <c r="F77" s="890"/>
      <c r="G77" s="890"/>
      <c r="H77" s="877"/>
      <c r="I77" s="951"/>
      <c r="J77" s="951"/>
      <c r="K77" s="951"/>
      <c r="L77" s="951"/>
      <c r="N77" s="877"/>
    </row>
    <row r="78" spans="1:15" ht="15">
      <c r="A78" s="877"/>
      <c r="B78" s="890"/>
      <c r="C78" s="890"/>
      <c r="D78" s="890"/>
      <c r="E78" s="890"/>
      <c r="F78" s="890"/>
      <c r="G78" s="890"/>
      <c r="H78" s="877"/>
      <c r="J78" s="877"/>
      <c r="K78" s="877"/>
      <c r="L78" s="877"/>
      <c r="M78" s="952"/>
      <c r="N78" s="877"/>
    </row>
    <row r="79" spans="1:15">
      <c r="A79" s="877"/>
      <c r="B79" s="890"/>
      <c r="C79" s="890"/>
      <c r="D79" s="890"/>
      <c r="E79" s="890"/>
      <c r="F79" s="890"/>
      <c r="G79" s="890"/>
      <c r="H79" s="877"/>
      <c r="I79" s="877"/>
      <c r="J79" s="877"/>
      <c r="K79" s="877"/>
      <c r="L79" s="877"/>
      <c r="M79" s="877"/>
      <c r="N79" s="877"/>
    </row>
    <row r="80" spans="1:15">
      <c r="A80" s="877"/>
      <c r="B80" s="890"/>
      <c r="C80" s="890"/>
      <c r="D80" s="890"/>
      <c r="E80" s="890"/>
      <c r="F80" s="890"/>
      <c r="G80" s="890"/>
      <c r="H80" s="877"/>
      <c r="I80" s="877"/>
      <c r="J80" s="877"/>
      <c r="K80" s="877"/>
      <c r="L80" s="877"/>
      <c r="M80" s="953"/>
      <c r="N80" s="877"/>
    </row>
    <row r="81" spans="1:14">
      <c r="A81" s="877"/>
      <c r="B81" s="890"/>
      <c r="C81" s="890"/>
      <c r="D81" s="890"/>
      <c r="E81" s="890"/>
      <c r="F81" s="890"/>
      <c r="G81" s="890"/>
      <c r="H81" s="877"/>
      <c r="I81" s="877"/>
      <c r="J81" s="877"/>
      <c r="K81" s="877"/>
      <c r="L81" s="877"/>
      <c r="M81" s="877"/>
      <c r="N81" s="877"/>
    </row>
    <row r="82" spans="1:14" ht="15">
      <c r="A82" s="917"/>
      <c r="B82" s="931"/>
      <c r="C82" s="931"/>
      <c r="D82" s="931"/>
      <c r="E82" s="931"/>
      <c r="F82" s="931"/>
      <c r="G82" s="931"/>
      <c r="H82" s="877"/>
      <c r="I82" s="877"/>
      <c r="J82" s="877"/>
      <c r="K82" s="877"/>
      <c r="L82" s="877"/>
      <c r="M82" s="890"/>
      <c r="N82" s="877"/>
    </row>
    <row r="84" spans="1:14" ht="15">
      <c r="A84" s="877"/>
      <c r="B84" s="919"/>
      <c r="C84" s="919"/>
      <c r="D84" s="919"/>
      <c r="G84" s="918"/>
    </row>
    <row r="85" spans="1:14">
      <c r="A85" s="877"/>
      <c r="B85" s="877"/>
      <c r="C85" s="890"/>
      <c r="D85" s="890"/>
    </row>
    <row r="86" spans="1:14">
      <c r="A86" s="877"/>
      <c r="B86" s="954"/>
      <c r="C86" s="890"/>
      <c r="D86" s="890"/>
    </row>
    <row r="87" spans="1:14">
      <c r="A87" s="877"/>
      <c r="B87" s="954"/>
      <c r="C87" s="890"/>
      <c r="D87" s="890"/>
    </row>
    <row r="88" spans="1:14" ht="15">
      <c r="C88" s="770"/>
      <c r="D88" s="770"/>
    </row>
  </sheetData>
  <mergeCells count="22">
    <mergeCell ref="C4:E4"/>
    <mergeCell ref="I18:L18"/>
    <mergeCell ref="I20:L20"/>
    <mergeCell ref="A51:A52"/>
    <mergeCell ref="A14:C14"/>
    <mergeCell ref="I13:L13"/>
    <mergeCell ref="M51:M52"/>
    <mergeCell ref="F4:H4"/>
    <mergeCell ref="I4:K4"/>
    <mergeCell ref="A13:C13"/>
    <mergeCell ref="I67:L67"/>
    <mergeCell ref="A59:C59"/>
    <mergeCell ref="A60:C60"/>
    <mergeCell ref="I60:L60"/>
    <mergeCell ref="A61:C61"/>
    <mergeCell ref="I65:L65"/>
    <mergeCell ref="B51:B52"/>
    <mergeCell ref="F51:H51"/>
    <mergeCell ref="I51:K51"/>
    <mergeCell ref="A12:C12"/>
    <mergeCell ref="A4:A5"/>
    <mergeCell ref="B4:B5"/>
  </mergeCells>
  <pageMargins left="0.70866141732283505" right="0.45866141700000002" top="0.74803149606299202" bottom="0.74803149606299202" header="0.31496062992126" footer="0.31496062992126"/>
  <pageSetup paperSize="14" scale="8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6"/>
  <sheetViews>
    <sheetView zoomScale="75" zoomScaleNormal="75" zoomScaleSheetLayoutView="82" workbookViewId="0">
      <selection activeCell="A19" sqref="A19:G27"/>
    </sheetView>
  </sheetViews>
  <sheetFormatPr defaultRowHeight="12.75"/>
  <cols>
    <col min="1" max="1" width="3.7109375" customWidth="1"/>
    <col min="2" max="2" width="15.5703125" customWidth="1"/>
    <col min="3" max="3" width="4.28515625" hidden="1" customWidth="1"/>
    <col min="4" max="4" width="14.5703125" customWidth="1"/>
    <col min="5" max="5" width="3.85546875" hidden="1" customWidth="1"/>
    <col min="6" max="6" width="17.7109375" customWidth="1"/>
    <col min="7" max="7" width="18.140625" customWidth="1"/>
    <col min="8" max="8" width="20.140625" customWidth="1"/>
    <col min="13" max="13" width="18.7109375" customWidth="1"/>
  </cols>
  <sheetData>
    <row r="1" spans="1:7">
      <c r="A1" s="685" t="s">
        <v>468</v>
      </c>
    </row>
    <row r="3" spans="1:7" ht="19.5" customHeight="1">
      <c r="B3" s="1318" t="s">
        <v>456</v>
      </c>
      <c r="C3" s="1318"/>
      <c r="D3" s="1318"/>
      <c r="E3" s="1318"/>
      <c r="F3" s="1318"/>
      <c r="G3" s="1318"/>
    </row>
    <row r="4" spans="1:7" ht="27.75" customHeight="1" thickBot="1">
      <c r="D4" s="1327">
        <v>45931</v>
      </c>
      <c r="E4" s="1328"/>
      <c r="F4" s="1328"/>
    </row>
    <row r="5" spans="1:7" s="419" customFormat="1" ht="25.5" customHeight="1">
      <c r="B5" s="1319" t="s">
        <v>422</v>
      </c>
      <c r="D5" s="706">
        <v>45901</v>
      </c>
      <c r="E5" s="695"/>
      <c r="F5" s="706">
        <v>45931</v>
      </c>
      <c r="G5" s="691" t="s">
        <v>414</v>
      </c>
    </row>
    <row r="6" spans="1:7" s="419" customFormat="1" ht="25.5" customHeight="1" thickBot="1">
      <c r="B6" s="1320"/>
      <c r="C6" s="694" t="s">
        <v>434</v>
      </c>
      <c r="D6" s="692" t="s">
        <v>435</v>
      </c>
      <c r="E6" s="692" t="s">
        <v>434</v>
      </c>
      <c r="F6" s="692" t="s">
        <v>435</v>
      </c>
      <c r="G6" s="693" t="s">
        <v>692</v>
      </c>
    </row>
    <row r="7" spans="1:7" s="419" customFormat="1" ht="23.25" customHeight="1">
      <c r="B7" s="696" t="s">
        <v>340</v>
      </c>
      <c r="C7" s="697">
        <v>0</v>
      </c>
      <c r="D7" s="698">
        <v>79134600</v>
      </c>
      <c r="E7" s="698">
        <v>0</v>
      </c>
      <c r="F7" s="698">
        <f>'SEPTEMBER DIBAYAR OKT 2025 '!AD35</f>
        <v>15466750</v>
      </c>
      <c r="G7" s="628">
        <f>F7-D7</f>
        <v>-63667850</v>
      </c>
    </row>
    <row r="8" spans="1:7" s="419" customFormat="1" ht="23.25" customHeight="1">
      <c r="B8" s="699" t="s">
        <v>341</v>
      </c>
      <c r="C8" s="700">
        <v>0</v>
      </c>
      <c r="D8" s="563">
        <v>0</v>
      </c>
      <c r="E8" s="563">
        <v>0</v>
      </c>
      <c r="F8" s="563">
        <f>'SEPTEMBER DIBAYAR OKT 2025 '!AD90</f>
        <v>0</v>
      </c>
      <c r="G8" s="628">
        <f t="shared" ref="G8:G15" si="0">F8-D8</f>
        <v>0</v>
      </c>
    </row>
    <row r="9" spans="1:7" s="419" customFormat="1" ht="23.25" customHeight="1">
      <c r="B9" s="699" t="s">
        <v>342</v>
      </c>
      <c r="C9" s="700">
        <v>0</v>
      </c>
      <c r="D9" s="563">
        <v>39745300</v>
      </c>
      <c r="E9" s="563">
        <v>0</v>
      </c>
      <c r="F9" s="563">
        <f>'SEPTEMBER DIBAYAR OKT 2025 '!AD135</f>
        <v>16282050</v>
      </c>
      <c r="G9" s="628">
        <f t="shared" si="0"/>
        <v>-23463250</v>
      </c>
    </row>
    <row r="10" spans="1:7" s="419" customFormat="1" ht="23.25" customHeight="1">
      <c r="B10" s="699" t="s">
        <v>343</v>
      </c>
      <c r="C10" s="700">
        <v>0</v>
      </c>
      <c r="D10" s="563">
        <v>54555850</v>
      </c>
      <c r="E10" s="563">
        <v>0</v>
      </c>
      <c r="F10" s="563">
        <f>'SEPTEMBER DIBAYAR OKT 2025 '!AD175</f>
        <v>8599500</v>
      </c>
      <c r="G10" s="628">
        <f t="shared" si="0"/>
        <v>-45956350</v>
      </c>
    </row>
    <row r="11" spans="1:7" s="419" customFormat="1" ht="23.25" customHeight="1">
      <c r="B11" s="699" t="s">
        <v>233</v>
      </c>
      <c r="C11" s="700">
        <v>0</v>
      </c>
      <c r="D11" s="563">
        <v>39455250</v>
      </c>
      <c r="E11" s="563">
        <v>0</v>
      </c>
      <c r="F11" s="563">
        <f>'SEPTEMBER DIBAYAR OKT 2025 '!AD226</f>
        <v>45629800</v>
      </c>
      <c r="G11" s="628">
        <f t="shared" si="0"/>
        <v>6174550</v>
      </c>
    </row>
    <row r="12" spans="1:7" s="419" customFormat="1" ht="23.25" customHeight="1">
      <c r="B12" s="699" t="s">
        <v>235</v>
      </c>
      <c r="C12" s="700">
        <v>0</v>
      </c>
      <c r="D12" s="563">
        <v>28264500</v>
      </c>
      <c r="E12" s="563">
        <v>0</v>
      </c>
      <c r="F12" s="563">
        <f>'SEPTEMBER DIBAYAR OKT 2025 '!AD261</f>
        <v>26023250</v>
      </c>
      <c r="G12" s="628">
        <f t="shared" si="0"/>
        <v>-2241250</v>
      </c>
    </row>
    <row r="13" spans="1:7" s="419" customFormat="1" ht="23.25" customHeight="1">
      <c r="B13" s="699" t="s">
        <v>236</v>
      </c>
      <c r="C13" s="700">
        <v>0</v>
      </c>
      <c r="D13" s="563">
        <v>29461300</v>
      </c>
      <c r="E13" s="563">
        <v>0</v>
      </c>
      <c r="F13" s="563">
        <f>'SEPTEMBER DIBAYAR OKT 2025 '!AD296</f>
        <v>29981600</v>
      </c>
      <c r="G13" s="628">
        <f t="shared" si="0"/>
        <v>520300</v>
      </c>
    </row>
    <row r="14" spans="1:7" s="419" customFormat="1" ht="23.25" customHeight="1">
      <c r="B14" s="699" t="s">
        <v>237</v>
      </c>
      <c r="C14" s="700">
        <v>0</v>
      </c>
      <c r="D14" s="563">
        <v>23009250</v>
      </c>
      <c r="E14" s="563">
        <v>0</v>
      </c>
      <c r="F14" s="563">
        <f>'SEPTEMBER DIBAYAR OKT 2025 '!AD332</f>
        <v>20870600</v>
      </c>
      <c r="G14" s="628">
        <f t="shared" si="0"/>
        <v>-2138650</v>
      </c>
    </row>
    <row r="15" spans="1:7" s="419" customFormat="1" ht="23.25" customHeight="1" thickBot="1">
      <c r="B15" s="701" t="s">
        <v>281</v>
      </c>
      <c r="C15" s="702">
        <v>0</v>
      </c>
      <c r="D15" s="737">
        <v>48772550</v>
      </c>
      <c r="E15" s="737">
        <v>0</v>
      </c>
      <c r="F15" s="737">
        <f>'SEPTEMBER DIBAYAR OKT 2025 '!AD385</f>
        <v>45028000</v>
      </c>
      <c r="G15" s="628">
        <f t="shared" si="0"/>
        <v>-3744550</v>
      </c>
    </row>
    <row r="16" spans="1:7" s="419" customFormat="1" ht="23.25" customHeight="1" thickBot="1">
      <c r="B16" s="703"/>
      <c r="C16" s="704">
        <f>SUM(C7:C15)</f>
        <v>0</v>
      </c>
      <c r="D16" s="705">
        <v>342398600</v>
      </c>
      <c r="E16" s="705">
        <f>SUM(E7:E15)</f>
        <v>0</v>
      </c>
      <c r="F16" s="705">
        <f>SUM(F7:F15)</f>
        <v>207881550</v>
      </c>
      <c r="G16" s="505">
        <f>SUM(G7:G15)</f>
        <v>-134517050</v>
      </c>
    </row>
    <row r="17" spans="1:7" ht="21" customHeight="1"/>
    <row r="18" spans="1:7" ht="21" customHeight="1">
      <c r="F18" s="1"/>
    </row>
    <row r="19" spans="1:7" ht="21" customHeight="1">
      <c r="A19" s="685" t="s">
        <v>468</v>
      </c>
      <c r="F19" s="1"/>
    </row>
    <row r="20" spans="1:7" ht="21" customHeight="1">
      <c r="A20" s="72"/>
    </row>
    <row r="21" spans="1:7">
      <c r="B21" s="72" t="s">
        <v>456</v>
      </c>
    </row>
    <row r="22" spans="1:7" ht="13.5" thickBot="1"/>
    <row r="23" spans="1:7" ht="25.5" customHeight="1">
      <c r="B23" s="1321" t="s">
        <v>422</v>
      </c>
      <c r="C23" s="1323">
        <f>D5</f>
        <v>45901</v>
      </c>
      <c r="D23" s="1324"/>
      <c r="E23" s="1325">
        <f>F5</f>
        <v>45931</v>
      </c>
      <c r="F23" s="1326"/>
      <c r="G23" s="691" t="s">
        <v>414</v>
      </c>
    </row>
    <row r="24" spans="1:7" ht="25.5" customHeight="1">
      <c r="B24" s="1322"/>
      <c r="C24" s="1054" t="s">
        <v>434</v>
      </c>
      <c r="D24" s="1054" t="s">
        <v>435</v>
      </c>
      <c r="E24" s="1054" t="s">
        <v>434</v>
      </c>
      <c r="F24" s="1054" t="s">
        <v>435</v>
      </c>
      <c r="G24" s="1055" t="str">
        <f>G6</f>
        <v xml:space="preserve"> Sept - Oct</v>
      </c>
    </row>
    <row r="25" spans="1:7" ht="25.5" customHeight="1">
      <c r="B25" s="1056" t="s">
        <v>61</v>
      </c>
      <c r="C25" s="1057">
        <v>0</v>
      </c>
      <c r="D25" s="1058">
        <v>22557200</v>
      </c>
      <c r="E25" s="1058">
        <v>0</v>
      </c>
      <c r="F25" s="1058">
        <f>'SUMMARY - WAGES IJL'!AC8</f>
        <v>0</v>
      </c>
      <c r="G25" s="499">
        <f>F25-D25</f>
        <v>-22557200</v>
      </c>
    </row>
    <row r="26" spans="1:7" ht="25.5" customHeight="1" thickBot="1">
      <c r="B26" s="1059"/>
      <c r="C26" s="1060"/>
      <c r="D26" s="1060"/>
      <c r="E26" s="1060"/>
      <c r="F26" s="1060"/>
      <c r="G26" s="1061"/>
    </row>
  </sheetData>
  <mergeCells count="6">
    <mergeCell ref="B3:G3"/>
    <mergeCell ref="B5:B6"/>
    <mergeCell ref="B23:B24"/>
    <mergeCell ref="C23:D23"/>
    <mergeCell ref="E23:F23"/>
    <mergeCell ref="D4:F4"/>
  </mergeCells>
  <pageMargins left="0.70866141732283472" right="0.70866141732283472" top="0.74803149606299213" bottom="0.74803149606299213" header="0.31496062992125984" footer="0.31496062992125984"/>
  <pageSetup paperSize="14" orientation="landscape" r:id="rId1"/>
  <rowBreaks count="1" manualBreakCount="1">
    <brk id="18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L361"/>
  <sheetViews>
    <sheetView showGridLines="0" view="pageBreakPreview" topLeftCell="A250" zoomScale="48" zoomScaleNormal="59" zoomScaleSheetLayoutView="48" workbookViewId="0">
      <selection activeCell="A337" sqref="A337:G349"/>
    </sheetView>
  </sheetViews>
  <sheetFormatPr defaultRowHeight="20.25"/>
  <cols>
    <col min="1" max="1" width="71.42578125" style="215" customWidth="1"/>
    <col min="2" max="2" width="23" style="215" customWidth="1"/>
    <col min="3" max="3" width="25.7109375" style="215" customWidth="1"/>
    <col min="4" max="5" width="27.7109375" style="217" customWidth="1"/>
    <col min="6" max="6" width="40.42578125" style="215" customWidth="1"/>
    <col min="7" max="7" width="38.7109375" style="215" customWidth="1"/>
    <col min="8" max="8" width="38.42578125" style="215" customWidth="1"/>
    <col min="9" max="9" width="32.5703125" style="215" customWidth="1"/>
    <col min="10" max="16384" width="9.140625" style="215"/>
  </cols>
  <sheetData>
    <row r="1" spans="1:5" ht="17.25" hidden="1" customHeight="1"/>
    <row r="2" spans="1:5" ht="17.25" hidden="1" customHeight="1"/>
    <row r="3" spans="1:5" ht="17.25" hidden="1" customHeight="1">
      <c r="A3" s="559" t="s">
        <v>0</v>
      </c>
      <c r="B3" s="559"/>
      <c r="C3" s="559"/>
    </row>
    <row r="4" spans="1:5" ht="17.25" hidden="1" customHeight="1">
      <c r="A4" s="559" t="s">
        <v>446</v>
      </c>
      <c r="B4" s="559"/>
      <c r="C4" s="559"/>
    </row>
    <row r="5" spans="1:5" ht="63.75" hidden="1" customHeight="1" thickBot="1"/>
    <row r="6" spans="1:5" ht="24.75" hidden="1" customHeight="1" thickTop="1">
      <c r="A6" s="1176" t="s">
        <v>1</v>
      </c>
      <c r="B6" s="647"/>
      <c r="C6" s="647"/>
      <c r="D6" s="1174" t="s">
        <v>189</v>
      </c>
      <c r="E6" s="1174" t="s">
        <v>190</v>
      </c>
    </row>
    <row r="7" spans="1:5" ht="24.75" hidden="1" customHeight="1" thickBot="1">
      <c r="A7" s="1177"/>
      <c r="B7" s="284"/>
      <c r="C7" s="284"/>
      <c r="D7" s="1175"/>
      <c r="E7" s="1175"/>
    </row>
    <row r="8" spans="1:5" s="242" customFormat="1" ht="24.75" hidden="1" customHeight="1" thickTop="1">
      <c r="A8" s="234"/>
      <c r="B8" s="648"/>
      <c r="C8" s="648"/>
      <c r="D8" s="346"/>
      <c r="E8" s="346"/>
    </row>
    <row r="9" spans="1:5" s="242" customFormat="1" ht="24.75" hidden="1" customHeight="1">
      <c r="A9" s="234" t="s">
        <v>116</v>
      </c>
      <c r="B9" s="648"/>
      <c r="C9" s="648"/>
      <c r="D9" s="294" t="e">
        <f>#REF!+'SEPTEMBER DIBAYAR OKT 2025 '!#REF!</f>
        <v>#REF!</v>
      </c>
      <c r="E9" s="294" t="e">
        <f>#REF!+'SEPTEMBER DIBAYAR OKT 2025 '!#REF!</f>
        <v>#REF!</v>
      </c>
    </row>
    <row r="10" spans="1:5" ht="24.75" hidden="1" customHeight="1">
      <c r="A10" s="350"/>
      <c r="B10" s="649"/>
      <c r="C10" s="649"/>
      <c r="D10" s="294"/>
      <c r="E10" s="294"/>
    </row>
    <row r="11" spans="1:5" s="242" customFormat="1" ht="24.75" hidden="1" customHeight="1">
      <c r="A11" s="234" t="s">
        <v>111</v>
      </c>
      <c r="B11" s="648"/>
      <c r="C11" s="648"/>
      <c r="D11" s="294" t="e">
        <f>#REF!+'SEPTEMBER DIBAYAR OKT 2025 '!T9</f>
        <v>#REF!</v>
      </c>
      <c r="E11" s="294" t="e">
        <f>#REF!+'SEPTEMBER DIBAYAR OKT 2025 '!U9</f>
        <v>#REF!</v>
      </c>
    </row>
    <row r="12" spans="1:5" s="242" customFormat="1" ht="24.75" hidden="1" customHeight="1">
      <c r="A12" s="234"/>
      <c r="B12" s="648"/>
      <c r="C12" s="648"/>
      <c r="D12" s="294"/>
      <c r="E12" s="294"/>
    </row>
    <row r="13" spans="1:5" s="242" customFormat="1" ht="24.75" hidden="1" customHeight="1">
      <c r="A13" s="234" t="s">
        <v>101</v>
      </c>
      <c r="B13" s="648"/>
      <c r="C13" s="648"/>
      <c r="D13" s="294" t="e">
        <f>#REF!+'SEPTEMBER DIBAYAR OKT 2025 '!T11</f>
        <v>#REF!</v>
      </c>
      <c r="E13" s="294" t="e">
        <f>#REF!+'SEPTEMBER DIBAYAR OKT 2025 '!U11</f>
        <v>#REF!</v>
      </c>
    </row>
    <row r="14" spans="1:5" ht="24.75" hidden="1" customHeight="1">
      <c r="A14" s="276"/>
      <c r="B14" s="650"/>
      <c r="C14" s="650"/>
      <c r="D14" s="294"/>
      <c r="E14" s="294"/>
    </row>
    <row r="15" spans="1:5" s="242" customFormat="1" ht="24.75" hidden="1" customHeight="1">
      <c r="A15" s="234" t="s">
        <v>140</v>
      </c>
      <c r="B15" s="648"/>
      <c r="C15" s="648"/>
      <c r="D15" s="294" t="e">
        <f>#REF!+'SEPTEMBER DIBAYAR OKT 2025 '!T13</f>
        <v>#REF!</v>
      </c>
      <c r="E15" s="294" t="e">
        <f>#REF!+'SEPTEMBER DIBAYAR OKT 2025 '!U13</f>
        <v>#REF!</v>
      </c>
    </row>
    <row r="16" spans="1:5" ht="24.75" hidden="1" customHeight="1">
      <c r="A16" s="234"/>
      <c r="B16" s="648"/>
      <c r="C16" s="648"/>
      <c r="D16" s="294"/>
      <c r="E16" s="294"/>
    </row>
    <row r="17" spans="1:5" s="242" customFormat="1" ht="24.75" hidden="1" customHeight="1">
      <c r="A17" s="234" t="s">
        <v>157</v>
      </c>
      <c r="B17" s="648"/>
      <c r="C17" s="648"/>
      <c r="D17" s="294" t="e">
        <f>#REF!+'SEPTEMBER DIBAYAR OKT 2025 '!T17</f>
        <v>#REF!</v>
      </c>
      <c r="E17" s="294" t="e">
        <f>#REF!+'SEPTEMBER DIBAYAR OKT 2025 '!U17</f>
        <v>#REF!</v>
      </c>
    </row>
    <row r="18" spans="1:5" s="242" customFormat="1" ht="24.75" hidden="1" customHeight="1">
      <c r="A18" s="234"/>
      <c r="B18" s="648"/>
      <c r="C18" s="648"/>
      <c r="D18" s="294"/>
      <c r="E18" s="294"/>
    </row>
    <row r="19" spans="1:5" ht="24.75" hidden="1" customHeight="1">
      <c r="A19" s="234" t="s">
        <v>146</v>
      </c>
      <c r="B19" s="648"/>
      <c r="C19" s="648"/>
      <c r="D19" s="294" t="e">
        <f>#REF!+'SEPTEMBER DIBAYAR OKT 2025 '!T19</f>
        <v>#REF!</v>
      </c>
      <c r="E19" s="294" t="e">
        <f>#REF!+'SEPTEMBER DIBAYAR OKT 2025 '!U19</f>
        <v>#REF!</v>
      </c>
    </row>
    <row r="20" spans="1:5" ht="24.75" hidden="1" customHeight="1">
      <c r="A20" s="279"/>
      <c r="B20" s="651"/>
      <c r="C20" s="651"/>
      <c r="D20" s="294"/>
      <c r="E20" s="294"/>
    </row>
    <row r="21" spans="1:5" ht="24.75" hidden="1" customHeight="1">
      <c r="A21" s="234" t="s">
        <v>115</v>
      </c>
      <c r="B21" s="648"/>
      <c r="C21" s="648"/>
      <c r="D21" s="294" t="e">
        <f>#REF!+'SEPTEMBER DIBAYAR OKT 2025 '!T23</f>
        <v>#REF!</v>
      </c>
      <c r="E21" s="294" t="e">
        <f>#REF!+'SEPTEMBER DIBAYAR OKT 2025 '!U23</f>
        <v>#REF!</v>
      </c>
    </row>
    <row r="22" spans="1:5" ht="24.75" hidden="1" customHeight="1">
      <c r="A22" s="279"/>
      <c r="B22" s="651"/>
      <c r="C22" s="651"/>
      <c r="D22" s="294"/>
      <c r="E22" s="294"/>
    </row>
    <row r="23" spans="1:5" ht="24.75" hidden="1" customHeight="1">
      <c r="A23" s="234" t="s">
        <v>153</v>
      </c>
      <c r="B23" s="648"/>
      <c r="C23" s="648"/>
      <c r="D23" s="294" t="e">
        <f>#REF!+'SEPTEMBER DIBAYAR OKT 2025 '!#REF!</f>
        <v>#REF!</v>
      </c>
      <c r="E23" s="294" t="e">
        <f>#REF!+'SEPTEMBER DIBAYAR OKT 2025 '!#REF!</f>
        <v>#REF!</v>
      </c>
    </row>
    <row r="24" spans="1:5" ht="24.75" hidden="1" customHeight="1">
      <c r="A24" s="279" t="s">
        <v>451</v>
      </c>
      <c r="B24" s="651"/>
      <c r="C24" s="651"/>
      <c r="D24" s="294"/>
      <c r="E24" s="294"/>
    </row>
    <row r="25" spans="1:5" ht="24.75" hidden="1" customHeight="1">
      <c r="A25" s="234" t="s">
        <v>110</v>
      </c>
      <c r="B25" s="648"/>
      <c r="C25" s="648"/>
      <c r="D25" s="294" t="e">
        <f>#REF!+'SEPTEMBER DIBAYAR OKT 2025 '!T25</f>
        <v>#REF!</v>
      </c>
      <c r="E25" s="294" t="e">
        <f>#REF!+'SEPTEMBER DIBAYAR OKT 2025 '!U25</f>
        <v>#REF!</v>
      </c>
    </row>
    <row r="26" spans="1:5" ht="24.75" hidden="1" customHeight="1">
      <c r="A26" s="279"/>
      <c r="B26" s="651"/>
      <c r="C26" s="651"/>
      <c r="D26" s="294"/>
      <c r="E26" s="294"/>
    </row>
    <row r="27" spans="1:5" ht="24.75" hidden="1" customHeight="1">
      <c r="A27" s="234" t="s">
        <v>100</v>
      </c>
      <c r="B27" s="648"/>
      <c r="C27" s="648"/>
      <c r="D27" s="294" t="e">
        <f>#REF!+'SEPTEMBER DIBAYAR OKT 2025 '!T27</f>
        <v>#REF!</v>
      </c>
      <c r="E27" s="294" t="e">
        <f>#REF!+'SEPTEMBER DIBAYAR OKT 2025 '!U27</f>
        <v>#REF!</v>
      </c>
    </row>
    <row r="28" spans="1:5" ht="24.75" hidden="1" customHeight="1">
      <c r="A28" s="279"/>
      <c r="B28" s="651"/>
      <c r="C28" s="651"/>
      <c r="D28" s="294"/>
      <c r="E28" s="294"/>
    </row>
    <row r="29" spans="1:5" ht="24.75" hidden="1" customHeight="1">
      <c r="A29" s="234" t="s">
        <v>338</v>
      </c>
      <c r="B29" s="648"/>
      <c r="C29" s="648"/>
      <c r="D29" s="294" t="e">
        <f>#REF!+'SEPTEMBER DIBAYAR OKT 2025 '!#REF!</f>
        <v>#REF!</v>
      </c>
      <c r="E29" s="294" t="e">
        <f>#REF!+'SEPTEMBER DIBAYAR OKT 2025 '!#REF!</f>
        <v>#REF!</v>
      </c>
    </row>
    <row r="30" spans="1:5" ht="24.75" hidden="1" customHeight="1">
      <c r="A30" s="279"/>
      <c r="B30" s="651"/>
      <c r="C30" s="651"/>
      <c r="D30" s="294"/>
      <c r="E30" s="294"/>
    </row>
    <row r="31" spans="1:5" ht="24.75" hidden="1" customHeight="1">
      <c r="A31" s="234" t="s">
        <v>99</v>
      </c>
      <c r="B31" s="648"/>
      <c r="C31" s="648"/>
      <c r="D31" s="294" t="e">
        <f>#REF!+'SEPTEMBER DIBAYAR OKT 2025 '!T29</f>
        <v>#REF!</v>
      </c>
      <c r="E31" s="294" t="e">
        <f>#REF!+'SEPTEMBER DIBAYAR OKT 2025 '!U29</f>
        <v>#REF!</v>
      </c>
    </row>
    <row r="32" spans="1:5" ht="24.75" hidden="1" customHeight="1" thickBot="1">
      <c r="A32" s="279"/>
      <c r="B32" s="651"/>
      <c r="C32" s="651"/>
      <c r="D32" s="302"/>
      <c r="E32" s="302"/>
    </row>
    <row r="33" spans="1:5" ht="24.75" hidden="1" customHeight="1" thickTop="1" thickBot="1">
      <c r="A33" s="261" t="s">
        <v>3</v>
      </c>
      <c r="B33" s="652"/>
      <c r="C33" s="652"/>
      <c r="D33" s="265" t="e">
        <f t="shared" ref="D33:E33" si="0">SUM(D8:D32)</f>
        <v>#REF!</v>
      </c>
      <c r="E33" s="265" t="e">
        <f t="shared" si="0"/>
        <v>#REF!</v>
      </c>
    </row>
    <row r="34" spans="1:5" ht="24.75" hidden="1" customHeight="1" thickTop="1">
      <c r="A34" s="356"/>
      <c r="B34" s="653"/>
      <c r="C34" s="653"/>
      <c r="D34" s="359"/>
      <c r="E34" s="359"/>
    </row>
    <row r="35" spans="1:5" ht="24.75" hidden="1" customHeight="1">
      <c r="A35" s="362" t="s">
        <v>95</v>
      </c>
      <c r="B35" s="654"/>
      <c r="C35" s="654"/>
      <c r="D35" s="289" t="e">
        <f>#REF!+'SEPTEMBER DIBAYAR OKT 2025 '!T56</f>
        <v>#REF!</v>
      </c>
      <c r="E35" s="289" t="e">
        <f>#REF!+'SEPTEMBER DIBAYAR OKT 2025 '!U56</f>
        <v>#REF!</v>
      </c>
    </row>
    <row r="36" spans="1:5" ht="24.75" hidden="1" customHeight="1">
      <c r="A36" s="363"/>
      <c r="B36" s="653"/>
      <c r="C36" s="653"/>
      <c r="D36" s="289"/>
      <c r="E36" s="289"/>
    </row>
    <row r="37" spans="1:5" s="242" customFormat="1" ht="24.75" hidden="1" customHeight="1">
      <c r="A37" s="362" t="s">
        <v>102</v>
      </c>
      <c r="B37" s="654"/>
      <c r="C37" s="654"/>
      <c r="D37" s="289" t="e">
        <f>#REF!+'SEPTEMBER DIBAYAR OKT 2025 '!T58</f>
        <v>#REF!</v>
      </c>
      <c r="E37" s="289" t="e">
        <f>#REF!+'SEPTEMBER DIBAYAR OKT 2025 '!U58</f>
        <v>#REF!</v>
      </c>
    </row>
    <row r="38" spans="1:5" s="242" customFormat="1" ht="24.75" hidden="1" customHeight="1">
      <c r="A38" s="362"/>
      <c r="B38" s="654"/>
      <c r="C38" s="654"/>
      <c r="D38" s="289"/>
      <c r="E38" s="289"/>
    </row>
    <row r="39" spans="1:5" s="242" customFormat="1" ht="24.75" hidden="1" customHeight="1">
      <c r="A39" s="362" t="s">
        <v>213</v>
      </c>
      <c r="B39" s="654"/>
      <c r="C39" s="654"/>
      <c r="D39" s="289" t="e">
        <f>#REF!+'SEPTEMBER DIBAYAR OKT 2025 '!#REF!</f>
        <v>#REF!</v>
      </c>
      <c r="E39" s="289" t="e">
        <f>#REF!+'SEPTEMBER DIBAYAR OKT 2025 '!#REF!</f>
        <v>#REF!</v>
      </c>
    </row>
    <row r="40" spans="1:5" s="242" customFormat="1" ht="24.75" hidden="1" customHeight="1">
      <c r="A40" s="362"/>
      <c r="B40" s="654"/>
      <c r="C40" s="654"/>
      <c r="D40" s="289"/>
      <c r="E40" s="289"/>
    </row>
    <row r="41" spans="1:5" s="242" customFormat="1" ht="24.75" hidden="1" customHeight="1">
      <c r="A41" s="362" t="s">
        <v>174</v>
      </c>
      <c r="B41" s="654"/>
      <c r="C41" s="654"/>
      <c r="D41" s="289" t="e">
        <f>#REF!+'SEPTEMBER DIBAYAR OKT 2025 '!T60</f>
        <v>#REF!</v>
      </c>
      <c r="E41" s="289" t="e">
        <f>#REF!+'SEPTEMBER DIBAYAR OKT 2025 '!U60</f>
        <v>#REF!</v>
      </c>
    </row>
    <row r="42" spans="1:5" s="242" customFormat="1" ht="24.75" hidden="1" customHeight="1">
      <c r="A42" s="362"/>
      <c r="B42" s="654"/>
      <c r="C42" s="654"/>
      <c r="D42" s="289"/>
      <c r="E42" s="289"/>
    </row>
    <row r="43" spans="1:5" s="242" customFormat="1" ht="24.75" hidden="1" customHeight="1">
      <c r="A43" s="362" t="s">
        <v>151</v>
      </c>
      <c r="B43" s="654"/>
      <c r="C43" s="654"/>
      <c r="D43" s="289" t="e">
        <f>#REF!+'SEPTEMBER DIBAYAR OKT 2025 '!#REF!</f>
        <v>#REF!</v>
      </c>
      <c r="E43" s="289" t="e">
        <f>#REF!+'SEPTEMBER DIBAYAR OKT 2025 '!#REF!</f>
        <v>#REF!</v>
      </c>
    </row>
    <row r="44" spans="1:5" s="242" customFormat="1" ht="24.75" hidden="1" customHeight="1">
      <c r="A44" s="362"/>
      <c r="B44" s="654"/>
      <c r="C44" s="654"/>
      <c r="D44" s="289"/>
      <c r="E44" s="289"/>
    </row>
    <row r="45" spans="1:5" s="242" customFormat="1" ht="24.75" hidden="1" customHeight="1">
      <c r="A45" s="362" t="s">
        <v>173</v>
      </c>
      <c r="B45" s="654"/>
      <c r="C45" s="654"/>
      <c r="D45" s="289" t="e">
        <f>#REF!+'SEPTEMBER DIBAYAR OKT 2025 '!T68</f>
        <v>#REF!</v>
      </c>
      <c r="E45" s="289" t="e">
        <f>#REF!+'SEPTEMBER DIBAYAR OKT 2025 '!U68</f>
        <v>#REF!</v>
      </c>
    </row>
    <row r="46" spans="1:5" ht="24.75" hidden="1" customHeight="1">
      <c r="A46" s="362"/>
      <c r="B46" s="654"/>
      <c r="C46" s="654"/>
      <c r="D46" s="289"/>
      <c r="E46" s="289"/>
    </row>
    <row r="47" spans="1:5" ht="24.75" hidden="1" customHeight="1">
      <c r="A47" s="362" t="s">
        <v>94</v>
      </c>
      <c r="B47" s="654"/>
      <c r="C47" s="654"/>
      <c r="D47" s="289" t="e">
        <f>#REF!+'SEPTEMBER DIBAYAR OKT 2025 '!T72</f>
        <v>#REF!</v>
      </c>
      <c r="E47" s="289" t="e">
        <f>#REF!+'SEPTEMBER DIBAYAR OKT 2025 '!U72</f>
        <v>#REF!</v>
      </c>
    </row>
    <row r="48" spans="1:5" s="242" customFormat="1" ht="24.75" hidden="1" customHeight="1">
      <c r="A48" s="362"/>
      <c r="B48" s="654"/>
      <c r="C48" s="654"/>
      <c r="D48" s="289"/>
      <c r="E48" s="289"/>
    </row>
    <row r="49" spans="1:6" s="242" customFormat="1" ht="24.75" hidden="1" customHeight="1">
      <c r="A49" s="362" t="s">
        <v>152</v>
      </c>
      <c r="B49" s="654"/>
      <c r="C49" s="654"/>
      <c r="D49" s="289" t="e">
        <f>#REF!+'SEPTEMBER DIBAYAR OKT 2025 '!#REF!</f>
        <v>#REF!</v>
      </c>
      <c r="E49" s="289" t="e">
        <f>#REF!+'SEPTEMBER DIBAYAR OKT 2025 '!#REF!</f>
        <v>#REF!</v>
      </c>
      <c r="F49" s="242">
        <f>37+31</f>
        <v>68</v>
      </c>
    </row>
    <row r="50" spans="1:6" s="242" customFormat="1" ht="24.75" hidden="1" customHeight="1">
      <c r="A50" s="362"/>
      <c r="B50" s="654"/>
      <c r="C50" s="654"/>
      <c r="D50" s="289" t="e">
        <f>#REF!+'SEPTEMBER DIBAYAR OKT 2025 '!#REF!</f>
        <v>#REF!</v>
      </c>
      <c r="E50" s="289" t="e">
        <f>#REF!+'SEPTEMBER DIBAYAR OKT 2025 '!#REF!</f>
        <v>#REF!</v>
      </c>
    </row>
    <row r="51" spans="1:6" ht="24.75" hidden="1" customHeight="1">
      <c r="A51" s="362" t="s">
        <v>176</v>
      </c>
      <c r="B51" s="654"/>
      <c r="C51" s="654"/>
      <c r="D51" s="289" t="e">
        <f>#REF!+'SEPTEMBER DIBAYAR OKT 2025 '!T80</f>
        <v>#REF!</v>
      </c>
      <c r="E51" s="289" t="e">
        <f>#REF!+'SEPTEMBER DIBAYAR OKT 2025 '!U80</f>
        <v>#REF!</v>
      </c>
    </row>
    <row r="52" spans="1:6" ht="24.75" hidden="1" customHeight="1">
      <c r="A52" s="362"/>
      <c r="B52" s="654"/>
      <c r="C52" s="654"/>
      <c r="D52" s="289" t="e">
        <f>#REF!+'SEPTEMBER DIBAYAR OKT 2025 '!#REF!</f>
        <v>#REF!</v>
      </c>
      <c r="E52" s="289" t="e">
        <f>#REF!+'SEPTEMBER DIBAYAR OKT 2025 '!#REF!</f>
        <v>#REF!</v>
      </c>
    </row>
    <row r="53" spans="1:6" s="242" customFormat="1" ht="24.75" hidden="1" customHeight="1">
      <c r="A53" s="362" t="s">
        <v>175</v>
      </c>
      <c r="B53" s="654"/>
      <c r="C53" s="654"/>
      <c r="D53" s="289" t="e">
        <f>#REF!+'SEPTEMBER DIBAYAR OKT 2025 '!T82</f>
        <v>#REF!</v>
      </c>
      <c r="E53" s="289" t="e">
        <f>#REF!+'SEPTEMBER DIBAYAR OKT 2025 '!U82</f>
        <v>#REF!</v>
      </c>
    </row>
    <row r="54" spans="1:6" s="242" customFormat="1" ht="24.75" hidden="1" customHeight="1">
      <c r="A54" s="362"/>
      <c r="B54" s="654"/>
      <c r="C54" s="654"/>
      <c r="D54" s="289" t="e">
        <f>#REF!+'SEPTEMBER DIBAYAR OKT 2025 '!#REF!</f>
        <v>#REF!</v>
      </c>
      <c r="E54" s="289" t="e">
        <f>#REF!+'SEPTEMBER DIBAYAR OKT 2025 '!#REF!</f>
        <v>#REF!</v>
      </c>
    </row>
    <row r="55" spans="1:6" s="242" customFormat="1" ht="24.75" hidden="1" customHeight="1">
      <c r="A55" s="362" t="s">
        <v>161</v>
      </c>
      <c r="B55" s="654"/>
      <c r="C55" s="654"/>
      <c r="D55" s="289" t="e">
        <f>#REF!+'SEPTEMBER DIBAYAR OKT 2025 '!T84</f>
        <v>#REF!</v>
      </c>
      <c r="E55" s="289" t="e">
        <f>#REF!+'SEPTEMBER DIBAYAR OKT 2025 '!U84</f>
        <v>#REF!</v>
      </c>
    </row>
    <row r="56" spans="1:6" ht="24.75" hidden="1" customHeight="1">
      <c r="A56" s="362"/>
      <c r="B56" s="654"/>
      <c r="C56" s="654"/>
      <c r="D56" s="289"/>
      <c r="E56" s="289"/>
    </row>
    <row r="57" spans="1:6" s="242" customFormat="1" ht="24.75" hidden="1" customHeight="1">
      <c r="A57" s="362" t="s">
        <v>93</v>
      </c>
      <c r="B57" s="654"/>
      <c r="C57" s="654"/>
      <c r="D57" s="289" t="e">
        <f>#REF!+'SEPTEMBER DIBAYAR OKT 2025 '!#REF!</f>
        <v>#REF!</v>
      </c>
      <c r="E57" s="289" t="e">
        <f>#REF!+'SEPTEMBER DIBAYAR OKT 2025 '!#REF!</f>
        <v>#REF!</v>
      </c>
    </row>
    <row r="58" spans="1:6" s="242" customFormat="1" ht="24.75" hidden="1" customHeight="1" thickBot="1">
      <c r="A58" s="644"/>
      <c r="B58" s="655"/>
      <c r="C58" s="655"/>
      <c r="D58" s="370"/>
      <c r="E58" s="370"/>
    </row>
    <row r="59" spans="1:6" s="242" customFormat="1" ht="24.75" hidden="1" customHeight="1" thickBot="1">
      <c r="A59" s="645"/>
      <c r="B59" s="656"/>
      <c r="C59" s="656"/>
      <c r="D59" s="646" t="e">
        <f>SUM(D35:D58)</f>
        <v>#REF!</v>
      </c>
      <c r="E59" s="646" t="e">
        <f>SUM(E35:E58)</f>
        <v>#REF!</v>
      </c>
    </row>
    <row r="60" spans="1:6" ht="27" hidden="1" customHeight="1">
      <c r="A60" s="226"/>
      <c r="B60" s="657"/>
      <c r="C60" s="657"/>
      <c r="D60" s="229"/>
      <c r="E60" s="337"/>
    </row>
    <row r="61" spans="1:6" s="242" customFormat="1" ht="27" hidden="1" customHeight="1">
      <c r="A61" s="234" t="s">
        <v>169</v>
      </c>
      <c r="B61" s="658"/>
      <c r="C61" s="658"/>
      <c r="D61" s="237" t="e">
        <f>#REF!+'SEPTEMBER DIBAYAR OKT 2025 '!T111</f>
        <v>#REF!</v>
      </c>
      <c r="E61" s="237" t="e">
        <f>#REF!+'SEPTEMBER DIBAYAR OKT 2025 '!U111</f>
        <v>#REF!</v>
      </c>
    </row>
    <row r="62" spans="1:6" s="242" customFormat="1" ht="27" hidden="1" customHeight="1">
      <c r="A62" s="234"/>
      <c r="B62" s="658"/>
      <c r="C62" s="658"/>
      <c r="D62" s="237"/>
      <c r="E62" s="237"/>
    </row>
    <row r="63" spans="1:6" s="242" customFormat="1" ht="27" hidden="1" customHeight="1">
      <c r="A63" s="234" t="s">
        <v>159</v>
      </c>
      <c r="B63" s="658"/>
      <c r="C63" s="658"/>
      <c r="D63" s="237" t="e">
        <f>#REF!+'SEPTEMBER DIBAYAR OKT 2025 '!T113</f>
        <v>#REF!</v>
      </c>
      <c r="E63" s="237" t="e">
        <f>#REF!+'SEPTEMBER DIBAYAR OKT 2025 '!U113</f>
        <v>#REF!</v>
      </c>
    </row>
    <row r="64" spans="1:6" s="242" customFormat="1" ht="27" hidden="1" customHeight="1">
      <c r="A64" s="234"/>
      <c r="B64" s="658"/>
      <c r="C64" s="658"/>
      <c r="D64" s="237"/>
      <c r="E64" s="237"/>
    </row>
    <row r="65" spans="1:5" s="242" customFormat="1" ht="27" hidden="1" customHeight="1">
      <c r="A65" s="234" t="s">
        <v>171</v>
      </c>
      <c r="B65" s="658"/>
      <c r="C65" s="658"/>
      <c r="D65" s="237" t="e">
        <f>#REF!+'SEPTEMBER DIBAYAR OKT 2025 '!#REF!</f>
        <v>#REF!</v>
      </c>
      <c r="E65" s="237" t="e">
        <f>#REF!+'SEPTEMBER DIBAYAR OKT 2025 '!#REF!</f>
        <v>#REF!</v>
      </c>
    </row>
    <row r="66" spans="1:5" s="242" customFormat="1" ht="27" hidden="1" customHeight="1">
      <c r="A66" s="234"/>
      <c r="B66" s="658"/>
      <c r="C66" s="658"/>
      <c r="D66" s="237"/>
      <c r="E66" s="237"/>
    </row>
    <row r="67" spans="1:5" ht="27" hidden="1" customHeight="1">
      <c r="A67" s="234" t="s">
        <v>212</v>
      </c>
      <c r="B67" s="658"/>
      <c r="C67" s="658"/>
      <c r="D67" s="237" t="e">
        <f>#REF!+'SEPTEMBER DIBAYAR OKT 2025 '!T117</f>
        <v>#REF!</v>
      </c>
      <c r="E67" s="237" t="e">
        <f>#REF!+'SEPTEMBER DIBAYAR OKT 2025 '!U117</f>
        <v>#REF!</v>
      </c>
    </row>
    <row r="68" spans="1:5" s="242" customFormat="1" ht="27" hidden="1" customHeight="1">
      <c r="A68" s="250"/>
      <c r="B68" s="659"/>
      <c r="C68" s="659"/>
      <c r="D68" s="237"/>
      <c r="E68" s="237"/>
    </row>
    <row r="69" spans="1:5" ht="27" hidden="1" customHeight="1">
      <c r="A69" s="234" t="s">
        <v>374</v>
      </c>
      <c r="B69" s="658"/>
      <c r="C69" s="658"/>
      <c r="D69" s="237" t="e">
        <f>#REF!+'SEPTEMBER DIBAYAR OKT 2025 '!#REF!</f>
        <v>#REF!</v>
      </c>
      <c r="E69" s="237" t="e">
        <f>#REF!+'SEPTEMBER DIBAYAR OKT 2025 '!#REF!</f>
        <v>#REF!</v>
      </c>
    </row>
    <row r="70" spans="1:5" ht="27" hidden="1" customHeight="1">
      <c r="D70" s="237"/>
      <c r="E70" s="237"/>
    </row>
    <row r="71" spans="1:5" ht="27" hidden="1" customHeight="1">
      <c r="A71" s="234" t="s">
        <v>170</v>
      </c>
      <c r="B71" s="658"/>
      <c r="C71" s="658"/>
      <c r="D71" s="237" t="e">
        <f>#REF!+'SEPTEMBER DIBAYAR OKT 2025 '!T121</f>
        <v>#REF!</v>
      </c>
      <c r="E71" s="237" t="e">
        <f>#REF!+'SEPTEMBER DIBAYAR OKT 2025 '!U121</f>
        <v>#REF!</v>
      </c>
    </row>
    <row r="72" spans="1:5" ht="27" hidden="1" customHeight="1">
      <c r="A72" s="250"/>
      <c r="B72" s="659"/>
      <c r="C72" s="659"/>
      <c r="D72" s="237"/>
      <c r="E72" s="237"/>
    </row>
    <row r="73" spans="1:5" ht="27" hidden="1" customHeight="1">
      <c r="A73" s="234" t="s">
        <v>248</v>
      </c>
      <c r="B73" s="658"/>
      <c r="C73" s="658"/>
      <c r="D73" s="237" t="e">
        <f>#REF!+'SEPTEMBER DIBAYAR OKT 2025 '!T123</f>
        <v>#REF!</v>
      </c>
      <c r="E73" s="237" t="e">
        <f>#REF!+'SEPTEMBER DIBAYAR OKT 2025 '!U123</f>
        <v>#REF!</v>
      </c>
    </row>
    <row r="74" spans="1:5" ht="27" hidden="1" customHeight="1">
      <c r="A74" s="250"/>
      <c r="B74" s="659"/>
      <c r="C74" s="659"/>
      <c r="D74" s="237"/>
      <c r="E74" s="237"/>
    </row>
    <row r="75" spans="1:5" s="242" customFormat="1" ht="27" hidden="1" customHeight="1">
      <c r="A75" s="234" t="s">
        <v>172</v>
      </c>
      <c r="B75" s="658"/>
      <c r="C75" s="658"/>
      <c r="D75" s="237" t="e">
        <f>#REF!+'SEPTEMBER DIBAYAR OKT 2025 '!T127</f>
        <v>#REF!</v>
      </c>
      <c r="E75" s="237" t="e">
        <f>#REF!+'SEPTEMBER DIBAYAR OKT 2025 '!U127</f>
        <v>#REF!</v>
      </c>
    </row>
    <row r="76" spans="1:5" s="242" customFormat="1" ht="27" hidden="1" customHeight="1">
      <c r="A76" s="234"/>
      <c r="B76" s="658"/>
      <c r="C76" s="658"/>
      <c r="D76" s="237"/>
      <c r="E76" s="237"/>
    </row>
    <row r="77" spans="1:5" s="242" customFormat="1" ht="27" hidden="1" customHeight="1">
      <c r="A77" s="234" t="s">
        <v>160</v>
      </c>
      <c r="B77" s="658"/>
      <c r="C77" s="658"/>
      <c r="D77" s="237" t="e">
        <f>#REF!+'SEPTEMBER DIBAYAR OKT 2025 '!#REF!</f>
        <v>#REF!</v>
      </c>
      <c r="E77" s="237" t="e">
        <f>#REF!+'SEPTEMBER DIBAYAR OKT 2025 '!#REF!</f>
        <v>#REF!</v>
      </c>
    </row>
    <row r="78" spans="1:5" s="242" customFormat="1" ht="27" hidden="1" customHeight="1">
      <c r="A78" s="234"/>
      <c r="B78" s="658"/>
      <c r="C78" s="658"/>
      <c r="D78" s="237"/>
      <c r="E78" s="237"/>
    </row>
    <row r="79" spans="1:5" s="242" customFormat="1" ht="27" hidden="1" customHeight="1">
      <c r="A79" s="234" t="s">
        <v>90</v>
      </c>
      <c r="B79" s="658"/>
      <c r="C79" s="658"/>
      <c r="D79" s="237" t="e">
        <f>#REF!+'SEPTEMBER DIBAYAR OKT 2025 '!T133</f>
        <v>#REF!</v>
      </c>
      <c r="E79" s="237" t="e">
        <f>#REF!+'SEPTEMBER DIBAYAR OKT 2025 '!U133</f>
        <v>#REF!</v>
      </c>
    </row>
    <row r="80" spans="1:5" s="242" customFormat="1" ht="27" hidden="1" customHeight="1" thickBot="1">
      <c r="A80" s="234"/>
      <c r="B80" s="660"/>
      <c r="C80" s="660"/>
      <c r="D80" s="333"/>
      <c r="E80" s="244"/>
    </row>
    <row r="81" spans="1:5" ht="33.75" hidden="1" customHeight="1" thickTop="1" thickBot="1">
      <c r="A81" s="261" t="s">
        <v>3</v>
      </c>
      <c r="B81" s="652"/>
      <c r="C81" s="652"/>
      <c r="D81" s="265" t="e">
        <f t="shared" ref="D81:E81" si="1">SUM(D60:D80)</f>
        <v>#REF!</v>
      </c>
      <c r="E81" s="265" t="e">
        <f t="shared" si="1"/>
        <v>#REF!</v>
      </c>
    </row>
    <row r="82" spans="1:5" ht="29.25" hidden="1" customHeight="1" thickTop="1">
      <c r="A82" s="268"/>
      <c r="B82" s="339"/>
      <c r="C82" s="339"/>
      <c r="D82" s="271"/>
      <c r="E82" s="271"/>
    </row>
    <row r="83" spans="1:5" s="242" customFormat="1" ht="29.25" hidden="1" customHeight="1">
      <c r="A83" s="234" t="s">
        <v>156</v>
      </c>
      <c r="B83" s="648"/>
      <c r="C83" s="648"/>
      <c r="D83" s="260" t="e">
        <f>#REF!+'SEPTEMBER DIBAYAR OKT 2025 '!T155</f>
        <v>#REF!</v>
      </c>
      <c r="E83" s="260" t="e">
        <f>#REF!+'SEPTEMBER DIBAYAR OKT 2025 '!U155</f>
        <v>#REF!</v>
      </c>
    </row>
    <row r="84" spans="1:5" s="242" customFormat="1" ht="29.25" hidden="1" customHeight="1">
      <c r="A84" s="234"/>
      <c r="B84" s="648"/>
      <c r="C84" s="648"/>
      <c r="D84" s="260"/>
      <c r="E84" s="260"/>
    </row>
    <row r="85" spans="1:5" s="242" customFormat="1" ht="29.25" hidden="1" customHeight="1">
      <c r="A85" s="234" t="s">
        <v>92</v>
      </c>
      <c r="B85" s="648"/>
      <c r="C85" s="648"/>
      <c r="D85" s="260" t="e">
        <f>#REF!+'SEPTEMBER DIBAYAR OKT 2025 '!T157</f>
        <v>#REF!</v>
      </c>
      <c r="E85" s="260" t="e">
        <f>#REF!+'SEPTEMBER DIBAYAR OKT 2025 '!U157</f>
        <v>#REF!</v>
      </c>
    </row>
    <row r="86" spans="1:5" ht="29.25" hidden="1" customHeight="1">
      <c r="A86" s="276"/>
      <c r="B86" s="650"/>
      <c r="C86" s="650"/>
      <c r="D86" s="260"/>
      <c r="E86" s="260"/>
    </row>
    <row r="87" spans="1:5" ht="29.25" hidden="1" customHeight="1">
      <c r="A87" s="234" t="s">
        <v>330</v>
      </c>
      <c r="B87" s="648"/>
      <c r="C87" s="648"/>
      <c r="D87" s="260" t="e">
        <f>#REF!+'SEPTEMBER DIBAYAR OKT 2025 '!T159</f>
        <v>#REF!</v>
      </c>
      <c r="E87" s="260" t="e">
        <f>#REF!+'SEPTEMBER DIBAYAR OKT 2025 '!U159</f>
        <v>#REF!</v>
      </c>
    </row>
    <row r="88" spans="1:5" s="242" customFormat="1" ht="29.25" hidden="1" customHeight="1">
      <c r="A88" s="234"/>
      <c r="B88" s="648"/>
      <c r="C88" s="648"/>
      <c r="D88" s="260"/>
      <c r="E88" s="260"/>
    </row>
    <row r="89" spans="1:5" ht="29.25" hidden="1" customHeight="1">
      <c r="A89" s="234" t="s">
        <v>328</v>
      </c>
      <c r="B89" s="648"/>
      <c r="C89" s="648"/>
      <c r="D89" s="260" t="e">
        <f>#REF!+'SEPTEMBER DIBAYAR OKT 2025 '!#REF!</f>
        <v>#REF!</v>
      </c>
      <c r="E89" s="260" t="e">
        <f>#REF!+'SEPTEMBER DIBAYAR OKT 2025 '!#REF!</f>
        <v>#REF!</v>
      </c>
    </row>
    <row r="90" spans="1:5" ht="29.25" hidden="1" customHeight="1">
      <c r="A90" s="276"/>
      <c r="B90" s="650"/>
      <c r="C90" s="650"/>
      <c r="D90" s="260"/>
      <c r="E90" s="260"/>
    </row>
    <row r="91" spans="1:5" ht="29.25" hidden="1" customHeight="1">
      <c r="A91" s="234" t="s">
        <v>449</v>
      </c>
      <c r="B91" s="648"/>
      <c r="C91" s="648"/>
      <c r="D91" s="260" t="e">
        <f>#REF!+'SEPTEMBER DIBAYAR OKT 2025 '!#REF!</f>
        <v>#REF!</v>
      </c>
      <c r="E91" s="260" t="e">
        <f>#REF!+'SEPTEMBER DIBAYAR OKT 2025 '!#REF!</f>
        <v>#REF!</v>
      </c>
    </row>
    <row r="92" spans="1:5" ht="29.25" hidden="1" customHeight="1">
      <c r="A92" s="276"/>
      <c r="B92" s="650"/>
      <c r="C92" s="650"/>
      <c r="D92" s="260"/>
      <c r="E92" s="260"/>
    </row>
    <row r="93" spans="1:5" ht="29.25" hidden="1" customHeight="1">
      <c r="A93" s="234" t="s">
        <v>419</v>
      </c>
      <c r="B93" s="648"/>
      <c r="C93" s="648"/>
      <c r="D93" s="260" t="e">
        <f>#REF!+'SEPTEMBER DIBAYAR OKT 2025 '!T163</f>
        <v>#REF!</v>
      </c>
      <c r="E93" s="260" t="e">
        <f>#REF!+'SEPTEMBER DIBAYAR OKT 2025 '!U163</f>
        <v>#REF!</v>
      </c>
    </row>
    <row r="94" spans="1:5" ht="29.25" hidden="1" customHeight="1">
      <c r="A94" s="276"/>
      <c r="B94" s="650"/>
      <c r="C94" s="650"/>
      <c r="D94" s="260"/>
      <c r="E94" s="260"/>
    </row>
    <row r="95" spans="1:5" s="242" customFormat="1" ht="29.25" hidden="1" customHeight="1">
      <c r="A95" s="234" t="s">
        <v>450</v>
      </c>
      <c r="B95" s="648"/>
      <c r="C95" s="648"/>
      <c r="D95" s="260" t="e">
        <f>#REF!+'SEPTEMBER DIBAYAR OKT 2025 '!T173</f>
        <v>#REF!</v>
      </c>
      <c r="E95" s="260" t="e">
        <f>#REF!+'SEPTEMBER DIBAYAR OKT 2025 '!U173</f>
        <v>#REF!</v>
      </c>
    </row>
    <row r="96" spans="1:5" s="242" customFormat="1" ht="29.25" hidden="1" customHeight="1" thickBot="1">
      <c r="A96" s="279"/>
      <c r="B96" s="651"/>
      <c r="C96" s="651"/>
      <c r="D96" s="260"/>
      <c r="E96" s="260"/>
    </row>
    <row r="97" spans="1:5" ht="29.25" hidden="1" customHeight="1" thickTop="1" thickBot="1">
      <c r="A97" s="261" t="s">
        <v>3</v>
      </c>
      <c r="B97" s="652"/>
      <c r="C97" s="652"/>
      <c r="D97" s="265" t="e">
        <f t="shared" ref="D97:E97" si="2">SUM(D82:D96)</f>
        <v>#REF!</v>
      </c>
      <c r="E97" s="265" t="e">
        <f t="shared" si="2"/>
        <v>#REF!</v>
      </c>
    </row>
    <row r="98" spans="1:5" ht="24.75" hidden="1" customHeight="1" thickTop="1">
      <c r="A98" s="299" t="s">
        <v>144</v>
      </c>
      <c r="B98" s="339"/>
      <c r="C98" s="339"/>
      <c r="D98" s="271"/>
      <c r="E98" s="271"/>
    </row>
    <row r="99" spans="1:5" s="242" customFormat="1" ht="24.75" hidden="1" customHeight="1">
      <c r="A99" s="234" t="s">
        <v>178</v>
      </c>
      <c r="B99" s="648"/>
      <c r="C99" s="648"/>
      <c r="D99" s="260" t="e">
        <f>#REF!+'SEPTEMBER DIBAYAR OKT 2025 '!T196</f>
        <v>#REF!</v>
      </c>
      <c r="E99" s="260" t="e">
        <f>#REF!+'SEPTEMBER DIBAYAR OKT 2025 '!U196</f>
        <v>#REF!</v>
      </c>
    </row>
    <row r="100" spans="1:5" ht="24.75" hidden="1" customHeight="1">
      <c r="A100" s="234"/>
      <c r="B100" s="648"/>
      <c r="C100" s="648"/>
      <c r="D100" s="260"/>
      <c r="E100" s="260"/>
    </row>
    <row r="101" spans="1:5" ht="24.75" hidden="1" customHeight="1">
      <c r="A101" s="234" t="s">
        <v>441</v>
      </c>
      <c r="B101" s="648"/>
      <c r="C101" s="648"/>
      <c r="D101" s="260" t="e">
        <f>#REF!+'SEPTEMBER DIBAYAR OKT 2025 '!#REF!</f>
        <v>#REF!</v>
      </c>
      <c r="E101" s="260" t="e">
        <f>#REF!+'SEPTEMBER DIBAYAR OKT 2025 '!#REF!</f>
        <v>#REF!</v>
      </c>
    </row>
    <row r="102" spans="1:5" ht="24.75" hidden="1" customHeight="1">
      <c r="A102" s="234"/>
      <c r="B102" s="648"/>
      <c r="C102" s="648"/>
      <c r="D102" s="260"/>
      <c r="E102" s="260"/>
    </row>
    <row r="103" spans="1:5" s="242" customFormat="1" ht="24.75" hidden="1" customHeight="1">
      <c r="A103" s="234" t="s">
        <v>104</v>
      </c>
      <c r="B103" s="648"/>
      <c r="C103" s="648"/>
      <c r="D103" s="260" t="e">
        <f>#REF!+'SEPTEMBER DIBAYAR OKT 2025 '!T200</f>
        <v>#REF!</v>
      </c>
      <c r="E103" s="260" t="e">
        <f>#REF!+'SEPTEMBER DIBAYAR OKT 2025 '!U200</f>
        <v>#REF!</v>
      </c>
    </row>
    <row r="104" spans="1:5" s="242" customFormat="1" ht="24.75" hidden="1" customHeight="1">
      <c r="A104" s="234"/>
      <c r="B104" s="648"/>
      <c r="C104" s="648"/>
      <c r="D104" s="260"/>
      <c r="E104" s="260"/>
    </row>
    <row r="105" spans="1:5" s="242" customFormat="1" ht="24.75" hidden="1" customHeight="1">
      <c r="A105" s="234" t="s">
        <v>179</v>
      </c>
      <c r="B105" s="648"/>
      <c r="C105" s="648"/>
      <c r="D105" s="260" t="e">
        <f>#REF!+'SEPTEMBER DIBAYAR OKT 2025 '!T202</f>
        <v>#REF!</v>
      </c>
      <c r="E105" s="260" t="e">
        <f>#REF!+'SEPTEMBER DIBAYAR OKT 2025 '!U202</f>
        <v>#REF!</v>
      </c>
    </row>
    <row r="106" spans="1:5" ht="24.75" hidden="1" customHeight="1">
      <c r="A106" s="234"/>
      <c r="B106" s="648"/>
      <c r="C106" s="648"/>
      <c r="D106" s="260"/>
      <c r="E106" s="260"/>
    </row>
    <row r="107" spans="1:5" ht="24.75" hidden="1" customHeight="1">
      <c r="A107" s="234" t="s">
        <v>183</v>
      </c>
      <c r="B107" s="648"/>
      <c r="C107" s="648"/>
      <c r="D107" s="260" t="e">
        <f>#REF!+'SEPTEMBER DIBAYAR OKT 2025 '!T204</f>
        <v>#REF!</v>
      </c>
      <c r="E107" s="260" t="e">
        <f>#REF!+'SEPTEMBER DIBAYAR OKT 2025 '!U204</f>
        <v>#REF!</v>
      </c>
    </row>
    <row r="108" spans="1:5" ht="24.75" hidden="1" customHeight="1">
      <c r="A108" s="276"/>
      <c r="B108" s="650"/>
      <c r="C108" s="650"/>
      <c r="D108" s="260"/>
      <c r="E108" s="260"/>
    </row>
    <row r="109" spans="1:5" s="242" customFormat="1" ht="24.75" hidden="1" customHeight="1">
      <c r="A109" s="234" t="s">
        <v>105</v>
      </c>
      <c r="B109" s="648"/>
      <c r="C109" s="648"/>
      <c r="D109" s="260" t="e">
        <f>#REF!+'SEPTEMBER DIBAYAR OKT 2025 '!T206</f>
        <v>#REF!</v>
      </c>
      <c r="E109" s="260" t="e">
        <f>#REF!+'SEPTEMBER DIBAYAR OKT 2025 '!U206</f>
        <v>#REF!</v>
      </c>
    </row>
    <row r="110" spans="1:5" ht="24.75" hidden="1" customHeight="1">
      <c r="A110" s="276"/>
      <c r="B110" s="650"/>
      <c r="C110" s="650"/>
      <c r="D110" s="260"/>
      <c r="E110" s="260"/>
    </row>
    <row r="111" spans="1:5" s="242" customFormat="1" ht="24.75" hidden="1" customHeight="1">
      <c r="A111" s="234" t="s">
        <v>182</v>
      </c>
      <c r="B111" s="648"/>
      <c r="C111" s="648"/>
      <c r="D111" s="260" t="e">
        <f>#REF!+'SEPTEMBER DIBAYAR OKT 2025 '!T212</f>
        <v>#REF!</v>
      </c>
      <c r="E111" s="260" t="e">
        <f>#REF!+'SEPTEMBER DIBAYAR OKT 2025 '!U212</f>
        <v>#REF!</v>
      </c>
    </row>
    <row r="112" spans="1:5" s="242" customFormat="1" ht="24.75" hidden="1" customHeight="1">
      <c r="A112" s="234"/>
      <c r="B112" s="648"/>
      <c r="C112" s="648"/>
      <c r="D112" s="260"/>
      <c r="E112" s="260"/>
    </row>
    <row r="113" spans="1:5" s="242" customFormat="1" ht="24.75" hidden="1" customHeight="1">
      <c r="A113" s="234" t="s">
        <v>442</v>
      </c>
      <c r="B113" s="648"/>
      <c r="C113" s="648"/>
      <c r="D113" s="260" t="e">
        <f>#REF!+'SEPTEMBER DIBAYAR OKT 2025 '!#REF!</f>
        <v>#REF!</v>
      </c>
      <c r="E113" s="260" t="e">
        <f>#REF!+'SEPTEMBER DIBAYAR OKT 2025 '!#REF!</f>
        <v>#REF!</v>
      </c>
    </row>
    <row r="114" spans="1:5" s="242" customFormat="1" ht="24.75" hidden="1" customHeight="1">
      <c r="A114" s="234"/>
      <c r="B114" s="648"/>
      <c r="C114" s="648"/>
      <c r="D114" s="260"/>
      <c r="E114" s="260"/>
    </row>
    <row r="115" spans="1:5" s="242" customFormat="1" ht="24.75" hidden="1" customHeight="1">
      <c r="A115" s="234" t="s">
        <v>181</v>
      </c>
      <c r="B115" s="648"/>
      <c r="C115" s="648"/>
      <c r="D115" s="260" t="e">
        <f>#REF!+'SEPTEMBER DIBAYAR OKT 2025 '!T216</f>
        <v>#REF!</v>
      </c>
      <c r="E115" s="260" t="e">
        <f>#REF!+'SEPTEMBER DIBAYAR OKT 2025 '!U216</f>
        <v>#REF!</v>
      </c>
    </row>
    <row r="116" spans="1:5" s="242" customFormat="1" ht="24.75" hidden="1" customHeight="1">
      <c r="A116" s="234"/>
      <c r="B116" s="648"/>
      <c r="C116" s="648"/>
      <c r="D116" s="260"/>
      <c r="E116" s="260"/>
    </row>
    <row r="117" spans="1:5" s="242" customFormat="1" ht="24.75" hidden="1" customHeight="1">
      <c r="A117" s="234" t="s">
        <v>109</v>
      </c>
      <c r="B117" s="648"/>
      <c r="C117" s="648"/>
      <c r="D117" s="260" t="e">
        <f>#REF!+'SEPTEMBER DIBAYAR OKT 2025 '!T220</f>
        <v>#REF!</v>
      </c>
      <c r="E117" s="260" t="e">
        <f>#REF!+'SEPTEMBER DIBAYAR OKT 2025 '!U220</f>
        <v>#REF!</v>
      </c>
    </row>
    <row r="118" spans="1:5" s="242" customFormat="1" ht="24.75" hidden="1" customHeight="1">
      <c r="A118" s="234"/>
      <c r="B118" s="648"/>
      <c r="C118" s="648"/>
      <c r="D118" s="260"/>
      <c r="E118" s="260"/>
    </row>
    <row r="119" spans="1:5" ht="24.75" hidden="1" customHeight="1">
      <c r="A119" s="234" t="s">
        <v>180</v>
      </c>
      <c r="B119" s="648"/>
      <c r="C119" s="648"/>
      <c r="D119" s="260" t="e">
        <f>#REF!+'SEPTEMBER DIBAYAR OKT 2025 '!T224</f>
        <v>#REF!</v>
      </c>
      <c r="E119" s="260" t="e">
        <f>#REF!+'SEPTEMBER DIBAYAR OKT 2025 '!U224</f>
        <v>#REF!</v>
      </c>
    </row>
    <row r="120" spans="1:5" ht="24.75" hidden="1" customHeight="1" thickBot="1">
      <c r="A120" s="234"/>
      <c r="B120" s="648"/>
      <c r="C120" s="648"/>
      <c r="D120" s="260"/>
      <c r="E120" s="260"/>
    </row>
    <row r="121" spans="1:5" ht="24.75" hidden="1" customHeight="1" thickTop="1" thickBot="1">
      <c r="A121" s="261" t="s">
        <v>3</v>
      </c>
      <c r="B121" s="652"/>
      <c r="C121" s="652"/>
      <c r="D121" s="265" t="e">
        <f t="shared" ref="D121:E121" si="3">SUM(D98:D120)</f>
        <v>#REF!</v>
      </c>
      <c r="E121" s="265" t="e">
        <f t="shared" si="3"/>
        <v>#REF!</v>
      </c>
    </row>
    <row r="122" spans="1:5" ht="24.75" hidden="1" customHeight="1" thickTop="1">
      <c r="A122" s="299"/>
      <c r="B122" s="661"/>
      <c r="C122" s="661"/>
      <c r="D122" s="307"/>
      <c r="E122" s="307"/>
    </row>
    <row r="123" spans="1:5" s="242" customFormat="1" ht="24.75" hidden="1" customHeight="1">
      <c r="A123" s="291" t="s">
        <v>113</v>
      </c>
      <c r="B123" s="662"/>
      <c r="C123" s="662"/>
      <c r="D123" s="294" t="e">
        <f>#REF!+'SEPTEMBER DIBAYAR OKT 2025 '!T245</f>
        <v>#REF!</v>
      </c>
      <c r="E123" s="294" t="e">
        <f>#REF!+'SEPTEMBER DIBAYAR OKT 2025 '!U245</f>
        <v>#REF!</v>
      </c>
    </row>
    <row r="124" spans="1:5" ht="24.75" hidden="1" customHeight="1">
      <c r="A124" s="381"/>
      <c r="B124" s="663"/>
      <c r="C124" s="663"/>
      <c r="D124" s="294"/>
      <c r="E124" s="294"/>
    </row>
    <row r="125" spans="1:5" s="242" customFormat="1" ht="24.75" hidden="1" customHeight="1">
      <c r="A125" s="309" t="s">
        <v>162</v>
      </c>
      <c r="B125" s="664"/>
      <c r="C125" s="664"/>
      <c r="D125" s="294" t="e">
        <f>#REF!+'SEPTEMBER DIBAYAR OKT 2025 '!T247</f>
        <v>#REF!</v>
      </c>
      <c r="E125" s="294" t="e">
        <f>#REF!+'SEPTEMBER DIBAYAR OKT 2025 '!U247</f>
        <v>#REF!</v>
      </c>
    </row>
    <row r="126" spans="1:5" s="242" customFormat="1" ht="24.75" hidden="1" customHeight="1">
      <c r="A126" s="322"/>
      <c r="B126" s="665"/>
      <c r="C126" s="665"/>
      <c r="D126" s="294"/>
      <c r="E126" s="294"/>
    </row>
    <row r="127" spans="1:5" s="242" customFormat="1" ht="24.75" hidden="1" customHeight="1">
      <c r="A127" s="309" t="s">
        <v>224</v>
      </c>
      <c r="B127" s="664"/>
      <c r="C127" s="664"/>
      <c r="D127" s="294" t="e">
        <f>#REF!+'SEPTEMBER DIBAYAR OKT 2025 '!T249</f>
        <v>#REF!</v>
      </c>
      <c r="E127" s="294" t="e">
        <f>#REF!+'SEPTEMBER DIBAYAR OKT 2025 '!U249</f>
        <v>#REF!</v>
      </c>
    </row>
    <row r="128" spans="1:5" s="242" customFormat="1" ht="25.5" hidden="1" customHeight="1">
      <c r="A128" s="381"/>
      <c r="B128" s="663"/>
      <c r="C128" s="663"/>
      <c r="D128" s="294"/>
      <c r="E128" s="294"/>
    </row>
    <row r="129" spans="1:5" s="242" customFormat="1" ht="24.75" hidden="1" customHeight="1">
      <c r="A129" s="309" t="s">
        <v>112</v>
      </c>
      <c r="B129" s="664"/>
      <c r="C129" s="664"/>
      <c r="D129" s="294" t="e">
        <f>#REF!+'SEPTEMBER DIBAYAR OKT 2025 '!T253</f>
        <v>#REF!</v>
      </c>
      <c r="E129" s="294" t="e">
        <f>#REF!+'SEPTEMBER DIBAYAR OKT 2025 '!U253</f>
        <v>#REF!</v>
      </c>
    </row>
    <row r="130" spans="1:5" s="242" customFormat="1" ht="24.75" hidden="1" customHeight="1">
      <c r="A130" s="291"/>
      <c r="B130" s="662"/>
      <c r="C130" s="662"/>
      <c r="D130" s="294"/>
      <c r="E130" s="294"/>
    </row>
    <row r="131" spans="1:5" s="242" customFormat="1" ht="24.75" hidden="1" customHeight="1">
      <c r="A131" s="291" t="s">
        <v>167</v>
      </c>
      <c r="B131" s="662"/>
      <c r="C131" s="662"/>
      <c r="D131" s="294" t="e">
        <f>#REF!+'SEPTEMBER DIBAYAR OKT 2025 '!T255</f>
        <v>#REF!</v>
      </c>
      <c r="E131" s="294" t="e">
        <f>#REF!+'SEPTEMBER DIBAYAR OKT 2025 '!U255</f>
        <v>#REF!</v>
      </c>
    </row>
    <row r="132" spans="1:5" s="242" customFormat="1" ht="24.75" hidden="1" customHeight="1">
      <c r="A132" s="291"/>
      <c r="B132" s="662"/>
      <c r="C132" s="662"/>
      <c r="D132" s="294"/>
      <c r="E132" s="294"/>
    </row>
    <row r="133" spans="1:5" s="242" customFormat="1" ht="24.75" hidden="1" customHeight="1">
      <c r="A133" s="291" t="s">
        <v>225</v>
      </c>
      <c r="B133" s="662"/>
      <c r="C133" s="662"/>
      <c r="D133" s="294" t="e">
        <f>#REF!+'SEPTEMBER DIBAYAR OKT 2025 '!T259</f>
        <v>#REF!</v>
      </c>
      <c r="E133" s="294" t="e">
        <f>#REF!+'SEPTEMBER DIBAYAR OKT 2025 '!U259</f>
        <v>#REF!</v>
      </c>
    </row>
    <row r="134" spans="1:5" s="242" customFormat="1" ht="24.75" hidden="1" customHeight="1" thickBot="1">
      <c r="A134" s="291"/>
      <c r="B134" s="664"/>
      <c r="C134" s="664"/>
      <c r="D134" s="342"/>
      <c r="E134" s="342"/>
    </row>
    <row r="135" spans="1:5" ht="24.75" hidden="1" customHeight="1" thickTop="1" thickBot="1">
      <c r="A135" s="319" t="s">
        <v>3</v>
      </c>
      <c r="B135" s="666"/>
      <c r="C135" s="666"/>
      <c r="D135" s="413" t="e">
        <f>SUM(D122:D134)</f>
        <v>#REF!</v>
      </c>
      <c r="E135" s="413" t="e">
        <f>SUM(E122:E134)</f>
        <v>#REF!</v>
      </c>
    </row>
    <row r="136" spans="1:5" ht="27.75" hidden="1" customHeight="1" thickTop="1">
      <c r="A136" s="287"/>
      <c r="B136" s="667"/>
      <c r="C136" s="667"/>
      <c r="D136" s="307"/>
      <c r="E136" s="307"/>
    </row>
    <row r="137" spans="1:5" s="242" customFormat="1" ht="27.75" hidden="1" customHeight="1">
      <c r="A137" s="287" t="s">
        <v>108</v>
      </c>
      <c r="B137" s="667"/>
      <c r="C137" s="667"/>
      <c r="D137" s="289" t="e">
        <f>#REF!+'SEPTEMBER DIBAYAR OKT 2025 '!T280</f>
        <v>#REF!</v>
      </c>
      <c r="E137" s="289" t="e">
        <f>#REF!+'SEPTEMBER DIBAYAR OKT 2025 '!U280</f>
        <v>#REF!</v>
      </c>
    </row>
    <row r="138" spans="1:5" s="242" customFormat="1" ht="27.75" hidden="1" customHeight="1">
      <c r="A138" s="287"/>
      <c r="B138" s="667"/>
      <c r="C138" s="667"/>
      <c r="D138" s="289"/>
      <c r="E138" s="289"/>
    </row>
    <row r="139" spans="1:5" s="242" customFormat="1" ht="27.75" hidden="1" customHeight="1">
      <c r="A139" s="291" t="s">
        <v>114</v>
      </c>
      <c r="B139" s="667"/>
      <c r="C139" s="667"/>
      <c r="D139" s="289" t="e">
        <f>#REF!+'SEPTEMBER DIBAYAR OKT 2025 '!T282</f>
        <v>#REF!</v>
      </c>
      <c r="E139" s="289" t="e">
        <f>#REF!+'SEPTEMBER DIBAYAR OKT 2025 '!U282</f>
        <v>#REF!</v>
      </c>
    </row>
    <row r="140" spans="1:5" s="242" customFormat="1" ht="27.75" hidden="1" customHeight="1">
      <c r="A140" s="287"/>
      <c r="B140" s="667"/>
      <c r="C140" s="667"/>
      <c r="D140" s="289"/>
      <c r="E140" s="289"/>
    </row>
    <row r="141" spans="1:5" s="242" customFormat="1" ht="27.75" hidden="1" customHeight="1">
      <c r="A141" s="291" t="s">
        <v>222</v>
      </c>
      <c r="B141" s="667"/>
      <c r="C141" s="667"/>
      <c r="D141" s="289" t="e">
        <f>#REF!+'SEPTEMBER DIBAYAR OKT 2025 '!T284</f>
        <v>#REF!</v>
      </c>
      <c r="E141" s="289" t="e">
        <f>#REF!+'SEPTEMBER DIBAYAR OKT 2025 '!U284</f>
        <v>#REF!</v>
      </c>
    </row>
    <row r="142" spans="1:5" ht="27.75" hidden="1" customHeight="1">
      <c r="A142" s="322"/>
      <c r="B142" s="668"/>
      <c r="C142" s="668"/>
      <c r="D142" s="289"/>
      <c r="E142" s="289"/>
    </row>
    <row r="143" spans="1:5" ht="27.75" hidden="1" customHeight="1">
      <c r="A143" s="287" t="s">
        <v>333</v>
      </c>
      <c r="B143" s="667"/>
      <c r="C143" s="667"/>
      <c r="D143" s="289" t="e">
        <f>#REF!+'SEPTEMBER DIBAYAR OKT 2025 '!#REF!</f>
        <v>#REF!</v>
      </c>
      <c r="E143" s="289" t="e">
        <f>#REF!+'SEPTEMBER DIBAYAR OKT 2025 '!#REF!</f>
        <v>#REF!</v>
      </c>
    </row>
    <row r="144" spans="1:5" ht="27.75" hidden="1" customHeight="1">
      <c r="A144" s="322"/>
      <c r="B144" s="668"/>
      <c r="C144" s="668"/>
      <c r="D144" s="289"/>
      <c r="E144" s="289"/>
    </row>
    <row r="145" spans="1:5" s="242" customFormat="1" ht="27.75" hidden="1" customHeight="1">
      <c r="A145" s="291" t="s">
        <v>107</v>
      </c>
      <c r="B145" s="667"/>
      <c r="C145" s="667"/>
      <c r="D145" s="289" t="e">
        <f>#REF!+'SEPTEMBER DIBAYAR OKT 2025 '!T288</f>
        <v>#REF!</v>
      </c>
      <c r="E145" s="289" t="e">
        <f>#REF!+'SEPTEMBER DIBAYAR OKT 2025 '!U288</f>
        <v>#REF!</v>
      </c>
    </row>
    <row r="146" spans="1:5" ht="27.75" hidden="1" customHeight="1">
      <c r="A146" s="546"/>
      <c r="B146" s="669"/>
      <c r="C146" s="669"/>
      <c r="D146" s="289"/>
      <c r="E146" s="289"/>
    </row>
    <row r="147" spans="1:5" ht="27.75" hidden="1" customHeight="1">
      <c r="A147" s="287" t="s">
        <v>106</v>
      </c>
      <c r="B147" s="667"/>
      <c r="C147" s="667"/>
      <c r="D147" s="289" t="e">
        <f>#REF!+'SEPTEMBER DIBAYAR OKT 2025 '!T290</f>
        <v>#REF!</v>
      </c>
      <c r="E147" s="289" t="e">
        <f>#REF!+'SEPTEMBER DIBAYAR OKT 2025 '!U290</f>
        <v>#REF!</v>
      </c>
    </row>
    <row r="148" spans="1:5" ht="27.75" hidden="1" customHeight="1">
      <c r="A148" s="291"/>
      <c r="B148" s="667"/>
      <c r="C148" s="667"/>
      <c r="D148" s="289"/>
      <c r="E148" s="289"/>
    </row>
    <row r="149" spans="1:5" ht="27.75" hidden="1" customHeight="1">
      <c r="A149" s="291" t="s">
        <v>221</v>
      </c>
      <c r="B149" s="667"/>
      <c r="C149" s="667"/>
      <c r="D149" s="289" t="e">
        <f>#REF!+'SEPTEMBER DIBAYAR OKT 2025 '!T294</f>
        <v>#REF!</v>
      </c>
      <c r="E149" s="289" t="e">
        <f>#REF!+'SEPTEMBER DIBAYAR OKT 2025 '!U294</f>
        <v>#REF!</v>
      </c>
    </row>
    <row r="150" spans="1:5" ht="27.75" hidden="1" customHeight="1">
      <c r="A150" s="291"/>
      <c r="B150" s="667"/>
      <c r="C150" s="667"/>
      <c r="D150" s="289"/>
      <c r="E150" s="289"/>
    </row>
    <row r="151" spans="1:5" ht="27.75" hidden="1" customHeight="1">
      <c r="A151" s="287" t="s">
        <v>331</v>
      </c>
      <c r="B151" s="667"/>
      <c r="C151" s="667"/>
      <c r="D151" s="289" t="e">
        <f>#REF!+'SEPTEMBER DIBAYAR OKT 2025 '!#REF!</f>
        <v>#REF!</v>
      </c>
      <c r="E151" s="289" t="e">
        <f>#REF!+'SEPTEMBER DIBAYAR OKT 2025 '!#REF!</f>
        <v>#REF!</v>
      </c>
    </row>
    <row r="152" spans="1:5" ht="27.75" hidden="1" customHeight="1" thickBot="1">
      <c r="A152" s="268"/>
      <c r="B152" s="339"/>
      <c r="C152" s="339"/>
      <c r="D152" s="271"/>
      <c r="E152" s="271"/>
    </row>
    <row r="153" spans="1:5" ht="27.75" hidden="1" customHeight="1" thickTop="1" thickBot="1">
      <c r="A153" s="319" t="s">
        <v>3</v>
      </c>
      <c r="B153" s="410"/>
      <c r="C153" s="410"/>
      <c r="D153" s="320" t="e">
        <f>SUM(D136:D152)</f>
        <v>#REF!</v>
      </c>
      <c r="E153" s="320" t="e">
        <f>SUM(E136:E152)</f>
        <v>#REF!</v>
      </c>
    </row>
    <row r="154" spans="1:5" ht="28.5" hidden="1" customHeight="1" thickTop="1">
      <c r="A154" s="268"/>
      <c r="B154" s="339"/>
      <c r="C154" s="339"/>
      <c r="D154" s="307"/>
      <c r="E154" s="307"/>
    </row>
    <row r="155" spans="1:5" s="242" customFormat="1" ht="28.5" hidden="1" customHeight="1">
      <c r="A155" s="309" t="s">
        <v>130</v>
      </c>
      <c r="B155" s="670"/>
      <c r="C155" s="670"/>
      <c r="D155" s="293" t="e">
        <f>#REF!+'SEPTEMBER DIBAYAR OKT 2025 '!T316</f>
        <v>#REF!</v>
      </c>
      <c r="E155" s="293" t="e">
        <f>#REF!+'SEPTEMBER DIBAYAR OKT 2025 '!U316</f>
        <v>#REF!</v>
      </c>
    </row>
    <row r="156" spans="1:5" ht="28.5" hidden="1" customHeight="1">
      <c r="A156" s="641"/>
      <c r="B156" s="662"/>
      <c r="C156" s="662"/>
      <c r="D156" s="293"/>
      <c r="E156" s="293"/>
    </row>
    <row r="157" spans="1:5" s="242" customFormat="1" ht="28.5" hidden="1" customHeight="1">
      <c r="A157" s="641" t="s">
        <v>129</v>
      </c>
      <c r="B157" s="662"/>
      <c r="C157" s="662"/>
      <c r="D157" s="293" t="e">
        <f>#REF!+'SEPTEMBER DIBAYAR OKT 2025 '!T318</f>
        <v>#REF!</v>
      </c>
      <c r="E157" s="293" t="e">
        <f>#REF!+'SEPTEMBER DIBAYAR OKT 2025 '!U318</f>
        <v>#REF!</v>
      </c>
    </row>
    <row r="158" spans="1:5" ht="28.5" hidden="1" customHeight="1">
      <c r="A158" s="448"/>
      <c r="D158" s="293"/>
      <c r="E158" s="293"/>
    </row>
    <row r="159" spans="1:5" s="242" customFormat="1" ht="28.5" hidden="1" customHeight="1">
      <c r="A159" s="641" t="s">
        <v>131</v>
      </c>
      <c r="B159" s="662"/>
      <c r="C159" s="662"/>
      <c r="D159" s="293" t="e">
        <f>#REF!+'SEPTEMBER DIBAYAR OKT 2025 '!T322</f>
        <v>#REF!</v>
      </c>
      <c r="E159" s="293" t="e">
        <f>#REF!+'SEPTEMBER DIBAYAR OKT 2025 '!U322</f>
        <v>#REF!</v>
      </c>
    </row>
    <row r="160" spans="1:5" ht="28.5" hidden="1" customHeight="1">
      <c r="A160" s="642"/>
      <c r="B160" s="664"/>
      <c r="C160" s="664"/>
      <c r="D160" s="293"/>
      <c r="E160" s="293"/>
    </row>
    <row r="161" spans="1:5" s="242" customFormat="1" ht="28.5" hidden="1" customHeight="1">
      <c r="A161" s="309" t="s">
        <v>132</v>
      </c>
      <c r="B161" s="670"/>
      <c r="C161" s="670"/>
      <c r="D161" s="293" t="e">
        <f>#REF!+'SEPTEMBER DIBAYAR OKT 2025 '!T324</f>
        <v>#REF!</v>
      </c>
      <c r="E161" s="293" t="e">
        <f>#REF!+'SEPTEMBER DIBAYAR OKT 2025 '!U324</f>
        <v>#REF!</v>
      </c>
    </row>
    <row r="162" spans="1:5" ht="28.5" hidden="1" customHeight="1">
      <c r="A162" s="309"/>
      <c r="B162" s="670"/>
      <c r="C162" s="670"/>
      <c r="D162" s="293"/>
      <c r="E162" s="293"/>
    </row>
    <row r="163" spans="1:5" ht="28.5" hidden="1" customHeight="1">
      <c r="A163" s="309" t="s">
        <v>133</v>
      </c>
      <c r="B163" s="670"/>
      <c r="C163" s="670"/>
      <c r="D163" s="293" t="e">
        <f>#REF!+'SEPTEMBER DIBAYAR OKT 2025 '!T328</f>
        <v>#REF!</v>
      </c>
      <c r="E163" s="293" t="e">
        <f>#REF!+'SEPTEMBER DIBAYAR OKT 2025 '!U328</f>
        <v>#REF!</v>
      </c>
    </row>
    <row r="164" spans="1:5" ht="28.5" hidden="1" customHeight="1">
      <c r="A164" s="309"/>
      <c r="B164" s="670"/>
      <c r="C164" s="670"/>
      <c r="D164" s="293"/>
      <c r="E164" s="293"/>
    </row>
    <row r="165" spans="1:5" ht="28.5" hidden="1" customHeight="1">
      <c r="A165" s="291" t="s">
        <v>134</v>
      </c>
      <c r="B165" s="671"/>
      <c r="C165" s="671"/>
      <c r="D165" s="293" t="e">
        <f>#REF!+'SEPTEMBER DIBAYAR OKT 2025 '!T330</f>
        <v>#REF!</v>
      </c>
      <c r="E165" s="293" t="e">
        <f>#REF!+'SEPTEMBER DIBAYAR OKT 2025 '!U330</f>
        <v>#REF!</v>
      </c>
    </row>
    <row r="166" spans="1:5" ht="28.5" hidden="1" customHeight="1">
      <c r="A166" s="309"/>
      <c r="B166" s="670"/>
      <c r="C166" s="670"/>
      <c r="D166" s="293"/>
      <c r="E166" s="293"/>
    </row>
    <row r="167" spans="1:5" ht="28.5" hidden="1" customHeight="1">
      <c r="A167" s="291" t="s">
        <v>252</v>
      </c>
      <c r="B167" s="671"/>
      <c r="C167" s="671"/>
      <c r="D167" s="293" t="e">
        <f>#REF!+'SEPTEMBER DIBAYAR OKT 2025 '!#REF!</f>
        <v>#REF!</v>
      </c>
      <c r="E167" s="293" t="e">
        <f>#REF!+'SEPTEMBER DIBAYAR OKT 2025 '!#REF!</f>
        <v>#REF!</v>
      </c>
    </row>
    <row r="168" spans="1:5" ht="28.5" hidden="1" customHeight="1" thickBot="1">
      <c r="A168" s="309"/>
      <c r="B168" s="664"/>
      <c r="C168" s="664"/>
      <c r="D168" s="530"/>
      <c r="E168" s="530"/>
    </row>
    <row r="169" spans="1:5" ht="28.5" hidden="1" customHeight="1" thickTop="1" thickBot="1">
      <c r="A169" s="319" t="s">
        <v>3</v>
      </c>
      <c r="B169" s="666"/>
      <c r="C169" s="666"/>
      <c r="D169" s="456" t="e">
        <f>SUM(D155:D168)</f>
        <v>#REF!</v>
      </c>
      <c r="E169" s="456" t="e">
        <f>SUM(E155:E168)</f>
        <v>#REF!</v>
      </c>
    </row>
    <row r="170" spans="1:5" ht="26.25" hidden="1" customHeight="1" thickTop="1">
      <c r="A170" s="291"/>
      <c r="B170" s="667"/>
      <c r="C170" s="667"/>
      <c r="D170" s="289"/>
      <c r="E170" s="289"/>
    </row>
    <row r="171" spans="1:5" ht="26.25" hidden="1" customHeight="1">
      <c r="A171" s="291" t="s">
        <v>122</v>
      </c>
      <c r="B171" s="667"/>
      <c r="C171" s="667"/>
      <c r="D171" s="289" t="e">
        <f>#REF!+'SEPTEMBER DIBAYAR OKT 2025 '!T352</f>
        <v>#REF!</v>
      </c>
      <c r="E171" s="289" t="e">
        <f>#REF!+'SEPTEMBER DIBAYAR OKT 2025 '!U352</f>
        <v>#REF!</v>
      </c>
    </row>
    <row r="172" spans="1:5" ht="26.25" hidden="1" customHeight="1">
      <c r="A172" s="291"/>
      <c r="B172" s="667"/>
      <c r="C172" s="667"/>
      <c r="D172" s="289"/>
      <c r="E172" s="289"/>
    </row>
    <row r="173" spans="1:5" s="242" customFormat="1" ht="26.25" hidden="1" customHeight="1">
      <c r="A173" s="291" t="s">
        <v>120</v>
      </c>
      <c r="B173" s="667"/>
      <c r="C173" s="667"/>
      <c r="D173" s="289" t="e">
        <f>#REF!+'SEPTEMBER DIBAYAR OKT 2025 '!T354</f>
        <v>#REF!</v>
      </c>
      <c r="E173" s="289" t="e">
        <f>#REF!+'SEPTEMBER DIBAYAR OKT 2025 '!U354</f>
        <v>#REF!</v>
      </c>
    </row>
    <row r="174" spans="1:5" s="242" customFormat="1" ht="26.25" hidden="1" customHeight="1">
      <c r="A174" s="291"/>
      <c r="B174" s="667"/>
      <c r="C174" s="667"/>
      <c r="D174" s="289"/>
      <c r="E174" s="289"/>
    </row>
    <row r="175" spans="1:5" s="242" customFormat="1" ht="26.25" hidden="1" customHeight="1">
      <c r="A175" s="291" t="s">
        <v>121</v>
      </c>
      <c r="B175" s="667"/>
      <c r="C175" s="667"/>
      <c r="D175" s="289" t="e">
        <f>#REF!+'SEPTEMBER DIBAYAR OKT 2025 '!#REF!</f>
        <v>#REF!</v>
      </c>
      <c r="E175" s="289" t="e">
        <f>#REF!+'SEPTEMBER DIBAYAR OKT 2025 '!#REF!</f>
        <v>#REF!</v>
      </c>
    </row>
    <row r="176" spans="1:5" s="242" customFormat="1" ht="26.25" hidden="1" customHeight="1">
      <c r="A176" s="291"/>
      <c r="B176" s="667"/>
      <c r="C176" s="667"/>
      <c r="D176" s="289"/>
      <c r="E176" s="289"/>
    </row>
    <row r="177" spans="1:5" s="242" customFormat="1" ht="26.25" hidden="1" customHeight="1">
      <c r="A177" s="291" t="s">
        <v>420</v>
      </c>
      <c r="B177" s="667"/>
      <c r="C177" s="667"/>
      <c r="D177" s="289" t="e">
        <f>#REF!+'SEPTEMBER DIBAYAR OKT 2025 '!#REF!</f>
        <v>#REF!</v>
      </c>
      <c r="E177" s="289" t="e">
        <f>#REF!+'SEPTEMBER DIBAYAR OKT 2025 '!#REF!</f>
        <v>#REF!</v>
      </c>
    </row>
    <row r="178" spans="1:5" s="242" customFormat="1" ht="26.25" hidden="1" customHeight="1">
      <c r="A178" s="291"/>
      <c r="B178" s="667"/>
      <c r="C178" s="667"/>
      <c r="D178" s="289"/>
      <c r="E178" s="289"/>
    </row>
    <row r="179" spans="1:5" s="242" customFormat="1" ht="26.25" hidden="1" customHeight="1">
      <c r="A179" s="291" t="s">
        <v>421</v>
      </c>
      <c r="B179" s="667"/>
      <c r="C179" s="667"/>
      <c r="D179" s="289" t="e">
        <f>#REF!+'SEPTEMBER DIBAYAR OKT 2025 '!#REF!</f>
        <v>#REF!</v>
      </c>
      <c r="E179" s="289" t="e">
        <f>#REF!+'SEPTEMBER DIBAYAR OKT 2025 '!#REF!</f>
        <v>#REF!</v>
      </c>
    </row>
    <row r="180" spans="1:5" s="242" customFormat="1" ht="26.25" hidden="1" customHeight="1">
      <c r="A180" s="291"/>
      <c r="B180" s="667"/>
      <c r="C180" s="667"/>
      <c r="D180" s="289"/>
      <c r="E180" s="289"/>
    </row>
    <row r="181" spans="1:5" s="242" customFormat="1" ht="26.25" hidden="1" customHeight="1">
      <c r="A181" s="291" t="s">
        <v>123</v>
      </c>
      <c r="B181" s="667"/>
      <c r="C181" s="667"/>
      <c r="D181" s="289" t="e">
        <f>#REF!+'SEPTEMBER DIBAYAR OKT 2025 '!T362</f>
        <v>#REF!</v>
      </c>
      <c r="E181" s="289" t="e">
        <f>#REF!+'SEPTEMBER DIBAYAR OKT 2025 '!U362</f>
        <v>#REF!</v>
      </c>
    </row>
    <row r="182" spans="1:5" ht="26.25" hidden="1" customHeight="1">
      <c r="A182" s="291"/>
      <c r="B182" s="667"/>
      <c r="C182" s="667"/>
      <c r="D182" s="289"/>
      <c r="E182" s="289"/>
    </row>
    <row r="183" spans="1:5" s="242" customFormat="1" ht="26.25" hidden="1" customHeight="1">
      <c r="A183" s="309" t="s">
        <v>124</v>
      </c>
      <c r="B183" s="339"/>
      <c r="C183" s="339"/>
      <c r="D183" s="289" t="e">
        <f>#REF!+'SEPTEMBER DIBAYAR OKT 2025 '!#REF!</f>
        <v>#REF!</v>
      </c>
      <c r="E183" s="289" t="e">
        <f>#REF!+'SEPTEMBER DIBAYAR OKT 2025 '!#REF!</f>
        <v>#REF!</v>
      </c>
    </row>
    <row r="184" spans="1:5" ht="26.25" hidden="1" customHeight="1">
      <c r="A184" s="309"/>
      <c r="B184" s="339"/>
      <c r="C184" s="339"/>
      <c r="D184" s="289"/>
      <c r="E184" s="289"/>
    </row>
    <row r="185" spans="1:5" s="242" customFormat="1" ht="26.25" hidden="1" customHeight="1">
      <c r="A185" s="309" t="s">
        <v>125</v>
      </c>
      <c r="B185" s="339"/>
      <c r="C185" s="339"/>
      <c r="D185" s="289" t="e">
        <f>#REF!+'SEPTEMBER DIBAYAR OKT 2025 '!T364</f>
        <v>#REF!</v>
      </c>
      <c r="E185" s="289" t="e">
        <f>#REF!+'SEPTEMBER DIBAYAR OKT 2025 '!U364</f>
        <v>#REF!</v>
      </c>
    </row>
    <row r="186" spans="1:5" ht="26.25" hidden="1" customHeight="1">
      <c r="A186" s="309"/>
      <c r="B186" s="339"/>
      <c r="C186" s="339"/>
      <c r="D186" s="289"/>
      <c r="E186" s="289"/>
    </row>
    <row r="187" spans="1:5" ht="26.25" hidden="1" customHeight="1">
      <c r="A187" s="309" t="s">
        <v>247</v>
      </c>
      <c r="B187" s="339"/>
      <c r="C187" s="339"/>
      <c r="D187" s="289" t="e">
        <f>#REF!+'SEPTEMBER DIBAYAR OKT 2025 '!#REF!</f>
        <v>#REF!</v>
      </c>
      <c r="E187" s="289" t="e">
        <f>#REF!+'SEPTEMBER DIBAYAR OKT 2025 '!#REF!</f>
        <v>#REF!</v>
      </c>
    </row>
    <row r="188" spans="1:5" ht="26.25" hidden="1" customHeight="1">
      <c r="A188" s="309"/>
      <c r="B188" s="339"/>
      <c r="C188" s="339"/>
      <c r="D188" s="289"/>
      <c r="E188" s="289"/>
    </row>
    <row r="189" spans="1:5" ht="26.25" hidden="1" customHeight="1">
      <c r="A189" s="309" t="s">
        <v>126</v>
      </c>
      <c r="B189" s="339"/>
      <c r="C189" s="339"/>
      <c r="D189" s="289" t="e">
        <f>#REF!+'SEPTEMBER DIBAYAR OKT 2025 '!T370</f>
        <v>#REF!</v>
      </c>
      <c r="E189" s="289" t="e">
        <f>#REF!+'SEPTEMBER DIBAYAR OKT 2025 '!U370</f>
        <v>#REF!</v>
      </c>
    </row>
    <row r="190" spans="1:5" ht="26.25" hidden="1" customHeight="1">
      <c r="A190" s="309"/>
      <c r="B190" s="339"/>
      <c r="C190" s="339"/>
      <c r="D190" s="289"/>
      <c r="E190" s="289"/>
    </row>
    <row r="191" spans="1:5" ht="26.25" hidden="1" customHeight="1">
      <c r="A191" s="309" t="s">
        <v>335</v>
      </c>
      <c r="B191" s="339"/>
      <c r="C191" s="339"/>
      <c r="D191" s="289" t="e">
        <f>#REF!+'SEPTEMBER DIBAYAR OKT 2025 '!#REF!</f>
        <v>#REF!</v>
      </c>
      <c r="E191" s="289" t="e">
        <f>#REF!+'SEPTEMBER DIBAYAR OKT 2025 '!#REF!</f>
        <v>#REF!</v>
      </c>
    </row>
    <row r="192" spans="1:5" ht="26.25" hidden="1" customHeight="1">
      <c r="A192" s="309"/>
      <c r="B192" s="339"/>
      <c r="C192" s="339"/>
      <c r="D192" s="289"/>
      <c r="E192" s="289"/>
    </row>
    <row r="193" spans="1:6" ht="26.25" hidden="1" customHeight="1">
      <c r="A193" s="309" t="s">
        <v>127</v>
      </c>
      <c r="B193" s="339"/>
      <c r="C193" s="339"/>
      <c r="D193" s="289" t="e">
        <f>#REF!+'SEPTEMBER DIBAYAR OKT 2025 '!#REF!</f>
        <v>#REF!</v>
      </c>
      <c r="E193" s="289" t="e">
        <f>#REF!+'SEPTEMBER DIBAYAR OKT 2025 '!#REF!</f>
        <v>#REF!</v>
      </c>
    </row>
    <row r="194" spans="1:6" ht="26.25" hidden="1" customHeight="1">
      <c r="A194" s="309"/>
      <c r="B194" s="664"/>
      <c r="C194" s="664"/>
      <c r="D194" s="342"/>
      <c r="E194" s="342"/>
    </row>
    <row r="195" spans="1:6" ht="26.25" hidden="1" customHeight="1">
      <c r="A195" s="291" t="s">
        <v>443</v>
      </c>
      <c r="B195" s="664"/>
      <c r="C195" s="664"/>
      <c r="D195" s="342" t="e">
        <f>#REF!+'SEPTEMBER DIBAYAR OKT 2025 '!#REF!</f>
        <v>#REF!</v>
      </c>
      <c r="E195" s="342" t="e">
        <f>#REF!+'SEPTEMBER DIBAYAR OKT 2025 '!#REF!</f>
        <v>#REF!</v>
      </c>
    </row>
    <row r="196" spans="1:6" ht="26.25" hidden="1" customHeight="1">
      <c r="A196" s="309"/>
      <c r="B196" s="664"/>
      <c r="C196" s="664"/>
      <c r="D196" s="342"/>
      <c r="E196" s="342"/>
    </row>
    <row r="197" spans="1:6" ht="26.25" hidden="1" customHeight="1">
      <c r="A197" s="291" t="s">
        <v>444</v>
      </c>
      <c r="B197" s="664"/>
      <c r="C197" s="664"/>
      <c r="D197" s="342" t="e">
        <f>#REF!+'SEPTEMBER DIBAYAR OKT 2025 '!#REF!</f>
        <v>#REF!</v>
      </c>
      <c r="E197" s="342" t="e">
        <f>#REF!+'SEPTEMBER DIBAYAR OKT 2025 '!#REF!</f>
        <v>#REF!</v>
      </c>
      <c r="F197" s="215" t="s">
        <v>445</v>
      </c>
    </row>
    <row r="198" spans="1:6" ht="26.25" hidden="1" customHeight="1">
      <c r="A198" s="309"/>
      <c r="B198" s="664"/>
      <c r="C198" s="664"/>
      <c r="D198" s="342"/>
      <c r="E198" s="342"/>
    </row>
    <row r="199" spans="1:6" s="242" customFormat="1" ht="26.25" hidden="1" customHeight="1">
      <c r="A199" s="291" t="s">
        <v>444</v>
      </c>
      <c r="B199" s="664"/>
      <c r="C199" s="664"/>
      <c r="D199" s="342" t="e">
        <f>#REF!+'SEPTEMBER DIBAYAR OKT 2025 '!T374</f>
        <v>#REF!</v>
      </c>
      <c r="E199" s="342" t="e">
        <f>#REF!+'SEPTEMBER DIBAYAR OKT 2025 '!U374</f>
        <v>#REF!</v>
      </c>
    </row>
    <row r="200" spans="1:6" s="242" customFormat="1" ht="26.25" hidden="1" customHeight="1">
      <c r="A200" s="309"/>
      <c r="B200" s="664"/>
      <c r="C200" s="664"/>
      <c r="D200" s="342"/>
      <c r="E200" s="342"/>
    </row>
    <row r="201" spans="1:6" s="242" customFormat="1" ht="26.25" hidden="1" customHeight="1">
      <c r="A201" s="291" t="s">
        <v>443</v>
      </c>
      <c r="B201" s="662"/>
      <c r="C201" s="662"/>
      <c r="D201" s="294" t="e">
        <f>#REF!+'SEPTEMBER DIBAYAR OKT 2025 '!#REF!</f>
        <v>#REF!</v>
      </c>
      <c r="E201" s="294" t="e">
        <f>#REF!+'SEPTEMBER DIBAYAR OKT 2025 '!#REF!</f>
        <v>#REF!</v>
      </c>
    </row>
    <row r="202" spans="1:6" s="242" customFormat="1" ht="26.25" hidden="1" customHeight="1" thickBot="1">
      <c r="A202" s="268"/>
      <c r="B202" s="339"/>
      <c r="C202" s="339"/>
      <c r="D202" s="271"/>
      <c r="E202" s="271"/>
    </row>
    <row r="203" spans="1:6" s="242" customFormat="1" ht="26.25" hidden="1" customHeight="1" thickTop="1" thickBot="1">
      <c r="A203" s="319" t="s">
        <v>3</v>
      </c>
      <c r="B203" s="410"/>
      <c r="C203" s="410"/>
      <c r="D203" s="320" t="e">
        <f t="shared" ref="D203:E203" si="4">SUM(D170:D202)</f>
        <v>#REF!</v>
      </c>
      <c r="E203" s="320" t="e">
        <f t="shared" si="4"/>
        <v>#REF!</v>
      </c>
    </row>
    <row r="204" spans="1:6" s="242" customFormat="1" ht="26.25" hidden="1" customHeight="1" thickTop="1">
      <c r="D204" s="307"/>
      <c r="E204" s="306"/>
    </row>
    <row r="205" spans="1:6" s="242" customFormat="1" ht="26.25" hidden="1" customHeight="1">
      <c r="A205" s="291" t="s">
        <v>242</v>
      </c>
      <c r="B205" s="671"/>
      <c r="C205" s="671"/>
      <c r="D205" s="292" t="e">
        <f>#REF!+'SEPTEMBER DIBAYAR OKT 2025 '!#REF!</f>
        <v>#REF!</v>
      </c>
      <c r="E205" s="342" t="e">
        <f>#REF!+'SEPTEMBER DIBAYAR OKT 2025 '!#REF!</f>
        <v>#REF!</v>
      </c>
    </row>
    <row r="206" spans="1:6" s="242" customFormat="1" ht="26.25" hidden="1" customHeight="1">
      <c r="D206" s="292"/>
      <c r="E206" s="342"/>
    </row>
    <row r="207" spans="1:6" s="242" customFormat="1" ht="26.25" hidden="1" customHeight="1">
      <c r="A207" s="291" t="s">
        <v>269</v>
      </c>
      <c r="B207" s="671"/>
      <c r="C207" s="671"/>
      <c r="D207" s="292" t="e">
        <f>#REF!+'SEPTEMBER DIBAYAR OKT 2025 '!#REF!</f>
        <v>#REF!</v>
      </c>
      <c r="E207" s="342" t="e">
        <f>#REF!+'SEPTEMBER DIBAYAR OKT 2025 '!#REF!</f>
        <v>#REF!</v>
      </c>
    </row>
    <row r="208" spans="1:6" s="242" customFormat="1" ht="26.25" hidden="1" customHeight="1">
      <c r="A208" s="268"/>
      <c r="B208" s="672"/>
      <c r="C208" s="672"/>
      <c r="D208" s="292"/>
      <c r="E208" s="342"/>
    </row>
    <row r="209" spans="1:38" s="242" customFormat="1" ht="26.25" hidden="1" customHeight="1">
      <c r="A209" s="309" t="s">
        <v>243</v>
      </c>
      <c r="B209" s="670"/>
      <c r="C209" s="670"/>
      <c r="D209" s="292" t="e">
        <f>#REF!+'SEPTEMBER DIBAYAR OKT 2025 '!#REF!</f>
        <v>#REF!</v>
      </c>
      <c r="E209" s="342" t="e">
        <f>#REF!+'SEPTEMBER DIBAYAR OKT 2025 '!#REF!</f>
        <v>#REF!</v>
      </c>
    </row>
    <row r="210" spans="1:38" ht="26.25" hidden="1" customHeight="1" thickBot="1">
      <c r="A210" s="309"/>
      <c r="B210" s="664"/>
      <c r="C210" s="664"/>
      <c r="D210" s="342"/>
      <c r="E210" s="342"/>
    </row>
    <row r="211" spans="1:38" ht="36" hidden="1" customHeight="1" thickTop="1" thickBot="1">
      <c r="A211" s="319" t="s">
        <v>62</v>
      </c>
      <c r="B211" s="410"/>
      <c r="C211" s="410"/>
      <c r="D211" s="320" t="e">
        <f t="shared" ref="D211:E211" si="5">SUM(D203:D210)</f>
        <v>#REF!</v>
      </c>
      <c r="E211" s="320" t="e">
        <f t="shared" si="5"/>
        <v>#REF!</v>
      </c>
    </row>
    <row r="212" spans="1:38" s="339" customFormat="1" ht="27" hidden="1" customHeight="1" thickTop="1">
      <c r="A212" s="387"/>
      <c r="B212" s="673"/>
      <c r="C212" s="673"/>
      <c r="D212" s="307"/>
      <c r="E212" s="307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5"/>
      <c r="AG212" s="215"/>
      <c r="AH212" s="215"/>
      <c r="AI212" s="215"/>
      <c r="AJ212" s="215"/>
      <c r="AK212" s="215"/>
      <c r="AL212" s="215"/>
    </row>
    <row r="213" spans="1:38" s="339" customFormat="1" ht="27" hidden="1" customHeight="1">
      <c r="A213" s="234" t="s">
        <v>76</v>
      </c>
      <c r="B213" s="658"/>
      <c r="C213" s="658"/>
      <c r="D213" s="237" t="e">
        <f>#REF!+'SEPTEMBER DIBAYAR OKT 2025 '!T404</f>
        <v>#REF!</v>
      </c>
      <c r="E213" s="237" t="e">
        <f>#REF!+'SEPTEMBER DIBAYAR OKT 2025 '!U404</f>
        <v>#REF!</v>
      </c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  <c r="AE213" s="215"/>
      <c r="AF213" s="215"/>
      <c r="AG213" s="215"/>
      <c r="AH213" s="215"/>
      <c r="AI213" s="215"/>
      <c r="AJ213" s="215"/>
      <c r="AK213" s="215"/>
      <c r="AL213" s="215"/>
    </row>
    <row r="214" spans="1:38" s="339" customFormat="1" ht="27" hidden="1" customHeight="1">
      <c r="A214" s="276"/>
      <c r="B214" s="243"/>
      <c r="C214" s="243"/>
      <c r="D214" s="237"/>
      <c r="E214" s="237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  <c r="AB214" s="215"/>
      <c r="AC214" s="215"/>
      <c r="AD214" s="215"/>
      <c r="AE214" s="215"/>
      <c r="AF214" s="215"/>
      <c r="AG214" s="215"/>
      <c r="AH214" s="215"/>
      <c r="AI214" s="215"/>
      <c r="AJ214" s="215"/>
      <c r="AK214" s="215"/>
      <c r="AL214" s="215"/>
    </row>
    <row r="215" spans="1:38" s="339" customFormat="1" ht="27" hidden="1" customHeight="1">
      <c r="A215" s="234" t="s">
        <v>447</v>
      </c>
      <c r="B215" s="658"/>
      <c r="C215" s="658"/>
      <c r="D215" s="237" t="e">
        <f>#REF!+'SEPTEMBER DIBAYAR OKT 2025 '!#REF!</f>
        <v>#REF!</v>
      </c>
      <c r="E215" s="237" t="e">
        <f>#REF!+'SEPTEMBER DIBAYAR OKT 2025 '!#REF!</f>
        <v>#REF!</v>
      </c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  <c r="AB215" s="215"/>
      <c r="AC215" s="215"/>
      <c r="AD215" s="215"/>
      <c r="AE215" s="215"/>
      <c r="AF215" s="215"/>
      <c r="AG215" s="215"/>
      <c r="AH215" s="215"/>
      <c r="AI215" s="215"/>
      <c r="AJ215" s="215"/>
      <c r="AK215" s="215"/>
      <c r="AL215" s="215"/>
    </row>
    <row r="216" spans="1:38" s="339" customFormat="1" ht="27" hidden="1" customHeight="1" thickBot="1">
      <c r="A216" s="330"/>
      <c r="B216" s="674"/>
      <c r="C216" s="674"/>
      <c r="D216" s="534"/>
      <c r="E216" s="334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215"/>
      <c r="AC216" s="215"/>
      <c r="AD216" s="215"/>
      <c r="AE216" s="215"/>
      <c r="AF216" s="215"/>
      <c r="AG216" s="215"/>
      <c r="AH216" s="215"/>
      <c r="AI216" s="215"/>
      <c r="AJ216" s="215"/>
      <c r="AK216" s="215"/>
      <c r="AL216" s="215"/>
    </row>
    <row r="217" spans="1:38" s="339" customFormat="1" ht="27" hidden="1" customHeight="1" thickTop="1" thickBot="1">
      <c r="A217" s="261" t="s">
        <v>3</v>
      </c>
      <c r="B217" s="675"/>
      <c r="C217" s="675"/>
      <c r="D217" s="567" t="e">
        <f t="shared" ref="D217:E217" si="6">SUM(D212:D216)</f>
        <v>#REF!</v>
      </c>
      <c r="E217" s="265" t="e">
        <f t="shared" si="6"/>
        <v>#REF!</v>
      </c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  <c r="AB217" s="215"/>
      <c r="AC217" s="215"/>
      <c r="AD217" s="215"/>
      <c r="AE217" s="215"/>
      <c r="AF217" s="215"/>
      <c r="AG217" s="215"/>
      <c r="AH217" s="215"/>
      <c r="AI217" s="215"/>
      <c r="AJ217" s="215"/>
      <c r="AK217" s="215"/>
      <c r="AL217" s="215"/>
    </row>
    <row r="218" spans="1:38" ht="27" hidden="1" customHeight="1" thickTop="1">
      <c r="A218" s="323"/>
      <c r="B218" s="676"/>
      <c r="C218" s="676"/>
      <c r="D218" s="327"/>
      <c r="E218" s="327"/>
    </row>
    <row r="219" spans="1:38" s="242" customFormat="1" ht="27" hidden="1" customHeight="1">
      <c r="A219" s="234" t="s">
        <v>31</v>
      </c>
      <c r="B219" s="648"/>
      <c r="C219" s="648"/>
      <c r="D219" s="329" t="e">
        <f>#REF!+'SEPTEMBER DIBAYAR OKT 2025 '!T427</f>
        <v>#REF!</v>
      </c>
      <c r="E219" s="329" t="e">
        <f>#REF!+'SEPTEMBER DIBAYAR OKT 2025 '!U427</f>
        <v>#REF!</v>
      </c>
    </row>
    <row r="220" spans="1:38" ht="27" hidden="1" customHeight="1" thickBot="1">
      <c r="A220" s="330"/>
      <c r="B220" s="674"/>
      <c r="C220" s="674"/>
      <c r="D220" s="334"/>
      <c r="E220" s="334"/>
    </row>
    <row r="221" spans="1:38" ht="27" hidden="1" customHeight="1" thickTop="1" thickBot="1">
      <c r="A221" s="261" t="s">
        <v>3</v>
      </c>
      <c r="B221" s="652"/>
      <c r="C221" s="652"/>
      <c r="D221" s="265" t="e">
        <f t="shared" ref="D221:E221" si="7">SUM(D218:D220)</f>
        <v>#REF!</v>
      </c>
      <c r="E221" s="265" t="e">
        <f t="shared" si="7"/>
        <v>#REF!</v>
      </c>
    </row>
    <row r="222" spans="1:38" ht="27" hidden="1" customHeight="1" thickTop="1">
      <c r="A222" s="371"/>
      <c r="B222" s="216"/>
      <c r="C222" s="216"/>
      <c r="D222" s="271"/>
      <c r="E222" s="271"/>
    </row>
    <row r="223" spans="1:38" s="242" customFormat="1" ht="27" hidden="1" customHeight="1">
      <c r="A223" s="234" t="s">
        <v>327</v>
      </c>
      <c r="B223" s="648"/>
      <c r="C223" s="648"/>
      <c r="D223" s="260" t="e">
        <f>#REF!+'SEPTEMBER DIBAYAR OKT 2025 '!T448</f>
        <v>#REF!</v>
      </c>
      <c r="E223" s="260" t="e">
        <f>#REF!+'SEPTEMBER DIBAYAR OKT 2025 '!U448</f>
        <v>#REF!</v>
      </c>
    </row>
    <row r="224" spans="1:38" ht="27" hidden="1" customHeight="1">
      <c r="A224" s="234"/>
      <c r="B224" s="648"/>
      <c r="C224" s="648"/>
      <c r="D224" s="260"/>
      <c r="E224" s="260"/>
    </row>
    <row r="225" spans="1:5" ht="27" hidden="1" customHeight="1">
      <c r="A225" s="234" t="s">
        <v>249</v>
      </c>
      <c r="B225" s="648"/>
      <c r="C225" s="648"/>
      <c r="D225" s="260" t="e">
        <f>#REF!+'SEPTEMBER DIBAYAR OKT 2025 '!T450</f>
        <v>#REF!</v>
      </c>
      <c r="E225" s="260" t="e">
        <f>#REF!+'SEPTEMBER DIBAYAR OKT 2025 '!U450</f>
        <v>#REF!</v>
      </c>
    </row>
    <row r="226" spans="1:5" ht="27" hidden="1" customHeight="1">
      <c r="A226" s="234"/>
      <c r="B226" s="648"/>
      <c r="C226" s="648"/>
      <c r="D226" s="260"/>
      <c r="E226" s="260"/>
    </row>
    <row r="227" spans="1:5" s="242" customFormat="1" ht="27" hidden="1" customHeight="1">
      <c r="A227" s="234" t="s">
        <v>84</v>
      </c>
      <c r="B227" s="648"/>
      <c r="C227" s="648"/>
      <c r="D227" s="260" t="e">
        <f>#REF!+'SEPTEMBER DIBAYAR OKT 2025 '!T452</f>
        <v>#REF!</v>
      </c>
      <c r="E227" s="260" t="e">
        <f>#REF!+'SEPTEMBER DIBAYAR OKT 2025 '!U452</f>
        <v>#REF!</v>
      </c>
    </row>
    <row r="228" spans="1:5" ht="27" hidden="1" customHeight="1">
      <c r="A228" s="403"/>
      <c r="D228" s="260"/>
      <c r="E228" s="260"/>
    </row>
    <row r="229" spans="1:5" s="242" customFormat="1" ht="27" hidden="1" customHeight="1">
      <c r="A229" s="234" t="s">
        <v>75</v>
      </c>
      <c r="B229" s="648"/>
      <c r="C229" s="648"/>
      <c r="D229" s="260" t="e">
        <f>#REF!+'SEPTEMBER DIBAYAR OKT 2025 '!#REF!</f>
        <v>#REF!</v>
      </c>
      <c r="E229" s="260" t="e">
        <f>#REF!+'SEPTEMBER DIBAYAR OKT 2025 '!#REF!</f>
        <v>#REF!</v>
      </c>
    </row>
    <row r="230" spans="1:5" s="242" customFormat="1" ht="27" hidden="1" customHeight="1">
      <c r="A230" s="643"/>
      <c r="B230" s="677"/>
      <c r="C230" s="677"/>
      <c r="D230" s="260"/>
      <c r="E230" s="260"/>
    </row>
    <row r="231" spans="1:5" s="242" customFormat="1" ht="27" hidden="1" customHeight="1">
      <c r="A231" s="234" t="s">
        <v>448</v>
      </c>
      <c r="B231" s="648"/>
      <c r="C231" s="648"/>
      <c r="D231" s="260" t="e">
        <f>#REF!+'SEPTEMBER DIBAYAR OKT 2025 '!T454</f>
        <v>#REF!</v>
      </c>
      <c r="E231" s="260" t="e">
        <f>#REF!+'SEPTEMBER DIBAYAR OKT 2025 '!U454</f>
        <v>#REF!</v>
      </c>
    </row>
    <row r="232" spans="1:5" s="242" customFormat="1" ht="27" hidden="1" customHeight="1">
      <c r="A232" s="404"/>
      <c r="D232" s="260"/>
      <c r="E232" s="260"/>
    </row>
    <row r="233" spans="1:5" s="242" customFormat="1" ht="27" hidden="1" customHeight="1">
      <c r="A233" s="279" t="s">
        <v>258</v>
      </c>
      <c r="B233" s="651"/>
      <c r="C233" s="651"/>
      <c r="D233" s="260" t="e">
        <f>#REF!+'SEPTEMBER DIBAYAR OKT 2025 '!#REF!</f>
        <v>#REF!</v>
      </c>
      <c r="E233" s="260" t="e">
        <f>#REF!+'SEPTEMBER DIBAYAR OKT 2025 '!#REF!</f>
        <v>#REF!</v>
      </c>
    </row>
    <row r="234" spans="1:5" s="242" customFormat="1" ht="27" hidden="1" customHeight="1" thickBot="1">
      <c r="A234" s="405"/>
      <c r="B234" s="678"/>
      <c r="C234" s="678"/>
      <c r="D234" s="334"/>
      <c r="E234" s="334"/>
    </row>
    <row r="235" spans="1:5" s="242" customFormat="1" ht="36.75" hidden="1" customHeight="1" thickTop="1" thickBot="1">
      <c r="A235" s="595" t="s">
        <v>3</v>
      </c>
      <c r="B235" s="679"/>
      <c r="C235" s="679"/>
      <c r="D235" s="602" t="e">
        <f>SUM(D223:D234)</f>
        <v>#REF!</v>
      </c>
      <c r="E235" s="602" t="e">
        <f>SUM(E223:E234)</f>
        <v>#REF!</v>
      </c>
    </row>
    <row r="236" spans="1:5" ht="27" hidden="1" customHeight="1" thickTop="1">
      <c r="A236" s="391"/>
      <c r="B236" s="353"/>
      <c r="C236" s="353"/>
      <c r="D236" s="395"/>
      <c r="E236" s="395"/>
    </row>
    <row r="237" spans="1:5" ht="27" hidden="1" customHeight="1">
      <c r="A237" s="234" t="s">
        <v>83</v>
      </c>
      <c r="B237" s="648"/>
      <c r="C237" s="648"/>
      <c r="D237" s="260" t="e">
        <f>#REF!+'SEPTEMBER DIBAYAR OKT 2025 '!T472</f>
        <v>#REF!</v>
      </c>
      <c r="E237" s="260" t="e">
        <f>#REF!+'SEPTEMBER DIBAYAR OKT 2025 '!U472</f>
        <v>#REF!</v>
      </c>
    </row>
    <row r="238" spans="1:5" s="242" customFormat="1" ht="27" hidden="1" customHeight="1">
      <c r="A238" s="362"/>
      <c r="B238" s="680"/>
      <c r="C238" s="680"/>
      <c r="D238" s="260"/>
      <c r="E238" s="260"/>
    </row>
    <row r="239" spans="1:5" ht="27" hidden="1" customHeight="1">
      <c r="A239" s="234" t="s">
        <v>29</v>
      </c>
      <c r="B239" s="648"/>
      <c r="C239" s="648"/>
      <c r="D239" s="260" t="e">
        <f>#REF!+'SEPTEMBER DIBAYAR OKT 2025 '!T474</f>
        <v>#REF!</v>
      </c>
      <c r="E239" s="260" t="e">
        <f>#REF!+'SEPTEMBER DIBAYAR OKT 2025 '!U474</f>
        <v>#REF!</v>
      </c>
    </row>
    <row r="240" spans="1:5" s="242" customFormat="1" ht="27" hidden="1" customHeight="1">
      <c r="A240" s="279"/>
      <c r="B240" s="651"/>
      <c r="C240" s="651"/>
      <c r="D240" s="302"/>
      <c r="E240" s="302"/>
    </row>
    <row r="241" spans="1:7" ht="27" hidden="1" customHeight="1" thickBot="1">
      <c r="A241" s="372"/>
      <c r="B241" s="382"/>
      <c r="C241" s="382"/>
      <c r="D241" s="333"/>
      <c r="E241" s="333"/>
    </row>
    <row r="242" spans="1:7" ht="27" hidden="1" customHeight="1" thickTop="1" thickBot="1">
      <c r="A242" s="261" t="s">
        <v>3</v>
      </c>
      <c r="B242" s="652"/>
      <c r="C242" s="652"/>
      <c r="D242" s="265" t="e">
        <f t="shared" ref="D242:E242" si="8">SUM(D236:D241)</f>
        <v>#REF!</v>
      </c>
      <c r="E242" s="265" t="e">
        <f t="shared" si="8"/>
        <v>#REF!</v>
      </c>
    </row>
    <row r="243" spans="1:7" ht="23.25" hidden="1" customHeight="1" thickTop="1">
      <c r="A243" s="336"/>
      <c r="B243" s="336"/>
      <c r="C243" s="336"/>
      <c r="D243" s="215"/>
      <c r="E243" s="215"/>
    </row>
    <row r="244" spans="1:7" ht="17.25" hidden="1" customHeight="1">
      <c r="A244" s="336"/>
      <c r="B244" s="336"/>
      <c r="C244" s="336"/>
      <c r="D244" s="337"/>
      <c r="E244" s="337"/>
    </row>
    <row r="245" spans="1:7" ht="17.25" hidden="1" customHeight="1">
      <c r="A245" s="336"/>
      <c r="B245" s="336"/>
      <c r="C245" s="336"/>
      <c r="D245" s="337" t="e">
        <f>D242+D221+D217+D211+D169+D153+D135+D121+D97+D81+D59+D33</f>
        <v>#REF!</v>
      </c>
      <c r="E245" s="337"/>
    </row>
    <row r="246" spans="1:7" ht="17.25" hidden="1" customHeight="1">
      <c r="A246" s="336"/>
      <c r="B246" s="336"/>
      <c r="C246" s="336"/>
      <c r="D246" s="337"/>
      <c r="E246" s="337"/>
    </row>
    <row r="247" spans="1:7" ht="17.25" hidden="1" customHeight="1">
      <c r="A247" s="336"/>
      <c r="B247" s="336"/>
      <c r="C247" s="336"/>
      <c r="D247" s="337"/>
      <c r="E247" s="337"/>
    </row>
    <row r="248" spans="1:7" ht="17.25" hidden="1" customHeight="1">
      <c r="A248" s="684" t="s">
        <v>210</v>
      </c>
      <c r="B248" s="336"/>
      <c r="C248" s="336"/>
      <c r="D248" s="1173"/>
      <c r="E248" s="1173"/>
    </row>
    <row r="249" spans="1:7" ht="17.25" hidden="1" customHeight="1">
      <c r="A249" s="336"/>
      <c r="B249" s="336"/>
      <c r="C249" s="336"/>
    </row>
    <row r="250" spans="1:7" ht="17.25" customHeight="1">
      <c r="B250" s="336"/>
      <c r="C250" s="336"/>
      <c r="D250" s="337"/>
      <c r="E250" s="337"/>
    </row>
    <row r="251" spans="1:7" ht="17.25" customHeight="1">
      <c r="A251" s="684" t="s">
        <v>467</v>
      </c>
      <c r="D251" s="1173"/>
      <c r="E251" s="1173"/>
    </row>
    <row r="252" spans="1:7" ht="17.25" customHeight="1">
      <c r="D252" s="281"/>
      <c r="E252" s="281"/>
    </row>
    <row r="253" spans="1:7" ht="17.25" customHeight="1">
      <c r="A253" s="215" t="s">
        <v>706</v>
      </c>
    </row>
    <row r="254" spans="1:7" ht="17.25" customHeight="1" thickBot="1"/>
    <row r="255" spans="1:7" ht="31.5" customHeight="1" thickTop="1">
      <c r="A255" s="1218" t="s">
        <v>1</v>
      </c>
      <c r="B255" s="1329">
        <v>45901</v>
      </c>
      <c r="C255" s="1180"/>
      <c r="D255" s="1329">
        <v>45931</v>
      </c>
      <c r="E255" s="1180"/>
      <c r="F255" s="1178" t="s">
        <v>414</v>
      </c>
      <c r="G255" s="1331"/>
    </row>
    <row r="256" spans="1:7" ht="56.25" customHeight="1" thickBot="1">
      <c r="A256" s="1219"/>
      <c r="B256" s="284" t="s">
        <v>452</v>
      </c>
      <c r="C256" s="284" t="s">
        <v>453</v>
      </c>
      <c r="D256" s="284" t="s">
        <v>452</v>
      </c>
      <c r="E256" s="284" t="s">
        <v>453</v>
      </c>
      <c r="F256" s="778" t="s">
        <v>690</v>
      </c>
      <c r="G256" s="941" t="s">
        <v>691</v>
      </c>
    </row>
    <row r="257" spans="1:23" ht="33" hidden="1" customHeight="1" thickTop="1">
      <c r="A257" s="387"/>
      <c r="B257" s="673"/>
      <c r="C257" s="269"/>
      <c r="D257" s="307"/>
      <c r="E257" s="307"/>
      <c r="F257" s="307"/>
      <c r="G257" s="308"/>
    </row>
    <row r="258" spans="1:23" ht="31.5" customHeight="1" thickTop="1">
      <c r="A258" s="291" t="s">
        <v>7</v>
      </c>
      <c r="B258" s="293">
        <v>68619690</v>
      </c>
      <c r="C258" s="293">
        <v>27886870.079999998</v>
      </c>
      <c r="D258" s="293">
        <f>'SEPTEMBER DIBAYAR OKT 2025 '!T522</f>
        <v>74684519</v>
      </c>
      <c r="E258" s="293">
        <f>'SEPTEMBER DIBAYAR OKT 2025 '!U522</f>
        <v>27954094.32</v>
      </c>
      <c r="F258" s="293">
        <f>D258-B258</f>
        <v>6064829</v>
      </c>
      <c r="G258" s="295">
        <f>E258-C258</f>
        <v>67224.240000002086</v>
      </c>
    </row>
    <row r="259" spans="1:23" ht="31.5" hidden="1" customHeight="1">
      <c r="A259" s="291"/>
      <c r="B259" s="293"/>
      <c r="C259" s="293">
        <v>0</v>
      </c>
      <c r="D259" s="293"/>
      <c r="E259" s="293">
        <f>'SEPTEMBER DIBAYAR OKT 2025 '!U523</f>
        <v>0</v>
      </c>
      <c r="F259" s="293">
        <f t="shared" ref="F259:F280" si="9">D259-B259</f>
        <v>0</v>
      </c>
      <c r="G259" s="295">
        <f t="shared" ref="G259:G280" si="10">E259-C259</f>
        <v>0</v>
      </c>
    </row>
    <row r="260" spans="1:23" ht="31.5" customHeight="1">
      <c r="A260" s="291" t="s">
        <v>8</v>
      </c>
      <c r="B260" s="293">
        <v>19024565</v>
      </c>
      <c r="C260" s="293">
        <v>20256915</v>
      </c>
      <c r="D260" s="293">
        <f>'SEPTEMBER DIBAYAR OKT 2025 '!T524</f>
        <v>13295647</v>
      </c>
      <c r="E260" s="293">
        <f>'SEPTEMBER DIBAYAR OKT 2025 '!U524</f>
        <v>21086013.960000001</v>
      </c>
      <c r="F260" s="293">
        <f t="shared" si="9"/>
        <v>-5728918</v>
      </c>
      <c r="G260" s="295">
        <f t="shared" si="10"/>
        <v>829098.96000000089</v>
      </c>
    </row>
    <row r="261" spans="1:23" ht="31.5" hidden="1" customHeight="1">
      <c r="A261" s="291"/>
      <c r="B261" s="293"/>
      <c r="C261" s="293">
        <v>0</v>
      </c>
      <c r="D261" s="293"/>
      <c r="E261" s="293">
        <f>'SEPTEMBER DIBAYAR OKT 2025 '!U525</f>
        <v>0</v>
      </c>
      <c r="F261" s="293">
        <f t="shared" si="9"/>
        <v>0</v>
      </c>
      <c r="G261" s="295">
        <f t="shared" si="10"/>
        <v>0</v>
      </c>
    </row>
    <row r="262" spans="1:23" ht="31.5" customHeight="1">
      <c r="A262" s="291" t="s">
        <v>6</v>
      </c>
      <c r="B262" s="293">
        <v>81009034</v>
      </c>
      <c r="C262" s="293">
        <v>26755260.240000002</v>
      </c>
      <c r="D262" s="293">
        <f>'SEPTEMBER DIBAYAR OKT 2025 '!T526</f>
        <v>69844530</v>
      </c>
      <c r="E262" s="293">
        <f>'SEPTEMBER DIBAYAR OKT 2025 '!U526</f>
        <v>26699242.310000002</v>
      </c>
      <c r="F262" s="293">
        <f t="shared" si="9"/>
        <v>-11164504</v>
      </c>
      <c r="G262" s="295">
        <f t="shared" si="10"/>
        <v>-56017.929999999702</v>
      </c>
    </row>
    <row r="263" spans="1:23" ht="31.5" hidden="1" customHeight="1">
      <c r="A263" s="291"/>
      <c r="B263" s="293"/>
      <c r="C263" s="293">
        <v>0</v>
      </c>
      <c r="D263" s="293"/>
      <c r="E263" s="293">
        <f>'SEPTEMBER DIBAYAR OKT 2025 '!U527</f>
        <v>0</v>
      </c>
      <c r="F263" s="293">
        <f t="shared" si="9"/>
        <v>0</v>
      </c>
      <c r="G263" s="295">
        <f t="shared" si="10"/>
        <v>0</v>
      </c>
    </row>
    <row r="264" spans="1:23" ht="31.5" customHeight="1">
      <c r="A264" s="291" t="s">
        <v>5</v>
      </c>
      <c r="B264" s="293">
        <v>66761951</v>
      </c>
      <c r="C264" s="293">
        <v>21097215.82</v>
      </c>
      <c r="D264" s="293">
        <f>'SEPTEMBER DIBAYAR OKT 2025 '!T528</f>
        <v>68659726</v>
      </c>
      <c r="E264" s="293">
        <f>'SEPTEMBER DIBAYAR OKT 2025 '!U528</f>
        <v>21142034.690000001</v>
      </c>
      <c r="F264" s="293">
        <f t="shared" si="9"/>
        <v>1897775</v>
      </c>
      <c r="G264" s="295">
        <f t="shared" si="10"/>
        <v>44818.870000001043</v>
      </c>
    </row>
    <row r="265" spans="1:23" ht="31.5" hidden="1" customHeight="1">
      <c r="A265" s="291"/>
      <c r="B265" s="293"/>
      <c r="C265" s="293">
        <v>0</v>
      </c>
      <c r="D265" s="293"/>
      <c r="E265" s="293">
        <f>'SEPTEMBER DIBAYAR OKT 2025 '!U529</f>
        <v>0</v>
      </c>
      <c r="F265" s="293">
        <f t="shared" si="9"/>
        <v>0</v>
      </c>
      <c r="G265" s="295">
        <f t="shared" si="10"/>
        <v>0</v>
      </c>
    </row>
    <row r="266" spans="1:23" ht="31.5" customHeight="1">
      <c r="A266" s="291" t="s">
        <v>9</v>
      </c>
      <c r="B266" s="293">
        <v>110797800</v>
      </c>
      <c r="C266" s="293">
        <v>23920636</v>
      </c>
      <c r="D266" s="293">
        <f>'SEPTEMBER DIBAYAR OKT 2025 '!T530</f>
        <v>110461585</v>
      </c>
      <c r="E266" s="293">
        <f>'SEPTEMBER DIBAYAR OKT 2025 '!U530</f>
        <v>25029838</v>
      </c>
      <c r="F266" s="293">
        <f t="shared" si="9"/>
        <v>-336215</v>
      </c>
      <c r="G266" s="295">
        <f t="shared" si="10"/>
        <v>1109202</v>
      </c>
    </row>
    <row r="267" spans="1:23" ht="31.5" hidden="1" customHeight="1">
      <c r="A267" s="309"/>
      <c r="B267" s="293"/>
      <c r="C267" s="293">
        <v>0</v>
      </c>
      <c r="D267" s="293"/>
      <c r="E267" s="293">
        <f>'SEPTEMBER DIBAYAR OKT 2025 '!U531</f>
        <v>0</v>
      </c>
      <c r="F267" s="293">
        <f t="shared" si="9"/>
        <v>0</v>
      </c>
      <c r="G267" s="295">
        <f t="shared" si="10"/>
        <v>0</v>
      </c>
    </row>
    <row r="268" spans="1:23" ht="31.5" customHeight="1">
      <c r="A268" s="291" t="s">
        <v>76</v>
      </c>
      <c r="B268" s="293">
        <v>0</v>
      </c>
      <c r="C268" s="293">
        <v>28844815</v>
      </c>
      <c r="D268" s="293">
        <f>'SEPTEMBER DIBAYAR OKT 2025 '!T532</f>
        <v>0</v>
      </c>
      <c r="E268" s="293">
        <f>'SEPTEMBER DIBAYAR OKT 2025 '!U532</f>
        <v>34289981.219999999</v>
      </c>
      <c r="F268" s="293">
        <f t="shared" si="9"/>
        <v>0</v>
      </c>
      <c r="G268" s="295">
        <f t="shared" si="10"/>
        <v>5445166.2199999988</v>
      </c>
    </row>
    <row r="269" spans="1:23" ht="31.5" hidden="1" customHeight="1">
      <c r="A269" s="309"/>
      <c r="B269" s="293"/>
      <c r="C269" s="293">
        <v>0</v>
      </c>
      <c r="D269" s="293"/>
      <c r="E269" s="293">
        <f>'SEPTEMBER DIBAYAR OKT 2025 '!U533</f>
        <v>0</v>
      </c>
      <c r="F269" s="293">
        <f t="shared" si="9"/>
        <v>0</v>
      </c>
      <c r="G269" s="295">
        <f t="shared" si="10"/>
        <v>0</v>
      </c>
    </row>
    <row r="270" spans="1:23" ht="31.5" customHeight="1">
      <c r="A270" s="309" t="s">
        <v>54</v>
      </c>
      <c r="B270" s="293">
        <v>2966484</v>
      </c>
      <c r="C270" s="293">
        <v>48916863</v>
      </c>
      <c r="D270" s="293">
        <f>'SEPTEMBER DIBAYAR OKT 2025 '!T534</f>
        <v>3117520</v>
      </c>
      <c r="E270" s="293">
        <f>'SEPTEMBER DIBAYAR OKT 2025 '!U534</f>
        <v>45947790.280000001</v>
      </c>
      <c r="F270" s="293">
        <f t="shared" si="9"/>
        <v>151036</v>
      </c>
      <c r="G270" s="295">
        <f t="shared" si="10"/>
        <v>-2969072.7199999988</v>
      </c>
      <c r="W270" s="215" t="s">
        <v>144</v>
      </c>
    </row>
    <row r="271" spans="1:23" ht="31.5" customHeight="1">
      <c r="A271" s="309" t="s">
        <v>55</v>
      </c>
      <c r="B271" s="293">
        <v>0</v>
      </c>
      <c r="C271" s="293">
        <v>584187015</v>
      </c>
      <c r="D271" s="293">
        <f>'SEPTEMBER DIBAYAR OKT 2025 '!T538</f>
        <v>0</v>
      </c>
      <c r="E271" s="293">
        <f>'SEPTEMBER DIBAYAR OKT 2025 '!U538</f>
        <v>587803801</v>
      </c>
      <c r="F271" s="293">
        <f t="shared" si="9"/>
        <v>0</v>
      </c>
      <c r="G271" s="295">
        <f t="shared" si="10"/>
        <v>3616786</v>
      </c>
    </row>
    <row r="272" spans="1:23" ht="31.5" customHeight="1">
      <c r="A272" s="291" t="s">
        <v>57</v>
      </c>
      <c r="B272" s="293">
        <v>83226213</v>
      </c>
      <c r="C272" s="293">
        <v>27012954.669999998</v>
      </c>
      <c r="D272" s="293">
        <f>'SEPTEMBER DIBAYAR OKT 2025 '!T544</f>
        <v>80854039.269999996</v>
      </c>
      <c r="E272" s="293">
        <f>'SEPTEMBER DIBAYAR OKT 2025 '!U544</f>
        <v>24267963.34</v>
      </c>
      <c r="F272" s="293">
        <f t="shared" si="9"/>
        <v>-2372173.7300000042</v>
      </c>
      <c r="G272" s="295">
        <f t="shared" si="10"/>
        <v>-2744991.3299999982</v>
      </c>
    </row>
    <row r="273" spans="1:7" ht="31.5" customHeight="1">
      <c r="A273" s="291" t="s">
        <v>636</v>
      </c>
      <c r="B273" s="293">
        <v>0</v>
      </c>
      <c r="C273" s="293">
        <v>20111261.889999997</v>
      </c>
      <c r="D273" s="293">
        <f>'SEPTEMBER DIBAYAR OKT 2025 '!T536</f>
        <v>0</v>
      </c>
      <c r="E273" s="293">
        <f>'SEPTEMBER DIBAYAR OKT 2025 '!U536</f>
        <v>20581831.750000004</v>
      </c>
      <c r="F273" s="293">
        <f>D273-B273</f>
        <v>0</v>
      </c>
      <c r="G273" s="295">
        <f>E273-C273</f>
        <v>470569.86000000685</v>
      </c>
    </row>
    <row r="274" spans="1:7" ht="31.5" customHeight="1">
      <c r="A274" s="291" t="s">
        <v>58</v>
      </c>
      <c r="B274" s="293">
        <v>91614526.5</v>
      </c>
      <c r="C274" s="293">
        <v>22083174.420000002</v>
      </c>
      <c r="D274" s="293">
        <f>'SEPTEMBER DIBAYAR OKT 2025 '!T546</f>
        <v>71495925</v>
      </c>
      <c r="E274" s="293">
        <f>'SEPTEMBER DIBAYAR OKT 2025 '!U546</f>
        <v>23931842.350000001</v>
      </c>
      <c r="F274" s="293">
        <f t="shared" si="9"/>
        <v>-20118601.5</v>
      </c>
      <c r="G274" s="295">
        <f t="shared" si="10"/>
        <v>1848667.9299999997</v>
      </c>
    </row>
    <row r="275" spans="1:7" ht="31.5" hidden="1" customHeight="1">
      <c r="A275" s="291"/>
      <c r="B275" s="293"/>
      <c r="C275" s="293"/>
      <c r="D275" s="293"/>
      <c r="E275" s="293"/>
      <c r="F275" s="293">
        <f t="shared" si="9"/>
        <v>0</v>
      </c>
      <c r="G275" s="295">
        <f t="shared" si="10"/>
        <v>0</v>
      </c>
    </row>
    <row r="276" spans="1:7" ht="31.5" customHeight="1">
      <c r="A276" s="291" t="s">
        <v>59</v>
      </c>
      <c r="B276" s="293">
        <v>83568742</v>
      </c>
      <c r="C276" s="293">
        <v>36581208.840000004</v>
      </c>
      <c r="D276" s="293">
        <f>'SEPTEMBER DIBAYAR OKT 2025 '!T548</f>
        <v>81408651.5</v>
      </c>
      <c r="E276" s="293">
        <f>'SEPTEMBER DIBAYAR OKT 2025 '!U548</f>
        <v>34295583.829999998</v>
      </c>
      <c r="F276" s="293">
        <f t="shared" si="9"/>
        <v>-2160090.5</v>
      </c>
      <c r="G276" s="295">
        <f t="shared" si="10"/>
        <v>-2285625.0100000054</v>
      </c>
    </row>
    <row r="277" spans="1:7" ht="31.5" hidden="1" customHeight="1">
      <c r="A277" s="291"/>
      <c r="B277" s="293"/>
      <c r="C277" s="293"/>
      <c r="D277" s="293"/>
      <c r="E277" s="293"/>
      <c r="F277" s="293">
        <f t="shared" si="9"/>
        <v>0</v>
      </c>
      <c r="G277" s="295">
        <f t="shared" si="10"/>
        <v>0</v>
      </c>
    </row>
    <row r="278" spans="1:7" ht="31.5" customHeight="1">
      <c r="A278" s="291" t="s">
        <v>60</v>
      </c>
      <c r="B278" s="293">
        <v>181555763.5</v>
      </c>
      <c r="C278" s="293">
        <v>70215754.849999994</v>
      </c>
      <c r="D278" s="293">
        <f>'SEPTEMBER DIBAYAR OKT 2025 '!T550</f>
        <v>155328680.5</v>
      </c>
      <c r="E278" s="293">
        <f>'SEPTEMBER DIBAYAR OKT 2025 '!U550</f>
        <v>57555183.550000004</v>
      </c>
      <c r="F278" s="293">
        <f t="shared" si="9"/>
        <v>-26227083</v>
      </c>
      <c r="G278" s="295">
        <f t="shared" si="10"/>
        <v>-12660571.29999999</v>
      </c>
    </row>
    <row r="279" spans="1:7" ht="31.5" hidden="1" customHeight="1">
      <c r="A279" s="291"/>
      <c r="B279" s="293"/>
      <c r="C279" s="293"/>
      <c r="D279" s="293"/>
      <c r="E279" s="293"/>
      <c r="F279" s="293">
        <f t="shared" si="9"/>
        <v>0</v>
      </c>
      <c r="G279" s="295">
        <f t="shared" si="10"/>
        <v>0</v>
      </c>
    </row>
    <row r="280" spans="1:7" ht="31.5" customHeight="1" thickBot="1">
      <c r="A280" s="291" t="s">
        <v>31</v>
      </c>
      <c r="B280" s="293">
        <v>400000</v>
      </c>
      <c r="C280" s="293">
        <v>7013733</v>
      </c>
      <c r="D280" s="293">
        <f>'SEPTEMBER DIBAYAR OKT 2025 '!T552</f>
        <v>400000</v>
      </c>
      <c r="E280" s="293">
        <f>'SEPTEMBER DIBAYAR OKT 2025 '!U552</f>
        <v>8358218.04</v>
      </c>
      <c r="F280" s="293">
        <f t="shared" si="9"/>
        <v>0</v>
      </c>
      <c r="G280" s="295">
        <f t="shared" si="10"/>
        <v>1344485.04</v>
      </c>
    </row>
    <row r="281" spans="1:7" ht="31.5" hidden="1" customHeight="1" thickBot="1">
      <c r="A281" s="291"/>
      <c r="B281" s="681"/>
      <c r="C281" s="682"/>
      <c r="D281" s="294"/>
      <c r="E281" s="294"/>
      <c r="F281" s="294"/>
      <c r="G281" s="295"/>
    </row>
    <row r="282" spans="1:7" ht="31.5" customHeight="1" thickTop="1" thickBot="1">
      <c r="A282" s="319" t="s">
        <v>10</v>
      </c>
      <c r="B282" s="412">
        <v>789544769</v>
      </c>
      <c r="C282" s="320">
        <v>964883677.80999994</v>
      </c>
      <c r="D282" s="412">
        <f>SUM(D258:D281)</f>
        <v>729550823.26999998</v>
      </c>
      <c r="E282" s="412">
        <f>SUM(E258:E281)</f>
        <v>958943418.63999999</v>
      </c>
      <c r="F282" s="412">
        <f>SUM(F258:F281)</f>
        <v>-59993945.730000004</v>
      </c>
      <c r="G282" s="413">
        <f>SUM(G258:G281)</f>
        <v>-5940259.1699999822</v>
      </c>
    </row>
    <row r="283" spans="1:7" ht="7.5" customHeight="1" thickTop="1" thickBot="1">
      <c r="A283" s="571"/>
      <c r="B283" s="689"/>
      <c r="C283" s="689"/>
      <c r="D283" s="285"/>
      <c r="E283" s="285"/>
      <c r="F283" s="285"/>
      <c r="G283" s="286"/>
    </row>
    <row r="284" spans="1:7" ht="17.25" customHeight="1" thickTop="1">
      <c r="A284" s="336"/>
      <c r="B284" s="336"/>
      <c r="C284" s="336"/>
      <c r="D284" s="337"/>
      <c r="E284" s="337"/>
    </row>
    <row r="285" spans="1:7" ht="17.25" customHeight="1">
      <c r="A285" s="336"/>
      <c r="B285" s="336"/>
      <c r="C285" s="336"/>
      <c r="D285" s="337"/>
      <c r="E285" s="337"/>
      <c r="F285" s="218"/>
      <c r="G285" s="218"/>
    </row>
    <row r="286" spans="1:7" ht="17.25" customHeight="1">
      <c r="A286" s="336"/>
      <c r="B286" s="336"/>
      <c r="C286" s="336"/>
      <c r="D286" s="337"/>
      <c r="E286" s="337"/>
      <c r="G286" s="218"/>
    </row>
    <row r="287" spans="1:7" ht="47.25" hidden="1" customHeight="1">
      <c r="A287" s="336"/>
      <c r="B287" s="336"/>
      <c r="C287" s="336"/>
      <c r="D287" s="337"/>
      <c r="E287" s="337"/>
      <c r="G287" s="218"/>
    </row>
    <row r="288" spans="1:7" ht="47.25" hidden="1" customHeight="1">
      <c r="A288" s="336"/>
      <c r="B288" s="336"/>
      <c r="C288" s="336"/>
      <c r="D288" s="337"/>
      <c r="E288" s="337"/>
      <c r="G288" s="218"/>
    </row>
    <row r="289" spans="1:13" ht="47.25" hidden="1" customHeight="1">
      <c r="A289" s="336"/>
      <c r="B289" s="336"/>
      <c r="C289" s="336"/>
      <c r="D289" s="337"/>
      <c r="E289" s="337"/>
      <c r="G289" s="218"/>
    </row>
    <row r="290" spans="1:13" ht="47.25" hidden="1" customHeight="1">
      <c r="A290" s="336"/>
      <c r="B290" s="336"/>
      <c r="C290" s="336"/>
      <c r="D290" s="337"/>
      <c r="E290" s="337"/>
    </row>
    <row r="291" spans="1:13" ht="47.25" hidden="1" customHeight="1">
      <c r="A291" s="336"/>
      <c r="B291" s="336"/>
      <c r="C291" s="336"/>
      <c r="D291" s="337"/>
      <c r="E291" s="337"/>
    </row>
    <row r="292" spans="1:13" ht="47.25" hidden="1" customHeight="1">
      <c r="A292" s="336"/>
      <c r="B292" s="336"/>
      <c r="C292" s="336"/>
      <c r="D292" s="337"/>
      <c r="E292" s="337"/>
    </row>
    <row r="293" spans="1:13" ht="47.25" hidden="1" customHeight="1">
      <c r="A293" s="336"/>
      <c r="B293" s="336"/>
      <c r="C293" s="336"/>
      <c r="D293" s="337"/>
      <c r="E293" s="337"/>
    </row>
    <row r="294" spans="1:13" ht="47.25" hidden="1" customHeight="1">
      <c r="A294" s="336"/>
      <c r="B294" s="336"/>
      <c r="C294" s="336"/>
      <c r="D294" s="337"/>
      <c r="E294" s="337"/>
    </row>
    <row r="295" spans="1:13" ht="47.25" hidden="1" customHeight="1">
      <c r="A295" s="336"/>
      <c r="B295" s="336"/>
      <c r="C295" s="336"/>
      <c r="D295" s="337"/>
      <c r="E295" s="337"/>
    </row>
    <row r="296" spans="1:13" ht="47.25" hidden="1" customHeight="1">
      <c r="A296" s="336"/>
      <c r="B296" s="336"/>
      <c r="C296" s="336"/>
      <c r="D296" s="337"/>
      <c r="E296" s="337"/>
    </row>
    <row r="297" spans="1:13" ht="47.25" hidden="1" customHeight="1">
      <c r="A297" s="1254" t="s">
        <v>463</v>
      </c>
      <c r="B297" s="1254"/>
      <c r="C297" s="1254"/>
      <c r="D297" s="1254"/>
      <c r="E297" s="1254"/>
      <c r="F297" s="1254"/>
      <c r="G297" s="1254"/>
      <c r="H297" s="72"/>
      <c r="I297" s="72"/>
      <c r="J297" s="72"/>
      <c r="K297" s="72"/>
      <c r="L297" s="72"/>
      <c r="M297" s="72"/>
    </row>
    <row r="298" spans="1:13" hidden="1">
      <c r="A298" s="1254"/>
      <c r="B298" s="1254"/>
      <c r="C298" s="1254"/>
      <c r="D298" s="1254"/>
      <c r="E298" s="1254"/>
      <c r="F298" s="1254"/>
      <c r="G298" s="1254"/>
    </row>
    <row r="299" spans="1:13" hidden="1">
      <c r="D299" s="281"/>
      <c r="E299" s="281"/>
    </row>
    <row r="300" spans="1:13" hidden="1">
      <c r="A300" s="215" t="s">
        <v>437</v>
      </c>
    </row>
    <row r="301" spans="1:13" ht="21" hidden="1" thickBot="1"/>
    <row r="302" spans="1:13" ht="25.5" hidden="1" customHeight="1" thickTop="1">
      <c r="A302" s="1218" t="s">
        <v>1</v>
      </c>
      <c r="B302" s="1178" t="s">
        <v>462</v>
      </c>
      <c r="C302" s="1180"/>
      <c r="D302" s="1178" t="s">
        <v>461</v>
      </c>
      <c r="E302" s="1180"/>
      <c r="F302" s="1178" t="s">
        <v>414</v>
      </c>
      <c r="G302" s="1180"/>
    </row>
    <row r="303" spans="1:13" ht="25.5" hidden="1" customHeight="1" thickBot="1">
      <c r="A303" s="1219"/>
      <c r="B303" s="284" t="s">
        <v>452</v>
      </c>
      <c r="C303" s="284" t="s">
        <v>453</v>
      </c>
      <c r="D303" s="284" t="s">
        <v>452</v>
      </c>
      <c r="E303" s="284" t="s">
        <v>453</v>
      </c>
      <c r="F303" s="284" t="s">
        <v>454</v>
      </c>
      <c r="G303" s="284" t="s">
        <v>455</v>
      </c>
    </row>
    <row r="304" spans="1:13" ht="21" hidden="1" thickTop="1">
      <c r="A304" s="387"/>
      <c r="B304" s="673"/>
      <c r="C304" s="269"/>
      <c r="D304" s="307"/>
      <c r="E304" s="307"/>
      <c r="F304" s="307"/>
      <c r="G304" s="306"/>
    </row>
    <row r="305" spans="1:7" hidden="1">
      <c r="A305" s="291" t="s">
        <v>7</v>
      </c>
      <c r="B305" s="293">
        <v>23480611</v>
      </c>
      <c r="C305" s="293">
        <v>26188129</v>
      </c>
      <c r="D305" s="293">
        <f>'SEPTEMBER DIBAYAR OKT 2025 '!T522</f>
        <v>74684519</v>
      </c>
      <c r="E305" s="293">
        <f>'SEPTEMBER DIBAYAR OKT 2025 '!U522</f>
        <v>27954094.32</v>
      </c>
      <c r="F305" s="293">
        <f>D305-B305</f>
        <v>51203908</v>
      </c>
      <c r="G305" s="293">
        <f>E305-C305</f>
        <v>1765965.3200000003</v>
      </c>
    </row>
    <row r="306" spans="1:7" hidden="1">
      <c r="A306" s="291"/>
      <c r="B306" s="293"/>
      <c r="C306" s="293"/>
      <c r="D306" s="293"/>
      <c r="E306" s="293"/>
      <c r="F306" s="293"/>
      <c r="G306" s="293"/>
    </row>
    <row r="307" spans="1:7" hidden="1">
      <c r="A307" s="291" t="s">
        <v>8</v>
      </c>
      <c r="B307" s="293">
        <v>18251631</v>
      </c>
      <c r="C307" s="293">
        <v>27487191</v>
      </c>
      <c r="D307" s="293">
        <f>'SEPTEMBER DIBAYAR OKT 2025 '!T524</f>
        <v>13295647</v>
      </c>
      <c r="E307" s="293">
        <f>'SEPTEMBER DIBAYAR OKT 2025 '!U524</f>
        <v>21086013.960000001</v>
      </c>
      <c r="F307" s="293">
        <f t="shared" ref="F307" si="11">D307-B307</f>
        <v>-4955984</v>
      </c>
      <c r="G307" s="293">
        <f t="shared" ref="G307" si="12">E307-C307</f>
        <v>-6401177.0399999991</v>
      </c>
    </row>
    <row r="308" spans="1:7" hidden="1">
      <c r="A308" s="291"/>
      <c r="B308" s="293"/>
      <c r="C308" s="293"/>
      <c r="D308" s="293"/>
      <c r="E308" s="293"/>
      <c r="F308" s="293"/>
      <c r="G308" s="293"/>
    </row>
    <row r="309" spans="1:7" hidden="1">
      <c r="A309" s="291" t="s">
        <v>6</v>
      </c>
      <c r="B309" s="293">
        <v>31876904</v>
      </c>
      <c r="C309" s="293">
        <v>22015581</v>
      </c>
      <c r="D309" s="293">
        <f>'SEPTEMBER DIBAYAR OKT 2025 '!T526</f>
        <v>69844530</v>
      </c>
      <c r="E309" s="293">
        <f>'SEPTEMBER DIBAYAR OKT 2025 '!U526</f>
        <v>26699242.310000002</v>
      </c>
      <c r="F309" s="293">
        <f t="shared" ref="F309" si="13">D309-B309</f>
        <v>37967626</v>
      </c>
      <c r="G309" s="293">
        <f t="shared" ref="G309" si="14">E309-C309</f>
        <v>4683661.3100000024</v>
      </c>
    </row>
    <row r="310" spans="1:7" hidden="1">
      <c r="A310" s="291"/>
      <c r="B310" s="293"/>
      <c r="C310" s="293"/>
      <c r="D310" s="293"/>
      <c r="E310" s="293"/>
      <c r="F310" s="293"/>
      <c r="G310" s="293"/>
    </row>
    <row r="311" spans="1:7" hidden="1">
      <c r="A311" s="291" t="s">
        <v>5</v>
      </c>
      <c r="B311" s="293">
        <v>31493166</v>
      </c>
      <c r="C311" s="293">
        <v>14456387</v>
      </c>
      <c r="D311" s="293">
        <f>'SEPTEMBER DIBAYAR OKT 2025 '!T528</f>
        <v>68659726</v>
      </c>
      <c r="E311" s="293">
        <f>'SEPTEMBER DIBAYAR OKT 2025 '!U528</f>
        <v>21142034.690000001</v>
      </c>
      <c r="F311" s="293">
        <f t="shared" ref="F311" si="15">D311-B311</f>
        <v>37166560</v>
      </c>
      <c r="G311" s="293">
        <f t="shared" ref="G311" si="16">E311-C311</f>
        <v>6685647.6900000013</v>
      </c>
    </row>
    <row r="312" spans="1:7" hidden="1">
      <c r="A312" s="291"/>
      <c r="B312" s="293"/>
      <c r="C312" s="293"/>
      <c r="D312" s="293"/>
      <c r="E312" s="293"/>
      <c r="F312" s="293"/>
      <c r="G312" s="293"/>
    </row>
    <row r="313" spans="1:7" hidden="1">
      <c r="A313" s="291" t="s">
        <v>9</v>
      </c>
      <c r="B313" s="293">
        <v>46541896</v>
      </c>
      <c r="C313" s="293">
        <v>22445716</v>
      </c>
      <c r="D313" s="293">
        <f>'SEPTEMBER DIBAYAR OKT 2025 '!T530</f>
        <v>110461585</v>
      </c>
      <c r="E313" s="293">
        <f>'SEPTEMBER DIBAYAR OKT 2025 '!U530</f>
        <v>25029838</v>
      </c>
      <c r="F313" s="293">
        <f t="shared" ref="F313" si="17">D313-B313</f>
        <v>63919689</v>
      </c>
      <c r="G313" s="293">
        <f t="shared" ref="G313" si="18">E313-C313</f>
        <v>2584122</v>
      </c>
    </row>
    <row r="314" spans="1:7" hidden="1">
      <c r="A314" s="309"/>
      <c r="B314" s="293"/>
      <c r="C314" s="293"/>
      <c r="D314" s="293"/>
      <c r="E314" s="293"/>
      <c r="F314" s="293"/>
      <c r="G314" s="293"/>
    </row>
    <row r="315" spans="1:7" hidden="1">
      <c r="A315" s="291" t="s">
        <v>76</v>
      </c>
      <c r="B315" s="293">
        <v>0</v>
      </c>
      <c r="C315" s="293">
        <v>16457846</v>
      </c>
      <c r="D315" s="293">
        <f>'SEPTEMBER DIBAYAR OKT 2025 '!T532</f>
        <v>0</v>
      </c>
      <c r="E315" s="293">
        <f>'SEPTEMBER DIBAYAR OKT 2025 '!U532</f>
        <v>34289981.219999999</v>
      </c>
      <c r="F315" s="293">
        <f t="shared" ref="F315" si="19">D315-B315</f>
        <v>0</v>
      </c>
      <c r="G315" s="293">
        <f t="shared" ref="G315" si="20">E315-C315</f>
        <v>17832135.219999999</v>
      </c>
    </row>
    <row r="316" spans="1:7" hidden="1">
      <c r="A316" s="309"/>
      <c r="B316" s="293"/>
      <c r="C316" s="293"/>
      <c r="D316" s="293"/>
      <c r="E316" s="293"/>
      <c r="F316" s="293"/>
      <c r="G316" s="293"/>
    </row>
    <row r="317" spans="1:7" hidden="1">
      <c r="A317" s="309" t="s">
        <v>54</v>
      </c>
      <c r="B317" s="293">
        <v>1254050</v>
      </c>
      <c r="C317" s="293">
        <v>17006520</v>
      </c>
      <c r="D317" s="293">
        <f>'SEPTEMBER DIBAYAR OKT 2025 '!T534</f>
        <v>3117520</v>
      </c>
      <c r="E317" s="293">
        <f>'SEPTEMBER DIBAYAR OKT 2025 '!U534</f>
        <v>45947790.280000001</v>
      </c>
      <c r="F317" s="293">
        <f t="shared" ref="F317:F321" si="21">D317-B317</f>
        <v>1863470</v>
      </c>
      <c r="G317" s="293">
        <f t="shared" ref="G317:G321" si="22">E317-C317</f>
        <v>28941270.280000001</v>
      </c>
    </row>
    <row r="318" spans="1:7" hidden="1">
      <c r="A318" s="309"/>
      <c r="B318" s="293"/>
      <c r="C318" s="293"/>
      <c r="D318" s="293"/>
      <c r="E318" s="293"/>
      <c r="F318" s="293"/>
      <c r="G318" s="293"/>
    </row>
    <row r="319" spans="1:7" hidden="1">
      <c r="A319" s="309" t="s">
        <v>55</v>
      </c>
      <c r="B319" s="293">
        <v>0</v>
      </c>
      <c r="C319" s="293">
        <v>196827021</v>
      </c>
      <c r="D319" s="293">
        <f>'SEPTEMBER DIBAYAR OKT 2025 '!T538</f>
        <v>0</v>
      </c>
      <c r="E319" s="293">
        <f>'SEPTEMBER DIBAYAR OKT 2025 '!U538</f>
        <v>587803801</v>
      </c>
      <c r="F319" s="293">
        <f t="shared" si="21"/>
        <v>0</v>
      </c>
      <c r="G319" s="293">
        <f t="shared" si="22"/>
        <v>390976780</v>
      </c>
    </row>
    <row r="320" spans="1:7" hidden="1">
      <c r="A320" s="309"/>
      <c r="B320" s="293"/>
      <c r="C320" s="293"/>
      <c r="D320" s="342"/>
      <c r="E320" s="342"/>
      <c r="F320" s="293"/>
      <c r="G320" s="293"/>
    </row>
    <row r="321" spans="1:7" hidden="1">
      <c r="A321" s="291" t="s">
        <v>57</v>
      </c>
      <c r="B321" s="293">
        <v>65928300</v>
      </c>
      <c r="C321" s="293">
        <v>18454260</v>
      </c>
      <c r="D321" s="293">
        <f>'SEPTEMBER DIBAYAR OKT 2025 '!T544</f>
        <v>80854039.269999996</v>
      </c>
      <c r="E321" s="293">
        <f>'SEPTEMBER DIBAYAR OKT 2025 '!U544</f>
        <v>24267963.34</v>
      </c>
      <c r="F321" s="293">
        <f t="shared" si="21"/>
        <v>14925739.269999996</v>
      </c>
      <c r="G321" s="293">
        <f t="shared" si="22"/>
        <v>5813703.3399999999</v>
      </c>
    </row>
    <row r="322" spans="1:7" hidden="1">
      <c r="A322" s="291"/>
      <c r="B322" s="293"/>
      <c r="C322" s="293"/>
      <c r="D322" s="293"/>
      <c r="E322" s="293"/>
      <c r="F322" s="293"/>
      <c r="G322" s="293"/>
    </row>
    <row r="323" spans="1:7" hidden="1">
      <c r="A323" s="291" t="s">
        <v>58</v>
      </c>
      <c r="B323" s="293">
        <v>53458472</v>
      </c>
      <c r="C323" s="293">
        <v>22764060</v>
      </c>
      <c r="D323" s="293">
        <f>'SEPTEMBER DIBAYAR OKT 2025 '!T546</f>
        <v>71495925</v>
      </c>
      <c r="E323" s="293">
        <f>'SEPTEMBER DIBAYAR OKT 2025 '!U546</f>
        <v>23931842.350000001</v>
      </c>
      <c r="F323" s="293">
        <f t="shared" ref="F323" si="23">D323-B323</f>
        <v>18037453</v>
      </c>
      <c r="G323" s="293">
        <f t="shared" ref="G323" si="24">E323-C323</f>
        <v>1167782.3500000015</v>
      </c>
    </row>
    <row r="324" spans="1:7" hidden="1">
      <c r="A324" s="291"/>
      <c r="B324" s="293"/>
      <c r="C324" s="293"/>
      <c r="D324" s="293"/>
      <c r="E324" s="293"/>
      <c r="F324" s="293"/>
      <c r="G324" s="293"/>
    </row>
    <row r="325" spans="1:7" hidden="1">
      <c r="A325" s="291" t="s">
        <v>59</v>
      </c>
      <c r="B325" s="293">
        <v>35593372</v>
      </c>
      <c r="C325" s="293">
        <v>13291940</v>
      </c>
      <c r="D325" s="293">
        <f>'SEPTEMBER DIBAYAR OKT 2025 '!T548</f>
        <v>81408651.5</v>
      </c>
      <c r="E325" s="293">
        <f>'SEPTEMBER DIBAYAR OKT 2025 '!U548</f>
        <v>34295583.829999998</v>
      </c>
      <c r="F325" s="293">
        <f t="shared" ref="F325" si="25">D325-B325</f>
        <v>45815279.5</v>
      </c>
      <c r="G325" s="293">
        <f t="shared" ref="G325" si="26">E325-C325</f>
        <v>21003643.829999998</v>
      </c>
    </row>
    <row r="326" spans="1:7" hidden="1">
      <c r="A326" s="291"/>
      <c r="B326" s="293"/>
      <c r="C326" s="293"/>
      <c r="D326" s="293"/>
      <c r="E326" s="293"/>
      <c r="F326" s="293"/>
      <c r="G326" s="293"/>
    </row>
    <row r="327" spans="1:7" hidden="1">
      <c r="A327" s="291" t="s">
        <v>60</v>
      </c>
      <c r="B327" s="293">
        <v>82808070</v>
      </c>
      <c r="C327" s="293">
        <v>30110583</v>
      </c>
      <c r="D327" s="293">
        <f>'SEPTEMBER DIBAYAR OKT 2025 '!T550</f>
        <v>155328680.5</v>
      </c>
      <c r="E327" s="293">
        <f>'SEPTEMBER DIBAYAR OKT 2025 '!U550</f>
        <v>57555183.550000004</v>
      </c>
      <c r="F327" s="293">
        <f t="shared" ref="F327" si="27">D327-B327</f>
        <v>72520610.5</v>
      </c>
      <c r="G327" s="293">
        <f t="shared" ref="G327" si="28">E327-C327</f>
        <v>27444600.550000004</v>
      </c>
    </row>
    <row r="328" spans="1:7" hidden="1">
      <c r="A328" s="291"/>
      <c r="B328" s="293"/>
      <c r="C328" s="293"/>
      <c r="D328" s="293"/>
      <c r="E328" s="293"/>
      <c r="F328" s="293"/>
      <c r="G328" s="293"/>
    </row>
    <row r="329" spans="1:7" hidden="1">
      <c r="A329" s="291" t="s">
        <v>31</v>
      </c>
      <c r="B329" s="293">
        <v>0</v>
      </c>
      <c r="C329" s="293">
        <v>2365875</v>
      </c>
      <c r="D329" s="293">
        <f>'SEPTEMBER DIBAYAR OKT 2025 '!T552</f>
        <v>400000</v>
      </c>
      <c r="E329" s="293">
        <f>'SEPTEMBER DIBAYAR OKT 2025 '!U552</f>
        <v>8358218.04</v>
      </c>
      <c r="F329" s="293">
        <f t="shared" ref="F329" si="29">D329-B329</f>
        <v>400000</v>
      </c>
      <c r="G329" s="293">
        <f t="shared" ref="G329" si="30">E329-C329</f>
        <v>5992343.04</v>
      </c>
    </row>
    <row r="330" spans="1:7" ht="21" hidden="1" thickBot="1">
      <c r="A330" s="291"/>
      <c r="B330" s="681"/>
      <c r="C330" s="682"/>
      <c r="D330" s="294"/>
      <c r="E330" s="294"/>
      <c r="F330" s="294"/>
      <c r="G330" s="293"/>
    </row>
    <row r="331" spans="1:7" ht="21.75" hidden="1" thickTop="1" thickBot="1">
      <c r="A331" s="319" t="s">
        <v>10</v>
      </c>
      <c r="B331" s="412">
        <f>SUM(B305:B330)</f>
        <v>390686472</v>
      </c>
      <c r="C331" s="320">
        <f>SUM(C305:C330)</f>
        <v>429871109</v>
      </c>
      <c r="D331" s="320">
        <f t="shared" ref="D331" si="31">SUM(D305:D330)</f>
        <v>729550823.26999998</v>
      </c>
      <c r="E331" s="320">
        <f t="shared" ref="E331" si="32">SUM(E305:E330)</f>
        <v>938361586.88999999</v>
      </c>
      <c r="F331" s="320">
        <f t="shared" ref="F331" si="33">SUM(F305:F330)</f>
        <v>338864351.26999998</v>
      </c>
      <c r="G331" s="320">
        <f t="shared" ref="G331" si="34">SUM(G305:G330)</f>
        <v>508490477.88999999</v>
      </c>
    </row>
    <row r="332" spans="1:7" ht="6.75" hidden="1" customHeight="1" thickTop="1">
      <c r="A332" s="287"/>
      <c r="B332" s="683"/>
      <c r="C332" s="683"/>
      <c r="D332" s="289"/>
      <c r="E332" s="289"/>
      <c r="F332" s="289"/>
      <c r="G332" s="289"/>
    </row>
    <row r="333" spans="1:7" hidden="1">
      <c r="A333" s="336"/>
      <c r="B333" s="336"/>
      <c r="C333" s="336"/>
      <c r="D333" s="337"/>
      <c r="E333" s="337"/>
    </row>
    <row r="334" spans="1:7" hidden="1">
      <c r="A334" s="336"/>
      <c r="B334" s="336"/>
      <c r="C334" s="336"/>
      <c r="D334" s="337"/>
      <c r="E334" s="337"/>
      <c r="G334" s="218"/>
    </row>
    <row r="335" spans="1:7" hidden="1"/>
    <row r="336" spans="1:7" hidden="1"/>
    <row r="337" spans="1:9">
      <c r="A337" s="215" t="s">
        <v>467</v>
      </c>
    </row>
    <row r="339" spans="1:9">
      <c r="A339" s="215" t="str">
        <f>A253</f>
        <v xml:space="preserve"> - OKTOBER 2025</v>
      </c>
    </row>
    <row r="340" spans="1:9" ht="21" thickBot="1"/>
    <row r="341" spans="1:9" ht="27.75" customHeight="1" thickTop="1">
      <c r="A341" s="1218" t="s">
        <v>1</v>
      </c>
      <c r="B341" s="1329">
        <f>B255</f>
        <v>45901</v>
      </c>
      <c r="C341" s="1330"/>
      <c r="D341" s="1329">
        <f>D255</f>
        <v>45931</v>
      </c>
      <c r="E341" s="1180"/>
      <c r="F341" s="1178" t="s">
        <v>414</v>
      </c>
      <c r="G341" s="1331"/>
    </row>
    <row r="342" spans="1:9" ht="27" customHeight="1" thickBot="1">
      <c r="A342" s="1219"/>
      <c r="B342" s="284" t="s">
        <v>452</v>
      </c>
      <c r="C342" s="284" t="s">
        <v>453</v>
      </c>
      <c r="D342" s="284" t="s">
        <v>452</v>
      </c>
      <c r="E342" s="284" t="s">
        <v>453</v>
      </c>
      <c r="F342" s="284" t="str">
        <f>F256</f>
        <v>Premi Okt 25 - Sept 25</v>
      </c>
      <c r="G342" s="688" t="str">
        <f>G256</f>
        <v>OT Okt 25 - Sept 25</v>
      </c>
    </row>
    <row r="343" spans="1:9" ht="21" thickTop="1">
      <c r="A343" s="387"/>
      <c r="B343" s="1145"/>
      <c r="C343" s="269"/>
      <c r="D343" s="307"/>
      <c r="E343" s="307"/>
      <c r="F343" s="307"/>
      <c r="G343" s="308"/>
    </row>
    <row r="344" spans="1:9">
      <c r="A344" s="291" t="s">
        <v>61</v>
      </c>
      <c r="B344" s="293">
        <v>35769609</v>
      </c>
      <c r="C344" s="293">
        <v>11002372.66</v>
      </c>
      <c r="D344" s="293">
        <f>'SEPTEMBER DIBAYAR OKT 2025 '!T556</f>
        <v>43738652</v>
      </c>
      <c r="E344" s="293">
        <f>'SEPTEMBER DIBAYAR OKT 2025 '!U556</f>
        <v>9994008.8399999999</v>
      </c>
      <c r="F344" s="293">
        <f>D344-B344</f>
        <v>7969043</v>
      </c>
      <c r="G344" s="295">
        <f>E344-C344</f>
        <v>-1008363.8200000003</v>
      </c>
    </row>
    <row r="345" spans="1:9">
      <c r="A345" s="291"/>
      <c r="B345" s="293"/>
      <c r="C345" s="293"/>
      <c r="D345" s="294"/>
      <c r="E345" s="294"/>
      <c r="F345" s="293"/>
      <c r="G345" s="295"/>
    </row>
    <row r="346" spans="1:9" ht="21" thickBot="1">
      <c r="A346" s="291"/>
      <c r="B346" s="681"/>
      <c r="C346" s="682"/>
      <c r="D346" s="294"/>
      <c r="E346" s="294"/>
      <c r="F346" s="294"/>
      <c r="G346" s="295"/>
    </row>
    <row r="347" spans="1:9" ht="21.75" thickTop="1" thickBot="1">
      <c r="A347" s="319" t="s">
        <v>318</v>
      </c>
      <c r="B347" s="412">
        <v>22190108</v>
      </c>
      <c r="C347" s="412">
        <v>9557051.0599999987</v>
      </c>
      <c r="D347" s="412">
        <f t="shared" ref="D347:G347" si="35">SUM(D344:D346)</f>
        <v>43738652</v>
      </c>
      <c r="E347" s="412">
        <f t="shared" si="35"/>
        <v>9994008.8399999999</v>
      </c>
      <c r="F347" s="412">
        <f t="shared" si="35"/>
        <v>7969043</v>
      </c>
      <c r="G347" s="942">
        <f t="shared" si="35"/>
        <v>-1008363.8200000003</v>
      </c>
      <c r="I347" s="218"/>
    </row>
    <row r="348" spans="1:9" ht="5.25" customHeight="1" thickTop="1" thickBot="1">
      <c r="A348" s="571"/>
      <c r="B348" s="689"/>
      <c r="C348" s="689"/>
      <c r="D348" s="285"/>
      <c r="E348" s="285"/>
      <c r="F348" s="285"/>
      <c r="G348" s="286"/>
    </row>
    <row r="349" spans="1:9" ht="21" thickTop="1">
      <c r="A349" s="336"/>
      <c r="B349" s="336"/>
      <c r="C349" s="336"/>
      <c r="D349" s="337"/>
      <c r="E349" s="337"/>
    </row>
    <row r="352" spans="1:9">
      <c r="A352" s="685"/>
      <c r="B352"/>
      <c r="C352"/>
      <c r="D352"/>
      <c r="E352"/>
      <c r="F352" s="1"/>
      <c r="G352"/>
      <c r="H352"/>
    </row>
    <row r="353" spans="1:8">
      <c r="A353" s="72"/>
      <c r="B353"/>
      <c r="C353"/>
      <c r="D353"/>
      <c r="E353"/>
      <c r="F353"/>
      <c r="G353"/>
      <c r="H353"/>
    </row>
    <row r="354" spans="1:8">
      <c r="A354"/>
      <c r="B354" s="72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 s="72"/>
      <c r="C356" s="72"/>
      <c r="D356" s="72"/>
      <c r="E356" s="72"/>
      <c r="F356" s="72"/>
      <c r="G356" s="72"/>
      <c r="H356" s="72"/>
    </row>
    <row r="357" spans="1:8">
      <c r="A357"/>
      <c r="B357" s="72"/>
      <c r="C357" s="72"/>
      <c r="D357" s="72"/>
      <c r="E357" s="72"/>
      <c r="F357" s="72"/>
      <c r="G357" s="72"/>
      <c r="H357" s="72"/>
    </row>
    <row r="358" spans="1:8">
      <c r="A358"/>
      <c r="B358" s="72"/>
      <c r="C358" s="72"/>
      <c r="D358" s="72"/>
      <c r="E358" s="72"/>
      <c r="F358" s="72"/>
      <c r="G358" s="72"/>
      <c r="H358" s="72"/>
    </row>
    <row r="359" spans="1:8">
      <c r="A359"/>
      <c r="B359" s="72"/>
      <c r="C359" s="72"/>
      <c r="D359" s="72"/>
      <c r="E359" s="72"/>
      <c r="F359" s="72"/>
      <c r="G359" s="72"/>
      <c r="H359" s="72"/>
    </row>
    <row r="360" spans="1:8">
      <c r="A360"/>
      <c r="B360" s="72"/>
      <c r="C360" s="72"/>
      <c r="D360" s="72"/>
      <c r="E360" s="72"/>
      <c r="F360" s="72"/>
      <c r="G360" s="72"/>
      <c r="H360" s="72"/>
    </row>
    <row r="361" spans="1:8">
      <c r="A361"/>
      <c r="B361" s="72"/>
      <c r="C361" s="72"/>
      <c r="D361" s="72"/>
      <c r="E361" s="72"/>
      <c r="F361" s="72"/>
      <c r="G361" s="72"/>
      <c r="H361" s="72"/>
    </row>
  </sheetData>
  <mergeCells count="18">
    <mergeCell ref="A6:A7"/>
    <mergeCell ref="D6:D7"/>
    <mergeCell ref="E6:E7"/>
    <mergeCell ref="A297:G298"/>
    <mergeCell ref="B255:C255"/>
    <mergeCell ref="D255:E255"/>
    <mergeCell ref="D248:E248"/>
    <mergeCell ref="D251:E251"/>
    <mergeCell ref="F255:G255"/>
    <mergeCell ref="A341:A342"/>
    <mergeCell ref="B341:C341"/>
    <mergeCell ref="D341:E341"/>
    <mergeCell ref="F341:G341"/>
    <mergeCell ref="A255:A256"/>
    <mergeCell ref="A302:A303"/>
    <mergeCell ref="B302:C302"/>
    <mergeCell ref="D302:E302"/>
    <mergeCell ref="F302:G302"/>
  </mergeCells>
  <printOptions horizontalCentered="1"/>
  <pageMargins left="0.15748031496062992" right="0.11811023622047245" top="0.19685039370078741" bottom="0.23622047244094491" header="0.11811023622047245" footer="3.937007874015748E-2"/>
  <pageSetup paperSize="14" scale="59" orientation="landscape" r:id="rId1"/>
  <headerFooter alignWithMargins="0"/>
  <rowBreaks count="2" manualBreakCount="2">
    <brk id="189" max="22" man="1"/>
    <brk id="3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6"/>
  <sheetViews>
    <sheetView workbookViewId="0">
      <selection activeCell="J33" sqref="J33"/>
    </sheetView>
  </sheetViews>
  <sheetFormatPr defaultRowHeight="12.75"/>
  <cols>
    <col min="1" max="1" width="9.140625" style="26"/>
    <col min="2" max="2" width="19.42578125" customWidth="1"/>
    <col min="3" max="3" width="9.140625" style="26"/>
    <col min="4" max="4" width="26.28515625" style="26" customWidth="1"/>
  </cols>
  <sheetData>
    <row r="1" spans="1:7">
      <c r="A1" s="1254" t="s">
        <v>488</v>
      </c>
      <c r="B1" s="1254"/>
      <c r="C1" s="1254"/>
      <c r="D1" s="1254"/>
    </row>
    <row r="3" spans="1:7">
      <c r="A3" s="30" t="s">
        <v>233</v>
      </c>
    </row>
    <row r="4" spans="1:7">
      <c r="A4" s="30"/>
    </row>
    <row r="5" spans="1:7" s="736" customFormat="1" ht="12">
      <c r="A5" s="734" t="s">
        <v>537</v>
      </c>
      <c r="B5" s="735">
        <v>6487</v>
      </c>
      <c r="C5" s="731"/>
      <c r="D5" s="731"/>
      <c r="G5" s="736" t="s">
        <v>538</v>
      </c>
    </row>
    <row r="6" spans="1:7" s="736" customFormat="1" ht="12">
      <c r="A6" s="734" t="s">
        <v>536</v>
      </c>
      <c r="B6" s="735">
        <v>6586</v>
      </c>
      <c r="C6" s="731"/>
      <c r="D6" s="731"/>
    </row>
    <row r="7" spans="1:7" s="736" customFormat="1" ht="12">
      <c r="A7" s="734" t="s">
        <v>487</v>
      </c>
      <c r="B7" s="735">
        <f>B6-B5</f>
        <v>99</v>
      </c>
      <c r="C7" s="731"/>
      <c r="D7" s="731"/>
    </row>
    <row r="8" spans="1:7">
      <c r="A8" s="30"/>
    </row>
    <row r="9" spans="1:7" s="609" customFormat="1" ht="22.5" customHeight="1">
      <c r="A9" s="552" t="s">
        <v>278</v>
      </c>
      <c r="B9" s="552" t="s">
        <v>279</v>
      </c>
      <c r="C9" s="552" t="s">
        <v>470</v>
      </c>
      <c r="D9" s="552" t="s">
        <v>499</v>
      </c>
      <c r="G9" s="609">
        <v>2288</v>
      </c>
    </row>
    <row r="10" spans="1:7" s="640" customFormat="1" ht="15.75" customHeight="1">
      <c r="A10" s="733" t="s">
        <v>489</v>
      </c>
      <c r="B10" s="732" t="s">
        <v>490</v>
      </c>
      <c r="C10" s="733">
        <v>5</v>
      </c>
      <c r="D10" s="733" t="s">
        <v>523</v>
      </c>
      <c r="G10" s="640">
        <v>2232</v>
      </c>
    </row>
    <row r="11" spans="1:7" s="640" customFormat="1" ht="15.75" customHeight="1">
      <c r="A11" s="733" t="s">
        <v>491</v>
      </c>
      <c r="B11" s="732" t="s">
        <v>492</v>
      </c>
      <c r="C11" s="733">
        <v>5</v>
      </c>
      <c r="D11" s="733" t="s">
        <v>500</v>
      </c>
      <c r="G11" s="640">
        <f>G9-G10</f>
        <v>56</v>
      </c>
    </row>
    <row r="12" spans="1:7" s="640" customFormat="1" ht="15.75" customHeight="1">
      <c r="A12" s="733" t="s">
        <v>496</v>
      </c>
      <c r="B12" s="732" t="s">
        <v>493</v>
      </c>
      <c r="C12" s="733">
        <v>5</v>
      </c>
      <c r="D12" s="733" t="s">
        <v>500</v>
      </c>
    </row>
    <row r="13" spans="1:7" s="640" customFormat="1" ht="15.75" customHeight="1">
      <c r="A13" s="733" t="s">
        <v>497</v>
      </c>
      <c r="B13" s="732" t="s">
        <v>494</v>
      </c>
      <c r="C13" s="733">
        <v>5</v>
      </c>
      <c r="D13" s="733" t="s">
        <v>500</v>
      </c>
    </row>
    <row r="14" spans="1:7" s="640" customFormat="1" ht="15.75" customHeight="1">
      <c r="A14" s="733" t="s">
        <v>498</v>
      </c>
      <c r="B14" s="732" t="s">
        <v>495</v>
      </c>
      <c r="C14" s="733">
        <v>5</v>
      </c>
      <c r="D14" s="733" t="s">
        <v>500</v>
      </c>
    </row>
    <row r="15" spans="1:7" s="640" customFormat="1" ht="15.75" customHeight="1">
      <c r="A15" s="733" t="s">
        <v>521</v>
      </c>
      <c r="B15" s="732" t="s">
        <v>522</v>
      </c>
      <c r="C15" s="733">
        <v>5</v>
      </c>
      <c r="D15" s="733" t="s">
        <v>500</v>
      </c>
    </row>
    <row r="16" spans="1:7" s="640" customFormat="1" ht="15.75" customHeight="1">
      <c r="A16" s="733" t="s">
        <v>501</v>
      </c>
      <c r="B16" s="732" t="s">
        <v>502</v>
      </c>
      <c r="C16" s="733">
        <v>5</v>
      </c>
      <c r="D16" s="733" t="s">
        <v>500</v>
      </c>
    </row>
    <row r="17" spans="1:4" s="640" customFormat="1" ht="15.75" customHeight="1">
      <c r="A17" s="733" t="s">
        <v>503</v>
      </c>
      <c r="B17" s="732" t="s">
        <v>504</v>
      </c>
      <c r="C17" s="733">
        <v>5</v>
      </c>
      <c r="D17" s="733" t="s">
        <v>500</v>
      </c>
    </row>
    <row r="18" spans="1:4" s="640" customFormat="1" ht="15.75" customHeight="1">
      <c r="A18" s="733" t="s">
        <v>505</v>
      </c>
      <c r="B18" s="732" t="s">
        <v>506</v>
      </c>
      <c r="C18" s="733">
        <v>5</v>
      </c>
      <c r="D18" s="733" t="s">
        <v>500</v>
      </c>
    </row>
    <row r="19" spans="1:4" s="640" customFormat="1" ht="15.75" customHeight="1">
      <c r="A19" s="733" t="s">
        <v>508</v>
      </c>
      <c r="B19" s="732" t="s">
        <v>507</v>
      </c>
      <c r="C19" s="733">
        <v>5</v>
      </c>
      <c r="D19" s="733" t="s">
        <v>500</v>
      </c>
    </row>
    <row r="20" spans="1:4" s="640" customFormat="1" ht="15.75" customHeight="1">
      <c r="A20" s="733" t="s">
        <v>509</v>
      </c>
      <c r="B20" s="732" t="s">
        <v>510</v>
      </c>
      <c r="C20" s="733">
        <v>5</v>
      </c>
      <c r="D20" s="733" t="s">
        <v>500</v>
      </c>
    </row>
    <row r="21" spans="1:4" s="640" customFormat="1" ht="15.75" customHeight="1">
      <c r="A21" s="733" t="s">
        <v>511</v>
      </c>
      <c r="B21" s="732" t="s">
        <v>512</v>
      </c>
      <c r="C21" s="733">
        <v>5</v>
      </c>
      <c r="D21" s="733" t="s">
        <v>500</v>
      </c>
    </row>
    <row r="22" spans="1:4" s="640" customFormat="1" ht="15.75" customHeight="1">
      <c r="A22" s="733" t="s">
        <v>513</v>
      </c>
      <c r="B22" s="732" t="s">
        <v>514</v>
      </c>
      <c r="C22" s="733">
        <v>24</v>
      </c>
      <c r="D22" s="733" t="s">
        <v>500</v>
      </c>
    </row>
    <row r="23" spans="1:4" s="640" customFormat="1" ht="15.75" customHeight="1">
      <c r="A23" s="733" t="s">
        <v>515</v>
      </c>
      <c r="B23" s="732" t="s">
        <v>516</v>
      </c>
      <c r="C23" s="733">
        <v>5</v>
      </c>
      <c r="D23" s="733" t="s">
        <v>500</v>
      </c>
    </row>
    <row r="24" spans="1:4" s="640" customFormat="1" ht="15.75" customHeight="1">
      <c r="A24" s="733" t="s">
        <v>517</v>
      </c>
      <c r="B24" s="732" t="s">
        <v>518</v>
      </c>
      <c r="C24" s="733">
        <v>5</v>
      </c>
      <c r="D24" s="733" t="s">
        <v>500</v>
      </c>
    </row>
    <row r="25" spans="1:4" s="640" customFormat="1" ht="15.75" customHeight="1">
      <c r="A25" s="733" t="s">
        <v>519</v>
      </c>
      <c r="B25" s="732" t="s">
        <v>520</v>
      </c>
      <c r="C25" s="733">
        <v>5</v>
      </c>
      <c r="D25" s="733" t="s">
        <v>500</v>
      </c>
    </row>
    <row r="26" spans="1:4" s="731" customFormat="1" ht="15" customHeight="1">
      <c r="A26" s="729"/>
      <c r="B26" s="729"/>
      <c r="C26" s="730">
        <f>SUM(C10:C25)</f>
        <v>99</v>
      </c>
      <c r="D26" s="729"/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14</vt:i4>
      </vt:variant>
    </vt:vector>
  </HeadingPairs>
  <TitlesOfParts>
    <vt:vector size="36" baseType="lpstr">
      <vt:lpstr>Sheet3</vt:lpstr>
      <vt:lpstr>SEPTEMBER DIBAYAR OKT 2025 </vt:lpstr>
      <vt:lpstr>Sheet8</vt:lpstr>
      <vt:lpstr>SUMMARY - WAGES IJL</vt:lpstr>
      <vt:lpstr>SUMMARY - WAGES PT.RJ</vt:lpstr>
      <vt:lpstr>IMPACT RMJ</vt:lpstr>
      <vt:lpstr>SUMMARY - CASH PG &amp; ARE</vt:lpstr>
      <vt:lpstr>JUNI 2018 DIBAYAR JULI 2018 (2)</vt:lpstr>
      <vt:lpstr>Sheet5</vt:lpstr>
      <vt:lpstr>Sheet6</vt:lpstr>
      <vt:lpstr>Sheet2</vt:lpstr>
      <vt:lpstr>HUTANG</vt:lpstr>
      <vt:lpstr>NOV 2017 DIBAYAR DEC 2 (2)</vt:lpstr>
      <vt:lpstr>Sheet4</vt:lpstr>
      <vt:lpstr>DENO TO BANK</vt:lpstr>
      <vt:lpstr>DENO TO BANK ATM</vt:lpstr>
      <vt:lpstr>DENO CASH TO BANK PGE</vt:lpstr>
      <vt:lpstr>SUMMARY GABUNGAN</vt:lpstr>
      <vt:lpstr>IMPACT IJL</vt:lpstr>
      <vt:lpstr>Prunning</vt:lpstr>
      <vt:lpstr>Rekapitulasi</vt:lpstr>
      <vt:lpstr>Ifest</vt:lpstr>
      <vt:lpstr>'DENO CASH TO BANK PGE'!Print_Area</vt:lpstr>
      <vt:lpstr>'DENO TO BANK'!Print_Area</vt:lpstr>
      <vt:lpstr>'IMPACT IJL'!Print_Area</vt:lpstr>
      <vt:lpstr>'IMPACT RMJ'!Print_Area</vt:lpstr>
      <vt:lpstr>'JUNI 2018 DIBAYAR JULI 2018 (2)'!Print_Area</vt:lpstr>
      <vt:lpstr>'NOV 2017 DIBAYAR DEC 2 (2)'!Print_Area</vt:lpstr>
      <vt:lpstr>Prunning!Print_Area</vt:lpstr>
      <vt:lpstr>Rekapitulasi!Print_Area</vt:lpstr>
      <vt:lpstr>'SEPTEMBER DIBAYAR OKT 2025 '!Print_Area</vt:lpstr>
      <vt:lpstr>Sheet3!Print_Area</vt:lpstr>
      <vt:lpstr>'SUMMARY - CASH PG &amp; ARE'!Print_Area</vt:lpstr>
      <vt:lpstr>'SUMMARY - WAGES PT.RJ'!Print_Area</vt:lpstr>
      <vt:lpstr>'SUMMARY GABUNGAN'!Print_Area</vt:lpstr>
      <vt:lpstr>Sheet4!Print_Titles</vt:lpstr>
    </vt:vector>
  </TitlesOfParts>
  <Company>BELITUNG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Rebinmas Jaya</dc:creator>
  <cp:lastModifiedBy>HRD-PTRJ</cp:lastModifiedBy>
  <cp:lastPrinted>2025-11-07T00:41:46Z</cp:lastPrinted>
  <dcterms:created xsi:type="dcterms:W3CDTF">2002-11-26T00:54:50Z</dcterms:created>
  <dcterms:modified xsi:type="dcterms:W3CDTF">2025-11-07T00:42:19Z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96 96 1280 800</vt:lpwstr>
  </property>
</Properties>
</file>