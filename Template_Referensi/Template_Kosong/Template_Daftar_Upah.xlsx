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wean Rebinmas\Monitoring Database\Plantware_Auto_Report\Daftar_Upah_Reporting\Create_Template_Using_Excel\Template\"/>
    </mc:Choice>
  </mc:AlternateContent>
  <xr:revisionPtr revIDLastSave="0" documentId="8_{3D8D2A7D-156B-4769-BE21-3368661EED6D}" xr6:coauthVersionLast="47" xr6:coauthVersionMax="47" xr10:uidLastSave="{00000000-0000-0000-0000-000000000000}"/>
  <bookViews>
    <workbookView xWindow="-120" yWindow="-120" windowWidth="29040" windowHeight="18240" xr2:uid="{176A2F3F-4DCA-4783-8C43-E11BBB264C26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19" i="1" l="1"/>
  <c r="AN18" i="1"/>
  <c r="AF18" i="1"/>
  <c r="W18" i="1"/>
  <c r="AG20" i="1"/>
  <c r="AF19" i="1"/>
  <c r="AR4" i="1"/>
  <c r="AR3" i="1"/>
  <c r="AH18" i="1" l="1"/>
  <c r="W1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Q3" authorId="0" shapeId="0" xr:uid="{093B3611-7934-49E1-9234-3AC102159E3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MANDOR UPKEEP</t>
        </r>
      </text>
    </comment>
    <comment ref="AQ4" authorId="0" shapeId="0" xr:uid="{61C8FEA4-3AA6-43E4-BFE9-E6DEC7C0133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UPKEE, HELPER, OP, KARYWAN PANEN, KERANI PANEN</t>
        </r>
      </text>
    </comment>
  </commentList>
</comments>
</file>

<file path=xl/sharedStrings.xml><?xml version="1.0" encoding="utf-8"?>
<sst xmlns="http://schemas.openxmlformats.org/spreadsheetml/2006/main" count="141" uniqueCount="79">
  <si>
    <t>BULAN : MEI 2025</t>
  </si>
  <si>
    <t xml:space="preserve"> </t>
  </si>
  <si>
    <t>DIVISI :</t>
  </si>
  <si>
    <t>AIR RUAK B.2 AIR BANGEK ( TRANSPORT )</t>
  </si>
  <si>
    <t>NO.</t>
  </si>
  <si>
    <t>L/P</t>
  </si>
  <si>
    <t>NIK</t>
  </si>
  <si>
    <t>CUTI / LIBUR</t>
  </si>
  <si>
    <t>JUMLAH HK</t>
  </si>
  <si>
    <t>TUNJANGAN / PREMI</t>
  </si>
  <si>
    <t xml:space="preserve">JUMLAH LEMBUR </t>
  </si>
  <si>
    <t xml:space="preserve"> JUMLAH PREMI</t>
  </si>
  <si>
    <t>KOREKSI</t>
  </si>
  <si>
    <t>JUMLAH</t>
  </si>
  <si>
    <t xml:space="preserve">CARUMAN ASTEK </t>
  </si>
  <si>
    <t>POT. BPJS</t>
  </si>
  <si>
    <t xml:space="preserve">PPH 21 </t>
  </si>
  <si>
    <t>PREMI KONTANAN</t>
  </si>
  <si>
    <t>LEBIH POTONG PAJAK THR</t>
  </si>
  <si>
    <t>POTONGAN PINJAMAN UANG</t>
  </si>
  <si>
    <t>TIDAK HADIR</t>
  </si>
  <si>
    <t>NAMA</t>
  </si>
  <si>
    <t>HARI</t>
  </si>
  <si>
    <t>UPAH</t>
  </si>
  <si>
    <t>TAHUN</t>
  </si>
  <si>
    <t>SAKIT</t>
  </si>
  <si>
    <t>HAID</t>
  </si>
  <si>
    <t>MINGGU</t>
  </si>
  <si>
    <t>NASIONAL</t>
  </si>
  <si>
    <t>HA. / MELAH.</t>
  </si>
  <si>
    <t>IZIN</t>
  </si>
  <si>
    <t>BERAS</t>
  </si>
  <si>
    <t>JABATAN</t>
  </si>
  <si>
    <t>MASA KERJA</t>
  </si>
  <si>
    <t>IURAN</t>
  </si>
  <si>
    <t>KARYAWAN</t>
  </si>
  <si>
    <t>KERJA</t>
  </si>
  <si>
    <t>DASAR</t>
  </si>
  <si>
    <t>POKOK</t>
  </si>
  <si>
    <t>(Rp)/</t>
  </si>
  <si>
    <t>Jumlah</t>
  </si>
  <si>
    <t>PREMI ANGKUT TBS</t>
  </si>
  <si>
    <t>ANGKUT/PC/TBK/ MUAT PUPUK</t>
  </si>
  <si>
    <t>PREMI RETASE</t>
  </si>
  <si>
    <t>ANTAR JEMPUT KARYAWAN</t>
  </si>
  <si>
    <t>ANGKUT PURU</t>
  </si>
  <si>
    <t>ANGKUTBIBIT</t>
  </si>
  <si>
    <t>PREMI JAGA GENSET</t>
  </si>
  <si>
    <t>KOTOR</t>
  </si>
  <si>
    <t>PEKERJA</t>
  </si>
  <si>
    <t>MAJIKAN</t>
  </si>
  <si>
    <t>SPSI</t>
  </si>
  <si>
    <t>BERSIH</t>
  </si>
  <si>
    <t>CTH</t>
  </si>
  <si>
    <t>ALPA</t>
  </si>
  <si>
    <t>(Rp)</t>
  </si>
  <si>
    <t>HK</t>
  </si>
  <si>
    <t>THN</t>
  </si>
  <si>
    <t>KESEHATAN</t>
  </si>
  <si>
    <t>PENSIUN</t>
  </si>
  <si>
    <t>IFES</t>
  </si>
  <si>
    <t>Note :</t>
  </si>
  <si>
    <t>Upah Dasar Yang Digunakan :</t>
  </si>
  <si>
    <t>- BHT/BHL Rp. 129.220</t>
  </si>
  <si>
    <t>Di buat oleh,</t>
  </si>
  <si>
    <t>Diperiksa oleh,</t>
  </si>
  <si>
    <t>Di periksa oleh,</t>
  </si>
  <si>
    <t xml:space="preserve">Diketahui, </t>
  </si>
  <si>
    <t>Di setujui oleh,</t>
  </si>
  <si>
    <t>Supriyani</t>
  </si>
  <si>
    <t>Baharu Lumban Toruan</t>
  </si>
  <si>
    <t>Nurhuda Bima Sakti</t>
  </si>
  <si>
    <t>Fedian Syahfutra</t>
  </si>
  <si>
    <t>Chandra Dinata Pribadi</t>
  </si>
  <si>
    <t>Kerani Divisi ARE B2</t>
  </si>
  <si>
    <t>Field Conductor ARE B2</t>
  </si>
  <si>
    <t>Asst. Manager ARE B2</t>
  </si>
  <si>
    <t>Manager ARE A/ B1/B2</t>
  </si>
  <si>
    <t xml:space="preserve">Senior Manager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</si>
</sst>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(* #,##0.00_);_(* \(#,##0.00\);_(* &quot;-&quot;_);_(@_)"/>
    <numFmt numFmtId="167" formatCode="_(* #,##0_);_(* \(#,##0\);_(* &quot;-&quot;?_);_(@_)"/>
    <numFmt numFmtId="168" formatCode="_(* #,##0_);_(* \(#,##0\);_(* &quot;-&quot;_);_(@_)"/>
    <numFmt numFmtId="169" formatCode="_(&quot;Rp&quot;* #,##0_);_(&quot;Rp&quot;* \(#,##0\);_(&quot;Rp&quot;* &quot;-&quot;_);_(@_)"/>
    <numFmt numFmtId="170" formatCode="_(* #,##0.0_);_(* \(#,##0.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ahoma"/>
      <family val="2"/>
    </font>
    <font>
      <b/>
      <sz val="11"/>
      <name val="Tahoma"/>
      <family val="2"/>
    </font>
    <font>
      <b/>
      <sz val="12"/>
      <color theme="0"/>
      <name val="Tahoma"/>
      <family val="2"/>
    </font>
    <font>
      <sz val="12"/>
      <color theme="0"/>
      <name val="Tahoma"/>
      <family val="2"/>
    </font>
    <font>
      <b/>
      <sz val="15"/>
      <name val="Tahoma"/>
      <family val="2"/>
    </font>
    <font>
      <sz val="12"/>
      <name val="Tahoma"/>
      <family val="2"/>
    </font>
    <font>
      <sz val="10"/>
      <name val="Tahoma"/>
      <family val="2"/>
    </font>
    <font>
      <u/>
      <sz val="11"/>
      <name val="Tahoma"/>
      <family val="2"/>
    </font>
    <font>
      <u/>
      <sz val="12"/>
      <name val="Tahoma"/>
      <family val="2"/>
    </font>
    <font>
      <u/>
      <sz val="10"/>
      <name val="Tahoma"/>
      <family val="2"/>
    </font>
    <font>
      <sz val="15"/>
      <name val="Tahoma"/>
      <family val="2"/>
    </font>
    <font>
      <b/>
      <sz val="10"/>
      <name val="Tahoma"/>
      <family val="2"/>
    </font>
    <font>
      <sz val="14"/>
      <name val="Tahoma"/>
      <family val="2"/>
    </font>
    <font>
      <b/>
      <sz val="11"/>
      <color theme="0"/>
      <name val="Tahoma"/>
      <family val="2"/>
    </font>
    <font>
      <b/>
      <sz val="10"/>
      <color theme="0"/>
      <name val="Tahoma"/>
      <family val="2"/>
    </font>
    <font>
      <sz val="11"/>
      <name val="Tahoma"/>
      <family val="2"/>
    </font>
    <font>
      <b/>
      <u/>
      <sz val="12"/>
      <name val="Tahoma"/>
      <family val="2"/>
    </font>
    <font>
      <b/>
      <u/>
      <sz val="1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 applyFont="0" applyFill="0" applyBorder="0" applyAlignment="0" applyProtection="0"/>
  </cellStyleXfs>
  <cellXfs count="222">
    <xf numFmtId="0" fontId="0" fillId="0" borderId="0" xfId="0"/>
    <xf numFmtId="0" fontId="3" fillId="0" borderId="0" xfId="3" applyFont="1" applyAlignment="1">
      <alignment vertical="center"/>
    </xf>
    <xf numFmtId="0" fontId="4" fillId="0" borderId="0" xfId="3" applyFont="1" applyAlignment="1">
      <alignment vertical="center"/>
    </xf>
    <xf numFmtId="165" fontId="3" fillId="0" borderId="0" xfId="1" applyNumberFormat="1" applyFont="1" applyFill="1" applyAlignment="1">
      <alignment vertical="center"/>
    </xf>
    <xf numFmtId="0" fontId="3" fillId="0" borderId="0" xfId="3" applyFont="1" applyAlignment="1">
      <alignment horizontal="center" vertical="center"/>
    </xf>
    <xf numFmtId="0" fontId="3" fillId="0" borderId="0" xfId="3" applyFont="1" applyAlignment="1">
      <alignment horizontal="right" vertical="center"/>
    </xf>
    <xf numFmtId="165" fontId="5" fillId="0" borderId="0" xfId="1" applyNumberFormat="1" applyFont="1" applyFill="1" applyAlignment="1">
      <alignment horizontal="center" vertical="center"/>
    </xf>
    <xf numFmtId="166" fontId="6" fillId="0" borderId="0" xfId="3" applyNumberFormat="1" applyFont="1" applyAlignment="1">
      <alignment vertical="center"/>
    </xf>
    <xf numFmtId="0" fontId="7" fillId="0" borderId="0" xfId="3" applyFont="1" applyAlignment="1">
      <alignment vertical="center"/>
    </xf>
    <xf numFmtId="0" fontId="8" fillId="0" borderId="0" xfId="3" applyFont="1" applyAlignment="1">
      <alignment horizontal="center" vertical="center"/>
    </xf>
    <xf numFmtId="0" fontId="9" fillId="0" borderId="0" xfId="3" applyFont="1" applyAlignment="1">
      <alignment horizontal="center" vertical="center" textRotation="90"/>
    </xf>
    <xf numFmtId="0" fontId="10" fillId="0" borderId="0" xfId="3" applyFont="1" applyAlignment="1">
      <alignment horizontal="center" vertical="center"/>
    </xf>
    <xf numFmtId="0" fontId="11" fillId="0" borderId="0" xfId="3" applyFont="1" applyAlignment="1">
      <alignment horizontal="center" vertical="center"/>
    </xf>
    <xf numFmtId="165" fontId="12" fillId="0" borderId="0" xfId="1" applyNumberFormat="1" applyFont="1" applyFill="1" applyAlignment="1">
      <alignment horizontal="center" vertical="center"/>
    </xf>
    <xf numFmtId="165" fontId="11" fillId="0" borderId="0" xfId="1" applyNumberFormat="1" applyFont="1" applyFill="1" applyAlignment="1">
      <alignment horizontal="center" vertical="center"/>
    </xf>
    <xf numFmtId="0" fontId="8" fillId="0" borderId="0" xfId="3" applyFont="1" applyAlignment="1">
      <alignment vertical="center"/>
    </xf>
    <xf numFmtId="0" fontId="11" fillId="0" borderId="0" xfId="3" applyFont="1" applyAlignment="1">
      <alignment horizontal="right" vertical="center"/>
    </xf>
    <xf numFmtId="165" fontId="11" fillId="0" borderId="0" xfId="3" applyNumberFormat="1" applyFont="1" applyAlignment="1">
      <alignment horizontal="center" vertical="center"/>
    </xf>
    <xf numFmtId="0" fontId="13" fillId="0" borderId="0" xfId="3" applyFont="1" applyAlignment="1">
      <alignment vertical="center"/>
    </xf>
    <xf numFmtId="0" fontId="3" fillId="0" borderId="1" xfId="3" applyFont="1" applyBorder="1" applyAlignment="1">
      <alignment horizontal="center" vertical="center" textRotation="90" wrapText="1"/>
    </xf>
    <xf numFmtId="0" fontId="3" fillId="0" borderId="2" xfId="3" applyFont="1" applyBorder="1" applyAlignment="1">
      <alignment horizontal="center" vertical="center" textRotation="90"/>
    </xf>
    <xf numFmtId="0" fontId="14" fillId="0" borderId="2" xfId="3" applyFont="1" applyBorder="1" applyAlignment="1">
      <alignment horizontal="center" vertical="center" textRotation="90"/>
    </xf>
    <xf numFmtId="0" fontId="4" fillId="0" borderId="3" xfId="3" applyFont="1" applyBorder="1" applyAlignment="1">
      <alignment vertical="center"/>
    </xf>
    <xf numFmtId="0" fontId="3" fillId="0" borderId="3" xfId="3" applyFont="1" applyBorder="1" applyAlignment="1">
      <alignment vertical="center"/>
    </xf>
    <xf numFmtId="165" fontId="14" fillId="0" borderId="3" xfId="1" applyNumberFormat="1" applyFont="1" applyFill="1" applyBorder="1" applyAlignment="1">
      <alignment vertical="center"/>
    </xf>
    <xf numFmtId="165" fontId="3" fillId="0" borderId="3" xfId="1" applyNumberFormat="1" applyFont="1" applyFill="1" applyBorder="1" applyAlignment="1">
      <alignment vertical="center"/>
    </xf>
    <xf numFmtId="0" fontId="3" fillId="0" borderId="4" xfId="3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3" fillId="0" borderId="6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 wrapText="1"/>
    </xf>
    <xf numFmtId="0" fontId="3" fillId="0" borderId="7" xfId="3" applyFont="1" applyBorder="1" applyAlignment="1">
      <alignment horizontal="center" vertical="center" wrapText="1"/>
    </xf>
    <xf numFmtId="0" fontId="3" fillId="0" borderId="8" xfId="3" applyFont="1" applyBorder="1" applyAlignment="1">
      <alignment horizontal="center" vertical="center" wrapText="1"/>
    </xf>
    <xf numFmtId="0" fontId="3" fillId="0" borderId="3" xfId="3" applyFont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0" borderId="8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14" fillId="0" borderId="2" xfId="3" applyFont="1" applyBorder="1" applyAlignment="1">
      <alignment horizontal="center" vertical="center" textRotation="90" wrapText="1"/>
    </xf>
    <xf numFmtId="0" fontId="3" fillId="0" borderId="2" xfId="3" applyFont="1" applyBorder="1" applyAlignment="1">
      <alignment horizontal="center" vertical="center" textRotation="90" wrapText="1"/>
    </xf>
    <xf numFmtId="0" fontId="7" fillId="0" borderId="3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 wrapText="1"/>
    </xf>
    <xf numFmtId="0" fontId="3" fillId="0" borderId="10" xfId="3" applyFont="1" applyBorder="1" applyAlignment="1">
      <alignment horizontal="center" vertical="center" textRotation="90" wrapText="1"/>
    </xf>
    <xf numFmtId="0" fontId="3" fillId="0" borderId="11" xfId="3" applyFont="1" applyBorder="1" applyAlignment="1">
      <alignment horizontal="center" vertical="center" textRotation="90"/>
    </xf>
    <xf numFmtId="0" fontId="14" fillId="0" borderId="11" xfId="3" applyFont="1" applyBorder="1" applyAlignment="1">
      <alignment horizontal="center" vertical="center" textRotation="90"/>
    </xf>
    <xf numFmtId="0" fontId="4" fillId="0" borderId="12" xfId="3" applyFont="1" applyBorder="1" applyAlignment="1">
      <alignment horizontal="center" vertical="center"/>
    </xf>
    <xf numFmtId="0" fontId="3" fillId="0" borderId="12" xfId="3" applyFont="1" applyBorder="1" applyAlignment="1">
      <alignment horizontal="center" vertical="center"/>
    </xf>
    <xf numFmtId="165" fontId="14" fillId="0" borderId="12" xfId="1" applyNumberFormat="1" applyFont="1" applyFill="1" applyBorder="1" applyAlignment="1">
      <alignment horizontal="center" vertical="center"/>
    </xf>
    <xf numFmtId="165" fontId="3" fillId="0" borderId="12" xfId="1" applyNumberFormat="1" applyFont="1" applyFill="1" applyBorder="1" applyAlignment="1">
      <alignment horizontal="center" vertical="center"/>
    </xf>
    <xf numFmtId="0" fontId="3" fillId="0" borderId="13" xfId="3" applyFont="1" applyBorder="1" applyAlignment="1">
      <alignment horizontal="center" vertical="center"/>
    </xf>
    <xf numFmtId="0" fontId="3" fillId="0" borderId="14" xfId="3" applyFont="1" applyBorder="1" applyAlignment="1">
      <alignment horizontal="center" vertical="center"/>
    </xf>
    <xf numFmtId="0" fontId="14" fillId="0" borderId="13" xfId="3" applyFont="1" applyBorder="1" applyAlignment="1">
      <alignment horizontal="center" vertical="center"/>
    </xf>
    <xf numFmtId="0" fontId="14" fillId="0" borderId="14" xfId="3" applyFont="1" applyBorder="1" applyAlignment="1">
      <alignment horizontal="center" vertical="center"/>
    </xf>
    <xf numFmtId="0" fontId="3" fillId="0" borderId="13" xfId="3" applyFont="1" applyBorder="1" applyAlignment="1">
      <alignment horizontal="center" vertical="center" wrapText="1"/>
    </xf>
    <xf numFmtId="0" fontId="3" fillId="0" borderId="14" xfId="3" applyFont="1" applyBorder="1" applyAlignment="1">
      <alignment horizontal="center" vertical="center" wrapText="1"/>
    </xf>
    <xf numFmtId="0" fontId="3" fillId="0" borderId="15" xfId="3" applyFont="1" applyBorder="1" applyAlignment="1">
      <alignment horizontal="center" vertical="center"/>
    </xf>
    <xf numFmtId="0" fontId="3" fillId="0" borderId="11" xfId="3" applyFont="1" applyBorder="1" applyAlignment="1">
      <alignment horizontal="center" vertical="center" wrapText="1"/>
    </xf>
    <xf numFmtId="0" fontId="3" fillId="0" borderId="16" xfId="3" applyFont="1" applyBorder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0" fontId="3" fillId="0" borderId="12" xfId="3" applyFont="1" applyBorder="1" applyAlignment="1">
      <alignment horizontal="center" vertical="center" wrapText="1"/>
    </xf>
    <xf numFmtId="0" fontId="3" fillId="0" borderId="11" xfId="3" applyFont="1" applyBorder="1" applyAlignment="1">
      <alignment horizontal="center" vertical="center"/>
    </xf>
    <xf numFmtId="0" fontId="3" fillId="0" borderId="17" xfId="3" applyFont="1" applyBorder="1" applyAlignment="1">
      <alignment horizontal="center" vertical="center"/>
    </xf>
    <xf numFmtId="0" fontId="3" fillId="0" borderId="18" xfId="3" applyFont="1" applyBorder="1" applyAlignment="1">
      <alignment horizontal="center" vertical="center"/>
    </xf>
    <xf numFmtId="0" fontId="3" fillId="0" borderId="19" xfId="3" applyFont="1" applyBorder="1" applyAlignment="1">
      <alignment horizontal="center" vertical="center"/>
    </xf>
    <xf numFmtId="0" fontId="14" fillId="0" borderId="11" xfId="3" applyFont="1" applyBorder="1" applyAlignment="1">
      <alignment horizontal="center" vertical="center" textRotation="90" wrapText="1"/>
    </xf>
    <xf numFmtId="0" fontId="3" fillId="0" borderId="11" xfId="3" applyFont="1" applyBorder="1" applyAlignment="1">
      <alignment horizontal="center" vertical="center" textRotation="90" wrapText="1"/>
    </xf>
    <xf numFmtId="0" fontId="7" fillId="0" borderId="12" xfId="3" applyFont="1" applyBorder="1" applyAlignment="1">
      <alignment horizontal="center" vertical="center"/>
    </xf>
    <xf numFmtId="0" fontId="3" fillId="0" borderId="17" xfId="3" applyFont="1" applyBorder="1" applyAlignment="1">
      <alignment horizontal="center" vertical="center" wrapText="1"/>
    </xf>
    <xf numFmtId="0" fontId="3" fillId="0" borderId="20" xfId="3" applyFont="1" applyBorder="1" applyAlignment="1">
      <alignment horizontal="center" vertical="center" wrapText="1"/>
    </xf>
    <xf numFmtId="0" fontId="14" fillId="0" borderId="12" xfId="3" applyFont="1" applyBorder="1" applyAlignment="1">
      <alignment horizontal="center" vertical="center"/>
    </xf>
    <xf numFmtId="0" fontId="14" fillId="0" borderId="21" xfId="3" applyFont="1" applyBorder="1" applyAlignment="1">
      <alignment horizontal="center" vertical="center"/>
    </xf>
    <xf numFmtId="0" fontId="14" fillId="0" borderId="22" xfId="3" applyFont="1" applyBorder="1" applyAlignment="1">
      <alignment horizontal="center" vertical="center"/>
    </xf>
    <xf numFmtId="0" fontId="14" fillId="0" borderId="21" xfId="3" applyFont="1" applyBorder="1" applyAlignment="1">
      <alignment horizontal="center" vertical="center" wrapText="1"/>
    </xf>
    <xf numFmtId="0" fontId="14" fillId="0" borderId="22" xfId="3" applyFont="1" applyBorder="1" applyAlignment="1">
      <alignment horizontal="center" vertical="center" wrapText="1"/>
    </xf>
    <xf numFmtId="0" fontId="14" fillId="0" borderId="11" xfId="3" applyFont="1" applyBorder="1" applyAlignment="1">
      <alignment horizontal="center" vertical="center"/>
    </xf>
    <xf numFmtId="0" fontId="14" fillId="0" borderId="22" xfId="3" applyFont="1" applyBorder="1" applyAlignment="1">
      <alignment horizontal="center" vertical="center"/>
    </xf>
    <xf numFmtId="0" fontId="14" fillId="0" borderId="23" xfId="3" applyFont="1" applyBorder="1" applyAlignment="1">
      <alignment horizontal="center" vertical="center"/>
    </xf>
    <xf numFmtId="0" fontId="3" fillId="0" borderId="24" xfId="3" applyFont="1" applyBorder="1" applyAlignment="1">
      <alignment horizontal="center" vertical="center" wrapText="1"/>
    </xf>
    <xf numFmtId="0" fontId="14" fillId="0" borderId="25" xfId="3" applyFont="1" applyBorder="1" applyAlignment="1">
      <alignment horizontal="center" vertical="center" textRotation="90" wrapText="1"/>
    </xf>
    <xf numFmtId="0" fontId="14" fillId="0" borderId="25" xfId="3" applyFont="1" applyBorder="1" applyAlignment="1">
      <alignment vertical="center" textRotation="90" wrapText="1"/>
    </xf>
    <xf numFmtId="0" fontId="3" fillId="0" borderId="24" xfId="3" applyFont="1" applyBorder="1" applyAlignment="1">
      <alignment horizontal="center" vertical="center" textRotation="90"/>
    </xf>
    <xf numFmtId="0" fontId="3" fillId="0" borderId="23" xfId="3" applyFont="1" applyBorder="1" applyAlignment="1">
      <alignment horizontal="center" vertical="center"/>
    </xf>
    <xf numFmtId="0" fontId="3" fillId="0" borderId="26" xfId="3" applyFont="1" applyBorder="1" applyAlignment="1">
      <alignment horizontal="center" vertical="center"/>
    </xf>
    <xf numFmtId="0" fontId="3" fillId="0" borderId="27" xfId="3" applyFont="1" applyBorder="1" applyAlignment="1">
      <alignment horizontal="center" vertical="center" textRotation="90" wrapText="1"/>
    </xf>
    <xf numFmtId="0" fontId="3" fillId="0" borderId="28" xfId="3" applyFont="1" applyBorder="1" applyAlignment="1">
      <alignment horizontal="center" vertical="center" textRotation="90"/>
    </xf>
    <xf numFmtId="0" fontId="14" fillId="0" borderId="28" xfId="3" applyFont="1" applyBorder="1" applyAlignment="1">
      <alignment horizontal="center" vertical="center" textRotation="90"/>
    </xf>
    <xf numFmtId="0" fontId="4" fillId="0" borderId="29" xfId="3" applyFont="1" applyBorder="1" applyAlignment="1">
      <alignment horizontal="center" vertical="center"/>
    </xf>
    <xf numFmtId="0" fontId="14" fillId="0" borderId="29" xfId="3" applyFont="1" applyBorder="1" applyAlignment="1">
      <alignment horizontal="center" vertical="center"/>
    </xf>
    <xf numFmtId="165" fontId="14" fillId="0" borderId="30" xfId="1" applyNumberFormat="1" applyFont="1" applyFill="1" applyBorder="1" applyAlignment="1">
      <alignment horizontal="center" vertical="center"/>
    </xf>
    <xf numFmtId="165" fontId="14" fillId="0" borderId="31" xfId="1" applyNumberFormat="1" applyFont="1" applyFill="1" applyBorder="1" applyAlignment="1">
      <alignment horizontal="center" vertical="center"/>
    </xf>
    <xf numFmtId="0" fontId="14" fillId="0" borderId="30" xfId="3" applyFont="1" applyBorder="1" applyAlignment="1">
      <alignment horizontal="center" vertical="center"/>
    </xf>
    <xf numFmtId="0" fontId="14" fillId="0" borderId="31" xfId="3" applyFont="1" applyBorder="1" applyAlignment="1">
      <alignment horizontal="center" vertical="center"/>
    </xf>
    <xf numFmtId="0" fontId="3" fillId="0" borderId="28" xfId="3" applyFont="1" applyBorder="1" applyAlignment="1">
      <alignment horizontal="center" vertical="center" wrapText="1"/>
    </xf>
    <xf numFmtId="0" fontId="14" fillId="0" borderId="28" xfId="3" applyFont="1" applyBorder="1" applyAlignment="1">
      <alignment horizontal="center" vertical="center" textRotation="90" wrapText="1"/>
    </xf>
    <xf numFmtId="0" fontId="3" fillId="0" borderId="28" xfId="3" applyFont="1" applyBorder="1" applyAlignment="1">
      <alignment horizontal="center" vertical="center" textRotation="90" wrapText="1"/>
    </xf>
    <xf numFmtId="0" fontId="7" fillId="0" borderId="30" xfId="3" applyFont="1" applyBorder="1" applyAlignment="1">
      <alignment horizontal="center" vertical="center"/>
    </xf>
    <xf numFmtId="0" fontId="3" fillId="0" borderId="28" xfId="3" applyFont="1" applyBorder="1" applyAlignment="1">
      <alignment horizontal="center" vertical="center"/>
    </xf>
    <xf numFmtId="0" fontId="3" fillId="0" borderId="32" xfId="3" applyFont="1" applyBorder="1" applyAlignment="1">
      <alignment horizontal="center" vertical="center"/>
    </xf>
    <xf numFmtId="49" fontId="8" fillId="0" borderId="33" xfId="4" applyNumberFormat="1" applyFont="1" applyFill="1" applyBorder="1" applyAlignment="1">
      <alignment horizontal="center" vertical="center" wrapText="1"/>
    </xf>
    <xf numFmtId="165" fontId="8" fillId="0" borderId="34" xfId="4" applyNumberFormat="1" applyFont="1" applyFill="1" applyBorder="1" applyAlignment="1">
      <alignment horizontal="center" vertical="center" wrapText="1"/>
    </xf>
    <xf numFmtId="0" fontId="9" fillId="0" borderId="34" xfId="4" applyNumberFormat="1" applyFont="1" applyFill="1" applyBorder="1" applyAlignment="1">
      <alignment horizontal="center" vertical="center" textRotation="90"/>
    </xf>
    <xf numFmtId="0" fontId="4" fillId="0" borderId="34" xfId="5" applyFont="1" applyFill="1" applyBorder="1" applyAlignment="1">
      <alignment horizontal="left" vertical="center" wrapText="1"/>
    </xf>
    <xf numFmtId="165" fontId="15" fillId="0" borderId="34" xfId="4" applyNumberFormat="1" applyFont="1" applyFill="1" applyBorder="1" applyAlignment="1">
      <alignment horizontal="center" vertical="center" wrapText="1"/>
    </xf>
    <xf numFmtId="165" fontId="9" fillId="0" borderId="2" xfId="1" applyNumberFormat="1" applyFont="1" applyFill="1" applyBorder="1" applyAlignment="1">
      <alignment horizontal="center" vertical="center" wrapText="1"/>
    </xf>
    <xf numFmtId="165" fontId="13" fillId="0" borderId="34" xfId="1" applyNumberFormat="1" applyFont="1" applyFill="1" applyBorder="1" applyAlignment="1">
      <alignment horizontal="center" vertical="center" wrapText="1"/>
    </xf>
    <xf numFmtId="165" fontId="13" fillId="0" borderId="34" xfId="4" applyNumberFormat="1" applyFont="1" applyFill="1" applyBorder="1" applyAlignment="1">
      <alignment horizontal="center" vertical="center" wrapText="1"/>
    </xf>
    <xf numFmtId="167" fontId="13" fillId="0" borderId="34" xfId="4" applyNumberFormat="1" applyFont="1" applyFill="1" applyBorder="1" applyAlignment="1">
      <alignment horizontal="center" vertical="center" wrapText="1"/>
    </xf>
    <xf numFmtId="168" fontId="13" fillId="0" borderId="34" xfId="4" applyNumberFormat="1" applyFont="1" applyFill="1" applyBorder="1" applyAlignment="1">
      <alignment horizontal="center" vertical="center" wrapText="1"/>
    </xf>
    <xf numFmtId="167" fontId="13" fillId="2" borderId="34" xfId="4" applyNumberFormat="1" applyFont="1" applyFill="1" applyBorder="1" applyAlignment="1">
      <alignment horizontal="center" vertical="center" wrapText="1"/>
    </xf>
    <xf numFmtId="165" fontId="13" fillId="2" borderId="34" xfId="4" applyNumberFormat="1" applyFont="1" applyFill="1" applyBorder="1" applyAlignment="1">
      <alignment horizontal="center" vertical="center" wrapText="1"/>
    </xf>
    <xf numFmtId="167" fontId="13" fillId="0" borderId="34" xfId="4" applyNumberFormat="1" applyFont="1" applyFill="1" applyBorder="1" applyAlignment="1">
      <alignment horizontal="right" vertical="center" wrapText="1"/>
    </xf>
    <xf numFmtId="168" fontId="13" fillId="2" borderId="34" xfId="4" applyNumberFormat="1" applyFont="1" applyFill="1" applyBorder="1" applyAlignment="1">
      <alignment horizontal="center" vertical="center" wrapText="1"/>
    </xf>
    <xf numFmtId="165" fontId="15" fillId="0" borderId="2" xfId="4" applyNumberFormat="1" applyFont="1" applyFill="1" applyBorder="1" applyAlignment="1">
      <alignment horizontal="center" vertical="center" wrapText="1"/>
    </xf>
    <xf numFmtId="165" fontId="15" fillId="0" borderId="35" xfId="4" applyNumberFormat="1" applyFont="1" applyFill="1" applyBorder="1" applyAlignment="1">
      <alignment horizontal="center" vertical="center" wrapText="1"/>
    </xf>
    <xf numFmtId="49" fontId="8" fillId="0" borderId="36" xfId="4" applyNumberFormat="1" applyFont="1" applyFill="1" applyBorder="1" applyAlignment="1">
      <alignment horizontal="center" vertical="center" wrapText="1"/>
    </xf>
    <xf numFmtId="165" fontId="8" fillId="0" borderId="25" xfId="4" applyNumberFormat="1" applyFont="1" applyFill="1" applyBorder="1" applyAlignment="1">
      <alignment horizontal="center" vertical="center" wrapText="1"/>
    </xf>
    <xf numFmtId="0" fontId="9" fillId="0" borderId="25" xfId="4" applyNumberFormat="1" applyFont="1" applyFill="1" applyBorder="1" applyAlignment="1">
      <alignment horizontal="center" vertical="center" textRotation="90"/>
    </xf>
    <xf numFmtId="0" fontId="4" fillId="0" borderId="25" xfId="5" applyFont="1" applyFill="1" applyBorder="1" applyAlignment="1">
      <alignment horizontal="left" vertical="center" wrapText="1"/>
    </xf>
    <xf numFmtId="165" fontId="15" fillId="0" borderId="25" xfId="4" applyNumberFormat="1" applyFont="1" applyFill="1" applyBorder="1" applyAlignment="1">
      <alignment horizontal="center" vertical="center" wrapText="1"/>
    </xf>
    <xf numFmtId="165" fontId="9" fillId="0" borderId="25" xfId="1" applyNumberFormat="1" applyFont="1" applyFill="1" applyBorder="1" applyAlignment="1">
      <alignment horizontal="center" vertical="center" wrapText="1"/>
    </xf>
    <xf numFmtId="165" fontId="13" fillId="0" borderId="25" xfId="1" applyNumberFormat="1" applyFont="1" applyFill="1" applyBorder="1" applyAlignment="1">
      <alignment horizontal="center" vertical="center" wrapText="1"/>
    </xf>
    <xf numFmtId="165" fontId="13" fillId="0" borderId="25" xfId="4" applyNumberFormat="1" applyFont="1" applyFill="1" applyBorder="1" applyAlignment="1">
      <alignment horizontal="center" vertical="center" wrapText="1"/>
    </xf>
    <xf numFmtId="167" fontId="13" fillId="0" borderId="25" xfId="4" applyNumberFormat="1" applyFont="1" applyFill="1" applyBorder="1" applyAlignment="1">
      <alignment horizontal="center" vertical="center" wrapText="1"/>
    </xf>
    <xf numFmtId="167" fontId="13" fillId="2" borderId="25" xfId="4" applyNumberFormat="1" applyFont="1" applyFill="1" applyBorder="1" applyAlignment="1">
      <alignment horizontal="center" vertical="center" wrapText="1"/>
    </xf>
    <xf numFmtId="165" fontId="13" fillId="2" borderId="25" xfId="4" applyNumberFormat="1" applyFont="1" applyFill="1" applyBorder="1" applyAlignment="1">
      <alignment horizontal="center" vertical="center" wrapText="1"/>
    </xf>
    <xf numFmtId="168" fontId="13" fillId="0" borderId="25" xfId="4" applyNumberFormat="1" applyFont="1" applyFill="1" applyBorder="1" applyAlignment="1">
      <alignment horizontal="center" vertical="center" wrapText="1"/>
    </xf>
    <xf numFmtId="167" fontId="13" fillId="0" borderId="25" xfId="4" applyNumberFormat="1" applyFont="1" applyFill="1" applyBorder="1" applyAlignment="1">
      <alignment horizontal="right" vertical="center" wrapText="1"/>
    </xf>
    <xf numFmtId="168" fontId="13" fillId="2" borderId="25" xfId="4" applyNumberFormat="1" applyFont="1" applyFill="1" applyBorder="1" applyAlignment="1">
      <alignment horizontal="center" vertical="center" wrapText="1"/>
    </xf>
    <xf numFmtId="165" fontId="15" fillId="0" borderId="37" xfId="4" applyNumberFormat="1" applyFont="1" applyFill="1" applyBorder="1" applyAlignment="1">
      <alignment horizontal="center" vertical="center" wrapText="1"/>
    </xf>
    <xf numFmtId="0" fontId="9" fillId="0" borderId="25" xfId="4" applyNumberFormat="1" applyFont="1" applyFill="1" applyBorder="1" applyAlignment="1">
      <alignment horizontal="center" vertical="center" textRotation="90" wrapText="1"/>
    </xf>
    <xf numFmtId="165" fontId="4" fillId="0" borderId="25" xfId="5" applyNumberFormat="1" applyFont="1" applyFill="1" applyBorder="1" applyAlignment="1">
      <alignment horizontal="left" vertical="center" wrapText="1"/>
    </xf>
    <xf numFmtId="165" fontId="13" fillId="0" borderId="25" xfId="4" applyNumberFormat="1" applyFont="1" applyFill="1" applyBorder="1" applyAlignment="1">
      <alignment horizontal="center" vertical="center"/>
    </xf>
    <xf numFmtId="168" fontId="13" fillId="0" borderId="25" xfId="4" applyNumberFormat="1" applyFont="1" applyFill="1" applyBorder="1" applyAlignment="1">
      <alignment horizontal="center" vertical="center"/>
    </xf>
    <xf numFmtId="165" fontId="13" fillId="2" borderId="25" xfId="1" applyNumberFormat="1" applyFont="1" applyFill="1" applyBorder="1" applyAlignment="1">
      <alignment horizontal="center" vertical="center" wrapText="1"/>
    </xf>
    <xf numFmtId="168" fontId="13" fillId="2" borderId="25" xfId="1" applyNumberFormat="1" applyFont="1" applyFill="1" applyBorder="1" applyAlignment="1">
      <alignment horizontal="center" vertical="center" wrapText="1"/>
    </xf>
    <xf numFmtId="41" fontId="13" fillId="0" borderId="25" xfId="2" applyFont="1" applyFill="1" applyBorder="1" applyAlignment="1">
      <alignment horizontal="center" vertical="center" wrapText="1"/>
    </xf>
    <xf numFmtId="165" fontId="9" fillId="0" borderId="25" xfId="0" applyNumberFormat="1" applyFont="1" applyBorder="1" applyAlignment="1">
      <alignment horizontal="center" vertical="center" textRotation="90"/>
    </xf>
    <xf numFmtId="165" fontId="9" fillId="0" borderId="25" xfId="4" applyNumberFormat="1" applyFont="1" applyFill="1" applyBorder="1" applyAlignment="1">
      <alignment horizontal="center" vertical="center" textRotation="90"/>
    </xf>
    <xf numFmtId="41" fontId="13" fillId="2" borderId="25" xfId="2" applyFont="1" applyFill="1" applyBorder="1" applyAlignment="1">
      <alignment horizontal="right" vertical="center" wrapText="1"/>
    </xf>
    <xf numFmtId="165" fontId="4" fillId="0" borderId="25" xfId="4" applyNumberFormat="1" applyFont="1" applyFill="1" applyBorder="1" applyAlignment="1">
      <alignment horizontal="left" vertical="center" wrapText="1"/>
    </xf>
    <xf numFmtId="168" fontId="13" fillId="0" borderId="25" xfId="1" applyNumberFormat="1" applyFont="1" applyFill="1" applyBorder="1" applyAlignment="1">
      <alignment horizontal="center" vertical="center" wrapText="1"/>
    </xf>
    <xf numFmtId="165" fontId="8" fillId="0" borderId="30" xfId="4" applyNumberFormat="1" applyFont="1" applyFill="1" applyBorder="1" applyAlignment="1">
      <alignment horizontal="center" vertical="center" wrapText="1"/>
    </xf>
    <xf numFmtId="165" fontId="9" fillId="0" borderId="30" xfId="0" applyNumberFormat="1" applyFont="1" applyBorder="1" applyAlignment="1">
      <alignment horizontal="center" vertical="center" textRotation="90"/>
    </xf>
    <xf numFmtId="0" fontId="4" fillId="0" borderId="30" xfId="5" applyFont="1" applyFill="1" applyBorder="1" applyAlignment="1">
      <alignment horizontal="left" vertical="center" wrapText="1"/>
    </xf>
    <xf numFmtId="165" fontId="15" fillId="0" borderId="30" xfId="4" applyNumberFormat="1" applyFont="1" applyFill="1" applyBorder="1" applyAlignment="1">
      <alignment horizontal="center" vertical="center" wrapText="1"/>
    </xf>
    <xf numFmtId="165" fontId="13" fillId="0" borderId="30" xfId="4" applyNumberFormat="1" applyFont="1" applyFill="1" applyBorder="1" applyAlignment="1">
      <alignment horizontal="center" vertical="center" wrapText="1"/>
    </xf>
    <xf numFmtId="167" fontId="13" fillId="0" borderId="30" xfId="4" applyNumberFormat="1" applyFont="1" applyFill="1" applyBorder="1" applyAlignment="1">
      <alignment horizontal="center" vertical="center" wrapText="1"/>
    </xf>
    <xf numFmtId="168" fontId="13" fillId="0" borderId="30" xfId="4" applyNumberFormat="1" applyFont="1" applyFill="1" applyBorder="1" applyAlignment="1">
      <alignment horizontal="center" vertical="center" wrapText="1"/>
    </xf>
    <xf numFmtId="167" fontId="13" fillId="2" borderId="30" xfId="4" applyNumberFormat="1" applyFont="1" applyFill="1" applyBorder="1" applyAlignment="1">
      <alignment horizontal="center" vertical="center" wrapText="1"/>
    </xf>
    <xf numFmtId="165" fontId="13" fillId="2" borderId="30" xfId="4" applyNumberFormat="1" applyFont="1" applyFill="1" applyBorder="1" applyAlignment="1">
      <alignment horizontal="center" vertical="center" wrapText="1"/>
    </xf>
    <xf numFmtId="168" fontId="13" fillId="0" borderId="30" xfId="4" applyNumberFormat="1" applyFont="1" applyFill="1" applyBorder="1" applyAlignment="1">
      <alignment horizontal="center" vertical="center"/>
    </xf>
    <xf numFmtId="165" fontId="13" fillId="2" borderId="30" xfId="1" applyNumberFormat="1" applyFont="1" applyFill="1" applyBorder="1" applyAlignment="1">
      <alignment horizontal="center" vertical="center" wrapText="1"/>
    </xf>
    <xf numFmtId="168" fontId="13" fillId="2" borderId="30" xfId="1" applyNumberFormat="1" applyFont="1" applyFill="1" applyBorder="1" applyAlignment="1">
      <alignment horizontal="center" vertical="center" wrapText="1"/>
    </xf>
    <xf numFmtId="165" fontId="13" fillId="0" borderId="30" xfId="1" applyNumberFormat="1" applyFont="1" applyFill="1" applyBorder="1" applyAlignment="1">
      <alignment horizontal="center" vertical="center" wrapText="1"/>
    </xf>
    <xf numFmtId="167" fontId="13" fillId="0" borderId="30" xfId="4" applyNumberFormat="1" applyFont="1" applyFill="1" applyBorder="1" applyAlignment="1">
      <alignment horizontal="right" vertical="center" wrapText="1"/>
    </xf>
    <xf numFmtId="168" fontId="13" fillId="2" borderId="30" xfId="4" applyNumberFormat="1" applyFont="1" applyFill="1" applyBorder="1" applyAlignment="1">
      <alignment horizontal="center" vertical="center" wrapText="1"/>
    </xf>
    <xf numFmtId="169" fontId="3" fillId="0" borderId="38" xfId="5" applyNumberFormat="1" applyFont="1" applyFill="1" applyBorder="1" applyAlignment="1">
      <alignment horizontal="center" vertical="center"/>
    </xf>
    <xf numFmtId="169" fontId="3" fillId="0" borderId="39" xfId="5" applyNumberFormat="1" applyFont="1" applyFill="1" applyBorder="1" applyAlignment="1">
      <alignment horizontal="center" vertical="center"/>
    </xf>
    <xf numFmtId="169" fontId="3" fillId="0" borderId="40" xfId="5" applyNumberFormat="1" applyFont="1" applyFill="1" applyBorder="1" applyAlignment="1">
      <alignment horizontal="center" vertical="center"/>
    </xf>
    <xf numFmtId="167" fontId="3" fillId="0" borderId="41" xfId="4" applyNumberFormat="1" applyFont="1" applyFill="1" applyBorder="1" applyAlignment="1">
      <alignment horizontal="right" vertical="center"/>
    </xf>
    <xf numFmtId="167" fontId="7" fillId="0" borderId="41" xfId="4" applyNumberFormat="1" applyFont="1" applyFill="1" applyBorder="1" applyAlignment="1">
      <alignment horizontal="right" vertical="center"/>
    </xf>
    <xf numFmtId="169" fontId="4" fillId="0" borderId="0" xfId="5" applyNumberFormat="1" applyFont="1" applyFill="1" applyBorder="1" applyAlignment="1">
      <alignment horizontal="center" vertical="center"/>
    </xf>
    <xf numFmtId="169" fontId="4" fillId="0" borderId="0" xfId="5" applyNumberFormat="1" applyFont="1" applyFill="1" applyBorder="1" applyAlignment="1">
      <alignment horizontal="center" vertical="center" textRotation="90"/>
    </xf>
    <xf numFmtId="167" fontId="4" fillId="0" borderId="0" xfId="4" applyNumberFormat="1" applyFont="1" applyFill="1" applyBorder="1" applyAlignment="1">
      <alignment horizontal="right" vertical="center"/>
    </xf>
    <xf numFmtId="165" fontId="4" fillId="0" borderId="0" xfId="1" applyNumberFormat="1" applyFont="1" applyFill="1" applyBorder="1" applyAlignment="1">
      <alignment horizontal="right" vertical="center"/>
    </xf>
    <xf numFmtId="167" fontId="16" fillId="0" borderId="0" xfId="4" applyNumberFormat="1" applyFont="1" applyFill="1" applyBorder="1" applyAlignment="1">
      <alignment horizontal="right" vertical="center"/>
    </xf>
    <xf numFmtId="165" fontId="6" fillId="0" borderId="0" xfId="4" applyNumberFormat="1" applyFont="1" applyFill="1" applyBorder="1" applyAlignment="1">
      <alignment horizontal="right" vertical="center"/>
    </xf>
    <xf numFmtId="167" fontId="17" fillId="0" borderId="0" xfId="4" applyNumberFormat="1" applyFont="1" applyFill="1" applyBorder="1" applyAlignment="1">
      <alignment horizontal="right" vertical="center"/>
    </xf>
    <xf numFmtId="167" fontId="7" fillId="0" borderId="0" xfId="4" applyNumberFormat="1" applyFont="1" applyFill="1" applyBorder="1" applyAlignment="1">
      <alignment horizontal="right" vertical="center"/>
    </xf>
    <xf numFmtId="37" fontId="4" fillId="0" borderId="0" xfId="4" applyNumberFormat="1" applyFont="1" applyFill="1" applyBorder="1" applyAlignment="1">
      <alignment horizontal="center" vertical="center"/>
    </xf>
    <xf numFmtId="165" fontId="3" fillId="0" borderId="0" xfId="4" applyNumberFormat="1" applyFont="1" applyFill="1" applyBorder="1" applyAlignment="1">
      <alignment horizontal="center" vertical="center"/>
    </xf>
    <xf numFmtId="165" fontId="14" fillId="0" borderId="0" xfId="4" applyNumberFormat="1" applyFont="1" applyFill="1" applyBorder="1" applyAlignment="1">
      <alignment horizontal="center" vertical="center" textRotation="90"/>
    </xf>
    <xf numFmtId="165" fontId="4" fillId="0" borderId="0" xfId="4" applyNumberFormat="1" applyFont="1" applyFill="1" applyBorder="1" applyAlignment="1">
      <alignment horizontal="left" vertical="center"/>
    </xf>
    <xf numFmtId="165" fontId="3" fillId="0" borderId="0" xfId="4" applyNumberFormat="1" applyFont="1" applyFill="1" applyBorder="1" applyAlignment="1">
      <alignment horizontal="center" vertical="center" wrapText="1"/>
    </xf>
    <xf numFmtId="165" fontId="14" fillId="0" borderId="0" xfId="1" applyNumberFormat="1" applyFont="1" applyFill="1" applyBorder="1" applyAlignment="1">
      <alignment horizontal="center" vertical="center" wrapText="1"/>
    </xf>
    <xf numFmtId="165" fontId="3" fillId="0" borderId="0" xfId="1" applyNumberFormat="1" applyFont="1" applyFill="1" applyBorder="1" applyAlignment="1">
      <alignment horizontal="center" vertical="center" wrapText="1"/>
    </xf>
    <xf numFmtId="165" fontId="5" fillId="0" borderId="0" xfId="4" applyNumberFormat="1" applyFont="1" applyFill="1" applyBorder="1" applyAlignment="1">
      <alignment horizontal="center" vertical="center" wrapText="1"/>
    </xf>
    <xf numFmtId="165" fontId="5" fillId="0" borderId="0" xfId="3" applyNumberFormat="1" applyFont="1" applyAlignment="1">
      <alignment vertical="center"/>
    </xf>
    <xf numFmtId="165" fontId="3" fillId="0" borderId="0" xfId="4" applyNumberFormat="1" applyFont="1" applyFill="1" applyBorder="1" applyAlignment="1">
      <alignment horizontal="right" vertical="center" wrapText="1"/>
    </xf>
    <xf numFmtId="165" fontId="7" fillId="0" borderId="0" xfId="4" applyNumberFormat="1" applyFont="1" applyFill="1" applyBorder="1" applyAlignment="1">
      <alignment horizontal="center" vertical="center" wrapText="1"/>
    </xf>
    <xf numFmtId="0" fontId="14" fillId="0" borderId="0" xfId="3" applyFont="1" applyAlignment="1">
      <alignment horizontal="center" vertical="center" textRotation="90"/>
    </xf>
    <xf numFmtId="165" fontId="8" fillId="0" borderId="0" xfId="4" applyNumberFormat="1" applyFont="1" applyFill="1" applyBorder="1" applyAlignment="1">
      <alignment horizontal="center" vertical="center" wrapText="1"/>
    </xf>
    <xf numFmtId="165" fontId="9" fillId="0" borderId="0" xfId="1" applyNumberFormat="1" applyFont="1" applyFill="1" applyBorder="1" applyAlignment="1">
      <alignment horizontal="center" vertical="center" wrapText="1"/>
    </xf>
    <xf numFmtId="165" fontId="8" fillId="0" borderId="0" xfId="1" applyNumberFormat="1" applyFont="1" applyFill="1" applyBorder="1" applyAlignment="1">
      <alignment horizontal="right" vertical="center"/>
    </xf>
    <xf numFmtId="165" fontId="8" fillId="0" borderId="0" xfId="4" applyNumberFormat="1" applyFont="1" applyFill="1" applyBorder="1" applyAlignment="1">
      <alignment horizontal="right" vertical="center"/>
    </xf>
    <xf numFmtId="165" fontId="6" fillId="0" borderId="0" xfId="4" applyNumberFormat="1" applyFont="1" applyFill="1" applyBorder="1" applyAlignment="1">
      <alignment horizontal="center" vertical="center" wrapText="1"/>
    </xf>
    <xf numFmtId="165" fontId="8" fillId="0" borderId="0" xfId="3" applyNumberFormat="1" applyFont="1" applyAlignment="1">
      <alignment vertical="center"/>
    </xf>
    <xf numFmtId="164" fontId="8" fillId="0" borderId="0" xfId="4" applyFont="1" applyFill="1" applyBorder="1" applyAlignment="1">
      <alignment horizontal="center" vertical="center" wrapText="1"/>
    </xf>
    <xf numFmtId="165" fontId="13" fillId="0" borderId="0" xfId="3" applyNumberFormat="1" applyFont="1" applyAlignment="1">
      <alignment vertical="center"/>
    </xf>
    <xf numFmtId="0" fontId="3" fillId="0" borderId="0" xfId="3" quotePrefix="1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 textRotation="90"/>
    </xf>
    <xf numFmtId="0" fontId="3" fillId="0" borderId="0" xfId="3" applyFont="1" applyAlignment="1">
      <alignment horizontal="center" vertical="center"/>
    </xf>
    <xf numFmtId="165" fontId="3" fillId="0" borderId="0" xfId="4" applyNumberFormat="1" applyFont="1" applyFill="1" applyBorder="1" applyAlignment="1">
      <alignment horizontal="right" vertical="center"/>
    </xf>
    <xf numFmtId="165" fontId="3" fillId="0" borderId="0" xfId="3" applyNumberFormat="1" applyFont="1" applyAlignment="1">
      <alignment horizontal="center" vertical="center"/>
    </xf>
    <xf numFmtId="168" fontId="3" fillId="0" borderId="0" xfId="3" applyNumberFormat="1" applyFont="1" applyAlignment="1">
      <alignment vertical="center"/>
    </xf>
    <xf numFmtId="167" fontId="3" fillId="0" borderId="0" xfId="3" applyNumberFormat="1" applyFont="1" applyAlignment="1">
      <alignment vertical="center"/>
    </xf>
    <xf numFmtId="167" fontId="3" fillId="0" borderId="0" xfId="3" applyNumberFormat="1" applyFont="1" applyAlignment="1">
      <alignment horizontal="center" vertical="center"/>
    </xf>
    <xf numFmtId="165" fontId="14" fillId="0" borderId="0" xfId="1" applyNumberFormat="1" applyFont="1" applyFill="1" applyAlignment="1">
      <alignment vertical="center"/>
    </xf>
    <xf numFmtId="165" fontId="3" fillId="0" borderId="0" xfId="1" applyNumberFormat="1" applyFont="1" applyFill="1" applyBorder="1" applyAlignment="1">
      <alignment horizontal="right" vertical="center"/>
    </xf>
    <xf numFmtId="0" fontId="18" fillId="0" borderId="0" xfId="3" applyFont="1" applyAlignment="1">
      <alignment vertical="center"/>
    </xf>
    <xf numFmtId="165" fontId="9" fillId="0" borderId="0" xfId="1" applyNumberFormat="1" applyFont="1" applyFill="1" applyAlignment="1">
      <alignment horizontal="left" vertical="center"/>
    </xf>
    <xf numFmtId="0" fontId="8" fillId="0" borderId="0" xfId="3" applyFont="1" applyAlignment="1">
      <alignment horizontal="right" vertical="center"/>
    </xf>
    <xf numFmtId="167" fontId="13" fillId="0" borderId="0" xfId="3" applyNumberFormat="1" applyFont="1" applyAlignment="1">
      <alignment vertical="center"/>
    </xf>
    <xf numFmtId="167" fontId="8" fillId="0" borderId="0" xfId="3" applyNumberFormat="1" applyFont="1" applyAlignment="1">
      <alignment vertical="center"/>
    </xf>
    <xf numFmtId="167" fontId="8" fillId="0" borderId="0" xfId="3" applyNumberFormat="1" applyFont="1" applyAlignment="1">
      <alignment horizontal="center" vertical="center"/>
    </xf>
    <xf numFmtId="165" fontId="9" fillId="0" borderId="0" xfId="1" applyNumberFormat="1" applyFont="1" applyFill="1" applyAlignment="1">
      <alignment vertical="center"/>
    </xf>
    <xf numFmtId="165" fontId="8" fillId="0" borderId="0" xfId="1" applyNumberFormat="1" applyFont="1" applyFill="1" applyAlignment="1">
      <alignment vertical="center"/>
    </xf>
    <xf numFmtId="164" fontId="8" fillId="0" borderId="0" xfId="3" applyNumberFormat="1" applyFont="1" applyAlignment="1">
      <alignment vertical="center"/>
    </xf>
    <xf numFmtId="165" fontId="4" fillId="0" borderId="0" xfId="4" applyNumberFormat="1" applyFont="1" applyFill="1" applyBorder="1" applyAlignment="1">
      <alignment vertical="center"/>
    </xf>
    <xf numFmtId="165" fontId="19" fillId="0" borderId="0" xfId="4" applyNumberFormat="1" applyFont="1" applyFill="1" applyBorder="1" applyAlignment="1">
      <alignment horizontal="center" vertical="center"/>
    </xf>
    <xf numFmtId="0" fontId="19" fillId="0" borderId="0" xfId="4" applyNumberFormat="1" applyFont="1" applyFill="1" applyBorder="1" applyAlignment="1">
      <alignment vertical="center"/>
    </xf>
    <xf numFmtId="0" fontId="19" fillId="0" borderId="0" xfId="4" applyNumberFormat="1" applyFont="1" applyFill="1" applyBorder="1" applyAlignment="1">
      <alignment horizontal="center" vertical="center"/>
    </xf>
    <xf numFmtId="165" fontId="3" fillId="0" borderId="0" xfId="4" applyNumberFormat="1" applyFont="1" applyFill="1" applyBorder="1" applyAlignment="1">
      <alignment vertical="center"/>
    </xf>
    <xf numFmtId="165" fontId="19" fillId="0" borderId="0" xfId="4" applyNumberFormat="1" applyFont="1" applyFill="1" applyBorder="1" applyAlignment="1">
      <alignment horizontal="center" vertical="center"/>
    </xf>
    <xf numFmtId="170" fontId="3" fillId="0" borderId="0" xfId="4" applyNumberFormat="1" applyFont="1" applyFill="1" applyBorder="1" applyAlignment="1">
      <alignment vertical="center"/>
    </xf>
    <xf numFmtId="0" fontId="19" fillId="0" borderId="0" xfId="3" applyFont="1" applyAlignment="1">
      <alignment horizontal="center" vertical="center"/>
    </xf>
    <xf numFmtId="165" fontId="19" fillId="0" borderId="0" xfId="4" applyNumberFormat="1" applyFont="1" applyFill="1" applyBorder="1" applyAlignment="1">
      <alignment horizontal="right" vertical="center"/>
    </xf>
    <xf numFmtId="41" fontId="20" fillId="0" borderId="0" xfId="0" applyNumberFormat="1" applyFont="1" applyAlignment="1">
      <alignment horizontal="center" vertical="center"/>
    </xf>
    <xf numFmtId="165" fontId="19" fillId="0" borderId="0" xfId="4" applyNumberFormat="1" applyFont="1" applyFill="1" applyBorder="1" applyAlignment="1">
      <alignment vertical="center"/>
    </xf>
    <xf numFmtId="0" fontId="8" fillId="0" borderId="0" xfId="3" applyFont="1" applyAlignment="1">
      <alignment horizontal="center" vertical="center"/>
    </xf>
    <xf numFmtId="41" fontId="8" fillId="0" borderId="0" xfId="2" applyFont="1" applyFill="1" applyAlignment="1">
      <alignment vertical="center"/>
    </xf>
    <xf numFmtId="41" fontId="18" fillId="0" borderId="0" xfId="0" applyNumberFormat="1" applyFont="1" applyAlignment="1">
      <alignment horizontal="center" vertical="center"/>
    </xf>
  </cellXfs>
  <cellStyles count="6">
    <cellStyle name="Comma" xfId="1" builtinId="3"/>
    <cellStyle name="Comma [0]" xfId="2" builtinId="6"/>
    <cellStyle name="Comma 3" xfId="4" xr:uid="{0EA7C096-FF74-42DA-879B-5F3EB021803E}"/>
    <cellStyle name="Currency [0] 2" xfId="5" xr:uid="{F5387CBC-89DC-4032-8E6E-36BF7CA6ED6E}"/>
    <cellStyle name="Normal" xfId="0" builtinId="0"/>
    <cellStyle name="Normal 2" xfId="3" xr:uid="{DF1959E1-4E27-4FA3-BB9A-DB5AEA0C96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bgmf\AppData\Local\Microsoft\Olk\Attachments\ooa-cbf61610-e8b6-4ee8-905d-1c6bb4a517dd\8c1b5e5f9c9d293c1029b9777873c603b5688cce9275156361b2f2b5b84ec18c\PAYROLL%20AB2%20AIR%20BANGEK%20MEI%202025.xlsx" TargetMode="External"/><Relationship Id="rId1" Type="http://schemas.openxmlformats.org/officeDocument/2006/relationships/externalLinkPath" Target="file:///C:\Users\nbgmf\AppData\Local\Microsoft\Olk\Attachments\ooa-cbf61610-e8b6-4ee8-905d-1c6bb4a517dd\8c1b5e5f9c9d293c1029b9777873c603b5688cce9275156361b2f2b5b84ec18c\PAYROLL%20AB2%20AIR%20BANGEK%20MEI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A KERJA AB"/>
      <sheetName val="PENGAJUAN PRUNING MEI 2025"/>
      <sheetName val="INSETIF MEI'25"/>
      <sheetName val="MONITORING "/>
      <sheetName val="HK PANEN"/>
      <sheetName val="HK UP KEEP, OP "/>
      <sheetName val="ABSEN"/>
      <sheetName val="LEMBUR DAN PREMI UPKEEP"/>
      <sheetName val="PREMI ALAT"/>
      <sheetName val="SLIP GAJI"/>
      <sheetName val="DAFTAR UPAH MEI 2025"/>
      <sheetName val="BRI MEI 2025"/>
      <sheetName val="REKON GAJI MANUAL VS PLANTW  AB"/>
    </sheetNames>
    <sheetDataSet>
      <sheetData sheetId="0"/>
      <sheetData sheetId="1"/>
      <sheetData sheetId="2"/>
      <sheetData sheetId="3"/>
      <sheetData sheetId="4"/>
      <sheetData sheetId="5">
        <row r="20">
          <cell r="AS20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85B99-F00F-4D8D-AFED-3E202483A27E}">
  <dimension ref="B3:BF26"/>
  <sheetViews>
    <sheetView tabSelected="1" workbookViewId="0">
      <selection activeCell="G11" sqref="G11"/>
    </sheetView>
  </sheetViews>
  <sheetFormatPr defaultRowHeight="15" x14ac:dyDescent="0.25"/>
  <cols>
    <col min="5" max="5" width="21.28515625" bestFit="1" customWidth="1"/>
    <col min="7" max="7" width="14.85546875" bestFit="1" customWidth="1"/>
    <col min="10" max="10" width="19.140625" bestFit="1" customWidth="1"/>
    <col min="12" max="12" width="19.140625" bestFit="1" customWidth="1"/>
    <col min="16" max="16" width="19.140625" bestFit="1" customWidth="1"/>
    <col min="22" max="22" width="21" bestFit="1" customWidth="1"/>
    <col min="24" max="24" width="14.42578125" bestFit="1" customWidth="1"/>
    <col min="25" max="25" width="19.140625" bestFit="1" customWidth="1"/>
    <col min="26" max="26" width="14.42578125" bestFit="1" customWidth="1"/>
    <col min="28" max="29" width="14.42578125" bestFit="1" customWidth="1"/>
  </cols>
  <sheetData>
    <row r="3" spans="2:58" ht="18.75" x14ac:dyDescent="0.25">
      <c r="B3" s="1"/>
      <c r="C3" s="1"/>
      <c r="D3" s="1"/>
      <c r="E3" s="2" t="s">
        <v>0</v>
      </c>
      <c r="F3" s="1"/>
      <c r="G3" s="3"/>
      <c r="H3" s="3"/>
      <c r="I3" s="1"/>
      <c r="J3" s="1"/>
      <c r="K3" s="1"/>
      <c r="L3" s="1"/>
      <c r="M3" s="1"/>
      <c r="N3" s="1"/>
      <c r="O3" s="1"/>
      <c r="P3" s="1" t="s">
        <v>1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4"/>
      <c r="AG3" s="4"/>
      <c r="AH3" s="4"/>
      <c r="AI3" s="4"/>
      <c r="AJ3" s="4"/>
      <c r="AK3" s="4"/>
      <c r="AL3" s="5"/>
      <c r="AM3" s="4"/>
      <c r="AN3" s="4"/>
      <c r="AO3" s="1"/>
      <c r="AP3" s="1"/>
      <c r="AQ3" s="6">
        <v>3876600</v>
      </c>
      <c r="AR3" s="7">
        <f>AQ3/30</f>
        <v>129220</v>
      </c>
      <c r="AS3" s="1"/>
      <c r="AT3" s="1"/>
      <c r="AU3" s="1"/>
      <c r="AV3" s="1"/>
      <c r="AW3" s="4" t="s">
        <v>2</v>
      </c>
      <c r="AX3" s="1" t="s">
        <v>3</v>
      </c>
      <c r="AY3" s="1"/>
      <c r="AZ3" s="1"/>
      <c r="BA3" s="1"/>
      <c r="BB3" s="1"/>
      <c r="BC3" s="1"/>
      <c r="BD3" s="8"/>
      <c r="BE3" s="4"/>
      <c r="BF3" s="1"/>
    </row>
    <row r="4" spans="2:58" ht="19.5" thickBot="1" x14ac:dyDescent="0.3">
      <c r="B4" s="9"/>
      <c r="C4" s="9"/>
      <c r="D4" s="10"/>
      <c r="E4" s="11"/>
      <c r="F4" s="12"/>
      <c r="G4" s="13"/>
      <c r="H4" s="14"/>
      <c r="I4" s="12"/>
      <c r="J4" s="12"/>
      <c r="K4" s="12"/>
      <c r="L4" s="12"/>
      <c r="M4" s="12"/>
      <c r="N4" s="12"/>
      <c r="O4" s="12"/>
      <c r="P4" s="12"/>
      <c r="Q4" s="15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9"/>
      <c r="AF4" s="12"/>
      <c r="AG4" s="12"/>
      <c r="AH4" s="12"/>
      <c r="AI4" s="12"/>
      <c r="AJ4" s="12"/>
      <c r="AK4" s="12"/>
      <c r="AL4" s="16"/>
      <c r="AM4" s="12"/>
      <c r="AN4" s="12"/>
      <c r="AO4" s="15"/>
      <c r="AP4" s="17"/>
      <c r="AQ4" s="6">
        <v>3876600</v>
      </c>
      <c r="AR4" s="7">
        <f>AQ4/30</f>
        <v>129220</v>
      </c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8"/>
      <c r="BE4" s="15"/>
      <c r="BF4" s="9"/>
    </row>
    <row r="5" spans="2:58" ht="18.75" x14ac:dyDescent="0.25">
      <c r="B5" s="19" t="s">
        <v>4</v>
      </c>
      <c r="C5" s="20" t="s">
        <v>5</v>
      </c>
      <c r="D5" s="21" t="s">
        <v>6</v>
      </c>
      <c r="E5" s="22"/>
      <c r="F5" s="23"/>
      <c r="G5" s="24"/>
      <c r="H5" s="25"/>
      <c r="I5" s="26" t="s">
        <v>7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8"/>
      <c r="W5" s="20" t="s">
        <v>8</v>
      </c>
      <c r="X5" s="26" t="s">
        <v>9</v>
      </c>
      <c r="Y5" s="27"/>
      <c r="Z5" s="27"/>
      <c r="AA5" s="27"/>
      <c r="AB5" s="27"/>
      <c r="AC5" s="27"/>
      <c r="AD5" s="27"/>
      <c r="AE5" s="28"/>
      <c r="AF5" s="29" t="s">
        <v>10</v>
      </c>
      <c r="AG5" s="30" t="s">
        <v>11</v>
      </c>
      <c r="AH5" s="31"/>
      <c r="AI5" s="31"/>
      <c r="AJ5" s="31"/>
      <c r="AK5" s="31"/>
      <c r="AL5" s="31"/>
      <c r="AM5" s="31"/>
      <c r="AN5" s="32"/>
      <c r="AO5" s="20" t="s">
        <v>12</v>
      </c>
      <c r="AP5" s="33" t="s">
        <v>13</v>
      </c>
      <c r="AQ5" s="34" t="s">
        <v>14</v>
      </c>
      <c r="AR5" s="35"/>
      <c r="AS5" s="36"/>
      <c r="AT5" s="34" t="s">
        <v>15</v>
      </c>
      <c r="AU5" s="35"/>
      <c r="AV5" s="35"/>
      <c r="AW5" s="35"/>
      <c r="AX5" s="36"/>
      <c r="AY5" s="23"/>
      <c r="AZ5" s="29" t="s">
        <v>16</v>
      </c>
      <c r="BA5" s="37" t="s">
        <v>17</v>
      </c>
      <c r="BB5" s="37" t="s">
        <v>18</v>
      </c>
      <c r="BC5" s="38" t="s">
        <v>19</v>
      </c>
      <c r="BD5" s="39" t="s">
        <v>13</v>
      </c>
      <c r="BE5" s="30" t="s">
        <v>20</v>
      </c>
      <c r="BF5" s="40"/>
    </row>
    <row r="6" spans="2:58" ht="18.75" x14ac:dyDescent="0.25">
      <c r="B6" s="41"/>
      <c r="C6" s="42"/>
      <c r="D6" s="43"/>
      <c r="E6" s="44" t="s">
        <v>21</v>
      </c>
      <c r="F6" s="45" t="s">
        <v>22</v>
      </c>
      <c r="G6" s="46" t="s">
        <v>23</v>
      </c>
      <c r="H6" s="47" t="s">
        <v>23</v>
      </c>
      <c r="I6" s="48" t="s">
        <v>24</v>
      </c>
      <c r="J6" s="49"/>
      <c r="K6" s="48" t="s">
        <v>25</v>
      </c>
      <c r="L6" s="49"/>
      <c r="M6" s="48" t="s">
        <v>26</v>
      </c>
      <c r="N6" s="49"/>
      <c r="O6" s="48" t="s">
        <v>27</v>
      </c>
      <c r="P6" s="49"/>
      <c r="Q6" s="50" t="s">
        <v>28</v>
      </c>
      <c r="R6" s="51"/>
      <c r="S6" s="52" t="s">
        <v>29</v>
      </c>
      <c r="T6" s="53"/>
      <c r="U6" s="48" t="s">
        <v>30</v>
      </c>
      <c r="V6" s="49"/>
      <c r="W6" s="42"/>
      <c r="X6" s="48" t="s">
        <v>31</v>
      </c>
      <c r="Y6" s="49"/>
      <c r="Z6" s="48" t="s">
        <v>32</v>
      </c>
      <c r="AA6" s="54"/>
      <c r="AB6" s="49"/>
      <c r="AC6" s="48" t="s">
        <v>33</v>
      </c>
      <c r="AD6" s="54"/>
      <c r="AE6" s="49"/>
      <c r="AF6" s="55"/>
      <c r="AG6" s="56"/>
      <c r="AH6" s="57"/>
      <c r="AI6" s="57"/>
      <c r="AJ6" s="57"/>
      <c r="AK6" s="57"/>
      <c r="AL6" s="57"/>
      <c r="AM6" s="57"/>
      <c r="AN6" s="58"/>
      <c r="AO6" s="42"/>
      <c r="AP6" s="59" t="s">
        <v>23</v>
      </c>
      <c r="AQ6" s="60"/>
      <c r="AR6" s="61"/>
      <c r="AS6" s="62"/>
      <c r="AT6" s="60"/>
      <c r="AU6" s="61"/>
      <c r="AV6" s="61"/>
      <c r="AW6" s="61"/>
      <c r="AX6" s="62"/>
      <c r="AY6" s="45" t="s">
        <v>34</v>
      </c>
      <c r="AZ6" s="55"/>
      <c r="BA6" s="63"/>
      <c r="BB6" s="63"/>
      <c r="BC6" s="64"/>
      <c r="BD6" s="65" t="s">
        <v>23</v>
      </c>
      <c r="BE6" s="66"/>
      <c r="BF6" s="67"/>
    </row>
    <row r="7" spans="2:58" ht="64.5" x14ac:dyDescent="0.25">
      <c r="B7" s="41"/>
      <c r="C7" s="42"/>
      <c r="D7" s="43"/>
      <c r="E7" s="44" t="s">
        <v>35</v>
      </c>
      <c r="F7" s="68" t="s">
        <v>36</v>
      </c>
      <c r="G7" s="46" t="s">
        <v>37</v>
      </c>
      <c r="H7" s="46" t="s">
        <v>38</v>
      </c>
      <c r="I7" s="69" t="s">
        <v>13</v>
      </c>
      <c r="J7" s="70"/>
      <c r="K7" s="69" t="s">
        <v>13</v>
      </c>
      <c r="L7" s="70"/>
      <c r="M7" s="69" t="s">
        <v>13</v>
      </c>
      <c r="N7" s="70"/>
      <c r="O7" s="69" t="s">
        <v>13</v>
      </c>
      <c r="P7" s="70"/>
      <c r="Q7" s="69" t="s">
        <v>13</v>
      </c>
      <c r="R7" s="70"/>
      <c r="S7" s="71" t="s">
        <v>13</v>
      </c>
      <c r="T7" s="72"/>
      <c r="U7" s="69" t="s">
        <v>13</v>
      </c>
      <c r="V7" s="70"/>
      <c r="W7" s="42"/>
      <c r="X7" s="73" t="s">
        <v>39</v>
      </c>
      <c r="Y7" s="74" t="s">
        <v>40</v>
      </c>
      <c r="Z7" s="73" t="s">
        <v>39</v>
      </c>
      <c r="AA7" s="69" t="s">
        <v>13</v>
      </c>
      <c r="AB7" s="70"/>
      <c r="AC7" s="75" t="s">
        <v>39</v>
      </c>
      <c r="AD7" s="50" t="s">
        <v>13</v>
      </c>
      <c r="AE7" s="51"/>
      <c r="AF7" s="76"/>
      <c r="AG7" s="77" t="s">
        <v>41</v>
      </c>
      <c r="AH7" s="77" t="s">
        <v>42</v>
      </c>
      <c r="AI7" s="77" t="s">
        <v>43</v>
      </c>
      <c r="AJ7" s="77" t="s">
        <v>44</v>
      </c>
      <c r="AK7" s="77" t="s">
        <v>45</v>
      </c>
      <c r="AL7" s="77" t="s">
        <v>46</v>
      </c>
      <c r="AM7" s="78" t="s">
        <v>47</v>
      </c>
      <c r="AN7" s="77" t="s">
        <v>17</v>
      </c>
      <c r="AO7" s="79"/>
      <c r="AP7" s="73" t="s">
        <v>48</v>
      </c>
      <c r="AQ7" s="68" t="s">
        <v>49</v>
      </c>
      <c r="AR7" s="68" t="s">
        <v>50</v>
      </c>
      <c r="AS7" s="68" t="s">
        <v>13</v>
      </c>
      <c r="AT7" s="68" t="s">
        <v>49</v>
      </c>
      <c r="AU7" s="68" t="s">
        <v>50</v>
      </c>
      <c r="AV7" s="68" t="s">
        <v>49</v>
      </c>
      <c r="AW7" s="68" t="s">
        <v>50</v>
      </c>
      <c r="AX7" s="73" t="s">
        <v>13</v>
      </c>
      <c r="AY7" s="68" t="s">
        <v>51</v>
      </c>
      <c r="AZ7" s="55"/>
      <c r="BA7" s="63"/>
      <c r="BB7" s="63"/>
      <c r="BC7" s="64"/>
      <c r="BD7" s="65" t="s">
        <v>52</v>
      </c>
      <c r="BE7" s="80" t="s">
        <v>53</v>
      </c>
      <c r="BF7" s="81" t="s">
        <v>54</v>
      </c>
    </row>
    <row r="8" spans="2:58" ht="19.5" thickBot="1" x14ac:dyDescent="0.3">
      <c r="B8" s="82"/>
      <c r="C8" s="83"/>
      <c r="D8" s="84"/>
      <c r="E8" s="85"/>
      <c r="F8" s="86"/>
      <c r="G8" s="87" t="s">
        <v>55</v>
      </c>
      <c r="H8" s="88" t="s">
        <v>55</v>
      </c>
      <c r="I8" s="89" t="s">
        <v>22</v>
      </c>
      <c r="J8" s="90" t="s">
        <v>55</v>
      </c>
      <c r="K8" s="89" t="s">
        <v>22</v>
      </c>
      <c r="L8" s="90" t="s">
        <v>55</v>
      </c>
      <c r="M8" s="89" t="s">
        <v>22</v>
      </c>
      <c r="N8" s="90" t="s">
        <v>55</v>
      </c>
      <c r="O8" s="89" t="s">
        <v>22</v>
      </c>
      <c r="P8" s="90" t="s">
        <v>55</v>
      </c>
      <c r="Q8" s="89" t="s">
        <v>22</v>
      </c>
      <c r="R8" s="90" t="s">
        <v>55</v>
      </c>
      <c r="S8" s="89" t="s">
        <v>22</v>
      </c>
      <c r="T8" s="90" t="s">
        <v>55</v>
      </c>
      <c r="U8" s="89" t="s">
        <v>22</v>
      </c>
      <c r="V8" s="90" t="s">
        <v>55</v>
      </c>
      <c r="W8" s="83"/>
      <c r="X8" s="89" t="s">
        <v>56</v>
      </c>
      <c r="Y8" s="89" t="s">
        <v>55</v>
      </c>
      <c r="Z8" s="89" t="s">
        <v>56</v>
      </c>
      <c r="AA8" s="89" t="s">
        <v>56</v>
      </c>
      <c r="AB8" s="89" t="s">
        <v>55</v>
      </c>
      <c r="AC8" s="89" t="s">
        <v>56</v>
      </c>
      <c r="AD8" s="89" t="s">
        <v>57</v>
      </c>
      <c r="AE8" s="89" t="s">
        <v>55</v>
      </c>
      <c r="AF8" s="89" t="s">
        <v>55</v>
      </c>
      <c r="AG8" s="90" t="s">
        <v>55</v>
      </c>
      <c r="AH8" s="90" t="s">
        <v>55</v>
      </c>
      <c r="AI8" s="90" t="s">
        <v>55</v>
      </c>
      <c r="AJ8" s="90" t="s">
        <v>55</v>
      </c>
      <c r="AK8" s="90" t="s">
        <v>55</v>
      </c>
      <c r="AL8" s="90" t="s">
        <v>55</v>
      </c>
      <c r="AM8" s="90" t="s">
        <v>55</v>
      </c>
      <c r="AN8" s="90" t="s">
        <v>55</v>
      </c>
      <c r="AO8" s="89" t="s">
        <v>55</v>
      </c>
      <c r="AP8" s="89" t="s">
        <v>55</v>
      </c>
      <c r="AQ8" s="74" t="s">
        <v>55</v>
      </c>
      <c r="AR8" s="74" t="s">
        <v>55</v>
      </c>
      <c r="AS8" s="90" t="s">
        <v>55</v>
      </c>
      <c r="AT8" s="90" t="s">
        <v>58</v>
      </c>
      <c r="AU8" s="90" t="s">
        <v>55</v>
      </c>
      <c r="AV8" s="90" t="s">
        <v>59</v>
      </c>
      <c r="AW8" s="90" t="s">
        <v>55</v>
      </c>
      <c r="AX8" s="90" t="s">
        <v>55</v>
      </c>
      <c r="AY8" s="90" t="s">
        <v>55</v>
      </c>
      <c r="AZ8" s="91"/>
      <c r="BA8" s="92"/>
      <c r="BB8" s="92"/>
      <c r="BC8" s="93"/>
      <c r="BD8" s="94" t="s">
        <v>55</v>
      </c>
      <c r="BE8" s="95"/>
      <c r="BF8" s="96"/>
    </row>
    <row r="9" spans="2:58" ht="18.75" x14ac:dyDescent="0.25">
      <c r="B9" s="97"/>
      <c r="C9" s="98"/>
      <c r="D9" s="99"/>
      <c r="E9" s="100"/>
      <c r="F9" s="101"/>
      <c r="G9" s="102"/>
      <c r="H9" s="103"/>
      <c r="I9" s="104"/>
      <c r="J9" s="105"/>
      <c r="K9" s="104"/>
      <c r="L9" s="105"/>
      <c r="M9" s="104"/>
      <c r="N9" s="105"/>
      <c r="O9" s="104"/>
      <c r="P9" s="105"/>
      <c r="Q9" s="104"/>
      <c r="R9" s="105"/>
      <c r="S9" s="104"/>
      <c r="T9" s="105"/>
      <c r="U9" s="104"/>
      <c r="V9" s="105"/>
      <c r="W9" s="105"/>
      <c r="X9" s="106"/>
      <c r="Y9" s="105"/>
      <c r="Z9" s="105"/>
      <c r="AA9" s="105"/>
      <c r="AB9" s="107"/>
      <c r="AC9" s="105"/>
      <c r="AD9" s="104"/>
      <c r="AE9" s="108"/>
      <c r="AF9" s="106"/>
      <c r="AG9" s="107"/>
      <c r="AH9" s="107"/>
      <c r="AI9" s="107"/>
      <c r="AJ9" s="105"/>
      <c r="AK9" s="105"/>
      <c r="AL9" s="109"/>
      <c r="AM9" s="105"/>
      <c r="AN9" s="105"/>
      <c r="AO9" s="105"/>
      <c r="AP9" s="105"/>
      <c r="AQ9" s="104"/>
      <c r="AR9" s="104"/>
      <c r="AS9" s="104"/>
      <c r="AT9" s="104"/>
      <c r="AU9" s="104"/>
      <c r="AV9" s="104"/>
      <c r="AW9" s="104"/>
      <c r="AX9" s="104"/>
      <c r="AY9" s="107"/>
      <c r="AZ9" s="110"/>
      <c r="BA9" s="105"/>
      <c r="BB9" s="106"/>
      <c r="BC9" s="106"/>
      <c r="BD9" s="104"/>
      <c r="BE9" s="111"/>
      <c r="BF9" s="112"/>
    </row>
    <row r="10" spans="2:58" ht="18.75" x14ac:dyDescent="0.25">
      <c r="B10" s="113"/>
      <c r="C10" s="114"/>
      <c r="D10" s="115"/>
      <c r="E10" s="116"/>
      <c r="F10" s="117"/>
      <c r="G10" s="118"/>
      <c r="H10" s="119"/>
      <c r="I10" s="120"/>
      <c r="J10" s="121"/>
      <c r="K10" s="120"/>
      <c r="L10" s="121"/>
      <c r="M10" s="120"/>
      <c r="N10" s="121"/>
      <c r="O10" s="120"/>
      <c r="P10" s="121"/>
      <c r="Q10" s="120"/>
      <c r="R10" s="121"/>
      <c r="S10" s="120"/>
      <c r="T10" s="121"/>
      <c r="U10" s="120"/>
      <c r="V10" s="121"/>
      <c r="W10" s="121"/>
      <c r="X10" s="120"/>
      <c r="Y10" s="121"/>
      <c r="Z10" s="121"/>
      <c r="AA10" s="121"/>
      <c r="AB10" s="122"/>
      <c r="AC10" s="121"/>
      <c r="AD10" s="120"/>
      <c r="AE10" s="123"/>
      <c r="AF10" s="124"/>
      <c r="AG10" s="122"/>
      <c r="AH10" s="122"/>
      <c r="AI10" s="122"/>
      <c r="AJ10" s="121"/>
      <c r="AK10" s="121"/>
      <c r="AL10" s="125"/>
      <c r="AM10" s="121"/>
      <c r="AN10" s="121"/>
      <c r="AO10" s="121"/>
      <c r="AP10" s="121"/>
      <c r="AQ10" s="120"/>
      <c r="AR10" s="120"/>
      <c r="AS10" s="120"/>
      <c r="AT10" s="120"/>
      <c r="AU10" s="120"/>
      <c r="AV10" s="120"/>
      <c r="AW10" s="120"/>
      <c r="AX10" s="120"/>
      <c r="AY10" s="122"/>
      <c r="AZ10" s="126"/>
      <c r="BA10" s="121"/>
      <c r="BB10" s="124"/>
      <c r="BC10" s="124"/>
      <c r="BD10" s="120"/>
      <c r="BE10" s="117"/>
      <c r="BF10" s="127"/>
    </row>
    <row r="11" spans="2:58" ht="18.75" x14ac:dyDescent="0.25">
      <c r="B11" s="113"/>
      <c r="C11" s="114"/>
      <c r="D11" s="128"/>
      <c r="E11" s="129"/>
      <c r="F11" s="117"/>
      <c r="G11" s="118"/>
      <c r="H11" s="119"/>
      <c r="I11" s="120"/>
      <c r="J11" s="121"/>
      <c r="K11" s="120"/>
      <c r="L11" s="121"/>
      <c r="M11" s="120"/>
      <c r="N11" s="121"/>
      <c r="O11" s="120"/>
      <c r="P11" s="121"/>
      <c r="Q11" s="120"/>
      <c r="R11" s="121"/>
      <c r="S11" s="120"/>
      <c r="T11" s="121"/>
      <c r="U11" s="120"/>
      <c r="V11" s="121"/>
      <c r="W11" s="121"/>
      <c r="X11" s="120"/>
      <c r="Y11" s="121"/>
      <c r="Z11" s="121"/>
      <c r="AA11" s="121"/>
      <c r="AB11" s="122"/>
      <c r="AC11" s="130"/>
      <c r="AD11" s="120"/>
      <c r="AE11" s="123"/>
      <c r="AF11" s="131"/>
      <c r="AG11" s="123"/>
      <c r="AH11" s="132"/>
      <c r="AI11" s="133"/>
      <c r="AJ11" s="120"/>
      <c r="AK11" s="119"/>
      <c r="AL11" s="125"/>
      <c r="AM11" s="134"/>
      <c r="AN11" s="121"/>
      <c r="AO11" s="120"/>
      <c r="AP11" s="121"/>
      <c r="AQ11" s="120"/>
      <c r="AR11" s="120"/>
      <c r="AS11" s="120"/>
      <c r="AT11" s="120"/>
      <c r="AU11" s="120"/>
      <c r="AV11" s="120"/>
      <c r="AW11" s="120"/>
      <c r="AX11" s="120"/>
      <c r="AY11" s="122"/>
      <c r="AZ11" s="126"/>
      <c r="BA11" s="121"/>
      <c r="BB11" s="124"/>
      <c r="BC11" s="124"/>
      <c r="BD11" s="120"/>
      <c r="BE11" s="117"/>
      <c r="BF11" s="127"/>
    </row>
    <row r="12" spans="2:58" ht="18.75" x14ac:dyDescent="0.25">
      <c r="B12" s="113"/>
      <c r="C12" s="114"/>
      <c r="D12" s="135"/>
      <c r="E12" s="116"/>
      <c r="F12" s="117"/>
      <c r="G12" s="118"/>
      <c r="H12" s="119"/>
      <c r="I12" s="120"/>
      <c r="J12" s="121"/>
      <c r="K12" s="120"/>
      <c r="L12" s="121"/>
      <c r="M12" s="120"/>
      <c r="N12" s="121"/>
      <c r="O12" s="120"/>
      <c r="P12" s="121"/>
      <c r="Q12" s="120"/>
      <c r="R12" s="121"/>
      <c r="S12" s="120"/>
      <c r="T12" s="121"/>
      <c r="U12" s="120"/>
      <c r="V12" s="121"/>
      <c r="W12" s="121"/>
      <c r="X12" s="124"/>
      <c r="Y12" s="121"/>
      <c r="Z12" s="120"/>
      <c r="AA12" s="121"/>
      <c r="AB12" s="122"/>
      <c r="AC12" s="120"/>
      <c r="AD12" s="120"/>
      <c r="AE12" s="123"/>
      <c r="AF12" s="131"/>
      <c r="AG12" s="123"/>
      <c r="AH12" s="132"/>
      <c r="AI12" s="133"/>
      <c r="AJ12" s="120"/>
      <c r="AK12" s="119"/>
      <c r="AL12" s="125"/>
      <c r="AM12" s="120"/>
      <c r="AN12" s="121"/>
      <c r="AO12" s="120"/>
      <c r="AP12" s="121"/>
      <c r="AQ12" s="120"/>
      <c r="AR12" s="120"/>
      <c r="AS12" s="120"/>
      <c r="AT12" s="120"/>
      <c r="AU12" s="120"/>
      <c r="AV12" s="120"/>
      <c r="AW12" s="120"/>
      <c r="AX12" s="120"/>
      <c r="AY12" s="122"/>
      <c r="AZ12" s="126"/>
      <c r="BA12" s="121"/>
      <c r="BB12" s="124"/>
      <c r="BC12" s="124"/>
      <c r="BD12" s="120"/>
      <c r="BE12" s="117"/>
      <c r="BF12" s="127"/>
    </row>
    <row r="13" spans="2:58" ht="18.75" x14ac:dyDescent="0.25">
      <c r="B13" s="113"/>
      <c r="C13" s="114"/>
      <c r="D13" s="136"/>
      <c r="E13" s="129"/>
      <c r="F13" s="117"/>
      <c r="G13" s="118"/>
      <c r="H13" s="119"/>
      <c r="I13" s="120"/>
      <c r="J13" s="121"/>
      <c r="K13" s="120"/>
      <c r="L13" s="121"/>
      <c r="M13" s="120"/>
      <c r="N13" s="121"/>
      <c r="O13" s="120"/>
      <c r="P13" s="121"/>
      <c r="Q13" s="120"/>
      <c r="R13" s="121"/>
      <c r="S13" s="120"/>
      <c r="T13" s="121"/>
      <c r="U13" s="120"/>
      <c r="V13" s="121"/>
      <c r="W13" s="121"/>
      <c r="X13" s="124"/>
      <c r="Y13" s="121"/>
      <c r="Z13" s="121"/>
      <c r="AA13" s="121"/>
      <c r="AB13" s="122"/>
      <c r="AC13" s="120"/>
      <c r="AD13" s="120"/>
      <c r="AE13" s="123"/>
      <c r="AF13" s="131"/>
      <c r="AG13" s="124"/>
      <c r="AH13" s="124"/>
      <c r="AI13" s="137"/>
      <c r="AJ13" s="120"/>
      <c r="AK13" s="119"/>
      <c r="AL13" s="125"/>
      <c r="AM13" s="120"/>
      <c r="AN13" s="124"/>
      <c r="AO13" s="124"/>
      <c r="AP13" s="121"/>
      <c r="AQ13" s="120"/>
      <c r="AR13" s="120"/>
      <c r="AS13" s="120"/>
      <c r="AT13" s="120"/>
      <c r="AU13" s="120"/>
      <c r="AV13" s="120"/>
      <c r="AW13" s="120"/>
      <c r="AX13" s="120"/>
      <c r="AY13" s="122"/>
      <c r="AZ13" s="126"/>
      <c r="BA13" s="121"/>
      <c r="BB13" s="124"/>
      <c r="BC13" s="124"/>
      <c r="BD13" s="120"/>
      <c r="BE13" s="117"/>
      <c r="BF13" s="127"/>
    </row>
    <row r="14" spans="2:58" ht="18.75" x14ac:dyDescent="0.25">
      <c r="B14" s="113"/>
      <c r="C14" s="114"/>
      <c r="D14" s="136"/>
      <c r="E14" s="138"/>
      <c r="F14" s="117"/>
      <c r="G14" s="118"/>
      <c r="H14" s="119"/>
      <c r="I14" s="120"/>
      <c r="J14" s="121"/>
      <c r="K14" s="120"/>
      <c r="L14" s="121"/>
      <c r="M14" s="120"/>
      <c r="N14" s="121"/>
      <c r="O14" s="120"/>
      <c r="P14" s="121"/>
      <c r="Q14" s="120"/>
      <c r="R14" s="121"/>
      <c r="S14" s="120"/>
      <c r="T14" s="121"/>
      <c r="U14" s="120"/>
      <c r="V14" s="121"/>
      <c r="W14" s="121"/>
      <c r="X14" s="124"/>
      <c r="Y14" s="121"/>
      <c r="Z14" s="120"/>
      <c r="AA14" s="121"/>
      <c r="AB14" s="122"/>
      <c r="AC14" s="131"/>
      <c r="AD14" s="120"/>
      <c r="AE14" s="123"/>
      <c r="AF14" s="131"/>
      <c r="AG14" s="124"/>
      <c r="AH14" s="124"/>
      <c r="AI14" s="137"/>
      <c r="AJ14" s="120"/>
      <c r="AK14" s="139"/>
      <c r="AL14" s="125"/>
      <c r="AM14" s="126"/>
      <c r="AN14" s="124"/>
      <c r="AO14" s="124"/>
      <c r="AP14" s="121"/>
      <c r="AQ14" s="120"/>
      <c r="AR14" s="120"/>
      <c r="AS14" s="120"/>
      <c r="AT14" s="120"/>
      <c r="AU14" s="120"/>
      <c r="AV14" s="120"/>
      <c r="AW14" s="120"/>
      <c r="AX14" s="120"/>
      <c r="AY14" s="122"/>
      <c r="AZ14" s="126"/>
      <c r="BA14" s="121"/>
      <c r="BB14" s="124"/>
      <c r="BC14" s="124"/>
      <c r="BD14" s="120"/>
      <c r="BE14" s="117"/>
      <c r="BF14" s="127"/>
    </row>
    <row r="15" spans="2:58" ht="18.75" x14ac:dyDescent="0.25">
      <c r="B15" s="113"/>
      <c r="C15" s="114"/>
      <c r="D15" s="128"/>
      <c r="E15" s="129"/>
      <c r="F15" s="117"/>
      <c r="G15" s="118"/>
      <c r="H15" s="119"/>
      <c r="I15" s="120"/>
      <c r="J15" s="121"/>
      <c r="K15" s="120"/>
      <c r="L15" s="121"/>
      <c r="M15" s="120"/>
      <c r="N15" s="121"/>
      <c r="O15" s="120"/>
      <c r="P15" s="121"/>
      <c r="Q15" s="120"/>
      <c r="R15" s="121"/>
      <c r="S15" s="120"/>
      <c r="T15" s="121"/>
      <c r="U15" s="120"/>
      <c r="V15" s="121"/>
      <c r="W15" s="121"/>
      <c r="X15" s="124"/>
      <c r="Y15" s="121"/>
      <c r="Z15" s="121"/>
      <c r="AA15" s="121"/>
      <c r="AB15" s="122"/>
      <c r="AC15" s="130"/>
      <c r="AD15" s="120"/>
      <c r="AE15" s="123"/>
      <c r="AF15" s="131"/>
      <c r="AG15" s="123"/>
      <c r="AH15" s="132"/>
      <c r="AI15" s="133"/>
      <c r="AJ15" s="120"/>
      <c r="AK15" s="119"/>
      <c r="AL15" s="125"/>
      <c r="AM15" s="120"/>
      <c r="AN15" s="121"/>
      <c r="AO15" s="120"/>
      <c r="AP15" s="121"/>
      <c r="AQ15" s="120"/>
      <c r="AR15" s="120"/>
      <c r="AS15" s="120"/>
      <c r="AT15" s="120"/>
      <c r="AU15" s="120"/>
      <c r="AV15" s="120"/>
      <c r="AW15" s="120"/>
      <c r="AX15" s="120"/>
      <c r="AY15" s="122"/>
      <c r="AZ15" s="126"/>
      <c r="BA15" s="121"/>
      <c r="BB15" s="124"/>
      <c r="BC15" s="124"/>
      <c r="BD15" s="120"/>
      <c r="BE15" s="117"/>
      <c r="BF15" s="127"/>
    </row>
    <row r="16" spans="2:58" ht="19.5" thickBot="1" x14ac:dyDescent="0.3">
      <c r="B16" s="113"/>
      <c r="C16" s="140"/>
      <c r="D16" s="141"/>
      <c r="E16" s="142"/>
      <c r="F16" s="143"/>
      <c r="G16" s="118"/>
      <c r="H16" s="119"/>
      <c r="I16" s="120"/>
      <c r="J16" s="121"/>
      <c r="K16" s="144"/>
      <c r="L16" s="121"/>
      <c r="M16" s="120"/>
      <c r="N16" s="121"/>
      <c r="O16" s="120"/>
      <c r="P16" s="121"/>
      <c r="Q16" s="120"/>
      <c r="R16" s="121"/>
      <c r="S16" s="120"/>
      <c r="T16" s="121"/>
      <c r="U16" s="144"/>
      <c r="V16" s="121"/>
      <c r="W16" s="145"/>
      <c r="X16" s="146"/>
      <c r="Y16" s="145"/>
      <c r="Z16" s="120"/>
      <c r="AA16" s="145"/>
      <c r="AB16" s="147"/>
      <c r="AC16" s="144"/>
      <c r="AD16" s="144"/>
      <c r="AE16" s="148"/>
      <c r="AF16" s="149"/>
      <c r="AG16" s="148"/>
      <c r="AH16" s="150"/>
      <c r="AI16" s="151"/>
      <c r="AJ16" s="144"/>
      <c r="AK16" s="152"/>
      <c r="AL16" s="153"/>
      <c r="AM16" s="144"/>
      <c r="AN16" s="144"/>
      <c r="AO16" s="144"/>
      <c r="AP16" s="145"/>
      <c r="AQ16" s="144"/>
      <c r="AR16" s="144"/>
      <c r="AS16" s="144"/>
      <c r="AT16" s="144"/>
      <c r="AU16" s="144"/>
      <c r="AV16" s="144"/>
      <c r="AW16" s="144"/>
      <c r="AX16" s="144"/>
      <c r="AY16" s="147"/>
      <c r="AZ16" s="154"/>
      <c r="BA16" s="145"/>
      <c r="BB16" s="146"/>
      <c r="BC16" s="146"/>
      <c r="BD16" s="144"/>
      <c r="BE16" s="117"/>
      <c r="BF16" s="127"/>
    </row>
    <row r="17" spans="2:58" ht="19.5" thickBot="1" x14ac:dyDescent="0.3">
      <c r="B17" s="155"/>
      <c r="C17" s="156"/>
      <c r="D17" s="156"/>
      <c r="E17" s="157"/>
      <c r="F17" s="158"/>
      <c r="G17" s="158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59"/>
      <c r="AQ17" s="159"/>
      <c r="AR17" s="159"/>
      <c r="AS17" s="159"/>
      <c r="AT17" s="159"/>
      <c r="AU17" s="159"/>
      <c r="AV17" s="159"/>
      <c r="AW17" s="159"/>
      <c r="AX17" s="159"/>
      <c r="AY17" s="159"/>
      <c r="AZ17" s="159"/>
      <c r="BA17" s="159"/>
      <c r="BB17" s="159"/>
      <c r="BC17" s="159"/>
      <c r="BD17" s="159"/>
      <c r="BE17" s="158"/>
      <c r="BF17" s="158"/>
    </row>
    <row r="18" spans="2:58" ht="18.75" x14ac:dyDescent="0.25">
      <c r="B18" s="160"/>
      <c r="C18" s="160"/>
      <c r="D18" s="161"/>
      <c r="E18" s="160"/>
      <c r="F18" s="162"/>
      <c r="G18" s="163"/>
      <c r="H18" s="163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4">
        <f>'[1]HK UP KEEP, OP '!AS20</f>
        <v>0</v>
      </c>
      <c r="X18" s="165" t="s">
        <v>60</v>
      </c>
      <c r="Y18" s="164"/>
      <c r="Z18" s="162"/>
      <c r="AA18" s="162"/>
      <c r="AB18" s="162"/>
      <c r="AC18" s="162"/>
      <c r="AD18" s="162"/>
      <c r="AE18" s="162"/>
      <c r="AF18" s="164">
        <f>'[1]LEMBUR DAN PREMI UPKEEP'!AK17</f>
        <v>0</v>
      </c>
      <c r="AG18" s="164"/>
      <c r="AH18" s="166">
        <f>SUM(AG17:AI17)</f>
        <v>0</v>
      </c>
      <c r="AI18" s="162"/>
      <c r="AJ18" s="162"/>
      <c r="AK18" s="162"/>
      <c r="AL18" s="162"/>
      <c r="AM18" s="162"/>
      <c r="AN18" s="164">
        <f>316230+262980+522720+519580+403500+454010</f>
        <v>2479020</v>
      </c>
      <c r="AO18" s="162"/>
      <c r="AP18" s="162"/>
      <c r="AQ18" s="162"/>
      <c r="AR18" s="162"/>
      <c r="AS18" s="162"/>
      <c r="AT18" s="162"/>
      <c r="AU18" s="162"/>
      <c r="AV18" s="162"/>
      <c r="AW18" s="162"/>
      <c r="AX18" s="162"/>
      <c r="AY18" s="162"/>
      <c r="AZ18" s="162"/>
      <c r="BA18" s="162"/>
      <c r="BB18" s="162"/>
      <c r="BC18" s="162"/>
      <c r="BD18" s="167"/>
      <c r="BE18" s="168"/>
      <c r="BF18" s="168"/>
    </row>
    <row r="19" spans="2:58" ht="18.75" x14ac:dyDescent="0.25">
      <c r="B19" s="1" t="s">
        <v>61</v>
      </c>
      <c r="C19" s="169"/>
      <c r="D19" s="170"/>
      <c r="E19" s="171"/>
      <c r="F19" s="172"/>
      <c r="G19" s="173"/>
      <c r="H19" s="174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5">
        <f>W17-W18</f>
        <v>0</v>
      </c>
      <c r="X19" s="175"/>
      <c r="Y19" s="175"/>
      <c r="Z19" s="172"/>
      <c r="AA19" s="172"/>
      <c r="AB19" s="172"/>
      <c r="AC19" s="172"/>
      <c r="AD19" s="172"/>
      <c r="AE19" s="172"/>
      <c r="AF19" s="176">
        <f>AF17-AF18</f>
        <v>0</v>
      </c>
      <c r="AG19" s="175"/>
      <c r="AH19" s="175"/>
      <c r="AI19" s="172"/>
      <c r="AJ19" s="172"/>
      <c r="AK19" s="172"/>
      <c r="AL19" s="177"/>
      <c r="AM19" s="172"/>
      <c r="AN19" s="175">
        <f>AN17-AN18</f>
        <v>-2479020</v>
      </c>
      <c r="AO19" s="172"/>
      <c r="AP19" s="172"/>
      <c r="AQ19" s="172"/>
      <c r="AR19" s="172"/>
      <c r="AS19" s="172"/>
      <c r="AT19" s="172"/>
      <c r="AU19" s="172"/>
      <c r="AV19" s="172"/>
      <c r="AW19" s="172"/>
      <c r="AX19" s="172"/>
      <c r="AY19" s="1"/>
      <c r="AZ19" s="172"/>
      <c r="BA19" s="172"/>
      <c r="BB19" s="172"/>
      <c r="BC19" s="172"/>
      <c r="BD19" s="178"/>
      <c r="BE19" s="172"/>
      <c r="BF19" s="172"/>
    </row>
    <row r="20" spans="2:58" ht="18.75" x14ac:dyDescent="0.25">
      <c r="B20" s="1" t="s">
        <v>62</v>
      </c>
      <c r="C20" s="4"/>
      <c r="D20" s="179"/>
      <c r="E20" s="2"/>
      <c r="F20" s="180"/>
      <c r="G20" s="181"/>
      <c r="H20" s="182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65"/>
      <c r="X20" s="165"/>
      <c r="Y20" s="184"/>
      <c r="Z20" s="183"/>
      <c r="AA20" s="180"/>
      <c r="AB20" s="183"/>
      <c r="AC20" s="183"/>
      <c r="AD20" s="183"/>
      <c r="AE20" s="183"/>
      <c r="AF20" s="185"/>
      <c r="AG20" s="165">
        <f>AG17+AH17+AI17</f>
        <v>0</v>
      </c>
      <c r="AH20" s="183"/>
      <c r="AI20" s="183"/>
      <c r="AJ20" s="183"/>
      <c r="AK20" s="183"/>
      <c r="AL20" s="183"/>
      <c r="AM20" s="183"/>
      <c r="AN20" s="183"/>
      <c r="AO20" s="180"/>
      <c r="AP20" s="183"/>
      <c r="AQ20" s="186"/>
      <c r="AR20" s="186"/>
      <c r="AS20" s="180"/>
      <c r="AT20" s="186"/>
      <c r="AU20" s="180"/>
      <c r="AV20" s="186"/>
      <c r="AW20" s="180"/>
      <c r="AX20" s="180"/>
      <c r="AY20" s="180"/>
      <c r="AZ20" s="180"/>
      <c r="BA20" s="180"/>
      <c r="BB20" s="180"/>
      <c r="BC20" s="180"/>
      <c r="BD20" s="187"/>
      <c r="BE20" s="180"/>
      <c r="BF20" s="180"/>
    </row>
    <row r="21" spans="2:58" ht="18.75" x14ac:dyDescent="0.25">
      <c r="B21" s="188" t="s">
        <v>63</v>
      </c>
      <c r="C21" s="189"/>
      <c r="D21" s="190"/>
      <c r="E21" s="189"/>
      <c r="F21" s="191" t="s">
        <v>64</v>
      </c>
      <c r="G21" s="191"/>
      <c r="H21" s="191"/>
      <c r="I21" s="192"/>
      <c r="J21" s="1"/>
      <c r="K21" s="1"/>
      <c r="L21" s="1"/>
      <c r="M21" s="1"/>
      <c r="N21" s="1"/>
      <c r="O21" s="1"/>
      <c r="P21" s="191" t="s">
        <v>65</v>
      </c>
      <c r="Q21" s="191"/>
      <c r="R21" s="191"/>
      <c r="S21" s="1"/>
      <c r="T21" s="1"/>
      <c r="U21" s="1"/>
      <c r="V21" s="1"/>
      <c r="W21" s="1"/>
      <c r="X21" s="1"/>
      <c r="Y21" s="1"/>
      <c r="Z21" s="191" t="s">
        <v>66</v>
      </c>
      <c r="AA21" s="191"/>
      <c r="AB21" s="191"/>
      <c r="AC21" s="191"/>
      <c r="AD21" s="1"/>
      <c r="AE21" s="1"/>
      <c r="AF21" s="1"/>
      <c r="AG21" s="4"/>
      <c r="AH21" s="1"/>
      <c r="AI21" s="1"/>
      <c r="AJ21" s="1"/>
      <c r="AK21" s="1"/>
      <c r="AL21" s="5"/>
      <c r="AM21" s="193"/>
      <c r="AN21" s="1"/>
      <c r="AO21" s="1"/>
      <c r="AP21" s="191" t="s">
        <v>67</v>
      </c>
      <c r="AQ21" s="191"/>
      <c r="AR21" s="1"/>
      <c r="AS21" s="1"/>
      <c r="AT21" s="1"/>
      <c r="AU21" s="1"/>
      <c r="AV21" s="191" t="s">
        <v>68</v>
      </c>
      <c r="AW21" s="191"/>
      <c r="AX21" s="194"/>
      <c r="AY21" s="1"/>
      <c r="AZ21" s="1"/>
      <c r="BA21" s="1"/>
      <c r="BB21" s="1"/>
      <c r="BC21" s="4"/>
      <c r="BD21" s="8"/>
      <c r="BE21" s="195"/>
      <c r="BF21" s="196"/>
    </row>
    <row r="22" spans="2:58" ht="18.75" x14ac:dyDescent="0.25">
      <c r="B22" s="188"/>
      <c r="C22" s="4"/>
      <c r="D22" s="179"/>
      <c r="E22" s="189"/>
      <c r="F22" s="4"/>
      <c r="G22" s="197"/>
      <c r="H22" s="198"/>
      <c r="I22" s="19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4"/>
      <c r="W22" s="1"/>
      <c r="X22" s="1"/>
      <c r="Y22" s="1"/>
      <c r="Z22" s="1"/>
      <c r="AA22" s="1"/>
      <c r="AB22" s="4"/>
      <c r="AC22" s="4"/>
      <c r="AD22" s="1"/>
      <c r="AE22" s="1"/>
      <c r="AF22" s="1"/>
      <c r="AG22" s="1"/>
      <c r="AH22" s="1"/>
      <c r="AI22" s="4"/>
      <c r="AJ22" s="4"/>
      <c r="AK22" s="4"/>
      <c r="AL22" s="5"/>
      <c r="AM22" s="4"/>
      <c r="AN22" s="4"/>
      <c r="AO22" s="1"/>
      <c r="AP22" s="1"/>
      <c r="AQ22" s="4"/>
      <c r="AR22" s="4"/>
      <c r="AS22" s="4"/>
      <c r="AT22" s="1"/>
      <c r="AU22" s="4"/>
      <c r="AV22" s="4"/>
      <c r="AW22" s="4"/>
      <c r="AX22" s="194"/>
      <c r="AY22" s="4"/>
      <c r="AZ22" s="4"/>
      <c r="BA22" s="4"/>
      <c r="BB22" s="4"/>
      <c r="BC22" s="4"/>
      <c r="BD22" s="8"/>
      <c r="BE22" s="195"/>
      <c r="BF22" s="196"/>
    </row>
    <row r="23" spans="2:58" ht="18.75" x14ac:dyDescent="0.25">
      <c r="B23" s="15"/>
      <c r="C23" s="9"/>
      <c r="D23" s="10"/>
      <c r="E23" s="199"/>
      <c r="F23" s="15"/>
      <c r="G23" s="200"/>
      <c r="H23" s="182"/>
      <c r="I23" s="183"/>
      <c r="J23" s="15"/>
      <c r="K23" s="15"/>
      <c r="L23" s="15"/>
      <c r="M23" s="15"/>
      <c r="N23" s="15"/>
      <c r="O23" s="15"/>
      <c r="P23" s="15"/>
      <c r="Q23" s="183"/>
      <c r="R23" s="1"/>
      <c r="S23" s="1"/>
      <c r="T23" s="1"/>
      <c r="U23" s="1"/>
      <c r="V23" s="15"/>
      <c r="W23" s="15"/>
      <c r="X23" s="15"/>
      <c r="Y23" s="15"/>
      <c r="Z23" s="15"/>
      <c r="AA23" s="15"/>
      <c r="AB23" s="183"/>
      <c r="AC23" s="183"/>
      <c r="AD23" s="15"/>
      <c r="AE23" s="15"/>
      <c r="AF23" s="15"/>
      <c r="AG23" s="15"/>
      <c r="AH23" s="15"/>
      <c r="AI23" s="9"/>
      <c r="AJ23" s="9"/>
      <c r="AK23" s="9"/>
      <c r="AL23" s="201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83"/>
      <c r="BD23" s="202"/>
      <c r="BE23" s="203"/>
      <c r="BF23" s="204"/>
    </row>
    <row r="24" spans="2:58" ht="18.75" x14ac:dyDescent="0.25">
      <c r="B24" s="15"/>
      <c r="C24" s="9"/>
      <c r="D24" s="10"/>
      <c r="E24" s="199"/>
      <c r="F24" s="15"/>
      <c r="G24" s="205"/>
      <c r="H24" s="206"/>
      <c r="I24" s="15"/>
      <c r="J24" s="207"/>
      <c r="K24" s="15"/>
      <c r="L24" s="15"/>
      <c r="M24" s="15"/>
      <c r="N24" s="15"/>
      <c r="O24" s="15"/>
      <c r="P24" s="15"/>
      <c r="Q24" s="15"/>
      <c r="R24" s="1"/>
      <c r="S24" s="1"/>
      <c r="T24" s="1"/>
      <c r="U24" s="1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85"/>
      <c r="AH24" s="185"/>
      <c r="AI24" s="9"/>
      <c r="AJ24" s="9"/>
      <c r="AK24" s="9"/>
      <c r="AL24" s="201"/>
      <c r="AM24" s="185"/>
      <c r="AN24" s="15"/>
      <c r="AO24" s="15"/>
      <c r="AP24" s="185"/>
      <c r="AQ24" s="15"/>
      <c r="AR24" s="15"/>
      <c r="AS24" s="15"/>
      <c r="AT24" s="15"/>
      <c r="AU24" s="15"/>
      <c r="AV24" s="185"/>
      <c r="AW24" s="15"/>
      <c r="AX24" s="15"/>
      <c r="AY24" s="185"/>
      <c r="AZ24" s="15"/>
      <c r="BA24" s="15"/>
      <c r="BB24" s="15"/>
      <c r="BC24" s="15"/>
      <c r="BD24" s="202"/>
      <c r="BE24" s="15"/>
      <c r="BF24" s="9"/>
    </row>
    <row r="25" spans="2:58" ht="18.75" x14ac:dyDescent="0.25">
      <c r="B25" s="15"/>
      <c r="C25" s="9"/>
      <c r="D25" s="10"/>
      <c r="E25" s="208"/>
      <c r="F25" s="209" t="s">
        <v>69</v>
      </c>
      <c r="G25" s="209"/>
      <c r="H25" s="209"/>
      <c r="I25" s="192"/>
      <c r="J25" s="207"/>
      <c r="K25" s="15"/>
      <c r="L25" s="15"/>
      <c r="M25" s="210"/>
      <c r="N25" s="210"/>
      <c r="O25" s="15"/>
      <c r="P25" s="211" t="s">
        <v>70</v>
      </c>
      <c r="Q25" s="211"/>
      <c r="R25" s="211"/>
      <c r="S25" s="1"/>
      <c r="T25" s="1"/>
      <c r="U25" s="1"/>
      <c r="V25" s="212"/>
      <c r="W25" s="15"/>
      <c r="X25" s="15"/>
      <c r="Y25" s="15"/>
      <c r="Z25" s="209" t="s">
        <v>71</v>
      </c>
      <c r="AA25" s="209"/>
      <c r="AB25" s="209"/>
      <c r="AC25" s="209"/>
      <c r="AD25" s="15"/>
      <c r="AE25" s="15"/>
      <c r="AF25" s="15"/>
      <c r="AG25" s="213"/>
      <c r="AH25" s="214"/>
      <c r="AI25" s="215"/>
      <c r="AJ25" s="215"/>
      <c r="AK25" s="215"/>
      <c r="AL25" s="216"/>
      <c r="AM25" s="213"/>
      <c r="AN25" s="213"/>
      <c r="AO25" s="15"/>
      <c r="AP25" s="217" t="s">
        <v>72</v>
      </c>
      <c r="AQ25" s="217"/>
      <c r="AR25" s="214"/>
      <c r="AS25" s="214"/>
      <c r="AT25" s="15"/>
      <c r="AU25" s="218"/>
      <c r="AV25" s="209" t="s">
        <v>73</v>
      </c>
      <c r="AW25" s="209"/>
      <c r="AX25" s="15"/>
      <c r="AY25" s="214"/>
      <c r="AZ25" s="214"/>
      <c r="BA25" s="214"/>
      <c r="BB25" s="214"/>
      <c r="BC25" s="169"/>
      <c r="BD25" s="18"/>
      <c r="BE25" s="15"/>
      <c r="BF25" s="9"/>
    </row>
    <row r="26" spans="2:58" ht="18.75" x14ac:dyDescent="0.25">
      <c r="B26" s="15"/>
      <c r="C26" s="9"/>
      <c r="D26" s="10"/>
      <c r="E26" s="199"/>
      <c r="F26" s="219" t="s">
        <v>74</v>
      </c>
      <c r="G26" s="219"/>
      <c r="H26" s="219"/>
      <c r="I26" s="15"/>
      <c r="J26" s="220"/>
      <c r="K26" s="15"/>
      <c r="L26" s="15"/>
      <c r="M26" s="15"/>
      <c r="N26" s="15"/>
      <c r="O26" s="15"/>
      <c r="P26" s="219" t="s">
        <v>75</v>
      </c>
      <c r="Q26" s="219"/>
      <c r="R26" s="219"/>
      <c r="S26" s="15"/>
      <c r="T26" s="15"/>
      <c r="U26" s="15"/>
      <c r="V26" s="15"/>
      <c r="W26" s="15"/>
      <c r="X26" s="15"/>
      <c r="Y26" s="15"/>
      <c r="Z26" s="219" t="s">
        <v>76</v>
      </c>
      <c r="AA26" s="219"/>
      <c r="AB26" s="219"/>
      <c r="AC26" s="219"/>
      <c r="AD26" s="15"/>
      <c r="AE26" s="15"/>
      <c r="AF26" s="15"/>
      <c r="AG26" s="9"/>
      <c r="AH26" s="15"/>
      <c r="AI26" s="9"/>
      <c r="AJ26" s="9"/>
      <c r="AK26" s="9"/>
      <c r="AL26" s="201"/>
      <c r="AM26" s="9"/>
      <c r="AN26" s="15"/>
      <c r="AO26" s="15"/>
      <c r="AP26" s="221" t="s">
        <v>77</v>
      </c>
      <c r="AQ26" s="221"/>
      <c r="AR26" s="15"/>
      <c r="AS26" s="15"/>
      <c r="AT26" s="15"/>
      <c r="AU26" s="15"/>
      <c r="AV26" s="219" t="s">
        <v>78</v>
      </c>
      <c r="AW26" s="219"/>
      <c r="AX26" s="15"/>
      <c r="AY26" s="15"/>
      <c r="AZ26" s="15"/>
      <c r="BA26" s="15"/>
      <c r="BB26" s="15"/>
      <c r="BC26" s="9"/>
      <c r="BD26" s="18"/>
      <c r="BE26" s="15"/>
      <c r="BF26" s="9"/>
    </row>
  </sheetData>
  <mergeCells count="53">
    <mergeCell ref="F26:H26"/>
    <mergeCell ref="P26:R26"/>
    <mergeCell ref="Z26:AC26"/>
    <mergeCell ref="AP26:AQ26"/>
    <mergeCell ref="AV26:AW26"/>
    <mergeCell ref="F21:H21"/>
    <mergeCell ref="P21:R21"/>
    <mergeCell ref="Z21:AC21"/>
    <mergeCell ref="AP21:AQ21"/>
    <mergeCell ref="AV21:AW21"/>
    <mergeCell ref="F25:H25"/>
    <mergeCell ref="P25:R25"/>
    <mergeCell ref="Z25:AC25"/>
    <mergeCell ref="AP25:AQ25"/>
    <mergeCell ref="AV25:AW25"/>
    <mergeCell ref="U7:V7"/>
    <mergeCell ref="AA7:AB7"/>
    <mergeCell ref="AD7:AE7"/>
    <mergeCell ref="BE7:BE8"/>
    <mergeCell ref="BF7:BF8"/>
    <mergeCell ref="B17:E17"/>
    <mergeCell ref="I7:J7"/>
    <mergeCell ref="K7:L7"/>
    <mergeCell ref="M7:N7"/>
    <mergeCell ref="O7:P7"/>
    <mergeCell ref="Q7:R7"/>
    <mergeCell ref="S7:T7"/>
    <mergeCell ref="BA5:BA8"/>
    <mergeCell ref="BB5:BB8"/>
    <mergeCell ref="BC5:BC8"/>
    <mergeCell ref="BE5:BF6"/>
    <mergeCell ref="I6:J6"/>
    <mergeCell ref="K6:L6"/>
    <mergeCell ref="M6:N6"/>
    <mergeCell ref="O6:P6"/>
    <mergeCell ref="Q6:R6"/>
    <mergeCell ref="S6:T6"/>
    <mergeCell ref="AF5:AF7"/>
    <mergeCell ref="AG5:AN6"/>
    <mergeCell ref="AO5:AO7"/>
    <mergeCell ref="AQ5:AS6"/>
    <mergeCell ref="AT5:AX6"/>
    <mergeCell ref="AZ5:AZ8"/>
    <mergeCell ref="B5:B8"/>
    <mergeCell ref="C5:C8"/>
    <mergeCell ref="D5:D8"/>
    <mergeCell ref="I5:V5"/>
    <mergeCell ref="W5:W8"/>
    <mergeCell ref="X5:AE5"/>
    <mergeCell ref="U6:V6"/>
    <mergeCell ref="X6:Y6"/>
    <mergeCell ref="Z6:AB6"/>
    <mergeCell ref="AC6:AE6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Kiki Pangestu</dc:creator>
  <cp:lastModifiedBy>Kiki Pangestu</cp:lastModifiedBy>
  <dcterms:created xsi:type="dcterms:W3CDTF">2025-11-04T02:42:14Z</dcterms:created>
  <dcterms:modified xsi:type="dcterms:W3CDTF">2025-11-04T02:43:34Z</dcterms:modified>
</cp:coreProperties>
</file>